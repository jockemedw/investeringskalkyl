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joaki\Documents\GitHub\investeringskalkyl\.claude\worktrees\investment-calc-overhaul-2c273f\build\lm371\"/>
    </mc:Choice>
  </mc:AlternateContent>
  <xr:revisionPtr revIDLastSave="0" documentId="8_{B40D7053-D319-41F4-BA5E-CBDFB98FA18C}" xr6:coauthVersionLast="47" xr6:coauthVersionMax="47" xr10:uidLastSave="{00000000-0000-0000-0000-000000000000}"/>
  <bookViews>
    <workbookView xWindow="-120" yWindow="-120" windowWidth="38640" windowHeight="21120" xr2:uid="{00000000-000D-0000-FFFF-FFFF00000000}"/>
  </bookViews>
  <sheets>
    <sheet name="1. Framskrivningsunderlag" sheetId="10" r:id="rId1"/>
    <sheet name="2. Kalkyldata" sheetId="2" r:id="rId2"/>
    <sheet name="3. Finansiering" sheetId="5" r:id="rId3"/>
    <sheet name="4. NPV" sheetId="3" r:id="rId4"/>
    <sheet name="5. IRR" sheetId="4" r:id="rId5"/>
    <sheet name="6. Ack.kapitalutlägg" sheetId="9" r:id="rId6"/>
    <sheet name="7.Grafer" sheetId="8" r:id="rId7"/>
    <sheet name="Kontoplan RR" sheetId="7" r:id="rId8"/>
  </sheets>
  <definedNames>
    <definedName name="BefFastighetsskötsel">'2. Kalkyldata'!$G$34</definedName>
    <definedName name="BefMedia">'2. Kalkyldata'!$G$37</definedName>
    <definedName name="BefPlaneratunderhåll">'2. Kalkyldata'!$G$36</definedName>
    <definedName name="BefReparationer">'2. Kalkyldata'!$G$35</definedName>
    <definedName name="BefÖvrigaförvaltningskostnader">'2. Kalkyldata'!$G$38</definedName>
    <definedName name="FemtonÅrFastighetsskötsel">'2. Kalkyldata'!$M$34</definedName>
    <definedName name="FemtonÅrMedia">'2. Kalkyldata'!$M$37</definedName>
    <definedName name="FemtonÅrPlaneratUnderhåll">'2. Kalkyldata'!$M$36</definedName>
    <definedName name="FemtonÅrReparationer">'2. Kalkyldata'!$M$35</definedName>
    <definedName name="FemtonÅrÖvrigaFörvaltningskostnader">'2. Kalkyldata'!$M$38</definedName>
    <definedName name="Höjnin1">'2. Kalkyldata'!$L$33</definedName>
    <definedName name="Höjning2">'2. Kalkyldata'!$M$33</definedName>
    <definedName name="Inflation">'2. Kalkyldata'!$M$9</definedName>
    <definedName name="NybFastighetsskötsel">'2. Kalkyldata'!$H$34</definedName>
    <definedName name="NybMedia">'2. Kalkyldata'!$H$37</definedName>
    <definedName name="NybPlaneratunderhåll">'2. Kalkyldata'!$H$36</definedName>
    <definedName name="NybReparationer">'2. Kalkyldata'!$H$35</definedName>
    <definedName name="NybÖvrigaförvaltningskostnader">'2. Kalkyldata'!$H$38</definedName>
    <definedName name="TioÅrFastighetsskötsel">'2. Kalkyldata'!$L$34</definedName>
    <definedName name="TioÅrMedia">'2. Kalkyldata'!$L$37</definedName>
    <definedName name="TioÅrPlaneratUnderhåll">'2. Kalkyldata'!$L$36</definedName>
    <definedName name="TioÅrReparationer">'2. Kalkyldata'!$L$35</definedName>
    <definedName name="TioÅrÖvrigaFörvaltningskostnader">'2. Kalkyldata'!$L$38</definedName>
    <definedName name="_xlnm.Print_Area" localSheetId="0">'1. Framskrivningsunderlag'!$A$1:$H$138</definedName>
    <definedName name="_xlnm.Print_Area" localSheetId="1">'2. Kalkyldata'!$A$3:$U$81</definedName>
    <definedName name="_xlnm.Print_Area" localSheetId="2">'3. Finansiering'!$A$3:$W$57</definedName>
    <definedName name="_xlnm.Print_Area" localSheetId="3">'4. NPV'!$B$1:$X$91</definedName>
    <definedName name="_xlnm.Print_Area" localSheetId="4">'5. IRR'!$A$1:$W$61</definedName>
    <definedName name="_xlnm.Print_Area" localSheetId="5">'6. Ack.kapitalutlägg'!$A$1:$W$17</definedName>
    <definedName name="_xlnm.Print_Area" localSheetId="6">'7.Grafer'!$A$36:$V$57</definedName>
    <definedName name="_xlnm.Print_Area" localSheetId="7">'Kontoplan RR'!$A$1:$I$37</definedName>
    <definedName name="_xlnm.Print_Titles" localSheetId="2">'3. Finansiering'!$A:$C</definedName>
    <definedName name="_xlnm.Print_Titles" localSheetId="3">'4. NPV'!$A:$B,'4. NPV'!$4:$4</definedName>
    <definedName name="_xlnm.Print_Titles" localSheetId="4">'5. IRR'!$A:$C</definedName>
    <definedName name="_xlnm.Print_Titles" localSheetId="5">'6. Ack.kapitalutlägg'!$A:$B</definedName>
    <definedName name="_xlnm.Print_Titles" localSheetId="6">'7.Grafer'!$A:$B</definedName>
  </definedNames>
  <calcPr calcId="191029" iterateDelta="1E-4"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tc={3482388F-E56E-4EEB-8B6B-F1FFC3A3B603}</author>
    <author>tc={7483870C-C758-4293-AAEB-EA2F7EE9A8CF}</author>
    <author>tc={3B781856-FF7E-4096-9A8E-CBFD156938AE}</author>
    <author>tc={558A8FB2-E23A-4ECA-A27F-6B49F181D801}</author>
    <author>tc={DC723E23-B500-49F1-9C47-6C5FE4658E95}</author>
    <author>tc={2C627220-2B86-4138-A2B4-63A1DF6694DD}</author>
    <author>tc={BC011067-0779-4CFC-9490-E7E38A3CECD4}</author>
    <author>tc={3A9EC5D8-0526-4F02-B002-9DB23F5C11AF}</author>
    <author>tc={B11851BB-E4ED-460F-A262-316C9E75D500}</author>
    <author>tc={FDD2742D-6E4D-4656-900E-D56A4FE85BDC}</author>
    <author>tc={C59F1883-37F9-448F-ABB8-28F880250432}</author>
    <author>tc={E3E5B7BD-CBA0-421C-896E-051D6A3D9D18}</author>
    <author>Westin Joakim</author>
    <author>tc={A4F63770-E642-486B-8169-22EE223F6509}</author>
  </authors>
  <commentList>
    <comment ref="M3" authorId="0" shapeId="0" xr:uid="{3482388F-E56E-4EEB-8B6B-F1FFC3A3B603}">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Ange fr.o.m vilket år kalkylen ska utgå.</t>
        </r>
      </text>
    </comment>
    <comment ref="S4" authorId="1" shapeId="0" xr:uid="{7483870C-C758-4293-AAEB-EA2F7EE9A8CF}">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Hjälpfunktion - Används för att räkna ut genomsnittlig avskrivningstid för komponenterna i investeringen.</t>
        </r>
      </text>
    </comment>
    <comment ref="M6" authorId="2" shapeId="0" xr:uid="{3B781856-FF7E-4096-9A8E-CBFD156938AE}">
      <text>
        <r>
          <rPr>
            <sz val="11"/>
            <color theme="1"/>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Marknadens avkastningskrav på värderingsobjektet.
Hämtas ur senast utförda värdering eller antas utifrån likvärdiga referensobjekt.
Används tillsammans med antagen inflation för att beräkna restvärdet / värdera objektet vid kalkylperiodens slut.
Se: Kalkylränta | Lejonfastigheter Intranät (omniacloud.net) </t>
        </r>
      </text>
    </comment>
    <comment ref="M7" authorId="3" shapeId="0" xr:uid="{558A8FB2-E23A-4ECA-A27F-6B49F181D801}">
      <text>
        <r>
          <rPr>
            <sz val="11"/>
            <color theme="1"/>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Anger företagets avkastningskrav för investeringen. I nettonuvärdes-beräkningen (NPV) används kalkylräntan för att nuvärdesberäkna respektive års driftnetto inom kalkylperioden. 
För långsiktiga säkra avtal antas en lägre kalkylränta för driftnettot. (Vilket innebär att det inte längre motsvarar företagets generella avkastningskrav). För kortare avtal används marknadens avkastningskrav.
Se: Kalkylränta | Lejonfastigheter Intranät (omniacloud.net) </t>
        </r>
      </text>
    </comment>
    <comment ref="M8" authorId="4" shapeId="0" xr:uid="{DC723E23-B500-49F1-9C47-6C5FE4658E95}">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Direktavkastning, marknad + Inflation
Används för att beräkna restvärdet / värdera objektet vid kalkylperiodens slut.</t>
        </r>
      </text>
    </comment>
    <comment ref="M9" authorId="5" shapeId="0" xr:uid="{2C627220-2B86-4138-A2B4-63A1DF6694DD}">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Antagen utveckling av inflationen</t>
        </r>
      </text>
    </comment>
    <comment ref="P10" authorId="6" shapeId="0" xr:uid="{BC011067-0779-4CFC-9490-E7E38A3CECD4}">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Om projektet ska belastas med kostnader till följd av t.ex. utrangeringar (rivning) ska det anges här.
Påverkar endast IRR och inte NPV då det inte påverkar driftnettot. Dvs. en kostnad som uppstår för oss men inte nödvändigtvis om en annan fastighetsägare genomför projektet.</t>
        </r>
      </text>
    </comment>
    <comment ref="P11" authorId="7" shapeId="0" xr:uid="{3A9EC5D8-0526-4F02-B002-9DB23F5C11AF}">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Om projektet ska belastas med kostnader för ersättningslokaler ska det anges här. 
Anges som period mellan år och faller ut i flik "5. IRR" / "Ersättningslokaler"
Påverkar endast IRR och inte NPV då det inte påverkar driftnettot. Dvs. en kostnad som uppstår för oss men inte nödvändigtvis om en annan fastighetsägare genomför projektet.</t>
        </r>
      </text>
    </comment>
    <comment ref="Q17" authorId="8" shapeId="0" xr:uid="{B11851BB-E4ED-460F-A262-316C9E75D500}">
      <text>
        <r>
          <rPr>
            <sz val="11"/>
            <color theme="1"/>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Kalkylperioden avser den period under vilket kassaflödet analyseras </t>
        </r>
      </text>
    </comment>
    <comment ref="O21" authorId="9" shapeId="0" xr:uid="{FDD2742D-6E4D-4656-900E-D56A4FE85BDC}">
      <text>
        <r>
          <rPr>
            <sz val="11"/>
            <color theme="1"/>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Marknadshyra är den hyra som antas falla ut året efter hyreskontraktet löpt ut.
Restvärdet bedöms genom att dividera det prognostiserade driftnettot året efter kalkylperiodens slut med det bedömda direktavkastningskravet. 
Om marknadshyran är lägre än den avtalade hyran påverkar det restvärdet negativt.
Marknadshyran anges i årets penningvärde och räknas upp automatiskt. </t>
        </r>
      </text>
    </comment>
    <comment ref="Q22" authorId="10" shapeId="0" xr:uid="{C59F1883-37F9-448F-ABB8-28F880250432}">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Produktionsstart påverkar inte kalkylens resultat utan används i pedagogiskt syfte för att förtydliga flödet i t.ex. etappindelade projekt</t>
        </r>
      </text>
    </comment>
    <comment ref="R22" authorId="11" shapeId="0" xr:uid="{E3E5B7BD-CBA0-421C-896E-051D6A3D9D18}">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Produktionsavslut anger när byggnaden/investeringen driftsätts/är färdig.
Produktionsavslut och kalkylstart bör oftast sammanfalla. Om produktionsavslut föregår kalkylstart tar kalkylen inte med de åren i kassaflödet.</t>
        </r>
      </text>
    </comment>
    <comment ref="S22" authorId="12" shapeId="0" xr:uid="{2FE3A61F-F4E5-4DD8-9B7F-4BDC275AC279}">
      <text>
        <r>
          <rPr>
            <b/>
            <sz val="9"/>
            <color indexed="81"/>
            <rFont val="Tahoma"/>
            <family val="2"/>
          </rPr>
          <t>Westin Joakim:</t>
        </r>
        <r>
          <rPr>
            <sz val="9"/>
            <color indexed="81"/>
            <rFont val="Tahoma"/>
            <family val="2"/>
          </rPr>
          <t xml:space="preserve">
Här anges marknadens avkastningskrav på fastigheter av denna typ. Hämtas ur senast utförda värdering för fastigheten.</t>
        </r>
      </text>
    </comment>
    <comment ref="U22" authorId="13" shapeId="0" xr:uid="{A4F63770-E642-486B-8169-22EE223F6509}">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Används för att testa alternativa budgetbelopp för investering. Angivet belopp skriver över det som angivits i "Budget kr/kvm"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Westin Joakim</author>
  </authors>
  <commentList>
    <comment ref="B7" authorId="0" shapeId="0" xr:uid="{B72A089D-CA28-415C-8A21-8094E53F8A6D}">
      <text>
        <r>
          <rPr>
            <b/>
            <sz val="9"/>
            <color indexed="81"/>
            <rFont val="Tahoma"/>
            <family val="2"/>
          </rPr>
          <t>Westin Joakim:</t>
        </r>
        <r>
          <rPr>
            <sz val="9"/>
            <color indexed="81"/>
            <rFont val="Tahoma"/>
            <family val="2"/>
          </rPr>
          <t xml:space="preserve">
Vi använder aktuell ränta för byggnadskreditiv som indikation på aktuell inlåningsränta inkl. marginal. 
Se intranätet för aktuella nyckeltal.
</t>
        </r>
      </text>
    </comment>
    <comment ref="B8" authorId="0" shapeId="0" xr:uid="{DF19CB3B-8742-4EB7-916C-E756C2729821}">
      <text>
        <r>
          <rPr>
            <b/>
            <sz val="9"/>
            <color indexed="81"/>
            <rFont val="Tahoma"/>
            <family val="2"/>
          </rPr>
          <t>Westin Joakim:</t>
        </r>
        <r>
          <rPr>
            <sz val="9"/>
            <color indexed="81"/>
            <rFont val="Tahoma"/>
            <family val="2"/>
          </rPr>
          <t xml:space="preserve">
Vi använder beslutad kalkylränta för långsiktig ränteprognos.
</t>
        </r>
      </text>
    </comment>
  </commentList>
</comments>
</file>

<file path=xl/sharedStrings.xml><?xml version="1.0" encoding="utf-8"?>
<sst xmlns="http://schemas.openxmlformats.org/spreadsheetml/2006/main" count="546" uniqueCount="422">
  <si>
    <r>
      <t xml:space="preserve">1. Gamla Hjälptabeller
</t>
    </r>
    <r>
      <rPr>
        <sz val="12"/>
        <color theme="1"/>
        <rFont val="Arial"/>
        <family val="2"/>
      </rPr>
      <t>Tryck på + -tecknen för att visa</t>
    </r>
    <r>
      <rPr>
        <b/>
        <sz val="16"/>
        <color theme="1"/>
        <rFont val="Arial"/>
        <family val="2"/>
      </rPr>
      <t xml:space="preserve">
</t>
    </r>
  </si>
  <si>
    <t>Investeringskalkyl, framskrivningsunderlag</t>
  </si>
  <si>
    <r>
      <t xml:space="preserve">2. Uppdateringshistorik
</t>
    </r>
    <r>
      <rPr>
        <sz val="12"/>
        <color theme="1"/>
        <rFont val="Arial"/>
        <family val="2"/>
      </rPr>
      <t>Tryck på + -tecknen för att visa</t>
    </r>
  </si>
  <si>
    <t>Projektnamn</t>
  </si>
  <si>
    <t>Kalkyl utförd av:</t>
  </si>
  <si>
    <t>Fyll i</t>
  </si>
  <si>
    <t>Fastighet:</t>
  </si>
  <si>
    <t>Utförd av</t>
  </si>
  <si>
    <t>Objekt:</t>
  </si>
  <si>
    <t>1. Möjliggjort redigering i fält som måste fyllas i - utan att ta bort bladets skydd</t>
  </si>
  <si>
    <t>Projektnummer:</t>
  </si>
  <si>
    <t>3. Avsevärt förenklat ifyllnaden i första bladet</t>
  </si>
  <si>
    <t>JW</t>
  </si>
  <si>
    <t>Fastighetsarea:</t>
  </si>
  <si>
    <t>4. Flik 2: Lagt till indikation om vilka fält som är tvingande</t>
  </si>
  <si>
    <t>Area (BRA):</t>
  </si>
  <si>
    <t>5. Flik 2: Lagt till notifikationer om t.ex. driftkostnader ej är angivna, eller om kalkylperiod inte matchar med avtalsperiod mm</t>
  </si>
  <si>
    <t>Area (BTA):</t>
  </si>
  <si>
    <t>6. Flik 4: Justerat så att indexpåslag på hyran endast utgår från året efter avtalet börjar gälla. Förut beräknades indexpåslag från Kalkylstart, även om avtalet började gälla i framtiden. På detta vis kan vi lättare lägga in "etappvisa" tillträden till lokaler utan att det blir stökigt i utfallet för hyran.</t>
  </si>
  <si>
    <t>Typ av projekt:</t>
  </si>
  <si>
    <t>Momsregistreringsgrad före</t>
  </si>
  <si>
    <t>Momsregistreringsgrad efter</t>
  </si>
  <si>
    <t>7. Lagt till indexuppräkning på "Central administration"</t>
  </si>
  <si>
    <t>Projektbeskrivning</t>
  </si>
  <si>
    <t>kvm</t>
  </si>
  <si>
    <t>BRA/plats</t>
  </si>
  <si>
    <t>Inv belopp</t>
  </si>
  <si>
    <t>kr/kvm</t>
  </si>
  <si>
    <t>Inv belopp per plats</t>
  </si>
  <si>
    <t>Antal platser</t>
  </si>
  <si>
    <t>8. Lagt till indikation på flik 2. om eget antagande om restvärde fyllts i på flik 5. IRR.</t>
  </si>
  <si>
    <t>Åtgärder</t>
  </si>
  <si>
    <t>kvm (BRA)</t>
  </si>
  <si>
    <t>9. Tagit bort funktionen som uppräknar projektbudgeten med avseende på inflation om den sker i framtiden. Detta får vi själva ta hänsyn till när vi upprättar projektbudgeten.</t>
  </si>
  <si>
    <t>10. Dolt flikarna "6. Ack. Kapitalutlägg" och "7. Diagram" då funktionerna och nyckeltalen inte efterfrågas. Vid behov högerklicka på valfri flik och välj "Ta fram"</t>
  </si>
  <si>
    <t>11. 2023-02-15 Justering av rubriker under "Projektbeskrivning" (borttagning av två kolumner: "Investering per plats" samt "BRA / plats"</t>
  </si>
  <si>
    <t>12. Bytt ut driftkostnadsposterna och döpt dem efter hur Lejonfastigheter är vana att fördela dem.</t>
  </si>
  <si>
    <t>13. Börjat lägga till kommentarer av karaktären "Lathund".</t>
  </si>
  <si>
    <t>Summa investering</t>
  </si>
  <si>
    <t>14. Justerat benämning av "Ränta" under 3.Finansiering" till Byggnadskreditiv, då vi inte har annan ränta att härleda</t>
  </si>
  <si>
    <t>Därutöver re-investeringar/hyresatt UH</t>
  </si>
  <si>
    <t>15. Diverse malljusteringar 2024</t>
  </si>
  <si>
    <t>Därutöver planerat underhåll</t>
  </si>
  <si>
    <t>Total Projektvolym</t>
  </si>
  <si>
    <t>Projektbeskrivning:</t>
  </si>
  <si>
    <t>BILD</t>
  </si>
  <si>
    <t>KARTA</t>
  </si>
  <si>
    <t>Marknadsituation</t>
  </si>
  <si>
    <t>Marknadsvärde (senaste fastighetsvärdering)</t>
  </si>
  <si>
    <t>Kommentar:</t>
  </si>
  <si>
    <t>Byggrätter</t>
  </si>
  <si>
    <t>Före projekt</t>
  </si>
  <si>
    <t>Efter projekt</t>
  </si>
  <si>
    <t>Hur har fastighetens restvärde värderats, kalkylränta. Har värderar tagit hänsyn till kommande investeringar för att upprätthålla hyresnivå mm. Vad händer med befintligt marknadsvärde om vi inte utför investeringen. Kommentera sannolikt scenario. Ex sjukt hus, tekniskt utdömd, vakanser etc. Hur har vi optimerat byggrätterna på fastigheten etc. Förändras momsregistreringsgraden?</t>
  </si>
  <si>
    <t>Utnyttjade byggrätter</t>
  </si>
  <si>
    <t>Outnyttjade byggrätter</t>
  </si>
  <si>
    <t>Summa</t>
  </si>
  <si>
    <t>Kalkylantaganden</t>
  </si>
  <si>
    <t>Kalkylperiod</t>
  </si>
  <si>
    <t>Avskrivningstid</t>
  </si>
  <si>
    <t>Direktavkastningskrav, marknad</t>
  </si>
  <si>
    <t>Kalkylränta för driftnetto</t>
  </si>
  <si>
    <t>Kalkylränta för restvärde</t>
  </si>
  <si>
    <t>Inflation</t>
  </si>
  <si>
    <t>Hyresvärde år 1, befintligt (inkl ombyggnad)</t>
  </si>
  <si>
    <t>Kr/kvm</t>
  </si>
  <si>
    <t>Hyresvärde år 1, nyproduktion</t>
  </si>
  <si>
    <t>Summa Hyresvärde, år 1</t>
  </si>
  <si>
    <t>Marknadshyra/Långsiktigt hyresvärde</t>
  </si>
  <si>
    <t>Långsiktigt vakansrisk</t>
  </si>
  <si>
    <t>Drift- och underhållskostnader, år 1</t>
  </si>
  <si>
    <t>Exkl extraord. underhåll</t>
  </si>
  <si>
    <t>Finansieringsantagande</t>
  </si>
  <si>
    <t xml:space="preserve">Ränta </t>
  </si>
  <si>
    <t>Långsiktig ränta</t>
  </si>
  <si>
    <t>Amortering</t>
  </si>
  <si>
    <t>Belåningsgrad</t>
  </si>
  <si>
    <t>Resultat &amp; avkastning</t>
  </si>
  <si>
    <t>Krav</t>
  </si>
  <si>
    <t>NPV (över-/undervärde)</t>
  </si>
  <si>
    <t>Investering</t>
  </si>
  <si>
    <t>Genomsnittlig överskottsgrad under kalkylperioden</t>
  </si>
  <si>
    <t>Kontroll restvärde</t>
  </si>
  <si>
    <t>Bokfört värde</t>
  </si>
  <si>
    <t>Lån</t>
  </si>
  <si>
    <t>Försäljningsvärde</t>
  </si>
  <si>
    <t>Hjälptabell hyresnivåer</t>
  </si>
  <si>
    <t>Investering rekommenderas</t>
  </si>
  <si>
    <t>Totalhyra, kr/kvm</t>
  </si>
  <si>
    <t>Marknadshyra, kr/kvm</t>
  </si>
  <si>
    <t>Namn:</t>
  </si>
  <si>
    <t>Datum:</t>
  </si>
  <si>
    <t>Sign:</t>
  </si>
  <si>
    <t>Bilagor</t>
  </si>
  <si>
    <t>Ja/Nej</t>
  </si>
  <si>
    <t>Kalkyldata</t>
  </si>
  <si>
    <t>Finansiering</t>
  </si>
  <si>
    <t>Nettonuvärde</t>
  </si>
  <si>
    <t>Internränta</t>
  </si>
  <si>
    <t>INMATNING</t>
  </si>
  <si>
    <t>FASTIGHETS- OCH MARKNADSFÖRUTSÄTTNINGAR</t>
  </si>
  <si>
    <t>KALKYLSTART</t>
  </si>
  <si>
    <t>Projektinfo</t>
  </si>
  <si>
    <t>Förutsättningar marknad</t>
  </si>
  <si>
    <t>Förutsättningar Fastighet</t>
  </si>
  <si>
    <t>Avskrivning</t>
  </si>
  <si>
    <t>Fastighet</t>
  </si>
  <si>
    <t>Objektsnr</t>
  </si>
  <si>
    <t>BTA</t>
  </si>
  <si>
    <t>BRA</t>
  </si>
  <si>
    <t>Fastighetsarea</t>
  </si>
  <si>
    <t>Del</t>
  </si>
  <si>
    <t>%- avskrivning</t>
  </si>
  <si>
    <t>Värde (tkr)</t>
  </si>
  <si>
    <t>Tomt- och fastighetskostnader</t>
  </si>
  <si>
    <t>Tomträttsavgäld</t>
  </si>
  <si>
    <t>Mark</t>
  </si>
  <si>
    <t>Projekteringskostnader</t>
  </si>
  <si>
    <t>Kalkylränta driftnetto</t>
  </si>
  <si>
    <t>Taxeringsvärde</t>
  </si>
  <si>
    <t>Byggnad</t>
  </si>
  <si>
    <t>Byggherrekostnader</t>
  </si>
  <si>
    <t>Typ av åtgärd:</t>
  </si>
  <si>
    <t>Kalkylränta restvärde</t>
  </si>
  <si>
    <t>Fastighetsskatt</t>
  </si>
  <si>
    <t>Övr.1</t>
  </si>
  <si>
    <t>Entreprenadkostnader</t>
  </si>
  <si>
    <t>Övr.2</t>
  </si>
  <si>
    <t>Tillkommande arbeten</t>
  </si>
  <si>
    <t>Bokfört värde - proj belastning</t>
  </si>
  <si>
    <t>Fr o m (år)</t>
  </si>
  <si>
    <t>T o m (år)</t>
  </si>
  <si>
    <t>Avgifter &amp; byggherrekostnader</t>
  </si>
  <si>
    <t>Ersättningslokaler, kr/år</t>
  </si>
  <si>
    <t>Nyckeltal kalkyl</t>
  </si>
  <si>
    <t>Resultat</t>
  </si>
  <si>
    <t>Notiser</t>
  </si>
  <si>
    <t>Tillfälliga intäkter, kr/år</t>
  </si>
  <si>
    <t>Index</t>
  </si>
  <si>
    <t>&gt;0</t>
  </si>
  <si>
    <t>Övriga kostnader</t>
  </si>
  <si>
    <t>IRR</t>
  </si>
  <si>
    <t>Långsiktig vakansnivå</t>
  </si>
  <si>
    <t>Central administration</t>
  </si>
  <si>
    <t>Justering</t>
  </si>
  <si>
    <t>Bidrag och intäkter</t>
  </si>
  <si>
    <t>PV jmf bokfört värde inkl inv.</t>
  </si>
  <si>
    <t>Årlig avskrivning</t>
  </si>
  <si>
    <t>Minsta möjliga markvärde</t>
  </si>
  <si>
    <t>Ersättningslokaler</t>
  </si>
  <si>
    <t>Pay-off tid</t>
  </si>
  <si>
    <t>Bolagsskatt</t>
  </si>
  <si>
    <t>Markareal</t>
  </si>
  <si>
    <t>Minsta värde</t>
  </si>
  <si>
    <t>Övrigt 1</t>
  </si>
  <si>
    <t>Övrigt 2</t>
  </si>
  <si>
    <t>Övrigt 3</t>
  </si>
  <si>
    <t>INTÄKTER OCH INVESTERINGAR</t>
  </si>
  <si>
    <t>Totalt</t>
  </si>
  <si>
    <t>Hjälptabeller - Ignorera dessa</t>
  </si>
  <si>
    <t>Ytor</t>
  </si>
  <si>
    <t>Area (BRA)</t>
  </si>
  <si>
    <t>Hyresvillkor</t>
  </si>
  <si>
    <t>Avtalslängd (år)</t>
  </si>
  <si>
    <t>Marknadshyra</t>
  </si>
  <si>
    <t>Vakansgrad</t>
  </si>
  <si>
    <t>Investeringar</t>
  </si>
  <si>
    <t>Investering, kr</t>
  </si>
  <si>
    <t>Byggnad/lokal/Objekt</t>
  </si>
  <si>
    <t>Typ</t>
  </si>
  <si>
    <t>Befintligt</t>
  </si>
  <si>
    <t>Nybyggnad/
Tillbyggnad</t>
  </si>
  <si>
    <t xml:space="preserve"> Hyra, kr/kvm</t>
  </si>
  <si>
    <t>Tillägg, kr/kvm</t>
  </si>
  <si>
    <t>Totalhyra</t>
  </si>
  <si>
    <t>From år</t>
  </si>
  <si>
    <t>T.om år</t>
  </si>
  <si>
    <t>Produktions-
start</t>
  </si>
  <si>
    <t>Produktions-
avslut</t>
  </si>
  <si>
    <t>Totalt kr/kvm</t>
  </si>
  <si>
    <t xml:space="preserve">Justering
</t>
  </si>
  <si>
    <t>Total investering</t>
  </si>
  <si>
    <t>PV exkl projektbelast</t>
  </si>
  <si>
    <t>Bokfört värde
kr/kvm</t>
  </si>
  <si>
    <t>Varav bokfört värde</t>
  </si>
  <si>
    <t>KOSTNADER</t>
  </si>
  <si>
    <t>Drift och underhåll, kr/kvm</t>
  </si>
  <si>
    <t>Totalt, viktad</t>
  </si>
  <si>
    <t>Kostnadshöjning</t>
  </si>
  <si>
    <t>Total höjning</t>
  </si>
  <si>
    <t>Re-investering/
hyressatt UH</t>
  </si>
  <si>
    <t>Byggnad/Lokal/
Objekt</t>
  </si>
  <si>
    <t>År</t>
  </si>
  <si>
    <t>Uppräknat, kr/kvm</t>
  </si>
  <si>
    <t>Underhåll uppräknat</t>
  </si>
  <si>
    <t>Underhåll ,exkl uppräkning</t>
  </si>
  <si>
    <t>Fastighetsskötsel</t>
  </si>
  <si>
    <t>Reparationer</t>
  </si>
  <si>
    <t>Planerat underhåll</t>
  </si>
  <si>
    <t>Media</t>
  </si>
  <si>
    <t>Övriga förvaltningskostnader</t>
  </si>
  <si>
    <t>Summa kostnader</t>
  </si>
  <si>
    <t>Beskriv antaganden. Härleda otydliga saker och särskilda antaganden</t>
  </si>
  <si>
    <t>Datum</t>
  </si>
  <si>
    <t>FINANSIERING OCH AVSKRIVNING</t>
  </si>
  <si>
    <t>I denna flik justeras finansieringsantaganden (belåningsgrad, ränta och amorteringstakt). Denna info ska dock endast ändras efter OK av ansvarig för företagets finansiering. Fliken beräknar även utveckling av bokförda värden.</t>
  </si>
  <si>
    <t>Inmatning</t>
  </si>
  <si>
    <t>Byggnadskreditiv</t>
  </si>
  <si>
    <t>Trappas 10 år</t>
  </si>
  <si>
    <t>Eget kapital per investering</t>
  </si>
  <si>
    <t>Belåning per investering</t>
  </si>
  <si>
    <t>Upptagna lån</t>
  </si>
  <si>
    <t>Ackumulerad amortering</t>
  </si>
  <si>
    <t>Återstående skuld</t>
  </si>
  <si>
    <t>Räntenivå</t>
  </si>
  <si>
    <t>Räntekostnad</t>
  </si>
  <si>
    <t>Finansieringskostnad</t>
  </si>
  <si>
    <t>BOKFÖRT VÄRDE</t>
  </si>
  <si>
    <t>Bef Bokfört värde</t>
  </si>
  <si>
    <t>Residual</t>
  </si>
  <si>
    <t>AVSKRIVNING</t>
  </si>
  <si>
    <t>Bef Bokförtvärde</t>
  </si>
  <si>
    <t>ÅTERST BOKFÖRT VÄRDE</t>
  </si>
  <si>
    <t>Nettonuvärde (Net present value, NPV)</t>
  </si>
  <si>
    <t xml:space="preserve">Nettonuvärde (eng: Net present value) är differensen mellan nuvärdet för en investerings driftnetton och dess initiala kostnad. Nuvärde beräknas av investeringes framtida kassaflöde (summan av alla driftnetton för kalkylperioden + restvärdet vid kalkylperiodens slut), som diskonteras med hänsyn till beslutad kalkylränta. </t>
  </si>
  <si>
    <t>Area</t>
  </si>
  <si>
    <t>Nybyggnad</t>
  </si>
  <si>
    <t>Total Area</t>
  </si>
  <si>
    <t>Bruttohyra</t>
  </si>
  <si>
    <t>Vakans</t>
  </si>
  <si>
    <t>Nettohyra</t>
  </si>
  <si>
    <t>Total Fastighetsskötsel</t>
  </si>
  <si>
    <t>Total Reparationer</t>
  </si>
  <si>
    <t>Total Planerat underhåll</t>
  </si>
  <si>
    <t>Total Media</t>
  </si>
  <si>
    <t>Total Övriga förvaltningskostnader</t>
  </si>
  <si>
    <t>Re-investering/hyresatt underhåll</t>
  </si>
  <si>
    <t>Summa drift och underhåll</t>
  </si>
  <si>
    <t>Driftnetto</t>
  </si>
  <si>
    <t>Driftnetto, kr/kvm</t>
  </si>
  <si>
    <t>Intäkter, kr/kvm</t>
  </si>
  <si>
    <t>Kostnader exkl extraordinärt UH, kr/kvm</t>
  </si>
  <si>
    <t>Överskottsgrad exkl extraordinärt UH</t>
  </si>
  <si>
    <t>Direktavkastning marknadsvärde</t>
  </si>
  <si>
    <t>Direktavkastning bokfört värde</t>
  </si>
  <si>
    <t>PV</t>
  </si>
  <si>
    <t>Driftentto exkl extraordinärt UH</t>
  </si>
  <si>
    <t>PV Extraordinärt UH</t>
  </si>
  <si>
    <t>Ackumulerat Driftnetto</t>
  </si>
  <si>
    <t>Beräkning netnuvärde 10 år</t>
  </si>
  <si>
    <t>Beräkning netnuvärde 20 år</t>
  </si>
  <si>
    <t>DoU, realt</t>
  </si>
  <si>
    <t>PV Driftnetto</t>
  </si>
  <si>
    <t>Restvärde</t>
  </si>
  <si>
    <t>PV Restvärde</t>
  </si>
  <si>
    <t>PV TOTALT</t>
  </si>
  <si>
    <t>PV Investeringar</t>
  </si>
  <si>
    <t>NPV</t>
  </si>
  <si>
    <t>Internräntemetoden (Internal rate of return, IRR)</t>
  </si>
  <si>
    <r>
      <t xml:space="preserve">Internräntemetoden (eng: Internal Rate of Return (IRR)) beräknar investeringens avkastning i termer av procentuell årlig avkastning (internränta). Nedan beräknas den procentuella årliga avkastningen på </t>
    </r>
    <r>
      <rPr>
        <b/>
        <i/>
        <sz val="12"/>
        <color theme="1"/>
        <rFont val="Arial"/>
        <family val="2"/>
      </rPr>
      <t>eget</t>
    </r>
    <r>
      <rPr>
        <i/>
        <sz val="12"/>
        <color theme="1"/>
        <rFont val="Arial"/>
        <family val="2"/>
      </rPr>
      <t xml:space="preserve"> kapital, vilket ska jämföras med företagets krav.
Restvärdet vid kalkylperiodens slut anges som försäljningsvärde. Värdet är en viktning mellan det beräknade marknadsvärdet och faktiskt bokfört värde för att väga in det fysiska skickets påverkan på försäljningsvärdet.
</t>
    </r>
  </si>
  <si>
    <t>vikt</t>
  </si>
  <si>
    <t>BERÄKNING AV LÄGSTA EXIT-VÄRDE NÄR 
KALKYLPERIOD &lt; AVSKRIVNINGSTID</t>
  </si>
  <si>
    <t xml:space="preserve">Återstående ackumulerat kapitalutlägg
</t>
  </si>
  <si>
    <t>Återstående lån</t>
  </si>
  <si>
    <t xml:space="preserve">Justering av försäljningsvärde </t>
  </si>
  <si>
    <t>PV, minsta försäljningsvärde</t>
  </si>
  <si>
    <t>RESULTATRÄKNING / CASHFLOW</t>
  </si>
  <si>
    <t>Ackumulerade investeringar</t>
  </si>
  <si>
    <t>Investeringar, eget kapital</t>
  </si>
  <si>
    <t>Bokfört värde - proj belastning (avskrivning)</t>
  </si>
  <si>
    <t>Kapitalvinst vid försäljning</t>
  </si>
  <si>
    <t>EBITA</t>
  </si>
  <si>
    <t>Avskrivningar</t>
  </si>
  <si>
    <t>Resultat efter finans</t>
  </si>
  <si>
    <t>RESULTAT efter skatt</t>
  </si>
  <si>
    <t>Amotering återstående skuld</t>
  </si>
  <si>
    <t>CASHFLOW, exkl skatt</t>
  </si>
  <si>
    <t>CASHFLOW, inkl skatt</t>
  </si>
  <si>
    <t>IRR, före skatt</t>
  </si>
  <si>
    <t>IRR, efter skatt</t>
  </si>
  <si>
    <t>Kontrollberäkning</t>
  </si>
  <si>
    <t>Försäljning</t>
  </si>
  <si>
    <t>Bolagskostnader</t>
  </si>
  <si>
    <t>skatt</t>
  </si>
  <si>
    <t>CF utan skatt</t>
  </si>
  <si>
    <t>CF med skatt</t>
  </si>
  <si>
    <t>ACKUMULERAT KAPITALUTLÄGG</t>
  </si>
  <si>
    <t>(+( Ingående balans (bokfört värde)</t>
  </si>
  <si>
    <t>(-) Driftnetto</t>
  </si>
  <si>
    <t>(-) Räntebidrag</t>
  </si>
  <si>
    <t>(+) Investeringar inkl projektbelastat bokfört värde</t>
  </si>
  <si>
    <t>(-) Övriga intäkter/kostnader</t>
  </si>
  <si>
    <t>(=) Kassaflöde</t>
  </si>
  <si>
    <t>(+) Räntekrav</t>
  </si>
  <si>
    <t>(=) Återvunnet kapital</t>
  </si>
  <si>
    <t>Ack. kapitalutlägg</t>
  </si>
  <si>
    <t>(=) Ack. kapitalutlägg</t>
  </si>
  <si>
    <t>Intäkter</t>
  </si>
  <si>
    <t>Kostnader, exkl extraordinärt UH</t>
  </si>
  <si>
    <t>Extraordinärt UH</t>
  </si>
  <si>
    <t>netto kap 1-åring, exkl extra UH</t>
  </si>
  <si>
    <t>Ackumulerat driftnetto</t>
  </si>
  <si>
    <t>Summa kostnader, exkl extraordinärt UH</t>
  </si>
  <si>
    <t>      4610 El</t>
  </si>
  <si>
    <t>      4620 Värme</t>
  </si>
  <si>
    <t xml:space="preserve">      4623 Fjärrvärme </t>
  </si>
  <si>
    <t>Typ av åtgärd</t>
  </si>
  <si>
    <t>Förkortning</t>
  </si>
  <si>
    <t xml:space="preserve">      4630 Vatten </t>
  </si>
  <si>
    <t>Typ av projekt</t>
  </si>
  <si>
    <t xml:space="preserve">      4640 Sophämtning </t>
  </si>
  <si>
    <t>Bef</t>
  </si>
  <si>
    <t>Nyproduktion</t>
  </si>
  <si>
    <t>      4690 Övrig mediakostnad</t>
  </si>
  <si>
    <t>Ombyggnad</t>
  </si>
  <si>
    <t>Omb</t>
  </si>
  <si>
    <t>Tillbyggnad</t>
  </si>
  <si>
    <t>Nyb</t>
  </si>
  <si>
    <t>Installationer</t>
  </si>
  <si>
    <t>Ins</t>
  </si>
  <si>
    <t>      4112 Fastighetsskötsel mark</t>
  </si>
  <si>
    <t>Mar</t>
  </si>
  <si>
    <t>Hyresgästanpassning</t>
  </si>
  <si>
    <t>      4113 Snöröjning och halkbekämpning</t>
  </si>
  <si>
    <t>N/A</t>
  </si>
  <si>
    <t xml:space="preserve">      4150 Bevakningskostnader </t>
  </si>
  <si>
    <t>      4190 Övrig fastighetsskötsel</t>
  </si>
  <si>
    <t>      4199 Drift o skötsel övr budgetkto</t>
  </si>
  <si>
    <t xml:space="preserve">      4310 Reparation invändigt </t>
  </si>
  <si>
    <t>      4340 Reparation installationer</t>
  </si>
  <si>
    <t>      4350 Reparation utvändigt</t>
  </si>
  <si>
    <t>      4360 Reparation markytor</t>
  </si>
  <si>
    <t xml:space="preserve">      4390 Reparationsavtal 7000kr </t>
  </si>
  <si>
    <t>      4399 Reparationer budgetkonto</t>
  </si>
  <si>
    <t>      4510 Planerat underhåll invändigt</t>
  </si>
  <si>
    <t>      4540 Planerat underhåll installatio</t>
  </si>
  <si>
    <t>      4550 Planerat underhåll utvändigt</t>
  </si>
  <si>
    <t>      4560 Planerat underhåll markytor</t>
  </si>
  <si>
    <t>      4590 Planerat underhåll enligt K3</t>
  </si>
  <si>
    <t>      4593 Planerat underhåll förvaltare</t>
  </si>
  <si>
    <t xml:space="preserve">      4711 Försäkringspremier </t>
  </si>
  <si>
    <t>      4719 Fastighetsförsäkringar budget</t>
  </si>
  <si>
    <t>      4791 Konsultkostnader förvaltning</t>
  </si>
  <si>
    <t>      4799 Övrigt (budget)</t>
  </si>
  <si>
    <t xml:space="preserve"> </t>
  </si>
  <si>
    <t>Skola</t>
  </si>
  <si>
    <t>Justering direktavkastning</t>
  </si>
  <si>
    <t>Justerad direktavkastning</t>
  </si>
  <si>
    <t>RESTVÄRDESBEDÖMNING</t>
  </si>
  <si>
    <t>Faktor</t>
  </si>
  <si>
    <t>Bedömning</t>
  </si>
  <si>
    <t>Effekt</t>
  </si>
  <si>
    <t>Motivering</t>
  </si>
  <si>
    <t>Extern direktavkastning (M6) är utgångsläget. Bedömningarna nedan justerar den ±0,25/±0,50 pp per faktor och används i alla tre kraven.</t>
  </si>
  <si>
    <t>Skala restvärdesbedömning</t>
  </si>
  <si>
    <t>Mycket positivt</t>
  </si>
  <si>
    <t>Något positivt</t>
  </si>
  <si>
    <t>Neutralt</t>
  </si>
  <si>
    <t>Något negativt</t>
  </si>
  <si>
    <t>Mycket negativt</t>
  </si>
  <si>
    <t>Läge (centralitet, infrastruktur)</t>
  </si>
  <si>
    <t>Långsiktig vakansrisk</t>
  </si>
  <si>
    <t>Lokalflexibilitet (omställbarhet)</t>
  </si>
  <si>
    <t>Byggnadsteknisk standard</t>
  </si>
  <si>
    <t>Summa justering av direktavkastning</t>
  </si>
  <si>
    <t>Justerad direktavkastning (M11) — används i NPV, PV-krav och IRR</t>
  </si>
  <si>
    <t>Direktavkastningskrav, marknad (justerad)</t>
  </si>
  <si>
    <t>Vikter (kolumn A): 0 / 1 / 0 = rent marknadsvärde vid justerad direktavkastning (v3). 0 / 0,4 / 0,6 återger tidigare viktning mot bokfört värde.</t>
  </si>
  <si>
    <t>INVESTERINGSSPECIFIKATION</t>
  </si>
  <si>
    <t>Projektbudget per objekt i dagens penningvärde, kr. Summan styr Budget kr/kvm (S23:S27). Manuell överstyrning görs i Justering (U23:U27).</t>
  </si>
  <si>
    <t>Kostnadspost</t>
  </si>
  <si>
    <t>kr/kvm (BRA)</t>
  </si>
  <si>
    <t>Avskr.tid befintligt</t>
  </si>
  <si>
    <t>TILLKOMMANDE FLÖDE (Bef = nollalternativ)</t>
  </si>
  <si>
    <t>Area Bef-objekt</t>
  </si>
  <si>
    <t>Intäkter Bef-objekt</t>
  </si>
  <si>
    <t>Vakans Bef-objekt</t>
  </si>
  <si>
    <t>Drift och underhåll Bef-objekt</t>
  </si>
  <si>
    <t>Re-investering Bef-objekt</t>
  </si>
  <si>
    <t>Driftnetto Bef-objekt</t>
  </si>
  <si>
    <t>Driftnetto tillkommande</t>
  </si>
  <si>
    <t>Re-investering tillkommande</t>
  </si>
  <si>
    <t>PV tillkommande</t>
  </si>
  <si>
    <t>PV Extraordinärt UH tillkommande</t>
  </si>
  <si>
    <t>Utan Bef-rader är tillkommande = hela fastigheten. Vikter 0/0,4/0,6 på 5. IRR återskapar den tidigare mallens IRR.</t>
  </si>
  <si>
    <t>NPV TILLKOMMANDE, krav 1</t>
  </si>
  <si>
    <t>PV Driftnetto tillkommande</t>
  </si>
  <si>
    <t>Restvärde tillkommande</t>
  </si>
  <si>
    <t>PV TOTALT tillkommande</t>
  </si>
  <si>
    <t>NPV tillkommande</t>
  </si>
  <si>
    <t>NET PRESENT VALUE (NPV) — hela fastigheten, används i krav 3 (PV mot bokfört värde)</t>
  </si>
  <si>
    <t>PV jmf bokfört värde inkl investering (hela fastigheten)</t>
  </si>
  <si>
    <t>KÄNSLIGHET RESTVÄRDE — direktavkastning ±1,00 pp (tillkommande flöde)</t>
  </si>
  <si>
    <t>Scenario</t>
  </si>
  <si>
    <t>Direktavk.</t>
  </si>
  <si>
    <t>IRR före skatt</t>
  </si>
  <si>
    <t>NPV tillk.</t>
  </si>
  <si>
    <t>Mot krav</t>
  </si>
  <si>
    <t>Optimistisk (−1,00 pp)</t>
  </si>
  <si>
    <t>Bedömt (Indata sektion 5)</t>
  </si>
  <si>
    <t>Pessimistisk (+1,00 pp)</t>
  </si>
  <si>
    <t>Cashflow exkl skatt — optimistisk</t>
  </si>
  <si>
    <t>Cashflow exkl skatt — bedömt (= rad 37)</t>
  </si>
  <si>
    <t>Cashflow exkl skatt — pessimistisk</t>
  </si>
  <si>
    <t>Exit-värde</t>
  </si>
  <si>
    <t>Hyresmultiplikator m — teknisk cell för datatabellen, lämna 1</t>
  </si>
  <si>
    <t>m</t>
  </si>
  <si>
    <t>NPV vid IRR-krav</t>
  </si>
  <si>
    <t>NPV tillk. opt</t>
  </si>
  <si>
    <t>NPV tillk. pess</t>
  </si>
  <si>
    <t>NPV vid krav, opt</t>
  </si>
  <si>
    <t>NPV vid krav, pess</t>
  </si>
  <si>
    <t>m per krav →</t>
  </si>
  <si>
    <t>m* = MAX(krav 1, krav 2): bedömt | bindande | opt | pess</t>
  </si>
  <si>
    <t>Angiven hyra, viktad kr/kvm (icke-Bef)</t>
  </si>
  <si>
    <t>Kravhyra 1–2, kr/kvm</t>
  </si>
  <si>
    <t>Kravhyra kr/kvm</t>
  </si>
  <si>
    <t>Kravhyra krav 1–2, kr/kvm (tillkommande objekt, viktad)</t>
  </si>
  <si>
    <t>16. 2026-09-30 v3: Restvärde = rent marknadsvärde vid justerad direktavkastning (flik 2 sektion 5, vikter 0/1/0 på flik 5). Bef-objekt = nollalternativ: krav 1–2 på tillkommande flöde (flik 4 rad 64–82), krav 3 på hela fastigheten, egen avskrivningstid för befintligt bokfört värde. Investeringsspecifikation som matris (sektion 4) styr Budget kr/kvm. Känslighet restvärde ±1,00 pp (flik 5 rad 53–61, flik 1). Kravhyra som output (flik 2 rad 17 / kolumn V, datatabell AC14:AI16).</t>
  </si>
  <si>
    <t>Claude/JW</t>
  </si>
  <si>
    <t>Bedömt försäljningsvärde, exit</t>
  </si>
  <si>
    <t>(avskr. återförda)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</si>
</sst>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0.0%"/>
    <numFmt numFmtId="165" formatCode="#,##0&quot; år&quot;"/>
    <numFmt numFmtId="166" formatCode="#,##0&quot; kr/kvm&quot;"/>
    <numFmt numFmtId="167" formatCode="0&quot; år&quot;"/>
    <numFmt numFmtId="168" formatCode="#,##0\ &quot;kr&quot;"/>
    <numFmt numFmtId="169" formatCode="#,##0&quot; kvm&quot;"/>
    <numFmt numFmtId="170" formatCode="&quot;År &quot;#,##0"/>
    <numFmt numFmtId="171" formatCode="#,##0&quot; kr&quot;"/>
    <numFmt numFmtId="172" formatCode="0.00000"/>
    <numFmt numFmtId="173" formatCode="0.000000"/>
    <numFmt numFmtId="174" formatCode="#,##0&quot; kr/plats&quot;"/>
    <numFmt numFmtId="175" formatCode="#,##0&quot; kvm/plats&quot;"/>
    <numFmt numFmtId="176" formatCode="#,##0&quot; kvm BTA&quot;"/>
    <numFmt numFmtId="177" formatCode="#,##0&quot; tkr&quot;"/>
    <numFmt numFmtId="178" formatCode="#,##0&quot; kvm&quot;;-#,##0&quot; kvm&quot;;"/>
    <numFmt numFmtId="179" formatCode="#,##0&quot; kr&quot;;-#,##0&quot; kr&quot;;"/>
    <numFmt numFmtId="180" formatCode="#,##0&quot; kr/kvm&quot;;-#,##0&quot; kr/kvm&quot;;"/>
    <numFmt numFmtId="181" formatCode="0;-0;;@"/>
    <numFmt numFmtId="182" formatCode="&quot;efter &quot;0&quot; år&quot;"/>
    <numFmt numFmtId="183" formatCode="#,##0;-#,##0;&quot;–&quot;"/>
    <numFmt numFmtId="184" formatCode="#,##0;-#,##0;"/>
  </numFmts>
  <fonts count="129">
    <font>
      <sz val="11"/>
      <color theme="1"/>
      <name val="Arial"/>
      <family val="2"/>
      <scheme val="minor"/>
    </font>
    <font>
      <sz val="11"/>
      <color theme="1"/>
      <name val="Arial"/>
      <family val="2"/>
    </font>
    <font>
      <sz val="11"/>
      <color theme="1"/>
      <name val="Arial"/>
      <family val="2"/>
      <scheme val="minor"/>
    </font>
    <font>
      <b/>
      <sz val="11"/>
      <color theme="1"/>
      <name val="Arial"/>
      <family val="2"/>
      <scheme val="minor"/>
    </font>
    <font>
      <b/>
      <sz val="11"/>
      <color theme="0"/>
      <name val="Arial"/>
      <family val="2"/>
      <scheme val="minor"/>
    </font>
    <font>
      <sz val="11"/>
      <color theme="0"/>
      <name val="Arial"/>
      <family val="2"/>
      <scheme val="minor"/>
    </font>
    <font>
      <sz val="11"/>
      <color theme="0" tint="-0.34998626667073579"/>
      <name val="Arial"/>
      <family val="2"/>
      <scheme val="minor"/>
    </font>
    <font>
      <sz val="9"/>
      <color indexed="81"/>
      <name val="Tahoma"/>
      <family val="2"/>
    </font>
    <font>
      <b/>
      <sz val="9"/>
      <color indexed="81"/>
      <name val="Tahoma"/>
      <family val="2"/>
    </font>
    <font>
      <sz val="11"/>
      <color theme="1"/>
      <name val="Arial"/>
      <family val="2"/>
    </font>
    <font>
      <b/>
      <sz val="16"/>
      <color theme="1"/>
      <name val="Arial"/>
      <family val="2"/>
    </font>
    <font>
      <sz val="12"/>
      <color theme="1"/>
      <name val="Arial"/>
      <family val="2"/>
    </font>
    <font>
      <b/>
      <sz val="24"/>
      <color theme="1"/>
      <name val="Arial"/>
      <family val="2"/>
    </font>
    <font>
      <b/>
      <sz val="11"/>
      <color theme="1"/>
      <name val="Arial"/>
      <family val="2"/>
    </font>
    <font>
      <sz val="11"/>
      <color theme="0" tint="-0.34998626667073579"/>
      <name val="Arial"/>
      <family val="2"/>
    </font>
    <font>
      <b/>
      <sz val="18"/>
      <name val="Arial"/>
      <family val="2"/>
    </font>
    <font>
      <sz val="18"/>
      <name val="Arial"/>
      <family val="2"/>
    </font>
    <font>
      <b/>
      <sz val="11"/>
      <name val="Arial"/>
      <family val="2"/>
    </font>
    <font>
      <b/>
      <sz val="11"/>
      <color theme="0"/>
      <name val="Arial"/>
      <family val="2"/>
    </font>
    <font>
      <b/>
      <sz val="11"/>
      <color theme="0" tint="-0.34998626667073579"/>
      <name val="Arial"/>
      <family val="2"/>
    </font>
    <font>
      <sz val="11"/>
      <name val="Arial"/>
      <family val="2"/>
    </font>
    <font>
      <i/>
      <sz val="11"/>
      <color theme="1"/>
      <name val="Arial"/>
      <family val="2"/>
    </font>
    <font>
      <b/>
      <i/>
      <sz val="11"/>
      <color theme="1"/>
      <name val="Arial"/>
      <family val="2"/>
    </font>
    <font>
      <sz val="10.5"/>
      <color theme="1"/>
      <name val="Arial"/>
      <family val="2"/>
    </font>
    <font>
      <i/>
      <sz val="9"/>
      <name val="Arial"/>
      <family val="2"/>
    </font>
    <font>
      <sz val="11"/>
      <color theme="0"/>
      <name val="Arial"/>
      <family val="2"/>
    </font>
    <font>
      <b/>
      <sz val="18"/>
      <color theme="1"/>
      <name val="Arial"/>
      <family val="2"/>
    </font>
    <font>
      <i/>
      <sz val="12"/>
      <color theme="1"/>
      <name val="Arial"/>
      <family val="2"/>
    </font>
    <font>
      <b/>
      <i/>
      <sz val="12"/>
      <color theme="1"/>
      <name val="Arial"/>
      <family val="2"/>
    </font>
    <font>
      <b/>
      <sz val="8"/>
      <color theme="1"/>
      <name val="Arial"/>
      <family val="2"/>
    </font>
    <font>
      <i/>
      <sz val="8"/>
      <color theme="0"/>
      <name val="Arial"/>
      <family val="2"/>
    </font>
    <font>
      <sz val="8"/>
      <color theme="1"/>
      <name val="Arial"/>
      <family val="2"/>
    </font>
    <font>
      <sz val="9"/>
      <color theme="0"/>
      <name val="Arial"/>
      <family val="2"/>
    </font>
    <font>
      <sz val="9"/>
      <color theme="1"/>
      <name val="Arial"/>
      <family val="2"/>
    </font>
    <font>
      <sz val="7"/>
      <color theme="1"/>
      <name val="Arial"/>
      <family val="2"/>
    </font>
    <font>
      <sz val="18"/>
      <color theme="1"/>
      <name val="Arial"/>
      <family val="2"/>
    </font>
    <font>
      <i/>
      <sz val="8"/>
      <color theme="1"/>
      <name val="Arial"/>
      <family val="2"/>
    </font>
    <font>
      <sz val="8"/>
      <color theme="0" tint="-0.249977111117893"/>
      <name val="Arial"/>
      <family val="2"/>
    </font>
    <font>
      <i/>
      <sz val="8"/>
      <color theme="0" tint="-0.249977111117893"/>
      <name val="Arial"/>
      <family val="2"/>
    </font>
    <font>
      <i/>
      <sz val="11"/>
      <color theme="0"/>
      <name val="Arial"/>
      <family val="2"/>
    </font>
    <font>
      <i/>
      <sz val="9"/>
      <color theme="1"/>
      <name val="Arial"/>
      <family val="2"/>
    </font>
    <font>
      <sz val="11"/>
      <color theme="7"/>
      <name val="Arial"/>
      <family val="2"/>
    </font>
    <font>
      <i/>
      <sz val="8"/>
      <color rgb="FFFF0000"/>
      <name val="Arial"/>
      <family val="2"/>
    </font>
    <font>
      <sz val="11"/>
      <color theme="0" tint="-0.499984740745262"/>
      <name val="Arial"/>
      <family val="2"/>
    </font>
    <font>
      <b/>
      <sz val="11"/>
      <color rgb="FFC00000"/>
      <name val="Arial"/>
      <family val="2"/>
    </font>
    <font>
      <b/>
      <sz val="11"/>
      <color theme="7"/>
      <name val="Arial"/>
      <family val="2"/>
    </font>
    <font>
      <i/>
      <sz val="8"/>
      <name val="Arial"/>
      <family val="2"/>
    </font>
    <font>
      <sz val="11"/>
      <color theme="0" tint="-0.249977111117893"/>
      <name val="Arial"/>
      <family val="2"/>
    </font>
    <font>
      <b/>
      <sz val="11"/>
      <color theme="0" tint="-0.249977111117893"/>
      <name val="Arial"/>
      <family val="2"/>
    </font>
    <font>
      <b/>
      <sz val="11"/>
      <color rgb="FFFF0000"/>
      <name val="Arial"/>
      <family val="2"/>
    </font>
    <font>
      <i/>
      <sz val="11"/>
      <name val="Arial"/>
      <family val="2"/>
    </font>
    <font>
      <sz val="11"/>
      <color rgb="FFC00000"/>
      <name val="Arial"/>
      <family val="2"/>
    </font>
    <font>
      <i/>
      <sz val="16"/>
      <color theme="1"/>
      <name val="Arial"/>
      <family val="2"/>
    </font>
    <font>
      <sz val="16"/>
      <color theme="1"/>
      <name val="Arial"/>
      <family val="2"/>
    </font>
    <font>
      <sz val="16"/>
      <color theme="0"/>
      <name val="Arial"/>
      <family val="2"/>
    </font>
    <font>
      <sz val="28"/>
      <color theme="1"/>
      <name val="Arial"/>
      <family val="2"/>
    </font>
    <font>
      <b/>
      <sz val="9"/>
      <color theme="1"/>
      <name val="Arial"/>
      <family val="2"/>
    </font>
    <font>
      <b/>
      <sz val="9"/>
      <color theme="0"/>
      <name val="Arial"/>
      <family val="2"/>
    </font>
    <font>
      <b/>
      <sz val="28"/>
      <color theme="1"/>
      <name val="Arial"/>
      <family val="2"/>
    </font>
    <font>
      <b/>
      <sz val="9"/>
      <name val="Arial"/>
      <family val="2"/>
    </font>
    <font>
      <b/>
      <i/>
      <sz val="9"/>
      <name val="Arial"/>
      <family val="2"/>
    </font>
    <font>
      <sz val="9"/>
      <name val="Arial"/>
      <family val="2"/>
    </font>
    <font>
      <b/>
      <sz val="12"/>
      <color theme="0"/>
      <name val="Arial"/>
      <family val="2"/>
    </font>
    <font>
      <sz val="18"/>
      <color theme="0"/>
      <name val="Arial"/>
      <family val="2"/>
    </font>
    <font>
      <i/>
      <sz val="12"/>
      <color theme="0"/>
      <name val="Arial"/>
      <family val="2"/>
    </font>
    <font>
      <b/>
      <sz val="18"/>
      <color theme="0"/>
      <name val="Arial"/>
      <family val="2"/>
    </font>
    <font>
      <b/>
      <sz val="24"/>
      <color theme="0"/>
      <name val="Arial"/>
      <family val="2"/>
    </font>
    <font>
      <b/>
      <sz val="20"/>
      <color theme="0"/>
      <name val="Arial"/>
      <family val="2"/>
    </font>
    <font>
      <i/>
      <sz val="11"/>
      <color rgb="FFC00000"/>
      <name val="Arial"/>
      <family val="2"/>
    </font>
    <font>
      <i/>
      <sz val="11"/>
      <color theme="1"/>
      <name val="Arial"/>
      <family val="2"/>
      <scheme val="minor"/>
    </font>
    <font>
      <i/>
      <sz val="11"/>
      <color theme="1"/>
      <name val="Arial"/>
      <family val="2"/>
    </font>
    <font>
      <i/>
      <sz val="11"/>
      <color rgb="FF7F7F7F"/>
      <name val="Arial"/>
      <family val="2"/>
    </font>
    <font>
      <b/>
      <sz val="11"/>
      <color theme="1"/>
      <name val="Arial"/>
      <family val="2"/>
    </font>
    <font>
      <sz val="11"/>
      <name val="Arial"/>
      <family val="2"/>
    </font>
    <font>
      <b/>
      <i/>
      <sz val="11"/>
      <color theme="0"/>
      <name val="Arial"/>
      <family val="2"/>
    </font>
    <font>
      <b/>
      <i/>
      <sz val="11"/>
      <color rgb="FF7F7F7F"/>
      <name val="Arial"/>
      <family val="2"/>
    </font>
    <font>
      <i/>
      <sz val="11"/>
      <color rgb="FF7F7F7F"/>
      <name val="Arial"/>
      <family val="2"/>
    </font>
    <font>
      <b/>
      <sz val="11"/>
      <name val="Arial"/>
      <family val="2"/>
    </font>
    <font>
      <b/>
      <sz val="11"/>
      <color theme="1"/>
      <name val="Arial"/>
      <family val="2"/>
    </font>
    <font>
      <b/>
      <sz val="11"/>
      <color theme="1"/>
      <name val="Arial"/>
      <family val="2"/>
    </font>
    <font>
      <b/>
      <i/>
      <sz val="11"/>
      <name val="Arial"/>
      <family val="2"/>
    </font>
    <font>
      <b/>
      <i/>
      <sz val="11"/>
      <color rgb="FF7F7F7F"/>
      <name val="Arial"/>
      <family val="2"/>
    </font>
    <font>
      <b/>
      <i/>
      <sz val="11"/>
      <color theme="0"/>
      <name val="Arial"/>
      <family val="2"/>
    </font>
    <font>
      <b/>
      <i/>
      <sz val="11"/>
      <color rgb="FF7F7F7F"/>
      <name val="Arial"/>
      <family val="2"/>
    </font>
    <font>
      <i/>
      <sz val="11"/>
      <color theme="1"/>
      <name val="Arial"/>
      <family val="2"/>
    </font>
    <font>
      <i/>
      <sz val="11"/>
      <color rgb="FF7F7F7F"/>
      <name val="Arial"/>
      <family val="2"/>
    </font>
    <font>
      <i/>
      <sz val="11"/>
      <color theme="1"/>
      <name val="Arial"/>
      <family val="2"/>
    </font>
    <font>
      <i/>
      <sz val="11"/>
      <color rgb="FF7F7F7F"/>
      <name val="Arial"/>
      <family val="2"/>
    </font>
    <font>
      <sz val="11"/>
      <color rgb="FF7F7F7F"/>
      <name val="Arial"/>
      <family val="2"/>
    </font>
    <font>
      <sz val="11"/>
      <color rgb="FF7F7F7F"/>
      <name val="Arial"/>
      <family val="2"/>
    </font>
    <font>
      <sz val="11"/>
      <color rgb="FF7F7F7F"/>
      <name val="Arial"/>
      <family val="2"/>
    </font>
    <font>
      <sz val="11"/>
      <color rgb="FF7F7F7F"/>
      <name val="Arial"/>
      <family val="2"/>
    </font>
    <font>
      <sz val="11"/>
      <color rgb="FF7F7F7F"/>
      <name val="Arial"/>
      <family val="2"/>
    </font>
    <font>
      <sz val="11"/>
      <color rgb="FF7F7F7F"/>
      <name val="Arial"/>
      <family val="2"/>
    </font>
    <font>
      <sz val="11"/>
      <color rgb="FF7F7F7F"/>
      <name val="Arial"/>
      <family val="2"/>
    </font>
    <font>
      <i/>
      <sz val="11"/>
      <color theme="1"/>
      <name val="Arial"/>
      <family val="2"/>
    </font>
    <font>
      <i/>
      <sz val="11"/>
      <name val="Arial"/>
      <family val="2"/>
    </font>
    <font>
      <i/>
      <sz val="11"/>
      <color rgb="FF7F7F7F"/>
      <name val="Arial"/>
      <family val="2"/>
    </font>
    <font>
      <i/>
      <sz val="11"/>
      <color theme="0"/>
      <name val="Arial"/>
      <family val="2"/>
    </font>
    <font>
      <i/>
      <sz val="11"/>
      <color rgb="FF7F7F7F"/>
      <name val="Arial"/>
      <family val="2"/>
    </font>
    <font>
      <i/>
      <sz val="11"/>
      <color theme="0"/>
      <name val="Arial"/>
      <family val="2"/>
    </font>
    <font>
      <i/>
      <sz val="11"/>
      <color rgb="FF7F7F7F"/>
      <name val="Arial"/>
      <family val="2"/>
    </font>
    <font>
      <i/>
      <sz val="11"/>
      <color theme="1"/>
      <name val="Arial"/>
      <family val="2"/>
    </font>
    <font>
      <i/>
      <sz val="11"/>
      <color rgb="FF7F7F7F"/>
      <name val="Arial"/>
      <family val="2"/>
    </font>
    <font>
      <b/>
      <i/>
      <sz val="11"/>
      <color theme="1"/>
      <name val="Arial"/>
      <family val="2"/>
    </font>
    <font>
      <b/>
      <i/>
      <sz val="11"/>
      <color rgb="FF7F7F7F"/>
      <name val="Arial"/>
      <family val="2"/>
    </font>
    <font>
      <i/>
      <sz val="11"/>
      <color rgb="FFD9D9D9"/>
      <name val="Arial"/>
      <family val="2"/>
    </font>
    <font>
      <i/>
      <sz val="11"/>
      <color rgb="FFD9D9D9"/>
      <name val="Arial"/>
      <family val="2"/>
    </font>
    <font>
      <i/>
      <sz val="11"/>
      <color rgb="FF7F7F7F"/>
      <name val="Arial"/>
      <family val="2"/>
    </font>
    <font>
      <i/>
      <sz val="11"/>
      <color theme="1"/>
      <name val="Arial"/>
      <family val="2"/>
    </font>
    <font>
      <i/>
      <sz val="11"/>
      <color rgb="FF7F7F7F"/>
      <name val="Arial"/>
      <family val="2"/>
    </font>
    <font>
      <i/>
      <sz val="11"/>
      <color theme="1"/>
      <name val="Arial"/>
      <family val="2"/>
      <scheme val="minor"/>
    </font>
    <font>
      <i/>
      <sz val="11"/>
      <color rgb="FF7F7F7F"/>
      <name val="Arial"/>
      <family val="2"/>
      <scheme val="minor"/>
    </font>
    <font>
      <b/>
      <i/>
      <sz val="11"/>
      <color rgb="FF7F7F7F"/>
      <name val="Arial"/>
      <family val="2"/>
      <scheme val="minor"/>
    </font>
    <font>
      <i/>
      <sz val="11"/>
      <color rgb="FF7F7F7F"/>
      <name val="Arial"/>
      <family val="2"/>
    </font>
    <font>
      <i/>
      <sz val="11"/>
      <color rgb="FF7F7F7F"/>
      <name val="Arial"/>
      <family val="2"/>
      <scheme val="minor"/>
    </font>
    <font>
      <b/>
      <sz val="11"/>
      <name val="Arial"/>
      <family val="2"/>
    </font>
    <font>
      <i/>
      <sz val="9"/>
      <name val="Arial"/>
      <family val="2"/>
    </font>
    <font>
      <i/>
      <sz val="9"/>
      <color rgb="FF7F7F7F"/>
      <name val="Arial"/>
      <family val="2"/>
    </font>
    <font>
      <i/>
      <sz val="9"/>
      <name val="Arial"/>
      <family val="2"/>
    </font>
    <font>
      <i/>
      <sz val="9"/>
      <color rgb="FF7F7F7F"/>
      <name val="Arial"/>
      <family val="2"/>
    </font>
    <font>
      <i/>
      <sz val="11"/>
      <name val="Arial"/>
      <family val="2"/>
    </font>
    <font>
      <sz val="9"/>
      <color theme="1"/>
      <name val="Arial"/>
      <family val="2"/>
    </font>
    <font>
      <i/>
      <sz val="9"/>
      <color theme="1"/>
      <name val="Arial"/>
      <family val="2"/>
    </font>
    <font>
      <i/>
      <sz val="9"/>
      <color theme="1"/>
      <name val="Arial"/>
      <family val="2"/>
    </font>
    <font>
      <i/>
      <sz val="9"/>
      <color rgb="FF7F7F7F"/>
      <name val="Arial"/>
      <family val="2"/>
    </font>
    <font>
      <i/>
      <sz val="11"/>
      <color theme="1"/>
      <name val="Arial"/>
      <family val="2"/>
      <scheme val="minor"/>
    </font>
    <font>
      <i/>
      <sz val="11"/>
      <color rgb="FF7F7F7F"/>
      <name val="Arial"/>
      <family val="2"/>
      <scheme val="minor"/>
    </font>
    <font>
      <i/>
      <sz val="11"/>
      <color theme="1"/>
      <name val="Arial"/>
      <family val="2"/>
      <scheme val="minor"/>
    </font>
  </fonts>
  <fills count="10">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4"/>
        <bgColor indexed="64"/>
      </patternFill>
    </fill>
    <fill>
      <patternFill patternType="solid">
        <fgColor theme="2"/>
        <bgColor indexed="64"/>
      </patternFill>
    </fill>
    <fill>
      <patternFill patternType="solid">
        <fgColor theme="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s>
  <borders count="40">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theme="0"/>
      </top>
      <bottom/>
      <diagonal/>
    </border>
    <border>
      <left/>
      <right/>
      <top/>
      <bottom style="thin">
        <color theme="0"/>
      </bottom>
      <diagonal/>
    </border>
    <border>
      <left style="dashed">
        <color theme="0" tint="-0.24994659260841701"/>
      </left>
      <right style="dashed">
        <color theme="0" tint="-0.24994659260841701"/>
      </right>
      <top style="dashed">
        <color theme="0" tint="-0.24994659260841701"/>
      </top>
      <bottom/>
      <diagonal/>
    </border>
    <border>
      <left style="dashed">
        <color theme="0" tint="-0.24994659260841701"/>
      </left>
      <right style="dashed">
        <color theme="0" tint="-0.24994659260841701"/>
      </right>
      <top/>
      <bottom/>
      <diagonal/>
    </border>
    <border>
      <left style="dashed">
        <color theme="0" tint="-0.24994659260841701"/>
      </left>
      <right style="dashed">
        <color theme="0" tint="-0.24994659260841701"/>
      </right>
      <top/>
      <bottom style="dashed">
        <color theme="0" tint="-0.24994659260841701"/>
      </bottom>
      <diagonal/>
    </border>
    <border>
      <left style="thin">
        <color indexed="64"/>
      </left>
      <right style="thin">
        <color theme="0"/>
      </right>
      <top style="thin">
        <color indexed="64"/>
      </top>
      <bottom style="thin">
        <color indexed="64"/>
      </bottom>
      <diagonal/>
    </border>
    <border>
      <left/>
      <right style="dashed">
        <color theme="0" tint="-0.24994659260841701"/>
      </right>
      <top/>
      <bottom/>
      <diagonal/>
    </border>
    <border>
      <left style="dashed">
        <color theme="0" tint="-0.24994659260841701"/>
      </left>
      <right/>
      <top/>
      <bottom/>
      <diagonal/>
    </border>
    <border>
      <left/>
      <right style="thin">
        <color theme="0"/>
      </right>
      <top style="thin">
        <color indexed="64"/>
      </top>
      <bottom style="thin">
        <color indexed="64"/>
      </bottom>
      <diagonal/>
    </border>
    <border>
      <left style="dashed">
        <color theme="0" tint="-0.24994659260841701"/>
      </left>
      <right style="dashed">
        <color theme="0" tint="-0.24994659260841701"/>
      </right>
      <top style="dashed">
        <color theme="0" tint="-0.24994659260841701"/>
      </top>
      <bottom style="dashed">
        <color theme="0" tint="-0.24994659260841701"/>
      </bottom>
      <diagonal/>
    </border>
    <border>
      <left/>
      <right/>
      <top style="dashed">
        <color theme="0" tint="-0.24994659260841701"/>
      </top>
      <bottom/>
      <diagonal/>
    </border>
    <border>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top style="hair">
        <color auto="1"/>
      </top>
      <bottom/>
      <diagonal/>
    </border>
    <border>
      <left style="hair">
        <color auto="1"/>
      </left>
      <right/>
      <top/>
      <bottom/>
      <diagonal/>
    </border>
    <border>
      <left/>
      <right/>
      <top/>
      <bottom style="thin">
        <color theme="2" tint="-0.249977111117893"/>
      </bottom>
      <diagonal/>
    </border>
    <border>
      <left/>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right/>
      <top style="thin">
        <color theme="2" tint="-0.249977111117893"/>
      </top>
      <bottom/>
      <diagonal/>
    </border>
    <border>
      <left style="thin">
        <color theme="2" tint="-0.249977111117893"/>
      </left>
      <right style="thin">
        <color theme="2" tint="-0.249977111117893"/>
      </right>
      <top/>
      <bottom/>
      <diagonal/>
    </border>
  </borders>
  <cellStyleXfs count="2">
    <xf numFmtId="0" fontId="0" fillId="0" borderId="0"/>
    <xf numFmtId="9" fontId="2" fillId="0" borderId="0" applyFont="0" applyFill="0" applyBorder="0" applyAlignment="0" applyProtection="0"/>
  </cellStyleXfs>
  <cellXfs count="943">
    <xf numFmtId="0" fontId="0" fillId="0" borderId="0" xfId="0"/>
    <xf numFmtId="0" fontId="3" fillId="0" borderId="0" xfId="0" applyFont="1"/>
    <xf numFmtId="3" fontId="0" fillId="0" borderId="0" xfId="0" applyNumberFormat="1"/>
    <xf numFmtId="0" fontId="0" fillId="3" borderId="0" xfId="0" applyFill="1"/>
    <xf numFmtId="0" fontId="6" fillId="3" borderId="3" xfId="0" applyFont="1" applyFill="1" applyBorder="1"/>
    <xf numFmtId="0" fontId="6" fillId="3" borderId="0" xfId="0" applyFont="1" applyFill="1"/>
    <xf numFmtId="3" fontId="6" fillId="3" borderId="0" xfId="0" applyNumberFormat="1" applyFont="1" applyFill="1"/>
    <xf numFmtId="0" fontId="6" fillId="3" borderId="1" xfId="0" applyFont="1" applyFill="1" applyBorder="1"/>
    <xf numFmtId="3" fontId="6" fillId="3" borderId="1" xfId="0" applyNumberFormat="1" applyFont="1" applyFill="1" applyBorder="1"/>
    <xf numFmtId="3" fontId="6" fillId="3" borderId="3" xfId="0" applyNumberFormat="1" applyFont="1" applyFill="1" applyBorder="1"/>
    <xf numFmtId="9" fontId="6" fillId="3" borderId="0" xfId="0" applyNumberFormat="1" applyFont="1" applyFill="1"/>
    <xf numFmtId="0" fontId="9" fillId="3" borderId="0" xfId="0" applyFont="1" applyFill="1"/>
    <xf numFmtId="0" fontId="9" fillId="0" borderId="0" xfId="0" applyFont="1"/>
    <xf numFmtId="0" fontId="10" fillId="3" borderId="0" xfId="0" applyFont="1" applyFill="1" applyAlignment="1">
      <alignment wrapText="1"/>
    </xf>
    <xf numFmtId="0" fontId="13" fillId="0" borderId="11" xfId="0" applyFont="1" applyBorder="1"/>
    <xf numFmtId="0" fontId="13" fillId="3" borderId="1" xfId="0" applyFont="1" applyFill="1" applyBorder="1"/>
    <xf numFmtId="1" fontId="14" fillId="3" borderId="18" xfId="0" applyNumberFormat="1" applyFont="1" applyFill="1" applyBorder="1" applyAlignment="1">
      <alignment horizontal="right"/>
    </xf>
    <xf numFmtId="165" fontId="14" fillId="3" borderId="18" xfId="0" applyNumberFormat="1" applyFont="1" applyFill="1" applyBorder="1" applyAlignment="1">
      <alignment horizontal="right"/>
    </xf>
    <xf numFmtId="0" fontId="13" fillId="3" borderId="6" xfId="0" applyFont="1" applyFill="1" applyBorder="1"/>
    <xf numFmtId="0" fontId="13" fillId="3" borderId="0" xfId="0" applyFont="1" applyFill="1"/>
    <xf numFmtId="1" fontId="14" fillId="3" borderId="19" xfId="0" applyNumberFormat="1" applyFont="1" applyFill="1" applyBorder="1" applyAlignment="1">
      <alignment horizontal="right"/>
    </xf>
    <xf numFmtId="165" fontId="14" fillId="3" borderId="19" xfId="0" applyNumberFormat="1" applyFont="1" applyFill="1" applyBorder="1" applyAlignment="1">
      <alignment horizontal="right"/>
    </xf>
    <xf numFmtId="169" fontId="14" fillId="3" borderId="19" xfId="0" applyNumberFormat="1" applyFont="1" applyFill="1" applyBorder="1" applyAlignment="1">
      <alignment horizontal="right"/>
    </xf>
    <xf numFmtId="169" fontId="14" fillId="3" borderId="20" xfId="0" applyNumberFormat="1" applyFont="1" applyFill="1" applyBorder="1" applyAlignment="1">
      <alignment horizontal="right"/>
    </xf>
    <xf numFmtId="165" fontId="14" fillId="3" borderId="20" xfId="0" applyNumberFormat="1" applyFont="1" applyFill="1" applyBorder="1" applyAlignment="1">
      <alignment horizontal="right"/>
    </xf>
    <xf numFmtId="169" fontId="14" fillId="3" borderId="0" xfId="0" applyNumberFormat="1" applyFont="1" applyFill="1" applyAlignment="1">
      <alignment horizontal="right"/>
    </xf>
    <xf numFmtId="165" fontId="14" fillId="3" borderId="0" xfId="0" applyNumberFormat="1" applyFont="1" applyFill="1" applyAlignment="1">
      <alignment horizontal="right"/>
    </xf>
    <xf numFmtId="0" fontId="13" fillId="3" borderId="8" xfId="0" applyFont="1" applyFill="1" applyBorder="1"/>
    <xf numFmtId="0" fontId="15" fillId="5" borderId="4" xfId="0" applyFont="1" applyFill="1" applyBorder="1"/>
    <xf numFmtId="0" fontId="16" fillId="5" borderId="2" xfId="0" applyFont="1" applyFill="1" applyBorder="1"/>
    <xf numFmtId="0" fontId="17" fillId="5" borderId="2" xfId="0" applyFont="1" applyFill="1" applyBorder="1" applyAlignment="1">
      <alignment horizontal="center"/>
    </xf>
    <xf numFmtId="0" fontId="17" fillId="5" borderId="2" xfId="0" applyFont="1" applyFill="1" applyBorder="1" applyAlignment="1" applyProtection="1">
      <alignment horizontal="center"/>
      <protection locked="0"/>
    </xf>
    <xf numFmtId="3" fontId="18" fillId="5" borderId="2" xfId="0" applyNumberFormat="1" applyFont="1" applyFill="1" applyBorder="1" applyProtection="1">
      <protection locked="0"/>
    </xf>
    <xf numFmtId="166" fontId="18" fillId="5" borderId="5" xfId="0" applyNumberFormat="1" applyFont="1" applyFill="1" applyBorder="1" applyProtection="1">
      <protection locked="0"/>
    </xf>
    <xf numFmtId="165" fontId="14" fillId="3" borderId="25" xfId="0" applyNumberFormat="1" applyFont="1" applyFill="1" applyBorder="1" applyAlignment="1">
      <alignment horizontal="right"/>
    </xf>
    <xf numFmtId="166" fontId="14" fillId="3" borderId="25" xfId="0" applyNumberFormat="1" applyFont="1" applyFill="1" applyBorder="1" applyAlignment="1">
      <alignment horizontal="right"/>
    </xf>
    <xf numFmtId="165" fontId="14" fillId="3" borderId="25" xfId="0" applyNumberFormat="1" applyFont="1" applyFill="1" applyBorder="1" applyAlignment="1">
      <alignment horizontal="center"/>
    </xf>
    <xf numFmtId="0" fontId="13" fillId="3" borderId="11" xfId="0" applyFont="1" applyFill="1" applyBorder="1"/>
    <xf numFmtId="0" fontId="13" fillId="3" borderId="1" xfId="0" applyFont="1" applyFill="1" applyBorder="1" applyAlignment="1">
      <alignment horizontal="right"/>
    </xf>
    <xf numFmtId="166" fontId="14" fillId="3" borderId="18" xfId="0" applyNumberFormat="1" applyFont="1" applyFill="1" applyBorder="1" applyAlignment="1">
      <alignment horizontal="right"/>
    </xf>
    <xf numFmtId="165" fontId="14" fillId="3" borderId="18" xfId="0" applyNumberFormat="1" applyFont="1" applyFill="1" applyBorder="1" applyAlignment="1">
      <alignment vertical="top" wrapText="1"/>
    </xf>
    <xf numFmtId="166" fontId="14" fillId="3" borderId="18" xfId="0" applyNumberFormat="1" applyFont="1" applyFill="1" applyBorder="1" applyAlignment="1">
      <alignment horizontal="center"/>
    </xf>
    <xf numFmtId="175" fontId="14" fillId="3" borderId="19" xfId="0" applyNumberFormat="1" applyFont="1" applyFill="1" applyBorder="1" applyAlignment="1">
      <alignment horizontal="right"/>
    </xf>
    <xf numFmtId="171" fontId="14" fillId="3" borderId="19" xfId="0" applyNumberFormat="1" applyFont="1" applyFill="1" applyBorder="1" applyAlignment="1">
      <alignment horizontal="right"/>
    </xf>
    <xf numFmtId="166" fontId="14" fillId="3" borderId="19" xfId="0" applyNumberFormat="1" applyFont="1" applyFill="1" applyBorder="1" applyAlignment="1">
      <alignment horizontal="right"/>
    </xf>
    <xf numFmtId="174" fontId="14" fillId="3" borderId="19" xfId="0" applyNumberFormat="1" applyFont="1" applyFill="1" applyBorder="1" applyAlignment="1">
      <alignment horizontal="right"/>
    </xf>
    <xf numFmtId="3" fontId="14" fillId="3" borderId="19" xfId="0" applyNumberFormat="1" applyFont="1" applyFill="1" applyBorder="1" applyAlignment="1">
      <alignment horizontal="center"/>
    </xf>
    <xf numFmtId="0" fontId="17" fillId="5" borderId="4" xfId="0" applyFont="1" applyFill="1" applyBorder="1"/>
    <xf numFmtId="169" fontId="17" fillId="5" borderId="2" xfId="0" applyNumberFormat="1" applyFont="1" applyFill="1" applyBorder="1" applyAlignment="1" applyProtection="1">
      <alignment horizontal="right"/>
      <protection locked="0"/>
    </xf>
    <xf numFmtId="1" fontId="17" fillId="5" borderId="2" xfId="0" applyNumberFormat="1" applyFont="1" applyFill="1" applyBorder="1" applyAlignment="1" applyProtection="1">
      <alignment horizontal="right"/>
      <protection locked="0"/>
    </xf>
    <xf numFmtId="171" fontId="17" fillId="5" borderId="2" xfId="0" applyNumberFormat="1" applyFont="1" applyFill="1" applyBorder="1" applyAlignment="1" applyProtection="1">
      <alignment horizontal="right"/>
      <protection locked="0"/>
    </xf>
    <xf numFmtId="166" fontId="17" fillId="5" borderId="5" xfId="0" applyNumberFormat="1" applyFont="1" applyFill="1" applyBorder="1" applyAlignment="1" applyProtection="1">
      <alignment horizontal="right"/>
      <protection locked="0"/>
    </xf>
    <xf numFmtId="169" fontId="19" fillId="3" borderId="19" xfId="0" applyNumberFormat="1" applyFont="1" applyFill="1" applyBorder="1" applyAlignment="1">
      <alignment horizontal="right"/>
    </xf>
    <xf numFmtId="175" fontId="19" fillId="3" borderId="19" xfId="0" applyNumberFormat="1" applyFont="1" applyFill="1" applyBorder="1" applyAlignment="1">
      <alignment horizontal="right"/>
    </xf>
    <xf numFmtId="171" fontId="19" fillId="3" borderId="19" xfId="0" applyNumberFormat="1" applyFont="1" applyFill="1" applyBorder="1" applyAlignment="1">
      <alignment horizontal="right"/>
    </xf>
    <xf numFmtId="3" fontId="19" fillId="3" borderId="19" xfId="0" applyNumberFormat="1" applyFont="1" applyFill="1" applyBorder="1" applyAlignment="1">
      <alignment horizontal="center"/>
    </xf>
    <xf numFmtId="0" fontId="17" fillId="3" borderId="8" xfId="0" applyFont="1" applyFill="1" applyBorder="1"/>
    <xf numFmtId="169" fontId="17" fillId="3" borderId="3" xfId="0" applyNumberFormat="1" applyFont="1" applyFill="1" applyBorder="1" applyAlignment="1" applyProtection="1">
      <alignment horizontal="right"/>
      <protection locked="0"/>
    </xf>
    <xf numFmtId="175" fontId="17" fillId="3" borderId="2" xfId="0" applyNumberFormat="1" applyFont="1" applyFill="1" applyBorder="1" applyAlignment="1" applyProtection="1">
      <alignment horizontal="right"/>
      <protection locked="0"/>
    </xf>
    <xf numFmtId="171" fontId="17" fillId="3" borderId="3" xfId="0" applyNumberFormat="1" applyFont="1" applyFill="1" applyBorder="1" applyAlignment="1" applyProtection="1">
      <alignment horizontal="right"/>
      <protection locked="0"/>
    </xf>
    <xf numFmtId="174" fontId="17" fillId="3" borderId="13" xfId="0" applyNumberFormat="1" applyFont="1" applyFill="1" applyBorder="1" applyAlignment="1" applyProtection="1">
      <alignment horizontal="right"/>
      <protection locked="0"/>
    </xf>
    <xf numFmtId="166" fontId="19" fillId="3" borderId="19" xfId="0" applyNumberFormat="1" applyFont="1" applyFill="1" applyBorder="1" applyAlignment="1">
      <alignment horizontal="right"/>
    </xf>
    <xf numFmtId="174" fontId="19" fillId="3" borderId="19" xfId="0" applyNumberFormat="1" applyFont="1" applyFill="1" applyBorder="1" applyAlignment="1">
      <alignment horizontal="right"/>
    </xf>
    <xf numFmtId="175" fontId="17" fillId="5" borderId="2" xfId="0" applyNumberFormat="1" applyFont="1" applyFill="1" applyBorder="1" applyAlignment="1" applyProtection="1">
      <alignment horizontal="right"/>
      <protection locked="0"/>
    </xf>
    <xf numFmtId="174" fontId="17" fillId="5" borderId="5" xfId="0" applyNumberFormat="1" applyFont="1" applyFill="1" applyBorder="1" applyAlignment="1" applyProtection="1">
      <alignment horizontal="right"/>
      <protection locked="0"/>
    </xf>
    <xf numFmtId="171" fontId="14" fillId="3" borderId="20" xfId="0" applyNumberFormat="1" applyFont="1" applyFill="1" applyBorder="1"/>
    <xf numFmtId="166" fontId="19" fillId="3" borderId="20" xfId="0" applyNumberFormat="1" applyFont="1" applyFill="1" applyBorder="1"/>
    <xf numFmtId="174" fontId="14" fillId="3" borderId="20" xfId="0" applyNumberFormat="1" applyFont="1" applyFill="1" applyBorder="1"/>
    <xf numFmtId="166" fontId="14" fillId="3" borderId="20" xfId="0" applyNumberFormat="1" applyFont="1" applyFill="1" applyBorder="1" applyAlignment="1">
      <alignment horizontal="center"/>
    </xf>
    <xf numFmtId="0" fontId="17" fillId="3" borderId="0" xfId="0" applyFont="1" applyFill="1"/>
    <xf numFmtId="3" fontId="17" fillId="3" borderId="0" xfId="0" applyNumberFormat="1" applyFont="1" applyFill="1"/>
    <xf numFmtId="171" fontId="17" fillId="3" borderId="0" xfId="0" applyNumberFormat="1" applyFont="1" applyFill="1"/>
    <xf numFmtId="166" fontId="17" fillId="3" borderId="0" xfId="0" applyNumberFormat="1" applyFont="1" applyFill="1"/>
    <xf numFmtId="0" fontId="9" fillId="3" borderId="0" xfId="0" applyFont="1" applyFill="1" applyAlignment="1">
      <alignment horizontal="right"/>
    </xf>
    <xf numFmtId="171" fontId="14" fillId="3" borderId="0" xfId="0" applyNumberFormat="1" applyFont="1" applyFill="1"/>
    <xf numFmtId="166" fontId="14" fillId="3" borderId="0" xfId="0" applyNumberFormat="1" applyFont="1" applyFill="1"/>
    <xf numFmtId="0" fontId="20" fillId="3" borderId="0" xfId="0" applyFont="1" applyFill="1"/>
    <xf numFmtId="166" fontId="14" fillId="3" borderId="0" xfId="0" applyNumberFormat="1" applyFont="1" applyFill="1" applyAlignment="1">
      <alignment horizontal="right"/>
    </xf>
    <xf numFmtId="165" fontId="14" fillId="3" borderId="0" xfId="0" applyNumberFormat="1" applyFont="1" applyFill="1" applyAlignment="1">
      <alignment horizontal="center"/>
    </xf>
    <xf numFmtId="165" fontId="14" fillId="3" borderId="0" xfId="0" applyNumberFormat="1" applyFont="1" applyFill="1" applyAlignment="1">
      <alignment horizontal="right" wrapText="1"/>
    </xf>
    <xf numFmtId="0" fontId="17" fillId="3" borderId="4" xfId="0" applyFont="1" applyFill="1" applyBorder="1"/>
    <xf numFmtId="0" fontId="17" fillId="3" borderId="2" xfId="0" applyFont="1" applyFill="1" applyBorder="1"/>
    <xf numFmtId="0" fontId="20" fillId="3" borderId="2" xfId="0" applyFont="1" applyFill="1" applyBorder="1"/>
    <xf numFmtId="171" fontId="17" fillId="3" borderId="5" xfId="0" applyNumberFormat="1" applyFont="1" applyFill="1" applyBorder="1" applyAlignment="1" applyProtection="1">
      <alignment horizontal="right"/>
      <protection locked="0"/>
    </xf>
    <xf numFmtId="0" fontId="13" fillId="3" borderId="2" xfId="0" applyFont="1" applyFill="1" applyBorder="1"/>
    <xf numFmtId="0" fontId="17" fillId="3" borderId="11" xfId="0" applyFont="1" applyFill="1" applyBorder="1"/>
    <xf numFmtId="0" fontId="17" fillId="3" borderId="1" xfId="0" applyFont="1" applyFill="1" applyBorder="1"/>
    <xf numFmtId="0" fontId="20" fillId="3" borderId="1" xfId="0" applyFont="1" applyFill="1" applyBorder="1"/>
    <xf numFmtId="0" fontId="17" fillId="3" borderId="1" xfId="0" applyFont="1" applyFill="1" applyBorder="1" applyAlignment="1">
      <alignment horizontal="right"/>
    </xf>
    <xf numFmtId="0" fontId="17" fillId="3" borderId="12" xfId="0" applyFont="1" applyFill="1" applyBorder="1" applyAlignment="1">
      <alignment horizontal="right"/>
    </xf>
    <xf numFmtId="0" fontId="20" fillId="3" borderId="6" xfId="0" applyFont="1" applyFill="1" applyBorder="1"/>
    <xf numFmtId="176" fontId="20" fillId="3" borderId="0" xfId="0" applyNumberFormat="1" applyFont="1" applyFill="1"/>
    <xf numFmtId="176" fontId="20" fillId="3" borderId="0" xfId="0" applyNumberFormat="1" applyFont="1" applyFill="1" applyProtection="1">
      <protection locked="0"/>
    </xf>
    <xf numFmtId="176" fontId="20" fillId="3" borderId="7" xfId="0" applyNumberFormat="1" applyFont="1" applyFill="1" applyBorder="1" applyProtection="1">
      <protection locked="0"/>
    </xf>
    <xf numFmtId="176" fontId="17" fillId="3" borderId="2" xfId="0" applyNumberFormat="1" applyFont="1" applyFill="1" applyBorder="1"/>
    <xf numFmtId="176" fontId="17" fillId="3" borderId="5" xfId="0" applyNumberFormat="1" applyFont="1" applyFill="1" applyBorder="1"/>
    <xf numFmtId="0" fontId="18" fillId="3" borderId="0" xfId="0" applyFont="1" applyFill="1"/>
    <xf numFmtId="3" fontId="18" fillId="3" borderId="0" xfId="0" applyNumberFormat="1" applyFont="1" applyFill="1"/>
    <xf numFmtId="166" fontId="18" fillId="3" borderId="0" xfId="0" applyNumberFormat="1" applyFont="1" applyFill="1"/>
    <xf numFmtId="3" fontId="18" fillId="5" borderId="2" xfId="0" applyNumberFormat="1" applyFont="1" applyFill="1" applyBorder="1"/>
    <xf numFmtId="165" fontId="14" fillId="3" borderId="23" xfId="0" applyNumberFormat="1" applyFont="1" applyFill="1" applyBorder="1" applyAlignment="1">
      <alignment horizontal="right"/>
    </xf>
    <xf numFmtId="10" fontId="14" fillId="3" borderId="19" xfId="1" applyNumberFormat="1" applyFont="1" applyFill="1" applyBorder="1" applyAlignment="1" applyProtection="1">
      <alignment horizontal="right"/>
    </xf>
    <xf numFmtId="171" fontId="14" fillId="3" borderId="22" xfId="0" applyNumberFormat="1" applyFont="1" applyFill="1" applyBorder="1" applyAlignment="1" applyProtection="1">
      <alignment horizontal="right"/>
      <protection locked="0"/>
    </xf>
    <xf numFmtId="0" fontId="21" fillId="3" borderId="6" xfId="0" applyFont="1" applyFill="1" applyBorder="1" applyAlignment="1">
      <alignment horizontal="left" indent="7"/>
    </xf>
    <xf numFmtId="0" fontId="21" fillId="3" borderId="0" xfId="0" applyFont="1" applyFill="1" applyAlignment="1">
      <alignment horizontal="left" indent="7"/>
    </xf>
    <xf numFmtId="0" fontId="21" fillId="3" borderId="7" xfId="0" applyFont="1" applyFill="1" applyBorder="1"/>
    <xf numFmtId="0" fontId="21" fillId="3" borderId="6" xfId="0" applyFont="1" applyFill="1" applyBorder="1"/>
    <xf numFmtId="166" fontId="21" fillId="3" borderId="0" xfId="0" applyNumberFormat="1" applyFont="1" applyFill="1"/>
    <xf numFmtId="166" fontId="21" fillId="3" borderId="7" xfId="0" applyNumberFormat="1" applyFont="1" applyFill="1" applyBorder="1" applyProtection="1">
      <protection locked="0"/>
    </xf>
    <xf numFmtId="0" fontId="22" fillId="3" borderId="12" xfId="0" applyFont="1" applyFill="1" applyBorder="1"/>
    <xf numFmtId="0" fontId="22" fillId="3" borderId="11" xfId="0" applyFont="1" applyFill="1" applyBorder="1"/>
    <xf numFmtId="166" fontId="22" fillId="3" borderId="1" xfId="0" applyNumberFormat="1" applyFont="1" applyFill="1" applyBorder="1"/>
    <xf numFmtId="171" fontId="13" fillId="3" borderId="12" xfId="0" applyNumberFormat="1" applyFont="1" applyFill="1" applyBorder="1" applyProtection="1">
      <protection locked="0"/>
    </xf>
    <xf numFmtId="166" fontId="13" fillId="3" borderId="0" xfId="0" applyNumberFormat="1" applyFont="1" applyFill="1"/>
    <xf numFmtId="171" fontId="19" fillId="3" borderId="22" xfId="0" applyNumberFormat="1" applyFont="1" applyFill="1" applyBorder="1" applyAlignment="1" applyProtection="1">
      <alignment horizontal="right"/>
      <protection locked="0"/>
    </xf>
    <xf numFmtId="0" fontId="13" fillId="0" borderId="0" xfId="0" applyFont="1"/>
    <xf numFmtId="0" fontId="22" fillId="3" borderId="6" xfId="0" applyFont="1" applyFill="1" applyBorder="1" applyAlignment="1">
      <alignment horizontal="left" indent="7"/>
    </xf>
    <xf numFmtId="0" fontId="22" fillId="3" borderId="0" xfId="0" applyFont="1" applyFill="1" applyAlignment="1">
      <alignment horizontal="left" indent="7"/>
    </xf>
    <xf numFmtId="0" fontId="22" fillId="3" borderId="7" xfId="0" applyFont="1" applyFill="1" applyBorder="1"/>
    <xf numFmtId="0" fontId="22" fillId="3" borderId="6" xfId="0" applyFont="1" applyFill="1" applyBorder="1"/>
    <xf numFmtId="166" fontId="22" fillId="3" borderId="0" xfId="0" applyNumberFormat="1" applyFont="1" applyFill="1"/>
    <xf numFmtId="166" fontId="22" fillId="3" borderId="7" xfId="0" applyNumberFormat="1" applyFont="1" applyFill="1" applyBorder="1" applyProtection="1">
      <protection locked="0"/>
    </xf>
    <xf numFmtId="166" fontId="19" fillId="3" borderId="22" xfId="0" applyNumberFormat="1" applyFont="1" applyFill="1" applyBorder="1" applyAlignment="1">
      <alignment horizontal="right"/>
    </xf>
    <xf numFmtId="0" fontId="13" fillId="5" borderId="11" xfId="0" applyFont="1" applyFill="1" applyBorder="1"/>
    <xf numFmtId="0" fontId="13" fillId="5" borderId="1" xfId="0" applyFont="1" applyFill="1" applyBorder="1"/>
    <xf numFmtId="0" fontId="13" fillId="5" borderId="12" xfId="0" applyFont="1" applyFill="1" applyBorder="1"/>
    <xf numFmtId="166" fontId="13" fillId="5" borderId="1" xfId="0" applyNumberFormat="1" applyFont="1" applyFill="1" applyBorder="1"/>
    <xf numFmtId="171" fontId="13" fillId="5" borderId="12" xfId="0" applyNumberFormat="1" applyFont="1" applyFill="1" applyBorder="1" applyProtection="1">
      <protection locked="0"/>
    </xf>
    <xf numFmtId="0" fontId="22" fillId="5" borderId="8" xfId="0" applyFont="1" applyFill="1" applyBorder="1" applyAlignment="1">
      <alignment horizontal="left" indent="7"/>
    </xf>
    <xf numFmtId="0" fontId="22" fillId="5" borderId="3" xfId="0" applyFont="1" applyFill="1" applyBorder="1" applyAlignment="1">
      <alignment horizontal="left" indent="7"/>
    </xf>
    <xf numFmtId="0" fontId="22" fillId="5" borderId="13" xfId="0" applyFont="1" applyFill="1" applyBorder="1"/>
    <xf numFmtId="0" fontId="22" fillId="5" borderId="8" xfId="0" applyFont="1" applyFill="1" applyBorder="1"/>
    <xf numFmtId="166" fontId="22" fillId="5" borderId="3" xfId="0" applyNumberFormat="1" applyFont="1" applyFill="1" applyBorder="1"/>
    <xf numFmtId="166" fontId="22" fillId="5" borderId="13" xfId="0" applyNumberFormat="1" applyFont="1" applyFill="1" applyBorder="1" applyProtection="1">
      <protection locked="0"/>
    </xf>
    <xf numFmtId="164" fontId="14" fillId="3" borderId="19" xfId="1" applyNumberFormat="1" applyFont="1" applyFill="1" applyBorder="1" applyAlignment="1" applyProtection="1">
      <alignment horizontal="right"/>
    </xf>
    <xf numFmtId="171" fontId="14" fillId="3" borderId="18" xfId="0" applyNumberFormat="1" applyFont="1" applyFill="1" applyBorder="1" applyAlignment="1">
      <alignment horizontal="right"/>
    </xf>
    <xf numFmtId="171" fontId="14" fillId="3" borderId="20" xfId="0" applyNumberFormat="1" applyFont="1" applyFill="1" applyBorder="1" applyAlignment="1">
      <alignment horizontal="right"/>
    </xf>
    <xf numFmtId="171" fontId="14" fillId="3" borderId="26" xfId="0" applyNumberFormat="1" applyFont="1" applyFill="1" applyBorder="1" applyAlignment="1">
      <alignment horizontal="right"/>
    </xf>
    <xf numFmtId="0" fontId="18" fillId="5" borderId="2" xfId="0" applyFont="1" applyFill="1" applyBorder="1"/>
    <xf numFmtId="166" fontId="18" fillId="5" borderId="5" xfId="0" applyNumberFormat="1" applyFont="1" applyFill="1" applyBorder="1"/>
    <xf numFmtId="171" fontId="14" fillId="3" borderId="25" xfId="0" applyNumberFormat="1" applyFont="1" applyFill="1" applyBorder="1" applyAlignment="1">
      <alignment horizontal="right"/>
    </xf>
    <xf numFmtId="164" fontId="14" fillId="3" borderId="20" xfId="1" applyNumberFormat="1" applyFont="1" applyFill="1" applyBorder="1" applyAlignment="1" applyProtection="1">
      <alignment horizontal="right"/>
    </xf>
    <xf numFmtId="0" fontId="14" fillId="3" borderId="26" xfId="0" applyFont="1" applyFill="1" applyBorder="1" applyAlignment="1">
      <alignment horizontal="right"/>
    </xf>
    <xf numFmtId="0" fontId="16" fillId="5" borderId="5" xfId="0" applyFont="1" applyFill="1" applyBorder="1"/>
    <xf numFmtId="0" fontId="17" fillId="5" borderId="14" xfId="0" applyFont="1" applyFill="1" applyBorder="1" applyAlignment="1">
      <alignment horizontal="center"/>
    </xf>
    <xf numFmtId="0" fontId="17" fillId="5" borderId="4" xfId="0" applyFont="1" applyFill="1" applyBorder="1" applyAlignment="1">
      <alignment horizontal="right"/>
    </xf>
    <xf numFmtId="0" fontId="20" fillId="5" borderId="2" xfId="0" applyFont="1" applyFill="1" applyBorder="1"/>
    <xf numFmtId="0" fontId="20" fillId="5" borderId="5" xfId="0" applyFont="1" applyFill="1" applyBorder="1"/>
    <xf numFmtId="0" fontId="14" fillId="3" borderId="25" xfId="0" applyFont="1" applyFill="1" applyBorder="1" applyAlignment="1">
      <alignment horizontal="right"/>
    </xf>
    <xf numFmtId="0" fontId="16" fillId="3" borderId="6" xfId="0" applyFont="1" applyFill="1" applyBorder="1"/>
    <xf numFmtId="0" fontId="16" fillId="3" borderId="0" xfId="0" applyFont="1" applyFill="1"/>
    <xf numFmtId="0" fontId="17" fillId="3" borderId="15" xfId="0" applyFont="1" applyFill="1" applyBorder="1" applyAlignment="1">
      <alignment horizontal="center"/>
    </xf>
    <xf numFmtId="0" fontId="20" fillId="3" borderId="12" xfId="0" applyFont="1" applyFill="1" applyBorder="1"/>
    <xf numFmtId="0" fontId="14" fillId="3" borderId="19" xfId="0" applyFont="1" applyFill="1" applyBorder="1" applyAlignment="1">
      <alignment horizontal="right"/>
    </xf>
    <xf numFmtId="3" fontId="24" fillId="3" borderId="6" xfId="0" applyNumberFormat="1" applyFont="1" applyFill="1" applyBorder="1" applyAlignment="1">
      <alignment vertical="top"/>
    </xf>
    <xf numFmtId="3" fontId="24" fillId="3" borderId="0" xfId="0" applyNumberFormat="1" applyFont="1" applyFill="1" applyAlignment="1">
      <alignment vertical="top"/>
    </xf>
    <xf numFmtId="3" fontId="24" fillId="3" borderId="15" xfId="0" applyNumberFormat="1" applyFont="1" applyFill="1" applyBorder="1" applyAlignment="1">
      <alignment horizontal="center" vertical="top"/>
    </xf>
    <xf numFmtId="3" fontId="24" fillId="3" borderId="6" xfId="0" applyNumberFormat="1" applyFont="1" applyFill="1" applyBorder="1" applyAlignment="1">
      <alignment horizontal="right" vertical="top"/>
    </xf>
    <xf numFmtId="171" fontId="24" fillId="3" borderId="7" xfId="0" applyNumberFormat="1" applyFont="1" applyFill="1" applyBorder="1" applyAlignment="1" applyProtection="1">
      <alignment horizontal="right" vertical="top"/>
      <protection locked="0"/>
    </xf>
    <xf numFmtId="0" fontId="25" fillId="3" borderId="0" xfId="0" applyFont="1" applyFill="1"/>
    <xf numFmtId="3" fontId="24" fillId="3" borderId="6" xfId="0" applyNumberFormat="1" applyFont="1" applyFill="1" applyBorder="1" applyAlignment="1" applyProtection="1">
      <alignment horizontal="right" vertical="top"/>
      <protection locked="0"/>
    </xf>
    <xf numFmtId="167" fontId="14" fillId="3" borderId="20" xfId="0" applyNumberFormat="1" applyFont="1" applyFill="1" applyBorder="1" applyAlignment="1">
      <alignment horizontal="right"/>
    </xf>
    <xf numFmtId="0" fontId="17" fillId="3" borderId="21" xfId="0" applyFont="1" applyFill="1" applyBorder="1"/>
    <xf numFmtId="0" fontId="17" fillId="3" borderId="9" xfId="0" applyFont="1" applyFill="1" applyBorder="1" applyAlignment="1">
      <alignment horizontal="center"/>
    </xf>
    <xf numFmtId="0" fontId="17" fillId="3" borderId="24" xfId="0" applyFont="1" applyFill="1" applyBorder="1" applyAlignment="1">
      <alignment horizontal="right"/>
    </xf>
    <xf numFmtId="0" fontId="25" fillId="3" borderId="0" xfId="0" applyFont="1" applyFill="1" applyAlignment="1">
      <alignment horizontal="right"/>
    </xf>
    <xf numFmtId="3" fontId="25" fillId="3" borderId="0" xfId="0" applyNumberFormat="1" applyFont="1" applyFill="1" applyAlignment="1">
      <alignment horizontal="right"/>
    </xf>
    <xf numFmtId="0" fontId="13" fillId="3" borderId="11" xfId="0" applyFont="1" applyFill="1" applyBorder="1" applyAlignment="1">
      <alignment horizontal="center"/>
    </xf>
    <xf numFmtId="0" fontId="20" fillId="3" borderId="6" xfId="0" applyFont="1" applyFill="1" applyBorder="1" applyProtection="1">
      <protection locked="0"/>
    </xf>
    <xf numFmtId="0" fontId="20" fillId="3" borderId="7" xfId="0" applyFont="1" applyFill="1" applyBorder="1" applyProtection="1">
      <protection locked="0"/>
    </xf>
    <xf numFmtId="0" fontId="20" fillId="3" borderId="8" xfId="0" applyFont="1" applyFill="1" applyBorder="1" applyProtection="1">
      <protection locked="0"/>
    </xf>
    <xf numFmtId="0" fontId="20" fillId="3" borderId="13" xfId="0" applyFont="1" applyFill="1" applyBorder="1" applyProtection="1">
      <protection locked="0"/>
    </xf>
    <xf numFmtId="0" fontId="14" fillId="3" borderId="0" xfId="0" applyFont="1" applyFill="1" applyAlignment="1">
      <alignment horizontal="right"/>
    </xf>
    <xf numFmtId="0" fontId="13" fillId="3" borderId="4" xfId="0" applyFont="1" applyFill="1" applyBorder="1"/>
    <xf numFmtId="0" fontId="13" fillId="3" borderId="5" xfId="0" applyFont="1" applyFill="1" applyBorder="1"/>
    <xf numFmtId="0" fontId="13" fillId="3" borderId="12" xfId="0" applyFont="1" applyFill="1" applyBorder="1"/>
    <xf numFmtId="0" fontId="9" fillId="0" borderId="0" xfId="0" applyFont="1" applyAlignment="1">
      <alignment horizontal="right"/>
    </xf>
    <xf numFmtId="9" fontId="26" fillId="3" borderId="0" xfId="0" applyNumberFormat="1" applyFont="1" applyFill="1"/>
    <xf numFmtId="9" fontId="29" fillId="3" borderId="0" xfId="0" applyNumberFormat="1" applyFont="1" applyFill="1" applyAlignment="1">
      <alignment horizontal="center"/>
    </xf>
    <xf numFmtId="9" fontId="31" fillId="3" borderId="0" xfId="0" applyNumberFormat="1" applyFont="1" applyFill="1" applyAlignment="1">
      <alignment horizontal="center"/>
    </xf>
    <xf numFmtId="0" fontId="33" fillId="3" borderId="0" xfId="0" applyFont="1" applyFill="1"/>
    <xf numFmtId="9" fontId="34" fillId="3" borderId="0" xfId="0" applyNumberFormat="1" applyFont="1" applyFill="1" applyAlignment="1">
      <alignment horizontal="center"/>
    </xf>
    <xf numFmtId="0" fontId="35" fillId="3" borderId="0" xfId="0" applyFont="1" applyFill="1"/>
    <xf numFmtId="3" fontId="33" fillId="3" borderId="0" xfId="0" applyNumberFormat="1" applyFont="1" applyFill="1"/>
    <xf numFmtId="0" fontId="36" fillId="3" borderId="0" xfId="0" applyFont="1" applyFill="1"/>
    <xf numFmtId="0" fontId="26" fillId="3" borderId="0" xfId="0" applyFont="1" applyFill="1"/>
    <xf numFmtId="0" fontId="26" fillId="3" borderId="0" xfId="0" applyFont="1" applyFill="1" applyAlignment="1">
      <alignment horizontal="right"/>
    </xf>
    <xf numFmtId="0" fontId="37" fillId="3" borderId="0" xfId="0" applyFont="1" applyFill="1" applyAlignment="1">
      <alignment horizontal="right"/>
    </xf>
    <xf numFmtId="0" fontId="38" fillId="3" borderId="0" xfId="0" applyFont="1" applyFill="1"/>
    <xf numFmtId="0" fontId="22" fillId="3" borderId="0" xfId="0" applyFont="1" applyFill="1"/>
    <xf numFmtId="164" fontId="40" fillId="3" borderId="0" xfId="1" applyNumberFormat="1" applyFont="1" applyFill="1" applyBorder="1"/>
    <xf numFmtId="0" fontId="40" fillId="3" borderId="0" xfId="0" applyFont="1" applyFill="1"/>
    <xf numFmtId="1" fontId="38" fillId="3" borderId="0" xfId="0" applyNumberFormat="1" applyFont="1" applyFill="1"/>
    <xf numFmtId="0" fontId="41" fillId="2" borderId="0" xfId="0" applyFont="1" applyFill="1"/>
    <xf numFmtId="1" fontId="42" fillId="2" borderId="0" xfId="0" applyNumberFormat="1" applyFont="1" applyFill="1"/>
    <xf numFmtId="0" fontId="43" fillId="3" borderId="0" xfId="0" applyFont="1" applyFill="1"/>
    <xf numFmtId="3" fontId="43" fillId="3" borderId="0" xfId="0" applyNumberFormat="1" applyFont="1" applyFill="1"/>
    <xf numFmtId="0" fontId="44" fillId="3" borderId="0" xfId="0" applyFont="1" applyFill="1" applyAlignment="1">
      <alignment horizontal="center"/>
    </xf>
    <xf numFmtId="0" fontId="45" fillId="2" borderId="0" xfId="0" applyFont="1" applyFill="1"/>
    <xf numFmtId="1" fontId="42" fillId="2" borderId="0" xfId="0" applyNumberFormat="1" applyFont="1" applyFill="1" applyAlignment="1">
      <alignment horizontal="right"/>
    </xf>
    <xf numFmtId="1" fontId="46" fillId="3" borderId="0" xfId="0" applyNumberFormat="1" applyFont="1" applyFill="1" applyAlignment="1">
      <alignment horizontal="right"/>
    </xf>
    <xf numFmtId="0" fontId="9" fillId="3" borderId="0" xfId="0" applyFont="1" applyFill="1" applyAlignment="1">
      <alignment vertical="center"/>
    </xf>
    <xf numFmtId="0" fontId="47" fillId="3" borderId="0" xfId="0" applyFont="1" applyFill="1" applyAlignment="1">
      <alignment vertical="center"/>
    </xf>
    <xf numFmtId="3" fontId="48" fillId="3" borderId="0" xfId="0" applyNumberFormat="1" applyFont="1" applyFill="1" applyAlignment="1">
      <alignment vertical="center"/>
    </xf>
    <xf numFmtId="0" fontId="48" fillId="3" borderId="0" xfId="0" applyFont="1" applyFill="1" applyAlignment="1">
      <alignment vertical="center"/>
    </xf>
    <xf numFmtId="3" fontId="49" fillId="3" borderId="0" xfId="0" applyNumberFormat="1" applyFont="1" applyFill="1"/>
    <xf numFmtId="0" fontId="51" fillId="3" borderId="0" xfId="0" applyFont="1" applyFill="1" applyAlignment="1">
      <alignment horizontal="right"/>
    </xf>
    <xf numFmtId="0" fontId="51" fillId="3" borderId="0" xfId="0" applyFont="1" applyFill="1"/>
    <xf numFmtId="0" fontId="47" fillId="3" borderId="0" xfId="0" applyFont="1" applyFill="1"/>
    <xf numFmtId="14" fontId="47" fillId="3" borderId="0" xfId="0" applyNumberFormat="1" applyFont="1" applyFill="1"/>
    <xf numFmtId="0" fontId="47" fillId="3" borderId="0" xfId="0" applyFont="1" applyFill="1" applyAlignment="1">
      <alignment horizontal="right"/>
    </xf>
    <xf numFmtId="3" fontId="13" fillId="3" borderId="0" xfId="0" applyNumberFormat="1" applyFont="1" applyFill="1"/>
    <xf numFmtId="3" fontId="13" fillId="0" borderId="0" xfId="0" applyNumberFormat="1" applyFont="1"/>
    <xf numFmtId="0" fontId="12" fillId="3" borderId="0" xfId="0" applyFont="1" applyFill="1"/>
    <xf numFmtId="0" fontId="13" fillId="3" borderId="0" xfId="0" applyFont="1" applyFill="1" applyAlignment="1">
      <alignment horizontal="right"/>
    </xf>
    <xf numFmtId="0" fontId="9" fillId="3" borderId="0" xfId="0" applyFont="1" applyFill="1" applyAlignment="1">
      <alignment vertical="top"/>
    </xf>
    <xf numFmtId="0" fontId="25" fillId="3" borderId="0" xfId="0" applyFont="1" applyFill="1" applyAlignment="1">
      <alignment vertical="top"/>
    </xf>
    <xf numFmtId="3" fontId="13" fillId="3" borderId="2" xfId="0" applyNumberFormat="1" applyFont="1" applyFill="1" applyBorder="1"/>
    <xf numFmtId="165" fontId="18" fillId="4" borderId="4" xfId="0" applyNumberFormat="1" applyFont="1" applyFill="1" applyBorder="1" applyAlignment="1" applyProtection="1">
      <alignment horizontal="right" vertical="center"/>
      <protection locked="0"/>
    </xf>
    <xf numFmtId="165" fontId="18" fillId="4" borderId="5" xfId="0" applyNumberFormat="1" applyFont="1" applyFill="1" applyBorder="1" applyAlignment="1" applyProtection="1">
      <alignment horizontal="right" vertical="center"/>
      <protection locked="0"/>
    </xf>
    <xf numFmtId="0" fontId="56" fillId="3" borderId="0" xfId="0" applyFont="1" applyFill="1"/>
    <xf numFmtId="0" fontId="18" fillId="4" borderId="4" xfId="0" applyFont="1" applyFill="1" applyBorder="1"/>
    <xf numFmtId="0" fontId="18" fillId="4" borderId="2" xfId="0" applyFont="1" applyFill="1" applyBorder="1"/>
    <xf numFmtId="167" fontId="18" fillId="4" borderId="2" xfId="0" applyNumberFormat="1" applyFont="1" applyFill="1" applyBorder="1" applyAlignment="1">
      <alignment horizontal="right"/>
    </xf>
    <xf numFmtId="164" fontId="18" fillId="4" borderId="5" xfId="1" applyNumberFormat="1" applyFont="1" applyFill="1" applyBorder="1" applyAlignment="1" applyProtection="1">
      <alignment horizontal="right"/>
      <protection locked="0"/>
    </xf>
    <xf numFmtId="0" fontId="17" fillId="8" borderId="6" xfId="0" applyFont="1" applyFill="1" applyBorder="1"/>
    <xf numFmtId="0" fontId="17" fillId="8" borderId="0" xfId="0" applyFont="1" applyFill="1"/>
    <xf numFmtId="0" fontId="20" fillId="8" borderId="0" xfId="0" applyFont="1" applyFill="1"/>
    <xf numFmtId="3" fontId="20" fillId="8" borderId="0" xfId="0" applyNumberFormat="1" applyFont="1" applyFill="1"/>
    <xf numFmtId="0" fontId="17" fillId="8" borderId="6" xfId="0" quotePrefix="1" applyFont="1" applyFill="1" applyBorder="1"/>
    <xf numFmtId="9" fontId="20" fillId="8" borderId="0" xfId="0" applyNumberFormat="1" applyFont="1" applyFill="1"/>
    <xf numFmtId="0" fontId="17" fillId="8" borderId="0" xfId="0" quotePrefix="1" applyFont="1" applyFill="1"/>
    <xf numFmtId="0" fontId="17" fillId="8" borderId="7" xfId="0" quotePrefix="1" applyFont="1" applyFill="1" applyBorder="1"/>
    <xf numFmtId="0" fontId="17" fillId="8" borderId="8" xfId="0" quotePrefix="1" applyFont="1" applyFill="1" applyBorder="1" applyAlignment="1">
      <alignment horizontal="left"/>
    </xf>
    <xf numFmtId="0" fontId="17" fillId="8" borderId="3" xfId="0" quotePrefix="1" applyFont="1" applyFill="1" applyBorder="1"/>
    <xf numFmtId="9" fontId="20" fillId="8" borderId="3" xfId="0" quotePrefix="1" applyNumberFormat="1" applyFont="1" applyFill="1" applyBorder="1"/>
    <xf numFmtId="0" fontId="17" fillId="8" borderId="13" xfId="0" quotePrefix="1" applyFont="1" applyFill="1" applyBorder="1"/>
    <xf numFmtId="0" fontId="17" fillId="8" borderId="6" xfId="0" applyFont="1" applyFill="1" applyBorder="1" applyAlignment="1">
      <alignment vertical="top" wrapText="1"/>
    </xf>
    <xf numFmtId="0" fontId="17" fillId="8" borderId="0" xfId="0" applyFont="1" applyFill="1" applyAlignment="1">
      <alignment vertical="top" wrapText="1"/>
    </xf>
    <xf numFmtId="0" fontId="17" fillId="8" borderId="1" xfId="0" quotePrefix="1" applyFont="1" applyFill="1" applyBorder="1" applyAlignment="1">
      <alignment horizontal="left"/>
    </xf>
    <xf numFmtId="0" fontId="17" fillId="8" borderId="12" xfId="0" quotePrefix="1" applyFont="1" applyFill="1" applyBorder="1" applyAlignment="1">
      <alignment horizontal="left"/>
    </xf>
    <xf numFmtId="9" fontId="20" fillId="8" borderId="0" xfId="0" applyNumberFormat="1" applyFont="1" applyFill="1" applyAlignment="1">
      <alignment vertical="top" wrapText="1"/>
    </xf>
    <xf numFmtId="0" fontId="49" fillId="8" borderId="0" xfId="0" applyFont="1" applyFill="1" applyAlignment="1">
      <alignment horizontal="left" vertical="top"/>
    </xf>
    <xf numFmtId="0" fontId="50" fillId="8" borderId="0" xfId="0" applyFont="1" applyFill="1" applyAlignment="1">
      <alignment vertical="top"/>
    </xf>
    <xf numFmtId="0" fontId="20" fillId="8" borderId="7" xfId="0" applyFont="1" applyFill="1" applyBorder="1" applyAlignment="1">
      <alignment vertical="top" wrapText="1"/>
    </xf>
    <xf numFmtId="0" fontId="20" fillId="8" borderId="6" xfId="0" applyFont="1" applyFill="1" applyBorder="1"/>
    <xf numFmtId="0" fontId="20" fillId="8" borderId="0" xfId="0" applyFont="1" applyFill="1" applyAlignment="1">
      <alignment vertical="top" wrapText="1"/>
    </xf>
    <xf numFmtId="0" fontId="50" fillId="8" borderId="0" xfId="0" applyFont="1" applyFill="1" applyAlignment="1">
      <alignment vertical="top" wrapText="1"/>
    </xf>
    <xf numFmtId="0" fontId="20" fillId="8" borderId="3" xfId="0" applyFont="1" applyFill="1" applyBorder="1" applyAlignment="1">
      <alignment vertical="top" wrapText="1"/>
    </xf>
    <xf numFmtId="0" fontId="50" fillId="8" borderId="3" xfId="0" applyFont="1" applyFill="1" applyBorder="1" applyAlignment="1">
      <alignment vertical="top"/>
    </xf>
    <xf numFmtId="0" fontId="20" fillId="8" borderId="13" xfId="0" applyFont="1" applyFill="1" applyBorder="1" applyAlignment="1">
      <alignment vertical="top" wrapText="1"/>
    </xf>
    <xf numFmtId="0" fontId="20" fillId="8" borderId="6" xfId="0" applyFont="1" applyFill="1" applyBorder="1" applyAlignment="1">
      <alignment vertical="top" wrapText="1"/>
    </xf>
    <xf numFmtId="164" fontId="20" fillId="8" borderId="0" xfId="1" applyNumberFormat="1" applyFont="1" applyFill="1" applyBorder="1" applyAlignment="1" applyProtection="1">
      <alignment horizontal="right" indent="3"/>
      <protection locked="0"/>
    </xf>
    <xf numFmtId="167" fontId="20" fillId="8" borderId="0" xfId="1" applyNumberFormat="1" applyFont="1" applyFill="1" applyBorder="1" applyAlignment="1">
      <alignment horizontal="right" indent="3"/>
    </xf>
    <xf numFmtId="167" fontId="20" fillId="8" borderId="3" xfId="1" applyNumberFormat="1" applyFont="1" applyFill="1" applyBorder="1" applyAlignment="1">
      <alignment horizontal="right" indent="3"/>
    </xf>
    <xf numFmtId="164" fontId="17" fillId="8" borderId="0" xfId="0" applyNumberFormat="1" applyFont="1" applyFill="1"/>
    <xf numFmtId="3" fontId="17" fillId="8" borderId="7" xfId="0" applyNumberFormat="1" applyFont="1" applyFill="1" applyBorder="1"/>
    <xf numFmtId="166" fontId="20" fillId="8" borderId="0" xfId="1" applyNumberFormat="1" applyFont="1" applyFill="1" applyBorder="1" applyAlignment="1" applyProtection="1">
      <alignment horizontal="right" indent="3"/>
      <protection locked="0"/>
    </xf>
    <xf numFmtId="0" fontId="13" fillId="8" borderId="0" xfId="0" applyFont="1" applyFill="1" applyAlignment="1">
      <alignment horizontal="right" indent="2"/>
    </xf>
    <xf numFmtId="3" fontId="17" fillId="8" borderId="0" xfId="1" applyNumberFormat="1" applyFont="1" applyFill="1" applyBorder="1" applyAlignment="1" applyProtection="1">
      <alignment horizontal="right"/>
    </xf>
    <xf numFmtId="3" fontId="17" fillId="8" borderId="7" xfId="1" applyNumberFormat="1" applyFont="1" applyFill="1" applyBorder="1" applyAlignment="1" applyProtection="1">
      <alignment horizontal="right"/>
    </xf>
    <xf numFmtId="0" fontId="17" fillId="8" borderId="4" xfId="0" applyFont="1" applyFill="1" applyBorder="1"/>
    <xf numFmtId="164" fontId="17" fillId="8" borderId="2" xfId="0" applyNumberFormat="1" applyFont="1" applyFill="1" applyBorder="1"/>
    <xf numFmtId="3" fontId="17" fillId="8" borderId="5" xfId="0" applyNumberFormat="1" applyFont="1" applyFill="1" applyBorder="1"/>
    <xf numFmtId="0" fontId="18" fillId="4" borderId="11" xfId="0" applyFont="1" applyFill="1" applyBorder="1"/>
    <xf numFmtId="0" fontId="18" fillId="4" borderId="1" xfId="0" applyFont="1" applyFill="1" applyBorder="1"/>
    <xf numFmtId="3" fontId="20" fillId="7" borderId="15" xfId="0" applyNumberFormat="1" applyFont="1" applyFill="1" applyBorder="1"/>
    <xf numFmtId="0" fontId="18" fillId="9" borderId="2" xfId="0" applyFont="1" applyFill="1" applyBorder="1" applyAlignment="1">
      <alignment horizontal="left" vertical="top"/>
    </xf>
    <xf numFmtId="0" fontId="18" fillId="9" borderId="2" xfId="0" applyFont="1" applyFill="1" applyBorder="1" applyAlignment="1">
      <alignment horizontal="center" vertical="top" wrapText="1"/>
    </xf>
    <xf numFmtId="0" fontId="18" fillId="9" borderId="4" xfId="0" applyFont="1" applyFill="1" applyBorder="1" applyAlignment="1">
      <alignment horizontal="right" vertical="top"/>
    </xf>
    <xf numFmtId="0" fontId="18" fillId="9" borderId="2" xfId="0" applyFont="1" applyFill="1" applyBorder="1" applyAlignment="1">
      <alignment horizontal="right" vertical="top" wrapText="1"/>
    </xf>
    <xf numFmtId="0" fontId="18" fillId="9" borderId="2" xfId="0" applyFont="1" applyFill="1" applyBorder="1" applyAlignment="1">
      <alignment horizontal="right" vertical="top"/>
    </xf>
    <xf numFmtId="0" fontId="18" fillId="9" borderId="4" xfId="0" applyFont="1" applyFill="1" applyBorder="1" applyAlignment="1">
      <alignment horizontal="right" vertical="top" wrapText="1"/>
    </xf>
    <xf numFmtId="0" fontId="18" fillId="9" borderId="5" xfId="0" applyFont="1" applyFill="1" applyBorder="1" applyAlignment="1">
      <alignment horizontal="right" vertical="top"/>
    </xf>
    <xf numFmtId="0" fontId="18" fillId="9" borderId="10" xfId="0" applyFont="1" applyFill="1" applyBorder="1" applyAlignment="1">
      <alignment horizontal="right" vertical="top" wrapText="1"/>
    </xf>
    <xf numFmtId="2" fontId="18" fillId="9" borderId="3" xfId="0" applyNumberFormat="1" applyFont="1" applyFill="1" applyBorder="1" applyAlignment="1">
      <alignment horizontal="right" vertical="top" wrapText="1"/>
    </xf>
    <xf numFmtId="0" fontId="18" fillId="9" borderId="13" xfId="0" applyFont="1" applyFill="1" applyBorder="1" applyAlignment="1">
      <alignment horizontal="right" vertical="top" wrapText="1"/>
    </xf>
    <xf numFmtId="0" fontId="18" fillId="9" borderId="11" xfId="0" applyFont="1" applyFill="1" applyBorder="1"/>
    <xf numFmtId="0" fontId="18" fillId="9" borderId="1" xfId="0" applyFont="1" applyFill="1" applyBorder="1" applyAlignment="1">
      <alignment horizontal="center" vertical="top"/>
    </xf>
    <xf numFmtId="0" fontId="18" fillId="9" borderId="1" xfId="0" applyFont="1" applyFill="1" applyBorder="1"/>
    <xf numFmtId="3" fontId="18" fillId="9" borderId="1" xfId="0" applyNumberFormat="1" applyFont="1" applyFill="1" applyBorder="1"/>
    <xf numFmtId="3" fontId="18" fillId="9" borderId="12" xfId="0" applyNumberFormat="1" applyFont="1" applyFill="1" applyBorder="1"/>
    <xf numFmtId="3" fontId="18" fillId="9" borderId="11" xfId="0" applyNumberFormat="1" applyFont="1" applyFill="1" applyBorder="1"/>
    <xf numFmtId="0" fontId="18" fillId="9" borderId="12" xfId="0" applyFont="1" applyFill="1" applyBorder="1"/>
    <xf numFmtId="3" fontId="18" fillId="9" borderId="9" xfId="0" applyNumberFormat="1" applyFont="1" applyFill="1" applyBorder="1" applyAlignment="1">
      <alignment horizontal="right"/>
    </xf>
    <xf numFmtId="164" fontId="18" fillId="9" borderId="9" xfId="0" applyNumberFormat="1" applyFont="1" applyFill="1" applyBorder="1"/>
    <xf numFmtId="0" fontId="18" fillId="9" borderId="11" xfId="0" applyFont="1" applyFill="1" applyBorder="1" applyAlignment="1">
      <alignment horizontal="left" indent="4"/>
    </xf>
    <xf numFmtId="0" fontId="18" fillId="9" borderId="12" xfId="0" applyFont="1" applyFill="1" applyBorder="1" applyAlignment="1">
      <alignment horizontal="left" indent="4"/>
    </xf>
    <xf numFmtId="168" fontId="18" fillId="9" borderId="12" xfId="0" applyNumberFormat="1" applyFont="1" applyFill="1" applyBorder="1"/>
    <xf numFmtId="171" fontId="18" fillId="9" borderId="9" xfId="0" applyNumberFormat="1" applyFont="1" applyFill="1" applyBorder="1" applyAlignment="1">
      <alignment horizontal="right"/>
    </xf>
    <xf numFmtId="0" fontId="18" fillId="9" borderId="8" xfId="0" applyFont="1" applyFill="1" applyBorder="1"/>
    <xf numFmtId="0" fontId="18" fillId="9" borderId="3" xfId="0" applyFont="1" applyFill="1" applyBorder="1" applyAlignment="1">
      <alignment horizontal="center" vertical="top"/>
    </xf>
    <xf numFmtId="0" fontId="18" fillId="9" borderId="3" xfId="0" applyFont="1" applyFill="1" applyBorder="1"/>
    <xf numFmtId="3" fontId="18" fillId="9" borderId="3" xfId="0" applyNumberFormat="1" applyFont="1" applyFill="1" applyBorder="1"/>
    <xf numFmtId="3" fontId="18" fillId="9" borderId="13" xfId="0" applyNumberFormat="1" applyFont="1" applyFill="1" applyBorder="1"/>
    <xf numFmtId="3" fontId="18" fillId="9" borderId="8" xfId="0" applyNumberFormat="1" applyFont="1" applyFill="1" applyBorder="1"/>
    <xf numFmtId="166" fontId="18" fillId="9" borderId="10" xfId="0" applyNumberFormat="1" applyFont="1" applyFill="1" applyBorder="1"/>
    <xf numFmtId="0" fontId="18" fillId="9" borderId="13" xfId="0" applyFont="1" applyFill="1" applyBorder="1"/>
    <xf numFmtId="164" fontId="18" fillId="9" borderId="10" xfId="0" applyNumberFormat="1" applyFont="1" applyFill="1" applyBorder="1"/>
    <xf numFmtId="0" fontId="18" fillId="9" borderId="8" xfId="0" applyFont="1" applyFill="1" applyBorder="1" applyAlignment="1">
      <alignment horizontal="left" indent="4"/>
    </xf>
    <xf numFmtId="0" fontId="18" fillId="9" borderId="13" xfId="0" applyFont="1" applyFill="1" applyBorder="1" applyAlignment="1">
      <alignment horizontal="left" indent="4"/>
    </xf>
    <xf numFmtId="166" fontId="18" fillId="9" borderId="13" xfId="0" applyNumberFormat="1" applyFont="1" applyFill="1" applyBorder="1"/>
    <xf numFmtId="166" fontId="18" fillId="9" borderId="10" xfId="0" applyNumberFormat="1" applyFont="1" applyFill="1" applyBorder="1" applyAlignment="1">
      <alignment horizontal="right"/>
    </xf>
    <xf numFmtId="0" fontId="18" fillId="9" borderId="8" xfId="0" applyFont="1" applyFill="1" applyBorder="1" applyAlignment="1">
      <alignment horizontal="right" vertical="top" wrapText="1"/>
    </xf>
    <xf numFmtId="0" fontId="18" fillId="9" borderId="14" xfId="0" applyFont="1" applyFill="1" applyBorder="1" applyAlignment="1">
      <alignment horizontal="right" wrapText="1"/>
    </xf>
    <xf numFmtId="3" fontId="18" fillId="9" borderId="11" xfId="0" applyNumberFormat="1" applyFont="1" applyFill="1" applyBorder="1" applyAlignment="1">
      <alignment horizontal="right"/>
    </xf>
    <xf numFmtId="3" fontId="25" fillId="9" borderId="10" xfId="0" applyNumberFormat="1" applyFont="1" applyFill="1" applyBorder="1" applyAlignment="1">
      <alignment horizontal="right"/>
    </xf>
    <xf numFmtId="3" fontId="25" fillId="9" borderId="8" xfId="0" applyNumberFormat="1" applyFont="1" applyFill="1" applyBorder="1" applyAlignment="1">
      <alignment horizontal="right"/>
    </xf>
    <xf numFmtId="166" fontId="18" fillId="9" borderId="8" xfId="0" applyNumberFormat="1" applyFont="1" applyFill="1" applyBorder="1"/>
    <xf numFmtId="0" fontId="17" fillId="8" borderId="3" xfId="0" applyFont="1" applyFill="1" applyBorder="1"/>
    <xf numFmtId="3" fontId="20" fillId="8" borderId="1" xfId="0" applyNumberFormat="1" applyFont="1" applyFill="1" applyBorder="1"/>
    <xf numFmtId="3" fontId="20" fillId="8" borderId="3" xfId="0" applyNumberFormat="1" applyFont="1" applyFill="1" applyBorder="1"/>
    <xf numFmtId="9" fontId="17" fillId="8" borderId="8" xfId="0" applyNumberFormat="1" applyFont="1" applyFill="1" applyBorder="1"/>
    <xf numFmtId="9" fontId="17" fillId="8" borderId="13" xfId="0" applyNumberFormat="1" applyFont="1" applyFill="1" applyBorder="1"/>
    <xf numFmtId="3" fontId="20" fillId="7" borderId="15" xfId="0" applyNumberFormat="1" applyFont="1" applyFill="1" applyBorder="1" applyAlignment="1">
      <alignment horizontal="right"/>
    </xf>
    <xf numFmtId="3" fontId="20" fillId="7" borderId="6" xfId="0" applyNumberFormat="1" applyFont="1" applyFill="1" applyBorder="1" applyAlignment="1">
      <alignment horizontal="right"/>
    </xf>
    <xf numFmtId="1" fontId="20" fillId="7" borderId="0" xfId="0" applyNumberFormat="1" applyFont="1" applyFill="1"/>
    <xf numFmtId="3" fontId="18" fillId="9" borderId="14" xfId="0" applyNumberFormat="1" applyFont="1" applyFill="1" applyBorder="1"/>
    <xf numFmtId="9" fontId="17" fillId="8" borderId="15" xfId="0" applyNumberFormat="1" applyFont="1" applyFill="1" applyBorder="1"/>
    <xf numFmtId="9" fontId="17" fillId="8" borderId="10" xfId="0" applyNumberFormat="1" applyFont="1" applyFill="1" applyBorder="1"/>
    <xf numFmtId="9" fontId="17" fillId="8" borderId="10" xfId="1" applyFont="1" applyFill="1" applyBorder="1"/>
    <xf numFmtId="0" fontId="17" fillId="8" borderId="10" xfId="0" applyFont="1" applyFill="1" applyBorder="1"/>
    <xf numFmtId="0" fontId="18" fillId="4" borderId="0" xfId="0" applyFont="1" applyFill="1"/>
    <xf numFmtId="0" fontId="25" fillId="4" borderId="0" xfId="0" applyFont="1" applyFill="1"/>
    <xf numFmtId="0" fontId="25" fillId="4" borderId="0" xfId="0" applyFont="1" applyFill="1" applyAlignment="1">
      <alignment horizontal="right"/>
    </xf>
    <xf numFmtId="0" fontId="30" fillId="4" borderId="0" xfId="0" applyFont="1" applyFill="1"/>
    <xf numFmtId="0" fontId="39" fillId="4" borderId="0" xfId="0" applyFont="1" applyFill="1" applyAlignment="1">
      <alignment horizontal="right"/>
    </xf>
    <xf numFmtId="166" fontId="24" fillId="8" borderId="0" xfId="0" applyNumberFormat="1" applyFont="1" applyFill="1" applyAlignment="1">
      <alignment horizontal="right"/>
    </xf>
    <xf numFmtId="3" fontId="20" fillId="8" borderId="0" xfId="0" applyNumberFormat="1" applyFont="1" applyFill="1" applyAlignment="1">
      <alignment horizontal="right"/>
    </xf>
    <xf numFmtId="0" fontId="17" fillId="8" borderId="16" xfId="0" applyFont="1" applyFill="1" applyBorder="1"/>
    <xf numFmtId="3" fontId="17" fillId="8" borderId="16" xfId="0" applyNumberFormat="1" applyFont="1" applyFill="1" applyBorder="1"/>
    <xf numFmtId="0" fontId="46" fillId="8" borderId="0" xfId="0" applyFont="1" applyFill="1"/>
    <xf numFmtId="0" fontId="46" fillId="8" borderId="0" xfId="0" applyFont="1" applyFill="1" applyAlignment="1">
      <alignment horizontal="right"/>
    </xf>
    <xf numFmtId="3" fontId="46" fillId="8" borderId="0" xfId="0" applyNumberFormat="1" applyFont="1" applyFill="1"/>
    <xf numFmtId="3" fontId="20" fillId="8" borderId="1" xfId="0" applyNumberFormat="1" applyFont="1" applyFill="1" applyBorder="1" applyAlignment="1">
      <alignment horizontal="right"/>
    </xf>
    <xf numFmtId="3" fontId="20" fillId="8" borderId="3" xfId="0" applyNumberFormat="1" applyFont="1" applyFill="1" applyBorder="1" applyAlignment="1">
      <alignment horizontal="right"/>
    </xf>
    <xf numFmtId="0" fontId="24" fillId="8" borderId="0" xfId="0" applyFont="1" applyFill="1"/>
    <xf numFmtId="0" fontId="24" fillId="8" borderId="0" xfId="0" applyFont="1" applyFill="1" applyAlignment="1">
      <alignment horizontal="right"/>
    </xf>
    <xf numFmtId="164" fontId="24" fillId="8" borderId="0" xfId="1" applyNumberFormat="1" applyFont="1" applyFill="1" applyBorder="1"/>
    <xf numFmtId="0" fontId="53" fillId="3" borderId="8" xfId="0" applyFont="1" applyFill="1" applyBorder="1"/>
    <xf numFmtId="0" fontId="53" fillId="3" borderId="3" xfId="0" applyFont="1" applyFill="1" applyBorder="1"/>
    <xf numFmtId="0" fontId="20" fillId="8" borderId="6" xfId="0" applyFont="1" applyFill="1" applyBorder="1" applyProtection="1">
      <protection locked="0"/>
    </xf>
    <xf numFmtId="0" fontId="20" fillId="8" borderId="0" xfId="0" applyFont="1" applyFill="1" applyProtection="1">
      <protection locked="0"/>
    </xf>
    <xf numFmtId="0" fontId="20" fillId="8" borderId="7" xfId="0" applyFont="1" applyFill="1" applyBorder="1" applyProtection="1">
      <protection locked="0"/>
    </xf>
    <xf numFmtId="0" fontId="20" fillId="8" borderId="16" xfId="0" applyFont="1" applyFill="1" applyBorder="1"/>
    <xf numFmtId="3" fontId="20" fillId="8" borderId="16" xfId="0" applyNumberFormat="1" applyFont="1" applyFill="1" applyBorder="1"/>
    <xf numFmtId="9" fontId="25" fillId="4" borderId="0" xfId="1" applyFont="1" applyFill="1" applyBorder="1"/>
    <xf numFmtId="14" fontId="25" fillId="4" borderId="0" xfId="0" applyNumberFormat="1" applyFont="1" applyFill="1" applyAlignment="1">
      <alignment horizontal="right"/>
    </xf>
    <xf numFmtId="14" fontId="25" fillId="4" borderId="0" xfId="0" applyNumberFormat="1" applyFont="1" applyFill="1"/>
    <xf numFmtId="0" fontId="20" fillId="8" borderId="0" xfId="0" quotePrefix="1" applyFont="1" applyFill="1" applyAlignment="1">
      <alignment horizontal="center"/>
    </xf>
    <xf numFmtId="167" fontId="20" fillId="8" borderId="0" xfId="0" applyNumberFormat="1" applyFont="1" applyFill="1" applyAlignment="1">
      <alignment horizontal="center"/>
    </xf>
    <xf numFmtId="3" fontId="18" fillId="9" borderId="7" xfId="0" applyNumberFormat="1" applyFont="1" applyFill="1" applyBorder="1"/>
    <xf numFmtId="0" fontId="18" fillId="9" borderId="12" xfId="0" applyFont="1" applyFill="1" applyBorder="1" applyAlignment="1">
      <alignment horizontal="right" vertical="top"/>
    </xf>
    <xf numFmtId="3" fontId="18" fillId="9" borderId="15" xfId="0" applyNumberFormat="1" applyFont="1" applyFill="1" applyBorder="1"/>
    <xf numFmtId="0" fontId="18" fillId="9" borderId="0" xfId="0" applyFont="1" applyFill="1" applyAlignment="1">
      <alignment horizontal="right" vertical="top" wrapText="1"/>
    </xf>
    <xf numFmtId="0" fontId="20" fillId="7" borderId="1" xfId="0" applyFont="1" applyFill="1" applyBorder="1" applyProtection="1">
      <protection locked="0"/>
    </xf>
    <xf numFmtId="0" fontId="20" fillId="7" borderId="0" xfId="0" applyFont="1" applyFill="1" applyProtection="1">
      <protection locked="0"/>
    </xf>
    <xf numFmtId="0" fontId="20" fillId="7" borderId="3" xfId="0" applyFont="1" applyFill="1" applyBorder="1" applyProtection="1">
      <protection locked="0"/>
    </xf>
    <xf numFmtId="0" fontId="18" fillId="4" borderId="14" xfId="0" applyFont="1" applyFill="1" applyBorder="1" applyAlignment="1">
      <alignment horizontal="right" vertical="top" wrapText="1"/>
    </xf>
    <xf numFmtId="0" fontId="18" fillId="4" borderId="4" xfId="0" applyFont="1" applyFill="1" applyBorder="1" applyAlignment="1">
      <alignment horizontal="right"/>
    </xf>
    <xf numFmtId="0" fontId="18" fillId="4" borderId="4" xfId="0" applyFont="1" applyFill="1" applyBorder="1" applyAlignment="1">
      <alignment horizontal="right" vertical="top" wrapText="1"/>
    </xf>
    <xf numFmtId="3" fontId="25" fillId="9" borderId="0" xfId="1" applyNumberFormat="1" applyFont="1" applyFill="1" applyBorder="1" applyAlignment="1" applyProtection="1">
      <alignment horizontal="right" indent="3"/>
      <protection locked="0"/>
    </xf>
    <xf numFmtId="164" fontId="25" fillId="9" borderId="0" xfId="1" applyNumberFormat="1" applyFont="1" applyFill="1" applyBorder="1" applyAlignment="1" applyProtection="1">
      <alignment horizontal="right" indent="3"/>
      <protection locked="0"/>
    </xf>
    <xf numFmtId="3" fontId="25" fillId="9" borderId="0" xfId="0" applyNumberFormat="1" applyFont="1" applyFill="1" applyAlignment="1" applyProtection="1">
      <alignment horizontal="right" indent="3"/>
      <protection locked="0"/>
    </xf>
    <xf numFmtId="0" fontId="25" fillId="9" borderId="0" xfId="0" applyFont="1" applyFill="1" applyAlignment="1" applyProtection="1">
      <alignment horizontal="right"/>
      <protection locked="0"/>
    </xf>
    <xf numFmtId="0" fontId="25" fillId="9" borderId="0" xfId="0" applyFont="1" applyFill="1" applyAlignment="1" applyProtection="1">
      <alignment horizontal="right" indent="3"/>
      <protection locked="0"/>
    </xf>
    <xf numFmtId="164" fontId="25" fillId="9" borderId="0" xfId="1" applyNumberFormat="1" applyFont="1" applyFill="1" applyBorder="1" applyAlignment="1" applyProtection="1">
      <alignment horizontal="center"/>
      <protection locked="0"/>
    </xf>
    <xf numFmtId="0" fontId="25" fillId="9" borderId="3" xfId="0" applyFont="1" applyFill="1" applyBorder="1" applyAlignment="1" applyProtection="1">
      <alignment horizontal="center"/>
      <protection locked="0"/>
    </xf>
    <xf numFmtId="164" fontId="25" fillId="9" borderId="0" xfId="1" applyNumberFormat="1" applyFont="1" applyFill="1" applyBorder="1" applyProtection="1">
      <protection locked="0"/>
    </xf>
    <xf numFmtId="3" fontId="25" fillId="9" borderId="7" xfId="0" applyNumberFormat="1" applyFont="1" applyFill="1" applyBorder="1" applyProtection="1">
      <protection locked="0"/>
    </xf>
    <xf numFmtId="164" fontId="25" fillId="9" borderId="3" xfId="1" applyNumberFormat="1" applyFont="1" applyFill="1" applyBorder="1" applyProtection="1">
      <protection locked="0"/>
    </xf>
    <xf numFmtId="3" fontId="25" fillId="9" borderId="13" xfId="0" applyNumberFormat="1" applyFont="1" applyFill="1" applyBorder="1" applyProtection="1">
      <protection locked="0"/>
    </xf>
    <xf numFmtId="0" fontId="25" fillId="4" borderId="1" xfId="0" applyFont="1" applyFill="1" applyBorder="1"/>
    <xf numFmtId="0" fontId="25" fillId="4" borderId="12" xfId="0" applyFont="1" applyFill="1" applyBorder="1"/>
    <xf numFmtId="0" fontId="18" fillId="4" borderId="1" xfId="0" applyFont="1" applyFill="1" applyBorder="1" applyAlignment="1">
      <alignment horizontal="right"/>
    </xf>
    <xf numFmtId="0" fontId="18" fillId="4" borderId="12" xfId="0" applyFont="1" applyFill="1" applyBorder="1" applyAlignment="1">
      <alignment horizontal="right" indent="3"/>
    </xf>
    <xf numFmtId="0" fontId="18" fillId="4" borderId="1" xfId="0" applyFont="1" applyFill="1" applyBorder="1" applyAlignment="1">
      <alignment horizontal="right" indent="3"/>
    </xf>
    <xf numFmtId="0" fontId="18" fillId="4" borderId="12" xfId="0" applyFont="1" applyFill="1" applyBorder="1" applyAlignment="1">
      <alignment horizontal="right"/>
    </xf>
    <xf numFmtId="0" fontId="18" fillId="9" borderId="11" xfId="0" applyFont="1" applyFill="1" applyBorder="1" applyAlignment="1">
      <alignment horizontal="right"/>
    </xf>
    <xf numFmtId="0" fontId="18" fillId="9" borderId="1" xfId="0" applyFont="1" applyFill="1" applyBorder="1" applyAlignment="1">
      <alignment horizontal="right"/>
    </xf>
    <xf numFmtId="166" fontId="25" fillId="9" borderId="2" xfId="0" applyNumberFormat="1" applyFont="1" applyFill="1" applyBorder="1" applyProtection="1">
      <protection locked="0"/>
    </xf>
    <xf numFmtId="168" fontId="20" fillId="8" borderId="5" xfId="0" applyNumberFormat="1" applyFont="1" applyFill="1" applyBorder="1"/>
    <xf numFmtId="0" fontId="18" fillId="4" borderId="2" xfId="0" applyFont="1" applyFill="1" applyBorder="1" applyAlignment="1">
      <alignment vertical="center"/>
    </xf>
    <xf numFmtId="0" fontId="18" fillId="4" borderId="2" xfId="0" applyFont="1" applyFill="1" applyBorder="1" applyAlignment="1">
      <alignment horizontal="right" vertical="center"/>
    </xf>
    <xf numFmtId="0" fontId="18" fillId="4" borderId="2" xfId="0" applyFont="1" applyFill="1" applyBorder="1" applyAlignment="1">
      <alignment horizontal="right" vertical="center" wrapText="1"/>
    </xf>
    <xf numFmtId="0" fontId="18" fillId="4" borderId="5" xfId="0" applyFont="1" applyFill="1" applyBorder="1" applyAlignment="1">
      <alignment horizontal="right" vertical="center" wrapText="1"/>
    </xf>
    <xf numFmtId="0" fontId="18" fillId="4" borderId="14" xfId="0" applyFont="1" applyFill="1" applyBorder="1" applyAlignment="1">
      <alignment vertical="center"/>
    </xf>
    <xf numFmtId="0" fontId="18" fillId="4" borderId="14" xfId="0" applyFont="1" applyFill="1" applyBorder="1" applyAlignment="1">
      <alignment horizontal="right" vertical="center" wrapText="1"/>
    </xf>
    <xf numFmtId="0" fontId="18" fillId="4" borderId="4" xfId="0" applyFont="1" applyFill="1" applyBorder="1" applyAlignment="1">
      <alignment vertical="top" wrapText="1"/>
    </xf>
    <xf numFmtId="0" fontId="18" fillId="4" borderId="2" xfId="0" applyFont="1" applyFill="1" applyBorder="1" applyAlignment="1">
      <alignment vertical="top" wrapText="1"/>
    </xf>
    <xf numFmtId="0" fontId="18" fillId="4" borderId="5" xfId="0" applyFont="1" applyFill="1" applyBorder="1" applyAlignment="1">
      <alignment horizontal="right" vertical="top" wrapText="1"/>
    </xf>
    <xf numFmtId="0" fontId="18" fillId="4" borderId="8" xfId="0" applyFont="1" applyFill="1" applyBorder="1"/>
    <xf numFmtId="0" fontId="18" fillId="4" borderId="3" xfId="0" applyFont="1" applyFill="1" applyBorder="1"/>
    <xf numFmtId="0" fontId="18" fillId="4" borderId="0" xfId="0" applyFont="1" applyFill="1" applyAlignment="1">
      <alignment wrapText="1"/>
    </xf>
    <xf numFmtId="170" fontId="18" fillId="4" borderId="0" xfId="0" applyNumberFormat="1" applyFont="1" applyFill="1"/>
    <xf numFmtId="0" fontId="61" fillId="8" borderId="0" xfId="0" applyFont="1" applyFill="1" applyAlignment="1">
      <alignment vertical="center" wrapText="1"/>
    </xf>
    <xf numFmtId="3" fontId="61" fillId="8" borderId="0" xfId="0" applyNumberFormat="1" applyFont="1" applyFill="1" applyAlignment="1">
      <alignment vertical="center"/>
    </xf>
    <xf numFmtId="0" fontId="17" fillId="8" borderId="0" xfId="0" applyFont="1" applyFill="1" applyAlignment="1">
      <alignment vertical="center" wrapText="1"/>
    </xf>
    <xf numFmtId="0" fontId="17" fillId="8" borderId="17" xfId="0" applyFont="1" applyFill="1" applyBorder="1" applyAlignment="1">
      <alignment vertical="center" wrapText="1"/>
    </xf>
    <xf numFmtId="0" fontId="4" fillId="4" borderId="0" xfId="0" applyFont="1" applyFill="1"/>
    <xf numFmtId="0" fontId="5" fillId="4" borderId="0" xfId="0" applyFont="1" applyFill="1"/>
    <xf numFmtId="3" fontId="5" fillId="4" borderId="0" xfId="0" applyNumberFormat="1" applyFont="1" applyFill="1"/>
    <xf numFmtId="0" fontId="56" fillId="4" borderId="0" xfId="0" applyFont="1" applyFill="1"/>
    <xf numFmtId="0" fontId="57" fillId="4" borderId="0" xfId="0" applyFont="1" applyFill="1"/>
    <xf numFmtId="0" fontId="33" fillId="4" borderId="0" xfId="0" applyFont="1" applyFill="1"/>
    <xf numFmtId="0" fontId="32" fillId="4" borderId="0" xfId="0" applyFont="1" applyFill="1"/>
    <xf numFmtId="0" fontId="61" fillId="8" borderId="0" xfId="0" applyFont="1" applyFill="1"/>
    <xf numFmtId="3" fontId="61" fillId="8" borderId="0" xfId="0" applyNumberFormat="1" applyFont="1" applyFill="1"/>
    <xf numFmtId="0" fontId="61" fillId="7" borderId="0" xfId="0" applyFont="1" applyFill="1"/>
    <xf numFmtId="3" fontId="61" fillId="7" borderId="0" xfId="0" applyNumberFormat="1" applyFont="1" applyFill="1" applyProtection="1">
      <protection locked="0"/>
    </xf>
    <xf numFmtId="0" fontId="61" fillId="8" borderId="0" xfId="0" applyFont="1" applyFill="1" applyAlignment="1">
      <alignment horizontal="right"/>
    </xf>
    <xf numFmtId="9" fontId="24" fillId="8" borderId="0" xfId="1" applyFont="1" applyFill="1" applyBorder="1"/>
    <xf numFmtId="0" fontId="17" fillId="8" borderId="35" xfId="0" applyFont="1" applyFill="1" applyBorder="1"/>
    <xf numFmtId="166" fontId="60" fillId="8" borderId="35" xfId="0" applyNumberFormat="1" applyFont="1" applyFill="1" applyBorder="1" applyAlignment="1">
      <alignment horizontal="right"/>
    </xf>
    <xf numFmtId="3" fontId="17" fillId="8" borderId="35" xfId="0" applyNumberFormat="1" applyFont="1" applyFill="1" applyBorder="1"/>
    <xf numFmtId="0" fontId="20" fillId="8" borderId="35" xfId="0" applyFont="1" applyFill="1" applyBorder="1"/>
    <xf numFmtId="166" fontId="24" fillId="8" borderId="35" xfId="0" applyNumberFormat="1" applyFont="1" applyFill="1" applyBorder="1" applyAlignment="1">
      <alignment horizontal="right"/>
    </xf>
    <xf numFmtId="3" fontId="20" fillId="8" borderId="35" xfId="0" applyNumberFormat="1" applyFont="1" applyFill="1" applyBorder="1"/>
    <xf numFmtId="0" fontId="24" fillId="8" borderId="35" xfId="0" applyFont="1" applyFill="1" applyBorder="1"/>
    <xf numFmtId="0" fontId="62" fillId="4" borderId="0" xfId="0" applyFont="1" applyFill="1" applyAlignment="1">
      <alignment vertical="center"/>
    </xf>
    <xf numFmtId="165" fontId="62" fillId="4" borderId="0" xfId="0" applyNumberFormat="1" applyFont="1" applyFill="1" applyAlignment="1">
      <alignment horizontal="right" vertical="center"/>
    </xf>
    <xf numFmtId="0" fontId="20" fillId="8" borderId="0" xfId="0" applyFont="1" applyFill="1" applyAlignment="1">
      <alignment vertical="center"/>
    </xf>
    <xf numFmtId="0" fontId="18" fillId="4" borderId="0" xfId="0" applyFont="1" applyFill="1" applyAlignment="1">
      <alignment vertical="center"/>
    </xf>
    <xf numFmtId="3" fontId="18" fillId="4" borderId="0" xfId="0" applyNumberFormat="1" applyFont="1" applyFill="1" applyAlignment="1">
      <alignment horizontal="right"/>
    </xf>
    <xf numFmtId="3" fontId="18" fillId="4" borderId="0" xfId="0" applyNumberFormat="1" applyFont="1" applyFill="1"/>
    <xf numFmtId="0" fontId="39" fillId="4" borderId="0" xfId="0" applyFont="1" applyFill="1" applyAlignment="1">
      <alignment horizontal="left" indent="2"/>
    </xf>
    <xf numFmtId="3" fontId="39" fillId="4" borderId="0" xfId="0" applyNumberFormat="1" applyFont="1" applyFill="1" applyAlignment="1">
      <alignment horizontal="right"/>
    </xf>
    <xf numFmtId="0" fontId="50" fillId="8" borderId="0" xfId="0" applyFont="1" applyFill="1" applyAlignment="1">
      <alignment horizontal="left" indent="2"/>
    </xf>
    <xf numFmtId="3" fontId="50" fillId="8" borderId="0" xfId="0" applyNumberFormat="1" applyFont="1" applyFill="1" applyAlignment="1">
      <alignment horizontal="right"/>
    </xf>
    <xf numFmtId="0" fontId="50" fillId="8" borderId="0" xfId="0" applyFont="1" applyFill="1"/>
    <xf numFmtId="3" fontId="62" fillId="4" borderId="0" xfId="0" applyNumberFormat="1" applyFont="1" applyFill="1" applyAlignment="1">
      <alignment horizontal="right" vertical="center"/>
    </xf>
    <xf numFmtId="0" fontId="39" fillId="4" borderId="0" xfId="0" applyFont="1" applyFill="1" applyAlignment="1">
      <alignment horizontal="left" vertical="center" indent="2"/>
    </xf>
    <xf numFmtId="3" fontId="39" fillId="4" borderId="0" xfId="0" applyNumberFormat="1" applyFont="1" applyFill="1" applyAlignment="1">
      <alignment horizontal="right" vertical="center"/>
    </xf>
    <xf numFmtId="0" fontId="11" fillId="3" borderId="0" xfId="0" applyFont="1" applyFill="1"/>
    <xf numFmtId="0" fontId="11" fillId="3" borderId="0" xfId="0" applyFont="1" applyFill="1" applyAlignment="1">
      <alignment horizontal="right"/>
    </xf>
    <xf numFmtId="3" fontId="25" fillId="4" borderId="0" xfId="0" applyNumberFormat="1" applyFont="1" applyFill="1"/>
    <xf numFmtId="164" fontId="20" fillId="8" borderId="0" xfId="1" applyNumberFormat="1" applyFont="1" applyFill="1" applyBorder="1"/>
    <xf numFmtId="10" fontId="20" fillId="8" borderId="0" xfId="1" applyNumberFormat="1" applyFont="1" applyFill="1" applyBorder="1"/>
    <xf numFmtId="3" fontId="18" fillId="4" borderId="34" xfId="0" applyNumberFormat="1" applyFont="1" applyFill="1" applyBorder="1"/>
    <xf numFmtId="0" fontId="18" fillId="4" borderId="34" xfId="0" applyFont="1" applyFill="1" applyBorder="1"/>
    <xf numFmtId="3" fontId="17" fillId="8" borderId="0" xfId="0" applyNumberFormat="1" applyFont="1" applyFill="1"/>
    <xf numFmtId="0" fontId="63" fillId="4" borderId="0" xfId="0" applyFont="1" applyFill="1"/>
    <xf numFmtId="164" fontId="63" fillId="4" borderId="0" xfId="0" applyNumberFormat="1" applyFont="1" applyFill="1"/>
    <xf numFmtId="0" fontId="64" fillId="4" borderId="0" xfId="0" applyFont="1" applyFill="1"/>
    <xf numFmtId="164" fontId="64" fillId="4" borderId="0" xfId="0" applyNumberFormat="1" applyFont="1" applyFill="1"/>
    <xf numFmtId="3" fontId="61" fillId="8" borderId="37" xfId="0" applyNumberFormat="1" applyFont="1" applyFill="1" applyBorder="1" applyAlignment="1">
      <alignment vertical="center" wrapText="1"/>
    </xf>
    <xf numFmtId="0" fontId="61" fillId="8" borderId="38" xfId="0" applyFont="1" applyFill="1" applyBorder="1" applyAlignment="1">
      <alignment vertical="top" wrapText="1"/>
    </xf>
    <xf numFmtId="3" fontId="61" fillId="8" borderId="38" xfId="0" applyNumberFormat="1" applyFont="1" applyFill="1" applyBorder="1" applyAlignment="1">
      <alignment vertical="center"/>
    </xf>
    <xf numFmtId="3" fontId="61" fillId="8" borderId="39" xfId="0" applyNumberFormat="1" applyFont="1" applyFill="1" applyBorder="1" applyAlignment="1">
      <alignment vertical="center" wrapText="1"/>
    </xf>
    <xf numFmtId="0" fontId="20" fillId="8" borderId="38" xfId="0" applyFont="1" applyFill="1" applyBorder="1" applyAlignment="1">
      <alignment vertical="center" wrapText="1"/>
    </xf>
    <xf numFmtId="3" fontId="20" fillId="8" borderId="38" xfId="0" applyNumberFormat="1" applyFont="1" applyFill="1" applyBorder="1" applyAlignment="1">
      <alignment vertical="center"/>
    </xf>
    <xf numFmtId="3" fontId="17" fillId="8" borderId="37" xfId="0" applyNumberFormat="1" applyFont="1" applyFill="1" applyBorder="1" applyAlignment="1">
      <alignment vertical="center" wrapText="1"/>
    </xf>
    <xf numFmtId="0" fontId="20" fillId="8" borderId="0" xfId="0" applyFont="1" applyFill="1" applyAlignment="1">
      <alignment vertical="center" wrapText="1"/>
    </xf>
    <xf numFmtId="3" fontId="17" fillId="8" borderId="39" xfId="0" applyNumberFormat="1" applyFont="1" applyFill="1" applyBorder="1" applyAlignment="1">
      <alignment vertical="center" wrapText="1"/>
    </xf>
    <xf numFmtId="3" fontId="20" fillId="8" borderId="0" xfId="0" applyNumberFormat="1" applyFont="1" applyFill="1" applyAlignment="1">
      <alignment vertical="center"/>
    </xf>
    <xf numFmtId="0" fontId="17" fillId="8" borderId="38" xfId="0" applyFont="1" applyFill="1" applyBorder="1" applyAlignment="1">
      <alignment vertical="center" wrapText="1"/>
    </xf>
    <xf numFmtId="0" fontId="20" fillId="8" borderId="38" xfId="0" applyFont="1" applyFill="1" applyBorder="1"/>
    <xf numFmtId="3" fontId="20" fillId="8" borderId="38" xfId="0" applyNumberFormat="1" applyFont="1" applyFill="1" applyBorder="1"/>
    <xf numFmtId="0" fontId="59" fillId="8" borderId="35" xfId="0" applyFont="1" applyFill="1" applyBorder="1"/>
    <xf numFmtId="3" fontId="59" fillId="8" borderId="35" xfId="0" applyNumberFormat="1" applyFont="1" applyFill="1" applyBorder="1"/>
    <xf numFmtId="0" fontId="59" fillId="8" borderId="38" xfId="0" applyFont="1" applyFill="1" applyBorder="1"/>
    <xf numFmtId="3" fontId="59" fillId="8" borderId="38" xfId="0" applyNumberFormat="1" applyFont="1" applyFill="1" applyBorder="1"/>
    <xf numFmtId="0" fontId="18" fillId="4" borderId="6" xfId="0" applyFont="1" applyFill="1" applyBorder="1"/>
    <xf numFmtId="9" fontId="18" fillId="4" borderId="15" xfId="0" applyNumberFormat="1" applyFont="1" applyFill="1" applyBorder="1" applyAlignment="1">
      <alignment horizontal="center"/>
    </xf>
    <xf numFmtId="167" fontId="18" fillId="4" borderId="0" xfId="0" applyNumberFormat="1" applyFont="1" applyFill="1" applyAlignment="1">
      <alignment horizontal="right"/>
    </xf>
    <xf numFmtId="171" fontId="18" fillId="4" borderId="7" xfId="0" applyNumberFormat="1" applyFont="1" applyFill="1" applyBorder="1" applyAlignment="1" applyProtection="1">
      <alignment horizontal="right"/>
      <protection locked="0"/>
    </xf>
    <xf numFmtId="0" fontId="18" fillId="4" borderId="15" xfId="0" applyFont="1" applyFill="1" applyBorder="1" applyAlignment="1">
      <alignment horizontal="center"/>
    </xf>
    <xf numFmtId="9" fontId="18" fillId="4" borderId="10" xfId="0" applyNumberFormat="1" applyFont="1" applyFill="1" applyBorder="1" applyAlignment="1">
      <alignment horizontal="center"/>
    </xf>
    <xf numFmtId="167" fontId="18" fillId="4" borderId="3" xfId="0" applyNumberFormat="1" applyFont="1" applyFill="1" applyBorder="1" applyAlignment="1">
      <alignment horizontal="right"/>
    </xf>
    <xf numFmtId="9" fontId="18" fillId="4" borderId="5" xfId="0" applyNumberFormat="1" applyFont="1" applyFill="1" applyBorder="1" applyAlignment="1" applyProtection="1">
      <alignment horizontal="right"/>
      <protection locked="0"/>
    </xf>
    <xf numFmtId="0" fontId="65" fillId="4" borderId="11" xfId="0" applyFont="1" applyFill="1" applyBorder="1"/>
    <xf numFmtId="0" fontId="66" fillId="4" borderId="1" xfId="0" applyFont="1" applyFill="1" applyBorder="1"/>
    <xf numFmtId="0" fontId="67" fillId="4" borderId="12" xfId="0" applyFont="1" applyFill="1" applyBorder="1" applyAlignment="1" applyProtection="1">
      <alignment horizontal="right"/>
      <protection locked="0"/>
    </xf>
    <xf numFmtId="10" fontId="25" fillId="9" borderId="7" xfId="0" applyNumberFormat="1" applyFont="1" applyFill="1" applyBorder="1" applyAlignment="1" applyProtection="1">
      <alignment horizontal="center"/>
      <protection locked="0"/>
    </xf>
    <xf numFmtId="10" fontId="20" fillId="8" borderId="7" xfId="0" applyNumberFormat="1" applyFont="1" applyFill="1" applyBorder="1" applyAlignment="1">
      <alignment horizontal="center"/>
    </xf>
    <xf numFmtId="10" fontId="25" fillId="9" borderId="0" xfId="0" applyNumberFormat="1" applyFont="1" applyFill="1" applyProtection="1">
      <protection locked="0"/>
    </xf>
    <xf numFmtId="164" fontId="25" fillId="9" borderId="0" xfId="0" applyNumberFormat="1" applyFont="1" applyFill="1" applyProtection="1">
      <protection locked="0"/>
    </xf>
    <xf numFmtId="0" fontId="25" fillId="9" borderId="7" xfId="0" applyFont="1" applyFill="1" applyBorder="1" applyAlignment="1" applyProtection="1">
      <alignment horizontal="center"/>
      <protection locked="0"/>
    </xf>
    <xf numFmtId="0" fontId="25" fillId="9" borderId="8" xfId="0" applyFont="1" applyFill="1" applyBorder="1" applyAlignment="1">
      <alignment horizontal="right" vertical="top" wrapText="1"/>
    </xf>
    <xf numFmtId="3" fontId="24" fillId="5" borderId="38" xfId="0" applyNumberFormat="1" applyFont="1" applyFill="1" applyBorder="1" applyAlignment="1">
      <alignment vertical="center"/>
    </xf>
    <xf numFmtId="3" fontId="20" fillId="5" borderId="38" xfId="0" applyNumberFormat="1" applyFont="1" applyFill="1" applyBorder="1" applyAlignment="1">
      <alignment vertical="center" wrapText="1"/>
    </xf>
    <xf numFmtId="3" fontId="24" fillId="5" borderId="0" xfId="0" applyNumberFormat="1" applyFont="1" applyFill="1" applyAlignment="1">
      <alignment vertical="center"/>
    </xf>
    <xf numFmtId="3" fontId="17" fillId="7" borderId="36" xfId="0" applyNumberFormat="1" applyFont="1" applyFill="1" applyBorder="1" applyAlignment="1">
      <alignment vertical="center" wrapText="1"/>
    </xf>
    <xf numFmtId="3" fontId="17" fillId="7" borderId="37" xfId="0" applyNumberFormat="1" applyFont="1" applyFill="1" applyBorder="1" applyAlignment="1">
      <alignment vertical="center" wrapText="1"/>
    </xf>
    <xf numFmtId="0" fontId="18" fillId="9" borderId="4" xfId="0" applyFont="1" applyFill="1" applyBorder="1" applyAlignment="1">
      <alignment horizontal="center" vertical="top" wrapText="1"/>
    </xf>
    <xf numFmtId="0" fontId="18" fillId="9" borderId="5" xfId="0" applyFont="1" applyFill="1" applyBorder="1" applyAlignment="1">
      <alignment horizontal="center" vertical="top" wrapText="1"/>
    </xf>
    <xf numFmtId="49" fontId="52" fillId="3" borderId="0" xfId="0" applyNumberFormat="1" applyFont="1" applyFill="1" applyAlignment="1">
      <alignment horizontal="center" vertical="center"/>
    </xf>
    <xf numFmtId="0" fontId="1" fillId="9" borderId="7" xfId="0" applyFont="1" applyFill="1" applyBorder="1" applyAlignment="1" applyProtection="1">
      <alignment horizontal="right"/>
      <protection locked="0"/>
    </xf>
    <xf numFmtId="0" fontId="1" fillId="3" borderId="29" xfId="0" applyFont="1" applyFill="1" applyBorder="1"/>
    <xf numFmtId="0" fontId="68" fillId="8" borderId="0" xfId="0" applyFont="1" applyFill="1" applyAlignment="1">
      <alignment vertical="top"/>
    </xf>
    <xf numFmtId="0" fontId="68" fillId="8" borderId="3" xfId="0" applyFont="1" applyFill="1" applyBorder="1" applyAlignment="1">
      <alignment vertical="top"/>
    </xf>
    <xf numFmtId="0" fontId="1" fillId="3" borderId="30" xfId="0" applyFont="1" applyFill="1" applyBorder="1"/>
    <xf numFmtId="10" fontId="20" fillId="8" borderId="0" xfId="0" applyNumberFormat="1" applyFont="1" applyFill="1" applyAlignment="1">
      <alignment horizontal="left" vertical="top" wrapText="1"/>
    </xf>
    <xf numFmtId="10" fontId="18" fillId="4" borderId="14" xfId="0" applyNumberFormat="1" applyFont="1" applyFill="1" applyBorder="1" applyAlignment="1">
      <alignment horizontal="center"/>
    </xf>
    <xf numFmtId="0" fontId="1" fillId="3" borderId="0" xfId="0" applyFont="1" applyFill="1"/>
    <xf numFmtId="0" fontId="1" fillId="3" borderId="8" xfId="0" applyFont="1" applyFill="1" applyBorder="1"/>
    <xf numFmtId="0" fontId="1" fillId="3" borderId="3" xfId="0" applyFont="1" applyFill="1" applyBorder="1"/>
    <xf numFmtId="0" fontId="1" fillId="9" borderId="13" xfId="0" applyFont="1" applyFill="1" applyBorder="1" applyAlignment="1" applyProtection="1">
      <alignment horizontal="right"/>
      <protection locked="0"/>
    </xf>
    <xf numFmtId="0" fontId="1" fillId="3" borderId="1" xfId="0" applyFont="1" applyFill="1" applyBorder="1"/>
    <xf numFmtId="0" fontId="1" fillId="3" borderId="1" xfId="0" applyFont="1" applyFill="1" applyBorder="1" applyProtection="1">
      <protection locked="0"/>
    </xf>
    <xf numFmtId="169" fontId="1" fillId="3" borderId="0" xfId="0" applyNumberFormat="1" applyFont="1" applyFill="1" applyProtection="1">
      <protection locked="0"/>
    </xf>
    <xf numFmtId="0" fontId="1" fillId="3" borderId="0" xfId="0" applyFont="1" applyFill="1" applyProtection="1">
      <protection locked="0"/>
    </xf>
    <xf numFmtId="0" fontId="1" fillId="3" borderId="27" xfId="0" applyFont="1" applyFill="1" applyBorder="1"/>
    <xf numFmtId="0" fontId="1" fillId="3" borderId="28" xfId="0" applyFont="1" applyFill="1" applyBorder="1"/>
    <xf numFmtId="0" fontId="1" fillId="3" borderId="30" xfId="0" applyFont="1" applyFill="1" applyBorder="1" applyAlignment="1">
      <alignment horizontal="right"/>
    </xf>
    <xf numFmtId="169" fontId="1" fillId="3" borderId="0" xfId="0" applyNumberFormat="1" applyFont="1" applyFill="1"/>
    <xf numFmtId="0" fontId="1" fillId="3" borderId="0" xfId="0" applyFont="1" applyFill="1" applyAlignment="1">
      <alignment horizontal="center"/>
    </xf>
    <xf numFmtId="166" fontId="1" fillId="3" borderId="0" xfId="0" applyNumberFormat="1" applyFont="1" applyFill="1"/>
    <xf numFmtId="9" fontId="1" fillId="9" borderId="7" xfId="1" applyFont="1" applyFill="1" applyBorder="1" applyAlignment="1" applyProtection="1">
      <alignment horizontal="right"/>
      <protection locked="0"/>
    </xf>
    <xf numFmtId="0" fontId="1" fillId="3" borderId="3" xfId="0" applyFont="1" applyFill="1" applyBorder="1" applyAlignment="1">
      <alignment horizontal="center"/>
    </xf>
    <xf numFmtId="166" fontId="1" fillId="3" borderId="3" xfId="0" applyNumberFormat="1" applyFont="1" applyFill="1" applyBorder="1"/>
    <xf numFmtId="9" fontId="1" fillId="9" borderId="13" xfId="1" applyFont="1" applyFill="1" applyBorder="1" applyAlignment="1" applyProtection="1">
      <alignment horizontal="right"/>
      <protection locked="0"/>
    </xf>
    <xf numFmtId="0" fontId="1" fillId="3" borderId="0" xfId="0" applyFont="1" applyFill="1" applyAlignment="1" applyProtection="1">
      <alignment horizontal="right"/>
      <protection locked="0"/>
    </xf>
    <xf numFmtId="0" fontId="1" fillId="0" borderId="0" xfId="0" applyFont="1"/>
    <xf numFmtId="0" fontId="1" fillId="3" borderId="6" xfId="0" applyFont="1" applyFill="1" applyBorder="1" applyAlignment="1">
      <alignment horizontal="left"/>
    </xf>
    <xf numFmtId="169" fontId="1" fillId="3" borderId="0" xfId="0" applyNumberFormat="1" applyFont="1" applyFill="1" applyAlignment="1" applyProtection="1">
      <alignment horizontal="right"/>
      <protection locked="0"/>
    </xf>
    <xf numFmtId="171" fontId="1" fillId="3" borderId="0" xfId="0" applyNumberFormat="1" applyFont="1" applyFill="1" applyAlignment="1" applyProtection="1">
      <alignment horizontal="right"/>
      <protection locked="0"/>
    </xf>
    <xf numFmtId="166" fontId="1" fillId="3" borderId="0" xfId="0" applyNumberFormat="1" applyFont="1" applyFill="1" applyAlignment="1">
      <alignment horizontal="right"/>
    </xf>
    <xf numFmtId="169" fontId="1" fillId="3" borderId="3" xfId="0" applyNumberFormat="1" applyFont="1" applyFill="1" applyBorder="1" applyAlignment="1" applyProtection="1">
      <alignment horizontal="right"/>
      <protection locked="0"/>
    </xf>
    <xf numFmtId="0" fontId="1" fillId="3" borderId="20" xfId="0" applyFont="1" applyFill="1" applyBorder="1" applyAlignment="1">
      <alignment horizontal="right"/>
    </xf>
    <xf numFmtId="0" fontId="1" fillId="3" borderId="0" xfId="0" applyFont="1" applyFill="1" applyAlignment="1">
      <alignment horizontal="right"/>
    </xf>
    <xf numFmtId="0" fontId="1" fillId="3" borderId="31" xfId="0" applyFont="1" applyFill="1" applyBorder="1"/>
    <xf numFmtId="0" fontId="1" fillId="3" borderId="32" xfId="0" applyFont="1" applyFill="1" applyBorder="1"/>
    <xf numFmtId="0" fontId="1" fillId="3" borderId="2" xfId="0" applyFont="1" applyFill="1" applyBorder="1"/>
    <xf numFmtId="0" fontId="1" fillId="3" borderId="2" xfId="0" applyFont="1" applyFill="1" applyBorder="1" applyAlignment="1" applyProtection="1">
      <alignment horizontal="right"/>
      <protection locked="0"/>
    </xf>
    <xf numFmtId="0" fontId="1" fillId="0" borderId="2" xfId="0" applyFont="1" applyBorder="1"/>
    <xf numFmtId="0" fontId="1" fillId="3" borderId="12" xfId="0" applyFont="1" applyFill="1" applyBorder="1"/>
    <xf numFmtId="0" fontId="1" fillId="3" borderId="11" xfId="0" applyFont="1" applyFill="1" applyBorder="1"/>
    <xf numFmtId="0" fontId="1" fillId="3" borderId="1" xfId="0" applyFont="1" applyFill="1" applyBorder="1" applyAlignment="1">
      <alignment horizontal="right"/>
    </xf>
    <xf numFmtId="165" fontId="1" fillId="3" borderId="12" xfId="0" applyNumberFormat="1" applyFont="1" applyFill="1" applyBorder="1" applyAlignment="1" applyProtection="1">
      <alignment horizontal="right"/>
      <protection locked="0"/>
    </xf>
    <xf numFmtId="0" fontId="1" fillId="3" borderId="6" xfId="0" applyFont="1" applyFill="1" applyBorder="1"/>
    <xf numFmtId="0" fontId="1" fillId="3" borderId="7" xfId="0" applyFont="1" applyFill="1" applyBorder="1"/>
    <xf numFmtId="165" fontId="1" fillId="3" borderId="7" xfId="0" applyNumberFormat="1" applyFont="1" applyFill="1" applyBorder="1" applyAlignment="1" applyProtection="1">
      <alignment horizontal="right"/>
      <protection locked="0"/>
    </xf>
    <xf numFmtId="164" fontId="1" fillId="3" borderId="7" xfId="1" applyNumberFormat="1" applyFont="1" applyFill="1" applyBorder="1" applyAlignment="1" applyProtection="1">
      <alignment horizontal="right"/>
      <protection locked="0"/>
    </xf>
    <xf numFmtId="10" fontId="1" fillId="3" borderId="7" xfId="1" applyNumberFormat="1" applyFont="1" applyFill="1" applyBorder="1" applyAlignment="1" applyProtection="1">
      <alignment horizontal="right"/>
      <protection locked="0"/>
    </xf>
    <xf numFmtId="171" fontId="1" fillId="3" borderId="7" xfId="0" applyNumberFormat="1" applyFont="1" applyFill="1" applyBorder="1"/>
    <xf numFmtId="171" fontId="1" fillId="3" borderId="7" xfId="0" applyNumberFormat="1" applyFont="1" applyFill="1" applyBorder="1" applyProtection="1">
      <protection locked="0"/>
    </xf>
    <xf numFmtId="0" fontId="1" fillId="3" borderId="13" xfId="0" applyFont="1" applyFill="1" applyBorder="1"/>
    <xf numFmtId="0" fontId="1" fillId="3" borderId="8" xfId="0" applyFont="1" applyFill="1" applyBorder="1" applyProtection="1">
      <protection locked="0"/>
    </xf>
    <xf numFmtId="164" fontId="1" fillId="3" borderId="13" xfId="1" applyNumberFormat="1" applyFont="1" applyFill="1" applyBorder="1" applyProtection="1">
      <protection locked="0"/>
    </xf>
    <xf numFmtId="0" fontId="1" fillId="3" borderId="4" xfId="0" applyFont="1" applyFill="1" applyBorder="1"/>
    <xf numFmtId="0" fontId="1" fillId="3" borderId="5" xfId="0" applyFont="1" applyFill="1" applyBorder="1" applyAlignment="1">
      <alignment horizontal="center" vertical="center" wrapText="1"/>
    </xf>
    <xf numFmtId="166" fontId="1" fillId="3" borderId="5" xfId="1" applyNumberFormat="1" applyFont="1" applyFill="1" applyBorder="1" applyProtection="1">
      <protection locked="0"/>
    </xf>
    <xf numFmtId="171" fontId="1" fillId="3" borderId="0" xfId="0" applyNumberFormat="1" applyFont="1" applyFill="1"/>
    <xf numFmtId="164" fontId="1" fillId="3" borderId="0" xfId="0" applyNumberFormat="1" applyFont="1" applyFill="1"/>
    <xf numFmtId="164" fontId="1" fillId="3" borderId="0" xfId="1" applyNumberFormat="1" applyFont="1" applyFill="1" applyBorder="1"/>
    <xf numFmtId="164" fontId="1" fillId="3" borderId="0" xfId="1" applyNumberFormat="1" applyFont="1" applyFill="1"/>
    <xf numFmtId="10" fontId="1" fillId="3" borderId="12" xfId="1" applyNumberFormat="1" applyFont="1" applyFill="1" applyBorder="1" applyAlignment="1" applyProtection="1">
      <alignment horizontal="right"/>
      <protection locked="0"/>
    </xf>
    <xf numFmtId="10" fontId="1" fillId="3" borderId="7" xfId="1" applyNumberFormat="1" applyFont="1" applyFill="1" applyBorder="1" applyProtection="1">
      <protection locked="0"/>
    </xf>
    <xf numFmtId="164" fontId="1" fillId="3" borderId="7" xfId="1" applyNumberFormat="1" applyFont="1" applyFill="1" applyBorder="1" applyProtection="1">
      <protection locked="0"/>
    </xf>
    <xf numFmtId="0" fontId="1" fillId="3" borderId="3" xfId="0" applyFont="1" applyFill="1" applyBorder="1" applyProtection="1">
      <protection locked="0"/>
    </xf>
    <xf numFmtId="0" fontId="1" fillId="3" borderId="9" xfId="0" applyFont="1" applyFill="1" applyBorder="1" applyAlignment="1">
      <alignment horizontal="center"/>
    </xf>
    <xf numFmtId="0" fontId="1" fillId="3" borderId="1" xfId="0" applyFont="1" applyFill="1" applyBorder="1" applyAlignment="1" applyProtection="1">
      <alignment horizontal="right"/>
      <protection locked="0"/>
    </xf>
    <xf numFmtId="165" fontId="1" fillId="3" borderId="1" xfId="0" applyNumberFormat="1" applyFont="1" applyFill="1" applyBorder="1" applyAlignment="1" applyProtection="1">
      <alignment horizontal="right"/>
      <protection locked="0"/>
    </xf>
    <xf numFmtId="0" fontId="1" fillId="3" borderId="15" xfId="0" applyFont="1" applyFill="1" applyBorder="1" applyAlignment="1">
      <alignment horizontal="center"/>
    </xf>
    <xf numFmtId="167" fontId="1" fillId="3" borderId="0" xfId="0" applyNumberFormat="1" applyFont="1" applyFill="1" applyAlignment="1" applyProtection="1">
      <alignment horizontal="right"/>
      <protection locked="0"/>
    </xf>
    <xf numFmtId="3" fontId="1" fillId="3" borderId="0" xfId="0" applyNumberFormat="1" applyFont="1" applyFill="1" applyAlignment="1" applyProtection="1">
      <alignment horizontal="right"/>
      <protection locked="0"/>
    </xf>
    <xf numFmtId="0" fontId="1" fillId="3" borderId="10" xfId="0" applyFont="1" applyFill="1" applyBorder="1" applyAlignment="1">
      <alignment horizontal="center"/>
    </xf>
    <xf numFmtId="167" fontId="1" fillId="3" borderId="3" xfId="0" applyNumberFormat="1" applyFont="1" applyFill="1" applyBorder="1" applyAlignment="1" applyProtection="1">
      <alignment horizontal="right"/>
      <protection locked="0"/>
    </xf>
    <xf numFmtId="0" fontId="1" fillId="3" borderId="3" xfId="0" applyFont="1" applyFill="1" applyBorder="1" applyAlignment="1">
      <alignment horizontal="right"/>
    </xf>
    <xf numFmtId="3" fontId="1" fillId="3" borderId="3" xfId="0" applyNumberFormat="1" applyFont="1" applyFill="1" applyBorder="1" applyAlignment="1" applyProtection="1">
      <alignment horizontal="right"/>
      <protection locked="0"/>
    </xf>
    <xf numFmtId="0" fontId="1" fillId="3" borderId="14" xfId="0" applyFont="1" applyFill="1" applyBorder="1" applyAlignment="1">
      <alignment horizontal="center"/>
    </xf>
    <xf numFmtId="167" fontId="1" fillId="3" borderId="2" xfId="0" applyNumberFormat="1" applyFont="1" applyFill="1" applyBorder="1" applyAlignment="1" applyProtection="1">
      <alignment horizontal="right"/>
      <protection locked="0"/>
    </xf>
    <xf numFmtId="171" fontId="1" fillId="3" borderId="2" xfId="0" applyNumberFormat="1" applyFont="1" applyFill="1" applyBorder="1" applyProtection="1">
      <protection locked="0"/>
    </xf>
    <xf numFmtId="0" fontId="1" fillId="3" borderId="12" xfId="0" applyFont="1" applyFill="1" applyBorder="1" applyAlignment="1">
      <alignment horizontal="center"/>
    </xf>
    <xf numFmtId="0" fontId="1" fillId="3" borderId="1" xfId="0" applyFont="1" applyFill="1" applyBorder="1" applyAlignment="1">
      <alignment vertical="center"/>
    </xf>
    <xf numFmtId="0" fontId="1" fillId="3" borderId="1" xfId="0" applyFont="1" applyFill="1" applyBorder="1" applyAlignment="1">
      <alignment horizontal="left" vertical="center"/>
    </xf>
    <xf numFmtId="0" fontId="1" fillId="3" borderId="3" xfId="0" applyFont="1" applyFill="1" applyBorder="1" applyAlignment="1">
      <alignment vertical="center"/>
    </xf>
    <xf numFmtId="0" fontId="1" fillId="3" borderId="3" xfId="0" applyFont="1" applyFill="1" applyBorder="1" applyAlignment="1">
      <alignment horizontal="left" vertical="center"/>
    </xf>
    <xf numFmtId="0" fontId="1" fillId="3" borderId="0" xfId="0" applyFont="1" applyFill="1" applyAlignment="1">
      <alignment vertical="center"/>
    </xf>
    <xf numFmtId="0" fontId="1" fillId="8" borderId="6" xfId="0" applyFont="1" applyFill="1" applyBorder="1"/>
    <xf numFmtId="0" fontId="1" fillId="8" borderId="6" xfId="0" applyFont="1" applyFill="1" applyBorder="1" applyAlignment="1">
      <alignment horizontal="left"/>
    </xf>
    <xf numFmtId="0" fontId="1" fillId="8" borderId="0" xfId="0" applyFont="1" applyFill="1" applyAlignment="1">
      <alignment horizontal="right"/>
    </xf>
    <xf numFmtId="0" fontId="1" fillId="8" borderId="7" xfId="0" applyFont="1" applyFill="1" applyBorder="1"/>
    <xf numFmtId="0" fontId="1" fillId="8" borderId="0" xfId="0" applyFont="1" applyFill="1" applyAlignment="1">
      <alignment horizontal="right" indent="3"/>
    </xf>
    <xf numFmtId="0" fontId="1" fillId="8" borderId="0" xfId="0" applyFont="1" applyFill="1"/>
    <xf numFmtId="2" fontId="1" fillId="8" borderId="0" xfId="0" applyNumberFormat="1" applyFont="1" applyFill="1" applyAlignment="1">
      <alignment horizontal="right" indent="3"/>
    </xf>
    <xf numFmtId="0" fontId="1" fillId="8" borderId="8" xfId="0" applyFont="1" applyFill="1" applyBorder="1"/>
    <xf numFmtId="10" fontId="1" fillId="8" borderId="0" xfId="0" applyNumberFormat="1" applyFont="1" applyFill="1"/>
    <xf numFmtId="0" fontId="1" fillId="8" borderId="7" xfId="0" applyFont="1" applyFill="1" applyBorder="1" applyAlignment="1">
      <alignment horizontal="center"/>
    </xf>
    <xf numFmtId="0" fontId="1" fillId="8" borderId="0" xfId="0" applyFont="1" applyFill="1" applyAlignment="1">
      <alignment horizontal="center"/>
    </xf>
    <xf numFmtId="0" fontId="1" fillId="8" borderId="7" xfId="0" applyFont="1" applyFill="1" applyBorder="1" applyAlignment="1">
      <alignment horizontal="right" indent="3"/>
    </xf>
    <xf numFmtId="10" fontId="1" fillId="8" borderId="3" xfId="0" applyNumberFormat="1" applyFont="1" applyFill="1" applyBorder="1"/>
    <xf numFmtId="0" fontId="1" fillId="8" borderId="13" xfId="0" applyFont="1" applyFill="1" applyBorder="1" applyAlignment="1">
      <alignment horizontal="center"/>
    </xf>
    <xf numFmtId="0" fontId="1" fillId="8" borderId="8" xfId="0" applyFont="1" applyFill="1" applyBorder="1" applyAlignment="1">
      <alignment horizontal="left"/>
    </xf>
    <xf numFmtId="0" fontId="1" fillId="8" borderId="3" xfId="0" applyFont="1" applyFill="1" applyBorder="1" applyAlignment="1">
      <alignment horizontal="right"/>
    </xf>
    <xf numFmtId="167" fontId="1" fillId="8" borderId="3" xfId="0" applyNumberFormat="1" applyFont="1" applyFill="1" applyBorder="1" applyAlignment="1">
      <alignment horizontal="right" indent="3"/>
    </xf>
    <xf numFmtId="169" fontId="1" fillId="8" borderId="4" xfId="0" applyNumberFormat="1" applyFont="1" applyFill="1" applyBorder="1"/>
    <xf numFmtId="168" fontId="1" fillId="3" borderId="0" xfId="0" applyNumberFormat="1" applyFont="1" applyFill="1"/>
    <xf numFmtId="0" fontId="1" fillId="3" borderId="0" xfId="0" applyFont="1" applyFill="1" applyAlignment="1">
      <alignment horizontal="left" wrapText="1"/>
    </xf>
    <xf numFmtId="10" fontId="1" fillId="3" borderId="0" xfId="0" applyNumberFormat="1" applyFont="1" applyFill="1"/>
    <xf numFmtId="0" fontId="1" fillId="3" borderId="0" xfId="0" quotePrefix="1" applyFont="1" applyFill="1"/>
    <xf numFmtId="0" fontId="1" fillId="3" borderId="0" xfId="0" applyFont="1" applyFill="1" applyAlignment="1">
      <alignment vertical="top"/>
    </xf>
    <xf numFmtId="0" fontId="1" fillId="2" borderId="2" xfId="0" applyFont="1" applyFill="1" applyBorder="1" applyAlignment="1">
      <alignment vertical="top"/>
    </xf>
    <xf numFmtId="0" fontId="1" fillId="8" borderId="0" xfId="0" applyFont="1" applyFill="1" applyProtection="1">
      <protection locked="0"/>
    </xf>
    <xf numFmtId="3" fontId="1" fillId="8" borderId="6" xfId="0" applyNumberFormat="1" applyFont="1" applyFill="1" applyBorder="1" applyProtection="1">
      <protection locked="0"/>
    </xf>
    <xf numFmtId="3" fontId="1" fillId="8" borderId="0" xfId="0" applyNumberFormat="1" applyFont="1" applyFill="1" applyProtection="1">
      <protection locked="0"/>
    </xf>
    <xf numFmtId="0" fontId="1" fillId="8" borderId="7" xfId="0" applyFont="1" applyFill="1" applyBorder="1" applyProtection="1">
      <protection locked="0"/>
    </xf>
    <xf numFmtId="3" fontId="1" fillId="3" borderId="0" xfId="0" applyNumberFormat="1" applyFont="1" applyFill="1"/>
    <xf numFmtId="3" fontId="1" fillId="7" borderId="0" xfId="0" applyNumberFormat="1" applyFont="1" applyFill="1"/>
    <xf numFmtId="3" fontId="1" fillId="7" borderId="3" xfId="0" applyNumberFormat="1" applyFont="1" applyFill="1" applyBorder="1"/>
    <xf numFmtId="0" fontId="1" fillId="8" borderId="1" xfId="0" applyFont="1" applyFill="1" applyBorder="1"/>
    <xf numFmtId="0" fontId="1" fillId="8" borderId="15" xfId="0" applyFont="1" applyFill="1" applyBorder="1"/>
    <xf numFmtId="3" fontId="1" fillId="8" borderId="11" xfId="0" applyNumberFormat="1" applyFont="1" applyFill="1" applyBorder="1" applyProtection="1">
      <protection locked="0"/>
    </xf>
    <xf numFmtId="3" fontId="1" fillId="8" borderId="1" xfId="0" applyNumberFormat="1" applyFont="1" applyFill="1" applyBorder="1" applyProtection="1">
      <protection locked="0"/>
    </xf>
    <xf numFmtId="3" fontId="1" fillId="8" borderId="7" xfId="0" applyNumberFormat="1" applyFont="1" applyFill="1" applyBorder="1" applyProtection="1">
      <protection locked="0"/>
    </xf>
    <xf numFmtId="0" fontId="1" fillId="8" borderId="3" xfId="0" applyFont="1" applyFill="1" applyBorder="1"/>
    <xf numFmtId="0" fontId="1" fillId="8" borderId="10" xfId="0" applyFont="1" applyFill="1" applyBorder="1"/>
    <xf numFmtId="3" fontId="1" fillId="8" borderId="8" xfId="0" applyNumberFormat="1" applyFont="1" applyFill="1" applyBorder="1" applyProtection="1">
      <protection locked="0"/>
    </xf>
    <xf numFmtId="3" fontId="1" fillId="8" borderId="3" xfId="0" applyNumberFormat="1" applyFont="1" applyFill="1" applyBorder="1" applyProtection="1">
      <protection locked="0"/>
    </xf>
    <xf numFmtId="0" fontId="1" fillId="8" borderId="3" xfId="0" applyFont="1" applyFill="1" applyBorder="1" applyProtection="1">
      <protection locked="0"/>
    </xf>
    <xf numFmtId="0" fontId="1" fillId="8" borderId="13" xfId="0" applyFont="1" applyFill="1" applyBorder="1" applyProtection="1">
      <protection locked="0"/>
    </xf>
    <xf numFmtId="14" fontId="1" fillId="3" borderId="0" xfId="0" applyNumberFormat="1" applyFont="1" applyFill="1"/>
    <xf numFmtId="9" fontId="1" fillId="3" borderId="0" xfId="1" applyFont="1" applyFill="1"/>
    <xf numFmtId="0" fontId="1" fillId="3" borderId="0" xfId="1" applyNumberFormat="1" applyFont="1" applyFill="1" applyAlignment="1">
      <alignment vertical="center"/>
    </xf>
    <xf numFmtId="9" fontId="1" fillId="3" borderId="0" xfId="1" applyFont="1" applyFill="1" applyAlignment="1">
      <alignment vertical="center"/>
    </xf>
    <xf numFmtId="3" fontId="1" fillId="3" borderId="0" xfId="1" applyNumberFormat="1" applyFont="1" applyFill="1"/>
    <xf numFmtId="9" fontId="1" fillId="3" borderId="0" xfId="0" applyNumberFormat="1" applyFont="1" applyFill="1" applyAlignment="1">
      <alignment vertical="center"/>
    </xf>
    <xf numFmtId="172" fontId="1" fillId="3" borderId="0" xfId="0" applyNumberFormat="1" applyFont="1" applyFill="1"/>
    <xf numFmtId="173" fontId="1" fillId="3" borderId="0" xfId="0" applyNumberFormat="1" applyFont="1" applyFill="1"/>
    <xf numFmtId="9" fontId="1" fillId="3" borderId="0" xfId="0" applyNumberFormat="1" applyFont="1" applyFill="1"/>
    <xf numFmtId="0" fontId="54" fillId="4" borderId="6" xfId="0" applyFont="1" applyFill="1" applyBorder="1" applyAlignment="1" applyProtection="1">
      <alignment horizontal="left" vertical="center"/>
      <protection locked="0"/>
    </xf>
    <xf numFmtId="0" fontId="54" fillId="4" borderId="0" xfId="0" applyFont="1" applyFill="1" applyAlignment="1" applyProtection="1">
      <alignment horizontal="left" vertical="center"/>
      <protection locked="0"/>
    </xf>
    <xf numFmtId="0" fontId="54" fillId="4" borderId="7" xfId="0" applyFont="1" applyFill="1" applyBorder="1" applyAlignment="1" applyProtection="1">
      <alignment horizontal="left" vertical="center"/>
      <protection locked="0"/>
    </xf>
    <xf numFmtId="0" fontId="10" fillId="3" borderId="0" xfId="0" applyFont="1" applyFill="1" applyAlignment="1">
      <alignment horizontal="center" wrapText="1"/>
    </xf>
    <xf numFmtId="0" fontId="23" fillId="9" borderId="6" xfId="0" applyFont="1" applyFill="1" applyBorder="1" applyAlignment="1" applyProtection="1">
      <alignment horizontal="left" vertical="top" wrapText="1"/>
      <protection locked="0"/>
    </xf>
    <xf numFmtId="0" fontId="23" fillId="9" borderId="0" xfId="0" applyFont="1" applyFill="1" applyAlignment="1" applyProtection="1">
      <alignment horizontal="left" vertical="top" wrapText="1"/>
      <protection locked="0"/>
    </xf>
    <xf numFmtId="0" fontId="23" fillId="9" borderId="7" xfId="0" applyFont="1" applyFill="1" applyBorder="1" applyAlignment="1" applyProtection="1">
      <alignment horizontal="left" vertical="top" wrapText="1"/>
      <protection locked="0"/>
    </xf>
    <xf numFmtId="0" fontId="23" fillId="9" borderId="8" xfId="0" applyFont="1" applyFill="1" applyBorder="1" applyAlignment="1" applyProtection="1">
      <alignment horizontal="left" vertical="top" wrapText="1"/>
      <protection locked="0"/>
    </xf>
    <xf numFmtId="0" fontId="23" fillId="9" borderId="3" xfId="0" applyFont="1" applyFill="1" applyBorder="1" applyAlignment="1" applyProtection="1">
      <alignment horizontal="left" vertical="top" wrapText="1"/>
      <protection locked="0"/>
    </xf>
    <xf numFmtId="0" fontId="23" fillId="9" borderId="13" xfId="0" applyFont="1" applyFill="1" applyBorder="1" applyAlignment="1" applyProtection="1">
      <alignment horizontal="left" vertical="top" wrapText="1"/>
      <protection locked="0"/>
    </xf>
    <xf numFmtId="0" fontId="1" fillId="9" borderId="6" xfId="0" applyFont="1" applyFill="1" applyBorder="1" applyAlignment="1" applyProtection="1">
      <alignment horizontal="left" vertical="top" wrapText="1"/>
      <protection locked="0"/>
    </xf>
    <xf numFmtId="0" fontId="1" fillId="9" borderId="0" xfId="0" applyFont="1" applyFill="1" applyAlignment="1" applyProtection="1">
      <alignment horizontal="left" vertical="top" wrapText="1"/>
      <protection locked="0"/>
    </xf>
    <xf numFmtId="0" fontId="1" fillId="9" borderId="7" xfId="0" applyFont="1" applyFill="1" applyBorder="1" applyAlignment="1" applyProtection="1">
      <alignment horizontal="left" vertical="top" wrapText="1"/>
      <protection locked="0"/>
    </xf>
    <xf numFmtId="0" fontId="1" fillId="9" borderId="8" xfId="0" applyFont="1" applyFill="1" applyBorder="1" applyAlignment="1" applyProtection="1">
      <alignment horizontal="left" vertical="top" wrapText="1"/>
      <protection locked="0"/>
    </xf>
    <xf numFmtId="0" fontId="1" fillId="9" borderId="3" xfId="0" applyFont="1" applyFill="1" applyBorder="1" applyAlignment="1" applyProtection="1">
      <alignment horizontal="left" vertical="top" wrapText="1"/>
      <protection locked="0"/>
    </xf>
    <xf numFmtId="0" fontId="1" fillId="9" borderId="13" xfId="0" applyFont="1" applyFill="1" applyBorder="1" applyAlignment="1" applyProtection="1">
      <alignment horizontal="left" vertical="top" wrapText="1"/>
      <protection locked="0"/>
    </xf>
    <xf numFmtId="0" fontId="13" fillId="3" borderId="11" xfId="0" applyFont="1" applyFill="1" applyBorder="1" applyAlignment="1">
      <alignment horizontal="left" vertical="top"/>
    </xf>
    <xf numFmtId="0" fontId="13" fillId="3" borderId="1" xfId="0" applyFont="1" applyFill="1" applyBorder="1" applyAlignment="1">
      <alignment horizontal="left" vertical="top"/>
    </xf>
    <xf numFmtId="0" fontId="13" fillId="3" borderId="12" xfId="0" applyFont="1" applyFill="1" applyBorder="1" applyAlignment="1">
      <alignment horizontal="left" vertical="top"/>
    </xf>
    <xf numFmtId="0" fontId="13" fillId="3" borderId="11" xfId="0" applyFont="1" applyFill="1" applyBorder="1" applyAlignment="1">
      <alignment horizontal="left" vertical="top" wrapText="1"/>
    </xf>
    <xf numFmtId="0" fontId="13" fillId="3" borderId="1" xfId="0" applyFont="1" applyFill="1" applyBorder="1" applyAlignment="1">
      <alignment horizontal="left" vertical="top" wrapText="1"/>
    </xf>
    <xf numFmtId="0" fontId="13" fillId="3" borderId="12" xfId="0" applyFont="1" applyFill="1" applyBorder="1" applyAlignment="1">
      <alignment horizontal="left" vertical="top" wrapText="1"/>
    </xf>
    <xf numFmtId="0" fontId="1" fillId="3" borderId="29" xfId="0" applyFont="1" applyFill="1" applyBorder="1" applyAlignment="1">
      <alignment horizontal="left" wrapText="1"/>
    </xf>
    <xf numFmtId="0" fontId="1" fillId="3" borderId="29" xfId="0" applyFont="1" applyFill="1" applyBorder="1" applyAlignment="1">
      <alignment horizontal="left" vertical="top" wrapText="1"/>
    </xf>
    <xf numFmtId="0" fontId="58" fillId="3" borderId="6" xfId="0" applyFont="1" applyFill="1" applyBorder="1" applyAlignment="1" applyProtection="1">
      <alignment horizontal="center" vertical="center" wrapText="1"/>
      <protection locked="0"/>
    </xf>
    <xf numFmtId="0" fontId="58" fillId="3" borderId="0" xfId="0" applyFont="1" applyFill="1" applyAlignment="1" applyProtection="1">
      <alignment horizontal="center" vertical="center" wrapText="1"/>
      <protection locked="0"/>
    </xf>
    <xf numFmtId="0" fontId="58" fillId="3" borderId="8" xfId="0" applyFont="1" applyFill="1" applyBorder="1" applyAlignment="1" applyProtection="1">
      <alignment horizontal="center" vertical="center" wrapText="1"/>
      <protection locked="0"/>
    </xf>
    <xf numFmtId="0" fontId="58" fillId="3" borderId="3" xfId="0" applyFont="1" applyFill="1" applyBorder="1" applyAlignment="1" applyProtection="1">
      <alignment horizontal="center" vertical="center" wrapText="1"/>
      <protection locked="0"/>
    </xf>
    <xf numFmtId="0" fontId="58" fillId="3" borderId="7" xfId="0" applyFont="1" applyFill="1" applyBorder="1" applyAlignment="1" applyProtection="1">
      <alignment horizontal="center" vertical="center" wrapText="1"/>
      <protection locked="0"/>
    </xf>
    <xf numFmtId="0" fontId="58" fillId="3" borderId="13" xfId="0" applyFont="1" applyFill="1" applyBorder="1" applyAlignment="1" applyProtection="1">
      <alignment horizontal="center" vertical="center" wrapText="1"/>
      <protection locked="0"/>
    </xf>
    <xf numFmtId="0" fontId="1" fillId="3" borderId="6" xfId="0" applyFont="1" applyFill="1" applyBorder="1" applyAlignment="1" applyProtection="1">
      <alignment horizontal="center"/>
      <protection locked="0"/>
    </xf>
    <xf numFmtId="0" fontId="1" fillId="3" borderId="0" xfId="0" applyFont="1" applyFill="1" applyAlignment="1" applyProtection="1">
      <alignment horizontal="center"/>
      <protection locked="0"/>
    </xf>
    <xf numFmtId="0" fontId="1" fillId="3" borderId="7" xfId="0" applyFont="1" applyFill="1" applyBorder="1" applyAlignment="1" applyProtection="1">
      <alignment horizontal="center"/>
      <protection locked="0"/>
    </xf>
    <xf numFmtId="0" fontId="1" fillId="3" borderId="8" xfId="0" applyFont="1" applyFill="1" applyBorder="1" applyAlignment="1" applyProtection="1">
      <alignment horizontal="center"/>
      <protection locked="0"/>
    </xf>
    <xf numFmtId="0" fontId="1" fillId="3" borderId="3" xfId="0" applyFont="1" applyFill="1" applyBorder="1" applyAlignment="1" applyProtection="1">
      <alignment horizontal="center"/>
      <protection locked="0"/>
    </xf>
    <xf numFmtId="0" fontId="1" fillId="3" borderId="13" xfId="0" applyFont="1" applyFill="1" applyBorder="1" applyAlignment="1" applyProtection="1">
      <alignment horizontal="center"/>
      <protection locked="0"/>
    </xf>
    <xf numFmtId="0" fontId="1" fillId="3" borderId="32" xfId="0" applyFont="1" applyFill="1" applyBorder="1" applyAlignment="1">
      <alignment horizontal="right"/>
    </xf>
    <xf numFmtId="0" fontId="1" fillId="3" borderId="28" xfId="0" applyFont="1" applyFill="1" applyBorder="1" applyAlignment="1">
      <alignment horizontal="right"/>
    </xf>
    <xf numFmtId="0" fontId="1" fillId="3" borderId="33" xfId="0" applyFont="1" applyFill="1" applyBorder="1" applyAlignment="1">
      <alignment horizontal="right"/>
    </xf>
    <xf numFmtId="0" fontId="1" fillId="3" borderId="4" xfId="0" applyFont="1" applyFill="1" applyBorder="1" applyAlignment="1">
      <alignment horizontal="left" wrapText="1"/>
    </xf>
    <xf numFmtId="0" fontId="1" fillId="3" borderId="2" xfId="0" applyFont="1" applyFill="1" applyBorder="1" applyAlignment="1">
      <alignment horizontal="left" wrapText="1"/>
    </xf>
    <xf numFmtId="0" fontId="13" fillId="3" borderId="4" xfId="0" applyFont="1" applyFill="1" applyBorder="1" applyAlignment="1">
      <alignment horizontal="center"/>
    </xf>
    <xf numFmtId="0" fontId="13" fillId="3" borderId="2" xfId="0" applyFont="1" applyFill="1" applyBorder="1" applyAlignment="1">
      <alignment horizontal="center"/>
    </xf>
    <xf numFmtId="0" fontId="13" fillId="3" borderId="5" xfId="0" applyFont="1" applyFill="1" applyBorder="1" applyAlignment="1">
      <alignment horizontal="center"/>
    </xf>
    <xf numFmtId="0" fontId="1" fillId="3" borderId="11" xfId="0" applyFont="1" applyFill="1" applyBorder="1" applyAlignment="1">
      <alignment horizontal="left" vertical="top"/>
    </xf>
    <xf numFmtId="0" fontId="1" fillId="3" borderId="1" xfId="0" applyFont="1" applyFill="1" applyBorder="1" applyAlignment="1">
      <alignment horizontal="left" vertical="top"/>
    </xf>
    <xf numFmtId="0" fontId="1" fillId="3" borderId="12" xfId="0" applyFont="1" applyFill="1" applyBorder="1" applyAlignment="1">
      <alignment horizontal="left" vertical="top"/>
    </xf>
    <xf numFmtId="0" fontId="1" fillId="3" borderId="6" xfId="0" applyFont="1" applyFill="1" applyBorder="1" applyAlignment="1">
      <alignment horizontal="left" vertical="top"/>
    </xf>
    <xf numFmtId="0" fontId="1" fillId="3" borderId="0" xfId="0" applyFont="1" applyFill="1" applyAlignment="1">
      <alignment horizontal="left" vertical="top"/>
    </xf>
    <xf numFmtId="0" fontId="1" fillId="3" borderId="7" xfId="0" applyFont="1" applyFill="1" applyBorder="1" applyAlignment="1">
      <alignment horizontal="left" vertical="top"/>
    </xf>
    <xf numFmtId="0" fontId="1" fillId="3" borderId="8" xfId="0" applyFont="1" applyFill="1" applyBorder="1" applyAlignment="1">
      <alignment horizontal="left" vertical="top"/>
    </xf>
    <xf numFmtId="0" fontId="1" fillId="3" borderId="3" xfId="0" applyFont="1" applyFill="1" applyBorder="1" applyAlignment="1">
      <alignment horizontal="left" vertical="top"/>
    </xf>
    <xf numFmtId="0" fontId="1" fillId="3" borderId="13" xfId="0" applyFont="1" applyFill="1" applyBorder="1" applyAlignment="1">
      <alignment horizontal="left" vertical="top"/>
    </xf>
    <xf numFmtId="0" fontId="1" fillId="9" borderId="11" xfId="0" applyFont="1" applyFill="1" applyBorder="1" applyAlignment="1" applyProtection="1">
      <alignment horizontal="left" vertical="top" wrapText="1"/>
      <protection locked="0"/>
    </xf>
    <xf numFmtId="0" fontId="1" fillId="9" borderId="1" xfId="0" applyFont="1" applyFill="1" applyBorder="1" applyAlignment="1" applyProtection="1">
      <alignment horizontal="left" vertical="top" wrapText="1"/>
      <protection locked="0"/>
    </xf>
    <xf numFmtId="0" fontId="1" fillId="9" borderId="12" xfId="0" applyFont="1" applyFill="1" applyBorder="1" applyAlignment="1" applyProtection="1">
      <alignment horizontal="left" vertical="top" wrapText="1"/>
      <protection locked="0"/>
    </xf>
    <xf numFmtId="0" fontId="17" fillId="3" borderId="11" xfId="0" applyFont="1" applyFill="1" applyBorder="1" applyAlignment="1">
      <alignment horizontal="left" vertical="top"/>
    </xf>
    <xf numFmtId="0" fontId="17" fillId="3" borderId="1" xfId="0" applyFont="1" applyFill="1" applyBorder="1" applyAlignment="1">
      <alignment horizontal="left" vertical="top"/>
    </xf>
    <xf numFmtId="0" fontId="17" fillId="3" borderId="12" xfId="0" applyFont="1" applyFill="1" applyBorder="1" applyAlignment="1">
      <alignment horizontal="left" vertical="top"/>
    </xf>
    <xf numFmtId="0" fontId="1" fillId="3" borderId="11" xfId="0" applyFont="1" applyFill="1" applyBorder="1" applyAlignment="1">
      <alignment vertical="center"/>
    </xf>
    <xf numFmtId="0" fontId="1" fillId="3" borderId="8" xfId="0" applyFont="1" applyFill="1" applyBorder="1" applyAlignment="1">
      <alignment vertical="center"/>
    </xf>
    <xf numFmtId="0" fontId="1" fillId="3" borderId="1" xfId="0" applyFont="1" applyFill="1" applyBorder="1" applyAlignment="1">
      <alignment horizontal="left" vertical="center"/>
    </xf>
    <xf numFmtId="0" fontId="1" fillId="3" borderId="12" xfId="0" applyFont="1" applyFill="1" applyBorder="1" applyAlignment="1">
      <alignment horizontal="left" vertical="center"/>
    </xf>
    <xf numFmtId="0" fontId="1" fillId="3" borderId="3" xfId="0" applyFont="1" applyFill="1" applyBorder="1" applyAlignment="1">
      <alignment horizontal="left" vertical="center"/>
    </xf>
    <xf numFmtId="0" fontId="1" fillId="3" borderId="13" xfId="0" applyFont="1" applyFill="1" applyBorder="1" applyAlignment="1">
      <alignment horizontal="left" vertical="center"/>
    </xf>
    <xf numFmtId="0" fontId="1" fillId="3" borderId="11" xfId="0" applyFont="1" applyFill="1" applyBorder="1" applyAlignment="1">
      <alignment horizontal="left" vertical="center"/>
    </xf>
    <xf numFmtId="0" fontId="1" fillId="3" borderId="8" xfId="0" applyFont="1" applyFill="1" applyBorder="1" applyAlignment="1">
      <alignment horizontal="left" vertical="center"/>
    </xf>
    <xf numFmtId="0" fontId="18" fillId="4" borderId="11" xfId="0" applyFont="1" applyFill="1" applyBorder="1" applyAlignment="1">
      <alignment horizontal="center"/>
    </xf>
    <xf numFmtId="0" fontId="18" fillId="4" borderId="1" xfId="0" applyFont="1" applyFill="1" applyBorder="1" applyAlignment="1">
      <alignment horizontal="center"/>
    </xf>
    <xf numFmtId="0" fontId="18" fillId="4" borderId="12" xfId="0" applyFont="1" applyFill="1" applyBorder="1" applyAlignment="1">
      <alignment horizontal="center"/>
    </xf>
    <xf numFmtId="177" fontId="20" fillId="6" borderId="0" xfId="0" applyNumberFormat="1" applyFont="1" applyFill="1" applyAlignment="1">
      <alignment horizontal="right" vertical="top" wrapText="1" indent="3"/>
    </xf>
    <xf numFmtId="0" fontId="18" fillId="4" borderId="4" xfId="0" applyFont="1" applyFill="1" applyBorder="1" applyAlignment="1">
      <alignment horizontal="center" wrapText="1"/>
    </xf>
    <xf numFmtId="0" fontId="18" fillId="4" borderId="2" xfId="0" applyFont="1" applyFill="1" applyBorder="1" applyAlignment="1">
      <alignment horizontal="center" wrapText="1"/>
    </xf>
    <xf numFmtId="0" fontId="18" fillId="4" borderId="5" xfId="0" applyFont="1" applyFill="1" applyBorder="1" applyAlignment="1">
      <alignment horizontal="center" wrapText="1"/>
    </xf>
    <xf numFmtId="0" fontId="1" fillId="3" borderId="0" xfId="0" applyFont="1" applyFill="1" applyAlignment="1"/>
    <xf numFmtId="0" fontId="18" fillId="4" borderId="4" xfId="0" applyFont="1" applyFill="1" applyBorder="1" applyAlignment="1">
      <alignment horizontal="center"/>
    </xf>
    <xf numFmtId="0" fontId="18" fillId="4" borderId="2" xfId="0" applyFont="1" applyFill="1" applyBorder="1" applyAlignment="1">
      <alignment horizontal="center"/>
    </xf>
    <xf numFmtId="0" fontId="50" fillId="8" borderId="0" xfId="0" applyFont="1" applyFill="1" applyAlignment="1">
      <alignment horizontal="left" vertical="top" wrapText="1"/>
    </xf>
    <xf numFmtId="0" fontId="1" fillId="8" borderId="6" xfId="0" applyFont="1" applyFill="1" applyBorder="1" applyAlignment="1">
      <alignment horizontal="left"/>
    </xf>
    <xf numFmtId="0" fontId="1" fillId="8" borderId="0" xfId="0" applyFont="1" applyFill="1" applyAlignment="1">
      <alignment horizontal="left"/>
    </xf>
    <xf numFmtId="0" fontId="18" fillId="4" borderId="1" xfId="0" applyFont="1" applyFill="1" applyBorder="1" applyAlignment="1">
      <alignment horizontal="left"/>
    </xf>
    <xf numFmtId="0" fontId="55" fillId="3" borderId="7" xfId="0" applyFont="1" applyFill="1" applyBorder="1" applyAlignment="1">
      <alignment horizontal="center" vertical="center"/>
    </xf>
    <xf numFmtId="0" fontId="18" fillId="9" borderId="11" xfId="0" applyFont="1" applyFill="1" applyBorder="1" applyAlignment="1">
      <alignment horizontal="center"/>
    </xf>
    <xf numFmtId="0" fontId="18" fillId="9" borderId="1" xfId="0" applyFont="1" applyFill="1" applyBorder="1" applyAlignment="1">
      <alignment horizontal="center"/>
    </xf>
    <xf numFmtId="0" fontId="18" fillId="9" borderId="12" xfId="0" applyFont="1" applyFill="1" applyBorder="1" applyAlignment="1">
      <alignment horizontal="center"/>
    </xf>
    <xf numFmtId="0" fontId="20" fillId="8" borderId="0" xfId="0" applyFont="1" applyFill="1" applyAlignment="1">
      <alignment horizontal="left"/>
    </xf>
    <xf numFmtId="0" fontId="18" fillId="4" borderId="5" xfId="0" applyFont="1" applyFill="1" applyBorder="1" applyAlignment="1">
      <alignment horizontal="center"/>
    </xf>
    <xf numFmtId="0" fontId="20" fillId="8" borderId="0" xfId="0" applyFont="1" applyFill="1" applyAlignment="1">
      <alignment horizontal="right"/>
    </xf>
    <xf numFmtId="164" fontId="20" fillId="6" borderId="0" xfId="0" applyNumberFormat="1" applyFont="1" applyFill="1" applyAlignment="1">
      <alignment horizontal="right" vertical="top" wrapText="1" indent="3"/>
    </xf>
    <xf numFmtId="1" fontId="20" fillId="8" borderId="0" xfId="0" applyNumberFormat="1" applyFont="1" applyFill="1" applyAlignment="1">
      <alignment horizontal="right" vertical="top" wrapText="1" indent="3"/>
    </xf>
    <xf numFmtId="167" fontId="20" fillId="8" borderId="0" xfId="0" applyNumberFormat="1" applyFont="1" applyFill="1" applyAlignment="1">
      <alignment horizontal="right" vertical="top" wrapText="1" indent="3"/>
    </xf>
    <xf numFmtId="0" fontId="17" fillId="8" borderId="1" xfId="0" applyFont="1" applyFill="1" applyBorder="1" applyAlignment="1">
      <alignment horizontal="right" vertical="top" wrapText="1" indent="2"/>
    </xf>
    <xf numFmtId="0" fontId="27" fillId="0" borderId="0" xfId="0" applyFont="1" applyAlignment="1">
      <alignment horizontal="left" vertical="top" wrapText="1"/>
    </xf>
    <xf numFmtId="0" fontId="44" fillId="3" borderId="0" xfId="0" applyFont="1" applyFill="1" applyAlignment="1">
      <alignment horizontal="center"/>
    </xf>
    <xf numFmtId="167" fontId="62" fillId="4" borderId="0" xfId="0" applyNumberFormat="1" applyFont="1" applyFill="1" applyAlignment="1">
      <alignment horizontal="center" vertical="center"/>
    </xf>
    <xf numFmtId="0" fontId="27" fillId="3" borderId="0" xfId="0" applyFont="1" applyFill="1" applyAlignment="1">
      <alignment horizontal="left" vertical="top" wrapText="1"/>
    </xf>
    <xf numFmtId="9" fontId="27" fillId="3" borderId="0" xfId="0" applyNumberFormat="1" applyFont="1" applyFill="1" applyAlignment="1">
      <alignment horizontal="left" vertical="top" wrapText="1"/>
    </xf>
    <xf numFmtId="0" fontId="1" fillId="8" borderId="0" xfId="0" applyFont="1" applyFill="1" applyBorder="1" applyAlignment="1">
      <alignment horizontal="left"/>
    </xf>
    <xf numFmtId="0" fontId="55" fillId="3" borderId="0" xfId="0" applyFont="1" applyFill="1" applyBorder="1" applyAlignment="1">
      <alignment horizontal="center" vertical="center"/>
    </xf>
    <xf numFmtId="0" fontId="21" fillId="3" borderId="0" xfId="0" applyFont="1" applyFill="1"/>
    <xf numFmtId="0" fontId="13" fillId="8" borderId="1" xfId="0" applyFont="1" applyFill="1" applyBorder="1"/>
    <xf numFmtId="0" fontId="21" fillId="3" borderId="0" xfId="0" quotePrefix="1" applyFont="1" applyFill="1"/>
    <xf numFmtId="10" fontId="17" fillId="8" borderId="35" xfId="0" applyNumberFormat="1" applyFont="1" applyFill="1" applyBorder="1"/>
    <xf numFmtId="0" fontId="18" fillId="4" borderId="2" xfId="0" applyFont="1" applyFill="1" applyBorder="1" applyAlignment="1">
      <alignment horizontal="right"/>
    </xf>
    <xf numFmtId="10" fontId="18" fillId="4" borderId="14" xfId="0" applyNumberFormat="1" applyFont="1" applyFill="1" applyBorder="1" applyAlignment="1">
      <alignment horizontal="right"/>
    </xf>
    <xf numFmtId="10" fontId="1" fillId="3" borderId="3" xfId="0" applyNumberFormat="1" applyFont="1" applyFill="1" applyBorder="1" applyAlignment="1">
      <alignment horizontal="right"/>
    </xf>
    <xf numFmtId="10" fontId="1" fillId="3" borderId="13" xfId="0" applyNumberFormat="1" applyFont="1" applyFill="1" applyBorder="1" applyAlignment="1">
      <alignment horizontal="right"/>
    </xf>
    <xf numFmtId="3" fontId="20" fillId="8" borderId="0" xfId="0" applyNumberFormat="1" applyFont="1" applyFill="1" applyAlignment="1">
      <alignment horizontal="right" vertical="top" wrapText="1" indent="3"/>
    </xf>
    <xf numFmtId="3" fontId="17" fillId="8" borderId="35" xfId="0" applyNumberFormat="1" applyFont="1" applyFill="1" applyBorder="1" applyAlignment="1">
      <alignment horizontal="right"/>
    </xf>
    <xf numFmtId="166" fontId="24" fillId="3" borderId="7" xfId="0" applyNumberFormat="1" applyFont="1" applyFill="1" applyBorder="1" applyAlignment="1" applyProtection="1">
      <alignment horizontal="right" vertical="top"/>
      <protection locked="0"/>
    </xf>
    <xf numFmtId="166" fontId="1" fillId="3" borderId="3" xfId="0" applyNumberFormat="1" applyFont="1" applyFill="1" applyBorder="1" applyAlignment="1">
      <alignment horizontal="right"/>
    </xf>
    <xf numFmtId="0" fontId="1" fillId="7" borderId="0" xfId="0" applyFont="1" applyFill="1" applyProtection="1">
      <protection locked="0"/>
    </xf>
    <xf numFmtId="0" fontId="1" fillId="7" borderId="0" xfId="0" applyFont="1" applyFill="1" applyAlignment="1" applyProtection="1">
      <alignment horizontal="center" vertical="top"/>
      <protection locked="0"/>
    </xf>
    <xf numFmtId="3" fontId="1" fillId="7" borderId="6" xfId="0" applyNumberFormat="1" applyFont="1" applyFill="1" applyBorder="1" applyProtection="1">
      <protection locked="0"/>
    </xf>
    <xf numFmtId="3" fontId="1" fillId="7" borderId="0" xfId="0" applyNumberFormat="1" applyFont="1" applyFill="1" applyProtection="1">
      <protection locked="0"/>
    </xf>
    <xf numFmtId="9" fontId="1" fillId="7" borderId="0" xfId="0" applyNumberFormat="1" applyFont="1" applyFill="1" applyProtection="1">
      <protection locked="0"/>
    </xf>
    <xf numFmtId="0" fontId="1" fillId="7" borderId="7" xfId="0" applyFont="1" applyFill="1" applyBorder="1" applyProtection="1">
      <protection locked="0"/>
    </xf>
    <xf numFmtId="164" fontId="1" fillId="7" borderId="11" xfId="1" applyNumberFormat="1" applyFont="1" applyFill="1" applyBorder="1" applyProtection="1">
      <protection locked="0"/>
    </xf>
    <xf numFmtId="0" fontId="1" fillId="7" borderId="11" xfId="0" applyFont="1" applyFill="1" applyBorder="1" applyAlignment="1" applyProtection="1">
      <alignment horizontal="center"/>
      <protection locked="0"/>
    </xf>
    <xf numFmtId="0" fontId="1" fillId="7" borderId="12" xfId="0" applyFont="1" applyFill="1" applyBorder="1" applyAlignment="1" applyProtection="1">
      <alignment horizontal="center"/>
      <protection locked="0"/>
    </xf>
    <xf numFmtId="164" fontId="1" fillId="7" borderId="6" xfId="1" applyNumberFormat="1" applyFont="1" applyFill="1" applyBorder="1" applyProtection="1">
      <protection locked="0"/>
    </xf>
    <xf numFmtId="0" fontId="1" fillId="7" borderId="6" xfId="0" applyFont="1" applyFill="1" applyBorder="1" applyAlignment="1" applyProtection="1">
      <alignment horizontal="center"/>
      <protection locked="0"/>
    </xf>
    <xf numFmtId="0" fontId="1" fillId="7" borderId="7" xfId="0" applyFont="1" applyFill="1" applyBorder="1" applyAlignment="1" applyProtection="1">
      <alignment horizontal="center"/>
      <protection locked="0"/>
    </xf>
    <xf numFmtId="0" fontId="1" fillId="7" borderId="8" xfId="0" applyFont="1" applyFill="1" applyBorder="1" applyAlignment="1" applyProtection="1">
      <alignment horizontal="center"/>
      <protection locked="0"/>
    </xf>
    <xf numFmtId="0" fontId="1" fillId="7" borderId="13" xfId="0" applyFont="1" applyFill="1" applyBorder="1" applyAlignment="1" applyProtection="1">
      <alignment horizontal="center"/>
      <protection locked="0"/>
    </xf>
    <xf numFmtId="3" fontId="1" fillId="7" borderId="7" xfId="0" applyNumberFormat="1" applyFont="1" applyFill="1" applyBorder="1" applyAlignment="1" applyProtection="1">
      <alignment horizontal="right"/>
      <protection locked="0"/>
    </xf>
    <xf numFmtId="3" fontId="1" fillId="7" borderId="0" xfId="0" applyNumberFormat="1" applyFont="1" applyFill="1" applyAlignment="1" applyProtection="1">
      <alignment horizontal="right"/>
      <protection locked="0"/>
    </xf>
    <xf numFmtId="3" fontId="1" fillId="7" borderId="0" xfId="0" applyNumberFormat="1" applyFont="1" applyFill="1" applyAlignment="1" applyProtection="1">
      <alignment horizontal="center"/>
      <protection locked="0"/>
    </xf>
    <xf numFmtId="3" fontId="1" fillId="7" borderId="11" xfId="0" applyNumberFormat="1" applyFont="1" applyFill="1" applyBorder="1" applyAlignment="1" applyProtection="1">
      <alignment horizontal="left"/>
      <protection locked="0"/>
    </xf>
    <xf numFmtId="3" fontId="1" fillId="7" borderId="1" xfId="0" applyNumberFormat="1" applyFont="1" applyFill="1" applyBorder="1" applyAlignment="1" applyProtection="1">
      <alignment horizontal="left"/>
      <protection locked="0"/>
    </xf>
    <xf numFmtId="3" fontId="1" fillId="7" borderId="6" xfId="0" applyNumberFormat="1" applyFont="1" applyFill="1" applyBorder="1" applyAlignment="1" applyProtection="1">
      <alignment horizontal="left"/>
      <protection locked="0"/>
    </xf>
    <xf numFmtId="3" fontId="1" fillId="7" borderId="0" xfId="0" applyNumberFormat="1" applyFont="1" applyFill="1" applyAlignment="1" applyProtection="1">
      <alignment horizontal="left"/>
      <protection locked="0"/>
    </xf>
    <xf numFmtId="9" fontId="1" fillId="7" borderId="6" xfId="0" applyNumberFormat="1" applyFont="1" applyFill="1" applyBorder="1" applyAlignment="1" applyProtection="1">
      <alignment horizontal="right"/>
      <protection locked="0"/>
    </xf>
    <xf numFmtId="9" fontId="1" fillId="7" borderId="7" xfId="0" applyNumberFormat="1" applyFont="1" applyFill="1" applyBorder="1" applyAlignment="1" applyProtection="1">
      <alignment horizontal="right"/>
      <protection locked="0"/>
    </xf>
    <xf numFmtId="9" fontId="1" fillId="7" borderId="8" xfId="0" applyNumberFormat="1" applyFont="1" applyFill="1" applyBorder="1" applyAlignment="1" applyProtection="1">
      <alignment horizontal="right"/>
      <protection locked="0"/>
    </xf>
    <xf numFmtId="9" fontId="1" fillId="7" borderId="13" xfId="0" applyNumberFormat="1" applyFont="1" applyFill="1" applyBorder="1" applyAlignment="1" applyProtection="1">
      <alignment horizontal="right"/>
      <protection locked="0"/>
    </xf>
    <xf numFmtId="3" fontId="13" fillId="9" borderId="12" xfId="0" applyNumberFormat="1" applyFont="1" applyFill="1" applyBorder="1"/>
    <xf numFmtId="3" fontId="13" fillId="9" borderId="7" xfId="0" applyNumberFormat="1" applyFont="1" applyFill="1" applyBorder="1"/>
    <xf numFmtId="3" fontId="13" fillId="9" borderId="13" xfId="0" applyNumberFormat="1" applyFont="1" applyFill="1" applyBorder="1"/>
    <xf numFmtId="3" fontId="1" fillId="9" borderId="1" xfId="0" applyNumberFormat="1" applyFont="1" applyFill="1" applyBorder="1"/>
    <xf numFmtId="3" fontId="1" fillId="9" borderId="0" xfId="0" applyNumberFormat="1" applyFont="1" applyFill="1"/>
    <xf numFmtId="3" fontId="1" fillId="9" borderId="3" xfId="0" applyNumberFormat="1" applyFont="1" applyFill="1" applyBorder="1"/>
    <xf numFmtId="3" fontId="1" fillId="8" borderId="12" xfId="0" applyNumberFormat="1" applyFont="1" applyFill="1" applyBorder="1"/>
    <xf numFmtId="3" fontId="1" fillId="8" borderId="7" xfId="0" applyNumberFormat="1" applyFont="1" applyFill="1" applyBorder="1"/>
    <xf numFmtId="3" fontId="1" fillId="8" borderId="13" xfId="0" applyNumberFormat="1" applyFont="1" applyFill="1" applyBorder="1"/>
    <xf numFmtId="3" fontId="13" fillId="8" borderId="13" xfId="0" applyNumberFormat="1" applyFont="1" applyFill="1" applyBorder="1"/>
    <xf numFmtId="10" fontId="1" fillId="8" borderId="7" xfId="0" applyNumberFormat="1" applyFont="1" applyFill="1" applyBorder="1" applyAlignment="1">
      <alignment horizontal="center"/>
    </xf>
    <xf numFmtId="10" fontId="13" fillId="8" borderId="7" xfId="0" applyNumberFormat="1" applyFont="1" applyFill="1" applyBorder="1" applyAlignment="1">
      <alignment horizontal="center"/>
    </xf>
    <xf numFmtId="3" fontId="1" fillId="9" borderId="11" xfId="0" applyNumberFormat="1" applyFont="1" applyFill="1" applyBorder="1"/>
    <xf numFmtId="3" fontId="1" fillId="9" borderId="6" xfId="0" applyNumberFormat="1" applyFont="1" applyFill="1" applyBorder="1"/>
    <xf numFmtId="3" fontId="1" fillId="9" borderId="8" xfId="0" applyNumberFormat="1" applyFont="1" applyFill="1" applyBorder="1"/>
    <xf numFmtId="0" fontId="0" fillId="3" borderId="0" xfId="0" applyFont="1" applyFill="1"/>
    <xf numFmtId="0" fontId="0" fillId="3" borderId="3" xfId="0" applyFont="1" applyFill="1" applyBorder="1"/>
    <xf numFmtId="3" fontId="0" fillId="3" borderId="0" xfId="0" applyNumberFormat="1" applyFont="1" applyFill="1"/>
    <xf numFmtId="0" fontId="0" fillId="3" borderId="1" xfId="0" applyFont="1" applyFill="1" applyBorder="1"/>
    <xf numFmtId="3" fontId="0" fillId="3" borderId="1" xfId="0" applyNumberFormat="1" applyFont="1" applyFill="1" applyBorder="1"/>
    <xf numFmtId="3" fontId="0" fillId="3" borderId="3" xfId="0" applyNumberFormat="1" applyFont="1" applyFill="1" applyBorder="1"/>
    <xf numFmtId="0" fontId="0" fillId="0" borderId="0" xfId="0" applyFont="1"/>
    <xf numFmtId="9" fontId="0" fillId="3" borderId="0" xfId="0" applyNumberFormat="1" applyFont="1" applyFill="1"/>
    <xf numFmtId="0" fontId="69" fillId="0" borderId="0" xfId="0" applyFont="1"/>
    <xf numFmtId="0" fontId="18" fillId="4" borderId="2" xfId="0" applyFont="1" applyFill="1" applyBorder="1" applyAlignment="1">
      <alignment horizontal="center" vertical="center"/>
    </xf>
    <xf numFmtId="3" fontId="1" fillId="7" borderId="1" xfId="0" applyNumberFormat="1" applyFont="1" applyFill="1" applyBorder="1" applyAlignment="1" applyProtection="1">
      <alignment horizontal="left"/>
      <protection locked="0"/>
    </xf>
    <xf numFmtId="10" fontId="1" fillId="8" borderId="7" xfId="0" applyNumberFormat="1" applyFont="1" applyFill="1" applyBorder="1" applyAlignment="1">
      <alignment horizontal="center"/>
    </xf>
    <xf numFmtId="3" fontId="1" fillId="7" borderId="0" xfId="0" applyNumberFormat="1" applyFont="1" applyFill="1" applyAlignment="1" applyProtection="1">
      <alignment horizontal="left"/>
      <protection locked="0"/>
    </xf>
    <xf numFmtId="0" fontId="18" fillId="9" borderId="10" xfId="0" applyFont="1" applyFill="1" applyBorder="1" applyAlignment="1">
      <alignment horizontal="right" vertical="top" wrapText="1"/>
    </xf>
    <xf numFmtId="0" fontId="70" fillId="3" borderId="0" xfId="0" applyFont="1" applyFill="1"/>
    <xf numFmtId="0" fontId="71" fillId="3" borderId="0" xfId="0" applyFont="1" applyFill="1"/>
    <xf numFmtId="10" fontId="18" fillId="4" borderId="5" xfId="1" applyNumberFormat="1" applyFont="1" applyFill="1" applyBorder="1" applyAlignment="1" applyProtection="1">
      <alignment horizontal="right"/>
      <protection locked="0"/>
    </xf>
    <xf numFmtId="10" fontId="1" fillId="3" borderId="7" xfId="1" applyNumberFormat="1" applyFont="1" applyFill="1" applyBorder="1" applyAlignment="1" applyProtection="1">
      <alignment horizontal="right"/>
      <protection locked="0"/>
    </xf>
    <xf numFmtId="10" fontId="1" fillId="3" borderId="13" xfId="1" applyNumberFormat="1" applyFont="1" applyFill="1" applyBorder="1" applyProtection="1">
      <protection locked="0"/>
    </xf>
    <xf numFmtId="10" fontId="1" fillId="3" borderId="7" xfId="1" applyNumberFormat="1" applyFont="1" applyFill="1" applyBorder="1" applyProtection="1">
      <protection locked="0"/>
    </xf>
    <xf numFmtId="10" fontId="20" fillId="6" borderId="0" xfId="0" applyNumberFormat="1" applyFont="1" applyFill="1" applyAlignment="1">
      <alignment horizontal="right" vertical="top" wrapText="1" indent="3"/>
    </xf>
    <xf numFmtId="10" fontId="63" fillId="4" borderId="0" xfId="0" applyNumberFormat="1" applyFont="1" applyFill="1"/>
    <xf numFmtId="10" fontId="64" fillId="4" borderId="0" xfId="0" applyNumberFormat="1" applyFont="1" applyFill="1"/>
    <xf numFmtId="10" fontId="20" fillId="8" borderId="0" xfId="1" applyNumberFormat="1" applyFont="1" applyFill="1" applyBorder="1"/>
    <xf numFmtId="169" fontId="1" fillId="9" borderId="7" xfId="0" applyFont="1" applyFill="1" applyBorder="1" applyAlignment="1" applyProtection="1" applyNumberFormat="1">
      <alignment horizontal="right"/>
      <protection locked="0"/>
    </xf>
    <xf numFmtId="0" fontId="72" fillId="3" borderId="8" xfId="0" applyFont="1" applyFill="1" applyBorder="1"/>
    <xf numFmtId="171" fontId="17" fillId="9" borderId="5" xfId="0" applyNumberFormat="1" applyFont="1" applyFill="1" applyBorder="1" applyAlignment="1" applyProtection="1">
      <alignment horizontal="right"/>
      <protection locked="0"/>
    </xf>
    <xf numFmtId="171" fontId="73" fillId="9" borderId="5" xfId="0" applyNumberFormat="1" applyFont="1" applyFill="1" applyBorder="1" applyAlignment="1" applyProtection="1">
      <alignment horizontal="right"/>
      <protection locked="0"/>
    </xf>
    <xf numFmtId="0" fontId="18" fillId="4" borderId="4" xfId="0" applyFont="1" applyFill="1" applyBorder="1" applyAlignment="1">
      <alignment wrapText="1"/>
    </xf>
    <xf numFmtId="0" fontId="18" fillId="4" borderId="2" xfId="0" applyFont="1" applyFill="1" applyBorder="1" applyAlignment="1">
      <alignment horizontal="right" wrapText="1"/>
    </xf>
    <xf numFmtId="10" fontId="18" fillId="4" borderId="14" xfId="0" applyNumberFormat="1" applyFont="1" applyFill="1" applyBorder="1" applyAlignment="1">
      <alignment horizontal="right" wrapText="1"/>
    </xf>
    <xf numFmtId="167" fontId="18" fillId="4" borderId="2" xfId="0" applyNumberFormat="1" applyFont="1" applyFill="1" applyBorder="1" applyAlignment="1">
      <alignment horizontal="right" wrapText="1"/>
    </xf>
    <xf numFmtId="164" fontId="18" fillId="4" borderId="5" xfId="1" applyNumberFormat="1" applyFont="1" applyFill="1" applyBorder="1" applyAlignment="1" applyProtection="1">
      <alignment horizontal="right" wrapText="1"/>
      <protection locked="0"/>
    </xf>
    <xf numFmtId="0" fontId="74" fillId="3" borderId="0" xfId="0" applyFont="1" applyFill="1"/>
    <xf numFmtId="0" fontId="75" fillId="3" borderId="0" xfId="0" applyFont="1" applyFill="1"/>
    <xf numFmtId="0" fontId="76" fillId="3" borderId="0" xfId="0" applyFont="1" applyFill="1"/>
    <xf numFmtId="0" fontId="77" fillId="5" borderId="5" xfId="0" applyFont="1" applyFill="1" applyBorder="1"/>
    <xf numFmtId="0" fontId="77" fillId="5" borderId="5" xfId="0" applyFont="1" applyFill="1" applyBorder="1" applyAlignment="1">
      <alignment horizontal="right"/>
    </xf>
    <xf numFmtId="3" fontId="1" fillId="3" borderId="6" xfId="0" applyNumberFormat="1" applyFont="1" applyFill="1" applyBorder="1" applyAlignment="1">
      <alignment vertical="top"/>
    </xf>
    <xf numFmtId="3" fontId="1" fillId="3" borderId="0" xfId="0" applyNumberFormat="1" applyFont="1" applyFill="1" applyAlignment="1">
      <alignment vertical="top"/>
    </xf>
    <xf numFmtId="3" fontId="1" fillId="3" borderId="15" xfId="0" applyNumberFormat="1" applyFont="1" applyFill="1" applyBorder="1" applyAlignment="1">
      <alignment horizontal="center" vertical="top"/>
    </xf>
    <xf numFmtId="3" fontId="1" fillId="3" borderId="6" xfId="0" applyNumberFormat="1" applyFont="1" applyFill="1" applyBorder="1" applyAlignment="1">
      <alignment horizontal="right" vertical="top"/>
    </xf>
    <xf numFmtId="166" fontId="1" fillId="3" borderId="7" xfId="0" applyNumberFormat="1" applyFont="1" applyFill="1" applyBorder="1" applyAlignment="1" applyProtection="1">
      <alignment horizontal="right" vertical="top"/>
      <protection locked="0"/>
    </xf>
    <xf numFmtId="3" fontId="78" fillId="3" borderId="6" xfId="0" applyNumberFormat="1" applyFont="1" applyFill="1" applyBorder="1" applyAlignment="1">
      <alignment vertical="top"/>
    </xf>
    <xf numFmtId="166" fontId="79" fillId="3" borderId="7" xfId="0" applyNumberFormat="1" applyFont="1" applyFill="1" applyBorder="1" applyAlignment="1" applyProtection="1">
      <alignment horizontal="right" vertical="top"/>
      <protection locked="0"/>
    </xf>
    <xf numFmtId="0" fontId="80" fillId="5" borderId="2" xfId="0" applyFont="1" applyFill="1" applyBorder="1" applyAlignment="1" applyProtection="1">
      <alignment horizontal="center"/>
      <protection locked="0"/>
    </xf>
    <xf numFmtId="0" fontId="81" fillId="5" borderId="2" xfId="0" applyFont="1" applyFill="1" applyBorder="1" applyAlignment="1" applyProtection="1">
      <alignment horizontal="center"/>
      <protection locked="0"/>
    </xf>
    <xf numFmtId="0" fontId="82" fillId="5" borderId="2" xfId="0" applyFont="1" applyFill="1" applyBorder="1"/>
    <xf numFmtId="0" fontId="83" fillId="5" borderId="2" xfId="0" applyFont="1" applyFill="1" applyBorder="1"/>
    <xf numFmtId="0" fontId="83" fillId="5" borderId="2" xfId="0" applyFont="1" applyFill="1" applyBorder="1" applyAlignment="1">
      <alignment horizontal="center"/>
    </xf>
    <xf numFmtId="178" fontId="1" fillId="3" borderId="0" xfId="0" applyNumberFormat="1" applyFont="1" applyFill="1" applyAlignment="1" applyProtection="1">
      <alignment horizontal="right"/>
      <protection locked="0"/>
    </xf>
    <xf numFmtId="179" fontId="1" fillId="3" borderId="0" xfId="0" applyNumberFormat="1" applyFont="1" applyFill="1" applyAlignment="1" applyProtection="1">
      <alignment horizontal="right"/>
      <protection locked="0"/>
    </xf>
    <xf numFmtId="180" fontId="1" fillId="3" borderId="0" xfId="0" applyNumberFormat="1" applyFont="1" applyFill="1" applyAlignment="1">
      <alignment horizontal="right"/>
    </xf>
    <xf numFmtId="180" fontId="17" fillId="5" borderId="5" xfId="0" applyNumberFormat="1" applyFont="1" applyFill="1" applyBorder="1" applyAlignment="1" applyProtection="1">
      <alignment horizontal="right"/>
      <protection locked="0"/>
    </xf>
    <xf numFmtId="0" fontId="1" fillId="3" borderId="6" xfId="0" applyFont="1" applyFill="1" applyBorder="1" applyAlignment="1" applyProtection="1">
      <alignment horizontal="center" vertical="center" wrapText="1"/>
      <protection locked="0"/>
    </xf>
    <xf numFmtId="0" fontId="84" fillId="3" borderId="6" xfId="0" applyFont="1" applyFill="1" applyBorder="1" applyAlignment="1" applyProtection="1">
      <alignment horizontal="center" vertical="center" wrapText="1"/>
      <protection locked="0"/>
    </xf>
    <xf numFmtId="0" fontId="85" fillId="3" borderId="6" xfId="0" applyFont="1" applyFill="1" applyBorder="1" applyAlignment="1" applyProtection="1">
      <alignment horizontal="center" vertical="center" wrapText="1"/>
      <protection locked="0"/>
    </xf>
    <xf numFmtId="0" fontId="1" fillId="3" borderId="0" xfId="0" applyFont="1" applyFill="1" applyAlignment="1" applyProtection="1">
      <alignment horizontal="center" vertical="center" wrapText="1"/>
      <protection locked="0"/>
    </xf>
    <xf numFmtId="0" fontId="86" fillId="3" borderId="0" xfId="0" applyFont="1" applyFill="1" applyAlignment="1" applyProtection="1">
      <alignment horizontal="center" vertical="center" wrapText="1"/>
      <protection locked="0"/>
    </xf>
    <xf numFmtId="0" fontId="87" fillId="3" borderId="0" xfId="0" applyFont="1" applyFill="1" applyAlignment="1" applyProtection="1">
      <alignment horizontal="center" vertical="center" wrapText="1"/>
      <protection locked="0"/>
    </xf>
    <xf numFmtId="177" fontId="20" fillId="8" borderId="0" xfId="0" applyNumberFormat="1" applyFont="1" applyFill="1" applyAlignment="1">
      <alignment horizontal="right" vertical="top" wrapText="1" indent="3"/>
    </xf>
    <xf numFmtId="181" fontId="18" fillId="4" borderId="11" xfId="0" applyFont="1" applyFill="1" applyBorder="1" applyNumberFormat="1"/>
    <xf numFmtId="0" fontId="18" fillId="4" borderId="1" xfId="0" applyFont="1" applyFill="1" applyBorder="1" applyAlignment="1">
      <alignment horizontal="left"/>
    </xf>
    <xf numFmtId="0" fontId="20" fillId="8" borderId="0" xfId="0" applyFont="1" applyFill="1" applyAlignment="1">
      <alignment horizontal="left"/>
    </xf>
    <xf numFmtId="0" fontId="88" fillId="8" borderId="0" xfId="0" applyFont="1" applyFill="1" applyAlignment="1">
      <alignment horizontal="left"/>
    </xf>
    <xf numFmtId="0" fontId="89" fillId="8" borderId="0" xfId="0" applyFont="1" applyFill="1"/>
    <xf numFmtId="3" fontId="90" fillId="8" borderId="0" xfId="0" applyNumberFormat="1" applyFont="1" applyFill="1" applyAlignment="1">
      <alignment horizontal="right"/>
    </xf>
    <xf numFmtId="0" fontId="91" fillId="8" borderId="0" xfId="0" applyFont="1" applyFill="1" applyAlignment="1">
      <alignment horizontal="left"/>
    </xf>
    <xf numFmtId="9" fontId="92" fillId="8" borderId="0" xfId="0" applyNumberFormat="1" applyFont="1" applyFill="1"/>
    <xf numFmtId="9" fontId="93" fillId="8" borderId="3" xfId="0" quotePrefix="1" applyNumberFormat="1" applyFont="1" applyFill="1" applyBorder="1"/>
    <xf numFmtId="169" fontId="94" fillId="8" borderId="4" xfId="0" applyNumberFormat="1" applyFont="1" applyFill="1" applyBorder="1"/>
    <xf numFmtId="3" fontId="1" fillId="7" borderId="11" xfId="0" applyNumberFormat="1" applyFont="1" applyFill="1" applyBorder="1" applyProtection="1">
      <protection locked="0"/>
    </xf>
    <xf numFmtId="3" fontId="1" fillId="7" borderId="1" xfId="0" applyNumberFormat="1" applyFont="1" applyFill="1" applyBorder="1" applyProtection="1">
      <protection locked="0"/>
    </xf>
    <xf numFmtId="0" fontId="1" fillId="7" borderId="0" xfId="0" applyFont="1" applyFill="1" applyProtection="1">
      <protection locked="0"/>
    </xf>
    <xf numFmtId="3" fontId="1" fillId="7" borderId="0" xfId="0" applyNumberFormat="1" applyFont="1" applyFill="1" applyProtection="1">
      <protection locked="0"/>
    </xf>
    <xf numFmtId="3" fontId="1" fillId="7" borderId="6" xfId="0" applyNumberFormat="1" applyFont="1" applyFill="1" applyBorder="1" applyProtection="1">
      <protection locked="0"/>
    </xf>
    <xf numFmtId="3" fontId="1" fillId="7" borderId="8" xfId="0" applyNumberFormat="1" applyFont="1" applyFill="1" applyBorder="1" applyProtection="1">
      <protection locked="0"/>
    </xf>
    <xf numFmtId="3" fontId="1" fillId="7" borderId="3" xfId="0" applyNumberFormat="1" applyFont="1" applyFill="1" applyBorder="1" applyProtection="1">
      <protection locked="0"/>
    </xf>
    <xf numFmtId="0" fontId="1" fillId="7" borderId="3" xfId="0" applyFont="1" applyFill="1" applyBorder="1" applyProtection="1">
      <protection locked="0"/>
    </xf>
    <xf numFmtId="3" fontId="1" fillId="7" borderId="7" xfId="0" applyNumberFormat="1" applyFont="1" applyFill="1" applyBorder="1" applyProtection="1">
      <protection locked="0"/>
    </xf>
    <xf numFmtId="0" fontId="1" fillId="7" borderId="7" xfId="0" applyFont="1" applyFill="1" applyBorder="1" applyProtection="1">
      <protection locked="0"/>
    </xf>
    <xf numFmtId="0" fontId="1" fillId="7" borderId="13" xfId="0" applyFont="1" applyFill="1" applyBorder="1" applyProtection="1">
      <protection locked="0"/>
    </xf>
    <xf numFmtId="3" fontId="1" fillId="9" borderId="0" xfId="0" applyNumberFormat="1" applyFont="1" applyFill="1"/>
    <xf numFmtId="3" fontId="1" fillId="9" borderId="3" xfId="0" applyNumberFormat="1" applyFont="1" applyFill="1" applyBorder="1"/>
    <xf numFmtId="0" fontId="21" fillId="3" borderId="0" xfId="0" applyFont="1" applyFill="1" applyAlignment="1">
      <alignment wrapText="1"/>
    </xf>
    <xf numFmtId="0" fontId="21" fillId="3" borderId="0" xfId="0" applyFont="1" applyFill="1" applyAlignment="1">
      <alignment wrapText="1" horizontal="left" vertical="top"/>
    </xf>
    <xf numFmtId="3" fontId="20" fillId="7" borderId="1" xfId="0" applyFont="1" applyFill="1" applyBorder="1" applyProtection="1" applyNumberFormat="1">
      <protection locked="0"/>
    </xf>
    <xf numFmtId="3" fontId="20" fillId="7" borderId="0" xfId="0" applyFont="1" applyFill="1" applyProtection="1" applyNumberFormat="1">
      <protection locked="0"/>
    </xf>
    <xf numFmtId="3" fontId="20" fillId="7" borderId="3" xfId="0" applyFont="1" applyFill="1" applyBorder="1" applyProtection="1" applyNumberFormat="1">
      <protection locked="0"/>
    </xf>
    <xf numFmtId="3" fontId="17" fillId="8" borderId="3" xfId="0" applyFont="1" applyFill="1" applyBorder="1" applyNumberFormat="1"/>
    <xf numFmtId="0" fontId="18" fillId="4" borderId="14" xfId="0" applyFont="1" applyFill="1" applyBorder="1" applyAlignment="1">
      <alignment vertical="center" wrapText="1"/>
    </xf>
    <xf numFmtId="182" fontId="18" fillId="4" borderId="4" xfId="0" applyNumberFormat="1" applyFont="1" applyFill="1" applyBorder="1" applyAlignment="1" applyProtection="1">
      <alignment horizontal="right" vertical="center"/>
      <protection locked="0"/>
    </xf>
    <xf numFmtId="182" fontId="18" fillId="4" borderId="5" xfId="0" applyNumberFormat="1" applyFont="1" applyFill="1" applyBorder="1" applyAlignment="1" applyProtection="1">
      <alignment horizontal="right" vertical="center"/>
      <protection locked="0"/>
    </xf>
    <xf numFmtId="0" fontId="18" fillId="9" borderId="4" xfId="0" applyFont="1" applyFill="1" applyBorder="1" applyAlignment="1">
      <alignment horizontal="right" vertical="top" wrapText="1"/>
    </xf>
    <xf numFmtId="0" fontId="18" fillId="9" borderId="2" xfId="0" applyFont="1" applyFill="1" applyBorder="1" applyAlignment="1">
      <alignment horizontal="right" vertical="top" wrapText="1"/>
    </xf>
    <xf numFmtId="0" fontId="18" fillId="9" borderId="12" xfId="0" applyFont="1" applyFill="1" applyBorder="1" applyAlignment="1">
      <alignment horizontal="right" vertical="top" wrapText="1"/>
    </xf>
    <xf numFmtId="0" fontId="18" fillId="9" borderId="13" xfId="0" applyFont="1" applyFill="1" applyBorder="1" applyAlignment="1">
      <alignment horizontal="right" vertical="top" wrapText="1"/>
    </xf>
    <xf numFmtId="0" fontId="95" fillId="8" borderId="0" xfId="0" applyFont="1" applyFill="1" applyAlignment="1">
      <alignment horizontal="right" indent="3"/>
    </xf>
    <xf numFmtId="0" fontId="95" fillId="8" borderId="0" xfId="0" applyFont="1" applyFill="1" applyAlignment="1">
      <alignment horizontal="left" indent="3"/>
    </xf>
    <xf numFmtId="167" fontId="25" fillId="9" borderId="3" xfId="0" applyFont="1" applyFill="1" applyBorder="1" applyAlignment="1" applyProtection="1" applyNumberFormat="1">
      <alignment horizontal="center"/>
      <protection locked="0"/>
    </xf>
    <xf numFmtId="0" fontId="20" fillId="8" borderId="6" xfId="0" applyFont="1" applyFill="1" applyBorder="1" applyProtection="1" applyAlignment="1">
      <alignment wrapText="1"/>
      <protection locked="0"/>
    </xf>
    <xf numFmtId="0" fontId="20" fillId="8" borderId="6" xfId="0" applyFont="1" applyFill="1" applyBorder="1" applyProtection="1" applyAlignment="1">
      <alignment wrapText="1" horizontal="left" vertical="top"/>
      <protection locked="0"/>
    </xf>
    <xf numFmtId="171" fontId="18" fillId="9" borderId="15" xfId="0" applyNumberFormat="1" applyFont="1" applyFill="1" applyBorder="1"/>
    <xf numFmtId="171" fontId="18" fillId="9" borderId="9" xfId="0" applyNumberFormat="1" applyFont="1" applyFill="1" applyBorder="1" applyAlignment="1">
      <alignment horizontal="right"/>
    </xf>
    <xf numFmtId="171" fontId="18" fillId="9" borderId="7" xfId="0" applyNumberFormat="1" applyFont="1" applyFill="1" applyBorder="1"/>
    <xf numFmtId="3" fontId="18" fillId="9" borderId="11" xfId="0" applyFont="1" applyFill="1" applyBorder="1" applyNumberFormat="1"/>
    <xf numFmtId="0" fontId="18" fillId="9" borderId="3" xfId="0" applyFont="1" applyFill="1" applyBorder="1" applyAlignment="1">
      <alignment horizontal="left" vertical="top"/>
    </xf>
    <xf numFmtId="14" fontId="25" fillId="4" borderId="0" xfId="0" applyNumberFormat="1" applyFont="1" applyFill="1" applyAlignment="1">
      <alignment horizontal="center"/>
    </xf>
    <xf numFmtId="164" fontId="25" fillId="4" borderId="0" xfId="1" applyFont="1" applyFill="1" applyBorder="1" applyNumberFormat="1"/>
    <xf numFmtId="0" fontId="96" fillId="8" borderId="0" xfId="0" applyFont="1" applyFill="1"/>
    <xf numFmtId="0" fontId="97" fillId="8" borderId="0" xfId="0" applyFont="1" applyFill="1"/>
    <xf numFmtId="0" fontId="98" fillId="4" borderId="0" xfId="0" applyFont="1" applyFill="1"/>
    <xf numFmtId="0" fontId="99" fillId="4" borderId="0" xfId="0" applyFont="1" applyFill="1"/>
    <xf numFmtId="3" fontId="100" fillId="4" borderId="0" xfId="0" applyNumberFormat="1" applyFont="1" applyFill="1"/>
    <xf numFmtId="3" fontId="101" fillId="4" borderId="0" xfId="0" applyNumberFormat="1" applyFont="1" applyFill="1"/>
    <xf numFmtId="3" fontId="102" fillId="3" borderId="0" xfId="0" applyNumberFormat="1" applyFont="1" applyFill="1"/>
    <xf numFmtId="3" fontId="103" fillId="3" borderId="0" xfId="0" applyNumberFormat="1" applyFont="1" applyFill="1"/>
    <xf numFmtId="0" fontId="104" fillId="3" borderId="0" xfId="0" applyFont="1" applyFill="1"/>
    <xf numFmtId="0" fontId="105" fillId="3" borderId="0" xfId="0" applyFont="1" applyFill="1"/>
    <xf numFmtId="0" fontId="106" fillId="4" borderId="0" xfId="0" applyFont="1" applyFill="1"/>
    <xf numFmtId="3" fontId="107" fillId="4" borderId="0" xfId="0" applyNumberFormat="1" applyFont="1" applyFill="1"/>
    <xf numFmtId="0" fontId="108" fillId="3" borderId="0" xfId="0" applyFont="1" applyFill="1"/>
    <xf numFmtId="181" fontId="25" fillId="4" borderId="0" xfId="0" applyFont="1" applyFill="1" applyNumberFormat="1"/>
    <xf numFmtId="183" fontId="20" fillId="8" borderId="0" xfId="0" applyNumberFormat="1" applyFont="1" applyFill="1"/>
    <xf numFmtId="183" fontId="1" fillId="3" borderId="0" xfId="0" applyNumberFormat="1" applyFont="1" applyFill="1"/>
    <xf numFmtId="0" fontId="62" fillId="4" borderId="0" xfId="0" applyFont="1" applyFill="1" applyAlignment="1">
      <alignment vertical="center" wrapText="1"/>
    </xf>
    <xf numFmtId="0" fontId="109" fillId="3" borderId="0" xfId="0" applyFont="1" applyFill="1" applyAlignment="1">
      <alignment vertical="center"/>
    </xf>
    <xf numFmtId="0" fontId="110" fillId="3" borderId="0" xfId="0" applyFont="1" applyFill="1" applyAlignment="1">
      <alignment vertical="center"/>
    </xf>
    <xf numFmtId="0" fontId="111" fillId="0" borderId="0" xfId="0" applyFont="1"/>
    <xf numFmtId="0" fontId="112" fillId="0" borderId="0" xfId="0" applyFont="1"/>
    <xf numFmtId="0" fontId="113" fillId="0" borderId="0" xfId="0" applyFont="1"/>
    <xf numFmtId="0" fontId="112" fillId="0" borderId="0" xfId="0" applyFont="1" applyAlignment="1">
      <alignment horizontal="right"/>
    </xf>
    <xf numFmtId="0" fontId="110" fillId="3" borderId="0" xfId="0" applyFont="1" applyFill="1" applyAlignment="1">
      <alignment vertical="center" horizontal="left" indent="1"/>
    </xf>
    <xf numFmtId="0" fontId="71" fillId="3" borderId="0" xfId="0" applyFont="1" applyFill="1" applyAlignment="1">
      <alignment horizontal="left" indent="1"/>
    </xf>
    <xf numFmtId="0" fontId="113" fillId="0" borderId="0" xfId="0" applyFont="1" applyAlignment="1">
      <alignment horizontal="left" indent="1"/>
    </xf>
    <xf numFmtId="3" fontId="46" fillId="8" borderId="0" xfId="0" applyFont="1" applyFill="1" applyNumberFormat="1"/>
    <xf numFmtId="3" fontId="46" fillId="8" borderId="0" xfId="0" applyNumberFormat="1" applyFont="1" applyFill="1"/>
    <xf numFmtId="0" fontId="39" fillId="4" borderId="0" xfId="0" applyFont="1" applyFill="1" applyAlignment="1">
      <alignment horizontal="left"/>
    </xf>
    <xf numFmtId="0" fontId="114" fillId="3" borderId="0" xfId="0" applyFont="1" applyFill="1"/>
    <xf numFmtId="0" fontId="115" fillId="0" borderId="0" xfId="0" applyFont="1"/>
    <xf numFmtId="3" fontId="116" fillId="8" borderId="39" xfId="0" applyNumberFormat="1" applyFont="1" applyFill="1" applyBorder="1" applyAlignment="1">
      <alignment vertical="center" wrapText="1"/>
    </xf>
    <xf numFmtId="9" fontId="31" fillId="7" borderId="0" xfId="0" applyNumberFormat="1" applyFont="1" applyFill="1" applyAlignment="1">
      <alignment horizontal="center"/>
    </xf>
    <xf numFmtId="3" fontId="117" fillId="5" borderId="38" xfId="0" applyNumberFormat="1" applyFont="1" applyFill="1" applyBorder="1" applyAlignment="1">
      <alignment vertical="center"/>
    </xf>
    <xf numFmtId="3" fontId="118" fillId="5" borderId="38" xfId="0" applyNumberFormat="1" applyFont="1" applyFill="1" applyBorder="1" applyAlignment="1">
      <alignment vertical="center"/>
    </xf>
    <xf numFmtId="3" fontId="119" fillId="5" borderId="0" xfId="0" applyNumberFormat="1" applyFont="1" applyFill="1" applyAlignment="1">
      <alignment vertical="center"/>
    </xf>
    <xf numFmtId="3" fontId="120" fillId="5" borderId="0" xfId="0" applyNumberFormat="1" applyFont="1" applyFill="1" applyAlignment="1">
      <alignment vertical="center"/>
    </xf>
    <xf numFmtId="0" fontId="18" fillId="4" borderId="0" xfId="0" applyFont="1" applyFill="1" applyAlignment="1">
      <alignment horizontal="right"/>
    </xf>
    <xf numFmtId="0" fontId="121" fillId="8" borderId="16" xfId="0" applyFont="1" applyFill="1" applyBorder="1"/>
    <xf numFmtId="0" fontId="121" fillId="8" borderId="16" xfId="0" applyFont="1" applyFill="1" applyBorder="1" applyAlignment="1">
      <alignment horizontal="right"/>
    </xf>
    <xf numFmtId="0" fontId="96" fillId="8" borderId="0" xfId="0" applyFont="1" applyFill="1" applyAlignment="1">
      <alignment horizontal="right"/>
    </xf>
    <xf numFmtId="0" fontId="112" fillId="0" borderId="0" xfId="0" applyFont="1" applyAlignment="1">
      <alignment horizontal="left" indent="1"/>
    </xf>
    <xf numFmtId="0" fontId="57" fillId="4" borderId="0" xfId="0" applyFont="1" applyFill="1" applyAlignment="1">
      <alignment horizontal="left"/>
    </xf>
    <xf numFmtId="0" fontId="32" fillId="4" borderId="0" xfId="0" applyFont="1" applyFill="1" applyAlignment="1">
      <alignment horizontal="left"/>
    </xf>
    <xf numFmtId="0" fontId="56" fillId="3" borderId="0" xfId="0" applyFont="1" applyFill="1" applyAlignment="1">
      <alignment wrapText="1"/>
    </xf>
    <xf numFmtId="0" fontId="56" fillId="3" borderId="0" xfId="0" applyFont="1" applyFill="1" applyAlignment="1">
      <alignment wrapText="1" horizontal="left" vertical="top"/>
    </xf>
    <xf numFmtId="0" fontId="122" fillId="3" borderId="0" xfId="0" applyFont="1" applyFill="1" applyAlignment="1">
      <alignment wrapText="1" horizontal="left" vertical="top"/>
    </xf>
    <xf numFmtId="0" fontId="123" fillId="3" borderId="0" xfId="0" applyFont="1" applyFill="1" applyAlignment="1">
      <alignment wrapText="1" horizontal="left" vertical="top"/>
    </xf>
    <xf numFmtId="0" fontId="124" fillId="3" borderId="0" xfId="0" applyFont="1" applyFill="1"/>
    <xf numFmtId="0" fontId="125" fillId="3" borderId="0" xfId="0" applyFont="1" applyFill="1"/>
    <xf numFmtId="0" fontId="125" fillId="3" borderId="0" xfId="0" applyFont="1" applyFill="1" applyAlignment="1">
      <alignment wrapText="1"/>
    </xf>
    <xf numFmtId="0" fontId="125" fillId="3" borderId="0" xfId="0" applyFont="1" applyFill="1" applyAlignment="1">
      <alignment wrapText="1" vertical="top"/>
    </xf>
    <xf numFmtId="183" fontId="61" fillId="8" borderId="0" xfId="0" applyNumberFormat="1" applyFont="1" applyFill="1"/>
    <xf numFmtId="183" fontId="59" fillId="8" borderId="35" xfId="0" applyNumberFormat="1" applyFont="1" applyFill="1" applyBorder="1"/>
    <xf numFmtId="184" fontId="61" fillId="8" borderId="0" xfId="0" applyNumberFormat="1" applyFont="1" applyFill="1"/>
    <xf numFmtId="184" fontId="1" fillId="3" borderId="0" xfId="0" applyFont="1" applyFill="1" applyNumberFormat="1"/>
    <xf numFmtId="184" fontId="59" fillId="8" borderId="35" xfId="0" applyNumberFormat="1" applyFont="1" applyFill="1" applyBorder="1"/>
    <xf numFmtId="184" fontId="59" fillId="8" borderId="38" xfId="0" applyNumberFormat="1" applyFont="1" applyFill="1" applyBorder="1"/>
    <xf numFmtId="0" fontId="126" fillId="3" borderId="0" xfId="0" applyFont="1" applyFill="1"/>
    <xf numFmtId="0" fontId="127" fillId="3" borderId="0" xfId="0" applyFont="1" applyFill="1"/>
    <xf numFmtId="0" fontId="0" fillId="0" borderId="0" xfId="0" applyAlignment="1">
      <alignment wrapText="1"/>
    </xf>
    <xf numFmtId="0" fontId="128" fillId="0" borderId="0" xfId="0" applyAlignment="1" applyFont="1">
      <alignment wrapText="1"/>
    </xf>
  </cellXfs>
  <cellStyles count="2">
    <cellStyle name="Normal" xfId="0" builtinId="0"/>
    <cellStyle name="Procent" xfId="1" builtinId="5"/>
  </cellStyles>
  <dxfs count="34">
    <dxf>
      <font>
        <b/>
        <i val="0"/>
        <color theme="9" tint="-0.24994659260841701"/>
      </font>
    </dxf>
    <dxf>
      <font>
        <b/>
        <i val="0"/>
        <color rgb="FFC00000"/>
      </font>
    </dxf>
    <dxf>
      <font>
        <b/>
        <i val="0"/>
        <color rgb="FFC00000"/>
      </font>
    </dxf>
    <dxf>
      <font>
        <b/>
        <i val="0"/>
        <color rgb="FFC00000"/>
      </font>
    </dxf>
    <dxf>
      <font>
        <b/>
        <i val="0"/>
        <color rgb="FFC00000"/>
      </font>
    </dxf>
    <dxf>
      <font>
        <b/>
        <i val="0"/>
        <color rgb="FFC00000"/>
      </font>
    </dxf>
    <dxf>
      <font>
        <b/>
        <i val="0"/>
        <color rgb="FFC00000"/>
      </font>
      <fill>
        <patternFill>
          <bgColor theme="0"/>
        </patternFill>
      </fill>
    </dxf>
    <dxf>
      <font>
        <b/>
        <i val="0"/>
        <color rgb="FFC00000"/>
      </font>
    </dxf>
    <dxf>
      <font>
        <b/>
        <i val="0"/>
        <color rgb="FFC00000"/>
      </font>
    </dxf>
    <dxf>
      <font>
        <b/>
        <i val="0"/>
        <color rgb="FFC00000"/>
      </font>
      <numFmt numFmtId="0" formatCode="General"/>
      <fill>
        <patternFill>
          <bgColor theme="0"/>
        </patternFill>
      </fill>
    </dxf>
    <dxf>
      <font>
        <b/>
        <i val="0"/>
        <color rgb="FFC00000"/>
      </font>
    </dxf>
    <dxf>
      <font>
        <b/>
        <i val="0"/>
        <color rgb="FFC00000"/>
      </font>
      <fill>
        <patternFill>
          <bgColor theme="0"/>
        </patternFill>
      </fill>
    </dxf>
    <dxf>
      <font>
        <b/>
        <i val="0"/>
        <color rgb="FFFF0000"/>
      </font>
    </dxf>
    <dxf>
      <font>
        <color rgb="FF9C0006"/>
      </font>
      <fill>
        <patternFill>
          <bgColor rgb="FFFFC7CE"/>
        </patternFill>
      </fill>
    </dxf>
    <dxf>
      <font>
        <color rgb="FF9C0006"/>
      </font>
      <fill>
        <patternFill>
          <bgColor rgb="FFFFC7CE"/>
        </patternFill>
      </fill>
    </dxf>
    <dxf>
      <font>
        <b/>
        <i val="0"/>
        <color rgb="FFFF0000"/>
      </font>
    </dxf>
    <dxf>
      <font>
        <b val="0"/>
        <i/>
        <color theme="1"/>
      </font>
    </dxf>
    <dxf>
      <font>
        <b/>
        <i val="0"/>
        <color rgb="FFFF0000"/>
      </font>
    </dxf>
    <dxf>
      <font>
        <b/>
        <i val="0"/>
        <color theme="2"/>
      </font>
      <fill>
        <patternFill>
          <bgColor rgb="FFFF0000"/>
        </patternFill>
      </fill>
    </dxf>
    <dxf>
      <fill>
        <patternFill>
          <bgColor rgb="FF92D050"/>
        </patternFill>
      </fill>
    </dxf>
    <dxf>
      <font>
        <b/>
        <i val="0"/>
        <color theme="2"/>
      </font>
      <fill>
        <patternFill>
          <bgColor theme="4" tint="0.59996337778862885"/>
        </patternFill>
      </fill>
    </dxf>
    <dxf>
      <fill>
        <patternFill>
          <bgColor rgb="FF92D050"/>
        </patternFill>
      </fill>
    </dxf>
    <dxf>
      <font>
        <b/>
        <i val="0"/>
        <color theme="2"/>
      </font>
      <fill>
        <patternFill>
          <bgColor rgb="FFFF0000"/>
        </patternFill>
      </fill>
    </dxf>
    <dxf>
      <font>
        <b/>
        <i val="0"/>
        <color theme="2"/>
      </font>
      <fill>
        <patternFill>
          <bgColor theme="4" tint="0.59996337778862885"/>
        </patternFill>
      </fill>
    </dxf>
    <dxf>
      <font>
        <b val="0"/>
        <i val="0"/>
        <color theme="1"/>
      </font>
      <fill>
        <patternFill>
          <bgColor rgb="FF92D050"/>
        </patternFill>
      </fill>
    </dxf>
    <dxf>
      <font>
        <b val="0"/>
        <i val="0"/>
        <color theme="1"/>
      </font>
      <fill>
        <patternFill>
          <bgColor rgb="FFFF0000"/>
        </patternFill>
      </fill>
    </dxf>
    <dxf>
      <fill>
        <patternFill>
          <bgColor theme="4" tint="0.59996337778862885"/>
        </patternFill>
      </fill>
    </dxf>
    <dxf>
      <font>
        <b/>
        <i val="0"/>
        <color rgb="FFFF0000"/>
      </font>
    </dxf>
    <dxf>
      <font>
        <b val="0"/>
        <i/>
        <color theme="0"/>
      </font>
      <fill>
        <patternFill>
          <bgColor theme="4" tint="-0.24994659260841701"/>
        </patternFill>
      </fill>
    </dxf>
    <dxf>
      <font>
        <b val="0"/>
        <i/>
        <color theme="0"/>
      </font>
      <fill>
        <patternFill>
          <bgColor theme="4" tint="-0.24994659260841701"/>
        </patternFill>
      </fill>
    </dxf>
    <dxf>
      <font>
        <b val="0"/>
        <i/>
      </font>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persons/person.xml><?xml version="1.0" encoding="utf-8"?>
<personList xmlns="http://schemas.microsoft.com/office/spreadsheetml/2018/threadedcomments" xmlns:x="http://schemas.openxmlformats.org/spreadsheetml/2006/main">
  <person displayName="Westin Joakim" id="{036465E1-6698-4652-B9B0-0841C330183A}" userId="Westin Joakim" providerId="None"/>
</personList>
</file>

<file path=xl/theme/theme1.xml><?xml version="1.0" encoding="utf-8"?>
<a:theme xmlns:a="http://schemas.openxmlformats.org/drawingml/2006/main" name="LejonFastigheter">
  <a:themeElements>
    <a:clrScheme name="Lejonfastigheter">
      <a:dk1>
        <a:sysClr val="windowText" lastClr="000000"/>
      </a:dk1>
      <a:lt1>
        <a:sysClr val="window" lastClr="FFFFFF"/>
      </a:lt1>
      <a:dk2>
        <a:srgbClr val="00657C"/>
      </a:dk2>
      <a:lt2>
        <a:srgbClr val="F8F8F8"/>
      </a:lt2>
      <a:accent1>
        <a:srgbClr val="4D7C9A"/>
      </a:accent1>
      <a:accent2>
        <a:srgbClr val="00657C"/>
      </a:accent2>
      <a:accent3>
        <a:srgbClr val="00937C"/>
      </a:accent3>
      <a:accent4>
        <a:srgbClr val="6667AB"/>
      </a:accent4>
      <a:accent5>
        <a:srgbClr val="632654"/>
      </a:accent5>
      <a:accent6>
        <a:srgbClr val="FFD500"/>
      </a:accent6>
      <a:hlink>
        <a:srgbClr val="4D7C9A"/>
      </a:hlink>
      <a:folHlink>
        <a:srgbClr val="6667AB"/>
      </a:folHlink>
    </a:clrScheme>
    <a:fontScheme name="Lejonfastigheter">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3" dT="2023-02-23T09:21:22.04" personId="{036465E1-6698-4652-B9B0-0841C330183A}" id="{3482388F-E56E-4EEB-8B6B-F1FFC3A3B603}">
    <text>Ange fr.o.m vilket år kalkylen ska utgå.</text>
  </threadedComment>
  <threadedComment ref="S4" dT="2023-02-15T11:02:39.11" personId="{036465E1-6698-4652-B9B0-0841C330183A}" id="{7483870C-C758-4293-AAEB-EA2F7EE9A8CF}">
    <text>Hjälpfunktion - Används för att räkna ut genomsnittlig avskrivningstid för komponenterna i investeringen.</text>
  </threadedComment>
  <threadedComment ref="M6" dT="2023-02-23T08:58:34.37" personId="{036465E1-6698-4652-B9B0-0841C330183A}" id="{3B781856-FF7E-4096-9A8E-CBFD156938AE}">
    <text xml:space="preserve">Marknadens avkastningskrav på värderingsobjektet.
Hämtas ur senast utförda värdering eller antas utifrån likvärdiga referensobjekt.
Används tillsammans med antagen inflation för att beräkna restvärdet / värdera objektet vid kalkylperiodens slut.
Se: Kalkylränta | Lejonfastigheter Intranät (omniacloud.net) </text>
    <extLst>
      <x:ext xmlns:xltc2="http://schemas.microsoft.com/office/spreadsheetml/2020/threadedcomments2" uri="{F7C98A9C-CBB3-438F-8F68-D28B6AF4A901}">
        <xltc2:checksum>3042707456</xltc2:checksum>
        <xltc2:hyperlink startIndex="253" length="56" url="https://lejonfastigheter.omniacloud.net/start/om-oss/ekonomi/kalkylranta"/>
      </x:ext>
    </extLst>
  </threadedComment>
  <threadedComment ref="M7" dT="2023-02-23T09:30:25.43" personId="{036465E1-6698-4652-B9B0-0841C330183A}" id="{558A8FB2-E23A-4ECA-A27F-6B49F181D801}">
    <text xml:space="preserve">Anger företagets avkastningskrav för investeringen. I nettonuvärdes-beräkningen (NPV) används kalkylräntan för att nuvärdesberäkna respektive års driftnetto inom kalkylperioden. 
För långsiktiga säkra avtal antas en lägre kalkylränta för driftnettot. (Vilket innebär att det inte längre motsvarar företagets generella avkastningskrav). För kortare avtal används marknadens avkastningskrav.
Se: Kalkylränta | Lejonfastigheter Intranät (omniacloud.net) </text>
    <extLst>
      <x:ext xmlns:xltc2="http://schemas.microsoft.com/office/spreadsheetml/2020/threadedcomments2" uri="{F7C98A9C-CBB3-438F-8F68-D28B6AF4A901}">
        <xltc2:checksum>4200563271</xltc2:checksum>
        <xltc2:hyperlink startIndex="396" length="56" url="https://lejonfastigheter.omniacloud.net/start/om-oss/ekonomi/kalkylranta"/>
      </x:ext>
    </extLst>
  </threadedComment>
  <threadedComment ref="M8" dT="2023-02-23T09:00:14.99" personId="{036465E1-6698-4652-B9B0-0841C330183A}" id="{DC723E23-B500-49F1-9C47-6C5FE4658E95}">
    <text>Direktavkastning, marknad + Inflation
Används för att beräkna restvärdet / värdera objektet vid kalkylperiodens slut.</text>
  </threadedComment>
  <threadedComment ref="M9" dT="2023-02-23T09:00:39.55" personId="{036465E1-6698-4652-B9B0-0841C330183A}" id="{2C627220-2B86-4138-A2B4-63A1DF6694DD}">
    <text>Antagen utveckling av inflationen</text>
  </threadedComment>
  <threadedComment ref="P10" dT="2023-02-23T12:54:41.92" personId="{036465E1-6698-4652-B9B0-0841C330183A}" id="{BC011067-0779-4CFC-9490-E7E38A3CECD4}">
    <text>Om projektet ska belastas med kostnader till följd av t.ex. utrangeringar (rivning) ska det anges här.
Påverkar endast IRR och inte NPV då det inte påverkar driftnettot. Dvs. en kostnad som uppstår för oss men inte nödvändigtvis om en annan fastighetsägare genomför projektet.</text>
  </threadedComment>
  <threadedComment ref="P11" dT="2023-02-23T12:58:22.47" personId="{036465E1-6698-4652-B9B0-0841C330183A}" id="{3A9EC5D8-0526-4F02-B002-9DB23F5C11AF}">
    <text>Om projektet ska belastas med kostnader för ersättningslokaler ska det anges här. 
Anges som period mellan år och faller ut i flik "5. IRR" / "Ersättningslokaler"
Påverkar endast IRR och inte NPV då det inte påverkar driftnettot. Dvs. en kostnad som uppstår för oss men inte nödvändigtvis om en annan fastighetsägare genomför projektet.</text>
  </threadedComment>
  <threadedComment ref="Q17" dT="2023-02-23T09:22:31.85" personId="{036465E1-6698-4652-B9B0-0841C330183A}" id="{B11851BB-E4ED-460F-A262-316C9E75D500}">
    <text xml:space="preserve">Kalkylperioden avser den period under vilket kassaflödet analyseras </text>
  </threadedComment>
  <threadedComment ref="O21" dT="2023-02-23T12:12:43.04" personId="{036465E1-6698-4652-B9B0-0841C330183A}" id="{FDD2742D-6E4D-4656-900E-D56A4FE85BDC}">
    <text xml:space="preserve">Marknadshyra är den hyra som antas falla ut året efter hyreskontraktet löpt ut.
Restvärdet bedöms genom att dividera det prognostiserade driftnettot året efter kalkylperiodens slut med det bedömda direktavkastningskravet. 
Om marknadshyran är lägre än den avtalade hyran påverkar det restvärdet negativt.
Marknadshyran anges i årets penningvärde och räknas upp automatiskt. </text>
  </threadedComment>
  <threadedComment ref="Q22" dT="2025-01-08T13:21:48.99" personId="{036465E1-6698-4652-B9B0-0841C330183A}" id="{C59F1883-37F9-448F-ABB8-28F880250432}">
    <text>Produktionsstart påverkar inte kalkylens resultat utan används i pedagogiskt syfte för att förtydliga flödet i t.ex. etappindelade projekt</text>
  </threadedComment>
  <threadedComment ref="R22" dT="2025-01-08T13:21:53.76" personId="{036465E1-6698-4652-B9B0-0841C330183A}" id="{E3E5B7BD-CBA0-421C-896E-051D6A3D9D18}">
    <text>Produktionsavslut anger när byggnaden/investeringen driftsätts/är färdig.
Produktionsavslut och kalkylstart bör oftast sammanfalla. Om produktionsavslut föregår kalkylstart tar kalkylen inte med de åren i kassaflödet.</text>
  </threadedComment>
  <threadedComment ref="U22" dT="2023-02-23T08:42:17.93" personId="{036465E1-6698-4652-B9B0-0841C330183A}" id="{A4F63770-E642-486B-8169-22EE223F6509}">
    <text>Används för att testa alternativa budgetbelopp för investering. Angivet belopp skriver över det som angivits i "Budget kr/kvm"</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Y140"/>
  <sheetViews>
    <sheetView showGridLines="0" tabSelected="1" zoomScale="80" zoomScaleNormal="80" zoomScaleSheetLayoutView="70" zoomScalePageLayoutView="85" workbookViewId="0"/>
  </sheetViews>
  <sheetFormatPr defaultColWidth="9" defaultRowHeight="14.25" outlineLevelCol="1"/>
  <cols>
    <col min="1" max="1" width="3.75" style="11" customWidth="1"/>
    <col min="2" max="2" width="36.75" style="12" customWidth="1"/>
    <col min="3" max="4" width="12.75" style="12" customWidth="1"/>
    <col min="5" max="6" width="18.75" style="12" customWidth="1"/>
    <col min="7" max="7" width="23.375" style="12" customWidth="1"/>
    <col min="8" max="8" width="3.75" style="12" customWidth="1"/>
    <col min="9" max="9" width="9" style="12"/>
    <col min="10" max="10" width="12.125" style="12" customWidth="1"/>
    <col min="11" max="11" width="45.75" style="176" hidden="1" customWidth="1" outlineLevel="1"/>
    <col min="12" max="12" width="31.75" style="12" hidden="1" customWidth="1" outlineLevel="1"/>
    <col min="13" max="13" width="14.125" style="12" hidden="1" customWidth="1" outlineLevel="1"/>
    <col min="14" max="14" width="14.75" style="12" hidden="1" customWidth="1" outlineLevel="1"/>
    <col min="15" max="15" width="18.75" style="12" hidden="1" customWidth="1" outlineLevel="1"/>
    <col min="16" max="16" width="21" style="12" hidden="1" customWidth="1" outlineLevel="1"/>
    <col min="17" max="17" width="35.375" style="12" customWidth="1" collapsed="1"/>
    <col min="18" max="18" width="255.625" style="12" hidden="1" customWidth="1" outlineLevel="1"/>
    <col min="19" max="19" width="23.75" style="11" hidden="1" customWidth="1" outlineLevel="1"/>
    <col min="20" max="20" width="38.5" style="12" customWidth="1" collapsed="1"/>
    <col min="21" max="21" width="9" style="12"/>
    <col min="22" max="22" width="13.75" style="12" customWidth="1"/>
    <col min="23" max="23" width="13.5" style="12" customWidth="1"/>
    <col min="24" max="16384" width="9" style="12"/>
  </cols>
  <sheetData>
    <row r="1" spans="2:25" ht="15" customHeight="1">
      <c r="B1" s="494"/>
      <c r="C1" s="494"/>
      <c r="D1" s="494"/>
      <c r="E1" s="494"/>
      <c r="F1" s="494"/>
      <c r="G1" s="494"/>
      <c r="H1" s="494"/>
      <c r="I1" s="494"/>
      <c r="J1" s="624" t="s">
        <v>0</v>
      </c>
      <c r="K1" s="624"/>
      <c r="L1" s="624"/>
      <c r="M1" s="624"/>
      <c r="N1" s="624"/>
      <c r="O1" s="624"/>
      <c r="P1" s="624"/>
      <c r="Q1" s="624"/>
      <c r="R1" s="494"/>
      <c r="S1" s="494"/>
      <c r="T1" s="494"/>
      <c r="U1" s="494"/>
      <c r="V1" s="494"/>
      <c r="W1" s="494"/>
      <c r="X1" s="494"/>
      <c r="Y1" s="494"/>
    </row>
    <row r="2" spans="2:25" ht="30">
      <c r="B2" s="470" t="s">
        <v>1</v>
      </c>
      <c r="C2" s="471"/>
      <c r="D2" s="372"/>
      <c r="E2" s="372"/>
      <c r="F2" s="372"/>
      <c r="G2" s="472"/>
      <c r="H2" s="494"/>
      <c r="I2" s="494"/>
      <c r="J2" s="624"/>
      <c r="K2" s="624"/>
      <c r="L2" s="624"/>
      <c r="M2" s="624"/>
      <c r="N2" s="624"/>
      <c r="O2" s="624"/>
      <c r="P2" s="624"/>
      <c r="Q2" s="624"/>
      <c r="R2" s="624" t="s">
        <v>2</v>
      </c>
      <c r="S2" s="624"/>
      <c r="T2" s="624"/>
      <c r="U2" s="13"/>
      <c r="V2" s="13"/>
      <c r="W2" s="13"/>
      <c r="X2" s="13"/>
      <c r="Y2" s="13"/>
    </row>
    <row r="3" spans="2:25" ht="22.5" customHeight="1">
      <c r="B3" s="621" t="s">
        <v>3</v>
      </c>
      <c r="C3" s="622"/>
      <c r="D3" s="622"/>
      <c r="E3" s="622"/>
      <c r="F3" s="622"/>
      <c r="G3" s="623"/>
      <c r="H3" s="494"/>
      <c r="I3" s="494"/>
      <c r="J3" s="624"/>
      <c r="K3" s="624"/>
      <c r="L3" s="624"/>
      <c r="M3" s="624"/>
      <c r="N3" s="624"/>
      <c r="O3" s="624"/>
      <c r="P3" s="624"/>
      <c r="Q3" s="624"/>
      <c r="R3" s="624"/>
      <c r="S3" s="624"/>
      <c r="T3" s="624"/>
      <c r="U3" s="13"/>
      <c r="V3" s="13"/>
      <c r="W3" s="13"/>
      <c r="X3" s="13"/>
      <c r="Y3" s="13"/>
    </row>
    <row r="4" spans="2:25" ht="15" customHeight="1">
      <c r="B4" s="797" t="s">
        <v>4</v>
      </c>
      <c r="C4" s="496"/>
      <c r="D4" s="496"/>
      <c r="E4" s="496"/>
      <c r="F4" s="496"/>
      <c r="G4" s="497" t="s">
        <v>5</v>
      </c>
      <c r="H4" s="494"/>
      <c r="I4" s="494"/>
      <c r="J4" s="624"/>
      <c r="K4" s="624"/>
      <c r="L4" s="624"/>
      <c r="M4" s="624"/>
      <c r="N4" s="624"/>
      <c r="O4" s="624"/>
      <c r="P4" s="624"/>
      <c r="Q4" s="624"/>
      <c r="R4" s="13"/>
      <c r="S4" s="13"/>
      <c r="T4" s="13"/>
      <c r="U4" s="13"/>
      <c r="V4" s="13"/>
      <c r="W4" s="13"/>
      <c r="X4" s="13"/>
      <c r="Y4" s="13"/>
    </row>
    <row r="5" spans="2:25" ht="15" customHeight="1">
      <c r="B5" s="14" t="s">
        <v>6</v>
      </c>
      <c r="C5" s="15"/>
      <c r="D5" s="498"/>
      <c r="E5" s="499"/>
      <c r="F5" s="499"/>
      <c r="G5" s="487" t="s">
        <v>5</v>
      </c>
      <c r="H5" s="494"/>
      <c r="I5" s="494"/>
      <c r="J5" s="494"/>
      <c r="K5" s="16"/>
      <c r="L5" s="17"/>
      <c r="M5" s="494"/>
      <c r="N5" s="494"/>
      <c r="O5" s="494"/>
      <c r="P5" s="494"/>
      <c r="Q5" s="494"/>
      <c r="R5" s="13"/>
      <c r="S5" s="13" t="s">
        <v>7</v>
      </c>
      <c r="T5" s="13"/>
      <c r="U5" s="13"/>
      <c r="V5" s="13"/>
      <c r="W5" s="13"/>
      <c r="X5" s="13"/>
      <c r="Y5" s="13"/>
    </row>
    <row r="6" spans="2:25" ht="15">
      <c r="B6" s="18" t="s">
        <v>8</v>
      </c>
      <c r="C6" s="19"/>
      <c r="D6" s="494"/>
      <c r="E6" s="500"/>
      <c r="F6" s="501"/>
      <c r="G6" s="487" t="s">
        <v>5</v>
      </c>
      <c r="H6" s="494"/>
      <c r="I6" s="494"/>
      <c r="J6" s="494"/>
      <c r="K6" s="20" t="str">
        <f>'2. Kalkyldata'!$G$6</f>
        <v>Fyll i</v>
      </c>
      <c r="L6" s="21"/>
      <c r="M6" s="494"/>
      <c r="N6" s="494"/>
      <c r="O6" s="494"/>
      <c r="P6" s="494"/>
      <c r="Q6" s="494"/>
      <c r="R6" s="502" t="s">
        <v>9</v>
      </c>
      <c r="S6" s="503"/>
      <c r="T6" s="494"/>
      <c r="U6" s="494"/>
      <c r="V6" s="494"/>
      <c r="W6" s="494"/>
      <c r="X6" s="494"/>
      <c r="Y6" s="494"/>
    </row>
    <row r="7" spans="2:25" ht="15">
      <c r="B7" s="18" t="s">
        <v>10</v>
      </c>
      <c r="C7" s="19"/>
      <c r="D7" s="494"/>
      <c r="E7" s="500"/>
      <c r="F7" s="501"/>
      <c r="G7" s="487" t="s">
        <v>5</v>
      </c>
      <c r="H7" s="494"/>
      <c r="I7" s="494"/>
      <c r="J7" s="494"/>
      <c r="K7" s="22"/>
      <c r="L7" s="21"/>
      <c r="M7" s="494"/>
      <c r="N7" s="494"/>
      <c r="O7" s="494"/>
      <c r="P7" s="494"/>
      <c r="Q7" s="494"/>
      <c r="R7" s="488" t="s">
        <v>11</v>
      </c>
      <c r="S7" s="504" t="s">
        <v>12</v>
      </c>
      <c r="T7" s="494"/>
      <c r="U7" s="494"/>
      <c r="V7" s="494"/>
      <c r="W7" s="494"/>
      <c r="X7" s="494"/>
      <c r="Y7" s="494"/>
    </row>
    <row r="8" spans="2:25" ht="15">
      <c r="B8" s="18" t="inlineStr">
        <is>
          <t>Fastighetsarea (markareal):</t>
        </is>
      </c>
      <c r="C8" s="19"/>
      <c r="D8" s="494"/>
      <c r="E8" s="500"/>
      <c r="F8" s="500"/>
      <c r="G8" s="796" t="s">
        <v>5</v>
      </c>
      <c r="H8" s="494"/>
      <c r="I8" s="494"/>
      <c r="J8" s="494"/>
      <c r="K8" s="22" t="str">
        <f>'2. Kalkyldata'!$J$6</f>
        <v>Fyll i</v>
      </c>
      <c r="L8" s="21"/>
      <c r="M8" s="505"/>
      <c r="N8" s="494"/>
      <c r="O8" s="494"/>
      <c r="P8" s="494"/>
      <c r="Q8" s="494"/>
      <c r="R8" s="488" t="s">
        <v>14</v>
      </c>
      <c r="S8" s="504" t="s">
        <v>12</v>
      </c>
      <c r="T8" s="494"/>
      <c r="U8" s="494"/>
      <c r="V8" s="494"/>
      <c r="W8" s="494"/>
      <c r="X8" s="494"/>
      <c r="Y8" s="494"/>
    </row>
    <row r="9" spans="2:25" ht="15">
      <c r="B9" s="18" t="s">
        <v>15</v>
      </c>
      <c r="C9" s="19"/>
      <c r="D9" s="494"/>
      <c r="E9" s="500"/>
      <c r="F9" s="500"/>
      <c r="G9" s="796" t="s">
        <v>5</v>
      </c>
      <c r="H9" s="494"/>
      <c r="I9" s="494"/>
      <c r="J9" s="494"/>
      <c r="K9" s="22" t="str">
        <f>'2. Kalkyldata'!$I$6</f>
        <v>Fyll i</v>
      </c>
      <c r="L9" s="21"/>
      <c r="M9" s="505"/>
      <c r="N9" s="494"/>
      <c r="O9" s="494"/>
      <c r="P9" s="494"/>
      <c r="Q9" s="494"/>
      <c r="R9" s="488" t="s">
        <v>16</v>
      </c>
      <c r="S9" s="504" t="s">
        <v>12</v>
      </c>
      <c r="T9" s="494"/>
      <c r="U9" s="494"/>
      <c r="V9" s="494"/>
      <c r="W9" s="494"/>
      <c r="X9" s="494"/>
      <c r="Y9" s="494"/>
    </row>
    <row r="10" spans="2:25" ht="15" customHeight="1">
      <c r="B10" s="18" t="s">
        <v>17</v>
      </c>
      <c r="C10" s="19"/>
      <c r="D10" s="494"/>
      <c r="E10" s="500"/>
      <c r="F10" s="500"/>
      <c r="G10" s="796" t="s">
        <v>5</v>
      </c>
      <c r="H10" s="494"/>
      <c r="I10" s="494"/>
      <c r="J10" s="494"/>
      <c r="K10" s="22"/>
      <c r="L10" s="21"/>
      <c r="M10" s="505"/>
      <c r="N10" s="494"/>
      <c r="O10" s="494"/>
      <c r="P10" s="494"/>
      <c r="Q10" s="494"/>
      <c r="R10" s="643" t="s">
        <v>18</v>
      </c>
      <c r="S10" s="657" t="s">
        <v>12</v>
      </c>
      <c r="T10" s="494"/>
      <c r="U10" s="494"/>
      <c r="V10" s="494"/>
      <c r="W10" s="494"/>
      <c r="X10" s="494"/>
      <c r="Y10" s="494"/>
    </row>
    <row r="11" spans="2:25" ht="15">
      <c r="B11" s="18" t="s">
        <v>19</v>
      </c>
      <c r="C11" s="19"/>
      <c r="D11" s="494"/>
      <c r="E11" s="501"/>
      <c r="F11" s="501"/>
      <c r="G11" s="487" t="s">
        <v>5</v>
      </c>
      <c r="H11" s="494"/>
      <c r="I11" s="494"/>
      <c r="J11" s="494"/>
      <c r="K11" s="23"/>
      <c r="L11" s="24"/>
      <c r="M11" s="494"/>
      <c r="N11" s="494"/>
      <c r="O11" s="494"/>
      <c r="P11" s="494"/>
      <c r="Q11" s="494"/>
      <c r="R11" s="643"/>
      <c r="S11" s="659"/>
      <c r="T11" s="494"/>
      <c r="U11" s="494"/>
      <c r="V11" s="494"/>
      <c r="W11" s="494"/>
      <c r="X11" s="494"/>
      <c r="Y11" s="494"/>
    </row>
    <row r="12" spans="2:25" ht="15">
      <c r="B12" s="18" t="inlineStr">
        <is>
          <t>Momsregistreringsgrad före:</t>
        </is>
      </c>
      <c r="C12" s="506"/>
      <c r="D12" s="494"/>
      <c r="E12" s="494"/>
      <c r="F12" s="507"/>
      <c r="G12" s="508" t="s">
        <v>5</v>
      </c>
      <c r="H12" s="494"/>
      <c r="I12" s="494"/>
      <c r="J12" s="494"/>
      <c r="K12" s="25"/>
      <c r="L12" s="26"/>
      <c r="M12" s="494"/>
      <c r="N12" s="494"/>
      <c r="O12" s="494"/>
      <c r="P12" s="494"/>
      <c r="Q12" s="494"/>
      <c r="R12" s="643"/>
      <c r="S12" s="658"/>
      <c r="T12" s="494"/>
      <c r="U12" s="494"/>
      <c r="V12" s="494"/>
      <c r="W12" s="494"/>
      <c r="X12" s="494"/>
      <c r="Y12" s="494"/>
    </row>
    <row r="13" spans="2:25" ht="15">
      <c r="B13" s="27" t="inlineStr">
        <is>
          <t>Momsregistreringsgrad efter:</t>
        </is>
      </c>
      <c r="C13" s="509"/>
      <c r="D13" s="496"/>
      <c r="E13" s="496"/>
      <c r="F13" s="510"/>
      <c r="G13" s="511" t="s">
        <v>5</v>
      </c>
      <c r="H13" s="494"/>
      <c r="I13" s="494"/>
      <c r="J13" s="494"/>
      <c r="K13" s="25"/>
      <c r="L13" s="26"/>
      <c r="M13" s="494"/>
      <c r="N13" s="494"/>
      <c r="O13" s="494"/>
      <c r="P13" s="494"/>
      <c r="Q13" s="494"/>
      <c r="R13" s="488" t="s">
        <v>22</v>
      </c>
      <c r="S13" s="504" t="s">
        <v>12</v>
      </c>
      <c r="T13" s="494"/>
      <c r="U13" s="494"/>
      <c r="V13" s="494"/>
      <c r="W13" s="494"/>
      <c r="X13" s="494"/>
      <c r="Y13" s="494"/>
    </row>
    <row r="14" spans="2:25" ht="8.1" customHeight="1">
      <c r="B14" s="19"/>
      <c r="C14" s="19"/>
      <c r="D14" s="494"/>
      <c r="E14" s="512"/>
      <c r="F14" s="512"/>
      <c r="G14" s="513"/>
      <c r="H14" s="494"/>
      <c r="I14" s="494"/>
      <c r="J14" s="494"/>
      <c r="K14" s="25"/>
      <c r="L14" s="26"/>
      <c r="M14" s="494"/>
      <c r="N14" s="494"/>
      <c r="O14" s="494"/>
      <c r="P14" s="494"/>
      <c r="Q14" s="494"/>
      <c r="R14" s="488"/>
      <c r="S14" s="504"/>
      <c r="T14" s="494"/>
      <c r="U14" s="494"/>
      <c r="V14" s="494"/>
      <c r="W14" s="494"/>
      <c r="X14" s="494"/>
      <c r="Y14" s="494"/>
    </row>
    <row r="15" spans="2:25" ht="23.25" customHeight="1">
      <c r="B15" s="28" t="s">
        <v>23</v>
      </c>
      <c r="C15" s="29"/>
      <c r="D15" s="30"/>
      <c r="E15" s="31"/>
      <c r="F15" s="32"/>
      <c r="G15" s="33"/>
      <c r="H15" s="494"/>
      <c r="I15" s="494"/>
      <c r="J15" s="494"/>
      <c r="K15" s="34" t="s">
        <v>24</v>
      </c>
      <c r="L15" s="34" t="s">
        <v>25</v>
      </c>
      <c r="M15" s="34" t="s">
        <v>26</v>
      </c>
      <c r="N15" s="35" t="s">
        <v>27</v>
      </c>
      <c r="O15" s="34" t="s">
        <v>28</v>
      </c>
      <c r="P15" s="36" t="s">
        <v>29</v>
      </c>
      <c r="Q15" s="494"/>
      <c r="R15" s="488" t="s">
        <v>30</v>
      </c>
      <c r="S15" s="504" t="s">
        <v>12</v>
      </c>
      <c r="T15" s="494"/>
      <c r="U15" s="494"/>
      <c r="V15" s="494"/>
      <c r="W15" s="494"/>
      <c r="X15" s="494"/>
      <c r="Y15" s="494"/>
    </row>
    <row r="16" spans="2:25" ht="15" customHeight="1">
      <c r="B16" s="37" t="s">
        <v>31</v>
      </c>
      <c r="C16" s="38"/>
      <c r="D16" s="38"/>
      <c r="E16" s="38" t="s">
        <v>32</v>
      </c>
      <c r="F16" s="38" t="inlineStr">
        <is>
          <t>Investering</t>
        </is>
      </c>
      <c r="G16" s="38" t="s">
        <v>27</v>
      </c>
      <c r="H16" s="494"/>
      <c r="I16" s="494"/>
      <c r="J16" s="494"/>
      <c r="K16" s="17"/>
      <c r="L16" s="17"/>
      <c r="M16" s="17"/>
      <c r="N16" s="39"/>
      <c r="O16" s="40"/>
      <c r="P16" s="41"/>
      <c r="Q16" s="494"/>
      <c r="R16" s="644" t="s">
        <v>33</v>
      </c>
      <c r="S16" s="657" t="s">
        <v>12</v>
      </c>
      <c r="T16" s="494"/>
      <c r="U16" s="494"/>
      <c r="V16" s="494"/>
      <c r="W16" s="494"/>
      <c r="X16" s="494"/>
      <c r="Y16" s="494"/>
    </row>
    <row r="17" spans="2:25">
      <c r="B17" s="514" t="str">
        <f>'Kontoplan RR'!E6</f>
        <v>Befintligt</v>
      </c>
      <c r="C17" s="515"/>
      <c r="D17" s="515"/>
      <c r="E17" s="822">
        <f>SUMIF('2. Kalkyldata'!$E$23:$E$27,LEFT('1. Framskrivningsunderlag'!$B17,3),'2. Kalkyldata'!$H$23:$H$28)</f>
        <v>0.0</v>
      </c>
      <c r="F17" s="823">
        <f>SUMIF('2. Kalkyldata'!$E$23:$E$27,LEFT('1. Framskrivningsunderlag'!$B17,3),'2. Kalkyldata'!$W$23:$W$28)</f>
        <v>0.0</v>
      </c>
      <c r="G17" s="824">
        <f>IFERROR($M17/E17,0)</f>
        <v>0.0</v>
      </c>
      <c r="H17" s="494"/>
      <c r="I17" s="494"/>
      <c r="J17" s="494"/>
      <c r="K17" s="22">
        <f>SUMIF('2. Kalkyldata'!$E$23:$E$27,LEFT('1. Framskrivningsunderlag'!$B17,3),'2. Kalkyldata'!$H$23:$H$28)</f>
        <v>0.0</v>
      </c>
      <c r="L17" s="42">
        <f t="shared" ref="L17:L22" si="0">IFERROR($K17/$P17,0)</f>
        <v>0.0</v>
      </c>
      <c r="M17" s="43">
        <f>SUMIF('2. Kalkyldata'!$E$23:$E$27,LEFT('1. Framskrivningsunderlag'!$B17,3),'2. Kalkyldata'!$W$23:$W$28)</f>
        <v>0.0</v>
      </c>
      <c r="N17" s="44">
        <f>IFERROR($M17/$K17,0)</f>
        <v>0.0</v>
      </c>
      <c r="O17" s="45">
        <f>IFERROR($E17/$P17,0)</f>
        <v>0.0</v>
      </c>
      <c r="P17" s="46">
        <f>SUMIF('2. Kalkyldata'!$E$23:$E$27,LEFT('1. Framskrivningsunderlag'!$B17,3),'2. Kalkyldata'!$D$23:$D$28)</f>
        <v>0.0</v>
      </c>
      <c r="Q17" s="494"/>
      <c r="R17" s="644"/>
      <c r="S17" s="658"/>
      <c r="T17" s="494"/>
      <c r="U17" s="494"/>
      <c r="V17" s="494"/>
      <c r="W17" s="494"/>
      <c r="X17" s="494"/>
      <c r="Y17" s="494"/>
    </row>
    <row r="18" spans="2:25">
      <c r="B18" s="514" t="str">
        <f>'Kontoplan RR'!E7</f>
        <v>Ombyggnad</v>
      </c>
      <c r="C18" s="515"/>
      <c r="D18" s="515"/>
      <c r="E18" s="822">
        <f>SUMIF('2. Kalkyldata'!$E$23:$E$27,LEFT('1. Framskrivningsunderlag'!$B18,3),'2. Kalkyldata'!$H$23:$H$28)</f>
        <v>0.0</v>
      </c>
      <c r="F18" s="823">
        <f>SUMIF('2. Kalkyldata'!$E$23:$E$27,LEFT('1. Framskrivningsunderlag'!$B18,3),'2. Kalkyldata'!$W$23:$W$28)</f>
        <v>0.0</v>
      </c>
      <c r="G18" s="824">
        <f t="shared" ref="G18:G21" si="1">IFERROR($M18/E18,0)</f>
        <v>0.0</v>
      </c>
      <c r="H18" s="494"/>
      <c r="I18" s="494"/>
      <c r="J18" s="494"/>
      <c r="K18" s="22">
        <f>SUMIF('2. Kalkyldata'!$E$23:$E$27,LEFT('1. Framskrivningsunderlag'!$B18,3),'2. Kalkyldata'!$H$23:$H$28)</f>
        <v>0.0</v>
      </c>
      <c r="L18" s="42">
        <f t="shared" si="0"/>
        <v>0.0</v>
      </c>
      <c r="M18" s="43">
        <f>SUMIF('2. Kalkyldata'!$E$23:$E$27,LEFT('1. Framskrivningsunderlag'!$B18,3),'2. Kalkyldata'!$W$23:$W$28)</f>
        <v>0.0</v>
      </c>
      <c r="N18" s="44">
        <f t="shared" ref="N18:N22" si="2">IFERROR($M18/$K18,0)</f>
        <v>0.0</v>
      </c>
      <c r="O18" s="45">
        <f t="shared" ref="O18:O22" si="3">IFERROR($E18/$P18,0)</f>
        <v>0.0</v>
      </c>
      <c r="P18" s="46">
        <f>SUMIF('2. Kalkyldata'!$E$23:$E$27,LEFT('1. Framskrivningsunderlag'!$B18,3),'2. Kalkyldata'!$D$23:$D$28)</f>
        <v>0.0</v>
      </c>
      <c r="Q18" s="494"/>
      <c r="R18" s="488" t="s">
        <v>34</v>
      </c>
      <c r="S18" s="504" t="s">
        <v>12</v>
      </c>
      <c r="T18" s="494"/>
      <c r="U18" s="494"/>
      <c r="V18" s="494"/>
      <c r="W18" s="494"/>
      <c r="X18" s="494"/>
      <c r="Y18" s="494"/>
    </row>
    <row r="19" spans="2:25">
      <c r="B19" s="514" t="str">
        <f>'Kontoplan RR'!E8</f>
        <v>Nybyggnad</v>
      </c>
      <c r="C19" s="515"/>
      <c r="D19" s="515"/>
      <c r="E19" s="822">
        <f>SUMIF('2. Kalkyldata'!$E$23:$E$27,LEFT('1. Framskrivningsunderlag'!$B19,3),'2. Kalkyldata'!$H$23:$H$28)</f>
        <v>6100.0</v>
      </c>
      <c r="F19" s="823">
        <f>SUMIF('2. Kalkyldata'!$E$23:$E$27,LEFT('1. Framskrivningsunderlag'!$B19,3),'2. Kalkyldata'!$W$23:$W$28)</f>
        <v>239999999.99999997</v>
      </c>
      <c r="G19" s="824">
        <f t="shared" si="1"/>
        <v>39344.262295081964</v>
      </c>
      <c r="H19" s="494"/>
      <c r="I19" s="494"/>
      <c r="J19" s="494"/>
      <c r="K19" s="22">
        <f>SUMIF('2. Kalkyldata'!$E$23:$E$27,LEFT('1. Framskrivningsunderlag'!$B19,3),'2. Kalkyldata'!$H$23:$H$28)</f>
        <v>6100.0</v>
      </c>
      <c r="L19" s="42">
        <f t="shared" si="0"/>
        <v>0.0</v>
      </c>
      <c r="M19" s="43">
        <f>SUMIF('2. Kalkyldata'!$E$23:$E$27,LEFT('1. Framskrivningsunderlag'!$B19,3),'2. Kalkyldata'!$W$23:$W$28)</f>
        <v>239999999.99999997</v>
      </c>
      <c r="N19" s="44">
        <f t="shared" si="2"/>
        <v>39344.262295081964</v>
      </c>
      <c r="O19" s="45">
        <f t="shared" si="3"/>
        <v>0.0</v>
      </c>
      <c r="P19" s="46">
        <f>SUMIF('2. Kalkyldata'!$E$23:$E$27,LEFT('1. Framskrivningsunderlag'!$B19,3),'2. Kalkyldata'!$D$23:$D$28)</f>
        <v>0.0</v>
      </c>
      <c r="Q19" s="494"/>
      <c r="R19" s="488" t="s">
        <v>35</v>
      </c>
      <c r="S19" s="504" t="s">
        <v>12</v>
      </c>
      <c r="T19" s="494"/>
      <c r="U19" s="494"/>
      <c r="V19" s="494"/>
      <c r="W19" s="494"/>
      <c r="X19" s="494"/>
      <c r="Y19" s="494"/>
    </row>
    <row r="20" spans="2:25">
      <c r="B20" s="514" t="str">
        <f>'Kontoplan RR'!E9</f>
        <v>Installationer</v>
      </c>
      <c r="C20" s="515"/>
      <c r="D20" s="515"/>
      <c r="E20" s="822">
        <f>SUMIF('2. Kalkyldata'!$E$23:$E$27,LEFT('1. Framskrivningsunderlag'!$B20,3),'2. Kalkyldata'!$H$23:$H$28)</f>
        <v>0.0</v>
      </c>
      <c r="F20" s="823">
        <f>SUMIF('2. Kalkyldata'!$E$23:$E$27,LEFT('1. Framskrivningsunderlag'!$B20,3),'2. Kalkyldata'!$W$23:$W$28)</f>
        <v>0.0</v>
      </c>
      <c r="G20" s="824">
        <f t="shared" si="1"/>
        <v>0.0</v>
      </c>
      <c r="H20" s="494"/>
      <c r="I20" s="494"/>
      <c r="J20" s="494"/>
      <c r="K20" s="22">
        <f>SUMIF('2. Kalkyldata'!$E$23:$E$27,LEFT('1. Framskrivningsunderlag'!$B20,3),'2. Kalkyldata'!$H$23:$H$28)</f>
        <v>0.0</v>
      </c>
      <c r="L20" s="42">
        <f t="shared" si="0"/>
        <v>0.0</v>
      </c>
      <c r="M20" s="43">
        <f>SUMIF('2. Kalkyldata'!$E$23:$E$27,LEFT('1. Framskrivningsunderlag'!$B20,3),'2. Kalkyldata'!$W$23:$W$28)</f>
        <v>0.0</v>
      </c>
      <c r="N20" s="44">
        <f t="shared" si="2"/>
        <v>0.0</v>
      </c>
      <c r="O20" s="45">
        <f t="shared" si="3"/>
        <v>0.0</v>
      </c>
      <c r="P20" s="46">
        <f>SUMIF('2. Kalkyldata'!$E$23:$E$27,LEFT('1. Framskrivningsunderlag'!$B20,3),'2. Kalkyldata'!$D$23:$D$28)</f>
        <v>0.0</v>
      </c>
      <c r="Q20" s="494"/>
      <c r="R20" s="488" t="s">
        <v>36</v>
      </c>
      <c r="S20" s="504" t="s">
        <v>12</v>
      </c>
      <c r="T20" s="494"/>
      <c r="U20" s="494"/>
      <c r="V20" s="494"/>
      <c r="W20" s="494"/>
      <c r="X20" s="494"/>
      <c r="Y20" s="494"/>
    </row>
    <row r="21" spans="2:25">
      <c r="B21" s="514" t="str">
        <f>'Kontoplan RR'!E10</f>
        <v>Mark</v>
      </c>
      <c r="C21" s="515"/>
      <c r="D21" s="518"/>
      <c r="E21" s="822">
        <f>SUMIF('2. Kalkyldata'!$E$23:$E$27,LEFT('1. Framskrivningsunderlag'!$B21,3),'2. Kalkyldata'!$H$23:$H$28)</f>
        <v>0.0</v>
      </c>
      <c r="F21" s="823">
        <f>SUMIF('2. Kalkyldata'!$E$23:$E$27,LEFT('1. Framskrivningsunderlag'!$B21,3),'2. Kalkyldata'!$W$23:$W$28)</f>
        <v>0.0</v>
      </c>
      <c r="G21" s="824">
        <f t="shared" si="1"/>
        <v>0.0</v>
      </c>
      <c r="H21" s="494"/>
      <c r="I21" s="494"/>
      <c r="J21" s="494"/>
      <c r="K21" s="22">
        <f>SUMIF('2. Kalkyldata'!$E$23:$E$27,LEFT('1. Framskrivningsunderlag'!$B21,3),'2. Kalkyldata'!$H$23:$H$28)</f>
        <v>0.0</v>
      </c>
      <c r="L21" s="42">
        <f t="shared" si="0"/>
        <v>0.0</v>
      </c>
      <c r="M21" s="43">
        <f>SUMIF('2. Kalkyldata'!$E$23:$E$27,LEFT('1. Framskrivningsunderlag'!$B21,3),'2. Kalkyldata'!$W$23:$W$28)</f>
        <v>0.0</v>
      </c>
      <c r="N21" s="44">
        <f t="shared" si="2"/>
        <v>0.0</v>
      </c>
      <c r="O21" s="45">
        <f t="shared" si="3"/>
        <v>0.0</v>
      </c>
      <c r="P21" s="46">
        <f>SUMIF('2. Kalkyldata'!$E$23:$E$27,LEFT('1. Framskrivningsunderlag'!$B21,3),'2. Kalkyldata'!$D$23:$D$28)</f>
        <v>0.0</v>
      </c>
      <c r="Q21" s="494"/>
      <c r="R21" s="488" t="s">
        <v>37</v>
      </c>
      <c r="S21" s="504" t="s">
        <v>12</v>
      </c>
      <c r="T21" s="494"/>
      <c r="U21" s="494"/>
      <c r="V21" s="494"/>
      <c r="W21" s="494"/>
      <c r="X21" s="494"/>
      <c r="Y21" s="494"/>
    </row>
    <row r="22" spans="2:25" ht="15" customHeight="1">
      <c r="B22" s="47" t="s">
        <v>38</v>
      </c>
      <c r="C22" s="48"/>
      <c r="D22" s="49"/>
      <c r="E22" s="48">
        <f>SUM(E17:E21)</f>
        <v>6100.0</v>
      </c>
      <c r="F22" s="50">
        <f>SUM(F17:F21)</f>
        <v>239999999.99999997</v>
      </c>
      <c r="G22" s="825">
        <f t="shared" ref="G22" si="4">IFERROR($M22/D22,0)</f>
        <v>0.0</v>
      </c>
      <c r="H22" s="494"/>
      <c r="I22" s="494"/>
      <c r="J22" s="494"/>
      <c r="K22" s="52">
        <f>SUM(K17:K21)</f>
        <v>6100.0</v>
      </c>
      <c r="L22" s="53">
        <f t="shared" si="0"/>
        <v>0.0</v>
      </c>
      <c r="M22" s="54">
        <f>SUM(M17:M21)</f>
        <v>239999999.99999997</v>
      </c>
      <c r="N22" s="44">
        <f t="shared" si="2"/>
        <v>39344.262295081964</v>
      </c>
      <c r="O22" s="45">
        <f t="shared" si="3"/>
        <v>0.0</v>
      </c>
      <c r="P22" s="55">
        <f>SUM(P17:P21)</f>
        <v>0.0</v>
      </c>
      <c r="Q22" s="494"/>
      <c r="R22" s="488" t="s">
        <v>39</v>
      </c>
      <c r="S22" s="491" t="s">
        <v>12</v>
      </c>
      <c r="T22" s="494"/>
      <c r="U22" s="494"/>
      <c r="V22" s="494"/>
      <c r="W22" s="494"/>
      <c r="X22" s="494"/>
      <c r="Y22" s="494"/>
    </row>
    <row r="23" spans="2:25" ht="15" customHeight="1">
      <c r="B23" s="56" t="inlineStr">
        <is>
          <t>Därutöver re-investeringar/hyressatt underhåll</t>
        </is>
      </c>
      <c r="C23" s="57"/>
      <c r="D23" s="58"/>
      <c r="E23" s="59"/>
      <c r="F23" s="59">
        <f>IFERROR('2. Kalkyldata'!$X$39/'2. Kalkyldata'!$H$28,0)</f>
        <v>0.0</v>
      </c>
      <c r="G23" s="60"/>
      <c r="H23" s="494"/>
      <c r="I23" s="494"/>
      <c r="J23" s="494"/>
      <c r="K23" s="52"/>
      <c r="L23" s="53"/>
      <c r="M23" s="54">
        <f>'2. Kalkyldata'!$X$39</f>
        <v>0.0</v>
      </c>
      <c r="N23"/>
      <c r="O23" s="62"/>
      <c r="P23" s="55"/>
      <c r="Q23" s="494"/>
      <c r="R23" s="488" t="s">
        <v>41</v>
      </c>
      <c r="S23" s="491" t="s">
        <v>12</v>
      </c>
      <c r="T23" s="494"/>
      <c r="U23" s="494"/>
      <c r="V23" s="494"/>
      <c r="W23" s="494"/>
      <c r="X23" s="494"/>
      <c r="Y23" s="494"/>
    </row>
    <row r="24" spans="2:25" ht="15" customHeight="1">
      <c r="B24" s="56" t="s">
        <v>42</v>
      </c>
      <c r="C24" s="57"/>
      <c r="D24" s="58"/>
      <c r="E24" s="59"/>
      <c r="F24" s="59">
        <v>0</v>
      </c>
      <c r="G24" s="60"/>
      <c r="H24" s="494"/>
      <c r="I24" s="494"/>
      <c r="J24" s="494"/>
      <c r="K24" s="52"/>
      <c r="L24" s="53"/>
      <c r="M24" s="54"/>
      <c r="N24" s="61"/>
      <c r="O24" s="62"/>
      <c r="P24" s="55"/>
      <c r="Q24" s="494"/>
      <c r="R24" s="488" t="s">
        <v>418</v>
      </c>
      <c r="S24" s="491" t="s">
        <v>419</v>
      </c>
      <c r="T24" s="494"/>
      <c r="U24" s="494"/>
      <c r="V24" s="494"/>
      <c r="W24" s="494"/>
      <c r="X24" s="494"/>
      <c r="Y24" s="494"/>
    </row>
    <row r="25" spans="2:25" ht="15">
      <c r="B25" s="47" t="inlineStr">
        <is>
          <t>Total projektvolym</t>
        </is>
      </c>
      <c r="C25" s="48"/>
      <c r="D25" s="63"/>
      <c r="E25" s="50"/>
      <c r="F25" s="50">
        <f>F22+F23+F24</f>
        <v>239999999.99999997</v>
      </c>
      <c r="G25" s="64"/>
      <c r="H25" s="494"/>
      <c r="I25" s="494"/>
      <c r="J25" s="494"/>
      <c r="K25" s="519"/>
      <c r="L25" s="65"/>
      <c r="M25" s="519"/>
      <c r="N25" s="66">
        <f>'2. Kalkyldata'!$X$39/'2. Kalkyldata'!$H$28</f>
        <v>0.0</v>
      </c>
      <c r="O25" s="67"/>
      <c r="P25" s="68"/>
      <c r="Q25" s="494"/>
      <c r="R25" s="488" t="inlineStr">
        <is>
          <t>17. 2026-10-09 v3.1: Ett restvärde i alla krav (flik 4 rad 84–90: driftnetto år N+1, fullt uthyrt, exkl extraordinärt UH, / justerad yield). Kalkylränta restvärde = extern yield + inflation. Vakansfaktorn egen skala −0,25…+2,00 pp med ekvivalent vakans. Vakansgrad bara år efter avtal inom kalkylperioden (spärr + notis). Extraordinärt UH t.o.m. horisonten.</t>
        </is>
      </c>
      <c r="S25" s="491" t="inlineStr">
        <is>
          <t>Claude/JW</t>
        </is>
      </c>
      <c r="T25" s="494"/>
      <c r="U25" s="494"/>
      <c r="V25" s="494"/>
      <c r="W25" s="494"/>
      <c r="X25" s="494"/>
      <c r="Y25" s="494"/>
    </row>
    <row r="26" spans="2:25" ht="8.1" customHeight="1">
      <c r="B26" s="69"/>
      <c r="C26" s="69"/>
      <c r="D26" s="69"/>
      <c r="E26" s="70"/>
      <c r="F26" s="71"/>
      <c r="G26" s="72"/>
      <c r="H26" s="494"/>
      <c r="I26" s="494"/>
      <c r="J26" s="494"/>
      <c r="K26" s="520"/>
      <c r="L26" s="74"/>
      <c r="M26" s="494"/>
      <c r="N26" s="75"/>
      <c r="O26" s="506"/>
      <c r="P26" s="494"/>
      <c r="Q26" s="494"/>
      <c r="R26" s="488" t="inlineStr">
        <is>
          <t>18. 2026-10-11 v3.2: Användarvänlighet och design efter agentgranskning — inmatningsmeddelanden på alla inmatningsfält, krav 1/2/3 namngivna överallt, två decimaler på räntor/IRR, stavfel och engelska rester rättade, arbetsgång på flik 2, källhänvisningar mellan flikar, hjälprader dolda, utskrift (sidbrytning flik 1, årsrubrik och sidordning flik 4), sidfot v3.2. Inga beräkningar ändrade.</t>
        </is>
      </c>
      <c r="S26" s="491" t="inlineStr">
        <is>
          <t>Claude/JW</t>
        </is>
      </c>
      <c r="T26" s="494"/>
      <c r="U26" s="494"/>
      <c r="V26" s="494"/>
      <c r="W26" s="494"/>
      <c r="X26" s="494"/>
      <c r="Y26" s="494"/>
    </row>
    <row r="27" spans="2:25" ht="15">
      <c r="B27" s="640" t="s">
        <v>44</v>
      </c>
      <c r="C27" s="641"/>
      <c r="D27" s="641"/>
      <c r="E27" s="641"/>
      <c r="F27" s="641"/>
      <c r="G27" s="642"/>
      <c r="H27" s="494"/>
      <c r="I27" s="494"/>
      <c r="J27" s="494"/>
      <c r="K27" s="520"/>
      <c r="L27" s="74"/>
      <c r="M27" s="494"/>
      <c r="N27" s="75"/>
      <c r="O27" s="506"/>
      <c r="P27" s="494"/>
      <c r="Q27" s="494"/>
      <c r="R27" s="488"/>
      <c r="S27" s="491"/>
      <c r="T27" s="494"/>
      <c r="U27" s="494"/>
      <c r="V27" s="494"/>
      <c r="W27" s="494"/>
      <c r="X27" s="494"/>
      <c r="Y27" s="494"/>
    </row>
    <row r="28" spans="2:25">
      <c r="B28" s="631" t="s">
        <v>5</v>
      </c>
      <c r="C28" s="632"/>
      <c r="D28" s="632"/>
      <c r="E28" s="632"/>
      <c r="F28" s="632"/>
      <c r="G28" s="633"/>
      <c r="H28" s="494"/>
      <c r="I28" s="494"/>
      <c r="J28" s="494"/>
      <c r="K28" s="520"/>
      <c r="L28" s="74"/>
      <c r="M28" s="494"/>
      <c r="N28" s="75"/>
      <c r="O28" s="506"/>
      <c r="P28" s="494"/>
      <c r="Q28" s="494"/>
      <c r="R28" s="488"/>
      <c r="S28" s="491"/>
      <c r="T28" s="494"/>
      <c r="U28" s="494"/>
      <c r="V28" s="494"/>
      <c r="W28" s="494"/>
      <c r="X28" s="494"/>
      <c r="Y28" s="494"/>
    </row>
    <row r="29" spans="2:25">
      <c r="B29" s="631"/>
      <c r="C29" s="632"/>
      <c r="D29" s="632"/>
      <c r="E29" s="632"/>
      <c r="F29" s="632"/>
      <c r="G29" s="633"/>
      <c r="H29" s="494"/>
      <c r="I29" s="494"/>
      <c r="J29" s="494"/>
      <c r="K29" s="520"/>
      <c r="L29" s="74"/>
      <c r="M29" s="75"/>
      <c r="N29" s="506"/>
      <c r="O29" s="494"/>
      <c r="P29" s="494"/>
      <c r="Q29" s="494"/>
      <c r="R29" s="521"/>
      <c r="S29" s="522"/>
      <c r="T29" s="494"/>
      <c r="U29" s="494"/>
      <c r="V29" s="494"/>
      <c r="W29" s="494"/>
      <c r="X29" s="494"/>
      <c r="Y29" s="494"/>
    </row>
    <row r="30" spans="2:25">
      <c r="B30" s="631"/>
      <c r="C30" s="632"/>
      <c r="D30" s="632"/>
      <c r="E30" s="632"/>
      <c r="F30" s="632"/>
      <c r="G30" s="633"/>
      <c r="H30" s="494"/>
      <c r="I30" s="494"/>
      <c r="J30" s="494"/>
      <c r="K30" s="520"/>
      <c r="L30" s="74"/>
      <c r="M30" s="75"/>
      <c r="N30" s="506"/>
      <c r="O30" s="494"/>
      <c r="P30" s="494"/>
      <c r="Q30" s="494"/>
      <c r="R30" s="494"/>
      <c r="S30" s="494"/>
      <c r="T30" s="494"/>
      <c r="U30" s="494"/>
      <c r="V30" s="494"/>
      <c r="W30" s="494"/>
      <c r="X30" s="494"/>
      <c r="Y30" s="494"/>
    </row>
    <row r="31" spans="2:25">
      <c r="B31" s="631"/>
      <c r="C31" s="632"/>
      <c r="D31" s="632"/>
      <c r="E31" s="632"/>
      <c r="F31" s="632"/>
      <c r="G31" s="633"/>
      <c r="H31" s="494"/>
      <c r="I31" s="494"/>
      <c r="J31" s="494"/>
      <c r="K31" s="520"/>
      <c r="L31" s="74"/>
      <c r="M31" s="75"/>
      <c r="N31" s="506"/>
      <c r="O31" s="494"/>
      <c r="P31" s="494"/>
      <c r="Q31" s="494"/>
      <c r="R31" s="494"/>
      <c r="S31" s="494"/>
      <c r="T31" s="494"/>
      <c r="U31" s="494"/>
      <c r="V31" s="494"/>
      <c r="W31" s="494"/>
      <c r="X31" s="494"/>
      <c r="Y31" s="494"/>
    </row>
    <row r="32" spans="2:25">
      <c r="B32" s="631"/>
      <c r="C32" s="632"/>
      <c r="D32" s="632"/>
      <c r="E32" s="632"/>
      <c r="F32" s="632"/>
      <c r="G32" s="633"/>
      <c r="H32" s="494"/>
      <c r="I32" s="494"/>
      <c r="J32" s="494"/>
      <c r="K32" s="520"/>
      <c r="L32" s="74"/>
      <c r="M32" s="75"/>
      <c r="N32" s="506"/>
      <c r="O32" s="494"/>
      <c r="P32" s="494"/>
      <c r="Q32" s="494"/>
      <c r="R32" s="494"/>
      <c r="S32" s="494"/>
      <c r="T32" s="494"/>
      <c r="U32" s="494"/>
      <c r="V32" s="494"/>
      <c r="W32" s="494"/>
      <c r="X32" s="494"/>
      <c r="Y32" s="494"/>
    </row>
    <row r="33" spans="2:25">
      <c r="B33" s="631"/>
      <c r="C33" s="632"/>
      <c r="D33" s="632"/>
      <c r="E33" s="632"/>
      <c r="F33" s="632"/>
      <c r="G33" s="633"/>
      <c r="H33" s="494"/>
      <c r="I33" s="494"/>
      <c r="J33" s="494"/>
      <c r="K33" s="520"/>
      <c r="L33" s="74"/>
      <c r="M33" s="75"/>
      <c r="N33" s="506"/>
      <c r="O33" s="494"/>
      <c r="P33" s="494"/>
      <c r="Q33" s="494"/>
      <c r="R33" s="494"/>
      <c r="S33" s="494"/>
      <c r="T33" s="494"/>
      <c r="U33" s="494"/>
      <c r="V33" s="494"/>
      <c r="W33" s="494"/>
      <c r="X33" s="494"/>
      <c r="Y33" s="494"/>
    </row>
    <row r="34" spans="2:25">
      <c r="B34" s="631"/>
      <c r="C34" s="632"/>
      <c r="D34" s="632"/>
      <c r="E34" s="632"/>
      <c r="F34" s="632"/>
      <c r="G34" s="633"/>
      <c r="H34" s="494"/>
      <c r="I34" s="494"/>
      <c r="J34" s="494"/>
      <c r="K34" s="520"/>
      <c r="L34" s="74"/>
      <c r="M34" s="75"/>
      <c r="N34" s="506"/>
      <c r="O34" s="494"/>
      <c r="P34" s="494"/>
      <c r="Q34" s="494"/>
      <c r="R34" s="494"/>
      <c r="S34" s="494"/>
      <c r="T34" s="494"/>
      <c r="U34" s="494"/>
      <c r="V34" s="494"/>
      <c r="W34" s="494"/>
      <c r="X34" s="494"/>
      <c r="Y34" s="494"/>
    </row>
    <row r="35" spans="2:25" ht="15" customHeight="1">
      <c r="B35" s="828" t="inlineStr">
        <is>
          <t>Bild – klistra in här</t>
        </is>
      </c>
      <c r="C35" s="646"/>
      <c r="D35" s="646"/>
      <c r="E35" s="831" t="inlineStr">
        <is>
          <t>Karta – klistra in här</t>
        </is>
      </c>
      <c r="F35" s="646"/>
      <c r="G35" s="649"/>
      <c r="H35" s="494"/>
      <c r="I35" s="494"/>
      <c r="J35" s="494"/>
      <c r="K35" s="520"/>
      <c r="L35" s="74"/>
      <c r="M35" s="75"/>
      <c r="N35" s="506"/>
      <c r="O35" s="494"/>
      <c r="P35" s="494"/>
      <c r="Q35" s="494"/>
      <c r="R35" s="494"/>
      <c r="S35" s="494"/>
      <c r="T35" s="494"/>
      <c r="U35" s="494"/>
      <c r="V35" s="494"/>
      <c r="W35" s="494"/>
      <c r="X35" s="494"/>
      <c r="Y35" s="494"/>
    </row>
    <row r="36" spans="2:25" ht="15" customHeight="1">
      <c r="B36" s="645"/>
      <c r="C36" s="646"/>
      <c r="D36" s="646"/>
      <c r="E36" s="646"/>
      <c r="F36" s="646"/>
      <c r="G36" s="649"/>
      <c r="H36" s="494"/>
      <c r="I36" s="494"/>
      <c r="J36" s="494"/>
      <c r="K36" s="520"/>
      <c r="L36" s="74"/>
      <c r="M36" s="75"/>
      <c r="N36" s="506"/>
      <c r="O36" s="494"/>
      <c r="P36" s="494"/>
      <c r="Q36" s="494"/>
      <c r="R36" s="494"/>
      <c r="S36" s="494"/>
      <c r="T36" s="494"/>
      <c r="U36" s="494"/>
      <c r="V36" s="494"/>
      <c r="W36" s="494"/>
      <c r="X36" s="494"/>
      <c r="Y36" s="494"/>
    </row>
    <row r="37" spans="2:25" ht="15" customHeight="1">
      <c r="B37" s="645"/>
      <c r="C37" s="646"/>
      <c r="D37" s="646"/>
      <c r="E37" s="646"/>
      <c r="F37" s="646"/>
      <c r="G37" s="649"/>
      <c r="H37" s="494"/>
      <c r="I37" s="494"/>
      <c r="J37" s="494"/>
      <c r="K37" s="520"/>
      <c r="L37" s="74"/>
      <c r="M37" s="75"/>
      <c r="N37" s="506"/>
      <c r="O37" s="494"/>
      <c r="P37" s="494"/>
      <c r="Q37" s="494"/>
      <c r="R37" s="494"/>
      <c r="S37" s="494"/>
      <c r="T37" s="494"/>
      <c r="U37" s="494"/>
      <c r="V37" s="494"/>
      <c r="W37" s="494"/>
      <c r="X37" s="494"/>
      <c r="Y37" s="494"/>
    </row>
    <row r="38" spans="2:25" ht="15" customHeight="1">
      <c r="B38" s="645"/>
      <c r="C38" s="646"/>
      <c r="D38" s="646"/>
      <c r="E38" s="646"/>
      <c r="F38" s="646"/>
      <c r="G38" s="649"/>
      <c r="H38" s="494"/>
      <c r="I38" s="494"/>
      <c r="J38" s="494"/>
      <c r="K38" s="520"/>
      <c r="L38" s="74"/>
      <c r="M38" s="75"/>
      <c r="N38" s="506"/>
      <c r="O38" s="494"/>
      <c r="P38" s="494"/>
      <c r="Q38" s="494"/>
      <c r="R38" s="494"/>
      <c r="S38" s="494"/>
      <c r="T38" s="494"/>
      <c r="U38" s="494"/>
      <c r="V38" s="494"/>
      <c r="W38" s="494"/>
      <c r="X38" s="494"/>
      <c r="Y38" s="494"/>
    </row>
    <row r="39" spans="2:25" ht="15" customHeight="1">
      <c r="B39" s="645"/>
      <c r="C39" s="646"/>
      <c r="D39" s="646"/>
      <c r="E39" s="646"/>
      <c r="F39" s="646"/>
      <c r="G39" s="649"/>
      <c r="H39" s="494"/>
      <c r="I39" s="494"/>
      <c r="J39" s="494"/>
      <c r="K39" s="520"/>
      <c r="L39" s="74"/>
      <c r="M39" s="75"/>
      <c r="N39" s="506"/>
      <c r="O39" s="494"/>
      <c r="P39" s="494"/>
      <c r="Q39" s="494"/>
      <c r="R39" s="494"/>
      <c r="S39" s="494"/>
      <c r="T39" s="494"/>
      <c r="U39" s="494"/>
      <c r="V39" s="494"/>
      <c r="W39" s="494"/>
      <c r="X39" s="494"/>
      <c r="Y39" s="494"/>
    </row>
    <row r="40" spans="2:25" ht="15" customHeight="1">
      <c r="B40" s="645"/>
      <c r="C40" s="646"/>
      <c r="D40" s="646"/>
      <c r="E40" s="646"/>
      <c r="F40" s="646"/>
      <c r="G40" s="649"/>
      <c r="H40" s="494"/>
      <c r="I40" s="494"/>
      <c r="J40" s="494"/>
      <c r="K40" s="520"/>
      <c r="L40" s="74"/>
      <c r="M40" s="75"/>
      <c r="N40" s="506"/>
      <c r="O40" s="494"/>
      <c r="P40" s="494"/>
      <c r="Q40" s="494"/>
      <c r="R40" s="494"/>
      <c r="S40" s="494"/>
      <c r="T40" s="494"/>
      <c r="U40" s="494"/>
      <c r="V40" s="494"/>
      <c r="W40" s="494"/>
      <c r="X40" s="494"/>
      <c r="Y40" s="494"/>
    </row>
    <row r="41" spans="2:25" ht="15" customHeight="1">
      <c r="B41" s="645"/>
      <c r="C41" s="646"/>
      <c r="D41" s="646"/>
      <c r="E41" s="646"/>
      <c r="F41" s="646"/>
      <c r="G41" s="649"/>
      <c r="H41" s="494"/>
      <c r="I41" s="494"/>
      <c r="J41" s="494"/>
      <c r="K41" s="520"/>
      <c r="L41" s="74"/>
      <c r="M41" s="75"/>
      <c r="N41" s="506"/>
      <c r="O41" s="494"/>
      <c r="P41" s="494"/>
      <c r="Q41" s="494"/>
      <c r="R41" s="494"/>
      <c r="S41" s="494"/>
      <c r="T41" s="494"/>
      <c r="U41" s="494"/>
      <c r="V41" s="494"/>
      <c r="W41" s="494"/>
      <c r="X41" s="494"/>
      <c r="Y41" s="494"/>
    </row>
    <row r="42" spans="2:25" ht="15" customHeight="1">
      <c r="B42" s="645"/>
      <c r="C42" s="646"/>
      <c r="D42" s="646"/>
      <c r="E42" s="646"/>
      <c r="F42" s="646"/>
      <c r="G42" s="649"/>
      <c r="H42" s="494"/>
      <c r="I42" s="494"/>
      <c r="J42" s="494"/>
      <c r="K42" s="520"/>
      <c r="L42" s="74"/>
      <c r="M42" s="75"/>
      <c r="N42" s="506"/>
      <c r="O42" s="494"/>
      <c r="P42" s="494"/>
      <c r="Q42" s="494"/>
      <c r="R42" s="494"/>
      <c r="S42" s="494"/>
      <c r="T42" s="494"/>
      <c r="U42" s="494"/>
      <c r="V42" s="494"/>
      <c r="W42" s="494"/>
      <c r="X42" s="494"/>
      <c r="Y42" s="494"/>
    </row>
    <row r="43" spans="2:25" ht="15" customHeight="1">
      <c r="B43" s="645"/>
      <c r="C43" s="646"/>
      <c r="D43" s="646"/>
      <c r="E43" s="646"/>
      <c r="F43" s="646"/>
      <c r="G43" s="649"/>
      <c r="H43" s="494"/>
      <c r="I43" s="494"/>
      <c r="J43" s="494"/>
      <c r="K43" s="520"/>
      <c r="L43" s="74"/>
      <c r="M43" s="75"/>
      <c r="N43" s="506"/>
      <c r="O43" s="494"/>
      <c r="P43" s="494"/>
      <c r="Q43" s="494"/>
      <c r="R43" s="494"/>
      <c r="S43" s="494"/>
      <c r="T43" s="494"/>
      <c r="U43" s="494"/>
      <c r="V43" s="494"/>
      <c r="W43" s="494"/>
      <c r="X43" s="494"/>
      <c r="Y43" s="494"/>
    </row>
    <row r="44" spans="2:25" ht="15" customHeight="1">
      <c r="B44" s="645"/>
      <c r="C44" s="646"/>
      <c r="D44" s="646"/>
      <c r="E44" s="646"/>
      <c r="F44" s="646"/>
      <c r="G44" s="649"/>
      <c r="H44" s="494"/>
      <c r="I44" s="494"/>
      <c r="J44" s="494"/>
      <c r="K44" s="520"/>
      <c r="L44" s="74"/>
      <c r="M44" s="75"/>
      <c r="N44" s="506"/>
      <c r="O44" s="494"/>
      <c r="P44" s="494"/>
      <c r="Q44" s="494"/>
      <c r="R44" s="494"/>
      <c r="S44" s="494"/>
      <c r="T44" s="494"/>
      <c r="U44" s="494"/>
      <c r="V44" s="494"/>
      <c r="W44" s="494"/>
      <c r="X44" s="494"/>
      <c r="Y44" s="494"/>
    </row>
    <row r="45" spans="2:25" ht="15" customHeight="1">
      <c r="B45" s="645"/>
      <c r="C45" s="646"/>
      <c r="D45" s="646"/>
      <c r="E45" s="646"/>
      <c r="F45" s="646"/>
      <c r="G45" s="649"/>
      <c r="H45" s="494"/>
      <c r="I45" s="494"/>
      <c r="J45" s="494"/>
      <c r="K45" s="520"/>
      <c r="L45" s="74"/>
      <c r="M45" s="75"/>
      <c r="N45" s="506"/>
      <c r="O45" s="494"/>
      <c r="P45" s="494"/>
      <c r="Q45" s="494"/>
      <c r="R45" s="494"/>
      <c r="S45" s="494"/>
      <c r="T45" s="494"/>
      <c r="U45" s="494"/>
      <c r="V45" s="494"/>
      <c r="W45" s="494"/>
      <c r="X45" s="494"/>
      <c r="Y45" s="494"/>
    </row>
    <row r="46" spans="2:25" ht="15" customHeight="1">
      <c r="B46" s="645"/>
      <c r="C46" s="646"/>
      <c r="D46" s="646"/>
      <c r="E46" s="646"/>
      <c r="F46" s="646"/>
      <c r="G46" s="649"/>
      <c r="H46" s="494"/>
      <c r="I46" s="494"/>
      <c r="J46" s="494"/>
      <c r="K46" s="520"/>
      <c r="L46" s="74"/>
      <c r="M46" s="75"/>
      <c r="N46" s="506"/>
      <c r="O46" s="494"/>
      <c r="P46" s="494"/>
      <c r="Q46" s="494"/>
      <c r="R46" s="494"/>
      <c r="S46" s="494"/>
      <c r="T46" s="494"/>
      <c r="U46" s="494"/>
      <c r="V46" s="494"/>
      <c r="W46" s="494"/>
      <c r="X46" s="494"/>
      <c r="Y46" s="494"/>
    </row>
    <row r="47" spans="2:25" ht="15" customHeight="1">
      <c r="B47" s="645"/>
      <c r="C47" s="646"/>
      <c r="D47" s="646"/>
      <c r="E47" s="646"/>
      <c r="F47" s="646"/>
      <c r="G47" s="649"/>
      <c r="H47" s="494"/>
      <c r="I47" s="494"/>
      <c r="J47" s="494"/>
      <c r="K47" s="520"/>
      <c r="L47" s="74"/>
      <c r="M47" s="75"/>
      <c r="N47" s="506"/>
      <c r="O47" s="494"/>
      <c r="P47" s="494"/>
      <c r="Q47" s="494"/>
      <c r="R47" s="494"/>
      <c r="S47" s="494"/>
      <c r="T47" s="494"/>
      <c r="U47" s="494"/>
      <c r="V47" s="494"/>
      <c r="W47" s="494"/>
      <c r="X47" s="494"/>
      <c r="Y47" s="494"/>
    </row>
    <row r="48" spans="2:25" ht="15" customHeight="1">
      <c r="B48" s="645"/>
      <c r="C48" s="646"/>
      <c r="D48" s="646"/>
      <c r="E48" s="646"/>
      <c r="F48" s="646"/>
      <c r="G48" s="649"/>
      <c r="H48" s="494"/>
      <c r="I48" s="494"/>
      <c r="J48" s="494"/>
      <c r="K48" s="520"/>
      <c r="L48" s="74"/>
      <c r="M48" s="75"/>
      <c r="N48" s="506"/>
      <c r="O48" s="494"/>
      <c r="P48" s="494"/>
      <c r="Q48" s="494"/>
      <c r="R48" s="494"/>
      <c r="S48" s="494"/>
      <c r="T48" s="494"/>
      <c r="U48" s="494"/>
      <c r="V48" s="494"/>
      <c r="W48" s="494"/>
      <c r="X48" s="494"/>
      <c r="Y48" s="494"/>
    </row>
    <row r="49" spans="2:25" ht="15" customHeight="1">
      <c r="B49" s="645"/>
      <c r="C49" s="646"/>
      <c r="D49" s="646"/>
      <c r="E49" s="646"/>
      <c r="F49" s="646"/>
      <c r="G49" s="649"/>
      <c r="H49" s="494"/>
      <c r="I49" s="494"/>
      <c r="J49" s="494"/>
      <c r="K49" s="520"/>
      <c r="L49" s="494"/>
      <c r="M49" s="75"/>
      <c r="N49" s="494"/>
      <c r="O49" s="494"/>
      <c r="P49" s="494"/>
      <c r="Q49" s="494"/>
      <c r="R49" s="494"/>
      <c r="S49" s="494"/>
      <c r="T49" s="494"/>
      <c r="U49" s="494"/>
      <c r="V49" s="494"/>
      <c r="W49" s="494"/>
      <c r="X49" s="494"/>
      <c r="Y49" s="494"/>
    </row>
    <row r="50" spans="2:25" ht="15" customHeight="1">
      <c r="B50" s="645"/>
      <c r="C50" s="646"/>
      <c r="D50" s="646"/>
      <c r="E50" s="646"/>
      <c r="F50" s="646"/>
      <c r="G50" s="649"/>
      <c r="H50" s="494"/>
      <c r="I50" s="494"/>
      <c r="J50" s="494"/>
      <c r="K50" s="520"/>
      <c r="L50" s="494"/>
      <c r="M50" s="75"/>
      <c r="N50" s="494"/>
      <c r="O50" s="494"/>
      <c r="P50" s="494"/>
      <c r="Q50" s="494"/>
      <c r="R50" s="494"/>
      <c r="S50" s="494"/>
      <c r="T50" s="494"/>
      <c r="U50" s="494"/>
      <c r="V50" s="494"/>
      <c r="W50" s="494"/>
      <c r="X50" s="494"/>
      <c r="Y50" s="494"/>
    </row>
    <row r="51" spans="2:25" ht="15" customHeight="1">
      <c r="B51" s="645"/>
      <c r="C51" s="646"/>
      <c r="D51" s="646"/>
      <c r="E51" s="646"/>
      <c r="F51" s="646"/>
      <c r="G51" s="649"/>
      <c r="H51" s="494"/>
      <c r="I51" s="494"/>
      <c r="J51" s="494"/>
      <c r="K51" s="520"/>
      <c r="L51" s="494"/>
      <c r="M51" s="75"/>
      <c r="N51" s="494"/>
      <c r="O51" s="494"/>
      <c r="P51" s="494"/>
      <c r="Q51" s="494"/>
      <c r="R51" s="494"/>
      <c r="S51" s="494"/>
      <c r="T51" s="494"/>
      <c r="U51" s="494"/>
      <c r="V51" s="494"/>
      <c r="W51" s="494"/>
      <c r="X51" s="494"/>
      <c r="Y51" s="494"/>
    </row>
    <row r="52" spans="2:25" ht="15" customHeight="1">
      <c r="B52" s="647"/>
      <c r="C52" s="648"/>
      <c r="D52" s="648"/>
      <c r="E52" s="648"/>
      <c r="F52" s="648"/>
      <c r="G52" s="650"/>
      <c r="H52" s="494"/>
      <c r="I52" s="494"/>
      <c r="J52" s="494"/>
      <c r="K52" s="520"/>
      <c r="L52" s="494"/>
      <c r="M52" s="75"/>
      <c r="N52" s="494"/>
      <c r="O52" s="494"/>
      <c r="P52" s="494"/>
      <c r="Q52" s="494"/>
      <c r="R52" s="494"/>
      <c r="S52" s="494"/>
      <c r="T52" s="494"/>
      <c r="U52" s="494"/>
      <c r="V52" s="494"/>
      <c r="W52" s="494"/>
      <c r="X52" s="494"/>
      <c r="Y52" s="494"/>
    </row>
    <row r="53" spans="2:25">
      <c r="B53" s="76"/>
      <c r="C53" s="76"/>
      <c r="D53" s="76"/>
      <c r="E53" s="76"/>
      <c r="F53" s="76"/>
      <c r="G53" s="76"/>
      <c r="H53" s="76"/>
      <c r="I53" s="76"/>
      <c r="J53" s="76"/>
      <c r="K53" s="520"/>
      <c r="L53" s="494"/>
      <c r="M53" s="494"/>
      <c r="N53" s="494"/>
      <c r="O53" s="494"/>
      <c r="P53" s="494"/>
      <c r="Q53" s="494"/>
      <c r="R53" s="494"/>
      <c r="S53" s="494"/>
      <c r="T53" s="494"/>
      <c r="U53" s="494"/>
      <c r="V53" s="494"/>
      <c r="W53" s="494"/>
      <c r="X53" s="494"/>
      <c r="Y53" s="494"/>
    </row>
    <row r="54" spans="2:25" ht="23.25">
      <c r="B54" s="28" t="inlineStr">
        <is>
          <t>Marknadssituation</t>
        </is>
      </c>
      <c r="C54" s="29"/>
      <c r="D54" s="30"/>
      <c r="E54" s="31"/>
      <c r="F54" s="32"/>
      <c r="G54" s="33"/>
      <c r="H54" s="494"/>
      <c r="I54" s="494"/>
      <c r="J54" s="494"/>
      <c r="K54" s="26"/>
      <c r="L54" s="26"/>
      <c r="M54" s="77"/>
      <c r="N54" s="78"/>
      <c r="O54" s="79"/>
      <c r="P54" s="494"/>
      <c r="Q54" s="494"/>
      <c r="R54" s="494"/>
      <c r="S54" s="494"/>
      <c r="T54" s="494"/>
      <c r="U54" s="494"/>
      <c r="V54" s="494"/>
      <c r="W54" s="494"/>
      <c r="X54" s="494"/>
      <c r="Y54" s="494"/>
    </row>
    <row r="55" spans="2:25" ht="15">
      <c r="B55" s="80" t="s">
        <v>48</v>
      </c>
      <c r="C55" s="81"/>
      <c r="D55" s="82"/>
      <c r="E55" s="82"/>
      <c r="F55" s="82"/>
      <c r="G55" s="799">
        <v>0</v>
      </c>
      <c r="H55" s="494"/>
      <c r="I55" s="494"/>
      <c r="J55" s="494"/>
      <c r="K55" s="520"/>
      <c r="L55" s="494"/>
      <c r="M55" s="494"/>
      <c r="N55" s="494"/>
      <c r="O55" s="494"/>
      <c r="P55" s="494"/>
      <c r="Q55" s="494"/>
      <c r="R55" s="494"/>
      <c r="S55" s="494"/>
      <c r="T55" s="494"/>
      <c r="U55" s="494"/>
      <c r="V55" s="494"/>
      <c r="W55" s="494"/>
      <c r="X55" s="494"/>
      <c r="Y55" s="494"/>
    </row>
    <row r="56" spans="2:25" ht="8.1" customHeight="1">
      <c r="B56" s="84"/>
      <c r="C56" s="84"/>
      <c r="D56" s="523"/>
      <c r="E56" s="524"/>
      <c r="F56" s="524"/>
      <c r="G56" s="525"/>
      <c r="H56" s="494"/>
      <c r="I56" s="494"/>
      <c r="J56" s="494"/>
      <c r="K56" s="520"/>
      <c r="L56" s="494"/>
      <c r="M56" s="494"/>
      <c r="N56" s="494"/>
      <c r="O56" s="494"/>
      <c r="P56" s="494"/>
      <c r="Q56" s="494"/>
      <c r="R56" s="494"/>
      <c r="S56" s="494"/>
      <c r="T56" s="494"/>
      <c r="U56" s="494"/>
      <c r="V56" s="494"/>
      <c r="W56" s="494"/>
      <c r="X56" s="494"/>
      <c r="Y56" s="494"/>
    </row>
    <row r="57" spans="2:25" ht="15">
      <c r="B57" s="37" t="inlineStr">
        <is>
          <t>Kommentar marknadssituation och restvärde:</t>
        </is>
      </c>
      <c r="C57" s="15"/>
      <c r="D57" s="498"/>
      <c r="E57" s="498"/>
      <c r="F57" s="498"/>
      <c r="G57" s="526"/>
      <c r="H57" s="494"/>
      <c r="I57" s="494"/>
      <c r="J57" s="494"/>
      <c r="K57" s="85" t="s">
        <v>50</v>
      </c>
      <c r="L57" s="86"/>
      <c r="M57" s="87"/>
      <c r="N57" s="88"/>
      <c r="O57" s="88" t="s">
        <v>51</v>
      </c>
      <c r="P57" s="89" t="s">
        <v>52</v>
      </c>
      <c r="Q57" s="494"/>
      <c r="R57" s="494"/>
      <c r="S57" s="494"/>
      <c r="T57" s="494"/>
      <c r="U57" s="494"/>
      <c r="V57" s="494"/>
      <c r="W57" s="494"/>
      <c r="X57" s="494"/>
      <c r="Y57" s="494"/>
    </row>
    <row r="58" spans="2:25" ht="15" customHeight="1">
      <c r="B58" s="631" t="inlineStr">
        <is>
          <t>Hur har restvärdet bedömts (direktavkastning, kalkylränta)? Har värderaren tagit hänsyn till kommande investeringar för att upprätthålla hyresnivån? Vad händer med marknadsvärdet om vi inte investerar? Kommentera sannolikt scenario, t.ex. sjukt hus, tekniskt utdömt eller vakanser. Är byggrätterna optimerade? Förändras momsregistreringsgraden?</t>
        </is>
      </c>
      <c r="C58" s="632"/>
      <c r="D58" s="632"/>
      <c r="E58" s="632"/>
      <c r="F58" s="632"/>
      <c r="G58" s="633"/>
      <c r="H58" s="494"/>
      <c r="I58" s="494"/>
      <c r="J58" s="494"/>
      <c r="K58" s="90" t="s">
        <v>54</v>
      </c>
      <c r="L58" s="69"/>
      <c r="M58" s="76"/>
      <c r="N58" s="91"/>
      <c r="O58" s="92">
        <v>0</v>
      </c>
      <c r="P58" s="93">
        <v>0</v>
      </c>
      <c r="Q58" s="494"/>
      <c r="R58" s="494"/>
      <c r="S58" s="494"/>
      <c r="T58" s="494"/>
      <c r="U58" s="494"/>
      <c r="V58" s="494"/>
      <c r="W58" s="494"/>
      <c r="X58" s="494"/>
      <c r="Y58" s="494"/>
    </row>
    <row r="59" spans="2:25" ht="15">
      <c r="B59" s="631"/>
      <c r="C59" s="632"/>
      <c r="D59" s="632"/>
      <c r="E59" s="632"/>
      <c r="F59" s="632"/>
      <c r="G59" s="633"/>
      <c r="H59" s="494"/>
      <c r="I59" s="494"/>
      <c r="J59" s="494"/>
      <c r="K59" s="90" t="s">
        <v>55</v>
      </c>
      <c r="L59" s="69"/>
      <c r="M59" s="76"/>
      <c r="N59" s="91"/>
      <c r="O59" s="92">
        <v>0</v>
      </c>
      <c r="P59" s="93">
        <v>0</v>
      </c>
      <c r="Q59" s="494"/>
      <c r="R59" s="494"/>
      <c r="S59" s="494"/>
      <c r="T59" s="494"/>
      <c r="U59" s="494"/>
      <c r="V59" s="494"/>
      <c r="W59" s="494"/>
      <c r="X59" s="494"/>
      <c r="Y59" s="494"/>
    </row>
    <row r="60" spans="2:25" ht="15">
      <c r="B60" s="631"/>
      <c r="C60" s="632"/>
      <c r="D60" s="632"/>
      <c r="E60" s="632"/>
      <c r="F60" s="632"/>
      <c r="G60" s="633"/>
      <c r="H60" s="494"/>
      <c r="I60" s="494"/>
      <c r="J60" s="494"/>
      <c r="K60" s="80" t="s">
        <v>56</v>
      </c>
      <c r="L60" s="81"/>
      <c r="M60" s="82"/>
      <c r="N60" s="94"/>
      <c r="O60" s="94">
        <f>SUM(O58:O59)</f>
        <v>0.0</v>
      </c>
      <c r="P60" s="95">
        <f>SUM(P58:P59)</f>
        <v>0.0</v>
      </c>
      <c r="Q60" s="494"/>
      <c r="R60" s="494"/>
      <c r="S60" s="494"/>
      <c r="T60" s="494"/>
      <c r="U60" s="494"/>
      <c r="V60" s="494"/>
      <c r="W60" s="494"/>
      <c r="X60" s="494"/>
      <c r="Y60" s="494"/>
    </row>
    <row r="61" spans="2:25" ht="15" customHeight="1">
      <c r="B61" s="631"/>
      <c r="C61" s="632"/>
      <c r="D61" s="632"/>
      <c r="E61" s="632"/>
      <c r="F61" s="632"/>
      <c r="G61" s="633"/>
      <c r="H61" s="494"/>
      <c r="I61" s="494"/>
      <c r="J61" s="494"/>
      <c r="K61" s="520"/>
      <c r="L61" s="494"/>
      <c r="M61" s="494"/>
      <c r="N61" s="494"/>
      <c r="O61" s="494"/>
      <c r="P61" s="494"/>
      <c r="Q61" s="494"/>
      <c r="R61" s="494"/>
      <c r="S61" s="494"/>
      <c r="T61" s="494"/>
      <c r="U61" s="494"/>
      <c r="V61" s="494"/>
      <c r="W61" s="494"/>
      <c r="X61" s="494"/>
      <c r="Y61" s="494"/>
    </row>
    <row r="62" spans="2:25">
      <c r="B62" s="631"/>
      <c r="C62" s="632"/>
      <c r="D62" s="632"/>
      <c r="E62" s="632"/>
      <c r="F62" s="632"/>
      <c r="G62" s="633"/>
      <c r="H62" s="494"/>
      <c r="I62" s="494"/>
      <c r="J62" s="494"/>
      <c r="K62" s="520"/>
      <c r="L62" s="494"/>
      <c r="M62" s="494"/>
      <c r="N62" s="494"/>
      <c r="O62" s="494"/>
      <c r="P62" s="494"/>
      <c r="Q62" s="494"/>
      <c r="R62" s="494"/>
      <c r="S62" s="494"/>
      <c r="T62" s="494"/>
      <c r="U62" s="494"/>
      <c r="V62" s="494"/>
      <c r="W62" s="494"/>
      <c r="X62" s="494"/>
      <c r="Y62" s="494"/>
    </row>
    <row r="63" spans="2:25">
      <c r="B63" s="634"/>
      <c r="C63" s="635"/>
      <c r="D63" s="635"/>
      <c r="E63" s="635"/>
      <c r="F63" s="635"/>
      <c r="G63" s="636"/>
      <c r="H63" s="494"/>
      <c r="I63" s="494"/>
      <c r="J63" s="494"/>
      <c r="K63" s="520"/>
      <c r="L63" s="494"/>
      <c r="M63" s="494"/>
      <c r="N63" s="494"/>
      <c r="O63" s="494"/>
      <c r="P63" s="494"/>
      <c r="Q63" s="494"/>
      <c r="R63" s="494"/>
      <c r="S63" s="494"/>
      <c r="T63" s="494"/>
      <c r="U63" s="494"/>
      <c r="V63" s="494"/>
      <c r="W63" s="494"/>
      <c r="X63" s="494"/>
      <c r="Y63" s="494"/>
    </row>
    <row r="64" spans="2:25" ht="8.1" customHeight="1">
      <c r="B64" s="84"/>
      <c r="C64" s="84"/>
      <c r="D64" s="523"/>
      <c r="E64" s="524"/>
      <c r="F64" s="524"/>
      <c r="G64" s="525"/>
      <c r="H64" s="494"/>
      <c r="I64" s="494"/>
      <c r="J64" s="494"/>
      <c r="K64" s="520"/>
      <c r="L64" s="494"/>
      <c r="M64" s="494"/>
      <c r="N64" s="494"/>
      <c r="O64" s="494"/>
      <c r="P64" s="494"/>
      <c r="Q64" s="494"/>
      <c r="R64" s="494"/>
      <c r="S64" s="494"/>
      <c r="T64" s="494"/>
      <c r="U64" s="494"/>
      <c r="V64" s="494"/>
      <c r="W64" s="494"/>
      <c r="X64" s="494"/>
      <c r="Y64" s="494"/>
    </row>
    <row r="65" spans="1:25" ht="15">
      <c r="B65" s="80" t="str">
        <f>"Restvärdesbedömning — direktavkastning vid exit "&amp;ROUND('2. Kalkyldata'!$M$11*100,2)&amp;" % (marknad "&amp;ROUND('2. Kalkyldata'!$M$6*100,2)&amp;" % "&amp;IF('2. Kalkyldata'!$M$10&gt;=0,"+","")&amp;ROUND('2. Kalkyldata'!$M$10*100,2)&amp;" pp)"</f>
        <v>Restvärdesbedömning — direktavkastning vid exit 6,5 % (marknad 6,5 % +0 pp)</v>
      </c>
      <c r="C65" s="81"/>
      <c r="D65" s="82"/>
      <c r="E65" s="82"/>
      <c r="F65" s="82"/>
      <c r="G65" s="83"/>
      <c r="H65" s="494"/>
      <c r="I65" s="494"/>
      <c r="J65" s="494"/>
      <c r="K65" s="520"/>
      <c r="L65" s="494"/>
      <c r="M65" s="494"/>
      <c r="N65" s="494"/>
      <c r="O65" s="494"/>
      <c r="P65" s="494"/>
      <c r="Q65" s="494"/>
      <c r="R65" s="494"/>
      <c r="S65" s="494"/>
      <c r="T65" s="494"/>
      <c r="U65" s="494"/>
      <c r="V65" s="494"/>
      <c r="W65" s="494"/>
      <c r="X65" s="494"/>
      <c r="Y65" s="494"/>
    </row>
    <row r="66" spans="1:25" ht="30.0" customHeight="1">
      <c r="B66" s="800" t="s">
        <v>393</v>
      </c>
      <c r="C66" s="801" t="inlineStr">
        <is>
          <t>Direktavk.</t>
        </is>
      </c>
      <c r="D66" s="802" t="s">
        <v>395</v>
      </c>
      <c r="E66" s="803" t="inlineStr">
        <is>
          <t>Restvärde (exit)</t>
        </is>
      </c>
      <c r="F66" s="801" t="inlineStr">
        <is>
          <t>Kravhyra, kr/kvm</t>
        </is>
      </c>
      <c r="G66" s="804" t="s">
        <v>389</v>
      </c>
      <c r="H66" s="19"/>
      <c r="I66" s="494"/>
      <c r="J66" s="494"/>
      <c r="K66" s="520"/>
      <c r="L66" s="494"/>
      <c r="M66" s="494"/>
      <c r="N66" s="494"/>
      <c r="O66" s="494"/>
      <c r="P66" s="494"/>
      <c r="Q66" s="494"/>
      <c r="R66" s="494"/>
      <c r="S66" s="494"/>
      <c r="T66" s="494"/>
      <c r="U66" s="494"/>
      <c r="V66" s="494"/>
      <c r="W66" s="494"/>
      <c r="X66" s="494"/>
      <c r="Y66" s="494"/>
    </row>
    <row r="67" spans="1:25" ht="15">
      <c r="B67" s="495" t="str">
        <f>'5. IRR'!B55</f>
        <v>Optimistisk (−1,00 pp)</v>
      </c>
      <c r="C67" s="726">
        <f>'5. IRR'!C55</f>
        <v>0.055</v>
      </c>
      <c r="D67" s="727">
        <f>'5. IRR'!E55</f>
        <v>0.08724726148571967</v>
      </c>
      <c r="E67" s="465">
        <f>'5. IRR'!D55</f>
        <v>321383636.3636364</v>
      </c>
      <c r="F67" s="731">
        <f>'5. IRR'!H55</f>
        <v>2480.0</v>
      </c>
      <c r="G67" s="465">
        <f>'5. IRR'!F55</f>
        <v>19970000.00000003</v>
      </c>
      <c r="H67" s="494"/>
      <c r="I67" s="494"/>
      <c r="J67" s="494"/>
      <c r="K67" s="520"/>
      <c r="L67" s="494"/>
      <c r="M67" s="494"/>
      <c r="N67" s="494"/>
      <c r="O67" s="494"/>
      <c r="P67" s="494"/>
      <c r="Q67" s="494"/>
      <c r="R67" s="494"/>
      <c r="S67" s="494"/>
      <c r="T67" s="494"/>
      <c r="U67" s="494"/>
      <c r="V67" s="494"/>
      <c r="W67" s="494"/>
      <c r="X67" s="494"/>
      <c r="Y67" s="494"/>
    </row>
    <row r="68" spans="1:25" ht="15">
      <c r="B68" s="495" t="str">
        <f>'5. IRR'!B56</f>
        <v>Bedömt (2. Kalkyldata sektion 5)</v>
      </c>
      <c r="C68" s="726">
        <f>'5. IRR'!C56</f>
        <v>0.065</v>
      </c>
      <c r="D68" s="727">
        <f>'5. IRR'!E56</f>
        <v>0.08080374302175485</v>
      </c>
      <c r="E68" s="465">
        <f>'5. IRR'!D56</f>
        <v>271940000.0</v>
      </c>
      <c r="F68" s="731">
        <f>'5. IRR'!H56</f>
        <v>2559.0</v>
      </c>
      <c r="G68" s="465">
        <f>'5. IRR'!F56</f>
        <v>10300000.00000003</v>
      </c>
      <c r="H68" s="494"/>
      <c r="I68" s="494"/>
      <c r="J68" s="494"/>
      <c r="K68" s="520"/>
      <c r="L68" s="494"/>
      <c r="M68" s="494"/>
      <c r="N68" s="494"/>
      <c r="O68" s="494"/>
      <c r="P68" s="494"/>
      <c r="Q68" s="494"/>
      <c r="R68" s="494"/>
      <c r="S68" s="494"/>
      <c r="T68" s="494"/>
      <c r="U68" s="494"/>
      <c r="V68" s="494"/>
      <c r="W68" s="494"/>
      <c r="X68" s="494"/>
      <c r="Y68" s="494"/>
    </row>
    <row r="69" spans="1:25" ht="15">
      <c r="B69" s="495" t="str">
        <f>'5. IRR'!B57</f>
        <v>Pessimistisk (+1,00 pp)</v>
      </c>
      <c r="C69" s="726">
        <f>'5. IRR'!C57</f>
        <v>0.075</v>
      </c>
      <c r="D69" s="727">
        <f>'5. IRR'!E57</f>
        <v>0.07550636593572588</v>
      </c>
      <c r="E69" s="465">
        <f>'5. IRR'!D57</f>
        <v>235681333.33333334</v>
      </c>
      <c r="F69" s="731">
        <f>'5. IRR'!H57</f>
        <v>2621.0</v>
      </c>
      <c r="G69" s="465">
        <f>'5. IRR'!F57</f>
        <v>3200000.00000003</v>
      </c>
      <c r="H69" s="494"/>
      <c r="I69" s="494"/>
      <c r="J69" s="494"/>
      <c r="K69" s="520"/>
      <c r="L69" s="494"/>
      <c r="M69" s="494"/>
      <c r="N69" s="494"/>
      <c r="O69" s="494"/>
      <c r="P69" s="494"/>
      <c r="Q69" s="494"/>
      <c r="R69" s="494"/>
      <c r="S69" s="494"/>
      <c r="T69" s="494"/>
      <c r="U69" s="494"/>
      <c r="V69" s="494"/>
      <c r="W69" s="494"/>
      <c r="X69" s="494"/>
      <c r="Y69" s="494"/>
    </row>
    <row r="70" spans="1:25" ht="8.1" customHeight="1">
      <c r="B70" s="84"/>
      <c r="C70" s="84"/>
      <c r="D70" s="523"/>
      <c r="E70" s="524"/>
      <c r="F70" s="524"/>
      <c r="G70" s="525"/>
      <c r="H70" s="494"/>
      <c r="I70" s="494"/>
      <c r="J70" s="494"/>
      <c r="K70" s="520"/>
      <c r="L70" s="494"/>
      <c r="M70" s="494"/>
      <c r="N70" s="494"/>
      <c r="O70" s="494"/>
      <c r="P70" s="494"/>
      <c r="Q70" s="494"/>
      <c r="R70" s="494"/>
      <c r="S70" s="494"/>
      <c r="T70" s="494"/>
      <c r="U70" s="494"/>
      <c r="V70" s="494"/>
      <c r="W70" s="494"/>
      <c r="X70" s="494"/>
      <c r="Y70" s="494"/>
    </row>
    <row r="71" spans="1:25" ht="15">
      <c r="B71" s="807" t="inlineStr">
        <is>
          <t>Känslighet: direktavkastningen vid exit ±1,00 pp. Raden Bedömt är kalkylens restvärde (4. NPV rad 84–90).</t>
        </is>
      </c>
      <c r="C71" s="96"/>
      <c r="D71" s="96"/>
      <c r="E71" s="96"/>
      <c r="F71" s="97"/>
      <c r="G71" s="98"/>
      <c r="H71" s="494"/>
      <c r="I71" s="494"/>
      <c r="J71" s="494"/>
      <c r="K71" s="520"/>
      <c r="L71" s="494"/>
      <c r="M71" s="494"/>
      <c r="N71" s="494"/>
      <c r="O71" s="494"/>
      <c r="P71" s="494"/>
      <c r="Q71" s="494"/>
      <c r="R71" s="494"/>
      <c r="S71" s="494"/>
      <c r="T71" s="494"/>
      <c r="U71" s="494"/>
      <c r="V71" s="494"/>
      <c r="W71" s="494"/>
      <c r="X71" s="494"/>
      <c r="Y71" s="494"/>
    </row>
    <row r="72" spans="1:25" ht="23.25">
      <c r="A72" s="494"/>
      <c r="B72" s="28" t="s">
        <v>57</v>
      </c>
      <c r="C72" s="29"/>
      <c r="D72" s="30"/>
      <c r="E72" s="818" t="inlineStr">
        <is>
          <t>Hämtas från 2. Kalkyldata</t>
        </is>
      </c>
      <c r="F72" s="99"/>
      <c r="G72" s="33"/>
      <c r="H72" s="494"/>
      <c r="I72" s="494"/>
      <c r="J72" s="494"/>
      <c r="K72" s="17"/>
      <c r="L72" s="100"/>
      <c r="M72" s="26"/>
      <c r="N72" s="494"/>
      <c r="O72" s="494"/>
      <c r="P72" s="494"/>
      <c r="Q72" s="494"/>
      <c r="R72" s="494"/>
      <c r="S72" s="494"/>
      <c r="T72" s="494"/>
      <c r="U72" s="494"/>
      <c r="V72" s="494"/>
      <c r="W72" s="494"/>
      <c r="X72" s="494"/>
      <c r="Y72" s="494"/>
    </row>
    <row r="73" spans="1:25">
      <c r="A73" s="494"/>
      <c r="B73" s="527" t="s">
        <v>58</v>
      </c>
      <c r="C73" s="498"/>
      <c r="D73" s="526"/>
      <c r="E73" s="527"/>
      <c r="F73" s="528"/>
      <c r="G73" s="529">
        <f>'2. Kalkyldata'!$P17</f>
        <v>20.0</v>
      </c>
      <c r="H73" s="494"/>
      <c r="I73" s="494"/>
      <c r="J73" s="520"/>
      <c r="K73" s="17">
        <f>'2. Kalkyldata'!$P17</f>
        <v>20.0</v>
      </c>
      <c r="L73" s="494"/>
      <c r="M73" s="494"/>
      <c r="N73" s="494"/>
      <c r="O73" s="494"/>
      <c r="P73" s="494"/>
      <c r="Q73" s="494"/>
      <c r="R73" s="494"/>
      <c r="S73" s="494"/>
      <c r="T73" s="494"/>
      <c r="U73" s="494"/>
      <c r="V73" s="494"/>
      <c r="W73" s="494"/>
      <c r="X73" s="494"/>
      <c r="Y73" s="494"/>
    </row>
    <row r="74" spans="1:25">
      <c r="A74" s="494"/>
      <c r="B74" s="530" t="s">
        <v>59</v>
      </c>
      <c r="C74" s="494"/>
      <c r="D74" s="531"/>
      <c r="E74" s="530"/>
      <c r="F74" s="520"/>
      <c r="G74" s="532">
        <f>'2. Kalkyldata'!$P16</f>
        <v>33.0</v>
      </c>
      <c r="H74" s="494"/>
      <c r="I74" s="494"/>
      <c r="J74" s="520"/>
      <c r="K74" s="21">
        <f>'2. Kalkyldata'!$P16</f>
        <v>33.0</v>
      </c>
      <c r="L74" s="494"/>
      <c r="M74" s="494"/>
      <c r="N74" s="494"/>
      <c r="O74" s="494"/>
      <c r="P74" s="494"/>
      <c r="Q74" s="494"/>
      <c r="R74" s="494"/>
      <c r="S74" s="494"/>
      <c r="T74" s="494"/>
      <c r="U74" s="494"/>
      <c r="V74" s="494"/>
      <c r="W74" s="494"/>
      <c r="X74" s="494"/>
      <c r="Y74" s="494"/>
    </row>
    <row r="75" spans="1:25">
      <c r="A75" s="494"/>
      <c r="B75" s="530" t="inlineStr">
        <is>
          <t>Justerad direktavkastning (restvärde)</t>
        </is>
      </c>
      <c r="C75" s="494"/>
      <c r="D75" s="531"/>
      <c r="E75" s="530"/>
      <c r="F75" s="520"/>
      <c r="G75" s="789">
        <f>'2. Kalkyldata'!$M$11</f>
        <v>0.065</v>
      </c>
      <c r="H75" s="494"/>
      <c r="I75" s="494"/>
      <c r="J75" s="520"/>
      <c r="K75" s="101">
        <f>'2. Kalkyldata'!$M$11</f>
        <v>0.065</v>
      </c>
      <c r="L75" s="494"/>
      <c r="M75" s="494"/>
      <c r="N75" s="494"/>
      <c r="O75" s="494"/>
      <c r="P75" s="494"/>
      <c r="Q75" s="494"/>
      <c r="R75" s="494"/>
      <c r="S75" s="494"/>
      <c r="T75" s="494"/>
      <c r="U75" s="494"/>
      <c r="V75" s="494"/>
      <c r="W75" s="494"/>
      <c r="X75" s="494"/>
      <c r="Y75" s="494"/>
    </row>
    <row r="76" spans="1:25">
      <c r="A76" s="494"/>
      <c r="B76" s="530" t="s">
        <v>61</v>
      </c>
      <c r="C76" s="494"/>
      <c r="D76" s="531"/>
      <c r="E76" s="530"/>
      <c r="F76" s="520"/>
      <c r="G76" s="534">
        <f>'2. Kalkyldata'!$M7</f>
        <v>0.0455</v>
      </c>
      <c r="H76" s="494"/>
      <c r="I76" s="494"/>
      <c r="J76" s="520"/>
      <c r="K76" s="101">
        <f>'2. Kalkyldata'!$M7</f>
        <v>0.0455</v>
      </c>
      <c r="L76" s="494"/>
      <c r="M76" s="494"/>
      <c r="N76" s="494"/>
      <c r="O76" s="494"/>
      <c r="P76" s="494"/>
      <c r="Q76" s="494"/>
      <c r="R76" s="494"/>
      <c r="S76" s="494"/>
      <c r="T76" s="494"/>
      <c r="U76" s="494"/>
      <c r="V76" s="494"/>
      <c r="W76" s="494"/>
      <c r="X76" s="494"/>
      <c r="Y76" s="494"/>
    </row>
    <row r="77" spans="1:25">
      <c r="A77" s="494"/>
      <c r="B77" s="530" t="s">
        <v>62</v>
      </c>
      <c r="C77" s="494"/>
      <c r="D77" s="531"/>
      <c r="E77" s="530"/>
      <c r="F77" s="520"/>
      <c r="G77" s="789">
        <f>'2. Kalkyldata'!$M8</f>
        <v>0.085</v>
      </c>
      <c r="H77" s="494"/>
      <c r="I77" s="494"/>
      <c r="J77" s="520"/>
      <c r="K77" s="101">
        <f>'2. Kalkyldata'!$M8</f>
        <v>0.085</v>
      </c>
      <c r="L77" s="494"/>
      <c r="M77" s="494"/>
      <c r="N77" s="494"/>
      <c r="O77" s="494"/>
      <c r="P77" s="494"/>
      <c r="Q77" s="494"/>
      <c r="R77" s="494"/>
      <c r="S77" s="494"/>
      <c r="T77" s="494"/>
      <c r="U77" s="494"/>
      <c r="V77" s="494"/>
      <c r="W77" s="494"/>
      <c r="X77" s="494"/>
      <c r="Y77" s="494"/>
    </row>
    <row r="78" spans="1:25">
      <c r="A78" s="494"/>
      <c r="B78" s="530" t="s">
        <v>63</v>
      </c>
      <c r="C78" s="494"/>
      <c r="D78" s="531"/>
      <c r="E78" s="530"/>
      <c r="F78" s="520"/>
      <c r="G78" s="789">
        <f>'2. Kalkyldata'!$M9</f>
        <v>0.02</v>
      </c>
      <c r="H78" s="494"/>
      <c r="I78" s="494"/>
      <c r="J78" s="520"/>
      <c r="K78" s="101">
        <f>'2. Kalkyldata'!$M9</f>
        <v>0.02</v>
      </c>
      <c r="L78" s="494"/>
      <c r="M78" s="494"/>
      <c r="N78" s="494"/>
      <c r="O78" s="494"/>
      <c r="P78" s="494"/>
      <c r="Q78" s="494"/>
      <c r="R78" s="494"/>
      <c r="S78" s="494"/>
      <c r="T78" s="494"/>
      <c r="U78" s="494"/>
      <c r="V78" s="494"/>
      <c r="W78" s="494"/>
      <c r="X78" s="494"/>
      <c r="Y78" s="494"/>
    </row>
    <row r="79" spans="1:25" ht="8.1" customHeight="1">
      <c r="A79" s="494"/>
      <c r="B79" s="530"/>
      <c r="C79" s="506"/>
      <c r="D79" s="531"/>
      <c r="E79" s="530"/>
      <c r="F79" s="507"/>
      <c r="G79" s="535"/>
      <c r="H79" s="494"/>
      <c r="I79" s="494"/>
      <c r="J79" s="494"/>
      <c r="K79" s="102"/>
      <c r="L79" s="494"/>
      <c r="M79" s="494"/>
      <c r="N79" s="494"/>
      <c r="O79" s="494"/>
      <c r="P79" s="494"/>
      <c r="Q79" s="494"/>
      <c r="R79" s="494"/>
      <c r="S79" s="494"/>
      <c r="T79" s="494"/>
      <c r="U79" s="494"/>
      <c r="V79" s="494"/>
      <c r="W79" s="494"/>
      <c r="X79" s="494"/>
      <c r="Y79" s="494"/>
    </row>
    <row r="80" spans="1:25">
      <c r="A80" s="494"/>
      <c r="B80" s="530" t="inlineStr">
        <is>
          <t>Hyresvärde år 1, befintligt (inkl. ombyggnad)</t>
        </is>
      </c>
      <c r="C80" s="494"/>
      <c r="D80" s="531"/>
      <c r="E80" s="530"/>
      <c r="F80" s="507"/>
      <c r="G80" s="536">
        <f>'2. Kalkyldata'!$L$28-SUMIF('2. Kalkyldata'!$E$23:$E$27,"nyb",'2. Kalkyldata'!$L$23:$L$27)</f>
        <v>0.0</v>
      </c>
      <c r="H80" s="494"/>
      <c r="I80" s="494"/>
      <c r="J80" s="494"/>
      <c r="K80" s="102">
        <f>'2. Kalkyldata'!$L$28-SUMIF('2. Kalkyldata'!$E$23:$E$27,"nyb",'2. Kalkyldata'!$L$23:$L$27)</f>
        <v>0.0</v>
      </c>
      <c r="L80" s="494"/>
      <c r="M80" s="494"/>
      <c r="N80" s="494"/>
      <c r="O80" s="494"/>
      <c r="P80" s="494"/>
      <c r="Q80" s="494"/>
      <c r="R80" s="494"/>
      <c r="S80" s="494"/>
      <c r="T80" s="494"/>
      <c r="U80" s="494"/>
      <c r="V80" s="494"/>
      <c r="W80" s="494"/>
      <c r="X80" s="494"/>
      <c r="Y80" s="494"/>
    </row>
    <row r="81" spans="1:25">
      <c r="A81" s="494"/>
      <c r="B81" s="103" t="inlineStr">
        <is>
          <t>kr/kvm</t>
        </is>
      </c>
      <c r="C81" s="104"/>
      <c r="D81" s="105"/>
      <c r="E81" s="106"/>
      <c r="F81" s="107"/>
      <c r="G81" s="108">
        <f>IFERROR($K$80/('2. Kalkyldata'!$H$28-SUMIF('2. Kalkyldata'!$E$23:$E$27,"nyb",'2. Kalkyldata'!$H$23:$H$27)),0)</f>
        <v>0.0</v>
      </c>
      <c r="H81" s="494"/>
      <c r="I81" s="494"/>
      <c r="J81" s="507"/>
      <c r="K81" s="44">
        <f>IFERROR($K$80/('2. Kalkyldata'!$H$28-SUMIF('2. Kalkyldata'!$E$23:$E$27,"nyb",'2. Kalkyldata'!$H$23:$H$27)),0)</f>
        <v>0.0</v>
      </c>
      <c r="L81" s="494"/>
      <c r="M81" s="494"/>
      <c r="N81" s="494"/>
      <c r="O81" s="494"/>
      <c r="P81" s="494"/>
      <c r="Q81" s="494"/>
      <c r="R81" s="494"/>
      <c r="S81" s="494"/>
      <c r="T81" s="494"/>
      <c r="U81" s="494"/>
      <c r="V81" s="494"/>
      <c r="W81" s="494"/>
      <c r="X81" s="494"/>
      <c r="Y81" s="494"/>
    </row>
    <row r="82" spans="1:25">
      <c r="A82" s="494"/>
      <c r="B82" s="530" t="s">
        <v>66</v>
      </c>
      <c r="C82" s="494"/>
      <c r="D82" s="531"/>
      <c r="E82" s="530"/>
      <c r="F82" s="507"/>
      <c r="G82" s="536">
        <f>SUMIF('2. Kalkyldata'!$E$23:$E$27,"nyb",'2. Kalkyldata'!$L$23:$L$27)</f>
        <v>16165000.0</v>
      </c>
      <c r="H82" s="494"/>
      <c r="I82" s="494"/>
      <c r="J82" s="494"/>
      <c r="K82" s="102">
        <f>SUMIF('2. Kalkyldata'!$E$23:$E$27,"nyb",'2. Kalkyldata'!$L$23:$L$27)</f>
        <v>16165000.0</v>
      </c>
      <c r="L82" s="494"/>
      <c r="M82" s="494"/>
      <c r="N82" s="494"/>
      <c r="O82" s="494"/>
      <c r="P82" s="494"/>
      <c r="Q82" s="494"/>
      <c r="R82" s="494"/>
      <c r="S82" s="494"/>
      <c r="T82" s="494"/>
      <c r="U82" s="494"/>
      <c r="V82" s="494"/>
      <c r="W82" s="494"/>
      <c r="X82" s="494"/>
      <c r="Y82" s="494"/>
    </row>
    <row r="83" spans="1:25">
      <c r="A83" s="494"/>
      <c r="B83" s="103" t="inlineStr">
        <is>
          <t>kr/kvm</t>
        </is>
      </c>
      <c r="C83" s="104"/>
      <c r="D83" s="105"/>
      <c r="E83" s="106"/>
      <c r="F83" s="107"/>
      <c r="G83" s="108">
        <f>IFERROR(G82/(SUMIF('2. Kalkyldata'!$E23:$E27,"nyb",'2. Kalkyldata'!$H23:$H27)),0)</f>
        <v>2650.0</v>
      </c>
      <c r="H83" s="494"/>
      <c r="I83" s="494"/>
      <c r="J83" s="507"/>
      <c r="K83" s="44">
        <f>K82/(SUMIF('2. Kalkyldata'!$E23:$E27,"nyb",'2. Kalkyldata'!$H23:$H27))</f>
        <v>2650.0</v>
      </c>
      <c r="L83" s="494"/>
      <c r="M83" s="494"/>
      <c r="N83" s="494"/>
      <c r="O83" s="494"/>
      <c r="P83" s="494"/>
      <c r="Q83" s="494"/>
      <c r="R83" s="494"/>
      <c r="S83" s="494"/>
      <c r="T83" s="494"/>
      <c r="U83" s="494"/>
      <c r="V83" s="494"/>
      <c r="W83" s="494"/>
      <c r="X83" s="494"/>
      <c r="Y83" s="494"/>
    </row>
    <row r="84" spans="1:25" s="115" customFormat="1" ht="15">
      <c r="A84" s="19"/>
      <c r="B84" s="37" t="inlineStr">
        <is>
          <t>Summa hyresvärde, år 1</t>
        </is>
      </c>
      <c r="C84" s="15"/>
      <c r="D84" s="109"/>
      <c r="E84" s="110"/>
      <c r="F84" s="111"/>
      <c r="G84" s="112">
        <f>G80+G82</f>
        <v>16165000.0</v>
      </c>
      <c r="H84" s="19"/>
      <c r="I84" s="19"/>
      <c r="J84" s="113"/>
      <c r="K84" s="114">
        <f>K80+K82</f>
        <v>16165000.0</v>
      </c>
      <c r="L84" s="19"/>
      <c r="M84" s="494"/>
      <c r="N84" s="19"/>
      <c r="O84" s="19"/>
      <c r="P84" s="19"/>
      <c r="Q84" s="19"/>
      <c r="R84" s="19"/>
      <c r="S84" s="19"/>
      <c r="T84" s="19"/>
      <c r="U84" s="19"/>
      <c r="V84" s="19"/>
      <c r="W84" s="19"/>
      <c r="X84" s="19"/>
      <c r="Y84" s="19"/>
    </row>
    <row r="85" spans="1:25" s="115" customFormat="1" ht="15">
      <c r="A85" s="19"/>
      <c r="B85" s="116" t="inlineStr">
        <is>
          <t>kr/kvm</t>
        </is>
      </c>
      <c r="C85" s="117"/>
      <c r="D85" s="118"/>
      <c r="E85" s="119"/>
      <c r="F85" s="120"/>
      <c r="G85" s="121">
        <f>IFERROR(G84/$K$22,"")</f>
        <v>2650.0</v>
      </c>
      <c r="H85" s="19"/>
      <c r="I85" s="19"/>
      <c r="J85" s="113"/>
      <c r="K85" s="122">
        <f>K84/$K$22</f>
        <v>2650.0</v>
      </c>
      <c r="L85" s="19"/>
      <c r="M85" s="494"/>
      <c r="N85" s="19"/>
      <c r="O85" s="19"/>
      <c r="P85" s="19"/>
      <c r="Q85" s="19"/>
      <c r="R85" s="19"/>
      <c r="S85" s="19"/>
      <c r="T85" s="19"/>
      <c r="U85" s="19"/>
      <c r="V85" s="19"/>
      <c r="W85" s="19"/>
      <c r="X85" s="19"/>
      <c r="Y85" s="19"/>
    </row>
    <row r="86" spans="1:25" s="115" customFormat="1" ht="15">
      <c r="A86" s="19"/>
      <c r="B86" s="123" t="inlineStr">
        <is>
          <t>Marknadshyra / långsiktigt hyresvärde</t>
        </is>
      </c>
      <c r="C86" s="124"/>
      <c r="D86" s="125"/>
      <c r="E86" s="123"/>
      <c r="F86" s="126"/>
      <c r="G86" s="127">
        <f>'2. Kalkyldata'!$O$28</f>
        <v>16165000.0</v>
      </c>
      <c r="H86" s="19"/>
      <c r="I86" s="19"/>
      <c r="J86" s="113"/>
      <c r="K86" s="114">
        <f>'2. Kalkyldata'!$O$28</f>
        <v>16165000.0</v>
      </c>
      <c r="L86" s="19"/>
      <c r="M86" s="494"/>
      <c r="N86" s="19"/>
      <c r="O86" s="19"/>
      <c r="P86" s="19"/>
      <c r="Q86" s="19"/>
      <c r="R86" s="19"/>
      <c r="S86" s="19"/>
      <c r="T86" s="19"/>
      <c r="U86" s="19"/>
      <c r="V86" s="19"/>
      <c r="W86" s="19"/>
      <c r="X86" s="19"/>
      <c r="Y86" s="19"/>
    </row>
    <row r="87" spans="1:25" s="115" customFormat="1" ht="15">
      <c r="A87" s="19"/>
      <c r="B87" s="128" t="inlineStr">
        <is>
          <t>kr/kvm</t>
        </is>
      </c>
      <c r="C87" s="129"/>
      <c r="D87" s="130"/>
      <c r="E87" s="131"/>
      <c r="F87" s="132"/>
      <c r="G87" s="133">
        <f>IFERROR(G86/'2. Kalkyldata'!$H$28,"")</f>
        <v>2650.0</v>
      </c>
      <c r="H87" s="19"/>
      <c r="I87" s="19"/>
      <c r="J87" s="113"/>
      <c r="K87" s="61">
        <f>K86/'2. Kalkyldata'!$H$28</f>
        <v>2650.0</v>
      </c>
      <c r="L87" s="19"/>
      <c r="M87" s="19"/>
      <c r="N87" s="19"/>
      <c r="O87" s="19"/>
      <c r="P87" s="19"/>
      <c r="Q87" s="19"/>
      <c r="R87" s="19"/>
      <c r="S87" s="19"/>
      <c r="T87" s="19"/>
      <c r="U87" s="19"/>
      <c r="V87" s="19"/>
      <c r="W87" s="19"/>
      <c r="X87" s="19"/>
      <c r="Y87" s="19"/>
    </row>
    <row r="88" spans="1:25">
      <c r="B88" s="495" t="inlineStr">
        <is>
          <t>Vakans efter avtal inom kalkylperioden (viktad)</t>
        </is>
      </c>
      <c r="C88" s="496"/>
      <c r="D88" s="537"/>
      <c r="E88" s="538"/>
      <c r="F88" s="496"/>
      <c r="G88" s="790">
        <f>'2. Kalkyldata'!$M14</f>
        <v>0.0</v>
      </c>
      <c r="H88" s="494"/>
      <c r="I88" s="494"/>
      <c r="J88" s="494"/>
      <c r="K88" s="134">
        <f>'2. Kalkyldata'!$M14</f>
        <v>0.0</v>
      </c>
      <c r="L88" s="494"/>
      <c r="M88" s="494"/>
      <c r="N88" s="494"/>
      <c r="O88" s="494"/>
      <c r="P88" s="494"/>
      <c r="Q88" s="494"/>
      <c r="R88" s="494"/>
      <c r="S88" s="494"/>
      <c r="T88" s="494"/>
      <c r="U88" s="494"/>
      <c r="V88" s="494"/>
      <c r="W88" s="494"/>
      <c r="X88" s="494"/>
      <c r="Y88" s="494"/>
    </row>
    <row r="89" spans="1:25">
      <c r="B89" s="540" t="s">
        <v>70</v>
      </c>
      <c r="C89" s="523"/>
      <c r="D89" s="541"/>
      <c r="E89" s="660" t="inlineStr">
        <is>
          <t>Exkl. extraordinärt underhåll</t>
        </is>
      </c>
      <c r="F89" s="661"/>
      <c r="G89" s="542">
        <f>'4. NPV'!$D$32</f>
        <v>-405.0</v>
      </c>
      <c r="H89" s="494"/>
      <c r="I89" s="494"/>
      <c r="J89" s="494"/>
      <c r="K89" s="44">
        <f>'4. NPV'!$D$32</f>
        <v>-405.0</v>
      </c>
      <c r="L89" s="494"/>
      <c r="M89" s="494"/>
      <c r="N89" s="494"/>
      <c r="O89" s="494"/>
      <c r="P89" s="494"/>
      <c r="Q89" s="494"/>
      <c r="R89" s="494"/>
      <c r="S89" s="494"/>
      <c r="T89" s="494"/>
      <c r="U89" s="494"/>
      <c r="V89" s="494"/>
      <c r="W89" s="494"/>
      <c r="X89" s="494"/>
      <c r="Y89" s="494"/>
    </row>
    <row r="90" spans="1:25">
      <c r="B90" s="494"/>
      <c r="C90" s="494"/>
      <c r="D90" s="494"/>
      <c r="E90" s="494"/>
      <c r="F90" s="494"/>
      <c r="G90" s="543"/>
      <c r="H90" s="494"/>
      <c r="I90" s="494"/>
      <c r="J90" s="494"/>
      <c r="K90" s="43"/>
      <c r="L90" s="494"/>
      <c r="M90" s="494"/>
      <c r="N90" s="494"/>
      <c r="O90" s="494"/>
      <c r="P90" s="494"/>
      <c r="Q90" s="494"/>
      <c r="R90" s="494"/>
      <c r="S90" s="494"/>
      <c r="T90" s="494"/>
      <c r="U90" s="494"/>
      <c r="V90" s="494"/>
      <c r="W90" s="494"/>
      <c r="X90" s="494"/>
      <c r="Y90" s="494"/>
    </row>
    <row r="91" spans="1:25" ht="15">
      <c r="B91" s="637" t="inlineStr">
        <is>
          <t>Kommentar kalkylantaganden:</t>
        </is>
      </c>
      <c r="C91" s="638"/>
      <c r="D91" s="638"/>
      <c r="E91" s="638"/>
      <c r="F91" s="638"/>
      <c r="G91" s="639"/>
      <c r="H91" s="494"/>
      <c r="I91" s="494"/>
      <c r="J91" s="494"/>
      <c r="K91" s="135"/>
      <c r="L91" s="494"/>
      <c r="M91" s="494"/>
      <c r="N91" s="494"/>
      <c r="O91" s="494"/>
      <c r="P91" s="494"/>
      <c r="Q91" s="494"/>
      <c r="R91" s="494"/>
      <c r="S91" s="494"/>
      <c r="T91" s="494"/>
      <c r="U91" s="494"/>
      <c r="V91" s="494"/>
      <c r="W91" s="494"/>
      <c r="X91" s="494"/>
      <c r="Y91" s="494"/>
    </row>
    <row r="92" spans="1:25">
      <c r="B92" s="674" t="s">
        <v>5</v>
      </c>
      <c r="C92" s="626"/>
      <c r="D92" s="626"/>
      <c r="E92" s="626"/>
      <c r="F92" s="626"/>
      <c r="G92" s="627"/>
      <c r="H92" s="494"/>
      <c r="I92" s="494"/>
      <c r="J92" s="494"/>
      <c r="K92" s="43"/>
      <c r="L92" s="494"/>
      <c r="M92" s="494"/>
      <c r="N92" s="494"/>
      <c r="O92" s="494"/>
      <c r="P92" s="494"/>
      <c r="Q92" s="494"/>
      <c r="R92" s="494"/>
      <c r="S92" s="494"/>
      <c r="T92" s="494"/>
      <c r="U92" s="494"/>
      <c r="V92" s="494"/>
      <c r="W92" s="494"/>
      <c r="X92" s="494"/>
      <c r="Y92" s="494"/>
    </row>
    <row r="93" spans="1:25" ht="15" customHeight="1">
      <c r="B93" s="625"/>
      <c r="C93" s="626"/>
      <c r="D93" s="626"/>
      <c r="E93" s="626"/>
      <c r="F93" s="626"/>
      <c r="G93" s="627"/>
      <c r="H93" s="494"/>
      <c r="I93" s="494"/>
      <c r="J93" s="544"/>
      <c r="K93" s="43"/>
      <c r="L93" s="494"/>
      <c r="M93" s="494"/>
      <c r="N93" s="494"/>
      <c r="O93" s="494"/>
      <c r="P93" s="494"/>
      <c r="Q93" s="494"/>
      <c r="R93" s="494"/>
      <c r="S93" s="494"/>
      <c r="T93" s="494"/>
      <c r="U93" s="494"/>
      <c r="V93" s="494"/>
      <c r="W93" s="494"/>
      <c r="X93" s="494"/>
      <c r="Y93" s="494"/>
    </row>
    <row r="94" spans="1:25">
      <c r="B94" s="625"/>
      <c r="C94" s="626"/>
      <c r="D94" s="626"/>
      <c r="E94" s="626"/>
      <c r="F94" s="626"/>
      <c r="G94" s="627"/>
      <c r="H94" s="494"/>
      <c r="I94" s="494"/>
      <c r="J94" s="545"/>
      <c r="K94" s="43"/>
      <c r="L94" s="494"/>
      <c r="M94" s="494"/>
      <c r="N94" s="546"/>
      <c r="O94" s="494"/>
      <c r="P94" s="494"/>
      <c r="Q94" s="494"/>
      <c r="R94" s="494"/>
      <c r="S94" s="494"/>
      <c r="T94" s="494"/>
      <c r="U94" s="494"/>
      <c r="V94" s="494"/>
      <c r="W94" s="494"/>
      <c r="X94" s="494"/>
      <c r="Y94" s="494"/>
    </row>
    <row r="95" spans="1:25">
      <c r="B95" s="625"/>
      <c r="C95" s="626"/>
      <c r="D95" s="626"/>
      <c r="E95" s="626"/>
      <c r="F95" s="626"/>
      <c r="G95" s="627"/>
      <c r="H95" s="494"/>
      <c r="I95" s="494"/>
      <c r="J95" s="544"/>
      <c r="K95" s="43"/>
      <c r="L95" s="494"/>
      <c r="M95" s="494"/>
      <c r="N95" s="546"/>
      <c r="O95" s="494"/>
      <c r="P95" s="494"/>
      <c r="Q95" s="494"/>
      <c r="R95" s="494"/>
      <c r="S95" s="494"/>
      <c r="T95" s="494"/>
      <c r="U95" s="494"/>
      <c r="V95" s="494"/>
      <c r="W95" s="494"/>
      <c r="X95" s="494"/>
      <c r="Y95" s="494"/>
    </row>
    <row r="96" spans="1:25">
      <c r="B96" s="628"/>
      <c r="C96" s="629"/>
      <c r="D96" s="629"/>
      <c r="E96" s="629"/>
      <c r="F96" s="629"/>
      <c r="G96" s="630"/>
      <c r="H96" s="494"/>
      <c r="I96" s="494"/>
      <c r="J96" s="545"/>
      <c r="K96" s="136"/>
      <c r="L96" s="494"/>
      <c r="M96" s="494"/>
      <c r="N96" s="546"/>
      <c r="O96" s="494"/>
      <c r="P96" s="494"/>
      <c r="Q96" s="494"/>
      <c r="R96" s="494"/>
      <c r="S96" s="494"/>
      <c r="T96" s="494"/>
      <c r="U96" s="494"/>
      <c r="V96" s="494"/>
      <c r="W96" s="494"/>
      <c r="X96" s="494"/>
      <c r="Y96" s="494"/>
    </row>
    <row r="97" spans="1:25">
      <c r="B97" s="494"/>
      <c r="C97" s="494"/>
      <c r="D97" s="494"/>
      <c r="E97" s="494"/>
      <c r="F97" s="494"/>
      <c r="G97" s="543"/>
      <c r="H97" s="494"/>
      <c r="I97" s="494"/>
      <c r="J97" s="494"/>
      <c r="K97" s="137"/>
      <c r="L97" s="494"/>
      <c r="M97" s="494"/>
      <c r="N97" s="494"/>
      <c r="O97" s="494"/>
      <c r="P97" s="494"/>
      <c r="Q97" s="494"/>
      <c r="R97" s="494"/>
      <c r="S97" s="494"/>
      <c r="T97" s="494"/>
      <c r="U97" s="494"/>
      <c r="V97" s="494"/>
      <c r="W97" s="494"/>
      <c r="X97" s="494"/>
      <c r="Y97" s="494"/>
    </row>
    <row r="98" spans="1:25" ht="23.25">
      <c r="B98" s="28" t="s">
        <v>72</v>
      </c>
      <c r="C98" s="29"/>
      <c r="D98" s="138"/>
      <c r="E98" s="821" t="inlineStr">
        <is>
          <t>Hämtas från 3. Finansiering</t>
        </is>
      </c>
      <c r="F98" s="99"/>
      <c r="G98" s="139"/>
      <c r="H98" s="494"/>
      <c r="I98" s="494"/>
      <c r="J98" s="494"/>
      <c r="K98" s="140"/>
      <c r="L98" s="494"/>
      <c r="M98" s="494"/>
      <c r="N98" s="494"/>
      <c r="O98" s="494"/>
      <c r="P98" s="494"/>
      <c r="Q98" s="494"/>
      <c r="R98" s="494"/>
      <c r="S98" s="494"/>
      <c r="T98" s="494"/>
      <c r="U98" s="494"/>
      <c r="V98" s="494"/>
      <c r="W98" s="494"/>
      <c r="X98" s="494"/>
      <c r="Y98" s="494"/>
    </row>
    <row r="99" spans="1:25">
      <c r="B99" s="527" t="inlineStr">
        <is>
          <t>Ränta år 1 (byggnadskreditiv)</t>
        </is>
      </c>
      <c r="C99" s="498"/>
      <c r="D99" s="526"/>
      <c r="E99" s="499"/>
      <c r="F99" s="498"/>
      <c r="G99" s="547">
        <f>'3. Finansiering'!$C$7</f>
        <v>0.0307</v>
      </c>
      <c r="H99" s="494"/>
      <c r="I99" s="494"/>
      <c r="J99" s="494"/>
      <c r="K99" s="134">
        <f>'3. Finansiering'!$C$7</f>
        <v>0.0307</v>
      </c>
      <c r="L99" s="494"/>
      <c r="M99" s="494"/>
      <c r="N99" s="494"/>
      <c r="O99" s="494"/>
      <c r="P99" s="494"/>
      <c r="Q99" s="494"/>
      <c r="R99" s="494"/>
      <c r="S99" s="494"/>
      <c r="T99" s="494"/>
      <c r="U99" s="494"/>
      <c r="V99" s="494"/>
      <c r="W99" s="494"/>
      <c r="X99" s="494"/>
      <c r="Y99" s="494"/>
    </row>
    <row r="100" spans="1:25">
      <c r="B100" s="530" t="inlineStr">
        <is>
          <t>Långsiktig ränta (från år 11)</t>
        </is>
      </c>
      <c r="C100" s="494"/>
      <c r="D100" s="531"/>
      <c r="E100" s="501"/>
      <c r="F100" s="494"/>
      <c r="G100" s="548">
        <f>'3. Finansiering'!$C$8</f>
        <v>0.0455</v>
      </c>
      <c r="H100" s="494"/>
      <c r="I100" s="494"/>
      <c r="J100" s="494"/>
      <c r="K100" s="134">
        <f>'3. Finansiering'!$C$8</f>
        <v>0.0455</v>
      </c>
      <c r="L100" s="494"/>
      <c r="M100" s="494"/>
      <c r="N100" s="494"/>
      <c r="O100" s="494"/>
      <c r="P100" s="494"/>
      <c r="Q100" s="494"/>
      <c r="R100" s="494"/>
      <c r="S100" s="494"/>
      <c r="T100" s="494"/>
      <c r="U100" s="494"/>
      <c r="V100" s="494"/>
      <c r="W100" s="494"/>
      <c r="X100" s="494"/>
      <c r="Y100" s="494"/>
    </row>
    <row r="101" spans="1:25">
      <c r="B101" s="530" t="s">
        <v>75</v>
      </c>
      <c r="C101" s="494"/>
      <c r="D101" s="531"/>
      <c r="E101" s="501"/>
      <c r="F101" s="494"/>
      <c r="G101" s="791">
        <f>'3. Finansiering'!$C$9</f>
        <v>0.03</v>
      </c>
      <c r="H101" s="494"/>
      <c r="I101" s="494"/>
      <c r="J101" s="494"/>
      <c r="K101" s="134">
        <f>'3. Finansiering'!$C$9</f>
        <v>0.03</v>
      </c>
      <c r="L101" s="494"/>
      <c r="M101" s="494"/>
      <c r="N101" s="494"/>
      <c r="O101" s="494"/>
      <c r="P101" s="494"/>
      <c r="Q101" s="494"/>
      <c r="R101" s="494"/>
      <c r="S101" s="494"/>
      <c r="T101" s="494"/>
      <c r="U101" s="494"/>
      <c r="V101" s="494"/>
      <c r="W101" s="494"/>
      <c r="X101" s="494"/>
      <c r="Y101" s="494"/>
    </row>
    <row r="102" spans="1:25">
      <c r="B102" s="495" t="s">
        <v>76</v>
      </c>
      <c r="C102" s="496"/>
      <c r="D102" s="537"/>
      <c r="E102" s="550"/>
      <c r="F102" s="496"/>
      <c r="G102" s="790">
        <f>'3. Finansiering'!$C$10</f>
        <v>0.37</v>
      </c>
      <c r="H102" s="494"/>
      <c r="I102" s="494"/>
      <c r="J102" s="494"/>
      <c r="K102" s="141">
        <f>'3. Finansiering'!$C$10</f>
        <v>0.37</v>
      </c>
      <c r="L102" s="494"/>
      <c r="M102" s="494"/>
      <c r="N102" s="494"/>
      <c r="O102" s="494"/>
      <c r="P102" s="494"/>
      <c r="Q102" s="494"/>
      <c r="R102" s="494"/>
      <c r="S102" s="494"/>
      <c r="T102" s="494"/>
      <c r="U102" s="494"/>
      <c r="V102" s="494"/>
      <c r="W102" s="494"/>
      <c r="X102" s="494"/>
      <c r="Y102" s="494"/>
    </row>
    <row r="103" spans="1:25">
      <c r="B103" s="494"/>
      <c r="C103" s="494"/>
      <c r="D103" s="494"/>
      <c r="E103" s="494"/>
      <c r="F103" s="494"/>
      <c r="G103" s="543"/>
      <c r="H103" s="494"/>
      <c r="I103" s="494"/>
      <c r="J103" s="494"/>
      <c r="K103" s="142"/>
      <c r="L103" s="494"/>
      <c r="M103" s="494"/>
      <c r="N103" s="494"/>
      <c r="O103" s="494"/>
      <c r="P103" s="494"/>
      <c r="Q103" s="494"/>
      <c r="R103" s="494"/>
      <c r="S103" s="494"/>
      <c r="T103" s="494"/>
      <c r="U103" s="494"/>
      <c r="V103" s="494"/>
      <c r="W103" s="494"/>
      <c r="X103" s="494"/>
      <c r="Y103" s="494"/>
    </row>
    <row r="104" spans="1:25" ht="23.25">
      <c r="A104" s="494"/>
      <c r="B104" s="28" t="s">
        <v>77</v>
      </c>
      <c r="C104" s="143"/>
      <c r="D104" s="144" t="s">
        <v>78</v>
      </c>
      <c r="E104" s="145" t="s">
        <v>58</v>
      </c>
      <c r="F104" s="146"/>
      <c r="G104" s="809" t="inlineStr">
        <is>
          <t>Utfall</t>
        </is>
      </c>
      <c r="H104" s="494"/>
      <c r="I104" s="494"/>
      <c r="J104" s="494"/>
      <c r="K104" s="148"/>
      <c r="L104" s="494"/>
      <c r="M104" s="494"/>
      <c r="N104" s="494"/>
      <c r="O104" s="494"/>
      <c r="P104" s="494"/>
      <c r="Q104" s="494"/>
      <c r="R104" s="494"/>
      <c r="S104" s="494"/>
      <c r="T104" s="494"/>
      <c r="U104" s="494"/>
      <c r="V104" s="494"/>
      <c r="W104" s="494"/>
      <c r="X104" s="494"/>
      <c r="Y104" s="494"/>
    </row>
    <row r="105" spans="1:25" ht="15">
      <c r="A105" s="494"/>
      <c r="B105" s="221" t="str">
        <f>"IRR före skatt ("&amp;ROUND(G102*100,0)&amp;" % belåning, krav 2)"</f>
        <v>IRR före skatt (37 % belåning, krav 2)</v>
      </c>
      <c r="C105" s="222"/>
      <c r="D105" s="493">
        <f>'2. Kalkyldata'!F14</f>
        <v>0.0634</v>
      </c>
      <c r="E105" s="223">
        <f>'2. Kalkyldata'!$Q$17</f>
        <v>20.0</v>
      </c>
      <c r="F105" s="222"/>
      <c r="G105" s="788">
        <f>'5. IRR'!$D$40</f>
        <v>0.08080374302175485</v>
      </c>
      <c r="H105" s="19"/>
      <c r="I105" s="19"/>
      <c r="J105" s="19"/>
      <c r="K105" s="134">
        <f>'5. IRR'!$D$40</f>
        <v>0.08080374302175485</v>
      </c>
      <c r="L105" s="494"/>
      <c r="M105" s="494"/>
      <c r="N105" s="494"/>
      <c r="O105" s="494"/>
      <c r="P105" s="494"/>
      <c r="Q105" s="494"/>
      <c r="R105" s="494"/>
      <c r="S105" s="494"/>
      <c r="T105" s="494"/>
      <c r="U105" s="494"/>
      <c r="V105" s="494"/>
      <c r="W105" s="494"/>
      <c r="X105" s="494"/>
      <c r="Y105" s="494"/>
    </row>
    <row r="106" spans="1:25" ht="8.1" customHeight="1">
      <c r="A106" s="494"/>
      <c r="B106" s="149"/>
      <c r="C106" s="150"/>
      <c r="D106" s="151"/>
      <c r="E106" s="88"/>
      <c r="F106" s="87"/>
      <c r="G106" s="152"/>
      <c r="H106" s="494"/>
      <c r="I106" s="494"/>
      <c r="J106" s="494"/>
      <c r="K106" s="153"/>
      <c r="L106" s="494"/>
      <c r="M106" s="494"/>
      <c r="N106" s="494"/>
      <c r="O106" s="494"/>
      <c r="P106" s="494"/>
      <c r="Q106" s="494"/>
      <c r="R106" s="494"/>
      <c r="S106" s="494"/>
      <c r="T106" s="494"/>
      <c r="U106" s="494"/>
      <c r="V106" s="494"/>
      <c r="W106" s="494"/>
      <c r="X106" s="494"/>
      <c r="Y106" s="494"/>
    </row>
    <row r="107" spans="1:25" ht="15" customHeight="1">
      <c r="A107" s="494"/>
      <c r="B107" s="815" t="s">
        <v>417</v>
      </c>
      <c r="C107" s="811"/>
      <c r="D107" s="812" t="str">
        <f>'2. Kalkyldata'!$AE$19</f>
        <v>NPV binder</v>
      </c>
      <c r="E107" s="813"/>
      <c r="F107" s="811"/>
      <c r="G107" s="816">
        <f>'2. Kalkyldata'!$D$17</f>
        <v>2559.0</v>
      </c>
      <c r="H107" s="19"/>
      <c r="I107" s="494"/>
      <c r="J107" s="494"/>
      <c r="K107" s="153"/>
      <c r="L107" s="494"/>
      <c r="M107" s="494"/>
      <c r="N107" s="494"/>
      <c r="O107" s="494"/>
      <c r="P107" s="494"/>
      <c r="Q107" s="494"/>
      <c r="R107" s="494"/>
      <c r="S107" s="494"/>
      <c r="T107" s="494"/>
      <c r="U107" s="494"/>
      <c r="V107" s="494"/>
      <c r="W107" s="494"/>
      <c r="X107" s="494"/>
      <c r="Y107" s="494"/>
    </row>
    <row r="108" spans="1:25" ht="15">
      <c r="A108" s="494"/>
      <c r="B108" s="462" t="inlineStr">
        <is>
          <t>NPV tillkommande, över-/undervärde (krav 1)</t>
        </is>
      </c>
      <c r="C108" s="322"/>
      <c r="D108" s="463" t="str">
        <f>'2. Kalkyldata'!F13</f>
        <v>&gt;0</v>
      </c>
      <c r="E108" s="464">
        <f>$G$73</f>
        <v>20.0</v>
      </c>
      <c r="F108" s="322"/>
      <c r="G108" s="465">
        <f>'4. NPV'!$E$82</f>
        <v>10300000.00000003</v>
      </c>
      <c r="H108" s="19"/>
      <c r="I108" s="19"/>
      <c r="J108" s="19"/>
      <c r="K108" s="43">
        <f>'4. NPV'!$E$82</f>
        <v>10300000.00000003</v>
      </c>
      <c r="L108" s="494"/>
      <c r="M108" s="494"/>
      <c r="N108" s="494"/>
      <c r="O108" s="494"/>
      <c r="P108" s="494"/>
      <c r="Q108" s="494"/>
      <c r="R108" s="494"/>
      <c r="S108" s="494"/>
      <c r="T108" s="494"/>
      <c r="U108" s="494"/>
      <c r="V108" s="494"/>
      <c r="W108" s="494"/>
      <c r="X108" s="494"/>
      <c r="Y108" s="494"/>
    </row>
    <row r="109" spans="1:25" ht="15">
      <c r="A109" s="494"/>
      <c r="B109" s="154" t="str">
        <f>CONCATENATE("PV ",'2. Kalkyldata'!$M$3)</f>
        <v>PV 2026</v>
      </c>
      <c r="C109" s="155"/>
      <c r="D109" s="156"/>
      <c r="E109" s="157"/>
      <c r="F109" s="155"/>
      <c r="G109" s="158">
        <f>'4. NPV'!$E$81</f>
        <v>250300000.0</v>
      </c>
      <c r="H109" s="19"/>
      <c r="I109" s="19"/>
      <c r="J109" s="19"/>
      <c r="K109" s="43">
        <f>'4. NPV'!$E$81</f>
        <v>250300000.0</v>
      </c>
      <c r="L109" s="494"/>
      <c r="M109" s="494"/>
      <c r="N109" s="494"/>
      <c r="O109" s="494"/>
      <c r="P109" s="494"/>
      <c r="Q109" s="494"/>
      <c r="R109" s="494"/>
      <c r="S109" s="494"/>
      <c r="T109" s="494"/>
      <c r="U109" s="494"/>
      <c r="V109" s="494"/>
      <c r="W109" s="494"/>
      <c r="X109" s="494"/>
      <c r="Y109" s="494"/>
    </row>
    <row r="110" spans="1:25" ht="15">
      <c r="A110" s="494"/>
      <c r="B110" s="154" t="s">
        <v>80</v>
      </c>
      <c r="C110" s="155"/>
      <c r="D110" s="156"/>
      <c r="E110" s="157"/>
      <c r="F110" s="155"/>
      <c r="G110" s="158">
        <f>'4. NPV'!$E$56</f>
        <v>-239999999.99999997</v>
      </c>
      <c r="H110" s="19"/>
      <c r="I110" s="19"/>
      <c r="J110" s="19"/>
      <c r="K110" s="43">
        <f>'4. NPV'!$E$56</f>
        <v>-239999999.99999997</v>
      </c>
      <c r="L110" s="494"/>
      <c r="M110" s="494"/>
      <c r="N110" s="494"/>
      <c r="O110" s="494"/>
      <c r="P110" s="494"/>
      <c r="Q110" s="159"/>
      <c r="R110" s="494"/>
      <c r="S110" s="494"/>
      <c r="T110" s="494"/>
      <c r="U110" s="494"/>
      <c r="V110" s="494"/>
      <c r="W110" s="494"/>
      <c r="X110" s="494"/>
      <c r="Y110" s="494"/>
    </row>
    <row r="111" spans="1:25" ht="15">
      <c r="A111" s="494"/>
      <c r="B111" s="462" t="inlineStr">
        <is>
          <t>PV jmf bokfört värde, hela fastigheten (krav 3)</t>
        </is>
      </c>
      <c r="C111" s="322"/>
      <c r="D111" s="466" t="str">
        <f>'2. Kalkyldata'!F15</f>
        <v>&gt;0</v>
      </c>
      <c r="E111" s="464">
        <f>$G$73</f>
        <v>20.0</v>
      </c>
      <c r="F111" s="322"/>
      <c r="G111" s="465">
        <f>G112-G113</f>
        <v>10300000.00000003</v>
      </c>
      <c r="H111" s="19"/>
      <c r="I111" s="19"/>
      <c r="J111" s="19"/>
      <c r="K111" s="43">
        <f>K112-K113</f>
        <v>10300000.00000003</v>
      </c>
      <c r="L111" s="494"/>
      <c r="M111" s="494"/>
      <c r="N111" s="494"/>
      <c r="O111" s="494"/>
      <c r="P111" s="494"/>
      <c r="Q111" s="159"/>
      <c r="R111" s="494"/>
      <c r="S111" s="494"/>
      <c r="T111" s="494"/>
      <c r="U111" s="494"/>
      <c r="V111" s="494"/>
      <c r="W111" s="494"/>
      <c r="X111" s="494"/>
      <c r="Y111" s="494"/>
    </row>
    <row r="112" spans="1:25" s="115" customFormat="1" ht="15">
      <c r="A112" s="19"/>
      <c r="B112" s="154" t="str">
        <f>CONCATENATE("PV ",'2. Kalkyldata'!$M$3)</f>
        <v>PV 2026</v>
      </c>
      <c r="C112" s="155"/>
      <c r="D112" s="156"/>
      <c r="E112" s="160"/>
      <c r="F112" s="155"/>
      <c r="G112" s="158">
        <f>'4. NPV'!$E$52</f>
        <v>250300000.0</v>
      </c>
      <c r="H112" s="19"/>
      <c r="I112" s="19"/>
      <c r="J112" s="19"/>
      <c r="K112" s="43">
        <f>'4. NPV'!$E$52</f>
        <v>250300000.0</v>
      </c>
      <c r="L112" s="19"/>
      <c r="M112" s="19"/>
      <c r="N112" s="19"/>
      <c r="O112" s="19"/>
      <c r="P112" s="19"/>
      <c r="Q112" s="96"/>
      <c r="R112" s="19"/>
      <c r="S112" s="19"/>
      <c r="T112" s="19"/>
      <c r="U112" s="19"/>
      <c r="V112" s="19"/>
      <c r="W112" s="19"/>
      <c r="X112" s="19"/>
      <c r="Y112" s="19"/>
    </row>
    <row r="113" spans="1:25" s="115" customFormat="1" ht="15">
      <c r="A113" s="19"/>
      <c r="B113" s="154" t="str">
        <f>CONCATENATE("Bokfört värde inkl investering ",'2. Kalkyldata'!$M$3)</f>
        <v>Bokfört värde inkl investering 2026</v>
      </c>
      <c r="C113" s="155"/>
      <c r="D113" s="156"/>
      <c r="E113" s="160"/>
      <c r="F113" s="155"/>
      <c r="G113" s="158">
        <f>'2. Kalkyldata'!$P$9+'2. Kalkyldata'!$X$28-'2. Kalkyldata'!$P$10</f>
        <v>239999999.99999997</v>
      </c>
      <c r="H113" s="19"/>
      <c r="I113" s="19"/>
      <c r="J113" s="19"/>
      <c r="K113" s="43">
        <f>'2. Kalkyldata'!$P$9+'2. Kalkyldata'!$X$28-'2. Kalkyldata'!$P$10</f>
        <v>239999999.99999997</v>
      </c>
      <c r="L113" s="19"/>
      <c r="M113" s="19"/>
      <c r="N113" s="19"/>
      <c r="O113" s="19"/>
      <c r="P113" s="19"/>
      <c r="Q113" s="96"/>
      <c r="R113" s="19"/>
      <c r="S113" s="19"/>
      <c r="T113" s="19"/>
      <c r="U113" s="19"/>
      <c r="V113" s="19"/>
      <c r="W113" s="19"/>
      <c r="X113" s="19"/>
      <c r="Y113" s="19"/>
    </row>
    <row r="114" spans="1:25" s="115" customFormat="1" ht="15">
      <c r="A114" s="19"/>
      <c r="B114" s="391" t="s">
        <v>81</v>
      </c>
      <c r="C114" s="392"/>
      <c r="D114" s="467" t="inlineStr">
        <is>
          <t>–</t>
        </is>
      </c>
      <c r="E114" s="468">
        <f>$G$73</f>
        <v>20.0</v>
      </c>
      <c r="F114" s="222"/>
      <c r="G114" s="469">
        <f>AVERAGE('4. NPV'!D33:BA33)</f>
        <v>0.8377784992683931</v>
      </c>
      <c r="H114" s="494"/>
      <c r="I114" s="494"/>
      <c r="J114" s="494"/>
      <c r="K114" s="161"/>
      <c r="L114" s="19"/>
      <c r="M114" s="19"/>
      <c r="N114" s="19"/>
      <c r="O114" s="19"/>
      <c r="P114" s="19"/>
      <c r="Q114" s="96"/>
      <c r="R114" s="19"/>
      <c r="S114" s="19"/>
      <c r="T114" s="19"/>
      <c r="U114" s="19"/>
      <c r="V114" s="19"/>
      <c r="W114" s="19"/>
      <c r="X114" s="19"/>
      <c r="Y114" s="19"/>
    </row>
    <row r="115" spans="1:25" ht="8.1" customHeight="1">
      <c r="A115" s="494"/>
      <c r="B115" s="494"/>
      <c r="C115" s="494"/>
      <c r="D115" s="494"/>
      <c r="E115" s="494"/>
      <c r="F115" s="494"/>
      <c r="G115" s="543"/>
      <c r="H115" s="494"/>
      <c r="I115" s="494"/>
      <c r="J115" s="494"/>
      <c r="K115" s="43"/>
      <c r="L115" s="494"/>
      <c r="M115" s="494"/>
      <c r="N115" s="494"/>
      <c r="O115" s="494"/>
      <c r="P115" s="494"/>
      <c r="Q115" s="159"/>
      <c r="R115" s="494"/>
      <c r="S115" s="494"/>
      <c r="T115" s="494"/>
      <c r="U115" s="494"/>
      <c r="V115" s="494"/>
      <c r="W115" s="494"/>
      <c r="X115" s="494"/>
      <c r="Y115" s="494"/>
    </row>
    <row r="116" spans="1:25" ht="15" customHeight="1">
      <c r="A116" s="494"/>
      <c r="B116" s="677" t="inlineStr">
        <is>
          <t>Kommentar resultat och rekommendation:</t>
        </is>
      </c>
      <c r="C116" s="678"/>
      <c r="D116" s="678"/>
      <c r="E116" s="678"/>
      <c r="F116" s="678"/>
      <c r="G116" s="679"/>
      <c r="H116" s="494"/>
      <c r="I116" s="494"/>
      <c r="J116" s="494"/>
      <c r="K116" s="520"/>
      <c r="L116" s="162" t="s">
        <v>82</v>
      </c>
      <c r="M116" s="163"/>
      <c r="N116" s="164" t="s">
        <v>58</v>
      </c>
      <c r="O116" s="528"/>
      <c r="P116" s="498"/>
      <c r="Q116" s="165"/>
      <c r="R116" s="494"/>
      <c r="S116" s="494"/>
      <c r="T116" s="494"/>
      <c r="U116" s="494"/>
      <c r="V116" s="494"/>
      <c r="W116" s="494"/>
      <c r="X116" s="494"/>
      <c r="Y116" s="494"/>
    </row>
    <row r="117" spans="1:25">
      <c r="A117" s="494"/>
      <c r="B117" s="674" t="s">
        <v>5</v>
      </c>
      <c r="C117" s="675"/>
      <c r="D117" s="675"/>
      <c r="E117" s="675"/>
      <c r="F117" s="675"/>
      <c r="G117" s="676"/>
      <c r="H117" s="494"/>
      <c r="I117" s="494"/>
      <c r="J117" s="494"/>
      <c r="K117" s="520"/>
      <c r="L117" s="527" t="s">
        <v>58</v>
      </c>
      <c r="M117" s="551"/>
      <c r="N117" s="552"/>
      <c r="O117" s="528"/>
      <c r="P117" s="553">
        <v>0</v>
      </c>
      <c r="Q117" s="165">
        <f>'2. Kalkyldata'!$Q$17</f>
        <v>20.0</v>
      </c>
      <c r="R117" s="494"/>
      <c r="S117" s="494"/>
      <c r="T117" s="494"/>
      <c r="U117" s="494"/>
      <c r="V117" s="494"/>
      <c r="W117" s="494"/>
      <c r="X117" s="494"/>
      <c r="Y117" s="494"/>
    </row>
    <row r="118" spans="1:25">
      <c r="A118" s="494"/>
      <c r="B118" s="631"/>
      <c r="C118" s="632"/>
      <c r="D118" s="632"/>
      <c r="E118" s="632"/>
      <c r="F118" s="632"/>
      <c r="G118" s="633"/>
      <c r="H118" s="494"/>
      <c r="I118" s="494"/>
      <c r="J118" s="494"/>
      <c r="K118" s="520"/>
      <c r="L118" s="530" t="s">
        <v>83</v>
      </c>
      <c r="M118" s="554"/>
      <c r="N118" s="555">
        <f>$E$112</f>
        <v>0.0</v>
      </c>
      <c r="O118" s="520"/>
      <c r="P118" s="556">
        <v>0</v>
      </c>
      <c r="Q118" s="166">
        <f>'5. IRR'!$C$8</f>
        <v>94500000.0</v>
      </c>
      <c r="R118" s="494"/>
      <c r="S118" s="494"/>
      <c r="T118" s="494"/>
      <c r="U118" s="494"/>
      <c r="V118" s="494"/>
      <c r="W118" s="494"/>
      <c r="X118" s="494"/>
      <c r="Y118" s="494"/>
    </row>
    <row r="119" spans="1:25">
      <c r="A119" s="494"/>
      <c r="B119" s="631"/>
      <c r="C119" s="632"/>
      <c r="D119" s="632"/>
      <c r="E119" s="632"/>
      <c r="F119" s="632"/>
      <c r="G119" s="633"/>
      <c r="H119" s="494"/>
      <c r="I119" s="494"/>
      <c r="J119" s="494"/>
      <c r="K119" s="520"/>
      <c r="L119" s="495" t="s">
        <v>84</v>
      </c>
      <c r="M119" s="557"/>
      <c r="N119" s="558">
        <f>$E$112</f>
        <v>0.0</v>
      </c>
      <c r="O119" s="559"/>
      <c r="P119" s="560">
        <v>0</v>
      </c>
      <c r="Q119" s="166">
        <f>'5. IRR'!$C$9</f>
        <v>35500000.0</v>
      </c>
      <c r="R119" s="494"/>
      <c r="S119" s="494"/>
      <c r="T119" s="494"/>
      <c r="U119" s="494"/>
      <c r="V119" s="494"/>
      <c r="W119" s="494"/>
      <c r="X119" s="494"/>
      <c r="Y119" s="494"/>
    </row>
    <row r="120" spans="1:25">
      <c r="A120" s="494"/>
      <c r="B120" s="634"/>
      <c r="C120" s="635"/>
      <c r="D120" s="635"/>
      <c r="E120" s="635"/>
      <c r="F120" s="635"/>
      <c r="G120" s="636"/>
      <c r="H120" s="494"/>
      <c r="I120" s="494"/>
      <c r="J120" s="494"/>
      <c r="K120" s="520"/>
      <c r="L120" s="540" t="s">
        <v>85</v>
      </c>
      <c r="M120" s="561"/>
      <c r="N120" s="562">
        <f>$E$112</f>
        <v>0.0</v>
      </c>
      <c r="O120" s="523"/>
      <c r="P120" s="563">
        <v>0</v>
      </c>
      <c r="Q120" s="166">
        <f>'5. IRR'!$C$10</f>
        <v>271940000.0</v>
      </c>
      <c r="R120" s="494"/>
      <c r="S120" s="494"/>
      <c r="T120" s="494"/>
      <c r="U120" s="494"/>
      <c r="V120" s="494"/>
      <c r="W120" s="494"/>
      <c r="X120" s="494"/>
      <c r="Y120" s="494"/>
    </row>
    <row r="121" spans="1:25" ht="15">
      <c r="B121" s="494"/>
      <c r="C121" s="494"/>
      <c r="D121" s="494"/>
      <c r="E121" s="494"/>
      <c r="F121" s="494"/>
      <c r="G121" s="494"/>
      <c r="H121" s="494"/>
      <c r="I121" s="494"/>
      <c r="J121" s="494"/>
      <c r="K121" s="520"/>
      <c r="L121" s="167" t="s">
        <v>86</v>
      </c>
      <c r="M121" s="564"/>
      <c r="N121" s="494"/>
      <c r="O121" s="494"/>
      <c r="P121" s="494"/>
      <c r="Q121" s="159"/>
      <c r="R121" s="494"/>
      <c r="S121" s="494"/>
      <c r="T121" s="494"/>
      <c r="U121" s="494"/>
      <c r="V121" s="494"/>
      <c r="W121" s="494"/>
      <c r="X121" s="494"/>
      <c r="Y121" s="494"/>
    </row>
    <row r="122" spans="1:25" ht="23.25" hidden="1">
      <c r="B122" s="28" t="s">
        <v>87</v>
      </c>
      <c r="C122" s="29"/>
      <c r="D122" s="138"/>
      <c r="E122" s="138"/>
      <c r="F122" s="99"/>
      <c r="G122" s="139"/>
      <c r="H122" s="494"/>
      <c r="I122" s="494"/>
      <c r="J122" s="494"/>
      <c r="K122" s="520"/>
      <c r="L122" s="530" t="s">
        <v>88</v>
      </c>
      <c r="M122" s="531" t="s">
        <v>89</v>
      </c>
      <c r="N122" s="494"/>
      <c r="O122" s="494"/>
      <c r="P122" s="494"/>
      <c r="Q122" s="159"/>
      <c r="R122" s="494"/>
      <c r="S122" s="494"/>
      <c r="T122" s="494"/>
      <c r="U122" s="494"/>
      <c r="V122" s="494"/>
      <c r="W122" s="494"/>
      <c r="X122" s="494"/>
      <c r="Y122" s="494"/>
    </row>
    <row r="123" spans="1:25" hidden="1">
      <c r="B123" s="680" t="s">
        <v>90</v>
      </c>
      <c r="C123" s="565"/>
      <c r="D123" s="682" t="s">
        <v>91</v>
      </c>
      <c r="E123" s="682"/>
      <c r="F123" s="682"/>
      <c r="G123" s="683"/>
      <c r="H123" s="494"/>
      <c r="I123" s="494"/>
      <c r="J123" s="494"/>
      <c r="K123" s="520"/>
      <c r="L123" s="530"/>
      <c r="M123" s="531"/>
      <c r="N123" s="494"/>
      <c r="O123" s="494"/>
      <c r="P123" s="494"/>
      <c r="Q123" s="159"/>
      <c r="R123" s="494"/>
      <c r="S123" s="494"/>
      <c r="T123" s="494"/>
      <c r="U123" s="494"/>
      <c r="V123" s="494"/>
      <c r="W123" s="494"/>
      <c r="X123" s="494"/>
      <c r="Y123" s="494"/>
    </row>
    <row r="124" spans="1:25" hidden="1">
      <c r="B124" s="681"/>
      <c r="C124" s="567"/>
      <c r="D124" s="684"/>
      <c r="E124" s="684"/>
      <c r="F124" s="684"/>
      <c r="G124" s="685"/>
      <c r="H124" s="494"/>
      <c r="I124" s="494"/>
      <c r="J124" s="494"/>
      <c r="K124" s="520"/>
      <c r="L124" s="530"/>
      <c r="M124" s="531"/>
      <c r="N124" s="494"/>
      <c r="O124" s="494"/>
      <c r="P124" s="494"/>
      <c r="Q124" s="159"/>
      <c r="R124" s="494"/>
      <c r="S124" s="494"/>
      <c r="T124" s="494"/>
      <c r="U124" s="494"/>
      <c r="V124" s="494"/>
      <c r="W124" s="494"/>
      <c r="X124" s="494"/>
      <c r="Y124" s="494"/>
    </row>
    <row r="125" spans="1:25" hidden="1">
      <c r="B125" s="665" t="s">
        <v>92</v>
      </c>
      <c r="C125" s="666"/>
      <c r="D125" s="666"/>
      <c r="E125" s="666"/>
      <c r="F125" s="666"/>
      <c r="G125" s="667"/>
      <c r="H125" s="494"/>
      <c r="I125" s="494"/>
      <c r="J125" s="494"/>
      <c r="K125" s="520"/>
      <c r="L125" s="168"/>
      <c r="M125" s="169"/>
      <c r="N125" s="494"/>
      <c r="O125" s="494"/>
      <c r="P125" s="494"/>
      <c r="Q125" s="159"/>
      <c r="R125" s="494"/>
      <c r="S125" s="494"/>
      <c r="T125" s="494"/>
      <c r="U125" s="494"/>
      <c r="V125" s="494"/>
      <c r="W125" s="494"/>
      <c r="X125" s="494"/>
      <c r="Y125" s="494"/>
    </row>
    <row r="126" spans="1:25" hidden="1">
      <c r="B126" s="668"/>
      <c r="C126" s="669"/>
      <c r="D126" s="669"/>
      <c r="E126" s="669"/>
      <c r="F126" s="669"/>
      <c r="G126" s="670"/>
      <c r="H126" s="494"/>
      <c r="I126" s="494"/>
      <c r="J126" s="494"/>
      <c r="K126" s="520"/>
      <c r="L126" s="168"/>
      <c r="M126" s="169"/>
      <c r="N126" s="494"/>
      <c r="O126" s="494"/>
      <c r="P126" s="494"/>
      <c r="Q126" s="159"/>
      <c r="R126" s="494"/>
      <c r="S126" s="494"/>
      <c r="T126" s="494"/>
      <c r="U126" s="494"/>
      <c r="V126" s="494"/>
      <c r="W126" s="494"/>
      <c r="X126" s="494"/>
      <c r="Y126" s="494"/>
    </row>
    <row r="127" spans="1:25" hidden="1">
      <c r="B127" s="671"/>
      <c r="C127" s="672"/>
      <c r="D127" s="672"/>
      <c r="E127" s="672"/>
      <c r="F127" s="672"/>
      <c r="G127" s="673"/>
      <c r="H127" s="494"/>
      <c r="I127" s="494"/>
      <c r="J127" s="494"/>
      <c r="K127" s="520"/>
      <c r="L127" s="168"/>
      <c r="M127" s="169"/>
      <c r="N127" s="494"/>
      <c r="O127" s="494"/>
      <c r="P127" s="494"/>
      <c r="Q127" s="159"/>
      <c r="R127" s="494"/>
      <c r="S127" s="494"/>
      <c r="T127" s="494"/>
      <c r="U127" s="494"/>
      <c r="V127" s="494"/>
      <c r="W127" s="494"/>
      <c r="X127" s="494"/>
      <c r="Y127" s="494"/>
    </row>
    <row r="128" spans="1:25" hidden="1">
      <c r="B128" s="494"/>
      <c r="C128" s="494"/>
      <c r="D128" s="494"/>
      <c r="E128" s="494"/>
      <c r="F128" s="494"/>
      <c r="G128" s="494"/>
      <c r="H128" s="494"/>
      <c r="I128" s="494"/>
      <c r="J128" s="494"/>
      <c r="K128" s="520"/>
      <c r="L128" s="170"/>
      <c r="M128" s="171"/>
      <c r="N128" s="494"/>
      <c r="O128" s="494"/>
      <c r="P128" s="494"/>
      <c r="Q128" s="159"/>
      <c r="R128" s="494"/>
      <c r="S128" s="494"/>
      <c r="T128" s="494"/>
      <c r="U128" s="494"/>
      <c r="V128" s="494"/>
      <c r="W128" s="494"/>
      <c r="X128" s="494"/>
      <c r="Y128" s="494"/>
    </row>
    <row r="129" spans="1:25" hidden="1">
      <c r="B129" s="686" t="s">
        <v>90</v>
      </c>
      <c r="C129" s="566"/>
      <c r="D129" s="682" t="s">
        <v>91</v>
      </c>
      <c r="E129" s="682"/>
      <c r="F129" s="682"/>
      <c r="G129" s="683"/>
      <c r="H129" s="494"/>
      <c r="I129" s="494"/>
      <c r="J129" s="494"/>
      <c r="K129" s="520"/>
      <c r="L129" s="494"/>
      <c r="M129" s="494"/>
      <c r="N129" s="494"/>
      <c r="O129" s="494"/>
      <c r="P129" s="494"/>
      <c r="Q129" s="159"/>
      <c r="R129" s="494"/>
      <c r="S129" s="494"/>
      <c r="T129" s="494"/>
      <c r="U129" s="494"/>
      <c r="V129" s="494"/>
      <c r="W129" s="494"/>
      <c r="X129" s="494"/>
      <c r="Y129" s="494"/>
    </row>
    <row r="130" spans="1:25" hidden="1">
      <c r="B130" s="687"/>
      <c r="C130" s="568"/>
      <c r="D130" s="684"/>
      <c r="E130" s="684"/>
      <c r="F130" s="684"/>
      <c r="G130" s="685"/>
      <c r="H130" s="494"/>
      <c r="I130" s="494"/>
      <c r="J130" s="494"/>
      <c r="K130" s="520"/>
      <c r="L130" s="494"/>
      <c r="M130" s="494"/>
      <c r="N130" s="494"/>
      <c r="O130" s="494"/>
      <c r="P130" s="494"/>
      <c r="Q130" s="159"/>
      <c r="R130" s="494"/>
      <c r="S130" s="494"/>
      <c r="T130" s="494"/>
      <c r="U130" s="494"/>
      <c r="V130" s="494"/>
      <c r="W130" s="494"/>
      <c r="X130" s="494"/>
      <c r="Y130" s="494"/>
    </row>
    <row r="131" spans="1:25" hidden="1">
      <c r="B131" s="665" t="s">
        <v>92</v>
      </c>
      <c r="C131" s="666"/>
      <c r="D131" s="666"/>
      <c r="E131" s="666"/>
      <c r="F131" s="666"/>
      <c r="G131" s="667"/>
      <c r="H131" s="494"/>
      <c r="I131" s="494"/>
      <c r="J131" s="494"/>
      <c r="K131" s="172"/>
      <c r="L131" s="494"/>
      <c r="M131" s="494"/>
      <c r="N131" s="494"/>
      <c r="O131" s="494"/>
      <c r="P131" s="494"/>
      <c r="Q131" s="159"/>
      <c r="R131" s="494"/>
      <c r="S131" s="494"/>
      <c r="T131" s="494"/>
      <c r="U131" s="494"/>
      <c r="V131" s="494"/>
      <c r="W131" s="494"/>
      <c r="X131" s="494"/>
      <c r="Y131" s="494"/>
    </row>
    <row r="132" spans="1:25" hidden="1">
      <c r="B132" s="668"/>
      <c r="C132" s="669"/>
      <c r="D132" s="669"/>
      <c r="E132" s="669"/>
      <c r="F132" s="669"/>
      <c r="G132" s="670"/>
      <c r="H132" s="494"/>
      <c r="I132" s="494"/>
      <c r="J132" s="494"/>
      <c r="K132" s="172"/>
      <c r="L132" s="494"/>
      <c r="M132" s="494"/>
      <c r="N132" s="494"/>
      <c r="O132" s="494"/>
      <c r="P132" s="494"/>
      <c r="Q132" s="159"/>
      <c r="R132" s="494"/>
      <c r="S132" s="494"/>
      <c r="T132" s="494"/>
      <c r="U132" s="494"/>
      <c r="V132" s="494"/>
      <c r="W132" s="494"/>
      <c r="X132" s="494"/>
      <c r="Y132" s="494"/>
    </row>
    <row r="133" spans="1:25" hidden="1">
      <c r="B133" s="671"/>
      <c r="C133" s="672"/>
      <c r="D133" s="672"/>
      <c r="E133" s="672"/>
      <c r="F133" s="672"/>
      <c r="G133" s="673"/>
      <c r="H133" s="494"/>
      <c r="I133" s="494"/>
      <c r="J133" s="494"/>
      <c r="K133" s="520"/>
      <c r="L133" s="494"/>
      <c r="M133" s="494"/>
      <c r="N133" s="494"/>
      <c r="O133" s="494"/>
      <c r="P133" s="494"/>
      <c r="Q133" s="159"/>
      <c r="R133" s="494"/>
      <c r="S133" s="494"/>
      <c r="T133" s="494"/>
      <c r="U133" s="494"/>
      <c r="V133" s="494"/>
      <c r="W133" s="494"/>
      <c r="X133" s="494"/>
      <c r="Y133" s="494"/>
    </row>
    <row r="134" spans="1:25" ht="15">
      <c r="B134" s="173" t="s">
        <v>93</v>
      </c>
      <c r="C134" s="84"/>
      <c r="D134" s="174"/>
      <c r="E134" s="662" t="s">
        <v>94</v>
      </c>
      <c r="F134" s="663"/>
      <c r="G134" s="664"/>
      <c r="H134" s="494"/>
      <c r="I134" s="494"/>
      <c r="J134" s="494"/>
      <c r="K134" s="520"/>
      <c r="L134" s="494"/>
      <c r="M134" s="494"/>
      <c r="N134" s="494"/>
      <c r="O134" s="494"/>
      <c r="P134" s="494"/>
      <c r="Q134" s="159"/>
      <c r="R134" s="494"/>
      <c r="S134" s="494"/>
      <c r="T134" s="494"/>
      <c r="U134" s="494"/>
      <c r="V134" s="494"/>
      <c r="W134" s="494"/>
      <c r="X134" s="494"/>
      <c r="Y134" s="494"/>
    </row>
    <row r="135" spans="1:25" ht="15">
      <c r="B135" s="530" t="inlineStr">
        <is>
          <t>2. Kalkyldata</t>
        </is>
      </c>
      <c r="C135" s="494"/>
      <c r="D135" s="175"/>
      <c r="E135" s="651"/>
      <c r="F135" s="652"/>
      <c r="G135" s="653"/>
      <c r="H135" s="494"/>
      <c r="I135" s="494"/>
      <c r="J135" s="494"/>
      <c r="K135" s="520"/>
      <c r="L135" s="494"/>
      <c r="M135" s="494"/>
      <c r="N135" s="494"/>
      <c r="O135" s="494"/>
      <c r="P135" s="494"/>
      <c r="Q135" s="159"/>
      <c r="R135" s="494"/>
      <c r="S135" s="494"/>
      <c r="T135" s="494"/>
      <c r="U135" s="494"/>
      <c r="V135" s="494"/>
      <c r="W135" s="494"/>
      <c r="X135" s="494"/>
      <c r="Y135" s="494"/>
    </row>
    <row r="136" spans="1:25">
      <c r="B136" s="530" t="inlineStr">
        <is>
          <t>3. Finansiering</t>
        </is>
      </c>
      <c r="C136" s="494"/>
      <c r="D136" s="531"/>
      <c r="E136" s="651"/>
      <c r="F136" s="652"/>
      <c r="G136" s="653"/>
      <c r="H136" s="494"/>
      <c r="I136" s="494"/>
      <c r="J136" s="494"/>
      <c r="K136" s="520"/>
      <c r="L136" s="494"/>
      <c r="M136" s="494"/>
      <c r="N136" s="494"/>
      <c r="O136" s="494"/>
      <c r="P136" s="494"/>
      <c r="Q136" s="159"/>
      <c r="R136" s="494"/>
      <c r="S136" s="494"/>
      <c r="T136" s="494"/>
      <c r="U136" s="494"/>
      <c r="V136" s="494"/>
      <c r="W136" s="494"/>
      <c r="X136" s="494"/>
      <c r="Y136" s="494"/>
    </row>
    <row r="137" spans="1:25">
      <c r="A137" s="494"/>
      <c r="B137" s="530" t="inlineStr">
        <is>
          <t>4. NPV (nettonuvärde)</t>
        </is>
      </c>
      <c r="C137" s="494"/>
      <c r="D137" s="531"/>
      <c r="E137" s="651"/>
      <c r="F137" s="652"/>
      <c r="G137" s="653"/>
      <c r="H137" s="494"/>
      <c r="I137" s="494"/>
      <c r="J137" s="494"/>
      <c r="K137" s="520"/>
      <c r="L137" s="494"/>
      <c r="M137" s="494"/>
      <c r="N137" s="494"/>
      <c r="O137" s="494"/>
      <c r="P137" s="494"/>
      <c r="Q137" s="159"/>
      <c r="R137" s="494"/>
      <c r="S137" s="494"/>
      <c r="T137" s="494"/>
      <c r="U137" s="494"/>
      <c r="V137" s="494"/>
      <c r="W137" s="494"/>
      <c r="X137" s="494"/>
      <c r="Y137" s="494"/>
    </row>
    <row r="138" spans="1:25" ht="15.75" customHeight="1">
      <c r="A138" s="494"/>
      <c r="B138" s="495" t="inlineStr">
        <is>
          <t>5. IRR (internränta)</t>
        </is>
      </c>
      <c r="C138" s="496"/>
      <c r="D138" s="537"/>
      <c r="E138" s="654"/>
      <c r="F138" s="655"/>
      <c r="G138" s="656"/>
      <c r="H138" s="494"/>
      <c r="I138" s="494"/>
      <c r="J138" s="494"/>
      <c r="K138" s="520"/>
      <c r="L138" s="494"/>
      <c r="M138" s="494"/>
      <c r="N138" s="494"/>
      <c r="O138" s="494"/>
      <c r="P138" s="494"/>
      <c r="Q138" s="494"/>
      <c r="R138" s="494"/>
      <c r="S138" s="494"/>
      <c r="T138" s="494"/>
      <c r="U138" s="494"/>
      <c r="V138" s="494"/>
      <c r="W138" s="494"/>
      <c r="X138" s="494"/>
      <c r="Y138" s="494"/>
    </row>
    <row r="139" spans="1:25">
      <c r="A139" s="513"/>
      <c r="B139" s="501"/>
      <c r="C139" s="501"/>
      <c r="D139" s="501"/>
      <c r="E139" s="501"/>
      <c r="F139" s="501"/>
      <c r="G139" s="501"/>
      <c r="H139" s="501"/>
      <c r="I139" s="494"/>
      <c r="J139" s="494"/>
      <c r="K139" s="520"/>
      <c r="L139" s="494"/>
      <c r="M139" s="494"/>
      <c r="N139" s="494"/>
      <c r="O139" s="494"/>
      <c r="P139" s="494"/>
      <c r="Q139" s="494"/>
      <c r="R139" s="494"/>
      <c r="S139" s="494"/>
      <c r="T139" s="494"/>
      <c r="U139" s="494"/>
      <c r="V139" s="494"/>
      <c r="W139" s="494"/>
      <c r="X139" s="494"/>
      <c r="Y139" s="494"/>
    </row>
    <row r="140" spans="1:25">
      <c r="A140" s="513"/>
      <c r="B140" s="494"/>
      <c r="C140" s="494"/>
      <c r="D140" s="494"/>
      <c r="E140" s="494"/>
      <c r="F140" s="494"/>
      <c r="G140" s="494"/>
      <c r="H140" s="494"/>
      <c r="I140" s="494"/>
      <c r="J140" s="494"/>
      <c r="K140" s="520"/>
      <c r="L140" s="494"/>
      <c r="M140" s="494"/>
      <c r="N140" s="494"/>
      <c r="O140" s="494"/>
      <c r="P140" s="494"/>
      <c r="Q140" s="494"/>
      <c r="R140" s="494"/>
      <c r="S140" s="494"/>
      <c r="T140" s="494"/>
      <c r="U140" s="494"/>
      <c r="V140" s="494"/>
      <c r="W140" s="494"/>
      <c r="X140" s="494"/>
      <c r="Y140" s="494"/>
    </row>
  </sheetData>
  <protectedRanges>
    <protectedRange sqref="B3:G3 G4:G13 B58:G70 B92:G96 B117:G120 B28:G52" name="Fyll i"/>
    <protectedRange sqref="B92:G96 B123:G127 B129:B130 B131:G133 D129:G130 C130 E135:G138 B58:G70 B117:G120 B28:G34" name="Kommentarer"/>
    <protectedRange sqref="G2:G4 B3" name="Namn"/>
  </protectedRanges>
  <mergeCells count="28">
    <mergeCell ref="E136:G136"/>
    <mergeCell ref="E137:G137"/>
    <mergeCell ref="E138:G138"/>
    <mergeCell ref="S16:S17"/>
    <mergeCell ref="S10:S12"/>
    <mergeCell ref="E89:F89"/>
    <mergeCell ref="E134:G134"/>
    <mergeCell ref="E135:G135"/>
    <mergeCell ref="B131:G133"/>
    <mergeCell ref="B117:G120"/>
    <mergeCell ref="B116:G116"/>
    <mergeCell ref="B123:B124"/>
    <mergeCell ref="D123:G124"/>
    <mergeCell ref="B129:B130"/>
    <mergeCell ref="D129:G130"/>
    <mergeCell ref="B125:G127"/>
    <mergeCell ref="B3:G3"/>
    <mergeCell ref="R2:T3"/>
    <mergeCell ref="B92:G96"/>
    <mergeCell ref="B58:G63"/>
    <mergeCell ref="B91:G91"/>
    <mergeCell ref="J1:Q4"/>
    <mergeCell ref="B27:G27"/>
    <mergeCell ref="B28:G34"/>
    <mergeCell ref="R10:R12"/>
    <mergeCell ref="R16:R17"/>
    <mergeCell ref="B35:D52"/>
    <mergeCell ref="E35:G52"/>
  </mergeCells>
  <conditionalFormatting sqref="B28:G34">
    <cfRule type="cellIs" dxfId="33" priority="11" operator="equal">
      <formula>"Beskriv projektet"</formula>
    </cfRule>
  </conditionalFormatting>
  <conditionalFormatting sqref="B92:G96">
    <cfRule type="containsText" dxfId="32" priority="5" operator="containsText" text="Kommentar direktavkastning, kalkylränta och hyresnivåer">
      <formula>NOT(ISERROR(SEARCH("Kommentar direktavkastning, kalkylränta och hyresnivåer",B92)))</formula>
    </cfRule>
  </conditionalFormatting>
  <conditionalFormatting sqref="B117:G120">
    <cfRule type="containsText" dxfId="31" priority="4" operator="containsText" text="Kommentera  resultat och avkastning, restvärde och varför investering förordas.">
      <formula>NOT(ISERROR(SEARCH("Kommentera  resultat och avkastning, restvärde och varför investering förordas.",B117)))</formula>
    </cfRule>
  </conditionalFormatting>
  <conditionalFormatting sqref="G4:G13">
    <cfRule type="expression" dxfId="30" priority="1">
      <formula>G4="Fyll i"</formula>
    </cfRule>
  </conditionalFormatting>
  <conditionalFormatting sqref="R2">
    <cfRule type="cellIs" dxfId="29" priority="2" operator="equal">
      <formula>"Fyll i"</formula>
    </cfRule>
  </conditionalFormatting>
  <conditionalFormatting sqref="R10:X10 T11:AA12">
    <cfRule type="cellIs" dxfId="28" priority="3" operator="equal">
      <formula>"Fyll i"</formula>
    </cfRule>
  </conditionalFormatting>
  <dataValidations count="15">
    <dataValidation allowBlank="1" showInputMessage="1" promptTitle="Projektnamn" prompt="Skriv projektets namn (ersätt texten Projektnamn)." sqref="B3"/>
    <dataValidation allowBlank="1" showInputMessage="1" promptTitle="Kalkyl utförd av" prompt="Namn på den som gjort kalkylen." sqref="G4"/>
    <dataValidation allowBlank="1" showInputMessage="1" promptTitle="Fastighet" prompt="Fastighetsbeteckning, t.ex. Linköping Lejonet 1. Visas även i 2. Kalkyldata." sqref="G5"/>
    <dataValidation allowBlank="1" showInputMessage="1" promptTitle="Objekt" prompt="Objekt/byggnad som kalkylen avser. Visas även i 2. Kalkyldata." sqref="G6"/>
    <dataValidation allowBlank="1" showInputMessage="1" promptTitle="Projektnummer" prompt="Projektnummer i ekonomisystemet." sqref="G7"/>
    <dataValidation allowBlank="1" showInputMessage="1" promptTitle="Markareal" prompt="Fastighetens markareal i kvm. Används i 2. Kalkyldata för minsta markvärde." sqref="G8"/>
    <dataValidation allowBlank="1" showInputMessage="1" promptTitle="BRA" prompt="Bruksarea i kvm. Ska stämma med summa BRA i hyrestabellen på 2. Kalkyldata (visas i E22 nedan)." sqref="G9"/>
    <dataValidation allowBlank="1" showInputMessage="1" promptTitle="BTA" prompt="Bruttoarea i kvm enligt ritning. Visas i 2. Kalkyldata." sqref="G10"/>
    <dataValidation allowBlank="1" showInputMessage="1" promptTitle="Momsregistreringsgrad" prompt="Andel av ytan som hyrs ut momspliktigt, 0–100 %, före respektive efter åtgärden." sqref="G12:G13"/>
    <dataValidation allowBlank="1" showInputMessage="1" promptTitle="Projektbeskrivning" prompt="Beskriv projektet: omfattning, hyresgäst, tidplan." sqref="B28"/>
    <dataValidation allowBlank="1" showInputMessage="1" promptTitle="Kommentar" prompt="Kommentera antaganden och avvikelser." sqref="B92"/>
    <dataValidation allowBlank="1" showInputMessage="1" promptTitle="Kommentar" prompt="Kommentera resultatet och ge rekommendation." sqref="B117"/>
    <dataValidation allowBlank="1" showInputMessage="1" promptTitle="Marknadsvärde" prompt="Marknadsvärde i kr enligt senaste värdering. Informativt, ingår inte i beräkningen." sqref="G55"/>
    <dataValidation allowBlank="1" showInputMessage="1" promptTitle="Kravhyra" prompt="Lägsta hyra år 1 (viktad över tillkommande yta) som klarar både IRR-kravet och NPV ≥ 0. Kolumn D visar vilket krav som binder. Källa: 2. Kalkyldata rad 17." sqref="G107"/>
    <dataValidation type="list" allowBlank="1" showInputMessage="1" showErrorMessage="1" sqref="E135:E138">
      <formula1>"Ja,Nej"</formula1>
    </dataValidation>
  </dataValidations>
  <pageMargins left="0.39370078740157477" right="0.39370078740157477" top="0.59055118110236215" bottom="0.59055118110236215" header="0.23622047244094485" footer="0.23622047244094485"/>
  <pageSetup paperSize="9" scale="67" fitToHeight="0" orientation="portrait" r:id="rId1"/>
  <headerFooter differentFirst="1">
    <oddFooter>&amp;LLejonfastigheter · Investeringskalkyl LM 371 v3.2&amp;C1. Framskrivningsunderlag&amp;RSida &amp;P av &amp;N · &amp;D</oddFooter>
    <firstHeader>&amp;L&amp;"Arial,Regular"&amp;8&amp;G</firstHeader>
    <firstFooter>&amp;LLejonfastigheter · Investeringskalkyl LM 371 v3.2&amp;C1. Framskrivningsunderlag&amp;RSida &amp;P av &amp;N · &amp;D</firstFooter>
  </headerFooter>
  <rowBreaks count="1" manualBreakCount="1">
    <brk id="71" max="16383" man="1"/>
  </rowBreaks>
  <ignoredErrors>
    <ignoredError sqref="G73:G74 G99:G102 G105:G106 G84:G89 E17:E22 F17:F25 G22 G111:G113 G76:G83 G110" unlockedFormula="1"/>
  </ignoredErrors>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promptTitle="Typ av projekt" prompt="Välj i listan. Visas även i 2. Kalkyldata (Typ av åtgärd)." error="Välj projekttyp i listan.">
          <x14:formula1>
            <xm:f>'Kontoplan RR'!$H$6:$H$11</xm:f>
          </x14:formula1>
          <xm:sqref>G11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3"/>
    <pageSetUpPr fitToPage="1"/>
  </sheetPr>
  <dimension ref="A1:CA80"/>
  <sheetViews>
    <sheetView showGridLines="0" zoomScaleNormal="100" workbookViewId="0"/>
  </sheetViews>
  <sheetFormatPr defaultColWidth="9.125" defaultRowHeight="14.25" outlineLevelCol="1"/>
  <cols>
    <col min="1" max="1" width="9.125" style="11"/>
    <col min="2" max="2" width="2.75" style="11" customWidth="1"/>
    <col min="3" max="3" width="29.0" style="11" customWidth="1"/>
    <col min="4" max="4" width="11.625" style="11" customWidth="1"/>
    <col min="5" max="5" width="5" style="11" customWidth="1"/>
    <col min="6" max="6" width="9.25" style="11" customWidth="1"/>
    <col min="7" max="9" width="12.625" style="11" customWidth="1"/>
    <col min="10" max="10" width="14.625" style="11" customWidth="1"/>
    <col min="11" max="11" width="19.5" style="11" bestFit="1" customWidth="1"/>
    <col min="12" max="12" width="12.625" style="11" customWidth="1"/>
    <col min="13" max="13" width="14.625" style="11" customWidth="1"/>
    <col min="14" max="14" width="12.5" style="11" customWidth="1"/>
    <col min="15" max="15" width="15.625" style="11" customWidth="1"/>
    <col min="16" max="16" width="14.625" style="11" customWidth="1"/>
    <col min="17" max="21" width="15.625" style="11" customWidth="1"/>
    <col min="22" max="22" width="12.5" style="11" customWidth="1"/>
    <col min="23" max="27" width="12.5" style="11" hidden="1" customWidth="1"/>
    <col min="28" max="28" width="0" style="11" hidden="1" customWidth="1"/>
    <col min="29" max="29" width="31.5" style="11" hidden="1" customWidth="1"/>
    <col min="30" max="30" width="15.75" style="11" hidden="1" customWidth="1"/>
    <col min="31" max="31" width="2.75" style="11" hidden="1" customWidth="1"/>
    <col min="32" max="32" width="31.5" style="11" hidden="1" customWidth="1"/>
    <col min="33" max="33" width="15.75" style="11" hidden="1" customWidth="1"/>
    <col min="34" max="34" width="2.75" style="11" hidden="1" customWidth="1"/>
    <col min="35" max="35" width="31.5" style="11" hidden="1" customWidth="1"/>
    <col min="36" max="36" width="15.75" style="11" hidden="1" customWidth="1"/>
    <col min="37" max="37" width="2.75" style="11" hidden="1" customWidth="1"/>
    <col min="38" max="38" width="31.5" style="11" hidden="1" customWidth="1"/>
    <col min="39" max="39" width="15.75" style="11" hidden="1" customWidth="1"/>
    <col min="40" max="40" width="2.75" style="11" hidden="1" customWidth="1"/>
    <col min="41" max="41" width="31.5" style="11" hidden="1" customWidth="1"/>
    <col min="42" max="42" width="15.75" style="11" hidden="1" customWidth="1"/>
    <col min="43" max="44" width="0" style="11" hidden="1" customWidth="1"/>
    <col min="45" max="78" width="15.75" style="11" hidden="1" customWidth="1" outlineLevel="1"/>
    <col min="79" max="79" width="0" style="11" hidden="1" customWidth="1" collapsed="1"/>
    <col min="80" max="80" width="0" style="11" hidden="1" customWidth="1"/>
    <col min="81" max="16384" width="9.125" style="11"/>
  </cols>
  <sheetData>
    <row r="1" spans="1:42" ht="30">
      <c r="A1" s="494"/>
      <c r="B1" s="213" t="s">
        <v>99</v>
      </c>
      <c r="C1" s="857" t="inlineStr">
        <is>
          <t>Arbetsgång: 1) Projektuppgifter på 1. Framskrivningsunderlag. 2) Blå fält här uppifrån och ned: kalkylstart och förutsättningar (1) → ytor, hyror och avtal (2) → drift (3) → investering per objekt (4) → restvärdesbedömning (5). 3) Läs resultatet i Nyckeltal kalkyl (rad 12–17) och på flik 1.</t>
        </is>
      </c>
      <c r="D1" s="494"/>
      <c r="E1" s="494"/>
      <c r="F1" s="494"/>
      <c r="G1" s="494"/>
      <c r="H1" s="494"/>
      <c r="I1" s="494"/>
      <c r="J1" s="494"/>
      <c r="K1" s="494"/>
      <c r="L1" s="494"/>
      <c r="M1" s="494"/>
      <c r="N1" s="494"/>
      <c r="O1" s="494"/>
      <c r="P1" s="494"/>
      <c r="Q1" s="494"/>
      <c r="R1" s="494"/>
      <c r="S1" s="494"/>
      <c r="T1" s="494"/>
      <c r="U1" s="494"/>
      <c r="V1" s="494"/>
      <c r="W1" s="494"/>
      <c r="X1" s="494"/>
      <c r="Y1" s="494"/>
      <c r="Z1" s="494"/>
      <c r="AA1" s="494"/>
      <c r="AB1" s="494"/>
      <c r="AC1"/>
      <c r="AD1"/>
      <c r="AE1"/>
      <c r="AF1"/>
      <c r="AG1"/>
      <c r="AH1"/>
      <c r="AI1"/>
      <c r="AJ1"/>
      <c r="AK1"/>
      <c r="AL1"/>
      <c r="AM1"/>
      <c r="AN1"/>
      <c r="AO1"/>
      <c r="AP1"/>
    </row>
    <row r="2" spans="1:42" ht="38.25" customHeight="1">
      <c r="A2" s="494"/>
      <c r="B2" s="494"/>
      <c r="C2" s="857" t="inlineStr">
        <is>
          <t>Flik 3–7 räknas automatiskt; 3. Finansiering ändras bara efter OK från finansansvarig. Röd kolumnrubrik = obligatoriskt fält som saknar värde.</t>
        </is>
      </c>
      <c r="D2" s="494"/>
      <c r="E2" s="19"/>
      <c r="F2"/>
      <c r="G2" s="494"/>
      <c r="H2" s="494"/>
      <c r="I2" s="494"/>
      <c r="J2" s="494"/>
      <c r="K2" s="494"/>
      <c r="L2" s="494"/>
      <c r="M2" s="486"/>
      <c r="N2" s="494"/>
      <c r="O2" s="494"/>
      <c r="P2" s="494"/>
      <c r="Q2" s="494"/>
      <c r="R2" s="494"/>
      <c r="S2" s="494"/>
      <c r="T2" s="494"/>
      <c r="U2" s="494"/>
      <c r="V2"/>
      <c r="W2" s="494"/>
      <c r="X2" s="494"/>
      <c r="Y2" s="494"/>
      <c r="Z2" s="494"/>
      <c r="AA2" s="494"/>
      <c r="AB2" s="494"/>
      <c r="AC2"/>
      <c r="AD2"/>
      <c r="AE2"/>
      <c r="AF2"/>
      <c r="AG2"/>
      <c r="AH2"/>
      <c r="AI2"/>
      <c r="AJ2"/>
      <c r="AK2"/>
      <c r="AL2"/>
      <c r="AM2"/>
      <c r="AN2"/>
      <c r="AO2"/>
      <c r="AP2"/>
    </row>
    <row r="3" spans="1:42" ht="23.25">
      <c r="A3" s="494"/>
      <c r="B3" s="494"/>
      <c r="C3" s="185" t="s">
        <v>100</v>
      </c>
      <c r="D3" s="185"/>
      <c r="E3" s="185"/>
      <c r="F3" s="494"/>
      <c r="G3" s="494"/>
      <c r="H3" s="494"/>
      <c r="I3" s="494"/>
      <c r="J3" s="494"/>
      <c r="K3" s="339" t="s">
        <v>101</v>
      </c>
      <c r="L3" s="340"/>
      <c r="M3" s="477">
        <v>2026</v>
      </c>
      <c r="N3" s="494"/>
      <c r="O3" s="494"/>
      <c r="P3" s="494"/>
      <c r="Q3" s="494"/>
      <c r="R3" s="494"/>
      <c r="S3" s="494"/>
      <c r="T3" s="494"/>
      <c r="U3" s="214"/>
      <c r="V3" s="494"/>
      <c r="W3" s="185"/>
      <c r="X3" s="214"/>
      <c r="Y3" s="214"/>
      <c r="Z3" s="185"/>
      <c r="AA3" s="185"/>
      <c r="AB3" s="185"/>
      <c r="AC3"/>
      <c r="AD3"/>
      <c r="AE3"/>
      <c r="AF3"/>
      <c r="AG3"/>
      <c r="AH3"/>
      <c r="AI3"/>
      <c r="AJ3"/>
      <c r="AK3"/>
      <c r="AL3"/>
      <c r="AM3"/>
      <c r="AN3"/>
      <c r="AO3"/>
      <c r="AP3"/>
    </row>
    <row r="4" spans="1:42" ht="15">
      <c r="A4" s="702">
        <v>1</v>
      </c>
      <c r="B4" s="494"/>
      <c r="C4" s="264" t="inlineStr">
        <is>
          <t>Projektinfo — hämtas från flik 1 (fyll i där)</t>
        </is>
      </c>
      <c r="D4" s="265"/>
      <c r="E4" s="265"/>
      <c r="F4" s="372"/>
      <c r="G4" s="372"/>
      <c r="H4" s="372"/>
      <c r="I4" s="372"/>
      <c r="J4" s="373"/>
      <c r="K4" s="688" t="s">
        <v>103</v>
      </c>
      <c r="L4" s="689"/>
      <c r="M4" s="690"/>
      <c r="N4" s="688" t="inlineStr">
        <is>
          <t>Förutsättningar fastighet</t>
        </is>
      </c>
      <c r="O4" s="689"/>
      <c r="P4" s="689"/>
      <c r="Q4" s="689"/>
      <c r="R4" s="689"/>
      <c r="S4" s="688" t="s">
        <v>105</v>
      </c>
      <c r="T4" s="689"/>
      <c r="U4" s="690"/>
      <c r="V4" s="494"/>
      <c r="W4" s="494"/>
      <c r="X4" s="189"/>
      <c r="Y4" s="494"/>
      <c r="Z4" s="494"/>
      <c r="AA4" s="494"/>
      <c r="AB4" s="494"/>
      <c r="AC4" t="s">
        <v>354</v>
      </c>
      <c r="AD4"/>
      <c r="AE4"/>
      <c r="AF4"/>
      <c r="AG4"/>
      <c r="AH4"/>
      <c r="AI4"/>
      <c r="AJ4"/>
      <c r="AK4" t="inlineStr">
        <is>
          <t>Skala långsiktig vakansrisk (pp)</t>
        </is>
      </c>
      <c r="AL4"/>
      <c r="AM4"/>
      <c r="AN4"/>
      <c r="AO4"/>
      <c r="AP4"/>
    </row>
    <row r="5" spans="1:42" ht="15">
      <c r="A5" s="702"/>
      <c r="B5" s="494"/>
      <c r="C5" s="833" t="str">
        <f>'1. Framskrivningsunderlag'!$B$3</f>
        <v>Projektnamn</v>
      </c>
      <c r="D5" s="265"/>
      <c r="E5" s="701" t="s">
        <v>106</v>
      </c>
      <c r="F5" s="701"/>
      <c r="G5" s="834" t="inlineStr">
        <is>
          <t>Objekt</t>
        </is>
      </c>
      <c r="H5" s="374" t="s">
        <v>108</v>
      </c>
      <c r="I5" s="374" t="s">
        <v>109</v>
      </c>
      <c r="J5" s="374" t="s">
        <v>110</v>
      </c>
      <c r="K5" s="264"/>
      <c r="L5" s="374"/>
      <c r="M5" s="375">
        <f>P5</f>
        <v>2026.0</v>
      </c>
      <c r="N5" s="264"/>
      <c r="O5" s="265"/>
      <c r="P5" s="376">
        <f>IF(M3&lt;&gt;"",M3,YEAR('3. Finansiering'!C1))</f>
        <v>2026.0</v>
      </c>
      <c r="Q5" s="376">
        <f>P5+10</f>
        <v>2036.0</v>
      </c>
      <c r="R5" s="376">
        <f>Q5+10</f>
        <v>2046.0</v>
      </c>
      <c r="S5" s="264" t="s">
        <v>111</v>
      </c>
      <c r="T5" s="374" t="inlineStr">
        <is>
          <t>Avskrivning, %/år</t>
        </is>
      </c>
      <c r="U5" s="377" t="s">
        <v>113</v>
      </c>
      <c r="V5" s="494"/>
      <c r="W5" s="494"/>
      <c r="X5" s="494"/>
      <c r="Y5" s="494"/>
      <c r="Z5" s="494"/>
      <c r="AA5" s="494"/>
      <c r="AB5" s="494"/>
      <c r="AC5" t="s">
        <v>355</v>
      </c>
      <c r="AD5"/>
      <c r="AE5"/>
      <c r="AF5"/>
      <c r="AG5"/>
      <c r="AH5"/>
      <c r="AI5"/>
      <c r="AJ5"/>
      <c r="AK5" t="inlineStr">
        <is>
          <t>Låg</t>
        </is>
      </c>
      <c r="AL5">
        <v>-0.0025</v>
      </c>
      <c r="AM5"/>
      <c r="AN5"/>
      <c r="AO5"/>
      <c r="AP5"/>
    </row>
    <row r="6" spans="1:42" ht="15">
      <c r="A6" s="702"/>
      <c r="B6" s="494"/>
      <c r="C6" s="225" t="s">
        <v>6</v>
      </c>
      <c r="D6" s="226"/>
      <c r="E6" s="836" t="str">
        <f>'1. Framskrivningsunderlag'!$G$5</f>
        <v>Fyll i</v>
      </c>
      <c r="F6" s="706"/>
      <c r="G6" s="837" t="str">
        <f>'1. Framskrivningsunderlag'!$G$6</f>
        <v>Fyll i</v>
      </c>
      <c r="H6" s="838" t="str">
        <f>'1. Framskrivningsunderlag'!G10</f>
        <v>Fyll i</v>
      </c>
      <c r="I6" s="838" t="str">
        <f>'1. Framskrivningsunderlag'!$G$9</f>
        <v>Fyll i</v>
      </c>
      <c r="J6" s="838" t="str">
        <f>'1. Framskrivningsunderlag'!$G$8</f>
        <v>Fyll i</v>
      </c>
      <c r="K6" s="699" t="s">
        <v>60</v>
      </c>
      <c r="L6" s="700"/>
      <c r="M6" s="473">
        <v>6.5000000000000002E-2</v>
      </c>
      <c r="N6" s="571" t="inlineStr">
        <is>
          <t>Tomträttsavgäld, kr/år</t>
        </is>
      </c>
      <c r="O6" s="572"/>
      <c r="P6" s="361">
        <v>0</v>
      </c>
      <c r="Q6" s="363">
        <v>0</v>
      </c>
      <c r="R6" s="363">
        <v>0</v>
      </c>
      <c r="S6" s="570" t="s">
        <v>116</v>
      </c>
      <c r="T6" s="368">
        <v>0</v>
      </c>
      <c r="U6" s="369">
        <v>0</v>
      </c>
      <c r="V6" s="494"/>
      <c r="W6" s="494"/>
      <c r="X6" s="494"/>
      <c r="Y6" s="494"/>
      <c r="Z6" s="494"/>
      <c r="AA6" s="494"/>
      <c r="AB6" s="494"/>
      <c r="AC6" t="s">
        <v>356</v>
      </c>
      <c r="AD6"/>
      <c r="AE6"/>
      <c r="AF6"/>
      <c r="AG6"/>
      <c r="AH6"/>
      <c r="AI6"/>
      <c r="AJ6"/>
      <c r="AK6" t="inlineStr">
        <is>
          <t>Normal</t>
        </is>
      </c>
      <c r="AL6">
        <v>0</v>
      </c>
      <c r="AM6"/>
      <c r="AN6"/>
      <c r="AO6"/>
      <c r="AP6"/>
    </row>
    <row r="7" spans="1:42" ht="15">
      <c r="A7" s="702"/>
      <c r="B7" s="494"/>
      <c r="C7" s="225"/>
      <c r="D7" s="226"/>
      <c r="E7" s="227"/>
      <c r="F7" s="227"/>
      <c r="G7" s="227"/>
      <c r="H7" s="227"/>
      <c r="I7" s="227"/>
      <c r="J7" s="573"/>
      <c r="K7" s="699" t="s">
        <v>118</v>
      </c>
      <c r="L7" s="700"/>
      <c r="M7" s="473">
        <v>4.5499999999999999E-2</v>
      </c>
      <c r="N7" s="571" t="inlineStr">
        <is>
          <t>Taxeringsvärde, kr</t>
        </is>
      </c>
      <c r="O7" s="572"/>
      <c r="P7" s="361">
        <v>0</v>
      </c>
      <c r="Q7" s="363">
        <v>0</v>
      </c>
      <c r="R7" s="363">
        <v>0</v>
      </c>
      <c r="S7" s="570" t="s">
        <v>120</v>
      </c>
      <c r="T7" s="368">
        <v>0.03</v>
      </c>
      <c r="U7" s="369">
        <v>0</v>
      </c>
      <c r="V7" s="494"/>
      <c r="W7" s="494"/>
      <c r="X7" s="494"/>
      <c r="Y7" s="494"/>
      <c r="Z7" s="494"/>
      <c r="AA7" s="494"/>
      <c r="AB7" s="494"/>
      <c r="AC7" t="s">
        <v>357</v>
      </c>
      <c r="AD7"/>
      <c r="AE7"/>
      <c r="AF7"/>
      <c r="AG7"/>
      <c r="AH7"/>
      <c r="AI7"/>
      <c r="AJ7"/>
      <c r="AK7" t="inlineStr">
        <is>
          <t>Förhöjd</t>
        </is>
      </c>
      <c r="AL7">
        <v>0.005</v>
      </c>
      <c r="AM7"/>
      <c r="AN7"/>
      <c r="AO7"/>
      <c r="AP7"/>
    </row>
    <row r="8" spans="1:42" ht="15">
      <c r="A8" s="702"/>
      <c r="B8" s="494"/>
      <c r="C8" s="225" t="s">
        <v>122</v>
      </c>
      <c r="D8" s="226"/>
      <c r="E8" s="839" t="str">
        <f>'1. Framskrivningsunderlag'!$G$11</f>
        <v>Fyll i</v>
      </c>
      <c r="F8" s="708"/>
      <c r="G8" s="227"/>
      <c r="H8" s="227"/>
      <c r="I8" s="227"/>
      <c r="J8" s="573"/>
      <c r="K8" s="699" t="s">
        <v>123</v>
      </c>
      <c r="L8" s="700"/>
      <c r="M8" s="474">
        <f>$M$6+$M$9</f>
        <v>0.085</v>
      </c>
      <c r="N8" s="571" t="inlineStr">
        <is>
          <t>Fastighetsskatt, %</t>
        </is>
      </c>
      <c r="O8" s="572"/>
      <c r="P8" s="362">
        <v>0</v>
      </c>
      <c r="Q8" s="574"/>
      <c r="R8" s="574"/>
      <c r="S8" s="570" t="inlineStr">
        <is>
          <t>Övrigt 1</t>
        </is>
      </c>
      <c r="T8" s="368">
        <v>0.03</v>
      </c>
      <c r="U8" s="369">
        <v>0</v>
      </c>
      <c r="V8" s="494"/>
      <c r="W8" s="494"/>
      <c r="X8" s="494"/>
      <c r="Y8" s="494"/>
      <c r="Z8" s="494"/>
      <c r="AA8" s="494"/>
      <c r="AB8" s="494"/>
      <c r="AC8" t="s">
        <v>358</v>
      </c>
      <c r="AD8"/>
      <c r="AE8"/>
      <c r="AF8"/>
      <c r="AG8"/>
      <c r="AH8"/>
      <c r="AI8"/>
      <c r="AJ8"/>
      <c r="AK8" t="inlineStr">
        <is>
          <t>Hög</t>
        </is>
      </c>
      <c r="AL8">
        <v>0.01</v>
      </c>
      <c r="AM8"/>
      <c r="AN8"/>
      <c r="AO8"/>
      <c r="AP8"/>
    </row>
    <row r="9" spans="1:42">
      <c r="A9" s="702"/>
      <c r="B9" s="494"/>
      <c r="C9" s="570"/>
      <c r="D9" s="575"/>
      <c r="E9" s="575"/>
      <c r="F9" s="575"/>
      <c r="G9" s="227"/>
      <c r="H9" s="227"/>
      <c r="I9" s="227"/>
      <c r="J9" s="573"/>
      <c r="K9" s="699" t="s">
        <v>63</v>
      </c>
      <c r="L9" s="700"/>
      <c r="M9" s="474">
        <v>0.02</v>
      </c>
      <c r="N9" s="571" t="inlineStr">
        <is>
          <t>Bokfört värde, kr</t>
        </is>
      </c>
      <c r="O9" s="572"/>
      <c r="P9" s="361">
        <v>0</v>
      </c>
      <c r="Q9" s="576"/>
      <c r="R9" s="574"/>
      <c r="S9" s="577" t="inlineStr">
        <is>
          <t>Övrigt 2</t>
        </is>
      </c>
      <c r="T9" s="370">
        <v>0</v>
      </c>
      <c r="U9" s="371">
        <v>0</v>
      </c>
      <c r="V9" s="494"/>
      <c r="W9" s="494"/>
      <c r="X9" s="494"/>
      <c r="Y9" s="494"/>
      <c r="Z9" s="494"/>
      <c r="AA9" s="494"/>
      <c r="AB9" s="494"/>
      <c r="AC9" t="s">
        <v>359</v>
      </c>
      <c r="AD9"/>
      <c r="AE9"/>
      <c r="AF9"/>
      <c r="AG9"/>
      <c r="AH9"/>
      <c r="AI9"/>
      <c r="AJ9"/>
      <c r="AK9" t="inlineStr">
        <is>
          <t>Mycket hög</t>
        </is>
      </c>
      <c r="AL9">
        <v>0.02</v>
      </c>
      <c r="AM9"/>
      <c r="AN9"/>
      <c r="AO9"/>
      <c r="AP9"/>
    </row>
    <row r="10" spans="1:42" ht="15">
      <c r="A10" s="702"/>
      <c r="B10" s="494"/>
      <c r="C10" s="229" t="s">
        <v>20</v>
      </c>
      <c r="D10" s="227"/>
      <c r="E10" s="227"/>
      <c r="F10" s="840" t="str">
        <f>'1. Framskrivningsunderlag'!$G$12</f>
        <v>Fyll i</v>
      </c>
      <c r="G10" s="231"/>
      <c r="H10" s="231"/>
      <c r="I10" s="231"/>
      <c r="J10" s="232"/>
      <c r="K10" s="699" t="inlineStr">
        <is>
          <t>Justering (från sektion 5)</t>
        </is>
      </c>
      <c r="L10" s="718"/>
      <c r="M10" s="474">
        <f>$H$79</f>
        <v>0.0</v>
      </c>
      <c r="N10" s="571" t="s">
        <v>129</v>
      </c>
      <c r="O10" s="572"/>
      <c r="P10" s="361">
        <v>0</v>
      </c>
      <c r="Q10" s="259" t="inlineStr">
        <is>
          <t>Fr.o.m. år</t>
        </is>
      </c>
      <c r="R10" s="260" t="inlineStr">
        <is>
          <t>T.o.m. år</t>
        </is>
      </c>
      <c r="S10" s="261" t="s">
        <v>56</v>
      </c>
      <c r="T10" s="262" t="str">
        <f>IFERROR(SUMPRODUCT(T6:T9,U6:U9)/U10,"")</f>
        <v/>
      </c>
      <c r="U10" s="263">
        <f>SUM(U6:U9)</f>
        <v>0.0</v>
      </c>
      <c r="V10" s="494"/>
      <c r="W10" s="494"/>
      <c r="X10" s="494"/>
      <c r="Y10" s="494"/>
      <c r="Z10" s="494"/>
      <c r="AA10" s="494"/>
      <c r="AB10" s="494"/>
      <c r="AC10"/>
      <c r="AD10"/>
      <c r="AE10"/>
      <c r="AF10"/>
      <c r="AG10"/>
      <c r="AH10"/>
      <c r="AI10"/>
      <c r="AJ10"/>
      <c r="AK10"/>
      <c r="AL10"/>
      <c r="AM10"/>
      <c r="AN10"/>
      <c r="AO10"/>
      <c r="AP10"/>
    </row>
    <row r="11" spans="1:42" ht="15">
      <c r="A11" s="702"/>
      <c r="B11" s="494"/>
      <c r="C11" s="233" t="s">
        <v>21</v>
      </c>
      <c r="D11" s="234"/>
      <c r="E11" s="234"/>
      <c r="F11" s="841" t="str">
        <f>'1. Framskrivningsunderlag'!$G$13</f>
        <v>Fyll i</v>
      </c>
      <c r="G11" s="234"/>
      <c r="H11" s="234"/>
      <c r="I11" s="234"/>
      <c r="J11" s="236"/>
      <c r="K11" s="699" t="s">
        <v>347</v>
      </c>
      <c r="L11" s="718"/>
      <c r="M11" s="474">
        <f>$M$6+$M$10</f>
        <v>0.065</v>
      </c>
      <c r="N11" s="571" t="s">
        <v>133</v>
      </c>
      <c r="O11" s="572"/>
      <c r="P11" s="361">
        <v>0</v>
      </c>
      <c r="Q11" s="364"/>
      <c r="R11" s="365"/>
      <c r="S11" s="225"/>
      <c r="T11" s="255"/>
      <c r="U11" s="256"/>
      <c r="V11" s="494"/>
      <c r="W11" s="494"/>
      <c r="X11" s="494"/>
      <c r="Y11" s="494"/>
      <c r="Z11" s="494"/>
      <c r="AA11" s="494"/>
      <c r="AB11" s="494"/>
      <c r="AC11"/>
      <c r="AD11"/>
      <c r="AE11"/>
      <c r="AF11"/>
      <c r="AG11"/>
      <c r="AH11"/>
      <c r="AI11"/>
      <c r="AJ11"/>
      <c r="AK11"/>
      <c r="AL11"/>
      <c r="AM11"/>
      <c r="AN11"/>
      <c r="AO11"/>
      <c r="AP11"/>
    </row>
    <row r="12" spans="1:42" ht="15">
      <c r="A12" s="702"/>
      <c r="B12" s="494"/>
      <c r="C12" s="237" t="s">
        <v>134</v>
      </c>
      <c r="D12" s="712" t="s">
        <v>135</v>
      </c>
      <c r="E12" s="712"/>
      <c r="F12" s="238" t="s">
        <v>78</v>
      </c>
      <c r="G12" s="239" t="inlineStr">
        <is>
          <t>Notiser</t>
        </is>
      </c>
      <c r="H12" s="239"/>
      <c r="I12" s="239"/>
      <c r="J12" s="240"/>
      <c r="K12" s="570"/>
      <c r="L12" s="578"/>
      <c r="M12" s="474"/>
      <c r="N12" s="571" t="s">
        <v>137</v>
      </c>
      <c r="O12" s="572"/>
      <c r="P12" s="361">
        <v>0</v>
      </c>
      <c r="Q12" s="364"/>
      <c r="R12" s="365"/>
      <c r="S12" s="225"/>
      <c r="T12" s="255"/>
      <c r="U12" s="256"/>
      <c r="V12" s="494"/>
      <c r="W12" s="494"/>
      <c r="X12" s="494"/>
      <c r="Y12" s="494"/>
      <c r="Z12" s="494"/>
      <c r="AA12" s="494"/>
      <c r="AB12" s="494"/>
      <c r="AC12" t="s">
        <v>405</v>
      </c>
      <c r="AD12">
        <v>1</v>
      </c>
      <c r="AE12"/>
      <c r="AF12"/>
      <c r="AG12"/>
      <c r="AH12"/>
      <c r="AI12"/>
      <c r="AJ12"/>
      <c r="AK12"/>
      <c r="AL12"/>
      <c r="AM12"/>
      <c r="AN12"/>
      <c r="AO12"/>
      <c r="AP12"/>
    </row>
    <row r="13" spans="1:42" ht="15">
      <c r="A13" s="702"/>
      <c r="B13" s="494"/>
      <c r="C13" s="251" t="inlineStr">
        <is>
          <t>NPV tillkommande (krav 1)</t>
        </is>
      </c>
      <c r="D13" s="691">
        <f>IF(G13&lt;&gt;"","",'4. NPV'!$E$82/1000)</f>
        <v>10300.00000000003</v>
      </c>
      <c r="E13" s="691"/>
      <c r="F13" s="241" t="s">
        <v>139</v>
      </c>
      <c r="G13" s="242" t="str">
        <f>IF(COUNTA(M3,M6,M7,M9,Q15,Q17,C23:C27,E23:E27,F23:F27,G23:G27,I23:I27,J23:J27,M23:M27,N23:N27,O23:O27,Q23:Q27,S23:S27,R23:R27)&lt;17,"Fyll i alla tvingande fält",IF(SUMPRODUCT(--($H$23:$H$27&gt;0),--($E$23:$E$27&lt;&gt;"Bef"),--($T$23:$T$27=0))&gt;0,"Investering saknas för objekt med area (sektion 4)",IF($AD$12&lt;&gt;1,"Hyresmultiplikator AD12 ≠ 1","")))</f>
        <v/>
      </c>
      <c r="H13" s="243"/>
      <c r="I13" s="489" t="str">
        <f>IF(SUM(G39:H39)=0,"Inga driftkostnader angivna","")</f>
        <v/>
      </c>
      <c r="J13" s="244"/>
      <c r="K13" s="570"/>
      <c r="L13" s="578"/>
      <c r="M13" s="474"/>
      <c r="N13" s="584" t="s">
        <v>372</v>
      </c>
      <c r="O13" s="572"/>
      <c r="P13" s="254">
        <f>IF(Q13&lt;&gt;0,Q13,P16)</f>
        <v>33.0</v>
      </c>
      <c r="Q13" s="871"/>
      <c r="R13" s="870" t="inlineStr">
        <is>
          <t>← egen tid, år (valfri)</t>
        </is>
      </c>
      <c r="S13" s="225"/>
      <c r="T13" s="255"/>
      <c r="U13" s="256"/>
      <c r="V13" s="494"/>
      <c r="W13" s="494"/>
      <c r="X13" s="494"/>
      <c r="Y13" s="494"/>
      <c r="Z13" s="494"/>
      <c r="AA13" s="494"/>
      <c r="AB13" s="494"/>
      <c r="AC13" t="s">
        <v>406</v>
      </c>
      <c r="AD13" t="s">
        <v>396</v>
      </c>
      <c r="AE13" t="s">
        <v>407</v>
      </c>
      <c r="AF13" t="s">
        <v>408</v>
      </c>
      <c r="AG13" t="s">
        <v>409</v>
      </c>
      <c r="AH13" t="s">
        <v>410</v>
      </c>
      <c r="AI13" t="s">
        <v>411</v>
      </c>
      <c r="AJ13"/>
      <c r="AK13"/>
      <c r="AL13"/>
      <c r="AM13"/>
      <c r="AN13"/>
      <c r="AO13"/>
      <c r="AP13"/>
    </row>
    <row r="14" spans="1:42" ht="15" customHeight="1">
      <c r="A14" s="702"/>
      <c r="B14" s="494"/>
      <c r="C14" s="251" t="inlineStr">
        <is>
          <t>IRR före skatt (krav 2)</t>
        </is>
      </c>
      <c r="D14" s="792">
        <f>IF('5. IRR'!D40="N/A"," ",'5. IRR'!D40)</f>
        <v>0.08080374302175485</v>
      </c>
      <c r="E14" s="709"/>
      <c r="F14" s="492">
        <v>6.3399999999999998E-2</v>
      </c>
      <c r="G14" s="698" t="str">
        <f>IF('5. IRR'!C11&lt;&gt;"","Eget restvärde ifyllt i 5. IRR. ","")&amp;IF(M10&lt;&gt;0,"Yield "&amp;IF(M10&gt;0,"+","")&amp;ROUND(M10*100,2)&amp;" pp → "&amp;ROUND(M11*100,2)&amp;" %","")</f>
        <v/>
      </c>
      <c r="H14" s="698"/>
      <c r="I14" s="489" t="str">
        <f>IF(SUM(G39:H39)&gt;0,IF(AND(H39=0,G28&lt;&gt;0),"Driftkostnad ev. angiven på fel yta",""),"")</f>
        <v/>
      </c>
      <c r="J14" s="244"/>
      <c r="K14" s="245" t="inlineStr">
        <is>
          <t>Vakans efter avtal, viktad</t>
        </is>
      </c>
      <c r="L14" s="578"/>
      <c r="M14" s="474">
        <f>IFERROR(P28,"")</f>
        <v>0.0</v>
      </c>
      <c r="N14" s="571" t="s">
        <v>143</v>
      </c>
      <c r="O14" s="572"/>
      <c r="P14" s="257">
        <v>80</v>
      </c>
      <c r="Q14" s="258" t="s">
        <v>144</v>
      </c>
      <c r="R14" s="574"/>
      <c r="S14" s="570"/>
      <c r="T14" s="575"/>
      <c r="U14" s="573"/>
      <c r="V14" s="494"/>
      <c r="W14" s="494"/>
      <c r="X14" s="494"/>
      <c r="Y14" s="494"/>
      <c r="Z14" s="494"/>
      <c r="AA14" s="494"/>
      <c r="AB14" s="494"/>
      <c r="AC14"/>
      <c r="AD14" s="2">
        <f>'4. NPV'!$E$82</f>
        <v>10300000.00000003</v>
      </c>
      <c r="AE14" s="2">
        <f>'5. IRR'!$D$37+NPV('2. Kalkyldata'!$F$14,'5. IRR'!$E$37:$BA$37)</f>
        <v>33005083.48640287</v>
      </c>
      <c r="AF14" s="2">
        <f>'5. IRR'!$F$55</f>
        <v>19970000.00000003</v>
      </c>
      <c r="AG14" s="2">
        <f>'5. IRR'!$F$57</f>
        <v>3200000.00000003</v>
      </c>
      <c r="AH14" s="2">
        <f>'5. IRR'!$D$59+NPV('2. Kalkyldata'!$F$14,'5. IRR'!$E$59:$BA$59)</f>
        <v>48382165.83478916</v>
      </c>
      <c r="AI14" s="2">
        <f>'5. IRR'!$D$61+NPV('2. Kalkyldata'!$F$14,'5. IRR'!$E$61:$BA$61)</f>
        <v>21728556.430919588</v>
      </c>
      <c r="AJ14"/>
      <c r="AK14"/>
      <c r="AL14"/>
      <c r="AM14"/>
      <c r="AN14"/>
      <c r="AO14"/>
      <c r="AP14"/>
    </row>
    <row r="15" spans="1:42" ht="15" customHeight="1">
      <c r="A15" s="702"/>
      <c r="B15" s="494"/>
      <c r="C15" s="251" t="inlineStr">
        <is>
          <t>PV mot bokfört värde (krav 3)</t>
        </is>
      </c>
      <c r="D15" s="832">
        <f>IF(G13&lt;&gt;"","",('4. NPV'!E52-('2. Kalkyldata'!$P$9+'2. Kalkyldata'!$X$28-'2. Kalkyldata'!$P$10))/1000)</f>
        <v>10300.00000000003</v>
      </c>
      <c r="E15" s="710"/>
      <c r="F15" s="246" t="s">
        <v>139</v>
      </c>
      <c r="G15" s="247"/>
      <c r="H15" s="243"/>
      <c r="I15" s="489" t="str">
        <f>IF(OR(AND(M23&lt;&gt;0,M23&lt;$M$3),AND(M24&lt;&gt;0,M24&lt;$M$3),AND(M25&lt;&gt;0,M25&lt;$M$3),AND(M26&lt;&gt;0,M26&lt;$M$3),AND(M27&lt;&gt;0,M27&lt;$M$3)),"Glapp, Avtalstid / Kalkylstart","")</f>
        <v/>
      </c>
      <c r="J15" s="244"/>
      <c r="K15" s="570"/>
      <c r="L15" s="578"/>
      <c r="M15" s="579"/>
      <c r="N15" s="571" t="s">
        <v>147</v>
      </c>
      <c r="O15" s="572"/>
      <c r="P15" s="252">
        <f>IF(Q15&lt;&gt;"",Q15,'2. Kalkyldata'!T10)</f>
        <v>0.03</v>
      </c>
      <c r="Q15" s="366">
        <v>0.03</v>
      </c>
      <c r="R15" s="574"/>
      <c r="S15" s="703" t="s">
        <v>148</v>
      </c>
      <c r="T15" s="704"/>
      <c r="U15" s="705"/>
      <c r="V15" s="494"/>
      <c r="W15" s="494"/>
      <c r="X15" s="494"/>
      <c r="Y15" s="494"/>
      <c r="Z15" s="494"/>
      <c r="AA15" s="494"/>
      <c r="AB15" s="494"/>
      <c r="AC15">
        <v>0</v>
      </c>
      <c r="AD15">
        <f t="dataTable" ref="AD15:AI16" dt2D="0" dtr="0" r1="AD12"/>
        <v>-288810000.0</v>
      </c>
      <c r="AE15">
        <v>-282715796.7674028</v>
      </c>
      <c r="AF15">
        <v>-290820000.0</v>
      </c>
      <c r="AG15">
        <v>-287340000.0</v>
      </c>
      <c r="AH15">
        <v>-285909507.1852776</v>
      </c>
      <c r="AI15">
        <v>-280373742.46096134</v>
      </c>
      <c r="AJ15"/>
      <c r="AK15"/>
      <c r="AL15"/>
      <c r="AM15"/>
      <c r="AN15"/>
      <c r="AO15"/>
      <c r="AP15"/>
    </row>
    <row r="16" spans="1:42" ht="15">
      <c r="A16" s="702"/>
      <c r="B16" s="494"/>
      <c r="C16" s="251" t="s">
        <v>150</v>
      </c>
      <c r="D16" s="711">
        <f>'4. NPV'!$C$62</f>
        <v>15.0</v>
      </c>
      <c r="E16" s="711"/>
      <c r="F16" s="246"/>
      <c r="G16" s="246"/>
      <c r="H16" s="243"/>
      <c r="I16" s="489" t="str">
        <f>IF(OR(AND(R23&lt;&gt;0,R23&lt;M23),AND(R24&lt;&gt;0,R24&lt;M24),AND(R25&lt;&gt;0,R25&lt;M25),AND(R26&lt;&gt;0,R26&lt;M26),AND(R27&lt;&gt;0,R27&lt;M27)),"Glapp, Prod.avslut / Avtalstid","")</f>
        <v/>
      </c>
      <c r="J16" s="244"/>
      <c r="K16" s="570" t="s">
        <v>151</v>
      </c>
      <c r="L16" s="578"/>
      <c r="M16" s="474">
        <v>0.20599999999999999</v>
      </c>
      <c r="N16" s="571" t="s">
        <v>59</v>
      </c>
      <c r="O16" s="572"/>
      <c r="P16" s="253">
        <f>(FLOOR(100%/P15,1))</f>
        <v>33.0</v>
      </c>
      <c r="Q16" s="580"/>
      <c r="R16" s="581"/>
      <c r="S16" s="378" t="s">
        <v>152</v>
      </c>
      <c r="T16" s="379" t="s">
        <v>27</v>
      </c>
      <c r="U16" s="379" t="s">
        <v>153</v>
      </c>
      <c r="V16" s="494"/>
      <c r="W16" s="494"/>
      <c r="X16" s="494"/>
      <c r="Y16" s="494"/>
      <c r="Z16" s="494"/>
      <c r="AA16" s="494"/>
      <c r="AB16" s="494"/>
      <c r="AC16">
        <v>1</v>
      </c>
      <c r="AD16">
        <v>10300000.00000003</v>
      </c>
      <c r="AE16">
        <v>33005083.48640287</v>
      </c>
      <c r="AF16">
        <v>19970000.00000003</v>
      </c>
      <c r="AG16">
        <v>3200000.00000003</v>
      </c>
      <c r="AH16">
        <v>48382165.83478916</v>
      </c>
      <c r="AI16">
        <v>21728556.430919588</v>
      </c>
      <c r="AJ16"/>
      <c r="AK16"/>
      <c r="AL16"/>
      <c r="AM16"/>
      <c r="AN16"/>
      <c r="AO16"/>
      <c r="AP16"/>
    </row>
    <row r="17" spans="1:79">
      <c r="A17" s="702"/>
      <c r="B17" s="494"/>
      <c r="C17" s="251" t="inlineStr">
        <is>
          <t>Kravhyra krav 1–2, kr/kvm</t>
        </is>
      </c>
      <c r="D17" s="728">
        <f>IF(G13&lt;&gt;"","",CEILING($AD$19*$AD$20,1))</f>
        <v>2559.0</v>
      </c>
      <c r="E17" s="711"/>
      <c r="F17" s="246" t="str">
        <f>IF(G13&lt;&gt;"","",LEFT($AE$19,3))</f>
        <v>NPV</v>
      </c>
      <c r="G17" s="248"/>
      <c r="H17" s="249"/>
      <c r="I17" s="490" t="str">
        <f>IF(OR(AND(M23&lt;&gt;0,M23&lt;R23),AND(M24&lt;&gt;0,M24&lt;R24),AND(M25&lt;&gt;0,M25&lt;R25),AND(M26&lt;&gt;0,M26&lt;R26),AND(M27&lt;&gt;0,M27&lt;R27)),"Glapp, Avtalstid / Prod.avslut. ","")&amp;IF(G13&lt;&gt;"","",IF(D17&gt;$AD$20,"Höj hyran "&amp;ROUND(D17-$AD$20,0)&amp;" kr/kvm för krav 1–2. ",""))&amp;IF(COUNTIF(E23:E27,"Bef")+(P9&gt;0)&gt;0,"Bef/bokfört värde ingår bara i krav 3. ","")&amp;IF(SUMPRODUCT(($P$23:$P$27&gt;0)*(AM23:AM27=FALSE))&gt;0,"Vakansgrad utan effekt — avtalet täcker kalkylperioden (se sektion 5).","")</f>
        <v/>
      </c>
      <c r="J17" s="250"/>
      <c r="K17" s="577"/>
      <c r="L17" s="582"/>
      <c r="M17" s="583"/>
      <c r="N17" s="584" t="s">
        <v>58</v>
      </c>
      <c r="O17" s="585"/>
      <c r="P17" s="254">
        <f>IF(Q17&lt;&gt;0,Q17,(FLOOR(100%/P15,1)))</f>
        <v>20.0</v>
      </c>
      <c r="Q17" s="871">
        <v>20</v>
      </c>
      <c r="R17" s="586"/>
      <c r="S17" s="842" t="str">
        <f>J6</f>
        <v>Fyll i</v>
      </c>
      <c r="T17" s="380"/>
      <c r="U17" s="381">
        <f>IFERROR($T$17*$J$6,0)</f>
        <v>0.0</v>
      </c>
      <c r="V17" s="494"/>
      <c r="W17" s="494"/>
      <c r="X17" s="494"/>
      <c r="Y17" s="494"/>
      <c r="Z17" s="494"/>
      <c r="AA17" s="494"/>
      <c r="AB17" s="494"/>
      <c r="AC17"/>
      <c r="AD17"/>
      <c r="AE17"/>
      <c r="AF17"/>
      <c r="AG17"/>
      <c r="AH17"/>
      <c r="AI17"/>
      <c r="AJ17"/>
      <c r="AK17"/>
      <c r="AL17"/>
      <c r="AM17"/>
      <c r="AN17"/>
      <c r="AO17"/>
      <c r="AP17"/>
      <c r="AQ17" s="494"/>
      <c r="AR17" s="494"/>
      <c r="AS17" s="494"/>
      <c r="AT17" s="494"/>
      <c r="AU17" s="494"/>
      <c r="AV17" s="494"/>
      <c r="AW17" s="494"/>
      <c r="AX17" s="494"/>
      <c r="AY17" s="494"/>
      <c r="AZ17" s="494"/>
      <c r="BA17" s="494"/>
      <c r="BB17" s="494"/>
      <c r="BC17" s="494"/>
      <c r="BD17" s="494"/>
      <c r="BE17" s="494"/>
      <c r="BF17" s="494"/>
      <c r="BG17" s="494"/>
      <c r="BH17" s="494"/>
      <c r="BI17" s="494"/>
      <c r="BJ17" s="494"/>
      <c r="BK17" s="494"/>
      <c r="BL17" s="494"/>
      <c r="BM17" s="494"/>
      <c r="BN17" s="494"/>
      <c r="BO17" s="494"/>
      <c r="BP17" s="494"/>
      <c r="BQ17" s="494"/>
      <c r="BR17" s="494"/>
      <c r="BS17" s="494"/>
      <c r="BT17" s="494"/>
      <c r="BU17" s="494"/>
      <c r="BV17" s="494"/>
      <c r="BW17" s="494"/>
      <c r="BX17" s="494"/>
      <c r="BY17" s="494"/>
      <c r="BZ17" s="494"/>
      <c r="CA17" s="494"/>
    </row>
    <row r="18" spans="1:79">
      <c r="A18" s="494"/>
      <c r="B18" s="494"/>
      <c r="C18" s="494"/>
      <c r="D18" s="494"/>
      <c r="E18" s="494"/>
      <c r="F18" s="494"/>
      <c r="G18" s="494"/>
      <c r="H18" s="494"/>
      <c r="I18" s="494"/>
      <c r="J18" s="494"/>
      <c r="K18" s="494"/>
      <c r="L18" s="494"/>
      <c r="M18" s="494"/>
      <c r="N18" s="494"/>
      <c r="O18" s="494"/>
      <c r="P18" s="494"/>
      <c r="Q18" s="494"/>
      <c r="R18" s="494"/>
      <c r="S18" s="494"/>
      <c r="T18" s="494"/>
      <c r="U18" s="588"/>
      <c r="V18" s="494"/>
      <c r="W18" s="494"/>
      <c r="X18" s="494"/>
      <c r="Y18" s="494"/>
      <c r="Z18" s="494"/>
      <c r="AA18" s="494"/>
      <c r="AB18" s="494"/>
      <c r="AC18" t="s">
        <v>412</v>
      </c>
      <c r="AD18">
        <f>IFERROR(-AD15/(AD16-AD15),1)</f>
        <v>0.9655645080405202</v>
      </c>
      <c r="AE18">
        <f>IFERROR(-AE15/(AE16-AE15),1)</f>
        <v>0.8954611951548141</v>
      </c>
      <c r="AF18">
        <f>IFERROR(-AF15/(AF16-AF15),1)</f>
        <v>0.9357443933202484</v>
      </c>
      <c r="AG18">
        <f>IFERROR(-AG15/(AG16-AG15),1)</f>
        <v>0.9889860260205136</v>
      </c>
      <c r="AH18">
        <f>IFERROR(-AH15/(AH16-AH15),1)</f>
        <v>0.8552696051394469</v>
      </c>
      <c r="AI18">
        <f>IFERROR(-AI15/(AI16-AI15),1)</f>
        <v>0.9280755012106148</v>
      </c>
      <c r="AJ18"/>
      <c r="AK18"/>
      <c r="AL18"/>
      <c r="AM18"/>
      <c r="AN18"/>
      <c r="AO18"/>
      <c r="AP18"/>
      <c r="AQ18" s="494"/>
      <c r="AR18" s="494"/>
      <c r="AS18" s="494"/>
      <c r="AT18" s="494"/>
      <c r="AU18" s="494"/>
      <c r="AV18" s="494"/>
      <c r="AW18" s="494"/>
      <c r="AX18" s="494"/>
      <c r="AY18" s="494"/>
      <c r="AZ18" s="494"/>
      <c r="BA18" s="494"/>
      <c r="BB18" s="494"/>
      <c r="BC18" s="494"/>
      <c r="BD18" s="494"/>
      <c r="BE18" s="494"/>
      <c r="BF18" s="494"/>
      <c r="BG18" s="494"/>
      <c r="BH18" s="494"/>
      <c r="BI18" s="494"/>
      <c r="BJ18" s="494"/>
      <c r="BK18" s="494"/>
      <c r="BL18" s="494"/>
      <c r="BM18" s="494"/>
      <c r="BN18" s="494"/>
      <c r="BO18" s="494"/>
      <c r="BP18" s="494"/>
      <c r="BQ18" s="494"/>
      <c r="BR18" s="494"/>
      <c r="BS18" s="494"/>
      <c r="BT18" s="494"/>
      <c r="BU18" s="494"/>
      <c r="BV18" s="494"/>
      <c r="BW18" s="494"/>
      <c r="BX18" s="494"/>
      <c r="BY18" s="494"/>
      <c r="BZ18" s="494"/>
      <c r="CA18" s="494"/>
    </row>
    <row r="19" spans="1:79" ht="23.25">
      <c r="A19" s="494"/>
      <c r="B19" s="494"/>
      <c r="C19" s="185" t="s">
        <v>157</v>
      </c>
      <c r="D19" s="185"/>
      <c r="E19" s="185"/>
      <c r="F19" s="494"/>
      <c r="G19" s="494"/>
      <c r="H19" s="494"/>
      <c r="I19" s="494"/>
      <c r="J19" s="494"/>
      <c r="K19" s="494"/>
      <c r="L19" s="494"/>
      <c r="M19" s="494"/>
      <c r="N19" s="494"/>
      <c r="O19" s="494"/>
      <c r="P19" s="494"/>
      <c r="Q19" s="494"/>
      <c r="R19" s="494"/>
      <c r="S19" s="494"/>
      <c r="T19" s="494"/>
      <c r="U19" s="494"/>
      <c r="V19" s="494"/>
      <c r="W19" s="494"/>
      <c r="X19" s="494"/>
      <c r="Y19" s="494"/>
      <c r="Z19" s="494"/>
      <c r="AA19" s="494"/>
      <c r="AB19" s="494"/>
      <c r="AC19" t="s">
        <v>413</v>
      </c>
      <c r="AD19">
        <f>MAX(AD18,AE18)</f>
        <v>0.9655645080405202</v>
      </c>
      <c r="AE19" t="str">
        <f>IF(AD18&gt;=AE18,"NPV binder","IRR binder")</f>
        <v>NPV binder</v>
      </c>
      <c r="AF19">
        <f>MAX(AF18,AH18)</f>
        <v>0.9357443933202484</v>
      </c>
      <c r="AG19">
        <f>MAX(AG18,AI18)</f>
        <v>0.9889860260205136</v>
      </c>
      <c r="AH19"/>
      <c r="AI19"/>
      <c r="AJ19"/>
      <c r="AK19"/>
      <c r="AL19"/>
      <c r="AM19"/>
      <c r="AN19"/>
      <c r="AO19"/>
      <c r="AP19"/>
      <c r="AQ19" s="494"/>
      <c r="AR19" s="494"/>
      <c r="AS19" s="189" t="s">
        <v>159</v>
      </c>
      <c r="AT19" s="494"/>
      <c r="AU19" s="494"/>
      <c r="AV19" s="494"/>
      <c r="AW19" s="494"/>
      <c r="AX19" s="494"/>
      <c r="AY19" s="494"/>
      <c r="AZ19" s="494"/>
      <c r="BA19" s="494"/>
      <c r="BB19" s="494"/>
      <c r="BC19" s="494"/>
      <c r="BD19" s="494"/>
      <c r="BE19" s="494"/>
      <c r="BF19" s="494"/>
      <c r="BG19" s="494"/>
      <c r="BH19" s="494"/>
      <c r="BI19" s="494"/>
      <c r="BJ19" s="494"/>
      <c r="BK19" s="494"/>
      <c r="BL19" s="494"/>
      <c r="BM19" s="494"/>
      <c r="BN19" s="494"/>
      <c r="BO19" s="494"/>
      <c r="BP19" s="494"/>
      <c r="BQ19" s="494"/>
      <c r="BR19" s="494"/>
      <c r="BS19" s="494"/>
      <c r="BT19" s="494"/>
      <c r="BU19" s="494"/>
      <c r="BV19" s="494"/>
      <c r="BW19" s="494"/>
      <c r="BX19" s="494"/>
      <c r="BY19" s="494"/>
      <c r="BZ19" s="494"/>
      <c r="CA19" s="494"/>
    </row>
    <row r="20" spans="1:79">
      <c r="A20" s="494"/>
      <c r="B20" s="494"/>
      <c r="C20" s="720" t="inlineStr">
        <is>
          <t>Ett objekt per rad (högst 5). Hyror i kr/kvm och år, kalkylstartens penningvärde. Budget kr/kvm räknas fram från sektion 4.</t>
        </is>
      </c>
      <c r="D20" s="589"/>
      <c r="E20" s="589"/>
      <c r="F20" s="589"/>
      <c r="G20" s="589"/>
      <c r="H20" s="589"/>
      <c r="I20" s="589"/>
      <c r="J20" s="589"/>
      <c r="K20" s="589"/>
      <c r="L20" s="590"/>
      <c r="M20" s="589"/>
      <c r="N20" s="589"/>
      <c r="O20" s="494"/>
      <c r="P20" s="494"/>
      <c r="Q20" s="494"/>
      <c r="R20" s="494"/>
      <c r="S20" s="591"/>
      <c r="T20" s="494"/>
      <c r="U20" s="494"/>
      <c r="V20" s="494"/>
      <c r="W20" s="494"/>
      <c r="X20" s="494"/>
      <c r="Y20" s="494"/>
      <c r="Z20" s="494"/>
      <c r="AA20" s="494"/>
      <c r="AB20" s="494"/>
      <c r="AC20" t="s">
        <v>414</v>
      </c>
      <c r="AD20">
        <f>IFERROR(SUMPRODUCT(--($E$23:$E$27&lt;&gt;"Bef"),$I$23:$I$27,$H$23:$H$27)/SUMPRODUCT(--($E$23:$E$27&lt;&gt;"Bef"),$H$23:$H$27),0)</f>
        <v>2650.0</v>
      </c>
      <c r="AE20"/>
      <c r="AF20"/>
      <c r="AG20"/>
      <c r="AH20"/>
      <c r="AI20"/>
      <c r="AJ20"/>
      <c r="AK20"/>
      <c r="AL20"/>
      <c r="AM20"/>
      <c r="AN20"/>
      <c r="AO20"/>
      <c r="AP20"/>
      <c r="AQ20" s="494"/>
      <c r="AR20" s="494"/>
      <c r="AS20" s="494"/>
      <c r="AT20" s="494"/>
      <c r="AU20" s="494"/>
      <c r="AV20" s="494"/>
      <c r="AW20" s="494"/>
      <c r="AX20" s="494"/>
      <c r="AY20" s="494"/>
      <c r="AZ20" s="494"/>
      <c r="BA20" s="494"/>
      <c r="BB20" s="494"/>
      <c r="BC20" s="494"/>
      <c r="BD20" s="494"/>
      <c r="BE20" s="494"/>
      <c r="BF20" s="494"/>
      <c r="BG20" s="494"/>
      <c r="BH20" s="494"/>
      <c r="BI20" s="494"/>
      <c r="BJ20" s="494"/>
      <c r="BK20" s="494"/>
      <c r="BL20" s="494"/>
      <c r="BM20" s="494"/>
      <c r="BN20" s="494"/>
      <c r="BO20" s="494"/>
      <c r="BP20" s="494"/>
      <c r="BQ20" s="494"/>
      <c r="BR20" s="494"/>
      <c r="BS20" s="494"/>
      <c r="BT20" s="494"/>
      <c r="BU20" s="494"/>
      <c r="BV20" s="494"/>
      <c r="BW20" s="494"/>
      <c r="BX20" s="494"/>
      <c r="BY20" s="494"/>
      <c r="BZ20" s="494"/>
      <c r="CA20" s="494"/>
    </row>
    <row r="21" spans="1:79" ht="15" customHeight="1">
      <c r="A21" s="702">
        <v>2</v>
      </c>
      <c r="B21" s="494"/>
      <c r="C21" s="221" t="s">
        <v>160</v>
      </c>
      <c r="D21" s="222"/>
      <c r="E21" s="222"/>
      <c r="F21" s="696" t="s">
        <v>161</v>
      </c>
      <c r="G21" s="697"/>
      <c r="H21" s="707"/>
      <c r="I21" s="696" t="s">
        <v>162</v>
      </c>
      <c r="J21" s="697"/>
      <c r="K21" s="697"/>
      <c r="L21" s="707"/>
      <c r="M21" s="696" t="inlineStr">
        <is>
          <t>Avtalsperiod</t>
        </is>
      </c>
      <c r="N21" s="707"/>
      <c r="O21" s="358" t="s">
        <v>164</v>
      </c>
      <c r="P21" s="359" t="s">
        <v>165</v>
      </c>
      <c r="Q21" s="696" t="s">
        <v>166</v>
      </c>
      <c r="R21" s="697"/>
      <c r="S21" s="697"/>
      <c r="T21" s="697"/>
      <c r="U21" s="707"/>
      <c r="V21" s="592"/>
      <c r="W21" s="696" t="s">
        <v>167</v>
      </c>
      <c r="X21" s="697"/>
      <c r="Y21" s="692" t="s">
        <v>83</v>
      </c>
      <c r="Z21" s="693"/>
      <c r="AA21" s="694"/>
      <c r="AB21" s="494"/>
      <c r="AC21" s="494"/>
      <c r="AD21" s="494"/>
      <c r="AE21" s="494"/>
      <c r="AF21" s="494"/>
      <c r="AG21" s="494"/>
      <c r="AH21" s="494"/>
      <c r="AI21" s="494"/>
      <c r="AJ21" s="494"/>
      <c r="AK21" s="494"/>
      <c r="AL21" s="494"/>
      <c r="AM21" s="494"/>
      <c r="AN21" s="494"/>
      <c r="AO21" s="494"/>
      <c r="AP21" s="494"/>
      <c r="AQ21" s="494"/>
      <c r="AR21" s="494"/>
      <c r="AS21" s="494"/>
      <c r="AT21" s="494"/>
      <c r="AU21" s="494"/>
      <c r="AV21" s="494"/>
      <c r="AW21" s="494"/>
      <c r="AX21" s="494"/>
      <c r="AY21" s="494"/>
      <c r="AZ21" s="494"/>
      <c r="BA21" s="494"/>
      <c r="BB21" s="494"/>
      <c r="BC21" s="494"/>
      <c r="BD21" s="494"/>
      <c r="BE21" s="494"/>
      <c r="BF21" s="494"/>
      <c r="BG21" s="494"/>
      <c r="BH21" s="494"/>
      <c r="BI21" s="494"/>
      <c r="BJ21" s="494"/>
      <c r="BK21" s="494"/>
      <c r="BL21" s="494"/>
      <c r="BM21" s="494"/>
      <c r="BN21" s="494"/>
      <c r="BO21" s="494"/>
      <c r="BP21" s="494"/>
      <c r="BQ21" s="494"/>
      <c r="BR21" s="494"/>
      <c r="BS21" s="494"/>
      <c r="BT21" s="494"/>
      <c r="BU21" s="494"/>
      <c r="BV21" s="494"/>
      <c r="BW21" s="494"/>
      <c r="BX21" s="494"/>
      <c r="BY21" s="494"/>
      <c r="BZ21" s="494"/>
      <c r="CA21" s="494"/>
    </row>
    <row r="22" spans="1:79" s="215" customFormat="1" ht="45">
      <c r="A22" s="702"/>
      <c r="B22" s="592"/>
      <c r="C22" s="267" t="inlineStr">
        <is>
          <t>Byggnad/lokal/objekt</t>
        </is>
      </c>
      <c r="D22" s="268" t="s">
        <v>29</v>
      </c>
      <c r="E22" s="267" t="s">
        <v>169</v>
      </c>
      <c r="F22" s="269" t="s">
        <v>170</v>
      </c>
      <c r="G22" s="270" t="s">
        <v>171</v>
      </c>
      <c r="H22" s="273" t="s">
        <v>158</v>
      </c>
      <c r="I22" s="865" t="inlineStr">
        <is>
          <t>Hyra, kr/kvm</t>
        </is>
      </c>
      <c r="J22" s="866" t="inlineStr">
        <is>
          <t>Index, andel av inflation</t>
        </is>
      </c>
      <c r="K22" s="866" t="s">
        <v>173</v>
      </c>
      <c r="L22" s="867" t="inlineStr">
        <is>
          <t>Totalhyra, kr/år</t>
        </is>
      </c>
      <c r="M22" s="269" t="inlineStr">
        <is>
          <t>Fr.o.m. år</t>
        </is>
      </c>
      <c r="N22" s="273" t="inlineStr">
        <is>
          <t>T.o.m. år</t>
        </is>
      </c>
      <c r="O22" s="274" t="str">
        <f>CONCATENATE(P5," 
kr/kvm")</f>
        <v>2026 
kr/kvm</v>
      </c>
      <c r="P22" s="785" t="inlineStr">
        <is>
          <t>efter avtal, inom kalkylperioden</t>
        </is>
      </c>
      <c r="Q22" s="484" t="s">
        <v>177</v>
      </c>
      <c r="R22" s="485" t="s">
        <v>178</v>
      </c>
      <c r="S22" s="275" t="str">
        <f>CONCATENATE("Budget kr/kvm ",$R23)</f>
        <v>Budget kr/kvm 2026</v>
      </c>
      <c r="T22" s="354" t="s">
        <v>179</v>
      </c>
      <c r="U22" s="868" t="inlineStr">
        <is>
          <t>Justering, kr/kvm</t>
        </is>
      </c>
      <c r="V22" s="592"/>
      <c r="W22" s="274" t="s">
        <v>181</v>
      </c>
      <c r="X22" s="303" t="s">
        <v>182</v>
      </c>
      <c r="Y22" s="274" t="str">
        <f>CONCATENATE(" Budget inkl projektbelast.")</f>
        <v> Budget inkl projektbelast.</v>
      </c>
      <c r="Z22" s="270" t="s">
        <v>183</v>
      </c>
      <c r="AA22" s="304" t="s">
        <v>184</v>
      </c>
      <c r="AB22" s="592"/>
      <c r="AC22" s="216">
        <f>M3</f>
        <v>2026.0</v>
      </c>
      <c r="AD22" s="216">
        <f>AC22+1</f>
        <v>2027.0</v>
      </c>
      <c r="AE22" s="216">
        <f t="shared" ref="AE22:AK22" si="0">AD22+1</f>
        <v>2028.0</v>
      </c>
      <c r="AF22" s="216">
        <f t="shared" si="0"/>
        <v>2029.0</v>
      </c>
      <c r="AG22" s="216">
        <f t="shared" si="0"/>
        <v>2030.0</v>
      </c>
      <c r="AH22" s="216">
        <f t="shared" si="0"/>
        <v>2031.0</v>
      </c>
      <c r="AI22" s="216">
        <f t="shared" si="0"/>
        <v>2032.0</v>
      </c>
      <c r="AJ22" s="216">
        <f t="shared" si="0"/>
        <v>2033.0</v>
      </c>
      <c r="AK22" s="216">
        <f t="shared" si="0"/>
        <v>2034.0</v>
      </c>
      <c r="AL22" s="592"/>
      <c r="AM22" s="592" t="inlineStr">
        <is>
          <t>Vakansgrad tillåten (avtal slutar före kalkylperiodens sista år)</t>
        </is>
      </c>
      <c r="AN22" s="592"/>
      <c r="AO22" s="592"/>
      <c r="AP22" s="592"/>
      <c r="AQ22" s="592"/>
      <c r="AR22" s="592"/>
      <c r="AS22" s="593">
        <f>$M$5</f>
        <v>2026.0</v>
      </c>
      <c r="AT22" s="593">
        <f>AS22+1</f>
        <v>2027.0</v>
      </c>
      <c r="AU22" s="593">
        <f t="shared" ref="AU22:BZ22" si="1">AT22+1</f>
        <v>2028.0</v>
      </c>
      <c r="AV22" s="593">
        <f t="shared" si="1"/>
        <v>2029.0</v>
      </c>
      <c r="AW22" s="593">
        <f t="shared" si="1"/>
        <v>2030.0</v>
      </c>
      <c r="AX22" s="593">
        <f t="shared" si="1"/>
        <v>2031.0</v>
      </c>
      <c r="AY22" s="593">
        <f t="shared" si="1"/>
        <v>2032.0</v>
      </c>
      <c r="AZ22" s="593">
        <f t="shared" si="1"/>
        <v>2033.0</v>
      </c>
      <c r="BA22" s="593">
        <f t="shared" si="1"/>
        <v>2034.0</v>
      </c>
      <c r="BB22" s="593">
        <f t="shared" si="1"/>
        <v>2035.0</v>
      </c>
      <c r="BC22" s="593">
        <f t="shared" si="1"/>
        <v>2036.0</v>
      </c>
      <c r="BD22" s="593">
        <f t="shared" si="1"/>
        <v>2037.0</v>
      </c>
      <c r="BE22" s="593">
        <f t="shared" si="1"/>
        <v>2038.0</v>
      </c>
      <c r="BF22" s="593">
        <f t="shared" si="1"/>
        <v>2039.0</v>
      </c>
      <c r="BG22" s="593">
        <f t="shared" si="1"/>
        <v>2040.0</v>
      </c>
      <c r="BH22" s="593">
        <f t="shared" si="1"/>
        <v>2041.0</v>
      </c>
      <c r="BI22" s="593">
        <f t="shared" si="1"/>
        <v>2042.0</v>
      </c>
      <c r="BJ22" s="593">
        <f t="shared" si="1"/>
        <v>2043.0</v>
      </c>
      <c r="BK22" s="593">
        <f t="shared" si="1"/>
        <v>2044.0</v>
      </c>
      <c r="BL22" s="593">
        <f t="shared" si="1"/>
        <v>2045.0</v>
      </c>
      <c r="BM22" s="593">
        <f t="shared" si="1"/>
        <v>2046.0</v>
      </c>
      <c r="BN22" s="593">
        <f t="shared" si="1"/>
        <v>2047.0</v>
      </c>
      <c r="BO22" s="593">
        <f t="shared" si="1"/>
        <v>2048.0</v>
      </c>
      <c r="BP22" s="593">
        <f t="shared" si="1"/>
        <v>2049.0</v>
      </c>
      <c r="BQ22" s="593">
        <f t="shared" si="1"/>
        <v>2050.0</v>
      </c>
      <c r="BR22" s="593">
        <f t="shared" si="1"/>
        <v>2051.0</v>
      </c>
      <c r="BS22" s="593">
        <f t="shared" si="1"/>
        <v>2052.0</v>
      </c>
      <c r="BT22" s="593">
        <f t="shared" si="1"/>
        <v>2053.0</v>
      </c>
      <c r="BU22" s="593">
        <f t="shared" si="1"/>
        <v>2054.0</v>
      </c>
      <c r="BV22" s="593">
        <f t="shared" si="1"/>
        <v>2055.0</v>
      </c>
      <c r="BW22" s="593">
        <f t="shared" si="1"/>
        <v>2056.0</v>
      </c>
      <c r="BX22" s="593">
        <f t="shared" si="1"/>
        <v>2057.0</v>
      </c>
      <c r="BY22" s="593">
        <f t="shared" si="1"/>
        <v>2058.0</v>
      </c>
      <c r="BZ22" s="593">
        <f t="shared" si="1"/>
        <v>2059.0</v>
      </c>
      <c r="CA22" s="592"/>
    </row>
    <row r="23" spans="1:79" ht="15">
      <c r="A23" s="702"/>
      <c r="B23" s="494"/>
      <c r="C23" s="732" t="s">
        <v>345</v>
      </c>
      <c r="D23" s="733"/>
      <c r="E23" s="732" t="s">
        <v>317</v>
      </c>
      <c r="F23" s="734"/>
      <c r="G23" s="735">
        <v>6100</v>
      </c>
      <c r="H23" s="757">
        <f t="shared" ref="H23:H27" si="2">SUM(F23:G23)</f>
        <v>6100.0</v>
      </c>
      <c r="I23" s="735">
        <v>2650</v>
      </c>
      <c r="J23" s="736">
        <v>0.7</v>
      </c>
      <c r="K23" s="735"/>
      <c r="L23" s="757">
        <f>((H23*I23*IF($E23="Bef",1,$AD$12))+(K23*H23))</f>
        <v>16165000.0</v>
      </c>
      <c r="M23" s="732">
        <v>2026</v>
      </c>
      <c r="N23" s="737">
        <v>2045</v>
      </c>
      <c r="O23" s="735">
        <f>I23*IF($E23="Bef",1,$AD$12)</f>
        <v>2650.0</v>
      </c>
      <c r="P23" s="738"/>
      <c r="Q23" s="739">
        <v>2026</v>
      </c>
      <c r="R23" s="740">
        <v>2026</v>
      </c>
      <c r="S23" s="769">
        <f>IFERROR(G$69/$H23,0)</f>
        <v>39344.262295081964</v>
      </c>
      <c r="T23" s="760">
        <f>IF(U23="",S23,U23)</f>
        <v>39344.262295081964</v>
      </c>
      <c r="U23" s="746"/>
      <c r="V23" s="494"/>
      <c r="W23" s="314">
        <f>IFERROR((T23*$H23),0)</f>
        <v>239999999.99999997</v>
      </c>
      <c r="X23" s="315">
        <f>$W23/((1+$M$9)^MAX(0,$R23-$M$5))</f>
        <v>239999999.99999997</v>
      </c>
      <c r="Y23" s="314">
        <f>IFERROR((X23+(Z23*$H23)),0)</f>
        <v>239999999.99999997</v>
      </c>
      <c r="Z23" s="316">
        <f>IF(OR($E23="Bef",$E23=""),0,$P$10/($H$28-SUMIF($E$23:$E$27,"Bef",$H$23:$H$27)))</f>
        <v>0.0</v>
      </c>
      <c r="AA23" s="314">
        <f>$Z23*$H23</f>
        <v>0.0</v>
      </c>
      <c r="AB23" s="494"/>
      <c r="AC23" s="494"/>
      <c r="AD23" s="494"/>
      <c r="AE23" s="494"/>
      <c r="AF23" s="494"/>
      <c r="AG23" s="494"/>
      <c r="AH23" s="494"/>
      <c r="AI23" s="494"/>
      <c r="AJ23" s="494"/>
      <c r="AK23" s="494"/>
      <c r="AL23" s="494"/>
      <c r="AM23" s="494" t="b">
        <f>OR(N23="",N23&lt;$P$5+$P$17-1)</f>
        <v>0</v>
      </c>
      <c r="AN23" s="494"/>
      <c r="AO23" s="494"/>
      <c r="AP23" s="494"/>
      <c r="AQ23" s="494"/>
      <c r="AR23" s="598"/>
      <c r="AS23" s="598">
        <f t="shared" ref="AS23:BB27" si="3">IF(AS$22=$R23,$S23*$H23,0)</f>
        <v>239999999.99999997</v>
      </c>
      <c r="AT23" s="598">
        <f t="shared" si="3"/>
        <v>0.0</v>
      </c>
      <c r="AU23" s="598">
        <f t="shared" si="3"/>
        <v>0.0</v>
      </c>
      <c r="AV23" s="598">
        <f t="shared" si="3"/>
        <v>0.0</v>
      </c>
      <c r="AW23" s="598">
        <f t="shared" si="3"/>
        <v>0.0</v>
      </c>
      <c r="AX23" s="598">
        <f t="shared" si="3"/>
        <v>0.0</v>
      </c>
      <c r="AY23" s="598">
        <f t="shared" si="3"/>
        <v>0.0</v>
      </c>
      <c r="AZ23" s="598">
        <f t="shared" si="3"/>
        <v>0.0</v>
      </c>
      <c r="BA23" s="598">
        <f t="shared" si="3"/>
        <v>0.0</v>
      </c>
      <c r="BB23" s="598">
        <f t="shared" si="3"/>
        <v>0.0</v>
      </c>
      <c r="BC23" s="598">
        <f t="shared" ref="BC23:BL27" si="4">IF(BC$22=$R23,$S23*$H23,0)</f>
        <v>0.0</v>
      </c>
      <c r="BD23" s="598">
        <f t="shared" si="4"/>
        <v>0.0</v>
      </c>
      <c r="BE23" s="598">
        <f t="shared" si="4"/>
        <v>0.0</v>
      </c>
      <c r="BF23" s="598">
        <f t="shared" si="4"/>
        <v>0.0</v>
      </c>
      <c r="BG23" s="598">
        <f t="shared" si="4"/>
        <v>0.0</v>
      </c>
      <c r="BH23" s="598">
        <f t="shared" si="4"/>
        <v>0.0</v>
      </c>
      <c r="BI23" s="598">
        <f t="shared" si="4"/>
        <v>0.0</v>
      </c>
      <c r="BJ23" s="598">
        <f t="shared" si="4"/>
        <v>0.0</v>
      </c>
      <c r="BK23" s="598">
        <f t="shared" si="4"/>
        <v>0.0</v>
      </c>
      <c r="BL23" s="598">
        <f t="shared" si="4"/>
        <v>0.0</v>
      </c>
      <c r="BM23" s="598">
        <f t="shared" ref="BM23:BZ27" si="5">IF(BM$22=$R23,$S23*$H23,0)</f>
        <v>0.0</v>
      </c>
      <c r="BN23" s="598">
        <f t="shared" si="5"/>
        <v>0.0</v>
      </c>
      <c r="BO23" s="598">
        <f t="shared" si="5"/>
        <v>0.0</v>
      </c>
      <c r="BP23" s="598">
        <f t="shared" si="5"/>
        <v>0.0</v>
      </c>
      <c r="BQ23" s="598">
        <f t="shared" si="5"/>
        <v>0.0</v>
      </c>
      <c r="BR23" s="598">
        <f t="shared" si="5"/>
        <v>0.0</v>
      </c>
      <c r="BS23" s="598">
        <f t="shared" si="5"/>
        <v>0.0</v>
      </c>
      <c r="BT23" s="598">
        <f t="shared" si="5"/>
        <v>0.0</v>
      </c>
      <c r="BU23" s="598">
        <f t="shared" si="5"/>
        <v>0.0</v>
      </c>
      <c r="BV23" s="598">
        <f t="shared" si="5"/>
        <v>0.0</v>
      </c>
      <c r="BW23" s="598">
        <f t="shared" si="5"/>
        <v>0.0</v>
      </c>
      <c r="BX23" s="598">
        <f t="shared" si="5"/>
        <v>0.0</v>
      </c>
      <c r="BY23" s="598">
        <f t="shared" si="5"/>
        <v>0.0</v>
      </c>
      <c r="BZ23" s="598">
        <f t="shared" si="5"/>
        <v>0.0</v>
      </c>
      <c r="CA23" s="598"/>
    </row>
    <row r="24" spans="1:79" ht="15">
      <c r="A24" s="702"/>
      <c r="B24" s="494"/>
      <c r="C24" s="732"/>
      <c r="D24" s="733"/>
      <c r="E24" s="732"/>
      <c r="F24" s="734"/>
      <c r="G24" s="735"/>
      <c r="H24" s="758">
        <f t="shared" si="2"/>
        <v>0.0</v>
      </c>
      <c r="I24" s="735"/>
      <c r="J24" s="736"/>
      <c r="K24" s="732"/>
      <c r="L24" s="758">
        <f>((H24*I24*IF($E24="Bef",1,$AD$12))+(K24*H24))</f>
        <v>0.0</v>
      </c>
      <c r="M24" s="732"/>
      <c r="N24" s="737"/>
      <c r="O24" s="735">
        <f>I24*IF($E24="Bef",1,$AD$12)</f>
        <v>0.0</v>
      </c>
      <c r="P24" s="741"/>
      <c r="Q24" s="742"/>
      <c r="R24" s="743"/>
      <c r="S24" s="770">
        <f>IFERROR(H$69/$H24,0)</f>
        <v>0.0</v>
      </c>
      <c r="T24" s="761">
        <f t="shared" ref="T24:T27" si="6">IF(U24="",S24,U24)</f>
        <v>0.0</v>
      </c>
      <c r="U24" s="746"/>
      <c r="V24" s="494"/>
      <c r="W24" s="314">
        <f t="shared" ref="W24:W27" si="7">IFERROR((T24*$H24),0)</f>
        <v>0.0</v>
      </c>
      <c r="X24" s="315">
        <f>$W24/((1+$M$9)^MAX(0,$R24-$M$5))</f>
        <v>0.0</v>
      </c>
      <c r="Y24" s="314">
        <f t="shared" ref="Y24:Y27" si="8">IFERROR((X24+(Z24*$H24)),0)</f>
        <v>0.0</v>
      </c>
      <c r="Z24" s="316">
        <f t="shared" ref="Z24:Z27" si="9">IF(OR($E24="Bef",$E24=""),0,$P$10/($H$28-SUMIF($E$23:$E$27,"Bef",$H$23:$H$27)))</f>
        <v>0.0</v>
      </c>
      <c r="AA24" s="314">
        <f t="shared" ref="AA24:AA27" si="10">$Z24*$H24</f>
        <v>0.0</v>
      </c>
      <c r="AB24" s="494"/>
      <c r="AC24" s="494"/>
      <c r="AD24" s="494"/>
      <c r="AE24" s="494"/>
      <c r="AF24" s="494"/>
      <c r="AG24" s="494"/>
      <c r="AH24" s="494"/>
      <c r="AI24" s="494"/>
      <c r="AJ24" s="494"/>
      <c r="AK24" s="494"/>
      <c r="AL24" s="494"/>
      <c r="AM24" s="494" t="b">
        <f>OR(N24="",N24&lt;$P$5+$P$17-1)</f>
        <v>1</v>
      </c>
      <c r="AN24" s="494"/>
      <c r="AO24" s="494"/>
      <c r="AP24" s="494"/>
      <c r="AQ24" s="494"/>
      <c r="AR24" s="494"/>
      <c r="AS24" s="598">
        <f t="shared" si="3"/>
        <v>0.0</v>
      </c>
      <c r="AT24" s="598">
        <f t="shared" si="3"/>
        <v>0.0</v>
      </c>
      <c r="AU24" s="598">
        <f t="shared" si="3"/>
        <v>0.0</v>
      </c>
      <c r="AV24" s="598">
        <f t="shared" si="3"/>
        <v>0.0</v>
      </c>
      <c r="AW24" s="598">
        <f t="shared" si="3"/>
        <v>0.0</v>
      </c>
      <c r="AX24" s="598">
        <f t="shared" si="3"/>
        <v>0.0</v>
      </c>
      <c r="AY24" s="598">
        <f t="shared" si="3"/>
        <v>0.0</v>
      </c>
      <c r="AZ24" s="598">
        <f t="shared" si="3"/>
        <v>0.0</v>
      </c>
      <c r="BA24" s="598">
        <f t="shared" si="3"/>
        <v>0.0</v>
      </c>
      <c r="BB24" s="598">
        <f t="shared" si="3"/>
        <v>0.0</v>
      </c>
      <c r="BC24" s="598">
        <f t="shared" si="4"/>
        <v>0.0</v>
      </c>
      <c r="BD24" s="598">
        <f t="shared" si="4"/>
        <v>0.0</v>
      </c>
      <c r="BE24" s="598">
        <f t="shared" si="4"/>
        <v>0.0</v>
      </c>
      <c r="BF24" s="598">
        <f t="shared" si="4"/>
        <v>0.0</v>
      </c>
      <c r="BG24" s="598">
        <f t="shared" si="4"/>
        <v>0.0</v>
      </c>
      <c r="BH24" s="598">
        <f t="shared" si="4"/>
        <v>0.0</v>
      </c>
      <c r="BI24" s="598">
        <f t="shared" si="4"/>
        <v>0.0</v>
      </c>
      <c r="BJ24" s="598">
        <f t="shared" si="4"/>
        <v>0.0</v>
      </c>
      <c r="BK24" s="598">
        <f t="shared" si="4"/>
        <v>0.0</v>
      </c>
      <c r="BL24" s="598">
        <f t="shared" si="4"/>
        <v>0.0</v>
      </c>
      <c r="BM24" s="598">
        <f t="shared" si="5"/>
        <v>0.0</v>
      </c>
      <c r="BN24" s="598">
        <f t="shared" si="5"/>
        <v>0.0</v>
      </c>
      <c r="BO24" s="598">
        <f t="shared" si="5"/>
        <v>0.0</v>
      </c>
      <c r="BP24" s="598">
        <f t="shared" si="5"/>
        <v>0.0</v>
      </c>
      <c r="BQ24" s="598">
        <f t="shared" si="5"/>
        <v>0.0</v>
      </c>
      <c r="BR24" s="598">
        <f t="shared" si="5"/>
        <v>0.0</v>
      </c>
      <c r="BS24" s="598">
        <f t="shared" si="5"/>
        <v>0.0</v>
      </c>
      <c r="BT24" s="598">
        <f t="shared" si="5"/>
        <v>0.0</v>
      </c>
      <c r="BU24" s="598">
        <f t="shared" si="5"/>
        <v>0.0</v>
      </c>
      <c r="BV24" s="598">
        <f t="shared" si="5"/>
        <v>0.0</v>
      </c>
      <c r="BW24" s="598">
        <f t="shared" si="5"/>
        <v>0.0</v>
      </c>
      <c r="BX24" s="598">
        <f t="shared" si="5"/>
        <v>0.0</v>
      </c>
      <c r="BY24" s="598">
        <f t="shared" si="5"/>
        <v>0.0</v>
      </c>
      <c r="BZ24" s="598">
        <f t="shared" si="5"/>
        <v>0.0</v>
      </c>
      <c r="CA24" s="494"/>
    </row>
    <row r="25" spans="1:79" ht="15">
      <c r="A25" s="702"/>
      <c r="B25" s="494"/>
      <c r="C25" s="732"/>
      <c r="D25" s="733"/>
      <c r="E25" s="732"/>
      <c r="F25" s="734"/>
      <c r="G25" s="735"/>
      <c r="H25" s="758">
        <f t="shared" si="2"/>
        <v>0.0</v>
      </c>
      <c r="I25" s="735"/>
      <c r="J25" s="736"/>
      <c r="K25" s="732"/>
      <c r="L25" s="758">
        <f>((H25*I25*IF($E25="Bef",1,$AD$12))+(K25*H25))</f>
        <v>0.0</v>
      </c>
      <c r="M25" s="732"/>
      <c r="N25" s="737"/>
      <c r="O25" s="735">
        <f>I25*IF($E25="Bef",1,$AD$12)</f>
        <v>0.0</v>
      </c>
      <c r="P25" s="741"/>
      <c r="Q25" s="742"/>
      <c r="R25" s="743"/>
      <c r="S25" s="770">
        <f>IFERROR(I$69/$H25,0)</f>
        <v>0.0</v>
      </c>
      <c r="T25" s="761">
        <f t="shared" si="6"/>
        <v>0.0</v>
      </c>
      <c r="U25" s="746"/>
      <c r="V25" s="494"/>
      <c r="W25" s="314">
        <f t="shared" si="7"/>
        <v>0.0</v>
      </c>
      <c r="X25" s="315">
        <f>$W25/((1+$M$9)^MAX(0,$R25-$M$5))</f>
        <v>0.0</v>
      </c>
      <c r="Y25" s="314">
        <f t="shared" si="8"/>
        <v>0.0</v>
      </c>
      <c r="Z25" s="316">
        <f t="shared" si="9"/>
        <v>0.0</v>
      </c>
      <c r="AA25" s="314">
        <f t="shared" si="10"/>
        <v>0.0</v>
      </c>
      <c r="AB25" s="494"/>
      <c r="AC25" s="494"/>
      <c r="AD25" s="494"/>
      <c r="AE25" s="494"/>
      <c r="AF25" s="494"/>
      <c r="AG25" s="494"/>
      <c r="AH25" s="494"/>
      <c r="AI25" s="494"/>
      <c r="AJ25" s="494"/>
      <c r="AK25" s="494"/>
      <c r="AL25" s="494"/>
      <c r="AM25" s="494" t="b">
        <f>OR(N25="",N25&lt;$P$5+$P$17-1)</f>
        <v>1</v>
      </c>
      <c r="AN25" s="494"/>
      <c r="AO25" s="494"/>
      <c r="AP25" s="494"/>
      <c r="AQ25" s="494"/>
      <c r="AR25" s="494"/>
      <c r="AS25" s="598">
        <f t="shared" si="3"/>
        <v>0.0</v>
      </c>
      <c r="AT25" s="598">
        <f t="shared" si="3"/>
        <v>0.0</v>
      </c>
      <c r="AU25" s="598">
        <f t="shared" si="3"/>
        <v>0.0</v>
      </c>
      <c r="AV25" s="598">
        <f t="shared" si="3"/>
        <v>0.0</v>
      </c>
      <c r="AW25" s="598">
        <f t="shared" si="3"/>
        <v>0.0</v>
      </c>
      <c r="AX25" s="598">
        <f t="shared" si="3"/>
        <v>0.0</v>
      </c>
      <c r="AY25" s="598">
        <f t="shared" si="3"/>
        <v>0.0</v>
      </c>
      <c r="AZ25" s="598">
        <f t="shared" si="3"/>
        <v>0.0</v>
      </c>
      <c r="BA25" s="598">
        <f t="shared" si="3"/>
        <v>0.0</v>
      </c>
      <c r="BB25" s="598">
        <f t="shared" si="3"/>
        <v>0.0</v>
      </c>
      <c r="BC25" s="598">
        <f t="shared" si="4"/>
        <v>0.0</v>
      </c>
      <c r="BD25" s="598">
        <f t="shared" si="4"/>
        <v>0.0</v>
      </c>
      <c r="BE25" s="598">
        <f t="shared" si="4"/>
        <v>0.0</v>
      </c>
      <c r="BF25" s="598">
        <f t="shared" si="4"/>
        <v>0.0</v>
      </c>
      <c r="BG25" s="598">
        <f t="shared" si="4"/>
        <v>0.0</v>
      </c>
      <c r="BH25" s="598">
        <f t="shared" si="4"/>
        <v>0.0</v>
      </c>
      <c r="BI25" s="598">
        <f t="shared" si="4"/>
        <v>0.0</v>
      </c>
      <c r="BJ25" s="598">
        <f t="shared" si="4"/>
        <v>0.0</v>
      </c>
      <c r="BK25" s="598">
        <f t="shared" si="4"/>
        <v>0.0</v>
      </c>
      <c r="BL25" s="598">
        <f t="shared" si="4"/>
        <v>0.0</v>
      </c>
      <c r="BM25" s="598">
        <f t="shared" si="5"/>
        <v>0.0</v>
      </c>
      <c r="BN25" s="598">
        <f t="shared" si="5"/>
        <v>0.0</v>
      </c>
      <c r="BO25" s="598">
        <f t="shared" si="5"/>
        <v>0.0</v>
      </c>
      <c r="BP25" s="598">
        <f t="shared" si="5"/>
        <v>0.0</v>
      </c>
      <c r="BQ25" s="598">
        <f t="shared" si="5"/>
        <v>0.0</v>
      </c>
      <c r="BR25" s="598">
        <f t="shared" si="5"/>
        <v>0.0</v>
      </c>
      <c r="BS25" s="598">
        <f t="shared" si="5"/>
        <v>0.0</v>
      </c>
      <c r="BT25" s="598">
        <f t="shared" si="5"/>
        <v>0.0</v>
      </c>
      <c r="BU25" s="598">
        <f t="shared" si="5"/>
        <v>0.0</v>
      </c>
      <c r="BV25" s="598">
        <f t="shared" si="5"/>
        <v>0.0</v>
      </c>
      <c r="BW25" s="598">
        <f t="shared" si="5"/>
        <v>0.0</v>
      </c>
      <c r="BX25" s="598">
        <f t="shared" si="5"/>
        <v>0.0</v>
      </c>
      <c r="BY25" s="598">
        <f t="shared" si="5"/>
        <v>0.0</v>
      </c>
      <c r="BZ25" s="598">
        <f t="shared" si="5"/>
        <v>0.0</v>
      </c>
      <c r="CA25" s="494"/>
    </row>
    <row r="26" spans="1:79" ht="15">
      <c r="A26" s="702"/>
      <c r="B26" s="494"/>
      <c r="C26" s="732"/>
      <c r="D26" s="733"/>
      <c r="E26" s="732"/>
      <c r="F26" s="734"/>
      <c r="G26" s="735"/>
      <c r="H26" s="758">
        <f t="shared" si="2"/>
        <v>0.0</v>
      </c>
      <c r="I26" s="735"/>
      <c r="J26" s="736"/>
      <c r="K26" s="732"/>
      <c r="L26" s="758">
        <f>((H26*I26*IF($E26="Bef",1,$AD$12))+(K26*H26))</f>
        <v>0.0</v>
      </c>
      <c r="M26" s="732"/>
      <c r="N26" s="737"/>
      <c r="O26" s="735">
        <f>I26*IF($E26="Bef",1,$AD$12)</f>
        <v>0.0</v>
      </c>
      <c r="P26" s="741"/>
      <c r="Q26" s="742"/>
      <c r="R26" s="743"/>
      <c r="S26" s="770">
        <f>IFERROR(J$69/$H26,0)</f>
        <v>0.0</v>
      </c>
      <c r="T26" s="761">
        <f t="shared" si="6"/>
        <v>0.0</v>
      </c>
      <c r="U26" s="746"/>
      <c r="V26" s="494"/>
      <c r="W26" s="314">
        <f t="shared" si="7"/>
        <v>0.0</v>
      </c>
      <c r="X26" s="315">
        <f>$W26/((1+$M$9)^MAX(0,$R26-$M$5))</f>
        <v>0.0</v>
      </c>
      <c r="Y26" s="314">
        <f t="shared" si="8"/>
        <v>0.0</v>
      </c>
      <c r="Z26" s="316">
        <f t="shared" si="9"/>
        <v>0.0</v>
      </c>
      <c r="AA26" s="314">
        <f t="shared" si="10"/>
        <v>0.0</v>
      </c>
      <c r="AB26" s="494"/>
      <c r="AC26" s="494"/>
      <c r="AD26" s="494"/>
      <c r="AE26" s="494"/>
      <c r="AF26" s="494"/>
      <c r="AG26" s="494"/>
      <c r="AH26" s="494"/>
      <c r="AI26" s="494"/>
      <c r="AJ26" s="494"/>
      <c r="AK26" s="494"/>
      <c r="AL26" s="494"/>
      <c r="AM26" s="494" t="b">
        <f>OR(N26="",N26&lt;$P$5+$P$17-1)</f>
        <v>1</v>
      </c>
      <c r="AN26" s="494"/>
      <c r="AO26" s="494"/>
      <c r="AP26" s="494"/>
      <c r="AQ26" s="494"/>
      <c r="AR26" s="494"/>
      <c r="AS26" s="598">
        <f t="shared" si="3"/>
        <v>0.0</v>
      </c>
      <c r="AT26" s="598">
        <f t="shared" si="3"/>
        <v>0.0</v>
      </c>
      <c r="AU26" s="598">
        <f t="shared" si="3"/>
        <v>0.0</v>
      </c>
      <c r="AV26" s="598">
        <f t="shared" si="3"/>
        <v>0.0</v>
      </c>
      <c r="AW26" s="598">
        <f t="shared" si="3"/>
        <v>0.0</v>
      </c>
      <c r="AX26" s="598">
        <f t="shared" si="3"/>
        <v>0.0</v>
      </c>
      <c r="AY26" s="598">
        <f t="shared" si="3"/>
        <v>0.0</v>
      </c>
      <c r="AZ26" s="598">
        <f t="shared" si="3"/>
        <v>0.0</v>
      </c>
      <c r="BA26" s="598">
        <f t="shared" si="3"/>
        <v>0.0</v>
      </c>
      <c r="BB26" s="598">
        <f t="shared" si="3"/>
        <v>0.0</v>
      </c>
      <c r="BC26" s="598">
        <f t="shared" si="4"/>
        <v>0.0</v>
      </c>
      <c r="BD26" s="598">
        <f t="shared" si="4"/>
        <v>0.0</v>
      </c>
      <c r="BE26" s="598">
        <f t="shared" si="4"/>
        <v>0.0</v>
      </c>
      <c r="BF26" s="598">
        <f t="shared" si="4"/>
        <v>0.0</v>
      </c>
      <c r="BG26" s="598">
        <f t="shared" si="4"/>
        <v>0.0</v>
      </c>
      <c r="BH26" s="598">
        <f t="shared" si="4"/>
        <v>0.0</v>
      </c>
      <c r="BI26" s="598">
        <f t="shared" si="4"/>
        <v>0.0</v>
      </c>
      <c r="BJ26" s="598">
        <f t="shared" si="4"/>
        <v>0.0</v>
      </c>
      <c r="BK26" s="598">
        <f t="shared" si="4"/>
        <v>0.0</v>
      </c>
      <c r="BL26" s="598">
        <f t="shared" si="4"/>
        <v>0.0</v>
      </c>
      <c r="BM26" s="598">
        <f t="shared" si="5"/>
        <v>0.0</v>
      </c>
      <c r="BN26" s="598">
        <f t="shared" si="5"/>
        <v>0.0</v>
      </c>
      <c r="BO26" s="598">
        <f t="shared" si="5"/>
        <v>0.0</v>
      </c>
      <c r="BP26" s="598">
        <f t="shared" si="5"/>
        <v>0.0</v>
      </c>
      <c r="BQ26" s="598">
        <f t="shared" si="5"/>
        <v>0.0</v>
      </c>
      <c r="BR26" s="598">
        <f t="shared" si="5"/>
        <v>0.0</v>
      </c>
      <c r="BS26" s="598">
        <f t="shared" si="5"/>
        <v>0.0</v>
      </c>
      <c r="BT26" s="598">
        <f t="shared" si="5"/>
        <v>0.0</v>
      </c>
      <c r="BU26" s="598">
        <f t="shared" si="5"/>
        <v>0.0</v>
      </c>
      <c r="BV26" s="598">
        <f t="shared" si="5"/>
        <v>0.0</v>
      </c>
      <c r="BW26" s="598">
        <f t="shared" si="5"/>
        <v>0.0</v>
      </c>
      <c r="BX26" s="598">
        <f t="shared" si="5"/>
        <v>0.0</v>
      </c>
      <c r="BY26" s="598">
        <f t="shared" si="5"/>
        <v>0.0</v>
      </c>
      <c r="BZ26" s="598">
        <f t="shared" si="5"/>
        <v>0.0</v>
      </c>
      <c r="CA26" s="494"/>
    </row>
    <row r="27" spans="1:79" ht="15">
      <c r="A27" s="702"/>
      <c r="B27" s="494"/>
      <c r="C27" s="732"/>
      <c r="D27" s="733"/>
      <c r="E27" s="732"/>
      <c r="F27" s="734"/>
      <c r="G27" s="735"/>
      <c r="H27" s="759">
        <f t="shared" si="2"/>
        <v>0.0</v>
      </c>
      <c r="I27" s="732"/>
      <c r="J27" s="736"/>
      <c r="K27" s="732"/>
      <c r="L27" s="759">
        <f>((H27*I27*IF($E27="Bef",1,$AD$12))+(K27*H27))</f>
        <v>0.0</v>
      </c>
      <c r="M27" s="732"/>
      <c r="N27" s="737"/>
      <c r="O27" s="735">
        <f>I27*IF($E27="Bef",1,$AD$12)</f>
        <v>0.0</v>
      </c>
      <c r="P27" s="741"/>
      <c r="Q27" s="744"/>
      <c r="R27" s="745"/>
      <c r="S27" s="771">
        <f>IFERROR(K$69/$H27,0)</f>
        <v>0.0</v>
      </c>
      <c r="T27" s="762">
        <f t="shared" si="6"/>
        <v>0.0</v>
      </c>
      <c r="U27" s="746"/>
      <c r="V27" s="494"/>
      <c r="W27" s="314">
        <f t="shared" si="7"/>
        <v>0.0</v>
      </c>
      <c r="X27" s="315">
        <f>$W27/((1+$M$9)^MAX(0,$R27-$M$5))</f>
        <v>0.0</v>
      </c>
      <c r="Y27" s="314">
        <f t="shared" si="8"/>
        <v>0.0</v>
      </c>
      <c r="Z27" s="316">
        <f t="shared" si="9"/>
        <v>0.0</v>
      </c>
      <c r="AA27" s="314">
        <f t="shared" si="10"/>
        <v>0.0</v>
      </c>
      <c r="AB27" s="494"/>
      <c r="AC27" s="494"/>
      <c r="AD27" s="494"/>
      <c r="AE27" s="494"/>
      <c r="AF27" s="494"/>
      <c r="AG27" s="494"/>
      <c r="AH27" s="494"/>
      <c r="AI27" s="494"/>
      <c r="AJ27" s="494"/>
      <c r="AK27" s="494"/>
      <c r="AL27" s="494"/>
      <c r="AM27" s="494" t="b">
        <f>OR(N27="",N27&lt;$P$5+$P$17-1)</f>
        <v>1</v>
      </c>
      <c r="AN27" s="494"/>
      <c r="AO27" s="494"/>
      <c r="AP27" s="494"/>
      <c r="AQ27" s="494"/>
      <c r="AR27" s="494"/>
      <c r="AS27" s="598">
        <f t="shared" si="3"/>
        <v>0.0</v>
      </c>
      <c r="AT27" s="598">
        <f t="shared" si="3"/>
        <v>0.0</v>
      </c>
      <c r="AU27" s="598">
        <f t="shared" si="3"/>
        <v>0.0</v>
      </c>
      <c r="AV27" s="598">
        <f t="shared" si="3"/>
        <v>0.0</v>
      </c>
      <c r="AW27" s="598">
        <f t="shared" si="3"/>
        <v>0.0</v>
      </c>
      <c r="AX27" s="598">
        <f t="shared" si="3"/>
        <v>0.0</v>
      </c>
      <c r="AY27" s="598">
        <f t="shared" si="3"/>
        <v>0.0</v>
      </c>
      <c r="AZ27" s="598">
        <f t="shared" si="3"/>
        <v>0.0</v>
      </c>
      <c r="BA27" s="598">
        <f t="shared" si="3"/>
        <v>0.0</v>
      </c>
      <c r="BB27" s="598">
        <f t="shared" si="3"/>
        <v>0.0</v>
      </c>
      <c r="BC27" s="598">
        <f t="shared" si="4"/>
        <v>0.0</v>
      </c>
      <c r="BD27" s="598">
        <f t="shared" si="4"/>
        <v>0.0</v>
      </c>
      <c r="BE27" s="598">
        <f t="shared" si="4"/>
        <v>0.0</v>
      </c>
      <c r="BF27" s="598">
        <f t="shared" si="4"/>
        <v>0.0</v>
      </c>
      <c r="BG27" s="598">
        <f t="shared" si="4"/>
        <v>0.0</v>
      </c>
      <c r="BH27" s="598">
        <f t="shared" si="4"/>
        <v>0.0</v>
      </c>
      <c r="BI27" s="598">
        <f t="shared" si="4"/>
        <v>0.0</v>
      </c>
      <c r="BJ27" s="598">
        <f t="shared" si="4"/>
        <v>0.0</v>
      </c>
      <c r="BK27" s="598">
        <f t="shared" si="4"/>
        <v>0.0</v>
      </c>
      <c r="BL27" s="598">
        <f t="shared" si="4"/>
        <v>0.0</v>
      </c>
      <c r="BM27" s="598">
        <f t="shared" si="5"/>
        <v>0.0</v>
      </c>
      <c r="BN27" s="598">
        <f t="shared" si="5"/>
        <v>0.0</v>
      </c>
      <c r="BO27" s="598">
        <f t="shared" si="5"/>
        <v>0.0</v>
      </c>
      <c r="BP27" s="598">
        <f t="shared" si="5"/>
        <v>0.0</v>
      </c>
      <c r="BQ27" s="598">
        <f t="shared" si="5"/>
        <v>0.0</v>
      </c>
      <c r="BR27" s="598">
        <f t="shared" si="5"/>
        <v>0.0</v>
      </c>
      <c r="BS27" s="598">
        <f t="shared" si="5"/>
        <v>0.0</v>
      </c>
      <c r="BT27" s="598">
        <f t="shared" si="5"/>
        <v>0.0</v>
      </c>
      <c r="BU27" s="598">
        <f t="shared" si="5"/>
        <v>0.0</v>
      </c>
      <c r="BV27" s="598">
        <f t="shared" si="5"/>
        <v>0.0</v>
      </c>
      <c r="BW27" s="598">
        <f t="shared" si="5"/>
        <v>0.0</v>
      </c>
      <c r="BX27" s="598">
        <f t="shared" si="5"/>
        <v>0.0</v>
      </c>
      <c r="BY27" s="598">
        <f t="shared" si="5"/>
        <v>0.0</v>
      </c>
      <c r="BZ27" s="598">
        <f t="shared" si="5"/>
        <v>0.0</v>
      </c>
      <c r="CA27" s="494"/>
    </row>
    <row r="28" spans="1:79" ht="15">
      <c r="A28" s="702"/>
      <c r="B28" s="494"/>
      <c r="C28" s="277" t="s">
        <v>158</v>
      </c>
      <c r="D28" s="278">
        <f>SUM($D$23:$D$27)</f>
        <v>0.0</v>
      </c>
      <c r="E28" s="279"/>
      <c r="F28" s="877">
        <f>SUM(F23:F27)</f>
        <v>0.0</v>
      </c>
      <c r="G28" s="280">
        <f>SUM(G23:G27)</f>
        <v>6100.0</v>
      </c>
      <c r="H28" s="281">
        <f>F28+G28</f>
        <v>6100.0</v>
      </c>
      <c r="I28" s="282"/>
      <c r="J28" s="279"/>
      <c r="K28" s="279"/>
      <c r="L28" s="874">
        <f>SUM(L23:L27)</f>
        <v>16165000.0</v>
      </c>
      <c r="M28" s="277"/>
      <c r="N28" s="283"/>
      <c r="O28" s="875">
        <f>(O23*H23+O24*H24+O25*H25+O26*H26+O27*H27)</f>
        <v>16165000.0</v>
      </c>
      <c r="P28" s="285">
        <f>IFERROR(SUMPRODUCT(P23:P27,L23:L27)/L28,"")</f>
        <v>0.0</v>
      </c>
      <c r="Q28" s="286"/>
      <c r="R28" s="287"/>
      <c r="S28" s="288">
        <f>IF(H28=0,"",S29*H28)</f>
        <v>239999999.99999997</v>
      </c>
      <c r="T28" s="876">
        <f>IF(H28=0,"",T29*H28)</f>
        <v>239999999.99999997</v>
      </c>
      <c r="U28" s="289" t="str">
        <f>IF(H29=0,"",U29*H28)</f>
        <v/>
      </c>
      <c r="V28" s="494"/>
      <c r="W28" s="284">
        <f>SUM(W23:W27)</f>
        <v>239999999.99999997</v>
      </c>
      <c r="X28" s="305">
        <f>SUM(X23:X27)</f>
        <v>239999999.99999997</v>
      </c>
      <c r="Y28" s="284">
        <f>SUM(Y23:Y27)</f>
        <v>239999999.99999997</v>
      </c>
      <c r="Z28" s="305" t="str">
        <f>IF(H29=0,"",Z29*H28)</f>
        <v/>
      </c>
      <c r="AA28" s="284">
        <f>SUM(AA23:AA27)</f>
        <v>0.0</v>
      </c>
      <c r="AB28" s="494"/>
      <c r="AC28" s="494"/>
      <c r="AD28" s="494"/>
      <c r="AE28" s="494"/>
      <c r="AF28" s="494"/>
      <c r="AG28" s="494"/>
      <c r="AH28" s="494"/>
      <c r="AI28" s="494"/>
      <c r="AJ28" s="494"/>
      <c r="AK28" s="494"/>
      <c r="AL28" s="494"/>
      <c r="AM28" s="494"/>
      <c r="AN28" s="494"/>
      <c r="AO28" s="494"/>
      <c r="AP28" s="494"/>
      <c r="AQ28" s="494"/>
      <c r="AR28" s="494"/>
      <c r="AS28" s="217">
        <f>SUM(AS23:AS27)</f>
        <v>239999999.99999997</v>
      </c>
      <c r="AT28" s="217">
        <f t="shared" ref="AT28:BM28" si="11">SUM(AT23:AT27)</f>
        <v>0.0</v>
      </c>
      <c r="AU28" s="217">
        <f t="shared" si="11"/>
        <v>0.0</v>
      </c>
      <c r="AV28" s="217">
        <f t="shared" si="11"/>
        <v>0.0</v>
      </c>
      <c r="AW28" s="217">
        <f t="shared" si="11"/>
        <v>0.0</v>
      </c>
      <c r="AX28" s="217">
        <f t="shared" si="11"/>
        <v>0.0</v>
      </c>
      <c r="AY28" s="217">
        <f t="shared" si="11"/>
        <v>0.0</v>
      </c>
      <c r="AZ28" s="217">
        <f t="shared" si="11"/>
        <v>0.0</v>
      </c>
      <c r="BA28" s="217">
        <f t="shared" si="11"/>
        <v>0.0</v>
      </c>
      <c r="BB28" s="217">
        <f t="shared" si="11"/>
        <v>0.0</v>
      </c>
      <c r="BC28" s="217">
        <f t="shared" si="11"/>
        <v>0.0</v>
      </c>
      <c r="BD28" s="217">
        <f t="shared" si="11"/>
        <v>0.0</v>
      </c>
      <c r="BE28" s="217">
        <f t="shared" si="11"/>
        <v>0.0</v>
      </c>
      <c r="BF28" s="217">
        <f t="shared" si="11"/>
        <v>0.0</v>
      </c>
      <c r="BG28" s="217">
        <f t="shared" si="11"/>
        <v>0.0</v>
      </c>
      <c r="BH28" s="217">
        <f t="shared" si="11"/>
        <v>0.0</v>
      </c>
      <c r="BI28" s="217">
        <f t="shared" si="11"/>
        <v>0.0</v>
      </c>
      <c r="BJ28" s="217">
        <f t="shared" si="11"/>
        <v>0.0</v>
      </c>
      <c r="BK28" s="217">
        <f t="shared" si="11"/>
        <v>0.0</v>
      </c>
      <c r="BL28" s="217">
        <f t="shared" si="11"/>
        <v>0.0</v>
      </c>
      <c r="BM28" s="217">
        <f t="shared" si="11"/>
        <v>0.0</v>
      </c>
      <c r="BN28" s="217">
        <f t="shared" ref="BN28" si="12">SUM(BN23:BN27)</f>
        <v>0.0</v>
      </c>
      <c r="BO28" s="217">
        <f t="shared" ref="BO28" si="13">SUM(BO23:BO27)</f>
        <v>0.0</v>
      </c>
      <c r="BP28" s="217">
        <f t="shared" ref="BP28" si="14">SUM(BP23:BP27)</f>
        <v>0.0</v>
      </c>
      <c r="BQ28" s="217">
        <f t="shared" ref="BQ28" si="15">SUM(BQ23:BQ27)</f>
        <v>0.0</v>
      </c>
      <c r="BR28" s="217">
        <f t="shared" ref="BR28" si="16">SUM(BR23:BR27)</f>
        <v>0.0</v>
      </c>
      <c r="BS28" s="217">
        <f t="shared" ref="BS28" si="17">SUM(BS23:BS27)</f>
        <v>0.0</v>
      </c>
      <c r="BT28" s="217">
        <f t="shared" ref="BT28" si="18">SUM(BT23:BT27)</f>
        <v>0.0</v>
      </c>
      <c r="BU28" s="217">
        <f t="shared" ref="BU28" si="19">SUM(BU23:BU27)</f>
        <v>0.0</v>
      </c>
      <c r="BV28" s="217">
        <f t="shared" ref="BV28" si="20">SUM(BV23:BV27)</f>
        <v>0.0</v>
      </c>
      <c r="BW28" s="217">
        <f t="shared" ref="BW28" si="21">SUM(BW23:BW27)</f>
        <v>0.0</v>
      </c>
      <c r="BX28" s="217">
        <f t="shared" ref="BX28" si="22">SUM(BX23:BX27)</f>
        <v>0.0</v>
      </c>
      <c r="BY28" s="217">
        <f t="shared" ref="BY28" si="23">SUM(BY23:BY27)</f>
        <v>0.0</v>
      </c>
      <c r="BZ28" s="217">
        <f t="shared" ref="BZ28" si="24">SUM(BZ23:BZ27)</f>
        <v>0.0</v>
      </c>
      <c r="CA28" s="494"/>
    </row>
    <row r="29" spans="1:79" ht="15">
      <c r="A29" s="702"/>
      <c r="B29" s="494"/>
      <c r="C29" s="878" t="inlineStr">
        <is>
          <t>Per kvm, viktat</t>
        </is>
      </c>
      <c r="D29" s="291"/>
      <c r="E29" s="292"/>
      <c r="F29" s="290"/>
      <c r="G29" s="293"/>
      <c r="H29" s="294"/>
      <c r="I29" s="295"/>
      <c r="J29" s="292"/>
      <c r="K29" s="292"/>
      <c r="L29" s="296">
        <f>IF(L28=0,"",L28/H28)</f>
        <v>2650.0</v>
      </c>
      <c r="M29" s="290"/>
      <c r="N29" s="297"/>
      <c r="O29" s="296">
        <f>IF(O28=0,"",O28/H28)</f>
        <v>2650.0</v>
      </c>
      <c r="P29" s="298"/>
      <c r="Q29" s="299"/>
      <c r="R29" s="300"/>
      <c r="S29" s="301">
        <f>IF(H28=0,"",SUMPRODUCT($S$23:$S$27,$H$23:$H$27)/$H$28)</f>
        <v>39344.262295081964</v>
      </c>
      <c r="T29" s="301">
        <f>IF(H28=0,"",SUMPRODUCT($T$23:$T$27,$H$23:$H$27)/$H$28)</f>
        <v>39344.262295081964</v>
      </c>
      <c r="U29" s="302" t="str">
        <f>IF(H29=0,"",SUMPRODUCT($U$23:$U$27,$H$23:$H$27)/$H$28)</f>
        <v/>
      </c>
      <c r="V29" s="494"/>
      <c r="W29" s="306"/>
      <c r="X29" s="307"/>
      <c r="Y29" s="306"/>
      <c r="Z29" s="308" t="str">
        <f>IF(H29=0,"",SUMPRODUCT($Z$23:$Z$27,$H$23:$H$27)/$H$28)</f>
        <v/>
      </c>
      <c r="AA29" s="306"/>
      <c r="AB29" s="494"/>
      <c r="AC29" s="494"/>
      <c r="AD29" s="494"/>
      <c r="AE29" s="494"/>
      <c r="AF29" s="494"/>
      <c r="AG29" s="494"/>
      <c r="AH29" s="494"/>
      <c r="AI29" s="494"/>
      <c r="AJ29" s="494"/>
      <c r="AK29" s="494"/>
      <c r="AL29" s="494"/>
      <c r="AM29" s="494"/>
      <c r="AN29" s="494"/>
      <c r="AO29" s="494"/>
      <c r="AP29" s="494"/>
      <c r="AQ29" s="494"/>
      <c r="AR29" s="494"/>
      <c r="AS29" s="494"/>
      <c r="AT29" s="494"/>
      <c r="AU29" s="494"/>
      <c r="AV29" s="494"/>
      <c r="AW29" s="494"/>
      <c r="AX29" s="494"/>
      <c r="AY29" s="494"/>
      <c r="AZ29" s="494"/>
      <c r="BA29" s="494"/>
      <c r="BB29" s="494"/>
      <c r="BC29" s="494"/>
      <c r="BD29" s="494"/>
      <c r="BE29" s="494"/>
      <c r="BF29" s="494"/>
      <c r="BG29" s="494"/>
      <c r="BH29" s="494"/>
      <c r="BI29" s="494"/>
      <c r="BJ29" s="494"/>
      <c r="BK29" s="494"/>
      <c r="BL29" s="494"/>
      <c r="BM29" s="494"/>
      <c r="BN29" s="494"/>
      <c r="BO29" s="494"/>
      <c r="BP29" s="494"/>
      <c r="BQ29" s="494"/>
      <c r="BR29" s="494"/>
      <c r="BS29" s="494"/>
      <c r="BT29" s="494"/>
      <c r="BU29" s="494"/>
      <c r="BV29" s="494"/>
      <c r="BW29" s="494"/>
      <c r="BX29" s="494"/>
      <c r="BY29" s="494"/>
      <c r="BZ29" s="494"/>
      <c r="CA29" s="494"/>
    </row>
    <row r="30" spans="1:79">
      <c r="A30" s="494"/>
      <c r="B30" s="494"/>
      <c r="C30" s="494"/>
      <c r="D30" s="494"/>
      <c r="E30" s="494"/>
      <c r="F30" s="494"/>
      <c r="G30" s="494"/>
      <c r="H30" s="494"/>
      <c r="I30" s="494"/>
      <c r="J30" s="494"/>
      <c r="K30" s="494"/>
      <c r="L30" s="494"/>
      <c r="M30" s="494"/>
      <c r="N30" s="494"/>
      <c r="O30" s="494"/>
      <c r="P30" s="494"/>
      <c r="Q30" s="494"/>
      <c r="R30" s="494"/>
      <c r="S30" s="494"/>
      <c r="T30" s="494"/>
      <c r="U30" s="494"/>
      <c r="V30" s="494"/>
      <c r="W30" s="598"/>
      <c r="X30" s="598"/>
      <c r="Y30" s="598"/>
      <c r="Z30" s="598"/>
      <c r="AA30" s="598"/>
      <c r="AB30" s="494"/>
      <c r="AC30" s="494"/>
      <c r="AD30" s="494"/>
      <c r="AE30" s="494"/>
      <c r="AF30" s="494"/>
      <c r="AG30" s="494"/>
      <c r="AH30" s="494"/>
      <c r="AI30" s="494"/>
      <c r="AJ30" s="494"/>
      <c r="AK30" s="494"/>
      <c r="AL30" s="494"/>
      <c r="AM30" s="494"/>
      <c r="AN30" s="494"/>
      <c r="AO30" s="494"/>
      <c r="AP30" s="494"/>
      <c r="AQ30" s="494"/>
      <c r="AR30" s="494"/>
      <c r="AS30" s="494"/>
      <c r="AT30" s="494"/>
      <c r="AU30" s="494"/>
      <c r="AV30" s="494"/>
      <c r="AW30" s="494"/>
      <c r="AX30" s="494"/>
      <c r="AY30" s="494"/>
      <c r="AZ30" s="494"/>
      <c r="BA30" s="494"/>
      <c r="BB30" s="494"/>
      <c r="BC30" s="494"/>
      <c r="BD30" s="494"/>
      <c r="BE30" s="494"/>
      <c r="BF30" s="494"/>
      <c r="BG30" s="494"/>
      <c r="BH30" s="494"/>
      <c r="BI30" s="494"/>
      <c r="BJ30" s="494"/>
      <c r="BK30" s="494"/>
      <c r="BL30" s="494"/>
      <c r="BM30" s="494"/>
      <c r="BN30" s="494"/>
      <c r="BO30" s="494"/>
      <c r="BP30" s="494"/>
      <c r="BQ30" s="494"/>
      <c r="BR30" s="494"/>
      <c r="BS30" s="494"/>
      <c r="BT30" s="494"/>
      <c r="BU30" s="494"/>
      <c r="BV30" s="494"/>
      <c r="BW30" s="494"/>
      <c r="BX30" s="494"/>
      <c r="BY30" s="494"/>
      <c r="BZ30" s="494"/>
      <c r="CA30" s="494"/>
    </row>
    <row r="31" spans="1:79" ht="23.25">
      <c r="A31" s="494"/>
      <c r="B31" s="494"/>
      <c r="C31" s="185" t="s">
        <v>185</v>
      </c>
      <c r="D31" s="185"/>
      <c r="E31" s="185"/>
      <c r="F31" s="494"/>
      <c r="G31" s="494"/>
      <c r="H31" s="494"/>
      <c r="I31" s="494"/>
      <c r="J31" s="494"/>
      <c r="K31" s="494"/>
      <c r="L31" s="598"/>
      <c r="M31" s="598"/>
      <c r="N31" s="494"/>
      <c r="O31" s="494"/>
      <c r="P31" s="598"/>
      <c r="Q31" s="494"/>
      <c r="R31" s="494"/>
      <c r="S31" s="494"/>
      <c r="T31" s="494"/>
      <c r="U31" s="494"/>
      <c r="V31" s="494"/>
      <c r="W31" s="494"/>
      <c r="X31" s="598"/>
      <c r="Y31" s="598"/>
      <c r="Z31" s="598"/>
      <c r="AA31" s="598"/>
      <c r="AB31" s="598"/>
      <c r="AC31" s="494"/>
      <c r="AD31" s="494"/>
      <c r="AE31" s="494"/>
      <c r="AF31" s="494"/>
      <c r="AG31" s="494"/>
      <c r="AH31" s="494"/>
      <c r="AI31" s="494"/>
      <c r="AJ31" s="494"/>
      <c r="AK31" s="494"/>
      <c r="AL31" s="494"/>
      <c r="AM31" s="494"/>
      <c r="AN31" s="494"/>
      <c r="AO31" s="494"/>
      <c r="AP31" s="494"/>
      <c r="AQ31" s="494"/>
      <c r="AR31" s="494"/>
      <c r="AS31" s="494"/>
      <c r="AT31" s="494"/>
      <c r="AU31" s="494"/>
      <c r="AV31" s="494"/>
      <c r="AW31" s="494"/>
      <c r="AX31" s="494"/>
      <c r="AY31" s="494"/>
      <c r="AZ31" s="494"/>
      <c r="BA31" s="494"/>
      <c r="BB31" s="494"/>
      <c r="BC31" s="494"/>
      <c r="BD31" s="494"/>
      <c r="BE31" s="494"/>
      <c r="BF31" s="494"/>
      <c r="BG31" s="494"/>
      <c r="BH31" s="494"/>
      <c r="BI31" s="494"/>
      <c r="BJ31" s="494"/>
      <c r="BK31" s="494"/>
      <c r="BL31" s="494"/>
      <c r="BM31" s="494"/>
      <c r="BN31" s="494"/>
      <c r="BO31" s="494"/>
      <c r="BP31" s="494"/>
      <c r="BQ31" s="494"/>
      <c r="BR31" s="494"/>
      <c r="BS31" s="494"/>
      <c r="BT31" s="494"/>
      <c r="BU31" s="494"/>
      <c r="BV31" s="494"/>
      <c r="BW31" s="494"/>
      <c r="BX31" s="494"/>
      <c r="BY31" s="494"/>
      <c r="BZ31" s="494"/>
      <c r="CA31" s="494"/>
    </row>
    <row r="32">
      <c r="C32" s="720" t="inlineStr">
        <is>
          <t>Kr/kvm och år i kalkylstartens penningvärde. Befintligt gäller objekt av typ Bef/Omb/Ins/Mar, Nybyggnad/Tillbyggnad gäller typ Nyb. Kostnadshöjning = stegvis höjning utöver inflation.</t>
        </is>
      </c>
    </row>
    <row r="33" spans="1:25" ht="30" customHeight="1">
      <c r="A33" s="702">
        <v>3</v>
      </c>
      <c r="B33" s="494"/>
      <c r="C33" s="382" t="inlineStr">
        <is>
          <t>Drift och underhåll, kr/kvm och år</t>
        </is>
      </c>
      <c r="D33" s="382"/>
      <c r="E33" s="382"/>
      <c r="F33" s="382"/>
      <c r="G33" s="383" t="s">
        <v>170</v>
      </c>
      <c r="H33" s="384" t="s">
        <v>171</v>
      </c>
      <c r="I33" s="385" t="s">
        <v>187</v>
      </c>
      <c r="J33" s="494"/>
      <c r="K33" s="862" t="inlineStr">
        <is>
          <t>Kostnadshöjning utöver inflation</t>
        </is>
      </c>
      <c r="L33" s="863">
        <v>10</v>
      </c>
      <c r="M33" s="864">
        <v>15</v>
      </c>
      <c r="N33" s="387" t="s">
        <v>189</v>
      </c>
      <c r="O33" s="494"/>
      <c r="P33" s="388" t="s">
        <v>190</v>
      </c>
      <c r="Q33" s="389" t="s">
        <v>191</v>
      </c>
      <c r="R33" s="384" t="s">
        <v>192</v>
      </c>
      <c r="S33" s="384" t="str">
        <f>CONCATENATE("Kostnad kr/kvm ",$P$5)</f>
        <v>Kostnad kr/kvm 2026</v>
      </c>
      <c r="T33" s="384" t="s">
        <v>193</v>
      </c>
      <c r="U33" s="385" t="s">
        <v>144</v>
      </c>
      <c r="V33" s="494"/>
      <c r="W33" s="360" t="s">
        <v>194</v>
      </c>
      <c r="X33" s="390" t="s">
        <v>195</v>
      </c>
      <c r="Y33" s="390" t="str">
        <f>CONCATENATE("jmf budget kolumn ",$P$5)</f>
        <v>jmf budget kolumn 2026</v>
      </c>
    </row>
    <row r="34" spans="1:25" ht="15">
      <c r="A34" s="702"/>
      <c r="B34" s="494"/>
      <c r="C34" s="601" t="s">
        <v>196</v>
      </c>
      <c r="D34" s="601"/>
      <c r="E34" s="601"/>
      <c r="F34" s="601"/>
      <c r="G34" s="858">
        <v>0</v>
      </c>
      <c r="H34" s="858">
        <v>0</v>
      </c>
      <c r="I34" s="763">
        <f t="shared" ref="I34:I39" si="25">IFERROR(SUMPRODUCT(G34:H34,$F$28:$G$28)/$H$28,0)</f>
        <v>0.0</v>
      </c>
      <c r="J34" s="494"/>
      <c r="K34" s="602" t="inlineStr">
        <is>
          <t>Fastighetsskötsel</t>
        </is>
      </c>
      <c r="L34" s="753">
        <v>0</v>
      </c>
      <c r="M34" s="754">
        <v>0</v>
      </c>
      <c r="N34" s="318">
        <f>L34+M34</f>
        <v>0.0</v>
      </c>
      <c r="O34" s="494"/>
      <c r="P34" s="843"/>
      <c r="Q34" s="844"/>
      <c r="R34" s="845"/>
      <c r="S34" s="846"/>
      <c r="T34" s="854">
        <f>IF(U34&lt;&gt;0,U34*((1+$M$9)^($R34-$P$5)),S34*((1+$M$9)^($R34-$P$5)))</f>
        <v>0.0</v>
      </c>
      <c r="U34" s="851"/>
      <c r="V34" s="494"/>
      <c r="W34" s="266">
        <f t="shared" ref="W34:W38" si="26">IFERROR(SUMIF($C$23:$C$27,$Q34,$H$23:$H$27)*$T34,"")</f>
        <v>0.0</v>
      </c>
      <c r="X34" s="266">
        <f t="shared" ref="X34:X38" si="27">IF($U34=0,$S34*SUMIF($C$23:$C$27,$Q34,$H$23:$H$27),$U34*SUMIF($C$23:$C$27,$Q34,$H$23:$H$27))</f>
        <v>0.0</v>
      </c>
      <c r="Y34" s="266">
        <f t="shared" ref="Y34:Y38" si="28">IFERROR(SUMIF($C$23:$C$27,$Q34,$H$23:$H$27)*$S34,"")</f>
        <v>0.0</v>
      </c>
    </row>
    <row r="35" spans="1:25" ht="15">
      <c r="A35" s="702"/>
      <c r="B35" s="494"/>
      <c r="C35" s="575" t="s">
        <v>197</v>
      </c>
      <c r="D35" s="575"/>
      <c r="E35" s="575"/>
      <c r="F35" s="575"/>
      <c r="G35" s="859">
        <v>0</v>
      </c>
      <c r="H35" s="859">
        <v>0</v>
      </c>
      <c r="I35" s="764">
        <f t="shared" si="25"/>
        <v>0.0</v>
      </c>
      <c r="J35" s="494"/>
      <c r="K35" s="602" t="inlineStr">
        <is>
          <t>Reparationer</t>
        </is>
      </c>
      <c r="L35" s="753">
        <v>0</v>
      </c>
      <c r="M35" s="754">
        <v>0</v>
      </c>
      <c r="N35" s="318">
        <f>L35+M35</f>
        <v>0.0</v>
      </c>
      <c r="O35" s="494"/>
      <c r="P35" s="847"/>
      <c r="Q35" s="846"/>
      <c r="R35" s="845"/>
      <c r="S35" s="846"/>
      <c r="T35" s="854">
        <f t="shared" ref="T35:T39" si="30">IF(U35&lt;&gt;0,U35,S35*(1+$M$9)^($R35-$P$5))</f>
        <v>0.0</v>
      </c>
      <c r="U35" s="851"/>
      <c r="V35" s="494"/>
      <c r="W35" s="266">
        <f t="shared" si="26"/>
        <v>0.0</v>
      </c>
      <c r="X35" s="266">
        <f t="shared" si="27"/>
        <v>0.0</v>
      </c>
      <c r="Y35" s="266">
        <f t="shared" si="28"/>
        <v>0.0</v>
      </c>
    </row>
    <row r="36" spans="1:25" ht="15">
      <c r="A36" s="702"/>
      <c r="B36" s="494"/>
      <c r="C36" s="575" t="s">
        <v>198</v>
      </c>
      <c r="D36" s="575"/>
      <c r="E36" s="575"/>
      <c r="F36" s="575"/>
      <c r="G36" s="859">
        <v>0</v>
      </c>
      <c r="H36" s="859">
        <v>0</v>
      </c>
      <c r="I36" s="764">
        <f t="shared" si="25"/>
        <v>0.0</v>
      </c>
      <c r="J36" s="494"/>
      <c r="K36" s="602" t="inlineStr">
        <is>
          <t>Planerat underhåll</t>
        </is>
      </c>
      <c r="L36" s="753">
        <v>0</v>
      </c>
      <c r="M36" s="754">
        <v>0</v>
      </c>
      <c r="N36" s="318">
        <f>L36+M36</f>
        <v>0.0</v>
      </c>
      <c r="O36" s="494"/>
      <c r="P36" s="847"/>
      <c r="Q36" s="846"/>
      <c r="R36" s="845"/>
      <c r="S36" s="846"/>
      <c r="T36" s="854">
        <f t="shared" si="30"/>
        <v>0.0</v>
      </c>
      <c r="U36" s="852"/>
      <c r="V36" s="494"/>
      <c r="W36" s="266">
        <f t="shared" si="26"/>
        <v>0.0</v>
      </c>
      <c r="X36" s="266">
        <f t="shared" si="27"/>
        <v>0.0</v>
      </c>
      <c r="Y36" s="266">
        <f t="shared" si="28"/>
        <v>0.0</v>
      </c>
    </row>
    <row r="37" spans="1:25" ht="15">
      <c r="A37" s="702"/>
      <c r="B37" s="494"/>
      <c r="C37" s="575" t="s">
        <v>199</v>
      </c>
      <c r="D37" s="575"/>
      <c r="E37" s="575"/>
      <c r="F37" s="575"/>
      <c r="G37" s="859">
        <v>0</v>
      </c>
      <c r="H37" s="859">
        <v>0</v>
      </c>
      <c r="I37" s="764">
        <f t="shared" si="25"/>
        <v>0.0</v>
      </c>
      <c r="J37" s="494"/>
      <c r="K37" s="602" t="inlineStr">
        <is>
          <t>Media</t>
        </is>
      </c>
      <c r="L37" s="753">
        <v>0</v>
      </c>
      <c r="M37" s="754">
        <v>0</v>
      </c>
      <c r="N37" s="318">
        <f>L37+M37</f>
        <v>0.0</v>
      </c>
      <c r="O37" s="494"/>
      <c r="P37" s="847"/>
      <c r="Q37" s="846"/>
      <c r="R37" s="845"/>
      <c r="S37" s="846"/>
      <c r="T37" s="854">
        <f t="shared" si="30"/>
        <v>0.0</v>
      </c>
      <c r="U37" s="852"/>
      <c r="V37" s="494"/>
      <c r="W37" s="266">
        <f t="shared" si="26"/>
        <v>0.0</v>
      </c>
      <c r="X37" s="266">
        <f t="shared" si="27"/>
        <v>0.0</v>
      </c>
      <c r="Y37" s="266">
        <f t="shared" si="28"/>
        <v>0.0</v>
      </c>
    </row>
    <row r="38" spans="1:25" ht="15">
      <c r="A38" s="702"/>
      <c r="B38" s="494"/>
      <c r="C38" s="606" t="s">
        <v>200</v>
      </c>
      <c r="D38" s="606"/>
      <c r="E38" s="606"/>
      <c r="F38" s="606"/>
      <c r="G38" s="860">
        <v>0</v>
      </c>
      <c r="H38" s="860">
        <v>405</v>
      </c>
      <c r="I38" s="765">
        <f t="shared" si="25"/>
        <v>405.0</v>
      </c>
      <c r="J38" s="494"/>
      <c r="K38" s="607" t="inlineStr">
        <is>
          <t>Övr. förvaltning</t>
        </is>
      </c>
      <c r="L38" s="755">
        <v>0</v>
      </c>
      <c r="M38" s="756">
        <v>0</v>
      </c>
      <c r="N38" s="319">
        <f>L38+M38</f>
        <v>0.0</v>
      </c>
      <c r="O38" s="494"/>
      <c r="P38" s="847"/>
      <c r="Q38" s="846"/>
      <c r="R38" s="845"/>
      <c r="S38" s="846"/>
      <c r="T38" s="854">
        <f t="shared" si="30"/>
        <v>0.0</v>
      </c>
      <c r="U38" s="852"/>
      <c r="V38" s="494"/>
      <c r="W38" s="266">
        <f t="shared" si="26"/>
        <v>0.0</v>
      </c>
      <c r="X38" s="266">
        <f t="shared" si="27"/>
        <v>0.0</v>
      </c>
      <c r="Y38" s="266">
        <f t="shared" si="28"/>
        <v>0.0</v>
      </c>
    </row>
    <row r="39" spans="1:25" ht="15">
      <c r="A39" s="702"/>
      <c r="B39" s="494"/>
      <c r="C39" s="309" t="s">
        <v>201</v>
      </c>
      <c r="D39" s="309"/>
      <c r="E39" s="309"/>
      <c r="F39" s="309"/>
      <c r="G39" s="861">
        <f>SUM(G34:G38)</f>
        <v>0.0</v>
      </c>
      <c r="H39" s="861">
        <f>SUM(H34:H38)</f>
        <v>405.0</v>
      </c>
      <c r="I39" s="766">
        <f t="shared" si="25"/>
        <v>405.0</v>
      </c>
      <c r="J39" s="494"/>
      <c r="K39" s="321" t="str">
        <f t="shared" ref="K39" si="31">C39</f>
        <v>Summa kostnader</v>
      </c>
      <c r="L39" s="312">
        <f>IFERROR(SUMPRODUCT(L34:L38,$I$34:$I$38)/$I$39,0)</f>
        <v>0.0</v>
      </c>
      <c r="M39" s="313">
        <f>IFERROR(SUMPRODUCT(M34:M38,$I$34:$I$38)/$I$39,0)</f>
        <v>0.0</v>
      </c>
      <c r="N39" s="320">
        <f>IFERROR(SUMPRODUCT(N34:N38,$I$34:$I$38)/$I$39,0)</f>
        <v>0.0</v>
      </c>
      <c r="O39" s="494"/>
      <c r="P39" s="848"/>
      <c r="Q39" s="849"/>
      <c r="R39" s="850"/>
      <c r="S39" s="849"/>
      <c r="T39" s="855">
        <f t="shared" si="30"/>
        <v>0.0</v>
      </c>
      <c r="U39" s="853"/>
      <c r="V39" s="494"/>
      <c r="W39" s="317">
        <f>SUM(W34:W38)</f>
        <v>0.0</v>
      </c>
      <c r="X39" s="317">
        <f>SUM(X34:X38)</f>
        <v>0.0</v>
      </c>
      <c r="Y39" s="317">
        <f>SUM(Y34:Y38)</f>
        <v>0.0</v>
      </c>
    </row>
    <row r="41" spans="1:25">
      <c r="A41" s="494"/>
      <c r="B41" s="494"/>
      <c r="C41" s="695"/>
      <c r="D41" s="695"/>
      <c r="E41" s="695"/>
      <c r="F41" s="695"/>
      <c r="G41" s="695"/>
      <c r="H41" s="695"/>
      <c r="I41" s="695"/>
      <c r="J41" s="695"/>
      <c r="K41" s="695"/>
      <c r="L41" s="695"/>
      <c r="M41" s="695"/>
      <c r="N41" s="695"/>
      <c r="O41" s="494"/>
      <c r="P41" s="494"/>
      <c r="Q41" s="494"/>
      <c r="R41" s="494"/>
      <c r="S41" s="494"/>
      <c r="T41" s="494"/>
      <c r="U41" s="494"/>
      <c r="V41" s="494"/>
      <c r="W41" s="494"/>
      <c r="X41" s="494"/>
      <c r="Y41" s="494"/>
    </row>
    <row r="42" spans="1:25">
      <c r="A42" s="494"/>
      <c r="B42" s="494"/>
      <c r="C42" s="341" t="inlineStr">
        <is>
          <t>Beskriv antaganden: motivera otydliga poster och särskilda antaganden.</t>
        </is>
      </c>
      <c r="D42" s="342"/>
      <c r="E42" s="342"/>
      <c r="F42" s="342"/>
      <c r="G42" s="342"/>
      <c r="H42" s="342"/>
      <c r="I42" s="342"/>
      <c r="J42" s="342"/>
      <c r="K42" s="342"/>
      <c r="L42" s="342"/>
      <c r="M42" s="342"/>
      <c r="N42" s="343"/>
      <c r="O42" s="494"/>
      <c r="P42" s="494"/>
      <c r="Q42" s="494"/>
      <c r="R42" s="494"/>
      <c r="S42" s="494"/>
      <c r="T42" s="494"/>
      <c r="U42" s="494"/>
      <c r="V42" s="494"/>
      <c r="W42" s="494"/>
      <c r="X42" s="494"/>
      <c r="Y42" s="494"/>
    </row>
    <row r="43" spans="1:25">
      <c r="A43" s="494"/>
      <c r="B43" s="494"/>
      <c r="C43" s="873"/>
      <c r="D43" s="342"/>
      <c r="E43" s="342"/>
      <c r="F43" s="342"/>
      <c r="G43" s="342"/>
      <c r="H43" s="342"/>
      <c r="I43" s="342"/>
      <c r="J43" s="342"/>
      <c r="K43" s="342"/>
      <c r="L43" s="342"/>
      <c r="M43" s="342"/>
      <c r="N43" s="343"/>
      <c r="O43" s="494"/>
      <c r="P43" s="494"/>
      <c r="Q43" s="494"/>
      <c r="R43" s="494"/>
      <c r="S43" s="494"/>
      <c r="T43" s="494"/>
      <c r="U43" s="494"/>
      <c r="V43" s="513"/>
      <c r="W43" s="494"/>
      <c r="X43" s="494"/>
      <c r="Y43" s="494"/>
    </row>
    <row r="44" spans="1:25">
      <c r="A44" s="494"/>
      <c r="B44" s="494"/>
      <c r="C44" s="341"/>
      <c r="D44" s="342"/>
      <c r="E44" s="342"/>
      <c r="F44" s="342"/>
      <c r="G44" s="342"/>
      <c r="H44" s="342"/>
      <c r="I44" s="342"/>
      <c r="J44" s="342"/>
      <c r="K44" s="342"/>
      <c r="L44" s="342"/>
      <c r="M44" s="342"/>
      <c r="N44" s="343"/>
      <c r="O44" s="494"/>
      <c r="P44" s="494"/>
      <c r="Q44" s="494"/>
      <c r="R44" s="494"/>
      <c r="S44" s="494"/>
      <c r="T44" s="494"/>
      <c r="U44" s="494"/>
      <c r="V44" s="494"/>
      <c r="W44" s="494"/>
      <c r="X44" s="494"/>
      <c r="Y44" s="494"/>
    </row>
    <row r="45" spans="1:25">
      <c r="A45" s="494"/>
      <c r="B45" s="494"/>
      <c r="C45" s="341"/>
      <c r="D45" s="342"/>
      <c r="E45" s="342"/>
      <c r="F45" s="342"/>
      <c r="G45" s="342"/>
      <c r="H45" s="342"/>
      <c r="I45" s="342"/>
      <c r="J45" s="342"/>
      <c r="K45" s="342"/>
      <c r="L45" s="342"/>
      <c r="M45" s="342"/>
      <c r="N45" s="343"/>
      <c r="O45" s="494"/>
      <c r="P45" s="494"/>
      <c r="Q45" s="494"/>
      <c r="R45" s="494"/>
      <c r="S45" s="494"/>
      <c r="T45" s="494"/>
      <c r="U45" s="494"/>
      <c r="V45" s="494"/>
      <c r="W45" s="494"/>
      <c r="X45" s="494"/>
      <c r="Y45" s="494"/>
    </row>
    <row r="46" spans="1:25">
      <c r="A46" s="494"/>
      <c r="B46" s="494"/>
      <c r="C46" s="341"/>
      <c r="D46" s="342"/>
      <c r="E46" s="342"/>
      <c r="F46" s="342"/>
      <c r="G46" s="342"/>
      <c r="H46" s="342"/>
      <c r="I46" s="342"/>
      <c r="J46" s="342"/>
      <c r="K46" s="342"/>
      <c r="L46" s="342"/>
      <c r="M46" s="342"/>
      <c r="N46" s="343"/>
      <c r="O46" s="494"/>
      <c r="P46" s="494"/>
      <c r="Q46" s="494"/>
      <c r="R46" s="494"/>
      <c r="S46" s="494"/>
      <c r="T46" s="494"/>
      <c r="U46" s="494"/>
      <c r="V46" s="494"/>
      <c r="W46" s="494"/>
      <c r="X46" s="494"/>
      <c r="Y46" s="494"/>
    </row>
    <row r="47" spans="1:25">
      <c r="A47" s="494"/>
      <c r="B47" s="494"/>
      <c r="C47" s="341"/>
      <c r="D47" s="342"/>
      <c r="E47" s="342"/>
      <c r="F47" s="342"/>
      <c r="G47" s="342"/>
      <c r="H47" s="342"/>
      <c r="I47" s="342"/>
      <c r="J47" s="342"/>
      <c r="K47" s="342"/>
      <c r="L47" s="342"/>
      <c r="M47" s="342"/>
      <c r="N47" s="343"/>
      <c r="O47" s="494"/>
      <c r="P47" s="494"/>
      <c r="Q47" s="494"/>
      <c r="R47" s="494"/>
      <c r="S47" s="494"/>
      <c r="T47" s="494"/>
      <c r="U47" s="494"/>
      <c r="V47" s="494"/>
      <c r="W47" s="494"/>
      <c r="X47" s="494"/>
      <c r="Y47" s="494"/>
    </row>
    <row r="48" spans="1:25">
      <c r="A48" s="494"/>
      <c r="B48" s="494"/>
      <c r="C48" s="341"/>
      <c r="D48" s="342"/>
      <c r="E48" s="342"/>
      <c r="F48" s="342"/>
      <c r="G48" s="342"/>
      <c r="H48" s="342"/>
      <c r="I48" s="342"/>
      <c r="J48" s="342"/>
      <c r="K48" s="342"/>
      <c r="L48" s="342"/>
      <c r="M48" s="342"/>
      <c r="N48" s="343"/>
      <c r="O48" s="494"/>
      <c r="P48" s="494"/>
      <c r="Q48" s="494"/>
      <c r="R48" s="494"/>
      <c r="S48" s="494"/>
      <c r="T48" s="494"/>
      <c r="U48" s="494"/>
      <c r="V48" s="494"/>
      <c r="W48" s="494"/>
      <c r="X48" s="494"/>
      <c r="Y48" s="494"/>
    </row>
    <row r="49" spans="1:14">
      <c r="C49" s="341"/>
      <c r="D49" s="342"/>
      <c r="E49" s="342"/>
      <c r="F49" s="342"/>
      <c r="G49" s="342"/>
      <c r="H49" s="342"/>
      <c r="I49" s="342"/>
      <c r="J49" s="342"/>
      <c r="K49" s="342"/>
      <c r="L49" s="342"/>
      <c r="M49" s="342"/>
      <c r="N49" s="343"/>
    </row>
    <row r="50" spans="1:14">
      <c r="C50" s="341"/>
      <c r="D50" s="342"/>
      <c r="E50" s="342"/>
      <c r="F50" s="342"/>
      <c r="G50" s="342"/>
      <c r="H50" s="342"/>
      <c r="I50" s="342"/>
      <c r="J50" s="342"/>
      <c r="K50" s="342"/>
      <c r="L50" s="342"/>
      <c r="M50" s="342"/>
      <c r="N50" s="343"/>
    </row>
    <row r="52" spans="1:14" ht="23.25">
      <c r="C52" s="185" t="s">
        <v>368</v>
      </c>
    </row>
    <row r="53" spans="1:14">
      <c r="C53" s="720" t="s">
        <v>369</v>
      </c>
    </row>
    <row r="54" spans="1:14" ht="34.5" customHeight="1">
      <c r="A54" s="719">
        <v>4</v>
      </c>
      <c r="C54" s="382" t="s">
        <v>370</v>
      </c>
      <c r="D54" s="382"/>
      <c r="E54" s="382"/>
      <c r="F54" s="382"/>
      <c r="G54" s="383" t="str">
        <f>IF($C$23="","Objekt 1",$C$23)</f>
        <v>Skola</v>
      </c>
      <c r="H54" s="383" t="str">
        <f>IF($C$24="","Objekt 2",$C$24)</f>
        <v>Objekt 2</v>
      </c>
      <c r="I54" s="383" t="str">
        <f>IF($C$25="","Objekt 3",$C$25)</f>
        <v>Objekt 3</v>
      </c>
      <c r="J54" s="383" t="str">
        <f>IF($C$26="","Objekt 4",$C$26)</f>
        <v>Objekt 4</v>
      </c>
      <c r="K54" s="383" t="str">
        <f>IF($C$27="","Objekt 5",$C$27)</f>
        <v>Objekt 5</v>
      </c>
      <c r="L54" s="383" t="s">
        <v>158</v>
      </c>
    </row>
    <row r="55" spans="1:14">
      <c r="A55" s="719"/>
      <c r="C55" s="601" t="s">
        <v>114</v>
      </c>
      <c r="D55" s="601"/>
      <c r="E55" s="601"/>
      <c r="F55" s="601"/>
      <c r="G55" s="747"/>
      <c r="H55" s="747"/>
      <c r="I55" s="747"/>
      <c r="J55" s="747"/>
      <c r="K55" s="747"/>
      <c r="L55" s="760">
        <f>SUM(G55:K55)</f>
        <v>0.0</v>
      </c>
    </row>
    <row r="56" spans="1:14">
      <c r="A56" s="719"/>
      <c r="C56" s="601" t="s">
        <v>117</v>
      </c>
      <c r="D56" s="601"/>
      <c r="E56" s="601"/>
      <c r="F56" s="601"/>
      <c r="G56" s="747"/>
      <c r="H56" s="747"/>
      <c r="I56" s="747"/>
      <c r="J56" s="747"/>
      <c r="K56" s="747"/>
      <c r="L56" s="760">
        <f>SUM(G56:K56)</f>
        <v>0.0</v>
      </c>
    </row>
    <row r="57" spans="1:14">
      <c r="A57" s="719"/>
      <c r="C57" s="601" t="s">
        <v>121</v>
      </c>
      <c r="D57" s="601"/>
      <c r="E57" s="601"/>
      <c r="F57" s="601"/>
      <c r="G57" s="747"/>
      <c r="H57" s="747"/>
      <c r="I57" s="747"/>
      <c r="J57" s="747"/>
      <c r="K57" s="747"/>
      <c r="L57" s="760">
        <f>SUM(G57:K57)</f>
        <v>0.0</v>
      </c>
    </row>
    <row r="58" spans="1:14">
      <c r="A58" s="719"/>
      <c r="C58" s="601" t="s">
        <v>126</v>
      </c>
      <c r="D58" s="601"/>
      <c r="E58" s="601"/>
      <c r="F58" s="601"/>
      <c r="G58" s="747">
        <v>240000000</v>
      </c>
      <c r="H58" s="747"/>
      <c r="I58" s="747"/>
      <c r="J58" s="747"/>
      <c r="K58" s="747"/>
      <c r="L58" s="760">
        <f>SUM(G58:K58)</f>
        <v>240000000.0</v>
      </c>
    </row>
    <row r="59" spans="1:14">
      <c r="A59" s="719"/>
      <c r="C59" s="601" t="s">
        <v>128</v>
      </c>
      <c r="D59" s="601"/>
      <c r="E59" s="601"/>
      <c r="F59" s="601"/>
      <c r="G59" s="747"/>
      <c r="H59" s="747"/>
      <c r="I59" s="747"/>
      <c r="J59" s="747"/>
      <c r="K59" s="747"/>
      <c r="L59" s="760">
        <f>SUM(G59:K59)</f>
        <v>0.0</v>
      </c>
    </row>
    <row r="60" spans="1:14">
      <c r="A60" s="719"/>
      <c r="C60" s="601" t="s">
        <v>132</v>
      </c>
      <c r="D60" s="601"/>
      <c r="E60" s="601"/>
      <c r="F60" s="601"/>
      <c r="G60" s="747"/>
      <c r="H60" s="747"/>
      <c r="I60" s="747"/>
      <c r="J60" s="747"/>
      <c r="K60" s="747"/>
      <c r="L60" s="760">
        <f>SUM(G60:K60)</f>
        <v>0.0</v>
      </c>
    </row>
    <row r="61" spans="1:14">
      <c r="A61" s="719"/>
      <c r="C61" s="601" t="s">
        <v>96</v>
      </c>
      <c r="D61" s="601"/>
      <c r="E61" s="601"/>
      <c r="F61" s="601"/>
      <c r="G61" s="747"/>
      <c r="H61" s="747"/>
      <c r="I61" s="747"/>
      <c r="J61" s="747"/>
      <c r="K61" s="747"/>
      <c r="L61" s="760">
        <f>SUM(G61:K61)</f>
        <v>0.0</v>
      </c>
    </row>
    <row r="62" spans="1:14">
      <c r="A62" s="719"/>
      <c r="C62" s="601" t="s">
        <v>138</v>
      </c>
      <c r="D62" s="601"/>
      <c r="E62" s="601"/>
      <c r="F62" s="601"/>
      <c r="G62" s="747"/>
      <c r="H62" s="747"/>
      <c r="I62" s="747"/>
      <c r="J62" s="747"/>
      <c r="K62" s="747"/>
      <c r="L62" s="760">
        <f>SUM(G62:K62)</f>
        <v>0.0</v>
      </c>
    </row>
    <row r="63" spans="1:14">
      <c r="A63" s="719"/>
      <c r="C63" s="601" t="s">
        <v>140</v>
      </c>
      <c r="D63" s="601"/>
      <c r="E63" s="601"/>
      <c r="F63" s="601"/>
      <c r="G63" s="747"/>
      <c r="H63" s="747"/>
      <c r="I63" s="747"/>
      <c r="J63" s="747"/>
      <c r="K63" s="747"/>
      <c r="L63" s="760">
        <f>SUM(G63:K63)</f>
        <v>0.0</v>
      </c>
    </row>
    <row r="64" spans="1:14">
      <c r="A64" s="719"/>
      <c r="C64" s="601" t="inlineStr">
        <is>
          <t>Bidrag och intäkter (ange negativt)</t>
        </is>
      </c>
      <c r="D64" s="601"/>
      <c r="E64" s="601"/>
      <c r="F64" s="601"/>
      <c r="G64" s="747"/>
      <c r="H64" s="747"/>
      <c r="I64" s="747"/>
      <c r="J64" s="747"/>
      <c r="K64" s="747"/>
      <c r="L64" s="760">
        <f>SUM(G64:K64)</f>
        <v>0.0</v>
      </c>
    </row>
    <row r="65" spans="1:22">
      <c r="A65" s="719"/>
      <c r="C65" s="601" t="s">
        <v>149</v>
      </c>
      <c r="D65" s="601"/>
      <c r="E65" s="601"/>
      <c r="F65" s="601"/>
      <c r="G65" s="747"/>
      <c r="H65" s="747"/>
      <c r="I65" s="747"/>
      <c r="J65" s="747"/>
      <c r="K65" s="747"/>
      <c r="L65" s="760">
        <f>SUM(G65:K65)</f>
        <v>0.0</v>
      </c>
    </row>
    <row r="66" spans="1:22">
      <c r="A66" s="719"/>
      <c r="C66" s="601" t="s">
        <v>154</v>
      </c>
      <c r="D66" s="601"/>
      <c r="E66" s="601"/>
      <c r="F66" s="601"/>
      <c r="G66" s="747"/>
      <c r="H66" s="747"/>
      <c r="I66" s="747"/>
      <c r="J66" s="747"/>
      <c r="K66" s="747"/>
      <c r="L66" s="760">
        <f>SUM(G66:K66)</f>
        <v>0.0</v>
      </c>
    </row>
    <row r="67" spans="1:22">
      <c r="A67" s="719"/>
      <c r="C67" s="601" t="s">
        <v>155</v>
      </c>
      <c r="D67" s="601"/>
      <c r="E67" s="601"/>
      <c r="F67" s="601"/>
      <c r="G67" s="747"/>
      <c r="H67" s="747"/>
      <c r="I67" s="747"/>
      <c r="J67" s="747"/>
      <c r="K67" s="747"/>
      <c r="L67" s="760">
        <f>SUM(G67:K67)</f>
        <v>0.0</v>
      </c>
    </row>
    <row r="68" spans="1:22">
      <c r="A68" s="719"/>
      <c r="C68" s="601" t="s">
        <v>156</v>
      </c>
      <c r="D68" s="601"/>
      <c r="E68" s="601"/>
      <c r="F68" s="601"/>
      <c r="G68" s="747"/>
      <c r="H68" s="747"/>
      <c r="I68" s="747"/>
      <c r="J68" s="747"/>
      <c r="K68" s="747"/>
      <c r="L68" s="760">
        <f>SUM(G68:K68)</f>
        <v>0.0</v>
      </c>
    </row>
    <row r="69" spans="1:22" ht="15">
      <c r="A69" s="719"/>
      <c r="C69" s="721" t="s">
        <v>38</v>
      </c>
      <c r="D69" s="721"/>
      <c r="E69" s="721"/>
      <c r="F69" s="721"/>
      <c r="G69" s="760">
        <f>SUM(G55:G68)</f>
        <v>240000000.0</v>
      </c>
      <c r="H69" s="760">
        <f>SUM(H55:H68)</f>
        <v>0.0</v>
      </c>
      <c r="I69" s="760">
        <f>SUM(I55:I68)</f>
        <v>0.0</v>
      </c>
      <c r="J69" s="760">
        <f>SUM(J55:J68)</f>
        <v>0.0</v>
      </c>
      <c r="K69" s="760">
        <f>SUM(K55:K68)</f>
        <v>0.0</v>
      </c>
      <c r="L69" s="760">
        <f>SUM(G69:K69)</f>
        <v>240000000.0</v>
      </c>
    </row>
    <row r="70" spans="1:22">
      <c r="A70" s="719"/>
      <c r="C70" s="601" t="s">
        <v>371</v>
      </c>
      <c r="D70" s="601"/>
      <c r="E70" s="601"/>
      <c r="F70" s="601"/>
      <c r="G70" s="760">
        <f>IFERROR(G69/$H23,0)</f>
        <v>39344.262295081964</v>
      </c>
      <c r="H70" s="760">
        <f>IFERROR(H69/$H24,0)</f>
        <v>0.0</v>
      </c>
      <c r="I70" s="760">
        <f>IFERROR(I69/$H25,0)</f>
        <v>0.0</v>
      </c>
      <c r="J70" s="760">
        <f>IFERROR(J69/$H26,0)</f>
        <v>0.0</v>
      </c>
      <c r="K70" s="760">
        <f>IFERROR(K69/$H27,0)</f>
        <v>0.0</v>
      </c>
      <c r="L70" s="760">
        <f>IFERROR(L69/$H$28,0)</f>
        <v>39344.262295081964</v>
      </c>
    </row>
    <row r="72" spans="1:22" ht="23.25">
      <c r="C72" s="185" t="s">
        <v>348</v>
      </c>
    </row>
    <row r="73" spans="1:22">
      <c r="C73" s="720" t="inlineStr">
        <is>
          <t>Extern direktavkastning (M6) är utgångsläget. Bedömningarna justerar kapitaliseringen (M11) i alla tre kraven, ±0,25/±0,50 pp per faktor (vakansrisk −0,25…+2,00). Kalkylränta restvärde = M6 + inflation.</t>
        </is>
      </c>
    </row>
    <row r="74" spans="1:22" ht="34.5" customHeight="1">
      <c r="A74" s="719">
        <v>5</v>
      </c>
      <c r="C74" s="382" t="s">
        <v>349</v>
      </c>
      <c r="D74" s="382"/>
      <c r="E74" s="382"/>
      <c r="F74" s="382"/>
      <c r="G74" s="383" t="s">
        <v>350</v>
      </c>
      <c r="H74" s="383" t="s">
        <v>351</v>
      </c>
      <c r="I74" s="781" t="inlineStr">
        <is>
          <t>Motsv. vakans</t>
        </is>
      </c>
      <c r="J74" s="383" t="inlineStr">
        <is>
          <t>Motivering</t>
        </is>
      </c>
      <c r="K74" s="383"/>
      <c r="L74" s="383"/>
      <c r="M74" s="383"/>
      <c r="N74" s="383"/>
      <c r="O74" s="383"/>
      <c r="P74" s="383"/>
      <c r="Q74" s="383"/>
      <c r="R74" s="383"/>
      <c r="S74" s="383"/>
      <c r="T74" s="383"/>
      <c r="U74" s="383"/>
    </row>
    <row r="75" spans="1:22">
      <c r="A75" s="719"/>
      <c r="C75" s="601" t="s">
        <v>360</v>
      </c>
      <c r="D75" s="601"/>
      <c r="E75" s="601"/>
      <c r="F75" s="601"/>
      <c r="G75" s="748" t="s">
        <v>357</v>
      </c>
      <c r="H75" s="767">
        <f>IFERROR((MATCH(G75,$AC$5:$AC$9,0)-3)*0.0025,0)</f>
        <v>0.0</v>
      </c>
      <c r="I75" s="783"/>
      <c r="J75" s="782"/>
      <c r="K75" s="750"/>
      <c r="L75" s="750"/>
      <c r="M75" s="750"/>
      <c r="N75" s="750"/>
      <c r="O75" s="750"/>
      <c r="P75" s="750"/>
      <c r="Q75" s="750"/>
      <c r="R75" s="750"/>
      <c r="S75" s="750"/>
      <c r="T75" s="750"/>
      <c r="U75" s="750"/>
      <c r="V75"/>
    </row>
    <row r="76" spans="1:22">
      <c r="A76" s="719"/>
      <c r="C76" s="601" t="s">
        <v>361</v>
      </c>
      <c r="D76" s="601"/>
      <c r="E76" s="601"/>
      <c r="F76" s="601"/>
      <c r="G76" s="748" t="inlineStr">
        <is>
          <t>Normal</t>
        </is>
      </c>
      <c r="H76" s="767">
        <f>IFERROR(INDEX($AL$5:$AL$9,MATCH(G76,$AK$5:$AK$9,0)),0)</f>
        <v>0.0</v>
      </c>
      <c r="I76" s="783" t="str">
        <f>IFERROR(IF(H76=0,"≈ 0 %",IF(H76&gt;0,"≈ ","≈ −")&amp;ROUND(ABS(HLOOKUP('4. NPV'!$D$43+1,'4. NPV'!$D$4:$BA$86,83,FALSE)/HLOOKUP('4. NPV'!$D$43+1,'4. NPV'!$D$4:$BA$90,87,FALSE)*H76/$M$11)*100,0)&amp;" %"),"")</f>
        <v>≈ 0 %</v>
      </c>
      <c r="J76" s="784"/>
      <c r="K76" s="752"/>
      <c r="L76" s="752"/>
      <c r="M76" s="752"/>
      <c r="N76" s="752"/>
      <c r="O76" s="752"/>
      <c r="P76" s="752"/>
      <c r="Q76" s="752"/>
      <c r="R76" s="752"/>
      <c r="S76" s="752"/>
      <c r="T76" s="752"/>
      <c r="U76" s="752"/>
      <c r="V76"/>
    </row>
    <row r="77" spans="1:22">
      <c r="A77" s="719"/>
      <c r="C77" s="601" t="s">
        <v>362</v>
      </c>
      <c r="D77" s="601"/>
      <c r="E77" s="601"/>
      <c r="F77" s="601"/>
      <c r="G77" s="748" t="s">
        <v>357</v>
      </c>
      <c r="H77" s="767">
        <f>IFERROR((MATCH(G77,$AC$5:$AC$9,0)-3)*0.0025,0)</f>
        <v>0.0</v>
      </c>
      <c r="I77" s="783"/>
      <c r="J77" s="784"/>
      <c r="K77" s="752"/>
      <c r="L77" s="752"/>
      <c r="M77" s="752"/>
      <c r="N77" s="752"/>
      <c r="O77" s="752"/>
      <c r="P77" s="752"/>
      <c r="Q77" s="752"/>
      <c r="R77" s="752"/>
      <c r="S77" s="752"/>
      <c r="T77" s="752"/>
      <c r="U77" s="752"/>
      <c r="V77"/>
    </row>
    <row r="78" spans="1:22">
      <c r="A78" s="719"/>
      <c r="C78" s="601" t="s">
        <v>363</v>
      </c>
      <c r="D78" s="601"/>
      <c r="E78" s="601"/>
      <c r="F78" s="601"/>
      <c r="G78" s="748" t="s">
        <v>357</v>
      </c>
      <c r="H78" s="767">
        <f>IFERROR((MATCH(G78,$AC$5:$AC$9,0)-3)*0.0025,0)</f>
        <v>0.0</v>
      </c>
      <c r="I78" s="783"/>
      <c r="J78" s="784"/>
      <c r="K78" s="752"/>
      <c r="L78" s="752"/>
      <c r="M78" s="752"/>
      <c r="N78" s="752"/>
      <c r="O78" s="752"/>
      <c r="P78" s="752"/>
      <c r="Q78" s="752"/>
      <c r="R78" s="752"/>
      <c r="S78" s="752"/>
      <c r="T78" s="752"/>
      <c r="U78" s="752"/>
      <c r="V78"/>
    </row>
    <row r="79" spans="1:22" ht="15">
      <c r="A79" s="719"/>
      <c r="C79" s="721" t="s">
        <v>364</v>
      </c>
      <c r="D79" s="601"/>
      <c r="E79" s="601"/>
      <c r="F79" s="601"/>
      <c r="H79" s="768">
        <f>SUM(H75:H78)</f>
        <v>0.0</v>
      </c>
    </row>
    <row r="80" spans="1:22">
      <c r="A80" s="719"/>
      <c r="C80" s="601" t="inlineStr">
        <is>
          <t>Justerad direktavkastning (M11)</t>
        </is>
      </c>
      <c r="D80" s="601"/>
      <c r="E80" s="601"/>
      <c r="F80" s="601"/>
      <c r="H80" s="767">
        <f>$M$11</f>
        <v>0.065</v>
      </c>
    </row>
  </sheetData>
  <protectedRanges>
    <protectedRange sqref="G34:H38 L34:M38 P34:S39 U34:U39 C42:N50" name="Område3"/>
    <protectedRange sqref="I23:K27 U23:U27 M23:S27 C23:G27" name="Område2"/>
    <protectedRange sqref="M3 M6:M7 P6:P12 Q6:R7 Q11:R12 Q15 Q17 T6:U9 T17" name="Område 1"/>
  </protectedRanges>
  <mergeCells count="41">
    <mergeCell ref="A54:A70"/>
    <mergeCell ref="D17:E17"/>
    <mergeCell ref="A74:A80"/>
    <mergeCell ref="A4:A17"/>
    <mergeCell ref="A21:A29"/>
    <mergeCell ref="A33:A39"/>
    <mergeCell ref="S15:U15"/>
    <mergeCell ref="E6:F6"/>
    <mergeCell ref="F21:H21"/>
    <mergeCell ref="I21:L21"/>
    <mergeCell ref="M21:N21"/>
    <mergeCell ref="Q21:U21"/>
    <mergeCell ref="E8:F8"/>
    <mergeCell ref="K4:M4"/>
    <mergeCell ref="D14:E14"/>
    <mergeCell ref="D15:E15"/>
    <mergeCell ref="D16:E16"/>
    <mergeCell ref="D12:E12"/>
    <mergeCell ref="N4:R4"/>
    <mergeCell ref="S4:U4"/>
    <mergeCell ref="D13:E13"/>
    <mergeCell ref="Y21:AA21"/>
    <mergeCell ref="C41:F41"/>
    <mergeCell ref="G41:J41"/>
    <mergeCell ref="K41:N41"/>
    <mergeCell ref="W21:X21"/>
    <mergeCell ref="G14:H14"/>
    <mergeCell ref="K6:L6"/>
    <mergeCell ref="K7:L7"/>
    <mergeCell ref="K8:L8"/>
    <mergeCell ref="K9:L9"/>
    <mergeCell ref="E5:F5"/>
    <mergeCell ref="K10:L10"/>
    <mergeCell ref="K11:L11"/>
    <mergeCell ref="J75:U75"/>
    <mergeCell ref="J76:U76"/>
    <mergeCell ref="J77:U77"/>
    <mergeCell ref="J78:U78"/>
    <mergeCell ref="C1:Q1"/>
    <mergeCell ref="C2:Q2"/>
    <mergeCell ref="C43:N50"/>
  </mergeCells>
  <conditionalFormatting sqref="C22 E22 I22:J22 M22:O22">
    <cfRule type="expression" dxfId="27" priority="14">
      <formula>IF(COUNTA(C23:C27)=0,TRUE,FALSE)</formula>
    </cfRule>
  </conditionalFormatting>
  <conditionalFormatting sqref="D13:E13">
    <cfRule type="containsBlanks" dxfId="26" priority="6">
      <formula>LEN(TRIM(D13))=0</formula>
    </cfRule>
    <cfRule type="cellIs" dxfId="25" priority="15" operator="lessThan">
      <formula>0</formula>
    </cfRule>
    <cfRule type="cellIs" dxfId="24" priority="16" operator="greaterThanOrEqual">
      <formula>0</formula>
    </cfRule>
  </conditionalFormatting>
  <conditionalFormatting sqref="D14:E14">
    <cfRule type="containsBlanks" dxfId="23" priority="21">
      <formula>LEN(TRIM(D14))=0</formula>
    </cfRule>
    <cfRule type="cellIs" dxfId="22" priority="23" operator="lessThan">
      <formula>$F$14</formula>
    </cfRule>
    <cfRule type="cellIs" dxfId="21" priority="24" operator="greaterThanOrEqual">
      <formula>$F$14</formula>
    </cfRule>
  </conditionalFormatting>
  <conditionalFormatting sqref="D15:E15">
    <cfRule type="expression" dxfId="20" priority="8">
      <formula>D15=""</formula>
    </cfRule>
    <cfRule type="cellIs" dxfId="19" priority="17" operator="greaterThan">
      <formula>0</formula>
    </cfRule>
    <cfRule type="cellIs" dxfId="18" priority="18" operator="lessThan">
      <formula>0</formula>
    </cfRule>
  </conditionalFormatting>
  <conditionalFormatting sqref="F22">
    <cfRule type="expression" dxfId="17" priority="13">
      <formula>IF(COUNTA(F23:G27)=0,TRUE,FALSE)</formula>
    </cfRule>
  </conditionalFormatting>
  <conditionalFormatting sqref="G13">
    <cfRule type="expression" dxfId="16" priority="11">
      <formula>G13="Inga driftkostnader angivna"</formula>
    </cfRule>
  </conditionalFormatting>
  <conditionalFormatting sqref="G22">
    <cfRule type="expression" dxfId="15" priority="12">
      <formula>IF(COUNTA(F23:G27)=0,TRUE,FALSE)</formula>
    </cfRule>
  </conditionalFormatting>
  <conditionalFormatting sqref="M2">
    <cfRule type="containsText" dxfId="14" priority="1" operator="containsText" text="Börja här">
      <formula>NOT(ISERROR(SEARCH("Börja här",M2)))</formula>
    </cfRule>
    <cfRule type="beginsWith" dxfId="13" priority="2" operator="beginsWith" text="&quot;Börja&quot;">
      <formula>LEFT(M2,LEN("""Börja"""))="""Börja"""</formula>
    </cfRule>
  </conditionalFormatting>
  <conditionalFormatting sqref="Q22:S22">
    <cfRule type="expression" dxfId="12" priority="9">
      <formula>IF(COUNTA(Q23:Q27)=0,TRUE,FALSE)</formula>
    </cfRule>
  </conditionalFormatting>
  <dataValidations count="43">
    <dataValidation type="list" allowBlank="1" showInputMessage="1" showErrorMessage="1" sqref="Q34:Q39" xr:uid="{00000000-0002-0000-0100-000000000000}" promptTitle="Objekt" prompt="Välj objekt från Ytor (kolumn C). Kostnaden räknas på objektets area.">
      <formula1>$C$23:$C$27</formula1>
    </dataValidation>
    <dataValidation type="list" allowBlank="1" showInputMessage="1" showErrorMessage="1" promptTitle="Bedömningsgrund" prompt="Kollektivtrafik, serviceunderlag, demografi, planerad infrastruktur" sqref="G75" xr:uid="{7D716C6D-CC2B-498E-B32A-0F96E11B17E4}">
      <formula1>$AC$5:$AC$9</formula1>
    </dataValidation>
    <dataValidation type="list" allowBlank="1" showInputMessage="1" showErrorMessage="1" promptTitle="Bedömningsgrund" prompt="Planlösning, bjälklagshöjd, bärande stomme, installationskapacitet" sqref="G77" xr:uid="{A1FBBF3F-7C59-4A9F-8682-F7AFB68911E3}">
      <formula1>$AC$5:$AC$9</formula1>
    </dataValidation>
    <dataValidation type="list" allowBlank="1" showInputMessage="1" showErrorMessage="1" promptTitle="Bedömningsgrund" prompt="Stomme, klimatskal, installationer, energiprestanda mot framtida krav" sqref="G78" xr:uid="{7BD9FD9C-F6D0-45B1-AD28-204487726CB5}">
      <formula1>$AC$5:$AC$9</formula1>
    </dataValidation>
    <dataValidation type="list" allowBlank="1" showInputMessage="1" showErrorMessage="1" promptTitle="Långsiktig vakansrisk" prompt="Vakans efter avtalsslut utöver vad extern direktavkastning prisar. Låg −0,25 / Normal 0 / Förhöjd +0,50 / Hög +1,00 / Mycket hög +2,00 pp. Kolumn I visar motsvarande vakans. Extremfall: överstyr restvärdet i 5. IRR C11." sqref="G76">
      <formula1>$AK$5:$AK$9</formula1>
    </dataValidation>
    <dataValidation type="custom" allowBlank="1" showInputMessage="1" showErrorMessage="1" errorTitle="Vakans efter avtal" error="Avtalet löper hela kalkylperioden — vakansgraden får ingen effekt. Vakansrisk efter avtalet anges i sektion 5, Långsiktig vakansrisk." promptTitle="Vakans efter avtal" prompt="Vakans för år efter avtalsslut inom kalkylperioden (kassaflöde). Restvärdet räknas alltid fullt uthyrt — restvärdets vakansrisk anges i sektion 5." sqref="P23">
      <formula1>$AM$23+($P$23=0)&gt;0</formula1>
    </dataValidation>
    <dataValidation type="custom" allowBlank="1" showInputMessage="1" showErrorMessage="1" errorTitle="Vakans efter avtal" error="Avtalet löper hela kalkylperioden — vakansgraden får ingen effekt. Vakansrisk efter avtalet anges i sektion 5, Långsiktig vakansrisk." promptTitle="Vakans efter avtal" prompt="Vakans för år efter avtalsslut inom kalkylperioden (kassaflöde). Restvärdet räknas alltid fullt uthyrt — restvärdets vakansrisk anges i sektion 5." sqref="P24">
      <formula1>$AM$24+($P$24=0)&gt;0</formula1>
    </dataValidation>
    <dataValidation type="custom" allowBlank="1" showInputMessage="1" showErrorMessage="1" errorTitle="Vakans efter avtal" error="Avtalet löper hela kalkylperioden — vakansgraden får ingen effekt. Vakansrisk efter avtalet anges i sektion 5, Långsiktig vakansrisk." promptTitle="Vakans efter avtal" prompt="Vakans för år efter avtalsslut inom kalkylperioden (kassaflöde). Restvärdet räknas alltid fullt uthyrt — restvärdets vakansrisk anges i sektion 5." sqref="P25">
      <formula1>$AM$25+($P$25=0)&gt;0</formula1>
    </dataValidation>
    <dataValidation type="custom" allowBlank="1" showInputMessage="1" showErrorMessage="1" errorTitle="Vakans efter avtal" error="Avtalet löper hela kalkylperioden — vakansgraden får ingen effekt. Vakansrisk efter avtalet anges i sektion 5, Långsiktig vakansrisk." promptTitle="Vakans efter avtal" prompt="Vakans för år efter avtalsslut inom kalkylperioden (kassaflöde). Restvärdet räknas alltid fullt uthyrt — restvärdets vakansrisk anges i sektion 5." sqref="P26">
      <formula1>$AM$26+($P$26=0)&gt;0</formula1>
    </dataValidation>
    <dataValidation type="custom" allowBlank="1" showInputMessage="1" showErrorMessage="1" errorTitle="Vakans efter avtal" error="Avtalet löper hela kalkylperioden — vakansgraden får ingen effekt. Vakansrisk efter avtalet anges i sektion 5, Långsiktig vakansrisk." promptTitle="Vakans efter avtal" prompt="Vakans för år efter avtalsslut inom kalkylperioden (kassaflöde). Restvärdet räknas alltid fullt uthyrt — restvärdets vakansrisk anges i sektion 5." sqref="P27">
      <formula1>$AM$27+($P$27=0)&gt;0</formula1>
    </dataValidation>
    <dataValidation allowBlank="1" showInputMessage="1" promptTitle="Krav 3" prompt="Nuvärde för hela fastigheten minus bokfört värde inkl. investering, tkr. Ska vara &gt; 0. Bef-objekt och bokfört värde (P9) ingår bara i detta krav." sqref="D15"/>
    <dataValidation allowBlank="1" showInputMessage="1" promptTitle="Från flik 1" prompt="Hämtas från 1. Framskrivningsunderlag – fyll i där, skriv inte över här." sqref="E6"/>
    <dataValidation allowBlank="1" showInputMessage="1" promptTitle="Från flik 1" prompt="Hämtas från 1. Framskrivningsunderlag – fyll i där, skriv inte över här." sqref="G6"/>
    <dataValidation allowBlank="1" showInputMessage="1" promptTitle="Från flik 1" prompt="Hämtas från 1. Framskrivningsunderlag – fyll i där, skriv inte över här." sqref="H6"/>
    <dataValidation allowBlank="1" showInputMessage="1" promptTitle="Från flik 1" prompt="Hämtas från 1. Framskrivningsunderlag – fyll i där, skriv inte över här." sqref="I6"/>
    <dataValidation allowBlank="1" showInputMessage="1" promptTitle="Från flik 1" prompt="Hämtas från 1. Framskrivningsunderlag – fyll i där, skriv inte över här." sqref="J6"/>
    <dataValidation allowBlank="1" showInputMessage="1" promptTitle="Från flik 1" prompt="Hämtas från 1. Framskrivningsunderlag – fyll i där, skriv inte över här." sqref="E8"/>
    <dataValidation allowBlank="1" showInputMessage="1" promptTitle="Från flik 1" prompt="Hämtas från 1. Framskrivningsunderlag – fyll i där, skriv inte över här." sqref="F10"/>
    <dataValidation allowBlank="1" showInputMessage="1" promptTitle="Från flik 1" prompt="Hämtas från 1. Framskrivningsunderlag – fyll i där, skriv inte över här." sqref="F11"/>
    <dataValidation allowBlank="1" showInputMessage="1" promptTitle="Area" prompt="Area BRA i kvm för befintlig del resp. ny-/tillbyggnad." sqref="F23:G27"/>
    <dataValidation allowBlank="1" showInputMessage="1" promptTitle="Hyra" prompt="Avtalad årshyra i kr/kvm BRA, kalkylstartens penningvärde. Bef-rad: faktisk hyra i dag." sqref="I23:I27"/>
    <dataValidation allowBlank="1" showInputMessage="1" promptTitle="Index" prompt="Andel av inflationen (M9) som hyran räknas upp med per år. 100 % = full indexering, 70 % = 70 % av inflationen." sqref="J23:J27"/>
    <dataValidation allowBlank="1" showInputMessage="1" promptTitle="Tillägg" prompt="Tilläggshyra i kr/kvm, t.ex. investeringstillägg." sqref="K23:K27"/>
    <dataValidation allowBlank="1" showInputMessage="1" promptTitle="Avtalsperiod" prompt="Avtalets första och sista år, t.ex. 2026 och 2045. Därefter gäller marknadshyran (O) och eventuell vakansgrad (P)." sqref="M23:N27"/>
    <dataValidation allowBlank="1" showInputMessage="1" promptTitle="Marknadshyra" prompt="Hyra efter avtalsslut, kr/kvm i kalkylstartens penningvärde (räknas upp automatiskt). Förifylld med formel från kolumn I – skriv över vid annan bedömning." sqref="O23:O27"/>
    <dataValidation allowBlank="1" showInputMessage="1" promptTitle="Produktion" prompt="År då produktionen startar och blir klar. Styr när investeringen belastar kalkylen." sqref="Q23:R27"/>
    <dataValidation allowBlank="1" showInputMessage="1" promptTitle="Budget kr/kvm" prompt="Beräknas: objektets summa i sektion 4 delat med area (H). Ändra i sektion 4 eller överstyr i Justering (U)." sqref="S23:S27"/>
    <dataValidation allowBlank="1" showInputMessage="1" promptTitle="Justering" prompt="Lämna tomt. Ange kr/kvm bara för att överstyra budgeten från sektion 4." sqref="U23:U27"/>
    <dataValidation allowBlank="1" showInputMessage="1" promptTitle="Åtgärd" prompt="Kort beskrivning av åtgärden (fritext, påverkar inte beräkningen)." sqref="P34:P39"/>
    <dataValidation allowBlank="1" showInputMessage="1" promptTitle="År" prompt="År då åtgärden genomförs, t.ex. 2041. Belastar kassaflödet det året (4. NPV rad 25)." sqref="R34:R39"/>
    <dataValidation allowBlank="1" showInputMessage="1" promptTitle="Kostnad" prompt="Kostnad i kr/kvm i kalkylstartens penningvärde. Räknas upp med inflation till åtgärdsåret (kolumn T)." sqref="S34:S39"/>
    <dataValidation allowBlank="1" showInputMessage="1" promptTitle="Justering" prompt="Valfritt: överstyr kostnaden i kr/kvm." sqref="U34:U39"/>
    <dataValidation allowBlank="1" showInputMessage="1" promptTitle="Bidrag" prompt="Ange bidrag och intäkter som negativt belopp (t.ex. −2 000 000). Raden summeras med kostnaderna i Summa investering." sqref="G64:K64"/>
    <dataValidation allowBlank="1" showInputMessage="1" promptTitle="Ersättningslokaler" prompt="Engångskostnad som ingår i investeringen. Löpande hyra för ersättningslokaler anges i stället i P11 (kr/år). Ange inte samma kostnad på båda ställena." sqref="G65:K65"/>
    <dataValidation allowBlank="1" showInputMessage="1" promptTitle="Projektbudget" prompt="Belopp i kr per objekt (kolumnerna = objekten i Ytor, rad 23–27). Summeras i rad 69 och styr Budget kr/kvm (S23:S27)." sqref="G55:K63"/>
    <dataValidation allowBlank="1" showInputMessage="1" promptTitle="Projektbudget" prompt="Belopp i kr per objekt (kolumnerna = objekten i Ytor, rad 23–27). Summeras i rad 69 och styr Budget kr/kvm (S23:S27)." sqref="G66:K68"/>
    <dataValidation allowBlank="1" showInputMessage="1" promptTitle="Drift och underhåll" prompt="Kr/kvm och år i kalkylstartens penningvärde. Befintligt = objekt med typ Bef, Omb, Ins eller Mar. Nybyggnad/Tillbyggnad = typ Nyb (kolumn E i Ytor)." sqref="G34:H38"/>
    <dataValidation allowBlank="1" showInputMessage="1" promptTitle="Höjningsår" prompt="Antal år efter kalkylstart då höjningen börjar gälla. Ändras normalt inte." sqref="L33:M33"/>
    <dataValidation allowBlank="1" showInputMessage="1" promptTitle="Kostnadshöjning" prompt="Stegvis höjning av posten i %, utöver inflation, från året i rubriken. 15-årshöjningen läggs ovanpå 10-årshöjningen." sqref="L34:M38"/>
    <dataValidation allowBlank="1" showInputMessage="1" promptTitle="Justering" prompt="Summan av bedömningarna i sektion 5 Restvärdesbedömning (H79). Ändras där." sqref="M10"/>
    <dataValidation allowBlank="1" showInputMessage="1" promptTitle="Avskrivningstid befintligt" prompt="Valfritt: återstående avskrivningstid i år för befintligt bokfört värde (P9). Tomt = Avskrivningstid (P16)." sqref="Q13"/>
    <dataValidation allowBlank="1" showInputMessage="1" promptTitle="Årlig avskrivning" prompt="Årlig avskrivning för investeringen. Tomt = viktat värde från Avskrivning-tabellen (T10)." sqref="Q15"/>
    <dataValidation allowBlank="1" showInputMessage="1" promptTitle="Kalkylperiod" prompt="Kalkylperiod i år (normalt 20). Tomt = avskrivningstiden (P16)." sqref="Q17"/>
  </dataValidations>
  <pageMargins left="0.39370078740157477" right="0.39370078740157477" top="0.59055118110236215" bottom="0.59055118110236215" header="0.23622047244094485" footer="0.23622047244094485"/>
  <pageSetup paperSize="8" scale="61" orientation="landscape" r:id="rId1"/>
  <headerFooter differentFirst="1">
    <oddFooter>&amp;LLejonfastigheter · Investeringskalkyl LM 371 v3.2&amp;C2. Kalkyldata&amp;RSida &amp;P av &amp;N · &amp;D</oddFooter>
    <firstHeader>&amp;L&amp;"Arial,Regular"&amp;8&amp;G</firstHeader>
    <firstFooter>&amp;LLejonfastigheter · Investeringskalkyl LM 371 v3.2&amp;C2. Kalkyldata&amp;RSida &amp;P av &amp;N · &amp;D</firstFooter>
  </headerFooter>
  <legacy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1000000}" promptTitle="Typ" prompt="Bef = befintligt avtal som löper vidare (nollalternativ, ingår bara i krav 3). Omb = ombyggnad, Nyb = nybyggnad/tillbyggnad, Ins = installationer, Mar = mark. Typen styr också driftkolumnen i sektion 3.">
          <x14:formula1>
            <xm:f>'Kontoplan RR'!$F$6:$F$10</xm:f>
          </x14:formula1>
          <xm:sqref>E23:E27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pageSetUpPr fitToPage="1"/>
  </sheetPr>
  <dimension ref="A1:BI61"/>
  <sheetViews>
    <sheetView showGridLines="0" topLeftCell="A3" zoomScaleNormal="100" zoomScaleSheetLayoutView="85" workbookViewId="0">
      <selection activeCell="E9" sqref="E9"/>
    </sheetView>
  </sheetViews>
  <sheetFormatPr defaultColWidth="9" defaultRowHeight="14.25" outlineLevelRow="1"/>
  <cols>
    <col min="1" max="1" width="2.625" style="11" customWidth="1"/>
    <col min="2" max="2" width="31.0" style="11" customWidth="1"/>
    <col min="3" max="3" width="12.875" style="11" customWidth="1"/>
    <col min="4" max="53" width="12.625" style="11" customWidth="1"/>
    <col min="54" max="54" width="9" style="11"/>
    <col min="55" max="16384" width="9" style="12"/>
  </cols>
  <sheetData>
    <row r="1" spans="2:54" s="11" customFormat="1" hidden="1">
      <c r="B1" s="208" t="s">
        <v>203</v>
      </c>
      <c r="C1" s="209">
        <f ca="1">NOW()</f>
        <v>46306.928253740465</v>
      </c>
      <c r="D1" s="494"/>
      <c r="E1" s="494"/>
      <c r="F1" s="494"/>
      <c r="G1" s="494"/>
      <c r="H1" s="494"/>
      <c r="I1" s="494"/>
      <c r="J1" s="494"/>
      <c r="K1" s="494"/>
      <c r="L1" s="494"/>
      <c r="M1" s="494"/>
      <c r="N1" s="494"/>
      <c r="O1" s="494"/>
      <c r="P1" s="494"/>
      <c r="Q1" s="494"/>
      <c r="R1" s="494"/>
      <c r="S1" s="494"/>
      <c r="T1" s="494"/>
      <c r="U1" s="494"/>
      <c r="V1" s="494"/>
      <c r="W1" s="494"/>
      <c r="X1" s="494"/>
      <c r="Y1" s="494"/>
      <c r="Z1" s="494"/>
      <c r="AA1" s="494"/>
      <c r="AB1" s="494"/>
      <c r="AC1" s="494"/>
      <c r="AD1" s="494"/>
      <c r="AE1" s="494"/>
      <c r="AF1" s="494"/>
      <c r="AG1" s="494"/>
      <c r="AH1" s="494"/>
      <c r="AI1" s="494"/>
      <c r="AJ1" s="494"/>
      <c r="AK1" s="494"/>
      <c r="AL1" s="494"/>
      <c r="AM1" s="494"/>
      <c r="AN1" s="494"/>
      <c r="AO1" s="494"/>
      <c r="AP1" s="494"/>
      <c r="AQ1" s="494"/>
      <c r="AR1" s="494"/>
      <c r="AS1" s="494"/>
      <c r="AT1" s="494"/>
      <c r="AU1" s="494"/>
      <c r="AV1" s="494"/>
      <c r="AW1" s="494"/>
      <c r="AX1" s="494"/>
      <c r="AY1" s="494"/>
      <c r="AZ1" s="494"/>
      <c r="BA1" s="494"/>
      <c r="BB1" s="494"/>
    </row>
    <row r="2" spans="2:54" s="11" customFormat="1" hidden="1">
      <c r="B2" s="494"/>
      <c r="C2" s="612"/>
      <c r="D2" s="494"/>
      <c r="E2" s="494"/>
      <c r="F2" s="494"/>
      <c r="G2" s="494"/>
      <c r="H2" s="494"/>
      <c r="I2" s="494"/>
      <c r="J2" s="494"/>
      <c r="K2" s="494"/>
      <c r="L2" s="494"/>
      <c r="M2" s="494"/>
      <c r="N2" s="494"/>
      <c r="O2" s="494"/>
      <c r="P2" s="494"/>
      <c r="Q2" s="494"/>
      <c r="R2" s="494"/>
      <c r="S2" s="494"/>
      <c r="T2" s="494"/>
      <c r="U2" s="494"/>
      <c r="V2" s="494"/>
      <c r="W2" s="494"/>
      <c r="X2" s="494"/>
      <c r="Y2" s="494"/>
      <c r="Z2" s="494"/>
      <c r="AA2" s="494"/>
      <c r="AB2" s="494"/>
      <c r="AC2" s="494"/>
      <c r="AD2" s="494"/>
      <c r="AE2" s="494"/>
      <c r="AF2" s="494"/>
      <c r="AG2" s="494"/>
      <c r="AH2" s="494"/>
      <c r="AI2" s="494"/>
      <c r="AJ2" s="494"/>
      <c r="AK2" s="494"/>
      <c r="AL2" s="494"/>
      <c r="AM2" s="494"/>
      <c r="AN2" s="494"/>
      <c r="AO2" s="494"/>
      <c r="AP2" s="494"/>
      <c r="AQ2" s="494"/>
      <c r="AR2" s="494"/>
      <c r="AS2" s="494"/>
      <c r="AT2" s="494"/>
      <c r="AU2" s="494"/>
      <c r="AV2" s="494"/>
      <c r="AW2" s="494"/>
      <c r="AX2" s="494"/>
      <c r="AY2" s="494"/>
      <c r="AZ2" s="494"/>
      <c r="BA2" s="494"/>
      <c r="BB2" s="494"/>
    </row>
    <row r="3" spans="2:54" s="11" customFormat="1" ht="23.25">
      <c r="B3" s="185" t="s">
        <v>204</v>
      </c>
      <c r="C3" s="612"/>
      <c r="D3" s="494"/>
      <c r="E3" s="494"/>
      <c r="F3" s="494"/>
      <c r="G3" s="494"/>
      <c r="H3" s="494"/>
      <c r="I3" s="494"/>
      <c r="J3" s="494"/>
      <c r="K3" s="494"/>
      <c r="L3" s="494"/>
      <c r="M3" s="494"/>
      <c r="N3" s="494"/>
      <c r="O3" s="494"/>
      <c r="P3" s="494"/>
      <c r="Q3" s="494"/>
      <c r="R3" s="494"/>
      <c r="S3" s="494"/>
      <c r="T3" s="494"/>
      <c r="U3" s="494"/>
      <c r="V3" s="494"/>
      <c r="W3" s="494"/>
      <c r="X3" s="494"/>
      <c r="Y3" s="494"/>
      <c r="Z3" s="494"/>
      <c r="AA3" s="494"/>
      <c r="AB3" s="494"/>
      <c r="AC3" s="494"/>
      <c r="AD3" s="494"/>
      <c r="AE3" s="494"/>
      <c r="AF3" s="494"/>
      <c r="AG3" s="494"/>
      <c r="AH3" s="494"/>
      <c r="AI3" s="494"/>
      <c r="AJ3" s="494"/>
      <c r="AK3" s="494"/>
      <c r="AL3" s="494"/>
      <c r="AM3" s="494"/>
      <c r="AN3" s="494"/>
      <c r="AO3" s="494"/>
      <c r="AP3" s="494"/>
      <c r="AQ3" s="494"/>
      <c r="AR3" s="494"/>
      <c r="AS3" s="494"/>
      <c r="AT3" s="494"/>
      <c r="AU3" s="494"/>
      <c r="AV3" s="494"/>
      <c r="AW3" s="494"/>
      <c r="AX3" s="494"/>
      <c r="AY3" s="494"/>
      <c r="AZ3" s="494"/>
      <c r="BA3" s="494"/>
      <c r="BB3" s="494"/>
    </row>
    <row r="4" spans="2:54" s="11" customFormat="1" ht="68.0" customHeight="1">
      <c r="B4" s="713" t="inlineStr">
        <is>
          <t>Finansieringsantagandena (ränta, amortering, belåningsgrad) matas in i C7:C10 och ändras endast efter OK från ansvarig för bolagets finansiering. Fliken räknar fram lån, räntekostnad och amortering per år samt bokfört värde och avskrivning. Eget kapital, skuld, ränta, amortering, avskrivning och bokfört värde används i 5. IRR; investeringen per år i 4. NPV.</t>
        </is>
      </c>
      <c r="C4" s="713"/>
      <c r="D4" s="713"/>
      <c r="E4" s="713"/>
      <c r="F4" s="713"/>
      <c r="G4" s="713"/>
      <c r="H4" s="713"/>
      <c r="I4" s="494"/>
      <c r="J4" s="494"/>
      <c r="K4" s="494"/>
      <c r="L4" s="494"/>
      <c r="M4" s="494"/>
      <c r="N4" s="494"/>
      <c r="O4" s="494"/>
      <c r="P4" s="494"/>
      <c r="Q4" s="494"/>
      <c r="R4" s="494"/>
      <c r="S4" s="494"/>
      <c r="T4" s="494"/>
      <c r="U4" s="494"/>
      <c r="V4" s="494"/>
      <c r="W4" s="494"/>
      <c r="X4" s="494"/>
      <c r="Y4" s="494"/>
      <c r="Z4" s="494"/>
      <c r="AA4" s="494"/>
      <c r="AB4" s="494"/>
      <c r="AC4" s="494"/>
      <c r="AD4" s="494"/>
      <c r="AE4" s="494"/>
      <c r="AF4" s="494"/>
      <c r="AG4" s="494"/>
      <c r="AH4" s="494"/>
      <c r="AI4" s="494"/>
      <c r="AJ4" s="494"/>
      <c r="AK4" s="494"/>
      <c r="AL4" s="494"/>
      <c r="AM4" s="494"/>
      <c r="AN4" s="494"/>
      <c r="AO4" s="494"/>
      <c r="AP4" s="494"/>
      <c r="AQ4" s="494"/>
      <c r="AR4" s="494"/>
      <c r="AS4" s="494"/>
      <c r="AT4" s="494"/>
      <c r="AU4" s="494"/>
      <c r="AV4" s="494"/>
      <c r="AW4" s="494"/>
      <c r="AX4" s="494"/>
      <c r="AY4" s="494"/>
      <c r="AZ4" s="494"/>
      <c r="BA4" s="494"/>
      <c r="BB4" s="494"/>
    </row>
    <row r="5" spans="2:54" s="11" customFormat="1">
      <c r="B5" s="494"/>
      <c r="C5" s="612"/>
      <c r="D5" s="494"/>
      <c r="E5" s="494"/>
      <c r="F5" s="494"/>
      <c r="G5" s="494"/>
      <c r="H5" s="494"/>
      <c r="I5" s="494"/>
      <c r="J5" s="494"/>
      <c r="K5" s="494"/>
      <c r="L5" s="494"/>
      <c r="M5" s="494"/>
      <c r="N5" s="494"/>
      <c r="O5" s="494"/>
      <c r="P5" s="494"/>
      <c r="Q5" s="494"/>
      <c r="R5" s="494"/>
      <c r="S5" s="494"/>
      <c r="T5" s="494"/>
      <c r="U5" s="494"/>
      <c r="V5" s="494"/>
      <c r="W5" s="494"/>
      <c r="X5" s="494"/>
      <c r="Y5" s="494"/>
      <c r="Z5" s="494"/>
      <c r="AA5" s="494"/>
      <c r="AB5" s="494"/>
      <c r="AC5" s="494"/>
      <c r="AD5" s="494"/>
      <c r="AE5" s="494"/>
      <c r="AF5" s="494"/>
      <c r="AG5" s="494"/>
      <c r="AH5" s="494"/>
      <c r="AI5" s="494"/>
      <c r="AJ5" s="494"/>
      <c r="AK5" s="494"/>
      <c r="AL5" s="494"/>
      <c r="AM5" s="494"/>
      <c r="AN5" s="494"/>
      <c r="AO5" s="494"/>
      <c r="AP5" s="494"/>
      <c r="AQ5" s="494"/>
      <c r="AR5" s="494"/>
      <c r="AS5" s="494"/>
      <c r="AT5" s="494"/>
      <c r="AU5" s="494"/>
      <c r="AV5" s="494"/>
      <c r="AW5" s="494"/>
      <c r="AX5" s="494"/>
      <c r="AY5" s="494"/>
      <c r="AZ5" s="494"/>
      <c r="BA5" s="494"/>
      <c r="BB5" s="494"/>
    </row>
    <row r="6" spans="2:54" s="11" customFormat="1" ht="15">
      <c r="B6" s="322" t="s">
        <v>96</v>
      </c>
      <c r="C6" s="347" t="s">
        <v>206</v>
      </c>
      <c r="D6" s="879" t="inlineStr">
        <is>
          <t>Innebär</t>
        </is>
      </c>
      <c r="E6" s="494"/>
      <c r="F6" s="494"/>
      <c r="G6" s="494"/>
      <c r="H6" s="494"/>
      <c r="I6" s="494"/>
      <c r="J6" s="494"/>
      <c r="K6" s="494"/>
      <c r="L6" s="494"/>
      <c r="M6" s="494"/>
      <c r="N6" s="494"/>
      <c r="O6" s="494"/>
      <c r="P6" s="494"/>
      <c r="Q6" s="494"/>
      <c r="R6" s="494"/>
      <c r="S6" s="494"/>
      <c r="T6" s="494"/>
      <c r="U6" s="494"/>
      <c r="V6" s="494"/>
      <c r="W6" s="494"/>
      <c r="X6" s="494"/>
      <c r="Y6" s="494"/>
      <c r="Z6" s="494"/>
      <c r="AA6" s="494"/>
      <c r="AB6" s="494"/>
      <c r="AC6" s="494"/>
      <c r="AD6" s="494"/>
      <c r="AE6" s="494"/>
      <c r="AF6" s="494"/>
      <c r="AG6" s="494"/>
      <c r="AH6" s="494"/>
      <c r="AI6" s="494"/>
      <c r="AJ6" s="494"/>
      <c r="AK6" s="494"/>
      <c r="AL6" s="494"/>
      <c r="AM6" s="494"/>
      <c r="AN6" s="494"/>
      <c r="AO6" s="494"/>
      <c r="AP6" s="494"/>
      <c r="AQ6" s="494"/>
      <c r="AR6" s="494"/>
      <c r="AS6" s="494"/>
      <c r="AT6" s="494"/>
      <c r="AU6" s="494"/>
      <c r="AV6" s="494"/>
      <c r="AW6" s="494"/>
      <c r="AX6" s="494"/>
      <c r="AY6" s="494"/>
      <c r="AZ6" s="494"/>
      <c r="BA6" s="494"/>
      <c r="BB6" s="494"/>
    </row>
    <row r="7" spans="2:54" s="11" customFormat="1">
      <c r="B7" s="227" t="inlineStr">
        <is>
          <t>Ränta byggnadskreditiv (år 1)</t>
        </is>
      </c>
      <c r="C7" s="475">
        <v>3.0700000000000002E-2</v>
      </c>
      <c r="D7" s="227"/>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c r="AK7" s="494"/>
      <c r="AL7" s="494"/>
      <c r="AM7" s="494"/>
      <c r="AN7" s="494"/>
      <c r="AO7" s="494"/>
      <c r="AP7" s="494"/>
      <c r="AQ7" s="494"/>
      <c r="AR7" s="494"/>
      <c r="AS7" s="494"/>
      <c r="AT7" s="494"/>
      <c r="AU7" s="494"/>
      <c r="AV7" s="494"/>
      <c r="AW7" s="494"/>
      <c r="AX7" s="494"/>
      <c r="AY7" s="494"/>
      <c r="AZ7" s="494"/>
      <c r="BA7" s="494"/>
      <c r="BB7" s="494"/>
    </row>
    <row r="8" spans="2:54" s="11" customFormat="1">
      <c r="B8" s="227" t="s">
        <v>74</v>
      </c>
      <c r="C8" s="475">
        <v>4.5499999999999999E-2</v>
      </c>
      <c r="D8" s="349" t="inlineStr">
        <is>
          <t>Nås år 11</t>
        </is>
      </c>
      <c r="E8" s="494"/>
      <c r="F8" s="494"/>
      <c r="G8" s="494"/>
      <c r="H8" s="494"/>
      <c r="I8" s="494"/>
      <c r="J8" s="494"/>
      <c r="K8" s="494"/>
      <c r="L8" s="494"/>
      <c r="M8" s="494"/>
      <c r="N8" s="494"/>
      <c r="O8" s="494"/>
      <c r="P8" s="494"/>
      <c r="Q8" s="494"/>
      <c r="R8" s="494"/>
      <c r="S8" s="494"/>
      <c r="T8" s="494"/>
      <c r="U8" s="494"/>
      <c r="V8" s="494"/>
      <c r="W8" s="494"/>
      <c r="X8" s="494"/>
      <c r="Y8" s="494"/>
      <c r="Z8" s="494"/>
      <c r="AA8" s="494"/>
      <c r="AB8" s="494"/>
      <c r="AC8" s="494"/>
      <c r="AD8" s="494"/>
      <c r="AE8" s="494"/>
      <c r="AF8" s="494"/>
      <c r="AG8" s="494"/>
      <c r="AH8" s="494"/>
      <c r="AI8" s="494"/>
      <c r="AJ8" s="494"/>
      <c r="AK8" s="494"/>
      <c r="AL8" s="494"/>
      <c r="AM8" s="494"/>
      <c r="AN8" s="494"/>
      <c r="AO8" s="494"/>
      <c r="AP8" s="494"/>
      <c r="AQ8" s="494"/>
      <c r="AR8" s="494"/>
      <c r="AS8" s="494"/>
      <c r="AT8" s="494"/>
      <c r="AU8" s="494"/>
      <c r="AV8" s="494"/>
      <c r="AW8" s="494"/>
      <c r="AX8" s="494"/>
      <c r="AY8" s="494"/>
      <c r="AZ8" s="494"/>
      <c r="BA8" s="494"/>
      <c r="BB8" s="494"/>
    </row>
    <row r="9" spans="2:54" s="11" customFormat="1">
      <c r="B9" s="227" t="inlineStr">
        <is>
          <t>Amortering per år</t>
        </is>
      </c>
      <c r="C9" s="475">
        <v>0.03</v>
      </c>
      <c r="D9" s="350">
        <f>(FLOOR(100%/C9,1))</f>
        <v>33.0</v>
      </c>
      <c r="E9" s="494"/>
      <c r="F9" s="494"/>
      <c r="G9" s="494"/>
      <c r="H9" s="494"/>
      <c r="I9" s="494"/>
      <c r="J9" s="494"/>
      <c r="K9" s="494"/>
      <c r="L9" s="494"/>
      <c r="M9" s="494"/>
      <c r="N9" s="494"/>
      <c r="O9" s="494"/>
      <c r="P9" s="494"/>
      <c r="Q9" s="494"/>
      <c r="R9" s="494"/>
      <c r="S9" s="494"/>
      <c r="T9" s="494"/>
      <c r="U9" s="494"/>
      <c r="V9" s="494"/>
      <c r="W9" s="494"/>
      <c r="X9" s="494"/>
      <c r="Y9" s="494"/>
      <c r="Z9" s="494"/>
      <c r="AA9" s="494"/>
      <c r="AB9" s="494"/>
      <c r="AC9" s="494"/>
      <c r="AD9" s="494"/>
      <c r="AE9" s="494"/>
      <c r="AF9" s="494"/>
      <c r="AG9" s="494"/>
      <c r="AH9" s="494"/>
      <c r="AI9" s="494"/>
      <c r="AJ9" s="494"/>
      <c r="AK9" s="494"/>
      <c r="AL9" s="494"/>
      <c r="AM9" s="494"/>
      <c r="AN9" s="494"/>
      <c r="AO9" s="494"/>
      <c r="AP9" s="494"/>
      <c r="AQ9" s="494"/>
      <c r="AR9" s="494"/>
      <c r="AS9" s="494"/>
      <c r="AT9" s="494"/>
      <c r="AU9" s="494"/>
      <c r="AV9" s="494"/>
      <c r="AW9" s="494"/>
      <c r="AX9" s="494"/>
      <c r="AY9" s="494"/>
      <c r="AZ9" s="494"/>
      <c r="BA9" s="494"/>
      <c r="BB9" s="494"/>
    </row>
    <row r="10" spans="2:54" s="11" customFormat="1">
      <c r="B10" s="227" t="s">
        <v>76</v>
      </c>
      <c r="C10" s="476">
        <v>0.37</v>
      </c>
      <c r="D10" s="227"/>
      <c r="E10" s="494"/>
      <c r="F10" s="494"/>
      <c r="G10" s="494"/>
      <c r="H10" s="494"/>
      <c r="I10" s="494"/>
      <c r="J10" s="494"/>
      <c r="K10" s="494"/>
      <c r="L10" s="494"/>
      <c r="M10" s="494"/>
      <c r="N10" s="494"/>
      <c r="O10" s="494"/>
      <c r="P10" s="494"/>
      <c r="Q10" s="494"/>
      <c r="R10" s="494"/>
      <c r="S10" s="494"/>
      <c r="T10" s="494"/>
      <c r="U10" s="494"/>
      <c r="V10" s="494"/>
      <c r="W10" s="494"/>
      <c r="X10" s="494"/>
      <c r="Y10" s="494"/>
      <c r="Z10" s="494"/>
      <c r="AA10" s="494"/>
      <c r="AB10" s="494"/>
      <c r="AC10" s="494"/>
      <c r="AD10" s="494"/>
      <c r="AE10" s="494"/>
      <c r="AF10" s="494"/>
      <c r="AG10" s="494"/>
      <c r="AH10" s="494"/>
      <c r="AI10" s="494"/>
      <c r="AJ10" s="494"/>
      <c r="AK10" s="494"/>
      <c r="AL10" s="494"/>
      <c r="AM10" s="494"/>
      <c r="AN10" s="494"/>
      <c r="AO10" s="494"/>
      <c r="AP10" s="494"/>
      <c r="AQ10" s="494"/>
      <c r="AR10" s="494"/>
      <c r="AS10" s="494"/>
      <c r="AT10" s="494"/>
      <c r="AU10" s="494"/>
      <c r="AV10" s="494"/>
      <c r="AW10" s="494"/>
      <c r="AX10" s="494"/>
      <c r="AY10" s="494"/>
      <c r="AZ10" s="494"/>
      <c r="BA10" s="494"/>
      <c r="BB10" s="494"/>
    </row>
    <row r="11" spans="2:54" s="11" customFormat="1">
      <c r="B11" s="494"/>
      <c r="C11" s="598"/>
      <c r="D11" s="494"/>
      <c r="E11" s="494"/>
      <c r="F11" s="494"/>
      <c r="G11" s="494"/>
      <c r="H11" s="494"/>
      <c r="I11" s="494"/>
      <c r="J11" s="494"/>
      <c r="K11" s="494"/>
      <c r="L11" s="494"/>
      <c r="M11" s="494"/>
      <c r="N11" s="494"/>
      <c r="O11" s="494"/>
      <c r="P11" s="494"/>
      <c r="Q11" s="494"/>
      <c r="R11" s="494"/>
      <c r="S11" s="494"/>
      <c r="T11" s="494"/>
      <c r="U11" s="494"/>
      <c r="V11" s="494"/>
      <c r="W11" s="494"/>
      <c r="X11" s="494"/>
      <c r="Y11" s="494"/>
      <c r="Z11" s="494"/>
      <c r="AA11" s="494"/>
      <c r="AB11" s="494"/>
      <c r="AC11" s="494"/>
      <c r="AD11" s="494"/>
      <c r="AE11" s="494"/>
      <c r="AF11" s="494"/>
      <c r="AG11" s="494"/>
      <c r="AH11" s="494"/>
      <c r="AI11" s="494"/>
      <c r="AJ11" s="494"/>
      <c r="AK11" s="494"/>
      <c r="AL11" s="494"/>
      <c r="AM11" s="494"/>
      <c r="AN11" s="494"/>
      <c r="AO11" s="494"/>
      <c r="AP11" s="494"/>
      <c r="AQ11" s="494"/>
      <c r="AR11" s="494"/>
      <c r="AS11" s="494"/>
      <c r="AT11" s="494"/>
      <c r="AU11" s="494"/>
      <c r="AV11" s="494"/>
      <c r="AW11" s="494"/>
      <c r="AX11" s="494"/>
      <c r="AY11" s="494"/>
      <c r="AZ11" s="494"/>
      <c r="BA11" s="494"/>
      <c r="BB11" s="494"/>
    </row>
    <row r="12" spans="2:54" s="210" customFormat="1" hidden="1">
      <c r="D12" s="210" t="str">
        <f>'4. NPV'!D3</f>
        <v>&lt;=2026</v>
      </c>
      <c r="E12" s="210" t="str">
        <f>'4. NPV'!E3</f>
        <v>&lt;=2027</v>
      </c>
      <c r="F12" s="210" t="str">
        <f>'4. NPV'!F3</f>
        <v>&lt;=2028</v>
      </c>
      <c r="G12" s="210" t="str">
        <f>'4. NPV'!G3</f>
        <v>&lt;=2029</v>
      </c>
      <c r="H12" s="210" t="str">
        <f>'4. NPV'!H3</f>
        <v>&lt;=2030</v>
      </c>
      <c r="I12" s="210" t="str">
        <f>'4. NPV'!I3</f>
        <v>&lt;=2031</v>
      </c>
      <c r="J12" s="210" t="str">
        <f>'4. NPV'!J3</f>
        <v>&lt;=2032</v>
      </c>
      <c r="K12" s="210" t="str">
        <f>'4. NPV'!K3</f>
        <v>&lt;=2033</v>
      </c>
      <c r="L12" s="210" t="str">
        <f>'4. NPV'!L3</f>
        <v>&lt;=2034</v>
      </c>
      <c r="M12" s="210" t="str">
        <f>'4. NPV'!M3</f>
        <v>&lt;=2035</v>
      </c>
      <c r="N12" s="210" t="str">
        <f>'4. NPV'!N3</f>
        <v>&lt;=2036</v>
      </c>
      <c r="O12" s="210" t="str">
        <f>'4. NPV'!O3</f>
        <v>&lt;=2037</v>
      </c>
      <c r="P12" s="210" t="str">
        <f>'4. NPV'!P3</f>
        <v>&lt;=2038</v>
      </c>
      <c r="Q12" s="210" t="str">
        <f>'4. NPV'!Q3</f>
        <v>&lt;=2039</v>
      </c>
      <c r="R12" s="210" t="str">
        <f>'4. NPV'!R3</f>
        <v>&lt;=2040</v>
      </c>
      <c r="S12" s="210" t="str">
        <f>'4. NPV'!S3</f>
        <v>&lt;=2041</v>
      </c>
      <c r="T12" s="210" t="str">
        <f>'4. NPV'!T3</f>
        <v>&lt;=2042</v>
      </c>
      <c r="U12" s="210" t="str">
        <f>'4. NPV'!U3</f>
        <v>&lt;=2043</v>
      </c>
      <c r="V12" s="210" t="str">
        <f>'4. NPV'!V3</f>
        <v>&lt;=2044</v>
      </c>
      <c r="W12" s="210" t="str">
        <f>'4. NPV'!W3</f>
        <v>&lt;=2045</v>
      </c>
      <c r="X12" s="210" t="str">
        <f>'4. NPV'!X3</f>
        <v>&lt;=2046</v>
      </c>
      <c r="Y12" s="210" t="str">
        <f>'4. NPV'!Y3</f>
        <v>&lt;=</v>
      </c>
      <c r="Z12" s="210" t="str">
        <f>'4. NPV'!Z3</f>
        <v>&lt;=</v>
      </c>
      <c r="AA12" s="210" t="str">
        <f>'4. NPV'!AA3</f>
        <v>&lt;=</v>
      </c>
      <c r="AB12" s="210" t="str">
        <f>'4. NPV'!AB3</f>
        <v>&lt;=</v>
      </c>
      <c r="AC12" s="210" t="str">
        <f>'4. NPV'!AC3</f>
        <v>&lt;=</v>
      </c>
      <c r="AD12" s="210" t="str">
        <f>'4. NPV'!AD3</f>
        <v>&lt;=</v>
      </c>
      <c r="AE12" s="210" t="str">
        <f>'4. NPV'!AE3</f>
        <v>&lt;=</v>
      </c>
      <c r="AF12" s="210" t="str">
        <f>'4. NPV'!AF3</f>
        <v>&lt;=</v>
      </c>
      <c r="AG12" s="210" t="str">
        <f>'4. NPV'!AG3</f>
        <v>&lt;=</v>
      </c>
      <c r="AH12" s="210" t="str">
        <f>'4. NPV'!AH3</f>
        <v>&lt;=</v>
      </c>
      <c r="AI12" s="210" t="str">
        <f>'4. NPV'!AI3</f>
        <v>&lt;=</v>
      </c>
      <c r="AJ12" s="210" t="str">
        <f>'4. NPV'!AJ3</f>
        <v>&lt;=</v>
      </c>
      <c r="AK12" s="210" t="str">
        <f>'4. NPV'!AK3</f>
        <v>&lt;=</v>
      </c>
      <c r="AL12" s="210" t="str">
        <f>'4. NPV'!AL3</f>
        <v>&lt;=</v>
      </c>
      <c r="AM12" s="210" t="str">
        <f>'4. NPV'!AM3</f>
        <v>&lt;=</v>
      </c>
      <c r="AN12" s="210" t="str">
        <f>'4. NPV'!AN3</f>
        <v>&lt;=</v>
      </c>
      <c r="AO12" s="210" t="str">
        <f>'4. NPV'!AO3</f>
        <v>&lt;=</v>
      </c>
      <c r="AP12" s="210" t="str">
        <f>'4. NPV'!AP3</f>
        <v>&lt;=</v>
      </c>
      <c r="AQ12" s="210" t="str">
        <f>'4. NPV'!AQ3</f>
        <v>&lt;=</v>
      </c>
      <c r="AR12" s="210" t="str">
        <f>'4. NPV'!AR3</f>
        <v>&lt;=</v>
      </c>
      <c r="AS12" s="210" t="str">
        <f>'4. NPV'!AS3</f>
        <v>&lt;=</v>
      </c>
      <c r="AT12" s="210" t="str">
        <f>'4. NPV'!AT3</f>
        <v>&lt;=</v>
      </c>
      <c r="AU12" s="210" t="str">
        <f>'4. NPV'!AU3</f>
        <v>&lt;=</v>
      </c>
      <c r="AV12" s="210" t="str">
        <f>'4. NPV'!AV3</f>
        <v>&lt;=</v>
      </c>
      <c r="AW12" s="210" t="str">
        <f>'4. NPV'!AW3</f>
        <v>&lt;=</v>
      </c>
      <c r="AX12" s="210" t="str">
        <f>'4. NPV'!AX3</f>
        <v>&lt;=</v>
      </c>
      <c r="AY12" s="210" t="str">
        <f>'4. NPV'!AY3</f>
        <v>&lt;=</v>
      </c>
      <c r="AZ12" s="210" t="str">
        <f>'4. NPV'!AZ3</f>
        <v>&lt;=</v>
      </c>
      <c r="BA12" s="210" t="str">
        <f>'4. NPV'!BA3</f>
        <v>&lt;=</v>
      </c>
    </row>
    <row r="13" spans="2:54" ht="15">
      <c r="B13" s="322" t="s">
        <v>192</v>
      </c>
      <c r="C13" s="322"/>
      <c r="D13" s="322">
        <f>IF(D14&lt;='2. Kalkyldata'!$P$17+1,'2. Kalkyldata'!$P$5+C14,"")</f>
        <v>2026.0</v>
      </c>
      <c r="E13" s="322">
        <f>IF(E14&lt;='2. Kalkyldata'!$P$17+1,'2. Kalkyldata'!$P$5+D14,"")</f>
        <v>2027.0</v>
      </c>
      <c r="F13" s="322">
        <f>IF(F14&lt;='2. Kalkyldata'!$P$17+1,'2. Kalkyldata'!$P$5+E14,"")</f>
        <v>2028.0</v>
      </c>
      <c r="G13" s="322">
        <f>IF(G14&lt;='2. Kalkyldata'!$P$17+1,'2. Kalkyldata'!$P$5+F14,"")</f>
        <v>2029.0</v>
      </c>
      <c r="H13" s="322">
        <f>IF(H14&lt;='2. Kalkyldata'!$P$17+1,'2. Kalkyldata'!$P$5+G14,"")</f>
        <v>2030.0</v>
      </c>
      <c r="I13" s="322">
        <f>IF(I14&lt;='2. Kalkyldata'!$P$17+1,'2. Kalkyldata'!$P$5+H14,"")</f>
        <v>2031.0</v>
      </c>
      <c r="J13" s="322">
        <f>IF(J14&lt;='2. Kalkyldata'!$P$17+1,'2. Kalkyldata'!$P$5+I14,"")</f>
        <v>2032.0</v>
      </c>
      <c r="K13" s="322">
        <f>IF(K14&lt;='2. Kalkyldata'!$P$17+1,'2. Kalkyldata'!$P$5+J14,"")</f>
        <v>2033.0</v>
      </c>
      <c r="L13" s="322">
        <f>IF(L14&lt;='2. Kalkyldata'!$P$17+1,'2. Kalkyldata'!$P$5+K14,"")</f>
        <v>2034.0</v>
      </c>
      <c r="M13" s="322">
        <f>IF(M14&lt;='2. Kalkyldata'!$P$17+1,'2. Kalkyldata'!$P$5+L14,"")</f>
        <v>2035.0</v>
      </c>
      <c r="N13" s="322">
        <f>IF(N14&lt;='2. Kalkyldata'!$P$17+1,'2. Kalkyldata'!$P$5+M14,"")</f>
        <v>2036.0</v>
      </c>
      <c r="O13" s="322">
        <f>IF(O14&lt;='2. Kalkyldata'!$P$17+1,'2. Kalkyldata'!$P$5+N14,"")</f>
        <v>2037.0</v>
      </c>
      <c r="P13" s="322">
        <f>IF(P14&lt;='2. Kalkyldata'!$P$17+1,'2. Kalkyldata'!$P$5+O14,"")</f>
        <v>2038.0</v>
      </c>
      <c r="Q13" s="322">
        <f>IF(Q14&lt;='2. Kalkyldata'!$P$17+1,'2. Kalkyldata'!$P$5+P14,"")</f>
        <v>2039.0</v>
      </c>
      <c r="R13" s="322">
        <f>IF(R14&lt;='2. Kalkyldata'!$P$17+1,'2. Kalkyldata'!$P$5+Q14,"")</f>
        <v>2040.0</v>
      </c>
      <c r="S13" s="322">
        <f>IF(S14&lt;='2. Kalkyldata'!$P$17+1,'2. Kalkyldata'!$P$5+R14,"")</f>
        <v>2041.0</v>
      </c>
      <c r="T13" s="322">
        <f>IF(T14&lt;='2. Kalkyldata'!$P$17+1,'2. Kalkyldata'!$P$5+S14,"")</f>
        <v>2042.0</v>
      </c>
      <c r="U13" s="322">
        <f>IF(U14&lt;='2. Kalkyldata'!$P$17+1,'2. Kalkyldata'!$P$5+T14,"")</f>
        <v>2043.0</v>
      </c>
      <c r="V13" s="322">
        <f>IF(V14&lt;='2. Kalkyldata'!$P$17+1,'2. Kalkyldata'!$P$5+U14,"")</f>
        <v>2044.0</v>
      </c>
      <c r="W13" s="322">
        <f>IF(W14&lt;='2. Kalkyldata'!$P$17+1,'2. Kalkyldata'!$P$5+V14,"")</f>
        <v>2045.0</v>
      </c>
      <c r="X13" s="322">
        <f>IF(X14&lt;='2. Kalkyldata'!$P$17+1,'2. Kalkyldata'!$P$5+W14,"")</f>
        <v>2046.0</v>
      </c>
      <c r="Y13" s="322" t="str">
        <f>IF(Y14&lt;='2. Kalkyldata'!$P$17+1,'2. Kalkyldata'!$P$5+X14,"")</f>
        <v/>
      </c>
      <c r="Z13" s="322" t="str">
        <f>IF(Z14&lt;='2. Kalkyldata'!$P$17+1,'2. Kalkyldata'!$P$5+Y14,"")</f>
        <v/>
      </c>
      <c r="AA13" s="322" t="str">
        <f>IF(AA14&lt;='2. Kalkyldata'!$P$17+1,'2. Kalkyldata'!$P$5+Z14,"")</f>
        <v/>
      </c>
      <c r="AB13" s="322" t="str">
        <f>IF(AB14&lt;='2. Kalkyldata'!$P$17+1,'2. Kalkyldata'!$P$5+AA14,"")</f>
        <v/>
      </c>
      <c r="AC13" s="322" t="str">
        <f>IF(AC14&lt;='2. Kalkyldata'!$P$17+1,'2. Kalkyldata'!$P$5+AB14,"")</f>
        <v/>
      </c>
      <c r="AD13" s="322" t="str">
        <f>IF(AD14&lt;='2. Kalkyldata'!$P$17+1,'2. Kalkyldata'!$P$5+AC14,"")</f>
        <v/>
      </c>
      <c r="AE13" s="322" t="str">
        <f>IF(AE14&lt;='2. Kalkyldata'!$P$17+1,'2. Kalkyldata'!$P$5+AD14,"")</f>
        <v/>
      </c>
      <c r="AF13" s="322" t="str">
        <f>IF(AF14&lt;='2. Kalkyldata'!$P$17+1,'2. Kalkyldata'!$P$5+AE14,"")</f>
        <v/>
      </c>
      <c r="AG13" s="322" t="str">
        <f>IF(AG14&lt;='2. Kalkyldata'!$P$17+1,'2. Kalkyldata'!$P$5+AF14,"")</f>
        <v/>
      </c>
      <c r="AH13" s="322" t="str">
        <f>IF(AH14&lt;='2. Kalkyldata'!$P$17+1,'2. Kalkyldata'!$P$5+AG14,"")</f>
        <v/>
      </c>
      <c r="AI13" s="322" t="str">
        <f>IF(AI14&lt;='2. Kalkyldata'!$P$17+1,'2. Kalkyldata'!$P$5+AH14,"")</f>
        <v/>
      </c>
      <c r="AJ13" s="322" t="str">
        <f>IF(AJ14&lt;='2. Kalkyldata'!$P$17+1,'2. Kalkyldata'!$P$5+AI14,"")</f>
        <v/>
      </c>
      <c r="AK13" s="322" t="str">
        <f>IF(AK14&lt;='2. Kalkyldata'!$P$17+1,'2. Kalkyldata'!$P$5+AJ14,"")</f>
        <v/>
      </c>
      <c r="AL13" s="322" t="str">
        <f>IF(AL14&lt;='2. Kalkyldata'!$P$17+1,'2. Kalkyldata'!$P$5+AK14,"")</f>
        <v/>
      </c>
      <c r="AM13" s="322" t="str">
        <f>IF(AM14&lt;='2. Kalkyldata'!$P$17+1,'2. Kalkyldata'!$P$5+AL14,"")</f>
        <v/>
      </c>
      <c r="AN13" s="322" t="str">
        <f>IF(AN14&lt;='2. Kalkyldata'!$P$17+1,'2. Kalkyldata'!$P$5+AM14,"")</f>
        <v/>
      </c>
      <c r="AO13" s="322" t="str">
        <f>IF(AO14&lt;='2. Kalkyldata'!$P$17+1,'2. Kalkyldata'!$P$5+AN14,"")</f>
        <v/>
      </c>
      <c r="AP13" s="322" t="str">
        <f>IF(AP14&lt;='2. Kalkyldata'!$P$17+1,'2. Kalkyldata'!$P$5+AO14,"")</f>
        <v/>
      </c>
      <c r="AQ13" s="322" t="str">
        <f>IF(AQ14&lt;='2. Kalkyldata'!$P$17+1,'2. Kalkyldata'!$P$5+AP14,"")</f>
        <v/>
      </c>
      <c r="AR13" s="322" t="str">
        <f>IF(AR14&lt;='2. Kalkyldata'!$P$17+1,'2. Kalkyldata'!$P$5+AQ14,"")</f>
        <v/>
      </c>
      <c r="AS13" s="322" t="str">
        <f>IF(AS14&lt;='2. Kalkyldata'!$P$17+1,'2. Kalkyldata'!$P$5+AR14,"")</f>
        <v/>
      </c>
      <c r="AT13" s="322" t="str">
        <f>IF(AT14&lt;='2. Kalkyldata'!$P$17+1,'2. Kalkyldata'!$P$5+AS14,"")</f>
        <v/>
      </c>
      <c r="AU13" s="322" t="str">
        <f>IF(AU14&lt;='2. Kalkyldata'!$P$17+1,'2. Kalkyldata'!$P$5+AT14,"")</f>
        <v/>
      </c>
      <c r="AV13" s="322" t="str">
        <f>IF(AV14&lt;='2. Kalkyldata'!$P$17+1,'2. Kalkyldata'!$P$5+AU14,"")</f>
        <v/>
      </c>
      <c r="AW13" s="322" t="str">
        <f>IF(AW14&lt;='2. Kalkyldata'!$P$17+1,'2. Kalkyldata'!$P$5+AV14,"")</f>
        <v/>
      </c>
      <c r="AX13" s="322" t="str">
        <f>IF(AX14&lt;='2. Kalkyldata'!$P$17+1,'2. Kalkyldata'!$P$5+AW14,"")</f>
        <v/>
      </c>
      <c r="AY13" s="322" t="str">
        <f>IF(AY14&lt;='2. Kalkyldata'!$P$17+1,'2. Kalkyldata'!$P$5+AX14,"")</f>
        <v/>
      </c>
      <c r="AZ13" s="322" t="str">
        <f>IF(AZ14&lt;='2. Kalkyldata'!$P$17+1,'2. Kalkyldata'!$P$5+AY14,"")</f>
        <v/>
      </c>
      <c r="BA13" s="322" t="str">
        <f>IF(BA14&lt;='2. Kalkyldata'!$P$17+1,'2. Kalkyldata'!$P$5+AZ14,"")</f>
        <v/>
      </c>
      <c r="BB13" s="513"/>
    </row>
    <row r="14" spans="2:54" ht="15">
      <c r="B14" s="439" t="inlineStr">
        <is>
          <t>Kalkylår · belopp i kr</t>
        </is>
      </c>
      <c r="C14" s="439"/>
      <c r="D14" s="439">
        <v>1</v>
      </c>
      <c r="E14" s="439">
        <v>2</v>
      </c>
      <c r="F14" s="439">
        <v>3</v>
      </c>
      <c r="G14" s="439">
        <v>4</v>
      </c>
      <c r="H14" s="439">
        <v>5</v>
      </c>
      <c r="I14" s="439">
        <v>6</v>
      </c>
      <c r="J14" s="439">
        <v>7</v>
      </c>
      <c r="K14" s="439">
        <v>8</v>
      </c>
      <c r="L14" s="439">
        <v>9</v>
      </c>
      <c r="M14" s="439">
        <v>10</v>
      </c>
      <c r="N14" s="439">
        <v>11</v>
      </c>
      <c r="O14" s="439">
        <v>12</v>
      </c>
      <c r="P14" s="439">
        <v>13</v>
      </c>
      <c r="Q14" s="439">
        <v>14</v>
      </c>
      <c r="R14" s="439">
        <v>15</v>
      </c>
      <c r="S14" s="439">
        <v>16</v>
      </c>
      <c r="T14" s="439">
        <v>17</v>
      </c>
      <c r="U14" s="439">
        <v>18</v>
      </c>
      <c r="V14" s="439">
        <v>19</v>
      </c>
      <c r="W14" s="439">
        <v>20</v>
      </c>
      <c r="X14" s="439">
        <v>21</v>
      </c>
      <c r="Y14" s="439">
        <v>22</v>
      </c>
      <c r="Z14" s="439">
        <v>23</v>
      </c>
      <c r="AA14" s="439">
        <v>24</v>
      </c>
      <c r="AB14" s="439">
        <v>25</v>
      </c>
      <c r="AC14" s="439">
        <v>26</v>
      </c>
      <c r="AD14" s="439">
        <v>27</v>
      </c>
      <c r="AE14" s="439">
        <v>28</v>
      </c>
      <c r="AF14" s="439">
        <v>29</v>
      </c>
      <c r="AG14" s="439">
        <v>30</v>
      </c>
      <c r="AH14" s="439">
        <v>31</v>
      </c>
      <c r="AI14" s="439">
        <v>32</v>
      </c>
      <c r="AJ14" s="439">
        <v>33</v>
      </c>
      <c r="AK14" s="439">
        <v>34</v>
      </c>
      <c r="AL14" s="439">
        <v>35</v>
      </c>
      <c r="AM14" s="439">
        <v>36</v>
      </c>
      <c r="AN14" s="439">
        <v>37</v>
      </c>
      <c r="AO14" s="439">
        <v>38</v>
      </c>
      <c r="AP14" s="439">
        <v>39</v>
      </c>
      <c r="AQ14" s="439">
        <v>40</v>
      </c>
      <c r="AR14" s="439">
        <v>41</v>
      </c>
      <c r="AS14" s="439">
        <v>42</v>
      </c>
      <c r="AT14" s="439">
        <v>43</v>
      </c>
      <c r="AU14" s="439">
        <v>44</v>
      </c>
      <c r="AV14" s="439">
        <v>45</v>
      </c>
      <c r="AW14" s="439">
        <v>46</v>
      </c>
      <c r="AX14" s="439">
        <v>47</v>
      </c>
      <c r="AY14" s="439">
        <v>48</v>
      </c>
      <c r="AZ14" s="439">
        <v>49</v>
      </c>
      <c r="BA14" s="439">
        <v>50</v>
      </c>
      <c r="BB14" s="513"/>
    </row>
    <row r="15" spans="2:54">
      <c r="B15" s="227" t="inlineStr">
        <is>
          <t>Investering (från 2. Kalkyldata)</t>
        </is>
      </c>
      <c r="C15" s="882" t="inlineStr">
        <is>
          <t>→ 4. NPV</t>
        </is>
      </c>
      <c r="D15" s="895">
        <f>-SUMIF('2. Kalkyldata'!AS$22,'3. Finansiering'!D13,'2. Kalkyldata'!AS$28)</f>
        <v>-239999999.99999997</v>
      </c>
      <c r="E15" s="895">
        <f>-SUMIF('2. Kalkyldata'!AT$22,'3. Finansiering'!E13,'2. Kalkyldata'!AT$28)</f>
        <v>-0.0</v>
      </c>
      <c r="F15" s="895">
        <f>-SUMIF('2. Kalkyldata'!AU$22,'3. Finansiering'!F13,'2. Kalkyldata'!AU$28)</f>
        <v>-0.0</v>
      </c>
      <c r="G15" s="895">
        <f>-SUMIF('2. Kalkyldata'!AV$22,'3. Finansiering'!G13,'2. Kalkyldata'!AV$28)</f>
        <v>-0.0</v>
      </c>
      <c r="H15" s="895">
        <f>-SUMIF('2. Kalkyldata'!AW$22,'3. Finansiering'!H13,'2. Kalkyldata'!AW$28)</f>
        <v>-0.0</v>
      </c>
      <c r="I15" s="895">
        <f>-SUMIF('2. Kalkyldata'!AX$22,'3. Finansiering'!I13,'2. Kalkyldata'!AX$28)</f>
        <v>-0.0</v>
      </c>
      <c r="J15" s="895">
        <f>-SUMIF('2. Kalkyldata'!AY$22,'3. Finansiering'!J13,'2. Kalkyldata'!AY$28)</f>
        <v>-0.0</v>
      </c>
      <c r="K15" s="895">
        <f>-SUMIF('2. Kalkyldata'!AZ$22,'3. Finansiering'!K13,'2. Kalkyldata'!AZ$28)</f>
        <v>-0.0</v>
      </c>
      <c r="L15" s="895">
        <f>-SUMIF('2. Kalkyldata'!BA$22,'3. Finansiering'!L13,'2. Kalkyldata'!BA$28)</f>
        <v>-0.0</v>
      </c>
      <c r="M15" s="895">
        <f>-SUMIF('2. Kalkyldata'!BB$22,'3. Finansiering'!M13,'2. Kalkyldata'!BB$28)</f>
        <v>-0.0</v>
      </c>
      <c r="N15" s="895">
        <f>-SUMIF('2. Kalkyldata'!BC$22,'3. Finansiering'!N13,'2. Kalkyldata'!BC$28)</f>
        <v>-0.0</v>
      </c>
      <c r="O15" s="895">
        <f>-SUMIF('2. Kalkyldata'!BD$22,'3. Finansiering'!O13,'2. Kalkyldata'!BD$28)</f>
        <v>-0.0</v>
      </c>
      <c r="P15" s="895">
        <f>-SUMIF('2. Kalkyldata'!BE$22,'3. Finansiering'!P13,'2. Kalkyldata'!BE$28)</f>
        <v>-0.0</v>
      </c>
      <c r="Q15" s="895">
        <f>-SUMIF('2. Kalkyldata'!BF$22,'3. Finansiering'!Q13,'2. Kalkyldata'!BF$28)</f>
        <v>-0.0</v>
      </c>
      <c r="R15" s="895">
        <f>-SUMIF('2. Kalkyldata'!BG$22,'3. Finansiering'!R13,'2. Kalkyldata'!BG$28)</f>
        <v>-0.0</v>
      </c>
      <c r="S15" s="895">
        <f>-SUMIF('2. Kalkyldata'!BH$22,'3. Finansiering'!S13,'2. Kalkyldata'!BH$28)</f>
        <v>-0.0</v>
      </c>
      <c r="T15" s="895">
        <f>-SUMIF('2. Kalkyldata'!BI$22,'3. Finansiering'!T13,'2. Kalkyldata'!BI$28)</f>
        <v>-0.0</v>
      </c>
      <c r="U15" s="895">
        <f>-SUMIF('2. Kalkyldata'!BJ$22,'3. Finansiering'!U13,'2. Kalkyldata'!BJ$28)</f>
        <v>-0.0</v>
      </c>
      <c r="V15" s="895">
        <f>-SUMIF('2. Kalkyldata'!BK$22,'3. Finansiering'!V13,'2. Kalkyldata'!BK$28)</f>
        <v>-0.0</v>
      </c>
      <c r="W15" s="895">
        <f>-SUMIF('2. Kalkyldata'!BL$22,'3. Finansiering'!W13,'2. Kalkyldata'!BL$28)</f>
        <v>-0.0</v>
      </c>
      <c r="X15" s="895">
        <f>-SUMIF('2. Kalkyldata'!BM$22,'3. Finansiering'!X13,'2. Kalkyldata'!BM$28)</f>
        <v>-0.0</v>
      </c>
      <c r="Y15" s="895">
        <f>-SUMIF('2. Kalkyldata'!BN$22,'3. Finansiering'!Y13,'2. Kalkyldata'!BN$28)</f>
        <v>-0.0</v>
      </c>
      <c r="Z15" s="895">
        <f>-SUMIF('2. Kalkyldata'!BO$22,'3. Finansiering'!Z13,'2. Kalkyldata'!BO$28)</f>
        <v>-0.0</v>
      </c>
      <c r="AA15" s="895">
        <f>-SUMIF('2. Kalkyldata'!BP$22,'3. Finansiering'!AA13,'2. Kalkyldata'!BP$28)</f>
        <v>-0.0</v>
      </c>
      <c r="AB15" s="895">
        <f>-SUMIF('2. Kalkyldata'!BQ$22,'3. Finansiering'!AB13,'2. Kalkyldata'!BQ$28)</f>
        <v>-0.0</v>
      </c>
      <c r="AC15" s="895">
        <f>-SUMIF('2. Kalkyldata'!BR$22,'3. Finansiering'!AC13,'2. Kalkyldata'!BR$28)</f>
        <v>-0.0</v>
      </c>
      <c r="AD15" s="895">
        <f>-SUMIF('2. Kalkyldata'!BS$22,'3. Finansiering'!AD13,'2. Kalkyldata'!BS$28)</f>
        <v>-0.0</v>
      </c>
      <c r="AE15" s="895">
        <f>-SUMIF('2. Kalkyldata'!BT$22,'3. Finansiering'!AE13,'2. Kalkyldata'!BT$28)</f>
        <v>-0.0</v>
      </c>
      <c r="AF15" s="895">
        <f>-SUMIF('2. Kalkyldata'!BU$22,'3. Finansiering'!AF13,'2. Kalkyldata'!BU$28)</f>
        <v>-0.0</v>
      </c>
      <c r="AG15" s="895">
        <f>-SUMIF('2. Kalkyldata'!BV$22,'3. Finansiering'!AG13,'2. Kalkyldata'!BV$28)</f>
        <v>-0.0</v>
      </c>
      <c r="AH15" s="895">
        <f>-SUMIF('2. Kalkyldata'!BW$22,'3. Finansiering'!AH13,'2. Kalkyldata'!BW$28)</f>
        <v>-0.0</v>
      </c>
      <c r="AI15" s="895">
        <f>-SUMIF('2. Kalkyldata'!BX$22,'3. Finansiering'!AI13,'2. Kalkyldata'!BX$28)</f>
        <v>-0.0</v>
      </c>
      <c r="AJ15" s="895">
        <f>-SUMIF('2. Kalkyldata'!BY$22,'3. Finansiering'!AJ13,'2. Kalkyldata'!BY$28)</f>
        <v>-0.0</v>
      </c>
      <c r="AK15" s="895">
        <f>-SUMIF('2. Kalkyldata'!BZ$22,'3. Finansiering'!AK13,'2. Kalkyldata'!BZ$28)</f>
        <v>-0.0</v>
      </c>
      <c r="AL15" s="895">
        <f>-SUMIF('2. Kalkyldata'!CA$22,'3. Finansiering'!AL13,'2. Kalkyldata'!CA$28)</f>
        <v>-0.0</v>
      </c>
      <c r="AM15" s="895">
        <f>-SUMIF('2. Kalkyldata'!CB$22,'3. Finansiering'!AM13,'2. Kalkyldata'!CB$28)</f>
        <v>-0.0</v>
      </c>
      <c r="AN15" s="895">
        <f>-SUMIF('2. Kalkyldata'!CC$22,'3. Finansiering'!AN13,'2. Kalkyldata'!CC$28)</f>
        <v>-0.0</v>
      </c>
      <c r="AO15" s="895">
        <f>-SUMIF('2. Kalkyldata'!CD$22,'3. Finansiering'!AO13,'2. Kalkyldata'!CD$28)</f>
        <v>-0.0</v>
      </c>
      <c r="AP15" s="895">
        <f>-SUMIF('2. Kalkyldata'!CE$22,'3. Finansiering'!AP13,'2. Kalkyldata'!CE$28)</f>
        <v>-0.0</v>
      </c>
      <c r="AQ15" s="895">
        <f>-SUMIF('2. Kalkyldata'!CF$22,'3. Finansiering'!AQ13,'2. Kalkyldata'!CF$28)</f>
        <v>-0.0</v>
      </c>
      <c r="AR15" s="895">
        <f>-SUMIF('2. Kalkyldata'!CG$22,'3. Finansiering'!AR13,'2. Kalkyldata'!CG$28)</f>
        <v>-0.0</v>
      </c>
      <c r="AS15" s="895">
        <f>-SUMIF('2. Kalkyldata'!CH$22,'3. Finansiering'!AS13,'2. Kalkyldata'!CH$28)</f>
        <v>-0.0</v>
      </c>
      <c r="AT15" s="895">
        <f>-SUMIF('2. Kalkyldata'!CI$22,'3. Finansiering'!AT13,'2. Kalkyldata'!CI$28)</f>
        <v>-0.0</v>
      </c>
      <c r="AU15" s="895">
        <f>-SUMIF('2. Kalkyldata'!CJ$22,'3. Finansiering'!AU13,'2. Kalkyldata'!CJ$28)</f>
        <v>-0.0</v>
      </c>
      <c r="AV15" s="895">
        <f>-SUMIF('2. Kalkyldata'!CK$22,'3. Finansiering'!AV13,'2. Kalkyldata'!CK$28)</f>
        <v>-0.0</v>
      </c>
      <c r="AW15" s="895">
        <f>-SUMIF('2. Kalkyldata'!CL$22,'3. Finansiering'!AW13,'2. Kalkyldata'!CL$28)</f>
        <v>-0.0</v>
      </c>
      <c r="AX15" s="895">
        <f>-SUMIF('2. Kalkyldata'!CM$22,'3. Finansiering'!AX13,'2. Kalkyldata'!CM$28)</f>
        <v>-0.0</v>
      </c>
      <c r="AY15" s="895">
        <f>-SUMIF('2. Kalkyldata'!CN$22,'3. Finansiering'!AY13,'2. Kalkyldata'!CN$28)</f>
        <v>-0.0</v>
      </c>
      <c r="AZ15" s="895">
        <f>-SUMIF('2. Kalkyldata'!CO$22,'3. Finansiering'!AZ13,'2. Kalkyldata'!CO$28)</f>
        <v>-0.0</v>
      </c>
      <c r="BA15" s="895">
        <f>-SUMIF('2. Kalkyldata'!CP$22,'3. Finansiering'!BA13,'2. Kalkyldata'!CP$28)</f>
        <v>-0.0</v>
      </c>
      <c r="BB15" s="513"/>
    </row>
    <row r="16" spans="2:54">
      <c r="B16" s="227" t="s">
        <v>209</v>
      </c>
      <c r="C16" s="882" t="inlineStr">
        <is>
          <t>→ 5. IRR</t>
        </is>
      </c>
      <c r="D16" s="895">
        <f>-D$15*(1-'3. Finansiering'!$C$10)</f>
        <v>151199999.99999997</v>
      </c>
      <c r="E16" s="895">
        <f>-E$15*(1-'3. Finansiering'!$C$10)</f>
        <v>0.0</v>
      </c>
      <c r="F16" s="895">
        <f>-F$15*(1-'3. Finansiering'!$C$10)</f>
        <v>0.0</v>
      </c>
      <c r="G16" s="895">
        <f>-G$15*(1-'3. Finansiering'!$C$10)</f>
        <v>0.0</v>
      </c>
      <c r="H16" s="895">
        <f>-H$15*(1-'3. Finansiering'!$C$10)</f>
        <v>0.0</v>
      </c>
      <c r="I16" s="895">
        <f>-I$15*(1-'3. Finansiering'!$C$10)</f>
        <v>0.0</v>
      </c>
      <c r="J16" s="895">
        <f>-J$15*(1-'3. Finansiering'!$C$10)</f>
        <v>0.0</v>
      </c>
      <c r="K16" s="895">
        <f>-K$15*(1-'3. Finansiering'!$C$10)</f>
        <v>0.0</v>
      </c>
      <c r="L16" s="895">
        <f>-L$15*(1-'3. Finansiering'!$C$10)</f>
        <v>0.0</v>
      </c>
      <c r="M16" s="895">
        <f>-M$15*(1-'3. Finansiering'!$C$10)</f>
        <v>0.0</v>
      </c>
      <c r="N16" s="895">
        <f>-N$15*(1-'3. Finansiering'!$C$10)</f>
        <v>0.0</v>
      </c>
      <c r="O16" s="895">
        <f>-O$15*(1-'3. Finansiering'!$C$10)</f>
        <v>0.0</v>
      </c>
      <c r="P16" s="895">
        <f>-P$15*(1-'3. Finansiering'!$C$10)</f>
        <v>0.0</v>
      </c>
      <c r="Q16" s="895">
        <f>-Q$15*(1-'3. Finansiering'!$C$10)</f>
        <v>0.0</v>
      </c>
      <c r="R16" s="895">
        <f>-R$15*(1-'3. Finansiering'!$C$10)</f>
        <v>0.0</v>
      </c>
      <c r="S16" s="895">
        <f>-S$15*(1-'3. Finansiering'!$C$10)</f>
        <v>0.0</v>
      </c>
      <c r="T16" s="895">
        <f>-T$15*(1-'3. Finansiering'!$C$10)</f>
        <v>0.0</v>
      </c>
      <c r="U16" s="895">
        <f>-U$15*(1-'3. Finansiering'!$C$10)</f>
        <v>0.0</v>
      </c>
      <c r="V16" s="895">
        <f>-V$15*(1-'3. Finansiering'!$C$10)</f>
        <v>0.0</v>
      </c>
      <c r="W16" s="895">
        <f>-W$15*(1-'3. Finansiering'!$C$10)</f>
        <v>0.0</v>
      </c>
      <c r="X16" s="895">
        <f>-X$15*(1-'3. Finansiering'!$C$10)</f>
        <v>0.0</v>
      </c>
      <c r="Y16" s="895">
        <f>-Y$15*(1-'3. Finansiering'!$C$10)</f>
        <v>0.0</v>
      </c>
      <c r="Z16" s="895">
        <f>-Z$15*(1-'3. Finansiering'!$C$10)</f>
        <v>0.0</v>
      </c>
      <c r="AA16" s="895">
        <f>-AA$15*(1-'3. Finansiering'!$C$10)</f>
        <v>0.0</v>
      </c>
      <c r="AB16" s="895">
        <f>-AB$15*(1-'3. Finansiering'!$C$10)</f>
        <v>0.0</v>
      </c>
      <c r="AC16" s="895">
        <f>-AC$15*(1-'3. Finansiering'!$C$10)</f>
        <v>0.0</v>
      </c>
      <c r="AD16" s="895">
        <f>-AD$15*(1-'3. Finansiering'!$C$10)</f>
        <v>0.0</v>
      </c>
      <c r="AE16" s="895">
        <f>-AE$15*(1-'3. Finansiering'!$C$10)</f>
        <v>0.0</v>
      </c>
      <c r="AF16" s="895">
        <f>-AF$15*(1-'3. Finansiering'!$C$10)</f>
        <v>0.0</v>
      </c>
      <c r="AG16" s="895">
        <f>-AG$15*(1-'3. Finansiering'!$C$10)</f>
        <v>0.0</v>
      </c>
      <c r="AH16" s="895">
        <f>-AH$15*(1-'3. Finansiering'!$C$10)</f>
        <v>0.0</v>
      </c>
      <c r="AI16" s="895">
        <f>-AI$15*(1-'3. Finansiering'!$C$10)</f>
        <v>0.0</v>
      </c>
      <c r="AJ16" s="895">
        <f>-AJ$15*(1-'3. Finansiering'!$C$10)</f>
        <v>0.0</v>
      </c>
      <c r="AK16" s="895">
        <f>-AK$15*(1-'3. Finansiering'!$C$10)</f>
        <v>0.0</v>
      </c>
      <c r="AL16" s="895">
        <f>-AL$15*(1-'3. Finansiering'!$C$10)</f>
        <v>0.0</v>
      </c>
      <c r="AM16" s="895">
        <f>-AM$15*(1-'3. Finansiering'!$C$10)</f>
        <v>0.0</v>
      </c>
      <c r="AN16" s="895">
        <f>-AN$15*(1-'3. Finansiering'!$C$10)</f>
        <v>0.0</v>
      </c>
      <c r="AO16" s="895">
        <f>-AO$15*(1-'3. Finansiering'!$C$10)</f>
        <v>0.0</v>
      </c>
      <c r="AP16" s="895">
        <f>-AP$15*(1-'3. Finansiering'!$C$10)</f>
        <v>0.0</v>
      </c>
      <c r="AQ16" s="895">
        <f>-AQ$15*(1-'3. Finansiering'!$C$10)</f>
        <v>0.0</v>
      </c>
      <c r="AR16" s="895">
        <f>-AR$15*(1-'3. Finansiering'!$C$10)</f>
        <v>0.0</v>
      </c>
      <c r="AS16" s="895">
        <f>-AS$15*(1-'3. Finansiering'!$C$10)</f>
        <v>0.0</v>
      </c>
      <c r="AT16" s="895">
        <f>-AT$15*(1-'3. Finansiering'!$C$10)</f>
        <v>0.0</v>
      </c>
      <c r="AU16" s="895">
        <f>-AU$15*(1-'3. Finansiering'!$C$10)</f>
        <v>0.0</v>
      </c>
      <c r="AV16" s="895">
        <f>-AV$15*(1-'3. Finansiering'!$C$10)</f>
        <v>0.0</v>
      </c>
      <c r="AW16" s="895">
        <f>-AW$15*(1-'3. Finansiering'!$C$10)</f>
        <v>0.0</v>
      </c>
      <c r="AX16" s="895">
        <f>-AX$15*(1-'3. Finansiering'!$C$10)</f>
        <v>0.0</v>
      </c>
      <c r="AY16" s="895">
        <f>-AY$15*(1-'3. Finansiering'!$C$10)</f>
        <v>0.0</v>
      </c>
      <c r="AZ16" s="895">
        <f>-AZ$15*(1-'3. Finansiering'!$C$10)</f>
        <v>0.0</v>
      </c>
      <c r="BA16" s="895">
        <f>-BA$15*(1-'3. Finansiering'!$C$10)</f>
        <v>0.0</v>
      </c>
      <c r="BB16" s="513"/>
    </row>
    <row r="17" spans="1:54">
      <c r="A17" s="494"/>
      <c r="B17" s="227" t="s">
        <v>210</v>
      </c>
      <c r="C17" s="227"/>
      <c r="D17" s="895">
        <f>-'3. Finansiering'!$C$10*D$15</f>
        <v>88799999.99999999</v>
      </c>
      <c r="E17" s="895">
        <f>-'3. Finansiering'!$C$10*E$15</f>
        <v>0.0</v>
      </c>
      <c r="F17" s="895">
        <f>-'3. Finansiering'!$C$10*F$15</f>
        <v>0.0</v>
      </c>
      <c r="G17" s="895">
        <f>-'3. Finansiering'!$C$10*G$15</f>
        <v>0.0</v>
      </c>
      <c r="H17" s="895">
        <f>-'3. Finansiering'!$C$10*H$15</f>
        <v>0.0</v>
      </c>
      <c r="I17" s="895">
        <f>-'3. Finansiering'!$C$10*I$15</f>
        <v>0.0</v>
      </c>
      <c r="J17" s="895">
        <f>-'3. Finansiering'!$C$10*J$15</f>
        <v>0.0</v>
      </c>
      <c r="K17" s="895">
        <f>-'3. Finansiering'!$C$10*K$15</f>
        <v>0.0</v>
      </c>
      <c r="L17" s="895">
        <f>-'3. Finansiering'!$C$10*L$15</f>
        <v>0.0</v>
      </c>
      <c r="M17" s="895">
        <f>-'3. Finansiering'!$C$10*M$15</f>
        <v>0.0</v>
      </c>
      <c r="N17" s="895">
        <f>-'3. Finansiering'!$C$10*N$15</f>
        <v>0.0</v>
      </c>
      <c r="O17" s="895">
        <f>-'3. Finansiering'!$C$10*O$15</f>
        <v>0.0</v>
      </c>
      <c r="P17" s="895">
        <f>-'3. Finansiering'!$C$10*P$15</f>
        <v>0.0</v>
      </c>
      <c r="Q17" s="895">
        <f>-'3. Finansiering'!$C$10*Q$15</f>
        <v>0.0</v>
      </c>
      <c r="R17" s="895">
        <f>-'3. Finansiering'!$C$10*R$15</f>
        <v>0.0</v>
      </c>
      <c r="S17" s="895">
        <f>-'3. Finansiering'!$C$10*S$15</f>
        <v>0.0</v>
      </c>
      <c r="T17" s="895">
        <f>-'3. Finansiering'!$C$10*T$15</f>
        <v>0.0</v>
      </c>
      <c r="U17" s="895">
        <f>-'3. Finansiering'!$C$10*U$15</f>
        <v>0.0</v>
      </c>
      <c r="V17" s="895">
        <f>-'3. Finansiering'!$C$10*V$15</f>
        <v>0.0</v>
      </c>
      <c r="W17" s="895">
        <f>-'3. Finansiering'!$C$10*W$15</f>
        <v>0.0</v>
      </c>
      <c r="X17" s="895">
        <f>-'3. Finansiering'!$C$10*X$15</f>
        <v>0.0</v>
      </c>
      <c r="Y17" s="895">
        <f>-'3. Finansiering'!$C$10*Y$15</f>
        <v>0.0</v>
      </c>
      <c r="Z17" s="895">
        <f>-'3. Finansiering'!$C$10*Z$15</f>
        <v>0.0</v>
      </c>
      <c r="AA17" s="895">
        <f>-'3. Finansiering'!$C$10*AA$15</f>
        <v>0.0</v>
      </c>
      <c r="AB17" s="895">
        <f>-'3. Finansiering'!$C$10*AB$15</f>
        <v>0.0</v>
      </c>
      <c r="AC17" s="895">
        <f>-'3. Finansiering'!$C$10*AC$15</f>
        <v>0.0</v>
      </c>
      <c r="AD17" s="895">
        <f>-'3. Finansiering'!$C$10*AD$15</f>
        <v>0.0</v>
      </c>
      <c r="AE17" s="895">
        <f>-'3. Finansiering'!$C$10*AE$15</f>
        <v>0.0</v>
      </c>
      <c r="AF17" s="895">
        <f>-'3. Finansiering'!$C$10*AF$15</f>
        <v>0.0</v>
      </c>
      <c r="AG17" s="895">
        <f>-'3. Finansiering'!$C$10*AG$15</f>
        <v>0.0</v>
      </c>
      <c r="AH17" s="895">
        <f>-'3. Finansiering'!$C$10*AH$15</f>
        <v>0.0</v>
      </c>
      <c r="AI17" s="895">
        <f>-'3. Finansiering'!$C$10*AI$15</f>
        <v>0.0</v>
      </c>
      <c r="AJ17" s="895">
        <f>-'3. Finansiering'!$C$10*AJ$15</f>
        <v>0.0</v>
      </c>
      <c r="AK17" s="895">
        <f>-'3. Finansiering'!$C$10*AK$15</f>
        <v>0.0</v>
      </c>
      <c r="AL17" s="895">
        <f>-'3. Finansiering'!$C$10*AL$15</f>
        <v>0.0</v>
      </c>
      <c r="AM17" s="895">
        <f>-'3. Finansiering'!$C$10*AM$15</f>
        <v>0.0</v>
      </c>
      <c r="AN17" s="895">
        <f>-'3. Finansiering'!$C$10*AN$15</f>
        <v>0.0</v>
      </c>
      <c r="AO17" s="895">
        <f>-'3. Finansiering'!$C$10*AO$15</f>
        <v>0.0</v>
      </c>
      <c r="AP17" s="895">
        <f>-'3. Finansiering'!$C$10*AP$15</f>
        <v>0.0</v>
      </c>
      <c r="AQ17" s="895">
        <f>-'3. Finansiering'!$C$10*AQ$15</f>
        <v>0.0</v>
      </c>
      <c r="AR17" s="895">
        <f>-'3. Finansiering'!$C$10*AR$15</f>
        <v>0.0</v>
      </c>
      <c r="AS17" s="895">
        <f>-'3. Finansiering'!$C$10*AS$15</f>
        <v>0.0</v>
      </c>
      <c r="AT17" s="895">
        <f>-'3. Finansiering'!$C$10*AT$15</f>
        <v>0.0</v>
      </c>
      <c r="AU17" s="895">
        <f>-'3. Finansiering'!$C$10*AU$15</f>
        <v>0.0</v>
      </c>
      <c r="AV17" s="895">
        <f>-'3. Finansiering'!$C$10*AV$15</f>
        <v>0.0</v>
      </c>
      <c r="AW17" s="895">
        <f>-'3. Finansiering'!$C$10*AW$15</f>
        <v>0.0</v>
      </c>
      <c r="AX17" s="895">
        <f>-'3. Finansiering'!$C$10*AX$15</f>
        <v>0.0</v>
      </c>
      <c r="AY17" s="895">
        <f>-'3. Finansiering'!$C$10*AY$15</f>
        <v>0.0</v>
      </c>
      <c r="AZ17" s="895">
        <f>-'3. Finansiering'!$C$10*AZ$15</f>
        <v>0.0</v>
      </c>
      <c r="BA17" s="895">
        <f>-'3. Finansiering'!$C$10*BA$15</f>
        <v>0.0</v>
      </c>
      <c r="BB17" s="513"/>
    </row>
    <row r="18" spans="1:54">
      <c r="A18" s="494"/>
      <c r="B18" s="227"/>
      <c r="C18" s="227"/>
      <c r="D18" s="228"/>
      <c r="E18" s="228"/>
      <c r="F18" s="228"/>
      <c r="G18" s="228"/>
      <c r="H18" s="228"/>
      <c r="I18" s="228"/>
      <c r="J18" s="228"/>
      <c r="K18" s="228"/>
      <c r="L18" s="228"/>
      <c r="M18" s="228"/>
      <c r="N18" s="228"/>
      <c r="O18" s="228"/>
      <c r="P18" s="228"/>
      <c r="Q18" s="228"/>
      <c r="R18" s="228"/>
      <c r="S18" s="228"/>
      <c r="T18" s="228"/>
      <c r="U18" s="228"/>
      <c r="V18" s="228"/>
      <c r="W18" s="228"/>
      <c r="X18" s="228"/>
      <c r="Y18" s="228"/>
      <c r="Z18" s="228"/>
      <c r="AA18" s="228"/>
      <c r="AB18" s="228"/>
      <c r="AC18" s="228"/>
      <c r="AD18" s="228"/>
      <c r="AE18" s="228"/>
      <c r="AF18" s="228"/>
      <c r="AG18" s="228"/>
      <c r="AH18" s="228"/>
      <c r="AI18" s="228"/>
      <c r="AJ18" s="228"/>
      <c r="AK18" s="228"/>
      <c r="AL18" s="228"/>
      <c r="AM18" s="228"/>
      <c r="AN18" s="228"/>
      <c r="AO18" s="228"/>
      <c r="AP18" s="228"/>
      <c r="AQ18" s="228"/>
      <c r="AR18" s="228"/>
      <c r="AS18" s="228"/>
      <c r="AT18" s="228"/>
      <c r="AU18" s="228"/>
      <c r="AV18" s="228"/>
      <c r="AW18" s="228"/>
      <c r="AX18" s="228"/>
      <c r="AY18" s="228"/>
      <c r="AZ18" s="228"/>
      <c r="BA18" s="228"/>
      <c r="BB18" s="513"/>
    </row>
    <row r="19" spans="1:54">
      <c r="A19" s="494"/>
      <c r="B19" s="227" t="s">
        <v>211</v>
      </c>
      <c r="C19" s="227"/>
      <c r="D19" s="228">
        <f>SUM($D$17:D$17)</f>
        <v>88799999.99999999</v>
      </c>
      <c r="E19" s="228">
        <f>SUM($D$17:E$17)</f>
        <v>88799999.99999999</v>
      </c>
      <c r="F19" s="228">
        <f>SUM($D$17:F$17)</f>
        <v>88799999.99999999</v>
      </c>
      <c r="G19" s="228">
        <f>SUM($D$17:G$17)</f>
        <v>88799999.99999999</v>
      </c>
      <c r="H19" s="228">
        <f>SUM($D$17:H$17)</f>
        <v>88799999.99999999</v>
      </c>
      <c r="I19" s="228">
        <f>SUM($D$17:I$17)</f>
        <v>88799999.99999999</v>
      </c>
      <c r="J19" s="228">
        <f>SUM($D$17:J$17)</f>
        <v>88799999.99999999</v>
      </c>
      <c r="K19" s="228">
        <f>SUM($D$17:K$17)</f>
        <v>88799999.99999999</v>
      </c>
      <c r="L19" s="228">
        <f>SUM($D$17:L$17)</f>
        <v>88799999.99999999</v>
      </c>
      <c r="M19" s="228">
        <f>SUM($D$17:M$17)</f>
        <v>88799999.99999999</v>
      </c>
      <c r="N19" s="228">
        <f>SUM($D$17:N$17)</f>
        <v>88799999.99999999</v>
      </c>
      <c r="O19" s="228">
        <f>SUM($D$17:O$17)</f>
        <v>88799999.99999999</v>
      </c>
      <c r="P19" s="228">
        <f>SUM($D$17:P$17)</f>
        <v>88799999.99999999</v>
      </c>
      <c r="Q19" s="228">
        <f>SUM($D$17:Q$17)</f>
        <v>88799999.99999999</v>
      </c>
      <c r="R19" s="228">
        <f>SUM($D$17:R$17)</f>
        <v>88799999.99999999</v>
      </c>
      <c r="S19" s="228">
        <f>SUM($D$17:S$17)</f>
        <v>88799999.99999999</v>
      </c>
      <c r="T19" s="228">
        <f>SUM($D$17:T$17)</f>
        <v>88799999.99999999</v>
      </c>
      <c r="U19" s="228">
        <f>SUM($D$17:U$17)</f>
        <v>88799999.99999999</v>
      </c>
      <c r="V19" s="228">
        <f>SUM($D$17:V$17)</f>
        <v>88799999.99999999</v>
      </c>
      <c r="W19" s="228">
        <f>SUM($D$17:W$17)</f>
        <v>88799999.99999999</v>
      </c>
      <c r="X19" s="228">
        <f>SUM($D$17:X$17)</f>
        <v>88799999.99999999</v>
      </c>
      <c r="Y19" s="228">
        <f>SUM($D$17:Y$17)</f>
        <v>88799999.99999999</v>
      </c>
      <c r="Z19" s="228">
        <f>SUM($D$17:Z$17)</f>
        <v>88799999.99999999</v>
      </c>
      <c r="AA19" s="228">
        <f>SUM($D$17:AA$17)</f>
        <v>88799999.99999999</v>
      </c>
      <c r="AB19" s="228">
        <f>SUM($D$17:AB$17)</f>
        <v>88799999.99999999</v>
      </c>
      <c r="AC19" s="228">
        <f>SUM($D$17:AC$17)</f>
        <v>88799999.99999999</v>
      </c>
      <c r="AD19" s="228">
        <f>SUM($D$17:AD$17)</f>
        <v>88799999.99999999</v>
      </c>
      <c r="AE19" s="228">
        <f>SUM($D$17:AE$17)</f>
        <v>88799999.99999999</v>
      </c>
      <c r="AF19" s="228">
        <f>SUM($D$17:AF$17)</f>
        <v>88799999.99999999</v>
      </c>
      <c r="AG19" s="228">
        <f>SUM($D$17:AG$17)</f>
        <v>88799999.99999999</v>
      </c>
      <c r="AH19" s="228">
        <f>SUM($D$17:AH$17)</f>
        <v>88799999.99999999</v>
      </c>
      <c r="AI19" s="228">
        <f>SUM($D$17:AI$17)</f>
        <v>88799999.99999999</v>
      </c>
      <c r="AJ19" s="228">
        <f>SUM($D$17:AJ$17)</f>
        <v>88799999.99999999</v>
      </c>
      <c r="AK19" s="228">
        <f>SUM($D$17:AK$17)</f>
        <v>88799999.99999999</v>
      </c>
      <c r="AL19" s="228">
        <f>SUM($D$17:AL$17)</f>
        <v>88799999.99999999</v>
      </c>
      <c r="AM19" s="228">
        <f>SUM($D$17:AM$17)</f>
        <v>88799999.99999999</v>
      </c>
      <c r="AN19" s="228">
        <f>SUM($D$17:AN$17)</f>
        <v>88799999.99999999</v>
      </c>
      <c r="AO19" s="228">
        <f>SUM($D$17:AO$17)</f>
        <v>88799999.99999999</v>
      </c>
      <c r="AP19" s="228">
        <f>SUM($D$17:AP$17)</f>
        <v>88799999.99999999</v>
      </c>
      <c r="AQ19" s="228">
        <f>SUM($D$17:AQ$17)</f>
        <v>88799999.99999999</v>
      </c>
      <c r="AR19" s="228">
        <f>SUM($D$17:AR$17)</f>
        <v>88799999.99999999</v>
      </c>
      <c r="AS19" s="228">
        <f>SUM($D$17:AS$17)</f>
        <v>88799999.99999999</v>
      </c>
      <c r="AT19" s="228">
        <f>SUM($D$17:AT$17)</f>
        <v>88799999.99999999</v>
      </c>
      <c r="AU19" s="228">
        <f>SUM($D$17:AU$17)</f>
        <v>88799999.99999999</v>
      </c>
      <c r="AV19" s="228">
        <f>SUM($D$17:AV$17)</f>
        <v>88799999.99999999</v>
      </c>
      <c r="AW19" s="228">
        <f>SUM($D$17:AW$17)</f>
        <v>88799999.99999999</v>
      </c>
      <c r="AX19" s="228">
        <f>SUM($D$17:AX$17)</f>
        <v>88799999.99999999</v>
      </c>
      <c r="AY19" s="228">
        <f>SUM($D$17:AY$17)</f>
        <v>88799999.99999999</v>
      </c>
      <c r="AZ19" s="228">
        <f>SUM($D$17:AZ$17)</f>
        <v>88799999.99999999</v>
      </c>
      <c r="BA19" s="228">
        <f>SUM($D$17:BA$17)</f>
        <v>88799999.99999999</v>
      </c>
      <c r="BB19" s="513"/>
    </row>
    <row r="20" spans="1:54">
      <c r="A20" s="494"/>
      <c r="B20" s="227" t="s">
        <v>75</v>
      </c>
      <c r="C20" s="882" t="inlineStr">
        <is>
          <t>→ 5. IRR</t>
        </is>
      </c>
      <c r="D20" s="228">
        <f>IF(D19&gt;=0,D19*-'3. Finansiering'!$C$9,0)</f>
        <v>-2663999.9999999995</v>
      </c>
      <c r="E20" s="228">
        <f>IF(E19&gt;=0,E19*-'3. Finansiering'!$C$9,0)</f>
        <v>-2663999.9999999995</v>
      </c>
      <c r="F20" s="228">
        <f>IF(F19&gt;=0,F19*-'3. Finansiering'!$C$9,0)</f>
        <v>-2663999.9999999995</v>
      </c>
      <c r="G20" s="228">
        <f>IF(G19&gt;=0,G19*-'3. Finansiering'!$C$9,0)</f>
        <v>-2663999.9999999995</v>
      </c>
      <c r="H20" s="228">
        <f>IF(H19&gt;=0,H19*-'3. Finansiering'!$C$9,0)</f>
        <v>-2663999.9999999995</v>
      </c>
      <c r="I20" s="228">
        <f>IF(I19&gt;=0,I19*-'3. Finansiering'!$C$9,0)</f>
        <v>-2663999.9999999995</v>
      </c>
      <c r="J20" s="228">
        <f>IF(J19&gt;=0,J19*-'3. Finansiering'!$C$9,0)</f>
        <v>-2663999.9999999995</v>
      </c>
      <c r="K20" s="228">
        <f>IF(K19&gt;=0,K19*-'3. Finansiering'!$C$9,0)</f>
        <v>-2663999.9999999995</v>
      </c>
      <c r="L20" s="228">
        <f>IF(L19&gt;=0,L19*-'3. Finansiering'!$C$9,0)</f>
        <v>-2663999.9999999995</v>
      </c>
      <c r="M20" s="228">
        <f>IF(M19&gt;=0,M19*-'3. Finansiering'!$C$9,0)</f>
        <v>-2663999.9999999995</v>
      </c>
      <c r="N20" s="228">
        <f>IF(N19&gt;=0,N19*-'3. Finansiering'!$C$9,0)</f>
        <v>-2663999.9999999995</v>
      </c>
      <c r="O20" s="228">
        <f>IF(O19&gt;=0,O19*-'3. Finansiering'!$C$9,0)</f>
        <v>-2663999.9999999995</v>
      </c>
      <c r="P20" s="228">
        <f>IF(P19&gt;=0,P19*-'3. Finansiering'!$C$9,0)</f>
        <v>-2663999.9999999995</v>
      </c>
      <c r="Q20" s="228">
        <f>IF(Q19&gt;=0,Q19*-'3. Finansiering'!$C$9,0)</f>
        <v>-2663999.9999999995</v>
      </c>
      <c r="R20" s="228">
        <f>IF(R19&gt;=0,R19*-'3. Finansiering'!$C$9,0)</f>
        <v>-2663999.9999999995</v>
      </c>
      <c r="S20" s="228">
        <f>IF(S19&gt;=0,S19*-'3. Finansiering'!$C$9,0)</f>
        <v>-2663999.9999999995</v>
      </c>
      <c r="T20" s="228">
        <f>IF(T19&gt;=0,T19*-'3. Finansiering'!$C$9,0)</f>
        <v>-2663999.9999999995</v>
      </c>
      <c r="U20" s="228">
        <f>IF(U19&gt;=0,U19*-'3. Finansiering'!$C$9,0)</f>
        <v>-2663999.9999999995</v>
      </c>
      <c r="V20" s="228">
        <f>IF(V19&gt;=0,V19*-'3. Finansiering'!$C$9,0)</f>
        <v>-2663999.9999999995</v>
      </c>
      <c r="W20" s="228">
        <f>IF(W19&gt;=0,W19*-'3. Finansiering'!$C$9,0)</f>
        <v>-2663999.9999999995</v>
      </c>
      <c r="X20" s="228">
        <f>IF(X19&gt;=0,X19*-'3. Finansiering'!$C$9,0)</f>
        <v>-2663999.9999999995</v>
      </c>
      <c r="Y20" s="228">
        <f>IF(Y19&gt;=0,Y19*-'3. Finansiering'!$C$9,0)</f>
        <v>-2663999.9999999995</v>
      </c>
      <c r="Z20" s="228">
        <f>IF(Z19&gt;=0,Z19*-'3. Finansiering'!$C$9,0)</f>
        <v>-2663999.9999999995</v>
      </c>
      <c r="AA20" s="228">
        <f>IF(AA19&gt;=0,AA19*-'3. Finansiering'!$C$9,0)</f>
        <v>-2663999.9999999995</v>
      </c>
      <c r="AB20" s="228">
        <f>IF(AB19&gt;=0,AB19*-'3. Finansiering'!$C$9,0)</f>
        <v>-2663999.9999999995</v>
      </c>
      <c r="AC20" s="228">
        <f>IF(AC19&gt;=0,AC19*-'3. Finansiering'!$C$9,0)</f>
        <v>-2663999.9999999995</v>
      </c>
      <c r="AD20" s="228">
        <f>IF(AD19&gt;=0,AD19*-'3. Finansiering'!$C$9,0)</f>
        <v>-2663999.9999999995</v>
      </c>
      <c r="AE20" s="228">
        <f>IF(AE19&gt;=0,AE19*-'3. Finansiering'!$C$9,0)</f>
        <v>-2663999.9999999995</v>
      </c>
      <c r="AF20" s="228">
        <f>IF(AF19&gt;=0,AF19*-'3. Finansiering'!$C$9,0)</f>
        <v>-2663999.9999999995</v>
      </c>
      <c r="AG20" s="228">
        <f>IF(AG19&gt;=0,AG19*-'3. Finansiering'!$C$9,0)</f>
        <v>-2663999.9999999995</v>
      </c>
      <c r="AH20" s="228">
        <f>IF(AH19&gt;=0,AH19*-'3. Finansiering'!$C$9,0)</f>
        <v>-2663999.9999999995</v>
      </c>
      <c r="AI20" s="228">
        <f>IF(AI19&gt;=0,AI19*-'3. Finansiering'!$C$9,0)</f>
        <v>-2663999.9999999995</v>
      </c>
      <c r="AJ20" s="228">
        <f>IF(AJ19&gt;=0,AJ19*-'3. Finansiering'!$C$9,0)</f>
        <v>-2663999.9999999995</v>
      </c>
      <c r="AK20" s="228">
        <f>IF(AK19&gt;=0,AK19*-'3. Finansiering'!$C$9,0)</f>
        <v>-2663999.9999999995</v>
      </c>
      <c r="AL20" s="228">
        <f>IF(AL19&gt;=0,AL19*-'3. Finansiering'!$C$9,0)</f>
        <v>-2663999.9999999995</v>
      </c>
      <c r="AM20" s="228">
        <f>IF(AM19&gt;=0,AM19*-'3. Finansiering'!$C$9,0)</f>
        <v>-2663999.9999999995</v>
      </c>
      <c r="AN20" s="228">
        <f>IF(AN19&gt;=0,AN19*-'3. Finansiering'!$C$9,0)</f>
        <v>-2663999.9999999995</v>
      </c>
      <c r="AO20" s="228">
        <f>IF(AO19&gt;=0,AO19*-'3. Finansiering'!$C$9,0)</f>
        <v>-2663999.9999999995</v>
      </c>
      <c r="AP20" s="228">
        <f>IF(AP19&gt;=0,AP19*-'3. Finansiering'!$C$9,0)</f>
        <v>-2663999.9999999995</v>
      </c>
      <c r="AQ20" s="228">
        <f>IF(AQ19&gt;=0,AQ19*-'3. Finansiering'!$C$9,0)</f>
        <v>-2663999.9999999995</v>
      </c>
      <c r="AR20" s="228">
        <f>IF(AR19&gt;=0,AR19*-'3. Finansiering'!$C$9,0)</f>
        <v>-2663999.9999999995</v>
      </c>
      <c r="AS20" s="228">
        <f>IF(AS19&gt;=0,AS19*-'3. Finansiering'!$C$9,0)</f>
        <v>-2663999.9999999995</v>
      </c>
      <c r="AT20" s="228">
        <f>IF(AT19&gt;=0,AT19*-'3. Finansiering'!$C$9,0)</f>
        <v>-2663999.9999999995</v>
      </c>
      <c r="AU20" s="228">
        <f>IF(AU19&gt;=0,AU19*-'3. Finansiering'!$C$9,0)</f>
        <v>-2663999.9999999995</v>
      </c>
      <c r="AV20" s="228">
        <f>IF(AV19&gt;=0,AV19*-'3. Finansiering'!$C$9,0)</f>
        <v>-2663999.9999999995</v>
      </c>
      <c r="AW20" s="228">
        <f>IF(AW19&gt;=0,AW19*-'3. Finansiering'!$C$9,0)</f>
        <v>-2663999.9999999995</v>
      </c>
      <c r="AX20" s="228">
        <f>IF(AX19&gt;=0,AX19*-'3. Finansiering'!$C$9,0)</f>
        <v>-2663999.9999999995</v>
      </c>
      <c r="AY20" s="228">
        <f>IF(AY19&gt;=0,AY19*-'3. Finansiering'!$C$9,0)</f>
        <v>-2663999.9999999995</v>
      </c>
      <c r="AZ20" s="228">
        <f>IF(AZ19&gt;=0,AZ19*-'3. Finansiering'!$C$9,0)</f>
        <v>-2663999.9999999995</v>
      </c>
      <c r="BA20" s="228">
        <f>IF(BA19&gt;=0,BA19*-'3. Finansiering'!$C$9,0)</f>
        <v>-2663999.9999999995</v>
      </c>
      <c r="BB20" s="513"/>
    </row>
    <row r="21" spans="1:54">
      <c r="A21" s="494"/>
      <c r="B21" s="227" t="s">
        <v>212</v>
      </c>
      <c r="C21" s="227"/>
      <c r="D21" s="228">
        <f>IF(IF(-SUM($D$20:D$20)&gt;D19,D19,SUM($D$20:D$20))&gt;=D19,0,(IF(-SUM($D$20:D$20)&gt;D19,D19,SUM($D$20:D$20))))</f>
        <v>-2663999.9999999995</v>
      </c>
      <c r="E21" s="228">
        <f>IF(IF(-SUM($D$20:E$20)&gt;E19,E19,SUM($D$20:E$20))&gt;=E19,0,(IF(-SUM($D$20:E$20)&gt;E19,E19,SUM($D$20:E$20))))</f>
        <v>-5327999.999999999</v>
      </c>
      <c r="F21" s="228">
        <f>IF(IF(-SUM($D$20:F$20)&gt;F19,F19,SUM($D$20:F$20))&gt;=F19,0,(IF(-SUM($D$20:F$20)&gt;F19,F19,SUM($D$20:F$20))))</f>
        <v>-7991999.999999998</v>
      </c>
      <c r="G21" s="228">
        <f>IF(IF(-SUM($D$20:G$20)&gt;G19,G19,SUM($D$20:G$20))&gt;=G19,0,(IF(-SUM($D$20:G$20)&gt;G19,G19,SUM($D$20:G$20))))</f>
        <v>-10655999.999999998</v>
      </c>
      <c r="H21" s="228">
        <f>IF(IF(-SUM($D$20:H$20)&gt;H19,H19,SUM($D$20:H$20))&gt;=H19,0,(IF(-SUM($D$20:H$20)&gt;H19,H19,SUM($D$20:H$20))))</f>
        <v>-13319999.999999998</v>
      </c>
      <c r="I21" s="228">
        <f>IF(IF(-SUM($D$20:I$20)&gt;I19,I19,SUM($D$20:I$20))&gt;=I19,0,(IF(-SUM($D$20:I$20)&gt;I19,I19,SUM($D$20:I$20))))</f>
        <v>-15983999.999999998</v>
      </c>
      <c r="J21" s="228">
        <f>IF(IF(-SUM($D$20:J$20)&gt;J19,J19,SUM($D$20:J$20))&gt;=J19,0,(IF(-SUM($D$20:J$20)&gt;J19,J19,SUM($D$20:J$20))))</f>
        <v>-18647999.999999996</v>
      </c>
      <c r="K21" s="228">
        <f>IF(IF(-SUM($D$20:K$20)&gt;K19,K19,SUM($D$20:K$20))&gt;=K19,0,(IF(-SUM($D$20:K$20)&gt;K19,K19,SUM($D$20:K$20))))</f>
        <v>-21311999.999999996</v>
      </c>
      <c r="L21" s="228">
        <f>IF(IF(-SUM($D$20:L$20)&gt;L19,L19,SUM($D$20:L$20))&gt;=L19,0,(IF(-SUM($D$20:L$20)&gt;L19,L19,SUM($D$20:L$20))))</f>
        <v>-23975999.999999996</v>
      </c>
      <c r="M21" s="228">
        <f>IF(IF(-SUM($D$20:M$20)&gt;M19,M19,SUM($D$20:M$20))&gt;=M19,0,(IF(-SUM($D$20:M$20)&gt;M19,M19,SUM($D$20:M$20))))</f>
        <v>-26639999.999999996</v>
      </c>
      <c r="N21" s="228">
        <f>IF(IF(-SUM($D$20:N$20)&gt;N19,N19,SUM($D$20:N$20))&gt;=N19,0,(IF(-SUM($D$20:N$20)&gt;N19,N19,SUM($D$20:N$20))))</f>
        <v>-29303999.999999996</v>
      </c>
      <c r="O21" s="228">
        <f>IF(IF(-SUM($D$20:O$20)&gt;O19,O19,SUM($D$20:O$20))&gt;=O19,0,(IF(-SUM($D$20:O$20)&gt;O19,O19,SUM($D$20:O$20))))</f>
        <v>-31967999.999999996</v>
      </c>
      <c r="P21" s="228">
        <f>IF(IF(-SUM($D$20:P$20)&gt;P19,P19,SUM($D$20:P$20))&gt;=P19,0,(IF(-SUM($D$20:P$20)&gt;P19,P19,SUM($D$20:P$20))))</f>
        <v>-34631999.99999999</v>
      </c>
      <c r="Q21" s="228">
        <f>IF(IF(-SUM($D$20:Q$20)&gt;Q19,Q19,SUM($D$20:Q$20))&gt;=Q19,0,(IF(-SUM($D$20:Q$20)&gt;Q19,Q19,SUM($D$20:Q$20))))</f>
        <v>-37295999.99999999</v>
      </c>
      <c r="R21" s="228">
        <f>IF(IF(-SUM($D$20:R$20)&gt;R19,R19,SUM($D$20:R$20))&gt;=R19,0,(IF(-SUM($D$20:R$20)&gt;R19,R19,SUM($D$20:R$20))))</f>
        <v>-39959999.99999999</v>
      </c>
      <c r="S21" s="228">
        <f>IF(IF(-SUM($D$20:S$20)&gt;S19,S19,SUM($D$20:S$20))&gt;=S19,0,(IF(-SUM($D$20:S$20)&gt;S19,S19,SUM($D$20:S$20))))</f>
        <v>-42623999.99999999</v>
      </c>
      <c r="T21" s="228">
        <f>IF(IF(-SUM($D$20:T$20)&gt;T19,T19,SUM($D$20:T$20))&gt;=T19,0,(IF(-SUM($D$20:T$20)&gt;T19,T19,SUM($D$20:T$20))))</f>
        <v>-45287999.99999999</v>
      </c>
      <c r="U21" s="228">
        <f>IF(IF(-SUM($D$20:U$20)&gt;U19,U19,SUM($D$20:U$20))&gt;=U19,0,(IF(-SUM($D$20:U$20)&gt;U19,U19,SUM($D$20:U$20))))</f>
        <v>-47951999.99999999</v>
      </c>
      <c r="V21" s="228">
        <f>IF(IF(-SUM($D$20:V$20)&gt;V19,V19,SUM($D$20:V$20))&gt;=V19,0,(IF(-SUM($D$20:V$20)&gt;V19,V19,SUM($D$20:V$20))))</f>
        <v>-50615999.99999999</v>
      </c>
      <c r="W21" s="228">
        <f>IF(IF(-SUM($D$20:W$20)&gt;W19,W19,SUM($D$20:W$20))&gt;=W19,0,(IF(-SUM($D$20:W$20)&gt;W19,W19,SUM($D$20:W$20))))</f>
        <v>-53279999.99999999</v>
      </c>
      <c r="X21" s="228">
        <f>IF(IF(-SUM($D$20:X$20)&gt;X19,X19,SUM($D$20:X$20))&gt;=X19,0,(IF(-SUM($D$20:X$20)&gt;X19,X19,SUM($D$20:X$20))))</f>
        <v>-55943999.99999999</v>
      </c>
      <c r="Y21" s="228">
        <f>IF(IF(-SUM($D$20:Y$20)&gt;Y19,Y19,SUM($D$20:Y$20))&gt;=Y19,0,(IF(-SUM($D$20:Y$20)&gt;Y19,Y19,SUM($D$20:Y$20))))</f>
        <v>-58607999.99999999</v>
      </c>
      <c r="Z21" s="228">
        <f>IF(IF(-SUM($D$20:Z$20)&gt;Z19,Z19,SUM($D$20:Z$20))&gt;=Z19,0,(IF(-SUM($D$20:Z$20)&gt;Z19,Z19,SUM($D$20:Z$20))))</f>
        <v>-61271999.99999999</v>
      </c>
      <c r="AA21" s="228">
        <f>IF(IF(-SUM($D$20:AA$20)&gt;AA19,AA19,SUM($D$20:AA$20))&gt;=AA19,0,(IF(-SUM($D$20:AA$20)&gt;AA19,AA19,SUM($D$20:AA$20))))</f>
        <v>-63935999.99999999</v>
      </c>
      <c r="AB21" s="228">
        <f>IF(IF(-SUM($D$20:AB$20)&gt;AB19,AB19,SUM($D$20:AB$20))&gt;=AB19,0,(IF(-SUM($D$20:AB$20)&gt;AB19,AB19,SUM($D$20:AB$20))))</f>
        <v>-66599999.999999985</v>
      </c>
      <c r="AC21" s="228">
        <f>IF(IF(-SUM($D$20:AC$20)&gt;AC19,AC19,SUM($D$20:AC$20))&gt;=AC19,0,(IF(-SUM($D$20:AC$20)&gt;AC19,AC19,SUM($D$20:AC$20))))</f>
        <v>-69263999.99999999</v>
      </c>
      <c r="AD21" s="228">
        <f>IF(IF(-SUM($D$20:AD$20)&gt;AD19,AD19,SUM($D$20:AD$20))&gt;=AD19,0,(IF(-SUM($D$20:AD$20)&gt;AD19,AD19,SUM($D$20:AD$20))))</f>
        <v>-71927999.99999999</v>
      </c>
      <c r="AE21" s="228">
        <f>IF(IF(-SUM($D$20:AE$20)&gt;AE19,AE19,SUM($D$20:AE$20))&gt;=AE19,0,(IF(-SUM($D$20:AE$20)&gt;AE19,AE19,SUM($D$20:AE$20))))</f>
        <v>-74591999.99999999</v>
      </c>
      <c r="AF21" s="228">
        <f>IF(IF(-SUM($D$20:AF$20)&gt;AF19,AF19,SUM($D$20:AF$20))&gt;=AF19,0,(IF(-SUM($D$20:AF$20)&gt;AF19,AF19,SUM($D$20:AF$20))))</f>
        <v>-77255999.99999999</v>
      </c>
      <c r="AG21" s="228">
        <f>IF(IF(-SUM($D$20:AG$20)&gt;AG19,AG19,SUM($D$20:AG$20))&gt;=AG19,0,(IF(-SUM($D$20:AG$20)&gt;AG19,AG19,SUM($D$20:AG$20))))</f>
        <v>-79919999.99999999</v>
      </c>
      <c r="AH21" s="228">
        <f>IF(IF(-SUM($D$20:AH$20)&gt;AH19,AH19,SUM($D$20:AH$20))&gt;=AH19,0,(IF(-SUM($D$20:AH$20)&gt;AH19,AH19,SUM($D$20:AH$20))))</f>
        <v>-82583999.99999999</v>
      </c>
      <c r="AI21" s="228">
        <f>IF(IF(-SUM($D$20:AI$20)&gt;AI19,AI19,SUM($D$20:AI$20))&gt;=AI19,0,(IF(-SUM($D$20:AI$20)&gt;AI19,AI19,SUM($D$20:AI$20))))</f>
        <v>-85247999.99999999</v>
      </c>
      <c r="AJ21" s="228">
        <f>IF(IF(-SUM($D$20:AJ$20)&gt;AJ19,AJ19,SUM($D$20:AJ$20))&gt;=AJ19,0,(IF(-SUM($D$20:AJ$20)&gt;AJ19,AJ19,SUM($D$20:AJ$20))))</f>
        <v>-87911999.99999999</v>
      </c>
      <c r="AK21" s="228">
        <f>IF(IF(-SUM($D$20:AK$20)&gt;AK19,AK19,SUM($D$20:AK$20))&gt;=AK19,0,(IF(-SUM($D$20:AK$20)&gt;AK19,AK19,SUM($D$20:AK$20))))</f>
        <v>0.0</v>
      </c>
      <c r="AL21" s="228">
        <f>IF(IF(-SUM($D$20:AL$20)&gt;AL19,AL19,SUM($D$20:AL$20))&gt;=AL19,0,(IF(-SUM($D$20:AL$20)&gt;AL19,AL19,SUM($D$20:AL$20))))</f>
        <v>0.0</v>
      </c>
      <c r="AM21" s="228">
        <f>IF(IF(-SUM($D$20:AM$20)&gt;AM19,AM19,SUM($D$20:AM$20))&gt;=AM19,0,(IF(-SUM($D$20:AM$20)&gt;AM19,AM19,SUM($D$20:AM$20))))</f>
        <v>0.0</v>
      </c>
      <c r="AN21" s="228">
        <f>IF(IF(-SUM($D$20:AN$20)&gt;AN19,AN19,SUM($D$20:AN$20))&gt;=AN19,0,(IF(-SUM($D$20:AN$20)&gt;AN19,AN19,SUM($D$20:AN$20))))</f>
        <v>0.0</v>
      </c>
      <c r="AO21" s="228">
        <f>IF(IF(-SUM($D$20:AO$20)&gt;AO19,AO19,SUM($D$20:AO$20))&gt;=AO19,0,(IF(-SUM($D$20:AO$20)&gt;AO19,AO19,SUM($D$20:AO$20))))</f>
        <v>0.0</v>
      </c>
      <c r="AP21" s="228">
        <f>IF(IF(-SUM($D$20:AP$20)&gt;AP19,AP19,SUM($D$20:AP$20))&gt;=AP19,0,(IF(-SUM($D$20:AP$20)&gt;AP19,AP19,SUM($D$20:AP$20))))</f>
        <v>0.0</v>
      </c>
      <c r="AQ21" s="228">
        <f>IF(IF(-SUM($D$20:AQ$20)&gt;AQ19,AQ19,SUM($D$20:AQ$20))&gt;=AQ19,0,(IF(-SUM($D$20:AQ$20)&gt;AQ19,AQ19,SUM($D$20:AQ$20))))</f>
        <v>0.0</v>
      </c>
      <c r="AR21" s="228">
        <f>IF(IF(-SUM($D$20:AR$20)&gt;AR19,AR19,SUM($D$20:AR$20))&gt;=AR19,0,(IF(-SUM($D$20:AR$20)&gt;AR19,AR19,SUM($D$20:AR$20))))</f>
        <v>0.0</v>
      </c>
      <c r="AS21" s="228">
        <f>IF(IF(-SUM($D$20:AS$20)&gt;AS19,AS19,SUM($D$20:AS$20))&gt;=AS19,0,(IF(-SUM($D$20:AS$20)&gt;AS19,AS19,SUM($D$20:AS$20))))</f>
        <v>0.0</v>
      </c>
      <c r="AT21" s="228">
        <f>IF(IF(-SUM($D$20:AT$20)&gt;AT19,AT19,SUM($D$20:AT$20))&gt;=AT19,0,(IF(-SUM($D$20:AT$20)&gt;AT19,AT19,SUM($D$20:AT$20))))</f>
        <v>0.0</v>
      </c>
      <c r="AU21" s="228">
        <f>IF(IF(-SUM($D$20:AU$20)&gt;AU19,AU19,SUM($D$20:AU$20))&gt;=AU19,0,(IF(-SUM($D$20:AU$20)&gt;AU19,AU19,SUM($D$20:AU$20))))</f>
        <v>0.0</v>
      </c>
      <c r="AV21" s="228">
        <f>IF(IF(-SUM($D$20:AV$20)&gt;AV19,AV19,SUM($D$20:AV$20))&gt;=AV19,0,(IF(-SUM($D$20:AV$20)&gt;AV19,AV19,SUM($D$20:AV$20))))</f>
        <v>0.0</v>
      </c>
      <c r="AW21" s="228">
        <f>IF(IF(-SUM($D$20:AW$20)&gt;AW19,AW19,SUM($D$20:AW$20))&gt;=AW19,0,(IF(-SUM($D$20:AW$20)&gt;AW19,AW19,SUM($D$20:AW$20))))</f>
        <v>0.0</v>
      </c>
      <c r="AX21" s="228">
        <f>IF(IF(-SUM($D$20:AX$20)&gt;AX19,AX19,SUM($D$20:AX$20))&gt;=AX19,0,(IF(-SUM($D$20:AX$20)&gt;AX19,AX19,SUM($D$20:AX$20))))</f>
        <v>0.0</v>
      </c>
      <c r="AY21" s="228">
        <f>IF(IF(-SUM($D$20:AY$20)&gt;AY19,AY19,SUM($D$20:AY$20))&gt;=AY19,0,(IF(-SUM($D$20:AY$20)&gt;AY19,AY19,SUM($D$20:AY$20))))</f>
        <v>0.0</v>
      </c>
      <c r="AZ21" s="228">
        <f>IF(IF(-SUM($D$20:AZ$20)&gt;AZ19,AZ19,SUM($D$20:AZ$20))&gt;=AZ19,0,(IF(-SUM($D$20:AZ$20)&gt;AZ19,AZ19,SUM($D$20:AZ$20))))</f>
        <v>0.0</v>
      </c>
      <c r="BA21" s="228">
        <f>IF(IF(-SUM($D$20:BA$20)&gt;BA19,BA19,SUM($D$20:BA$20))&gt;=BA19,0,(IF(-SUM($D$20:BA$20)&gt;BA19,BA19,SUM($D$20:BA$20))))</f>
        <v>0.0</v>
      </c>
      <c r="BB21" s="513"/>
    </row>
    <row r="22" spans="1:54">
      <c r="A22" s="494"/>
      <c r="B22" s="323" t="inlineStr">
        <is>
          <t>Återstående skuld vid årets slut</t>
        </is>
      </c>
      <c r="C22" s="891" t="inlineStr">
        <is>
          <t>→ 5. IRR</t>
        </is>
      </c>
      <c r="D22" s="435">
        <f>IF(D$21&gt;0,0,D$19+D$21)</f>
        <v>86135999.99999999</v>
      </c>
      <c r="E22" s="435">
        <f t="shared" ref="E22:BA22" si="0">IF(E$21&gt;0,0,E$19+E$21)</f>
        <v>83471999.99999999</v>
      </c>
      <c r="F22" s="435">
        <f t="shared" si="0"/>
        <v>80807999.99999999</v>
      </c>
      <c r="G22" s="435">
        <f t="shared" si="0"/>
        <v>78143999.99999999</v>
      </c>
      <c r="H22" s="435">
        <f t="shared" si="0"/>
        <v>75479999.99999999</v>
      </c>
      <c r="I22" s="435">
        <f t="shared" si="0"/>
        <v>72815999.99999999</v>
      </c>
      <c r="J22" s="435">
        <f t="shared" si="0"/>
        <v>70151999.99999999</v>
      </c>
      <c r="K22" s="435">
        <f t="shared" si="0"/>
        <v>67487999.99999999</v>
      </c>
      <c r="L22" s="435">
        <f t="shared" si="0"/>
        <v>64823999.999999985</v>
      </c>
      <c r="M22" s="435">
        <f t="shared" si="0"/>
        <v>62159999.999999985</v>
      </c>
      <c r="N22" s="435">
        <f t="shared" si="0"/>
        <v>59495999.999999985</v>
      </c>
      <c r="O22" s="435">
        <f t="shared" si="0"/>
        <v>56831999.999999985</v>
      </c>
      <c r="P22" s="435">
        <f t="shared" si="0"/>
        <v>54167999.99999999</v>
      </c>
      <c r="Q22" s="435">
        <f t="shared" si="0"/>
        <v>51503999.99999999</v>
      </c>
      <c r="R22" s="435">
        <f t="shared" si="0"/>
        <v>48839999.99999999</v>
      </c>
      <c r="S22" s="435">
        <f t="shared" si="0"/>
        <v>46175999.99999999</v>
      </c>
      <c r="T22" s="435">
        <f t="shared" si="0"/>
        <v>43511999.99999999</v>
      </c>
      <c r="U22" s="435">
        <f t="shared" si="0"/>
        <v>40847999.99999999</v>
      </c>
      <c r="V22" s="435">
        <f t="shared" si="0"/>
        <v>38183999.99999999</v>
      </c>
      <c r="W22" s="435">
        <f t="shared" si="0"/>
        <v>35519999.99999999</v>
      </c>
      <c r="X22" s="435">
        <f t="shared" si="0"/>
        <v>32855999.999999993</v>
      </c>
      <c r="Y22" s="435">
        <f t="shared" si="0"/>
        <v>30191999.999999993</v>
      </c>
      <c r="Z22" s="435">
        <f t="shared" si="0"/>
        <v>27527999.999999993</v>
      </c>
      <c r="AA22" s="435">
        <f t="shared" si="0"/>
        <v>24863999.999999993</v>
      </c>
      <c r="AB22" s="435">
        <f t="shared" si="0"/>
        <v>22200000.0</v>
      </c>
      <c r="AC22" s="435">
        <f t="shared" si="0"/>
        <v>19536000.0</v>
      </c>
      <c r="AD22" s="435">
        <f t="shared" si="0"/>
        <v>16872000.0</v>
      </c>
      <c r="AE22" s="435">
        <f t="shared" si="0"/>
        <v>14208000.0</v>
      </c>
      <c r="AF22" s="435">
        <f t="shared" si="0"/>
        <v>11544000.0</v>
      </c>
      <c r="AG22" s="435">
        <f t="shared" si="0"/>
        <v>8880000.0</v>
      </c>
      <c r="AH22" s="435">
        <f t="shared" si="0"/>
        <v>6216000.0</v>
      </c>
      <c r="AI22" s="435">
        <f t="shared" si="0"/>
        <v>3552000.0</v>
      </c>
      <c r="AJ22" s="435">
        <f t="shared" si="0"/>
        <v>888000.0</v>
      </c>
      <c r="AK22" s="435">
        <f t="shared" si="0"/>
        <v>88799999.99999999</v>
      </c>
      <c r="AL22" s="435">
        <f t="shared" si="0"/>
        <v>88799999.99999999</v>
      </c>
      <c r="AM22" s="435">
        <f t="shared" si="0"/>
        <v>88799999.99999999</v>
      </c>
      <c r="AN22" s="435">
        <f t="shared" si="0"/>
        <v>88799999.99999999</v>
      </c>
      <c r="AO22" s="435">
        <f t="shared" si="0"/>
        <v>88799999.99999999</v>
      </c>
      <c r="AP22" s="435">
        <f t="shared" si="0"/>
        <v>88799999.99999999</v>
      </c>
      <c r="AQ22" s="435">
        <f t="shared" si="0"/>
        <v>88799999.99999999</v>
      </c>
      <c r="AR22" s="435">
        <f t="shared" si="0"/>
        <v>88799999.99999999</v>
      </c>
      <c r="AS22" s="435">
        <f t="shared" si="0"/>
        <v>88799999.99999999</v>
      </c>
      <c r="AT22" s="435">
        <f t="shared" si="0"/>
        <v>88799999.99999999</v>
      </c>
      <c r="AU22" s="435">
        <f t="shared" si="0"/>
        <v>88799999.99999999</v>
      </c>
      <c r="AV22" s="435">
        <f t="shared" si="0"/>
        <v>88799999.99999999</v>
      </c>
      <c r="AW22" s="435">
        <f t="shared" si="0"/>
        <v>88799999.99999999</v>
      </c>
      <c r="AX22" s="435">
        <f t="shared" si="0"/>
        <v>88799999.99999999</v>
      </c>
      <c r="AY22" s="435">
        <f t="shared" si="0"/>
        <v>88799999.99999999</v>
      </c>
      <c r="AZ22" s="435">
        <f t="shared" si="0"/>
        <v>88799999.99999999</v>
      </c>
      <c r="BA22" s="435">
        <f t="shared" si="0"/>
        <v>88799999.99999999</v>
      </c>
      <c r="BB22" s="513"/>
    </row>
    <row r="23" spans="1:54">
      <c r="A23" s="494"/>
      <c r="B23" s="227" t="inlineStr">
        <is>
          <t>Räntesats (trappas upp år 1–11)</t>
        </is>
      </c>
      <c r="C23" s="436"/>
      <c r="D23" s="437">
        <f>'3. Finansiering'!C7</f>
        <v>0.0307</v>
      </c>
      <c r="E23" s="795">
        <f>IF('3. Finansiering'!$C$7+(('3. Finansiering'!$C$8-'3. Finansiering'!$C$7)*(D14/$M$14))&gt;'3. Finansiering'!$C$8,'3. Finansiering'!$C$8,('3. Finansiering'!$C$7+(('3. Finansiering'!$C$8-'3. Finansiering'!$C$7)*(D14/$M$14))))</f>
        <v>0.03218</v>
      </c>
      <c r="F23" s="795">
        <f>IF('3. Finansiering'!$C$7+(('3. Finansiering'!$C$8-'3. Finansiering'!$C$7)*(E14/$M$14))&gt;'3. Finansiering'!$C$8,'3. Finansiering'!$C$8,('3. Finansiering'!$C$7+(('3. Finansiering'!$C$8-'3. Finansiering'!$C$7)*(E14/$M$14))))</f>
        <v>0.03366</v>
      </c>
      <c r="G23" s="795">
        <f>IF('3. Finansiering'!$C$7+(('3. Finansiering'!$C$8-'3. Finansiering'!$C$7)*(F14/$M$14))&gt;'3. Finansiering'!$C$8,'3. Finansiering'!$C$8,('3. Finansiering'!$C$7+(('3. Finansiering'!$C$8-'3. Finansiering'!$C$7)*(F14/$M$14))))</f>
        <v>0.03514</v>
      </c>
      <c r="H23" s="795">
        <f>IF('3. Finansiering'!$C$7+(('3. Finansiering'!$C$8-'3. Finansiering'!$C$7)*(G14/$M$14))&gt;'3. Finansiering'!$C$8,'3. Finansiering'!$C$8,('3. Finansiering'!$C$7+(('3. Finansiering'!$C$8-'3. Finansiering'!$C$7)*(G14/$M$14))))</f>
        <v>0.03662</v>
      </c>
      <c r="I23" s="795">
        <f>IF('3. Finansiering'!$C$7+(('3. Finansiering'!$C$8-'3. Finansiering'!$C$7)*(H14/$M$14))&gt;'3. Finansiering'!$C$8,'3. Finansiering'!$C$8,('3. Finansiering'!$C$7+(('3. Finansiering'!$C$8-'3. Finansiering'!$C$7)*(H14/$M$14))))</f>
        <v>0.0381</v>
      </c>
      <c r="J23" s="795">
        <f>IF('3. Finansiering'!$C$7+(('3. Finansiering'!$C$8-'3. Finansiering'!$C$7)*(I14/$M$14))&gt;'3. Finansiering'!$C$8,'3. Finansiering'!$C$8,('3. Finansiering'!$C$7+(('3. Finansiering'!$C$8-'3. Finansiering'!$C$7)*(I14/$M$14))))</f>
        <v>0.03958</v>
      </c>
      <c r="K23" s="795">
        <f>IF('3. Finansiering'!$C$7+(('3. Finansiering'!$C$8-'3. Finansiering'!$C$7)*(J14/$M$14))&gt;'3. Finansiering'!$C$8,'3. Finansiering'!$C$8,('3. Finansiering'!$C$7+(('3. Finansiering'!$C$8-'3. Finansiering'!$C$7)*(J14/$M$14))))</f>
        <v>0.04106</v>
      </c>
      <c r="L23" s="795">
        <f>IF('3. Finansiering'!$C$7+(('3. Finansiering'!$C$8-'3. Finansiering'!$C$7)*(K14/$M$14))&gt;'3. Finansiering'!$C$8,'3. Finansiering'!$C$8,('3. Finansiering'!$C$7+(('3. Finansiering'!$C$8-'3. Finansiering'!$C$7)*(K14/$M$14))))</f>
        <v>0.04254</v>
      </c>
      <c r="M23" s="795">
        <f>IF('3. Finansiering'!$C$7+(('3. Finansiering'!$C$8-'3. Finansiering'!$C$7)*(L14/$M$14))&gt;'3. Finansiering'!$C$8,'3. Finansiering'!$C$8,('3. Finansiering'!$C$7+(('3. Finansiering'!$C$8-'3. Finansiering'!$C$7)*(L14/$M$14))))</f>
        <v>0.044020000000000004</v>
      </c>
      <c r="N23" s="795">
        <f>IF('3. Finansiering'!$C$7+(('3. Finansiering'!$C$8-'3. Finansiering'!$C$7)*(M14/$M$14))&gt;'3. Finansiering'!$C$8,'3. Finansiering'!$C$8,('3. Finansiering'!$C$7+(('3. Finansiering'!$C$8-'3. Finansiering'!$C$7)*(M14/$M$14))))</f>
        <v>0.0455</v>
      </c>
      <c r="O23" s="795">
        <f>IF('3. Finansiering'!$C$7+(('3. Finansiering'!$C$8-'3. Finansiering'!$C$7)*(N14/$M$14))&gt;'3. Finansiering'!$C$8,'3. Finansiering'!$C$8,('3. Finansiering'!$C$7+(('3. Finansiering'!$C$8-'3. Finansiering'!$C$7)*(N14/$M$14))))</f>
        <v>0.0455</v>
      </c>
      <c r="P23" s="795">
        <f>IF('3. Finansiering'!$C$7+(('3. Finansiering'!$C$8-'3. Finansiering'!$C$7)*(O14/$M$14))&gt;'3. Finansiering'!$C$8,'3. Finansiering'!$C$8,('3. Finansiering'!$C$7+(('3. Finansiering'!$C$8-'3. Finansiering'!$C$7)*(O14/$M$14))))</f>
        <v>0.0455</v>
      </c>
      <c r="Q23" s="795">
        <f>IF('3. Finansiering'!$C$7+(('3. Finansiering'!$C$8-'3. Finansiering'!$C$7)*(P14/$M$14))&gt;'3. Finansiering'!$C$8,'3. Finansiering'!$C$8,('3. Finansiering'!$C$7+(('3. Finansiering'!$C$8-'3. Finansiering'!$C$7)*(P14/$M$14))))</f>
        <v>0.0455</v>
      </c>
      <c r="R23" s="795">
        <f>IF('3. Finansiering'!$C$7+(('3. Finansiering'!$C$8-'3. Finansiering'!$C$7)*(Q14/$M$14))&gt;'3. Finansiering'!$C$8,'3. Finansiering'!$C$8,('3. Finansiering'!$C$7+(('3. Finansiering'!$C$8-'3. Finansiering'!$C$7)*(Q14/$M$14))))</f>
        <v>0.0455</v>
      </c>
      <c r="S23" s="795">
        <f>IF('3. Finansiering'!$C$7+(('3. Finansiering'!$C$8-'3. Finansiering'!$C$7)*(R14/$M$14))&gt;'3. Finansiering'!$C$8,'3. Finansiering'!$C$8,('3. Finansiering'!$C$7+(('3. Finansiering'!$C$8-'3. Finansiering'!$C$7)*(R14/$M$14))))</f>
        <v>0.0455</v>
      </c>
      <c r="T23" s="795">
        <f>IF('3. Finansiering'!$C$7+(('3. Finansiering'!$C$8-'3. Finansiering'!$C$7)*(S14/$M$14))&gt;'3. Finansiering'!$C$8,'3. Finansiering'!$C$8,('3. Finansiering'!$C$7+(('3. Finansiering'!$C$8-'3. Finansiering'!$C$7)*(S14/$M$14))))</f>
        <v>0.0455</v>
      </c>
      <c r="U23" s="795">
        <f>IF('3. Finansiering'!$C$7+(('3. Finansiering'!$C$8-'3. Finansiering'!$C$7)*(T14/$M$14))&gt;'3. Finansiering'!$C$8,'3. Finansiering'!$C$8,('3. Finansiering'!$C$7+(('3. Finansiering'!$C$8-'3. Finansiering'!$C$7)*(T14/$M$14))))</f>
        <v>0.0455</v>
      </c>
      <c r="V23" s="795">
        <f>IF('3. Finansiering'!$C$7+(('3. Finansiering'!$C$8-'3. Finansiering'!$C$7)*(U14/$M$14))&gt;'3. Finansiering'!$C$8,'3. Finansiering'!$C$8,('3. Finansiering'!$C$7+(('3. Finansiering'!$C$8-'3. Finansiering'!$C$7)*(U14/$M$14))))</f>
        <v>0.0455</v>
      </c>
      <c r="W23" s="795">
        <f>IF('3. Finansiering'!$C$7+(('3. Finansiering'!$C$8-'3. Finansiering'!$C$7)*(V14/$M$14))&gt;'3. Finansiering'!$C$8,'3. Finansiering'!$C$8,('3. Finansiering'!$C$7+(('3. Finansiering'!$C$8-'3. Finansiering'!$C$7)*(V14/$M$14))))</f>
        <v>0.0455</v>
      </c>
      <c r="X23" s="795">
        <f>IF('3. Finansiering'!$C$7+(('3. Finansiering'!$C$8-'3. Finansiering'!$C$7)*(W14/$M$14))&gt;'3. Finansiering'!$C$8,'3. Finansiering'!$C$8,('3. Finansiering'!$C$7+(('3. Finansiering'!$C$8-'3. Finansiering'!$C$7)*(W14/$M$14))))</f>
        <v>0.0455</v>
      </c>
      <c r="Y23" s="795">
        <f>IF('3. Finansiering'!$C$7+(('3. Finansiering'!$C$8-'3. Finansiering'!$C$7)*(X14/$M$14))&gt;'3. Finansiering'!$C$8,'3. Finansiering'!$C$8,('3. Finansiering'!$C$7+(('3. Finansiering'!$C$8-'3. Finansiering'!$C$7)*(X14/$M$14))))</f>
        <v>0.0455</v>
      </c>
      <c r="Z23" s="795">
        <f>IF('3. Finansiering'!$C$7+(('3. Finansiering'!$C$8-'3. Finansiering'!$C$7)*(Y14/$M$14))&gt;'3. Finansiering'!$C$8,'3. Finansiering'!$C$8,('3. Finansiering'!$C$7+(('3. Finansiering'!$C$8-'3. Finansiering'!$C$7)*(Y14/$M$14))))</f>
        <v>0.0455</v>
      </c>
      <c r="AA23" s="795">
        <f>IF('3. Finansiering'!$C$7+(('3. Finansiering'!$C$8-'3. Finansiering'!$C$7)*(Z14/$M$14))&gt;'3. Finansiering'!$C$8,'3. Finansiering'!$C$8,('3. Finansiering'!$C$7+(('3. Finansiering'!$C$8-'3. Finansiering'!$C$7)*(Z14/$M$14))))</f>
        <v>0.0455</v>
      </c>
      <c r="AB23" s="795">
        <f>IF('3. Finansiering'!$C$7+(('3. Finansiering'!$C$8-'3. Finansiering'!$C$7)*(AA14/$M$14))&gt;'3. Finansiering'!$C$8,'3. Finansiering'!$C$8,('3. Finansiering'!$C$7+(('3. Finansiering'!$C$8-'3. Finansiering'!$C$7)*(AA14/$M$14))))</f>
        <v>0.0455</v>
      </c>
      <c r="AC23" s="795">
        <f>IF('3. Finansiering'!$C$7+(('3. Finansiering'!$C$8-'3. Finansiering'!$C$7)*(AB14/$M$14))&gt;'3. Finansiering'!$C$8,'3. Finansiering'!$C$8,('3. Finansiering'!$C$7+(('3. Finansiering'!$C$8-'3. Finansiering'!$C$7)*(AB14/$M$14))))</f>
        <v>0.0455</v>
      </c>
      <c r="AD23" s="795">
        <f>IF('3. Finansiering'!$C$7+(('3. Finansiering'!$C$8-'3. Finansiering'!$C$7)*(AC14/$M$14))&gt;'3. Finansiering'!$C$8,'3. Finansiering'!$C$8,('3. Finansiering'!$C$7+(('3. Finansiering'!$C$8-'3. Finansiering'!$C$7)*(AC14/$M$14))))</f>
        <v>0.0455</v>
      </c>
      <c r="AE23" s="795">
        <f>IF('3. Finansiering'!$C$7+(('3. Finansiering'!$C$8-'3. Finansiering'!$C$7)*(AD14/$M$14))&gt;'3. Finansiering'!$C$8,'3. Finansiering'!$C$8,('3. Finansiering'!$C$7+(('3. Finansiering'!$C$8-'3. Finansiering'!$C$7)*(AD14/$M$14))))</f>
        <v>0.0455</v>
      </c>
      <c r="AF23" s="795">
        <f>IF('3. Finansiering'!$C$7+(('3. Finansiering'!$C$8-'3. Finansiering'!$C$7)*(AE14/$M$14))&gt;'3. Finansiering'!$C$8,'3. Finansiering'!$C$8,('3. Finansiering'!$C$7+(('3. Finansiering'!$C$8-'3. Finansiering'!$C$7)*(AE14/$M$14))))</f>
        <v>0.0455</v>
      </c>
      <c r="AG23" s="795">
        <f>IF('3. Finansiering'!$C$7+(('3. Finansiering'!$C$8-'3. Finansiering'!$C$7)*(AF14/$M$14))&gt;'3. Finansiering'!$C$8,'3. Finansiering'!$C$8,('3. Finansiering'!$C$7+(('3. Finansiering'!$C$8-'3. Finansiering'!$C$7)*(AF14/$M$14))))</f>
        <v>0.0455</v>
      </c>
      <c r="AH23" s="795">
        <f>IF('3. Finansiering'!$C$7+(('3. Finansiering'!$C$8-'3. Finansiering'!$C$7)*(AG14/$M$14))&gt;'3. Finansiering'!$C$8,'3. Finansiering'!$C$8,('3. Finansiering'!$C$7+(('3. Finansiering'!$C$8-'3. Finansiering'!$C$7)*(AG14/$M$14))))</f>
        <v>0.0455</v>
      </c>
      <c r="AI23" s="795">
        <f>IF('3. Finansiering'!$C$7+(('3. Finansiering'!$C$8-'3. Finansiering'!$C$7)*(AH14/$M$14))&gt;'3. Finansiering'!$C$8,'3. Finansiering'!$C$8,('3. Finansiering'!$C$7+(('3. Finansiering'!$C$8-'3. Finansiering'!$C$7)*(AH14/$M$14))))</f>
        <v>0.0455</v>
      </c>
      <c r="AJ23" s="795">
        <f>IF('3. Finansiering'!$C$7+(('3. Finansiering'!$C$8-'3. Finansiering'!$C$7)*(AI14/$M$14))&gt;'3. Finansiering'!$C$8,'3. Finansiering'!$C$8,('3. Finansiering'!$C$7+(('3. Finansiering'!$C$8-'3. Finansiering'!$C$7)*(AI14/$M$14))))</f>
        <v>0.0455</v>
      </c>
      <c r="AK23" s="795">
        <f>IF('3. Finansiering'!$C$7+(('3. Finansiering'!$C$8-'3. Finansiering'!$C$7)*(AJ14/$M$14))&gt;'3. Finansiering'!$C$8,'3. Finansiering'!$C$8,('3. Finansiering'!$C$7+(('3. Finansiering'!$C$8-'3. Finansiering'!$C$7)*(AJ14/$M$14))))</f>
        <v>0.0455</v>
      </c>
      <c r="AL23" s="795">
        <f>IF('3. Finansiering'!$C$7+(('3. Finansiering'!$C$8-'3. Finansiering'!$C$7)*(AK14/$M$14))&gt;'3. Finansiering'!$C$8,'3. Finansiering'!$C$8,('3. Finansiering'!$C$7+(('3. Finansiering'!$C$8-'3. Finansiering'!$C$7)*(AK14/$M$14))))</f>
        <v>0.0455</v>
      </c>
      <c r="AM23" s="795">
        <f>IF('3. Finansiering'!$C$7+(('3. Finansiering'!$C$8-'3. Finansiering'!$C$7)*(AL14/$M$14))&gt;'3. Finansiering'!$C$8,'3. Finansiering'!$C$8,('3. Finansiering'!$C$7+(('3. Finansiering'!$C$8-'3. Finansiering'!$C$7)*(AL14/$M$14))))</f>
        <v>0.0455</v>
      </c>
      <c r="AN23" s="795">
        <f>IF('3. Finansiering'!$C$7+(('3. Finansiering'!$C$8-'3. Finansiering'!$C$7)*(AM14/$M$14))&gt;'3. Finansiering'!$C$8,'3. Finansiering'!$C$8,('3. Finansiering'!$C$7+(('3. Finansiering'!$C$8-'3. Finansiering'!$C$7)*(AM14/$M$14))))</f>
        <v>0.0455</v>
      </c>
      <c r="AO23" s="795">
        <f>IF('3. Finansiering'!$C$7+(('3. Finansiering'!$C$8-'3. Finansiering'!$C$7)*(AN14/$M$14))&gt;'3. Finansiering'!$C$8,'3. Finansiering'!$C$8,('3. Finansiering'!$C$7+(('3. Finansiering'!$C$8-'3. Finansiering'!$C$7)*(AN14/$M$14))))</f>
        <v>0.0455</v>
      </c>
      <c r="AP23" s="795">
        <f>IF('3. Finansiering'!$C$7+(('3. Finansiering'!$C$8-'3. Finansiering'!$C$7)*(AO14/$M$14))&gt;'3. Finansiering'!$C$8,'3. Finansiering'!$C$8,('3. Finansiering'!$C$7+(('3. Finansiering'!$C$8-'3. Finansiering'!$C$7)*(AO14/$M$14))))</f>
        <v>0.0455</v>
      </c>
      <c r="AQ23" s="795">
        <f>IF('3. Finansiering'!$C$7+(('3. Finansiering'!$C$8-'3. Finansiering'!$C$7)*(AP14/$M$14))&gt;'3. Finansiering'!$C$8,'3. Finansiering'!$C$8,('3. Finansiering'!$C$7+(('3. Finansiering'!$C$8-'3. Finansiering'!$C$7)*(AP14/$M$14))))</f>
        <v>0.0455</v>
      </c>
      <c r="AR23" s="795">
        <f>IF('3. Finansiering'!$C$7+(('3. Finansiering'!$C$8-'3. Finansiering'!$C$7)*(AQ14/$M$14))&gt;'3. Finansiering'!$C$8,'3. Finansiering'!$C$8,('3. Finansiering'!$C$7+(('3. Finansiering'!$C$8-'3. Finansiering'!$C$7)*(AQ14/$M$14))))</f>
        <v>0.0455</v>
      </c>
      <c r="AS23" s="795">
        <f>IF('3. Finansiering'!$C$7+(('3. Finansiering'!$C$8-'3. Finansiering'!$C$7)*(AR14/$M$14))&gt;'3. Finansiering'!$C$8,'3. Finansiering'!$C$8,('3. Finansiering'!$C$7+(('3. Finansiering'!$C$8-'3. Finansiering'!$C$7)*(AR14/$M$14))))</f>
        <v>0.0455</v>
      </c>
      <c r="AT23" s="795">
        <f>IF('3. Finansiering'!$C$7+(('3. Finansiering'!$C$8-'3. Finansiering'!$C$7)*(AS14/$M$14))&gt;'3. Finansiering'!$C$8,'3. Finansiering'!$C$8,('3. Finansiering'!$C$7+(('3. Finansiering'!$C$8-'3. Finansiering'!$C$7)*(AS14/$M$14))))</f>
        <v>0.0455</v>
      </c>
      <c r="AU23" s="795">
        <f>IF('3. Finansiering'!$C$7+(('3. Finansiering'!$C$8-'3. Finansiering'!$C$7)*(AT14/$M$14))&gt;'3. Finansiering'!$C$8,'3. Finansiering'!$C$8,('3. Finansiering'!$C$7+(('3. Finansiering'!$C$8-'3. Finansiering'!$C$7)*(AT14/$M$14))))</f>
        <v>0.0455</v>
      </c>
      <c r="AV23" s="795">
        <f>IF('3. Finansiering'!$C$7+(('3. Finansiering'!$C$8-'3. Finansiering'!$C$7)*(AU14/$M$14))&gt;'3. Finansiering'!$C$8,'3. Finansiering'!$C$8,('3. Finansiering'!$C$7+(('3. Finansiering'!$C$8-'3. Finansiering'!$C$7)*(AU14/$M$14))))</f>
        <v>0.0455</v>
      </c>
      <c r="AW23" s="795">
        <f>IF('3. Finansiering'!$C$7+(('3. Finansiering'!$C$8-'3. Finansiering'!$C$7)*(AV14/$M$14))&gt;'3. Finansiering'!$C$8,'3. Finansiering'!$C$8,('3. Finansiering'!$C$7+(('3. Finansiering'!$C$8-'3. Finansiering'!$C$7)*(AV14/$M$14))))</f>
        <v>0.0455</v>
      </c>
      <c r="AX23" s="795">
        <f>IF('3. Finansiering'!$C$7+(('3. Finansiering'!$C$8-'3. Finansiering'!$C$7)*(AW14/$M$14))&gt;'3. Finansiering'!$C$8,'3. Finansiering'!$C$8,('3. Finansiering'!$C$7+(('3. Finansiering'!$C$8-'3. Finansiering'!$C$7)*(AW14/$M$14))))</f>
        <v>0.0455</v>
      </c>
      <c r="AY23" s="795">
        <f>IF('3. Finansiering'!$C$7+(('3. Finansiering'!$C$8-'3. Finansiering'!$C$7)*(AX14/$M$14))&gt;'3. Finansiering'!$C$8,'3. Finansiering'!$C$8,('3. Finansiering'!$C$7+(('3. Finansiering'!$C$8-'3. Finansiering'!$C$7)*(AX14/$M$14))))</f>
        <v>0.0455</v>
      </c>
      <c r="AZ23" s="795">
        <f>IF('3. Finansiering'!$C$7+(('3. Finansiering'!$C$8-'3. Finansiering'!$C$7)*(AY14/$M$14))&gt;'3. Finansiering'!$C$8,'3. Finansiering'!$C$8,('3. Finansiering'!$C$7+(('3. Finansiering'!$C$8-'3. Finansiering'!$C$7)*(AY14/$M$14))))</f>
        <v>0.0455</v>
      </c>
      <c r="BA23" s="795">
        <f>IF('3. Finansiering'!$C$7+(('3. Finansiering'!$C$8-'3. Finansiering'!$C$7)*(AZ14/$M$14))&gt;'3. Finansiering'!$C$8,'3. Finansiering'!$C$8,('3. Finansiering'!$C$7+(('3. Finansiering'!$C$8-'3. Finansiering'!$C$7)*(AZ14/$M$14))))</f>
        <v>0.0455</v>
      </c>
      <c r="BB23" s="513"/>
    </row>
    <row r="24" spans="1:54">
      <c r="A24" s="494"/>
      <c r="B24" s="227" t="s">
        <v>215</v>
      </c>
      <c r="C24" s="882" t="inlineStr">
        <is>
          <t>→ 5. IRR</t>
        </is>
      </c>
      <c r="D24" s="228">
        <f t="shared" ref="D24:AI24" si="1">-D23*D22</f>
        <v>-2644375.1999999997</v>
      </c>
      <c r="E24" s="228">
        <f t="shared" si="1"/>
        <v>-2686128.9599999995</v>
      </c>
      <c r="F24" s="228">
        <f t="shared" si="1"/>
        <v>-2719997.28</v>
      </c>
      <c r="G24" s="228">
        <f t="shared" si="1"/>
        <v>-2745980.159999999</v>
      </c>
      <c r="H24" s="228">
        <f t="shared" si="1"/>
        <v>-2764077.5999999996</v>
      </c>
      <c r="I24" s="228">
        <f t="shared" si="1"/>
        <v>-2774289.5999999996</v>
      </c>
      <c r="J24" s="228">
        <f t="shared" si="1"/>
        <v>-2776616.159999999</v>
      </c>
      <c r="K24" s="228">
        <f t="shared" si="1"/>
        <v>-2771057.2799999993</v>
      </c>
      <c r="L24" s="228">
        <f t="shared" si="1"/>
        <v>-2757612.9599999995</v>
      </c>
      <c r="M24" s="228">
        <f t="shared" si="1"/>
        <v>-2736283.1999999997</v>
      </c>
      <c r="N24" s="228">
        <f t="shared" si="1"/>
        <v>-2707067.999999999</v>
      </c>
      <c r="O24" s="228">
        <f t="shared" si="1"/>
        <v>-2585855.999999999</v>
      </c>
      <c r="P24" s="228">
        <f t="shared" si="1"/>
        <v>-2464643.9999999995</v>
      </c>
      <c r="Q24" s="228">
        <f t="shared" si="1"/>
        <v>-2343431.9999999995</v>
      </c>
      <c r="R24" s="228">
        <f t="shared" si="1"/>
        <v>-2222219.9999999995</v>
      </c>
      <c r="S24" s="228">
        <f t="shared" si="1"/>
        <v>-2101007.9999999995</v>
      </c>
      <c r="T24" s="228">
        <f t="shared" si="1"/>
        <v>-1979795.9999999995</v>
      </c>
      <c r="U24" s="228">
        <f t="shared" si="1"/>
        <v>-1858583.9999999995</v>
      </c>
      <c r="V24" s="228">
        <f t="shared" si="1"/>
        <v>-1737371.9999999995</v>
      </c>
      <c r="W24" s="228">
        <f t="shared" si="1"/>
        <v>-1616159.9999999995</v>
      </c>
      <c r="X24" s="228">
        <f t="shared" si="1"/>
        <v>-1494947.9999999995</v>
      </c>
      <c r="Y24" s="228">
        <f t="shared" si="1"/>
        <v>-1373735.9999999995</v>
      </c>
      <c r="Z24" s="228">
        <f t="shared" si="1"/>
        <v>-1252523.9999999995</v>
      </c>
      <c r="AA24" s="228">
        <f t="shared" si="1"/>
        <v>-1131311.9999999995</v>
      </c>
      <c r="AB24" s="228">
        <f t="shared" si="1"/>
        <v>-1010100.0</v>
      </c>
      <c r="AC24" s="228">
        <f t="shared" si="1"/>
        <v>-888888.0</v>
      </c>
      <c r="AD24" s="228">
        <f t="shared" si="1"/>
        <v>-767676.0</v>
      </c>
      <c r="AE24" s="228">
        <f t="shared" si="1"/>
        <v>-646464.0</v>
      </c>
      <c r="AF24" s="228">
        <f t="shared" si="1"/>
        <v>-525252.0</v>
      </c>
      <c r="AG24" s="228">
        <f t="shared" si="1"/>
        <v>-404040.0</v>
      </c>
      <c r="AH24" s="228">
        <f t="shared" si="1"/>
        <v>-282828.0</v>
      </c>
      <c r="AI24" s="228">
        <f t="shared" si="1"/>
        <v>-161616.0</v>
      </c>
      <c r="AJ24" s="228">
        <f t="shared" ref="AJ24:BA24" si="2">-AJ23*AJ22</f>
        <v>-40404.0</v>
      </c>
      <c r="AK24" s="228">
        <f t="shared" si="2"/>
        <v>-4040399.999999999</v>
      </c>
      <c r="AL24" s="228">
        <f t="shared" si="2"/>
        <v>-4040399.999999999</v>
      </c>
      <c r="AM24" s="228">
        <f t="shared" si="2"/>
        <v>-4040399.999999999</v>
      </c>
      <c r="AN24" s="228">
        <f t="shared" si="2"/>
        <v>-4040399.999999999</v>
      </c>
      <c r="AO24" s="228">
        <f t="shared" si="2"/>
        <v>-4040399.999999999</v>
      </c>
      <c r="AP24" s="228">
        <f t="shared" si="2"/>
        <v>-4040399.999999999</v>
      </c>
      <c r="AQ24" s="228">
        <f t="shared" si="2"/>
        <v>-4040399.999999999</v>
      </c>
      <c r="AR24" s="228">
        <f t="shared" si="2"/>
        <v>-4040399.999999999</v>
      </c>
      <c r="AS24" s="228">
        <f t="shared" si="2"/>
        <v>-4040399.999999999</v>
      </c>
      <c r="AT24" s="228">
        <f t="shared" si="2"/>
        <v>-4040399.999999999</v>
      </c>
      <c r="AU24" s="228">
        <f t="shared" si="2"/>
        <v>-4040399.999999999</v>
      </c>
      <c r="AV24" s="228">
        <f t="shared" si="2"/>
        <v>-4040399.999999999</v>
      </c>
      <c r="AW24" s="228">
        <f t="shared" si="2"/>
        <v>-4040399.999999999</v>
      </c>
      <c r="AX24" s="228">
        <f t="shared" si="2"/>
        <v>-4040399.999999999</v>
      </c>
      <c r="AY24" s="228">
        <f t="shared" si="2"/>
        <v>-4040399.999999999</v>
      </c>
      <c r="AZ24" s="228">
        <f t="shared" si="2"/>
        <v>-4040399.999999999</v>
      </c>
      <c r="BA24" s="228">
        <f t="shared" si="2"/>
        <v>-4040399.999999999</v>
      </c>
      <c r="BB24" s="513"/>
    </row>
    <row r="25" spans="1:54">
      <c r="A25" s="494"/>
      <c r="B25" s="227"/>
      <c r="C25" s="227"/>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c r="AC25" s="227"/>
      <c r="AD25" s="227"/>
      <c r="AE25" s="227"/>
      <c r="AF25" s="227"/>
      <c r="AG25" s="227"/>
      <c r="AH25" s="227"/>
      <c r="AI25" s="227"/>
      <c r="AJ25" s="227"/>
      <c r="AK25" s="227"/>
      <c r="AL25" s="227"/>
      <c r="AM25" s="227"/>
      <c r="AN25" s="227"/>
      <c r="AO25" s="227"/>
      <c r="AP25" s="227"/>
      <c r="AQ25" s="227"/>
      <c r="AR25" s="227"/>
      <c r="AS25" s="227"/>
      <c r="AT25" s="227"/>
      <c r="AU25" s="227"/>
      <c r="AV25" s="227"/>
      <c r="AW25" s="227"/>
      <c r="AX25" s="227"/>
      <c r="AY25" s="227"/>
      <c r="AZ25" s="227"/>
      <c r="BA25" s="227"/>
      <c r="BB25" s="513"/>
    </row>
    <row r="26" spans="1:54" s="115" customFormat="1" ht="15">
      <c r="A26" s="19"/>
      <c r="B26" s="438" t="inlineStr">
        <is>
          <t>Finansieringskostnad (ränta + amortering)</t>
        </is>
      </c>
      <c r="C26" s="438"/>
      <c r="D26" s="438">
        <f t="shared" ref="D26:AI26" si="3">IF(D24=0,0,D24+D20)</f>
        <v>-5308375.199999999</v>
      </c>
      <c r="E26" s="438">
        <f t="shared" si="3"/>
        <v>-5350128.959999999</v>
      </c>
      <c r="F26" s="438">
        <f t="shared" si="3"/>
        <v>-5383997.279999999</v>
      </c>
      <c r="G26" s="438">
        <f t="shared" si="3"/>
        <v>-5409980.159999998</v>
      </c>
      <c r="H26" s="438">
        <f t="shared" si="3"/>
        <v>-5428077.6</v>
      </c>
      <c r="I26" s="438">
        <f t="shared" si="3"/>
        <v>-5438289.6</v>
      </c>
      <c r="J26" s="438">
        <f t="shared" si="3"/>
        <v>-5440616.159999998</v>
      </c>
      <c r="K26" s="438">
        <f t="shared" si="3"/>
        <v>-5435057.279999999</v>
      </c>
      <c r="L26" s="438">
        <f t="shared" si="3"/>
        <v>-5421612.959999999</v>
      </c>
      <c r="M26" s="438">
        <f t="shared" si="3"/>
        <v>-5400283.199999999</v>
      </c>
      <c r="N26" s="438">
        <f t="shared" si="3"/>
        <v>-5371067.999999998</v>
      </c>
      <c r="O26" s="438">
        <f t="shared" si="3"/>
        <v>-5249855.999999998</v>
      </c>
      <c r="P26" s="438">
        <f t="shared" si="3"/>
        <v>-5128643.999999999</v>
      </c>
      <c r="Q26" s="438">
        <f t="shared" si="3"/>
        <v>-5007431.999999999</v>
      </c>
      <c r="R26" s="438">
        <f t="shared" si="3"/>
        <v>-4886219.999999999</v>
      </c>
      <c r="S26" s="438">
        <f t="shared" si="3"/>
        <v>-4765007.999999999</v>
      </c>
      <c r="T26" s="438">
        <f t="shared" si="3"/>
        <v>-4643795.999999999</v>
      </c>
      <c r="U26" s="438">
        <f t="shared" si="3"/>
        <v>-4522583.999999999</v>
      </c>
      <c r="V26" s="438">
        <f t="shared" si="3"/>
        <v>-4401371.999999999</v>
      </c>
      <c r="W26" s="438">
        <f t="shared" si="3"/>
        <v>-4280159.999999999</v>
      </c>
      <c r="X26" s="438">
        <f t="shared" si="3"/>
        <v>-4158947.999999999</v>
      </c>
      <c r="Y26" s="438">
        <f t="shared" si="3"/>
        <v>-4037735.999999999</v>
      </c>
      <c r="Z26" s="438">
        <f t="shared" si="3"/>
        <v>-3916523.999999999</v>
      </c>
      <c r="AA26" s="438">
        <f t="shared" si="3"/>
        <v>-3795311.999999999</v>
      </c>
      <c r="AB26" s="438">
        <f t="shared" si="3"/>
        <v>-3674099.9999999995</v>
      </c>
      <c r="AC26" s="438">
        <f t="shared" si="3"/>
        <v>-3552887.9999999995</v>
      </c>
      <c r="AD26" s="438">
        <f t="shared" si="3"/>
        <v>-3431675.9999999995</v>
      </c>
      <c r="AE26" s="438">
        <f t="shared" si="3"/>
        <v>-3310463.9999999995</v>
      </c>
      <c r="AF26" s="438">
        <f t="shared" si="3"/>
        <v>-3189251.9999999995</v>
      </c>
      <c r="AG26" s="438">
        <f t="shared" si="3"/>
        <v>-3068039.9999999995</v>
      </c>
      <c r="AH26" s="438">
        <f t="shared" si="3"/>
        <v>-2946827.9999999995</v>
      </c>
      <c r="AI26" s="438">
        <f t="shared" si="3"/>
        <v>-2825615.9999999995</v>
      </c>
      <c r="AJ26" s="438">
        <f t="shared" ref="AJ26:BA26" si="4">IF(AJ24=0,0,AJ24+AJ20)</f>
        <v>-2704403.9999999995</v>
      </c>
      <c r="AK26" s="438">
        <f t="shared" si="4"/>
        <v>-6704399.999999998</v>
      </c>
      <c r="AL26" s="438">
        <f t="shared" si="4"/>
        <v>-6704399.999999998</v>
      </c>
      <c r="AM26" s="438">
        <f t="shared" si="4"/>
        <v>-6704399.999999998</v>
      </c>
      <c r="AN26" s="438">
        <f t="shared" si="4"/>
        <v>-6704399.999999998</v>
      </c>
      <c r="AO26" s="438">
        <f t="shared" si="4"/>
        <v>-6704399.999999998</v>
      </c>
      <c r="AP26" s="438">
        <f t="shared" si="4"/>
        <v>-6704399.999999998</v>
      </c>
      <c r="AQ26" s="438">
        <f t="shared" si="4"/>
        <v>-6704399.999999998</v>
      </c>
      <c r="AR26" s="438">
        <f t="shared" si="4"/>
        <v>-6704399.999999998</v>
      </c>
      <c r="AS26" s="438">
        <f t="shared" si="4"/>
        <v>-6704399.999999998</v>
      </c>
      <c r="AT26" s="438">
        <f t="shared" si="4"/>
        <v>-6704399.999999998</v>
      </c>
      <c r="AU26" s="438">
        <f t="shared" si="4"/>
        <v>-6704399.999999998</v>
      </c>
      <c r="AV26" s="438">
        <f t="shared" si="4"/>
        <v>-6704399.999999998</v>
      </c>
      <c r="AW26" s="438">
        <f t="shared" si="4"/>
        <v>-6704399.999999998</v>
      </c>
      <c r="AX26" s="438">
        <f t="shared" si="4"/>
        <v>-6704399.999999998</v>
      </c>
      <c r="AY26" s="438">
        <f t="shared" si="4"/>
        <v>-6704399.999999998</v>
      </c>
      <c r="AZ26" s="438">
        <f t="shared" si="4"/>
        <v>-6704399.999999998</v>
      </c>
      <c r="BA26" s="438">
        <f t="shared" si="4"/>
        <v>-6704399.999999998</v>
      </c>
    </row>
    <row r="27" spans="1:54">
      <c r="A27" s="494"/>
      <c r="B27" s="435" t="inlineStr">
        <is>
          <t>Belåningsgrad vid årets slut</t>
        </is>
      </c>
      <c r="C27" s="892" t="inlineStr">
        <is>
          <t>→ 7.Grafer</t>
        </is>
      </c>
      <c r="D27" s="880">
        <f>D22/(ABS(SUM($D$15:D$15)))</f>
        <v>0.3589</v>
      </c>
      <c r="E27" s="880">
        <f>E22/(ABS(SUM($D$15:E$15)))</f>
        <v>0.3478</v>
      </c>
      <c r="F27" s="880">
        <f>F22/(ABS(SUM($D$15:F$15)))</f>
        <v>0.3367</v>
      </c>
      <c r="G27" s="880">
        <f>G22/(ABS(SUM($D$15:G$15)))</f>
        <v>0.3256</v>
      </c>
      <c r="H27" s="880">
        <f>H22/(ABS(SUM($D$15:H$15)))</f>
        <v>0.3145</v>
      </c>
      <c r="I27" s="880">
        <f>I22/(ABS(SUM($D$15:I$15)))</f>
        <v>0.3034</v>
      </c>
      <c r="J27" s="880">
        <f>J22/(ABS(SUM($D$15:J$15)))</f>
        <v>0.29229999999999995</v>
      </c>
      <c r="K27" s="880">
        <f>K22/(ABS(SUM($D$15:K$15)))</f>
        <v>0.28119999999999995</v>
      </c>
      <c r="L27" s="880">
        <f>L22/(ABS(SUM($D$15:L$15)))</f>
        <v>0.27009999999999995</v>
      </c>
      <c r="M27" s="880">
        <f>M22/(ABS(SUM($D$15:M$15)))</f>
        <v>0.25899999999999995</v>
      </c>
      <c r="N27" s="880">
        <f>N22/(ABS(SUM($D$15:N$15)))</f>
        <v>0.24789999999999998</v>
      </c>
      <c r="O27" s="880">
        <f>O22/(ABS(SUM($D$15:O$15)))</f>
        <v>0.23679999999999995</v>
      </c>
      <c r="P27" s="880">
        <f>P22/(ABS(SUM($D$15:P$15)))</f>
        <v>0.22569999999999998</v>
      </c>
      <c r="Q27" s="880">
        <f>Q22/(ABS(SUM($D$15:Q$15)))</f>
        <v>0.21459999999999999</v>
      </c>
      <c r="R27" s="880">
        <f>R22/(ABS(SUM($D$15:R$15)))</f>
        <v>0.2035</v>
      </c>
      <c r="S27" s="880">
        <f>S22/(ABS(SUM($D$15:S$15)))</f>
        <v>0.1924</v>
      </c>
      <c r="T27" s="880">
        <f>T22/(ABS(SUM($D$15:T$15)))</f>
        <v>0.1813</v>
      </c>
      <c r="U27" s="880">
        <f>U22/(ABS(SUM($D$15:U$15)))</f>
        <v>0.1702</v>
      </c>
      <c r="V27" s="880">
        <f>V22/(ABS(SUM($D$15:V$15)))</f>
        <v>0.1591</v>
      </c>
      <c r="W27" s="880">
        <f>W22/(ABS(SUM($D$15:W$15)))</f>
        <v>0.148</v>
      </c>
      <c r="X27" s="880">
        <f>X22/(ABS(SUM($D$15:X$15)))</f>
        <v>0.1369</v>
      </c>
      <c r="Y27" s="880">
        <f>Y22/(ABS(SUM($D$15:Y$15)))</f>
        <v>0.1258</v>
      </c>
      <c r="Z27" s="880">
        <f>Z22/(ABS(SUM($D$15:Z$15)))</f>
        <v>0.11469999999999998</v>
      </c>
      <c r="AA27" s="880">
        <f>AA22/(ABS(SUM($D$15:AA$15)))</f>
        <v>0.10359999999999998</v>
      </c>
      <c r="AB27" s="880">
        <f>AB22/(ABS(SUM($D$15:AB$15)))</f>
        <v>0.09250000000000001</v>
      </c>
      <c r="AC27" s="880">
        <f>AC22/(ABS(SUM($D$15:AC$15)))</f>
        <v>0.08140000000000001</v>
      </c>
      <c r="AD27" s="880">
        <f>AD22/(ABS(SUM($D$15:AD$15)))</f>
        <v>0.07030000000000002</v>
      </c>
      <c r="AE27" s="880">
        <f>AE22/(ABS(SUM($D$15:AE$15)))</f>
        <v>0.05920000000000001</v>
      </c>
      <c r="AF27" s="880">
        <f>AF22/(ABS(SUM($D$15:AF$15)))</f>
        <v>0.048100000000000004</v>
      </c>
      <c r="AG27" s="880">
        <f>AG22/(ABS(SUM($D$15:AG$15)))</f>
        <v>0.037000000000000005</v>
      </c>
      <c r="AH27" s="880">
        <f>AH22/(ABS(SUM($D$15:AH$15)))</f>
        <v>0.025900000000000003</v>
      </c>
      <c r="AI27" s="880">
        <f>AI22/(ABS(SUM($D$15:AI$15)))</f>
        <v>0.014800000000000002</v>
      </c>
      <c r="AJ27" s="880">
        <f>AJ22/(ABS(SUM($D$15:AJ$15)))</f>
        <v>0.0037000000000000006</v>
      </c>
      <c r="AK27" s="880">
        <f>AK22/(ABS(SUM($D$15:AK$15)))</f>
        <v>0.37</v>
      </c>
      <c r="AL27" s="880">
        <f>AL22/(ABS(SUM($D$15:AL$15)))</f>
        <v>0.37</v>
      </c>
      <c r="AM27" s="880">
        <f>AM22/(ABS(SUM($D$15:AM$15)))</f>
        <v>0.37</v>
      </c>
      <c r="AN27" s="880">
        <f>AN22/(ABS(SUM($D$15:AN$15)))</f>
        <v>0.37</v>
      </c>
      <c r="AO27" s="880">
        <f>AO22/(ABS(SUM($D$15:AO$15)))</f>
        <v>0.37</v>
      </c>
      <c r="AP27" s="880">
        <f>AP22/(ABS(SUM($D$15:AP$15)))</f>
        <v>0.37</v>
      </c>
      <c r="AQ27" s="880">
        <f>AQ22/(ABS(SUM($D$15:AQ$15)))</f>
        <v>0.37</v>
      </c>
      <c r="AR27" s="880">
        <f>AR22/(ABS(SUM($D$15:AR$15)))</f>
        <v>0.37</v>
      </c>
      <c r="AS27" s="880">
        <f>AS22/(ABS(SUM($D$15:AS$15)))</f>
        <v>0.37</v>
      </c>
      <c r="AT27" s="880">
        <f>AT22/(ABS(SUM($D$15:AT$15)))</f>
        <v>0.37</v>
      </c>
      <c r="AU27" s="880">
        <f>AU22/(ABS(SUM($D$15:AU$15)))</f>
        <v>0.37</v>
      </c>
      <c r="AV27" s="880">
        <f>AV22/(ABS(SUM($D$15:AV$15)))</f>
        <v>0.37</v>
      </c>
      <c r="AW27" s="880">
        <f>AW22/(ABS(SUM($D$15:AW$15)))</f>
        <v>0.37</v>
      </c>
      <c r="AX27" s="880">
        <f>AX22/(ABS(SUM($D$15:AX$15)))</f>
        <v>0.37</v>
      </c>
      <c r="AY27" s="880">
        <f>AY22/(ABS(SUM($D$15:AY$15)))</f>
        <v>0.37</v>
      </c>
      <c r="AZ27" s="880">
        <f>AZ22/(ABS(SUM($D$15:AZ$15)))</f>
        <v>0.37</v>
      </c>
      <c r="BA27" s="880">
        <f>BA22/(ABS(SUM($D$15:BA$15)))</f>
        <v>0.37</v>
      </c>
      <c r="BB27" s="513"/>
    </row>
    <row r="28" spans="1:54" s="11" customFormat="1">
      <c r="A28" s="494"/>
      <c r="B28" s="494"/>
      <c r="C28" s="494"/>
      <c r="D28" s="494"/>
      <c r="E28" s="494"/>
      <c r="F28" s="494"/>
      <c r="G28" s="494"/>
      <c r="H28" s="494"/>
      <c r="I28" s="494"/>
      <c r="J28" s="494"/>
      <c r="K28" s="494"/>
      <c r="L28" s="494"/>
      <c r="M28" s="494"/>
      <c r="N28" s="494"/>
      <c r="O28" s="494"/>
      <c r="P28" s="494"/>
      <c r="Q28" s="494"/>
      <c r="R28" s="494"/>
      <c r="S28" s="494"/>
      <c r="T28" s="494"/>
      <c r="U28" s="494"/>
      <c r="V28" s="494"/>
      <c r="W28" s="494"/>
      <c r="X28" s="494"/>
      <c r="Y28" s="494"/>
      <c r="Z28" s="494"/>
      <c r="AA28" s="494"/>
      <c r="AB28" s="494"/>
      <c r="AC28" s="494"/>
      <c r="AD28" s="494"/>
      <c r="AE28" s="494"/>
      <c r="AF28" s="494"/>
      <c r="AG28" s="494"/>
      <c r="AH28" s="494"/>
      <c r="AI28" s="494"/>
      <c r="AJ28" s="494"/>
      <c r="AK28" s="494"/>
      <c r="AL28" s="494"/>
      <c r="AM28" s="494"/>
      <c r="AN28" s="494"/>
      <c r="AO28" s="494"/>
      <c r="AP28" s="494"/>
      <c r="AQ28" s="494"/>
      <c r="AR28" s="494"/>
      <c r="AS28" s="494"/>
      <c r="AT28" s="494"/>
      <c r="AU28" s="494"/>
      <c r="AV28" s="494"/>
      <c r="AW28" s="494"/>
      <c r="AX28" s="494"/>
      <c r="AY28" s="494"/>
      <c r="AZ28" s="494"/>
      <c r="BA28" s="494"/>
      <c r="BB28" s="494"/>
    </row>
    <row r="29" spans="1:54" ht="15">
      <c r="A29" s="494"/>
      <c r="B29" s="322" t="s">
        <v>217</v>
      </c>
      <c r="C29" s="520" t="inlineStr">
        <is>
          <t>Högsta värde</t>
        </is>
      </c>
      <c r="D29" s="494">
        <f>IF(D14&lt;='2. Kalkyldata'!$P$16,'3. Finansiering'!D13,"")</f>
        <v>2026.0</v>
      </c>
      <c r="E29" s="494">
        <f>IF(E14&lt;='2. Kalkyldata'!$P$16,'3. Finansiering'!E13,"")</f>
        <v>2027.0</v>
      </c>
      <c r="F29" s="494">
        <f>IF(F14&lt;='2. Kalkyldata'!$P$16,'3. Finansiering'!F13,"")</f>
        <v>2028.0</v>
      </c>
      <c r="G29" s="494">
        <f>IF(G14&lt;='2. Kalkyldata'!$P$16,'3. Finansiering'!G13,"")</f>
        <v>2029.0</v>
      </c>
      <c r="H29" s="494">
        <f>IF(H14&lt;='2. Kalkyldata'!$P$16,'3. Finansiering'!H13,"")</f>
        <v>2030.0</v>
      </c>
      <c r="I29" s="494">
        <f>IF(I14&lt;='2. Kalkyldata'!$P$16,'3. Finansiering'!I13,"")</f>
        <v>2031.0</v>
      </c>
      <c r="J29" s="494">
        <f>IF(J14&lt;='2. Kalkyldata'!$P$16,'3. Finansiering'!J13,"")</f>
        <v>2032.0</v>
      </c>
      <c r="K29" s="494">
        <f>IF(K14&lt;='2. Kalkyldata'!$P$16,'3. Finansiering'!K13,"")</f>
        <v>2033.0</v>
      </c>
      <c r="L29" s="494">
        <f>IF(L14&lt;='2. Kalkyldata'!$P$16,'3. Finansiering'!L13,"")</f>
        <v>2034.0</v>
      </c>
      <c r="M29" s="494">
        <f>IF(M14&lt;='2. Kalkyldata'!$P$16,'3. Finansiering'!M13,"")</f>
        <v>2035.0</v>
      </c>
      <c r="N29" s="494">
        <f>IF(N14&lt;='2. Kalkyldata'!$P$16,'3. Finansiering'!N13,"")</f>
        <v>2036.0</v>
      </c>
      <c r="O29" s="494">
        <f>IF(O14&lt;='2. Kalkyldata'!$P$16,'3. Finansiering'!O13,"")</f>
        <v>2037.0</v>
      </c>
      <c r="P29" s="494">
        <f>IF(P14&lt;='2. Kalkyldata'!$P$16,'3. Finansiering'!P13,"")</f>
        <v>2038.0</v>
      </c>
      <c r="Q29" s="494">
        <f>IF(Q14&lt;='2. Kalkyldata'!$P$16,'3. Finansiering'!Q13,"")</f>
        <v>2039.0</v>
      </c>
      <c r="R29" s="494">
        <f>IF(R14&lt;='2. Kalkyldata'!$P$16,'3. Finansiering'!R13,"")</f>
        <v>2040.0</v>
      </c>
      <c r="S29" s="494">
        <f>IF(S14&lt;='2. Kalkyldata'!$P$16,'3. Finansiering'!S13,"")</f>
        <v>2041.0</v>
      </c>
      <c r="T29" s="494">
        <f>IF(T14&lt;='2. Kalkyldata'!$P$16,'3. Finansiering'!T13,"")</f>
        <v>2042.0</v>
      </c>
      <c r="U29" s="494">
        <f>IF(U14&lt;='2. Kalkyldata'!$P$16,'3. Finansiering'!U13,"")</f>
        <v>2043.0</v>
      </c>
      <c r="V29" s="494">
        <f>IF(V14&lt;='2. Kalkyldata'!$P$16,'3. Finansiering'!V13,"")</f>
        <v>2044.0</v>
      </c>
      <c r="W29" s="494">
        <f>IF(W14&lt;='2. Kalkyldata'!$P$16,'3. Finansiering'!W13,"")</f>
        <v>2045.0</v>
      </c>
      <c r="X29" s="494">
        <f>IF(X14&lt;='2. Kalkyldata'!$P$16,'3. Finansiering'!X13,"")</f>
        <v>2046.0</v>
      </c>
      <c r="Y29" s="494" t="str">
        <f>IF(Y14&lt;='2. Kalkyldata'!$P$16,'3. Finansiering'!Y13,"")</f>
        <v/>
      </c>
      <c r="Z29" s="494" t="str">
        <f>IF(Z14&lt;='2. Kalkyldata'!$P$16,'3. Finansiering'!Z13,"")</f>
        <v/>
      </c>
      <c r="AA29" s="494" t="str">
        <f>IF(AA14&lt;='2. Kalkyldata'!$P$16,'3. Finansiering'!AA13,"")</f>
        <v/>
      </c>
      <c r="AB29" s="494" t="str">
        <f>IF(AB14&lt;='2. Kalkyldata'!$P$16,'3. Finansiering'!AB13,"")</f>
        <v/>
      </c>
      <c r="AC29" s="494" t="str">
        <f>IF(AC14&lt;='2. Kalkyldata'!$P$16,'3. Finansiering'!AC13,"")</f>
        <v/>
      </c>
      <c r="AD29" s="494" t="str">
        <f>IF(AD14&lt;='2. Kalkyldata'!$P$16,'3. Finansiering'!AD13,"")</f>
        <v/>
      </c>
      <c r="AE29" s="494" t="str">
        <f>IF(AE14&lt;='2. Kalkyldata'!$P$16,'3. Finansiering'!AE13,"")</f>
        <v/>
      </c>
      <c r="AF29" s="494" t="str">
        <f>IF(AF14&lt;='2. Kalkyldata'!$P$16,'3. Finansiering'!AF13,"")</f>
        <v/>
      </c>
      <c r="AG29" s="494" t="str">
        <f>IF(AG14&lt;='2. Kalkyldata'!$P$16,'3. Finansiering'!AG13,"")</f>
        <v/>
      </c>
      <c r="AH29" s="494" t="str">
        <f>IF(AH14&lt;='2. Kalkyldata'!$P$16,'3. Finansiering'!AH13,"")</f>
        <v/>
      </c>
      <c r="AI29" s="494" t="str">
        <f>IF(AI14&lt;='2. Kalkyldata'!$P$16,'3. Finansiering'!AI13,"")</f>
        <v/>
      </c>
      <c r="AJ29" s="494" t="str">
        <f>IF(AJ14&lt;='2. Kalkyldata'!$P$16,'3. Finansiering'!AJ13,"")</f>
        <v/>
      </c>
      <c r="AK29" s="494" t="str">
        <f>IF(AK14&lt;='2. Kalkyldata'!$P$16,'3. Finansiering'!AK13,"")</f>
        <v/>
      </c>
      <c r="AL29" s="494" t="str">
        <f>IF(AL14&lt;='2. Kalkyldata'!$P$16,'3. Finansiering'!AL13,"")</f>
        <v/>
      </c>
      <c r="AM29" s="494" t="str">
        <f>IF(AM14&lt;='2. Kalkyldata'!$P$16,'3. Finansiering'!AM13,"")</f>
        <v/>
      </c>
      <c r="AN29" s="494" t="str">
        <f>IF(AN14&lt;='2. Kalkyldata'!$P$16,'3. Finansiering'!AN13,"")</f>
        <v/>
      </c>
      <c r="AO29" s="494" t="str">
        <f>IF(AO14&lt;='2. Kalkyldata'!$P$16,'3. Finansiering'!AO13,"")</f>
        <v/>
      </c>
      <c r="AP29" s="494" t="str">
        <f>IF(AP14&lt;='2. Kalkyldata'!$P$16,'3. Finansiering'!AP13,"")</f>
        <v/>
      </c>
      <c r="AQ29" s="494" t="str">
        <f>IF(AQ14&lt;='2. Kalkyldata'!$P$16,'3. Finansiering'!AQ13,"")</f>
        <v/>
      </c>
      <c r="AR29" s="494" t="str">
        <f>IF(AR14&lt;='2. Kalkyldata'!$P$16,'3. Finansiering'!AR13,"")</f>
        <v/>
      </c>
      <c r="AS29" s="494" t="str">
        <f>IF(AS14&lt;='2. Kalkyldata'!$P$16,'3. Finansiering'!AS13,"")</f>
        <v/>
      </c>
      <c r="AT29" s="494" t="str">
        <f>IF(AT14&lt;='2. Kalkyldata'!$P$16,'3. Finansiering'!AT13,"")</f>
        <v/>
      </c>
      <c r="AU29" s="494" t="str">
        <f>IF(AU14&lt;='2. Kalkyldata'!$P$16,'3. Finansiering'!AU13,"")</f>
        <v/>
      </c>
      <c r="AV29" s="494" t="str">
        <f>IF(AV14&lt;='2. Kalkyldata'!$P$16,'3. Finansiering'!AV13,"")</f>
        <v/>
      </c>
      <c r="AW29" s="494" t="str">
        <f>IF(AW14&lt;='2. Kalkyldata'!$P$16,'3. Finansiering'!AW13,"")</f>
        <v/>
      </c>
      <c r="AX29" s="494" t="str">
        <f>IF(AX14&lt;='2. Kalkyldata'!$P$16,'3. Finansiering'!AX13,"")</f>
        <v/>
      </c>
      <c r="AY29" s="494" t="str">
        <f>IF(AY14&lt;='2. Kalkyldata'!$P$16,'3. Finansiering'!AY13,"")</f>
        <v/>
      </c>
      <c r="AZ29" s="494" t="str">
        <f>IF(AZ14&lt;='2. Kalkyldata'!$P$16,'3. Finansiering'!AZ13,"")</f>
        <v/>
      </c>
      <c r="BA29" s="494" t="str">
        <f>IF(BA14&lt;='2. Kalkyldata'!$P$16,'3. Finansiering'!BA13,"")</f>
        <v/>
      </c>
      <c r="BB29" s="494">
        <f>IF(BB13&gt;=BB13+'2. Kalkyldata'!$P$16,"",'3. Finansiering'!BB13)</f>
        <v>0.0</v>
      </c>
    </row>
    <row r="30" spans="1:54" outlineLevel="1">
      <c r="A30" s="494"/>
      <c r="B30" s="323" t="inlineStr">
        <is>
          <t>Befintligt bokfört värde</t>
        </is>
      </c>
      <c r="C30" s="598"/>
      <c r="D30" s="896">
        <f>IF(D$29="",0,('2. Kalkyldata'!$P$9-SUMIF('2. Kalkyldata'!$R$23:$R$27,'3. Finansiering'!D$12,'2. Kalkyldata'!$AA$23:$AA$27)))</f>
        <v>0.0</v>
      </c>
      <c r="E30" s="896">
        <f>IF(E$29="",0,('2. Kalkyldata'!$P$9-SUMIF('2. Kalkyldata'!$R$23:$R$27,'3. Finansiering'!E$12,'2. Kalkyldata'!$AA$23:$AA$27)))</f>
        <v>0.0</v>
      </c>
      <c r="F30" s="896">
        <f>IF(F$29="",0,('2. Kalkyldata'!$P$9-SUMIF('2. Kalkyldata'!$R$23:$R$27,'3. Finansiering'!F$12,'2. Kalkyldata'!$AA$23:$AA$27)))</f>
        <v>0.0</v>
      </c>
      <c r="G30" s="896">
        <f>IF(G$29="",0,('2. Kalkyldata'!$P$9-SUMIF('2. Kalkyldata'!$R$23:$R$27,'3. Finansiering'!G$12,'2. Kalkyldata'!$AA$23:$AA$27)))</f>
        <v>0.0</v>
      </c>
      <c r="H30" s="896">
        <f>IF(H$29="",0,('2. Kalkyldata'!$P$9-SUMIF('2. Kalkyldata'!$R$23:$R$27,'3. Finansiering'!H$12,'2. Kalkyldata'!$AA$23:$AA$27)))</f>
        <v>0.0</v>
      </c>
      <c r="I30" s="896">
        <f>IF(I$29="",0,('2. Kalkyldata'!$P$9-SUMIF('2. Kalkyldata'!$R$23:$R$27,'3. Finansiering'!I$12,'2. Kalkyldata'!$AA$23:$AA$27)))</f>
        <v>0.0</v>
      </c>
      <c r="J30" s="896">
        <f>IF(J$29="",0,('2. Kalkyldata'!$P$9-SUMIF('2. Kalkyldata'!$R$23:$R$27,'3. Finansiering'!J$12,'2. Kalkyldata'!$AA$23:$AA$27)))</f>
        <v>0.0</v>
      </c>
      <c r="K30" s="896">
        <f>IF(K$29="",0,('2. Kalkyldata'!$P$9-SUMIF('2. Kalkyldata'!$R$23:$R$27,'3. Finansiering'!K$12,'2. Kalkyldata'!$AA$23:$AA$27)))</f>
        <v>0.0</v>
      </c>
      <c r="L30" s="896">
        <f>IF(L$29="",0,('2. Kalkyldata'!$P$9-SUMIF('2. Kalkyldata'!$R$23:$R$27,'3. Finansiering'!L$12,'2. Kalkyldata'!$AA$23:$AA$27)))</f>
        <v>0.0</v>
      </c>
      <c r="M30" s="896">
        <f>IF(M$29="",0,('2. Kalkyldata'!$P$9-SUMIF('2. Kalkyldata'!$R$23:$R$27,'3. Finansiering'!M$12,'2. Kalkyldata'!$AA$23:$AA$27)))</f>
        <v>0.0</v>
      </c>
      <c r="N30" s="896">
        <f>IF(N$29="",0,('2. Kalkyldata'!$P$9-SUMIF('2. Kalkyldata'!$R$23:$R$27,'3. Finansiering'!N$12,'2. Kalkyldata'!$AA$23:$AA$27)))</f>
        <v>0.0</v>
      </c>
      <c r="O30" s="896">
        <f>IF(O$29="",0,('2. Kalkyldata'!$P$9-SUMIF('2. Kalkyldata'!$R$23:$R$27,'3. Finansiering'!O$12,'2. Kalkyldata'!$AA$23:$AA$27)))</f>
        <v>0.0</v>
      </c>
      <c r="P30" s="896">
        <f>IF(P$29="",0,('2. Kalkyldata'!$P$9-SUMIF('2. Kalkyldata'!$R$23:$R$27,'3. Finansiering'!P$12,'2. Kalkyldata'!$AA$23:$AA$27)))</f>
        <v>0.0</v>
      </c>
      <c r="Q30" s="896">
        <f>IF(Q$29="",0,('2. Kalkyldata'!$P$9-SUMIF('2. Kalkyldata'!$R$23:$R$27,'3. Finansiering'!Q$12,'2. Kalkyldata'!$AA$23:$AA$27)))</f>
        <v>0.0</v>
      </c>
      <c r="R30" s="896">
        <f>IF(R$29="",0,('2. Kalkyldata'!$P$9-SUMIF('2. Kalkyldata'!$R$23:$R$27,'3. Finansiering'!R$12,'2. Kalkyldata'!$AA$23:$AA$27)))</f>
        <v>0.0</v>
      </c>
      <c r="S30" s="896">
        <f>IF(S$29="",0,('2. Kalkyldata'!$P$9-SUMIF('2. Kalkyldata'!$R$23:$R$27,'3. Finansiering'!S$12,'2. Kalkyldata'!$AA$23:$AA$27)))</f>
        <v>0.0</v>
      </c>
      <c r="T30" s="896">
        <f>IF(T$29="",0,('2. Kalkyldata'!$P$9-SUMIF('2. Kalkyldata'!$R$23:$R$27,'3. Finansiering'!T$12,'2. Kalkyldata'!$AA$23:$AA$27)))</f>
        <v>0.0</v>
      </c>
      <c r="U30" s="896">
        <f>IF(U$29="",0,('2. Kalkyldata'!$P$9-SUMIF('2. Kalkyldata'!$R$23:$R$27,'3. Finansiering'!U$12,'2. Kalkyldata'!$AA$23:$AA$27)))</f>
        <v>0.0</v>
      </c>
      <c r="V30" s="896">
        <f>IF(V$29="",0,('2. Kalkyldata'!$P$9-SUMIF('2. Kalkyldata'!$R$23:$R$27,'3. Finansiering'!V$12,'2. Kalkyldata'!$AA$23:$AA$27)))</f>
        <v>0.0</v>
      </c>
      <c r="W30" s="896">
        <f>IF(W$29="",0,('2. Kalkyldata'!$P$9-SUMIF('2. Kalkyldata'!$R$23:$R$27,'3. Finansiering'!W$12,'2. Kalkyldata'!$AA$23:$AA$27)))</f>
        <v>0.0</v>
      </c>
      <c r="X30" s="896">
        <f>IF(X$29="",0,('2. Kalkyldata'!$P$9-SUMIF('2. Kalkyldata'!$R$23:$R$27,'3. Finansiering'!X$12,'2. Kalkyldata'!$AA$23:$AA$27)))</f>
        <v>0.0</v>
      </c>
      <c r="Y30" s="896">
        <f>IF(Y$29="",0,('2. Kalkyldata'!$P$9-SUMIF('2. Kalkyldata'!$R$23:$R$27,'3. Finansiering'!Y$12,'2. Kalkyldata'!$AA$23:$AA$27)))</f>
        <v>0.0</v>
      </c>
      <c r="Z30" s="896">
        <f>IF(Z$29="",0,('2. Kalkyldata'!$P$9-SUMIF('2. Kalkyldata'!$R$23:$R$27,'3. Finansiering'!Z$12,'2. Kalkyldata'!$AA$23:$AA$27)))</f>
        <v>0.0</v>
      </c>
      <c r="AA30" s="896">
        <f>IF(AA$29="",0,('2. Kalkyldata'!$P$9-SUMIF('2. Kalkyldata'!$R$23:$R$27,'3. Finansiering'!AA$12,'2. Kalkyldata'!$AA$23:$AA$27)))</f>
        <v>0.0</v>
      </c>
      <c r="AB30" s="896">
        <f>IF(AB$29="",0,('2. Kalkyldata'!$P$9-SUMIF('2. Kalkyldata'!$R$23:$R$27,'3. Finansiering'!AB$12,'2. Kalkyldata'!$AA$23:$AA$27)))</f>
        <v>0.0</v>
      </c>
      <c r="AC30" s="896">
        <f>IF(AC$29="",0,('2. Kalkyldata'!$P$9-SUMIF('2. Kalkyldata'!$R$23:$R$27,'3. Finansiering'!AC$12,'2. Kalkyldata'!$AA$23:$AA$27)))</f>
        <v>0.0</v>
      </c>
      <c r="AD30" s="896">
        <f>IF(AD$29="",0,('2. Kalkyldata'!$P$9-SUMIF('2. Kalkyldata'!$R$23:$R$27,'3. Finansiering'!AD$12,'2. Kalkyldata'!$AA$23:$AA$27)))</f>
        <v>0.0</v>
      </c>
      <c r="AE30" s="896">
        <f>IF(AE$29="",0,('2. Kalkyldata'!$P$9-SUMIF('2. Kalkyldata'!$R$23:$R$27,'3. Finansiering'!AE$12,'2. Kalkyldata'!$AA$23:$AA$27)))</f>
        <v>0.0</v>
      </c>
      <c r="AF30" s="896">
        <f>IF(AF$29="",0,('2. Kalkyldata'!$P$9-SUMIF('2. Kalkyldata'!$R$23:$R$27,'3. Finansiering'!AF$12,'2. Kalkyldata'!$AA$23:$AA$27)))</f>
        <v>0.0</v>
      </c>
      <c r="AG30" s="896">
        <f>IF(AG$29="",0,('2. Kalkyldata'!$P$9-SUMIF('2. Kalkyldata'!$R$23:$R$27,'3. Finansiering'!AG$12,'2. Kalkyldata'!$AA$23:$AA$27)))</f>
        <v>0.0</v>
      </c>
      <c r="AH30" s="896">
        <f>IF(AH$29="",0,('2. Kalkyldata'!$P$9-SUMIF('2. Kalkyldata'!$R$23:$R$27,'3. Finansiering'!AH$12,'2. Kalkyldata'!$AA$23:$AA$27)))</f>
        <v>0.0</v>
      </c>
      <c r="AI30" s="896">
        <f>IF(AI$29="",0,('2. Kalkyldata'!$P$9-SUMIF('2. Kalkyldata'!$R$23:$R$27,'3. Finansiering'!AI$12,'2. Kalkyldata'!$AA$23:$AA$27)))</f>
        <v>0.0</v>
      </c>
      <c r="AJ30" s="896">
        <f>IF(AJ$29="",0,('2. Kalkyldata'!$P$9-SUMIF('2. Kalkyldata'!$R$23:$R$27,'3. Finansiering'!AJ$12,'2. Kalkyldata'!$AA$23:$AA$27)))</f>
        <v>0.0</v>
      </c>
      <c r="AK30" s="896">
        <f>IF(AK$29="",0,('2. Kalkyldata'!$P$9-SUMIF('2. Kalkyldata'!$R$23:$R$27,'3. Finansiering'!AK$12,'2. Kalkyldata'!$AA$23:$AA$27)))</f>
        <v>0.0</v>
      </c>
      <c r="AL30" s="896">
        <f>IF(AL$29="",0,('2. Kalkyldata'!$P$9-SUMIF('2. Kalkyldata'!$R$23:$R$27,'3. Finansiering'!AL$12,'2. Kalkyldata'!$AA$23:$AA$27)))</f>
        <v>0.0</v>
      </c>
      <c r="AM30" s="896">
        <f>IF(AM$29="",0,('2. Kalkyldata'!$P$9-SUMIF('2. Kalkyldata'!$R$23:$R$27,'3. Finansiering'!AM$12,'2. Kalkyldata'!$AA$23:$AA$27)))</f>
        <v>0.0</v>
      </c>
      <c r="AN30" s="896">
        <f>IF(AN$29="",0,('2. Kalkyldata'!$P$9-SUMIF('2. Kalkyldata'!$R$23:$R$27,'3. Finansiering'!AN$12,'2. Kalkyldata'!$AA$23:$AA$27)))</f>
        <v>0.0</v>
      </c>
      <c r="AO30" s="896">
        <f>IF(AO$29="",0,('2. Kalkyldata'!$P$9-SUMIF('2. Kalkyldata'!$R$23:$R$27,'3. Finansiering'!AO$12,'2. Kalkyldata'!$AA$23:$AA$27)))</f>
        <v>0.0</v>
      </c>
      <c r="AP30" s="896">
        <f>IF(AP$29="",0,('2. Kalkyldata'!$P$9-SUMIF('2. Kalkyldata'!$R$23:$R$27,'3. Finansiering'!AP$12,'2. Kalkyldata'!$AA$23:$AA$27)))</f>
        <v>0.0</v>
      </c>
      <c r="AQ30" s="896">
        <f>IF(AQ$29="",0,('2. Kalkyldata'!$P$9-SUMIF('2. Kalkyldata'!$R$23:$R$27,'3. Finansiering'!AQ$12,'2. Kalkyldata'!$AA$23:$AA$27)))</f>
        <v>0.0</v>
      </c>
      <c r="AR30" s="896">
        <f>IF(AR$29="",0,('2. Kalkyldata'!$P$9-SUMIF('2. Kalkyldata'!$R$23:$R$27,'3. Finansiering'!AR$12,'2. Kalkyldata'!$AA$23:$AA$27)))</f>
        <v>0.0</v>
      </c>
      <c r="AS30" s="896">
        <f>IF(AS$29="",0,('2. Kalkyldata'!$P$9-SUMIF('2. Kalkyldata'!$R$23:$R$27,'3. Finansiering'!AS$12,'2. Kalkyldata'!$AA$23:$AA$27)))</f>
        <v>0.0</v>
      </c>
      <c r="AT30" s="896">
        <f>IF(AT$29="",0,('2. Kalkyldata'!$P$9-SUMIF('2. Kalkyldata'!$R$23:$R$27,'3. Finansiering'!AT$12,'2. Kalkyldata'!$AA$23:$AA$27)))</f>
        <v>0.0</v>
      </c>
      <c r="AU30" s="896">
        <f>IF(AU$29="",0,('2. Kalkyldata'!$P$9-SUMIF('2. Kalkyldata'!$R$23:$R$27,'3. Finansiering'!AU$12,'2. Kalkyldata'!$AA$23:$AA$27)))</f>
        <v>0.0</v>
      </c>
      <c r="AV30" s="896">
        <f>IF(AV$29="",0,('2. Kalkyldata'!$P$9-SUMIF('2. Kalkyldata'!$R$23:$R$27,'3. Finansiering'!AV$12,'2. Kalkyldata'!$AA$23:$AA$27)))</f>
        <v>0.0</v>
      </c>
      <c r="AW30" s="896">
        <f>IF(AW$29="",0,('2. Kalkyldata'!$P$9-SUMIF('2. Kalkyldata'!$R$23:$R$27,'3. Finansiering'!AW$12,'2. Kalkyldata'!$AA$23:$AA$27)))</f>
        <v>0.0</v>
      </c>
      <c r="AX30" s="896">
        <f>IF(AX$29="",0,('2. Kalkyldata'!$P$9-SUMIF('2. Kalkyldata'!$R$23:$R$27,'3. Finansiering'!AX$12,'2. Kalkyldata'!$AA$23:$AA$27)))</f>
        <v>0.0</v>
      </c>
      <c r="AY30" s="896">
        <f>IF(AY$29="",0,('2. Kalkyldata'!$P$9-SUMIF('2. Kalkyldata'!$R$23:$R$27,'3. Finansiering'!AY$12,'2. Kalkyldata'!$AA$23:$AA$27)))</f>
        <v>0.0</v>
      </c>
      <c r="AZ30" s="896">
        <f>IF(AZ$29="",0,('2. Kalkyldata'!$P$9-SUMIF('2. Kalkyldata'!$R$23:$R$27,'3. Finansiering'!AZ$12,'2. Kalkyldata'!$AA$23:$AA$27)))</f>
        <v>0.0</v>
      </c>
      <c r="BA30" s="896">
        <f>IF(BA$29="",0,('2. Kalkyldata'!$P$9-SUMIF('2. Kalkyldata'!$R$23:$R$27,'3. Finansiering'!BA$12,'2. Kalkyldata'!$AA$23:$AA$27)))</f>
        <v>0.0</v>
      </c>
      <c r="BB30" s="494"/>
    </row>
    <row r="31" spans="1:54" outlineLevel="1">
      <c r="A31" s="494"/>
      <c r="B31" s="894" t="str">
        <f>'2. Kalkyldata'!C23</f>
        <v>Skola</v>
      </c>
      <c r="C31" s="494"/>
      <c r="D31" s="896">
        <f>IF(D$29="",0,SUMIFS('2. Kalkyldata'!$W$23:$W$27,'2. Kalkyldata'!$C$23:$C$27,'3. Finansiering'!$B31,'2. Kalkyldata'!$R$23:$R$27,'3. Finansiering'!D$12))</f>
        <v>239999999.99999997</v>
      </c>
      <c r="E31" s="896">
        <f>IF(E$29="",0,SUMIFS('2. Kalkyldata'!$W$23:$W$27,'2. Kalkyldata'!$C$23:$C$27,'3. Finansiering'!$B31,'2. Kalkyldata'!$R$23:$R$27,'3. Finansiering'!E$12))</f>
        <v>239999999.99999997</v>
      </c>
      <c r="F31" s="896">
        <f>IF(F$29="",0,SUMIFS('2. Kalkyldata'!$W$23:$W$27,'2. Kalkyldata'!$C$23:$C$27,'3. Finansiering'!$B31,'2. Kalkyldata'!$R$23:$R$27,'3. Finansiering'!F$12))</f>
        <v>239999999.99999997</v>
      </c>
      <c r="G31" s="896">
        <f>IF(G$29="",0,SUMIFS('2. Kalkyldata'!$W$23:$W$27,'2. Kalkyldata'!$C$23:$C$27,'3. Finansiering'!$B31,'2. Kalkyldata'!$R$23:$R$27,'3. Finansiering'!G$12))</f>
        <v>239999999.99999997</v>
      </c>
      <c r="H31" s="896">
        <f>IF(H$29="",0,SUMIFS('2. Kalkyldata'!$W$23:$W$27,'2. Kalkyldata'!$C$23:$C$27,'3. Finansiering'!$B31,'2. Kalkyldata'!$R$23:$R$27,'3. Finansiering'!H$12))</f>
        <v>239999999.99999997</v>
      </c>
      <c r="I31" s="896">
        <f>IF(I$29="",0,SUMIFS('2. Kalkyldata'!$W$23:$W$27,'2. Kalkyldata'!$C$23:$C$27,'3. Finansiering'!$B31,'2. Kalkyldata'!$R$23:$R$27,'3. Finansiering'!I$12))</f>
        <v>239999999.99999997</v>
      </c>
      <c r="J31" s="896">
        <f>IF(J$29="",0,SUMIFS('2. Kalkyldata'!$W$23:$W$27,'2. Kalkyldata'!$C$23:$C$27,'3. Finansiering'!$B31,'2. Kalkyldata'!$R$23:$R$27,'3. Finansiering'!J$12))</f>
        <v>239999999.99999997</v>
      </c>
      <c r="K31" s="896">
        <f>IF(K$29="",0,SUMIFS('2. Kalkyldata'!$W$23:$W$27,'2. Kalkyldata'!$C$23:$C$27,'3. Finansiering'!$B31,'2. Kalkyldata'!$R$23:$R$27,'3. Finansiering'!K$12))</f>
        <v>239999999.99999997</v>
      </c>
      <c r="L31" s="896">
        <f>IF(L$29="",0,SUMIFS('2. Kalkyldata'!$W$23:$W$27,'2. Kalkyldata'!$C$23:$C$27,'3. Finansiering'!$B31,'2. Kalkyldata'!$R$23:$R$27,'3. Finansiering'!L$12))</f>
        <v>239999999.99999997</v>
      </c>
      <c r="M31" s="896">
        <f>IF(M$29="",0,SUMIFS('2. Kalkyldata'!$W$23:$W$27,'2. Kalkyldata'!$C$23:$C$27,'3. Finansiering'!$B31,'2. Kalkyldata'!$R$23:$R$27,'3. Finansiering'!M$12))</f>
        <v>239999999.99999997</v>
      </c>
      <c r="N31" s="896">
        <f>IF(N$29="",0,SUMIFS('2. Kalkyldata'!$W$23:$W$27,'2. Kalkyldata'!$C$23:$C$27,'3. Finansiering'!$B31,'2. Kalkyldata'!$R$23:$R$27,'3. Finansiering'!N$12))</f>
        <v>239999999.99999997</v>
      </c>
      <c r="O31" s="896">
        <f>IF(O$29="",0,SUMIFS('2. Kalkyldata'!$W$23:$W$27,'2. Kalkyldata'!$C$23:$C$27,'3. Finansiering'!$B31,'2. Kalkyldata'!$R$23:$R$27,'3. Finansiering'!O$12))</f>
        <v>239999999.99999997</v>
      </c>
      <c r="P31" s="896">
        <f>IF(P$29="",0,SUMIFS('2. Kalkyldata'!$W$23:$W$27,'2. Kalkyldata'!$C$23:$C$27,'3. Finansiering'!$B31,'2. Kalkyldata'!$R$23:$R$27,'3. Finansiering'!P$12))</f>
        <v>239999999.99999997</v>
      </c>
      <c r="Q31" s="896">
        <f>IF(Q$29="",0,SUMIFS('2. Kalkyldata'!$W$23:$W$27,'2. Kalkyldata'!$C$23:$C$27,'3. Finansiering'!$B31,'2. Kalkyldata'!$R$23:$R$27,'3. Finansiering'!Q$12))</f>
        <v>239999999.99999997</v>
      </c>
      <c r="R31" s="896">
        <f>IF(R$29="",0,SUMIFS('2. Kalkyldata'!$W$23:$W$27,'2. Kalkyldata'!$C$23:$C$27,'3. Finansiering'!$B31,'2. Kalkyldata'!$R$23:$R$27,'3. Finansiering'!R$12))</f>
        <v>239999999.99999997</v>
      </c>
      <c r="S31" s="896">
        <f>IF(S$29="",0,SUMIFS('2. Kalkyldata'!$W$23:$W$27,'2. Kalkyldata'!$C$23:$C$27,'3. Finansiering'!$B31,'2. Kalkyldata'!$R$23:$R$27,'3. Finansiering'!S$12))</f>
        <v>239999999.99999997</v>
      </c>
      <c r="T31" s="896">
        <f>IF(T$29="",0,SUMIFS('2. Kalkyldata'!$W$23:$W$27,'2. Kalkyldata'!$C$23:$C$27,'3. Finansiering'!$B31,'2. Kalkyldata'!$R$23:$R$27,'3. Finansiering'!T$12))</f>
        <v>239999999.99999997</v>
      </c>
      <c r="U31" s="896">
        <f>IF(U$29="",0,SUMIFS('2. Kalkyldata'!$W$23:$W$27,'2. Kalkyldata'!$C$23:$C$27,'3. Finansiering'!$B31,'2. Kalkyldata'!$R$23:$R$27,'3. Finansiering'!U$12))</f>
        <v>239999999.99999997</v>
      </c>
      <c r="V31" s="896">
        <f>IF(V$29="",0,SUMIFS('2. Kalkyldata'!$W$23:$W$27,'2. Kalkyldata'!$C$23:$C$27,'3. Finansiering'!$B31,'2. Kalkyldata'!$R$23:$R$27,'3. Finansiering'!V$12))</f>
        <v>239999999.99999997</v>
      </c>
      <c r="W31" s="896">
        <f>IF(W$29="",0,SUMIFS('2. Kalkyldata'!$W$23:$W$27,'2. Kalkyldata'!$C$23:$C$27,'3. Finansiering'!$B31,'2. Kalkyldata'!$R$23:$R$27,'3. Finansiering'!W$12))</f>
        <v>239999999.99999997</v>
      </c>
      <c r="X31" s="896">
        <f>IF(X$29="",0,SUMIFS('2. Kalkyldata'!$W$23:$W$27,'2. Kalkyldata'!$C$23:$C$27,'3. Finansiering'!$B31,'2. Kalkyldata'!$R$23:$R$27,'3. Finansiering'!X$12))</f>
        <v>239999999.99999997</v>
      </c>
      <c r="Y31" s="896">
        <f>IF(Y$29="",0,SUMIFS('2. Kalkyldata'!$W$23:$W$27,'2. Kalkyldata'!$C$23:$C$27,'3. Finansiering'!$B31,'2. Kalkyldata'!$R$23:$R$27,'3. Finansiering'!Y$12))</f>
        <v>0.0</v>
      </c>
      <c r="Z31" s="896">
        <f>IF(Z$29="",0,SUMIFS('2. Kalkyldata'!$W$23:$W$27,'2. Kalkyldata'!$C$23:$C$27,'3. Finansiering'!$B31,'2. Kalkyldata'!$R$23:$R$27,'3. Finansiering'!Z$12))</f>
        <v>0.0</v>
      </c>
      <c r="AA31" s="896">
        <f>IF(AA$29="",0,SUMIFS('2. Kalkyldata'!$W$23:$W$27,'2. Kalkyldata'!$C$23:$C$27,'3. Finansiering'!$B31,'2. Kalkyldata'!$R$23:$R$27,'3. Finansiering'!AA$12))</f>
        <v>0.0</v>
      </c>
      <c r="AB31" s="896">
        <f>IF(AB$29="",0,SUMIFS('2. Kalkyldata'!$W$23:$W$27,'2. Kalkyldata'!$C$23:$C$27,'3. Finansiering'!$B31,'2. Kalkyldata'!$R$23:$R$27,'3. Finansiering'!AB$12))</f>
        <v>0.0</v>
      </c>
      <c r="AC31" s="896">
        <f>IF(AC$29="",0,SUMIFS('2. Kalkyldata'!$W$23:$W$27,'2. Kalkyldata'!$C$23:$C$27,'3. Finansiering'!$B31,'2. Kalkyldata'!$R$23:$R$27,'3. Finansiering'!AC$12))</f>
        <v>0.0</v>
      </c>
      <c r="AD31" s="896">
        <f>IF(AD$29="",0,SUMIFS('2. Kalkyldata'!$W$23:$W$27,'2. Kalkyldata'!$C$23:$C$27,'3. Finansiering'!$B31,'2. Kalkyldata'!$R$23:$R$27,'3. Finansiering'!AD$12))</f>
        <v>0.0</v>
      </c>
      <c r="AE31" s="896">
        <f>IF(AE$29="",0,SUMIFS('2. Kalkyldata'!$W$23:$W$27,'2. Kalkyldata'!$C$23:$C$27,'3. Finansiering'!$B31,'2. Kalkyldata'!$R$23:$R$27,'3. Finansiering'!AE$12))</f>
        <v>0.0</v>
      </c>
      <c r="AF31" s="896">
        <f>IF(AF$29="",0,SUMIFS('2. Kalkyldata'!$W$23:$W$27,'2. Kalkyldata'!$C$23:$C$27,'3. Finansiering'!$B31,'2. Kalkyldata'!$R$23:$R$27,'3. Finansiering'!AF$12))</f>
        <v>0.0</v>
      </c>
      <c r="AG31" s="896">
        <f>IF(AG$29="",0,SUMIFS('2. Kalkyldata'!$W$23:$W$27,'2. Kalkyldata'!$C$23:$C$27,'3. Finansiering'!$B31,'2. Kalkyldata'!$R$23:$R$27,'3. Finansiering'!AG$12))</f>
        <v>0.0</v>
      </c>
      <c r="AH31" s="896">
        <f>IF(AH$29="",0,SUMIFS('2. Kalkyldata'!$W$23:$W$27,'2. Kalkyldata'!$C$23:$C$27,'3. Finansiering'!$B31,'2. Kalkyldata'!$R$23:$R$27,'3. Finansiering'!AH$12))</f>
        <v>0.0</v>
      </c>
      <c r="AI31" s="896">
        <f>IF(AI$29="",0,SUMIFS('2. Kalkyldata'!$W$23:$W$27,'2. Kalkyldata'!$C$23:$C$27,'3. Finansiering'!$B31,'2. Kalkyldata'!$R$23:$R$27,'3. Finansiering'!AI$12))</f>
        <v>0.0</v>
      </c>
      <c r="AJ31" s="896">
        <f>IF(AJ$29="",0,SUMIFS('2. Kalkyldata'!$W$23:$W$27,'2. Kalkyldata'!$C$23:$C$27,'3. Finansiering'!$B31,'2. Kalkyldata'!$R$23:$R$27,'3. Finansiering'!AJ$12))</f>
        <v>0.0</v>
      </c>
      <c r="AK31" s="896">
        <f>IF(AK$29="",0,SUMIFS('2. Kalkyldata'!$W$23:$W$27,'2. Kalkyldata'!$C$23:$C$27,'3. Finansiering'!$B31,'2. Kalkyldata'!$R$23:$R$27,'3. Finansiering'!AK$12))</f>
        <v>0.0</v>
      </c>
      <c r="AL31" s="896">
        <f>IF(AL$29="",0,SUMIFS('2. Kalkyldata'!$W$23:$W$27,'2. Kalkyldata'!$C$23:$C$27,'3. Finansiering'!$B31,'2. Kalkyldata'!$R$23:$R$27,'3. Finansiering'!AL$12))</f>
        <v>0.0</v>
      </c>
      <c r="AM31" s="896">
        <f>IF(AM$29="",0,SUMIFS('2. Kalkyldata'!$W$23:$W$27,'2. Kalkyldata'!$C$23:$C$27,'3. Finansiering'!$B31,'2. Kalkyldata'!$R$23:$R$27,'3. Finansiering'!AM$12))</f>
        <v>0.0</v>
      </c>
      <c r="AN31" s="896">
        <f>IF(AN$29="",0,SUMIFS('2. Kalkyldata'!$W$23:$W$27,'2. Kalkyldata'!$C$23:$C$27,'3. Finansiering'!$B31,'2. Kalkyldata'!$R$23:$R$27,'3. Finansiering'!AN$12))</f>
        <v>0.0</v>
      </c>
      <c r="AO31" s="896">
        <f>IF(AO$29="",0,SUMIFS('2. Kalkyldata'!$W$23:$W$27,'2. Kalkyldata'!$C$23:$C$27,'3. Finansiering'!$B31,'2. Kalkyldata'!$R$23:$R$27,'3. Finansiering'!AO$12))</f>
        <v>0.0</v>
      </c>
      <c r="AP31" s="896">
        <f>IF(AP$29="",0,SUMIFS('2. Kalkyldata'!$W$23:$W$27,'2. Kalkyldata'!$C$23:$C$27,'3. Finansiering'!$B31,'2. Kalkyldata'!$R$23:$R$27,'3. Finansiering'!AP$12))</f>
        <v>0.0</v>
      </c>
      <c r="AQ31" s="896">
        <f>IF(AQ$29="",0,SUMIFS('2. Kalkyldata'!$W$23:$W$27,'2. Kalkyldata'!$C$23:$C$27,'3. Finansiering'!$B31,'2. Kalkyldata'!$R$23:$R$27,'3. Finansiering'!AQ$12))</f>
        <v>0.0</v>
      </c>
      <c r="AR31" s="896">
        <f>IF(AR$29="",0,SUMIFS('2. Kalkyldata'!$W$23:$W$27,'2. Kalkyldata'!$C$23:$C$27,'3. Finansiering'!$B31,'2. Kalkyldata'!$R$23:$R$27,'3. Finansiering'!AR$12))</f>
        <v>0.0</v>
      </c>
      <c r="AS31" s="896">
        <f>IF(AS$29="",0,SUMIFS('2. Kalkyldata'!$W$23:$W$27,'2. Kalkyldata'!$C$23:$C$27,'3. Finansiering'!$B31,'2. Kalkyldata'!$R$23:$R$27,'3. Finansiering'!AS$12))</f>
        <v>0.0</v>
      </c>
      <c r="AT31" s="896">
        <f>IF(AT$29="",0,SUMIFS('2. Kalkyldata'!$W$23:$W$27,'2. Kalkyldata'!$C$23:$C$27,'3. Finansiering'!$B31,'2. Kalkyldata'!$R$23:$R$27,'3. Finansiering'!AT$12))</f>
        <v>0.0</v>
      </c>
      <c r="AU31" s="896">
        <f>IF(AU$29="",0,SUMIFS('2. Kalkyldata'!$W$23:$W$27,'2. Kalkyldata'!$C$23:$C$27,'3. Finansiering'!$B31,'2. Kalkyldata'!$R$23:$R$27,'3. Finansiering'!AU$12))</f>
        <v>0.0</v>
      </c>
      <c r="AV31" s="896">
        <f>IF(AV$29="",0,SUMIFS('2. Kalkyldata'!$W$23:$W$27,'2. Kalkyldata'!$C$23:$C$27,'3. Finansiering'!$B31,'2. Kalkyldata'!$R$23:$R$27,'3. Finansiering'!AV$12))</f>
        <v>0.0</v>
      </c>
      <c r="AW31" s="896">
        <f>IF(AW$29="",0,SUMIFS('2. Kalkyldata'!$W$23:$W$27,'2. Kalkyldata'!$C$23:$C$27,'3. Finansiering'!$B31,'2. Kalkyldata'!$R$23:$R$27,'3. Finansiering'!AW$12))</f>
        <v>0.0</v>
      </c>
      <c r="AX31" s="896">
        <f>IF(AX$29="",0,SUMIFS('2. Kalkyldata'!$W$23:$W$27,'2. Kalkyldata'!$C$23:$C$27,'3. Finansiering'!$B31,'2. Kalkyldata'!$R$23:$R$27,'3. Finansiering'!AX$12))</f>
        <v>0.0</v>
      </c>
      <c r="AY31" s="896">
        <f>IF(AY$29="",0,SUMIFS('2. Kalkyldata'!$W$23:$W$27,'2. Kalkyldata'!$C$23:$C$27,'3. Finansiering'!$B31,'2. Kalkyldata'!$R$23:$R$27,'3. Finansiering'!AY$12))</f>
        <v>0.0</v>
      </c>
      <c r="AZ31" s="896">
        <f>IF(AZ$29="",0,SUMIFS('2. Kalkyldata'!$W$23:$W$27,'2. Kalkyldata'!$C$23:$C$27,'3. Finansiering'!$B31,'2. Kalkyldata'!$R$23:$R$27,'3. Finansiering'!AZ$12))</f>
        <v>0.0</v>
      </c>
      <c r="BA31" s="896">
        <f>IF(BA$29="",0,SUMIFS('2. Kalkyldata'!$W$23:$W$27,'2. Kalkyldata'!$C$23:$C$27,'3. Finansiering'!$B31,'2. Kalkyldata'!$R$23:$R$27,'3. Finansiering'!BA$12))</f>
        <v>0.0</v>
      </c>
      <c r="BB31" s="494"/>
    </row>
    <row r="32" spans="1:54" outlineLevel="1">
      <c r="A32" s="494"/>
      <c r="B32" s="894">
        <f>'2. Kalkyldata'!C24</f>
        <v>0.0</v>
      </c>
      <c r="C32" s="494"/>
      <c r="D32" s="896">
        <f>IF(D$29="",0,SUMIFS('2. Kalkyldata'!$W$23:$W$27,'2. Kalkyldata'!$C$23:$C$27,'3. Finansiering'!$B32,'2. Kalkyldata'!$R$23:$R$27,'3. Finansiering'!D$12))</f>
        <v>0.0</v>
      </c>
      <c r="E32" s="896">
        <f>IF(E$29="",0,SUMIFS('2. Kalkyldata'!$W$23:$W$27,'2. Kalkyldata'!$C$23:$C$27,'3. Finansiering'!$B32,'2. Kalkyldata'!$R$23:$R$27,'3. Finansiering'!E$12))</f>
        <v>0.0</v>
      </c>
      <c r="F32" s="896">
        <f>IF(F$29="",0,SUMIFS('2. Kalkyldata'!$W$23:$W$27,'2. Kalkyldata'!$C$23:$C$27,'3. Finansiering'!$B32,'2. Kalkyldata'!$R$23:$R$27,'3. Finansiering'!F$12))</f>
        <v>0.0</v>
      </c>
      <c r="G32" s="896">
        <f>IF(G$29="",0,SUMIFS('2. Kalkyldata'!$W$23:$W$27,'2. Kalkyldata'!$C$23:$C$27,'3. Finansiering'!$B32,'2. Kalkyldata'!$R$23:$R$27,'3. Finansiering'!G$12))</f>
        <v>0.0</v>
      </c>
      <c r="H32" s="896">
        <f>IF(H$29="",0,SUMIFS('2. Kalkyldata'!$W$23:$W$27,'2. Kalkyldata'!$C$23:$C$27,'3. Finansiering'!$B32,'2. Kalkyldata'!$R$23:$R$27,'3. Finansiering'!H$12))</f>
        <v>0.0</v>
      </c>
      <c r="I32" s="896">
        <f>IF(I$29="",0,SUMIFS('2. Kalkyldata'!$W$23:$W$27,'2. Kalkyldata'!$C$23:$C$27,'3. Finansiering'!$B32,'2. Kalkyldata'!$R$23:$R$27,'3. Finansiering'!I$12))</f>
        <v>0.0</v>
      </c>
      <c r="J32" s="896">
        <f>IF(J$29="",0,SUMIFS('2. Kalkyldata'!$W$23:$W$27,'2. Kalkyldata'!$C$23:$C$27,'3. Finansiering'!$B32,'2. Kalkyldata'!$R$23:$R$27,'3. Finansiering'!J$12))</f>
        <v>0.0</v>
      </c>
      <c r="K32" s="896">
        <f>IF(K$29="",0,SUMIFS('2. Kalkyldata'!$W$23:$W$27,'2. Kalkyldata'!$C$23:$C$27,'3. Finansiering'!$B32,'2. Kalkyldata'!$R$23:$R$27,'3. Finansiering'!K$12))</f>
        <v>0.0</v>
      </c>
      <c r="L32" s="896">
        <f>IF(L$29="",0,SUMIFS('2. Kalkyldata'!$W$23:$W$27,'2. Kalkyldata'!$C$23:$C$27,'3. Finansiering'!$B32,'2. Kalkyldata'!$R$23:$R$27,'3. Finansiering'!L$12))</f>
        <v>0.0</v>
      </c>
      <c r="M32" s="896">
        <f>IF(M$29="",0,SUMIFS('2. Kalkyldata'!$W$23:$W$27,'2. Kalkyldata'!$C$23:$C$27,'3. Finansiering'!$B32,'2. Kalkyldata'!$R$23:$R$27,'3. Finansiering'!M$12))</f>
        <v>0.0</v>
      </c>
      <c r="N32" s="896">
        <f>IF(N$29="",0,SUMIFS('2. Kalkyldata'!$W$23:$W$27,'2. Kalkyldata'!$C$23:$C$27,'3. Finansiering'!$B32,'2. Kalkyldata'!$R$23:$R$27,'3. Finansiering'!N$12))</f>
        <v>0.0</v>
      </c>
      <c r="O32" s="896">
        <f>IF(O$29="",0,SUMIFS('2. Kalkyldata'!$W$23:$W$27,'2. Kalkyldata'!$C$23:$C$27,'3. Finansiering'!$B32,'2. Kalkyldata'!$R$23:$R$27,'3. Finansiering'!O$12))</f>
        <v>0.0</v>
      </c>
      <c r="P32" s="896">
        <f>IF(P$29="",0,SUMIFS('2. Kalkyldata'!$W$23:$W$27,'2. Kalkyldata'!$C$23:$C$27,'3. Finansiering'!$B32,'2. Kalkyldata'!$R$23:$R$27,'3. Finansiering'!P$12))</f>
        <v>0.0</v>
      </c>
      <c r="Q32" s="896">
        <f>IF(Q$29="",0,SUMIFS('2. Kalkyldata'!$W$23:$W$27,'2. Kalkyldata'!$C$23:$C$27,'3. Finansiering'!$B32,'2. Kalkyldata'!$R$23:$R$27,'3. Finansiering'!Q$12))</f>
        <v>0.0</v>
      </c>
      <c r="R32" s="896">
        <f>IF(R$29="",0,SUMIFS('2. Kalkyldata'!$W$23:$W$27,'2. Kalkyldata'!$C$23:$C$27,'3. Finansiering'!$B32,'2. Kalkyldata'!$R$23:$R$27,'3. Finansiering'!R$12))</f>
        <v>0.0</v>
      </c>
      <c r="S32" s="896">
        <f>IF(S$29="",0,SUMIFS('2. Kalkyldata'!$W$23:$W$27,'2. Kalkyldata'!$C$23:$C$27,'3. Finansiering'!$B32,'2. Kalkyldata'!$R$23:$R$27,'3. Finansiering'!S$12))</f>
        <v>0.0</v>
      </c>
      <c r="T32" s="896">
        <f>IF(T$29="",0,SUMIFS('2. Kalkyldata'!$W$23:$W$27,'2. Kalkyldata'!$C$23:$C$27,'3. Finansiering'!$B32,'2. Kalkyldata'!$R$23:$R$27,'3. Finansiering'!T$12))</f>
        <v>0.0</v>
      </c>
      <c r="U32" s="896">
        <f>IF(U$29="",0,SUMIFS('2. Kalkyldata'!$W$23:$W$27,'2. Kalkyldata'!$C$23:$C$27,'3. Finansiering'!$B32,'2. Kalkyldata'!$R$23:$R$27,'3. Finansiering'!U$12))</f>
        <v>0.0</v>
      </c>
      <c r="V32" s="896">
        <f>IF(V$29="",0,SUMIFS('2. Kalkyldata'!$W$23:$W$27,'2. Kalkyldata'!$C$23:$C$27,'3. Finansiering'!$B32,'2. Kalkyldata'!$R$23:$R$27,'3. Finansiering'!V$12))</f>
        <v>0.0</v>
      </c>
      <c r="W32" s="896">
        <f>IF(W$29="",0,SUMIFS('2. Kalkyldata'!$W$23:$W$27,'2. Kalkyldata'!$C$23:$C$27,'3. Finansiering'!$B32,'2. Kalkyldata'!$R$23:$R$27,'3. Finansiering'!W$12))</f>
        <v>0.0</v>
      </c>
      <c r="X32" s="896">
        <f>IF(X$29="",0,SUMIFS('2. Kalkyldata'!$W$23:$W$27,'2. Kalkyldata'!$C$23:$C$27,'3. Finansiering'!$B32,'2. Kalkyldata'!$R$23:$R$27,'3. Finansiering'!X$12))</f>
        <v>0.0</v>
      </c>
      <c r="Y32" s="896">
        <f>IF(Y$29="",0,SUMIFS('2. Kalkyldata'!$W$23:$W$27,'2. Kalkyldata'!$C$23:$C$27,'3. Finansiering'!$B32,'2. Kalkyldata'!$R$23:$R$27,'3. Finansiering'!Y$12))</f>
        <v>0.0</v>
      </c>
      <c r="Z32" s="896">
        <f>IF(Z$29="",0,SUMIFS('2. Kalkyldata'!$W$23:$W$27,'2. Kalkyldata'!$C$23:$C$27,'3. Finansiering'!$B32,'2. Kalkyldata'!$R$23:$R$27,'3. Finansiering'!Z$12))</f>
        <v>0.0</v>
      </c>
      <c r="AA32" s="896">
        <f>IF(AA$29="",0,SUMIFS('2. Kalkyldata'!$W$23:$W$27,'2. Kalkyldata'!$C$23:$C$27,'3. Finansiering'!$B32,'2. Kalkyldata'!$R$23:$R$27,'3. Finansiering'!AA$12))</f>
        <v>0.0</v>
      </c>
      <c r="AB32" s="896">
        <f>IF(AB$29="",0,SUMIFS('2. Kalkyldata'!$W$23:$W$27,'2. Kalkyldata'!$C$23:$C$27,'3. Finansiering'!$B32,'2. Kalkyldata'!$R$23:$R$27,'3. Finansiering'!AB$12))</f>
        <v>0.0</v>
      </c>
      <c r="AC32" s="896">
        <f>IF(AC$29="",0,SUMIFS('2. Kalkyldata'!$W$23:$W$27,'2. Kalkyldata'!$C$23:$C$27,'3. Finansiering'!$B32,'2. Kalkyldata'!$R$23:$R$27,'3. Finansiering'!AC$12))</f>
        <v>0.0</v>
      </c>
      <c r="AD32" s="896">
        <f>IF(AD$29="",0,SUMIFS('2. Kalkyldata'!$W$23:$W$27,'2. Kalkyldata'!$C$23:$C$27,'3. Finansiering'!$B32,'2. Kalkyldata'!$R$23:$R$27,'3. Finansiering'!AD$12))</f>
        <v>0.0</v>
      </c>
      <c r="AE32" s="896">
        <f>IF(AE$29="",0,SUMIFS('2. Kalkyldata'!$W$23:$W$27,'2. Kalkyldata'!$C$23:$C$27,'3. Finansiering'!$B32,'2. Kalkyldata'!$R$23:$R$27,'3. Finansiering'!AE$12))</f>
        <v>0.0</v>
      </c>
      <c r="AF32" s="896">
        <f>IF(AF$29="",0,SUMIFS('2. Kalkyldata'!$W$23:$W$27,'2. Kalkyldata'!$C$23:$C$27,'3. Finansiering'!$B32,'2. Kalkyldata'!$R$23:$R$27,'3. Finansiering'!AF$12))</f>
        <v>0.0</v>
      </c>
      <c r="AG32" s="896">
        <f>IF(AG$29="",0,SUMIFS('2. Kalkyldata'!$W$23:$W$27,'2. Kalkyldata'!$C$23:$C$27,'3. Finansiering'!$B32,'2. Kalkyldata'!$R$23:$R$27,'3. Finansiering'!AG$12))</f>
        <v>0.0</v>
      </c>
      <c r="AH32" s="896">
        <f>IF(AH$29="",0,SUMIFS('2. Kalkyldata'!$W$23:$W$27,'2. Kalkyldata'!$C$23:$C$27,'3. Finansiering'!$B32,'2. Kalkyldata'!$R$23:$R$27,'3. Finansiering'!AH$12))</f>
        <v>0.0</v>
      </c>
      <c r="AI32" s="896">
        <f>IF(AI$29="",0,SUMIFS('2. Kalkyldata'!$W$23:$W$27,'2. Kalkyldata'!$C$23:$C$27,'3. Finansiering'!$B32,'2. Kalkyldata'!$R$23:$R$27,'3. Finansiering'!AI$12))</f>
        <v>0.0</v>
      </c>
      <c r="AJ32" s="896">
        <f>IF(AJ$29="",0,SUMIFS('2. Kalkyldata'!$W$23:$W$27,'2. Kalkyldata'!$C$23:$C$27,'3. Finansiering'!$B32,'2. Kalkyldata'!$R$23:$R$27,'3. Finansiering'!AJ$12))</f>
        <v>0.0</v>
      </c>
      <c r="AK32" s="896">
        <f>IF(AK$29="",0,SUMIFS('2. Kalkyldata'!$W$23:$W$27,'2. Kalkyldata'!$C$23:$C$27,'3. Finansiering'!$B32,'2. Kalkyldata'!$R$23:$R$27,'3. Finansiering'!AK$12))</f>
        <v>0.0</v>
      </c>
      <c r="AL32" s="896">
        <f>IF(AL$29="",0,SUMIFS('2. Kalkyldata'!$W$23:$W$27,'2. Kalkyldata'!$C$23:$C$27,'3. Finansiering'!$B32,'2. Kalkyldata'!$R$23:$R$27,'3. Finansiering'!AL$12))</f>
        <v>0.0</v>
      </c>
      <c r="AM32" s="896">
        <f>IF(AM$29="",0,SUMIFS('2. Kalkyldata'!$W$23:$W$27,'2. Kalkyldata'!$C$23:$C$27,'3. Finansiering'!$B32,'2. Kalkyldata'!$R$23:$R$27,'3. Finansiering'!AM$12))</f>
        <v>0.0</v>
      </c>
      <c r="AN32" s="896">
        <f>IF(AN$29="",0,SUMIFS('2. Kalkyldata'!$W$23:$W$27,'2. Kalkyldata'!$C$23:$C$27,'3. Finansiering'!$B32,'2. Kalkyldata'!$R$23:$R$27,'3. Finansiering'!AN$12))</f>
        <v>0.0</v>
      </c>
      <c r="AO32" s="896">
        <f>IF(AO$29="",0,SUMIFS('2. Kalkyldata'!$W$23:$W$27,'2. Kalkyldata'!$C$23:$C$27,'3. Finansiering'!$B32,'2. Kalkyldata'!$R$23:$R$27,'3. Finansiering'!AO$12))</f>
        <v>0.0</v>
      </c>
      <c r="AP32" s="896">
        <f>IF(AP$29="",0,SUMIFS('2. Kalkyldata'!$W$23:$W$27,'2. Kalkyldata'!$C$23:$C$27,'3. Finansiering'!$B32,'2. Kalkyldata'!$R$23:$R$27,'3. Finansiering'!AP$12))</f>
        <v>0.0</v>
      </c>
      <c r="AQ32" s="896">
        <f>IF(AQ$29="",0,SUMIFS('2. Kalkyldata'!$W$23:$W$27,'2. Kalkyldata'!$C$23:$C$27,'3. Finansiering'!$B32,'2. Kalkyldata'!$R$23:$R$27,'3. Finansiering'!AQ$12))</f>
        <v>0.0</v>
      </c>
      <c r="AR32" s="896">
        <f>IF(AR$29="",0,SUMIFS('2. Kalkyldata'!$W$23:$W$27,'2. Kalkyldata'!$C$23:$C$27,'3. Finansiering'!$B32,'2. Kalkyldata'!$R$23:$R$27,'3. Finansiering'!AR$12))</f>
        <v>0.0</v>
      </c>
      <c r="AS32" s="896">
        <f>IF(AS$29="",0,SUMIFS('2. Kalkyldata'!$W$23:$W$27,'2. Kalkyldata'!$C$23:$C$27,'3. Finansiering'!$B32,'2. Kalkyldata'!$R$23:$R$27,'3. Finansiering'!AS$12))</f>
        <v>0.0</v>
      </c>
      <c r="AT32" s="896">
        <f>IF(AT$29="",0,SUMIFS('2. Kalkyldata'!$W$23:$W$27,'2. Kalkyldata'!$C$23:$C$27,'3. Finansiering'!$B32,'2. Kalkyldata'!$R$23:$R$27,'3. Finansiering'!AT$12))</f>
        <v>0.0</v>
      </c>
      <c r="AU32" s="896">
        <f>IF(AU$29="",0,SUMIFS('2. Kalkyldata'!$W$23:$W$27,'2. Kalkyldata'!$C$23:$C$27,'3. Finansiering'!$B32,'2. Kalkyldata'!$R$23:$R$27,'3. Finansiering'!AU$12))</f>
        <v>0.0</v>
      </c>
      <c r="AV32" s="896">
        <f>IF(AV$29="",0,SUMIFS('2. Kalkyldata'!$W$23:$W$27,'2. Kalkyldata'!$C$23:$C$27,'3. Finansiering'!$B32,'2. Kalkyldata'!$R$23:$R$27,'3. Finansiering'!AV$12))</f>
        <v>0.0</v>
      </c>
      <c r="AW32" s="896">
        <f>IF(AW$29="",0,SUMIFS('2. Kalkyldata'!$W$23:$W$27,'2. Kalkyldata'!$C$23:$C$27,'3. Finansiering'!$B32,'2. Kalkyldata'!$R$23:$R$27,'3. Finansiering'!AW$12))</f>
        <v>0.0</v>
      </c>
      <c r="AX32" s="896">
        <f>IF(AX$29="",0,SUMIFS('2. Kalkyldata'!$W$23:$W$27,'2. Kalkyldata'!$C$23:$C$27,'3. Finansiering'!$B32,'2. Kalkyldata'!$R$23:$R$27,'3. Finansiering'!AX$12))</f>
        <v>0.0</v>
      </c>
      <c r="AY32" s="896">
        <f>IF(AY$29="",0,SUMIFS('2. Kalkyldata'!$W$23:$W$27,'2. Kalkyldata'!$C$23:$C$27,'3. Finansiering'!$B32,'2. Kalkyldata'!$R$23:$R$27,'3. Finansiering'!AY$12))</f>
        <v>0.0</v>
      </c>
      <c r="AZ32" s="896">
        <f>IF(AZ$29="",0,SUMIFS('2. Kalkyldata'!$W$23:$W$27,'2. Kalkyldata'!$C$23:$C$27,'3. Finansiering'!$B32,'2. Kalkyldata'!$R$23:$R$27,'3. Finansiering'!AZ$12))</f>
        <v>0.0</v>
      </c>
      <c r="BA32" s="896">
        <f>IF(BA$29="",0,SUMIFS('2. Kalkyldata'!$W$23:$W$27,'2. Kalkyldata'!$C$23:$C$27,'3. Finansiering'!$B32,'2. Kalkyldata'!$R$23:$R$27,'3. Finansiering'!BA$12))</f>
        <v>0.0</v>
      </c>
      <c r="BB32" s="494"/>
    </row>
    <row r="33" spans="1:61" outlineLevel="1">
      <c r="A33" s="494"/>
      <c r="B33" s="894">
        <f>'2. Kalkyldata'!C25</f>
        <v>0.0</v>
      </c>
      <c r="C33" s="494"/>
      <c r="D33" s="896">
        <f>IF(D$29="",0,SUMIFS('2. Kalkyldata'!$W$23:$W$27,'2. Kalkyldata'!$C$23:$C$27,'3. Finansiering'!$B33,'2. Kalkyldata'!$R$23:$R$27,'3. Finansiering'!D$12))</f>
        <v>0.0</v>
      </c>
      <c r="E33" s="896">
        <f>IF(E$29="",0,SUMIFS('2. Kalkyldata'!$W$23:$W$27,'2. Kalkyldata'!$C$23:$C$27,'3. Finansiering'!$B33,'2. Kalkyldata'!$R$23:$R$27,'3. Finansiering'!E$12))</f>
        <v>0.0</v>
      </c>
      <c r="F33" s="896">
        <f>IF(F$29="",0,SUMIFS('2. Kalkyldata'!$W$23:$W$27,'2. Kalkyldata'!$C$23:$C$27,'3. Finansiering'!$B33,'2. Kalkyldata'!$R$23:$R$27,'3. Finansiering'!F$12))</f>
        <v>0.0</v>
      </c>
      <c r="G33" s="896">
        <f>IF(G$29="",0,SUMIFS('2. Kalkyldata'!$W$23:$W$27,'2. Kalkyldata'!$C$23:$C$27,'3. Finansiering'!$B33,'2. Kalkyldata'!$R$23:$R$27,'3. Finansiering'!G$12))</f>
        <v>0.0</v>
      </c>
      <c r="H33" s="896">
        <f>IF(H$29="",0,SUMIFS('2. Kalkyldata'!$W$23:$W$27,'2. Kalkyldata'!$C$23:$C$27,'3. Finansiering'!$B33,'2. Kalkyldata'!$R$23:$R$27,'3. Finansiering'!H$12))</f>
        <v>0.0</v>
      </c>
      <c r="I33" s="896">
        <f>IF(I$29="",0,SUMIFS('2. Kalkyldata'!$W$23:$W$27,'2. Kalkyldata'!$C$23:$C$27,'3. Finansiering'!$B33,'2. Kalkyldata'!$R$23:$R$27,'3. Finansiering'!I$12))</f>
        <v>0.0</v>
      </c>
      <c r="J33" s="896">
        <f>IF(J$29="",0,SUMIFS('2. Kalkyldata'!$W$23:$W$27,'2. Kalkyldata'!$C$23:$C$27,'3. Finansiering'!$B33,'2. Kalkyldata'!$R$23:$R$27,'3. Finansiering'!J$12))</f>
        <v>0.0</v>
      </c>
      <c r="K33" s="896">
        <f>IF(K$29="",0,SUMIFS('2. Kalkyldata'!$W$23:$W$27,'2. Kalkyldata'!$C$23:$C$27,'3. Finansiering'!$B33,'2. Kalkyldata'!$R$23:$R$27,'3. Finansiering'!K$12))</f>
        <v>0.0</v>
      </c>
      <c r="L33" s="896">
        <f>IF(L$29="",0,SUMIFS('2. Kalkyldata'!$W$23:$W$27,'2. Kalkyldata'!$C$23:$C$27,'3. Finansiering'!$B33,'2. Kalkyldata'!$R$23:$R$27,'3. Finansiering'!L$12))</f>
        <v>0.0</v>
      </c>
      <c r="M33" s="896">
        <f>IF(M$29="",0,SUMIFS('2. Kalkyldata'!$W$23:$W$27,'2. Kalkyldata'!$C$23:$C$27,'3. Finansiering'!$B33,'2. Kalkyldata'!$R$23:$R$27,'3. Finansiering'!M$12))</f>
        <v>0.0</v>
      </c>
      <c r="N33" s="896">
        <f>IF(N$29="",0,SUMIFS('2. Kalkyldata'!$W$23:$W$27,'2. Kalkyldata'!$C$23:$C$27,'3. Finansiering'!$B33,'2. Kalkyldata'!$R$23:$R$27,'3. Finansiering'!N$12))</f>
        <v>0.0</v>
      </c>
      <c r="O33" s="896">
        <f>IF(O$29="",0,SUMIFS('2. Kalkyldata'!$W$23:$W$27,'2. Kalkyldata'!$C$23:$C$27,'3. Finansiering'!$B33,'2. Kalkyldata'!$R$23:$R$27,'3. Finansiering'!O$12))</f>
        <v>0.0</v>
      </c>
      <c r="P33" s="896">
        <f>IF(P$29="",0,SUMIFS('2. Kalkyldata'!$W$23:$W$27,'2. Kalkyldata'!$C$23:$C$27,'3. Finansiering'!$B33,'2. Kalkyldata'!$R$23:$R$27,'3. Finansiering'!P$12))</f>
        <v>0.0</v>
      </c>
      <c r="Q33" s="896">
        <f>IF(Q$29="",0,SUMIFS('2. Kalkyldata'!$W$23:$W$27,'2. Kalkyldata'!$C$23:$C$27,'3. Finansiering'!$B33,'2. Kalkyldata'!$R$23:$R$27,'3. Finansiering'!Q$12))</f>
        <v>0.0</v>
      </c>
      <c r="R33" s="896">
        <f>IF(R$29="",0,SUMIFS('2. Kalkyldata'!$W$23:$W$27,'2. Kalkyldata'!$C$23:$C$27,'3. Finansiering'!$B33,'2. Kalkyldata'!$R$23:$R$27,'3. Finansiering'!R$12))</f>
        <v>0.0</v>
      </c>
      <c r="S33" s="896">
        <f>IF(S$29="",0,SUMIFS('2. Kalkyldata'!$W$23:$W$27,'2. Kalkyldata'!$C$23:$C$27,'3. Finansiering'!$B33,'2. Kalkyldata'!$R$23:$R$27,'3. Finansiering'!S$12))</f>
        <v>0.0</v>
      </c>
      <c r="T33" s="896">
        <f>IF(T$29="",0,SUMIFS('2. Kalkyldata'!$W$23:$W$27,'2. Kalkyldata'!$C$23:$C$27,'3. Finansiering'!$B33,'2. Kalkyldata'!$R$23:$R$27,'3. Finansiering'!T$12))</f>
        <v>0.0</v>
      </c>
      <c r="U33" s="896">
        <f>IF(U$29="",0,SUMIFS('2. Kalkyldata'!$W$23:$W$27,'2. Kalkyldata'!$C$23:$C$27,'3. Finansiering'!$B33,'2. Kalkyldata'!$R$23:$R$27,'3. Finansiering'!U$12))</f>
        <v>0.0</v>
      </c>
      <c r="V33" s="896">
        <f>IF(V$29="",0,SUMIFS('2. Kalkyldata'!$W$23:$W$27,'2. Kalkyldata'!$C$23:$C$27,'3. Finansiering'!$B33,'2. Kalkyldata'!$R$23:$R$27,'3. Finansiering'!V$12))</f>
        <v>0.0</v>
      </c>
      <c r="W33" s="896">
        <f>IF(W$29="",0,SUMIFS('2. Kalkyldata'!$W$23:$W$27,'2. Kalkyldata'!$C$23:$C$27,'3. Finansiering'!$B33,'2. Kalkyldata'!$R$23:$R$27,'3. Finansiering'!W$12))</f>
        <v>0.0</v>
      </c>
      <c r="X33" s="896">
        <f>IF(X$29="",0,SUMIFS('2. Kalkyldata'!$W$23:$W$27,'2. Kalkyldata'!$C$23:$C$27,'3. Finansiering'!$B33,'2. Kalkyldata'!$R$23:$R$27,'3. Finansiering'!X$12))</f>
        <v>0.0</v>
      </c>
      <c r="Y33" s="896">
        <f>IF(Y$29="",0,SUMIFS('2. Kalkyldata'!$W$23:$W$27,'2. Kalkyldata'!$C$23:$C$27,'3. Finansiering'!$B33,'2. Kalkyldata'!$R$23:$R$27,'3. Finansiering'!Y$12))</f>
        <v>0.0</v>
      </c>
      <c r="Z33" s="896">
        <f>IF(Z$29="",0,SUMIFS('2. Kalkyldata'!$W$23:$W$27,'2. Kalkyldata'!$C$23:$C$27,'3. Finansiering'!$B33,'2. Kalkyldata'!$R$23:$R$27,'3. Finansiering'!Z$12))</f>
        <v>0.0</v>
      </c>
      <c r="AA33" s="896">
        <f>IF(AA$29="",0,SUMIFS('2. Kalkyldata'!$W$23:$W$27,'2. Kalkyldata'!$C$23:$C$27,'3. Finansiering'!$B33,'2. Kalkyldata'!$R$23:$R$27,'3. Finansiering'!AA$12))</f>
        <v>0.0</v>
      </c>
      <c r="AB33" s="896">
        <f>IF(AB$29="",0,SUMIFS('2. Kalkyldata'!$W$23:$W$27,'2. Kalkyldata'!$C$23:$C$27,'3. Finansiering'!$B33,'2. Kalkyldata'!$R$23:$R$27,'3. Finansiering'!AB$12))</f>
        <v>0.0</v>
      </c>
      <c r="AC33" s="896">
        <f>IF(AC$29="",0,SUMIFS('2. Kalkyldata'!$W$23:$W$27,'2. Kalkyldata'!$C$23:$C$27,'3. Finansiering'!$B33,'2. Kalkyldata'!$R$23:$R$27,'3. Finansiering'!AC$12))</f>
        <v>0.0</v>
      </c>
      <c r="AD33" s="896">
        <f>IF(AD$29="",0,SUMIFS('2. Kalkyldata'!$W$23:$W$27,'2. Kalkyldata'!$C$23:$C$27,'3. Finansiering'!$B33,'2. Kalkyldata'!$R$23:$R$27,'3. Finansiering'!AD$12))</f>
        <v>0.0</v>
      </c>
      <c r="AE33" s="896">
        <f>IF(AE$29="",0,SUMIFS('2. Kalkyldata'!$W$23:$W$27,'2. Kalkyldata'!$C$23:$C$27,'3. Finansiering'!$B33,'2. Kalkyldata'!$R$23:$R$27,'3. Finansiering'!AE$12))</f>
        <v>0.0</v>
      </c>
      <c r="AF33" s="896">
        <f>IF(AF$29="",0,SUMIFS('2. Kalkyldata'!$W$23:$W$27,'2. Kalkyldata'!$C$23:$C$27,'3. Finansiering'!$B33,'2. Kalkyldata'!$R$23:$R$27,'3. Finansiering'!AF$12))</f>
        <v>0.0</v>
      </c>
      <c r="AG33" s="896">
        <f>IF(AG$29="",0,SUMIFS('2. Kalkyldata'!$W$23:$W$27,'2. Kalkyldata'!$C$23:$C$27,'3. Finansiering'!$B33,'2. Kalkyldata'!$R$23:$R$27,'3. Finansiering'!AG$12))</f>
        <v>0.0</v>
      </c>
      <c r="AH33" s="896">
        <f>IF(AH$29="",0,SUMIFS('2. Kalkyldata'!$W$23:$W$27,'2. Kalkyldata'!$C$23:$C$27,'3. Finansiering'!$B33,'2. Kalkyldata'!$R$23:$R$27,'3. Finansiering'!AH$12))</f>
        <v>0.0</v>
      </c>
      <c r="AI33" s="896">
        <f>IF(AI$29="",0,SUMIFS('2. Kalkyldata'!$W$23:$W$27,'2. Kalkyldata'!$C$23:$C$27,'3. Finansiering'!$B33,'2. Kalkyldata'!$R$23:$R$27,'3. Finansiering'!AI$12))</f>
        <v>0.0</v>
      </c>
      <c r="AJ33" s="896">
        <f>IF(AJ$29="",0,SUMIFS('2. Kalkyldata'!$W$23:$W$27,'2. Kalkyldata'!$C$23:$C$27,'3. Finansiering'!$B33,'2. Kalkyldata'!$R$23:$R$27,'3. Finansiering'!AJ$12))</f>
        <v>0.0</v>
      </c>
      <c r="AK33" s="896">
        <f>IF(AK$29="",0,SUMIFS('2. Kalkyldata'!$W$23:$W$27,'2. Kalkyldata'!$C$23:$C$27,'3. Finansiering'!$B33,'2. Kalkyldata'!$R$23:$R$27,'3. Finansiering'!AK$12))</f>
        <v>0.0</v>
      </c>
      <c r="AL33" s="896">
        <f>IF(AL$29="",0,SUMIFS('2. Kalkyldata'!$W$23:$W$27,'2. Kalkyldata'!$C$23:$C$27,'3. Finansiering'!$B33,'2. Kalkyldata'!$R$23:$R$27,'3. Finansiering'!AL$12))</f>
        <v>0.0</v>
      </c>
      <c r="AM33" s="896">
        <f>IF(AM$29="",0,SUMIFS('2. Kalkyldata'!$W$23:$W$27,'2. Kalkyldata'!$C$23:$C$27,'3. Finansiering'!$B33,'2. Kalkyldata'!$R$23:$R$27,'3. Finansiering'!AM$12))</f>
        <v>0.0</v>
      </c>
      <c r="AN33" s="896">
        <f>IF(AN$29="",0,SUMIFS('2. Kalkyldata'!$W$23:$W$27,'2. Kalkyldata'!$C$23:$C$27,'3. Finansiering'!$B33,'2. Kalkyldata'!$R$23:$R$27,'3. Finansiering'!AN$12))</f>
        <v>0.0</v>
      </c>
      <c r="AO33" s="896">
        <f>IF(AO$29="",0,SUMIFS('2. Kalkyldata'!$W$23:$W$27,'2. Kalkyldata'!$C$23:$C$27,'3. Finansiering'!$B33,'2. Kalkyldata'!$R$23:$R$27,'3. Finansiering'!AO$12))</f>
        <v>0.0</v>
      </c>
      <c r="AP33" s="896">
        <f>IF(AP$29="",0,SUMIFS('2. Kalkyldata'!$W$23:$W$27,'2. Kalkyldata'!$C$23:$C$27,'3. Finansiering'!$B33,'2. Kalkyldata'!$R$23:$R$27,'3. Finansiering'!AP$12))</f>
        <v>0.0</v>
      </c>
      <c r="AQ33" s="896">
        <f>IF(AQ$29="",0,SUMIFS('2. Kalkyldata'!$W$23:$W$27,'2. Kalkyldata'!$C$23:$C$27,'3. Finansiering'!$B33,'2. Kalkyldata'!$R$23:$R$27,'3. Finansiering'!AQ$12))</f>
        <v>0.0</v>
      </c>
      <c r="AR33" s="896">
        <f>IF(AR$29="",0,SUMIFS('2. Kalkyldata'!$W$23:$W$27,'2. Kalkyldata'!$C$23:$C$27,'3. Finansiering'!$B33,'2. Kalkyldata'!$R$23:$R$27,'3. Finansiering'!AR$12))</f>
        <v>0.0</v>
      </c>
      <c r="AS33" s="896">
        <f>IF(AS$29="",0,SUMIFS('2. Kalkyldata'!$W$23:$W$27,'2. Kalkyldata'!$C$23:$C$27,'3. Finansiering'!$B33,'2. Kalkyldata'!$R$23:$R$27,'3. Finansiering'!AS$12))</f>
        <v>0.0</v>
      </c>
      <c r="AT33" s="896">
        <f>IF(AT$29="",0,SUMIFS('2. Kalkyldata'!$W$23:$W$27,'2. Kalkyldata'!$C$23:$C$27,'3. Finansiering'!$B33,'2. Kalkyldata'!$R$23:$R$27,'3. Finansiering'!AT$12))</f>
        <v>0.0</v>
      </c>
      <c r="AU33" s="896">
        <f>IF(AU$29="",0,SUMIFS('2. Kalkyldata'!$W$23:$W$27,'2. Kalkyldata'!$C$23:$C$27,'3. Finansiering'!$B33,'2. Kalkyldata'!$R$23:$R$27,'3. Finansiering'!AU$12))</f>
        <v>0.0</v>
      </c>
      <c r="AV33" s="896">
        <f>IF(AV$29="",0,SUMIFS('2. Kalkyldata'!$W$23:$W$27,'2. Kalkyldata'!$C$23:$C$27,'3. Finansiering'!$B33,'2. Kalkyldata'!$R$23:$R$27,'3. Finansiering'!AV$12))</f>
        <v>0.0</v>
      </c>
      <c r="AW33" s="896">
        <f>IF(AW$29="",0,SUMIFS('2. Kalkyldata'!$W$23:$W$27,'2. Kalkyldata'!$C$23:$C$27,'3. Finansiering'!$B33,'2. Kalkyldata'!$R$23:$R$27,'3. Finansiering'!AW$12))</f>
        <v>0.0</v>
      </c>
      <c r="AX33" s="896">
        <f>IF(AX$29="",0,SUMIFS('2. Kalkyldata'!$W$23:$W$27,'2. Kalkyldata'!$C$23:$C$27,'3. Finansiering'!$B33,'2. Kalkyldata'!$R$23:$R$27,'3. Finansiering'!AX$12))</f>
        <v>0.0</v>
      </c>
      <c r="AY33" s="896">
        <f>IF(AY$29="",0,SUMIFS('2. Kalkyldata'!$W$23:$W$27,'2. Kalkyldata'!$C$23:$C$27,'3. Finansiering'!$B33,'2. Kalkyldata'!$R$23:$R$27,'3. Finansiering'!AY$12))</f>
        <v>0.0</v>
      </c>
      <c r="AZ33" s="896">
        <f>IF(AZ$29="",0,SUMIFS('2. Kalkyldata'!$W$23:$W$27,'2. Kalkyldata'!$C$23:$C$27,'3. Finansiering'!$B33,'2. Kalkyldata'!$R$23:$R$27,'3. Finansiering'!AZ$12))</f>
        <v>0.0</v>
      </c>
      <c r="BA33" s="896">
        <f>IF(BA$29="",0,SUMIFS('2. Kalkyldata'!$W$23:$W$27,'2. Kalkyldata'!$C$23:$C$27,'3. Finansiering'!$B33,'2. Kalkyldata'!$R$23:$R$27,'3. Finansiering'!BA$12))</f>
        <v>0.0</v>
      </c>
      <c r="BB33" s="494"/>
      <c r="BC33" s="513"/>
      <c r="BD33" s="513"/>
      <c r="BE33" s="513"/>
      <c r="BF33" s="513"/>
      <c r="BG33" s="513"/>
      <c r="BH33" s="513"/>
      <c r="BI33" s="513"/>
    </row>
    <row r="34" spans="1:61" outlineLevel="1">
      <c r="A34" s="494"/>
      <c r="B34" s="894">
        <f>'2. Kalkyldata'!C26</f>
        <v>0.0</v>
      </c>
      <c r="C34" s="494"/>
      <c r="D34" s="896">
        <f>IF(D$29="",0,SUMIFS('2. Kalkyldata'!$W$23:$W$27,'2. Kalkyldata'!$C$23:$C$27,'3. Finansiering'!$B34,'2. Kalkyldata'!$R$23:$R$27,'3. Finansiering'!D$12))</f>
        <v>0.0</v>
      </c>
      <c r="E34" s="896">
        <f>IF(E$29="",0,SUMIFS('2. Kalkyldata'!$W$23:$W$27,'2. Kalkyldata'!$C$23:$C$27,'3. Finansiering'!$B34,'2. Kalkyldata'!$R$23:$R$27,'3. Finansiering'!E$12))</f>
        <v>0.0</v>
      </c>
      <c r="F34" s="896">
        <f>IF(F$29="",0,SUMIFS('2. Kalkyldata'!$W$23:$W$27,'2. Kalkyldata'!$C$23:$C$27,'3. Finansiering'!$B34,'2. Kalkyldata'!$R$23:$R$27,'3. Finansiering'!F$12))</f>
        <v>0.0</v>
      </c>
      <c r="G34" s="896">
        <f>IF(G$29="",0,SUMIFS('2. Kalkyldata'!$W$23:$W$27,'2. Kalkyldata'!$C$23:$C$27,'3. Finansiering'!$B34,'2. Kalkyldata'!$R$23:$R$27,'3. Finansiering'!G$12))</f>
        <v>0.0</v>
      </c>
      <c r="H34" s="896">
        <f>IF(H$29="",0,SUMIFS('2. Kalkyldata'!$W$23:$W$27,'2. Kalkyldata'!$C$23:$C$27,'3. Finansiering'!$B34,'2. Kalkyldata'!$R$23:$R$27,'3. Finansiering'!H$12))</f>
        <v>0.0</v>
      </c>
      <c r="I34" s="896">
        <f>IF(I$29="",0,SUMIFS('2. Kalkyldata'!$W$23:$W$27,'2. Kalkyldata'!$C$23:$C$27,'3. Finansiering'!$B34,'2. Kalkyldata'!$R$23:$R$27,'3. Finansiering'!I$12))</f>
        <v>0.0</v>
      </c>
      <c r="J34" s="896">
        <f>IF(J$29="",0,SUMIFS('2. Kalkyldata'!$W$23:$W$27,'2. Kalkyldata'!$C$23:$C$27,'3. Finansiering'!$B34,'2. Kalkyldata'!$R$23:$R$27,'3. Finansiering'!J$12))</f>
        <v>0.0</v>
      </c>
      <c r="K34" s="896">
        <f>IF(K$29="",0,SUMIFS('2. Kalkyldata'!$W$23:$W$27,'2. Kalkyldata'!$C$23:$C$27,'3. Finansiering'!$B34,'2. Kalkyldata'!$R$23:$R$27,'3. Finansiering'!K$12))</f>
        <v>0.0</v>
      </c>
      <c r="L34" s="896">
        <f>IF(L$29="",0,SUMIFS('2. Kalkyldata'!$W$23:$W$27,'2. Kalkyldata'!$C$23:$C$27,'3. Finansiering'!$B34,'2. Kalkyldata'!$R$23:$R$27,'3. Finansiering'!L$12))</f>
        <v>0.0</v>
      </c>
      <c r="M34" s="896">
        <f>IF(M$29="",0,SUMIFS('2. Kalkyldata'!$W$23:$W$27,'2. Kalkyldata'!$C$23:$C$27,'3. Finansiering'!$B34,'2. Kalkyldata'!$R$23:$R$27,'3. Finansiering'!M$12))</f>
        <v>0.0</v>
      </c>
      <c r="N34" s="896">
        <f>IF(N$29="",0,SUMIFS('2. Kalkyldata'!$W$23:$W$27,'2. Kalkyldata'!$C$23:$C$27,'3. Finansiering'!$B34,'2. Kalkyldata'!$R$23:$R$27,'3. Finansiering'!N$12))</f>
        <v>0.0</v>
      </c>
      <c r="O34" s="896">
        <f>IF(O$29="",0,SUMIFS('2. Kalkyldata'!$W$23:$W$27,'2. Kalkyldata'!$C$23:$C$27,'3. Finansiering'!$B34,'2. Kalkyldata'!$R$23:$R$27,'3. Finansiering'!O$12))</f>
        <v>0.0</v>
      </c>
      <c r="P34" s="896">
        <f>IF(P$29="",0,SUMIFS('2. Kalkyldata'!$W$23:$W$27,'2. Kalkyldata'!$C$23:$C$27,'3. Finansiering'!$B34,'2. Kalkyldata'!$R$23:$R$27,'3. Finansiering'!P$12))</f>
        <v>0.0</v>
      </c>
      <c r="Q34" s="896">
        <f>IF(Q$29="",0,SUMIFS('2. Kalkyldata'!$W$23:$W$27,'2. Kalkyldata'!$C$23:$C$27,'3. Finansiering'!$B34,'2. Kalkyldata'!$R$23:$R$27,'3. Finansiering'!Q$12))</f>
        <v>0.0</v>
      </c>
      <c r="R34" s="896">
        <f>IF(R$29="",0,SUMIFS('2. Kalkyldata'!$W$23:$W$27,'2. Kalkyldata'!$C$23:$C$27,'3. Finansiering'!$B34,'2. Kalkyldata'!$R$23:$R$27,'3. Finansiering'!R$12))</f>
        <v>0.0</v>
      </c>
      <c r="S34" s="896">
        <f>IF(S$29="",0,SUMIFS('2. Kalkyldata'!$W$23:$W$27,'2. Kalkyldata'!$C$23:$C$27,'3. Finansiering'!$B34,'2. Kalkyldata'!$R$23:$R$27,'3. Finansiering'!S$12))</f>
        <v>0.0</v>
      </c>
      <c r="T34" s="896">
        <f>IF(T$29="",0,SUMIFS('2. Kalkyldata'!$W$23:$W$27,'2. Kalkyldata'!$C$23:$C$27,'3. Finansiering'!$B34,'2. Kalkyldata'!$R$23:$R$27,'3. Finansiering'!T$12))</f>
        <v>0.0</v>
      </c>
      <c r="U34" s="896">
        <f>IF(U$29="",0,SUMIFS('2. Kalkyldata'!$W$23:$W$27,'2. Kalkyldata'!$C$23:$C$27,'3. Finansiering'!$B34,'2. Kalkyldata'!$R$23:$R$27,'3. Finansiering'!U$12))</f>
        <v>0.0</v>
      </c>
      <c r="V34" s="896">
        <f>IF(V$29="",0,SUMIFS('2. Kalkyldata'!$W$23:$W$27,'2. Kalkyldata'!$C$23:$C$27,'3. Finansiering'!$B34,'2. Kalkyldata'!$R$23:$R$27,'3. Finansiering'!V$12))</f>
        <v>0.0</v>
      </c>
      <c r="W34" s="896">
        <f>IF(W$29="",0,SUMIFS('2. Kalkyldata'!$W$23:$W$27,'2. Kalkyldata'!$C$23:$C$27,'3. Finansiering'!$B34,'2. Kalkyldata'!$R$23:$R$27,'3. Finansiering'!W$12))</f>
        <v>0.0</v>
      </c>
      <c r="X34" s="896">
        <f>IF(X$29="",0,SUMIFS('2. Kalkyldata'!$W$23:$W$27,'2. Kalkyldata'!$C$23:$C$27,'3. Finansiering'!$B34,'2. Kalkyldata'!$R$23:$R$27,'3. Finansiering'!X$12))</f>
        <v>0.0</v>
      </c>
      <c r="Y34" s="896">
        <f>IF(Y$29="",0,SUMIFS('2. Kalkyldata'!$W$23:$W$27,'2. Kalkyldata'!$C$23:$C$27,'3. Finansiering'!$B34,'2. Kalkyldata'!$R$23:$R$27,'3. Finansiering'!Y$12))</f>
        <v>0.0</v>
      </c>
      <c r="Z34" s="896">
        <f>IF(Z$29="",0,SUMIFS('2. Kalkyldata'!$W$23:$W$27,'2. Kalkyldata'!$C$23:$C$27,'3. Finansiering'!$B34,'2. Kalkyldata'!$R$23:$R$27,'3. Finansiering'!Z$12))</f>
        <v>0.0</v>
      </c>
      <c r="AA34" s="896">
        <f>IF(AA$29="",0,SUMIFS('2. Kalkyldata'!$W$23:$W$27,'2. Kalkyldata'!$C$23:$C$27,'3. Finansiering'!$B34,'2. Kalkyldata'!$R$23:$R$27,'3. Finansiering'!AA$12))</f>
        <v>0.0</v>
      </c>
      <c r="AB34" s="896">
        <f>IF(AB$29="",0,SUMIFS('2. Kalkyldata'!$W$23:$W$27,'2. Kalkyldata'!$C$23:$C$27,'3. Finansiering'!$B34,'2. Kalkyldata'!$R$23:$R$27,'3. Finansiering'!AB$12))</f>
        <v>0.0</v>
      </c>
      <c r="AC34" s="896">
        <f>IF(AC$29="",0,SUMIFS('2. Kalkyldata'!$W$23:$W$27,'2. Kalkyldata'!$C$23:$C$27,'3. Finansiering'!$B34,'2. Kalkyldata'!$R$23:$R$27,'3. Finansiering'!AC$12))</f>
        <v>0.0</v>
      </c>
      <c r="AD34" s="896">
        <f>IF(AD$29="",0,SUMIFS('2. Kalkyldata'!$W$23:$W$27,'2. Kalkyldata'!$C$23:$C$27,'3. Finansiering'!$B34,'2. Kalkyldata'!$R$23:$R$27,'3. Finansiering'!AD$12))</f>
        <v>0.0</v>
      </c>
      <c r="AE34" s="896">
        <f>IF(AE$29="",0,SUMIFS('2. Kalkyldata'!$W$23:$W$27,'2. Kalkyldata'!$C$23:$C$27,'3. Finansiering'!$B34,'2. Kalkyldata'!$R$23:$R$27,'3. Finansiering'!AE$12))</f>
        <v>0.0</v>
      </c>
      <c r="AF34" s="896">
        <f>IF(AF$29="",0,SUMIFS('2. Kalkyldata'!$W$23:$W$27,'2. Kalkyldata'!$C$23:$C$27,'3. Finansiering'!$B34,'2. Kalkyldata'!$R$23:$R$27,'3. Finansiering'!AF$12))</f>
        <v>0.0</v>
      </c>
      <c r="AG34" s="896">
        <f>IF(AG$29="",0,SUMIFS('2. Kalkyldata'!$W$23:$W$27,'2. Kalkyldata'!$C$23:$C$27,'3. Finansiering'!$B34,'2. Kalkyldata'!$R$23:$R$27,'3. Finansiering'!AG$12))</f>
        <v>0.0</v>
      </c>
      <c r="AH34" s="896">
        <f>IF(AH$29="",0,SUMIFS('2. Kalkyldata'!$W$23:$W$27,'2. Kalkyldata'!$C$23:$C$27,'3. Finansiering'!$B34,'2. Kalkyldata'!$R$23:$R$27,'3. Finansiering'!AH$12))</f>
        <v>0.0</v>
      </c>
      <c r="AI34" s="896">
        <f>IF(AI$29="",0,SUMIFS('2. Kalkyldata'!$W$23:$W$27,'2. Kalkyldata'!$C$23:$C$27,'3. Finansiering'!$B34,'2. Kalkyldata'!$R$23:$R$27,'3. Finansiering'!AI$12))</f>
        <v>0.0</v>
      </c>
      <c r="AJ34" s="896">
        <f>IF(AJ$29="",0,SUMIFS('2. Kalkyldata'!$W$23:$W$27,'2. Kalkyldata'!$C$23:$C$27,'3. Finansiering'!$B34,'2. Kalkyldata'!$R$23:$R$27,'3. Finansiering'!AJ$12))</f>
        <v>0.0</v>
      </c>
      <c r="AK34" s="896">
        <f>IF(AK$29="",0,SUMIFS('2. Kalkyldata'!$W$23:$W$27,'2. Kalkyldata'!$C$23:$C$27,'3. Finansiering'!$B34,'2. Kalkyldata'!$R$23:$R$27,'3. Finansiering'!AK$12))</f>
        <v>0.0</v>
      </c>
      <c r="AL34" s="896">
        <f>IF(AL$29="",0,SUMIFS('2. Kalkyldata'!$W$23:$W$27,'2. Kalkyldata'!$C$23:$C$27,'3. Finansiering'!$B34,'2. Kalkyldata'!$R$23:$R$27,'3. Finansiering'!AL$12))</f>
        <v>0.0</v>
      </c>
      <c r="AM34" s="896">
        <f>IF(AM$29="",0,SUMIFS('2. Kalkyldata'!$W$23:$W$27,'2. Kalkyldata'!$C$23:$C$27,'3. Finansiering'!$B34,'2. Kalkyldata'!$R$23:$R$27,'3. Finansiering'!AM$12))</f>
        <v>0.0</v>
      </c>
      <c r="AN34" s="896">
        <f>IF(AN$29="",0,SUMIFS('2. Kalkyldata'!$W$23:$W$27,'2. Kalkyldata'!$C$23:$C$27,'3. Finansiering'!$B34,'2. Kalkyldata'!$R$23:$R$27,'3. Finansiering'!AN$12))</f>
        <v>0.0</v>
      </c>
      <c r="AO34" s="896">
        <f>IF(AO$29="",0,SUMIFS('2. Kalkyldata'!$W$23:$W$27,'2. Kalkyldata'!$C$23:$C$27,'3. Finansiering'!$B34,'2. Kalkyldata'!$R$23:$R$27,'3. Finansiering'!AO$12))</f>
        <v>0.0</v>
      </c>
      <c r="AP34" s="896">
        <f>IF(AP$29="",0,SUMIFS('2. Kalkyldata'!$W$23:$W$27,'2. Kalkyldata'!$C$23:$C$27,'3. Finansiering'!$B34,'2. Kalkyldata'!$R$23:$R$27,'3. Finansiering'!AP$12))</f>
        <v>0.0</v>
      </c>
      <c r="AQ34" s="896">
        <f>IF(AQ$29="",0,SUMIFS('2. Kalkyldata'!$W$23:$W$27,'2. Kalkyldata'!$C$23:$C$27,'3. Finansiering'!$B34,'2. Kalkyldata'!$R$23:$R$27,'3. Finansiering'!AQ$12))</f>
        <v>0.0</v>
      </c>
      <c r="AR34" s="896">
        <f>IF(AR$29="",0,SUMIFS('2. Kalkyldata'!$W$23:$W$27,'2. Kalkyldata'!$C$23:$C$27,'3. Finansiering'!$B34,'2. Kalkyldata'!$R$23:$R$27,'3. Finansiering'!AR$12))</f>
        <v>0.0</v>
      </c>
      <c r="AS34" s="896">
        <f>IF(AS$29="",0,SUMIFS('2. Kalkyldata'!$W$23:$W$27,'2. Kalkyldata'!$C$23:$C$27,'3. Finansiering'!$B34,'2. Kalkyldata'!$R$23:$R$27,'3. Finansiering'!AS$12))</f>
        <v>0.0</v>
      </c>
      <c r="AT34" s="896">
        <f>IF(AT$29="",0,SUMIFS('2. Kalkyldata'!$W$23:$W$27,'2. Kalkyldata'!$C$23:$C$27,'3. Finansiering'!$B34,'2. Kalkyldata'!$R$23:$R$27,'3. Finansiering'!AT$12))</f>
        <v>0.0</v>
      </c>
      <c r="AU34" s="896">
        <f>IF(AU$29="",0,SUMIFS('2. Kalkyldata'!$W$23:$W$27,'2. Kalkyldata'!$C$23:$C$27,'3. Finansiering'!$B34,'2. Kalkyldata'!$R$23:$R$27,'3. Finansiering'!AU$12))</f>
        <v>0.0</v>
      </c>
      <c r="AV34" s="896">
        <f>IF(AV$29="",0,SUMIFS('2. Kalkyldata'!$W$23:$W$27,'2. Kalkyldata'!$C$23:$C$27,'3. Finansiering'!$B34,'2. Kalkyldata'!$R$23:$R$27,'3. Finansiering'!AV$12))</f>
        <v>0.0</v>
      </c>
      <c r="AW34" s="896">
        <f>IF(AW$29="",0,SUMIFS('2. Kalkyldata'!$W$23:$W$27,'2. Kalkyldata'!$C$23:$C$27,'3. Finansiering'!$B34,'2. Kalkyldata'!$R$23:$R$27,'3. Finansiering'!AW$12))</f>
        <v>0.0</v>
      </c>
      <c r="AX34" s="896">
        <f>IF(AX$29="",0,SUMIFS('2. Kalkyldata'!$W$23:$W$27,'2. Kalkyldata'!$C$23:$C$27,'3. Finansiering'!$B34,'2. Kalkyldata'!$R$23:$R$27,'3. Finansiering'!AX$12))</f>
        <v>0.0</v>
      </c>
      <c r="AY34" s="896">
        <f>IF(AY$29="",0,SUMIFS('2. Kalkyldata'!$W$23:$W$27,'2. Kalkyldata'!$C$23:$C$27,'3. Finansiering'!$B34,'2. Kalkyldata'!$R$23:$R$27,'3. Finansiering'!AY$12))</f>
        <v>0.0</v>
      </c>
      <c r="AZ34" s="896">
        <f>IF(AZ$29="",0,SUMIFS('2. Kalkyldata'!$W$23:$W$27,'2. Kalkyldata'!$C$23:$C$27,'3. Finansiering'!$B34,'2. Kalkyldata'!$R$23:$R$27,'3. Finansiering'!AZ$12))</f>
        <v>0.0</v>
      </c>
      <c r="BA34" s="896">
        <f>IF(BA$29="",0,SUMIFS('2. Kalkyldata'!$W$23:$W$27,'2. Kalkyldata'!$C$23:$C$27,'3. Finansiering'!$B34,'2. Kalkyldata'!$R$23:$R$27,'3. Finansiering'!BA$12))</f>
        <v>0.0</v>
      </c>
      <c r="BB34" s="494"/>
      <c r="BC34" s="513"/>
      <c r="BD34" s="513"/>
      <c r="BE34" s="513"/>
      <c r="BF34" s="513"/>
      <c r="BG34" s="513"/>
      <c r="BH34" s="513"/>
      <c r="BI34" s="513"/>
    </row>
    <row r="35" spans="1:61" outlineLevel="1">
      <c r="A35" s="494"/>
      <c r="B35" s="894">
        <f>'2. Kalkyldata'!C27</f>
        <v>0.0</v>
      </c>
      <c r="C35" s="494"/>
      <c r="D35" s="896">
        <f>IF(D$29="",0,SUMIFS('2. Kalkyldata'!$W$23:$W$27,'2. Kalkyldata'!$C$23:$C$27,'3. Finansiering'!$B35,'2. Kalkyldata'!$R$23:$R$27,'3. Finansiering'!D$12))</f>
        <v>0.0</v>
      </c>
      <c r="E35" s="896">
        <f>IF(E$29="",0,SUMIFS('2. Kalkyldata'!$W$23:$W$27,'2. Kalkyldata'!$C$23:$C$27,'3. Finansiering'!$B35,'2. Kalkyldata'!$R$23:$R$27,'3. Finansiering'!E$12))</f>
        <v>0.0</v>
      </c>
      <c r="F35" s="896">
        <f>IF(F$29="",0,SUMIFS('2. Kalkyldata'!$W$23:$W$27,'2. Kalkyldata'!$C$23:$C$27,'3. Finansiering'!$B35,'2. Kalkyldata'!$R$23:$R$27,'3. Finansiering'!F$12))</f>
        <v>0.0</v>
      </c>
      <c r="G35" s="896">
        <f>IF(G$29="",0,SUMIFS('2. Kalkyldata'!$W$23:$W$27,'2. Kalkyldata'!$C$23:$C$27,'3. Finansiering'!$B35,'2. Kalkyldata'!$R$23:$R$27,'3. Finansiering'!G$12))</f>
        <v>0.0</v>
      </c>
      <c r="H35" s="896">
        <f>IF(H$29="",0,SUMIFS('2. Kalkyldata'!$W$23:$W$27,'2. Kalkyldata'!$C$23:$C$27,'3. Finansiering'!$B35,'2. Kalkyldata'!$R$23:$R$27,'3. Finansiering'!H$12))</f>
        <v>0.0</v>
      </c>
      <c r="I35" s="896">
        <f>IF(I$29="",0,SUMIFS('2. Kalkyldata'!$W$23:$W$27,'2. Kalkyldata'!$C$23:$C$27,'3. Finansiering'!$B35,'2. Kalkyldata'!$R$23:$R$27,'3. Finansiering'!I$12))</f>
        <v>0.0</v>
      </c>
      <c r="J35" s="896">
        <f>IF(J$29="",0,SUMIFS('2. Kalkyldata'!$W$23:$W$27,'2. Kalkyldata'!$C$23:$C$27,'3. Finansiering'!$B35,'2. Kalkyldata'!$R$23:$R$27,'3. Finansiering'!J$12))</f>
        <v>0.0</v>
      </c>
      <c r="K35" s="896">
        <f>IF(K$29="",0,SUMIFS('2. Kalkyldata'!$W$23:$W$27,'2. Kalkyldata'!$C$23:$C$27,'3. Finansiering'!$B35,'2. Kalkyldata'!$R$23:$R$27,'3. Finansiering'!K$12))</f>
        <v>0.0</v>
      </c>
      <c r="L35" s="896">
        <f>IF(L$29="",0,SUMIFS('2. Kalkyldata'!$W$23:$W$27,'2. Kalkyldata'!$C$23:$C$27,'3. Finansiering'!$B35,'2. Kalkyldata'!$R$23:$R$27,'3. Finansiering'!L$12))</f>
        <v>0.0</v>
      </c>
      <c r="M35" s="896">
        <f>IF(M$29="",0,SUMIFS('2. Kalkyldata'!$W$23:$W$27,'2. Kalkyldata'!$C$23:$C$27,'3. Finansiering'!$B35,'2. Kalkyldata'!$R$23:$R$27,'3. Finansiering'!M$12))</f>
        <v>0.0</v>
      </c>
      <c r="N35" s="896">
        <f>IF(N$29="",0,SUMIFS('2. Kalkyldata'!$W$23:$W$27,'2. Kalkyldata'!$C$23:$C$27,'3. Finansiering'!$B35,'2. Kalkyldata'!$R$23:$R$27,'3. Finansiering'!N$12))</f>
        <v>0.0</v>
      </c>
      <c r="O35" s="896">
        <f>IF(O$29="",0,SUMIFS('2. Kalkyldata'!$W$23:$W$27,'2. Kalkyldata'!$C$23:$C$27,'3. Finansiering'!$B35,'2. Kalkyldata'!$R$23:$R$27,'3. Finansiering'!O$12))</f>
        <v>0.0</v>
      </c>
      <c r="P35" s="896">
        <f>IF(P$29="",0,SUMIFS('2. Kalkyldata'!$W$23:$W$27,'2. Kalkyldata'!$C$23:$C$27,'3. Finansiering'!$B35,'2. Kalkyldata'!$R$23:$R$27,'3. Finansiering'!P$12))</f>
        <v>0.0</v>
      </c>
      <c r="Q35" s="896">
        <f>IF(Q$29="",0,SUMIFS('2. Kalkyldata'!$W$23:$W$27,'2. Kalkyldata'!$C$23:$C$27,'3. Finansiering'!$B35,'2. Kalkyldata'!$R$23:$R$27,'3. Finansiering'!Q$12))</f>
        <v>0.0</v>
      </c>
      <c r="R35" s="896">
        <f>IF(R$29="",0,SUMIFS('2. Kalkyldata'!$W$23:$W$27,'2. Kalkyldata'!$C$23:$C$27,'3. Finansiering'!$B35,'2. Kalkyldata'!$R$23:$R$27,'3. Finansiering'!R$12))</f>
        <v>0.0</v>
      </c>
      <c r="S35" s="896">
        <f>IF(S$29="",0,SUMIFS('2. Kalkyldata'!$W$23:$W$27,'2. Kalkyldata'!$C$23:$C$27,'3. Finansiering'!$B35,'2. Kalkyldata'!$R$23:$R$27,'3. Finansiering'!S$12))</f>
        <v>0.0</v>
      </c>
      <c r="T35" s="896">
        <f>IF(T$29="",0,SUMIFS('2. Kalkyldata'!$W$23:$W$27,'2. Kalkyldata'!$C$23:$C$27,'3. Finansiering'!$B35,'2. Kalkyldata'!$R$23:$R$27,'3. Finansiering'!T$12))</f>
        <v>0.0</v>
      </c>
      <c r="U35" s="896">
        <f>IF(U$29="",0,SUMIFS('2. Kalkyldata'!$W$23:$W$27,'2. Kalkyldata'!$C$23:$C$27,'3. Finansiering'!$B35,'2. Kalkyldata'!$R$23:$R$27,'3. Finansiering'!U$12))</f>
        <v>0.0</v>
      </c>
      <c r="V35" s="896">
        <f>IF(V$29="",0,SUMIFS('2. Kalkyldata'!$W$23:$W$27,'2. Kalkyldata'!$C$23:$C$27,'3. Finansiering'!$B35,'2. Kalkyldata'!$R$23:$R$27,'3. Finansiering'!V$12))</f>
        <v>0.0</v>
      </c>
      <c r="W35" s="896">
        <f>IF(W$29="",0,SUMIFS('2. Kalkyldata'!$W$23:$W$27,'2. Kalkyldata'!$C$23:$C$27,'3. Finansiering'!$B35,'2. Kalkyldata'!$R$23:$R$27,'3. Finansiering'!W$12))</f>
        <v>0.0</v>
      </c>
      <c r="X35" s="896">
        <f>IF(X$29="",0,SUMIFS('2. Kalkyldata'!$W$23:$W$27,'2. Kalkyldata'!$C$23:$C$27,'3. Finansiering'!$B35,'2. Kalkyldata'!$R$23:$R$27,'3. Finansiering'!X$12))</f>
        <v>0.0</v>
      </c>
      <c r="Y35" s="896">
        <f>IF(Y$29="",0,SUMIFS('2. Kalkyldata'!$W$23:$W$27,'2. Kalkyldata'!$C$23:$C$27,'3. Finansiering'!$B35,'2. Kalkyldata'!$R$23:$R$27,'3. Finansiering'!Y$12))</f>
        <v>0.0</v>
      </c>
      <c r="Z35" s="896">
        <f>IF(Z$29="",0,SUMIFS('2. Kalkyldata'!$W$23:$W$27,'2. Kalkyldata'!$C$23:$C$27,'3. Finansiering'!$B35,'2. Kalkyldata'!$R$23:$R$27,'3. Finansiering'!Z$12))</f>
        <v>0.0</v>
      </c>
      <c r="AA35" s="896">
        <f>IF(AA$29="",0,SUMIFS('2. Kalkyldata'!$W$23:$W$27,'2. Kalkyldata'!$C$23:$C$27,'3. Finansiering'!$B35,'2. Kalkyldata'!$R$23:$R$27,'3. Finansiering'!AA$12))</f>
        <v>0.0</v>
      </c>
      <c r="AB35" s="896">
        <f>IF(AB$29="",0,SUMIFS('2. Kalkyldata'!$W$23:$W$27,'2. Kalkyldata'!$C$23:$C$27,'3. Finansiering'!$B35,'2. Kalkyldata'!$R$23:$R$27,'3. Finansiering'!AB$12))</f>
        <v>0.0</v>
      </c>
      <c r="AC35" s="896">
        <f>IF(AC$29="",0,SUMIFS('2. Kalkyldata'!$W$23:$W$27,'2. Kalkyldata'!$C$23:$C$27,'3. Finansiering'!$B35,'2. Kalkyldata'!$R$23:$R$27,'3. Finansiering'!AC$12))</f>
        <v>0.0</v>
      </c>
      <c r="AD35" s="896">
        <f>IF(AD$29="",0,SUMIFS('2. Kalkyldata'!$W$23:$W$27,'2. Kalkyldata'!$C$23:$C$27,'3. Finansiering'!$B35,'2. Kalkyldata'!$R$23:$R$27,'3. Finansiering'!AD$12))</f>
        <v>0.0</v>
      </c>
      <c r="AE35" s="896">
        <f>IF(AE$29="",0,SUMIFS('2. Kalkyldata'!$W$23:$W$27,'2. Kalkyldata'!$C$23:$C$27,'3. Finansiering'!$B35,'2. Kalkyldata'!$R$23:$R$27,'3. Finansiering'!AE$12))</f>
        <v>0.0</v>
      </c>
      <c r="AF35" s="896">
        <f>IF(AF$29="",0,SUMIFS('2. Kalkyldata'!$W$23:$W$27,'2. Kalkyldata'!$C$23:$C$27,'3. Finansiering'!$B35,'2. Kalkyldata'!$R$23:$R$27,'3. Finansiering'!AF$12))</f>
        <v>0.0</v>
      </c>
      <c r="AG35" s="896">
        <f>IF(AG$29="",0,SUMIFS('2. Kalkyldata'!$W$23:$W$27,'2. Kalkyldata'!$C$23:$C$27,'3. Finansiering'!$B35,'2. Kalkyldata'!$R$23:$R$27,'3. Finansiering'!AG$12))</f>
        <v>0.0</v>
      </c>
      <c r="AH35" s="896">
        <f>IF(AH$29="",0,SUMIFS('2. Kalkyldata'!$W$23:$W$27,'2. Kalkyldata'!$C$23:$C$27,'3. Finansiering'!$B35,'2. Kalkyldata'!$R$23:$R$27,'3. Finansiering'!AH$12))</f>
        <v>0.0</v>
      </c>
      <c r="AI35" s="896">
        <f>IF(AI$29="",0,SUMIFS('2. Kalkyldata'!$W$23:$W$27,'2. Kalkyldata'!$C$23:$C$27,'3. Finansiering'!$B35,'2. Kalkyldata'!$R$23:$R$27,'3. Finansiering'!AI$12))</f>
        <v>0.0</v>
      </c>
      <c r="AJ35" s="896">
        <f>IF(AJ$29="",0,SUMIFS('2. Kalkyldata'!$W$23:$W$27,'2. Kalkyldata'!$C$23:$C$27,'3. Finansiering'!$B35,'2. Kalkyldata'!$R$23:$R$27,'3. Finansiering'!AJ$12))</f>
        <v>0.0</v>
      </c>
      <c r="AK35" s="896">
        <f>IF(AK$29="",0,SUMIFS('2. Kalkyldata'!$W$23:$W$27,'2. Kalkyldata'!$C$23:$C$27,'3. Finansiering'!$B35,'2. Kalkyldata'!$R$23:$R$27,'3. Finansiering'!AK$12))</f>
        <v>0.0</v>
      </c>
      <c r="AL35" s="896">
        <f>IF(AL$29="",0,SUMIFS('2. Kalkyldata'!$W$23:$W$27,'2. Kalkyldata'!$C$23:$C$27,'3. Finansiering'!$B35,'2. Kalkyldata'!$R$23:$R$27,'3. Finansiering'!AL$12))</f>
        <v>0.0</v>
      </c>
      <c r="AM35" s="896">
        <f>IF(AM$29="",0,SUMIFS('2. Kalkyldata'!$W$23:$W$27,'2. Kalkyldata'!$C$23:$C$27,'3. Finansiering'!$B35,'2. Kalkyldata'!$R$23:$R$27,'3. Finansiering'!AM$12))</f>
        <v>0.0</v>
      </c>
      <c r="AN35" s="896">
        <f>IF(AN$29="",0,SUMIFS('2. Kalkyldata'!$W$23:$W$27,'2. Kalkyldata'!$C$23:$C$27,'3. Finansiering'!$B35,'2. Kalkyldata'!$R$23:$R$27,'3. Finansiering'!AN$12))</f>
        <v>0.0</v>
      </c>
      <c r="AO35" s="896">
        <f>IF(AO$29="",0,SUMIFS('2. Kalkyldata'!$W$23:$W$27,'2. Kalkyldata'!$C$23:$C$27,'3. Finansiering'!$B35,'2. Kalkyldata'!$R$23:$R$27,'3. Finansiering'!AO$12))</f>
        <v>0.0</v>
      </c>
      <c r="AP35" s="896">
        <f>IF(AP$29="",0,SUMIFS('2. Kalkyldata'!$W$23:$W$27,'2. Kalkyldata'!$C$23:$C$27,'3. Finansiering'!$B35,'2. Kalkyldata'!$R$23:$R$27,'3. Finansiering'!AP$12))</f>
        <v>0.0</v>
      </c>
      <c r="AQ35" s="896">
        <f>IF(AQ$29="",0,SUMIFS('2. Kalkyldata'!$W$23:$W$27,'2. Kalkyldata'!$C$23:$C$27,'3. Finansiering'!$B35,'2. Kalkyldata'!$R$23:$R$27,'3. Finansiering'!AQ$12))</f>
        <v>0.0</v>
      </c>
      <c r="AR35" s="896">
        <f>IF(AR$29="",0,SUMIFS('2. Kalkyldata'!$W$23:$W$27,'2. Kalkyldata'!$C$23:$C$27,'3. Finansiering'!$B35,'2. Kalkyldata'!$R$23:$R$27,'3. Finansiering'!AR$12))</f>
        <v>0.0</v>
      </c>
      <c r="AS35" s="896">
        <f>IF(AS$29="",0,SUMIFS('2. Kalkyldata'!$W$23:$W$27,'2. Kalkyldata'!$C$23:$C$27,'3. Finansiering'!$B35,'2. Kalkyldata'!$R$23:$R$27,'3. Finansiering'!AS$12))</f>
        <v>0.0</v>
      </c>
      <c r="AT35" s="896">
        <f>IF(AT$29="",0,SUMIFS('2. Kalkyldata'!$W$23:$W$27,'2. Kalkyldata'!$C$23:$C$27,'3. Finansiering'!$B35,'2. Kalkyldata'!$R$23:$R$27,'3. Finansiering'!AT$12))</f>
        <v>0.0</v>
      </c>
      <c r="AU35" s="896">
        <f>IF(AU$29="",0,SUMIFS('2. Kalkyldata'!$W$23:$W$27,'2. Kalkyldata'!$C$23:$C$27,'3. Finansiering'!$B35,'2. Kalkyldata'!$R$23:$R$27,'3. Finansiering'!AU$12))</f>
        <v>0.0</v>
      </c>
      <c r="AV35" s="896">
        <f>IF(AV$29="",0,SUMIFS('2. Kalkyldata'!$W$23:$W$27,'2. Kalkyldata'!$C$23:$C$27,'3. Finansiering'!$B35,'2. Kalkyldata'!$R$23:$R$27,'3. Finansiering'!AV$12))</f>
        <v>0.0</v>
      </c>
      <c r="AW35" s="896">
        <f>IF(AW$29="",0,SUMIFS('2. Kalkyldata'!$W$23:$W$27,'2. Kalkyldata'!$C$23:$C$27,'3. Finansiering'!$B35,'2. Kalkyldata'!$R$23:$R$27,'3. Finansiering'!AW$12))</f>
        <v>0.0</v>
      </c>
      <c r="AX35" s="896">
        <f>IF(AX$29="",0,SUMIFS('2. Kalkyldata'!$W$23:$W$27,'2. Kalkyldata'!$C$23:$C$27,'3. Finansiering'!$B35,'2. Kalkyldata'!$R$23:$R$27,'3. Finansiering'!AX$12))</f>
        <v>0.0</v>
      </c>
      <c r="AY35" s="896">
        <f>IF(AY$29="",0,SUMIFS('2. Kalkyldata'!$W$23:$W$27,'2. Kalkyldata'!$C$23:$C$27,'3. Finansiering'!$B35,'2. Kalkyldata'!$R$23:$R$27,'3. Finansiering'!AY$12))</f>
        <v>0.0</v>
      </c>
      <c r="AZ35" s="896">
        <f>IF(AZ$29="",0,SUMIFS('2. Kalkyldata'!$W$23:$W$27,'2. Kalkyldata'!$C$23:$C$27,'3. Finansiering'!$B35,'2. Kalkyldata'!$R$23:$R$27,'3. Finansiering'!AZ$12))</f>
        <v>0.0</v>
      </c>
      <c r="BA35" s="896">
        <f>IF(BA$29="",0,SUMIFS('2. Kalkyldata'!$W$23:$W$27,'2. Kalkyldata'!$C$23:$C$27,'3. Finansiering'!$B35,'2. Kalkyldata'!$R$23:$R$27,'3. Finansiering'!BA$12))</f>
        <v>0.0</v>
      </c>
      <c r="BB35" s="494"/>
      <c r="BC35" s="513"/>
      <c r="BD35" s="513"/>
      <c r="BE35" s="513"/>
      <c r="BF35" s="513"/>
      <c r="BG35" s="513"/>
      <c r="BH35" s="513"/>
      <c r="BI35" s="513"/>
    </row>
    <row r="36" spans="1:61" outlineLevel="1" hidden="1">
      <c r="A36" s="494"/>
      <c r="B36" s="323" t="s">
        <v>219</v>
      </c>
      <c r="C36" s="494"/>
      <c r="D36" s="598">
        <f>IF(D$29="",0,SUMIFS('2. Kalkyldata'!$W$23:$W$27,'2. Kalkyldata'!$C$23:$C$27,'3. Finansiering'!$B36,'2. Kalkyldata'!$R$23:$R$27,'3. Finansiering'!D$12))</f>
        <v>0.0</v>
      </c>
      <c r="E36" s="598">
        <f>IF(E$29="",0,SUMIFS('2. Kalkyldata'!$W$23:$W$27,'2. Kalkyldata'!$C$23:$C$27,'3. Finansiering'!$B36,'2. Kalkyldata'!$R$23:$R$27,'3. Finansiering'!E$12))</f>
        <v>0.0</v>
      </c>
      <c r="F36" s="598">
        <f>IF(F$29="",0,SUMIFS('2. Kalkyldata'!$W$23:$W$27,'2. Kalkyldata'!$C$23:$C$27,'3. Finansiering'!$B36,'2. Kalkyldata'!$R$23:$R$27,'3. Finansiering'!F$12))</f>
        <v>0.0</v>
      </c>
      <c r="G36" s="598">
        <f>IF(G$29="",0,SUMIFS('2. Kalkyldata'!$W$23:$W$27,'2. Kalkyldata'!$C$23:$C$27,'3. Finansiering'!$B36,'2. Kalkyldata'!$R$23:$R$27,'3. Finansiering'!G$12))</f>
        <v>0.0</v>
      </c>
      <c r="H36" s="598">
        <f>IF(H$29="",0,SUMIFS('2. Kalkyldata'!$W$23:$W$27,'2. Kalkyldata'!$C$23:$C$27,'3. Finansiering'!$B36,'2. Kalkyldata'!$R$23:$R$27,'3. Finansiering'!H$12))</f>
        <v>0.0</v>
      </c>
      <c r="I36" s="598">
        <f>IF(I$29="",0,SUMIFS('2. Kalkyldata'!$W$23:$W$27,'2. Kalkyldata'!$C$23:$C$27,'3. Finansiering'!$B36,'2. Kalkyldata'!$R$23:$R$27,'3. Finansiering'!I$12))</f>
        <v>0.0</v>
      </c>
      <c r="J36" s="598">
        <f>IF(J$29="",0,SUMIFS('2. Kalkyldata'!$W$23:$W$27,'2. Kalkyldata'!$C$23:$C$27,'3. Finansiering'!$B36,'2. Kalkyldata'!$R$23:$R$27,'3. Finansiering'!J$12))</f>
        <v>0.0</v>
      </c>
      <c r="K36" s="598">
        <f>IF(K$29="",0,SUMIFS('2. Kalkyldata'!$W$23:$W$27,'2. Kalkyldata'!$C$23:$C$27,'3. Finansiering'!$B36,'2. Kalkyldata'!$R$23:$R$27,'3. Finansiering'!K$12))</f>
        <v>0.0</v>
      </c>
      <c r="L36" s="598">
        <f>IF(L$29="",0,SUMIFS('2. Kalkyldata'!$W$23:$W$27,'2. Kalkyldata'!$C$23:$C$27,'3. Finansiering'!$B36,'2. Kalkyldata'!$R$23:$R$27,'3. Finansiering'!L$12))</f>
        <v>0.0</v>
      </c>
      <c r="M36" s="598">
        <f>IF(M$29="",0,SUMIFS('2. Kalkyldata'!$W$23:$W$27,'2. Kalkyldata'!$C$23:$C$27,'3. Finansiering'!$B36,'2. Kalkyldata'!$R$23:$R$27,'3. Finansiering'!M$12))</f>
        <v>0.0</v>
      </c>
      <c r="N36" s="598">
        <f>IF(N$29="",0,SUMIFS('2. Kalkyldata'!$W$23:$W$27,'2. Kalkyldata'!$C$23:$C$27,'3. Finansiering'!$B36,'2. Kalkyldata'!$R$23:$R$27,'3. Finansiering'!N$12))</f>
        <v>0.0</v>
      </c>
      <c r="O36" s="598">
        <f>IF(O$29="",0,SUMIFS('2. Kalkyldata'!$W$23:$W$27,'2. Kalkyldata'!$C$23:$C$27,'3. Finansiering'!$B36,'2. Kalkyldata'!$R$23:$R$27,'3. Finansiering'!O$12))</f>
        <v>0.0</v>
      </c>
      <c r="P36" s="598">
        <f>IF(P$29="",0,SUMIFS('2. Kalkyldata'!$W$23:$W$27,'2. Kalkyldata'!$C$23:$C$27,'3. Finansiering'!$B36,'2. Kalkyldata'!$R$23:$R$27,'3. Finansiering'!P$12))</f>
        <v>0.0</v>
      </c>
      <c r="Q36" s="598">
        <f>IF(Q$29="",0,SUMIFS('2. Kalkyldata'!$W$23:$W$27,'2. Kalkyldata'!$C$23:$C$27,'3. Finansiering'!$B36,'2. Kalkyldata'!$R$23:$R$27,'3. Finansiering'!Q$12))</f>
        <v>0.0</v>
      </c>
      <c r="R36" s="598">
        <f>IF(R$29="",0,SUMIFS('2. Kalkyldata'!$W$23:$W$27,'2. Kalkyldata'!$C$23:$C$27,'3. Finansiering'!$B36,'2. Kalkyldata'!$R$23:$R$27,'3. Finansiering'!R$12))</f>
        <v>0.0</v>
      </c>
      <c r="S36" s="598">
        <f>IF(S$29="",0,SUMIFS('2. Kalkyldata'!$W$23:$W$27,'2. Kalkyldata'!$C$23:$C$27,'3. Finansiering'!$B36,'2. Kalkyldata'!$R$23:$R$27,'3. Finansiering'!S$12))</f>
        <v>0.0</v>
      </c>
      <c r="T36" s="598">
        <f>IF(T$29="",0,SUMIFS('2. Kalkyldata'!$W$23:$W$27,'2. Kalkyldata'!$C$23:$C$27,'3. Finansiering'!$B36,'2. Kalkyldata'!$R$23:$R$27,'3. Finansiering'!T$12))</f>
        <v>0.0</v>
      </c>
      <c r="U36" s="598">
        <f>IF(U$29="",0,SUMIFS('2. Kalkyldata'!$W$23:$W$27,'2. Kalkyldata'!$C$23:$C$27,'3. Finansiering'!$B36,'2. Kalkyldata'!$R$23:$R$27,'3. Finansiering'!U$12))</f>
        <v>0.0</v>
      </c>
      <c r="V36" s="598">
        <f>IF(V$29="",0,SUMIFS('2. Kalkyldata'!$W$23:$W$27,'2. Kalkyldata'!$C$23:$C$27,'3. Finansiering'!$B36,'2. Kalkyldata'!$R$23:$R$27,'3. Finansiering'!V$12))</f>
        <v>0.0</v>
      </c>
      <c r="W36" s="598">
        <f>IF(W$29="",0,SUMIFS('2. Kalkyldata'!$W$23:$W$27,'2. Kalkyldata'!$C$23:$C$27,'3. Finansiering'!$B36,'2. Kalkyldata'!$R$23:$R$27,'3. Finansiering'!W$12))</f>
        <v>0.0</v>
      </c>
      <c r="X36" s="598">
        <f>IF(X$29="",0,SUMIFS('2. Kalkyldata'!$W$23:$W$27,'2. Kalkyldata'!$C$23:$C$27,'3. Finansiering'!$B36,'2. Kalkyldata'!$R$23:$R$27,'3. Finansiering'!X$12))</f>
        <v>0.0</v>
      </c>
      <c r="Y36" s="598">
        <f>IF(Y$29="",0,SUMIFS('2. Kalkyldata'!$W$23:$W$27,'2. Kalkyldata'!$C$23:$C$27,'3. Finansiering'!$B36,'2. Kalkyldata'!$R$23:$R$27,'3. Finansiering'!Y$12))</f>
        <v>0.0</v>
      </c>
      <c r="Z36" s="598">
        <f>IF(Z$29="",0,SUMIFS('2. Kalkyldata'!$W$23:$W$27,'2. Kalkyldata'!$C$23:$C$27,'3. Finansiering'!$B36,'2. Kalkyldata'!$R$23:$R$27,'3. Finansiering'!Z$12))</f>
        <v>0.0</v>
      </c>
      <c r="AA36" s="598">
        <f>IF(AA$29="",0,SUMIFS('2. Kalkyldata'!$W$23:$W$27,'2. Kalkyldata'!$C$23:$C$27,'3. Finansiering'!$B36,'2. Kalkyldata'!$R$23:$R$27,'3. Finansiering'!AA$12))</f>
        <v>0.0</v>
      </c>
      <c r="AB36" s="598">
        <f>IF(AB$29="",0,SUMIFS('2. Kalkyldata'!$W$23:$W$27,'2. Kalkyldata'!$C$23:$C$27,'3. Finansiering'!$B36,'2. Kalkyldata'!$R$23:$R$27,'3. Finansiering'!AB$12))</f>
        <v>0.0</v>
      </c>
      <c r="AC36" s="598">
        <f>IF(AC$29="",0,SUMIFS('2. Kalkyldata'!$W$23:$W$27,'2. Kalkyldata'!$C$23:$C$27,'3. Finansiering'!$B36,'2. Kalkyldata'!$R$23:$R$27,'3. Finansiering'!AC$12))</f>
        <v>0.0</v>
      </c>
      <c r="AD36" s="598">
        <f>IF(AD$29="",0,SUMIFS('2. Kalkyldata'!$W$23:$W$27,'2. Kalkyldata'!$C$23:$C$27,'3. Finansiering'!$B36,'2. Kalkyldata'!$R$23:$R$27,'3. Finansiering'!AD$12))</f>
        <v>0.0</v>
      </c>
      <c r="AE36" s="598">
        <f>IF(AE$29="",0,SUMIFS('2. Kalkyldata'!$W$23:$W$27,'2. Kalkyldata'!$C$23:$C$27,'3. Finansiering'!$B36,'2. Kalkyldata'!$R$23:$R$27,'3. Finansiering'!AE$12))</f>
        <v>0.0</v>
      </c>
      <c r="AF36" s="598">
        <f>IF(AF$29="",0,SUMIFS('2. Kalkyldata'!$W$23:$W$27,'2. Kalkyldata'!$C$23:$C$27,'3. Finansiering'!$B36,'2. Kalkyldata'!$R$23:$R$27,'3. Finansiering'!AF$12))</f>
        <v>0.0</v>
      </c>
      <c r="AG36" s="598">
        <f>IF(AG$29="",0,SUMIFS('2. Kalkyldata'!$W$23:$W$27,'2. Kalkyldata'!$C$23:$C$27,'3. Finansiering'!$B36,'2. Kalkyldata'!$R$23:$R$27,'3. Finansiering'!AG$12))</f>
        <v>0.0</v>
      </c>
      <c r="AH36" s="598">
        <f>IF(AH$29="",0,SUMIFS('2. Kalkyldata'!$W$23:$W$27,'2. Kalkyldata'!$C$23:$C$27,'3. Finansiering'!$B36,'2. Kalkyldata'!$R$23:$R$27,'3. Finansiering'!AH$12))</f>
        <v>0.0</v>
      </c>
      <c r="AI36" s="598">
        <f>IF(AI$29="",0,SUMIFS('2. Kalkyldata'!$W$23:$W$27,'2. Kalkyldata'!$C$23:$C$27,'3. Finansiering'!$B36,'2. Kalkyldata'!$R$23:$R$27,'3. Finansiering'!AI$12))</f>
        <v>0.0</v>
      </c>
      <c r="AJ36" s="598">
        <f>IF(AJ$29="",0,SUMIFS('2. Kalkyldata'!$W$23:$W$27,'2. Kalkyldata'!$C$23:$C$27,'3. Finansiering'!$B36,'2. Kalkyldata'!$R$23:$R$27,'3. Finansiering'!AJ$12))</f>
        <v>0.0</v>
      </c>
      <c r="AK36" s="598">
        <f>IF(AK$29="",0,SUMIFS('2. Kalkyldata'!$W$23:$W$27,'2. Kalkyldata'!$C$23:$C$27,'3. Finansiering'!$B36,'2. Kalkyldata'!$R$23:$R$27,'3. Finansiering'!AK$12))</f>
        <v>0.0</v>
      </c>
      <c r="AL36" s="598">
        <f>IF(AL$29="",0,SUMIFS('2. Kalkyldata'!$W$23:$W$27,'2. Kalkyldata'!$C$23:$C$27,'3. Finansiering'!$B36,'2. Kalkyldata'!$R$23:$R$27,'3. Finansiering'!AL$12))</f>
        <v>0.0</v>
      </c>
      <c r="AM36" s="598">
        <f>IF(AM$29="",0,SUMIFS('2. Kalkyldata'!$W$23:$W$27,'2. Kalkyldata'!$C$23:$C$27,'3. Finansiering'!$B36,'2. Kalkyldata'!$R$23:$R$27,'3. Finansiering'!AM$12))</f>
        <v>0.0</v>
      </c>
      <c r="AN36" s="598">
        <f>IF(AN$29="",0,SUMIFS('2. Kalkyldata'!$W$23:$W$27,'2. Kalkyldata'!$C$23:$C$27,'3. Finansiering'!$B36,'2. Kalkyldata'!$R$23:$R$27,'3. Finansiering'!AN$12))</f>
        <v>0.0</v>
      </c>
      <c r="AO36" s="598">
        <f>IF(AO$29="",0,SUMIFS('2. Kalkyldata'!$W$23:$W$27,'2. Kalkyldata'!$C$23:$C$27,'3. Finansiering'!$B36,'2. Kalkyldata'!$R$23:$R$27,'3. Finansiering'!AO$12))</f>
        <v>0.0</v>
      </c>
      <c r="AP36" s="598">
        <f>IF(AP$29="",0,SUMIFS('2. Kalkyldata'!$W$23:$W$27,'2. Kalkyldata'!$C$23:$C$27,'3. Finansiering'!$B36,'2. Kalkyldata'!$R$23:$R$27,'3. Finansiering'!AP$12))</f>
        <v>0.0</v>
      </c>
      <c r="AQ36" s="598">
        <f>IF(AQ$29="",0,SUMIFS('2. Kalkyldata'!$W$23:$W$27,'2. Kalkyldata'!$C$23:$C$27,'3. Finansiering'!$B36,'2. Kalkyldata'!$R$23:$R$27,'3. Finansiering'!AQ$12))</f>
        <v>0.0</v>
      </c>
      <c r="AR36" s="598">
        <f>IF(AR$29="",0,SUMIFS('2. Kalkyldata'!$W$23:$W$27,'2. Kalkyldata'!$C$23:$C$27,'3. Finansiering'!$B36,'2. Kalkyldata'!$R$23:$R$27,'3. Finansiering'!AR$12))</f>
        <v>0.0</v>
      </c>
      <c r="AS36" s="598">
        <f>IF(AS$29="",0,SUMIFS('2. Kalkyldata'!$W$23:$W$27,'2. Kalkyldata'!$C$23:$C$27,'3. Finansiering'!$B36,'2. Kalkyldata'!$R$23:$R$27,'3. Finansiering'!AS$12))</f>
        <v>0.0</v>
      </c>
      <c r="AT36" s="598">
        <f>IF(AT$29="",0,SUMIFS('2. Kalkyldata'!$W$23:$W$27,'2. Kalkyldata'!$C$23:$C$27,'3. Finansiering'!$B36,'2. Kalkyldata'!$R$23:$R$27,'3. Finansiering'!AT$12))</f>
        <v>0.0</v>
      </c>
      <c r="AU36" s="598">
        <f>IF(AU$29="",0,SUMIFS('2. Kalkyldata'!$W$23:$W$27,'2. Kalkyldata'!$C$23:$C$27,'3. Finansiering'!$B36,'2. Kalkyldata'!$R$23:$R$27,'3. Finansiering'!AU$12))</f>
        <v>0.0</v>
      </c>
      <c r="AV36" s="598">
        <f>IF(AV$29="",0,SUMIFS('2. Kalkyldata'!$W$23:$W$27,'2. Kalkyldata'!$C$23:$C$27,'3. Finansiering'!$B36,'2. Kalkyldata'!$R$23:$R$27,'3. Finansiering'!AV$12))</f>
        <v>0.0</v>
      </c>
      <c r="AW36" s="598">
        <f>IF(AW$29="",0,SUMIFS('2. Kalkyldata'!$W$23:$W$27,'2. Kalkyldata'!$C$23:$C$27,'3. Finansiering'!$B36,'2. Kalkyldata'!$R$23:$R$27,'3. Finansiering'!AW$12))</f>
        <v>0.0</v>
      </c>
      <c r="AX36" s="598">
        <f>IF(AX$29="",0,SUMIFS('2. Kalkyldata'!$W$23:$W$27,'2. Kalkyldata'!$C$23:$C$27,'3. Finansiering'!$B36,'2. Kalkyldata'!$R$23:$R$27,'3. Finansiering'!AX$12))</f>
        <v>0.0</v>
      </c>
      <c r="AY36" s="598">
        <f>IF(AY$29="",0,SUMIFS('2. Kalkyldata'!$W$23:$W$27,'2. Kalkyldata'!$C$23:$C$27,'3. Finansiering'!$B36,'2. Kalkyldata'!$R$23:$R$27,'3. Finansiering'!AY$12))</f>
        <v>0.0</v>
      </c>
      <c r="AZ36" s="598">
        <f>IF(AZ$29="",0,SUMIFS('2. Kalkyldata'!$W$23:$W$27,'2. Kalkyldata'!$C$23:$C$27,'3. Finansiering'!$B36,'2. Kalkyldata'!$R$23:$R$27,'3. Finansiering'!AZ$12))</f>
        <v>0.0</v>
      </c>
      <c r="BA36" s="598">
        <f>IF(BA$29="",0,SUMIFS('2. Kalkyldata'!$W$23:$W$27,'2. Kalkyldata'!$C$23:$C$27,'3. Finansiering'!$B36,'2. Kalkyldata'!$R$23:$R$27,'3. Finansiering'!BA$12))</f>
        <v>0.0</v>
      </c>
      <c r="BB36" s="494"/>
      <c r="BC36" s="513"/>
      <c r="BD36" s="513"/>
      <c r="BE36" s="513"/>
      <c r="BF36" s="513"/>
      <c r="BG36" s="513"/>
      <c r="BH36" s="513"/>
      <c r="BI36" s="513"/>
    </row>
    <row r="37" spans="1:61" s="115" customFormat="1" ht="15">
      <c r="A37" s="19"/>
      <c r="B37" s="322" t="str">
        <f>'2. Kalkyldata'!C28</f>
        <v>Totalt</v>
      </c>
      <c r="C37" s="211">
        <f>MAX($D$37:$BA$37)</f>
        <v>239999999.99999997</v>
      </c>
      <c r="D37" s="211">
        <f>SUM(D30:D35)</f>
        <v>239999999.99999997</v>
      </c>
      <c r="E37" s="211">
        <f t="shared" ref="E37:F37" si="5">SUM(E30:E35)</f>
        <v>239999999.99999997</v>
      </c>
      <c r="F37" s="211">
        <f t="shared" si="5"/>
        <v>239999999.99999997</v>
      </c>
      <c r="G37" s="211">
        <f>SUM(G30:G35)</f>
        <v>239999999.99999997</v>
      </c>
      <c r="H37" s="211">
        <f t="shared" ref="H37:BA37" si="6">SUM(H30:H35)</f>
        <v>239999999.99999997</v>
      </c>
      <c r="I37" s="211">
        <f t="shared" si="6"/>
        <v>239999999.99999997</v>
      </c>
      <c r="J37" s="211">
        <f t="shared" si="6"/>
        <v>239999999.99999997</v>
      </c>
      <c r="K37" s="211">
        <f t="shared" si="6"/>
        <v>239999999.99999997</v>
      </c>
      <c r="L37" s="211">
        <f t="shared" si="6"/>
        <v>239999999.99999997</v>
      </c>
      <c r="M37" s="211">
        <f t="shared" si="6"/>
        <v>239999999.99999997</v>
      </c>
      <c r="N37" s="211">
        <f t="shared" si="6"/>
        <v>239999999.99999997</v>
      </c>
      <c r="O37" s="211">
        <f t="shared" si="6"/>
        <v>239999999.99999997</v>
      </c>
      <c r="P37" s="211">
        <f t="shared" si="6"/>
        <v>239999999.99999997</v>
      </c>
      <c r="Q37" s="211">
        <f t="shared" si="6"/>
        <v>239999999.99999997</v>
      </c>
      <c r="R37" s="211">
        <f t="shared" si="6"/>
        <v>239999999.99999997</v>
      </c>
      <c r="S37" s="211">
        <f t="shared" si="6"/>
        <v>239999999.99999997</v>
      </c>
      <c r="T37" s="211">
        <f t="shared" si="6"/>
        <v>239999999.99999997</v>
      </c>
      <c r="U37" s="211">
        <f t="shared" si="6"/>
        <v>239999999.99999997</v>
      </c>
      <c r="V37" s="211">
        <f t="shared" si="6"/>
        <v>239999999.99999997</v>
      </c>
      <c r="W37" s="211">
        <f t="shared" si="6"/>
        <v>239999999.99999997</v>
      </c>
      <c r="X37" s="211">
        <f t="shared" si="6"/>
        <v>239999999.99999997</v>
      </c>
      <c r="Y37" s="211">
        <f t="shared" si="6"/>
        <v>0.0</v>
      </c>
      <c r="Z37" s="211">
        <f t="shared" si="6"/>
        <v>0.0</v>
      </c>
      <c r="AA37" s="211">
        <f t="shared" si="6"/>
        <v>0.0</v>
      </c>
      <c r="AB37" s="211">
        <f t="shared" si="6"/>
        <v>0.0</v>
      </c>
      <c r="AC37" s="211">
        <f t="shared" si="6"/>
        <v>0.0</v>
      </c>
      <c r="AD37" s="211">
        <f t="shared" si="6"/>
        <v>0.0</v>
      </c>
      <c r="AE37" s="211">
        <f t="shared" si="6"/>
        <v>0.0</v>
      </c>
      <c r="AF37" s="211">
        <f t="shared" si="6"/>
        <v>0.0</v>
      </c>
      <c r="AG37" s="211">
        <f t="shared" si="6"/>
        <v>0.0</v>
      </c>
      <c r="AH37" s="211">
        <f t="shared" si="6"/>
        <v>0.0</v>
      </c>
      <c r="AI37" s="211">
        <f t="shared" si="6"/>
        <v>0.0</v>
      </c>
      <c r="AJ37" s="211">
        <f t="shared" si="6"/>
        <v>0.0</v>
      </c>
      <c r="AK37" s="211">
        <f t="shared" si="6"/>
        <v>0.0</v>
      </c>
      <c r="AL37" s="211">
        <f t="shared" si="6"/>
        <v>0.0</v>
      </c>
      <c r="AM37" s="211">
        <f t="shared" si="6"/>
        <v>0.0</v>
      </c>
      <c r="AN37" s="211">
        <f t="shared" si="6"/>
        <v>0.0</v>
      </c>
      <c r="AO37" s="211">
        <f t="shared" si="6"/>
        <v>0.0</v>
      </c>
      <c r="AP37" s="211">
        <f t="shared" si="6"/>
        <v>0.0</v>
      </c>
      <c r="AQ37" s="211">
        <f t="shared" si="6"/>
        <v>0.0</v>
      </c>
      <c r="AR37" s="211">
        <f t="shared" si="6"/>
        <v>0.0</v>
      </c>
      <c r="AS37" s="211">
        <f t="shared" si="6"/>
        <v>0.0</v>
      </c>
      <c r="AT37" s="211">
        <f t="shared" si="6"/>
        <v>0.0</v>
      </c>
      <c r="AU37" s="211">
        <f t="shared" si="6"/>
        <v>0.0</v>
      </c>
      <c r="AV37" s="211">
        <f t="shared" si="6"/>
        <v>0.0</v>
      </c>
      <c r="AW37" s="211">
        <f t="shared" si="6"/>
        <v>0.0</v>
      </c>
      <c r="AX37" s="211">
        <f t="shared" si="6"/>
        <v>0.0</v>
      </c>
      <c r="AY37" s="211">
        <f t="shared" si="6"/>
        <v>0.0</v>
      </c>
      <c r="AZ37" s="211">
        <f t="shared" si="6"/>
        <v>0.0</v>
      </c>
      <c r="BA37" s="211">
        <f t="shared" si="6"/>
        <v>0.0</v>
      </c>
      <c r="BB37" s="211"/>
      <c r="BC37" s="212"/>
      <c r="BD37" s="212"/>
      <c r="BE37" s="212"/>
      <c r="BF37" s="212"/>
      <c r="BG37" s="212"/>
      <c r="BH37" s="212"/>
      <c r="BI37" s="212"/>
    </row>
    <row r="38" spans="1:61">
      <c r="A38" s="494"/>
      <c r="B38" s="159"/>
      <c r="C38" s="494"/>
      <c r="D38" s="494"/>
      <c r="E38" s="494"/>
      <c r="F38" s="494"/>
      <c r="G38" s="494"/>
      <c r="H38" s="494"/>
      <c r="I38" s="494"/>
      <c r="J38" s="494"/>
      <c r="K38" s="494"/>
      <c r="L38" s="494"/>
      <c r="M38" s="494"/>
      <c r="N38" s="494"/>
      <c r="O38" s="494"/>
      <c r="P38" s="494"/>
      <c r="Q38" s="494"/>
      <c r="R38" s="494"/>
      <c r="S38" s="494"/>
      <c r="T38" s="494"/>
      <c r="U38" s="494"/>
      <c r="V38" s="494"/>
      <c r="W38" s="494"/>
      <c r="X38" s="494"/>
      <c r="Y38" s="494"/>
      <c r="Z38" s="494"/>
      <c r="AA38" s="494"/>
      <c r="AB38" s="494"/>
      <c r="AC38" s="494"/>
      <c r="AD38" s="494"/>
      <c r="AE38" s="494"/>
      <c r="AF38" s="494"/>
      <c r="AG38" s="494"/>
      <c r="AH38" s="494"/>
      <c r="AI38" s="494"/>
      <c r="AJ38" s="494"/>
      <c r="AK38" s="494"/>
      <c r="AL38" s="494"/>
      <c r="AM38" s="494"/>
      <c r="AN38" s="494"/>
      <c r="AO38" s="494"/>
      <c r="AP38" s="494"/>
      <c r="AQ38" s="494"/>
      <c r="AR38" s="494"/>
      <c r="AS38" s="494"/>
      <c r="AT38" s="494"/>
      <c r="AU38" s="494"/>
      <c r="AV38" s="494"/>
      <c r="AW38" s="494"/>
      <c r="AX38" s="494"/>
      <c r="AY38" s="494"/>
      <c r="AZ38" s="494"/>
      <c r="BA38" s="494"/>
      <c r="BB38" s="494"/>
      <c r="BC38" s="513"/>
      <c r="BD38" s="513"/>
      <c r="BE38" s="513"/>
      <c r="BF38" s="513"/>
      <c r="BG38" s="513"/>
      <c r="BH38" s="513"/>
      <c r="BI38" s="513"/>
    </row>
    <row r="39" spans="1:61" ht="15">
      <c r="A39" s="494"/>
      <c r="B39" s="322" t="s">
        <v>220</v>
      </c>
      <c r="C39" s="787" t="inlineStr">
        <is>
          <t>Rak avskrivning; avskrivningstider enligt 2. Kalkyldata P13/P16. Per objekt i grupperade rader 40–46.</t>
        </is>
      </c>
      <c r="D39" s="494"/>
      <c r="E39" s="494"/>
      <c r="F39" s="494"/>
      <c r="G39" s="494"/>
      <c r="H39" s="494"/>
      <c r="I39" s="494"/>
      <c r="J39" s="494"/>
      <c r="K39" s="494"/>
      <c r="L39" s="494"/>
      <c r="M39" s="494"/>
      <c r="N39" s="494"/>
      <c r="O39" s="494"/>
      <c r="P39" s="494"/>
      <c r="Q39" s="494"/>
      <c r="R39" s="494"/>
      <c r="S39" s="494"/>
      <c r="T39" s="494"/>
      <c r="U39" s="494"/>
      <c r="V39" s="494"/>
      <c r="W39" s="494"/>
      <c r="X39" s="494"/>
      <c r="Y39" s="494"/>
      <c r="Z39" s="494"/>
      <c r="AA39" s="494"/>
      <c r="AB39" s="494"/>
      <c r="AC39" s="494"/>
      <c r="AD39" s="494"/>
      <c r="AE39" s="494"/>
      <c r="AF39" s="494"/>
      <c r="AG39" s="494"/>
      <c r="AH39" s="494"/>
      <c r="AI39" s="494"/>
      <c r="AJ39" s="494"/>
      <c r="AK39" s="494"/>
      <c r="AL39" s="494"/>
      <c r="AM39" s="494"/>
      <c r="AN39" s="494"/>
      <c r="AO39" s="494"/>
      <c r="AP39" s="494"/>
      <c r="AQ39" s="494"/>
      <c r="AR39" s="494"/>
      <c r="AS39" s="494"/>
      <c r="AT39" s="494"/>
      <c r="AU39" s="494"/>
      <c r="AV39" s="494"/>
      <c r="AW39" s="494"/>
      <c r="AX39" s="494"/>
      <c r="AY39" s="494"/>
      <c r="AZ39" s="494"/>
      <c r="BA39" s="494"/>
      <c r="BB39" s="494"/>
      <c r="BC39" s="513"/>
      <c r="BD39" s="513"/>
      <c r="BE39" s="513"/>
      <c r="BF39" s="513"/>
      <c r="BG39" s="513"/>
      <c r="BH39" s="513"/>
      <c r="BI39" s="513"/>
    </row>
    <row r="40" spans="1:61" hidden="1" outlineLevel="1">
      <c r="A40" s="494"/>
      <c r="B40" s="323" t="inlineStr">
        <is>
          <t>Befintligt bokfört värde</t>
        </is>
      </c>
      <c r="C40" s="494"/>
      <c r="D40" s="598">
        <f>-D30/'2. Kalkyldata'!$P$13</f>
        <v>-0.0</v>
      </c>
      <c r="E40" s="598">
        <f>-E30/'2. Kalkyldata'!$P$13</f>
        <v>-0.0</v>
      </c>
      <c r="F40" s="598">
        <f>-F30/'2. Kalkyldata'!$P$13</f>
        <v>-0.0</v>
      </c>
      <c r="G40" s="598">
        <f>-G30/'2. Kalkyldata'!$P$13</f>
        <v>-0.0</v>
      </c>
      <c r="H40" s="598">
        <f>-H30/'2. Kalkyldata'!$P$13</f>
        <v>-0.0</v>
      </c>
      <c r="I40" s="598">
        <f>-I30/'2. Kalkyldata'!$P$13</f>
        <v>-0.0</v>
      </c>
      <c r="J40" s="598">
        <f>-J30/'2. Kalkyldata'!$P$13</f>
        <v>-0.0</v>
      </c>
      <c r="K40" s="598">
        <f>-K30/'2. Kalkyldata'!$P$13</f>
        <v>-0.0</v>
      </c>
      <c r="L40" s="598">
        <f>-L30/'2. Kalkyldata'!$P$13</f>
        <v>-0.0</v>
      </c>
      <c r="M40" s="598">
        <f>-M30/'2. Kalkyldata'!$P$13</f>
        <v>-0.0</v>
      </c>
      <c r="N40" s="598">
        <f>-N30/'2. Kalkyldata'!$P$13</f>
        <v>-0.0</v>
      </c>
      <c r="O40" s="598">
        <f>-O30/'2. Kalkyldata'!$P$13</f>
        <v>-0.0</v>
      </c>
      <c r="P40" s="598">
        <f>-P30/'2. Kalkyldata'!$P$13</f>
        <v>-0.0</v>
      </c>
      <c r="Q40" s="598">
        <f>-Q30/'2. Kalkyldata'!$P$13</f>
        <v>-0.0</v>
      </c>
      <c r="R40" s="598">
        <f>-R30/'2. Kalkyldata'!$P$13</f>
        <v>-0.0</v>
      </c>
      <c r="S40" s="598">
        <f>-S30/'2. Kalkyldata'!$P$13</f>
        <v>-0.0</v>
      </c>
      <c r="T40" s="598">
        <f>-T30/'2. Kalkyldata'!$P$13</f>
        <v>-0.0</v>
      </c>
      <c r="U40" s="598">
        <f>-U30/'2. Kalkyldata'!$P$13</f>
        <v>-0.0</v>
      </c>
      <c r="V40" s="598">
        <f>-V30/'2. Kalkyldata'!$P$13</f>
        <v>-0.0</v>
      </c>
      <c r="W40" s="598">
        <f>-W30/'2. Kalkyldata'!$P$13</f>
        <v>-0.0</v>
      </c>
      <c r="X40" s="598">
        <f>-X30/'2. Kalkyldata'!$P$13</f>
        <v>-0.0</v>
      </c>
      <c r="Y40" s="598">
        <f>-Y30/'2. Kalkyldata'!$P$13</f>
        <v>-0.0</v>
      </c>
      <c r="Z40" s="598">
        <f>-Z30/'2. Kalkyldata'!$P$13</f>
        <v>-0.0</v>
      </c>
      <c r="AA40" s="598">
        <f>-AA30/'2. Kalkyldata'!$P$13</f>
        <v>-0.0</v>
      </c>
      <c r="AB40" s="598">
        <f>-AB30/'2. Kalkyldata'!$P$13</f>
        <v>-0.0</v>
      </c>
      <c r="AC40" s="598">
        <f>-AC30/'2. Kalkyldata'!$P$13</f>
        <v>-0.0</v>
      </c>
      <c r="AD40" s="598">
        <f>-AD30/'2. Kalkyldata'!$P$13</f>
        <v>-0.0</v>
      </c>
      <c r="AE40" s="598">
        <f>-AE30/'2. Kalkyldata'!$P$13</f>
        <v>-0.0</v>
      </c>
      <c r="AF40" s="598">
        <f>-AF30/'2. Kalkyldata'!$P$13</f>
        <v>-0.0</v>
      </c>
      <c r="AG40" s="598">
        <f>-AG30/'2. Kalkyldata'!$P$13</f>
        <v>-0.0</v>
      </c>
      <c r="AH40" s="598">
        <f>-AH30/'2. Kalkyldata'!$P$13</f>
        <v>-0.0</v>
      </c>
      <c r="AI40" s="598">
        <f>-AI30/'2. Kalkyldata'!$P$13</f>
        <v>-0.0</v>
      </c>
      <c r="AJ40" s="598">
        <f>-AJ30/'2. Kalkyldata'!$P$13</f>
        <v>-0.0</v>
      </c>
      <c r="AK40" s="598">
        <f>-AK30/'2. Kalkyldata'!$P$13</f>
        <v>-0.0</v>
      </c>
      <c r="AL40" s="598">
        <f>-AL30/'2. Kalkyldata'!$P$13</f>
        <v>-0.0</v>
      </c>
      <c r="AM40" s="598">
        <f>-AM30/'2. Kalkyldata'!$P$13</f>
        <v>-0.0</v>
      </c>
      <c r="AN40" s="598">
        <f>-AN30/'2. Kalkyldata'!$P$13</f>
        <v>-0.0</v>
      </c>
      <c r="AO40" s="598">
        <f>-AO30/'2. Kalkyldata'!$P$13</f>
        <v>-0.0</v>
      </c>
      <c r="AP40" s="598">
        <f>-AP30/'2. Kalkyldata'!$P$13</f>
        <v>-0.0</v>
      </c>
      <c r="AQ40" s="598">
        <f>-AQ30/'2. Kalkyldata'!$P$13</f>
        <v>-0.0</v>
      </c>
      <c r="AR40" s="598">
        <f>-AR30/'2. Kalkyldata'!$P$13</f>
        <v>-0.0</v>
      </c>
      <c r="AS40" s="598">
        <f>-AS30/'2. Kalkyldata'!$P$13</f>
        <v>-0.0</v>
      </c>
      <c r="AT40" s="598">
        <f>-AT30/'2. Kalkyldata'!$P$13</f>
        <v>-0.0</v>
      </c>
      <c r="AU40" s="598">
        <f>-AU30/'2. Kalkyldata'!$P$13</f>
        <v>-0.0</v>
      </c>
      <c r="AV40" s="598">
        <f>-AV30/'2. Kalkyldata'!$P$13</f>
        <v>-0.0</v>
      </c>
      <c r="AW40" s="598">
        <f>-AW30/'2. Kalkyldata'!$P$13</f>
        <v>-0.0</v>
      </c>
      <c r="AX40" s="598">
        <f>-AX30/'2. Kalkyldata'!$P$13</f>
        <v>-0.0</v>
      </c>
      <c r="AY40" s="598">
        <f>-AY30/'2. Kalkyldata'!$P$13</f>
        <v>-0.0</v>
      </c>
      <c r="AZ40" s="598">
        <f>-AZ30/'2. Kalkyldata'!$P$13</f>
        <v>-0.0</v>
      </c>
      <c r="BA40" s="598">
        <f>-BA30/'2. Kalkyldata'!$P$13</f>
        <v>-0.0</v>
      </c>
      <c r="BB40" s="494"/>
      <c r="BC40" s="513"/>
      <c r="BD40" s="513"/>
      <c r="BE40" s="513"/>
      <c r="BF40" s="513"/>
      <c r="BG40" s="513"/>
      <c r="BH40" s="513"/>
      <c r="BI40" s="513"/>
    </row>
    <row r="41" spans="1:61" hidden="1" outlineLevel="1">
      <c r="A41" s="494"/>
      <c r="B41" s="894" t="str">
        <f>B31</f>
        <v>Skola</v>
      </c>
      <c r="C41" s="494"/>
      <c r="D41" s="598">
        <f>IF(D$29&lt;'2. Kalkyldata'!$M23,0,-D31/'2. Kalkyldata'!$P$16)</f>
        <v>-7272727.272727272</v>
      </c>
      <c r="E41" s="598">
        <f>IF(E$29&lt;'2. Kalkyldata'!$M23,0,-E31/'2. Kalkyldata'!$P$16)</f>
        <v>-7272727.272727272</v>
      </c>
      <c r="F41" s="598">
        <f>IF(F$29&lt;'2. Kalkyldata'!$M23,0,-F31/'2. Kalkyldata'!$P$16)</f>
        <v>-7272727.272727272</v>
      </c>
      <c r="G41" s="598">
        <f>IF(G$29&lt;'2. Kalkyldata'!$M23,0,-G31/'2. Kalkyldata'!$P$16)</f>
        <v>-7272727.272727272</v>
      </c>
      <c r="H41" s="598">
        <f>IF(H$29&lt;'2. Kalkyldata'!$M23,0,-H31/'2. Kalkyldata'!$P$16)</f>
        <v>-7272727.272727272</v>
      </c>
      <c r="I41" s="598">
        <f>IF(I$29&lt;'2. Kalkyldata'!$M23,0,-I31/'2. Kalkyldata'!$P$16)</f>
        <v>-7272727.272727272</v>
      </c>
      <c r="J41" s="598">
        <f>IF(J$29&lt;'2. Kalkyldata'!$M23,0,-J31/'2. Kalkyldata'!$P$16)</f>
        <v>-7272727.272727272</v>
      </c>
      <c r="K41" s="598">
        <f>IF(K$29&lt;'2. Kalkyldata'!$M23,0,-K31/'2. Kalkyldata'!$P$16)</f>
        <v>-7272727.272727272</v>
      </c>
      <c r="L41" s="598">
        <f>IF(L$29&lt;'2. Kalkyldata'!$M23,0,-L31/'2. Kalkyldata'!$P$16)</f>
        <v>-7272727.272727272</v>
      </c>
      <c r="M41" s="598">
        <f>IF(M$29&lt;'2. Kalkyldata'!$M23,0,-M31/'2. Kalkyldata'!$P$16)</f>
        <v>-7272727.272727272</v>
      </c>
      <c r="N41" s="598">
        <f>IF(N$29&lt;'2. Kalkyldata'!$M23,0,-N31/'2. Kalkyldata'!$P$16)</f>
        <v>-7272727.272727272</v>
      </c>
      <c r="O41" s="598">
        <f>IF(O$29&lt;'2. Kalkyldata'!$M23,0,-O31/'2. Kalkyldata'!$P$16)</f>
        <v>-7272727.272727272</v>
      </c>
      <c r="P41" s="598">
        <f>IF(P$29&lt;'2. Kalkyldata'!$M23,0,-P31/'2. Kalkyldata'!$P$16)</f>
        <v>-7272727.272727272</v>
      </c>
      <c r="Q41" s="598">
        <f>IF(Q$29&lt;'2. Kalkyldata'!$M23,0,-Q31/'2. Kalkyldata'!$P$16)</f>
        <v>-7272727.272727272</v>
      </c>
      <c r="R41" s="598">
        <f>IF(R$29&lt;'2. Kalkyldata'!$M23,0,-R31/'2. Kalkyldata'!$P$16)</f>
        <v>-7272727.272727272</v>
      </c>
      <c r="S41" s="598">
        <f>IF(S$29&lt;'2. Kalkyldata'!$M23,0,-S31/'2. Kalkyldata'!$P$16)</f>
        <v>-7272727.272727272</v>
      </c>
      <c r="T41" s="598">
        <f>IF(T$29&lt;'2. Kalkyldata'!$M23,0,-T31/'2. Kalkyldata'!$P$16)</f>
        <v>-7272727.272727272</v>
      </c>
      <c r="U41" s="598">
        <f>IF(U$29&lt;'2. Kalkyldata'!$M23,0,-U31/'2. Kalkyldata'!$P$16)</f>
        <v>-7272727.272727272</v>
      </c>
      <c r="V41" s="598">
        <f>IF(V$29&lt;'2. Kalkyldata'!$M23,0,-V31/'2. Kalkyldata'!$P$16)</f>
        <v>-7272727.272727272</v>
      </c>
      <c r="W41" s="598">
        <f>IF(W$29&lt;'2. Kalkyldata'!$M23,0,-W31/'2. Kalkyldata'!$P$16)</f>
        <v>-7272727.272727272</v>
      </c>
      <c r="X41" s="598">
        <f>IF(X$29&lt;'2. Kalkyldata'!$M23,0,-X31/'2. Kalkyldata'!$P$16)</f>
        <v>-7272727.272727272</v>
      </c>
      <c r="Y41" s="598">
        <f>IF(Y$29&lt;'2. Kalkyldata'!$M23,0,-Y31/'2. Kalkyldata'!$P$16)</f>
        <v>-0.0</v>
      </c>
      <c r="Z41" s="598">
        <f>IF(Z$29&lt;'2. Kalkyldata'!$M23,0,-Z31/'2. Kalkyldata'!$P$16)</f>
        <v>-0.0</v>
      </c>
      <c r="AA41" s="598">
        <f>IF(AA$29&lt;'2. Kalkyldata'!$M23,0,-AA31/'2. Kalkyldata'!$P$16)</f>
        <v>-0.0</v>
      </c>
      <c r="AB41" s="598">
        <f>IF(AB$29&lt;'2. Kalkyldata'!$M23,0,-AB31/'2. Kalkyldata'!$P$16)</f>
        <v>-0.0</v>
      </c>
      <c r="AC41" s="598">
        <f>IF(AC$29&lt;'2. Kalkyldata'!$M23,0,-AC31/'2. Kalkyldata'!$P$16)</f>
        <v>-0.0</v>
      </c>
      <c r="AD41" s="598">
        <f>IF(AD$29&lt;'2. Kalkyldata'!$M23,0,-AD31/'2. Kalkyldata'!$P$16)</f>
        <v>-0.0</v>
      </c>
      <c r="AE41" s="598">
        <f>IF(AE$29&lt;'2. Kalkyldata'!$M23,0,-AE31/'2. Kalkyldata'!$P$16)</f>
        <v>-0.0</v>
      </c>
      <c r="AF41" s="598">
        <f>IF(AF$29&lt;'2. Kalkyldata'!$M23,0,-AF31/'2. Kalkyldata'!$P$16)</f>
        <v>-0.0</v>
      </c>
      <c r="AG41" s="598">
        <f>IF(AG$29&lt;'2. Kalkyldata'!$M23,0,-AG31/'2. Kalkyldata'!$P$16)</f>
        <v>-0.0</v>
      </c>
      <c r="AH41" s="598">
        <f>IF(AH$29&lt;'2. Kalkyldata'!$M23,0,-AH31/'2. Kalkyldata'!$P$16)</f>
        <v>-0.0</v>
      </c>
      <c r="AI41" s="598">
        <f>IF(AI$29&lt;'2. Kalkyldata'!$M23,0,-AI31/'2. Kalkyldata'!$P$16)</f>
        <v>-0.0</v>
      </c>
      <c r="AJ41" s="598">
        <f>IF(AJ$29&lt;'2. Kalkyldata'!$M23,0,-AJ31/'2. Kalkyldata'!$P$16)</f>
        <v>-0.0</v>
      </c>
      <c r="AK41" s="598">
        <f>IF(AK$29&lt;'2. Kalkyldata'!$M23,0,-AK31/'2. Kalkyldata'!$P$16)</f>
        <v>-0.0</v>
      </c>
      <c r="AL41" s="598">
        <f>IF(AL$29&lt;'2. Kalkyldata'!$M23,0,-AL31/'2. Kalkyldata'!$P$16)</f>
        <v>-0.0</v>
      </c>
      <c r="AM41" s="598">
        <f>IF(AM$29&lt;'2. Kalkyldata'!$M23,0,-AM31/'2. Kalkyldata'!$P$16)</f>
        <v>-0.0</v>
      </c>
      <c r="AN41" s="598">
        <f>IF(AN$29&lt;'2. Kalkyldata'!$M23,0,-AN31/'2. Kalkyldata'!$P$16)</f>
        <v>-0.0</v>
      </c>
      <c r="AO41" s="598">
        <f>IF(AO$29&lt;'2. Kalkyldata'!$M23,0,-AO31/'2. Kalkyldata'!$P$16)</f>
        <v>-0.0</v>
      </c>
      <c r="AP41" s="598">
        <f>IF(AP$29&lt;'2. Kalkyldata'!$M23,0,-AP31/'2. Kalkyldata'!$P$16)</f>
        <v>-0.0</v>
      </c>
      <c r="AQ41" s="598">
        <f>IF(AQ$29&lt;'2. Kalkyldata'!$M23,0,-AQ31/'2. Kalkyldata'!$P$16)</f>
        <v>-0.0</v>
      </c>
      <c r="AR41" s="598">
        <f>IF(AR$29&lt;'2. Kalkyldata'!$M23,0,-AR31/'2. Kalkyldata'!$P$16)</f>
        <v>-0.0</v>
      </c>
      <c r="AS41" s="598">
        <f>IF(AS$29&lt;'2. Kalkyldata'!$M23,0,-AS31/'2. Kalkyldata'!$P$16)</f>
        <v>-0.0</v>
      </c>
      <c r="AT41" s="598">
        <f>IF(AT$29&lt;'2. Kalkyldata'!$M23,0,-AT31/'2. Kalkyldata'!$P$16)</f>
        <v>-0.0</v>
      </c>
      <c r="AU41" s="598">
        <f>IF(AU$29&lt;'2. Kalkyldata'!$M23,0,-AU31/'2. Kalkyldata'!$P$16)</f>
        <v>-0.0</v>
      </c>
      <c r="AV41" s="598">
        <f>IF(AV$29&lt;'2. Kalkyldata'!$M23,0,-AV31/'2. Kalkyldata'!$P$16)</f>
        <v>-0.0</v>
      </c>
      <c r="AW41" s="598">
        <f>IF(AW$29&lt;'2. Kalkyldata'!$M23,0,-AW31/'2. Kalkyldata'!$P$16)</f>
        <v>-0.0</v>
      </c>
      <c r="AX41" s="598">
        <f>IF(AX$29&lt;'2. Kalkyldata'!$M23,0,-AX31/'2. Kalkyldata'!$P$16)</f>
        <v>-0.0</v>
      </c>
      <c r="AY41" s="598">
        <f>IF(AY$29&lt;'2. Kalkyldata'!$M23,0,-AY31/'2. Kalkyldata'!$P$16)</f>
        <v>-0.0</v>
      </c>
      <c r="AZ41" s="598">
        <f>IF(AZ$29&lt;'2. Kalkyldata'!$M23,0,-AZ31/'2. Kalkyldata'!$P$16)</f>
        <v>-0.0</v>
      </c>
      <c r="BA41" s="598">
        <f>IF(BA$29&lt;'2. Kalkyldata'!$M23,0,-BA31/'2. Kalkyldata'!$P$16)</f>
        <v>-0.0</v>
      </c>
      <c r="BB41" s="494"/>
      <c r="BC41" s="513"/>
      <c r="BD41" s="513"/>
      <c r="BE41" s="513"/>
      <c r="BF41" s="513"/>
      <c r="BG41" s="513"/>
      <c r="BH41" s="513"/>
      <c r="BI41" s="513"/>
    </row>
    <row r="42" spans="1:61" hidden="1" outlineLevel="1">
      <c r="A42" s="494"/>
      <c r="B42" s="894">
        <f>B32</f>
        <v>0.0</v>
      </c>
      <c r="C42" s="494"/>
      <c r="D42" s="598">
        <f>IF(D$29&lt;'2. Kalkyldata'!$M24,0,-D32/'2. Kalkyldata'!$P$16)</f>
        <v>-0.0</v>
      </c>
      <c r="E42" s="598">
        <f>IF(E$29&lt;'2. Kalkyldata'!$M24,0,-E32/'2. Kalkyldata'!$P$16)</f>
        <v>-0.0</v>
      </c>
      <c r="F42" s="598">
        <f>IF(F$29&lt;'2. Kalkyldata'!$M24,0,-F32/'2. Kalkyldata'!$P$16)</f>
        <v>-0.0</v>
      </c>
      <c r="G42" s="598">
        <f>IF(G$29&lt;'2. Kalkyldata'!$M24,0,-G32/'2. Kalkyldata'!$P$16)</f>
        <v>-0.0</v>
      </c>
      <c r="H42" s="598">
        <f>IF(H$29&lt;'2. Kalkyldata'!$M24,0,-H32/'2. Kalkyldata'!$P$16)</f>
        <v>-0.0</v>
      </c>
      <c r="I42" s="598">
        <f>IF(I$29&lt;'2. Kalkyldata'!$M24,0,-I32/'2. Kalkyldata'!$P$16)</f>
        <v>-0.0</v>
      </c>
      <c r="J42" s="598">
        <f>IF(J$29&lt;'2. Kalkyldata'!$M24,0,-J32/'2. Kalkyldata'!$P$16)</f>
        <v>-0.0</v>
      </c>
      <c r="K42" s="598">
        <f>IF(K$29&lt;'2. Kalkyldata'!$M24,0,-K32/'2. Kalkyldata'!$P$16)</f>
        <v>-0.0</v>
      </c>
      <c r="L42" s="598">
        <f>IF(L$29&lt;'2. Kalkyldata'!$M24,0,-L32/'2. Kalkyldata'!$P$16)</f>
        <v>-0.0</v>
      </c>
      <c r="M42" s="598">
        <f>IF(M$29&lt;'2. Kalkyldata'!$M24,0,-M32/'2. Kalkyldata'!$P$16)</f>
        <v>-0.0</v>
      </c>
      <c r="N42" s="598">
        <f>IF(N$29&lt;'2. Kalkyldata'!$M24,0,-N32/'2. Kalkyldata'!$P$16)</f>
        <v>-0.0</v>
      </c>
      <c r="O42" s="598">
        <f>IF(O$29&lt;'2. Kalkyldata'!$M24,0,-O32/'2. Kalkyldata'!$P$16)</f>
        <v>-0.0</v>
      </c>
      <c r="P42" s="598">
        <f>IF(P$29&lt;'2. Kalkyldata'!$M24,0,-P32/'2. Kalkyldata'!$P$16)</f>
        <v>-0.0</v>
      </c>
      <c r="Q42" s="598">
        <f>IF(Q$29&lt;'2. Kalkyldata'!$M24,0,-Q32/'2. Kalkyldata'!$P$16)</f>
        <v>-0.0</v>
      </c>
      <c r="R42" s="598">
        <f>IF(R$29&lt;'2. Kalkyldata'!$M24,0,-R32/'2. Kalkyldata'!$P$16)</f>
        <v>-0.0</v>
      </c>
      <c r="S42" s="598">
        <f>IF(S$29&lt;'2. Kalkyldata'!$M24,0,-S32/'2. Kalkyldata'!$P$16)</f>
        <v>-0.0</v>
      </c>
      <c r="T42" s="598">
        <f>IF(T$29&lt;'2. Kalkyldata'!$M24,0,-T32/'2. Kalkyldata'!$P$16)</f>
        <v>-0.0</v>
      </c>
      <c r="U42" s="598">
        <f>IF(U$29&lt;'2. Kalkyldata'!$M24,0,-U32/'2. Kalkyldata'!$P$16)</f>
        <v>-0.0</v>
      </c>
      <c r="V42" s="598">
        <f>IF(V$29&lt;'2. Kalkyldata'!$M24,0,-V32/'2. Kalkyldata'!$P$16)</f>
        <v>-0.0</v>
      </c>
      <c r="W42" s="598">
        <f>IF(W$29&lt;'2. Kalkyldata'!$M24,0,-W32/'2. Kalkyldata'!$P$16)</f>
        <v>-0.0</v>
      </c>
      <c r="X42" s="598">
        <f>IF(X$29&lt;'2. Kalkyldata'!$M24,0,-X32/'2. Kalkyldata'!$P$16)</f>
        <v>-0.0</v>
      </c>
      <c r="Y42" s="598">
        <f>IF(Y$29&lt;'2. Kalkyldata'!$M24,0,-Y32/'2. Kalkyldata'!$P$16)</f>
        <v>-0.0</v>
      </c>
      <c r="Z42" s="598">
        <f>IF(Z$29&lt;'2. Kalkyldata'!$M24,0,-Z32/'2. Kalkyldata'!$P$16)</f>
        <v>-0.0</v>
      </c>
      <c r="AA42" s="598">
        <f>IF(AA$29&lt;'2. Kalkyldata'!$M24,0,-AA32/'2. Kalkyldata'!$P$16)</f>
        <v>-0.0</v>
      </c>
      <c r="AB42" s="598">
        <f>IF(AB$29&lt;'2. Kalkyldata'!$M24,0,-AB32/'2. Kalkyldata'!$P$16)</f>
        <v>-0.0</v>
      </c>
      <c r="AC42" s="598">
        <f>IF(AC$29&lt;'2. Kalkyldata'!$M24,0,-AC32/'2. Kalkyldata'!$P$16)</f>
        <v>-0.0</v>
      </c>
      <c r="AD42" s="598">
        <f>IF(AD$29&lt;'2. Kalkyldata'!$M24,0,-AD32/'2. Kalkyldata'!$P$16)</f>
        <v>-0.0</v>
      </c>
      <c r="AE42" s="598">
        <f>IF(AE$29&lt;'2. Kalkyldata'!$M24,0,-AE32/'2. Kalkyldata'!$P$16)</f>
        <v>-0.0</v>
      </c>
      <c r="AF42" s="598">
        <f>IF(AF$29&lt;'2. Kalkyldata'!$M24,0,-AF32/'2. Kalkyldata'!$P$16)</f>
        <v>-0.0</v>
      </c>
      <c r="AG42" s="598">
        <f>IF(AG$29&lt;'2. Kalkyldata'!$M24,0,-AG32/'2. Kalkyldata'!$P$16)</f>
        <v>-0.0</v>
      </c>
      <c r="AH42" s="598">
        <f>IF(AH$29&lt;'2. Kalkyldata'!$M24,0,-AH32/'2. Kalkyldata'!$P$16)</f>
        <v>-0.0</v>
      </c>
      <c r="AI42" s="598">
        <f>IF(AI$29&lt;'2. Kalkyldata'!$M24,0,-AI32/'2. Kalkyldata'!$P$16)</f>
        <v>-0.0</v>
      </c>
      <c r="AJ42" s="598">
        <f>IF(AJ$29&lt;'2. Kalkyldata'!$M24,0,-AJ32/'2. Kalkyldata'!$P$16)</f>
        <v>-0.0</v>
      </c>
      <c r="AK42" s="598">
        <f>IF(AK$29&lt;'2. Kalkyldata'!$M24,0,-AK32/'2. Kalkyldata'!$P$16)</f>
        <v>-0.0</v>
      </c>
      <c r="AL42" s="598">
        <f>IF(AL$29&lt;'2. Kalkyldata'!$M24,0,-AL32/'2. Kalkyldata'!$P$16)</f>
        <v>-0.0</v>
      </c>
      <c r="AM42" s="598">
        <f>IF(AM$29&lt;'2. Kalkyldata'!$M24,0,-AM32/'2. Kalkyldata'!$P$16)</f>
        <v>-0.0</v>
      </c>
      <c r="AN42" s="598">
        <f>IF(AN$29&lt;'2. Kalkyldata'!$M24,0,-AN32/'2. Kalkyldata'!$P$16)</f>
        <v>-0.0</v>
      </c>
      <c r="AO42" s="598">
        <f>IF(AO$29&lt;'2. Kalkyldata'!$M24,0,-AO32/'2. Kalkyldata'!$P$16)</f>
        <v>-0.0</v>
      </c>
      <c r="AP42" s="598">
        <f>IF(AP$29&lt;'2. Kalkyldata'!$M24,0,-AP32/'2. Kalkyldata'!$P$16)</f>
        <v>-0.0</v>
      </c>
      <c r="AQ42" s="598">
        <f>IF(AQ$29&lt;'2. Kalkyldata'!$M24,0,-AQ32/'2. Kalkyldata'!$P$16)</f>
        <v>-0.0</v>
      </c>
      <c r="AR42" s="598">
        <f>IF(AR$29&lt;'2. Kalkyldata'!$M24,0,-AR32/'2. Kalkyldata'!$P$16)</f>
        <v>-0.0</v>
      </c>
      <c r="AS42" s="598">
        <f>IF(AS$29&lt;'2. Kalkyldata'!$M24,0,-AS32/'2. Kalkyldata'!$P$16)</f>
        <v>-0.0</v>
      </c>
      <c r="AT42" s="598">
        <f>IF(AT$29&lt;'2. Kalkyldata'!$M24,0,-AT32/'2. Kalkyldata'!$P$16)</f>
        <v>-0.0</v>
      </c>
      <c r="AU42" s="598">
        <f>IF(AU$29&lt;'2. Kalkyldata'!$M24,0,-AU32/'2. Kalkyldata'!$P$16)</f>
        <v>-0.0</v>
      </c>
      <c r="AV42" s="598">
        <f>IF(AV$29&lt;'2. Kalkyldata'!$M24,0,-AV32/'2. Kalkyldata'!$P$16)</f>
        <v>-0.0</v>
      </c>
      <c r="AW42" s="598">
        <f>IF(AW$29&lt;'2. Kalkyldata'!$M24,0,-AW32/'2. Kalkyldata'!$P$16)</f>
        <v>-0.0</v>
      </c>
      <c r="AX42" s="598">
        <f>IF(AX$29&lt;'2. Kalkyldata'!$M24,0,-AX32/'2. Kalkyldata'!$P$16)</f>
        <v>-0.0</v>
      </c>
      <c r="AY42" s="598">
        <f>IF(AY$29&lt;'2. Kalkyldata'!$M24,0,-AY32/'2. Kalkyldata'!$P$16)</f>
        <v>-0.0</v>
      </c>
      <c r="AZ42" s="598">
        <f>IF(AZ$29&lt;'2. Kalkyldata'!$M24,0,-AZ32/'2. Kalkyldata'!$P$16)</f>
        <v>-0.0</v>
      </c>
      <c r="BA42" s="598">
        <f>IF(BA$29&lt;'2. Kalkyldata'!$M24,0,-BA32/'2. Kalkyldata'!$P$16)</f>
        <v>-0.0</v>
      </c>
      <c r="BB42" s="494"/>
      <c r="BC42" s="513"/>
      <c r="BD42" s="513"/>
      <c r="BE42" s="513"/>
      <c r="BF42" s="513"/>
      <c r="BG42" s="513"/>
      <c r="BH42" s="513"/>
      <c r="BI42" s="513"/>
    </row>
    <row r="43" spans="1:61" hidden="1" outlineLevel="1">
      <c r="A43" s="494"/>
      <c r="B43" s="894">
        <f>B33</f>
        <v>0.0</v>
      </c>
      <c r="C43" s="494"/>
      <c r="D43" s="598">
        <f>IF(D$29&lt;'2. Kalkyldata'!$M25,0,-D33/'2. Kalkyldata'!$P$16)</f>
        <v>-0.0</v>
      </c>
      <c r="E43" s="598">
        <f>IF(E$29&lt;'2. Kalkyldata'!$M25,0,-E33/'2. Kalkyldata'!$P$16)</f>
        <v>-0.0</v>
      </c>
      <c r="F43" s="598">
        <f>IF(F$29&lt;'2. Kalkyldata'!$M25,0,-F33/'2. Kalkyldata'!$P$16)</f>
        <v>-0.0</v>
      </c>
      <c r="G43" s="598">
        <f>IF(G$29&lt;'2. Kalkyldata'!$M25,0,-G33/'2. Kalkyldata'!$P$16)</f>
        <v>-0.0</v>
      </c>
      <c r="H43" s="598">
        <f>IF(H$29&lt;'2. Kalkyldata'!$M25,0,-H33/'2. Kalkyldata'!$P$16)</f>
        <v>-0.0</v>
      </c>
      <c r="I43" s="598">
        <f>IF(I$29&lt;'2. Kalkyldata'!$M25,0,-I33/'2. Kalkyldata'!$P$16)</f>
        <v>-0.0</v>
      </c>
      <c r="J43" s="598">
        <f>IF(J$29&lt;'2. Kalkyldata'!$M25,0,-J33/'2. Kalkyldata'!$P$16)</f>
        <v>-0.0</v>
      </c>
      <c r="K43" s="598">
        <f>IF(K$29&lt;'2. Kalkyldata'!$M25,0,-K33/'2. Kalkyldata'!$P$16)</f>
        <v>-0.0</v>
      </c>
      <c r="L43" s="598">
        <f>IF(L$29&lt;'2. Kalkyldata'!$M25,0,-L33/'2. Kalkyldata'!$P$16)</f>
        <v>-0.0</v>
      </c>
      <c r="M43" s="598">
        <f>IF(M$29&lt;'2. Kalkyldata'!$M25,0,-M33/'2. Kalkyldata'!$P$16)</f>
        <v>-0.0</v>
      </c>
      <c r="N43" s="598">
        <f>IF(N$29&lt;'2. Kalkyldata'!$M25,0,-N33/'2. Kalkyldata'!$P$16)</f>
        <v>-0.0</v>
      </c>
      <c r="O43" s="598">
        <f>IF(O$29&lt;'2. Kalkyldata'!$M25,0,-O33/'2. Kalkyldata'!$P$16)</f>
        <v>-0.0</v>
      </c>
      <c r="P43" s="598">
        <f>IF(P$29&lt;'2. Kalkyldata'!$M25,0,-P33/'2. Kalkyldata'!$P$16)</f>
        <v>-0.0</v>
      </c>
      <c r="Q43" s="598">
        <f>IF(Q$29&lt;'2. Kalkyldata'!$M25,0,-Q33/'2. Kalkyldata'!$P$16)</f>
        <v>-0.0</v>
      </c>
      <c r="R43" s="598">
        <f>IF(R$29&lt;'2. Kalkyldata'!$M25,0,-R33/'2. Kalkyldata'!$P$16)</f>
        <v>-0.0</v>
      </c>
      <c r="S43" s="598">
        <f>IF(S$29&lt;'2. Kalkyldata'!$M25,0,-S33/'2. Kalkyldata'!$P$16)</f>
        <v>-0.0</v>
      </c>
      <c r="T43" s="598">
        <f>IF(T$29&lt;'2. Kalkyldata'!$M25,0,-T33/'2. Kalkyldata'!$P$16)</f>
        <v>-0.0</v>
      </c>
      <c r="U43" s="598">
        <f>IF(U$29&lt;'2. Kalkyldata'!$M25,0,-U33/'2. Kalkyldata'!$P$16)</f>
        <v>-0.0</v>
      </c>
      <c r="V43" s="598">
        <f>IF(V$29&lt;'2. Kalkyldata'!$M25,0,-V33/'2. Kalkyldata'!$P$16)</f>
        <v>-0.0</v>
      </c>
      <c r="W43" s="598">
        <f>IF(W$29&lt;'2. Kalkyldata'!$M25,0,-W33/'2. Kalkyldata'!$P$16)</f>
        <v>-0.0</v>
      </c>
      <c r="X43" s="598">
        <f>IF(X$29&lt;'2. Kalkyldata'!$M25,0,-X33/'2. Kalkyldata'!$P$16)</f>
        <v>-0.0</v>
      </c>
      <c r="Y43" s="598">
        <f>IF(Y$29&lt;'2. Kalkyldata'!$M25,0,-Y33/'2. Kalkyldata'!$P$16)</f>
        <v>-0.0</v>
      </c>
      <c r="Z43" s="598">
        <f>IF(Z$29&lt;'2. Kalkyldata'!$M25,0,-Z33/'2. Kalkyldata'!$P$16)</f>
        <v>-0.0</v>
      </c>
      <c r="AA43" s="598">
        <f>IF(AA$29&lt;'2. Kalkyldata'!$M25,0,-AA33/'2. Kalkyldata'!$P$16)</f>
        <v>-0.0</v>
      </c>
      <c r="AB43" s="598">
        <f>IF(AB$29&lt;'2. Kalkyldata'!$M25,0,-AB33/'2. Kalkyldata'!$P$16)</f>
        <v>-0.0</v>
      </c>
      <c r="AC43" s="598">
        <f>IF(AC$29&lt;'2. Kalkyldata'!$M25,0,-AC33/'2. Kalkyldata'!$P$16)</f>
        <v>-0.0</v>
      </c>
      <c r="AD43" s="598">
        <f>IF(AD$29&lt;'2. Kalkyldata'!$M25,0,-AD33/'2. Kalkyldata'!$P$16)</f>
        <v>-0.0</v>
      </c>
      <c r="AE43" s="598">
        <f>IF(AE$29&lt;'2. Kalkyldata'!$M25,0,-AE33/'2. Kalkyldata'!$P$16)</f>
        <v>-0.0</v>
      </c>
      <c r="AF43" s="598">
        <f>IF(AF$29&lt;'2. Kalkyldata'!$M25,0,-AF33/'2. Kalkyldata'!$P$16)</f>
        <v>-0.0</v>
      </c>
      <c r="AG43" s="598">
        <f>IF(AG$29&lt;'2. Kalkyldata'!$M25,0,-AG33/'2. Kalkyldata'!$P$16)</f>
        <v>-0.0</v>
      </c>
      <c r="AH43" s="598">
        <f>IF(AH$29&lt;'2. Kalkyldata'!$M25,0,-AH33/'2. Kalkyldata'!$P$16)</f>
        <v>-0.0</v>
      </c>
      <c r="AI43" s="598">
        <f>IF(AI$29&lt;'2. Kalkyldata'!$M25,0,-AI33/'2. Kalkyldata'!$P$16)</f>
        <v>-0.0</v>
      </c>
      <c r="AJ43" s="598">
        <f>IF(AJ$29&lt;'2. Kalkyldata'!$M25,0,-AJ33/'2. Kalkyldata'!$P$16)</f>
        <v>-0.0</v>
      </c>
      <c r="AK43" s="598">
        <f>IF(AK$29&lt;'2. Kalkyldata'!$M25,0,-AK33/'2. Kalkyldata'!$P$16)</f>
        <v>-0.0</v>
      </c>
      <c r="AL43" s="598">
        <f>IF(AL$29&lt;'2. Kalkyldata'!$M25,0,-AL33/'2. Kalkyldata'!$P$16)</f>
        <v>-0.0</v>
      </c>
      <c r="AM43" s="598">
        <f>IF(AM$29&lt;'2. Kalkyldata'!$M25,0,-AM33/'2. Kalkyldata'!$P$16)</f>
        <v>-0.0</v>
      </c>
      <c r="AN43" s="598">
        <f>IF(AN$29&lt;'2. Kalkyldata'!$M25,0,-AN33/'2. Kalkyldata'!$P$16)</f>
        <v>-0.0</v>
      </c>
      <c r="AO43" s="598">
        <f>IF(AO$29&lt;'2. Kalkyldata'!$M25,0,-AO33/'2. Kalkyldata'!$P$16)</f>
        <v>-0.0</v>
      </c>
      <c r="AP43" s="598">
        <f>IF(AP$29&lt;'2. Kalkyldata'!$M25,0,-AP33/'2. Kalkyldata'!$P$16)</f>
        <v>-0.0</v>
      </c>
      <c r="AQ43" s="598">
        <f>IF(AQ$29&lt;'2. Kalkyldata'!$M25,0,-AQ33/'2. Kalkyldata'!$P$16)</f>
        <v>-0.0</v>
      </c>
      <c r="AR43" s="598">
        <f>IF(AR$29&lt;'2. Kalkyldata'!$M25,0,-AR33/'2. Kalkyldata'!$P$16)</f>
        <v>-0.0</v>
      </c>
      <c r="AS43" s="598">
        <f>IF(AS$29&lt;'2. Kalkyldata'!$M25,0,-AS33/'2. Kalkyldata'!$P$16)</f>
        <v>-0.0</v>
      </c>
      <c r="AT43" s="598">
        <f>IF(AT$29&lt;'2. Kalkyldata'!$M25,0,-AT33/'2. Kalkyldata'!$P$16)</f>
        <v>-0.0</v>
      </c>
      <c r="AU43" s="598">
        <f>IF(AU$29&lt;'2. Kalkyldata'!$M25,0,-AU33/'2. Kalkyldata'!$P$16)</f>
        <v>-0.0</v>
      </c>
      <c r="AV43" s="598">
        <f>IF(AV$29&lt;'2. Kalkyldata'!$M25,0,-AV33/'2. Kalkyldata'!$P$16)</f>
        <v>-0.0</v>
      </c>
      <c r="AW43" s="598">
        <f>IF(AW$29&lt;'2. Kalkyldata'!$M25,0,-AW33/'2. Kalkyldata'!$P$16)</f>
        <v>-0.0</v>
      </c>
      <c r="AX43" s="598">
        <f>IF(AX$29&lt;'2. Kalkyldata'!$M25,0,-AX33/'2. Kalkyldata'!$P$16)</f>
        <v>-0.0</v>
      </c>
      <c r="AY43" s="598">
        <f>IF(AY$29&lt;'2. Kalkyldata'!$M25,0,-AY33/'2. Kalkyldata'!$P$16)</f>
        <v>-0.0</v>
      </c>
      <c r="AZ43" s="598">
        <f>IF(AZ$29&lt;'2. Kalkyldata'!$M25,0,-AZ33/'2. Kalkyldata'!$P$16)</f>
        <v>-0.0</v>
      </c>
      <c r="BA43" s="598">
        <f>IF(BA$29&lt;'2. Kalkyldata'!$M25,0,-BA33/'2. Kalkyldata'!$P$16)</f>
        <v>-0.0</v>
      </c>
      <c r="BB43" s="494"/>
      <c r="BC43" s="513"/>
      <c r="BD43" s="513"/>
      <c r="BE43" s="513"/>
      <c r="BF43" s="513"/>
      <c r="BG43" s="513"/>
      <c r="BH43" s="513"/>
      <c r="BI43" s="513"/>
    </row>
    <row r="44" spans="1:61" hidden="1" outlineLevel="1">
      <c r="A44" s="494"/>
      <c r="B44" s="894">
        <f>B34</f>
        <v>0.0</v>
      </c>
      <c r="C44" s="494"/>
      <c r="D44" s="598">
        <f>IF(D$29&lt;'2. Kalkyldata'!$M26,0,-D34/'2. Kalkyldata'!$P$16)</f>
        <v>-0.0</v>
      </c>
      <c r="E44" s="598">
        <f>IF(E$29&lt;'2. Kalkyldata'!$M26,0,-E34/'2. Kalkyldata'!$P$16)</f>
        <v>-0.0</v>
      </c>
      <c r="F44" s="598">
        <f>IF(F$29&lt;'2. Kalkyldata'!$M26,0,-F34/'2. Kalkyldata'!$P$16)</f>
        <v>-0.0</v>
      </c>
      <c r="G44" s="598">
        <f>IF(G$29&lt;'2. Kalkyldata'!$M26,0,-G34/'2. Kalkyldata'!$P$16)</f>
        <v>-0.0</v>
      </c>
      <c r="H44" s="598">
        <f>IF(H$29&lt;'2. Kalkyldata'!$M26,0,-H34/'2. Kalkyldata'!$P$16)</f>
        <v>-0.0</v>
      </c>
      <c r="I44" s="598">
        <f>IF(I$29&lt;'2. Kalkyldata'!$M26,0,-I34/'2. Kalkyldata'!$P$16)</f>
        <v>-0.0</v>
      </c>
      <c r="J44" s="598">
        <f>IF(J$29&lt;'2. Kalkyldata'!$M26,0,-J34/'2. Kalkyldata'!$P$16)</f>
        <v>-0.0</v>
      </c>
      <c r="K44" s="598">
        <f>IF(K$29&lt;'2. Kalkyldata'!$M26,0,-K34/'2. Kalkyldata'!$P$16)</f>
        <v>-0.0</v>
      </c>
      <c r="L44" s="598">
        <f>IF(L$29&lt;'2. Kalkyldata'!$M26,0,-L34/'2. Kalkyldata'!$P$16)</f>
        <v>-0.0</v>
      </c>
      <c r="M44" s="598">
        <f>IF(M$29&lt;'2. Kalkyldata'!$M26,0,-M34/'2. Kalkyldata'!$P$16)</f>
        <v>-0.0</v>
      </c>
      <c r="N44" s="598">
        <f>IF(N$29&lt;'2. Kalkyldata'!$M26,0,-N34/'2. Kalkyldata'!$P$16)</f>
        <v>-0.0</v>
      </c>
      <c r="O44" s="598">
        <f>IF(O$29&lt;'2. Kalkyldata'!$M26,0,-O34/'2. Kalkyldata'!$P$16)</f>
        <v>-0.0</v>
      </c>
      <c r="P44" s="598">
        <f>IF(P$29&lt;'2. Kalkyldata'!$M26,0,-P34/'2. Kalkyldata'!$P$16)</f>
        <v>-0.0</v>
      </c>
      <c r="Q44" s="598">
        <f>IF(Q$29&lt;'2. Kalkyldata'!$M26,0,-Q34/'2. Kalkyldata'!$P$16)</f>
        <v>-0.0</v>
      </c>
      <c r="R44" s="598">
        <f>IF(R$29&lt;'2. Kalkyldata'!$M26,0,-R34/'2. Kalkyldata'!$P$16)</f>
        <v>-0.0</v>
      </c>
      <c r="S44" s="598">
        <f>IF(S$29&lt;'2. Kalkyldata'!$M26,0,-S34/'2. Kalkyldata'!$P$16)</f>
        <v>-0.0</v>
      </c>
      <c r="T44" s="598">
        <f>IF(T$29&lt;'2. Kalkyldata'!$M26,0,-T34/'2. Kalkyldata'!$P$16)</f>
        <v>-0.0</v>
      </c>
      <c r="U44" s="598">
        <f>IF(U$29&lt;'2. Kalkyldata'!$M26,0,-U34/'2. Kalkyldata'!$P$16)</f>
        <v>-0.0</v>
      </c>
      <c r="V44" s="598">
        <f>IF(V$29&lt;'2. Kalkyldata'!$M26,0,-V34/'2. Kalkyldata'!$P$16)</f>
        <v>-0.0</v>
      </c>
      <c r="W44" s="598">
        <f>IF(W$29&lt;'2. Kalkyldata'!$M26,0,-W34/'2. Kalkyldata'!$P$16)</f>
        <v>-0.0</v>
      </c>
      <c r="X44" s="598">
        <f>IF(X$29&lt;'2. Kalkyldata'!$M26,0,-X34/'2. Kalkyldata'!$P$16)</f>
        <v>-0.0</v>
      </c>
      <c r="Y44" s="598">
        <f>IF(Y$29&lt;'2. Kalkyldata'!$M26,0,-Y34/'2. Kalkyldata'!$P$16)</f>
        <v>-0.0</v>
      </c>
      <c r="Z44" s="598">
        <f>IF(Z$29&lt;'2. Kalkyldata'!$M26,0,-Z34/'2. Kalkyldata'!$P$16)</f>
        <v>-0.0</v>
      </c>
      <c r="AA44" s="598">
        <f>IF(AA$29&lt;'2. Kalkyldata'!$M26,0,-AA34/'2. Kalkyldata'!$P$16)</f>
        <v>-0.0</v>
      </c>
      <c r="AB44" s="598">
        <f>IF(AB$29&lt;'2. Kalkyldata'!$M26,0,-AB34/'2. Kalkyldata'!$P$16)</f>
        <v>-0.0</v>
      </c>
      <c r="AC44" s="598">
        <f>IF(AC$29&lt;'2. Kalkyldata'!$M26,0,-AC34/'2. Kalkyldata'!$P$16)</f>
        <v>-0.0</v>
      </c>
      <c r="AD44" s="598">
        <f>IF(AD$29&lt;'2. Kalkyldata'!$M26,0,-AD34/'2. Kalkyldata'!$P$16)</f>
        <v>-0.0</v>
      </c>
      <c r="AE44" s="598">
        <f>IF(AE$29&lt;'2. Kalkyldata'!$M26,0,-AE34/'2. Kalkyldata'!$P$16)</f>
        <v>-0.0</v>
      </c>
      <c r="AF44" s="598">
        <f>IF(AF$29&lt;'2. Kalkyldata'!$M26,0,-AF34/'2. Kalkyldata'!$P$16)</f>
        <v>-0.0</v>
      </c>
      <c r="AG44" s="598">
        <f>IF(AG$29&lt;'2. Kalkyldata'!$M26,0,-AG34/'2. Kalkyldata'!$P$16)</f>
        <v>-0.0</v>
      </c>
      <c r="AH44" s="598">
        <f>IF(AH$29&lt;'2. Kalkyldata'!$M26,0,-AH34/'2. Kalkyldata'!$P$16)</f>
        <v>-0.0</v>
      </c>
      <c r="AI44" s="598">
        <f>IF(AI$29&lt;'2. Kalkyldata'!$M26,0,-AI34/'2. Kalkyldata'!$P$16)</f>
        <v>-0.0</v>
      </c>
      <c r="AJ44" s="598">
        <f>IF(AJ$29&lt;'2. Kalkyldata'!$M26,0,-AJ34/'2. Kalkyldata'!$P$16)</f>
        <v>-0.0</v>
      </c>
      <c r="AK44" s="598">
        <f>IF(AK$29&lt;'2. Kalkyldata'!$M26,0,-AK34/'2. Kalkyldata'!$P$16)</f>
        <v>-0.0</v>
      </c>
      <c r="AL44" s="598">
        <f>IF(AL$29&lt;'2. Kalkyldata'!$M26,0,-AL34/'2. Kalkyldata'!$P$16)</f>
        <v>-0.0</v>
      </c>
      <c r="AM44" s="598">
        <f>IF(AM$29&lt;'2. Kalkyldata'!$M26,0,-AM34/'2. Kalkyldata'!$P$16)</f>
        <v>-0.0</v>
      </c>
      <c r="AN44" s="598">
        <f>IF(AN$29&lt;'2. Kalkyldata'!$M26,0,-AN34/'2. Kalkyldata'!$P$16)</f>
        <v>-0.0</v>
      </c>
      <c r="AO44" s="598">
        <f>IF(AO$29&lt;'2. Kalkyldata'!$M26,0,-AO34/'2. Kalkyldata'!$P$16)</f>
        <v>-0.0</v>
      </c>
      <c r="AP44" s="598">
        <f>IF(AP$29&lt;'2. Kalkyldata'!$M26,0,-AP34/'2. Kalkyldata'!$P$16)</f>
        <v>-0.0</v>
      </c>
      <c r="AQ44" s="598">
        <f>IF(AQ$29&lt;'2. Kalkyldata'!$M26,0,-AQ34/'2. Kalkyldata'!$P$16)</f>
        <v>-0.0</v>
      </c>
      <c r="AR44" s="598">
        <f>IF(AR$29&lt;'2. Kalkyldata'!$M26,0,-AR34/'2. Kalkyldata'!$P$16)</f>
        <v>-0.0</v>
      </c>
      <c r="AS44" s="598">
        <f>IF(AS$29&lt;'2. Kalkyldata'!$M26,0,-AS34/'2. Kalkyldata'!$P$16)</f>
        <v>-0.0</v>
      </c>
      <c r="AT44" s="598">
        <f>IF(AT$29&lt;'2. Kalkyldata'!$M26,0,-AT34/'2. Kalkyldata'!$P$16)</f>
        <v>-0.0</v>
      </c>
      <c r="AU44" s="598">
        <f>IF(AU$29&lt;'2. Kalkyldata'!$M26,0,-AU34/'2. Kalkyldata'!$P$16)</f>
        <v>-0.0</v>
      </c>
      <c r="AV44" s="598">
        <f>IF(AV$29&lt;'2. Kalkyldata'!$M26,0,-AV34/'2. Kalkyldata'!$P$16)</f>
        <v>-0.0</v>
      </c>
      <c r="AW44" s="598">
        <f>IF(AW$29&lt;'2. Kalkyldata'!$M26,0,-AW34/'2. Kalkyldata'!$P$16)</f>
        <v>-0.0</v>
      </c>
      <c r="AX44" s="598">
        <f>IF(AX$29&lt;'2. Kalkyldata'!$M26,0,-AX34/'2. Kalkyldata'!$P$16)</f>
        <v>-0.0</v>
      </c>
      <c r="AY44" s="598">
        <f>IF(AY$29&lt;'2. Kalkyldata'!$M26,0,-AY34/'2. Kalkyldata'!$P$16)</f>
        <v>-0.0</v>
      </c>
      <c r="AZ44" s="598">
        <f>IF(AZ$29&lt;'2. Kalkyldata'!$M26,0,-AZ34/'2. Kalkyldata'!$P$16)</f>
        <v>-0.0</v>
      </c>
      <c r="BA44" s="598">
        <f>IF(BA$29&lt;'2. Kalkyldata'!$M26,0,-BA34/'2. Kalkyldata'!$P$16)</f>
        <v>-0.0</v>
      </c>
      <c r="BB44" s="494"/>
      <c r="BC44" s="513"/>
      <c r="BD44" s="513"/>
      <c r="BE44" s="513"/>
      <c r="BF44" s="513"/>
      <c r="BG44" s="513"/>
      <c r="BH44" s="513"/>
      <c r="BI44" s="513"/>
    </row>
    <row r="45" spans="1:61" hidden="1" outlineLevel="1">
      <c r="A45" s="494"/>
      <c r="B45" s="894">
        <f>B35</f>
        <v>0.0</v>
      </c>
      <c r="C45" s="598"/>
      <c r="D45" s="598">
        <f>IF(D$29&lt;'2. Kalkyldata'!$M27,0,-D35/'2. Kalkyldata'!$P$16)</f>
        <v>-0.0</v>
      </c>
      <c r="E45" s="598">
        <f>IF(E$29&lt;'2. Kalkyldata'!$M27,0,-E35/'2. Kalkyldata'!$P$16)</f>
        <v>-0.0</v>
      </c>
      <c r="F45" s="598">
        <f>IF(F$29&lt;'2. Kalkyldata'!$M27,0,-F35/'2. Kalkyldata'!$P$16)</f>
        <v>-0.0</v>
      </c>
      <c r="G45" s="598">
        <f>IF(G$29&lt;'2. Kalkyldata'!$M27,0,-G35/'2. Kalkyldata'!$P$16)</f>
        <v>-0.0</v>
      </c>
      <c r="H45" s="598">
        <f>IF(H$29&lt;'2. Kalkyldata'!$M27,0,-H35/'2. Kalkyldata'!$P$16)</f>
        <v>-0.0</v>
      </c>
      <c r="I45" s="598">
        <f>IF(I$29&lt;'2. Kalkyldata'!$M27,0,-I35/'2. Kalkyldata'!$P$16)</f>
        <v>-0.0</v>
      </c>
      <c r="J45" s="598">
        <f>IF(J$29&lt;'2. Kalkyldata'!$M27,0,-J35/'2. Kalkyldata'!$P$16)</f>
        <v>-0.0</v>
      </c>
      <c r="K45" s="598">
        <f>IF(K$29&lt;'2. Kalkyldata'!$M27,0,-K35/'2. Kalkyldata'!$P$16)</f>
        <v>-0.0</v>
      </c>
      <c r="L45" s="598">
        <f>IF(L$29&lt;'2. Kalkyldata'!$M27,0,-L35/'2. Kalkyldata'!$P$16)</f>
        <v>-0.0</v>
      </c>
      <c r="M45" s="598">
        <f>IF(M$29&lt;'2. Kalkyldata'!$M27,0,-M35/'2. Kalkyldata'!$P$16)</f>
        <v>-0.0</v>
      </c>
      <c r="N45" s="598">
        <f>IF(N$29&lt;'2. Kalkyldata'!$M27,0,-N35/'2. Kalkyldata'!$P$16)</f>
        <v>-0.0</v>
      </c>
      <c r="O45" s="598">
        <f>IF(O$29&lt;'2. Kalkyldata'!$M27,0,-O35/'2. Kalkyldata'!$P$16)</f>
        <v>-0.0</v>
      </c>
      <c r="P45" s="598">
        <f>IF(P$29&lt;'2. Kalkyldata'!$M27,0,-P35/'2. Kalkyldata'!$P$16)</f>
        <v>-0.0</v>
      </c>
      <c r="Q45" s="598">
        <f>IF(Q$29&lt;'2. Kalkyldata'!$M27,0,-Q35/'2. Kalkyldata'!$P$16)</f>
        <v>-0.0</v>
      </c>
      <c r="R45" s="598">
        <f>IF(R$29&lt;'2. Kalkyldata'!$M27,0,-R35/'2. Kalkyldata'!$P$16)</f>
        <v>-0.0</v>
      </c>
      <c r="S45" s="598">
        <f>IF(S$29&lt;'2. Kalkyldata'!$M27,0,-S35/'2. Kalkyldata'!$P$16)</f>
        <v>-0.0</v>
      </c>
      <c r="T45" s="598">
        <f>IF(T$29&lt;'2. Kalkyldata'!$M27,0,-T35/'2. Kalkyldata'!$P$16)</f>
        <v>-0.0</v>
      </c>
      <c r="U45" s="598">
        <f>IF(U$29&lt;'2. Kalkyldata'!$M27,0,-U35/'2. Kalkyldata'!$P$16)</f>
        <v>-0.0</v>
      </c>
      <c r="V45" s="598">
        <f>IF(V$29&lt;'2. Kalkyldata'!$M27,0,-V35/'2. Kalkyldata'!$P$16)</f>
        <v>-0.0</v>
      </c>
      <c r="W45" s="598">
        <f>IF(W$29&lt;'2. Kalkyldata'!$M27,0,-W35/'2. Kalkyldata'!$P$16)</f>
        <v>-0.0</v>
      </c>
      <c r="X45" s="598">
        <f>IF(X$29&lt;'2. Kalkyldata'!$M27,0,-X35/'2. Kalkyldata'!$P$16)</f>
        <v>-0.0</v>
      </c>
      <c r="Y45" s="598">
        <f>IF(Y$29&lt;'2. Kalkyldata'!$M27,0,-Y35/'2. Kalkyldata'!$P$16)</f>
        <v>-0.0</v>
      </c>
      <c r="Z45" s="598">
        <f>IF(Z$29&lt;'2. Kalkyldata'!$M27,0,-Z35/'2. Kalkyldata'!$P$16)</f>
        <v>-0.0</v>
      </c>
      <c r="AA45" s="598">
        <f>IF(AA$29&lt;'2. Kalkyldata'!$M27,0,-AA35/'2. Kalkyldata'!$P$16)</f>
        <v>-0.0</v>
      </c>
      <c r="AB45" s="598">
        <f>IF(AB$29&lt;'2. Kalkyldata'!$M27,0,-AB35/'2. Kalkyldata'!$P$16)</f>
        <v>-0.0</v>
      </c>
      <c r="AC45" s="598">
        <f>IF(AC$29&lt;'2. Kalkyldata'!$M27,0,-AC35/'2. Kalkyldata'!$P$16)</f>
        <v>-0.0</v>
      </c>
      <c r="AD45" s="598">
        <f>IF(AD$29&lt;'2. Kalkyldata'!$M27,0,-AD35/'2. Kalkyldata'!$P$16)</f>
        <v>-0.0</v>
      </c>
      <c r="AE45" s="598">
        <f>IF(AE$29&lt;'2. Kalkyldata'!$M27,0,-AE35/'2. Kalkyldata'!$P$16)</f>
        <v>-0.0</v>
      </c>
      <c r="AF45" s="598">
        <f>IF(AF$29&lt;'2. Kalkyldata'!$M27,0,-AF35/'2. Kalkyldata'!$P$16)</f>
        <v>-0.0</v>
      </c>
      <c r="AG45" s="598">
        <f>IF(AG$29&lt;'2. Kalkyldata'!$M27,0,-AG35/'2. Kalkyldata'!$P$16)</f>
        <v>-0.0</v>
      </c>
      <c r="AH45" s="598">
        <f>IF(AH$29&lt;'2. Kalkyldata'!$M27,0,-AH35/'2. Kalkyldata'!$P$16)</f>
        <v>-0.0</v>
      </c>
      <c r="AI45" s="598">
        <f>IF(AI$29&lt;'2. Kalkyldata'!$M27,0,-AI35/'2. Kalkyldata'!$P$16)</f>
        <v>-0.0</v>
      </c>
      <c r="AJ45" s="598">
        <f>IF(AJ$29&lt;'2. Kalkyldata'!$M27,0,-AJ35/'2. Kalkyldata'!$P$16)</f>
        <v>-0.0</v>
      </c>
      <c r="AK45" s="598">
        <f>IF(AK$29&lt;'2. Kalkyldata'!$M27,0,-AK35/'2. Kalkyldata'!$P$16)</f>
        <v>-0.0</v>
      </c>
      <c r="AL45" s="598">
        <f>IF(AL$29&lt;'2. Kalkyldata'!$M27,0,-AL35/'2. Kalkyldata'!$P$16)</f>
        <v>-0.0</v>
      </c>
      <c r="AM45" s="598">
        <f>IF(AM$29&lt;'2. Kalkyldata'!$M27,0,-AM35/'2. Kalkyldata'!$P$16)</f>
        <v>-0.0</v>
      </c>
      <c r="AN45" s="598">
        <f>IF(AN$29&lt;'2. Kalkyldata'!$M27,0,-AN35/'2. Kalkyldata'!$P$16)</f>
        <v>-0.0</v>
      </c>
      <c r="AO45" s="598">
        <f>IF(AO$29&lt;'2. Kalkyldata'!$M27,0,-AO35/'2. Kalkyldata'!$P$16)</f>
        <v>-0.0</v>
      </c>
      <c r="AP45" s="598">
        <f>IF(AP$29&lt;'2. Kalkyldata'!$M27,0,-AP35/'2. Kalkyldata'!$P$16)</f>
        <v>-0.0</v>
      </c>
      <c r="AQ45" s="598">
        <f>IF(AQ$29&lt;'2. Kalkyldata'!$M27,0,-AQ35/'2. Kalkyldata'!$P$16)</f>
        <v>-0.0</v>
      </c>
      <c r="AR45" s="598">
        <f>IF(AR$29&lt;'2. Kalkyldata'!$M27,0,-AR35/'2. Kalkyldata'!$P$16)</f>
        <v>-0.0</v>
      </c>
      <c r="AS45" s="598">
        <f>IF(AS$29&lt;'2. Kalkyldata'!$M27,0,-AS35/'2. Kalkyldata'!$P$16)</f>
        <v>-0.0</v>
      </c>
      <c r="AT45" s="598">
        <f>IF(AT$29&lt;'2. Kalkyldata'!$M27,0,-AT35/'2. Kalkyldata'!$P$16)</f>
        <v>-0.0</v>
      </c>
      <c r="AU45" s="598">
        <f>IF(AU$29&lt;'2. Kalkyldata'!$M27,0,-AU35/'2. Kalkyldata'!$P$16)</f>
        <v>-0.0</v>
      </c>
      <c r="AV45" s="598">
        <f>IF(AV$29&lt;'2. Kalkyldata'!$M27,0,-AV35/'2. Kalkyldata'!$P$16)</f>
        <v>-0.0</v>
      </c>
      <c r="AW45" s="598">
        <f>IF(AW$29&lt;'2. Kalkyldata'!$M27,0,-AW35/'2. Kalkyldata'!$P$16)</f>
        <v>-0.0</v>
      </c>
      <c r="AX45" s="598">
        <f>IF(AX$29&lt;'2. Kalkyldata'!$M27,0,-AX35/'2. Kalkyldata'!$P$16)</f>
        <v>-0.0</v>
      </c>
      <c r="AY45" s="598">
        <f>IF(AY$29&lt;'2. Kalkyldata'!$M27,0,-AY35/'2. Kalkyldata'!$P$16)</f>
        <v>-0.0</v>
      </c>
      <c r="AZ45" s="598">
        <f>IF(AZ$29&lt;'2. Kalkyldata'!$M27,0,-AZ35/'2. Kalkyldata'!$P$16)</f>
        <v>-0.0</v>
      </c>
      <c r="BA45" s="598">
        <f>IF(BA$29&lt;'2. Kalkyldata'!$M27,0,-BA35/'2. Kalkyldata'!$P$16)</f>
        <v>-0.0</v>
      </c>
      <c r="BB45" s="494"/>
      <c r="BC45" s="513"/>
      <c r="BD45" s="513"/>
      <c r="BE45" s="513"/>
      <c r="BF45" s="513"/>
      <c r="BG45" s="513"/>
      <c r="BH45" s="513"/>
      <c r="BI45" s="513"/>
    </row>
    <row r="46" spans="1:61" hidden="1" outlineLevel="1">
      <c r="A46" s="494"/>
      <c r="B46" s="323" t="s">
        <v>219</v>
      </c>
      <c r="C46" s="598"/>
      <c r="D46" s="598">
        <f>IF(D$29&lt;'2. Kalkyldata'!$M28,0,-D36/'2. Kalkyldata'!$P$16)</f>
        <v>-0.0</v>
      </c>
      <c r="E46" s="598">
        <f>IF(E$29&lt;'2. Kalkyldata'!$M28,0,-E36/'2. Kalkyldata'!$P$16)</f>
        <v>-0.0</v>
      </c>
      <c r="F46" s="598">
        <f>IF(F$29&lt;'2. Kalkyldata'!$M28,0,-F36/'2. Kalkyldata'!$P$16)</f>
        <v>-0.0</v>
      </c>
      <c r="G46" s="598">
        <f>IF(G$29&lt;'2. Kalkyldata'!$M28,0,-G36/'2. Kalkyldata'!$P$16)</f>
        <v>-0.0</v>
      </c>
      <c r="H46" s="598">
        <f>IF(H$29&lt;'2. Kalkyldata'!$M28,0,-H36/'2. Kalkyldata'!$P$16)</f>
        <v>-0.0</v>
      </c>
      <c r="I46" s="598">
        <f>IF(I$29&lt;'2. Kalkyldata'!$M28,0,-I36/'2. Kalkyldata'!$P$16)</f>
        <v>-0.0</v>
      </c>
      <c r="J46" s="598">
        <f>IF(J$29&lt;'2. Kalkyldata'!$M28,0,-J36/'2. Kalkyldata'!$P$16)</f>
        <v>-0.0</v>
      </c>
      <c r="K46" s="598">
        <f>IF(K$29&lt;'2. Kalkyldata'!$M28,0,-K36/'2. Kalkyldata'!$P$16)</f>
        <v>-0.0</v>
      </c>
      <c r="L46" s="598">
        <f>IF(L$29&lt;'2. Kalkyldata'!$M28,0,-L36/'2. Kalkyldata'!$P$16)</f>
        <v>-0.0</v>
      </c>
      <c r="M46" s="598">
        <f>IF(M$29&lt;'2. Kalkyldata'!$M28,0,-M36/'2. Kalkyldata'!$P$16)</f>
        <v>-0.0</v>
      </c>
      <c r="N46" s="598">
        <f>IF(N$29&lt;'2. Kalkyldata'!$M28,0,-N36/'2. Kalkyldata'!$P$16)</f>
        <v>-0.0</v>
      </c>
      <c r="O46" s="598">
        <f>IF(O$29&lt;'2. Kalkyldata'!$M28,0,-O36/'2. Kalkyldata'!$P$16)</f>
        <v>-0.0</v>
      </c>
      <c r="P46" s="598">
        <f>IF(P$29&lt;'2. Kalkyldata'!$M28,0,-P36/'2. Kalkyldata'!$P$16)</f>
        <v>-0.0</v>
      </c>
      <c r="Q46" s="598">
        <f>IF(Q$29&lt;'2. Kalkyldata'!$M28,0,-Q36/'2. Kalkyldata'!$P$16)</f>
        <v>-0.0</v>
      </c>
      <c r="R46" s="598">
        <f>IF(R$29&lt;'2. Kalkyldata'!$M28,0,-R36/'2. Kalkyldata'!$P$16)</f>
        <v>-0.0</v>
      </c>
      <c r="S46" s="598">
        <f>IF(S$29&lt;'2. Kalkyldata'!$M28,0,-S36/'2. Kalkyldata'!$P$16)</f>
        <v>-0.0</v>
      </c>
      <c r="T46" s="598">
        <f>IF(T$29&lt;'2. Kalkyldata'!$M28,0,-T36/'2. Kalkyldata'!$P$16)</f>
        <v>-0.0</v>
      </c>
      <c r="U46" s="598">
        <f>IF(U$29&lt;'2. Kalkyldata'!$M28,0,-U36/'2. Kalkyldata'!$P$16)</f>
        <v>-0.0</v>
      </c>
      <c r="V46" s="598">
        <f>IF(V$29&lt;'2. Kalkyldata'!$M28,0,-V36/'2. Kalkyldata'!$P$16)</f>
        <v>-0.0</v>
      </c>
      <c r="W46" s="598">
        <f>IF(W$29&lt;'2. Kalkyldata'!$M28,0,-W36/'2. Kalkyldata'!$P$16)</f>
        <v>-0.0</v>
      </c>
      <c r="X46" s="598">
        <f>IF(X$29&lt;'2. Kalkyldata'!$M28,0,-X36/'2. Kalkyldata'!$P$16)</f>
        <v>-0.0</v>
      </c>
      <c r="Y46" s="598">
        <f>IF(Y$29&lt;'2. Kalkyldata'!$M28,0,-Y36/'2. Kalkyldata'!$P$16)</f>
        <v>-0.0</v>
      </c>
      <c r="Z46" s="598">
        <f>IF(Z$29&lt;'2. Kalkyldata'!$M28,0,-Z36/'2. Kalkyldata'!$P$16)</f>
        <v>-0.0</v>
      </c>
      <c r="AA46" s="598">
        <f>IF(AA$29&lt;'2. Kalkyldata'!$M28,0,-AA36/'2. Kalkyldata'!$P$16)</f>
        <v>-0.0</v>
      </c>
      <c r="AB46" s="598">
        <f>IF(AB$29&lt;'2. Kalkyldata'!$M28,0,-AB36/'2. Kalkyldata'!$P$16)</f>
        <v>-0.0</v>
      </c>
      <c r="AC46" s="598">
        <f>IF(AC$29&lt;'2. Kalkyldata'!$M28,0,-AC36/'2. Kalkyldata'!$P$16)</f>
        <v>-0.0</v>
      </c>
      <c r="AD46" s="598">
        <f>IF(AD$29&lt;'2. Kalkyldata'!$M28,0,-AD36/'2. Kalkyldata'!$P$16)</f>
        <v>-0.0</v>
      </c>
      <c r="AE46" s="598">
        <f>IF(AE$29&lt;'2. Kalkyldata'!$M28,0,-AE36/'2. Kalkyldata'!$P$16)</f>
        <v>-0.0</v>
      </c>
      <c r="AF46" s="598">
        <f>IF(AF$29&lt;'2. Kalkyldata'!$M28,0,-AF36/'2. Kalkyldata'!$P$16)</f>
        <v>-0.0</v>
      </c>
      <c r="AG46" s="598">
        <f>IF(AG$29&lt;'2. Kalkyldata'!$M28,0,-AG36/'2. Kalkyldata'!$P$16)</f>
        <v>-0.0</v>
      </c>
      <c r="AH46" s="598">
        <f>IF(AH$29&lt;'2. Kalkyldata'!$M28,0,-AH36/'2. Kalkyldata'!$P$16)</f>
        <v>-0.0</v>
      </c>
      <c r="AI46" s="598">
        <f>IF(AI$29&lt;'2. Kalkyldata'!$M28,0,-AI36/'2. Kalkyldata'!$P$16)</f>
        <v>-0.0</v>
      </c>
      <c r="AJ46" s="598">
        <f>IF(AJ$29&lt;'2. Kalkyldata'!$M28,0,-AJ36/'2. Kalkyldata'!$P$16)</f>
        <v>-0.0</v>
      </c>
      <c r="AK46" s="598">
        <f>IF(AK$29&lt;'2. Kalkyldata'!$M28,0,-AK36/'2. Kalkyldata'!$P$16)</f>
        <v>-0.0</v>
      </c>
      <c r="AL46" s="598">
        <f>IF(AL$29&lt;'2. Kalkyldata'!$M28,0,-AL36/'2. Kalkyldata'!$P$16)</f>
        <v>-0.0</v>
      </c>
      <c r="AM46" s="598">
        <f>IF(AM$29&lt;'2. Kalkyldata'!$M28,0,-AM36/'2. Kalkyldata'!$P$16)</f>
        <v>-0.0</v>
      </c>
      <c r="AN46" s="598">
        <f>IF(AN$29&lt;'2. Kalkyldata'!$M28,0,-AN36/'2. Kalkyldata'!$P$16)</f>
        <v>-0.0</v>
      </c>
      <c r="AO46" s="598">
        <f>IF(AO$29&lt;'2. Kalkyldata'!$M28,0,-AO36/'2. Kalkyldata'!$P$16)</f>
        <v>-0.0</v>
      </c>
      <c r="AP46" s="598">
        <f>IF(AP$29&lt;'2. Kalkyldata'!$M28,0,-AP36/'2. Kalkyldata'!$P$16)</f>
        <v>-0.0</v>
      </c>
      <c r="AQ46" s="598">
        <f>IF(AQ$29&lt;'2. Kalkyldata'!$M28,0,-AQ36/'2. Kalkyldata'!$P$16)</f>
        <v>-0.0</v>
      </c>
      <c r="AR46" s="598">
        <f>IF(AR$29&lt;'2. Kalkyldata'!$M28,0,-AR36/'2. Kalkyldata'!$P$16)</f>
        <v>-0.0</v>
      </c>
      <c r="AS46" s="598">
        <f>IF(AS$29&lt;'2. Kalkyldata'!$M28,0,-AS36/'2. Kalkyldata'!$P$16)</f>
        <v>-0.0</v>
      </c>
      <c r="AT46" s="598">
        <f>IF(AT$29&lt;'2. Kalkyldata'!$M28,0,-AT36/'2. Kalkyldata'!$P$16)</f>
        <v>-0.0</v>
      </c>
      <c r="AU46" s="598">
        <f>IF(AU$29&lt;'2. Kalkyldata'!$M28,0,-AU36/'2. Kalkyldata'!$P$16)</f>
        <v>-0.0</v>
      </c>
      <c r="AV46" s="598">
        <f>IF(AV$29&lt;'2. Kalkyldata'!$M28,0,-AV36/'2. Kalkyldata'!$P$16)</f>
        <v>-0.0</v>
      </c>
      <c r="AW46" s="598">
        <f>IF(AW$29&lt;'2. Kalkyldata'!$M28,0,-AW36/'2. Kalkyldata'!$P$16)</f>
        <v>-0.0</v>
      </c>
      <c r="AX46" s="598">
        <f>IF(AX$29&lt;'2. Kalkyldata'!$M28,0,-AX36/'2. Kalkyldata'!$P$16)</f>
        <v>-0.0</v>
      </c>
      <c r="AY46" s="598">
        <f>IF(AY$29&lt;'2. Kalkyldata'!$M28,0,-AY36/'2. Kalkyldata'!$P$16)</f>
        <v>-0.0</v>
      </c>
      <c r="AZ46" s="598">
        <f>IF(AZ$29&lt;'2. Kalkyldata'!$M28,0,-AZ36/'2. Kalkyldata'!$P$16)</f>
        <v>-0.0</v>
      </c>
      <c r="BA46" s="598">
        <f>IF(BA$29&lt;'2. Kalkyldata'!$M28,0,-BA36/'2. Kalkyldata'!$P$16)</f>
        <v>-0.0</v>
      </c>
      <c r="BB46" s="494"/>
      <c r="BC46" s="513"/>
      <c r="BD46" s="513"/>
      <c r="BE46" s="513"/>
      <c r="BF46" s="513"/>
      <c r="BG46" s="513"/>
      <c r="BH46" s="513"/>
      <c r="BI46" s="513"/>
    </row>
    <row r="47" spans="1:61" ht="15" collapsed="1">
      <c r="A47" s="494"/>
      <c r="B47" s="322" t="inlineStr">
        <is>
          <t>Årets avskrivning</t>
        </is>
      </c>
      <c r="C47" s="888" t="inlineStr">
        <is>
          <t>→ 5. IRR</t>
        </is>
      </c>
      <c r="D47" s="211">
        <f>SUM(D40:D46)</f>
        <v>-7272727.272727272</v>
      </c>
      <c r="E47" s="211">
        <f t="shared" ref="E47:AI47" si="7">SUM(E40:E46)</f>
        <v>-7272727.272727272</v>
      </c>
      <c r="F47" s="211">
        <f t="shared" si="7"/>
        <v>-7272727.272727272</v>
      </c>
      <c r="G47" s="211">
        <f t="shared" si="7"/>
        <v>-7272727.272727272</v>
      </c>
      <c r="H47" s="211">
        <f t="shared" si="7"/>
        <v>-7272727.272727272</v>
      </c>
      <c r="I47" s="211">
        <f t="shared" si="7"/>
        <v>-7272727.272727272</v>
      </c>
      <c r="J47" s="211">
        <f t="shared" si="7"/>
        <v>-7272727.272727272</v>
      </c>
      <c r="K47" s="211">
        <f t="shared" si="7"/>
        <v>-7272727.272727272</v>
      </c>
      <c r="L47" s="211">
        <f t="shared" si="7"/>
        <v>-7272727.272727272</v>
      </c>
      <c r="M47" s="211">
        <f t="shared" si="7"/>
        <v>-7272727.272727272</v>
      </c>
      <c r="N47" s="211">
        <f t="shared" si="7"/>
        <v>-7272727.272727272</v>
      </c>
      <c r="O47" s="211">
        <f t="shared" si="7"/>
        <v>-7272727.272727272</v>
      </c>
      <c r="P47" s="211">
        <f t="shared" si="7"/>
        <v>-7272727.272727272</v>
      </c>
      <c r="Q47" s="211">
        <f t="shared" si="7"/>
        <v>-7272727.272727272</v>
      </c>
      <c r="R47" s="211">
        <f t="shared" si="7"/>
        <v>-7272727.272727272</v>
      </c>
      <c r="S47" s="211">
        <f t="shared" si="7"/>
        <v>-7272727.272727272</v>
      </c>
      <c r="T47" s="211">
        <f t="shared" si="7"/>
        <v>-7272727.272727272</v>
      </c>
      <c r="U47" s="211">
        <f t="shared" si="7"/>
        <v>-7272727.272727272</v>
      </c>
      <c r="V47" s="211">
        <f t="shared" si="7"/>
        <v>-7272727.272727272</v>
      </c>
      <c r="W47" s="211">
        <f t="shared" si="7"/>
        <v>-7272727.272727272</v>
      </c>
      <c r="X47" s="211">
        <f t="shared" si="7"/>
        <v>-7272727.272727272</v>
      </c>
      <c r="Y47" s="211">
        <f t="shared" si="7"/>
        <v>0.0</v>
      </c>
      <c r="Z47" s="211">
        <f t="shared" si="7"/>
        <v>0.0</v>
      </c>
      <c r="AA47" s="211">
        <f t="shared" si="7"/>
        <v>0.0</v>
      </c>
      <c r="AB47" s="211">
        <f t="shared" si="7"/>
        <v>0.0</v>
      </c>
      <c r="AC47" s="211">
        <f t="shared" si="7"/>
        <v>0.0</v>
      </c>
      <c r="AD47" s="211">
        <f t="shared" si="7"/>
        <v>0.0</v>
      </c>
      <c r="AE47" s="211">
        <f t="shared" si="7"/>
        <v>0.0</v>
      </c>
      <c r="AF47" s="211">
        <f t="shared" si="7"/>
        <v>0.0</v>
      </c>
      <c r="AG47" s="211">
        <f t="shared" si="7"/>
        <v>0.0</v>
      </c>
      <c r="AH47" s="211">
        <f t="shared" si="7"/>
        <v>0.0</v>
      </c>
      <c r="AI47" s="211">
        <f t="shared" si="7"/>
        <v>0.0</v>
      </c>
      <c r="AJ47" s="211">
        <f>SUM(AJ40:AJ46)</f>
        <v>0.0</v>
      </c>
      <c r="AK47" s="211">
        <f t="shared" ref="AK47:BA47" si="8">SUM(AK40:AK46)</f>
        <v>0.0</v>
      </c>
      <c r="AL47" s="211">
        <f t="shared" si="8"/>
        <v>0.0</v>
      </c>
      <c r="AM47" s="211">
        <f t="shared" si="8"/>
        <v>0.0</v>
      </c>
      <c r="AN47" s="211">
        <f t="shared" si="8"/>
        <v>0.0</v>
      </c>
      <c r="AO47" s="211">
        <f t="shared" si="8"/>
        <v>0.0</v>
      </c>
      <c r="AP47" s="211">
        <f t="shared" si="8"/>
        <v>0.0</v>
      </c>
      <c r="AQ47" s="211">
        <f t="shared" si="8"/>
        <v>0.0</v>
      </c>
      <c r="AR47" s="211">
        <f t="shared" si="8"/>
        <v>0.0</v>
      </c>
      <c r="AS47" s="211">
        <f t="shared" si="8"/>
        <v>0.0</v>
      </c>
      <c r="AT47" s="211">
        <f t="shared" si="8"/>
        <v>0.0</v>
      </c>
      <c r="AU47" s="211">
        <f t="shared" si="8"/>
        <v>0.0</v>
      </c>
      <c r="AV47" s="211">
        <f t="shared" si="8"/>
        <v>0.0</v>
      </c>
      <c r="AW47" s="211">
        <f t="shared" si="8"/>
        <v>0.0</v>
      </c>
      <c r="AX47" s="211">
        <f t="shared" si="8"/>
        <v>0.0</v>
      </c>
      <c r="AY47" s="211">
        <f t="shared" si="8"/>
        <v>0.0</v>
      </c>
      <c r="AZ47" s="211">
        <f t="shared" si="8"/>
        <v>0.0</v>
      </c>
      <c r="BA47" s="211">
        <f t="shared" si="8"/>
        <v>0.0</v>
      </c>
      <c r="BB47" s="494"/>
      <c r="BC47" s="513"/>
      <c r="BD47" s="513"/>
      <c r="BE47" s="513"/>
      <c r="BF47" s="513"/>
      <c r="BG47" s="513"/>
      <c r="BH47" s="513"/>
      <c r="BI47" s="513"/>
    </row>
    <row r="48" spans="1:61">
      <c r="A48" s="494"/>
      <c r="B48" s="513"/>
      <c r="C48" s="598"/>
      <c r="D48" s="598"/>
      <c r="E48" s="598"/>
      <c r="F48" s="598"/>
      <c r="G48" s="598"/>
      <c r="H48" s="598"/>
      <c r="I48" s="598"/>
      <c r="J48" s="494"/>
      <c r="K48" s="494"/>
      <c r="L48" s="494"/>
      <c r="M48" s="494"/>
      <c r="N48" s="494"/>
      <c r="O48" s="494"/>
      <c r="P48" s="494"/>
      <c r="Q48" s="494"/>
      <c r="R48" s="494"/>
      <c r="S48" s="494"/>
      <c r="T48" s="494"/>
      <c r="U48" s="494"/>
      <c r="V48" s="494"/>
      <c r="W48" s="494"/>
      <c r="X48" s="494"/>
      <c r="Y48" s="494"/>
      <c r="Z48" s="494"/>
      <c r="AA48" s="494"/>
      <c r="AB48" s="494"/>
      <c r="AC48" s="494"/>
      <c r="AD48" s="494"/>
      <c r="AE48" s="494"/>
      <c r="AF48" s="494"/>
      <c r="AG48" s="494"/>
      <c r="AH48" s="494"/>
      <c r="AI48" s="494"/>
      <c r="AJ48" s="494"/>
      <c r="AK48" s="494"/>
      <c r="AL48" s="494"/>
      <c r="AM48" s="494"/>
      <c r="AN48" s="494"/>
      <c r="AO48" s="494"/>
      <c r="AP48" s="494"/>
      <c r="AQ48" s="494"/>
      <c r="AR48" s="494"/>
      <c r="AS48" s="494"/>
      <c r="AT48" s="494"/>
      <c r="AU48" s="494"/>
      <c r="AV48" s="494"/>
      <c r="AW48" s="494"/>
      <c r="AX48" s="494"/>
      <c r="AY48" s="494"/>
      <c r="AZ48" s="494"/>
      <c r="BA48" s="494"/>
      <c r="BB48" s="494"/>
      <c r="BC48" s="513"/>
      <c r="BD48" s="513"/>
      <c r="BE48" s="513"/>
      <c r="BF48" s="513"/>
      <c r="BG48" s="513"/>
      <c r="BH48" s="513"/>
      <c r="BI48" s="513"/>
    </row>
    <row r="49" spans="1:54" ht="15">
      <c r="A49" s="494"/>
      <c r="B49" s="322" t="inlineStr">
        <is>
          <t>ÅTERSTÅENDE BOKFÖRT VÄRDE</t>
        </is>
      </c>
      <c r="C49" s="787" t="inlineStr">
        <is>
          <t>Bokfört värde minus ackumulerad avskrivning (används i 5. IRR)</t>
        </is>
      </c>
      <c r="D49" s="494"/>
      <c r="E49" s="494"/>
      <c r="F49" s="494"/>
      <c r="G49" s="494"/>
      <c r="H49" s="494"/>
      <c r="I49" s="494"/>
      <c r="J49" s="494"/>
      <c r="K49" s="494"/>
      <c r="L49" s="494"/>
      <c r="M49" s="494"/>
      <c r="N49" s="494"/>
      <c r="O49" s="494"/>
      <c r="P49" s="494"/>
      <c r="Q49" s="494"/>
      <c r="R49" s="494"/>
      <c r="S49" s="494"/>
      <c r="T49" s="494"/>
      <c r="U49" s="494"/>
      <c r="V49" s="494"/>
      <c r="W49" s="494"/>
      <c r="X49" s="494"/>
      <c r="Y49" s="494"/>
      <c r="Z49" s="494"/>
      <c r="AA49" s="494"/>
      <c r="AB49" s="494"/>
      <c r="AC49" s="494"/>
      <c r="AD49" s="494"/>
      <c r="AE49" s="494"/>
      <c r="AF49" s="494"/>
      <c r="AG49" s="494"/>
      <c r="AH49" s="494"/>
      <c r="AI49" s="494"/>
      <c r="AJ49" s="494"/>
      <c r="AK49" s="494"/>
      <c r="AL49" s="494"/>
      <c r="AM49" s="494"/>
      <c r="AN49" s="494"/>
      <c r="AO49" s="494"/>
      <c r="AP49" s="494"/>
      <c r="AQ49" s="494"/>
      <c r="AR49" s="494"/>
      <c r="AS49" s="494"/>
      <c r="AT49" s="494"/>
      <c r="AU49" s="494"/>
      <c r="AV49" s="494"/>
      <c r="AW49" s="494"/>
      <c r="AX49" s="494"/>
      <c r="AY49" s="494"/>
      <c r="AZ49" s="494"/>
      <c r="BA49" s="494"/>
      <c r="BB49" s="494"/>
    </row>
    <row r="50" spans="1:54" hidden="1" outlineLevel="1">
      <c r="A50" s="494"/>
      <c r="B50" s="323" t="inlineStr">
        <is>
          <t>Befintligt bokfört värde</t>
        </is>
      </c>
      <c r="C50" s="494"/>
      <c r="D50" s="598">
        <f>IF(D30+SUM($D$40:D$40)&lt;0,0,(D$30+SUM($D$40:D$40)))</f>
        <v>0.0</v>
      </c>
      <c r="E50" s="598">
        <f>IF(E30+SUM($D$40:E$40)&lt;0,0,(E$30+SUM($D$40:E$40)))</f>
        <v>0.0</v>
      </c>
      <c r="F50" s="598">
        <f>IF(F30+SUM($D$40:F$40)&lt;0,0,(F$30+SUM($D$40:F$40)))</f>
        <v>0.0</v>
      </c>
      <c r="G50" s="598">
        <f>IF(G30+SUM($D$40:G$40)&lt;0,0,(G$30+SUM($D$40:G$40)))</f>
        <v>0.0</v>
      </c>
      <c r="H50" s="598">
        <f>IF(H30+SUM($D$40:H$40)&lt;0,0,(H$30+SUM($D$40:H$40)))</f>
        <v>0.0</v>
      </c>
      <c r="I50" s="598">
        <f>IF(I30+SUM($D$40:I$40)&lt;0,0,(I$30+SUM($D$40:I$40)))</f>
        <v>0.0</v>
      </c>
      <c r="J50" s="598">
        <f>IF(J30+SUM($D$40:J$40)&lt;0,0,(J$30+SUM($D$40:J$40)))</f>
        <v>0.0</v>
      </c>
      <c r="K50" s="598">
        <f>IF(K30+SUM($D$40:K$40)&lt;0,0,(K$30+SUM($D$40:K$40)))</f>
        <v>0.0</v>
      </c>
      <c r="L50" s="598">
        <f>IF(L30+SUM($D$40:L$40)&lt;0,0,(L$30+SUM($D$40:L$40)))</f>
        <v>0.0</v>
      </c>
      <c r="M50" s="598">
        <f>IF(M30+SUM($D$40:M$40)&lt;0,0,(M$30+SUM($D$40:M$40)))</f>
        <v>0.0</v>
      </c>
      <c r="N50" s="598">
        <f>IF(N30+SUM($D$40:N$40)&lt;0,0,(N$30+SUM($D$40:N$40)))</f>
        <v>0.0</v>
      </c>
      <c r="O50" s="598">
        <f>IF(O30+SUM($D$40:O$40)&lt;0,0,(O$30+SUM($D$40:O$40)))</f>
        <v>0.0</v>
      </c>
      <c r="P50" s="598">
        <f>IF(P30+SUM($D$40:P$40)&lt;0,0,(P$30+SUM($D$40:P$40)))</f>
        <v>0.0</v>
      </c>
      <c r="Q50" s="598">
        <f>IF(Q30+SUM($D$40:Q$40)&lt;0,0,(Q$30+SUM($D$40:Q$40)))</f>
        <v>0.0</v>
      </c>
      <c r="R50" s="598">
        <f>IF(R30+SUM($D$40:R$40)&lt;0,0,(R$30+SUM($D$40:R$40)))</f>
        <v>0.0</v>
      </c>
      <c r="S50" s="598">
        <f>IF(S30+SUM($D$40:S$40)&lt;0,0,(S$30+SUM($D$40:S$40)))</f>
        <v>0.0</v>
      </c>
      <c r="T50" s="598">
        <f>IF(T30+SUM($D$40:T$40)&lt;0,0,(T$30+SUM($D$40:T$40)))</f>
        <v>0.0</v>
      </c>
      <c r="U50" s="598">
        <f>IF(U30+SUM($D$40:U$40)&lt;0,0,(U$30+SUM($D$40:U$40)))</f>
        <v>0.0</v>
      </c>
      <c r="V50" s="598">
        <f>IF(V30+SUM($D$40:V$40)&lt;0,0,(V$30+SUM($D$40:V$40)))</f>
        <v>0.0</v>
      </c>
      <c r="W50" s="598">
        <f>IF(W30+SUM($D$40:W$40)&lt;0,0,(W$30+SUM($D$40:W$40)))</f>
        <v>0.0</v>
      </c>
      <c r="X50" s="598">
        <f>IF(X30+SUM($D$40:X$40)&lt;0,0,(X$30+SUM($D$40:X$40)))</f>
        <v>0.0</v>
      </c>
      <c r="Y50" s="598">
        <f>IF(Y30+SUM($D$40:Y$40)&lt;0,0,(Y$30+SUM($D$40:Y$40)))</f>
        <v>0.0</v>
      </c>
      <c r="Z50" s="598">
        <f>IF(Z30+SUM($D$40:Z$40)&lt;0,0,(Z$30+SUM($D$40:Z$40)))</f>
        <v>0.0</v>
      </c>
      <c r="AA50" s="598">
        <f>IF(AA30+SUM($D$40:AA$40)&lt;0,0,(AA$30+SUM($D$40:AA$40)))</f>
        <v>0.0</v>
      </c>
      <c r="AB50" s="598">
        <f>IF(AB30+SUM($D$40:AB$40)&lt;0,0,(AB$30+SUM($D$40:AB$40)))</f>
        <v>0.0</v>
      </c>
      <c r="AC50" s="598">
        <f>IF(AC30+SUM($D$40:AC$40)&lt;0,0,(AC$30+SUM($D$40:AC$40)))</f>
        <v>0.0</v>
      </c>
      <c r="AD50" s="598">
        <f>IF(AD30+SUM($D$40:AD$40)&lt;0,0,(AD$30+SUM($D$40:AD$40)))</f>
        <v>0.0</v>
      </c>
      <c r="AE50" s="598">
        <f>IF(AE30+SUM($D$40:AE$40)&lt;0,0,(AE$30+SUM($D$40:AE$40)))</f>
        <v>0.0</v>
      </c>
      <c r="AF50" s="598">
        <f>IF(AF30+SUM($D$40:AF$40)&lt;0,0,(AF$30+SUM($D$40:AF$40)))</f>
        <v>0.0</v>
      </c>
      <c r="AG50" s="598">
        <f>IF(AG30+SUM($D$40:AG$40)&lt;0,0,(AG$30+SUM($D$40:AG$40)))</f>
        <v>0.0</v>
      </c>
      <c r="AH50" s="598">
        <f>IF(AH30+SUM($D$40:AH$40)&lt;0,0,(AH$30+SUM($D$40:AH$40)))</f>
        <v>0.0</v>
      </c>
      <c r="AI50" s="598">
        <f>IF(AI30+SUM($D$40:AI$40)&lt;0,0,(AI$30+SUM($D$40:AI$40)))</f>
        <v>0.0</v>
      </c>
      <c r="AJ50" s="598">
        <f>IF(AJ30+SUM($D$40:AJ$40)&lt;0,0,(AJ$30+SUM($D$40:AJ$40)))</f>
        <v>0.0</v>
      </c>
      <c r="AK50" s="598">
        <f>IF(AK30+SUM($D$40:AK$40)&lt;0,0,(AK$30+SUM($D$40:AK$40)))</f>
        <v>0.0</v>
      </c>
      <c r="AL50" s="598">
        <f>IF(AL30+SUM($D$40:AL$40)&lt;0,0,(AL$30+SUM($D$40:AL$40)))</f>
        <v>0.0</v>
      </c>
      <c r="AM50" s="598">
        <f>IF(AM30+SUM($D$40:AM$40)&lt;0,0,(AM$30+SUM($D$40:AM$40)))</f>
        <v>0.0</v>
      </c>
      <c r="AN50" s="598">
        <f>IF(AN30+SUM($D$40:AN$40)&lt;0,0,(AN$30+SUM($D$40:AN$40)))</f>
        <v>0.0</v>
      </c>
      <c r="AO50" s="598">
        <f>IF(AO30+SUM($D$40:AO$40)&lt;0,0,(AO$30+SUM($D$40:AO$40)))</f>
        <v>0.0</v>
      </c>
      <c r="AP50" s="598">
        <f>IF(AP30+SUM($D$40:AP$40)&lt;0,0,(AP$30+SUM($D$40:AP$40)))</f>
        <v>0.0</v>
      </c>
      <c r="AQ50" s="598">
        <f>IF(AQ30+SUM($D$40:AQ$40)&lt;0,0,(AQ$30+SUM($D$40:AQ$40)))</f>
        <v>0.0</v>
      </c>
      <c r="AR50" s="598">
        <f>IF(AR30+SUM($D$40:AR$40)&lt;0,0,(AR$30+SUM($D$40:AR$40)))</f>
        <v>0.0</v>
      </c>
      <c r="AS50" s="598">
        <f>IF(AS30+SUM($D$40:AS$40)&lt;0,0,(AS$30+SUM($D$40:AS$40)))</f>
        <v>0.0</v>
      </c>
      <c r="AT50" s="598">
        <f>IF(AT30+SUM($D$40:AT$40)&lt;0,0,(AT$30+SUM($D$40:AT$40)))</f>
        <v>0.0</v>
      </c>
      <c r="AU50" s="598">
        <f>IF(AU30+SUM($D$40:AU$40)&lt;0,0,(AU$30+SUM($D$40:AU$40)))</f>
        <v>0.0</v>
      </c>
      <c r="AV50" s="598">
        <f>IF(AV30+SUM($D$40:AV$40)&lt;0,0,(AV$30+SUM($D$40:AV$40)))</f>
        <v>0.0</v>
      </c>
      <c r="AW50" s="598">
        <f>IF(AW30+SUM($D$40:AW$40)&lt;0,0,(AW$30+SUM($D$40:AW$40)))</f>
        <v>0.0</v>
      </c>
      <c r="AX50" s="598">
        <f>IF(AX30+SUM($D$40:AX$40)&lt;0,0,(AX$30+SUM($D$40:AX$40)))</f>
        <v>0.0</v>
      </c>
      <c r="AY50" s="598">
        <f>IF(AY30+SUM($D$40:AY$40)&lt;0,0,(AY$30+SUM($D$40:AY$40)))</f>
        <v>0.0</v>
      </c>
      <c r="AZ50" s="598">
        <f>IF(AZ30+SUM($D$40:AZ$40)&lt;0,0,(AZ$30+SUM($D$40:AZ$40)))</f>
        <v>0.0</v>
      </c>
      <c r="BA50" s="598">
        <f>IF(BA30+SUM($D$40:BA$40)&lt;0,0,(BA$30+SUM($D$40:BA$40)))</f>
        <v>0.0</v>
      </c>
      <c r="BB50" s="494"/>
    </row>
    <row r="51" spans="1:54" hidden="1" outlineLevel="1">
      <c r="A51" s="494"/>
      <c r="B51" s="894" t="str">
        <f t="shared" ref="B51:B56" si="9">B41</f>
        <v>Skola</v>
      </c>
      <c r="C51" s="494"/>
      <c r="D51" s="598">
        <f>IF(D31+SUM($D$41:D$41)&lt;0,0,(D$31+SUM($D$41:D$41)))</f>
        <v>232727272.7272727</v>
      </c>
      <c r="E51" s="598">
        <f>IF(E31+SUM($D$41:E$41)&lt;0,0,(E$31+SUM($D$41:E$41)))</f>
        <v>225454545.45454544</v>
      </c>
      <c r="F51" s="598">
        <f>IF(F31+SUM($D$41:F$41)&lt;0,0,(F$31+SUM($D$41:F$41)))</f>
        <v>218181818.18181816</v>
      </c>
      <c r="G51" s="598">
        <f>IF(G31+SUM($D$41:G$41)&lt;0,0,(G$31+SUM($D$41:G$41)))</f>
        <v>210909090.90909088</v>
      </c>
      <c r="H51" s="598">
        <f>IF(H31+SUM($D$41:H$41)&lt;0,0,(H$31+SUM($D$41:H$41)))</f>
        <v>203636363.63636363</v>
      </c>
      <c r="I51" s="598">
        <f>IF(I31+SUM($D$41:I$41)&lt;0,0,(I$31+SUM($D$41:I$41)))</f>
        <v>196363636.36363634</v>
      </c>
      <c r="J51" s="598">
        <f>IF(J31+SUM($D$41:J$41)&lt;0,0,(J$31+SUM($D$41:J$41)))</f>
        <v>189090909.09090906</v>
      </c>
      <c r="K51" s="598">
        <f>IF(K31+SUM($D$41:K$41)&lt;0,0,(K$31+SUM($D$41:K$41)))</f>
        <v>181818181.8181818</v>
      </c>
      <c r="L51" s="598">
        <f>IF(L31+SUM($D$41:L$41)&lt;0,0,(L$31+SUM($D$41:L$41)))</f>
        <v>174545454.54545453</v>
      </c>
      <c r="M51" s="598">
        <f>IF(M31+SUM($D$41:M$41)&lt;0,0,(M$31+SUM($D$41:M$41)))</f>
        <v>167272727.27272725</v>
      </c>
      <c r="N51" s="598">
        <f>IF(N31+SUM($D$41:N$41)&lt;0,0,(N$31+SUM($D$41:N$41)))</f>
        <v>160000000.0</v>
      </c>
      <c r="O51" s="598">
        <f>IF(O31+SUM($D$41:O$41)&lt;0,0,(O$31+SUM($D$41:O$41)))</f>
        <v>152727272.72727272</v>
      </c>
      <c r="P51" s="598">
        <f>IF(P31+SUM($D$41:P$41)&lt;0,0,(P$31+SUM($D$41:P$41)))</f>
        <v>145454545.45454544</v>
      </c>
      <c r="Q51" s="598">
        <f>IF(Q31+SUM($D$41:Q$41)&lt;0,0,(Q$31+SUM($D$41:Q$41)))</f>
        <v>138181818.1818182</v>
      </c>
      <c r="R51" s="598">
        <f>IF(R31+SUM($D$41:R$41)&lt;0,0,(R$31+SUM($D$41:R$41)))</f>
        <v>130909090.9090909</v>
      </c>
      <c r="S51" s="598">
        <f>IF(S31+SUM($D$41:S$41)&lt;0,0,(S$31+SUM($D$41:S$41)))</f>
        <v>123636363.63636363</v>
      </c>
      <c r="T51" s="598">
        <f>IF(T31+SUM($D$41:T$41)&lt;0,0,(T$31+SUM($D$41:T$41)))</f>
        <v>116363636.36363636</v>
      </c>
      <c r="U51" s="598">
        <f>IF(U31+SUM($D$41:U$41)&lt;0,0,(U$31+SUM($D$41:U$41)))</f>
        <v>109090909.0909091</v>
      </c>
      <c r="V51" s="598">
        <f>IF(V31+SUM($D$41:V$41)&lt;0,0,(V$31+SUM($D$41:V$41)))</f>
        <v>101818181.81818181</v>
      </c>
      <c r="W51" s="598">
        <f>IF(W31+SUM($D$41:W$41)&lt;0,0,(W$31+SUM($D$41:W$41)))</f>
        <v>94545454.54545453</v>
      </c>
      <c r="X51" s="598">
        <f>IF(X31+SUM($D$41:X$41)&lt;0,0,(X$31+SUM($D$41:X$41)))</f>
        <v>87272727.27272725</v>
      </c>
      <c r="Y51" s="598">
        <f>IF(Y31+SUM($D$41:Y$41)&lt;0,0,(Y$31+SUM($D$41:Y$41)))</f>
        <v>0.0</v>
      </c>
      <c r="Z51" s="598">
        <f>IF(Z31+SUM($D$41:Z$41)&lt;0,0,(Z$31+SUM($D$41:Z$41)))</f>
        <v>0.0</v>
      </c>
      <c r="AA51" s="598">
        <f>IF(AA31+SUM($D$41:AA$41)&lt;0,0,(AA$31+SUM($D$41:AA$41)))</f>
        <v>0.0</v>
      </c>
      <c r="AB51" s="598">
        <f>IF(AB31+SUM($D$41:AB$41)&lt;0,0,(AB$31+SUM($D$41:AB$41)))</f>
        <v>0.0</v>
      </c>
      <c r="AC51" s="598">
        <f>IF(AC31+SUM($D$41:AC$41)&lt;0,0,(AC$31+SUM($D$41:AC$41)))</f>
        <v>0.0</v>
      </c>
      <c r="AD51" s="598">
        <f>IF(AD31+SUM($D$41:AD$41)&lt;0,0,(AD$31+SUM($D$41:AD$41)))</f>
        <v>0.0</v>
      </c>
      <c r="AE51" s="598">
        <f>IF(AE31+SUM($D$41:AE$41)&lt;0,0,(AE$31+SUM($D$41:AE$41)))</f>
        <v>0.0</v>
      </c>
      <c r="AF51" s="598">
        <f>IF(AF31+SUM($D$41:AF$41)&lt;0,0,(AF$31+SUM($D$41:AF$41)))</f>
        <v>0.0</v>
      </c>
      <c r="AG51" s="598">
        <f>IF(AG31+SUM($D$41:AG$41)&lt;0,0,(AG$31+SUM($D$41:AG$41)))</f>
        <v>0.0</v>
      </c>
      <c r="AH51" s="598">
        <f>IF(AH31+SUM($D$41:AH$41)&lt;0,0,(AH$31+SUM($D$41:AH$41)))</f>
        <v>0.0</v>
      </c>
      <c r="AI51" s="598">
        <f>IF(AI31+SUM($D$41:AI$41)&lt;0,0,(AI$31+SUM($D$41:AI$41)))</f>
        <v>0.0</v>
      </c>
      <c r="AJ51" s="598">
        <f>IF(AJ31+SUM($D$41:AJ$41)&lt;0,0,(AJ$31+SUM($D$41:AJ$41)))</f>
        <v>0.0</v>
      </c>
      <c r="AK51" s="598">
        <f>IF(AK31+SUM($D$41:AK$41)&lt;0,0,(AK$31+SUM($D$41:AK$41)))</f>
        <v>0.0</v>
      </c>
      <c r="AL51" s="598">
        <f>IF(AL31+SUM($D$41:AL$41)&lt;0,0,(AL$31+SUM($D$41:AL$41)))</f>
        <v>0.0</v>
      </c>
      <c r="AM51" s="598">
        <f>IF(AM31+SUM($D$41:AM$41)&lt;0,0,(AM$31+SUM($D$41:AM$41)))</f>
        <v>0.0</v>
      </c>
      <c r="AN51" s="598">
        <f>IF(AN31+SUM($D$41:AN$41)&lt;0,0,(AN$31+SUM($D$41:AN$41)))</f>
        <v>0.0</v>
      </c>
      <c r="AO51" s="598">
        <f>IF(AO31+SUM($D$41:AO$41)&lt;0,0,(AO$31+SUM($D$41:AO$41)))</f>
        <v>0.0</v>
      </c>
      <c r="AP51" s="598">
        <f>IF(AP31+SUM($D$41:AP$41)&lt;0,0,(AP$31+SUM($D$41:AP$41)))</f>
        <v>0.0</v>
      </c>
      <c r="AQ51" s="598">
        <f>IF(AQ31+SUM($D$41:AQ$41)&lt;0,0,(AQ$31+SUM($D$41:AQ$41)))</f>
        <v>0.0</v>
      </c>
      <c r="AR51" s="598">
        <f>IF(AR31+SUM($D$41:AR$41)&lt;0,0,(AR$31+SUM($D$41:AR$41)))</f>
        <v>0.0</v>
      </c>
      <c r="AS51" s="598">
        <f>IF(AS31+SUM($D$41:AS$41)&lt;0,0,(AS$31+SUM($D$41:AS$41)))</f>
        <v>0.0</v>
      </c>
      <c r="AT51" s="598">
        <f>IF(AT31+SUM($D$41:AT$41)&lt;0,0,(AT$31+SUM($D$41:AT$41)))</f>
        <v>0.0</v>
      </c>
      <c r="AU51" s="598">
        <f>IF(AU31+SUM($D$41:AU$41)&lt;0,0,(AU$31+SUM($D$41:AU$41)))</f>
        <v>0.0</v>
      </c>
      <c r="AV51" s="598">
        <f>IF(AV31+SUM($D$41:AV$41)&lt;0,0,(AV$31+SUM($D$41:AV$41)))</f>
        <v>0.0</v>
      </c>
      <c r="AW51" s="598">
        <f>IF(AW31+SUM($D$41:AW$41)&lt;0,0,(AW$31+SUM($D$41:AW$41)))</f>
        <v>0.0</v>
      </c>
      <c r="AX51" s="598">
        <f>IF(AX31+SUM($D$41:AX$41)&lt;0,0,(AX$31+SUM($D$41:AX$41)))</f>
        <v>0.0</v>
      </c>
      <c r="AY51" s="598">
        <f>IF(AY31+SUM($D$41:AY$41)&lt;0,0,(AY$31+SUM($D$41:AY$41)))</f>
        <v>0.0</v>
      </c>
      <c r="AZ51" s="598">
        <f>IF(AZ31+SUM($D$41:AZ$41)&lt;0,0,(AZ$31+SUM($D$41:AZ$41)))</f>
        <v>0.0</v>
      </c>
      <c r="BA51" s="598">
        <f>IF(BA31+SUM($D$41:BA$41)&lt;0,0,(BA$31+SUM($D$41:BA$41)))</f>
        <v>0.0</v>
      </c>
      <c r="BB51" s="494"/>
    </row>
    <row r="52" spans="1:54" hidden="1" outlineLevel="1">
      <c r="A52" s="494"/>
      <c r="B52" s="894">
        <f t="shared" si="9"/>
        <v>0.0</v>
      </c>
      <c r="C52" s="494"/>
      <c r="D52" s="598">
        <f>IF(D32+SUM($D$42:D$42)&lt;0,0,(D$32+SUM($D$42:D$42)))</f>
        <v>0.0</v>
      </c>
      <c r="E52" s="598">
        <f>IF(E32+SUM($D$42:E$42)&lt;0,0,(E$32+SUM($D$42:E$42)))</f>
        <v>0.0</v>
      </c>
      <c r="F52" s="598">
        <f>IF(F32+SUM($D$42:F$42)&lt;0,0,(F$32+SUM($D$42:F$42)))</f>
        <v>0.0</v>
      </c>
      <c r="G52" s="598">
        <f>IF(G32+SUM($D$42:G$42)&lt;0,0,(G$32+SUM($D$42:G$42)))</f>
        <v>0.0</v>
      </c>
      <c r="H52" s="598">
        <f>IF(H32+SUM($D$42:H$42)&lt;0,0,(H$32+SUM($D$42:H$42)))</f>
        <v>0.0</v>
      </c>
      <c r="I52" s="598">
        <f>IF(I32+SUM($D$42:I$42)&lt;0,0,(I$32+SUM($D$42:I$42)))</f>
        <v>0.0</v>
      </c>
      <c r="J52" s="598">
        <f>IF(J32+SUM($D$42:J$42)&lt;0,0,(J$32+SUM($D$42:J$42)))</f>
        <v>0.0</v>
      </c>
      <c r="K52" s="598">
        <f>IF(K32+SUM($D$42:K$42)&lt;0,0,(K$32+SUM($D$42:K$42)))</f>
        <v>0.0</v>
      </c>
      <c r="L52" s="598">
        <f>IF(L32+SUM($D$42:L$42)&lt;0,0,(L$32+SUM($D$42:L$42)))</f>
        <v>0.0</v>
      </c>
      <c r="M52" s="598">
        <f>IF(M32+SUM($D$42:M$42)&lt;0,0,(M$32+SUM($D$42:M$42)))</f>
        <v>0.0</v>
      </c>
      <c r="N52" s="598">
        <f>IF(N32+SUM($D$42:N$42)&lt;0,0,(N$32+SUM($D$42:N$42)))</f>
        <v>0.0</v>
      </c>
      <c r="O52" s="598">
        <f>IF(O32+SUM($D$42:O$42)&lt;0,0,(O$32+SUM($D$42:O$42)))</f>
        <v>0.0</v>
      </c>
      <c r="P52" s="598">
        <f>IF(P32+SUM($D$42:P$42)&lt;0,0,(P$32+SUM($D$42:P$42)))</f>
        <v>0.0</v>
      </c>
      <c r="Q52" s="598">
        <f>IF(Q32+SUM($D$42:Q$42)&lt;0,0,(Q$32+SUM($D$42:Q$42)))</f>
        <v>0.0</v>
      </c>
      <c r="R52" s="598">
        <f>IF(R32+SUM($D$42:R$42)&lt;0,0,(R$32+SUM($D$42:R$42)))</f>
        <v>0.0</v>
      </c>
      <c r="S52" s="598">
        <f>IF(S32+SUM($D$42:S$42)&lt;0,0,(S$32+SUM($D$42:S$42)))</f>
        <v>0.0</v>
      </c>
      <c r="T52" s="598">
        <f>IF(T32+SUM($D$42:T$42)&lt;0,0,(T$32+SUM($D$42:T$42)))</f>
        <v>0.0</v>
      </c>
      <c r="U52" s="598">
        <f>IF(U32+SUM($D$42:U$42)&lt;0,0,(U$32+SUM($D$42:U$42)))</f>
        <v>0.0</v>
      </c>
      <c r="V52" s="598">
        <f>IF(V32+SUM($D$42:V$42)&lt;0,0,(V$32+SUM($D$42:V$42)))</f>
        <v>0.0</v>
      </c>
      <c r="W52" s="598">
        <f>IF(W32+SUM($D$42:W$42)&lt;0,0,(W$32+SUM($D$42:W$42)))</f>
        <v>0.0</v>
      </c>
      <c r="X52" s="598">
        <f>IF(X32+SUM($D$42:X$42)&lt;0,0,(X$32+SUM($D$42:X$42)))</f>
        <v>0.0</v>
      </c>
      <c r="Y52" s="598">
        <f>IF(Y32+SUM($D$42:Y$42)&lt;0,0,(Y$32+SUM($D$42:Y$42)))</f>
        <v>0.0</v>
      </c>
      <c r="Z52" s="598">
        <f>IF(Z32+SUM($D$42:Z$42)&lt;0,0,(Z$32+SUM($D$42:Z$42)))</f>
        <v>0.0</v>
      </c>
      <c r="AA52" s="598">
        <f>IF(AA32+SUM($D$42:AA$42)&lt;0,0,(AA$32+SUM($D$42:AA$42)))</f>
        <v>0.0</v>
      </c>
      <c r="AB52" s="598">
        <f>IF(AB32+SUM($D$42:AB$42)&lt;0,0,(AB$32+SUM($D$42:AB$42)))</f>
        <v>0.0</v>
      </c>
      <c r="AC52" s="598">
        <f>IF(AC32+SUM($D$42:AC$42)&lt;0,0,(AC$32+SUM($D$42:AC$42)))</f>
        <v>0.0</v>
      </c>
      <c r="AD52" s="598">
        <f>IF(AD32+SUM($D$42:AD$42)&lt;0,0,(AD$32+SUM($D$42:AD$42)))</f>
        <v>0.0</v>
      </c>
      <c r="AE52" s="598">
        <f>IF(AE32+SUM($D$42:AE$42)&lt;0,0,(AE$32+SUM($D$42:AE$42)))</f>
        <v>0.0</v>
      </c>
      <c r="AF52" s="598">
        <f>IF(AF32+SUM($D$42:AF$42)&lt;0,0,(AF$32+SUM($D$42:AF$42)))</f>
        <v>0.0</v>
      </c>
      <c r="AG52" s="598">
        <f>IF(AG32+SUM($D$42:AG$42)&lt;0,0,(AG$32+SUM($D$42:AG$42)))</f>
        <v>0.0</v>
      </c>
      <c r="AH52" s="598">
        <f>IF(AH32+SUM($D$42:AH$42)&lt;0,0,(AH$32+SUM($D$42:AH$42)))</f>
        <v>0.0</v>
      </c>
      <c r="AI52" s="598">
        <f>IF(AI32+SUM($D$42:AI$42)&lt;0,0,(AI$32+SUM($D$42:AI$42)))</f>
        <v>0.0</v>
      </c>
      <c r="AJ52" s="598">
        <f>IF(AJ32+SUM($D$42:AJ$42)&lt;0,0,(AJ$32+SUM($D$42:AJ$42)))</f>
        <v>0.0</v>
      </c>
      <c r="AK52" s="598">
        <f>IF(AK32+SUM($D$42:AK$42)&lt;0,0,(AK$32+SUM($D$42:AK$42)))</f>
        <v>0.0</v>
      </c>
      <c r="AL52" s="598">
        <f>IF(AL32+SUM($D$42:AL$42)&lt;0,0,(AL$32+SUM($D$42:AL$42)))</f>
        <v>0.0</v>
      </c>
      <c r="AM52" s="598">
        <f>IF(AM32+SUM($D$42:AM$42)&lt;0,0,(AM$32+SUM($D$42:AM$42)))</f>
        <v>0.0</v>
      </c>
      <c r="AN52" s="598">
        <f>IF(AN32+SUM($D$42:AN$42)&lt;0,0,(AN$32+SUM($D$42:AN$42)))</f>
        <v>0.0</v>
      </c>
      <c r="AO52" s="598">
        <f>IF(AO32+SUM($D$42:AO$42)&lt;0,0,(AO$32+SUM($D$42:AO$42)))</f>
        <v>0.0</v>
      </c>
      <c r="AP52" s="598">
        <f>IF(AP32+SUM($D$42:AP$42)&lt;0,0,(AP$32+SUM($D$42:AP$42)))</f>
        <v>0.0</v>
      </c>
      <c r="AQ52" s="598">
        <f>IF(AQ32+SUM($D$42:AQ$42)&lt;0,0,(AQ$32+SUM($D$42:AQ$42)))</f>
        <v>0.0</v>
      </c>
      <c r="AR52" s="598">
        <f>IF(AR32+SUM($D$42:AR$42)&lt;0,0,(AR$32+SUM($D$42:AR$42)))</f>
        <v>0.0</v>
      </c>
      <c r="AS52" s="598">
        <f>IF(AS32+SUM($D$42:AS$42)&lt;0,0,(AS$32+SUM($D$42:AS$42)))</f>
        <v>0.0</v>
      </c>
      <c r="AT52" s="598">
        <f>IF(AT32+SUM($D$42:AT$42)&lt;0,0,(AT$32+SUM($D$42:AT$42)))</f>
        <v>0.0</v>
      </c>
      <c r="AU52" s="598">
        <f>IF(AU32+SUM($D$42:AU$42)&lt;0,0,(AU$32+SUM($D$42:AU$42)))</f>
        <v>0.0</v>
      </c>
      <c r="AV52" s="598">
        <f>IF(AV32+SUM($D$42:AV$42)&lt;0,0,(AV$32+SUM($D$42:AV$42)))</f>
        <v>0.0</v>
      </c>
      <c r="AW52" s="598">
        <f>IF(AW32+SUM($D$42:AW$42)&lt;0,0,(AW$32+SUM($D$42:AW$42)))</f>
        <v>0.0</v>
      </c>
      <c r="AX52" s="598">
        <f>IF(AX32+SUM($D$42:AX$42)&lt;0,0,(AX$32+SUM($D$42:AX$42)))</f>
        <v>0.0</v>
      </c>
      <c r="AY52" s="598">
        <f>IF(AY32+SUM($D$42:AY$42)&lt;0,0,(AY$32+SUM($D$42:AY$42)))</f>
        <v>0.0</v>
      </c>
      <c r="AZ52" s="598">
        <f>IF(AZ32+SUM($D$42:AZ$42)&lt;0,0,(AZ$32+SUM($D$42:AZ$42)))</f>
        <v>0.0</v>
      </c>
      <c r="BA52" s="598">
        <f>IF(BA32+SUM($D$42:BA$42)&lt;0,0,(BA$32+SUM($D$42:BA$42)))</f>
        <v>0.0</v>
      </c>
      <c r="BB52" s="494"/>
    </row>
    <row r="53" spans="1:54" hidden="1" outlineLevel="1">
      <c r="A53" s="494"/>
      <c r="B53" s="894">
        <f t="shared" si="9"/>
        <v>0.0</v>
      </c>
      <c r="C53" s="494"/>
      <c r="D53" s="598">
        <f>IF(D33+SUM($D$43:D$43)&lt;0,0,(D$33+SUM($D$43:D$43)))</f>
        <v>0.0</v>
      </c>
      <c r="E53" s="598">
        <f>IF(E33+SUM($D$43:E$43)&lt;0,0,(E$33+SUM($D$43:E$43)))</f>
        <v>0.0</v>
      </c>
      <c r="F53" s="598">
        <f>IF(F33+SUM($D$43:F$43)&lt;0,0,(F$33+SUM($D$43:F$43)))</f>
        <v>0.0</v>
      </c>
      <c r="G53" s="598">
        <f>IF(G33+SUM($D$43:G$43)&lt;0,0,(G$33+SUM($D$43:G$43)))</f>
        <v>0.0</v>
      </c>
      <c r="H53" s="598">
        <f>IF(H33+SUM($D$43:H$43)&lt;0,0,(H$33+SUM($D$43:H$43)))</f>
        <v>0.0</v>
      </c>
      <c r="I53" s="598">
        <f>IF(I33+SUM($D$43:I$43)&lt;0,0,(I$33+SUM($D$43:I$43)))</f>
        <v>0.0</v>
      </c>
      <c r="J53" s="598">
        <f>IF(J33+SUM($D$43:J$43)&lt;0,0,(J$33+SUM($D$43:J$43)))</f>
        <v>0.0</v>
      </c>
      <c r="K53" s="598">
        <f>IF(K33+SUM($D$43:K$43)&lt;0,0,(K$33+SUM($D$43:K$43)))</f>
        <v>0.0</v>
      </c>
      <c r="L53" s="598">
        <f>IF(L33+SUM($D$43:L$43)&lt;0,0,(L$33+SUM($D$43:L$43)))</f>
        <v>0.0</v>
      </c>
      <c r="M53" s="598">
        <f>IF(M33+SUM($D$43:M$43)&lt;0,0,(M$33+SUM($D$43:M$43)))</f>
        <v>0.0</v>
      </c>
      <c r="N53" s="598">
        <f>IF(N33+SUM($D$43:N$43)&lt;0,0,(N$33+SUM($D$43:N$43)))</f>
        <v>0.0</v>
      </c>
      <c r="O53" s="598">
        <f>IF(O33+SUM($D$43:O$43)&lt;0,0,(O$33+SUM($D$43:O$43)))</f>
        <v>0.0</v>
      </c>
      <c r="P53" s="598">
        <f>IF(P33+SUM($D$43:P$43)&lt;0,0,(P$33+SUM($D$43:P$43)))</f>
        <v>0.0</v>
      </c>
      <c r="Q53" s="598">
        <f>IF(Q33+SUM($D$43:Q$43)&lt;0,0,(Q$33+SUM($D$43:Q$43)))</f>
        <v>0.0</v>
      </c>
      <c r="R53" s="598">
        <f>IF(R33+SUM($D$43:R$43)&lt;0,0,(R$33+SUM($D$43:R$43)))</f>
        <v>0.0</v>
      </c>
      <c r="S53" s="598">
        <f>IF(S33+SUM($D$43:S$43)&lt;0,0,(S$33+SUM($D$43:S$43)))</f>
        <v>0.0</v>
      </c>
      <c r="T53" s="598">
        <f>IF(T33+SUM($D$43:T$43)&lt;0,0,(T$33+SUM($D$43:T$43)))</f>
        <v>0.0</v>
      </c>
      <c r="U53" s="598">
        <f>IF(U33+SUM($D$43:U$43)&lt;0,0,(U$33+SUM($D$43:U$43)))</f>
        <v>0.0</v>
      </c>
      <c r="V53" s="598">
        <f>IF(V33+SUM($D$43:V$43)&lt;0,0,(V$33+SUM($D$43:V$43)))</f>
        <v>0.0</v>
      </c>
      <c r="W53" s="598">
        <f>IF(W33+SUM($D$43:W$43)&lt;0,0,(W$33+SUM($D$43:W$43)))</f>
        <v>0.0</v>
      </c>
      <c r="X53" s="598">
        <f>IF(X33+SUM($D$43:X$43)&lt;0,0,(X$33+SUM($D$43:X$43)))</f>
        <v>0.0</v>
      </c>
      <c r="Y53" s="598">
        <f>IF(Y33+SUM($D$43:Y$43)&lt;0,0,(Y$33+SUM($D$43:Y$43)))</f>
        <v>0.0</v>
      </c>
      <c r="Z53" s="598">
        <f>IF(Z33+SUM($D$43:Z$43)&lt;0,0,(Z$33+SUM($D$43:Z$43)))</f>
        <v>0.0</v>
      </c>
      <c r="AA53" s="598">
        <f>IF(AA33+SUM($D$43:AA$43)&lt;0,0,(AA$33+SUM($D$43:AA$43)))</f>
        <v>0.0</v>
      </c>
      <c r="AB53" s="598">
        <f>IF(AB33+SUM($D$43:AB$43)&lt;0,0,(AB$33+SUM($D$43:AB$43)))</f>
        <v>0.0</v>
      </c>
      <c r="AC53" s="598">
        <f>IF(AC33+SUM($D$43:AC$43)&lt;0,0,(AC$33+SUM($D$43:AC$43)))</f>
        <v>0.0</v>
      </c>
      <c r="AD53" s="598">
        <f>IF(AD33+SUM($D$43:AD$43)&lt;0,0,(AD$33+SUM($D$43:AD$43)))</f>
        <v>0.0</v>
      </c>
      <c r="AE53" s="598">
        <f>IF(AE33+SUM($D$43:AE$43)&lt;0,0,(AE$33+SUM($D$43:AE$43)))</f>
        <v>0.0</v>
      </c>
      <c r="AF53" s="598">
        <f>IF(AF33+SUM($D$43:AF$43)&lt;0,0,(AF$33+SUM($D$43:AF$43)))</f>
        <v>0.0</v>
      </c>
      <c r="AG53" s="598">
        <f>IF(AG33+SUM($D$43:AG$43)&lt;0,0,(AG$33+SUM($D$43:AG$43)))</f>
        <v>0.0</v>
      </c>
      <c r="AH53" s="598">
        <f>IF(AH33+SUM($D$43:AH$43)&lt;0,0,(AH$33+SUM($D$43:AH$43)))</f>
        <v>0.0</v>
      </c>
      <c r="AI53" s="598">
        <f>IF(AI33+SUM($D$43:AI$43)&lt;0,0,(AI$33+SUM($D$43:AI$43)))</f>
        <v>0.0</v>
      </c>
      <c r="AJ53" s="598">
        <f>IF(AJ33+SUM($D$43:AJ$43)&lt;0,0,(AJ$33+SUM($D$43:AJ$43)))</f>
        <v>0.0</v>
      </c>
      <c r="AK53" s="598">
        <f>IF(AK33+SUM($D$43:AK$43)&lt;0,0,(AK$33+SUM($D$43:AK$43)))</f>
        <v>0.0</v>
      </c>
      <c r="AL53" s="598">
        <f>IF(AL33+SUM($D$43:AL$43)&lt;0,0,(AL$33+SUM($D$43:AL$43)))</f>
        <v>0.0</v>
      </c>
      <c r="AM53" s="598">
        <f>IF(AM33+SUM($D$43:AM$43)&lt;0,0,(AM$33+SUM($D$43:AM$43)))</f>
        <v>0.0</v>
      </c>
      <c r="AN53" s="598">
        <f>IF(AN33+SUM($D$43:AN$43)&lt;0,0,(AN$33+SUM($D$43:AN$43)))</f>
        <v>0.0</v>
      </c>
      <c r="AO53" s="598">
        <f>IF(AO33+SUM($D$43:AO$43)&lt;0,0,(AO$33+SUM($D$43:AO$43)))</f>
        <v>0.0</v>
      </c>
      <c r="AP53" s="598">
        <f>IF(AP33+SUM($D$43:AP$43)&lt;0,0,(AP$33+SUM($D$43:AP$43)))</f>
        <v>0.0</v>
      </c>
      <c r="AQ53" s="598">
        <f>IF(AQ33+SUM($D$43:AQ$43)&lt;0,0,(AQ$33+SUM($D$43:AQ$43)))</f>
        <v>0.0</v>
      </c>
      <c r="AR53" s="598">
        <f>IF(AR33+SUM($D$43:AR$43)&lt;0,0,(AR$33+SUM($D$43:AR$43)))</f>
        <v>0.0</v>
      </c>
      <c r="AS53" s="598">
        <f>IF(AS33+SUM($D$43:AS$43)&lt;0,0,(AS$33+SUM($D$43:AS$43)))</f>
        <v>0.0</v>
      </c>
      <c r="AT53" s="598">
        <f>IF(AT33+SUM($D$43:AT$43)&lt;0,0,(AT$33+SUM($D$43:AT$43)))</f>
        <v>0.0</v>
      </c>
      <c r="AU53" s="598">
        <f>IF(AU33+SUM($D$43:AU$43)&lt;0,0,(AU$33+SUM($D$43:AU$43)))</f>
        <v>0.0</v>
      </c>
      <c r="AV53" s="598">
        <f>IF(AV33+SUM($D$43:AV$43)&lt;0,0,(AV$33+SUM($D$43:AV$43)))</f>
        <v>0.0</v>
      </c>
      <c r="AW53" s="598">
        <f>IF(AW33+SUM($D$43:AW$43)&lt;0,0,(AW$33+SUM($D$43:AW$43)))</f>
        <v>0.0</v>
      </c>
      <c r="AX53" s="598">
        <f>IF(AX33+SUM($D$43:AX$43)&lt;0,0,(AX$33+SUM($D$43:AX$43)))</f>
        <v>0.0</v>
      </c>
      <c r="AY53" s="598">
        <f>IF(AY33+SUM($D$43:AY$43)&lt;0,0,(AY$33+SUM($D$43:AY$43)))</f>
        <v>0.0</v>
      </c>
      <c r="AZ53" s="598">
        <f>IF(AZ33+SUM($D$43:AZ$43)&lt;0,0,(AZ$33+SUM($D$43:AZ$43)))</f>
        <v>0.0</v>
      </c>
      <c r="BA53" s="598">
        <f>IF(BA33+SUM($D$43:BA$43)&lt;0,0,(BA$33+SUM($D$43:BA$43)))</f>
        <v>0.0</v>
      </c>
      <c r="BB53" s="494"/>
    </row>
    <row r="54" spans="1:54" hidden="1" outlineLevel="1">
      <c r="A54" s="494"/>
      <c r="B54" s="894">
        <f t="shared" si="9"/>
        <v>0.0</v>
      </c>
      <c r="C54" s="494"/>
      <c r="D54" s="598">
        <f>IF(D34+SUM($D$44:D$44)&lt;0,0,(D$34+SUM($D$44:D$44)))</f>
        <v>0.0</v>
      </c>
      <c r="E54" s="598">
        <f>IF(E34+SUM($D$44:E$44)&lt;0,0,(E$34+SUM($D$44:E$44)))</f>
        <v>0.0</v>
      </c>
      <c r="F54" s="598">
        <f>IF(F34+SUM($D$44:F$44)&lt;0,0,(F$34+SUM($D$44:F$44)))</f>
        <v>0.0</v>
      </c>
      <c r="G54" s="598">
        <f>IF(G34+SUM($D$44:G$44)&lt;0,0,(G$34+SUM($D$44:G$44)))</f>
        <v>0.0</v>
      </c>
      <c r="H54" s="598">
        <f>IF(H34+SUM($D$44:H$44)&lt;0,0,(H$34+SUM($D$44:H$44)))</f>
        <v>0.0</v>
      </c>
      <c r="I54" s="598">
        <f>IF(I34+SUM($D$44:I$44)&lt;0,0,(I$34+SUM($D$44:I$44)))</f>
        <v>0.0</v>
      </c>
      <c r="J54" s="598">
        <f>IF(J34+SUM($D$44:J$44)&lt;0,0,(J$34+SUM($D$44:J$44)))</f>
        <v>0.0</v>
      </c>
      <c r="K54" s="598">
        <f>IF(K34+SUM($D$44:K$44)&lt;0,0,(K$34+SUM($D$44:K$44)))</f>
        <v>0.0</v>
      </c>
      <c r="L54" s="598">
        <f>IF(L34+SUM($D$44:L$44)&lt;0,0,(L$34+SUM($D$44:L$44)))</f>
        <v>0.0</v>
      </c>
      <c r="M54" s="598">
        <f>IF(M34+SUM($D$44:M$44)&lt;0,0,(M$34+SUM($D$44:M$44)))</f>
        <v>0.0</v>
      </c>
      <c r="N54" s="598">
        <f>IF(N34+SUM($D$44:N$44)&lt;0,0,(N$34+SUM($D$44:N$44)))</f>
        <v>0.0</v>
      </c>
      <c r="O54" s="598">
        <f>IF(O34+SUM($D$44:O$44)&lt;0,0,(O$34+SUM($D$44:O$44)))</f>
        <v>0.0</v>
      </c>
      <c r="P54" s="598">
        <f>IF(P34+SUM($D$44:P$44)&lt;0,0,(P$34+SUM($D$44:P$44)))</f>
        <v>0.0</v>
      </c>
      <c r="Q54" s="598">
        <f>IF(Q34+SUM($D$44:Q$44)&lt;0,0,(Q$34+SUM($D$44:Q$44)))</f>
        <v>0.0</v>
      </c>
      <c r="R54" s="598">
        <f>IF(R34+SUM($D$44:R$44)&lt;0,0,(R$34+SUM($D$44:R$44)))</f>
        <v>0.0</v>
      </c>
      <c r="S54" s="598">
        <f>IF(S34+SUM($D$44:S$44)&lt;0,0,(S$34+SUM($D$44:S$44)))</f>
        <v>0.0</v>
      </c>
      <c r="T54" s="598">
        <f>IF(T34+SUM($D$44:T$44)&lt;0,0,(T$34+SUM($D$44:T$44)))</f>
        <v>0.0</v>
      </c>
      <c r="U54" s="598">
        <f>IF(U34+SUM($D$44:U$44)&lt;0,0,(U$34+SUM($D$44:U$44)))</f>
        <v>0.0</v>
      </c>
      <c r="V54" s="598">
        <f>IF(V34+SUM($D$44:V$44)&lt;0,0,(V$34+SUM($D$44:V$44)))</f>
        <v>0.0</v>
      </c>
      <c r="W54" s="598">
        <f>IF(W34+SUM($D$44:W$44)&lt;0,0,(W$34+SUM($D$44:W$44)))</f>
        <v>0.0</v>
      </c>
      <c r="X54" s="598">
        <f>IF(X34+SUM($D$44:X$44)&lt;0,0,(X$34+SUM($D$44:X$44)))</f>
        <v>0.0</v>
      </c>
      <c r="Y54" s="598">
        <f>IF(Y34+SUM($D$44:Y$44)&lt;0,0,(Y$34+SUM($D$44:Y$44)))</f>
        <v>0.0</v>
      </c>
      <c r="Z54" s="598">
        <f>IF(Z34+SUM($D$44:Z$44)&lt;0,0,(Z$34+SUM($D$44:Z$44)))</f>
        <v>0.0</v>
      </c>
      <c r="AA54" s="598">
        <f>IF(AA34+SUM($D$44:AA$44)&lt;0,0,(AA$34+SUM($D$44:AA$44)))</f>
        <v>0.0</v>
      </c>
      <c r="AB54" s="598">
        <f>IF(AB34+SUM($D$44:AB$44)&lt;0,0,(AB$34+SUM($D$44:AB$44)))</f>
        <v>0.0</v>
      </c>
      <c r="AC54" s="598">
        <f>IF(AC34+SUM($D$44:AC$44)&lt;0,0,(AC$34+SUM($D$44:AC$44)))</f>
        <v>0.0</v>
      </c>
      <c r="AD54" s="598">
        <f>IF(AD34+SUM($D$44:AD$44)&lt;0,0,(AD$34+SUM($D$44:AD$44)))</f>
        <v>0.0</v>
      </c>
      <c r="AE54" s="598">
        <f>IF(AE34+SUM($D$44:AE$44)&lt;0,0,(AE$34+SUM($D$44:AE$44)))</f>
        <v>0.0</v>
      </c>
      <c r="AF54" s="598">
        <f>IF(AF34+SUM($D$44:AF$44)&lt;0,0,(AF$34+SUM($D$44:AF$44)))</f>
        <v>0.0</v>
      </c>
      <c r="AG54" s="598">
        <f>IF(AG34+SUM($D$44:AG$44)&lt;0,0,(AG$34+SUM($D$44:AG$44)))</f>
        <v>0.0</v>
      </c>
      <c r="AH54" s="598">
        <f>IF(AH34+SUM($D$44:AH$44)&lt;0,0,(AH$34+SUM($D$44:AH$44)))</f>
        <v>0.0</v>
      </c>
      <c r="AI54" s="598">
        <f>IF(AI34+SUM($D$44:AI$44)&lt;0,0,(AI$34+SUM($D$44:AI$44)))</f>
        <v>0.0</v>
      </c>
      <c r="AJ54" s="598">
        <f>IF(AJ34+SUM($D$44:AJ$44)&lt;0,0,(AJ$34+SUM($D$44:AJ$44)))</f>
        <v>0.0</v>
      </c>
      <c r="AK54" s="598">
        <f>IF(AK34+SUM($D$44:AK$44)&lt;0,0,(AK$34+SUM($D$44:AK$44)))</f>
        <v>0.0</v>
      </c>
      <c r="AL54" s="598">
        <f>IF(AL34+SUM($D$44:AL$44)&lt;0,0,(AL$34+SUM($D$44:AL$44)))</f>
        <v>0.0</v>
      </c>
      <c r="AM54" s="598">
        <f>IF(AM34+SUM($D$44:AM$44)&lt;0,0,(AM$34+SUM($D$44:AM$44)))</f>
        <v>0.0</v>
      </c>
      <c r="AN54" s="598">
        <f>IF(AN34+SUM($D$44:AN$44)&lt;0,0,(AN$34+SUM($D$44:AN$44)))</f>
        <v>0.0</v>
      </c>
      <c r="AO54" s="598">
        <f>IF(AO34+SUM($D$44:AO$44)&lt;0,0,(AO$34+SUM($D$44:AO$44)))</f>
        <v>0.0</v>
      </c>
      <c r="AP54" s="598">
        <f>IF(AP34+SUM($D$44:AP$44)&lt;0,0,(AP$34+SUM($D$44:AP$44)))</f>
        <v>0.0</v>
      </c>
      <c r="AQ54" s="598">
        <f>IF(AQ34+SUM($D$44:AQ$44)&lt;0,0,(AQ$34+SUM($D$44:AQ$44)))</f>
        <v>0.0</v>
      </c>
      <c r="AR54" s="598">
        <f>IF(AR34+SUM($D$44:AR$44)&lt;0,0,(AR$34+SUM($D$44:AR$44)))</f>
        <v>0.0</v>
      </c>
      <c r="AS54" s="598">
        <f>IF(AS34+SUM($D$44:AS$44)&lt;0,0,(AS$34+SUM($D$44:AS$44)))</f>
        <v>0.0</v>
      </c>
      <c r="AT54" s="598">
        <f>IF(AT34+SUM($D$44:AT$44)&lt;0,0,(AT$34+SUM($D$44:AT$44)))</f>
        <v>0.0</v>
      </c>
      <c r="AU54" s="598">
        <f>IF(AU34+SUM($D$44:AU$44)&lt;0,0,(AU$34+SUM($D$44:AU$44)))</f>
        <v>0.0</v>
      </c>
      <c r="AV54" s="598">
        <f>IF(AV34+SUM($D$44:AV$44)&lt;0,0,(AV$34+SUM($D$44:AV$44)))</f>
        <v>0.0</v>
      </c>
      <c r="AW54" s="598">
        <f>IF(AW34+SUM($D$44:AW$44)&lt;0,0,(AW$34+SUM($D$44:AW$44)))</f>
        <v>0.0</v>
      </c>
      <c r="AX54" s="598">
        <f>IF(AX34+SUM($D$44:AX$44)&lt;0,0,(AX$34+SUM($D$44:AX$44)))</f>
        <v>0.0</v>
      </c>
      <c r="AY54" s="598">
        <f>IF(AY34+SUM($D$44:AY$44)&lt;0,0,(AY$34+SUM($D$44:AY$44)))</f>
        <v>0.0</v>
      </c>
      <c r="AZ54" s="598">
        <f>IF(AZ34+SUM($D$44:AZ$44)&lt;0,0,(AZ$34+SUM($D$44:AZ$44)))</f>
        <v>0.0</v>
      </c>
      <c r="BA54" s="598">
        <f>IF(BA34+SUM($D$44:BA$44)&lt;0,0,(BA$34+SUM($D$44:BA$44)))</f>
        <v>0.0</v>
      </c>
      <c r="BB54" s="494"/>
    </row>
    <row r="55" spans="1:54" hidden="1" outlineLevel="1">
      <c r="A55" s="494"/>
      <c r="B55" s="894">
        <f t="shared" si="9"/>
        <v>0.0</v>
      </c>
      <c r="C55" s="494"/>
      <c r="D55" s="598">
        <f>IF(D35+SUM($D$45:D$45)&lt;0,0,(D$35+SUM($D$45:D$45)))</f>
        <v>0.0</v>
      </c>
      <c r="E55" s="598">
        <f>IF(E35+SUM($D$45:E$45)&lt;0,0,(E$35+SUM($D$45:E$45)))</f>
        <v>0.0</v>
      </c>
      <c r="F55" s="598">
        <f>IF(F35+SUM($D$45:F$45)&lt;0,0,(F$35+SUM($D$45:F$45)))</f>
        <v>0.0</v>
      </c>
      <c r="G55" s="598">
        <f>IF(G35+SUM($D$45:G$45)&lt;0,0,(G$35+SUM($D$45:G$45)))</f>
        <v>0.0</v>
      </c>
      <c r="H55" s="598">
        <f>IF(H35+SUM($D$45:H$45)&lt;0,0,(H$35+SUM($D$45:H$45)))</f>
        <v>0.0</v>
      </c>
      <c r="I55" s="598">
        <f>IF(I35+SUM($D$45:I$45)&lt;0,0,(I$35+SUM($D$45:I$45)))</f>
        <v>0.0</v>
      </c>
      <c r="J55" s="598">
        <f>IF(J35+SUM($D$45:J$45)&lt;0,0,(J$35+SUM($D$45:J$45)))</f>
        <v>0.0</v>
      </c>
      <c r="K55" s="598">
        <f>IF(K35+SUM($D$45:K$45)&lt;0,0,(K$35+SUM($D$45:K$45)))</f>
        <v>0.0</v>
      </c>
      <c r="L55" s="598">
        <f>IF(L35+SUM($D$45:L$45)&lt;0,0,(L$35+SUM($D$45:L$45)))</f>
        <v>0.0</v>
      </c>
      <c r="M55" s="598">
        <f>IF(M35+SUM($D$45:M$45)&lt;0,0,(M$35+SUM($D$45:M$45)))</f>
        <v>0.0</v>
      </c>
      <c r="N55" s="598">
        <f>IF(N35+SUM($D$45:N$45)&lt;0,0,(N$35+SUM($D$45:N$45)))</f>
        <v>0.0</v>
      </c>
      <c r="O55" s="598">
        <f>IF(O35+SUM($D$45:O$45)&lt;0,0,(O$35+SUM($D$45:O$45)))</f>
        <v>0.0</v>
      </c>
      <c r="P55" s="598">
        <f>IF(P35+SUM($D$45:P$45)&lt;0,0,(P$35+SUM($D$45:P$45)))</f>
        <v>0.0</v>
      </c>
      <c r="Q55" s="598">
        <f>IF(Q35+SUM($D$45:Q$45)&lt;0,0,(Q$35+SUM($D$45:Q$45)))</f>
        <v>0.0</v>
      </c>
      <c r="R55" s="598">
        <f>IF(R35+SUM($D$45:R$45)&lt;0,0,(R$35+SUM($D$45:R$45)))</f>
        <v>0.0</v>
      </c>
      <c r="S55" s="598">
        <f>IF(S35+SUM($D$45:S$45)&lt;0,0,(S$35+SUM($D$45:S$45)))</f>
        <v>0.0</v>
      </c>
      <c r="T55" s="598">
        <f>IF(T35+SUM($D$45:T$45)&lt;0,0,(T$35+SUM($D$45:T$45)))</f>
        <v>0.0</v>
      </c>
      <c r="U55" s="598">
        <f>IF(U35+SUM($D$45:U$45)&lt;0,0,(U$35+SUM($D$45:U$45)))</f>
        <v>0.0</v>
      </c>
      <c r="V55" s="598">
        <f>IF(V35+SUM($D$45:V$45)&lt;0,0,(V$35+SUM($D$45:V$45)))</f>
        <v>0.0</v>
      </c>
      <c r="W55" s="598">
        <f>IF(W35+SUM($D$45:W$45)&lt;0,0,(W$35+SUM($D$45:W$45)))</f>
        <v>0.0</v>
      </c>
      <c r="X55" s="598">
        <f>IF(X35+SUM($D$45:X$45)&lt;0,0,(X$35+SUM($D$45:X$45)))</f>
        <v>0.0</v>
      </c>
      <c r="Y55" s="598">
        <f>IF(Y35+SUM($D$45:Y$45)&lt;0,0,(Y$35+SUM($D$45:Y$45)))</f>
        <v>0.0</v>
      </c>
      <c r="Z55" s="598">
        <f>IF(Z35+SUM($D$45:Z$45)&lt;0,0,(Z$35+SUM($D$45:Z$45)))</f>
        <v>0.0</v>
      </c>
      <c r="AA55" s="598">
        <f>IF(AA35+SUM($D$45:AA$45)&lt;0,0,(AA$35+SUM($D$45:AA$45)))</f>
        <v>0.0</v>
      </c>
      <c r="AB55" s="598">
        <f>IF(AB35+SUM($D$45:AB$45)&lt;0,0,(AB$35+SUM($D$45:AB$45)))</f>
        <v>0.0</v>
      </c>
      <c r="AC55" s="598">
        <f>IF(AC35+SUM($D$45:AC$45)&lt;0,0,(AC$35+SUM($D$45:AC$45)))</f>
        <v>0.0</v>
      </c>
      <c r="AD55" s="598">
        <f>IF(AD35+SUM($D$45:AD$45)&lt;0,0,(AD$35+SUM($D$45:AD$45)))</f>
        <v>0.0</v>
      </c>
      <c r="AE55" s="598">
        <f>IF(AE35+SUM($D$45:AE$45)&lt;0,0,(AE$35+SUM($D$45:AE$45)))</f>
        <v>0.0</v>
      </c>
      <c r="AF55" s="598">
        <f>IF(AF35+SUM($D$45:AF$45)&lt;0,0,(AF$35+SUM($D$45:AF$45)))</f>
        <v>0.0</v>
      </c>
      <c r="AG55" s="598">
        <f>IF(AG35+SUM($D$45:AG$45)&lt;0,0,(AG$35+SUM($D$45:AG$45)))</f>
        <v>0.0</v>
      </c>
      <c r="AH55" s="598">
        <f>IF(AH35+SUM($D$45:AH$45)&lt;0,0,(AH$35+SUM($D$45:AH$45)))</f>
        <v>0.0</v>
      </c>
      <c r="AI55" s="598">
        <f>IF(AI35+SUM($D$45:AI$45)&lt;0,0,(AI$35+SUM($D$45:AI$45)))</f>
        <v>0.0</v>
      </c>
      <c r="AJ55" s="598">
        <f>IF(AJ35+SUM($D$45:AJ$45)&lt;0,0,(AJ$35+SUM($D$45:AJ$45)))</f>
        <v>0.0</v>
      </c>
      <c r="AK55" s="598">
        <f>IF(AK35+SUM($D$45:AK$45)&lt;0,0,(AK$35+SUM($D$45:AK$45)))</f>
        <v>0.0</v>
      </c>
      <c r="AL55" s="598">
        <f>IF(AL35+SUM($D$45:AL$45)&lt;0,0,(AL$35+SUM($D$45:AL$45)))</f>
        <v>0.0</v>
      </c>
      <c r="AM55" s="598">
        <f>IF(AM35+SUM($D$45:AM$45)&lt;0,0,(AM$35+SUM($D$45:AM$45)))</f>
        <v>0.0</v>
      </c>
      <c r="AN55" s="598">
        <f>IF(AN35+SUM($D$45:AN$45)&lt;0,0,(AN$35+SUM($D$45:AN$45)))</f>
        <v>0.0</v>
      </c>
      <c r="AO55" s="598">
        <f>IF(AO35+SUM($D$45:AO$45)&lt;0,0,(AO$35+SUM($D$45:AO$45)))</f>
        <v>0.0</v>
      </c>
      <c r="AP55" s="598">
        <f>IF(AP35+SUM($D$45:AP$45)&lt;0,0,(AP$35+SUM($D$45:AP$45)))</f>
        <v>0.0</v>
      </c>
      <c r="AQ55" s="598">
        <f>IF(AQ35+SUM($D$45:AQ$45)&lt;0,0,(AQ$35+SUM($D$45:AQ$45)))</f>
        <v>0.0</v>
      </c>
      <c r="AR55" s="598">
        <f>IF(AR35+SUM($D$45:AR$45)&lt;0,0,(AR$35+SUM($D$45:AR$45)))</f>
        <v>0.0</v>
      </c>
      <c r="AS55" s="598">
        <f>IF(AS35+SUM($D$45:AS$45)&lt;0,0,(AS$35+SUM($D$45:AS$45)))</f>
        <v>0.0</v>
      </c>
      <c r="AT55" s="598">
        <f>IF(AT35+SUM($D$45:AT$45)&lt;0,0,(AT$35+SUM($D$45:AT$45)))</f>
        <v>0.0</v>
      </c>
      <c r="AU55" s="598">
        <f>IF(AU35+SUM($D$45:AU$45)&lt;0,0,(AU$35+SUM($D$45:AU$45)))</f>
        <v>0.0</v>
      </c>
      <c r="AV55" s="598">
        <f>IF(AV35+SUM($D$45:AV$45)&lt;0,0,(AV$35+SUM($D$45:AV$45)))</f>
        <v>0.0</v>
      </c>
      <c r="AW55" s="598">
        <f>IF(AW35+SUM($D$45:AW$45)&lt;0,0,(AW$35+SUM($D$45:AW$45)))</f>
        <v>0.0</v>
      </c>
      <c r="AX55" s="598">
        <f>IF(AX35+SUM($D$45:AX$45)&lt;0,0,(AX$35+SUM($D$45:AX$45)))</f>
        <v>0.0</v>
      </c>
      <c r="AY55" s="598">
        <f>IF(AY35+SUM($D$45:AY$45)&lt;0,0,(AY$35+SUM($D$45:AY$45)))</f>
        <v>0.0</v>
      </c>
      <c r="AZ55" s="598">
        <f>IF(AZ35+SUM($D$45:AZ$45)&lt;0,0,(AZ$35+SUM($D$45:AZ$45)))</f>
        <v>0.0</v>
      </c>
      <c r="BA55" s="598">
        <f>IF(BA35+SUM($D$45:BA$45)&lt;0,0,(BA$35+SUM($D$45:BA$45)))</f>
        <v>0.0</v>
      </c>
      <c r="BB55" s="494"/>
    </row>
    <row r="56" spans="1:54" hidden="1" outlineLevel="1">
      <c r="A56" s="494"/>
      <c r="B56" s="323" t="str">
        <f t="shared" si="9"/>
        <v>Residual</v>
      </c>
      <c r="C56" s="494"/>
      <c r="D56" s="598">
        <f>IF(D29&lt;&gt;"",IF(D36+SUM($D$46:D$46)=0,0,(D36+SUM($D$46:D$46))),0)</f>
        <v>0.0</v>
      </c>
      <c r="E56" s="598">
        <f>IF(E29&lt;&gt;"",IF(E36+SUM($D$46:E$46)=0,0,(E36+SUM($D$46:E$46))),0)</f>
        <v>0.0</v>
      </c>
      <c r="F56" s="598">
        <f>IF(F29&lt;&gt;"",IF(F36+SUM($D$46:F$46)=0,0,(F36+SUM($D$46:F$46))),0)</f>
        <v>0.0</v>
      </c>
      <c r="G56" s="598">
        <f>IF(G29&lt;&gt;"",IF(G36+SUM($D$46:G$46)=0,0,(G36+SUM($D$46:G$46))),0)</f>
        <v>0.0</v>
      </c>
      <c r="H56" s="598">
        <f>IF(H29&lt;&gt;"",IF(H36+SUM($D$46:H$46)=0,0,(H36+SUM($D$46:H$46))),0)</f>
        <v>0.0</v>
      </c>
      <c r="I56" s="598">
        <f>IF(I29&lt;&gt;"",IF(I36+SUM($D$46:I$46)=0,0,(I36+SUM($D$46:I$46))),0)</f>
        <v>0.0</v>
      </c>
      <c r="J56" s="598">
        <f>IF(J29&lt;&gt;"",IF(J36+SUM($D$46:J$46)=0,0,(J36+SUM($D$46:J$46))),0)</f>
        <v>0.0</v>
      </c>
      <c r="K56" s="598">
        <f>IF(K29&lt;&gt;"",IF(K36+SUM($D$46:K$46)=0,0,(K36+SUM($D$46:K$46))),0)</f>
        <v>0.0</v>
      </c>
      <c r="L56" s="598">
        <f>IF(L29&lt;&gt;"",IF(L36+SUM($D$46:L$46)=0,0,(L36+SUM($D$46:L$46))),0)</f>
        <v>0.0</v>
      </c>
      <c r="M56" s="598">
        <f>IF(M29&lt;&gt;"",IF(M36+SUM($D$46:M$46)=0,0,(M36+SUM($D$46:M$46))),0)</f>
        <v>0.0</v>
      </c>
      <c r="N56" s="598">
        <f>IF(N29&lt;&gt;"",IF(N36+SUM($D$46:N$46)=0,0,(N36+SUM($D$46:N$46))),0)</f>
        <v>0.0</v>
      </c>
      <c r="O56" s="598">
        <f>IF(O29&lt;&gt;"",IF(O36+SUM($D$46:O$46)=0,0,(O36+SUM($D$46:O$46))),0)</f>
        <v>0.0</v>
      </c>
      <c r="P56" s="598">
        <f>IF(P29&lt;&gt;"",IF(P36+SUM($D$46:P$46)=0,0,(P36+SUM($D$46:P$46))),0)</f>
        <v>0.0</v>
      </c>
      <c r="Q56" s="598">
        <f>IF(Q29&lt;&gt;"",IF(Q36+SUM($D$46:Q$46)=0,0,(Q36+SUM($D$46:Q$46))),0)</f>
        <v>0.0</v>
      </c>
      <c r="R56" s="598">
        <f>IF(R29&lt;&gt;"",IF(R36+SUM($D$46:R$46)=0,0,(R36+SUM($D$46:R$46))),0)</f>
        <v>0.0</v>
      </c>
      <c r="S56" s="598">
        <f>IF(S29&lt;&gt;"",IF(S36+SUM($D$46:S$46)=0,0,(S36+SUM($D$46:S$46))),0)</f>
        <v>0.0</v>
      </c>
      <c r="T56" s="598">
        <f>IF(T29&lt;&gt;"",IF(T36+SUM($D$46:T$46)=0,0,(T36+SUM($D$46:T$46))),0)</f>
        <v>0.0</v>
      </c>
      <c r="U56" s="598">
        <f>IF(U29&lt;&gt;"",IF(U36+SUM($D$46:U$46)=0,0,(U36+SUM($D$46:U$46))),0)</f>
        <v>0.0</v>
      </c>
      <c r="V56" s="598">
        <f>IF(V29&lt;&gt;"",IF(V36+SUM($D$46:V$46)=0,0,(V36+SUM($D$46:V$46))),0)</f>
        <v>0.0</v>
      </c>
      <c r="W56" s="598">
        <f>IF(W29&lt;&gt;"",IF(W36+SUM($D$46:W$46)=0,0,(W36+SUM($D$46:W$46))),0)</f>
        <v>0.0</v>
      </c>
      <c r="X56" s="598">
        <f>IF(X29&lt;&gt;"",IF(X36+SUM($D$46:X$46)=0,0,(X36+SUM($D$46:X$46))),0)</f>
        <v>0.0</v>
      </c>
      <c r="Y56" s="598">
        <f>IF(Y29&lt;&gt;"",IF(Y36+SUM($D$46:Y$46)=0,0,(Y36+SUM($D$46:Y$46))),0)</f>
        <v>0.0</v>
      </c>
      <c r="Z56" s="598">
        <f>IF(Z29&lt;&gt;"",IF(Z36+SUM($D$46:Z$46)=0,0,(Z36+SUM($D$46:Z$46))),0)</f>
        <v>0.0</v>
      </c>
      <c r="AA56" s="598">
        <f>IF(AA29&lt;&gt;"",IF(AA36+SUM($D$46:AA$46)=0,0,(AA36+SUM($D$46:AA$46))),0)</f>
        <v>0.0</v>
      </c>
      <c r="AB56" s="598">
        <f>IF(AB29&lt;&gt;"",IF(AB36+SUM($D$46:AB$46)=0,0,(AB36+SUM($D$46:AB$46))),0)</f>
        <v>0.0</v>
      </c>
      <c r="AC56" s="598">
        <f>IF(AC29&lt;&gt;"",IF(AC36+SUM($D$46:AC$46)=0,0,(AC36+SUM($D$46:AC$46))),0)</f>
        <v>0.0</v>
      </c>
      <c r="AD56" s="598">
        <f>IF(AD29&lt;&gt;"",IF(AD36+SUM($D$46:AD$46)=0,0,(AD36+SUM($D$46:AD$46))),0)</f>
        <v>0.0</v>
      </c>
      <c r="AE56" s="598">
        <f>IF(AE29&lt;&gt;"",IF(AE36+SUM($D$46:AE$46)=0,0,(AE36+SUM($D$46:AE$46))),0)</f>
        <v>0.0</v>
      </c>
      <c r="AF56" s="598">
        <f>IF(AF29&lt;&gt;"",IF(AF36+SUM($D$46:AF$46)=0,0,(AF36+SUM($D$46:AF$46))),0)</f>
        <v>0.0</v>
      </c>
      <c r="AG56" s="598">
        <f>IF(AG29&lt;&gt;"",IF(AG36+SUM($D$46:AG$46)=0,0,(AG36+SUM($D$46:AG$46))),0)</f>
        <v>0.0</v>
      </c>
      <c r="AH56" s="598">
        <f>IF(AH29&lt;&gt;"",IF(AH36+SUM($D$46:AH$46)=0,0,(AH36+SUM($D$46:AH$46))),0)</f>
        <v>0.0</v>
      </c>
      <c r="AI56" s="598">
        <f>IF(AI29&lt;&gt;"",IF(AI36+SUM($D$46:AI$46)=0,0,(AI36+SUM($D$46:AI$46))),0)</f>
        <v>0.0</v>
      </c>
      <c r="AJ56" s="598">
        <f>IF(AJ29&lt;&gt;"",IF(AJ36+SUM($D$46:AJ$46)=0,0,(AJ36+SUM($D$46:AJ$46))),0)</f>
        <v>0.0</v>
      </c>
      <c r="AK56" s="598">
        <f>IF(AK29&lt;&gt;"",IF(AK36+SUM($D$46:AK$46)=0,0,(AK36+SUM($D$46:AK$46))),0)</f>
        <v>0.0</v>
      </c>
      <c r="AL56" s="598">
        <f>IF(AL29&lt;&gt;"",IF(AL36+SUM($D$46:AL$46)=0,0,(AL36+SUM($D$46:AL$46))),0)</f>
        <v>0.0</v>
      </c>
      <c r="AM56" s="598">
        <f>IF(AM29&lt;&gt;"",IF(AM36+SUM($D$46:AM$46)=0,0,(AM36+SUM($D$46:AM$46))),0)</f>
        <v>0.0</v>
      </c>
      <c r="AN56" s="598">
        <f>IF(AN29&lt;&gt;"",IF(AN36+SUM($D$46:AN$46)=0,0,(AN36+SUM($D$46:AN$46))),0)</f>
        <v>0.0</v>
      </c>
      <c r="AO56" s="598">
        <f>IF(AO29&lt;&gt;"",IF(AO36+SUM($D$46:AO$46)=0,0,(AO36+SUM($D$46:AO$46))),0)</f>
        <v>0.0</v>
      </c>
      <c r="AP56" s="598">
        <f>IF(AP29&lt;&gt;"",IF(AP36+SUM($D$46:AP$46)=0,0,(AP36+SUM($D$46:AP$46))),0)</f>
        <v>0.0</v>
      </c>
      <c r="AQ56" s="598">
        <f>IF(AQ29&lt;&gt;"",IF(AQ36+SUM($D$46:AQ$46)=0,0,(AQ36+SUM($D$46:AQ$46))),0)</f>
        <v>0.0</v>
      </c>
      <c r="AR56" s="598">
        <f>IF(AR29&lt;&gt;"",IF(AR36+SUM($D$46:AR$46)=0,0,(AR36+SUM($D$46:AR$46))),0)</f>
        <v>0.0</v>
      </c>
      <c r="AS56" s="598">
        <f>IF(AS29&lt;&gt;"",IF(AS36+SUM($D$46:AS$46)=0,0,(AS36+SUM($D$46:AS$46))),0)</f>
        <v>0.0</v>
      </c>
      <c r="AT56" s="598">
        <f>IF(AT29&lt;&gt;"",IF(AT36+SUM($D$46:AT$46)=0,0,(AT36+SUM($D$46:AT$46))),0)</f>
        <v>0.0</v>
      </c>
      <c r="AU56" s="598">
        <f>IF(AU29&lt;&gt;"",IF(AU36+SUM($D$46:AU$46)=0,0,(AU36+SUM($D$46:AU$46))),0)</f>
        <v>0.0</v>
      </c>
      <c r="AV56" s="598">
        <f>IF(AV29&lt;&gt;"",IF(AV36+SUM($D$46:AV$46)=0,0,(AV36+SUM($D$46:AV$46))),0)</f>
        <v>0.0</v>
      </c>
      <c r="AW56" s="598">
        <f>IF(AW29&lt;&gt;"",IF(AW36+SUM($D$46:AW$46)=0,0,(AW36+SUM($D$46:AW$46))),0)</f>
        <v>0.0</v>
      </c>
      <c r="AX56" s="598">
        <f>IF(AX29&lt;&gt;"",IF(AX36+SUM($D$46:AX$46)=0,0,(AX36+SUM($D$46:AX$46))),0)</f>
        <v>0.0</v>
      </c>
      <c r="AY56" s="598">
        <f>IF(AY29&lt;&gt;"",IF(AY36+SUM($D$46:AY$46)=0,0,(AY36+SUM($D$46:AY$46))),0)</f>
        <v>0.0</v>
      </c>
      <c r="AZ56" s="598">
        <f>IF(AZ29&lt;&gt;"",IF(AZ36+SUM($D$46:AZ$46)=0,0,(AZ36+SUM($D$46:AZ$46))),0)</f>
        <v>0.0</v>
      </c>
      <c r="BA56" s="598">
        <f>IF(BA29&lt;&gt;"",IF(BA36+SUM($D$46:BA$46)=0,0,(BA36+SUM($D$46:BA$46))),0)</f>
        <v>0.0</v>
      </c>
      <c r="BB56" s="598"/>
    </row>
    <row r="57" spans="1:54" s="115" customFormat="1" ht="15" collapsed="1">
      <c r="A57" s="19"/>
      <c r="B57" s="322" t="inlineStr">
        <is>
          <t>Bokfört värde vid årets slut</t>
        </is>
      </c>
      <c r="C57" s="893" t="inlineStr">
        <is>
          <t>→ 5. IRR</t>
        </is>
      </c>
      <c r="D57" s="211">
        <f t="shared" ref="D57:AI57" si="11">IF(D29&lt;&gt;"",SUM(D50:D56),0)</f>
        <v>232727272.7272727</v>
      </c>
      <c r="E57" s="211">
        <f t="shared" si="11"/>
        <v>225454545.45454544</v>
      </c>
      <c r="F57" s="211">
        <f t="shared" si="11"/>
        <v>218181818.18181816</v>
      </c>
      <c r="G57" s="211">
        <f t="shared" si="11"/>
        <v>210909090.90909088</v>
      </c>
      <c r="H57" s="211">
        <f t="shared" si="11"/>
        <v>203636363.63636363</v>
      </c>
      <c r="I57" s="211">
        <f t="shared" si="11"/>
        <v>196363636.36363634</v>
      </c>
      <c r="J57" s="211">
        <f t="shared" si="11"/>
        <v>189090909.09090906</v>
      </c>
      <c r="K57" s="211">
        <f t="shared" si="11"/>
        <v>181818181.8181818</v>
      </c>
      <c r="L57" s="211">
        <f t="shared" si="11"/>
        <v>174545454.54545453</v>
      </c>
      <c r="M57" s="211">
        <f t="shared" si="11"/>
        <v>167272727.27272725</v>
      </c>
      <c r="N57" s="211">
        <f t="shared" si="11"/>
        <v>160000000.0</v>
      </c>
      <c r="O57" s="211">
        <f t="shared" si="11"/>
        <v>152727272.72727272</v>
      </c>
      <c r="P57" s="211">
        <f t="shared" si="11"/>
        <v>145454545.45454544</v>
      </c>
      <c r="Q57" s="211">
        <f t="shared" si="11"/>
        <v>138181818.1818182</v>
      </c>
      <c r="R57" s="211">
        <f>IF(R29&lt;&gt;"",SUM(R50:R56),0)</f>
        <v>130909090.9090909</v>
      </c>
      <c r="S57" s="211">
        <f t="shared" si="11"/>
        <v>123636363.63636363</v>
      </c>
      <c r="T57" s="211">
        <f t="shared" si="11"/>
        <v>116363636.36363636</v>
      </c>
      <c r="U57" s="211">
        <f t="shared" si="11"/>
        <v>109090909.0909091</v>
      </c>
      <c r="V57" s="211">
        <f t="shared" si="11"/>
        <v>101818181.81818181</v>
      </c>
      <c r="W57" s="211">
        <f t="shared" si="11"/>
        <v>94545454.54545453</v>
      </c>
      <c r="X57" s="211">
        <f t="shared" si="11"/>
        <v>87272727.27272725</v>
      </c>
      <c r="Y57" s="211">
        <f t="shared" si="11"/>
        <v>0.0</v>
      </c>
      <c r="Z57" s="211">
        <f t="shared" si="11"/>
        <v>0.0</v>
      </c>
      <c r="AA57" s="211">
        <f t="shared" si="11"/>
        <v>0.0</v>
      </c>
      <c r="AB57" s="211">
        <f t="shared" si="11"/>
        <v>0.0</v>
      </c>
      <c r="AC57" s="211">
        <f t="shared" si="11"/>
        <v>0.0</v>
      </c>
      <c r="AD57" s="211">
        <f t="shared" si="11"/>
        <v>0.0</v>
      </c>
      <c r="AE57" s="211">
        <f t="shared" si="11"/>
        <v>0.0</v>
      </c>
      <c r="AF57" s="211">
        <f t="shared" si="11"/>
        <v>0.0</v>
      </c>
      <c r="AG57" s="211">
        <f t="shared" si="11"/>
        <v>0.0</v>
      </c>
      <c r="AH57" s="211">
        <f t="shared" si="11"/>
        <v>0.0</v>
      </c>
      <c r="AI57" s="211">
        <f t="shared" si="11"/>
        <v>0.0</v>
      </c>
      <c r="AJ57" s="211">
        <f t="shared" ref="AJ57:BA57" si="12">IF(AJ29&lt;&gt;"",SUM(AJ50:AJ56),0)</f>
        <v>0.0</v>
      </c>
      <c r="AK57" s="211">
        <f t="shared" si="12"/>
        <v>0.0</v>
      </c>
      <c r="AL57" s="211">
        <f t="shared" si="12"/>
        <v>0.0</v>
      </c>
      <c r="AM57" s="211">
        <f t="shared" si="12"/>
        <v>0.0</v>
      </c>
      <c r="AN57" s="211">
        <f t="shared" si="12"/>
        <v>0.0</v>
      </c>
      <c r="AO57" s="211">
        <f t="shared" si="12"/>
        <v>0.0</v>
      </c>
      <c r="AP57" s="211">
        <f t="shared" si="12"/>
        <v>0.0</v>
      </c>
      <c r="AQ57" s="211">
        <f t="shared" si="12"/>
        <v>0.0</v>
      </c>
      <c r="AR57" s="211">
        <f t="shared" si="12"/>
        <v>0.0</v>
      </c>
      <c r="AS57" s="211">
        <f t="shared" si="12"/>
        <v>0.0</v>
      </c>
      <c r="AT57" s="211">
        <f t="shared" si="12"/>
        <v>0.0</v>
      </c>
      <c r="AU57" s="211">
        <f t="shared" si="12"/>
        <v>0.0</v>
      </c>
      <c r="AV57" s="211">
        <f t="shared" si="12"/>
        <v>0.0</v>
      </c>
      <c r="AW57" s="211">
        <f t="shared" si="12"/>
        <v>0.0</v>
      </c>
      <c r="AX57" s="211">
        <f t="shared" si="12"/>
        <v>0.0</v>
      </c>
      <c r="AY57" s="211">
        <f t="shared" si="12"/>
        <v>0.0</v>
      </c>
      <c r="AZ57" s="211">
        <f t="shared" si="12"/>
        <v>0.0</v>
      </c>
      <c r="BA57" s="211">
        <f t="shared" si="12"/>
        <v>0.0</v>
      </c>
      <c r="BB57" s="19"/>
    </row>
    <row r="61" spans="1:54">
      <c r="A61" s="494"/>
      <c r="B61" s="494"/>
      <c r="C61" s="494"/>
      <c r="D61" s="494"/>
      <c r="E61" s="494"/>
      <c r="F61" s="494"/>
      <c r="G61" s="494"/>
      <c r="H61" s="494"/>
      <c r="I61" s="494"/>
      <c r="J61" s="494"/>
      <c r="K61" s="494"/>
      <c r="L61" s="494"/>
      <c r="M61" s="494"/>
      <c r="N61" s="494"/>
      <c r="O61" s="494"/>
      <c r="P61" s="494"/>
      <c r="Q61" s="494"/>
      <c r="R61" s="494"/>
      <c r="S61" s="494"/>
      <c r="T61" s="494"/>
      <c r="U61" s="494"/>
      <c r="V61" s="494"/>
      <c r="W61" s="494"/>
      <c r="X61" s="494"/>
      <c r="Y61" s="494"/>
      <c r="Z61" s="494"/>
      <c r="AA61" s="494"/>
      <c r="AB61" s="598"/>
      <c r="AC61" s="494"/>
      <c r="AD61" s="494"/>
      <c r="AE61" s="494"/>
      <c r="AF61" s="494"/>
      <c r="AG61" s="494"/>
      <c r="AH61" s="494"/>
      <c r="AI61" s="494"/>
      <c r="AJ61" s="494"/>
      <c r="AK61" s="494"/>
      <c r="AL61" s="494"/>
      <c r="AM61" s="494"/>
      <c r="AN61" s="494"/>
      <c r="AO61" s="494"/>
      <c r="AP61" s="494"/>
      <c r="AQ61" s="494"/>
      <c r="AR61" s="494"/>
      <c r="AS61" s="494"/>
      <c r="AT61" s="494"/>
      <c r="AU61" s="494"/>
      <c r="AV61" s="494"/>
      <c r="AW61" s="494"/>
      <c r="AX61" s="494"/>
      <c r="AY61" s="494"/>
      <c r="AZ61" s="494"/>
      <c r="BA61" s="494"/>
      <c r="BB61" s="494"/>
    </row>
  </sheetData>
  <mergeCells count="1">
    <mergeCell ref="B4:H4"/>
  </mergeCells>
  <dataValidations count="4">
    <dataValidation allowBlank="1" showInputMessage="1" promptTitle="Ränta byggnadskreditiv" prompt="Aktuell ränta för byggnadskreditiv inkl. marginal. Gäller kalkylår 1 och trappas sedan linjärt upp till långsiktig ränta (C8) på 10 år, se rad 23. Ändras endast efter OK från finansansvarig." sqref="C7"/>
    <dataValidation allowBlank="1" showInputMessage="1" promptTitle="Långsiktig ränta" prompt="Beslutad kalkylränta för långsiktig ränteprognos. Nås kalkylår 11 och gäller sedan resten av kalkylperioden (rad 23). Ändras endast efter OK från finansansvarig." sqref="C8"/>
    <dataValidation allowBlank="1" showInputMessage="1" promptTitle="Amortering per år" prompt="Rak amortering i % av upptaget lån per år. D9 visar motsvarande amorteringstid i år. Påverkar rad 20–22 och finansieringskostnaden." sqref="C9"/>
    <dataValidation allowBlank="1" showInputMessage="1" promptTitle="Belåningsgrad" prompt="Andel av investeringen som lånefinansieras vid start. Resten blir eget kapital (rad 16), som används i 5. IRR. Ändras endast efter OK från finansansvarig." sqref="C10"/>
  </dataValidations>
  <pageMargins left="0.39370078740157477" right="0.39370078740157477" top="0.59055118110236215" bottom="0.59055118110236215" header="0.23622047244094485" footer="0.23622047244094485"/>
  <pageSetup paperSize="8" scale="95" fitToWidth="2" fitToHeight="0" orientation="landscape" r:id="rId1"/>
  <headerFooter differentFirst="1">
    <oddFooter>&amp;LLejonfastigheter · Investeringskalkyl LM 371 v3.2&amp;C3. Finansiering&amp;RSida &amp;P av &amp;N · &amp;D</oddFooter>
    <firstHeader>&amp;L&amp;"Arial,Regular"&amp;8&amp;G</firstHeader>
    <firstFooter>&amp;LLejonfastigheter · Investeringskalkyl LM 371 v3.2&amp;C3. Finansiering&amp;RSida &amp;P av &amp;N · &amp;D</firstFooter>
  </headerFooter>
  <legacy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pageSetUpPr fitToPage="1"/>
  </sheetPr>
  <dimension ref="A1:BB91"/>
  <sheetViews>
    <sheetView showGridLines="0" zoomScaleNormal="100" zoomScaleSheetLayoutView="82" workbookViewId="0">
      <pane ySplit="4" topLeftCell="A5" activePane="bottomLeft" state="frozen"/>
      <selection pane="bottomLeft"/>
    </sheetView>
  </sheetViews>
  <sheetFormatPr defaultColWidth="7.5" defaultRowHeight="14.25" outlineLevelRow="1"/>
  <cols>
    <col min="1" max="1" width="3.5" style="11" customWidth="1"/>
    <col min="2" max="2" width="40.0" style="11" customWidth="1"/>
    <col min="3" max="3" width="12.875" style="73" customWidth="1"/>
    <col min="4" max="53" width="13.625" style="11" customWidth="1"/>
    <col min="54" max="16384" width="7.5" style="11"/>
  </cols>
  <sheetData>
    <row r="1" spans="1:53" ht="23.25">
      <c r="A1" s="494"/>
      <c r="B1" s="185" t="inlineStr">
        <is>
          <t>Nettonuvärde (NPV)</t>
        </is>
      </c>
      <c r="C1" s="186"/>
      <c r="D1" s="494"/>
      <c r="E1" s="494"/>
      <c r="F1" s="494"/>
      <c r="G1" s="494"/>
      <c r="H1" s="494"/>
      <c r="I1" s="494"/>
      <c r="J1" s="494"/>
      <c r="K1" s="494"/>
      <c r="L1" s="494"/>
      <c r="M1" s="494"/>
      <c r="N1" s="494"/>
      <c r="O1" s="494"/>
      <c r="P1" s="494"/>
      <c r="Q1" s="494"/>
      <c r="R1" s="494"/>
      <c r="S1" s="494"/>
      <c r="T1" s="494"/>
      <c r="U1" s="494"/>
      <c r="V1" s="494"/>
      <c r="W1" s="494"/>
      <c r="X1" s="494"/>
      <c r="Y1" s="494"/>
      <c r="Z1" s="494"/>
      <c r="AA1" s="494"/>
      <c r="AB1" s="494"/>
      <c r="AC1" s="494"/>
      <c r="AD1" s="494"/>
      <c r="AE1" s="494"/>
      <c r="AF1" s="494"/>
      <c r="AG1" s="494"/>
      <c r="AH1" s="494"/>
      <c r="AI1" s="494"/>
      <c r="AJ1" s="494"/>
      <c r="AK1" s="494"/>
      <c r="AL1" s="494"/>
      <c r="AM1" s="494"/>
      <c r="AN1" s="494"/>
      <c r="AO1" s="494"/>
      <c r="AP1" s="494"/>
      <c r="AQ1" s="494"/>
      <c r="AR1" s="494"/>
      <c r="AS1" s="494"/>
      <c r="AT1" s="494"/>
      <c r="AU1" s="494"/>
      <c r="AV1" s="494"/>
      <c r="AW1" s="494"/>
      <c r="AX1" s="494"/>
      <c r="AY1" s="494"/>
      <c r="AZ1" s="494"/>
      <c r="BA1" s="494"/>
    </row>
    <row r="2" spans="1:53" ht="50.0" customHeight="1" outlineLevel="1">
      <c r="A2" s="182"/>
      <c r="B2" s="716" t="inlineStr">
        <is>
          <t>Nettonuvärdet (NPV) är nuvärdet av investeringens framtida driftnetton under kalkylperioden plus restvärdet vid periodens slut, diskonterat med kalkylräntan, minus investeringen. Beslutet läses på rad 82: NPV tillkommande (krav 1, ska vara ≥ 0). Rad 47–62 visar hela fastigheten (krav 3) och rad 84–91 hur restvärdet räknas.</t>
        </is>
      </c>
      <c r="C2" s="716"/>
      <c r="D2" s="716"/>
      <c r="E2" s="716"/>
      <c r="F2" s="716"/>
      <c r="G2" s="716"/>
      <c r="H2" s="716"/>
      <c r="I2" s="716"/>
      <c r="J2" s="716"/>
      <c r="K2" s="716"/>
      <c r="L2" s="494"/>
      <c r="M2" s="494"/>
      <c r="N2" s="494"/>
      <c r="O2" s="494"/>
      <c r="P2" s="494"/>
      <c r="Q2" s="494"/>
      <c r="R2" s="494"/>
      <c r="S2" s="494"/>
      <c r="T2" s="494"/>
      <c r="U2" s="494"/>
      <c r="V2" s="494"/>
      <c r="W2" s="494"/>
      <c r="X2" s="494"/>
      <c r="Y2" s="494"/>
      <c r="Z2" s="494"/>
      <c r="AA2" s="494"/>
      <c r="AB2" s="494"/>
      <c r="AC2" s="494"/>
      <c r="AD2" s="494"/>
      <c r="AE2" s="494"/>
      <c r="AF2" s="494"/>
      <c r="AG2" s="494"/>
      <c r="AH2" s="494"/>
      <c r="AI2" s="494"/>
      <c r="AJ2" s="494"/>
      <c r="AK2" s="494"/>
      <c r="AL2" s="494"/>
      <c r="AM2" s="494"/>
      <c r="AN2" s="494"/>
      <c r="AO2" s="494"/>
      <c r="AP2" s="494"/>
      <c r="AQ2" s="494"/>
      <c r="AR2" s="494"/>
      <c r="AS2" s="494"/>
      <c r="AT2" s="494"/>
      <c r="AU2" s="494"/>
      <c r="AV2" s="494"/>
      <c r="AW2" s="494"/>
      <c r="AX2" s="494"/>
      <c r="AY2" s="494"/>
      <c r="AZ2" s="494"/>
      <c r="BA2" s="494"/>
    </row>
    <row r="3" spans="1:53" s="187" customFormat="1" outlineLevel="1" hidden="1">
      <c r="B3" s="494"/>
      <c r="D3" s="187" t="str">
        <f>CONCATENATE("&lt;=",D4)</f>
        <v>&lt;=2026</v>
      </c>
      <c r="E3" s="187" t="str">
        <f t="shared" ref="E3:BA3" si="0">CONCATENATE("&lt;=",E4)</f>
        <v>&lt;=2027</v>
      </c>
      <c r="F3" s="187" t="str">
        <f t="shared" si="0"/>
        <v>&lt;=2028</v>
      </c>
      <c r="G3" s="187" t="str">
        <f t="shared" si="0"/>
        <v>&lt;=2029</v>
      </c>
      <c r="H3" s="187" t="str">
        <f t="shared" si="0"/>
        <v>&lt;=2030</v>
      </c>
      <c r="I3" s="187" t="str">
        <f t="shared" si="0"/>
        <v>&lt;=2031</v>
      </c>
      <c r="J3" s="187" t="str">
        <f t="shared" si="0"/>
        <v>&lt;=2032</v>
      </c>
      <c r="K3" s="187" t="str">
        <f t="shared" si="0"/>
        <v>&lt;=2033</v>
      </c>
      <c r="L3" s="187" t="str">
        <f t="shared" si="0"/>
        <v>&lt;=2034</v>
      </c>
      <c r="M3" s="187" t="str">
        <f t="shared" si="0"/>
        <v>&lt;=2035</v>
      </c>
      <c r="N3" s="187" t="str">
        <f t="shared" si="0"/>
        <v>&lt;=2036</v>
      </c>
      <c r="O3" s="187" t="str">
        <f t="shared" si="0"/>
        <v>&lt;=2037</v>
      </c>
      <c r="P3" s="187" t="str">
        <f t="shared" si="0"/>
        <v>&lt;=2038</v>
      </c>
      <c r="Q3" s="187" t="str">
        <f t="shared" si="0"/>
        <v>&lt;=2039</v>
      </c>
      <c r="R3" s="187" t="str">
        <f t="shared" si="0"/>
        <v>&lt;=2040</v>
      </c>
      <c r="S3" s="187" t="str">
        <f t="shared" si="0"/>
        <v>&lt;=2041</v>
      </c>
      <c r="T3" s="187" t="str">
        <f t="shared" si="0"/>
        <v>&lt;=2042</v>
      </c>
      <c r="U3" s="187" t="str">
        <f t="shared" si="0"/>
        <v>&lt;=2043</v>
      </c>
      <c r="V3" s="187" t="str">
        <f t="shared" si="0"/>
        <v>&lt;=2044</v>
      </c>
      <c r="W3" s="187" t="str">
        <f t="shared" si="0"/>
        <v>&lt;=2045</v>
      </c>
      <c r="X3" s="187" t="str">
        <f t="shared" si="0"/>
        <v>&lt;=2046</v>
      </c>
      <c r="Y3" s="187" t="str">
        <f t="shared" si="0"/>
        <v>&lt;=</v>
      </c>
      <c r="Z3" s="187" t="str">
        <f t="shared" si="0"/>
        <v>&lt;=</v>
      </c>
      <c r="AA3" s="187" t="str">
        <f t="shared" si="0"/>
        <v>&lt;=</v>
      </c>
      <c r="AB3" s="187" t="str">
        <f t="shared" si="0"/>
        <v>&lt;=</v>
      </c>
      <c r="AC3" s="187" t="str">
        <f t="shared" si="0"/>
        <v>&lt;=</v>
      </c>
      <c r="AD3" s="187" t="str">
        <f t="shared" si="0"/>
        <v>&lt;=</v>
      </c>
      <c r="AE3" s="187" t="str">
        <f t="shared" si="0"/>
        <v>&lt;=</v>
      </c>
      <c r="AF3" s="187" t="str">
        <f t="shared" si="0"/>
        <v>&lt;=</v>
      </c>
      <c r="AG3" s="187" t="str">
        <f t="shared" si="0"/>
        <v>&lt;=</v>
      </c>
      <c r="AH3" s="187" t="str">
        <f t="shared" si="0"/>
        <v>&lt;=</v>
      </c>
      <c r="AI3" s="187" t="str">
        <f t="shared" si="0"/>
        <v>&lt;=</v>
      </c>
      <c r="AJ3" s="187" t="str">
        <f t="shared" si="0"/>
        <v>&lt;=</v>
      </c>
      <c r="AK3" s="187" t="str">
        <f t="shared" si="0"/>
        <v>&lt;=</v>
      </c>
      <c r="AL3" s="187" t="str">
        <f t="shared" si="0"/>
        <v>&lt;=</v>
      </c>
      <c r="AM3" s="187" t="str">
        <f t="shared" si="0"/>
        <v>&lt;=</v>
      </c>
      <c r="AN3" s="187" t="str">
        <f t="shared" si="0"/>
        <v>&lt;=</v>
      </c>
      <c r="AO3" s="187" t="str">
        <f t="shared" si="0"/>
        <v>&lt;=</v>
      </c>
      <c r="AP3" s="187" t="str">
        <f t="shared" si="0"/>
        <v>&lt;=</v>
      </c>
      <c r="AQ3" s="187" t="str">
        <f t="shared" si="0"/>
        <v>&lt;=</v>
      </c>
      <c r="AR3" s="187" t="str">
        <f t="shared" si="0"/>
        <v>&lt;=</v>
      </c>
      <c r="AS3" s="187" t="str">
        <f t="shared" si="0"/>
        <v>&lt;=</v>
      </c>
      <c r="AT3" s="187" t="str">
        <f t="shared" si="0"/>
        <v>&lt;=</v>
      </c>
      <c r="AU3" s="187" t="str">
        <f t="shared" si="0"/>
        <v>&lt;=</v>
      </c>
      <c r="AV3" s="187" t="str">
        <f t="shared" si="0"/>
        <v>&lt;=</v>
      </c>
      <c r="AW3" s="187" t="str">
        <f t="shared" si="0"/>
        <v>&lt;=</v>
      </c>
      <c r="AX3" s="187" t="str">
        <f t="shared" si="0"/>
        <v>&lt;=</v>
      </c>
      <c r="AY3" s="187" t="str">
        <f t="shared" si="0"/>
        <v>&lt;=</v>
      </c>
      <c r="AZ3" s="187" t="str">
        <f t="shared" si="0"/>
        <v>&lt;=</v>
      </c>
      <c r="BA3" s="187" t="str">
        <f t="shared" si="0"/>
        <v>&lt;=</v>
      </c>
    </row>
    <row r="4" spans="1:53" ht="15">
      <c r="A4" s="494"/>
      <c r="B4" s="323"/>
      <c r="C4" s="324"/>
      <c r="D4" s="322">
        <f>_xlfn.NUMBERVALUE('3. Finansiering'!D$13)</f>
        <v>2026.0</v>
      </c>
      <c r="E4" s="322">
        <f>'3. Finansiering'!E$13</f>
        <v>2027.0</v>
      </c>
      <c r="F4" s="322">
        <f>'3. Finansiering'!F$13</f>
        <v>2028.0</v>
      </c>
      <c r="G4" s="322">
        <f>'3. Finansiering'!G$13</f>
        <v>2029.0</v>
      </c>
      <c r="H4" s="322">
        <f>'3. Finansiering'!H$13</f>
        <v>2030.0</v>
      </c>
      <c r="I4" s="322">
        <f>'3. Finansiering'!I$13</f>
        <v>2031.0</v>
      </c>
      <c r="J4" s="322">
        <f>'3. Finansiering'!J$13</f>
        <v>2032.0</v>
      </c>
      <c r="K4" s="322">
        <f>'3. Finansiering'!K$13</f>
        <v>2033.0</v>
      </c>
      <c r="L4" s="322">
        <f>'3. Finansiering'!L$13</f>
        <v>2034.0</v>
      </c>
      <c r="M4" s="322">
        <f>'3. Finansiering'!M$13</f>
        <v>2035.0</v>
      </c>
      <c r="N4" s="322">
        <f>'3. Finansiering'!N$13</f>
        <v>2036.0</v>
      </c>
      <c r="O4" s="322">
        <f>'3. Finansiering'!O$13</f>
        <v>2037.0</v>
      </c>
      <c r="P4" s="322">
        <f>'3. Finansiering'!P$13</f>
        <v>2038.0</v>
      </c>
      <c r="Q4" s="322">
        <f>'3. Finansiering'!Q$13</f>
        <v>2039.0</v>
      </c>
      <c r="R4" s="322">
        <f>'3. Finansiering'!R$13</f>
        <v>2040.0</v>
      </c>
      <c r="S4" s="322">
        <f>'3. Finansiering'!S$13</f>
        <v>2041.0</v>
      </c>
      <c r="T4" s="322">
        <f>'3. Finansiering'!T$13</f>
        <v>2042.0</v>
      </c>
      <c r="U4" s="322">
        <f>'3. Finansiering'!U$13</f>
        <v>2043.0</v>
      </c>
      <c r="V4" s="322">
        <f>'3. Finansiering'!V$13</f>
        <v>2044.0</v>
      </c>
      <c r="W4" s="322">
        <f>'3. Finansiering'!W$13</f>
        <v>2045.0</v>
      </c>
      <c r="X4" s="322">
        <f>'3. Finansiering'!X$13</f>
        <v>2046.0</v>
      </c>
      <c r="Y4" s="322" t="str">
        <f>'3. Finansiering'!Y$13</f>
        <v/>
      </c>
      <c r="Z4" s="322" t="str">
        <f>'3. Finansiering'!Z$13</f>
        <v/>
      </c>
      <c r="AA4" s="322" t="str">
        <f>'3. Finansiering'!AA$13</f>
        <v/>
      </c>
      <c r="AB4" s="322" t="str">
        <f>'3. Finansiering'!AB$13</f>
        <v/>
      </c>
      <c r="AC4" s="322" t="str">
        <f>'3. Finansiering'!AC$13</f>
        <v/>
      </c>
      <c r="AD4" s="322" t="str">
        <f>'3. Finansiering'!AD$13</f>
        <v/>
      </c>
      <c r="AE4" s="322" t="str">
        <f>'3. Finansiering'!AE$13</f>
        <v/>
      </c>
      <c r="AF4" s="322" t="str">
        <f>'3. Finansiering'!AF$13</f>
        <v/>
      </c>
      <c r="AG4" s="322" t="str">
        <f>'3. Finansiering'!AG$13</f>
        <v/>
      </c>
      <c r="AH4" s="322" t="str">
        <f>'3. Finansiering'!AH$13</f>
        <v/>
      </c>
      <c r="AI4" s="322" t="str">
        <f>'3. Finansiering'!AI$13</f>
        <v/>
      </c>
      <c r="AJ4" s="322" t="str">
        <f>'3. Finansiering'!AJ$13</f>
        <v/>
      </c>
      <c r="AK4" s="322" t="str">
        <f>'3. Finansiering'!AK$13</f>
        <v/>
      </c>
      <c r="AL4" s="322" t="str">
        <f>'3. Finansiering'!AL$13</f>
        <v/>
      </c>
      <c r="AM4" s="322" t="str">
        <f>'3. Finansiering'!AM$13</f>
        <v/>
      </c>
      <c r="AN4" s="322" t="str">
        <f>'3. Finansiering'!AN$13</f>
        <v/>
      </c>
      <c r="AO4" s="322" t="str">
        <f>'3. Finansiering'!AO$13</f>
        <v/>
      </c>
      <c r="AP4" s="322" t="str">
        <f>'3. Finansiering'!AP$13</f>
        <v/>
      </c>
      <c r="AQ4" s="322" t="str">
        <f>'3. Finansiering'!AQ$13</f>
        <v/>
      </c>
      <c r="AR4" s="322" t="str">
        <f>'3. Finansiering'!AR$13</f>
        <v/>
      </c>
      <c r="AS4" s="322" t="str">
        <f>'3. Finansiering'!AS$13</f>
        <v/>
      </c>
      <c r="AT4" s="322" t="str">
        <f>'3. Finansiering'!AT$13</f>
        <v/>
      </c>
      <c r="AU4" s="322" t="str">
        <f>'3. Finansiering'!AU$13</f>
        <v/>
      </c>
      <c r="AV4" s="322" t="str">
        <f>'3. Finansiering'!AV$13</f>
        <v/>
      </c>
      <c r="AW4" s="322" t="str">
        <f>'3. Finansiering'!AW$13</f>
        <v/>
      </c>
      <c r="AX4" s="322" t="str">
        <f>'3. Finansiering'!AX$13</f>
        <v/>
      </c>
      <c r="AY4" s="322" t="str">
        <f>'3. Finansiering'!AY$13</f>
        <v/>
      </c>
      <c r="AZ4" s="322" t="str">
        <f>'3. Finansiering'!AZ$13</f>
        <v/>
      </c>
      <c r="BA4" s="322" t="str">
        <f>'3. Finansiering'!BA$13</f>
        <v/>
      </c>
    </row>
    <row r="5" spans="1:53" s="188" customFormat="1" ht="11.25">
      <c r="B5" s="331" t="inlineStr">
        <is>
          <t>Kalkylår nr</t>
        </is>
      </c>
      <c r="C5" s="332"/>
      <c r="D5" s="331">
        <f>'3. Finansiering'!D14</f>
        <v>1.0</v>
      </c>
      <c r="E5" s="331">
        <f>'3. Finansiering'!E14</f>
        <v>2.0</v>
      </c>
      <c r="F5" s="331">
        <f>'3. Finansiering'!F14</f>
        <v>3.0</v>
      </c>
      <c r="G5" s="331">
        <f>'3. Finansiering'!G14</f>
        <v>4.0</v>
      </c>
      <c r="H5" s="331">
        <f>'3. Finansiering'!H14</f>
        <v>5.0</v>
      </c>
      <c r="I5" s="331">
        <f>'3. Finansiering'!I14</f>
        <v>6.0</v>
      </c>
      <c r="J5" s="331">
        <f>'3. Finansiering'!J14</f>
        <v>7.0</v>
      </c>
      <c r="K5" s="331">
        <f>'3. Finansiering'!K14</f>
        <v>8.0</v>
      </c>
      <c r="L5" s="331">
        <f>'3. Finansiering'!L14</f>
        <v>9.0</v>
      </c>
      <c r="M5" s="331">
        <f>'3. Finansiering'!M14</f>
        <v>10.0</v>
      </c>
      <c r="N5" s="331">
        <f>'3. Finansiering'!N14</f>
        <v>11.0</v>
      </c>
      <c r="O5" s="331">
        <f>'3. Finansiering'!O14</f>
        <v>12.0</v>
      </c>
      <c r="P5" s="331">
        <f>'3. Finansiering'!P14</f>
        <v>13.0</v>
      </c>
      <c r="Q5" s="331">
        <f>'3. Finansiering'!Q14</f>
        <v>14.0</v>
      </c>
      <c r="R5" s="331">
        <f>'3. Finansiering'!R14</f>
        <v>15.0</v>
      </c>
      <c r="S5" s="331">
        <f>'3. Finansiering'!S14</f>
        <v>16.0</v>
      </c>
      <c r="T5" s="331">
        <f>'3. Finansiering'!T14</f>
        <v>17.0</v>
      </c>
      <c r="U5" s="331">
        <f>'3. Finansiering'!U14</f>
        <v>18.0</v>
      </c>
      <c r="V5" s="331">
        <f>'3. Finansiering'!V14</f>
        <v>19.0</v>
      </c>
      <c r="W5" s="331">
        <f>'3. Finansiering'!W14</f>
        <v>20.0</v>
      </c>
      <c r="X5" s="331">
        <f>'3. Finansiering'!X14</f>
        <v>21.0</v>
      </c>
      <c r="Y5" s="331">
        <f>'3. Finansiering'!Y14</f>
        <v>22.0</v>
      </c>
      <c r="Z5" s="331">
        <f>'3. Finansiering'!Z14</f>
        <v>23.0</v>
      </c>
      <c r="AA5" s="331">
        <f>'3. Finansiering'!AA14</f>
        <v>24.0</v>
      </c>
      <c r="AB5" s="331">
        <f>'3. Finansiering'!AB14</f>
        <v>25.0</v>
      </c>
      <c r="AC5" s="331">
        <f>'3. Finansiering'!AC14</f>
        <v>26.0</v>
      </c>
      <c r="AD5" s="331">
        <f>'3. Finansiering'!AD14</f>
        <v>27.0</v>
      </c>
      <c r="AE5" s="331">
        <f>'3. Finansiering'!AE14</f>
        <v>28.0</v>
      </c>
      <c r="AF5" s="331">
        <f>'3. Finansiering'!AF14</f>
        <v>29.0</v>
      </c>
      <c r="AG5" s="331">
        <f>'3. Finansiering'!AG14</f>
        <v>30.0</v>
      </c>
      <c r="AH5" s="331">
        <f>'3. Finansiering'!AH14</f>
        <v>31.0</v>
      </c>
      <c r="AI5" s="331">
        <f>'3. Finansiering'!AI14</f>
        <v>32.0</v>
      </c>
      <c r="AJ5" s="331">
        <f>'3. Finansiering'!AJ14</f>
        <v>33.0</v>
      </c>
      <c r="AK5" s="331">
        <f>'3. Finansiering'!AK14</f>
        <v>34.0</v>
      </c>
      <c r="AL5" s="331">
        <f>'3. Finansiering'!AL14</f>
        <v>35.0</v>
      </c>
      <c r="AM5" s="331">
        <f>'3. Finansiering'!AM14</f>
        <v>36.0</v>
      </c>
      <c r="AN5" s="331">
        <f>'3. Finansiering'!AN14</f>
        <v>37.0</v>
      </c>
      <c r="AO5" s="331">
        <f>'3. Finansiering'!AO14</f>
        <v>38.0</v>
      </c>
      <c r="AP5" s="331">
        <f>'3. Finansiering'!AP14</f>
        <v>39.0</v>
      </c>
      <c r="AQ5" s="331">
        <f>'3. Finansiering'!AQ14</f>
        <v>40.0</v>
      </c>
      <c r="AR5" s="331">
        <f>'3. Finansiering'!AR14</f>
        <v>41.0</v>
      </c>
      <c r="AS5" s="331">
        <f>'3. Finansiering'!AS14</f>
        <v>42.0</v>
      </c>
      <c r="AT5" s="331">
        <f>'3. Finansiering'!AT14</f>
        <v>43.0</v>
      </c>
      <c r="AU5" s="331">
        <f>'3. Finansiering'!AU14</f>
        <v>44.0</v>
      </c>
      <c r="AV5" s="331">
        <f>'3. Finansiering'!AV14</f>
        <v>45.0</v>
      </c>
      <c r="AW5" s="331">
        <f>'3. Finansiering'!AW14</f>
        <v>46.0</v>
      </c>
      <c r="AX5" s="331">
        <f>'3. Finansiering'!AX14</f>
        <v>47.0</v>
      </c>
      <c r="AY5" s="331">
        <f>'3. Finansiering'!AY14</f>
        <v>48.0</v>
      </c>
      <c r="AZ5" s="331">
        <f>'3. Finansiering'!AZ14</f>
        <v>49.0</v>
      </c>
      <c r="BA5" s="331">
        <f>'3. Finansiering'!BA14</f>
        <v>50.0</v>
      </c>
    </row>
    <row r="6" spans="1:53" s="188" customFormat="1" ht="11.25">
      <c r="B6" s="331" t="inlineStr">
        <is>
          <t>Area nybyggnad, kvm</t>
        </is>
      </c>
      <c r="C6" s="332"/>
      <c r="D6" s="907">
        <f>SUMIFS('2. Kalkyldata'!$H$23:$H$27,'2. Kalkyldata'!$E$23:$E$27,"nyb",'2. Kalkyldata'!$M$23:$M$27,'4. NPV'!D3)</f>
        <v>6100.0</v>
      </c>
      <c r="E6" s="907">
        <f>SUMIFS('2. Kalkyldata'!$H$23:$H$27,'2. Kalkyldata'!$E$23:$E$27,"nyb",'2. Kalkyldata'!$M$23:$M$27,'4. NPV'!E3)</f>
        <v>6100.0</v>
      </c>
      <c r="F6" s="907">
        <f>SUMIFS('2. Kalkyldata'!$H$23:$H$27,'2. Kalkyldata'!$E$23:$E$27,"nyb",'2. Kalkyldata'!$M$23:$M$27,'4. NPV'!F3)</f>
        <v>6100.0</v>
      </c>
      <c r="G6" s="907">
        <f>SUMIFS('2. Kalkyldata'!$H$23:$H$27,'2. Kalkyldata'!$E$23:$E$27,"nyb",'2. Kalkyldata'!$M$23:$M$27,'4. NPV'!G3)</f>
        <v>6100.0</v>
      </c>
      <c r="H6" s="907">
        <f>SUMIFS('2. Kalkyldata'!$H$23:$H$27,'2. Kalkyldata'!$E$23:$E$27,"nyb",'2. Kalkyldata'!$M$23:$M$27,'4. NPV'!H3)</f>
        <v>6100.0</v>
      </c>
      <c r="I6" s="907">
        <f>SUMIFS('2. Kalkyldata'!$H$23:$H$27,'2. Kalkyldata'!$E$23:$E$27,"nyb",'2. Kalkyldata'!$M$23:$M$27,'4. NPV'!I3)</f>
        <v>6100.0</v>
      </c>
      <c r="J6" s="907">
        <f>SUMIFS('2. Kalkyldata'!$H$23:$H$27,'2. Kalkyldata'!$E$23:$E$27,"nyb",'2. Kalkyldata'!$M$23:$M$27,'4. NPV'!J3)</f>
        <v>6100.0</v>
      </c>
      <c r="K6" s="907">
        <f>SUMIFS('2. Kalkyldata'!$H$23:$H$27,'2. Kalkyldata'!$E$23:$E$27,"nyb",'2. Kalkyldata'!$M$23:$M$27,'4. NPV'!K3)</f>
        <v>6100.0</v>
      </c>
      <c r="L6" s="907">
        <f>SUMIFS('2. Kalkyldata'!$H$23:$H$27,'2. Kalkyldata'!$E$23:$E$27,"nyb",'2. Kalkyldata'!$M$23:$M$27,'4. NPV'!L3)</f>
        <v>6100.0</v>
      </c>
      <c r="M6" s="907">
        <f>SUMIFS('2. Kalkyldata'!$H$23:$H$27,'2. Kalkyldata'!$E$23:$E$27,"nyb",'2. Kalkyldata'!$M$23:$M$27,'4. NPV'!M3)</f>
        <v>6100.0</v>
      </c>
      <c r="N6" s="907">
        <f>SUMIFS('2. Kalkyldata'!$H$23:$H$27,'2. Kalkyldata'!$E$23:$E$27,"nyb",'2. Kalkyldata'!$M$23:$M$27,'4. NPV'!N3)</f>
        <v>6100.0</v>
      </c>
      <c r="O6" s="907">
        <f>SUMIFS('2. Kalkyldata'!$H$23:$H$27,'2. Kalkyldata'!$E$23:$E$27,"nyb",'2. Kalkyldata'!$M$23:$M$27,'4. NPV'!O3)</f>
        <v>6100.0</v>
      </c>
      <c r="P6" s="907">
        <f>SUMIFS('2. Kalkyldata'!$H$23:$H$27,'2. Kalkyldata'!$E$23:$E$27,"nyb",'2. Kalkyldata'!$M$23:$M$27,'4. NPV'!P3)</f>
        <v>6100.0</v>
      </c>
      <c r="Q6" s="907">
        <f>SUMIFS('2. Kalkyldata'!$H$23:$H$27,'2. Kalkyldata'!$E$23:$E$27,"nyb",'2. Kalkyldata'!$M$23:$M$27,'4. NPV'!Q3)</f>
        <v>6100.0</v>
      </c>
      <c r="R6" s="907">
        <f>SUMIFS('2. Kalkyldata'!$H$23:$H$27,'2. Kalkyldata'!$E$23:$E$27,"nyb",'2. Kalkyldata'!$M$23:$M$27,'4. NPV'!R3)</f>
        <v>6100.0</v>
      </c>
      <c r="S6" s="907">
        <f>SUMIFS('2. Kalkyldata'!$H$23:$H$27,'2. Kalkyldata'!$E$23:$E$27,"nyb",'2. Kalkyldata'!$M$23:$M$27,'4. NPV'!S3)</f>
        <v>6100.0</v>
      </c>
      <c r="T6" s="907">
        <f>SUMIFS('2. Kalkyldata'!$H$23:$H$27,'2. Kalkyldata'!$E$23:$E$27,"nyb",'2. Kalkyldata'!$M$23:$M$27,'4. NPV'!T3)</f>
        <v>6100.0</v>
      </c>
      <c r="U6" s="907">
        <f>SUMIFS('2. Kalkyldata'!$H$23:$H$27,'2. Kalkyldata'!$E$23:$E$27,"nyb",'2. Kalkyldata'!$M$23:$M$27,'4. NPV'!U3)</f>
        <v>6100.0</v>
      </c>
      <c r="V6" s="907">
        <f>SUMIFS('2. Kalkyldata'!$H$23:$H$27,'2. Kalkyldata'!$E$23:$E$27,"nyb",'2. Kalkyldata'!$M$23:$M$27,'4. NPV'!V3)</f>
        <v>6100.0</v>
      </c>
      <c r="W6" s="907">
        <f>SUMIFS('2. Kalkyldata'!$H$23:$H$27,'2. Kalkyldata'!$E$23:$E$27,"nyb",'2. Kalkyldata'!$M$23:$M$27,'4. NPV'!W3)</f>
        <v>6100.0</v>
      </c>
      <c r="X6" s="907">
        <f>SUMIFS('2. Kalkyldata'!$H$23:$H$27,'2. Kalkyldata'!$E$23:$E$27,"nyb",'2. Kalkyldata'!$M$23:$M$27,'4. NPV'!X3)</f>
        <v>6100.0</v>
      </c>
      <c r="Y6" s="907">
        <f>SUMIFS('2. Kalkyldata'!$H$23:$H$27,'2. Kalkyldata'!$E$23:$E$27,"nyb",'2. Kalkyldata'!$M$23:$M$27,'4. NPV'!Y3)</f>
        <v>0.0</v>
      </c>
      <c r="Z6" s="907">
        <f>SUMIFS('2. Kalkyldata'!$H$23:$H$27,'2. Kalkyldata'!$E$23:$E$27,"nyb",'2. Kalkyldata'!$M$23:$M$27,'4. NPV'!Z3)</f>
        <v>0.0</v>
      </c>
      <c r="AA6" s="907">
        <f>SUMIFS('2. Kalkyldata'!$H$23:$H$27,'2. Kalkyldata'!$E$23:$E$27,"nyb",'2. Kalkyldata'!$M$23:$M$27,'4. NPV'!AA3)</f>
        <v>0.0</v>
      </c>
      <c r="AB6" s="907">
        <f>SUMIFS('2. Kalkyldata'!$H$23:$H$27,'2. Kalkyldata'!$E$23:$E$27,"nyb",'2. Kalkyldata'!$M$23:$M$27,'4. NPV'!AB3)</f>
        <v>0.0</v>
      </c>
      <c r="AC6" s="907">
        <f>SUMIFS('2. Kalkyldata'!$H$23:$H$27,'2. Kalkyldata'!$E$23:$E$27,"nyb",'2. Kalkyldata'!$M$23:$M$27,'4. NPV'!AC3)</f>
        <v>0.0</v>
      </c>
      <c r="AD6" s="907">
        <f>SUMIFS('2. Kalkyldata'!$H$23:$H$27,'2. Kalkyldata'!$E$23:$E$27,"nyb",'2. Kalkyldata'!$M$23:$M$27,'4. NPV'!AD3)</f>
        <v>0.0</v>
      </c>
      <c r="AE6" s="907">
        <f>SUMIFS('2. Kalkyldata'!$H$23:$H$27,'2. Kalkyldata'!$E$23:$E$27,"nyb",'2. Kalkyldata'!$M$23:$M$27,'4. NPV'!AE3)</f>
        <v>0.0</v>
      </c>
      <c r="AF6" s="907">
        <f>SUMIFS('2. Kalkyldata'!$H$23:$H$27,'2. Kalkyldata'!$E$23:$E$27,"nyb",'2. Kalkyldata'!$M$23:$M$27,'4. NPV'!AF3)</f>
        <v>0.0</v>
      </c>
      <c r="AG6" s="907">
        <f>SUMIFS('2. Kalkyldata'!$H$23:$H$27,'2. Kalkyldata'!$E$23:$E$27,"nyb",'2. Kalkyldata'!$M$23:$M$27,'4. NPV'!AG3)</f>
        <v>0.0</v>
      </c>
      <c r="AH6" s="907">
        <f>SUMIFS('2. Kalkyldata'!$H$23:$H$27,'2. Kalkyldata'!$E$23:$E$27,"nyb",'2. Kalkyldata'!$M$23:$M$27,'4. NPV'!AH3)</f>
        <v>0.0</v>
      </c>
      <c r="AI6" s="907">
        <f>SUMIFS('2. Kalkyldata'!$H$23:$H$27,'2. Kalkyldata'!$E$23:$E$27,"nyb",'2. Kalkyldata'!$M$23:$M$27,'4. NPV'!AI3)</f>
        <v>0.0</v>
      </c>
      <c r="AJ6" s="907">
        <f>SUMIFS('2. Kalkyldata'!$H$23:$H$27,'2. Kalkyldata'!$E$23:$E$27,"nyb",'2. Kalkyldata'!$M$23:$M$27,'4. NPV'!AJ3)</f>
        <v>0.0</v>
      </c>
      <c r="AK6" s="907">
        <f>SUMIFS('2. Kalkyldata'!$H$23:$H$27,'2. Kalkyldata'!$E$23:$E$27,"nyb",'2. Kalkyldata'!$M$23:$M$27,'4. NPV'!AK3)</f>
        <v>0.0</v>
      </c>
      <c r="AL6" s="907">
        <f>SUMIFS('2. Kalkyldata'!$H$23:$H$27,'2. Kalkyldata'!$E$23:$E$27,"nyb",'2. Kalkyldata'!$M$23:$M$27,'4. NPV'!AL3)</f>
        <v>0.0</v>
      </c>
      <c r="AM6" s="907">
        <f>SUMIFS('2. Kalkyldata'!$H$23:$H$27,'2. Kalkyldata'!$E$23:$E$27,"nyb",'2. Kalkyldata'!$M$23:$M$27,'4. NPV'!AM3)</f>
        <v>0.0</v>
      </c>
      <c r="AN6" s="907">
        <f>SUMIFS('2. Kalkyldata'!$H$23:$H$27,'2. Kalkyldata'!$E$23:$E$27,"nyb",'2. Kalkyldata'!$M$23:$M$27,'4. NPV'!AN3)</f>
        <v>0.0</v>
      </c>
      <c r="AO6" s="907">
        <f>SUMIFS('2. Kalkyldata'!$H$23:$H$27,'2. Kalkyldata'!$E$23:$E$27,"nyb",'2. Kalkyldata'!$M$23:$M$27,'4. NPV'!AO3)</f>
        <v>0.0</v>
      </c>
      <c r="AP6" s="907">
        <f>SUMIFS('2. Kalkyldata'!$H$23:$H$27,'2. Kalkyldata'!$E$23:$E$27,"nyb",'2. Kalkyldata'!$M$23:$M$27,'4. NPV'!AP3)</f>
        <v>0.0</v>
      </c>
      <c r="AQ6" s="907">
        <f>SUMIFS('2. Kalkyldata'!$H$23:$H$27,'2. Kalkyldata'!$E$23:$E$27,"nyb",'2. Kalkyldata'!$M$23:$M$27,'4. NPV'!AQ3)</f>
        <v>0.0</v>
      </c>
      <c r="AR6" s="907">
        <f>SUMIFS('2. Kalkyldata'!$H$23:$H$27,'2. Kalkyldata'!$E$23:$E$27,"nyb",'2. Kalkyldata'!$M$23:$M$27,'4. NPV'!AR3)</f>
        <v>0.0</v>
      </c>
      <c r="AS6" s="907">
        <f>SUMIFS('2. Kalkyldata'!$H$23:$H$27,'2. Kalkyldata'!$E$23:$E$27,"nyb",'2. Kalkyldata'!$M$23:$M$27,'4. NPV'!AS3)</f>
        <v>0.0</v>
      </c>
      <c r="AT6" s="907">
        <f>SUMIFS('2. Kalkyldata'!$H$23:$H$27,'2. Kalkyldata'!$E$23:$E$27,"nyb",'2. Kalkyldata'!$M$23:$M$27,'4. NPV'!AT3)</f>
        <v>0.0</v>
      </c>
      <c r="AU6" s="907">
        <f>SUMIFS('2. Kalkyldata'!$H$23:$H$27,'2. Kalkyldata'!$E$23:$E$27,"nyb",'2. Kalkyldata'!$M$23:$M$27,'4. NPV'!AU3)</f>
        <v>0.0</v>
      </c>
      <c r="AV6" s="907">
        <f>SUMIFS('2. Kalkyldata'!$H$23:$H$27,'2. Kalkyldata'!$E$23:$E$27,"nyb",'2. Kalkyldata'!$M$23:$M$27,'4. NPV'!AV3)</f>
        <v>0.0</v>
      </c>
      <c r="AW6" s="907">
        <f>SUMIFS('2. Kalkyldata'!$H$23:$H$27,'2. Kalkyldata'!$E$23:$E$27,"nyb",'2. Kalkyldata'!$M$23:$M$27,'4. NPV'!AW3)</f>
        <v>0.0</v>
      </c>
      <c r="AX6" s="907">
        <f>SUMIFS('2. Kalkyldata'!$H$23:$H$27,'2. Kalkyldata'!$E$23:$E$27,"nyb",'2. Kalkyldata'!$M$23:$M$27,'4. NPV'!AX3)</f>
        <v>0.0</v>
      </c>
      <c r="AY6" s="907">
        <f>SUMIFS('2. Kalkyldata'!$H$23:$H$27,'2. Kalkyldata'!$E$23:$E$27,"nyb",'2. Kalkyldata'!$M$23:$M$27,'4. NPV'!AY3)</f>
        <v>0.0</v>
      </c>
      <c r="AZ6" s="907">
        <f>SUMIFS('2. Kalkyldata'!$H$23:$H$27,'2. Kalkyldata'!$E$23:$E$27,"nyb",'2. Kalkyldata'!$M$23:$M$27,'4. NPV'!AZ3)</f>
        <v>0.0</v>
      </c>
      <c r="BA6" s="907">
        <f>SUMIFS('2. Kalkyldata'!$H$23:$H$27,'2. Kalkyldata'!$E$23:$E$27,"nyb",'2. Kalkyldata'!$M$23:$M$27,'4. NPV'!BA3)</f>
        <v>0.0</v>
      </c>
    </row>
    <row r="7" spans="1:53" s="188" customFormat="1" ht="11.25">
      <c r="B7" s="331" t="inlineStr">
        <is>
          <t>Area befintligt, kvm</t>
        </is>
      </c>
      <c r="C7" s="332"/>
      <c r="D7" s="908">
        <f>SUMIFS('2. Kalkyldata'!$H$23:$H$27,'2. Kalkyldata'!$E$23:$E$27,"Bef",'2. Kalkyldata'!$M$23:$M$27,'4. NPV'!D3)+SUMIFS('2. Kalkyldata'!$H$23:$H$27,'2. Kalkyldata'!$E$23:$E$27,"Omb",'2. Kalkyldata'!$M$23:$M$27,'4. NPV'!D3)+SUMIFS('2. Kalkyldata'!$H$23:$H$27,'2. Kalkyldata'!$E$23:$E$27,"Ins",'2. Kalkyldata'!$M$23:$M$27,'4. NPV'!D3)+SUMIFS('2. Kalkyldata'!$H$23:$H$27,'2. Kalkyldata'!$E$23:$E$27,"Mar",'2. Kalkyldata'!$M$23:$M$27,'4. NPV'!D3)</f>
        <v>0.0</v>
      </c>
      <c r="E7" s="908">
        <f>SUMIFS('2. Kalkyldata'!$H$23:$H$27,'2. Kalkyldata'!$E$23:$E$27,"Bef",'2. Kalkyldata'!$M$23:$M$27,'4. NPV'!E3)+SUMIFS('2. Kalkyldata'!$H$23:$H$27,'2. Kalkyldata'!$E$23:$E$27,"Omb",'2. Kalkyldata'!$M$23:$M$27,'4. NPV'!E3)+SUMIFS('2. Kalkyldata'!$H$23:$H$27,'2. Kalkyldata'!$E$23:$E$27,"Ins",'2. Kalkyldata'!$M$23:$M$27,'4. NPV'!E3)+SUMIFS('2. Kalkyldata'!$H$23:$H$27,'2. Kalkyldata'!$E$23:$E$27,"Mar",'2. Kalkyldata'!$M$23:$M$27,'4. NPV'!E3)</f>
        <v>0.0</v>
      </c>
      <c r="F7" s="908">
        <f>SUMIFS('2. Kalkyldata'!$H$23:$H$27,'2. Kalkyldata'!$E$23:$E$27,"Bef",'2. Kalkyldata'!$M$23:$M$27,'4. NPV'!F3)+SUMIFS('2. Kalkyldata'!$H$23:$H$27,'2. Kalkyldata'!$E$23:$E$27,"Omb",'2. Kalkyldata'!$M$23:$M$27,'4. NPV'!F3)+SUMIFS('2. Kalkyldata'!$H$23:$H$27,'2. Kalkyldata'!$E$23:$E$27,"Ins",'2. Kalkyldata'!$M$23:$M$27,'4. NPV'!F3)+SUMIFS('2. Kalkyldata'!$H$23:$H$27,'2. Kalkyldata'!$E$23:$E$27,"Mar",'2. Kalkyldata'!$M$23:$M$27,'4. NPV'!F3)</f>
        <v>0.0</v>
      </c>
      <c r="G7" s="908">
        <f>SUMIFS('2. Kalkyldata'!$H$23:$H$27,'2. Kalkyldata'!$E$23:$E$27,"Bef",'2. Kalkyldata'!$M$23:$M$27,'4. NPV'!G3)+SUMIFS('2. Kalkyldata'!$H$23:$H$27,'2. Kalkyldata'!$E$23:$E$27,"Omb",'2. Kalkyldata'!$M$23:$M$27,'4. NPV'!G3)+SUMIFS('2. Kalkyldata'!$H$23:$H$27,'2. Kalkyldata'!$E$23:$E$27,"Ins",'2. Kalkyldata'!$M$23:$M$27,'4. NPV'!G3)+SUMIFS('2. Kalkyldata'!$H$23:$H$27,'2. Kalkyldata'!$E$23:$E$27,"Mar",'2. Kalkyldata'!$M$23:$M$27,'4. NPV'!G3)</f>
        <v>0.0</v>
      </c>
      <c r="H7" s="908">
        <f>SUMIFS('2. Kalkyldata'!$H$23:$H$27,'2. Kalkyldata'!$E$23:$E$27,"Bef",'2. Kalkyldata'!$M$23:$M$27,'4. NPV'!H3)+SUMIFS('2. Kalkyldata'!$H$23:$H$27,'2. Kalkyldata'!$E$23:$E$27,"Omb",'2. Kalkyldata'!$M$23:$M$27,'4. NPV'!H3)+SUMIFS('2. Kalkyldata'!$H$23:$H$27,'2. Kalkyldata'!$E$23:$E$27,"Ins",'2. Kalkyldata'!$M$23:$M$27,'4. NPV'!H3)+SUMIFS('2. Kalkyldata'!$H$23:$H$27,'2. Kalkyldata'!$E$23:$E$27,"Mar",'2. Kalkyldata'!$M$23:$M$27,'4. NPV'!H3)</f>
        <v>0.0</v>
      </c>
      <c r="I7" s="908">
        <f>SUMIFS('2. Kalkyldata'!$H$23:$H$27,'2. Kalkyldata'!$E$23:$E$27,"Bef",'2. Kalkyldata'!$M$23:$M$27,'4. NPV'!I3)+SUMIFS('2. Kalkyldata'!$H$23:$H$27,'2. Kalkyldata'!$E$23:$E$27,"Omb",'2. Kalkyldata'!$M$23:$M$27,'4. NPV'!I3)+SUMIFS('2. Kalkyldata'!$H$23:$H$27,'2. Kalkyldata'!$E$23:$E$27,"Ins",'2. Kalkyldata'!$M$23:$M$27,'4. NPV'!I3)+SUMIFS('2. Kalkyldata'!$H$23:$H$27,'2. Kalkyldata'!$E$23:$E$27,"Mar",'2. Kalkyldata'!$M$23:$M$27,'4. NPV'!I3)</f>
        <v>0.0</v>
      </c>
      <c r="J7" s="908">
        <f>SUMIFS('2. Kalkyldata'!$H$23:$H$27,'2. Kalkyldata'!$E$23:$E$27,"Bef",'2. Kalkyldata'!$M$23:$M$27,'4. NPV'!J3)+SUMIFS('2. Kalkyldata'!$H$23:$H$27,'2. Kalkyldata'!$E$23:$E$27,"Omb",'2. Kalkyldata'!$M$23:$M$27,'4. NPV'!J3)+SUMIFS('2. Kalkyldata'!$H$23:$H$27,'2. Kalkyldata'!$E$23:$E$27,"Ins",'2. Kalkyldata'!$M$23:$M$27,'4. NPV'!J3)+SUMIFS('2. Kalkyldata'!$H$23:$H$27,'2. Kalkyldata'!$E$23:$E$27,"Mar",'2. Kalkyldata'!$M$23:$M$27,'4. NPV'!J3)</f>
        <v>0.0</v>
      </c>
      <c r="K7" s="908">
        <f>SUMIFS('2. Kalkyldata'!$H$23:$H$27,'2. Kalkyldata'!$E$23:$E$27,"Bef",'2. Kalkyldata'!$M$23:$M$27,'4. NPV'!K3)+SUMIFS('2. Kalkyldata'!$H$23:$H$27,'2. Kalkyldata'!$E$23:$E$27,"Omb",'2. Kalkyldata'!$M$23:$M$27,'4. NPV'!K3)+SUMIFS('2. Kalkyldata'!$H$23:$H$27,'2. Kalkyldata'!$E$23:$E$27,"Ins",'2. Kalkyldata'!$M$23:$M$27,'4. NPV'!K3)+SUMIFS('2. Kalkyldata'!$H$23:$H$27,'2. Kalkyldata'!$E$23:$E$27,"Mar",'2. Kalkyldata'!$M$23:$M$27,'4. NPV'!K3)</f>
        <v>0.0</v>
      </c>
      <c r="L7" s="908">
        <f>SUMIFS('2. Kalkyldata'!$H$23:$H$27,'2. Kalkyldata'!$E$23:$E$27,"Bef",'2. Kalkyldata'!$M$23:$M$27,'4. NPV'!L3)+SUMIFS('2. Kalkyldata'!$H$23:$H$27,'2. Kalkyldata'!$E$23:$E$27,"Omb",'2. Kalkyldata'!$M$23:$M$27,'4. NPV'!L3)+SUMIFS('2. Kalkyldata'!$H$23:$H$27,'2. Kalkyldata'!$E$23:$E$27,"Ins",'2. Kalkyldata'!$M$23:$M$27,'4. NPV'!L3)+SUMIFS('2. Kalkyldata'!$H$23:$H$27,'2. Kalkyldata'!$E$23:$E$27,"Mar",'2. Kalkyldata'!$M$23:$M$27,'4. NPV'!L3)</f>
        <v>0.0</v>
      </c>
      <c r="M7" s="908">
        <f>SUMIFS('2. Kalkyldata'!$H$23:$H$27,'2. Kalkyldata'!$E$23:$E$27,"Bef",'2. Kalkyldata'!$M$23:$M$27,'4. NPV'!M3)+SUMIFS('2. Kalkyldata'!$H$23:$H$27,'2. Kalkyldata'!$E$23:$E$27,"Omb",'2. Kalkyldata'!$M$23:$M$27,'4. NPV'!M3)+SUMIFS('2. Kalkyldata'!$H$23:$H$27,'2. Kalkyldata'!$E$23:$E$27,"Ins",'2. Kalkyldata'!$M$23:$M$27,'4. NPV'!M3)+SUMIFS('2. Kalkyldata'!$H$23:$H$27,'2. Kalkyldata'!$E$23:$E$27,"Mar",'2. Kalkyldata'!$M$23:$M$27,'4. NPV'!M3)</f>
        <v>0.0</v>
      </c>
      <c r="N7" s="908">
        <f>SUMIFS('2. Kalkyldata'!$H$23:$H$27,'2. Kalkyldata'!$E$23:$E$27,"Bef",'2. Kalkyldata'!$M$23:$M$27,'4. NPV'!N3)+SUMIFS('2. Kalkyldata'!$H$23:$H$27,'2. Kalkyldata'!$E$23:$E$27,"Omb",'2. Kalkyldata'!$M$23:$M$27,'4. NPV'!N3)+SUMIFS('2. Kalkyldata'!$H$23:$H$27,'2. Kalkyldata'!$E$23:$E$27,"Ins",'2. Kalkyldata'!$M$23:$M$27,'4. NPV'!N3)+SUMIFS('2. Kalkyldata'!$H$23:$H$27,'2. Kalkyldata'!$E$23:$E$27,"Mar",'2. Kalkyldata'!$M$23:$M$27,'4. NPV'!N3)</f>
        <v>0.0</v>
      </c>
      <c r="O7" s="908">
        <f>SUMIFS('2. Kalkyldata'!$H$23:$H$27,'2. Kalkyldata'!$E$23:$E$27,"Bef",'2. Kalkyldata'!$M$23:$M$27,'4. NPV'!O3)+SUMIFS('2. Kalkyldata'!$H$23:$H$27,'2. Kalkyldata'!$E$23:$E$27,"Omb",'2. Kalkyldata'!$M$23:$M$27,'4. NPV'!O3)+SUMIFS('2. Kalkyldata'!$H$23:$H$27,'2. Kalkyldata'!$E$23:$E$27,"Ins",'2. Kalkyldata'!$M$23:$M$27,'4. NPV'!O3)+SUMIFS('2. Kalkyldata'!$H$23:$H$27,'2. Kalkyldata'!$E$23:$E$27,"Mar",'2. Kalkyldata'!$M$23:$M$27,'4. NPV'!O3)</f>
        <v>0.0</v>
      </c>
      <c r="P7" s="908">
        <f>SUMIFS('2. Kalkyldata'!$H$23:$H$27,'2. Kalkyldata'!$E$23:$E$27,"Bef",'2. Kalkyldata'!$M$23:$M$27,'4. NPV'!P3)+SUMIFS('2. Kalkyldata'!$H$23:$H$27,'2. Kalkyldata'!$E$23:$E$27,"Omb",'2. Kalkyldata'!$M$23:$M$27,'4. NPV'!P3)+SUMIFS('2. Kalkyldata'!$H$23:$H$27,'2. Kalkyldata'!$E$23:$E$27,"Ins",'2. Kalkyldata'!$M$23:$M$27,'4. NPV'!P3)+SUMIFS('2. Kalkyldata'!$H$23:$H$27,'2. Kalkyldata'!$E$23:$E$27,"Mar",'2. Kalkyldata'!$M$23:$M$27,'4. NPV'!P3)</f>
        <v>0.0</v>
      </c>
      <c r="Q7" s="908">
        <f>SUMIFS('2. Kalkyldata'!$H$23:$H$27,'2. Kalkyldata'!$E$23:$E$27,"Bef",'2. Kalkyldata'!$M$23:$M$27,'4. NPV'!Q3)+SUMIFS('2. Kalkyldata'!$H$23:$H$27,'2. Kalkyldata'!$E$23:$E$27,"Omb",'2. Kalkyldata'!$M$23:$M$27,'4. NPV'!Q3)+SUMIFS('2. Kalkyldata'!$H$23:$H$27,'2. Kalkyldata'!$E$23:$E$27,"Ins",'2. Kalkyldata'!$M$23:$M$27,'4. NPV'!Q3)+SUMIFS('2. Kalkyldata'!$H$23:$H$27,'2. Kalkyldata'!$E$23:$E$27,"Mar",'2. Kalkyldata'!$M$23:$M$27,'4. NPV'!Q3)</f>
        <v>0.0</v>
      </c>
      <c r="R7" s="908">
        <f>SUMIFS('2. Kalkyldata'!$H$23:$H$27,'2. Kalkyldata'!$E$23:$E$27,"Bef",'2. Kalkyldata'!$M$23:$M$27,'4. NPV'!R3)+SUMIFS('2. Kalkyldata'!$H$23:$H$27,'2. Kalkyldata'!$E$23:$E$27,"Omb",'2. Kalkyldata'!$M$23:$M$27,'4. NPV'!R3)+SUMIFS('2. Kalkyldata'!$H$23:$H$27,'2. Kalkyldata'!$E$23:$E$27,"Ins",'2. Kalkyldata'!$M$23:$M$27,'4. NPV'!R3)+SUMIFS('2. Kalkyldata'!$H$23:$H$27,'2. Kalkyldata'!$E$23:$E$27,"Mar",'2. Kalkyldata'!$M$23:$M$27,'4. NPV'!R3)</f>
        <v>0.0</v>
      </c>
      <c r="S7" s="908">
        <f>SUMIFS('2. Kalkyldata'!$H$23:$H$27,'2. Kalkyldata'!$E$23:$E$27,"Bef",'2. Kalkyldata'!$M$23:$M$27,'4. NPV'!S3)+SUMIFS('2. Kalkyldata'!$H$23:$H$27,'2. Kalkyldata'!$E$23:$E$27,"Omb",'2. Kalkyldata'!$M$23:$M$27,'4. NPV'!S3)+SUMIFS('2. Kalkyldata'!$H$23:$H$27,'2. Kalkyldata'!$E$23:$E$27,"Ins",'2. Kalkyldata'!$M$23:$M$27,'4. NPV'!S3)+SUMIFS('2. Kalkyldata'!$H$23:$H$27,'2. Kalkyldata'!$E$23:$E$27,"Mar",'2. Kalkyldata'!$M$23:$M$27,'4. NPV'!S3)</f>
        <v>0.0</v>
      </c>
      <c r="T7" s="908">
        <f>SUMIFS('2. Kalkyldata'!$H$23:$H$27,'2. Kalkyldata'!$E$23:$E$27,"Bef",'2. Kalkyldata'!$M$23:$M$27,'4. NPV'!T3)+SUMIFS('2. Kalkyldata'!$H$23:$H$27,'2. Kalkyldata'!$E$23:$E$27,"Omb",'2. Kalkyldata'!$M$23:$M$27,'4. NPV'!T3)+SUMIFS('2. Kalkyldata'!$H$23:$H$27,'2. Kalkyldata'!$E$23:$E$27,"Ins",'2. Kalkyldata'!$M$23:$M$27,'4. NPV'!T3)+SUMIFS('2. Kalkyldata'!$H$23:$H$27,'2. Kalkyldata'!$E$23:$E$27,"Mar",'2. Kalkyldata'!$M$23:$M$27,'4. NPV'!T3)</f>
        <v>0.0</v>
      </c>
      <c r="U7" s="908">
        <f>SUMIFS('2. Kalkyldata'!$H$23:$H$27,'2. Kalkyldata'!$E$23:$E$27,"Bef",'2. Kalkyldata'!$M$23:$M$27,'4. NPV'!U3)+SUMIFS('2. Kalkyldata'!$H$23:$H$27,'2. Kalkyldata'!$E$23:$E$27,"Omb",'2. Kalkyldata'!$M$23:$M$27,'4. NPV'!U3)+SUMIFS('2. Kalkyldata'!$H$23:$H$27,'2. Kalkyldata'!$E$23:$E$27,"Ins",'2. Kalkyldata'!$M$23:$M$27,'4. NPV'!U3)+SUMIFS('2. Kalkyldata'!$H$23:$H$27,'2. Kalkyldata'!$E$23:$E$27,"Mar",'2. Kalkyldata'!$M$23:$M$27,'4. NPV'!U3)</f>
        <v>0.0</v>
      </c>
      <c r="V7" s="908">
        <f>SUMIFS('2. Kalkyldata'!$H$23:$H$27,'2. Kalkyldata'!$E$23:$E$27,"Bef",'2. Kalkyldata'!$M$23:$M$27,'4. NPV'!V3)+SUMIFS('2. Kalkyldata'!$H$23:$H$27,'2. Kalkyldata'!$E$23:$E$27,"Omb",'2. Kalkyldata'!$M$23:$M$27,'4. NPV'!V3)+SUMIFS('2. Kalkyldata'!$H$23:$H$27,'2. Kalkyldata'!$E$23:$E$27,"Ins",'2. Kalkyldata'!$M$23:$M$27,'4. NPV'!V3)+SUMIFS('2. Kalkyldata'!$H$23:$H$27,'2. Kalkyldata'!$E$23:$E$27,"Mar",'2. Kalkyldata'!$M$23:$M$27,'4. NPV'!V3)</f>
        <v>0.0</v>
      </c>
      <c r="W7" s="908">
        <f>SUMIFS('2. Kalkyldata'!$H$23:$H$27,'2. Kalkyldata'!$E$23:$E$27,"Bef",'2. Kalkyldata'!$M$23:$M$27,'4. NPV'!W3)+SUMIFS('2. Kalkyldata'!$H$23:$H$27,'2. Kalkyldata'!$E$23:$E$27,"Omb",'2. Kalkyldata'!$M$23:$M$27,'4. NPV'!W3)+SUMIFS('2. Kalkyldata'!$H$23:$H$27,'2. Kalkyldata'!$E$23:$E$27,"Ins",'2. Kalkyldata'!$M$23:$M$27,'4. NPV'!W3)+SUMIFS('2. Kalkyldata'!$H$23:$H$27,'2. Kalkyldata'!$E$23:$E$27,"Mar",'2. Kalkyldata'!$M$23:$M$27,'4. NPV'!W3)</f>
        <v>0.0</v>
      </c>
      <c r="X7" s="908">
        <f>SUMIFS('2. Kalkyldata'!$H$23:$H$27,'2. Kalkyldata'!$E$23:$E$27,"Bef",'2. Kalkyldata'!$M$23:$M$27,'4. NPV'!X3)+SUMIFS('2. Kalkyldata'!$H$23:$H$27,'2. Kalkyldata'!$E$23:$E$27,"Omb",'2. Kalkyldata'!$M$23:$M$27,'4. NPV'!X3)+SUMIFS('2. Kalkyldata'!$H$23:$H$27,'2. Kalkyldata'!$E$23:$E$27,"Ins",'2. Kalkyldata'!$M$23:$M$27,'4. NPV'!X3)+SUMIFS('2. Kalkyldata'!$H$23:$H$27,'2. Kalkyldata'!$E$23:$E$27,"Mar",'2. Kalkyldata'!$M$23:$M$27,'4. NPV'!X3)</f>
        <v>0.0</v>
      </c>
      <c r="Y7" s="908">
        <f>SUMIFS('2. Kalkyldata'!$H$23:$H$27,'2. Kalkyldata'!$E$23:$E$27,"Bef",'2. Kalkyldata'!$M$23:$M$27,'4. NPV'!Y3)+SUMIFS('2. Kalkyldata'!$H$23:$H$27,'2. Kalkyldata'!$E$23:$E$27,"Omb",'2. Kalkyldata'!$M$23:$M$27,'4. NPV'!Y3)+SUMIFS('2. Kalkyldata'!$H$23:$H$27,'2. Kalkyldata'!$E$23:$E$27,"Ins",'2. Kalkyldata'!$M$23:$M$27,'4. NPV'!Y3)+SUMIFS('2. Kalkyldata'!$H$23:$H$27,'2. Kalkyldata'!$E$23:$E$27,"Mar",'2. Kalkyldata'!$M$23:$M$27,'4. NPV'!Y3)</f>
        <v>0.0</v>
      </c>
      <c r="Z7" s="908">
        <f>SUMIFS('2. Kalkyldata'!$H$23:$H$27,'2. Kalkyldata'!$E$23:$E$27,"Bef",'2. Kalkyldata'!$M$23:$M$27,'4. NPV'!Z3)+SUMIFS('2. Kalkyldata'!$H$23:$H$27,'2. Kalkyldata'!$E$23:$E$27,"Omb",'2. Kalkyldata'!$M$23:$M$27,'4. NPV'!Z3)+SUMIFS('2. Kalkyldata'!$H$23:$H$27,'2. Kalkyldata'!$E$23:$E$27,"Ins",'2. Kalkyldata'!$M$23:$M$27,'4. NPV'!Z3)+SUMIFS('2. Kalkyldata'!$H$23:$H$27,'2. Kalkyldata'!$E$23:$E$27,"Mar",'2. Kalkyldata'!$M$23:$M$27,'4. NPV'!Z3)</f>
        <v>0.0</v>
      </c>
      <c r="AA7" s="908">
        <f>SUMIFS('2. Kalkyldata'!$H$23:$H$27,'2. Kalkyldata'!$E$23:$E$27,"Bef",'2. Kalkyldata'!$M$23:$M$27,'4. NPV'!AA3)+SUMIFS('2. Kalkyldata'!$H$23:$H$27,'2. Kalkyldata'!$E$23:$E$27,"Omb",'2. Kalkyldata'!$M$23:$M$27,'4. NPV'!AA3)+SUMIFS('2. Kalkyldata'!$H$23:$H$27,'2. Kalkyldata'!$E$23:$E$27,"Ins",'2. Kalkyldata'!$M$23:$M$27,'4. NPV'!AA3)+SUMIFS('2. Kalkyldata'!$H$23:$H$27,'2. Kalkyldata'!$E$23:$E$27,"Mar",'2. Kalkyldata'!$M$23:$M$27,'4. NPV'!AA3)</f>
        <v>0.0</v>
      </c>
      <c r="AB7" s="908">
        <f>SUMIFS('2. Kalkyldata'!$H$23:$H$27,'2. Kalkyldata'!$E$23:$E$27,"Bef",'2. Kalkyldata'!$M$23:$M$27,'4. NPV'!AB3)+SUMIFS('2. Kalkyldata'!$H$23:$H$27,'2. Kalkyldata'!$E$23:$E$27,"Omb",'2. Kalkyldata'!$M$23:$M$27,'4. NPV'!AB3)+SUMIFS('2. Kalkyldata'!$H$23:$H$27,'2. Kalkyldata'!$E$23:$E$27,"Ins",'2. Kalkyldata'!$M$23:$M$27,'4. NPV'!AB3)+SUMIFS('2. Kalkyldata'!$H$23:$H$27,'2. Kalkyldata'!$E$23:$E$27,"Mar",'2. Kalkyldata'!$M$23:$M$27,'4. NPV'!AB3)</f>
        <v>0.0</v>
      </c>
      <c r="AC7" s="908">
        <f>SUMIFS('2. Kalkyldata'!$H$23:$H$27,'2. Kalkyldata'!$E$23:$E$27,"Bef",'2. Kalkyldata'!$M$23:$M$27,'4. NPV'!AC3)+SUMIFS('2. Kalkyldata'!$H$23:$H$27,'2. Kalkyldata'!$E$23:$E$27,"Omb",'2. Kalkyldata'!$M$23:$M$27,'4. NPV'!AC3)+SUMIFS('2. Kalkyldata'!$H$23:$H$27,'2. Kalkyldata'!$E$23:$E$27,"Ins",'2. Kalkyldata'!$M$23:$M$27,'4. NPV'!AC3)+SUMIFS('2. Kalkyldata'!$H$23:$H$27,'2. Kalkyldata'!$E$23:$E$27,"Mar",'2. Kalkyldata'!$M$23:$M$27,'4. NPV'!AC3)</f>
        <v>0.0</v>
      </c>
      <c r="AD7" s="908">
        <f>SUMIFS('2. Kalkyldata'!$H$23:$H$27,'2. Kalkyldata'!$E$23:$E$27,"Bef",'2. Kalkyldata'!$M$23:$M$27,'4. NPV'!AD3)+SUMIFS('2. Kalkyldata'!$H$23:$H$27,'2. Kalkyldata'!$E$23:$E$27,"Omb",'2. Kalkyldata'!$M$23:$M$27,'4. NPV'!AD3)+SUMIFS('2. Kalkyldata'!$H$23:$H$27,'2. Kalkyldata'!$E$23:$E$27,"Ins",'2. Kalkyldata'!$M$23:$M$27,'4. NPV'!AD3)+SUMIFS('2. Kalkyldata'!$H$23:$H$27,'2. Kalkyldata'!$E$23:$E$27,"Mar",'2. Kalkyldata'!$M$23:$M$27,'4. NPV'!AD3)</f>
        <v>0.0</v>
      </c>
      <c r="AE7" s="908">
        <f>SUMIFS('2. Kalkyldata'!$H$23:$H$27,'2. Kalkyldata'!$E$23:$E$27,"Bef",'2. Kalkyldata'!$M$23:$M$27,'4. NPV'!AE3)+SUMIFS('2. Kalkyldata'!$H$23:$H$27,'2. Kalkyldata'!$E$23:$E$27,"Omb",'2. Kalkyldata'!$M$23:$M$27,'4. NPV'!AE3)+SUMIFS('2. Kalkyldata'!$H$23:$H$27,'2. Kalkyldata'!$E$23:$E$27,"Ins",'2. Kalkyldata'!$M$23:$M$27,'4. NPV'!AE3)+SUMIFS('2. Kalkyldata'!$H$23:$H$27,'2. Kalkyldata'!$E$23:$E$27,"Mar",'2. Kalkyldata'!$M$23:$M$27,'4. NPV'!AE3)</f>
        <v>0.0</v>
      </c>
      <c r="AF7" s="908">
        <f>SUMIFS('2. Kalkyldata'!$H$23:$H$27,'2. Kalkyldata'!$E$23:$E$27,"Bef",'2. Kalkyldata'!$M$23:$M$27,'4. NPV'!AF3)+SUMIFS('2. Kalkyldata'!$H$23:$H$27,'2. Kalkyldata'!$E$23:$E$27,"Omb",'2. Kalkyldata'!$M$23:$M$27,'4. NPV'!AF3)+SUMIFS('2. Kalkyldata'!$H$23:$H$27,'2. Kalkyldata'!$E$23:$E$27,"Ins",'2. Kalkyldata'!$M$23:$M$27,'4. NPV'!AF3)+SUMIFS('2. Kalkyldata'!$H$23:$H$27,'2. Kalkyldata'!$E$23:$E$27,"Mar",'2. Kalkyldata'!$M$23:$M$27,'4. NPV'!AF3)</f>
        <v>0.0</v>
      </c>
      <c r="AG7" s="908">
        <f>SUMIFS('2. Kalkyldata'!$H$23:$H$27,'2. Kalkyldata'!$E$23:$E$27,"Bef",'2. Kalkyldata'!$M$23:$M$27,'4. NPV'!AG3)+SUMIFS('2. Kalkyldata'!$H$23:$H$27,'2. Kalkyldata'!$E$23:$E$27,"Omb",'2. Kalkyldata'!$M$23:$M$27,'4. NPV'!AG3)+SUMIFS('2. Kalkyldata'!$H$23:$H$27,'2. Kalkyldata'!$E$23:$E$27,"Ins",'2. Kalkyldata'!$M$23:$M$27,'4. NPV'!AG3)+SUMIFS('2. Kalkyldata'!$H$23:$H$27,'2. Kalkyldata'!$E$23:$E$27,"Mar",'2. Kalkyldata'!$M$23:$M$27,'4. NPV'!AG3)</f>
        <v>0.0</v>
      </c>
      <c r="AH7" s="908">
        <f>SUMIFS('2. Kalkyldata'!$H$23:$H$27,'2. Kalkyldata'!$E$23:$E$27,"Bef",'2. Kalkyldata'!$M$23:$M$27,'4. NPV'!AH3)+SUMIFS('2. Kalkyldata'!$H$23:$H$27,'2. Kalkyldata'!$E$23:$E$27,"Omb",'2. Kalkyldata'!$M$23:$M$27,'4. NPV'!AH3)+SUMIFS('2. Kalkyldata'!$H$23:$H$27,'2. Kalkyldata'!$E$23:$E$27,"Ins",'2. Kalkyldata'!$M$23:$M$27,'4. NPV'!AH3)+SUMIFS('2. Kalkyldata'!$H$23:$H$27,'2. Kalkyldata'!$E$23:$E$27,"Mar",'2. Kalkyldata'!$M$23:$M$27,'4. NPV'!AH3)</f>
        <v>0.0</v>
      </c>
      <c r="AI7" s="908">
        <f>SUMIFS('2. Kalkyldata'!$H$23:$H$27,'2. Kalkyldata'!$E$23:$E$27,"Bef",'2. Kalkyldata'!$M$23:$M$27,'4. NPV'!AI3)+SUMIFS('2. Kalkyldata'!$H$23:$H$27,'2. Kalkyldata'!$E$23:$E$27,"Omb",'2. Kalkyldata'!$M$23:$M$27,'4. NPV'!AI3)+SUMIFS('2. Kalkyldata'!$H$23:$H$27,'2. Kalkyldata'!$E$23:$E$27,"Ins",'2. Kalkyldata'!$M$23:$M$27,'4. NPV'!AI3)+SUMIFS('2. Kalkyldata'!$H$23:$H$27,'2. Kalkyldata'!$E$23:$E$27,"Mar",'2. Kalkyldata'!$M$23:$M$27,'4. NPV'!AI3)</f>
        <v>0.0</v>
      </c>
      <c r="AJ7" s="908">
        <f>SUMIFS('2. Kalkyldata'!$H$23:$H$27,'2. Kalkyldata'!$E$23:$E$27,"Bef",'2. Kalkyldata'!$M$23:$M$27,'4. NPV'!AJ3)+SUMIFS('2. Kalkyldata'!$H$23:$H$27,'2. Kalkyldata'!$E$23:$E$27,"Omb",'2. Kalkyldata'!$M$23:$M$27,'4. NPV'!AJ3)+SUMIFS('2. Kalkyldata'!$H$23:$H$27,'2. Kalkyldata'!$E$23:$E$27,"Ins",'2. Kalkyldata'!$M$23:$M$27,'4. NPV'!AJ3)+SUMIFS('2. Kalkyldata'!$H$23:$H$27,'2. Kalkyldata'!$E$23:$E$27,"Mar",'2. Kalkyldata'!$M$23:$M$27,'4. NPV'!AJ3)</f>
        <v>0.0</v>
      </c>
      <c r="AK7" s="908">
        <f>SUMIFS('2. Kalkyldata'!$H$23:$H$27,'2. Kalkyldata'!$E$23:$E$27,"Bef",'2. Kalkyldata'!$M$23:$M$27,'4. NPV'!AK3)+SUMIFS('2. Kalkyldata'!$H$23:$H$27,'2. Kalkyldata'!$E$23:$E$27,"Omb",'2. Kalkyldata'!$M$23:$M$27,'4. NPV'!AK3)+SUMIFS('2. Kalkyldata'!$H$23:$H$27,'2. Kalkyldata'!$E$23:$E$27,"Ins",'2. Kalkyldata'!$M$23:$M$27,'4. NPV'!AK3)+SUMIFS('2. Kalkyldata'!$H$23:$H$27,'2. Kalkyldata'!$E$23:$E$27,"Mar",'2. Kalkyldata'!$M$23:$M$27,'4. NPV'!AK3)</f>
        <v>0.0</v>
      </c>
      <c r="AL7" s="908">
        <f>SUMIFS('2. Kalkyldata'!$H$23:$H$27,'2. Kalkyldata'!$E$23:$E$27,"Bef",'2. Kalkyldata'!$M$23:$M$27,'4. NPV'!AL3)+SUMIFS('2. Kalkyldata'!$H$23:$H$27,'2. Kalkyldata'!$E$23:$E$27,"Omb",'2. Kalkyldata'!$M$23:$M$27,'4. NPV'!AL3)+SUMIFS('2. Kalkyldata'!$H$23:$H$27,'2. Kalkyldata'!$E$23:$E$27,"Ins",'2. Kalkyldata'!$M$23:$M$27,'4. NPV'!AL3)+SUMIFS('2. Kalkyldata'!$H$23:$H$27,'2. Kalkyldata'!$E$23:$E$27,"Mar",'2. Kalkyldata'!$M$23:$M$27,'4. NPV'!AL3)</f>
        <v>0.0</v>
      </c>
      <c r="AM7" s="908">
        <f>SUMIFS('2. Kalkyldata'!$H$23:$H$27,'2. Kalkyldata'!$E$23:$E$27,"Bef",'2. Kalkyldata'!$M$23:$M$27,'4. NPV'!AM3)+SUMIFS('2. Kalkyldata'!$H$23:$H$27,'2. Kalkyldata'!$E$23:$E$27,"Omb",'2. Kalkyldata'!$M$23:$M$27,'4. NPV'!AM3)+SUMIFS('2. Kalkyldata'!$H$23:$H$27,'2. Kalkyldata'!$E$23:$E$27,"Ins",'2. Kalkyldata'!$M$23:$M$27,'4. NPV'!AM3)+SUMIFS('2. Kalkyldata'!$H$23:$H$27,'2. Kalkyldata'!$E$23:$E$27,"Mar",'2. Kalkyldata'!$M$23:$M$27,'4. NPV'!AM3)</f>
        <v>0.0</v>
      </c>
      <c r="AN7" s="908">
        <f>SUMIFS('2. Kalkyldata'!$H$23:$H$27,'2. Kalkyldata'!$E$23:$E$27,"Bef",'2. Kalkyldata'!$M$23:$M$27,'4. NPV'!AN3)+SUMIFS('2. Kalkyldata'!$H$23:$H$27,'2. Kalkyldata'!$E$23:$E$27,"Omb",'2. Kalkyldata'!$M$23:$M$27,'4. NPV'!AN3)+SUMIFS('2. Kalkyldata'!$H$23:$H$27,'2. Kalkyldata'!$E$23:$E$27,"Ins",'2. Kalkyldata'!$M$23:$M$27,'4. NPV'!AN3)+SUMIFS('2. Kalkyldata'!$H$23:$H$27,'2. Kalkyldata'!$E$23:$E$27,"Mar",'2. Kalkyldata'!$M$23:$M$27,'4. NPV'!AN3)</f>
        <v>0.0</v>
      </c>
      <c r="AO7" s="908">
        <f>SUMIFS('2. Kalkyldata'!$H$23:$H$27,'2. Kalkyldata'!$E$23:$E$27,"Bef",'2. Kalkyldata'!$M$23:$M$27,'4. NPV'!AO3)+SUMIFS('2. Kalkyldata'!$H$23:$H$27,'2. Kalkyldata'!$E$23:$E$27,"Omb",'2. Kalkyldata'!$M$23:$M$27,'4. NPV'!AO3)+SUMIFS('2. Kalkyldata'!$H$23:$H$27,'2. Kalkyldata'!$E$23:$E$27,"Ins",'2. Kalkyldata'!$M$23:$M$27,'4. NPV'!AO3)+SUMIFS('2. Kalkyldata'!$H$23:$H$27,'2. Kalkyldata'!$E$23:$E$27,"Mar",'2. Kalkyldata'!$M$23:$M$27,'4. NPV'!AO3)</f>
        <v>0.0</v>
      </c>
      <c r="AP7" s="908">
        <f>SUMIFS('2. Kalkyldata'!$H$23:$H$27,'2. Kalkyldata'!$E$23:$E$27,"Bef",'2. Kalkyldata'!$M$23:$M$27,'4. NPV'!AP3)+SUMIFS('2. Kalkyldata'!$H$23:$H$27,'2. Kalkyldata'!$E$23:$E$27,"Omb",'2. Kalkyldata'!$M$23:$M$27,'4. NPV'!AP3)+SUMIFS('2. Kalkyldata'!$H$23:$H$27,'2. Kalkyldata'!$E$23:$E$27,"Ins",'2. Kalkyldata'!$M$23:$M$27,'4. NPV'!AP3)+SUMIFS('2. Kalkyldata'!$H$23:$H$27,'2. Kalkyldata'!$E$23:$E$27,"Mar",'2. Kalkyldata'!$M$23:$M$27,'4. NPV'!AP3)</f>
        <v>0.0</v>
      </c>
      <c r="AQ7" s="908">
        <f>SUMIFS('2. Kalkyldata'!$H$23:$H$27,'2. Kalkyldata'!$E$23:$E$27,"Bef",'2. Kalkyldata'!$M$23:$M$27,'4. NPV'!AQ3)+SUMIFS('2. Kalkyldata'!$H$23:$H$27,'2. Kalkyldata'!$E$23:$E$27,"Omb",'2. Kalkyldata'!$M$23:$M$27,'4. NPV'!AQ3)+SUMIFS('2. Kalkyldata'!$H$23:$H$27,'2. Kalkyldata'!$E$23:$E$27,"Ins",'2. Kalkyldata'!$M$23:$M$27,'4. NPV'!AQ3)+SUMIFS('2. Kalkyldata'!$H$23:$H$27,'2. Kalkyldata'!$E$23:$E$27,"Mar",'2. Kalkyldata'!$M$23:$M$27,'4. NPV'!AQ3)</f>
        <v>0.0</v>
      </c>
      <c r="AR7" s="908">
        <f>SUMIFS('2. Kalkyldata'!$H$23:$H$27,'2. Kalkyldata'!$E$23:$E$27,"Bef",'2. Kalkyldata'!$M$23:$M$27,'4. NPV'!AR3)+SUMIFS('2. Kalkyldata'!$H$23:$H$27,'2. Kalkyldata'!$E$23:$E$27,"Omb",'2. Kalkyldata'!$M$23:$M$27,'4. NPV'!AR3)+SUMIFS('2. Kalkyldata'!$H$23:$H$27,'2. Kalkyldata'!$E$23:$E$27,"Ins",'2. Kalkyldata'!$M$23:$M$27,'4. NPV'!AR3)+SUMIFS('2. Kalkyldata'!$H$23:$H$27,'2. Kalkyldata'!$E$23:$E$27,"Mar",'2. Kalkyldata'!$M$23:$M$27,'4. NPV'!AR3)</f>
        <v>0.0</v>
      </c>
      <c r="AS7" s="908">
        <f>SUMIFS('2. Kalkyldata'!$H$23:$H$27,'2. Kalkyldata'!$E$23:$E$27,"Bef",'2. Kalkyldata'!$M$23:$M$27,'4. NPV'!AS3)+SUMIFS('2. Kalkyldata'!$H$23:$H$27,'2. Kalkyldata'!$E$23:$E$27,"Omb",'2. Kalkyldata'!$M$23:$M$27,'4. NPV'!AS3)+SUMIFS('2. Kalkyldata'!$H$23:$H$27,'2. Kalkyldata'!$E$23:$E$27,"Ins",'2. Kalkyldata'!$M$23:$M$27,'4. NPV'!AS3)+SUMIFS('2. Kalkyldata'!$H$23:$H$27,'2. Kalkyldata'!$E$23:$E$27,"Mar",'2. Kalkyldata'!$M$23:$M$27,'4. NPV'!AS3)</f>
        <v>0.0</v>
      </c>
      <c r="AT7" s="908">
        <f>SUMIFS('2. Kalkyldata'!$H$23:$H$27,'2. Kalkyldata'!$E$23:$E$27,"Bef",'2. Kalkyldata'!$M$23:$M$27,'4. NPV'!AT3)+SUMIFS('2. Kalkyldata'!$H$23:$H$27,'2. Kalkyldata'!$E$23:$E$27,"Omb",'2. Kalkyldata'!$M$23:$M$27,'4. NPV'!AT3)+SUMIFS('2. Kalkyldata'!$H$23:$H$27,'2. Kalkyldata'!$E$23:$E$27,"Ins",'2. Kalkyldata'!$M$23:$M$27,'4. NPV'!AT3)+SUMIFS('2. Kalkyldata'!$H$23:$H$27,'2. Kalkyldata'!$E$23:$E$27,"Mar",'2. Kalkyldata'!$M$23:$M$27,'4. NPV'!AT3)</f>
        <v>0.0</v>
      </c>
      <c r="AU7" s="908">
        <f>SUMIFS('2. Kalkyldata'!$H$23:$H$27,'2. Kalkyldata'!$E$23:$E$27,"Bef",'2. Kalkyldata'!$M$23:$M$27,'4. NPV'!AU3)+SUMIFS('2. Kalkyldata'!$H$23:$H$27,'2. Kalkyldata'!$E$23:$E$27,"Omb",'2. Kalkyldata'!$M$23:$M$27,'4. NPV'!AU3)+SUMIFS('2. Kalkyldata'!$H$23:$H$27,'2. Kalkyldata'!$E$23:$E$27,"Ins",'2. Kalkyldata'!$M$23:$M$27,'4. NPV'!AU3)+SUMIFS('2. Kalkyldata'!$H$23:$H$27,'2. Kalkyldata'!$E$23:$E$27,"Mar",'2. Kalkyldata'!$M$23:$M$27,'4. NPV'!AU3)</f>
        <v>0.0</v>
      </c>
      <c r="AV7" s="908">
        <f>SUMIFS('2. Kalkyldata'!$H$23:$H$27,'2. Kalkyldata'!$E$23:$E$27,"Bef",'2. Kalkyldata'!$M$23:$M$27,'4. NPV'!AV3)+SUMIFS('2. Kalkyldata'!$H$23:$H$27,'2. Kalkyldata'!$E$23:$E$27,"Omb",'2. Kalkyldata'!$M$23:$M$27,'4. NPV'!AV3)+SUMIFS('2. Kalkyldata'!$H$23:$H$27,'2. Kalkyldata'!$E$23:$E$27,"Ins",'2. Kalkyldata'!$M$23:$M$27,'4. NPV'!AV3)+SUMIFS('2. Kalkyldata'!$H$23:$H$27,'2. Kalkyldata'!$E$23:$E$27,"Mar",'2. Kalkyldata'!$M$23:$M$27,'4. NPV'!AV3)</f>
        <v>0.0</v>
      </c>
      <c r="AW7" s="908">
        <f>SUMIFS('2. Kalkyldata'!$H$23:$H$27,'2. Kalkyldata'!$E$23:$E$27,"Bef",'2. Kalkyldata'!$M$23:$M$27,'4. NPV'!AW3)+SUMIFS('2. Kalkyldata'!$H$23:$H$27,'2. Kalkyldata'!$E$23:$E$27,"Omb",'2. Kalkyldata'!$M$23:$M$27,'4. NPV'!AW3)+SUMIFS('2. Kalkyldata'!$H$23:$H$27,'2. Kalkyldata'!$E$23:$E$27,"Ins",'2. Kalkyldata'!$M$23:$M$27,'4. NPV'!AW3)+SUMIFS('2. Kalkyldata'!$H$23:$H$27,'2. Kalkyldata'!$E$23:$E$27,"Mar",'2. Kalkyldata'!$M$23:$M$27,'4. NPV'!AW3)</f>
        <v>0.0</v>
      </c>
      <c r="AX7" s="908">
        <f>SUMIFS('2. Kalkyldata'!$H$23:$H$27,'2. Kalkyldata'!$E$23:$E$27,"Bef",'2. Kalkyldata'!$M$23:$M$27,'4. NPV'!AX3)+SUMIFS('2. Kalkyldata'!$H$23:$H$27,'2. Kalkyldata'!$E$23:$E$27,"Omb",'2. Kalkyldata'!$M$23:$M$27,'4. NPV'!AX3)+SUMIFS('2. Kalkyldata'!$H$23:$H$27,'2. Kalkyldata'!$E$23:$E$27,"Ins",'2. Kalkyldata'!$M$23:$M$27,'4. NPV'!AX3)+SUMIFS('2. Kalkyldata'!$H$23:$H$27,'2. Kalkyldata'!$E$23:$E$27,"Mar",'2. Kalkyldata'!$M$23:$M$27,'4. NPV'!AX3)</f>
        <v>0.0</v>
      </c>
      <c r="AY7" s="908">
        <f>SUMIFS('2. Kalkyldata'!$H$23:$H$27,'2. Kalkyldata'!$E$23:$E$27,"Bef",'2. Kalkyldata'!$M$23:$M$27,'4. NPV'!AY3)+SUMIFS('2. Kalkyldata'!$H$23:$H$27,'2. Kalkyldata'!$E$23:$E$27,"Omb",'2. Kalkyldata'!$M$23:$M$27,'4. NPV'!AY3)+SUMIFS('2. Kalkyldata'!$H$23:$H$27,'2. Kalkyldata'!$E$23:$E$27,"Ins",'2. Kalkyldata'!$M$23:$M$27,'4. NPV'!AY3)+SUMIFS('2. Kalkyldata'!$H$23:$H$27,'2. Kalkyldata'!$E$23:$E$27,"Mar",'2. Kalkyldata'!$M$23:$M$27,'4. NPV'!AY3)</f>
        <v>0.0</v>
      </c>
      <c r="AZ7" s="908">
        <f>SUMIFS('2. Kalkyldata'!$H$23:$H$27,'2. Kalkyldata'!$E$23:$E$27,"Bef",'2. Kalkyldata'!$M$23:$M$27,'4. NPV'!AZ3)+SUMIFS('2. Kalkyldata'!$H$23:$H$27,'2. Kalkyldata'!$E$23:$E$27,"Omb",'2. Kalkyldata'!$M$23:$M$27,'4. NPV'!AZ3)+SUMIFS('2. Kalkyldata'!$H$23:$H$27,'2. Kalkyldata'!$E$23:$E$27,"Ins",'2. Kalkyldata'!$M$23:$M$27,'4. NPV'!AZ3)+SUMIFS('2. Kalkyldata'!$H$23:$H$27,'2. Kalkyldata'!$E$23:$E$27,"Mar",'2. Kalkyldata'!$M$23:$M$27,'4. NPV'!AZ3)</f>
        <v>0.0</v>
      </c>
      <c r="BA7" s="908">
        <f>SUMIFS('2. Kalkyldata'!$H$23:$H$27,'2. Kalkyldata'!$E$23:$E$27,"Bef",'2. Kalkyldata'!$M$23:$M$27,'4. NPV'!BA3)+SUMIFS('2. Kalkyldata'!$H$23:$H$27,'2. Kalkyldata'!$E$23:$E$27,"Omb",'2. Kalkyldata'!$M$23:$M$27,'4. NPV'!BA3)+SUMIFS('2. Kalkyldata'!$H$23:$H$27,'2. Kalkyldata'!$E$23:$E$27,"Ins",'2. Kalkyldata'!$M$23:$M$27,'4. NPV'!BA3)+SUMIFS('2. Kalkyldata'!$H$23:$H$27,'2. Kalkyldata'!$E$23:$E$27,"Mar",'2. Kalkyldata'!$M$23:$M$27,'4. NPV'!BA3)</f>
        <v>0.0</v>
      </c>
    </row>
    <row r="8" spans="1:53">
      <c r="A8" s="494"/>
      <c r="B8" s="310" t="inlineStr">
        <is>
          <t>Total area, kvm</t>
        </is>
      </c>
      <c r="C8" s="334">
        <f>D8</f>
        <v>6100.0</v>
      </c>
      <c r="D8" s="310">
        <f>D6+D7</f>
        <v>6100.0</v>
      </c>
      <c r="E8" s="310">
        <f t="shared" ref="E8:BA8" si="1">E6+E7</f>
        <v>6100.0</v>
      </c>
      <c r="F8" s="310">
        <f t="shared" si="1"/>
        <v>6100.0</v>
      </c>
      <c r="G8" s="310">
        <f t="shared" si="1"/>
        <v>6100.0</v>
      </c>
      <c r="H8" s="310">
        <f t="shared" si="1"/>
        <v>6100.0</v>
      </c>
      <c r="I8" s="310">
        <f t="shared" si="1"/>
        <v>6100.0</v>
      </c>
      <c r="J8" s="310">
        <f t="shared" si="1"/>
        <v>6100.0</v>
      </c>
      <c r="K8" s="310">
        <f t="shared" si="1"/>
        <v>6100.0</v>
      </c>
      <c r="L8" s="310">
        <f t="shared" si="1"/>
        <v>6100.0</v>
      </c>
      <c r="M8" s="310">
        <f t="shared" si="1"/>
        <v>6100.0</v>
      </c>
      <c r="N8" s="310">
        <f t="shared" si="1"/>
        <v>6100.0</v>
      </c>
      <c r="O8" s="310">
        <f t="shared" si="1"/>
        <v>6100.0</v>
      </c>
      <c r="P8" s="310">
        <f t="shared" si="1"/>
        <v>6100.0</v>
      </c>
      <c r="Q8" s="310">
        <f t="shared" si="1"/>
        <v>6100.0</v>
      </c>
      <c r="R8" s="310">
        <f t="shared" si="1"/>
        <v>6100.0</v>
      </c>
      <c r="S8" s="310">
        <f t="shared" si="1"/>
        <v>6100.0</v>
      </c>
      <c r="T8" s="310">
        <f t="shared" si="1"/>
        <v>6100.0</v>
      </c>
      <c r="U8" s="310">
        <f t="shared" si="1"/>
        <v>6100.0</v>
      </c>
      <c r="V8" s="310">
        <f t="shared" si="1"/>
        <v>6100.0</v>
      </c>
      <c r="W8" s="310">
        <f t="shared" si="1"/>
        <v>6100.0</v>
      </c>
      <c r="X8" s="310">
        <f t="shared" si="1"/>
        <v>6100.0</v>
      </c>
      <c r="Y8" s="310">
        <f t="shared" si="1"/>
        <v>0.0</v>
      </c>
      <c r="Z8" s="310">
        <f t="shared" si="1"/>
        <v>0.0</v>
      </c>
      <c r="AA8" s="310">
        <f t="shared" si="1"/>
        <v>0.0</v>
      </c>
      <c r="AB8" s="310">
        <f t="shared" si="1"/>
        <v>0.0</v>
      </c>
      <c r="AC8" s="310">
        <f t="shared" si="1"/>
        <v>0.0</v>
      </c>
      <c r="AD8" s="310">
        <f t="shared" si="1"/>
        <v>0.0</v>
      </c>
      <c r="AE8" s="310">
        <f t="shared" si="1"/>
        <v>0.0</v>
      </c>
      <c r="AF8" s="310">
        <f t="shared" si="1"/>
        <v>0.0</v>
      </c>
      <c r="AG8" s="310">
        <f t="shared" si="1"/>
        <v>0.0</v>
      </c>
      <c r="AH8" s="310">
        <f t="shared" si="1"/>
        <v>0.0</v>
      </c>
      <c r="AI8" s="310">
        <f t="shared" si="1"/>
        <v>0.0</v>
      </c>
      <c r="AJ8" s="310">
        <f t="shared" si="1"/>
        <v>0.0</v>
      </c>
      <c r="AK8" s="310">
        <f t="shared" si="1"/>
        <v>0.0</v>
      </c>
      <c r="AL8" s="310">
        <f t="shared" si="1"/>
        <v>0.0</v>
      </c>
      <c r="AM8" s="310">
        <f t="shared" si="1"/>
        <v>0.0</v>
      </c>
      <c r="AN8" s="310">
        <f t="shared" si="1"/>
        <v>0.0</v>
      </c>
      <c r="AO8" s="310">
        <f t="shared" si="1"/>
        <v>0.0</v>
      </c>
      <c r="AP8" s="310">
        <f t="shared" si="1"/>
        <v>0.0</v>
      </c>
      <c r="AQ8" s="310">
        <f t="shared" si="1"/>
        <v>0.0</v>
      </c>
      <c r="AR8" s="310">
        <f t="shared" si="1"/>
        <v>0.0</v>
      </c>
      <c r="AS8" s="310">
        <f t="shared" si="1"/>
        <v>0.0</v>
      </c>
      <c r="AT8" s="310">
        <f t="shared" si="1"/>
        <v>0.0</v>
      </c>
      <c r="AU8" s="310">
        <f t="shared" si="1"/>
        <v>0.0</v>
      </c>
      <c r="AV8" s="310">
        <f t="shared" si="1"/>
        <v>0.0</v>
      </c>
      <c r="AW8" s="310">
        <f t="shared" si="1"/>
        <v>0.0</v>
      </c>
      <c r="AX8" s="310">
        <f t="shared" si="1"/>
        <v>0.0</v>
      </c>
      <c r="AY8" s="310">
        <f t="shared" si="1"/>
        <v>0.0</v>
      </c>
      <c r="AZ8" s="310">
        <f t="shared" si="1"/>
        <v>0.0</v>
      </c>
      <c r="BA8" s="310">
        <f t="shared" si="1"/>
        <v>0.0</v>
      </c>
    </row>
    <row r="9" spans="1:53">
      <c r="A9" s="494"/>
      <c r="B9" s="311" t="s">
        <v>166</v>
      </c>
      <c r="C9" s="335"/>
      <c r="D9" s="311">
        <f>'3. Finansiering'!D15</f>
        <v>-239999999.99999997</v>
      </c>
      <c r="E9" s="311">
        <f>'3. Finansiering'!E15</f>
        <v>-0.0</v>
      </c>
      <c r="F9" s="311">
        <f>'3. Finansiering'!F15</f>
        <v>-0.0</v>
      </c>
      <c r="G9" s="311">
        <f>'3. Finansiering'!G15</f>
        <v>-0.0</v>
      </c>
      <c r="H9" s="311">
        <f>'3. Finansiering'!H15</f>
        <v>-0.0</v>
      </c>
      <c r="I9" s="311">
        <f>'3. Finansiering'!I15</f>
        <v>-0.0</v>
      </c>
      <c r="J9" s="311">
        <f>'3. Finansiering'!J15</f>
        <v>-0.0</v>
      </c>
      <c r="K9" s="311">
        <f>'3. Finansiering'!K15</f>
        <v>-0.0</v>
      </c>
      <c r="L9" s="311">
        <f>'3. Finansiering'!L15</f>
        <v>-0.0</v>
      </c>
      <c r="M9" s="311">
        <f>'3. Finansiering'!M15</f>
        <v>-0.0</v>
      </c>
      <c r="N9" s="311">
        <f>'3. Finansiering'!N15</f>
        <v>-0.0</v>
      </c>
      <c r="O9" s="311">
        <f>'3. Finansiering'!O15</f>
        <v>-0.0</v>
      </c>
      <c r="P9" s="311">
        <f>'3. Finansiering'!P15</f>
        <v>-0.0</v>
      </c>
      <c r="Q9" s="311">
        <f>'3. Finansiering'!Q15</f>
        <v>-0.0</v>
      </c>
      <c r="R9" s="311">
        <f>'3. Finansiering'!R15</f>
        <v>-0.0</v>
      </c>
      <c r="S9" s="311">
        <f>'3. Finansiering'!S15</f>
        <v>-0.0</v>
      </c>
      <c r="T9" s="311">
        <f>'3. Finansiering'!T15</f>
        <v>-0.0</v>
      </c>
      <c r="U9" s="311">
        <f>'3. Finansiering'!U15</f>
        <v>-0.0</v>
      </c>
      <c r="V9" s="311">
        <f>'3. Finansiering'!V15</f>
        <v>-0.0</v>
      </c>
      <c r="W9" s="311">
        <f>'3. Finansiering'!W15</f>
        <v>-0.0</v>
      </c>
      <c r="X9" s="311">
        <f>'3. Finansiering'!X15</f>
        <v>-0.0</v>
      </c>
      <c r="Y9" s="311">
        <f>'3. Finansiering'!Y15</f>
        <v>-0.0</v>
      </c>
      <c r="Z9" s="311">
        <f>'3. Finansiering'!Z15</f>
        <v>-0.0</v>
      </c>
      <c r="AA9" s="311">
        <f>'3. Finansiering'!AA15</f>
        <v>-0.0</v>
      </c>
      <c r="AB9" s="311">
        <f>'3. Finansiering'!AB15</f>
        <v>-0.0</v>
      </c>
      <c r="AC9" s="311">
        <f>'3. Finansiering'!AC15</f>
        <v>-0.0</v>
      </c>
      <c r="AD9" s="311">
        <f>'3. Finansiering'!AD15</f>
        <v>-0.0</v>
      </c>
      <c r="AE9" s="311">
        <f>'3. Finansiering'!AE15</f>
        <v>-0.0</v>
      </c>
      <c r="AF9" s="311">
        <f>'3. Finansiering'!AF15</f>
        <v>-0.0</v>
      </c>
      <c r="AG9" s="311">
        <f>'3. Finansiering'!AG15</f>
        <v>-0.0</v>
      </c>
      <c r="AH9" s="311">
        <f>'3. Finansiering'!AH15</f>
        <v>-0.0</v>
      </c>
      <c r="AI9" s="311">
        <f>'3. Finansiering'!AI15</f>
        <v>-0.0</v>
      </c>
      <c r="AJ9" s="311">
        <f>'3. Finansiering'!AJ15</f>
        <v>-0.0</v>
      </c>
      <c r="AK9" s="311">
        <f>'3. Finansiering'!AK15</f>
        <v>-0.0</v>
      </c>
      <c r="AL9" s="311">
        <f>'3. Finansiering'!AL15</f>
        <v>-0.0</v>
      </c>
      <c r="AM9" s="311">
        <f>'3. Finansiering'!AM15</f>
        <v>-0.0</v>
      </c>
      <c r="AN9" s="311">
        <f>'3. Finansiering'!AN15</f>
        <v>-0.0</v>
      </c>
      <c r="AO9" s="311">
        <f>'3. Finansiering'!AO15</f>
        <v>-0.0</v>
      </c>
      <c r="AP9" s="311">
        <f>'3. Finansiering'!AP15</f>
        <v>-0.0</v>
      </c>
      <c r="AQ9" s="311">
        <f>'3. Finansiering'!AQ15</f>
        <v>-0.0</v>
      </c>
      <c r="AR9" s="311">
        <f>'3. Finansiering'!AR15</f>
        <v>-0.0</v>
      </c>
      <c r="AS9" s="311">
        <f>'3. Finansiering'!AS15</f>
        <v>-0.0</v>
      </c>
      <c r="AT9" s="311">
        <f>'3. Finansiering'!AT15</f>
        <v>-0.0</v>
      </c>
      <c r="AU9" s="311">
        <f>'3. Finansiering'!AU15</f>
        <v>-0.0</v>
      </c>
      <c r="AV9" s="311">
        <f>'3. Finansiering'!AV15</f>
        <v>-0.0</v>
      </c>
      <c r="AW9" s="311">
        <f>'3. Finansiering'!AW15</f>
        <v>-0.0</v>
      </c>
      <c r="AX9" s="311">
        <f>'3. Finansiering'!AX15</f>
        <v>-0.0</v>
      </c>
      <c r="AY9" s="311">
        <f>'3. Finansiering'!AY15</f>
        <v>-0.0</v>
      </c>
      <c r="AZ9" s="311">
        <f>'3. Finansiering'!AZ15</f>
        <v>-0.0</v>
      </c>
      <c r="BA9" s="311">
        <f>'3. Finansiering'!BA15</f>
        <v>-0.0</v>
      </c>
    </row>
    <row r="10">
      <c r="X10" t="inlineStr" s="903">
        <is>
          <t>Sista kolumnen (år N+1): bara underlag för restvärdet</t>
        </is>
      </c>
    </row>
    <row r="11" spans="1:53">
      <c r="A11" s="494"/>
      <c r="B11" s="909" t="inlineStr">
        <is>
          <t>kr per år (löpande priser)</t>
        </is>
      </c>
      <c r="C11" s="326" t="str">
        <f>CONCATENATE("kr/kvm, ",D4)</f>
        <v>kr/kvm, 2026</v>
      </c>
      <c r="D11" s="326">
        <f t="shared" ref="D11:AI11" si="2">D4</f>
        <v>2026.0</v>
      </c>
      <c r="E11" s="326">
        <f t="shared" si="2"/>
        <v>2027.0</v>
      </c>
      <c r="F11" s="326">
        <f t="shared" si="2"/>
        <v>2028.0</v>
      </c>
      <c r="G11" s="326">
        <f t="shared" si="2"/>
        <v>2029.0</v>
      </c>
      <c r="H11" s="326">
        <f t="shared" si="2"/>
        <v>2030.0</v>
      </c>
      <c r="I11" s="326">
        <f t="shared" si="2"/>
        <v>2031.0</v>
      </c>
      <c r="J11" s="326">
        <f t="shared" si="2"/>
        <v>2032.0</v>
      </c>
      <c r="K11" s="326">
        <f t="shared" si="2"/>
        <v>2033.0</v>
      </c>
      <c r="L11" s="326">
        <f t="shared" si="2"/>
        <v>2034.0</v>
      </c>
      <c r="M11" s="326">
        <f t="shared" si="2"/>
        <v>2035.0</v>
      </c>
      <c r="N11" s="326">
        <f t="shared" si="2"/>
        <v>2036.0</v>
      </c>
      <c r="O11" s="326">
        <f t="shared" si="2"/>
        <v>2037.0</v>
      </c>
      <c r="P11" s="326">
        <f t="shared" si="2"/>
        <v>2038.0</v>
      </c>
      <c r="Q11" s="326">
        <f t="shared" si="2"/>
        <v>2039.0</v>
      </c>
      <c r="R11" s="326">
        <f t="shared" si="2"/>
        <v>2040.0</v>
      </c>
      <c r="S11" s="326">
        <f t="shared" si="2"/>
        <v>2041.0</v>
      </c>
      <c r="T11" s="326">
        <f t="shared" si="2"/>
        <v>2042.0</v>
      </c>
      <c r="U11" s="326">
        <f t="shared" si="2"/>
        <v>2043.0</v>
      </c>
      <c r="V11" s="326">
        <f t="shared" si="2"/>
        <v>2044.0</v>
      </c>
      <c r="W11" s="326">
        <f t="shared" si="2"/>
        <v>2045.0</v>
      </c>
      <c r="X11" s="326">
        <f t="shared" si="2"/>
        <v>2046.0</v>
      </c>
      <c r="Y11" s="326" t="str">
        <f t="shared" si="2"/>
        <v/>
      </c>
      <c r="Z11" s="326" t="str">
        <f t="shared" si="2"/>
        <v/>
      </c>
      <c r="AA11" s="326" t="str">
        <f t="shared" si="2"/>
        <v/>
      </c>
      <c r="AB11" s="326" t="str">
        <f t="shared" si="2"/>
        <v/>
      </c>
      <c r="AC11" s="326" t="str">
        <f t="shared" si="2"/>
        <v/>
      </c>
      <c r="AD11" s="326" t="str">
        <f t="shared" si="2"/>
        <v/>
      </c>
      <c r="AE11" s="326" t="str">
        <f t="shared" si="2"/>
        <v/>
      </c>
      <c r="AF11" s="326" t="str">
        <f t="shared" si="2"/>
        <v/>
      </c>
      <c r="AG11" s="326" t="str">
        <f t="shared" si="2"/>
        <v/>
      </c>
      <c r="AH11" s="326" t="str">
        <f t="shared" si="2"/>
        <v/>
      </c>
      <c r="AI11" s="326" t="str">
        <f t="shared" si="2"/>
        <v/>
      </c>
      <c r="AJ11" s="326" t="str">
        <f t="shared" ref="AJ11:BA11" si="3">AJ4</f>
        <v/>
      </c>
      <c r="AK11" s="326" t="str">
        <f t="shared" si="3"/>
        <v/>
      </c>
      <c r="AL11" s="326" t="str">
        <f t="shared" si="3"/>
        <v/>
      </c>
      <c r="AM11" s="326" t="str">
        <f t="shared" si="3"/>
        <v/>
      </c>
      <c r="AN11" s="326" t="str">
        <f t="shared" si="3"/>
        <v/>
      </c>
      <c r="AO11" s="326" t="str">
        <f t="shared" si="3"/>
        <v/>
      </c>
      <c r="AP11" s="326" t="str">
        <f t="shared" si="3"/>
        <v/>
      </c>
      <c r="AQ11" s="326" t="str">
        <f t="shared" si="3"/>
        <v/>
      </c>
      <c r="AR11" s="326" t="str">
        <f t="shared" si="3"/>
        <v/>
      </c>
      <c r="AS11" s="326" t="str">
        <f t="shared" si="3"/>
        <v/>
      </c>
      <c r="AT11" s="326" t="str">
        <f t="shared" si="3"/>
        <v/>
      </c>
      <c r="AU11" s="326" t="str">
        <f t="shared" si="3"/>
        <v/>
      </c>
      <c r="AV11" s="326" t="str">
        <f t="shared" si="3"/>
        <v/>
      </c>
      <c r="AW11" s="326" t="str">
        <f t="shared" si="3"/>
        <v/>
      </c>
      <c r="AX11" s="326" t="str">
        <f t="shared" si="3"/>
        <v/>
      </c>
      <c r="AY11" s="326" t="str">
        <f t="shared" si="3"/>
        <v/>
      </c>
      <c r="AZ11" s="326" t="str">
        <f t="shared" si="3"/>
        <v/>
      </c>
      <c r="BA11" s="326" t="str">
        <f t="shared" si="3"/>
        <v/>
      </c>
    </row>
    <row r="12" spans="1:53">
      <c r="A12" s="494"/>
      <c r="B12" s="227" t="str">
        <f>CONCATENATE("Intäkter ",'2. Kalkyldata'!C23)</f>
        <v>Intäkter Skola</v>
      </c>
      <c r="C12" s="327">
        <f>IFERROR(D12/$C$8,0)</f>
        <v>2650.0</v>
      </c>
      <c r="D12" s="228">
        <f>IF(D$4="",0,((1+'2. Kalkyldata'!$M$9*'2. Kalkyldata'!$J23)^(D$4-$D$4)))*IF((D$4&gt;='2. Kalkyldata'!$M23),IF(D$4="",0,IF(AND(D$4&gt;='2. Kalkyldata'!$M23,'4. NPV'!D$4&lt;='2. Kalkyldata'!$N23),'2. Kalkyldata'!$L23,'2. Kalkyldata'!$O23*'2. Kalkyldata'!$H23)),0)</f>
        <v>16165000.0</v>
      </c>
      <c r="E12" s="228">
        <f>IF(E$4="",0,((1+'2. Kalkyldata'!$M$9*'2. Kalkyldata'!$J23)^(E$4-MAX('2. Kalkyldata'!$M23,$D$4))))*IF((E$4&gt;='2. Kalkyldata'!$M23),IF(E$4="",0,IF(AND(E$4&gt;='2. Kalkyldata'!$M23,'4. NPV'!E$4&lt;='2. Kalkyldata'!$N23),'2. Kalkyldata'!$L23,'2. Kalkyldata'!$O23*'2. Kalkyldata'!$H23)),0)</f>
        <v>16391310.0</v>
      </c>
      <c r="F12" s="228">
        <f>IF(F$4="",0,((1+'2. Kalkyldata'!$M$9*'2. Kalkyldata'!$J23)^(F$4-MAX('2. Kalkyldata'!$M23,$D$4))))*IF((F$4&gt;='2. Kalkyldata'!$M23),IF(F$4="",0,IF(AND(F$4&gt;='2. Kalkyldata'!$M23,'4. NPV'!F$4&lt;='2. Kalkyldata'!$N23),'2. Kalkyldata'!$L23,'2. Kalkyldata'!$O23*'2. Kalkyldata'!$H23)),0)</f>
        <v>16620788.340000002</v>
      </c>
      <c r="G12" s="228">
        <f>IF(G$4="",0,((1+'2. Kalkyldata'!$M$9*'2. Kalkyldata'!$J23)^(G$4-MAX('2. Kalkyldata'!$M23,$D$4))))*IF((G$4&gt;='2. Kalkyldata'!$M23),IF(G$4="",0,IF(AND(G$4&gt;='2. Kalkyldata'!$M23,'4. NPV'!G$4&lt;='2. Kalkyldata'!$N23),'2. Kalkyldata'!$L23,'2. Kalkyldata'!$O23*'2. Kalkyldata'!$H23)),0)</f>
        <v>16853479.37676</v>
      </c>
      <c r="H12" s="228">
        <f>IF(H$4="",0,((1+'2. Kalkyldata'!$M$9*'2. Kalkyldata'!$J23)^(H$4-MAX('2. Kalkyldata'!$M23,$D$4))))*IF((H$4&gt;='2. Kalkyldata'!$M23),IF(H$4="",0,IF(AND(H$4&gt;='2. Kalkyldata'!$M23,'4. NPV'!H$4&lt;='2. Kalkyldata'!$N23),'2. Kalkyldata'!$L23,'2. Kalkyldata'!$O23*'2. Kalkyldata'!$H23)),0)</f>
        <v>17089428.08803464</v>
      </c>
      <c r="I12" s="228">
        <f>IF(I$4="",0,((1+'2. Kalkyldata'!$M$9*'2. Kalkyldata'!$J23)^(I$4-MAX('2. Kalkyldata'!$M23,$D$4))))*IF((I$4&gt;='2. Kalkyldata'!$M23),IF(I$4="",0,IF(AND(I$4&gt;='2. Kalkyldata'!$M23,'4. NPV'!I$4&lt;='2. Kalkyldata'!$N23),'2. Kalkyldata'!$L23,'2. Kalkyldata'!$O23*'2. Kalkyldata'!$H23)),0)</f>
        <v>17328680.081267126</v>
      </c>
      <c r="J12" s="228">
        <f>IF(J$4="",0,((1+'2. Kalkyldata'!$M$9*'2. Kalkyldata'!$J23)^(J$4-MAX('2. Kalkyldata'!$M23,$D$4))))*IF((J$4&gt;='2. Kalkyldata'!$M23),IF(J$4="",0,IF(AND(J$4&gt;='2. Kalkyldata'!$M23,'4. NPV'!J$4&lt;='2. Kalkyldata'!$N23),'2. Kalkyldata'!$L23,'2. Kalkyldata'!$O23*'2. Kalkyldata'!$H23)),0)</f>
        <v>17571281.602404863</v>
      </c>
      <c r="K12" s="228">
        <f>IF(K$4="",0,((1+'2. Kalkyldata'!$M$9*'2. Kalkyldata'!$J23)^(K$4-MAX('2. Kalkyldata'!$M23,$D$4))))*IF((K$4&gt;='2. Kalkyldata'!$M23),IF(K$4="",0,IF(AND(K$4&gt;='2. Kalkyldata'!$M23,'4. NPV'!K$4&lt;='2. Kalkyldata'!$N23),'2. Kalkyldata'!$L23,'2. Kalkyldata'!$O23*'2. Kalkyldata'!$H23)),0)</f>
        <v>17817279.544838537</v>
      </c>
      <c r="L12" s="228">
        <f>IF(L$4="",0,((1+'2. Kalkyldata'!$M$9*'2. Kalkyldata'!$J23)^(L$4-MAX('2. Kalkyldata'!$M23,$D$4))))*IF((L$4&gt;='2. Kalkyldata'!$M23),IF(L$4="",0,IF(AND(L$4&gt;='2. Kalkyldata'!$M23,'4. NPV'!L$4&lt;='2. Kalkyldata'!$N23),'2. Kalkyldata'!$L23,'2. Kalkyldata'!$O23*'2. Kalkyldata'!$H23)),0)</f>
        <v>18066721.458466277</v>
      </c>
      <c r="M12" s="228">
        <f>IF(M$4="",0,((1+'2. Kalkyldata'!$M$9*'2. Kalkyldata'!$J23)^(M$4-MAX('2. Kalkyldata'!$M23,$D$4))))*IF((M$4&gt;='2. Kalkyldata'!$M23),IF(M$4="",0,IF(AND(M$4&gt;='2. Kalkyldata'!$M23,'4. NPV'!M$4&lt;='2. Kalkyldata'!$N23),'2. Kalkyldata'!$L23,'2. Kalkyldata'!$O23*'2. Kalkyldata'!$H23)),0)</f>
        <v>18319655.558884803</v>
      </c>
      <c r="N12" s="228">
        <f>IF(N$4="",0,((1+'2. Kalkyldata'!$M$9*'2. Kalkyldata'!$J23)^(N$4-MAX('2. Kalkyldata'!$M23,$D$4))))*IF((N$4&gt;='2. Kalkyldata'!$M23),IF(N$4="",0,IF(AND(N$4&gt;='2. Kalkyldata'!$M23,'4. NPV'!N$4&lt;='2. Kalkyldata'!$N23),'2. Kalkyldata'!$L23,'2. Kalkyldata'!$O23*'2. Kalkyldata'!$H23)),0)</f>
        <v>18576130.73670919</v>
      </c>
      <c r="O12" s="228">
        <f>IF(O$4="",0,((1+'2. Kalkyldata'!$M$9*'2. Kalkyldata'!$J23)^(O$4-MAX('2. Kalkyldata'!$M23,$D$4))))*IF((O$4&gt;='2. Kalkyldata'!$M23),IF(O$4="",0,IF(AND(O$4&gt;='2. Kalkyldata'!$M23,'4. NPV'!O$4&lt;='2. Kalkyldata'!$N23),'2. Kalkyldata'!$L23,'2. Kalkyldata'!$O23*'2. Kalkyldata'!$H23)),0)</f>
        <v>18836196.567023117</v>
      </c>
      <c r="P12" s="228">
        <f>IF(P$4="",0,((1+'2. Kalkyldata'!$M$9*'2. Kalkyldata'!$J23)^(P$4-MAX('2. Kalkyldata'!$M23,$D$4))))*IF((P$4&gt;='2. Kalkyldata'!$M23),IF(P$4="",0,IF(AND(P$4&gt;='2. Kalkyldata'!$M23,'4. NPV'!P$4&lt;='2. Kalkyldata'!$N23),'2. Kalkyldata'!$L23,'2. Kalkyldata'!$O23*'2. Kalkyldata'!$H23)),0)</f>
        <v>19099903.31896144</v>
      </c>
      <c r="Q12" s="228">
        <f>IF(Q$4="",0,((1+'2. Kalkyldata'!$M$9*'2. Kalkyldata'!$J23)^(Q$4-MAX('2. Kalkyldata'!$M23,$D$4))))*IF((Q$4&gt;='2. Kalkyldata'!$M23),IF(Q$4="",0,IF(AND(Q$4&gt;='2. Kalkyldata'!$M23,'4. NPV'!Q$4&lt;='2. Kalkyldata'!$N23),'2. Kalkyldata'!$L23,'2. Kalkyldata'!$O23*'2. Kalkyldata'!$H23)),0)</f>
        <v>19367301.965426903</v>
      </c>
      <c r="R12" s="228">
        <f>IF(R$4="",0,((1+'2. Kalkyldata'!$M$9*'2. Kalkyldata'!$J23)^(R$4-MAX('2. Kalkyldata'!$M23,$D$4))))*IF((R$4&gt;='2. Kalkyldata'!$M23),IF(R$4="",0,IF(AND(R$4&gt;='2. Kalkyldata'!$M23,'4. NPV'!R$4&lt;='2. Kalkyldata'!$N23),'2. Kalkyldata'!$L23,'2. Kalkyldata'!$O23*'2. Kalkyldata'!$H23)),0)</f>
        <v>19638444.19294288</v>
      </c>
      <c r="S12" s="228">
        <f>IF(S$4="",0,((1+'2. Kalkyldata'!$M$9*'2. Kalkyldata'!$J23)^(S$4-MAX('2. Kalkyldata'!$M23,$D$4))))*IF((S$4&gt;='2. Kalkyldata'!$M23),IF(S$4="",0,IF(AND(S$4&gt;='2. Kalkyldata'!$M23,'4. NPV'!S$4&lt;='2. Kalkyldata'!$N23),'2. Kalkyldata'!$L23,'2. Kalkyldata'!$O23*'2. Kalkyldata'!$H23)),0)</f>
        <v>19913382.411644083</v>
      </c>
      <c r="T12" s="228">
        <f>IF(T$4="",0,((1+'2. Kalkyldata'!$M$9*'2. Kalkyldata'!$J23)^(T$4-MAX('2. Kalkyldata'!$M23,$D$4))))*IF((T$4&gt;='2. Kalkyldata'!$M23),IF(T$4="",0,IF(AND(T$4&gt;='2. Kalkyldata'!$M23,'4. NPV'!T$4&lt;='2. Kalkyldata'!$N23),'2. Kalkyldata'!$L23,'2. Kalkyldata'!$O23*'2. Kalkyldata'!$H23)),0)</f>
        <v>20192169.765407097</v>
      </c>
      <c r="U12" s="228">
        <f>IF(U$4="",0,((1+'2. Kalkyldata'!$M$9*'2. Kalkyldata'!$J23)^(U$4-MAX('2. Kalkyldata'!$M23,$D$4))))*IF((U$4&gt;='2. Kalkyldata'!$M23),IF(U$4="",0,IF(AND(U$4&gt;='2. Kalkyldata'!$M23,'4. NPV'!U$4&lt;='2. Kalkyldata'!$N23),'2. Kalkyldata'!$L23,'2. Kalkyldata'!$O23*'2. Kalkyldata'!$H23)),0)</f>
        <v>20474860.142122798</v>
      </c>
      <c r="V12" s="228">
        <f>IF(V$4="",0,((1+'2. Kalkyldata'!$M$9*'2. Kalkyldata'!$J23)^(V$4-MAX('2. Kalkyldata'!$M23,$D$4))))*IF((V$4&gt;='2. Kalkyldata'!$M23),IF(V$4="",0,IF(AND(V$4&gt;='2. Kalkyldata'!$M23,'4. NPV'!V$4&lt;='2. Kalkyldata'!$N23),'2. Kalkyldata'!$L23,'2. Kalkyldata'!$O23*'2. Kalkyldata'!$H23)),0)</f>
        <v>20761508.184112515</v>
      </c>
      <c r="W12" s="228">
        <f>IF(W$4="",0,((1+'2. Kalkyldata'!$M$9*'2. Kalkyldata'!$J23)^(W$4-MAX('2. Kalkyldata'!$M23,$D$4))))*IF((W$4&gt;='2. Kalkyldata'!$M23),IF(W$4="",0,IF(AND(W$4&gt;='2. Kalkyldata'!$M23,'4. NPV'!W$4&lt;='2. Kalkyldata'!$N23),'2. Kalkyldata'!$L23,'2. Kalkyldata'!$O23*'2. Kalkyldata'!$H23)),0)</f>
        <v>21052169.29869009</v>
      </c>
      <c r="X12" s="228">
        <f>IF(X$4="",0,((1+'2. Kalkyldata'!$M$9*'2. Kalkyldata'!$J23)^(X$4-MAX('2. Kalkyldata'!$M23,$D$4))))*IF((X$4&gt;='2. Kalkyldata'!$M23),IF(X$4="",0,IF(AND(X$4&gt;='2. Kalkyldata'!$M23,'4. NPV'!X$4&lt;='2. Kalkyldata'!$N23),'2. Kalkyldata'!$L23,'2. Kalkyldata'!$O23*'2. Kalkyldata'!$H23)),0)</f>
        <v>21346899.668871753</v>
      </c>
      <c r="Y12" s="228">
        <f>IF(Y$4="",0,((1+'2. Kalkyldata'!$M$9*'2. Kalkyldata'!$J23)^(Y$4-MAX('2. Kalkyldata'!$M23,$D$4))))*IF((Y$4&gt;='2. Kalkyldata'!$M23),IF(Y$4="",0,IF(AND(Y$4&gt;='2. Kalkyldata'!$M23,'4. NPV'!Y$4&lt;='2. Kalkyldata'!$N23),'2. Kalkyldata'!$L23,'2. Kalkyldata'!$O23*'2. Kalkyldata'!$H23)),0)</f>
        <v>0.0</v>
      </c>
      <c r="Z12" s="228">
        <f>IF(Z$4="",0,((1+'2. Kalkyldata'!$M$9*'2. Kalkyldata'!$J23)^(Z$4-MAX('2. Kalkyldata'!$M23,$D$4))))*IF((Z$4&gt;='2. Kalkyldata'!$M23),IF(Z$4="",0,IF(AND(Z$4&gt;='2. Kalkyldata'!$M23,'4. NPV'!Z$4&lt;='2. Kalkyldata'!$N23),'2. Kalkyldata'!$L23,'2. Kalkyldata'!$O23*'2. Kalkyldata'!$H23)),0)</f>
        <v>0.0</v>
      </c>
      <c r="AA12" s="228">
        <f>IF(AA$4="",0,((1+'2. Kalkyldata'!$M$9*'2. Kalkyldata'!$J23)^(AA$4-MAX('2. Kalkyldata'!$M23,$D$4))))*IF((AA$4&gt;='2. Kalkyldata'!$M23),IF(AA$4="",0,IF(AND(AA$4&gt;='2. Kalkyldata'!$M23,'4. NPV'!AA$4&lt;='2. Kalkyldata'!$N23),'2. Kalkyldata'!$L23,'2. Kalkyldata'!$O23*'2. Kalkyldata'!$H23)),0)</f>
        <v>0.0</v>
      </c>
      <c r="AB12" s="228">
        <f>IF(AB$4="",0,((1+'2. Kalkyldata'!$M$9*'2. Kalkyldata'!$J23)^(AB$4-MAX('2. Kalkyldata'!$M23,$D$4))))*IF((AB$4&gt;='2. Kalkyldata'!$M23),IF(AB$4="",0,IF(AND(AB$4&gt;='2. Kalkyldata'!$M23,'4. NPV'!AB$4&lt;='2. Kalkyldata'!$N23),'2. Kalkyldata'!$L23,'2. Kalkyldata'!$O23*'2. Kalkyldata'!$H23)),0)</f>
        <v>0.0</v>
      </c>
      <c r="AC12" s="228">
        <f>IF(AC$4="",0,((1+'2. Kalkyldata'!$M$9*'2. Kalkyldata'!$J23)^(AC$4-MAX('2. Kalkyldata'!$M23,$D$4))))*IF((AC$4&gt;='2. Kalkyldata'!$M23),IF(AC$4="",0,IF(AND(AC$4&gt;='2. Kalkyldata'!$M23,'4. NPV'!AC$4&lt;='2. Kalkyldata'!$N23),'2. Kalkyldata'!$L23,'2. Kalkyldata'!$O23*'2. Kalkyldata'!$H23)),0)</f>
        <v>0.0</v>
      </c>
      <c r="AD12" s="228">
        <f>IF(AD$4="",0,((1+'2. Kalkyldata'!$M$9*'2. Kalkyldata'!$J23)^(AD$4-MAX('2. Kalkyldata'!$M23,$D$4))))*IF((AD$4&gt;='2. Kalkyldata'!$M23),IF(AD$4="",0,IF(AND(AD$4&gt;='2. Kalkyldata'!$M23,'4. NPV'!AD$4&lt;='2. Kalkyldata'!$N23),'2. Kalkyldata'!$L23,'2. Kalkyldata'!$O23*'2. Kalkyldata'!$H23)),0)</f>
        <v>0.0</v>
      </c>
      <c r="AE12" s="228">
        <f>IF(AE$4="",0,((1+'2. Kalkyldata'!$M$9*'2. Kalkyldata'!$J23)^(AE$4-MAX('2. Kalkyldata'!$M23,$D$4))))*IF((AE$4&gt;='2. Kalkyldata'!$M23),IF(AE$4="",0,IF(AND(AE$4&gt;='2. Kalkyldata'!$M23,'4. NPV'!AE$4&lt;='2. Kalkyldata'!$N23),'2. Kalkyldata'!$L23,'2. Kalkyldata'!$O23*'2. Kalkyldata'!$H23)),0)</f>
        <v>0.0</v>
      </c>
      <c r="AF12" s="228">
        <f>IF(AF$4="",0,((1+'2. Kalkyldata'!$M$9*'2. Kalkyldata'!$J23)^(AF$4-MAX('2. Kalkyldata'!$M23,$D$4))))*IF((AF$4&gt;='2. Kalkyldata'!$M23),IF(AF$4="",0,IF(AND(AF$4&gt;='2. Kalkyldata'!$M23,'4. NPV'!AF$4&lt;='2. Kalkyldata'!$N23),'2. Kalkyldata'!$L23,'2. Kalkyldata'!$O23*'2. Kalkyldata'!$H23)),0)</f>
        <v>0.0</v>
      </c>
      <c r="AG12" s="228">
        <f>IF(AG$4="",0,((1+'2. Kalkyldata'!$M$9*'2. Kalkyldata'!$J23)^(AG$4-MAX('2. Kalkyldata'!$M23,$D$4))))*IF((AG$4&gt;='2. Kalkyldata'!$M23),IF(AG$4="",0,IF(AND(AG$4&gt;='2. Kalkyldata'!$M23,'4. NPV'!AG$4&lt;='2. Kalkyldata'!$N23),'2. Kalkyldata'!$L23,'2. Kalkyldata'!$O23*'2. Kalkyldata'!$H23)),0)</f>
        <v>0.0</v>
      </c>
      <c r="AH12" s="228">
        <f>IF(AH$4="",0,((1+'2. Kalkyldata'!$M$9*'2. Kalkyldata'!$J23)^(AH$4-MAX('2. Kalkyldata'!$M23,$D$4))))*IF((AH$4&gt;='2. Kalkyldata'!$M23),IF(AH$4="",0,IF(AND(AH$4&gt;='2. Kalkyldata'!$M23,'4. NPV'!AH$4&lt;='2. Kalkyldata'!$N23),'2. Kalkyldata'!$L23,'2. Kalkyldata'!$O23*'2. Kalkyldata'!$H23)),0)</f>
        <v>0.0</v>
      </c>
      <c r="AI12" s="228">
        <f>IF(AI$4="",0,((1+'2. Kalkyldata'!$M$9*'2. Kalkyldata'!$J23)^(AI$4-MAX('2. Kalkyldata'!$M23,$D$4))))*IF((AI$4&gt;='2. Kalkyldata'!$M23),IF(AI$4="",0,IF(AND(AI$4&gt;='2. Kalkyldata'!$M23,'4. NPV'!AI$4&lt;='2. Kalkyldata'!$N23),'2. Kalkyldata'!$L23,'2. Kalkyldata'!$O23*'2. Kalkyldata'!$H23)),0)</f>
        <v>0.0</v>
      </c>
      <c r="AJ12" s="228">
        <f>IF(AJ$4="",0,((1+'2. Kalkyldata'!$M$9*'2. Kalkyldata'!$J23)^(AJ$4-MAX('2. Kalkyldata'!$M23,$D$4))))*IF((AJ$4&gt;='2. Kalkyldata'!$M23),IF(AJ$4="",0,IF(AND(AJ$4&gt;='2. Kalkyldata'!$M23,'4. NPV'!AJ$4&lt;='2. Kalkyldata'!$N23),'2. Kalkyldata'!$L23,'2. Kalkyldata'!$O23*'2. Kalkyldata'!$H23)),0)</f>
        <v>0.0</v>
      </c>
      <c r="AK12" s="228">
        <f>IF(AK$4="",0,((1+'2. Kalkyldata'!$M$9*'2. Kalkyldata'!$J23)^(AK$4-MAX('2. Kalkyldata'!$M23,$D$4))))*IF((AK$4&gt;='2. Kalkyldata'!$M23),IF(AK$4="",0,IF(AND(AK$4&gt;='2. Kalkyldata'!$M23,'4. NPV'!AK$4&lt;='2. Kalkyldata'!$N23),'2. Kalkyldata'!$L23,'2. Kalkyldata'!$O23*'2. Kalkyldata'!$H23)),0)</f>
        <v>0.0</v>
      </c>
      <c r="AL12" s="228">
        <f>IF(AL$4="",0,((1+'2. Kalkyldata'!$M$9*'2. Kalkyldata'!$J23)^(AL$4-MAX('2. Kalkyldata'!$M23,$D$4))))*IF((AL$4&gt;='2. Kalkyldata'!$M23),IF(AL$4="",0,IF(AND(AL$4&gt;='2. Kalkyldata'!$M23,'4. NPV'!AL$4&lt;='2. Kalkyldata'!$N23),'2. Kalkyldata'!$L23,'2. Kalkyldata'!$O23*'2. Kalkyldata'!$H23)),0)</f>
        <v>0.0</v>
      </c>
      <c r="AM12" s="228">
        <f>IF(AM$4="",0,((1+'2. Kalkyldata'!$M$9*'2. Kalkyldata'!$J23)^(AM$4-MAX('2. Kalkyldata'!$M23,$D$4))))*IF((AM$4&gt;='2. Kalkyldata'!$M23),IF(AM$4="",0,IF(AND(AM$4&gt;='2. Kalkyldata'!$M23,'4. NPV'!AM$4&lt;='2. Kalkyldata'!$N23),'2. Kalkyldata'!$L23,'2. Kalkyldata'!$O23*'2. Kalkyldata'!$H23)),0)</f>
        <v>0.0</v>
      </c>
      <c r="AN12" s="228">
        <f>IF(AN$4="",0,((1+'2. Kalkyldata'!$M$9*'2. Kalkyldata'!$J23)^(AN$4-MAX('2. Kalkyldata'!$M23,$D$4))))*IF((AN$4&gt;='2. Kalkyldata'!$M23),IF(AN$4="",0,IF(AND(AN$4&gt;='2. Kalkyldata'!$M23,'4. NPV'!AN$4&lt;='2. Kalkyldata'!$N23),'2. Kalkyldata'!$L23,'2. Kalkyldata'!$O23*'2. Kalkyldata'!$H23)),0)</f>
        <v>0.0</v>
      </c>
      <c r="AO12" s="228">
        <f>IF(AO$4="",0,((1+'2. Kalkyldata'!$M$9*'2. Kalkyldata'!$J23)^(AO$4-MAX('2. Kalkyldata'!$M23,$D$4))))*IF((AO$4&gt;='2. Kalkyldata'!$M23),IF(AO$4="",0,IF(AND(AO$4&gt;='2. Kalkyldata'!$M23,'4. NPV'!AO$4&lt;='2. Kalkyldata'!$N23),'2. Kalkyldata'!$L23,'2. Kalkyldata'!$O23*'2. Kalkyldata'!$H23)),0)</f>
        <v>0.0</v>
      </c>
      <c r="AP12" s="228">
        <f>IF(AP$4="",0,((1+'2. Kalkyldata'!$M$9*'2. Kalkyldata'!$J23)^(AP$4-MAX('2. Kalkyldata'!$M23,$D$4))))*IF((AP$4&gt;='2. Kalkyldata'!$M23),IF(AP$4="",0,IF(AND(AP$4&gt;='2. Kalkyldata'!$M23,'4. NPV'!AP$4&lt;='2. Kalkyldata'!$N23),'2. Kalkyldata'!$L23,'2. Kalkyldata'!$O23*'2. Kalkyldata'!$H23)),0)</f>
        <v>0.0</v>
      </c>
      <c r="AQ12" s="228">
        <f>IF(AQ$4="",0,((1+'2. Kalkyldata'!$M$9*'2. Kalkyldata'!$J23)^(AQ$4-MAX('2. Kalkyldata'!$M23,$D$4))))*IF((AQ$4&gt;='2. Kalkyldata'!$M23),IF(AQ$4="",0,IF(AND(AQ$4&gt;='2. Kalkyldata'!$M23,'4. NPV'!AQ$4&lt;='2. Kalkyldata'!$N23),'2. Kalkyldata'!$L23,'2. Kalkyldata'!$O23*'2. Kalkyldata'!$H23)),0)</f>
        <v>0.0</v>
      </c>
      <c r="AR12" s="228">
        <f>IF(AR$4="",0,((1+'2. Kalkyldata'!$M$9*'2. Kalkyldata'!$J23)^(AR$4-MAX('2. Kalkyldata'!$M23,$D$4))))*IF((AR$4&gt;='2. Kalkyldata'!$M23),IF(AR$4="",0,IF(AND(AR$4&gt;='2. Kalkyldata'!$M23,'4. NPV'!AR$4&lt;='2. Kalkyldata'!$N23),'2. Kalkyldata'!$L23,'2. Kalkyldata'!$O23*'2. Kalkyldata'!$H23)),0)</f>
        <v>0.0</v>
      </c>
      <c r="AS12" s="228">
        <f>IF(AS$4="",0,((1+'2. Kalkyldata'!$M$9*'2. Kalkyldata'!$J23)^(AS$4-MAX('2. Kalkyldata'!$M23,$D$4))))*IF((AS$4&gt;='2. Kalkyldata'!$M23),IF(AS$4="",0,IF(AND(AS$4&gt;='2. Kalkyldata'!$M23,'4. NPV'!AS$4&lt;='2. Kalkyldata'!$N23),'2. Kalkyldata'!$L23,'2. Kalkyldata'!$O23*'2. Kalkyldata'!$H23)),0)</f>
        <v>0.0</v>
      </c>
      <c r="AT12" s="228">
        <f>IF(AT$4="",0,((1+'2. Kalkyldata'!$M$9*'2. Kalkyldata'!$J23)^(AT$4-MAX('2. Kalkyldata'!$M23,$D$4))))*IF((AT$4&gt;='2. Kalkyldata'!$M23),IF(AT$4="",0,IF(AND(AT$4&gt;='2. Kalkyldata'!$M23,'4. NPV'!AT$4&lt;='2. Kalkyldata'!$N23),'2. Kalkyldata'!$L23,'2. Kalkyldata'!$O23*'2. Kalkyldata'!$H23)),0)</f>
        <v>0.0</v>
      </c>
      <c r="AU12" s="228">
        <f>IF(AU$4="",0,((1+'2. Kalkyldata'!$M$9*'2. Kalkyldata'!$J23)^(AU$4-MAX('2. Kalkyldata'!$M23,$D$4))))*IF((AU$4&gt;='2. Kalkyldata'!$M23),IF(AU$4="",0,IF(AND(AU$4&gt;='2. Kalkyldata'!$M23,'4. NPV'!AU$4&lt;='2. Kalkyldata'!$N23),'2. Kalkyldata'!$L23,'2. Kalkyldata'!$O23*'2. Kalkyldata'!$H23)),0)</f>
        <v>0.0</v>
      </c>
      <c r="AV12" s="228">
        <f>IF(AV$4="",0,((1+'2. Kalkyldata'!$M$9*'2. Kalkyldata'!$J23)^(AV$4-MAX('2. Kalkyldata'!$M23,$D$4))))*IF((AV$4&gt;='2. Kalkyldata'!$M23),IF(AV$4="",0,IF(AND(AV$4&gt;='2. Kalkyldata'!$M23,'4. NPV'!AV$4&lt;='2. Kalkyldata'!$N23),'2. Kalkyldata'!$L23,'2. Kalkyldata'!$O23*'2. Kalkyldata'!$H23)),0)</f>
        <v>0.0</v>
      </c>
      <c r="AW12" s="228">
        <f>IF(AW$4="",0,((1+'2. Kalkyldata'!$M$9*'2. Kalkyldata'!$J23)^(AW$4-MAX('2. Kalkyldata'!$M23,$D$4))))*IF((AW$4&gt;='2. Kalkyldata'!$M23),IF(AW$4="",0,IF(AND(AW$4&gt;='2. Kalkyldata'!$M23,'4. NPV'!AW$4&lt;='2. Kalkyldata'!$N23),'2. Kalkyldata'!$L23,'2. Kalkyldata'!$O23*'2. Kalkyldata'!$H23)),0)</f>
        <v>0.0</v>
      </c>
      <c r="AX12" s="228">
        <f>IF(AX$4="",0,((1+'2. Kalkyldata'!$M$9*'2. Kalkyldata'!$J23)^(AX$4-MAX('2. Kalkyldata'!$M23,$D$4))))*IF((AX$4&gt;='2. Kalkyldata'!$M23),IF(AX$4="",0,IF(AND(AX$4&gt;='2. Kalkyldata'!$M23,'4. NPV'!AX$4&lt;='2. Kalkyldata'!$N23),'2. Kalkyldata'!$L23,'2. Kalkyldata'!$O23*'2. Kalkyldata'!$H23)),0)</f>
        <v>0.0</v>
      </c>
      <c r="AY12" s="228">
        <f>IF(AY$4="",0,((1+'2. Kalkyldata'!$M$9*'2. Kalkyldata'!$J23)^(AY$4-MAX('2. Kalkyldata'!$M23,$D$4))))*IF((AY$4&gt;='2. Kalkyldata'!$M23),IF(AY$4="",0,IF(AND(AY$4&gt;='2. Kalkyldata'!$M23,'4. NPV'!AY$4&lt;='2. Kalkyldata'!$N23),'2. Kalkyldata'!$L23,'2. Kalkyldata'!$O23*'2. Kalkyldata'!$H23)),0)</f>
        <v>0.0</v>
      </c>
      <c r="AZ12" s="228">
        <f>IF(AZ$4="",0,((1+'2. Kalkyldata'!$M$9*'2. Kalkyldata'!$J23)^(AZ$4-MAX('2. Kalkyldata'!$M23,$D$4))))*IF((AZ$4&gt;='2. Kalkyldata'!$M23),IF(AZ$4="",0,IF(AND(AZ$4&gt;='2. Kalkyldata'!$M23,'4. NPV'!AZ$4&lt;='2. Kalkyldata'!$N23),'2. Kalkyldata'!$L23,'2. Kalkyldata'!$O23*'2. Kalkyldata'!$H23)),0)</f>
        <v>0.0</v>
      </c>
      <c r="BA12" s="228">
        <f>IF(BA$4="",0,((1+'2. Kalkyldata'!$M$9*'2. Kalkyldata'!$J23)^(BA$4-MAX('2. Kalkyldata'!$M23,$D$4))))*IF((BA$4&gt;='2. Kalkyldata'!$M23),IF(BA$4="",0,IF(AND(BA$4&gt;='2. Kalkyldata'!$M23,'4. NPV'!BA$4&lt;='2. Kalkyldata'!$N23),'2. Kalkyldata'!$L23,'2. Kalkyldata'!$O23*'2. Kalkyldata'!$H23)),0)</f>
        <v>0.0</v>
      </c>
    </row>
    <row r="13" spans="1:53">
      <c r="A13" s="494"/>
      <c r="B13" s="227" t="str">
        <f>CONCATENATE("Intäkter ",'2. Kalkyldata'!C24)</f>
        <v>Intäkter </v>
      </c>
      <c r="C13" s="327">
        <f t="shared" ref="C13:C16" si="4">IFERROR(D13/$C$8,0)</f>
        <v>0.0</v>
      </c>
      <c r="D13" s="228">
        <f>IF(D$4="",0,((1+'2. Kalkyldata'!$M$9*'2. Kalkyldata'!$J24)^(D$4-$D$4)))*IF((D$4&gt;='2. Kalkyldata'!$M24),IF(D$4="",0,IF(AND(D$4&gt;='2. Kalkyldata'!$M24,'4. NPV'!D$4&lt;='2. Kalkyldata'!$N24),'2. Kalkyldata'!$L24,'2. Kalkyldata'!$O24*'2. Kalkyldata'!$H24)),0)</f>
        <v>0.0</v>
      </c>
      <c r="E13" s="228">
        <f>IF(E$4="",0,((1+'2. Kalkyldata'!$M$9*'2. Kalkyldata'!$J24)^(E$4-MAX('2. Kalkyldata'!$M24,$D$4))))*IF((E$4&gt;='2. Kalkyldata'!$M24),IF(E$4="",0,IF(AND(E$4&gt;='2. Kalkyldata'!$M24,'4. NPV'!E$4&lt;='2. Kalkyldata'!$N24),'2. Kalkyldata'!$L24,'2. Kalkyldata'!$O24*'2. Kalkyldata'!$H24)),0)</f>
        <v>0.0</v>
      </c>
      <c r="F13" s="228">
        <f>IF(F$4="",0,((1+'2. Kalkyldata'!$M$9*'2. Kalkyldata'!$J24)^(F$4-MAX('2. Kalkyldata'!$M24,$D$4))))*IF((F$4&gt;='2. Kalkyldata'!$M24),IF(F$4="",0,IF(AND(F$4&gt;='2. Kalkyldata'!$M24,'4. NPV'!F$4&lt;='2. Kalkyldata'!$N24),'2. Kalkyldata'!$L24,'2. Kalkyldata'!$O24*'2. Kalkyldata'!$H24)),0)</f>
        <v>0.0</v>
      </c>
      <c r="G13" s="228">
        <f>IF(G$4="",0,((1+'2. Kalkyldata'!$M$9*'2. Kalkyldata'!$J24)^(G$4-MAX('2. Kalkyldata'!$M24,$D$4))))*IF((G$4&gt;='2. Kalkyldata'!$M24),IF(G$4="",0,IF(AND(G$4&gt;='2. Kalkyldata'!$M24,'4. NPV'!G$4&lt;='2. Kalkyldata'!$N24),'2. Kalkyldata'!$L24,'2. Kalkyldata'!$O24*'2. Kalkyldata'!$H24)),0)</f>
        <v>0.0</v>
      </c>
      <c r="H13" s="228">
        <f>IF(H$4="",0,((1+'2. Kalkyldata'!$M$9*'2. Kalkyldata'!$J24)^(H$4-MAX('2. Kalkyldata'!$M24,$D$4))))*IF((H$4&gt;='2. Kalkyldata'!$M24),IF(H$4="",0,IF(AND(H$4&gt;='2. Kalkyldata'!$M24,'4. NPV'!H$4&lt;='2. Kalkyldata'!$N24),'2. Kalkyldata'!$L24,'2. Kalkyldata'!$O24*'2. Kalkyldata'!$H24)),0)</f>
        <v>0.0</v>
      </c>
      <c r="I13" s="228">
        <f>IF(I$4="",0,((1+'2. Kalkyldata'!$M$9*'2. Kalkyldata'!$J24)^(I$4-MAX('2. Kalkyldata'!$M24,$D$4))))*IF((I$4&gt;='2. Kalkyldata'!$M24),IF(I$4="",0,IF(AND(I$4&gt;='2. Kalkyldata'!$M24,'4. NPV'!I$4&lt;='2. Kalkyldata'!$N24),'2. Kalkyldata'!$L24,'2. Kalkyldata'!$O24*'2. Kalkyldata'!$H24)),0)</f>
        <v>0.0</v>
      </c>
      <c r="J13" s="228">
        <f>IF(J$4="",0,((1+'2. Kalkyldata'!$M$9*'2. Kalkyldata'!$J24)^(J$4-MAX('2. Kalkyldata'!$M24,$D$4))))*IF((J$4&gt;='2. Kalkyldata'!$M24),IF(J$4="",0,IF(AND(J$4&gt;='2. Kalkyldata'!$M24,'4. NPV'!J$4&lt;='2. Kalkyldata'!$N24),'2. Kalkyldata'!$L24,'2. Kalkyldata'!$O24*'2. Kalkyldata'!$H24)),0)</f>
        <v>0.0</v>
      </c>
      <c r="K13" s="228">
        <f>IF(K$4="",0,((1+'2. Kalkyldata'!$M$9*'2. Kalkyldata'!$J24)^(K$4-MAX('2. Kalkyldata'!$M24,$D$4))))*IF((K$4&gt;='2. Kalkyldata'!$M24),IF(K$4="",0,IF(AND(K$4&gt;='2. Kalkyldata'!$M24,'4. NPV'!K$4&lt;='2. Kalkyldata'!$N24),'2. Kalkyldata'!$L24,'2. Kalkyldata'!$O24*'2. Kalkyldata'!$H24)),0)</f>
        <v>0.0</v>
      </c>
      <c r="L13" s="228">
        <f>IF(L$4="",0,((1+'2. Kalkyldata'!$M$9*'2. Kalkyldata'!$J24)^(L$4-MAX('2. Kalkyldata'!$M24,$D$4))))*IF((L$4&gt;='2. Kalkyldata'!$M24),IF(L$4="",0,IF(AND(L$4&gt;='2. Kalkyldata'!$M24,'4. NPV'!L$4&lt;='2. Kalkyldata'!$N24),'2. Kalkyldata'!$L24,'2. Kalkyldata'!$O24*'2. Kalkyldata'!$H24)),0)</f>
        <v>0.0</v>
      </c>
      <c r="M13" s="228">
        <f>IF(M$4="",0,((1+'2. Kalkyldata'!$M$9*'2. Kalkyldata'!$J24)^(M$4-MAX('2. Kalkyldata'!$M24,$D$4))))*IF((M$4&gt;='2. Kalkyldata'!$M24),IF(M$4="",0,IF(AND(M$4&gt;='2. Kalkyldata'!$M24,'4. NPV'!M$4&lt;='2. Kalkyldata'!$N24),'2. Kalkyldata'!$L24,'2. Kalkyldata'!$O24*'2. Kalkyldata'!$H24)),0)</f>
        <v>0.0</v>
      </c>
      <c r="N13" s="228">
        <f>IF(N$4="",0,((1+'2. Kalkyldata'!$M$9*'2. Kalkyldata'!$J24)^(N$4-MAX('2. Kalkyldata'!$M24,$D$4))))*IF((N$4&gt;='2. Kalkyldata'!$M24),IF(N$4="",0,IF(AND(N$4&gt;='2. Kalkyldata'!$M24,'4. NPV'!N$4&lt;='2. Kalkyldata'!$N24),'2. Kalkyldata'!$L24,'2. Kalkyldata'!$O24*'2. Kalkyldata'!$H24)),0)</f>
        <v>0.0</v>
      </c>
      <c r="O13" s="228">
        <f>IF(O$4="",0,((1+'2. Kalkyldata'!$M$9*'2. Kalkyldata'!$J24)^(O$4-MAX('2. Kalkyldata'!$M24,$D$4))))*IF((O$4&gt;='2. Kalkyldata'!$M24),IF(O$4="",0,IF(AND(O$4&gt;='2. Kalkyldata'!$M24,'4. NPV'!O$4&lt;='2. Kalkyldata'!$N24),'2. Kalkyldata'!$L24,'2. Kalkyldata'!$O24*'2. Kalkyldata'!$H24)),0)</f>
        <v>0.0</v>
      </c>
      <c r="P13" s="228">
        <f>IF(P$4="",0,((1+'2. Kalkyldata'!$M$9*'2. Kalkyldata'!$J24)^(P$4-MAX('2. Kalkyldata'!$M24,$D$4))))*IF((P$4&gt;='2. Kalkyldata'!$M24),IF(P$4="",0,IF(AND(P$4&gt;='2. Kalkyldata'!$M24,'4. NPV'!P$4&lt;='2. Kalkyldata'!$N24),'2. Kalkyldata'!$L24,'2. Kalkyldata'!$O24*'2. Kalkyldata'!$H24)),0)</f>
        <v>0.0</v>
      </c>
      <c r="Q13" s="228">
        <f>IF(Q$4="",0,((1+'2. Kalkyldata'!$M$9*'2. Kalkyldata'!$J24)^(Q$4-MAX('2. Kalkyldata'!$M24,$D$4))))*IF((Q$4&gt;='2. Kalkyldata'!$M24),IF(Q$4="",0,IF(AND(Q$4&gt;='2. Kalkyldata'!$M24,'4. NPV'!Q$4&lt;='2. Kalkyldata'!$N24),'2. Kalkyldata'!$L24,'2. Kalkyldata'!$O24*'2. Kalkyldata'!$H24)),0)</f>
        <v>0.0</v>
      </c>
      <c r="R13" s="228">
        <f>IF(R$4="",0,((1+'2. Kalkyldata'!$M$9*'2. Kalkyldata'!$J24)^(R$4-MAX('2. Kalkyldata'!$M24,$D$4))))*IF((R$4&gt;='2. Kalkyldata'!$M24),IF(R$4="",0,IF(AND(R$4&gt;='2. Kalkyldata'!$M24,'4. NPV'!R$4&lt;='2. Kalkyldata'!$N24),'2. Kalkyldata'!$L24,'2. Kalkyldata'!$O24*'2. Kalkyldata'!$H24)),0)</f>
        <v>0.0</v>
      </c>
      <c r="S13" s="228">
        <f>IF(S$4="",0,((1+'2. Kalkyldata'!$M$9*'2. Kalkyldata'!$J24)^(S$4-MAX('2. Kalkyldata'!$M24,$D$4))))*IF((S$4&gt;='2. Kalkyldata'!$M24),IF(S$4="",0,IF(AND(S$4&gt;='2. Kalkyldata'!$M24,'4. NPV'!S$4&lt;='2. Kalkyldata'!$N24),'2. Kalkyldata'!$L24,'2. Kalkyldata'!$O24*'2. Kalkyldata'!$H24)),0)</f>
        <v>0.0</v>
      </c>
      <c r="T13" s="228">
        <f>IF(T$4="",0,((1+'2. Kalkyldata'!$M$9*'2. Kalkyldata'!$J24)^(T$4-MAX('2. Kalkyldata'!$M24,$D$4))))*IF((T$4&gt;='2. Kalkyldata'!$M24),IF(T$4="",0,IF(AND(T$4&gt;='2. Kalkyldata'!$M24,'4. NPV'!T$4&lt;='2. Kalkyldata'!$N24),'2. Kalkyldata'!$L24,'2. Kalkyldata'!$O24*'2. Kalkyldata'!$H24)),0)</f>
        <v>0.0</v>
      </c>
      <c r="U13" s="228">
        <f>IF(U$4="",0,((1+'2. Kalkyldata'!$M$9*'2. Kalkyldata'!$J24)^(U$4-MAX('2. Kalkyldata'!$M24,$D$4))))*IF((U$4&gt;='2. Kalkyldata'!$M24),IF(U$4="",0,IF(AND(U$4&gt;='2. Kalkyldata'!$M24,'4. NPV'!U$4&lt;='2. Kalkyldata'!$N24),'2. Kalkyldata'!$L24,'2. Kalkyldata'!$O24*'2. Kalkyldata'!$H24)),0)</f>
        <v>0.0</v>
      </c>
      <c r="V13" s="228">
        <f>IF(V$4="",0,((1+'2. Kalkyldata'!$M$9*'2. Kalkyldata'!$J24)^(V$4-MAX('2. Kalkyldata'!$M24,$D$4))))*IF((V$4&gt;='2. Kalkyldata'!$M24),IF(V$4="",0,IF(AND(V$4&gt;='2. Kalkyldata'!$M24,'4. NPV'!V$4&lt;='2. Kalkyldata'!$N24),'2. Kalkyldata'!$L24,'2. Kalkyldata'!$O24*'2. Kalkyldata'!$H24)),0)</f>
        <v>0.0</v>
      </c>
      <c r="W13" s="228">
        <f>IF(W$4="",0,((1+'2. Kalkyldata'!$M$9*'2. Kalkyldata'!$J24)^(W$4-MAX('2. Kalkyldata'!$M24,$D$4))))*IF((W$4&gt;='2. Kalkyldata'!$M24),IF(W$4="",0,IF(AND(W$4&gt;='2. Kalkyldata'!$M24,'4. NPV'!W$4&lt;='2. Kalkyldata'!$N24),'2. Kalkyldata'!$L24,'2. Kalkyldata'!$O24*'2. Kalkyldata'!$H24)),0)</f>
        <v>0.0</v>
      </c>
      <c r="X13" s="228">
        <f>IF(X$4="",0,((1+'2. Kalkyldata'!$M$9*'2. Kalkyldata'!$J24)^(X$4-MAX('2. Kalkyldata'!$M24,$D$4))))*IF((X$4&gt;='2. Kalkyldata'!$M24),IF(X$4="",0,IF(AND(X$4&gt;='2. Kalkyldata'!$M24,'4. NPV'!X$4&lt;='2. Kalkyldata'!$N24),'2. Kalkyldata'!$L24,'2. Kalkyldata'!$O24*'2. Kalkyldata'!$H24)),0)</f>
        <v>0.0</v>
      </c>
      <c r="Y13" s="228">
        <f>IF(Y$4="",0,((1+'2. Kalkyldata'!$M$9*'2. Kalkyldata'!$J24)^(Y$4-MAX('2. Kalkyldata'!$M24,$D$4))))*IF((Y$4&gt;='2. Kalkyldata'!$M24),IF(Y$4="",0,IF(AND(Y$4&gt;='2. Kalkyldata'!$M24,'4. NPV'!Y$4&lt;='2. Kalkyldata'!$N24),'2. Kalkyldata'!$L24,'2. Kalkyldata'!$O24*'2. Kalkyldata'!$H24)),0)</f>
        <v>0.0</v>
      </c>
      <c r="Z13" s="228">
        <f>IF(Z$4="",0,((1+'2. Kalkyldata'!$M$9*'2. Kalkyldata'!$J24)^(Z$4-MAX('2. Kalkyldata'!$M24,$D$4))))*IF((Z$4&gt;='2. Kalkyldata'!$M24),IF(Z$4="",0,IF(AND(Z$4&gt;='2. Kalkyldata'!$M24,'4. NPV'!Z$4&lt;='2. Kalkyldata'!$N24),'2. Kalkyldata'!$L24,'2. Kalkyldata'!$O24*'2. Kalkyldata'!$H24)),0)</f>
        <v>0.0</v>
      </c>
      <c r="AA13" s="228">
        <f>IF(AA$4="",0,((1+'2. Kalkyldata'!$M$9*'2. Kalkyldata'!$J24)^(AA$4-MAX('2. Kalkyldata'!$M24,$D$4))))*IF((AA$4&gt;='2. Kalkyldata'!$M24),IF(AA$4="",0,IF(AND(AA$4&gt;='2. Kalkyldata'!$M24,'4. NPV'!AA$4&lt;='2. Kalkyldata'!$N24),'2. Kalkyldata'!$L24,'2. Kalkyldata'!$O24*'2. Kalkyldata'!$H24)),0)</f>
        <v>0.0</v>
      </c>
      <c r="AB13" s="228">
        <f>IF(AB$4="",0,((1+'2. Kalkyldata'!$M$9*'2. Kalkyldata'!$J24)^(AB$4-MAX('2. Kalkyldata'!$M24,$D$4))))*IF((AB$4&gt;='2. Kalkyldata'!$M24),IF(AB$4="",0,IF(AND(AB$4&gt;='2. Kalkyldata'!$M24,'4. NPV'!AB$4&lt;='2. Kalkyldata'!$N24),'2. Kalkyldata'!$L24,'2. Kalkyldata'!$O24*'2. Kalkyldata'!$H24)),0)</f>
        <v>0.0</v>
      </c>
      <c r="AC13" s="228">
        <f>IF(AC$4="",0,((1+'2. Kalkyldata'!$M$9*'2. Kalkyldata'!$J24)^(AC$4-MAX('2. Kalkyldata'!$M24,$D$4))))*IF((AC$4&gt;='2. Kalkyldata'!$M24),IF(AC$4="",0,IF(AND(AC$4&gt;='2. Kalkyldata'!$M24,'4. NPV'!AC$4&lt;='2. Kalkyldata'!$N24),'2. Kalkyldata'!$L24,'2. Kalkyldata'!$O24*'2. Kalkyldata'!$H24)),0)</f>
        <v>0.0</v>
      </c>
      <c r="AD13" s="228">
        <f>IF(AD$4="",0,((1+'2. Kalkyldata'!$M$9*'2. Kalkyldata'!$J24)^(AD$4-MAX('2. Kalkyldata'!$M24,$D$4))))*IF((AD$4&gt;='2. Kalkyldata'!$M24),IF(AD$4="",0,IF(AND(AD$4&gt;='2. Kalkyldata'!$M24,'4. NPV'!AD$4&lt;='2. Kalkyldata'!$N24),'2. Kalkyldata'!$L24,'2. Kalkyldata'!$O24*'2. Kalkyldata'!$H24)),0)</f>
        <v>0.0</v>
      </c>
      <c r="AE13" s="228">
        <f>IF(AE$4="",0,((1+'2. Kalkyldata'!$M$9*'2. Kalkyldata'!$J24)^(AE$4-MAX('2. Kalkyldata'!$M24,$D$4))))*IF((AE$4&gt;='2. Kalkyldata'!$M24),IF(AE$4="",0,IF(AND(AE$4&gt;='2. Kalkyldata'!$M24,'4. NPV'!AE$4&lt;='2. Kalkyldata'!$N24),'2. Kalkyldata'!$L24,'2. Kalkyldata'!$O24*'2. Kalkyldata'!$H24)),0)</f>
        <v>0.0</v>
      </c>
      <c r="AF13" s="228">
        <f>IF(AF$4="",0,((1+'2. Kalkyldata'!$M$9*'2. Kalkyldata'!$J24)^(AF$4-MAX('2. Kalkyldata'!$M24,$D$4))))*IF((AF$4&gt;='2. Kalkyldata'!$M24),IF(AF$4="",0,IF(AND(AF$4&gt;='2. Kalkyldata'!$M24,'4. NPV'!AF$4&lt;='2. Kalkyldata'!$N24),'2. Kalkyldata'!$L24,'2. Kalkyldata'!$O24*'2. Kalkyldata'!$H24)),0)</f>
        <v>0.0</v>
      </c>
      <c r="AG13" s="228">
        <f>IF(AG$4="",0,((1+'2. Kalkyldata'!$M$9*'2. Kalkyldata'!$J24)^(AG$4-MAX('2. Kalkyldata'!$M24,$D$4))))*IF((AG$4&gt;='2. Kalkyldata'!$M24),IF(AG$4="",0,IF(AND(AG$4&gt;='2. Kalkyldata'!$M24,'4. NPV'!AG$4&lt;='2. Kalkyldata'!$N24),'2. Kalkyldata'!$L24,'2. Kalkyldata'!$O24*'2. Kalkyldata'!$H24)),0)</f>
        <v>0.0</v>
      </c>
      <c r="AH13" s="228">
        <f>IF(AH$4="",0,((1+'2. Kalkyldata'!$M$9*'2. Kalkyldata'!$J24)^(AH$4-MAX('2. Kalkyldata'!$M24,$D$4))))*IF((AH$4&gt;='2. Kalkyldata'!$M24),IF(AH$4="",0,IF(AND(AH$4&gt;='2. Kalkyldata'!$M24,'4. NPV'!AH$4&lt;='2. Kalkyldata'!$N24),'2. Kalkyldata'!$L24,'2. Kalkyldata'!$O24*'2. Kalkyldata'!$H24)),0)</f>
        <v>0.0</v>
      </c>
      <c r="AI13" s="228">
        <f>IF(AI$4="",0,((1+'2. Kalkyldata'!$M$9*'2. Kalkyldata'!$J24)^(AI$4-MAX('2. Kalkyldata'!$M24,$D$4))))*IF((AI$4&gt;='2. Kalkyldata'!$M24),IF(AI$4="",0,IF(AND(AI$4&gt;='2. Kalkyldata'!$M24,'4. NPV'!AI$4&lt;='2. Kalkyldata'!$N24),'2. Kalkyldata'!$L24,'2. Kalkyldata'!$O24*'2. Kalkyldata'!$H24)),0)</f>
        <v>0.0</v>
      </c>
      <c r="AJ13" s="228">
        <f>IF(AJ$4="",0,((1+'2. Kalkyldata'!$M$9*'2. Kalkyldata'!$J24)^(AJ$4-MAX('2. Kalkyldata'!$M24,$D$4))))*IF((AJ$4&gt;='2. Kalkyldata'!$M24),IF(AJ$4="",0,IF(AND(AJ$4&gt;='2. Kalkyldata'!$M24,'4. NPV'!AJ$4&lt;='2. Kalkyldata'!$N24),'2. Kalkyldata'!$L24,'2. Kalkyldata'!$O24*'2. Kalkyldata'!$H24)),0)</f>
        <v>0.0</v>
      </c>
      <c r="AK13" s="228">
        <f>IF(AK$4="",0,((1+'2. Kalkyldata'!$M$9*'2. Kalkyldata'!$J24)^(AK$4-MAX('2. Kalkyldata'!$M24,$D$4))))*IF((AK$4&gt;='2. Kalkyldata'!$M24),IF(AK$4="",0,IF(AND(AK$4&gt;='2. Kalkyldata'!$M24,'4. NPV'!AK$4&lt;='2. Kalkyldata'!$N24),'2. Kalkyldata'!$L24,'2. Kalkyldata'!$O24*'2. Kalkyldata'!$H24)),0)</f>
        <v>0.0</v>
      </c>
      <c r="AL13" s="228">
        <f>IF(AL$4="",0,((1+'2. Kalkyldata'!$M$9*'2. Kalkyldata'!$J24)^(AL$4-MAX('2. Kalkyldata'!$M24,$D$4))))*IF((AL$4&gt;='2. Kalkyldata'!$M24),IF(AL$4="",0,IF(AND(AL$4&gt;='2. Kalkyldata'!$M24,'4. NPV'!AL$4&lt;='2. Kalkyldata'!$N24),'2. Kalkyldata'!$L24,'2. Kalkyldata'!$O24*'2. Kalkyldata'!$H24)),0)</f>
        <v>0.0</v>
      </c>
      <c r="AM13" s="228">
        <f>IF(AM$4="",0,((1+'2. Kalkyldata'!$M$9*'2. Kalkyldata'!$J24)^(AM$4-MAX('2. Kalkyldata'!$M24,$D$4))))*IF((AM$4&gt;='2. Kalkyldata'!$M24),IF(AM$4="",0,IF(AND(AM$4&gt;='2. Kalkyldata'!$M24,'4. NPV'!AM$4&lt;='2. Kalkyldata'!$N24),'2. Kalkyldata'!$L24,'2. Kalkyldata'!$O24*'2. Kalkyldata'!$H24)),0)</f>
        <v>0.0</v>
      </c>
      <c r="AN13" s="228">
        <f>IF(AN$4="",0,((1+'2. Kalkyldata'!$M$9*'2. Kalkyldata'!$J24)^(AN$4-MAX('2. Kalkyldata'!$M24,$D$4))))*IF((AN$4&gt;='2. Kalkyldata'!$M24),IF(AN$4="",0,IF(AND(AN$4&gt;='2. Kalkyldata'!$M24,'4. NPV'!AN$4&lt;='2. Kalkyldata'!$N24),'2. Kalkyldata'!$L24,'2. Kalkyldata'!$O24*'2. Kalkyldata'!$H24)),0)</f>
        <v>0.0</v>
      </c>
      <c r="AO13" s="228">
        <f>IF(AO$4="",0,((1+'2. Kalkyldata'!$M$9*'2. Kalkyldata'!$J24)^(AO$4-MAX('2. Kalkyldata'!$M24,$D$4))))*IF((AO$4&gt;='2. Kalkyldata'!$M24),IF(AO$4="",0,IF(AND(AO$4&gt;='2. Kalkyldata'!$M24,'4. NPV'!AO$4&lt;='2. Kalkyldata'!$N24),'2. Kalkyldata'!$L24,'2. Kalkyldata'!$O24*'2. Kalkyldata'!$H24)),0)</f>
        <v>0.0</v>
      </c>
      <c r="AP13" s="228">
        <f>IF(AP$4="",0,((1+'2. Kalkyldata'!$M$9*'2. Kalkyldata'!$J24)^(AP$4-MAX('2. Kalkyldata'!$M24,$D$4))))*IF((AP$4&gt;='2. Kalkyldata'!$M24),IF(AP$4="",0,IF(AND(AP$4&gt;='2. Kalkyldata'!$M24,'4. NPV'!AP$4&lt;='2. Kalkyldata'!$N24),'2. Kalkyldata'!$L24,'2. Kalkyldata'!$O24*'2. Kalkyldata'!$H24)),0)</f>
        <v>0.0</v>
      </c>
      <c r="AQ13" s="228">
        <f>IF(AQ$4="",0,((1+'2. Kalkyldata'!$M$9*'2. Kalkyldata'!$J24)^(AQ$4-MAX('2. Kalkyldata'!$M24,$D$4))))*IF((AQ$4&gt;='2. Kalkyldata'!$M24),IF(AQ$4="",0,IF(AND(AQ$4&gt;='2. Kalkyldata'!$M24,'4. NPV'!AQ$4&lt;='2. Kalkyldata'!$N24),'2. Kalkyldata'!$L24,'2. Kalkyldata'!$O24*'2. Kalkyldata'!$H24)),0)</f>
        <v>0.0</v>
      </c>
      <c r="AR13" s="228">
        <f>IF(AR$4="",0,((1+'2. Kalkyldata'!$M$9*'2. Kalkyldata'!$J24)^(AR$4-MAX('2. Kalkyldata'!$M24,$D$4))))*IF((AR$4&gt;='2. Kalkyldata'!$M24),IF(AR$4="",0,IF(AND(AR$4&gt;='2. Kalkyldata'!$M24,'4. NPV'!AR$4&lt;='2. Kalkyldata'!$N24),'2. Kalkyldata'!$L24,'2. Kalkyldata'!$O24*'2. Kalkyldata'!$H24)),0)</f>
        <v>0.0</v>
      </c>
      <c r="AS13" s="228">
        <f>IF(AS$4="",0,((1+'2. Kalkyldata'!$M$9*'2. Kalkyldata'!$J24)^(AS$4-MAX('2. Kalkyldata'!$M24,$D$4))))*IF((AS$4&gt;='2. Kalkyldata'!$M24),IF(AS$4="",0,IF(AND(AS$4&gt;='2. Kalkyldata'!$M24,'4. NPV'!AS$4&lt;='2. Kalkyldata'!$N24),'2. Kalkyldata'!$L24,'2. Kalkyldata'!$O24*'2. Kalkyldata'!$H24)),0)</f>
        <v>0.0</v>
      </c>
      <c r="AT13" s="228">
        <f>IF(AT$4="",0,((1+'2. Kalkyldata'!$M$9*'2. Kalkyldata'!$J24)^(AT$4-MAX('2. Kalkyldata'!$M24,$D$4))))*IF((AT$4&gt;='2. Kalkyldata'!$M24),IF(AT$4="",0,IF(AND(AT$4&gt;='2. Kalkyldata'!$M24,'4. NPV'!AT$4&lt;='2. Kalkyldata'!$N24),'2. Kalkyldata'!$L24,'2. Kalkyldata'!$O24*'2. Kalkyldata'!$H24)),0)</f>
        <v>0.0</v>
      </c>
      <c r="AU13" s="228">
        <f>IF(AU$4="",0,((1+'2. Kalkyldata'!$M$9*'2. Kalkyldata'!$J24)^(AU$4-MAX('2. Kalkyldata'!$M24,$D$4))))*IF((AU$4&gt;='2. Kalkyldata'!$M24),IF(AU$4="",0,IF(AND(AU$4&gt;='2. Kalkyldata'!$M24,'4. NPV'!AU$4&lt;='2. Kalkyldata'!$N24),'2. Kalkyldata'!$L24,'2. Kalkyldata'!$O24*'2. Kalkyldata'!$H24)),0)</f>
        <v>0.0</v>
      </c>
      <c r="AV13" s="228">
        <f>IF(AV$4="",0,((1+'2. Kalkyldata'!$M$9*'2. Kalkyldata'!$J24)^(AV$4-MAX('2. Kalkyldata'!$M24,$D$4))))*IF((AV$4&gt;='2. Kalkyldata'!$M24),IF(AV$4="",0,IF(AND(AV$4&gt;='2. Kalkyldata'!$M24,'4. NPV'!AV$4&lt;='2. Kalkyldata'!$N24),'2. Kalkyldata'!$L24,'2. Kalkyldata'!$O24*'2. Kalkyldata'!$H24)),0)</f>
        <v>0.0</v>
      </c>
      <c r="AW13" s="228">
        <f>IF(AW$4="",0,((1+'2. Kalkyldata'!$M$9*'2. Kalkyldata'!$J24)^(AW$4-MAX('2. Kalkyldata'!$M24,$D$4))))*IF((AW$4&gt;='2. Kalkyldata'!$M24),IF(AW$4="",0,IF(AND(AW$4&gt;='2. Kalkyldata'!$M24,'4. NPV'!AW$4&lt;='2. Kalkyldata'!$N24),'2. Kalkyldata'!$L24,'2. Kalkyldata'!$O24*'2. Kalkyldata'!$H24)),0)</f>
        <v>0.0</v>
      </c>
      <c r="AX13" s="228">
        <f>IF(AX$4="",0,((1+'2. Kalkyldata'!$M$9*'2. Kalkyldata'!$J24)^(AX$4-MAX('2. Kalkyldata'!$M24,$D$4))))*IF((AX$4&gt;='2. Kalkyldata'!$M24),IF(AX$4="",0,IF(AND(AX$4&gt;='2. Kalkyldata'!$M24,'4. NPV'!AX$4&lt;='2. Kalkyldata'!$N24),'2. Kalkyldata'!$L24,'2. Kalkyldata'!$O24*'2. Kalkyldata'!$H24)),0)</f>
        <v>0.0</v>
      </c>
      <c r="AY13" s="228">
        <f>IF(AY$4="",0,((1+'2. Kalkyldata'!$M$9*'2. Kalkyldata'!$J24)^(AY$4-MAX('2. Kalkyldata'!$M24,$D$4))))*IF((AY$4&gt;='2. Kalkyldata'!$M24),IF(AY$4="",0,IF(AND(AY$4&gt;='2. Kalkyldata'!$M24,'4. NPV'!AY$4&lt;='2. Kalkyldata'!$N24),'2. Kalkyldata'!$L24,'2. Kalkyldata'!$O24*'2. Kalkyldata'!$H24)),0)</f>
        <v>0.0</v>
      </c>
      <c r="AZ13" s="228">
        <f>IF(AZ$4="",0,((1+'2. Kalkyldata'!$M$9*'2. Kalkyldata'!$J24)^(AZ$4-MAX('2. Kalkyldata'!$M24,$D$4))))*IF((AZ$4&gt;='2. Kalkyldata'!$M24),IF(AZ$4="",0,IF(AND(AZ$4&gt;='2. Kalkyldata'!$M24,'4. NPV'!AZ$4&lt;='2. Kalkyldata'!$N24),'2. Kalkyldata'!$L24,'2. Kalkyldata'!$O24*'2. Kalkyldata'!$H24)),0)</f>
        <v>0.0</v>
      </c>
      <c r="BA13" s="228">
        <f>IF(BA$4="",0,((1+'2. Kalkyldata'!$M$9*'2. Kalkyldata'!$J24)^(BA$4-MAX('2. Kalkyldata'!$M24,$D$4))))*IF((BA$4&gt;='2. Kalkyldata'!$M24),IF(BA$4="",0,IF(AND(BA$4&gt;='2. Kalkyldata'!$M24,'4. NPV'!BA$4&lt;='2. Kalkyldata'!$N24),'2. Kalkyldata'!$L24,'2. Kalkyldata'!$O24*'2. Kalkyldata'!$H24)),0)</f>
        <v>0.0</v>
      </c>
    </row>
    <row r="14" spans="1:53">
      <c r="A14" s="494"/>
      <c r="B14" s="227" t="str">
        <f>CONCATENATE("Intäkter ",'2. Kalkyldata'!C25)</f>
        <v>Intäkter </v>
      </c>
      <c r="C14" s="327">
        <f t="shared" si="4"/>
        <v>0.0</v>
      </c>
      <c r="D14" s="228">
        <f>IF(D$4="",0,((1+'2. Kalkyldata'!$M$9*'2. Kalkyldata'!$J25)^(D$4-$D$4)))*IF((D$4&gt;='2. Kalkyldata'!$M25),IF(D$4="",0,IF(AND(D$4&gt;='2. Kalkyldata'!$M25,'4. NPV'!D$4&lt;='2. Kalkyldata'!$N25),'2. Kalkyldata'!$L25,'2. Kalkyldata'!$O25*'2. Kalkyldata'!$H25)),0)</f>
        <v>0.0</v>
      </c>
      <c r="E14" s="228">
        <f>IF(E$4="",0,((1+'2. Kalkyldata'!$M$9*'2. Kalkyldata'!$J25)^(E$4-MAX('2. Kalkyldata'!$M25,$D$4))))*IF((E$4&gt;='2. Kalkyldata'!$M25),IF(E$4="",0,IF(AND(E$4&gt;='2. Kalkyldata'!$M25,'4. NPV'!E$4&lt;='2. Kalkyldata'!$N25),'2. Kalkyldata'!$L25,'2. Kalkyldata'!$O25*'2. Kalkyldata'!$H25)),0)</f>
        <v>0.0</v>
      </c>
      <c r="F14" s="228">
        <f>IF(F$4="",0,((1+'2. Kalkyldata'!$M$9*'2. Kalkyldata'!$J25)^(F$4-MAX('2. Kalkyldata'!$M25,$D$4))))*IF((F$4&gt;='2. Kalkyldata'!$M25),IF(F$4="",0,IF(AND(F$4&gt;='2. Kalkyldata'!$M25,'4. NPV'!F$4&lt;='2. Kalkyldata'!$N25),'2. Kalkyldata'!$L25,'2. Kalkyldata'!$O25*'2. Kalkyldata'!$H25)),0)</f>
        <v>0.0</v>
      </c>
      <c r="G14" s="228">
        <f>IF(G$4="",0,((1+'2. Kalkyldata'!$M$9*'2. Kalkyldata'!$J25)^(G$4-MAX('2. Kalkyldata'!$M25,$D$4))))*IF((G$4&gt;='2. Kalkyldata'!$M25),IF(G$4="",0,IF(AND(G$4&gt;='2. Kalkyldata'!$M25,'4. NPV'!G$4&lt;='2. Kalkyldata'!$N25),'2. Kalkyldata'!$L25,'2. Kalkyldata'!$O25*'2. Kalkyldata'!$H25)),0)</f>
        <v>0.0</v>
      </c>
      <c r="H14" s="228">
        <f>IF(H$4="",0,((1+'2. Kalkyldata'!$M$9*'2. Kalkyldata'!$J25)^(H$4-MAX('2. Kalkyldata'!$M25,$D$4))))*IF((H$4&gt;='2. Kalkyldata'!$M25),IF(H$4="",0,IF(AND(H$4&gt;='2. Kalkyldata'!$M25,'4. NPV'!H$4&lt;='2. Kalkyldata'!$N25),'2. Kalkyldata'!$L25,'2. Kalkyldata'!$O25*'2. Kalkyldata'!$H25)),0)</f>
        <v>0.0</v>
      </c>
      <c r="I14" s="228">
        <f>IF(I$4="",0,((1+'2. Kalkyldata'!$M$9*'2. Kalkyldata'!$J25)^(I$4-MAX('2. Kalkyldata'!$M25,$D$4))))*IF((I$4&gt;='2. Kalkyldata'!$M25),IF(I$4="",0,IF(AND(I$4&gt;='2. Kalkyldata'!$M25,'4. NPV'!I$4&lt;='2. Kalkyldata'!$N25),'2. Kalkyldata'!$L25,'2. Kalkyldata'!$O25*'2. Kalkyldata'!$H25)),0)</f>
        <v>0.0</v>
      </c>
      <c r="J14" s="228">
        <f>IF(J$4="",0,((1+'2. Kalkyldata'!$M$9*'2. Kalkyldata'!$J25)^(J$4-MAX('2. Kalkyldata'!$M25,$D$4))))*IF((J$4&gt;='2. Kalkyldata'!$M25),IF(J$4="",0,IF(AND(J$4&gt;='2. Kalkyldata'!$M25,'4. NPV'!J$4&lt;='2. Kalkyldata'!$N25),'2. Kalkyldata'!$L25,'2. Kalkyldata'!$O25*'2. Kalkyldata'!$H25)),0)</f>
        <v>0.0</v>
      </c>
      <c r="K14" s="228">
        <f>IF(K$4="",0,((1+'2. Kalkyldata'!$M$9*'2. Kalkyldata'!$J25)^(K$4-MAX('2. Kalkyldata'!$M25,$D$4))))*IF((K$4&gt;='2. Kalkyldata'!$M25),IF(K$4="",0,IF(AND(K$4&gt;='2. Kalkyldata'!$M25,'4. NPV'!K$4&lt;='2. Kalkyldata'!$N25),'2. Kalkyldata'!$L25,'2. Kalkyldata'!$O25*'2. Kalkyldata'!$H25)),0)</f>
        <v>0.0</v>
      </c>
      <c r="L14" s="228">
        <f>IF(L$4="",0,((1+'2. Kalkyldata'!$M$9*'2. Kalkyldata'!$J25)^(L$4-MAX('2. Kalkyldata'!$M25,$D$4))))*IF((L$4&gt;='2. Kalkyldata'!$M25),IF(L$4="",0,IF(AND(L$4&gt;='2. Kalkyldata'!$M25,'4. NPV'!L$4&lt;='2. Kalkyldata'!$N25),'2. Kalkyldata'!$L25,'2. Kalkyldata'!$O25*'2. Kalkyldata'!$H25)),0)</f>
        <v>0.0</v>
      </c>
      <c r="M14" s="228">
        <f>IF(M$4="",0,((1+'2. Kalkyldata'!$M$9*'2. Kalkyldata'!$J25)^(M$4-MAX('2. Kalkyldata'!$M25,$D$4))))*IF((M$4&gt;='2. Kalkyldata'!$M25),IF(M$4="",0,IF(AND(M$4&gt;='2. Kalkyldata'!$M25,'4. NPV'!M$4&lt;='2. Kalkyldata'!$N25),'2. Kalkyldata'!$L25,'2. Kalkyldata'!$O25*'2. Kalkyldata'!$H25)),0)</f>
        <v>0.0</v>
      </c>
      <c r="N14" s="228">
        <f>IF(N$4="",0,((1+'2. Kalkyldata'!$M$9*'2. Kalkyldata'!$J25)^(N$4-MAX('2. Kalkyldata'!$M25,$D$4))))*IF((N$4&gt;='2. Kalkyldata'!$M25),IF(N$4="",0,IF(AND(N$4&gt;='2. Kalkyldata'!$M25,'4. NPV'!N$4&lt;='2. Kalkyldata'!$N25),'2. Kalkyldata'!$L25,'2. Kalkyldata'!$O25*'2. Kalkyldata'!$H25)),0)</f>
        <v>0.0</v>
      </c>
      <c r="O14" s="228">
        <f>IF(O$4="",0,((1+'2. Kalkyldata'!$M$9*'2. Kalkyldata'!$J25)^(O$4-MAX('2. Kalkyldata'!$M25,$D$4))))*IF((O$4&gt;='2. Kalkyldata'!$M25),IF(O$4="",0,IF(AND(O$4&gt;='2. Kalkyldata'!$M25,'4. NPV'!O$4&lt;='2. Kalkyldata'!$N25),'2. Kalkyldata'!$L25,'2. Kalkyldata'!$O25*'2. Kalkyldata'!$H25)),0)</f>
        <v>0.0</v>
      </c>
      <c r="P14" s="228">
        <f>IF(P$4="",0,((1+'2. Kalkyldata'!$M$9*'2. Kalkyldata'!$J25)^(P$4-MAX('2. Kalkyldata'!$M25,$D$4))))*IF((P$4&gt;='2. Kalkyldata'!$M25),IF(P$4="",0,IF(AND(P$4&gt;='2. Kalkyldata'!$M25,'4. NPV'!P$4&lt;='2. Kalkyldata'!$N25),'2. Kalkyldata'!$L25,'2. Kalkyldata'!$O25*'2. Kalkyldata'!$H25)),0)</f>
        <v>0.0</v>
      </c>
      <c r="Q14" s="228">
        <f>IF(Q$4="",0,((1+'2. Kalkyldata'!$M$9*'2. Kalkyldata'!$J25)^(Q$4-MAX('2. Kalkyldata'!$M25,$D$4))))*IF((Q$4&gt;='2. Kalkyldata'!$M25),IF(Q$4="",0,IF(AND(Q$4&gt;='2. Kalkyldata'!$M25,'4. NPV'!Q$4&lt;='2. Kalkyldata'!$N25),'2. Kalkyldata'!$L25,'2. Kalkyldata'!$O25*'2. Kalkyldata'!$H25)),0)</f>
        <v>0.0</v>
      </c>
      <c r="R14" s="228">
        <f>IF(R$4="",0,((1+'2. Kalkyldata'!$M$9*'2. Kalkyldata'!$J25)^(R$4-MAX('2. Kalkyldata'!$M25,$D$4))))*IF((R$4&gt;='2. Kalkyldata'!$M25),IF(R$4="",0,IF(AND(R$4&gt;='2. Kalkyldata'!$M25,'4. NPV'!R$4&lt;='2. Kalkyldata'!$N25),'2. Kalkyldata'!$L25,'2. Kalkyldata'!$O25*'2. Kalkyldata'!$H25)),0)</f>
        <v>0.0</v>
      </c>
      <c r="S14" s="228">
        <f>IF(S$4="",0,((1+'2. Kalkyldata'!$M$9*'2. Kalkyldata'!$J25)^(S$4-MAX('2. Kalkyldata'!$M25,$D$4))))*IF((S$4&gt;='2. Kalkyldata'!$M25),IF(S$4="",0,IF(AND(S$4&gt;='2. Kalkyldata'!$M25,'4. NPV'!S$4&lt;='2. Kalkyldata'!$N25),'2. Kalkyldata'!$L25,'2. Kalkyldata'!$O25*'2. Kalkyldata'!$H25)),0)</f>
        <v>0.0</v>
      </c>
      <c r="T14" s="228">
        <f>IF(T$4="",0,((1+'2. Kalkyldata'!$M$9*'2. Kalkyldata'!$J25)^(T$4-MAX('2. Kalkyldata'!$M25,$D$4))))*IF((T$4&gt;='2. Kalkyldata'!$M25),IF(T$4="",0,IF(AND(T$4&gt;='2. Kalkyldata'!$M25,'4. NPV'!T$4&lt;='2. Kalkyldata'!$N25),'2. Kalkyldata'!$L25,'2. Kalkyldata'!$O25*'2. Kalkyldata'!$H25)),0)</f>
        <v>0.0</v>
      </c>
      <c r="U14" s="228">
        <f>IF(U$4="",0,((1+'2. Kalkyldata'!$M$9*'2. Kalkyldata'!$J25)^(U$4-MAX('2. Kalkyldata'!$M25,$D$4))))*IF((U$4&gt;='2. Kalkyldata'!$M25),IF(U$4="",0,IF(AND(U$4&gt;='2. Kalkyldata'!$M25,'4. NPV'!U$4&lt;='2. Kalkyldata'!$N25),'2. Kalkyldata'!$L25,'2. Kalkyldata'!$O25*'2. Kalkyldata'!$H25)),0)</f>
        <v>0.0</v>
      </c>
      <c r="V14" s="228">
        <f>IF(V$4="",0,((1+'2. Kalkyldata'!$M$9*'2. Kalkyldata'!$J25)^(V$4-MAX('2. Kalkyldata'!$M25,$D$4))))*IF((V$4&gt;='2. Kalkyldata'!$M25),IF(V$4="",0,IF(AND(V$4&gt;='2. Kalkyldata'!$M25,'4. NPV'!V$4&lt;='2. Kalkyldata'!$N25),'2. Kalkyldata'!$L25,'2. Kalkyldata'!$O25*'2. Kalkyldata'!$H25)),0)</f>
        <v>0.0</v>
      </c>
      <c r="W14" s="228">
        <f>IF(W$4="",0,((1+'2. Kalkyldata'!$M$9*'2. Kalkyldata'!$J25)^(W$4-MAX('2. Kalkyldata'!$M25,$D$4))))*IF((W$4&gt;='2. Kalkyldata'!$M25),IF(W$4="",0,IF(AND(W$4&gt;='2. Kalkyldata'!$M25,'4. NPV'!W$4&lt;='2. Kalkyldata'!$N25),'2. Kalkyldata'!$L25,'2. Kalkyldata'!$O25*'2. Kalkyldata'!$H25)),0)</f>
        <v>0.0</v>
      </c>
      <c r="X14" s="228">
        <f>IF(X$4="",0,((1+'2. Kalkyldata'!$M$9*'2. Kalkyldata'!$J25)^(X$4-MAX('2. Kalkyldata'!$M25,$D$4))))*IF((X$4&gt;='2. Kalkyldata'!$M25),IF(X$4="",0,IF(AND(X$4&gt;='2. Kalkyldata'!$M25,'4. NPV'!X$4&lt;='2. Kalkyldata'!$N25),'2. Kalkyldata'!$L25,'2. Kalkyldata'!$O25*'2. Kalkyldata'!$H25)),0)</f>
        <v>0.0</v>
      </c>
      <c r="Y14" s="228">
        <f>IF(Y$4="",0,((1+'2. Kalkyldata'!$M$9*'2. Kalkyldata'!$J25)^(Y$4-MAX('2. Kalkyldata'!$M25,$D$4))))*IF((Y$4&gt;='2. Kalkyldata'!$M25),IF(Y$4="",0,IF(AND(Y$4&gt;='2. Kalkyldata'!$M25,'4. NPV'!Y$4&lt;='2. Kalkyldata'!$N25),'2. Kalkyldata'!$L25,'2. Kalkyldata'!$O25*'2. Kalkyldata'!$H25)),0)</f>
        <v>0.0</v>
      </c>
      <c r="Z14" s="228">
        <f>IF(Z$4="",0,((1+'2. Kalkyldata'!$M$9*'2. Kalkyldata'!$J25)^(Z$4-MAX('2. Kalkyldata'!$M25,$D$4))))*IF((Z$4&gt;='2. Kalkyldata'!$M25),IF(Z$4="",0,IF(AND(Z$4&gt;='2. Kalkyldata'!$M25,'4. NPV'!Z$4&lt;='2. Kalkyldata'!$N25),'2. Kalkyldata'!$L25,'2. Kalkyldata'!$O25*'2. Kalkyldata'!$H25)),0)</f>
        <v>0.0</v>
      </c>
      <c r="AA14" s="228">
        <f>IF(AA$4="",0,((1+'2. Kalkyldata'!$M$9*'2. Kalkyldata'!$J25)^(AA$4-MAX('2. Kalkyldata'!$M25,$D$4))))*IF((AA$4&gt;='2. Kalkyldata'!$M25),IF(AA$4="",0,IF(AND(AA$4&gt;='2. Kalkyldata'!$M25,'4. NPV'!AA$4&lt;='2. Kalkyldata'!$N25),'2. Kalkyldata'!$L25,'2. Kalkyldata'!$O25*'2. Kalkyldata'!$H25)),0)</f>
        <v>0.0</v>
      </c>
      <c r="AB14" s="228">
        <f>IF(AB$4="",0,((1+'2. Kalkyldata'!$M$9*'2. Kalkyldata'!$J25)^(AB$4-MAX('2. Kalkyldata'!$M25,$D$4))))*IF((AB$4&gt;='2. Kalkyldata'!$M25),IF(AB$4="",0,IF(AND(AB$4&gt;='2. Kalkyldata'!$M25,'4. NPV'!AB$4&lt;='2. Kalkyldata'!$N25),'2. Kalkyldata'!$L25,'2. Kalkyldata'!$O25*'2. Kalkyldata'!$H25)),0)</f>
        <v>0.0</v>
      </c>
      <c r="AC14" s="228">
        <f>IF(AC$4="",0,((1+'2. Kalkyldata'!$M$9*'2. Kalkyldata'!$J25)^(AC$4-MAX('2. Kalkyldata'!$M25,$D$4))))*IF((AC$4&gt;='2. Kalkyldata'!$M25),IF(AC$4="",0,IF(AND(AC$4&gt;='2. Kalkyldata'!$M25,'4. NPV'!AC$4&lt;='2. Kalkyldata'!$N25),'2. Kalkyldata'!$L25,'2. Kalkyldata'!$O25*'2. Kalkyldata'!$H25)),0)</f>
        <v>0.0</v>
      </c>
      <c r="AD14" s="228">
        <f>IF(AD$4="",0,((1+'2. Kalkyldata'!$M$9*'2. Kalkyldata'!$J25)^(AD$4-MAX('2. Kalkyldata'!$M25,$D$4))))*IF((AD$4&gt;='2. Kalkyldata'!$M25),IF(AD$4="",0,IF(AND(AD$4&gt;='2. Kalkyldata'!$M25,'4. NPV'!AD$4&lt;='2. Kalkyldata'!$N25),'2. Kalkyldata'!$L25,'2. Kalkyldata'!$O25*'2. Kalkyldata'!$H25)),0)</f>
        <v>0.0</v>
      </c>
      <c r="AE14" s="228">
        <f>IF(AE$4="",0,((1+'2. Kalkyldata'!$M$9*'2. Kalkyldata'!$J25)^(AE$4-MAX('2. Kalkyldata'!$M25,$D$4))))*IF((AE$4&gt;='2. Kalkyldata'!$M25),IF(AE$4="",0,IF(AND(AE$4&gt;='2. Kalkyldata'!$M25,'4. NPV'!AE$4&lt;='2. Kalkyldata'!$N25),'2. Kalkyldata'!$L25,'2. Kalkyldata'!$O25*'2. Kalkyldata'!$H25)),0)</f>
        <v>0.0</v>
      </c>
      <c r="AF14" s="228">
        <f>IF(AF$4="",0,((1+'2. Kalkyldata'!$M$9*'2. Kalkyldata'!$J25)^(AF$4-MAX('2. Kalkyldata'!$M25,$D$4))))*IF((AF$4&gt;='2. Kalkyldata'!$M25),IF(AF$4="",0,IF(AND(AF$4&gt;='2. Kalkyldata'!$M25,'4. NPV'!AF$4&lt;='2. Kalkyldata'!$N25),'2. Kalkyldata'!$L25,'2. Kalkyldata'!$O25*'2. Kalkyldata'!$H25)),0)</f>
        <v>0.0</v>
      </c>
      <c r="AG14" s="228">
        <f>IF(AG$4="",0,((1+'2. Kalkyldata'!$M$9*'2. Kalkyldata'!$J25)^(AG$4-MAX('2. Kalkyldata'!$M25,$D$4))))*IF((AG$4&gt;='2. Kalkyldata'!$M25),IF(AG$4="",0,IF(AND(AG$4&gt;='2. Kalkyldata'!$M25,'4. NPV'!AG$4&lt;='2. Kalkyldata'!$N25),'2. Kalkyldata'!$L25,'2. Kalkyldata'!$O25*'2. Kalkyldata'!$H25)),0)</f>
        <v>0.0</v>
      </c>
      <c r="AH14" s="228">
        <f>IF(AH$4="",0,((1+'2. Kalkyldata'!$M$9*'2. Kalkyldata'!$J25)^(AH$4-MAX('2. Kalkyldata'!$M25,$D$4))))*IF((AH$4&gt;='2. Kalkyldata'!$M25),IF(AH$4="",0,IF(AND(AH$4&gt;='2. Kalkyldata'!$M25,'4. NPV'!AH$4&lt;='2. Kalkyldata'!$N25),'2. Kalkyldata'!$L25,'2. Kalkyldata'!$O25*'2. Kalkyldata'!$H25)),0)</f>
        <v>0.0</v>
      </c>
      <c r="AI14" s="228">
        <f>IF(AI$4="",0,((1+'2. Kalkyldata'!$M$9*'2. Kalkyldata'!$J25)^(AI$4-MAX('2. Kalkyldata'!$M25,$D$4))))*IF((AI$4&gt;='2. Kalkyldata'!$M25),IF(AI$4="",0,IF(AND(AI$4&gt;='2. Kalkyldata'!$M25,'4. NPV'!AI$4&lt;='2. Kalkyldata'!$N25),'2. Kalkyldata'!$L25,'2. Kalkyldata'!$O25*'2. Kalkyldata'!$H25)),0)</f>
        <v>0.0</v>
      </c>
      <c r="AJ14" s="228">
        <f>IF(AJ$4="",0,((1+'2. Kalkyldata'!$M$9*'2. Kalkyldata'!$J25)^(AJ$4-MAX('2. Kalkyldata'!$M25,$D$4))))*IF((AJ$4&gt;='2. Kalkyldata'!$M25),IF(AJ$4="",0,IF(AND(AJ$4&gt;='2. Kalkyldata'!$M25,'4. NPV'!AJ$4&lt;='2. Kalkyldata'!$N25),'2. Kalkyldata'!$L25,'2. Kalkyldata'!$O25*'2. Kalkyldata'!$H25)),0)</f>
        <v>0.0</v>
      </c>
      <c r="AK14" s="228">
        <f>IF(AK$4="",0,((1+'2. Kalkyldata'!$M$9*'2. Kalkyldata'!$J25)^(AK$4-MAX('2. Kalkyldata'!$M25,$D$4))))*IF((AK$4&gt;='2. Kalkyldata'!$M25),IF(AK$4="",0,IF(AND(AK$4&gt;='2. Kalkyldata'!$M25,'4. NPV'!AK$4&lt;='2. Kalkyldata'!$N25),'2. Kalkyldata'!$L25,'2. Kalkyldata'!$O25*'2. Kalkyldata'!$H25)),0)</f>
        <v>0.0</v>
      </c>
      <c r="AL14" s="228">
        <f>IF(AL$4="",0,((1+'2. Kalkyldata'!$M$9*'2. Kalkyldata'!$J25)^(AL$4-MAX('2. Kalkyldata'!$M25,$D$4))))*IF((AL$4&gt;='2. Kalkyldata'!$M25),IF(AL$4="",0,IF(AND(AL$4&gt;='2. Kalkyldata'!$M25,'4. NPV'!AL$4&lt;='2. Kalkyldata'!$N25),'2. Kalkyldata'!$L25,'2. Kalkyldata'!$O25*'2. Kalkyldata'!$H25)),0)</f>
        <v>0.0</v>
      </c>
      <c r="AM14" s="228">
        <f>IF(AM$4="",0,((1+'2. Kalkyldata'!$M$9*'2. Kalkyldata'!$J25)^(AM$4-MAX('2. Kalkyldata'!$M25,$D$4))))*IF((AM$4&gt;='2. Kalkyldata'!$M25),IF(AM$4="",0,IF(AND(AM$4&gt;='2. Kalkyldata'!$M25,'4. NPV'!AM$4&lt;='2. Kalkyldata'!$N25),'2. Kalkyldata'!$L25,'2. Kalkyldata'!$O25*'2. Kalkyldata'!$H25)),0)</f>
        <v>0.0</v>
      </c>
      <c r="AN14" s="228">
        <f>IF(AN$4="",0,((1+'2. Kalkyldata'!$M$9*'2. Kalkyldata'!$J25)^(AN$4-MAX('2. Kalkyldata'!$M25,$D$4))))*IF((AN$4&gt;='2. Kalkyldata'!$M25),IF(AN$4="",0,IF(AND(AN$4&gt;='2. Kalkyldata'!$M25,'4. NPV'!AN$4&lt;='2. Kalkyldata'!$N25),'2. Kalkyldata'!$L25,'2. Kalkyldata'!$O25*'2. Kalkyldata'!$H25)),0)</f>
        <v>0.0</v>
      </c>
      <c r="AO14" s="228">
        <f>IF(AO$4="",0,((1+'2. Kalkyldata'!$M$9*'2. Kalkyldata'!$J25)^(AO$4-MAX('2. Kalkyldata'!$M25,$D$4))))*IF((AO$4&gt;='2. Kalkyldata'!$M25),IF(AO$4="",0,IF(AND(AO$4&gt;='2. Kalkyldata'!$M25,'4. NPV'!AO$4&lt;='2. Kalkyldata'!$N25),'2. Kalkyldata'!$L25,'2. Kalkyldata'!$O25*'2. Kalkyldata'!$H25)),0)</f>
        <v>0.0</v>
      </c>
      <c r="AP14" s="228">
        <f>IF(AP$4="",0,((1+'2. Kalkyldata'!$M$9*'2. Kalkyldata'!$J25)^(AP$4-MAX('2. Kalkyldata'!$M25,$D$4))))*IF((AP$4&gt;='2. Kalkyldata'!$M25),IF(AP$4="",0,IF(AND(AP$4&gt;='2. Kalkyldata'!$M25,'4. NPV'!AP$4&lt;='2. Kalkyldata'!$N25),'2. Kalkyldata'!$L25,'2. Kalkyldata'!$O25*'2. Kalkyldata'!$H25)),0)</f>
        <v>0.0</v>
      </c>
      <c r="AQ14" s="228">
        <f>IF(AQ$4="",0,((1+'2. Kalkyldata'!$M$9*'2. Kalkyldata'!$J25)^(AQ$4-MAX('2. Kalkyldata'!$M25,$D$4))))*IF((AQ$4&gt;='2. Kalkyldata'!$M25),IF(AQ$4="",0,IF(AND(AQ$4&gt;='2. Kalkyldata'!$M25,'4. NPV'!AQ$4&lt;='2. Kalkyldata'!$N25),'2. Kalkyldata'!$L25,'2. Kalkyldata'!$O25*'2. Kalkyldata'!$H25)),0)</f>
        <v>0.0</v>
      </c>
      <c r="AR14" s="228">
        <f>IF(AR$4="",0,((1+'2. Kalkyldata'!$M$9*'2. Kalkyldata'!$J25)^(AR$4-MAX('2. Kalkyldata'!$M25,$D$4))))*IF((AR$4&gt;='2. Kalkyldata'!$M25),IF(AR$4="",0,IF(AND(AR$4&gt;='2. Kalkyldata'!$M25,'4. NPV'!AR$4&lt;='2. Kalkyldata'!$N25),'2. Kalkyldata'!$L25,'2. Kalkyldata'!$O25*'2. Kalkyldata'!$H25)),0)</f>
        <v>0.0</v>
      </c>
      <c r="AS14" s="228">
        <f>IF(AS$4="",0,((1+'2. Kalkyldata'!$M$9*'2. Kalkyldata'!$J25)^(AS$4-MAX('2. Kalkyldata'!$M25,$D$4))))*IF((AS$4&gt;='2. Kalkyldata'!$M25),IF(AS$4="",0,IF(AND(AS$4&gt;='2. Kalkyldata'!$M25,'4. NPV'!AS$4&lt;='2. Kalkyldata'!$N25),'2. Kalkyldata'!$L25,'2. Kalkyldata'!$O25*'2. Kalkyldata'!$H25)),0)</f>
        <v>0.0</v>
      </c>
      <c r="AT14" s="228">
        <f>IF(AT$4="",0,((1+'2. Kalkyldata'!$M$9*'2. Kalkyldata'!$J25)^(AT$4-MAX('2. Kalkyldata'!$M25,$D$4))))*IF((AT$4&gt;='2. Kalkyldata'!$M25),IF(AT$4="",0,IF(AND(AT$4&gt;='2. Kalkyldata'!$M25,'4. NPV'!AT$4&lt;='2. Kalkyldata'!$N25),'2. Kalkyldata'!$L25,'2. Kalkyldata'!$O25*'2. Kalkyldata'!$H25)),0)</f>
        <v>0.0</v>
      </c>
      <c r="AU14" s="228">
        <f>IF(AU$4="",0,((1+'2. Kalkyldata'!$M$9*'2. Kalkyldata'!$J25)^(AU$4-MAX('2. Kalkyldata'!$M25,$D$4))))*IF((AU$4&gt;='2. Kalkyldata'!$M25),IF(AU$4="",0,IF(AND(AU$4&gt;='2. Kalkyldata'!$M25,'4. NPV'!AU$4&lt;='2. Kalkyldata'!$N25),'2. Kalkyldata'!$L25,'2. Kalkyldata'!$O25*'2. Kalkyldata'!$H25)),0)</f>
        <v>0.0</v>
      </c>
      <c r="AV14" s="228">
        <f>IF(AV$4="",0,((1+'2. Kalkyldata'!$M$9*'2. Kalkyldata'!$J25)^(AV$4-MAX('2. Kalkyldata'!$M25,$D$4))))*IF((AV$4&gt;='2. Kalkyldata'!$M25),IF(AV$4="",0,IF(AND(AV$4&gt;='2. Kalkyldata'!$M25,'4. NPV'!AV$4&lt;='2. Kalkyldata'!$N25),'2. Kalkyldata'!$L25,'2. Kalkyldata'!$O25*'2. Kalkyldata'!$H25)),0)</f>
        <v>0.0</v>
      </c>
      <c r="AW14" s="228">
        <f>IF(AW$4="",0,((1+'2. Kalkyldata'!$M$9*'2. Kalkyldata'!$J25)^(AW$4-MAX('2. Kalkyldata'!$M25,$D$4))))*IF((AW$4&gt;='2. Kalkyldata'!$M25),IF(AW$4="",0,IF(AND(AW$4&gt;='2. Kalkyldata'!$M25,'4. NPV'!AW$4&lt;='2. Kalkyldata'!$N25),'2. Kalkyldata'!$L25,'2. Kalkyldata'!$O25*'2. Kalkyldata'!$H25)),0)</f>
        <v>0.0</v>
      </c>
      <c r="AX14" s="228">
        <f>IF(AX$4="",0,((1+'2. Kalkyldata'!$M$9*'2. Kalkyldata'!$J25)^(AX$4-MAX('2. Kalkyldata'!$M25,$D$4))))*IF((AX$4&gt;='2. Kalkyldata'!$M25),IF(AX$4="",0,IF(AND(AX$4&gt;='2. Kalkyldata'!$M25,'4. NPV'!AX$4&lt;='2. Kalkyldata'!$N25),'2. Kalkyldata'!$L25,'2. Kalkyldata'!$O25*'2. Kalkyldata'!$H25)),0)</f>
        <v>0.0</v>
      </c>
      <c r="AY14" s="228">
        <f>IF(AY$4="",0,((1+'2. Kalkyldata'!$M$9*'2. Kalkyldata'!$J25)^(AY$4-MAX('2. Kalkyldata'!$M25,$D$4))))*IF((AY$4&gt;='2. Kalkyldata'!$M25),IF(AY$4="",0,IF(AND(AY$4&gt;='2. Kalkyldata'!$M25,'4. NPV'!AY$4&lt;='2. Kalkyldata'!$N25),'2. Kalkyldata'!$L25,'2. Kalkyldata'!$O25*'2. Kalkyldata'!$H25)),0)</f>
        <v>0.0</v>
      </c>
      <c r="AZ14" s="228">
        <f>IF(AZ$4="",0,((1+'2. Kalkyldata'!$M$9*'2. Kalkyldata'!$J25)^(AZ$4-MAX('2. Kalkyldata'!$M25,$D$4))))*IF((AZ$4&gt;='2. Kalkyldata'!$M25),IF(AZ$4="",0,IF(AND(AZ$4&gt;='2. Kalkyldata'!$M25,'4. NPV'!AZ$4&lt;='2. Kalkyldata'!$N25),'2. Kalkyldata'!$L25,'2. Kalkyldata'!$O25*'2. Kalkyldata'!$H25)),0)</f>
        <v>0.0</v>
      </c>
      <c r="BA14" s="228">
        <f>IF(BA$4="",0,((1+'2. Kalkyldata'!$M$9*'2. Kalkyldata'!$J25)^(BA$4-MAX('2. Kalkyldata'!$M25,$D$4))))*IF((BA$4&gt;='2. Kalkyldata'!$M25),IF(BA$4="",0,IF(AND(BA$4&gt;='2. Kalkyldata'!$M25,'4. NPV'!BA$4&lt;='2. Kalkyldata'!$N25),'2. Kalkyldata'!$L25,'2. Kalkyldata'!$O25*'2. Kalkyldata'!$H25)),0)</f>
        <v>0.0</v>
      </c>
    </row>
    <row r="15" spans="1:53">
      <c r="A15" s="494"/>
      <c r="B15" s="227" t="str">
        <f>CONCATENATE("Intäkter ",'2. Kalkyldata'!C26)</f>
        <v>Intäkter </v>
      </c>
      <c r="C15" s="327">
        <f t="shared" si="4"/>
        <v>0.0</v>
      </c>
      <c r="D15" s="228">
        <f>IF(D$4="",0,((1+'2. Kalkyldata'!$M$9*'2. Kalkyldata'!$J26)^(D$4-$D$4)))*IF((D$4&gt;='2. Kalkyldata'!$M26),IF(D$4="",0,IF(AND(D$4&gt;='2. Kalkyldata'!$M26,'4. NPV'!D$4&lt;='2. Kalkyldata'!$N26),'2. Kalkyldata'!$L26,'2. Kalkyldata'!$O26*'2. Kalkyldata'!$H26)),0)</f>
        <v>0.0</v>
      </c>
      <c r="E15" s="228">
        <f>IF(E$4="",0,((1+'2. Kalkyldata'!$M$9*'2. Kalkyldata'!$J26)^(E$4-MAX('2. Kalkyldata'!$M26,$D$4))))*IF((E$4&gt;='2. Kalkyldata'!$M26),IF(E$4="",0,IF(AND(E$4&gt;='2. Kalkyldata'!$M26,'4. NPV'!E$4&lt;='2. Kalkyldata'!$N26),'2. Kalkyldata'!$L26,'2. Kalkyldata'!$O26*'2. Kalkyldata'!$H26)),0)</f>
        <v>0.0</v>
      </c>
      <c r="F15" s="228">
        <f>IF(F$4="",0,((1+'2. Kalkyldata'!$M$9*'2. Kalkyldata'!$J26)^(F$4-MAX('2. Kalkyldata'!$M26,$D$4))))*IF((F$4&gt;='2. Kalkyldata'!$M26),IF(F$4="",0,IF(AND(F$4&gt;='2. Kalkyldata'!$M26,'4. NPV'!F$4&lt;='2. Kalkyldata'!$N26),'2. Kalkyldata'!$L26,'2. Kalkyldata'!$O26*'2. Kalkyldata'!$H26)),0)</f>
        <v>0.0</v>
      </c>
      <c r="G15" s="228">
        <f>IF(G$4="",0,((1+'2. Kalkyldata'!$M$9*'2. Kalkyldata'!$J26)^(G$4-MAX('2. Kalkyldata'!$M26,$D$4))))*IF((G$4&gt;='2. Kalkyldata'!$M26),IF(G$4="",0,IF(AND(G$4&gt;='2. Kalkyldata'!$M26,'4. NPV'!G$4&lt;='2. Kalkyldata'!$N26),'2. Kalkyldata'!$L26,'2. Kalkyldata'!$O26*'2. Kalkyldata'!$H26)),0)</f>
        <v>0.0</v>
      </c>
      <c r="H15" s="228">
        <f>IF(H$4="",0,((1+'2. Kalkyldata'!$M$9*'2. Kalkyldata'!$J26)^(H$4-MAX('2. Kalkyldata'!$M26,$D$4))))*IF((H$4&gt;='2. Kalkyldata'!$M26),IF(H$4="",0,IF(AND(H$4&gt;='2. Kalkyldata'!$M26,'4. NPV'!H$4&lt;='2. Kalkyldata'!$N26),'2. Kalkyldata'!$L26,'2. Kalkyldata'!$O26*'2. Kalkyldata'!$H26)),0)</f>
        <v>0.0</v>
      </c>
      <c r="I15" s="228">
        <f>IF(I$4="",0,((1+'2. Kalkyldata'!$M$9*'2. Kalkyldata'!$J26)^(I$4-MAX('2. Kalkyldata'!$M26,$D$4))))*IF((I$4&gt;='2. Kalkyldata'!$M26),IF(I$4="",0,IF(AND(I$4&gt;='2. Kalkyldata'!$M26,'4. NPV'!I$4&lt;='2. Kalkyldata'!$N26),'2. Kalkyldata'!$L26,'2. Kalkyldata'!$O26*'2. Kalkyldata'!$H26)),0)</f>
        <v>0.0</v>
      </c>
      <c r="J15" s="228">
        <f>IF(J$4="",0,((1+'2. Kalkyldata'!$M$9*'2. Kalkyldata'!$J26)^(J$4-MAX('2. Kalkyldata'!$M26,$D$4))))*IF((J$4&gt;='2. Kalkyldata'!$M26),IF(J$4="",0,IF(AND(J$4&gt;='2. Kalkyldata'!$M26,'4. NPV'!J$4&lt;='2. Kalkyldata'!$N26),'2. Kalkyldata'!$L26,'2. Kalkyldata'!$O26*'2. Kalkyldata'!$H26)),0)</f>
        <v>0.0</v>
      </c>
      <c r="K15" s="228">
        <f>IF(K$4="",0,((1+'2. Kalkyldata'!$M$9*'2. Kalkyldata'!$J26)^(K$4-MAX('2. Kalkyldata'!$M26,$D$4))))*IF((K$4&gt;='2. Kalkyldata'!$M26),IF(K$4="",0,IF(AND(K$4&gt;='2. Kalkyldata'!$M26,'4. NPV'!K$4&lt;='2. Kalkyldata'!$N26),'2. Kalkyldata'!$L26,'2. Kalkyldata'!$O26*'2. Kalkyldata'!$H26)),0)</f>
        <v>0.0</v>
      </c>
      <c r="L15" s="228">
        <f>IF(L$4="",0,((1+'2. Kalkyldata'!$M$9*'2. Kalkyldata'!$J26)^(L$4-MAX('2. Kalkyldata'!$M26,$D$4))))*IF((L$4&gt;='2. Kalkyldata'!$M26),IF(L$4="",0,IF(AND(L$4&gt;='2. Kalkyldata'!$M26,'4. NPV'!L$4&lt;='2. Kalkyldata'!$N26),'2. Kalkyldata'!$L26,'2. Kalkyldata'!$O26*'2. Kalkyldata'!$H26)),0)</f>
        <v>0.0</v>
      </c>
      <c r="M15" s="228">
        <f>IF(M$4="",0,((1+'2. Kalkyldata'!$M$9*'2. Kalkyldata'!$J26)^(M$4-MAX('2. Kalkyldata'!$M26,$D$4))))*IF((M$4&gt;='2. Kalkyldata'!$M26),IF(M$4="",0,IF(AND(M$4&gt;='2. Kalkyldata'!$M26,'4. NPV'!M$4&lt;='2. Kalkyldata'!$N26),'2. Kalkyldata'!$L26,'2. Kalkyldata'!$O26*'2. Kalkyldata'!$H26)),0)</f>
        <v>0.0</v>
      </c>
      <c r="N15" s="228">
        <f>IF(N$4="",0,((1+'2. Kalkyldata'!$M$9*'2. Kalkyldata'!$J26)^(N$4-MAX('2. Kalkyldata'!$M26,$D$4))))*IF((N$4&gt;='2. Kalkyldata'!$M26),IF(N$4="",0,IF(AND(N$4&gt;='2. Kalkyldata'!$M26,'4. NPV'!N$4&lt;='2. Kalkyldata'!$N26),'2. Kalkyldata'!$L26,'2. Kalkyldata'!$O26*'2. Kalkyldata'!$H26)),0)</f>
        <v>0.0</v>
      </c>
      <c r="O15" s="228">
        <f>IF(O$4="",0,((1+'2. Kalkyldata'!$M$9*'2. Kalkyldata'!$J26)^(O$4-MAX('2. Kalkyldata'!$M26,$D$4))))*IF((O$4&gt;='2. Kalkyldata'!$M26),IF(O$4="",0,IF(AND(O$4&gt;='2. Kalkyldata'!$M26,'4. NPV'!O$4&lt;='2. Kalkyldata'!$N26),'2. Kalkyldata'!$L26,'2. Kalkyldata'!$O26*'2. Kalkyldata'!$H26)),0)</f>
        <v>0.0</v>
      </c>
      <c r="P15" s="228">
        <f>IF(P$4="",0,((1+'2. Kalkyldata'!$M$9*'2. Kalkyldata'!$J26)^(P$4-MAX('2. Kalkyldata'!$M26,$D$4))))*IF((P$4&gt;='2. Kalkyldata'!$M26),IF(P$4="",0,IF(AND(P$4&gt;='2. Kalkyldata'!$M26,'4. NPV'!P$4&lt;='2. Kalkyldata'!$N26),'2. Kalkyldata'!$L26,'2. Kalkyldata'!$O26*'2. Kalkyldata'!$H26)),0)</f>
        <v>0.0</v>
      </c>
      <c r="Q15" s="228">
        <f>IF(Q$4="",0,((1+'2. Kalkyldata'!$M$9*'2. Kalkyldata'!$J26)^(Q$4-MAX('2. Kalkyldata'!$M26,$D$4))))*IF((Q$4&gt;='2. Kalkyldata'!$M26),IF(Q$4="",0,IF(AND(Q$4&gt;='2. Kalkyldata'!$M26,'4. NPV'!Q$4&lt;='2. Kalkyldata'!$N26),'2. Kalkyldata'!$L26,'2. Kalkyldata'!$O26*'2. Kalkyldata'!$H26)),0)</f>
        <v>0.0</v>
      </c>
      <c r="R15" s="228">
        <f>IF(R$4="",0,((1+'2. Kalkyldata'!$M$9*'2. Kalkyldata'!$J26)^(R$4-MAX('2. Kalkyldata'!$M26,$D$4))))*IF((R$4&gt;='2. Kalkyldata'!$M26),IF(R$4="",0,IF(AND(R$4&gt;='2. Kalkyldata'!$M26,'4. NPV'!R$4&lt;='2. Kalkyldata'!$N26),'2. Kalkyldata'!$L26,'2. Kalkyldata'!$O26*'2. Kalkyldata'!$H26)),0)</f>
        <v>0.0</v>
      </c>
      <c r="S15" s="228">
        <f>IF(S$4="",0,((1+'2. Kalkyldata'!$M$9*'2. Kalkyldata'!$J26)^(S$4-MAX('2. Kalkyldata'!$M26,$D$4))))*IF((S$4&gt;='2. Kalkyldata'!$M26),IF(S$4="",0,IF(AND(S$4&gt;='2. Kalkyldata'!$M26,'4. NPV'!S$4&lt;='2. Kalkyldata'!$N26),'2. Kalkyldata'!$L26,'2. Kalkyldata'!$O26*'2. Kalkyldata'!$H26)),0)</f>
        <v>0.0</v>
      </c>
      <c r="T15" s="228">
        <f>IF(T$4="",0,((1+'2. Kalkyldata'!$M$9*'2. Kalkyldata'!$J26)^(T$4-MAX('2. Kalkyldata'!$M26,$D$4))))*IF((T$4&gt;='2. Kalkyldata'!$M26),IF(T$4="",0,IF(AND(T$4&gt;='2. Kalkyldata'!$M26,'4. NPV'!T$4&lt;='2. Kalkyldata'!$N26),'2. Kalkyldata'!$L26,'2. Kalkyldata'!$O26*'2. Kalkyldata'!$H26)),0)</f>
        <v>0.0</v>
      </c>
      <c r="U15" s="228">
        <f>IF(U$4="",0,((1+'2. Kalkyldata'!$M$9*'2. Kalkyldata'!$J26)^(U$4-MAX('2. Kalkyldata'!$M26,$D$4))))*IF((U$4&gt;='2. Kalkyldata'!$M26),IF(U$4="",0,IF(AND(U$4&gt;='2. Kalkyldata'!$M26,'4. NPV'!U$4&lt;='2. Kalkyldata'!$N26),'2. Kalkyldata'!$L26,'2. Kalkyldata'!$O26*'2. Kalkyldata'!$H26)),0)</f>
        <v>0.0</v>
      </c>
      <c r="V15" s="228">
        <f>IF(V$4="",0,((1+'2. Kalkyldata'!$M$9*'2. Kalkyldata'!$J26)^(V$4-MAX('2. Kalkyldata'!$M26,$D$4))))*IF((V$4&gt;='2. Kalkyldata'!$M26),IF(V$4="",0,IF(AND(V$4&gt;='2. Kalkyldata'!$M26,'4. NPV'!V$4&lt;='2. Kalkyldata'!$N26),'2. Kalkyldata'!$L26,'2. Kalkyldata'!$O26*'2. Kalkyldata'!$H26)),0)</f>
        <v>0.0</v>
      </c>
      <c r="W15" s="228">
        <f>IF(W$4="",0,((1+'2. Kalkyldata'!$M$9*'2. Kalkyldata'!$J26)^(W$4-MAX('2. Kalkyldata'!$M26,$D$4))))*IF((W$4&gt;='2. Kalkyldata'!$M26),IF(W$4="",0,IF(AND(W$4&gt;='2. Kalkyldata'!$M26,'4. NPV'!W$4&lt;='2. Kalkyldata'!$N26),'2. Kalkyldata'!$L26,'2. Kalkyldata'!$O26*'2. Kalkyldata'!$H26)),0)</f>
        <v>0.0</v>
      </c>
      <c r="X15" s="228">
        <f>IF(X$4="",0,((1+'2. Kalkyldata'!$M$9*'2. Kalkyldata'!$J26)^(X$4-MAX('2. Kalkyldata'!$M26,$D$4))))*IF((X$4&gt;='2. Kalkyldata'!$M26),IF(X$4="",0,IF(AND(X$4&gt;='2. Kalkyldata'!$M26,'4. NPV'!X$4&lt;='2. Kalkyldata'!$N26),'2. Kalkyldata'!$L26,'2. Kalkyldata'!$O26*'2. Kalkyldata'!$H26)),0)</f>
        <v>0.0</v>
      </c>
      <c r="Y15" s="228">
        <f>IF(Y$4="",0,((1+'2. Kalkyldata'!$M$9*'2. Kalkyldata'!$J26)^(Y$4-MAX('2. Kalkyldata'!$M26,$D$4))))*IF((Y$4&gt;='2. Kalkyldata'!$M26),IF(Y$4="",0,IF(AND(Y$4&gt;='2. Kalkyldata'!$M26,'4. NPV'!Y$4&lt;='2. Kalkyldata'!$N26),'2. Kalkyldata'!$L26,'2. Kalkyldata'!$O26*'2. Kalkyldata'!$H26)),0)</f>
        <v>0.0</v>
      </c>
      <c r="Z15" s="228">
        <f>IF(Z$4="",0,((1+'2. Kalkyldata'!$M$9*'2. Kalkyldata'!$J26)^(Z$4-MAX('2. Kalkyldata'!$M26,$D$4))))*IF((Z$4&gt;='2. Kalkyldata'!$M26),IF(Z$4="",0,IF(AND(Z$4&gt;='2. Kalkyldata'!$M26,'4. NPV'!Z$4&lt;='2. Kalkyldata'!$N26),'2. Kalkyldata'!$L26,'2. Kalkyldata'!$O26*'2. Kalkyldata'!$H26)),0)</f>
        <v>0.0</v>
      </c>
      <c r="AA15" s="228">
        <f>IF(AA$4="",0,((1+'2. Kalkyldata'!$M$9*'2. Kalkyldata'!$J26)^(AA$4-MAX('2. Kalkyldata'!$M26,$D$4))))*IF((AA$4&gt;='2. Kalkyldata'!$M26),IF(AA$4="",0,IF(AND(AA$4&gt;='2. Kalkyldata'!$M26,'4. NPV'!AA$4&lt;='2. Kalkyldata'!$N26),'2. Kalkyldata'!$L26,'2. Kalkyldata'!$O26*'2. Kalkyldata'!$H26)),0)</f>
        <v>0.0</v>
      </c>
      <c r="AB15" s="228">
        <f>IF(AB$4="",0,((1+'2. Kalkyldata'!$M$9*'2. Kalkyldata'!$J26)^(AB$4-MAX('2. Kalkyldata'!$M26,$D$4))))*IF((AB$4&gt;='2. Kalkyldata'!$M26),IF(AB$4="",0,IF(AND(AB$4&gt;='2. Kalkyldata'!$M26,'4. NPV'!AB$4&lt;='2. Kalkyldata'!$N26),'2. Kalkyldata'!$L26,'2. Kalkyldata'!$O26*'2. Kalkyldata'!$H26)),0)</f>
        <v>0.0</v>
      </c>
      <c r="AC15" s="228">
        <f>IF(AC$4="",0,((1+'2. Kalkyldata'!$M$9*'2. Kalkyldata'!$J26)^(AC$4-MAX('2. Kalkyldata'!$M26,$D$4))))*IF((AC$4&gt;='2. Kalkyldata'!$M26),IF(AC$4="",0,IF(AND(AC$4&gt;='2. Kalkyldata'!$M26,'4. NPV'!AC$4&lt;='2. Kalkyldata'!$N26),'2. Kalkyldata'!$L26,'2. Kalkyldata'!$O26*'2. Kalkyldata'!$H26)),0)</f>
        <v>0.0</v>
      </c>
      <c r="AD15" s="228">
        <f>IF(AD$4="",0,((1+'2. Kalkyldata'!$M$9*'2. Kalkyldata'!$J26)^(AD$4-MAX('2. Kalkyldata'!$M26,$D$4))))*IF((AD$4&gt;='2. Kalkyldata'!$M26),IF(AD$4="",0,IF(AND(AD$4&gt;='2. Kalkyldata'!$M26,'4. NPV'!AD$4&lt;='2. Kalkyldata'!$N26),'2. Kalkyldata'!$L26,'2. Kalkyldata'!$O26*'2. Kalkyldata'!$H26)),0)</f>
        <v>0.0</v>
      </c>
      <c r="AE15" s="228">
        <f>IF(AE$4="",0,((1+'2. Kalkyldata'!$M$9*'2. Kalkyldata'!$J26)^(AE$4-MAX('2. Kalkyldata'!$M26,$D$4))))*IF((AE$4&gt;='2. Kalkyldata'!$M26),IF(AE$4="",0,IF(AND(AE$4&gt;='2. Kalkyldata'!$M26,'4. NPV'!AE$4&lt;='2. Kalkyldata'!$N26),'2. Kalkyldata'!$L26,'2. Kalkyldata'!$O26*'2. Kalkyldata'!$H26)),0)</f>
        <v>0.0</v>
      </c>
      <c r="AF15" s="228">
        <f>IF(AF$4="",0,((1+'2. Kalkyldata'!$M$9*'2. Kalkyldata'!$J26)^(AF$4-MAX('2. Kalkyldata'!$M26,$D$4))))*IF((AF$4&gt;='2. Kalkyldata'!$M26),IF(AF$4="",0,IF(AND(AF$4&gt;='2. Kalkyldata'!$M26,'4. NPV'!AF$4&lt;='2. Kalkyldata'!$N26),'2. Kalkyldata'!$L26,'2. Kalkyldata'!$O26*'2. Kalkyldata'!$H26)),0)</f>
        <v>0.0</v>
      </c>
      <c r="AG15" s="228">
        <f>IF(AG$4="",0,((1+'2. Kalkyldata'!$M$9*'2. Kalkyldata'!$J26)^(AG$4-MAX('2. Kalkyldata'!$M26,$D$4))))*IF((AG$4&gt;='2. Kalkyldata'!$M26),IF(AG$4="",0,IF(AND(AG$4&gt;='2. Kalkyldata'!$M26,'4. NPV'!AG$4&lt;='2. Kalkyldata'!$N26),'2. Kalkyldata'!$L26,'2. Kalkyldata'!$O26*'2. Kalkyldata'!$H26)),0)</f>
        <v>0.0</v>
      </c>
      <c r="AH15" s="228">
        <f>IF(AH$4="",0,((1+'2. Kalkyldata'!$M$9*'2. Kalkyldata'!$J26)^(AH$4-MAX('2. Kalkyldata'!$M26,$D$4))))*IF((AH$4&gt;='2. Kalkyldata'!$M26),IF(AH$4="",0,IF(AND(AH$4&gt;='2. Kalkyldata'!$M26,'4. NPV'!AH$4&lt;='2. Kalkyldata'!$N26),'2. Kalkyldata'!$L26,'2. Kalkyldata'!$O26*'2. Kalkyldata'!$H26)),0)</f>
        <v>0.0</v>
      </c>
      <c r="AI15" s="228">
        <f>IF(AI$4="",0,((1+'2. Kalkyldata'!$M$9*'2. Kalkyldata'!$J26)^(AI$4-MAX('2. Kalkyldata'!$M26,$D$4))))*IF((AI$4&gt;='2. Kalkyldata'!$M26),IF(AI$4="",0,IF(AND(AI$4&gt;='2. Kalkyldata'!$M26,'4. NPV'!AI$4&lt;='2. Kalkyldata'!$N26),'2. Kalkyldata'!$L26,'2. Kalkyldata'!$O26*'2. Kalkyldata'!$H26)),0)</f>
        <v>0.0</v>
      </c>
      <c r="AJ15" s="228">
        <f>IF(AJ$4="",0,((1+'2. Kalkyldata'!$M$9*'2. Kalkyldata'!$J26)^(AJ$4-MAX('2. Kalkyldata'!$M26,$D$4))))*IF((AJ$4&gt;='2. Kalkyldata'!$M26),IF(AJ$4="",0,IF(AND(AJ$4&gt;='2. Kalkyldata'!$M26,'4. NPV'!AJ$4&lt;='2. Kalkyldata'!$N26),'2. Kalkyldata'!$L26,'2. Kalkyldata'!$O26*'2. Kalkyldata'!$H26)),0)</f>
        <v>0.0</v>
      </c>
      <c r="AK15" s="228">
        <f>IF(AK$4="",0,((1+'2. Kalkyldata'!$M$9*'2. Kalkyldata'!$J26)^(AK$4-MAX('2. Kalkyldata'!$M26,$D$4))))*IF((AK$4&gt;='2. Kalkyldata'!$M26),IF(AK$4="",0,IF(AND(AK$4&gt;='2. Kalkyldata'!$M26,'4. NPV'!AK$4&lt;='2. Kalkyldata'!$N26),'2. Kalkyldata'!$L26,'2. Kalkyldata'!$O26*'2. Kalkyldata'!$H26)),0)</f>
        <v>0.0</v>
      </c>
      <c r="AL15" s="228">
        <f>IF(AL$4="",0,((1+'2. Kalkyldata'!$M$9*'2. Kalkyldata'!$J26)^(AL$4-MAX('2. Kalkyldata'!$M26,$D$4))))*IF((AL$4&gt;='2. Kalkyldata'!$M26),IF(AL$4="",0,IF(AND(AL$4&gt;='2. Kalkyldata'!$M26,'4. NPV'!AL$4&lt;='2. Kalkyldata'!$N26),'2. Kalkyldata'!$L26,'2. Kalkyldata'!$O26*'2. Kalkyldata'!$H26)),0)</f>
        <v>0.0</v>
      </c>
      <c r="AM15" s="228">
        <f>IF(AM$4="",0,((1+'2. Kalkyldata'!$M$9*'2. Kalkyldata'!$J26)^(AM$4-MAX('2. Kalkyldata'!$M26,$D$4))))*IF((AM$4&gt;='2. Kalkyldata'!$M26),IF(AM$4="",0,IF(AND(AM$4&gt;='2. Kalkyldata'!$M26,'4. NPV'!AM$4&lt;='2. Kalkyldata'!$N26),'2. Kalkyldata'!$L26,'2. Kalkyldata'!$O26*'2. Kalkyldata'!$H26)),0)</f>
        <v>0.0</v>
      </c>
      <c r="AN15" s="228">
        <f>IF(AN$4="",0,((1+'2. Kalkyldata'!$M$9*'2. Kalkyldata'!$J26)^(AN$4-MAX('2. Kalkyldata'!$M26,$D$4))))*IF((AN$4&gt;='2. Kalkyldata'!$M26),IF(AN$4="",0,IF(AND(AN$4&gt;='2. Kalkyldata'!$M26,'4. NPV'!AN$4&lt;='2. Kalkyldata'!$N26),'2. Kalkyldata'!$L26,'2. Kalkyldata'!$O26*'2. Kalkyldata'!$H26)),0)</f>
        <v>0.0</v>
      </c>
      <c r="AO15" s="228">
        <f>IF(AO$4="",0,((1+'2. Kalkyldata'!$M$9*'2. Kalkyldata'!$J26)^(AO$4-MAX('2. Kalkyldata'!$M26,$D$4))))*IF((AO$4&gt;='2. Kalkyldata'!$M26),IF(AO$4="",0,IF(AND(AO$4&gt;='2. Kalkyldata'!$M26,'4. NPV'!AO$4&lt;='2. Kalkyldata'!$N26),'2. Kalkyldata'!$L26,'2. Kalkyldata'!$O26*'2. Kalkyldata'!$H26)),0)</f>
        <v>0.0</v>
      </c>
      <c r="AP15" s="228">
        <f>IF(AP$4="",0,((1+'2. Kalkyldata'!$M$9*'2. Kalkyldata'!$J26)^(AP$4-MAX('2. Kalkyldata'!$M26,$D$4))))*IF((AP$4&gt;='2. Kalkyldata'!$M26),IF(AP$4="",0,IF(AND(AP$4&gt;='2. Kalkyldata'!$M26,'4. NPV'!AP$4&lt;='2. Kalkyldata'!$N26),'2. Kalkyldata'!$L26,'2. Kalkyldata'!$O26*'2. Kalkyldata'!$H26)),0)</f>
        <v>0.0</v>
      </c>
      <c r="AQ15" s="228">
        <f>IF(AQ$4="",0,((1+'2. Kalkyldata'!$M$9*'2. Kalkyldata'!$J26)^(AQ$4-MAX('2. Kalkyldata'!$M26,$D$4))))*IF((AQ$4&gt;='2. Kalkyldata'!$M26),IF(AQ$4="",0,IF(AND(AQ$4&gt;='2. Kalkyldata'!$M26,'4. NPV'!AQ$4&lt;='2. Kalkyldata'!$N26),'2. Kalkyldata'!$L26,'2. Kalkyldata'!$O26*'2. Kalkyldata'!$H26)),0)</f>
        <v>0.0</v>
      </c>
      <c r="AR15" s="228">
        <f>IF(AR$4="",0,((1+'2. Kalkyldata'!$M$9*'2. Kalkyldata'!$J26)^(AR$4-MAX('2. Kalkyldata'!$M26,$D$4))))*IF((AR$4&gt;='2. Kalkyldata'!$M26),IF(AR$4="",0,IF(AND(AR$4&gt;='2. Kalkyldata'!$M26,'4. NPV'!AR$4&lt;='2. Kalkyldata'!$N26),'2. Kalkyldata'!$L26,'2. Kalkyldata'!$O26*'2. Kalkyldata'!$H26)),0)</f>
        <v>0.0</v>
      </c>
      <c r="AS15" s="228">
        <f>IF(AS$4="",0,((1+'2. Kalkyldata'!$M$9*'2. Kalkyldata'!$J26)^(AS$4-MAX('2. Kalkyldata'!$M26,$D$4))))*IF((AS$4&gt;='2. Kalkyldata'!$M26),IF(AS$4="",0,IF(AND(AS$4&gt;='2. Kalkyldata'!$M26,'4. NPV'!AS$4&lt;='2. Kalkyldata'!$N26),'2. Kalkyldata'!$L26,'2. Kalkyldata'!$O26*'2. Kalkyldata'!$H26)),0)</f>
        <v>0.0</v>
      </c>
      <c r="AT15" s="228">
        <f>IF(AT$4="",0,((1+'2. Kalkyldata'!$M$9*'2. Kalkyldata'!$J26)^(AT$4-MAX('2. Kalkyldata'!$M26,$D$4))))*IF((AT$4&gt;='2. Kalkyldata'!$M26),IF(AT$4="",0,IF(AND(AT$4&gt;='2. Kalkyldata'!$M26,'4. NPV'!AT$4&lt;='2. Kalkyldata'!$N26),'2. Kalkyldata'!$L26,'2. Kalkyldata'!$O26*'2. Kalkyldata'!$H26)),0)</f>
        <v>0.0</v>
      </c>
      <c r="AU15" s="228">
        <f>IF(AU$4="",0,((1+'2. Kalkyldata'!$M$9*'2. Kalkyldata'!$J26)^(AU$4-MAX('2. Kalkyldata'!$M26,$D$4))))*IF((AU$4&gt;='2. Kalkyldata'!$M26),IF(AU$4="",0,IF(AND(AU$4&gt;='2. Kalkyldata'!$M26,'4. NPV'!AU$4&lt;='2. Kalkyldata'!$N26),'2. Kalkyldata'!$L26,'2. Kalkyldata'!$O26*'2. Kalkyldata'!$H26)),0)</f>
        <v>0.0</v>
      </c>
      <c r="AV15" s="228">
        <f>IF(AV$4="",0,((1+'2. Kalkyldata'!$M$9*'2. Kalkyldata'!$J26)^(AV$4-MAX('2. Kalkyldata'!$M26,$D$4))))*IF((AV$4&gt;='2. Kalkyldata'!$M26),IF(AV$4="",0,IF(AND(AV$4&gt;='2. Kalkyldata'!$M26,'4. NPV'!AV$4&lt;='2. Kalkyldata'!$N26),'2. Kalkyldata'!$L26,'2. Kalkyldata'!$O26*'2. Kalkyldata'!$H26)),0)</f>
        <v>0.0</v>
      </c>
      <c r="AW15" s="228">
        <f>IF(AW$4="",0,((1+'2. Kalkyldata'!$M$9*'2. Kalkyldata'!$J26)^(AW$4-MAX('2. Kalkyldata'!$M26,$D$4))))*IF((AW$4&gt;='2. Kalkyldata'!$M26),IF(AW$4="",0,IF(AND(AW$4&gt;='2. Kalkyldata'!$M26,'4. NPV'!AW$4&lt;='2. Kalkyldata'!$N26),'2. Kalkyldata'!$L26,'2. Kalkyldata'!$O26*'2. Kalkyldata'!$H26)),0)</f>
        <v>0.0</v>
      </c>
      <c r="AX15" s="228">
        <f>IF(AX$4="",0,((1+'2. Kalkyldata'!$M$9*'2. Kalkyldata'!$J26)^(AX$4-MAX('2. Kalkyldata'!$M26,$D$4))))*IF((AX$4&gt;='2. Kalkyldata'!$M26),IF(AX$4="",0,IF(AND(AX$4&gt;='2. Kalkyldata'!$M26,'4. NPV'!AX$4&lt;='2. Kalkyldata'!$N26),'2. Kalkyldata'!$L26,'2. Kalkyldata'!$O26*'2. Kalkyldata'!$H26)),0)</f>
        <v>0.0</v>
      </c>
      <c r="AY15" s="228">
        <f>IF(AY$4="",0,((1+'2. Kalkyldata'!$M$9*'2. Kalkyldata'!$J26)^(AY$4-MAX('2. Kalkyldata'!$M26,$D$4))))*IF((AY$4&gt;='2. Kalkyldata'!$M26),IF(AY$4="",0,IF(AND(AY$4&gt;='2. Kalkyldata'!$M26,'4. NPV'!AY$4&lt;='2. Kalkyldata'!$N26),'2. Kalkyldata'!$L26,'2. Kalkyldata'!$O26*'2. Kalkyldata'!$H26)),0)</f>
        <v>0.0</v>
      </c>
      <c r="AZ15" s="228">
        <f>IF(AZ$4="",0,((1+'2. Kalkyldata'!$M$9*'2. Kalkyldata'!$J26)^(AZ$4-MAX('2. Kalkyldata'!$M26,$D$4))))*IF((AZ$4&gt;='2. Kalkyldata'!$M26),IF(AZ$4="",0,IF(AND(AZ$4&gt;='2. Kalkyldata'!$M26,'4. NPV'!AZ$4&lt;='2. Kalkyldata'!$N26),'2. Kalkyldata'!$L26,'2. Kalkyldata'!$O26*'2. Kalkyldata'!$H26)),0)</f>
        <v>0.0</v>
      </c>
      <c r="BA15" s="228">
        <f>IF(BA$4="",0,((1+'2. Kalkyldata'!$M$9*'2. Kalkyldata'!$J26)^(BA$4-MAX('2. Kalkyldata'!$M26,$D$4))))*IF((BA$4&gt;='2. Kalkyldata'!$M26),IF(BA$4="",0,IF(AND(BA$4&gt;='2. Kalkyldata'!$M26,'4. NPV'!BA$4&lt;='2. Kalkyldata'!$N26),'2. Kalkyldata'!$L26,'2. Kalkyldata'!$O26*'2. Kalkyldata'!$H26)),0)</f>
        <v>0.0</v>
      </c>
    </row>
    <row r="16" spans="1:53">
      <c r="A16" s="494"/>
      <c r="B16" s="227" t="str">
        <f>CONCATENATE("Intäkter ",'2. Kalkyldata'!C27)</f>
        <v>Intäkter </v>
      </c>
      <c r="C16" s="327">
        <f t="shared" si="4"/>
        <v>0.0</v>
      </c>
      <c r="D16" s="228">
        <f>IF(D$4="",0,((1+'2. Kalkyldata'!$M$9*'2. Kalkyldata'!$J27)^(D$4-$D$4)))*IF((D$4&gt;='2. Kalkyldata'!$M27),IF(D$4="",0,IF(AND(D$4&gt;='2. Kalkyldata'!$M27,'4. NPV'!D$4&lt;='2. Kalkyldata'!$N27),'2. Kalkyldata'!$L27,'2. Kalkyldata'!$O27*'2. Kalkyldata'!$H27)),0)</f>
        <v>0.0</v>
      </c>
      <c r="E16" s="228">
        <f>IF(E$4="",0,((1+'2. Kalkyldata'!$M$9*'2. Kalkyldata'!$J27)^(E$4-MAX('2. Kalkyldata'!$M27,$D$4))))*IF((E$4&gt;='2. Kalkyldata'!$M27),IF(E$4="",0,IF(AND(E$4&gt;='2. Kalkyldata'!$M27,'4. NPV'!E$4&lt;='2. Kalkyldata'!$N27),'2. Kalkyldata'!$L27,'2. Kalkyldata'!$O27*'2. Kalkyldata'!$H27)),0)</f>
        <v>0.0</v>
      </c>
      <c r="F16" s="228">
        <f>IF(F$4="",0,((1+'2. Kalkyldata'!$M$9*'2. Kalkyldata'!$J27)^(F$4-MAX('2. Kalkyldata'!$M27,$D$4))))*IF((F$4&gt;='2. Kalkyldata'!$M27),IF(F$4="",0,IF(AND(F$4&gt;='2. Kalkyldata'!$M27,'4. NPV'!F$4&lt;='2. Kalkyldata'!$N27),'2. Kalkyldata'!$L27,'2. Kalkyldata'!$O27*'2. Kalkyldata'!$H27)),0)</f>
        <v>0.0</v>
      </c>
      <c r="G16" s="228">
        <f>IF(G$4="",0,((1+'2. Kalkyldata'!$M$9*'2. Kalkyldata'!$J27)^(G$4-MAX('2. Kalkyldata'!$M27,$D$4))))*IF((G$4&gt;='2. Kalkyldata'!$M27),IF(G$4="",0,IF(AND(G$4&gt;='2. Kalkyldata'!$M27,'4. NPV'!G$4&lt;='2. Kalkyldata'!$N27),'2. Kalkyldata'!$L27,'2. Kalkyldata'!$O27*'2. Kalkyldata'!$H27)),0)</f>
        <v>0.0</v>
      </c>
      <c r="H16" s="228">
        <f>IF(H$4="",0,((1+'2. Kalkyldata'!$M$9*'2. Kalkyldata'!$J27)^(H$4-MAX('2. Kalkyldata'!$M27,$D$4))))*IF((H$4&gt;='2. Kalkyldata'!$M27),IF(H$4="",0,IF(AND(H$4&gt;='2. Kalkyldata'!$M27,'4. NPV'!H$4&lt;='2. Kalkyldata'!$N27),'2. Kalkyldata'!$L27,'2. Kalkyldata'!$O27*'2. Kalkyldata'!$H27)),0)</f>
        <v>0.0</v>
      </c>
      <c r="I16" s="228">
        <f>IF(I$4="",0,((1+'2. Kalkyldata'!$M$9*'2. Kalkyldata'!$J27)^(I$4-MAX('2. Kalkyldata'!$M27,$D$4))))*IF((I$4&gt;='2. Kalkyldata'!$M27),IF(I$4="",0,IF(AND(I$4&gt;='2. Kalkyldata'!$M27,'4. NPV'!I$4&lt;='2. Kalkyldata'!$N27),'2. Kalkyldata'!$L27,'2. Kalkyldata'!$O27*'2. Kalkyldata'!$H27)),0)</f>
        <v>0.0</v>
      </c>
      <c r="J16" s="228">
        <f>IF(J$4="",0,((1+'2. Kalkyldata'!$M$9*'2. Kalkyldata'!$J27)^(J$4-MAX('2. Kalkyldata'!$M27,$D$4))))*IF((J$4&gt;='2. Kalkyldata'!$M27),IF(J$4="",0,IF(AND(J$4&gt;='2. Kalkyldata'!$M27,'4. NPV'!J$4&lt;='2. Kalkyldata'!$N27),'2. Kalkyldata'!$L27,'2. Kalkyldata'!$O27*'2. Kalkyldata'!$H27)),0)</f>
        <v>0.0</v>
      </c>
      <c r="K16" s="228">
        <f>IF(K$4="",0,((1+'2. Kalkyldata'!$M$9*'2. Kalkyldata'!$J27)^(K$4-MAX('2. Kalkyldata'!$M27,$D$4))))*IF((K$4&gt;='2. Kalkyldata'!$M27),IF(K$4="",0,IF(AND(K$4&gt;='2. Kalkyldata'!$M27,'4. NPV'!K$4&lt;='2. Kalkyldata'!$N27),'2. Kalkyldata'!$L27,'2. Kalkyldata'!$O27*'2. Kalkyldata'!$H27)),0)</f>
        <v>0.0</v>
      </c>
      <c r="L16" s="228">
        <f>IF(L$4="",0,((1+'2. Kalkyldata'!$M$9*'2. Kalkyldata'!$J27)^(L$4-MAX('2. Kalkyldata'!$M27,$D$4))))*IF((L$4&gt;='2. Kalkyldata'!$M27),IF(L$4="",0,IF(AND(L$4&gt;='2. Kalkyldata'!$M27,'4. NPV'!L$4&lt;='2. Kalkyldata'!$N27),'2. Kalkyldata'!$L27,'2. Kalkyldata'!$O27*'2. Kalkyldata'!$H27)),0)</f>
        <v>0.0</v>
      </c>
      <c r="M16" s="228">
        <f>IF(M$4="",0,((1+'2. Kalkyldata'!$M$9*'2. Kalkyldata'!$J27)^(M$4-MAX('2. Kalkyldata'!$M27,$D$4))))*IF((M$4&gt;='2. Kalkyldata'!$M27),IF(M$4="",0,IF(AND(M$4&gt;='2. Kalkyldata'!$M27,'4. NPV'!M$4&lt;='2. Kalkyldata'!$N27),'2. Kalkyldata'!$L27,'2. Kalkyldata'!$O27*'2. Kalkyldata'!$H27)),0)</f>
        <v>0.0</v>
      </c>
      <c r="N16" s="228">
        <f>IF(N$4="",0,((1+'2. Kalkyldata'!$M$9*'2. Kalkyldata'!$J27)^(N$4-MAX('2. Kalkyldata'!$M27,$D$4))))*IF((N$4&gt;='2. Kalkyldata'!$M27),IF(N$4="",0,IF(AND(N$4&gt;='2. Kalkyldata'!$M27,'4. NPV'!N$4&lt;='2. Kalkyldata'!$N27),'2. Kalkyldata'!$L27,'2. Kalkyldata'!$O27*'2. Kalkyldata'!$H27)),0)</f>
        <v>0.0</v>
      </c>
      <c r="O16" s="228">
        <f>IF(O$4="",0,((1+'2. Kalkyldata'!$M$9*'2. Kalkyldata'!$J27)^(O$4-MAX('2. Kalkyldata'!$M27,$D$4))))*IF((O$4&gt;='2. Kalkyldata'!$M27),IF(O$4="",0,IF(AND(O$4&gt;='2. Kalkyldata'!$M27,'4. NPV'!O$4&lt;='2. Kalkyldata'!$N27),'2. Kalkyldata'!$L27,'2. Kalkyldata'!$O27*'2. Kalkyldata'!$H27)),0)</f>
        <v>0.0</v>
      </c>
      <c r="P16" s="228">
        <f>IF(P$4="",0,((1+'2. Kalkyldata'!$M$9*'2. Kalkyldata'!$J27)^(P$4-MAX('2. Kalkyldata'!$M27,$D$4))))*IF((P$4&gt;='2. Kalkyldata'!$M27),IF(P$4="",0,IF(AND(P$4&gt;='2. Kalkyldata'!$M27,'4. NPV'!P$4&lt;='2. Kalkyldata'!$N27),'2. Kalkyldata'!$L27,'2. Kalkyldata'!$O27*'2. Kalkyldata'!$H27)),0)</f>
        <v>0.0</v>
      </c>
      <c r="Q16" s="228">
        <f>IF(Q$4="",0,((1+'2. Kalkyldata'!$M$9*'2. Kalkyldata'!$J27)^(Q$4-MAX('2. Kalkyldata'!$M27,$D$4))))*IF((Q$4&gt;='2. Kalkyldata'!$M27),IF(Q$4="",0,IF(AND(Q$4&gt;='2. Kalkyldata'!$M27,'4. NPV'!Q$4&lt;='2. Kalkyldata'!$N27),'2. Kalkyldata'!$L27,'2. Kalkyldata'!$O27*'2. Kalkyldata'!$H27)),0)</f>
        <v>0.0</v>
      </c>
      <c r="R16" s="228">
        <f>IF(R$4="",0,((1+'2. Kalkyldata'!$M$9*'2. Kalkyldata'!$J27)^(R$4-MAX('2. Kalkyldata'!$M27,$D$4))))*IF((R$4&gt;='2. Kalkyldata'!$M27),IF(R$4="",0,IF(AND(R$4&gt;='2. Kalkyldata'!$M27,'4. NPV'!R$4&lt;='2. Kalkyldata'!$N27),'2. Kalkyldata'!$L27,'2. Kalkyldata'!$O27*'2. Kalkyldata'!$H27)),0)</f>
        <v>0.0</v>
      </c>
      <c r="S16" s="228">
        <f>IF(S$4="",0,((1+'2. Kalkyldata'!$M$9*'2. Kalkyldata'!$J27)^(S$4-MAX('2. Kalkyldata'!$M27,$D$4))))*IF((S$4&gt;='2. Kalkyldata'!$M27),IF(S$4="",0,IF(AND(S$4&gt;='2. Kalkyldata'!$M27,'4. NPV'!S$4&lt;='2. Kalkyldata'!$N27),'2. Kalkyldata'!$L27,'2. Kalkyldata'!$O27*'2. Kalkyldata'!$H27)),0)</f>
        <v>0.0</v>
      </c>
      <c r="T16" s="228">
        <f>IF(T$4="",0,((1+'2. Kalkyldata'!$M$9*'2. Kalkyldata'!$J27)^(T$4-MAX('2. Kalkyldata'!$M27,$D$4))))*IF((T$4&gt;='2. Kalkyldata'!$M27),IF(T$4="",0,IF(AND(T$4&gt;='2. Kalkyldata'!$M27,'4. NPV'!T$4&lt;='2. Kalkyldata'!$N27),'2. Kalkyldata'!$L27,'2. Kalkyldata'!$O27*'2. Kalkyldata'!$H27)),0)</f>
        <v>0.0</v>
      </c>
      <c r="U16" s="228">
        <f>IF(U$4="",0,((1+'2. Kalkyldata'!$M$9*'2. Kalkyldata'!$J27)^(U$4-MAX('2. Kalkyldata'!$M27,$D$4))))*IF((U$4&gt;='2. Kalkyldata'!$M27),IF(U$4="",0,IF(AND(U$4&gt;='2. Kalkyldata'!$M27,'4. NPV'!U$4&lt;='2. Kalkyldata'!$N27),'2. Kalkyldata'!$L27,'2. Kalkyldata'!$O27*'2. Kalkyldata'!$H27)),0)</f>
        <v>0.0</v>
      </c>
      <c r="V16" s="228">
        <f>IF(V$4="",0,((1+'2. Kalkyldata'!$M$9*'2. Kalkyldata'!$J27)^(V$4-MAX('2. Kalkyldata'!$M27,$D$4))))*IF((V$4&gt;='2. Kalkyldata'!$M27),IF(V$4="",0,IF(AND(V$4&gt;='2. Kalkyldata'!$M27,'4. NPV'!V$4&lt;='2. Kalkyldata'!$N27),'2. Kalkyldata'!$L27,'2. Kalkyldata'!$O27*'2. Kalkyldata'!$H27)),0)</f>
        <v>0.0</v>
      </c>
      <c r="W16" s="228">
        <f>IF(W$4="",0,((1+'2. Kalkyldata'!$M$9*'2. Kalkyldata'!$J27)^(W$4-MAX('2. Kalkyldata'!$M27,$D$4))))*IF((W$4&gt;='2. Kalkyldata'!$M27),IF(W$4="",0,IF(AND(W$4&gt;='2. Kalkyldata'!$M27,'4. NPV'!W$4&lt;='2. Kalkyldata'!$N27),'2. Kalkyldata'!$L27,'2. Kalkyldata'!$O27*'2. Kalkyldata'!$H27)),0)</f>
        <v>0.0</v>
      </c>
      <c r="X16" s="228">
        <f>IF(X$4="",0,((1+'2. Kalkyldata'!$M$9*'2. Kalkyldata'!$J27)^(X$4-MAX('2. Kalkyldata'!$M27,$D$4))))*IF((X$4&gt;='2. Kalkyldata'!$M27),IF(X$4="",0,IF(AND(X$4&gt;='2. Kalkyldata'!$M27,'4. NPV'!X$4&lt;='2. Kalkyldata'!$N27),'2. Kalkyldata'!$L27,'2. Kalkyldata'!$O27*'2. Kalkyldata'!$H27)),0)</f>
        <v>0.0</v>
      </c>
      <c r="Y16" s="228">
        <f>IF(Y$4="",0,((1+'2. Kalkyldata'!$M$9*'2. Kalkyldata'!$J27)^(Y$4-MAX('2. Kalkyldata'!$M27,$D$4))))*IF((Y$4&gt;='2. Kalkyldata'!$M27),IF(Y$4="",0,IF(AND(Y$4&gt;='2. Kalkyldata'!$M27,'4. NPV'!Y$4&lt;='2. Kalkyldata'!$N27),'2. Kalkyldata'!$L27,'2. Kalkyldata'!$O27*'2. Kalkyldata'!$H27)),0)</f>
        <v>0.0</v>
      </c>
      <c r="Z16" s="228">
        <f>IF(Z$4="",0,((1+'2. Kalkyldata'!$M$9*'2. Kalkyldata'!$J27)^(Z$4-MAX('2. Kalkyldata'!$M27,$D$4))))*IF((Z$4&gt;='2. Kalkyldata'!$M27),IF(Z$4="",0,IF(AND(Z$4&gt;='2. Kalkyldata'!$M27,'4. NPV'!Z$4&lt;='2. Kalkyldata'!$N27),'2. Kalkyldata'!$L27,'2. Kalkyldata'!$O27*'2. Kalkyldata'!$H27)),0)</f>
        <v>0.0</v>
      </c>
      <c r="AA16" s="228">
        <f>IF(AA$4="",0,((1+'2. Kalkyldata'!$M$9*'2. Kalkyldata'!$J27)^(AA$4-MAX('2. Kalkyldata'!$M27,$D$4))))*IF((AA$4&gt;='2. Kalkyldata'!$M27),IF(AA$4="",0,IF(AND(AA$4&gt;='2. Kalkyldata'!$M27,'4. NPV'!AA$4&lt;='2. Kalkyldata'!$N27),'2. Kalkyldata'!$L27,'2. Kalkyldata'!$O27*'2. Kalkyldata'!$H27)),0)</f>
        <v>0.0</v>
      </c>
      <c r="AB16" s="228">
        <f>IF(AB$4="",0,((1+'2. Kalkyldata'!$M$9*'2. Kalkyldata'!$J27)^(AB$4-MAX('2. Kalkyldata'!$M27,$D$4))))*IF((AB$4&gt;='2. Kalkyldata'!$M27),IF(AB$4="",0,IF(AND(AB$4&gt;='2. Kalkyldata'!$M27,'4. NPV'!AB$4&lt;='2. Kalkyldata'!$N27),'2. Kalkyldata'!$L27,'2. Kalkyldata'!$O27*'2. Kalkyldata'!$H27)),0)</f>
        <v>0.0</v>
      </c>
      <c r="AC16" s="228">
        <f>IF(AC$4="",0,((1+'2. Kalkyldata'!$M$9*'2. Kalkyldata'!$J27)^(AC$4-MAX('2. Kalkyldata'!$M27,$D$4))))*IF((AC$4&gt;='2. Kalkyldata'!$M27),IF(AC$4="",0,IF(AND(AC$4&gt;='2. Kalkyldata'!$M27,'4. NPV'!AC$4&lt;='2. Kalkyldata'!$N27),'2. Kalkyldata'!$L27,'2. Kalkyldata'!$O27*'2. Kalkyldata'!$H27)),0)</f>
        <v>0.0</v>
      </c>
      <c r="AD16" s="228">
        <f>IF(AD$4="",0,((1+'2. Kalkyldata'!$M$9*'2. Kalkyldata'!$J27)^(AD$4-MAX('2. Kalkyldata'!$M27,$D$4))))*IF((AD$4&gt;='2. Kalkyldata'!$M27),IF(AD$4="",0,IF(AND(AD$4&gt;='2. Kalkyldata'!$M27,'4. NPV'!AD$4&lt;='2. Kalkyldata'!$N27),'2. Kalkyldata'!$L27,'2. Kalkyldata'!$O27*'2. Kalkyldata'!$H27)),0)</f>
        <v>0.0</v>
      </c>
      <c r="AE16" s="228">
        <f>IF(AE$4="",0,((1+'2. Kalkyldata'!$M$9*'2. Kalkyldata'!$J27)^(AE$4-MAX('2. Kalkyldata'!$M27,$D$4))))*IF((AE$4&gt;='2. Kalkyldata'!$M27),IF(AE$4="",0,IF(AND(AE$4&gt;='2. Kalkyldata'!$M27,'4. NPV'!AE$4&lt;='2. Kalkyldata'!$N27),'2. Kalkyldata'!$L27,'2. Kalkyldata'!$O27*'2. Kalkyldata'!$H27)),0)</f>
        <v>0.0</v>
      </c>
      <c r="AF16" s="228">
        <f>IF(AF$4="",0,((1+'2. Kalkyldata'!$M$9*'2. Kalkyldata'!$J27)^(AF$4-MAX('2. Kalkyldata'!$M27,$D$4))))*IF((AF$4&gt;='2. Kalkyldata'!$M27),IF(AF$4="",0,IF(AND(AF$4&gt;='2. Kalkyldata'!$M27,'4. NPV'!AF$4&lt;='2. Kalkyldata'!$N27),'2. Kalkyldata'!$L27,'2. Kalkyldata'!$O27*'2. Kalkyldata'!$H27)),0)</f>
        <v>0.0</v>
      </c>
      <c r="AG16" s="228">
        <f>IF(AG$4="",0,((1+'2. Kalkyldata'!$M$9*'2. Kalkyldata'!$J27)^(AG$4-MAX('2. Kalkyldata'!$M27,$D$4))))*IF((AG$4&gt;='2. Kalkyldata'!$M27),IF(AG$4="",0,IF(AND(AG$4&gt;='2. Kalkyldata'!$M27,'4. NPV'!AG$4&lt;='2. Kalkyldata'!$N27),'2. Kalkyldata'!$L27,'2. Kalkyldata'!$O27*'2. Kalkyldata'!$H27)),0)</f>
        <v>0.0</v>
      </c>
      <c r="AH16" s="228">
        <f>IF(AH$4="",0,((1+'2. Kalkyldata'!$M$9*'2. Kalkyldata'!$J27)^(AH$4-MAX('2. Kalkyldata'!$M27,$D$4))))*IF((AH$4&gt;='2. Kalkyldata'!$M27),IF(AH$4="",0,IF(AND(AH$4&gt;='2. Kalkyldata'!$M27,'4. NPV'!AH$4&lt;='2. Kalkyldata'!$N27),'2. Kalkyldata'!$L27,'2. Kalkyldata'!$O27*'2. Kalkyldata'!$H27)),0)</f>
        <v>0.0</v>
      </c>
      <c r="AI16" s="228">
        <f>IF(AI$4="",0,((1+'2. Kalkyldata'!$M$9*'2. Kalkyldata'!$J27)^(AI$4-MAX('2. Kalkyldata'!$M27,$D$4))))*IF((AI$4&gt;='2. Kalkyldata'!$M27),IF(AI$4="",0,IF(AND(AI$4&gt;='2. Kalkyldata'!$M27,'4. NPV'!AI$4&lt;='2. Kalkyldata'!$N27),'2. Kalkyldata'!$L27,'2. Kalkyldata'!$O27*'2. Kalkyldata'!$H27)),0)</f>
        <v>0.0</v>
      </c>
      <c r="AJ16" s="228">
        <f>IF(AJ$4="",0,((1+'2. Kalkyldata'!$M$9*'2. Kalkyldata'!$J27)^(AJ$4-MAX('2. Kalkyldata'!$M27,$D$4))))*IF((AJ$4&gt;='2. Kalkyldata'!$M27),IF(AJ$4="",0,IF(AND(AJ$4&gt;='2. Kalkyldata'!$M27,'4. NPV'!AJ$4&lt;='2. Kalkyldata'!$N27),'2. Kalkyldata'!$L27,'2. Kalkyldata'!$O27*'2. Kalkyldata'!$H27)),0)</f>
        <v>0.0</v>
      </c>
      <c r="AK16" s="228">
        <f>IF(AK$4="",0,((1+'2. Kalkyldata'!$M$9*'2. Kalkyldata'!$J27)^(AK$4-MAX('2. Kalkyldata'!$M27,$D$4))))*IF((AK$4&gt;='2. Kalkyldata'!$M27),IF(AK$4="",0,IF(AND(AK$4&gt;='2. Kalkyldata'!$M27,'4. NPV'!AK$4&lt;='2. Kalkyldata'!$N27),'2. Kalkyldata'!$L27,'2. Kalkyldata'!$O27*'2. Kalkyldata'!$H27)),0)</f>
        <v>0.0</v>
      </c>
      <c r="AL16" s="228">
        <f>IF(AL$4="",0,((1+'2. Kalkyldata'!$M$9*'2. Kalkyldata'!$J27)^(AL$4-MAX('2. Kalkyldata'!$M27,$D$4))))*IF((AL$4&gt;='2. Kalkyldata'!$M27),IF(AL$4="",0,IF(AND(AL$4&gt;='2. Kalkyldata'!$M27,'4. NPV'!AL$4&lt;='2. Kalkyldata'!$N27),'2. Kalkyldata'!$L27,'2. Kalkyldata'!$O27*'2. Kalkyldata'!$H27)),0)</f>
        <v>0.0</v>
      </c>
      <c r="AM16" s="228">
        <f>IF(AM$4="",0,((1+'2. Kalkyldata'!$M$9*'2. Kalkyldata'!$J27)^(AM$4-MAX('2. Kalkyldata'!$M27,$D$4))))*IF((AM$4&gt;='2. Kalkyldata'!$M27),IF(AM$4="",0,IF(AND(AM$4&gt;='2. Kalkyldata'!$M27,'4. NPV'!AM$4&lt;='2. Kalkyldata'!$N27),'2. Kalkyldata'!$L27,'2. Kalkyldata'!$O27*'2. Kalkyldata'!$H27)),0)</f>
        <v>0.0</v>
      </c>
      <c r="AN16" s="228">
        <f>IF(AN$4="",0,((1+'2. Kalkyldata'!$M$9*'2. Kalkyldata'!$J27)^(AN$4-MAX('2. Kalkyldata'!$M27,$D$4))))*IF((AN$4&gt;='2. Kalkyldata'!$M27),IF(AN$4="",0,IF(AND(AN$4&gt;='2. Kalkyldata'!$M27,'4. NPV'!AN$4&lt;='2. Kalkyldata'!$N27),'2. Kalkyldata'!$L27,'2. Kalkyldata'!$O27*'2. Kalkyldata'!$H27)),0)</f>
        <v>0.0</v>
      </c>
      <c r="AO16" s="228">
        <f>IF(AO$4="",0,((1+'2. Kalkyldata'!$M$9*'2. Kalkyldata'!$J27)^(AO$4-MAX('2. Kalkyldata'!$M27,$D$4))))*IF((AO$4&gt;='2. Kalkyldata'!$M27),IF(AO$4="",0,IF(AND(AO$4&gt;='2. Kalkyldata'!$M27,'4. NPV'!AO$4&lt;='2. Kalkyldata'!$N27),'2. Kalkyldata'!$L27,'2. Kalkyldata'!$O27*'2. Kalkyldata'!$H27)),0)</f>
        <v>0.0</v>
      </c>
      <c r="AP16" s="228">
        <f>IF(AP$4="",0,((1+'2. Kalkyldata'!$M$9*'2. Kalkyldata'!$J27)^(AP$4-MAX('2. Kalkyldata'!$M27,$D$4))))*IF((AP$4&gt;='2. Kalkyldata'!$M27),IF(AP$4="",0,IF(AND(AP$4&gt;='2. Kalkyldata'!$M27,'4. NPV'!AP$4&lt;='2. Kalkyldata'!$N27),'2. Kalkyldata'!$L27,'2. Kalkyldata'!$O27*'2. Kalkyldata'!$H27)),0)</f>
        <v>0.0</v>
      </c>
      <c r="AQ16" s="228">
        <f>IF(AQ$4="",0,((1+'2. Kalkyldata'!$M$9*'2. Kalkyldata'!$J27)^(AQ$4-MAX('2. Kalkyldata'!$M27,$D$4))))*IF((AQ$4&gt;='2. Kalkyldata'!$M27),IF(AQ$4="",0,IF(AND(AQ$4&gt;='2. Kalkyldata'!$M27,'4. NPV'!AQ$4&lt;='2. Kalkyldata'!$N27),'2. Kalkyldata'!$L27,'2. Kalkyldata'!$O27*'2. Kalkyldata'!$H27)),0)</f>
        <v>0.0</v>
      </c>
      <c r="AR16" s="228">
        <f>IF(AR$4="",0,((1+'2. Kalkyldata'!$M$9*'2. Kalkyldata'!$J27)^(AR$4-MAX('2. Kalkyldata'!$M27,$D$4))))*IF((AR$4&gt;='2. Kalkyldata'!$M27),IF(AR$4="",0,IF(AND(AR$4&gt;='2. Kalkyldata'!$M27,'4. NPV'!AR$4&lt;='2. Kalkyldata'!$N27),'2. Kalkyldata'!$L27,'2. Kalkyldata'!$O27*'2. Kalkyldata'!$H27)),0)</f>
        <v>0.0</v>
      </c>
      <c r="AS16" s="228">
        <f>IF(AS$4="",0,((1+'2. Kalkyldata'!$M$9*'2. Kalkyldata'!$J27)^(AS$4-MAX('2. Kalkyldata'!$M27,$D$4))))*IF((AS$4&gt;='2. Kalkyldata'!$M27),IF(AS$4="",0,IF(AND(AS$4&gt;='2. Kalkyldata'!$M27,'4. NPV'!AS$4&lt;='2. Kalkyldata'!$N27),'2. Kalkyldata'!$L27,'2. Kalkyldata'!$O27*'2. Kalkyldata'!$H27)),0)</f>
        <v>0.0</v>
      </c>
      <c r="AT16" s="228">
        <f>IF(AT$4="",0,((1+'2. Kalkyldata'!$M$9*'2. Kalkyldata'!$J27)^(AT$4-MAX('2. Kalkyldata'!$M27,$D$4))))*IF((AT$4&gt;='2. Kalkyldata'!$M27),IF(AT$4="",0,IF(AND(AT$4&gt;='2. Kalkyldata'!$M27,'4. NPV'!AT$4&lt;='2. Kalkyldata'!$N27),'2. Kalkyldata'!$L27,'2. Kalkyldata'!$O27*'2. Kalkyldata'!$H27)),0)</f>
        <v>0.0</v>
      </c>
      <c r="AU16" s="228">
        <f>IF(AU$4="",0,((1+'2. Kalkyldata'!$M$9*'2. Kalkyldata'!$J27)^(AU$4-MAX('2. Kalkyldata'!$M27,$D$4))))*IF((AU$4&gt;='2. Kalkyldata'!$M27),IF(AU$4="",0,IF(AND(AU$4&gt;='2. Kalkyldata'!$M27,'4. NPV'!AU$4&lt;='2. Kalkyldata'!$N27),'2. Kalkyldata'!$L27,'2. Kalkyldata'!$O27*'2. Kalkyldata'!$H27)),0)</f>
        <v>0.0</v>
      </c>
      <c r="AV16" s="228">
        <f>IF(AV$4="",0,((1+'2. Kalkyldata'!$M$9*'2. Kalkyldata'!$J27)^(AV$4-MAX('2. Kalkyldata'!$M27,$D$4))))*IF((AV$4&gt;='2. Kalkyldata'!$M27),IF(AV$4="",0,IF(AND(AV$4&gt;='2. Kalkyldata'!$M27,'4. NPV'!AV$4&lt;='2. Kalkyldata'!$N27),'2. Kalkyldata'!$L27,'2. Kalkyldata'!$O27*'2. Kalkyldata'!$H27)),0)</f>
        <v>0.0</v>
      </c>
      <c r="AW16" s="228">
        <f>IF(AW$4="",0,((1+'2. Kalkyldata'!$M$9*'2. Kalkyldata'!$J27)^(AW$4-MAX('2. Kalkyldata'!$M27,$D$4))))*IF((AW$4&gt;='2. Kalkyldata'!$M27),IF(AW$4="",0,IF(AND(AW$4&gt;='2. Kalkyldata'!$M27,'4. NPV'!AW$4&lt;='2. Kalkyldata'!$N27),'2. Kalkyldata'!$L27,'2. Kalkyldata'!$O27*'2. Kalkyldata'!$H27)),0)</f>
        <v>0.0</v>
      </c>
      <c r="AX16" s="228">
        <f>IF(AX$4="",0,((1+'2. Kalkyldata'!$M$9*'2. Kalkyldata'!$J27)^(AX$4-MAX('2. Kalkyldata'!$M27,$D$4))))*IF((AX$4&gt;='2. Kalkyldata'!$M27),IF(AX$4="",0,IF(AND(AX$4&gt;='2. Kalkyldata'!$M27,'4. NPV'!AX$4&lt;='2. Kalkyldata'!$N27),'2. Kalkyldata'!$L27,'2. Kalkyldata'!$O27*'2. Kalkyldata'!$H27)),0)</f>
        <v>0.0</v>
      </c>
      <c r="AY16" s="228">
        <f>IF(AY$4="",0,((1+'2. Kalkyldata'!$M$9*'2. Kalkyldata'!$J27)^(AY$4-MAX('2. Kalkyldata'!$M27,$D$4))))*IF((AY$4&gt;='2. Kalkyldata'!$M27),IF(AY$4="",0,IF(AND(AY$4&gt;='2. Kalkyldata'!$M27,'4. NPV'!AY$4&lt;='2. Kalkyldata'!$N27),'2. Kalkyldata'!$L27,'2. Kalkyldata'!$O27*'2. Kalkyldata'!$H27)),0)</f>
        <v>0.0</v>
      </c>
      <c r="AZ16" s="228">
        <f>IF(AZ$4="",0,((1+'2. Kalkyldata'!$M$9*'2. Kalkyldata'!$J27)^(AZ$4-MAX('2. Kalkyldata'!$M27,$D$4))))*IF((AZ$4&gt;='2. Kalkyldata'!$M27),IF(AZ$4="",0,IF(AND(AZ$4&gt;='2. Kalkyldata'!$M27,'4. NPV'!AZ$4&lt;='2. Kalkyldata'!$N27),'2. Kalkyldata'!$L27,'2. Kalkyldata'!$O27*'2. Kalkyldata'!$H27)),0)</f>
        <v>0.0</v>
      </c>
      <c r="BA16" s="228">
        <f>IF(BA$4="",0,((1+'2. Kalkyldata'!$M$9*'2. Kalkyldata'!$J27)^(BA$4-MAX('2. Kalkyldata'!$M27,$D$4))))*IF((BA$4&gt;='2. Kalkyldata'!$M27),IF(BA$4="",0,IF(AND(BA$4&gt;='2. Kalkyldata'!$M27,'4. NPV'!BA$4&lt;='2. Kalkyldata'!$N27),'2. Kalkyldata'!$L27,'2. Kalkyldata'!$O27*'2. Kalkyldata'!$H27)),0)</f>
        <v>0.0</v>
      </c>
    </row>
    <row r="17" spans="2:54" s="19" customFormat="1" ht="15">
      <c r="B17" s="412" t="s">
        <v>228</v>
      </c>
      <c r="C17" s="413">
        <f>IFERROR(D17/C8,"")</f>
        <v>2650.0</v>
      </c>
      <c r="D17" s="414">
        <f>SUM(D12:D16)</f>
        <v>16165000.0</v>
      </c>
      <c r="E17" s="414">
        <f t="shared" ref="E17:BA17" si="5">SUM(E12:E16)</f>
        <v>16391310.0</v>
      </c>
      <c r="F17" s="414">
        <f t="shared" si="5"/>
        <v>16620788.340000002</v>
      </c>
      <c r="G17" s="414">
        <f t="shared" si="5"/>
        <v>16853479.37676</v>
      </c>
      <c r="H17" s="414">
        <f t="shared" si="5"/>
        <v>17089428.08803464</v>
      </c>
      <c r="I17" s="414">
        <f t="shared" si="5"/>
        <v>17328680.081267126</v>
      </c>
      <c r="J17" s="414">
        <f t="shared" si="5"/>
        <v>17571281.602404863</v>
      </c>
      <c r="K17" s="414">
        <f t="shared" si="5"/>
        <v>17817279.544838537</v>
      </c>
      <c r="L17" s="414">
        <f t="shared" si="5"/>
        <v>18066721.458466277</v>
      </c>
      <c r="M17" s="414">
        <f t="shared" si="5"/>
        <v>18319655.558884803</v>
      </c>
      <c r="N17" s="414">
        <f t="shared" si="5"/>
        <v>18576130.73670919</v>
      </c>
      <c r="O17" s="414">
        <f t="shared" si="5"/>
        <v>18836196.567023117</v>
      </c>
      <c r="P17" s="414">
        <f t="shared" si="5"/>
        <v>19099903.31896144</v>
      </c>
      <c r="Q17" s="414">
        <f t="shared" si="5"/>
        <v>19367301.965426903</v>
      </c>
      <c r="R17" s="414">
        <f t="shared" si="5"/>
        <v>19638444.19294288</v>
      </c>
      <c r="S17" s="414">
        <f t="shared" si="5"/>
        <v>19913382.411644083</v>
      </c>
      <c r="T17" s="414">
        <f t="shared" si="5"/>
        <v>20192169.765407097</v>
      </c>
      <c r="U17" s="414">
        <f t="shared" si="5"/>
        <v>20474860.142122798</v>
      </c>
      <c r="V17" s="414">
        <f t="shared" si="5"/>
        <v>20761508.184112515</v>
      </c>
      <c r="W17" s="414">
        <f t="shared" si="5"/>
        <v>21052169.29869009</v>
      </c>
      <c r="X17" s="414">
        <f t="shared" si="5"/>
        <v>21346899.668871753</v>
      </c>
      <c r="Y17" s="414">
        <f t="shared" si="5"/>
        <v>0.0</v>
      </c>
      <c r="Z17" s="414">
        <f t="shared" si="5"/>
        <v>0.0</v>
      </c>
      <c r="AA17" s="414">
        <f t="shared" si="5"/>
        <v>0.0</v>
      </c>
      <c r="AB17" s="414">
        <f t="shared" si="5"/>
        <v>0.0</v>
      </c>
      <c r="AC17" s="414">
        <f t="shared" si="5"/>
        <v>0.0</v>
      </c>
      <c r="AD17" s="414">
        <f t="shared" si="5"/>
        <v>0.0</v>
      </c>
      <c r="AE17" s="414">
        <f t="shared" si="5"/>
        <v>0.0</v>
      </c>
      <c r="AF17" s="414">
        <f t="shared" si="5"/>
        <v>0.0</v>
      </c>
      <c r="AG17" s="414">
        <f t="shared" si="5"/>
        <v>0.0</v>
      </c>
      <c r="AH17" s="414">
        <f t="shared" si="5"/>
        <v>0.0</v>
      </c>
      <c r="AI17" s="414">
        <f t="shared" si="5"/>
        <v>0.0</v>
      </c>
      <c r="AJ17" s="414">
        <f t="shared" si="5"/>
        <v>0.0</v>
      </c>
      <c r="AK17" s="414">
        <f t="shared" si="5"/>
        <v>0.0</v>
      </c>
      <c r="AL17" s="414">
        <f t="shared" si="5"/>
        <v>0.0</v>
      </c>
      <c r="AM17" s="414">
        <f t="shared" si="5"/>
        <v>0.0</v>
      </c>
      <c r="AN17" s="414">
        <f t="shared" si="5"/>
        <v>0.0</v>
      </c>
      <c r="AO17" s="414">
        <f t="shared" si="5"/>
        <v>0.0</v>
      </c>
      <c r="AP17" s="414">
        <f t="shared" si="5"/>
        <v>0.0</v>
      </c>
      <c r="AQ17" s="414">
        <f t="shared" si="5"/>
        <v>0.0</v>
      </c>
      <c r="AR17" s="414">
        <f t="shared" si="5"/>
        <v>0.0</v>
      </c>
      <c r="AS17" s="414">
        <f t="shared" si="5"/>
        <v>0.0</v>
      </c>
      <c r="AT17" s="414">
        <f t="shared" si="5"/>
        <v>0.0</v>
      </c>
      <c r="AU17" s="414">
        <f t="shared" si="5"/>
        <v>0.0</v>
      </c>
      <c r="AV17" s="414">
        <f t="shared" si="5"/>
        <v>0.0</v>
      </c>
      <c r="AW17" s="414">
        <f t="shared" si="5"/>
        <v>0.0</v>
      </c>
      <c r="AX17" s="414">
        <f t="shared" si="5"/>
        <v>0.0</v>
      </c>
      <c r="AY17" s="414">
        <f t="shared" si="5"/>
        <v>0.0</v>
      </c>
      <c r="AZ17" s="414">
        <f t="shared" si="5"/>
        <v>0.0</v>
      </c>
      <c r="BA17" s="414">
        <f t="shared" si="5"/>
        <v>0.0</v>
      </c>
      <c r="BB17" s="494"/>
    </row>
    <row r="18" spans="2:54">
      <c r="B18" s="415" t="inlineStr">
        <is>
          <t>Vakans (efter avtal)</t>
        </is>
      </c>
      <c r="C18" s="416">
        <f>IFERROR(D18/$C$8,"")</f>
        <v>-0.0</v>
      </c>
      <c r="D18" s="417">
        <f>IFERROR(-(((IF(AND(D$4&gt;='2. Kalkyldata'!$M23,D$4&lt;='2. Kalkyldata'!$N23),0,D$12*'2. Kalkyldata'!$P23)))+((IF(AND(D$4&gt;='2. Kalkyldata'!$M24,D$4&lt;='2. Kalkyldata'!$N24),0,D$13*'2. Kalkyldata'!$P24)))+((IF(AND(D$4&gt;='2. Kalkyldata'!$M25,D$4&lt;='2. Kalkyldata'!$N25),0,D$14*'2. Kalkyldata'!$P25)))+((IF(AND(D$4&gt;='2. Kalkyldata'!$M26,D$4&lt;='2. Kalkyldata'!$N26),0,D$15*'2. Kalkyldata'!$P26)))+((IF(AND(D$4&gt;='2. Kalkyldata'!$M27,D$4&lt;='2. Kalkyldata'!$N27),0,D$16*'2. Kalkyldata'!$P27)))),0)</f>
        <v>-0.0</v>
      </c>
      <c r="E18" s="417">
        <f>IFERROR(-(((IF(AND(E$4&gt;='2. Kalkyldata'!$M23,E$4&lt;='2. Kalkyldata'!$N23),0,E$12*'2. Kalkyldata'!$P23)))+((IF(AND(E$4&gt;='2. Kalkyldata'!$M24,E$4&lt;='2. Kalkyldata'!$N24),0,E$13*'2. Kalkyldata'!$P24)))+((IF(AND(E$4&gt;='2. Kalkyldata'!$M25,E$4&lt;='2. Kalkyldata'!$N25),0,E$14*'2. Kalkyldata'!$P25)))+((IF(AND(E$4&gt;='2. Kalkyldata'!$M26,E$4&lt;='2. Kalkyldata'!$N26),0,E$15*'2. Kalkyldata'!$P26)))+((IF(AND(E$4&gt;='2. Kalkyldata'!$M27,E$4&lt;='2. Kalkyldata'!$N27),0,E$16*'2. Kalkyldata'!$P27)))),0)</f>
        <v>-0.0</v>
      </c>
      <c r="F18" s="417">
        <f>IFERROR(-(((IF(AND(F$4&gt;='2. Kalkyldata'!$M23,F$4&lt;='2. Kalkyldata'!$N23),0,F$12*'2. Kalkyldata'!$P23)))+((IF(AND(F$4&gt;='2. Kalkyldata'!$M24,F$4&lt;='2. Kalkyldata'!$N24),0,F$13*'2. Kalkyldata'!$P24)))+((IF(AND(F$4&gt;='2. Kalkyldata'!$M25,F$4&lt;='2. Kalkyldata'!$N25),0,F$14*'2. Kalkyldata'!$P25)))+((IF(AND(F$4&gt;='2. Kalkyldata'!$M26,F$4&lt;='2. Kalkyldata'!$N26),0,F$15*'2. Kalkyldata'!$P26)))+((IF(AND(F$4&gt;='2. Kalkyldata'!$M27,F$4&lt;='2. Kalkyldata'!$N27),0,F$16*'2. Kalkyldata'!$P27)))),0)</f>
        <v>-0.0</v>
      </c>
      <c r="G18" s="417">
        <f>IFERROR(-(((IF(AND(G$4&gt;='2. Kalkyldata'!$M23,G$4&lt;='2. Kalkyldata'!$N23),0,G$12*'2. Kalkyldata'!$P23)))+((IF(AND(G$4&gt;='2. Kalkyldata'!$M24,G$4&lt;='2. Kalkyldata'!$N24),0,G$13*'2. Kalkyldata'!$P24)))+((IF(AND(G$4&gt;='2. Kalkyldata'!$M25,G$4&lt;='2. Kalkyldata'!$N25),0,G$14*'2. Kalkyldata'!$P25)))+((IF(AND(G$4&gt;='2. Kalkyldata'!$M26,G$4&lt;='2. Kalkyldata'!$N26),0,G$15*'2. Kalkyldata'!$P26)))+((IF(AND(G$4&gt;='2. Kalkyldata'!$M27,G$4&lt;='2. Kalkyldata'!$N27),0,G$16*'2. Kalkyldata'!$P27)))),0)</f>
        <v>-0.0</v>
      </c>
      <c r="H18" s="417">
        <f>IFERROR(-(((IF(AND(H$4&gt;='2. Kalkyldata'!$M23,H$4&lt;='2. Kalkyldata'!$N23),0,H$12*'2. Kalkyldata'!$P23)))+((IF(AND(H$4&gt;='2. Kalkyldata'!$M24,H$4&lt;='2. Kalkyldata'!$N24),0,H$13*'2. Kalkyldata'!$P24)))+((IF(AND(H$4&gt;='2. Kalkyldata'!$M25,H$4&lt;='2. Kalkyldata'!$N25),0,H$14*'2. Kalkyldata'!$P25)))+((IF(AND(H$4&gt;='2. Kalkyldata'!$M26,H$4&lt;='2. Kalkyldata'!$N26),0,H$15*'2. Kalkyldata'!$P26)))+((IF(AND(H$4&gt;='2. Kalkyldata'!$M27,H$4&lt;='2. Kalkyldata'!$N27),0,H$16*'2. Kalkyldata'!$P27)))),0)</f>
        <v>-0.0</v>
      </c>
      <c r="I18" s="417">
        <f>IFERROR(-(((IF(AND(I$4&gt;='2. Kalkyldata'!$M23,I$4&lt;='2. Kalkyldata'!$N23),0,I$12*'2. Kalkyldata'!$P23)))+((IF(AND(I$4&gt;='2. Kalkyldata'!$M24,I$4&lt;='2. Kalkyldata'!$N24),0,I$13*'2. Kalkyldata'!$P24)))+((IF(AND(I$4&gt;='2. Kalkyldata'!$M25,I$4&lt;='2. Kalkyldata'!$N25),0,I$14*'2. Kalkyldata'!$P25)))+((IF(AND(I$4&gt;='2. Kalkyldata'!$M26,I$4&lt;='2. Kalkyldata'!$N26),0,I$15*'2. Kalkyldata'!$P26)))+((IF(AND(I$4&gt;='2. Kalkyldata'!$M27,I$4&lt;='2. Kalkyldata'!$N27),0,I$16*'2. Kalkyldata'!$P27)))),0)</f>
        <v>-0.0</v>
      </c>
      <c r="J18" s="417">
        <f>IFERROR(-(((IF(AND(J$4&gt;='2. Kalkyldata'!$M23,J$4&lt;='2. Kalkyldata'!$N23),0,J$12*'2. Kalkyldata'!$P23)))+((IF(AND(J$4&gt;='2. Kalkyldata'!$M24,J$4&lt;='2. Kalkyldata'!$N24),0,J$13*'2. Kalkyldata'!$P24)))+((IF(AND(J$4&gt;='2. Kalkyldata'!$M25,J$4&lt;='2. Kalkyldata'!$N25),0,J$14*'2. Kalkyldata'!$P25)))+((IF(AND(J$4&gt;='2. Kalkyldata'!$M26,J$4&lt;='2. Kalkyldata'!$N26),0,J$15*'2. Kalkyldata'!$P26)))+((IF(AND(J$4&gt;='2. Kalkyldata'!$M27,J$4&lt;='2. Kalkyldata'!$N27),0,J$16*'2. Kalkyldata'!$P27)))),0)</f>
        <v>-0.0</v>
      </c>
      <c r="K18" s="417">
        <f>IFERROR(-(((IF(AND(K$4&gt;='2. Kalkyldata'!$M23,K$4&lt;='2. Kalkyldata'!$N23),0,K$12*'2. Kalkyldata'!$P23)))+((IF(AND(K$4&gt;='2. Kalkyldata'!$M24,K$4&lt;='2. Kalkyldata'!$N24),0,K$13*'2. Kalkyldata'!$P24)))+((IF(AND(K$4&gt;='2. Kalkyldata'!$M25,K$4&lt;='2. Kalkyldata'!$N25),0,K$14*'2. Kalkyldata'!$P25)))+((IF(AND(K$4&gt;='2. Kalkyldata'!$M26,K$4&lt;='2. Kalkyldata'!$N26),0,K$15*'2. Kalkyldata'!$P26)))+((IF(AND(K$4&gt;='2. Kalkyldata'!$M27,K$4&lt;='2. Kalkyldata'!$N27),0,K$16*'2. Kalkyldata'!$P27)))),0)</f>
        <v>-0.0</v>
      </c>
      <c r="L18" s="417">
        <f>IFERROR(-(((IF(AND(L$4&gt;='2. Kalkyldata'!$M23,L$4&lt;='2. Kalkyldata'!$N23),0,L$12*'2. Kalkyldata'!$P23)))+((IF(AND(L$4&gt;='2. Kalkyldata'!$M24,L$4&lt;='2. Kalkyldata'!$N24),0,L$13*'2. Kalkyldata'!$P24)))+((IF(AND(L$4&gt;='2. Kalkyldata'!$M25,L$4&lt;='2. Kalkyldata'!$N25),0,L$14*'2. Kalkyldata'!$P25)))+((IF(AND(L$4&gt;='2. Kalkyldata'!$M26,L$4&lt;='2. Kalkyldata'!$N26),0,L$15*'2. Kalkyldata'!$P26)))+((IF(AND(L$4&gt;='2. Kalkyldata'!$M27,L$4&lt;='2. Kalkyldata'!$N27),0,L$16*'2. Kalkyldata'!$P27)))),0)</f>
        <v>-0.0</v>
      </c>
      <c r="M18" s="417">
        <f>IFERROR(-(((IF(AND(M$4&gt;='2. Kalkyldata'!$M23,M$4&lt;='2. Kalkyldata'!$N23),0,M$12*'2. Kalkyldata'!$P23)))+((IF(AND(M$4&gt;='2. Kalkyldata'!$M24,M$4&lt;='2. Kalkyldata'!$N24),0,M$13*'2. Kalkyldata'!$P24)))+((IF(AND(M$4&gt;='2. Kalkyldata'!$M25,M$4&lt;='2. Kalkyldata'!$N25),0,M$14*'2. Kalkyldata'!$P25)))+((IF(AND(M$4&gt;='2. Kalkyldata'!$M26,M$4&lt;='2. Kalkyldata'!$N26),0,M$15*'2. Kalkyldata'!$P26)))+((IF(AND(M$4&gt;='2. Kalkyldata'!$M27,M$4&lt;='2. Kalkyldata'!$N27),0,M$16*'2. Kalkyldata'!$P27)))),0)</f>
        <v>-0.0</v>
      </c>
      <c r="N18" s="417">
        <f>IFERROR(-(((IF(AND(N$4&gt;='2. Kalkyldata'!$M23,N$4&lt;='2. Kalkyldata'!$N23),0,N$12*'2. Kalkyldata'!$P23)))+((IF(AND(N$4&gt;='2. Kalkyldata'!$M24,N$4&lt;='2. Kalkyldata'!$N24),0,N$13*'2. Kalkyldata'!$P24)))+((IF(AND(N$4&gt;='2. Kalkyldata'!$M25,N$4&lt;='2. Kalkyldata'!$N25),0,N$14*'2. Kalkyldata'!$P25)))+((IF(AND(N$4&gt;='2. Kalkyldata'!$M26,N$4&lt;='2. Kalkyldata'!$N26),0,N$15*'2. Kalkyldata'!$P26)))+((IF(AND(N$4&gt;='2. Kalkyldata'!$M27,N$4&lt;='2. Kalkyldata'!$N27),0,N$16*'2. Kalkyldata'!$P27)))),0)</f>
        <v>-0.0</v>
      </c>
      <c r="O18" s="417">
        <f>IFERROR(-(((IF(AND(O$4&gt;='2. Kalkyldata'!$M23,O$4&lt;='2. Kalkyldata'!$N23),0,O$12*'2. Kalkyldata'!$P23)))+((IF(AND(O$4&gt;='2. Kalkyldata'!$M24,O$4&lt;='2. Kalkyldata'!$N24),0,O$13*'2. Kalkyldata'!$P24)))+((IF(AND(O$4&gt;='2. Kalkyldata'!$M25,O$4&lt;='2. Kalkyldata'!$N25),0,O$14*'2. Kalkyldata'!$P25)))+((IF(AND(O$4&gt;='2. Kalkyldata'!$M26,O$4&lt;='2. Kalkyldata'!$N26),0,O$15*'2. Kalkyldata'!$P26)))+((IF(AND(O$4&gt;='2. Kalkyldata'!$M27,O$4&lt;='2. Kalkyldata'!$N27),0,O$16*'2. Kalkyldata'!$P27)))),0)</f>
        <v>-0.0</v>
      </c>
      <c r="P18" s="417">
        <f>IFERROR(-(((IF(AND(P$4&gt;='2. Kalkyldata'!$M23,P$4&lt;='2. Kalkyldata'!$N23),0,P$12*'2. Kalkyldata'!$P23)))+((IF(AND(P$4&gt;='2. Kalkyldata'!$M24,P$4&lt;='2. Kalkyldata'!$N24),0,P$13*'2. Kalkyldata'!$P24)))+((IF(AND(P$4&gt;='2. Kalkyldata'!$M25,P$4&lt;='2. Kalkyldata'!$N25),0,P$14*'2. Kalkyldata'!$P25)))+((IF(AND(P$4&gt;='2. Kalkyldata'!$M26,P$4&lt;='2. Kalkyldata'!$N26),0,P$15*'2. Kalkyldata'!$P26)))+((IF(AND(P$4&gt;='2. Kalkyldata'!$M27,P$4&lt;='2. Kalkyldata'!$N27),0,P$16*'2. Kalkyldata'!$P27)))),0)</f>
        <v>-0.0</v>
      </c>
      <c r="Q18" s="417">
        <f>IFERROR(-(((IF(AND(Q$4&gt;='2. Kalkyldata'!$M23,Q$4&lt;='2. Kalkyldata'!$N23),0,Q$12*'2. Kalkyldata'!$P23)))+((IF(AND(Q$4&gt;='2. Kalkyldata'!$M24,Q$4&lt;='2. Kalkyldata'!$N24),0,Q$13*'2. Kalkyldata'!$P24)))+((IF(AND(Q$4&gt;='2. Kalkyldata'!$M25,Q$4&lt;='2. Kalkyldata'!$N25),0,Q$14*'2. Kalkyldata'!$P25)))+((IF(AND(Q$4&gt;='2. Kalkyldata'!$M26,Q$4&lt;='2. Kalkyldata'!$N26),0,Q$15*'2. Kalkyldata'!$P26)))+((IF(AND(Q$4&gt;='2. Kalkyldata'!$M27,Q$4&lt;='2. Kalkyldata'!$N27),0,Q$16*'2. Kalkyldata'!$P27)))),0)</f>
        <v>-0.0</v>
      </c>
      <c r="R18" s="417">
        <f>IFERROR(-(((IF(AND(R$4&gt;='2. Kalkyldata'!$M23,R$4&lt;='2. Kalkyldata'!$N23),0,R$12*'2. Kalkyldata'!$P23)))+((IF(AND(R$4&gt;='2. Kalkyldata'!$M24,R$4&lt;='2. Kalkyldata'!$N24),0,R$13*'2. Kalkyldata'!$P24)))+((IF(AND(R$4&gt;='2. Kalkyldata'!$M25,R$4&lt;='2. Kalkyldata'!$N25),0,R$14*'2. Kalkyldata'!$P25)))+((IF(AND(R$4&gt;='2. Kalkyldata'!$M26,R$4&lt;='2. Kalkyldata'!$N26),0,R$15*'2. Kalkyldata'!$P26)))+((IF(AND(R$4&gt;='2. Kalkyldata'!$M27,R$4&lt;='2. Kalkyldata'!$N27),0,R$16*'2. Kalkyldata'!$P27)))),0)</f>
        <v>-0.0</v>
      </c>
      <c r="S18" s="417">
        <f>IFERROR(-(((IF(AND(S$4&gt;='2. Kalkyldata'!$M23,S$4&lt;='2. Kalkyldata'!$N23),0,S$12*'2. Kalkyldata'!$P23)))+((IF(AND(S$4&gt;='2. Kalkyldata'!$M24,S$4&lt;='2. Kalkyldata'!$N24),0,S$13*'2. Kalkyldata'!$P24)))+((IF(AND(S$4&gt;='2. Kalkyldata'!$M25,S$4&lt;='2. Kalkyldata'!$N25),0,S$14*'2. Kalkyldata'!$P25)))+((IF(AND(S$4&gt;='2. Kalkyldata'!$M26,S$4&lt;='2. Kalkyldata'!$N26),0,S$15*'2. Kalkyldata'!$P26)))+((IF(AND(S$4&gt;='2. Kalkyldata'!$M27,S$4&lt;='2. Kalkyldata'!$N27),0,S$16*'2. Kalkyldata'!$P27)))),0)</f>
        <v>-0.0</v>
      </c>
      <c r="T18" s="417">
        <f>IFERROR(-(((IF(AND(T$4&gt;='2. Kalkyldata'!$M23,T$4&lt;='2. Kalkyldata'!$N23),0,T$12*'2. Kalkyldata'!$P23)))+((IF(AND(T$4&gt;='2. Kalkyldata'!$M24,T$4&lt;='2. Kalkyldata'!$N24),0,T$13*'2. Kalkyldata'!$P24)))+((IF(AND(T$4&gt;='2. Kalkyldata'!$M25,T$4&lt;='2. Kalkyldata'!$N25),0,T$14*'2. Kalkyldata'!$P25)))+((IF(AND(T$4&gt;='2. Kalkyldata'!$M26,T$4&lt;='2. Kalkyldata'!$N26),0,T$15*'2. Kalkyldata'!$P26)))+((IF(AND(T$4&gt;='2. Kalkyldata'!$M27,T$4&lt;='2. Kalkyldata'!$N27),0,T$16*'2. Kalkyldata'!$P27)))),0)</f>
        <v>-0.0</v>
      </c>
      <c r="U18" s="417">
        <f>IFERROR(-(((IF(AND(U$4&gt;='2. Kalkyldata'!$M23,U$4&lt;='2. Kalkyldata'!$N23),0,U$12*'2. Kalkyldata'!$P23)))+((IF(AND(U$4&gt;='2. Kalkyldata'!$M24,U$4&lt;='2. Kalkyldata'!$N24),0,U$13*'2. Kalkyldata'!$P24)))+((IF(AND(U$4&gt;='2. Kalkyldata'!$M25,U$4&lt;='2. Kalkyldata'!$N25),0,U$14*'2. Kalkyldata'!$P25)))+((IF(AND(U$4&gt;='2. Kalkyldata'!$M26,U$4&lt;='2. Kalkyldata'!$N26),0,U$15*'2. Kalkyldata'!$P26)))+((IF(AND(U$4&gt;='2. Kalkyldata'!$M27,U$4&lt;='2. Kalkyldata'!$N27),0,U$16*'2. Kalkyldata'!$P27)))),0)</f>
        <v>-0.0</v>
      </c>
      <c r="V18" s="417">
        <f>IFERROR(-(((IF(AND(V$4&gt;='2. Kalkyldata'!$M23,V$4&lt;='2. Kalkyldata'!$N23),0,V$12*'2. Kalkyldata'!$P23)))+((IF(AND(V$4&gt;='2. Kalkyldata'!$M24,V$4&lt;='2. Kalkyldata'!$N24),0,V$13*'2. Kalkyldata'!$P24)))+((IF(AND(V$4&gt;='2. Kalkyldata'!$M25,V$4&lt;='2. Kalkyldata'!$N25),0,V$14*'2. Kalkyldata'!$P25)))+((IF(AND(V$4&gt;='2. Kalkyldata'!$M26,V$4&lt;='2. Kalkyldata'!$N26),0,V$15*'2. Kalkyldata'!$P26)))+((IF(AND(V$4&gt;='2. Kalkyldata'!$M27,V$4&lt;='2. Kalkyldata'!$N27),0,V$16*'2. Kalkyldata'!$P27)))),0)</f>
        <v>-0.0</v>
      </c>
      <c r="W18" s="417">
        <f>IFERROR(-(((IF(AND(W$4&gt;='2. Kalkyldata'!$M23,W$4&lt;='2. Kalkyldata'!$N23),0,W$12*'2. Kalkyldata'!$P23)))+((IF(AND(W$4&gt;='2. Kalkyldata'!$M24,W$4&lt;='2. Kalkyldata'!$N24),0,W$13*'2. Kalkyldata'!$P24)))+((IF(AND(W$4&gt;='2. Kalkyldata'!$M25,W$4&lt;='2. Kalkyldata'!$N25),0,W$14*'2. Kalkyldata'!$P25)))+((IF(AND(W$4&gt;='2. Kalkyldata'!$M26,W$4&lt;='2. Kalkyldata'!$N26),0,W$15*'2. Kalkyldata'!$P26)))+((IF(AND(W$4&gt;='2. Kalkyldata'!$M27,W$4&lt;='2. Kalkyldata'!$N27),0,W$16*'2. Kalkyldata'!$P27)))),0)</f>
        <v>-0.0</v>
      </c>
      <c r="X18" s="417">
        <f>IFERROR(-(((IF(AND(X$4&gt;='2. Kalkyldata'!$M23,X$4&lt;='2. Kalkyldata'!$N23),0,X$12*'2. Kalkyldata'!$P23)))+((IF(AND(X$4&gt;='2. Kalkyldata'!$M24,X$4&lt;='2. Kalkyldata'!$N24),0,X$13*'2. Kalkyldata'!$P24)))+((IF(AND(X$4&gt;='2. Kalkyldata'!$M25,X$4&lt;='2. Kalkyldata'!$N25),0,X$14*'2. Kalkyldata'!$P25)))+((IF(AND(X$4&gt;='2. Kalkyldata'!$M26,X$4&lt;='2. Kalkyldata'!$N26),0,X$15*'2. Kalkyldata'!$P26)))+((IF(AND(X$4&gt;='2. Kalkyldata'!$M27,X$4&lt;='2. Kalkyldata'!$N27),0,X$16*'2. Kalkyldata'!$P27)))),0)</f>
        <v>-0.0</v>
      </c>
      <c r="Y18" s="417">
        <f>IFERROR(-(((IF(AND(Y$4&gt;='2. Kalkyldata'!$M23,Y$4&lt;='2. Kalkyldata'!$N23),0,Y$12*'2. Kalkyldata'!$P23)))+((IF(AND(Y$4&gt;='2. Kalkyldata'!$M24,Y$4&lt;='2. Kalkyldata'!$N24),0,Y$13*'2. Kalkyldata'!$P24)))+((IF(AND(Y$4&gt;='2. Kalkyldata'!$M25,Y$4&lt;='2. Kalkyldata'!$N25),0,Y$14*'2. Kalkyldata'!$P25)))+((IF(AND(Y$4&gt;='2. Kalkyldata'!$M26,Y$4&lt;='2. Kalkyldata'!$N26),0,Y$15*'2. Kalkyldata'!$P26)))+((IF(AND(Y$4&gt;='2. Kalkyldata'!$M27,Y$4&lt;='2. Kalkyldata'!$N27),0,Y$16*'2. Kalkyldata'!$P27)))),0)</f>
        <v>-0.0</v>
      </c>
      <c r="Z18" s="417">
        <f>IFERROR(-(((IF(AND(Z$4&gt;='2. Kalkyldata'!$M23,Z$4&lt;='2. Kalkyldata'!$N23),0,Z$12*'2. Kalkyldata'!$P23)))+((IF(AND(Z$4&gt;='2. Kalkyldata'!$M24,Z$4&lt;='2. Kalkyldata'!$N24),0,Z$13*'2. Kalkyldata'!$P24)))+((IF(AND(Z$4&gt;='2. Kalkyldata'!$M25,Z$4&lt;='2. Kalkyldata'!$N25),0,Z$14*'2. Kalkyldata'!$P25)))+((IF(AND(Z$4&gt;='2. Kalkyldata'!$M26,Z$4&lt;='2. Kalkyldata'!$N26),0,Z$15*'2. Kalkyldata'!$P26)))+((IF(AND(Z$4&gt;='2. Kalkyldata'!$M27,Z$4&lt;='2. Kalkyldata'!$N27),0,Z$16*'2. Kalkyldata'!$P27)))),0)</f>
        <v>-0.0</v>
      </c>
      <c r="AA18" s="417">
        <f>IFERROR(-(((IF(AND(AA$4&gt;='2. Kalkyldata'!$M23,AA$4&lt;='2. Kalkyldata'!$N23),0,AA$12*'2. Kalkyldata'!$P23)))+((IF(AND(AA$4&gt;='2. Kalkyldata'!$M24,AA$4&lt;='2. Kalkyldata'!$N24),0,AA$13*'2. Kalkyldata'!$P24)))+((IF(AND(AA$4&gt;='2. Kalkyldata'!$M25,AA$4&lt;='2. Kalkyldata'!$N25),0,AA$14*'2. Kalkyldata'!$P25)))+((IF(AND(AA$4&gt;='2. Kalkyldata'!$M26,AA$4&lt;='2. Kalkyldata'!$N26),0,AA$15*'2. Kalkyldata'!$P26)))+((IF(AND(AA$4&gt;='2. Kalkyldata'!$M27,AA$4&lt;='2. Kalkyldata'!$N27),0,AA$16*'2. Kalkyldata'!$P27)))),0)</f>
        <v>-0.0</v>
      </c>
      <c r="AB18" s="417">
        <f>IFERROR(-(((IF(AND(AB$4&gt;='2. Kalkyldata'!$M23,AB$4&lt;='2. Kalkyldata'!$N23),0,AB$12*'2. Kalkyldata'!$P23)))+((IF(AND(AB$4&gt;='2. Kalkyldata'!$M24,AB$4&lt;='2. Kalkyldata'!$N24),0,AB$13*'2. Kalkyldata'!$P24)))+((IF(AND(AB$4&gt;='2. Kalkyldata'!$M25,AB$4&lt;='2. Kalkyldata'!$N25),0,AB$14*'2. Kalkyldata'!$P25)))+((IF(AND(AB$4&gt;='2. Kalkyldata'!$M26,AB$4&lt;='2. Kalkyldata'!$N26),0,AB$15*'2. Kalkyldata'!$P26)))+((IF(AND(AB$4&gt;='2. Kalkyldata'!$M27,AB$4&lt;='2. Kalkyldata'!$N27),0,AB$16*'2. Kalkyldata'!$P27)))),0)</f>
        <v>-0.0</v>
      </c>
      <c r="AC18" s="417">
        <f>IFERROR(-(((IF(AND(AC$4&gt;='2. Kalkyldata'!$M23,AC$4&lt;='2. Kalkyldata'!$N23),0,AC$12*'2. Kalkyldata'!$P23)))+((IF(AND(AC$4&gt;='2. Kalkyldata'!$M24,AC$4&lt;='2. Kalkyldata'!$N24),0,AC$13*'2. Kalkyldata'!$P24)))+((IF(AND(AC$4&gt;='2. Kalkyldata'!$M25,AC$4&lt;='2. Kalkyldata'!$N25),0,AC$14*'2. Kalkyldata'!$P25)))+((IF(AND(AC$4&gt;='2. Kalkyldata'!$M26,AC$4&lt;='2. Kalkyldata'!$N26),0,AC$15*'2. Kalkyldata'!$P26)))+((IF(AND(AC$4&gt;='2. Kalkyldata'!$M27,AC$4&lt;='2. Kalkyldata'!$N27),0,AC$16*'2. Kalkyldata'!$P27)))),0)</f>
        <v>-0.0</v>
      </c>
      <c r="AD18" s="417">
        <f>IFERROR(-(((IF(AND(AD$4&gt;='2. Kalkyldata'!$M23,AD$4&lt;='2. Kalkyldata'!$N23),0,AD$12*'2. Kalkyldata'!$P23)))+((IF(AND(AD$4&gt;='2. Kalkyldata'!$M24,AD$4&lt;='2. Kalkyldata'!$N24),0,AD$13*'2. Kalkyldata'!$P24)))+((IF(AND(AD$4&gt;='2. Kalkyldata'!$M25,AD$4&lt;='2. Kalkyldata'!$N25),0,AD$14*'2. Kalkyldata'!$P25)))+((IF(AND(AD$4&gt;='2. Kalkyldata'!$M26,AD$4&lt;='2. Kalkyldata'!$N26),0,AD$15*'2. Kalkyldata'!$P26)))+((IF(AND(AD$4&gt;='2. Kalkyldata'!$M27,AD$4&lt;='2. Kalkyldata'!$N27),0,AD$16*'2. Kalkyldata'!$P27)))),0)</f>
        <v>-0.0</v>
      </c>
      <c r="AE18" s="417">
        <f>IFERROR(-(((IF(AND(AE$4&gt;='2. Kalkyldata'!$M23,AE$4&lt;='2. Kalkyldata'!$N23),0,AE$12*'2. Kalkyldata'!$P23)))+((IF(AND(AE$4&gt;='2. Kalkyldata'!$M24,AE$4&lt;='2. Kalkyldata'!$N24),0,AE$13*'2. Kalkyldata'!$P24)))+((IF(AND(AE$4&gt;='2. Kalkyldata'!$M25,AE$4&lt;='2. Kalkyldata'!$N25),0,AE$14*'2. Kalkyldata'!$P25)))+((IF(AND(AE$4&gt;='2. Kalkyldata'!$M26,AE$4&lt;='2. Kalkyldata'!$N26),0,AE$15*'2. Kalkyldata'!$P26)))+((IF(AND(AE$4&gt;='2. Kalkyldata'!$M27,AE$4&lt;='2. Kalkyldata'!$N27),0,AE$16*'2. Kalkyldata'!$P27)))),0)</f>
        <v>-0.0</v>
      </c>
      <c r="AF18" s="417">
        <f>IFERROR(-(((IF(AND(AF$4&gt;='2. Kalkyldata'!$M23,AF$4&lt;='2. Kalkyldata'!$N23),0,AF$12*'2. Kalkyldata'!$P23)))+((IF(AND(AF$4&gt;='2. Kalkyldata'!$M24,AF$4&lt;='2. Kalkyldata'!$N24),0,AF$13*'2. Kalkyldata'!$P24)))+((IF(AND(AF$4&gt;='2. Kalkyldata'!$M25,AF$4&lt;='2. Kalkyldata'!$N25),0,AF$14*'2. Kalkyldata'!$P25)))+((IF(AND(AF$4&gt;='2. Kalkyldata'!$M26,AF$4&lt;='2. Kalkyldata'!$N26),0,AF$15*'2. Kalkyldata'!$P26)))+((IF(AND(AF$4&gt;='2. Kalkyldata'!$M27,AF$4&lt;='2. Kalkyldata'!$N27),0,AF$16*'2. Kalkyldata'!$P27)))),0)</f>
        <v>-0.0</v>
      </c>
      <c r="AG18" s="417">
        <f>IFERROR(-(((IF(AND(AG$4&gt;='2. Kalkyldata'!$M23,AG$4&lt;='2. Kalkyldata'!$N23),0,AG$12*'2. Kalkyldata'!$P23)))+((IF(AND(AG$4&gt;='2. Kalkyldata'!$M24,AG$4&lt;='2. Kalkyldata'!$N24),0,AG$13*'2. Kalkyldata'!$P24)))+((IF(AND(AG$4&gt;='2. Kalkyldata'!$M25,AG$4&lt;='2. Kalkyldata'!$N25),0,AG$14*'2. Kalkyldata'!$P25)))+((IF(AND(AG$4&gt;='2. Kalkyldata'!$M26,AG$4&lt;='2. Kalkyldata'!$N26),0,AG$15*'2. Kalkyldata'!$P26)))+((IF(AND(AG$4&gt;='2. Kalkyldata'!$M27,AG$4&lt;='2. Kalkyldata'!$N27),0,AG$16*'2. Kalkyldata'!$P27)))),0)</f>
        <v>-0.0</v>
      </c>
      <c r="AH18" s="417">
        <f>IFERROR(-(((IF(AND(AH$4&gt;='2. Kalkyldata'!$M23,AH$4&lt;='2. Kalkyldata'!$N23),0,AH$12*'2. Kalkyldata'!$P23)))+((IF(AND(AH$4&gt;='2. Kalkyldata'!$M24,AH$4&lt;='2. Kalkyldata'!$N24),0,AH$13*'2. Kalkyldata'!$P24)))+((IF(AND(AH$4&gt;='2. Kalkyldata'!$M25,AH$4&lt;='2. Kalkyldata'!$N25),0,AH$14*'2. Kalkyldata'!$P25)))+((IF(AND(AH$4&gt;='2. Kalkyldata'!$M26,AH$4&lt;='2. Kalkyldata'!$N26),0,AH$15*'2. Kalkyldata'!$P26)))+((IF(AND(AH$4&gt;='2. Kalkyldata'!$M27,AH$4&lt;='2. Kalkyldata'!$N27),0,AH$16*'2. Kalkyldata'!$P27)))),0)</f>
        <v>-0.0</v>
      </c>
      <c r="AI18" s="417">
        <f>IFERROR(-(((IF(AND(AI$4&gt;='2. Kalkyldata'!$M23,AI$4&lt;='2. Kalkyldata'!$N23),0,AI$12*'2. Kalkyldata'!$P23)))+((IF(AND(AI$4&gt;='2. Kalkyldata'!$M24,AI$4&lt;='2. Kalkyldata'!$N24),0,AI$13*'2. Kalkyldata'!$P24)))+((IF(AND(AI$4&gt;='2. Kalkyldata'!$M25,AI$4&lt;='2. Kalkyldata'!$N25),0,AI$14*'2. Kalkyldata'!$P25)))+((IF(AND(AI$4&gt;='2. Kalkyldata'!$M26,AI$4&lt;='2. Kalkyldata'!$N26),0,AI$15*'2. Kalkyldata'!$P26)))+((IF(AND(AI$4&gt;='2. Kalkyldata'!$M27,AI$4&lt;='2. Kalkyldata'!$N27),0,AI$16*'2. Kalkyldata'!$P27)))),0)</f>
        <v>-0.0</v>
      </c>
      <c r="AJ18" s="417">
        <f>IFERROR(-(((IF(AND(AJ$4&gt;='2. Kalkyldata'!$M23,AJ$4&lt;='2. Kalkyldata'!$N23),0,AJ$12*'2. Kalkyldata'!$P23)))+((IF(AND(AJ$4&gt;='2. Kalkyldata'!$M24,AJ$4&lt;='2. Kalkyldata'!$N24),0,AJ$13*'2. Kalkyldata'!$P24)))+((IF(AND(AJ$4&gt;='2. Kalkyldata'!$M25,AJ$4&lt;='2. Kalkyldata'!$N25),0,AJ$14*'2. Kalkyldata'!$P25)))+((IF(AND(AJ$4&gt;='2. Kalkyldata'!$M26,AJ$4&lt;='2. Kalkyldata'!$N26),0,AJ$15*'2. Kalkyldata'!$P26)))+((IF(AND(AJ$4&gt;='2. Kalkyldata'!$M27,AJ$4&lt;='2. Kalkyldata'!$N27),0,AJ$16*'2. Kalkyldata'!$P27)))),0)</f>
        <v>-0.0</v>
      </c>
      <c r="AK18" s="417">
        <f>IFERROR(-(((IF(AND(AK$4&gt;='2. Kalkyldata'!$M23,AK$4&lt;='2. Kalkyldata'!$N23),0,AK$12*'2. Kalkyldata'!$P23)))+((IF(AND(AK$4&gt;='2. Kalkyldata'!$M24,AK$4&lt;='2. Kalkyldata'!$N24),0,AK$13*'2. Kalkyldata'!$P24)))+((IF(AND(AK$4&gt;='2. Kalkyldata'!$M25,AK$4&lt;='2. Kalkyldata'!$N25),0,AK$14*'2. Kalkyldata'!$P25)))+((IF(AND(AK$4&gt;='2. Kalkyldata'!$M26,AK$4&lt;='2. Kalkyldata'!$N26),0,AK$15*'2. Kalkyldata'!$P26)))+((IF(AND(AK$4&gt;='2. Kalkyldata'!$M27,AK$4&lt;='2. Kalkyldata'!$N27),0,AK$16*'2. Kalkyldata'!$P27)))),0)</f>
        <v>-0.0</v>
      </c>
      <c r="AL18" s="417">
        <f>IFERROR(-(((IF(AND(AL$4&gt;='2. Kalkyldata'!$M23,AL$4&lt;='2. Kalkyldata'!$N23),0,AL$12*'2. Kalkyldata'!$P23)))+((IF(AND(AL$4&gt;='2. Kalkyldata'!$M24,AL$4&lt;='2. Kalkyldata'!$N24),0,AL$13*'2. Kalkyldata'!$P24)))+((IF(AND(AL$4&gt;='2. Kalkyldata'!$M25,AL$4&lt;='2. Kalkyldata'!$N25),0,AL$14*'2. Kalkyldata'!$P25)))+((IF(AND(AL$4&gt;='2. Kalkyldata'!$M26,AL$4&lt;='2. Kalkyldata'!$N26),0,AL$15*'2. Kalkyldata'!$P26)))+((IF(AND(AL$4&gt;='2. Kalkyldata'!$M27,AL$4&lt;='2. Kalkyldata'!$N27),0,AL$16*'2. Kalkyldata'!$P27)))),0)</f>
        <v>-0.0</v>
      </c>
      <c r="AM18" s="417">
        <f>IFERROR(-(((IF(AND(AM$4&gt;='2. Kalkyldata'!$M23,AM$4&lt;='2. Kalkyldata'!$N23),0,AM$12*'2. Kalkyldata'!$P23)))+((IF(AND(AM$4&gt;='2. Kalkyldata'!$M24,AM$4&lt;='2. Kalkyldata'!$N24),0,AM$13*'2. Kalkyldata'!$P24)))+((IF(AND(AM$4&gt;='2. Kalkyldata'!$M25,AM$4&lt;='2. Kalkyldata'!$N25),0,AM$14*'2. Kalkyldata'!$P25)))+((IF(AND(AM$4&gt;='2. Kalkyldata'!$M26,AM$4&lt;='2. Kalkyldata'!$N26),0,AM$15*'2. Kalkyldata'!$P26)))+((IF(AND(AM$4&gt;='2. Kalkyldata'!$M27,AM$4&lt;='2. Kalkyldata'!$N27),0,AM$16*'2. Kalkyldata'!$P27)))),0)</f>
        <v>-0.0</v>
      </c>
      <c r="AN18" s="417">
        <f>IFERROR(-(((IF(AND(AN$4&gt;='2. Kalkyldata'!$M23,AN$4&lt;='2. Kalkyldata'!$N23),0,AN$12*'2. Kalkyldata'!$P23)))+((IF(AND(AN$4&gt;='2. Kalkyldata'!$M24,AN$4&lt;='2. Kalkyldata'!$N24),0,AN$13*'2. Kalkyldata'!$P24)))+((IF(AND(AN$4&gt;='2. Kalkyldata'!$M25,AN$4&lt;='2. Kalkyldata'!$N25),0,AN$14*'2. Kalkyldata'!$P25)))+((IF(AND(AN$4&gt;='2. Kalkyldata'!$M26,AN$4&lt;='2. Kalkyldata'!$N26),0,AN$15*'2. Kalkyldata'!$P26)))+((IF(AND(AN$4&gt;='2. Kalkyldata'!$M27,AN$4&lt;='2. Kalkyldata'!$N27),0,AN$16*'2. Kalkyldata'!$P27)))),0)</f>
        <v>-0.0</v>
      </c>
      <c r="AO18" s="417">
        <f>IFERROR(-(((IF(AND(AO$4&gt;='2. Kalkyldata'!$M23,AO$4&lt;='2. Kalkyldata'!$N23),0,AO$12*'2. Kalkyldata'!$P23)))+((IF(AND(AO$4&gt;='2. Kalkyldata'!$M24,AO$4&lt;='2. Kalkyldata'!$N24),0,AO$13*'2. Kalkyldata'!$P24)))+((IF(AND(AO$4&gt;='2. Kalkyldata'!$M25,AO$4&lt;='2. Kalkyldata'!$N25),0,AO$14*'2. Kalkyldata'!$P25)))+((IF(AND(AO$4&gt;='2. Kalkyldata'!$M26,AO$4&lt;='2. Kalkyldata'!$N26),0,AO$15*'2. Kalkyldata'!$P26)))+((IF(AND(AO$4&gt;='2. Kalkyldata'!$M27,AO$4&lt;='2. Kalkyldata'!$N27),0,AO$16*'2. Kalkyldata'!$P27)))),0)</f>
        <v>-0.0</v>
      </c>
      <c r="AP18" s="417">
        <f>IFERROR(-(((IF(AND(AP$4&gt;='2. Kalkyldata'!$M23,AP$4&lt;='2. Kalkyldata'!$N23),0,AP$12*'2. Kalkyldata'!$P23)))+((IF(AND(AP$4&gt;='2. Kalkyldata'!$M24,AP$4&lt;='2. Kalkyldata'!$N24),0,AP$13*'2. Kalkyldata'!$P24)))+((IF(AND(AP$4&gt;='2. Kalkyldata'!$M25,AP$4&lt;='2. Kalkyldata'!$N25),0,AP$14*'2. Kalkyldata'!$P25)))+((IF(AND(AP$4&gt;='2. Kalkyldata'!$M26,AP$4&lt;='2. Kalkyldata'!$N26),0,AP$15*'2. Kalkyldata'!$P26)))+((IF(AND(AP$4&gt;='2. Kalkyldata'!$M27,AP$4&lt;='2. Kalkyldata'!$N27),0,AP$16*'2. Kalkyldata'!$P27)))),0)</f>
        <v>-0.0</v>
      </c>
      <c r="AQ18" s="417">
        <f>IFERROR(-(((IF(AND(AQ$4&gt;='2. Kalkyldata'!$M23,AQ$4&lt;='2. Kalkyldata'!$N23),0,AQ$12*'2. Kalkyldata'!$P23)))+((IF(AND(AQ$4&gt;='2. Kalkyldata'!$M24,AQ$4&lt;='2. Kalkyldata'!$N24),0,AQ$13*'2. Kalkyldata'!$P24)))+((IF(AND(AQ$4&gt;='2. Kalkyldata'!$M25,AQ$4&lt;='2. Kalkyldata'!$N25),0,AQ$14*'2. Kalkyldata'!$P25)))+((IF(AND(AQ$4&gt;='2. Kalkyldata'!$M26,AQ$4&lt;='2. Kalkyldata'!$N26),0,AQ$15*'2. Kalkyldata'!$P26)))+((IF(AND(AQ$4&gt;='2. Kalkyldata'!$M27,AQ$4&lt;='2. Kalkyldata'!$N27),0,AQ$16*'2. Kalkyldata'!$P27)))),0)</f>
        <v>-0.0</v>
      </c>
      <c r="AR18" s="417">
        <f>IFERROR(-(((IF(AND(AR$4&gt;='2. Kalkyldata'!$M23,AR$4&lt;='2. Kalkyldata'!$N23),0,AR$12*'2. Kalkyldata'!$P23)))+((IF(AND(AR$4&gt;='2. Kalkyldata'!$M24,AR$4&lt;='2. Kalkyldata'!$N24),0,AR$13*'2. Kalkyldata'!$P24)))+((IF(AND(AR$4&gt;='2. Kalkyldata'!$M25,AR$4&lt;='2. Kalkyldata'!$N25),0,AR$14*'2. Kalkyldata'!$P25)))+((IF(AND(AR$4&gt;='2. Kalkyldata'!$M26,AR$4&lt;='2. Kalkyldata'!$N26),0,AR$15*'2. Kalkyldata'!$P26)))+((IF(AND(AR$4&gt;='2. Kalkyldata'!$M27,AR$4&lt;='2. Kalkyldata'!$N27),0,AR$16*'2. Kalkyldata'!$P27)))),0)</f>
        <v>-0.0</v>
      </c>
      <c r="AS18" s="417">
        <f>IFERROR(-(((IF(AND(AS$4&gt;='2. Kalkyldata'!$M23,AS$4&lt;='2. Kalkyldata'!$N23),0,AS$12*'2. Kalkyldata'!$P23)))+((IF(AND(AS$4&gt;='2. Kalkyldata'!$M24,AS$4&lt;='2. Kalkyldata'!$N24),0,AS$13*'2. Kalkyldata'!$P24)))+((IF(AND(AS$4&gt;='2. Kalkyldata'!$M25,AS$4&lt;='2. Kalkyldata'!$N25),0,AS$14*'2. Kalkyldata'!$P25)))+((IF(AND(AS$4&gt;='2. Kalkyldata'!$M26,AS$4&lt;='2. Kalkyldata'!$N26),0,AS$15*'2. Kalkyldata'!$P26)))+((IF(AND(AS$4&gt;='2. Kalkyldata'!$M27,AS$4&lt;='2. Kalkyldata'!$N27),0,AS$16*'2. Kalkyldata'!$P27)))),0)</f>
        <v>-0.0</v>
      </c>
      <c r="AT18" s="417">
        <f>IFERROR(-(((IF(AND(AT$4&gt;='2. Kalkyldata'!$M23,AT$4&lt;='2. Kalkyldata'!$N23),0,AT$12*'2. Kalkyldata'!$P23)))+((IF(AND(AT$4&gt;='2. Kalkyldata'!$M24,AT$4&lt;='2. Kalkyldata'!$N24),0,AT$13*'2. Kalkyldata'!$P24)))+((IF(AND(AT$4&gt;='2. Kalkyldata'!$M25,AT$4&lt;='2. Kalkyldata'!$N25),0,AT$14*'2. Kalkyldata'!$P25)))+((IF(AND(AT$4&gt;='2. Kalkyldata'!$M26,AT$4&lt;='2. Kalkyldata'!$N26),0,AT$15*'2. Kalkyldata'!$P26)))+((IF(AND(AT$4&gt;='2. Kalkyldata'!$M27,AT$4&lt;='2. Kalkyldata'!$N27),0,AT$16*'2. Kalkyldata'!$P27)))),0)</f>
        <v>-0.0</v>
      </c>
      <c r="AU18" s="417">
        <f>IFERROR(-(((IF(AND(AU$4&gt;='2. Kalkyldata'!$M23,AU$4&lt;='2. Kalkyldata'!$N23),0,AU$12*'2. Kalkyldata'!$P23)))+((IF(AND(AU$4&gt;='2. Kalkyldata'!$M24,AU$4&lt;='2. Kalkyldata'!$N24),0,AU$13*'2. Kalkyldata'!$P24)))+((IF(AND(AU$4&gt;='2. Kalkyldata'!$M25,AU$4&lt;='2. Kalkyldata'!$N25),0,AU$14*'2. Kalkyldata'!$P25)))+((IF(AND(AU$4&gt;='2. Kalkyldata'!$M26,AU$4&lt;='2. Kalkyldata'!$N26),0,AU$15*'2. Kalkyldata'!$P26)))+((IF(AND(AU$4&gt;='2. Kalkyldata'!$M27,AU$4&lt;='2. Kalkyldata'!$N27),0,AU$16*'2. Kalkyldata'!$P27)))),0)</f>
        <v>-0.0</v>
      </c>
      <c r="AV18" s="417">
        <f>IFERROR(-(((IF(AND(AV$4&gt;='2. Kalkyldata'!$M23,AV$4&lt;='2. Kalkyldata'!$N23),0,AV$12*'2. Kalkyldata'!$P23)))+((IF(AND(AV$4&gt;='2. Kalkyldata'!$M24,AV$4&lt;='2. Kalkyldata'!$N24),0,AV$13*'2. Kalkyldata'!$P24)))+((IF(AND(AV$4&gt;='2. Kalkyldata'!$M25,AV$4&lt;='2. Kalkyldata'!$N25),0,AV$14*'2. Kalkyldata'!$P25)))+((IF(AND(AV$4&gt;='2. Kalkyldata'!$M26,AV$4&lt;='2. Kalkyldata'!$N26),0,AV$15*'2. Kalkyldata'!$P26)))+((IF(AND(AV$4&gt;='2. Kalkyldata'!$M27,AV$4&lt;='2. Kalkyldata'!$N27),0,AV$16*'2. Kalkyldata'!$P27)))),0)</f>
        <v>-0.0</v>
      </c>
      <c r="AW18" s="417">
        <f>IFERROR(-(((IF(AND(AW$4&gt;='2. Kalkyldata'!$M23,AW$4&lt;='2. Kalkyldata'!$N23),0,AW$12*'2. Kalkyldata'!$P23)))+((IF(AND(AW$4&gt;='2. Kalkyldata'!$M24,AW$4&lt;='2. Kalkyldata'!$N24),0,AW$13*'2. Kalkyldata'!$P24)))+((IF(AND(AW$4&gt;='2. Kalkyldata'!$M25,AW$4&lt;='2. Kalkyldata'!$N25),0,AW$14*'2. Kalkyldata'!$P25)))+((IF(AND(AW$4&gt;='2. Kalkyldata'!$M26,AW$4&lt;='2. Kalkyldata'!$N26),0,AW$15*'2. Kalkyldata'!$P26)))+((IF(AND(AW$4&gt;='2. Kalkyldata'!$M27,AW$4&lt;='2. Kalkyldata'!$N27),0,AW$16*'2. Kalkyldata'!$P27)))),0)</f>
        <v>-0.0</v>
      </c>
      <c r="AX18" s="417">
        <f>IFERROR(-(((IF(AND(AX$4&gt;='2. Kalkyldata'!$M23,AX$4&lt;='2. Kalkyldata'!$N23),0,AX$12*'2. Kalkyldata'!$P23)))+((IF(AND(AX$4&gt;='2. Kalkyldata'!$M24,AX$4&lt;='2. Kalkyldata'!$N24),0,AX$13*'2. Kalkyldata'!$P24)))+((IF(AND(AX$4&gt;='2. Kalkyldata'!$M25,AX$4&lt;='2. Kalkyldata'!$N25),0,AX$14*'2. Kalkyldata'!$P25)))+((IF(AND(AX$4&gt;='2. Kalkyldata'!$M26,AX$4&lt;='2. Kalkyldata'!$N26),0,AX$15*'2. Kalkyldata'!$P26)))+((IF(AND(AX$4&gt;='2. Kalkyldata'!$M27,AX$4&lt;='2. Kalkyldata'!$N27),0,AX$16*'2. Kalkyldata'!$P27)))),0)</f>
        <v>-0.0</v>
      </c>
      <c r="AY18" s="417">
        <f>IFERROR(-(((IF(AND(AY$4&gt;='2. Kalkyldata'!$M23,AY$4&lt;='2. Kalkyldata'!$N23),0,AY$12*'2. Kalkyldata'!$P23)))+((IF(AND(AY$4&gt;='2. Kalkyldata'!$M24,AY$4&lt;='2. Kalkyldata'!$N24),0,AY$13*'2. Kalkyldata'!$P24)))+((IF(AND(AY$4&gt;='2. Kalkyldata'!$M25,AY$4&lt;='2. Kalkyldata'!$N25),0,AY$14*'2. Kalkyldata'!$P25)))+((IF(AND(AY$4&gt;='2. Kalkyldata'!$M26,AY$4&lt;='2. Kalkyldata'!$N26),0,AY$15*'2. Kalkyldata'!$P26)))+((IF(AND(AY$4&gt;='2. Kalkyldata'!$M27,AY$4&lt;='2. Kalkyldata'!$N27),0,AY$16*'2. Kalkyldata'!$P27)))),0)</f>
        <v>-0.0</v>
      </c>
      <c r="AZ18" s="417">
        <f>IFERROR(-(((IF(AND(AZ$4&gt;='2. Kalkyldata'!$M23,AZ$4&lt;='2. Kalkyldata'!$N23),0,AZ$12*'2. Kalkyldata'!$P23)))+((IF(AND(AZ$4&gt;='2. Kalkyldata'!$M24,AZ$4&lt;='2. Kalkyldata'!$N24),0,AZ$13*'2. Kalkyldata'!$P24)))+((IF(AND(AZ$4&gt;='2. Kalkyldata'!$M25,AZ$4&lt;='2. Kalkyldata'!$N25),0,AZ$14*'2. Kalkyldata'!$P25)))+((IF(AND(AZ$4&gt;='2. Kalkyldata'!$M26,AZ$4&lt;='2. Kalkyldata'!$N26),0,AZ$15*'2. Kalkyldata'!$P26)))+((IF(AND(AZ$4&gt;='2. Kalkyldata'!$M27,AZ$4&lt;='2. Kalkyldata'!$N27),0,AZ$16*'2. Kalkyldata'!$P27)))),0)</f>
        <v>-0.0</v>
      </c>
      <c r="BA18" s="417">
        <f>IFERROR(-(((IF(AND(BA$4&gt;='2. Kalkyldata'!$M23,BA$4&lt;='2. Kalkyldata'!$N23),0,BA$12*'2. Kalkyldata'!$P23)))+((IF(AND(BA$4&gt;='2. Kalkyldata'!$M24,BA$4&lt;='2. Kalkyldata'!$N24),0,BA$13*'2. Kalkyldata'!$P24)))+((IF(AND(BA$4&gt;='2. Kalkyldata'!$M25,BA$4&lt;='2. Kalkyldata'!$N25),0,BA$14*'2. Kalkyldata'!$P25)))+((IF(AND(BA$4&gt;='2. Kalkyldata'!$M26,BA$4&lt;='2. Kalkyldata'!$N26),0,BA$15*'2. Kalkyldata'!$P26)))+((IF(AND(BA$4&gt;='2. Kalkyldata'!$M27,BA$4&lt;='2. Kalkyldata'!$N27),0,BA$16*'2. Kalkyldata'!$P27)))),0)</f>
        <v>-0.0</v>
      </c>
      <c r="BB18" s="494"/>
    </row>
    <row r="19" spans="2:54" s="19" customFormat="1" ht="15">
      <c r="B19" s="412" t="s">
        <v>230</v>
      </c>
      <c r="C19" s="413">
        <f>IFERROR(D19/$C$8,"")</f>
        <v>2650.0</v>
      </c>
      <c r="D19" s="414">
        <f>D17+D18</f>
        <v>16165000.0</v>
      </c>
      <c r="E19" s="414">
        <f t="shared" ref="E19:BA19" si="6">E17+E18</f>
        <v>16391310.0</v>
      </c>
      <c r="F19" s="414">
        <f t="shared" si="6"/>
        <v>16620788.340000002</v>
      </c>
      <c r="G19" s="414">
        <f t="shared" si="6"/>
        <v>16853479.37676</v>
      </c>
      <c r="H19" s="414">
        <f t="shared" si="6"/>
        <v>17089428.08803464</v>
      </c>
      <c r="I19" s="414">
        <f t="shared" si="6"/>
        <v>17328680.081267126</v>
      </c>
      <c r="J19" s="414">
        <f t="shared" si="6"/>
        <v>17571281.602404863</v>
      </c>
      <c r="K19" s="414">
        <f t="shared" si="6"/>
        <v>17817279.544838537</v>
      </c>
      <c r="L19" s="414">
        <f t="shared" si="6"/>
        <v>18066721.458466277</v>
      </c>
      <c r="M19" s="414">
        <f t="shared" si="6"/>
        <v>18319655.558884803</v>
      </c>
      <c r="N19" s="414">
        <f t="shared" si="6"/>
        <v>18576130.73670919</v>
      </c>
      <c r="O19" s="414">
        <f t="shared" si="6"/>
        <v>18836196.567023117</v>
      </c>
      <c r="P19" s="414">
        <f t="shared" si="6"/>
        <v>19099903.31896144</v>
      </c>
      <c r="Q19" s="414">
        <f t="shared" si="6"/>
        <v>19367301.965426903</v>
      </c>
      <c r="R19" s="414">
        <f t="shared" si="6"/>
        <v>19638444.19294288</v>
      </c>
      <c r="S19" s="414">
        <f t="shared" si="6"/>
        <v>19913382.411644083</v>
      </c>
      <c r="T19" s="414">
        <f t="shared" si="6"/>
        <v>20192169.765407097</v>
      </c>
      <c r="U19" s="414">
        <f t="shared" si="6"/>
        <v>20474860.142122798</v>
      </c>
      <c r="V19" s="414">
        <f t="shared" si="6"/>
        <v>20761508.184112515</v>
      </c>
      <c r="W19" s="414">
        <f t="shared" si="6"/>
        <v>21052169.29869009</v>
      </c>
      <c r="X19" s="414">
        <f t="shared" si="6"/>
        <v>21346899.668871753</v>
      </c>
      <c r="Y19" s="414">
        <f t="shared" si="6"/>
        <v>0.0</v>
      </c>
      <c r="Z19" s="414">
        <f t="shared" si="6"/>
        <v>0.0</v>
      </c>
      <c r="AA19" s="414">
        <f t="shared" si="6"/>
        <v>0.0</v>
      </c>
      <c r="AB19" s="414">
        <f t="shared" si="6"/>
        <v>0.0</v>
      </c>
      <c r="AC19" s="414">
        <f t="shared" si="6"/>
        <v>0.0</v>
      </c>
      <c r="AD19" s="414">
        <f t="shared" si="6"/>
        <v>0.0</v>
      </c>
      <c r="AE19" s="414">
        <f t="shared" si="6"/>
        <v>0.0</v>
      </c>
      <c r="AF19" s="414">
        <f t="shared" si="6"/>
        <v>0.0</v>
      </c>
      <c r="AG19" s="414">
        <f t="shared" si="6"/>
        <v>0.0</v>
      </c>
      <c r="AH19" s="414">
        <f t="shared" si="6"/>
        <v>0.0</v>
      </c>
      <c r="AI19" s="414">
        <f t="shared" si="6"/>
        <v>0.0</v>
      </c>
      <c r="AJ19" s="414">
        <f t="shared" si="6"/>
        <v>0.0</v>
      </c>
      <c r="AK19" s="414">
        <f t="shared" si="6"/>
        <v>0.0</v>
      </c>
      <c r="AL19" s="414">
        <f t="shared" si="6"/>
        <v>0.0</v>
      </c>
      <c r="AM19" s="414">
        <f t="shared" si="6"/>
        <v>0.0</v>
      </c>
      <c r="AN19" s="414">
        <f t="shared" si="6"/>
        <v>0.0</v>
      </c>
      <c r="AO19" s="414">
        <f t="shared" si="6"/>
        <v>0.0</v>
      </c>
      <c r="AP19" s="414">
        <f t="shared" si="6"/>
        <v>0.0</v>
      </c>
      <c r="AQ19" s="414">
        <f t="shared" si="6"/>
        <v>0.0</v>
      </c>
      <c r="AR19" s="414">
        <f t="shared" si="6"/>
        <v>0.0</v>
      </c>
      <c r="AS19" s="414">
        <f t="shared" si="6"/>
        <v>0.0</v>
      </c>
      <c r="AT19" s="414">
        <f t="shared" si="6"/>
        <v>0.0</v>
      </c>
      <c r="AU19" s="414">
        <f t="shared" si="6"/>
        <v>0.0</v>
      </c>
      <c r="AV19" s="414">
        <f t="shared" si="6"/>
        <v>0.0</v>
      </c>
      <c r="AW19" s="414">
        <f t="shared" si="6"/>
        <v>0.0</v>
      </c>
      <c r="AX19" s="414">
        <f t="shared" si="6"/>
        <v>0.0</v>
      </c>
      <c r="AY19" s="414">
        <f t="shared" si="6"/>
        <v>0.0</v>
      </c>
      <c r="AZ19" s="414">
        <f t="shared" si="6"/>
        <v>0.0</v>
      </c>
      <c r="BA19" s="414">
        <f t="shared" si="6"/>
        <v>0.0</v>
      </c>
      <c r="BB19" s="494"/>
    </row>
    <row r="20" spans="2:54" s="19" customFormat="1" ht="15">
      <c r="B20" s="227" t="s">
        <v>231</v>
      </c>
      <c r="C20" s="327">
        <f>IFERROR($D20/$C$8,"")</f>
        <v>-0.0</v>
      </c>
      <c r="D20" s="228">
        <f>-(((D$6*NybFastighetsskötsel+D$7*BefFastighetsskötsel)*(1+Inflation)^(D5-1))*(IF($D$4+Höjnin1&lt;='4. NPV'!D$4,TioÅrFastighetsskötsel,0)+IF($D$4+Höjning2&lt;='4. NPV'!D$4,FemtonÅrFastighetsskötsel,0))+((D$6*NybFastighetsskötsel+D$7*BefFastighetsskötsel)*((1+Inflation)^('4. NPV'!D$5-1))))</f>
        <v>-0.0</v>
      </c>
      <c r="E20" s="228">
        <f>-(((E$6*NybFastighetsskötsel+E$7*BefFastighetsskötsel)*(1+Inflation)^(E5-1))*(IF($D$4+Höjnin1&lt;='4. NPV'!E$4,TioÅrFastighetsskötsel,0)+IF($D$4+Höjning2&lt;='4. NPV'!E$4,FemtonÅrFastighetsskötsel,0))+((E$6*NybFastighetsskötsel+E$7*BefFastighetsskötsel)*((1+Inflation)^('4. NPV'!E$5-1))))</f>
        <v>-0.0</v>
      </c>
      <c r="F20" s="228">
        <f>-(((F$6*NybFastighetsskötsel+F$7*BefFastighetsskötsel)*(1+Inflation)^(F5-1))*(IF($D$4+Höjnin1&lt;='4. NPV'!F$4,TioÅrFastighetsskötsel,0)+IF($D$4+Höjning2&lt;='4. NPV'!F$4,FemtonÅrFastighetsskötsel,0))+((F$6*NybFastighetsskötsel+F$7*BefFastighetsskötsel)*((1+Inflation)^('4. NPV'!F$5-1))))</f>
        <v>-0.0</v>
      </c>
      <c r="G20" s="228">
        <f>-(((G$6*NybFastighetsskötsel+G$7*BefFastighetsskötsel)*(1+Inflation)^(G5-1))*(IF($D$4+Höjnin1&lt;='4. NPV'!G$4,TioÅrFastighetsskötsel,0)+IF($D$4+Höjning2&lt;='4. NPV'!G$4,FemtonÅrFastighetsskötsel,0))+((G$6*NybFastighetsskötsel+G$7*BefFastighetsskötsel)*((1+Inflation)^('4. NPV'!G$5-1))))</f>
        <v>-0.0</v>
      </c>
      <c r="H20" s="228">
        <f>-(((H$6*NybFastighetsskötsel+H$7*BefFastighetsskötsel)*(1+Inflation)^(H5-1))*(IF($D$4+Höjnin1&lt;='4. NPV'!H$4,TioÅrFastighetsskötsel,0)+IF($D$4+Höjning2&lt;='4. NPV'!H$4,FemtonÅrFastighetsskötsel,0))+((H$6*NybFastighetsskötsel+H$7*BefFastighetsskötsel)*((1+Inflation)^('4. NPV'!H$5-1))))</f>
        <v>-0.0</v>
      </c>
      <c r="I20" s="228">
        <f>-(((I$6*NybFastighetsskötsel+I$7*BefFastighetsskötsel)*(1+Inflation)^(I5-1))*(IF($D$4+Höjnin1&lt;='4. NPV'!I$4,TioÅrFastighetsskötsel,0)+IF($D$4+Höjning2&lt;='4. NPV'!I$4,FemtonÅrFastighetsskötsel,0))+((I$6*NybFastighetsskötsel+I$7*BefFastighetsskötsel)*((1+Inflation)^('4. NPV'!I$5-1))))</f>
        <v>-0.0</v>
      </c>
      <c r="J20" s="228">
        <f>-(((J$6*NybFastighetsskötsel+J$7*BefFastighetsskötsel)*(1+Inflation)^(J5-1))*(IF($D$4+Höjnin1&lt;='4. NPV'!J$4,TioÅrFastighetsskötsel,0)+IF($D$4+Höjning2&lt;='4. NPV'!J$4,FemtonÅrFastighetsskötsel,0))+((J$6*NybFastighetsskötsel+J$7*BefFastighetsskötsel)*((1+Inflation)^('4. NPV'!J$5-1))))</f>
        <v>-0.0</v>
      </c>
      <c r="K20" s="228">
        <f>-(((K$6*NybFastighetsskötsel+K$7*BefFastighetsskötsel)*(1+Inflation)^(K5-1))*(IF($D$4+Höjnin1&lt;='4. NPV'!K$4,TioÅrFastighetsskötsel,0)+IF($D$4+Höjning2&lt;='4. NPV'!K$4,FemtonÅrFastighetsskötsel,0))+((K$6*NybFastighetsskötsel+K$7*BefFastighetsskötsel)*((1+Inflation)^('4. NPV'!K$5-1))))</f>
        <v>-0.0</v>
      </c>
      <c r="L20" s="228">
        <f>-(((L$6*NybFastighetsskötsel+L$7*BefFastighetsskötsel)*(1+Inflation)^(L5-1))*(IF($D$4+Höjnin1&lt;='4. NPV'!L$4,TioÅrFastighetsskötsel,0)+IF($D$4+Höjning2&lt;='4. NPV'!L$4,FemtonÅrFastighetsskötsel,0))+((L$6*NybFastighetsskötsel+L$7*BefFastighetsskötsel)*((1+Inflation)^('4. NPV'!L$5-1))))</f>
        <v>-0.0</v>
      </c>
      <c r="M20" s="228">
        <f>-(((M$6*NybFastighetsskötsel+M$7*BefFastighetsskötsel)*(1+Inflation)^(M5-1))*(IF($D$4+Höjnin1&lt;='4. NPV'!M$4,TioÅrFastighetsskötsel,0)+IF($D$4+Höjning2&lt;='4. NPV'!M$4,FemtonÅrFastighetsskötsel,0))+((M$6*NybFastighetsskötsel+M$7*BefFastighetsskötsel)*((1+Inflation)^('4. NPV'!M$5-1))))</f>
        <v>-0.0</v>
      </c>
      <c r="N20" s="228">
        <f>-(((N$6*NybFastighetsskötsel+N$7*BefFastighetsskötsel)*(1+Inflation)^(N5-1))*(IF($D$4+Höjnin1&lt;='4. NPV'!N$4,TioÅrFastighetsskötsel,0)+IF($D$4+Höjning2&lt;='4. NPV'!N$4,FemtonÅrFastighetsskötsel,0))+((N$6*NybFastighetsskötsel+N$7*BefFastighetsskötsel)*((1+Inflation)^('4. NPV'!N$5-1))))</f>
        <v>-0.0</v>
      </c>
      <c r="O20" s="228">
        <f>-(((O$6*NybFastighetsskötsel+O$7*BefFastighetsskötsel)*(1+Inflation)^(O5-1))*(IF($D$4+Höjnin1&lt;='4. NPV'!O$4,TioÅrFastighetsskötsel,0)+IF($D$4+Höjning2&lt;='4. NPV'!O$4,FemtonÅrFastighetsskötsel,0))+((O$6*NybFastighetsskötsel+O$7*BefFastighetsskötsel)*((1+Inflation)^('4. NPV'!O$5-1))))</f>
        <v>-0.0</v>
      </c>
      <c r="P20" s="228">
        <f>-(((P$6*NybFastighetsskötsel+P$7*BefFastighetsskötsel)*(1+Inflation)^(P5-1))*(IF($D$4+Höjnin1&lt;='4. NPV'!P$4,TioÅrFastighetsskötsel,0)+IF($D$4+Höjning2&lt;='4. NPV'!P$4,FemtonÅrFastighetsskötsel,0))+((P$6*NybFastighetsskötsel+P$7*BefFastighetsskötsel)*((1+Inflation)^('4. NPV'!P$5-1))))</f>
        <v>-0.0</v>
      </c>
      <c r="Q20" s="228">
        <f>-(((Q$6*NybFastighetsskötsel+Q$7*BefFastighetsskötsel)*(1+Inflation)^(Q5-1))*(IF($D$4+Höjnin1&lt;='4. NPV'!Q$4,TioÅrFastighetsskötsel,0)+IF($D$4+Höjning2&lt;='4. NPV'!Q$4,FemtonÅrFastighetsskötsel,0))+((Q$6*NybFastighetsskötsel+Q$7*BefFastighetsskötsel)*((1+Inflation)^('4. NPV'!Q$5-1))))</f>
        <v>-0.0</v>
      </c>
      <c r="R20" s="228">
        <f>-(((R$6*NybFastighetsskötsel+R$7*BefFastighetsskötsel)*(1+Inflation)^(R5-1))*(IF($D$4+Höjnin1&lt;='4. NPV'!R$4,TioÅrFastighetsskötsel,0)+IF($D$4+Höjning2&lt;='4. NPV'!R$4,FemtonÅrFastighetsskötsel,0))+((R$6*NybFastighetsskötsel+R$7*BefFastighetsskötsel)*((1+Inflation)^('4. NPV'!R$5-1))))</f>
        <v>-0.0</v>
      </c>
      <c r="S20" s="228">
        <f>-(((S$6*NybFastighetsskötsel+S$7*BefFastighetsskötsel)*(1+Inflation)^(S5-1))*(IF($D$4+Höjnin1&lt;='4. NPV'!S$4,TioÅrFastighetsskötsel,0)+IF($D$4+Höjning2&lt;='4. NPV'!S$4,FemtonÅrFastighetsskötsel,0))+((S$6*NybFastighetsskötsel+S$7*BefFastighetsskötsel)*((1+Inflation)^('4. NPV'!S$5-1))))</f>
        <v>-0.0</v>
      </c>
      <c r="T20" s="228">
        <f>-(((T$6*NybFastighetsskötsel+T$7*BefFastighetsskötsel)*(1+Inflation)^(T5-1))*(IF($D$4+Höjnin1&lt;='4. NPV'!T$4,TioÅrFastighetsskötsel,0)+IF($D$4+Höjning2&lt;='4. NPV'!T$4,FemtonÅrFastighetsskötsel,0))+((T$6*NybFastighetsskötsel+T$7*BefFastighetsskötsel)*((1+Inflation)^('4. NPV'!T$5-1))))</f>
        <v>-0.0</v>
      </c>
      <c r="U20" s="228">
        <f>-(((U$6*NybFastighetsskötsel+U$7*BefFastighetsskötsel)*(1+Inflation)^(U5-1))*(IF($D$4+Höjnin1&lt;='4. NPV'!U$4,TioÅrFastighetsskötsel,0)+IF($D$4+Höjning2&lt;='4. NPV'!U$4,FemtonÅrFastighetsskötsel,0))+((U$6*NybFastighetsskötsel+U$7*BefFastighetsskötsel)*((1+Inflation)^('4. NPV'!U$5-1))))</f>
        <v>-0.0</v>
      </c>
      <c r="V20" s="228">
        <f>-(((V$6*NybFastighetsskötsel+V$7*BefFastighetsskötsel)*(1+Inflation)^(V5-1))*(IF($D$4+Höjnin1&lt;='4. NPV'!V$4,TioÅrFastighetsskötsel,0)+IF($D$4+Höjning2&lt;='4. NPV'!V$4,FemtonÅrFastighetsskötsel,0))+((V$6*NybFastighetsskötsel+V$7*BefFastighetsskötsel)*((1+Inflation)^('4. NPV'!V$5-1))))</f>
        <v>-0.0</v>
      </c>
      <c r="W20" s="228">
        <f>-(((W$6*NybFastighetsskötsel+W$7*BefFastighetsskötsel)*(1+Inflation)^(W5-1))*(IF($D$4+Höjnin1&lt;='4. NPV'!W$4,TioÅrFastighetsskötsel,0)+IF($D$4+Höjning2&lt;='4. NPV'!W$4,FemtonÅrFastighetsskötsel,0))+((W$6*NybFastighetsskötsel+W$7*BefFastighetsskötsel)*((1+Inflation)^('4. NPV'!W$5-1))))</f>
        <v>-0.0</v>
      </c>
      <c r="X20" s="228">
        <f>-(((X$6*NybFastighetsskötsel+X$7*BefFastighetsskötsel)*(1+Inflation)^(X5-1))*(IF($D$4+Höjnin1&lt;='4. NPV'!X$4,TioÅrFastighetsskötsel,0)+IF($D$4+Höjning2&lt;='4. NPV'!X$4,FemtonÅrFastighetsskötsel,0))+((X$6*NybFastighetsskötsel+X$7*BefFastighetsskötsel)*((1+Inflation)^('4. NPV'!X$5-1))))</f>
        <v>-0.0</v>
      </c>
      <c r="Y20" s="228">
        <f>-(((Y$6*NybFastighetsskötsel+Y$7*BefFastighetsskötsel)*(1+Inflation)^(Y5-1))*(IF($D$4+Höjnin1&lt;='4. NPV'!Y$4,TioÅrFastighetsskötsel,0)+IF($D$4+Höjning2&lt;='4. NPV'!Y$4,FemtonÅrFastighetsskötsel,0))+((Y$6*NybFastighetsskötsel+Y$7*BefFastighetsskötsel)*((1+Inflation)^('4. NPV'!Y$5-1))))</f>
        <v>-0.0</v>
      </c>
      <c r="Z20" s="228">
        <f>-(((Z$6*NybFastighetsskötsel+Z$7*BefFastighetsskötsel)*(1+Inflation)^(Z5-1))*(IF($D$4+Höjnin1&lt;='4. NPV'!Z$4,TioÅrFastighetsskötsel,0)+IF($D$4+Höjning2&lt;='4. NPV'!Z$4,FemtonÅrFastighetsskötsel,0))+((Z$6*NybFastighetsskötsel+Z$7*BefFastighetsskötsel)*((1+Inflation)^('4. NPV'!Z$5-1))))</f>
        <v>-0.0</v>
      </c>
      <c r="AA20" s="228">
        <f>-(((AA$6*NybFastighetsskötsel+AA$7*BefFastighetsskötsel)*(1+Inflation)^(AA5-1))*(IF($D$4+Höjnin1&lt;='4. NPV'!AA$4,TioÅrFastighetsskötsel,0)+IF($D$4+Höjning2&lt;='4. NPV'!AA$4,FemtonÅrFastighetsskötsel,0))+((AA$6*NybFastighetsskötsel+AA$7*BefFastighetsskötsel)*((1+Inflation)^('4. NPV'!AA$5-1))))</f>
        <v>-0.0</v>
      </c>
      <c r="AB20" s="228">
        <f>-(((AB$6*NybFastighetsskötsel+AB$7*BefFastighetsskötsel)*(1+Inflation)^(AB5-1))*(IF($D$4+Höjnin1&lt;='4. NPV'!AB$4,TioÅrFastighetsskötsel,0)+IF($D$4+Höjning2&lt;='4. NPV'!AB$4,FemtonÅrFastighetsskötsel,0))+((AB$6*NybFastighetsskötsel+AB$7*BefFastighetsskötsel)*((1+Inflation)^('4. NPV'!AB$5-1))))</f>
        <v>-0.0</v>
      </c>
      <c r="AC20" s="228">
        <f>-(((AC$6*NybFastighetsskötsel+AC$7*BefFastighetsskötsel)*(1+Inflation)^(AC5-1))*(IF($D$4+Höjnin1&lt;='4. NPV'!AC$4,TioÅrFastighetsskötsel,0)+IF($D$4+Höjning2&lt;='4. NPV'!AC$4,FemtonÅrFastighetsskötsel,0))+((AC$6*NybFastighetsskötsel+AC$7*BefFastighetsskötsel)*((1+Inflation)^('4. NPV'!AC$5-1))))</f>
        <v>-0.0</v>
      </c>
      <c r="AD20" s="228">
        <f>-(((AD$6*NybFastighetsskötsel+AD$7*BefFastighetsskötsel)*(1+Inflation)^(AD5-1))*(IF($D$4+Höjnin1&lt;='4. NPV'!AD$4,TioÅrFastighetsskötsel,0)+IF($D$4+Höjning2&lt;='4. NPV'!AD$4,FemtonÅrFastighetsskötsel,0))+((AD$6*NybFastighetsskötsel+AD$7*BefFastighetsskötsel)*((1+Inflation)^('4. NPV'!AD$5-1))))</f>
        <v>-0.0</v>
      </c>
      <c r="AE20" s="228">
        <f>-(((AE$6*NybFastighetsskötsel+AE$7*BefFastighetsskötsel)*(1+Inflation)^(AE5-1))*(IF($D$4+Höjnin1&lt;='4. NPV'!AE$4,TioÅrFastighetsskötsel,0)+IF($D$4+Höjning2&lt;='4. NPV'!AE$4,FemtonÅrFastighetsskötsel,0))+((AE$6*NybFastighetsskötsel+AE$7*BefFastighetsskötsel)*((1+Inflation)^('4. NPV'!AE$5-1))))</f>
        <v>-0.0</v>
      </c>
      <c r="AF20" s="228">
        <f>-(((AF$6*NybFastighetsskötsel+AF$7*BefFastighetsskötsel)*(1+Inflation)^(AF5-1))*(IF($D$4+Höjnin1&lt;='4. NPV'!AF$4,TioÅrFastighetsskötsel,0)+IF($D$4+Höjning2&lt;='4. NPV'!AF$4,FemtonÅrFastighetsskötsel,0))+((AF$6*NybFastighetsskötsel+AF$7*BefFastighetsskötsel)*((1+Inflation)^('4. NPV'!AF$5-1))))</f>
        <v>-0.0</v>
      </c>
      <c r="AG20" s="228">
        <f>-(((AG$6*NybFastighetsskötsel+AG$7*BefFastighetsskötsel)*(1+Inflation)^(AG5-1))*(IF($D$4+Höjnin1&lt;='4. NPV'!AG$4,TioÅrFastighetsskötsel,0)+IF($D$4+Höjning2&lt;='4. NPV'!AG$4,FemtonÅrFastighetsskötsel,0))+((AG$6*NybFastighetsskötsel+AG$7*BefFastighetsskötsel)*((1+Inflation)^('4. NPV'!AG$5-1))))</f>
        <v>-0.0</v>
      </c>
      <c r="AH20" s="228">
        <f>-(((AH$6*NybFastighetsskötsel+AH$7*BefFastighetsskötsel)*(1+Inflation)^(AH5-1))*(IF($D$4+Höjnin1&lt;='4. NPV'!AH$4,TioÅrFastighetsskötsel,0)+IF($D$4+Höjning2&lt;='4. NPV'!AH$4,FemtonÅrFastighetsskötsel,0))+((AH$6*NybFastighetsskötsel+AH$7*BefFastighetsskötsel)*((1+Inflation)^('4. NPV'!AH$5-1))))</f>
        <v>-0.0</v>
      </c>
      <c r="AI20" s="228">
        <f>-(((AI$6*NybFastighetsskötsel+AI$7*BefFastighetsskötsel)*(1+Inflation)^(AI5-1))*(IF($D$4+Höjnin1&lt;='4. NPV'!AI$4,TioÅrFastighetsskötsel,0)+IF($D$4+Höjning2&lt;='4. NPV'!AI$4,FemtonÅrFastighetsskötsel,0))+((AI$6*NybFastighetsskötsel+AI$7*BefFastighetsskötsel)*((1+Inflation)^('4. NPV'!AI$5-1))))</f>
        <v>-0.0</v>
      </c>
      <c r="AJ20" s="228">
        <f>-(((AJ$6*NybFastighetsskötsel+AJ$7*BefFastighetsskötsel)*(1+Inflation)^(AJ5-1))*(IF($D$4+Höjnin1&lt;='4. NPV'!AJ$4,TioÅrFastighetsskötsel,0)+IF($D$4+Höjning2&lt;='4. NPV'!AJ$4,FemtonÅrFastighetsskötsel,0))+((AJ$6*NybFastighetsskötsel+AJ$7*BefFastighetsskötsel)*((1+Inflation)^('4. NPV'!AJ$5-1))))</f>
        <v>-0.0</v>
      </c>
      <c r="AK20" s="228">
        <f>-(((AK$6*NybFastighetsskötsel+AK$7*BefFastighetsskötsel)*(1+Inflation)^(AK5-1))*(IF($D$4+Höjnin1&lt;='4. NPV'!AK$4,TioÅrFastighetsskötsel,0)+IF($D$4+Höjning2&lt;='4. NPV'!AK$4,FemtonÅrFastighetsskötsel,0))+((AK$6*NybFastighetsskötsel+AK$7*BefFastighetsskötsel)*((1+Inflation)^('4. NPV'!AK$5-1))))</f>
        <v>-0.0</v>
      </c>
      <c r="AL20" s="228">
        <f>-(((AL$6*NybFastighetsskötsel+AL$7*BefFastighetsskötsel)*(1+Inflation)^(AL5-1))*(IF($D$4+Höjnin1&lt;='4. NPV'!AL$4,TioÅrFastighetsskötsel,0)+IF($D$4+Höjning2&lt;='4. NPV'!AL$4,FemtonÅrFastighetsskötsel,0))+((AL$6*NybFastighetsskötsel+AL$7*BefFastighetsskötsel)*((1+Inflation)^('4. NPV'!AL$5-1))))</f>
        <v>-0.0</v>
      </c>
      <c r="AM20" s="228">
        <f>-(((AM$6*NybFastighetsskötsel+AM$7*BefFastighetsskötsel)*(1+Inflation)^(AM5-1))*(IF($D$4+Höjnin1&lt;='4. NPV'!AM$4,TioÅrFastighetsskötsel,0)+IF($D$4+Höjning2&lt;='4. NPV'!AM$4,FemtonÅrFastighetsskötsel,0))+((AM$6*NybFastighetsskötsel+AM$7*BefFastighetsskötsel)*((1+Inflation)^('4. NPV'!AM$5-1))))</f>
        <v>-0.0</v>
      </c>
      <c r="AN20" s="228">
        <f>-(((AN$6*NybFastighetsskötsel+AN$7*BefFastighetsskötsel)*(1+Inflation)^(AN5-1))*(IF($D$4+Höjnin1&lt;='4. NPV'!AN$4,TioÅrFastighetsskötsel,0)+IF($D$4+Höjning2&lt;='4. NPV'!AN$4,FemtonÅrFastighetsskötsel,0))+((AN$6*NybFastighetsskötsel+AN$7*BefFastighetsskötsel)*((1+Inflation)^('4. NPV'!AN$5-1))))</f>
        <v>-0.0</v>
      </c>
      <c r="AO20" s="228">
        <f>-(((AO$6*NybFastighetsskötsel+AO$7*BefFastighetsskötsel)*(1+Inflation)^(AO5-1))*(IF($D$4+Höjnin1&lt;='4. NPV'!AO$4,TioÅrFastighetsskötsel,0)+IF($D$4+Höjning2&lt;='4. NPV'!AO$4,FemtonÅrFastighetsskötsel,0))+((AO$6*NybFastighetsskötsel+AO$7*BefFastighetsskötsel)*((1+Inflation)^('4. NPV'!AO$5-1))))</f>
        <v>-0.0</v>
      </c>
      <c r="AP20" s="228">
        <f>-(((AP$6*NybFastighetsskötsel+AP$7*BefFastighetsskötsel)*(1+Inflation)^(AP5-1))*(IF($D$4+Höjnin1&lt;='4. NPV'!AP$4,TioÅrFastighetsskötsel,0)+IF($D$4+Höjning2&lt;='4. NPV'!AP$4,FemtonÅrFastighetsskötsel,0))+((AP$6*NybFastighetsskötsel+AP$7*BefFastighetsskötsel)*((1+Inflation)^('4. NPV'!AP$5-1))))</f>
        <v>-0.0</v>
      </c>
      <c r="AQ20" s="228">
        <f>-(((AQ$6*NybFastighetsskötsel+AQ$7*BefFastighetsskötsel)*(1+Inflation)^(AQ5-1))*(IF($D$4+Höjnin1&lt;='4. NPV'!AQ$4,TioÅrFastighetsskötsel,0)+IF($D$4+Höjning2&lt;='4. NPV'!AQ$4,FemtonÅrFastighetsskötsel,0))+((AQ$6*NybFastighetsskötsel+AQ$7*BefFastighetsskötsel)*((1+Inflation)^('4. NPV'!AQ$5-1))))</f>
        <v>-0.0</v>
      </c>
      <c r="AR20" s="228">
        <f>-(((AR$6*NybFastighetsskötsel+AR$7*BefFastighetsskötsel)*(1+Inflation)^(AR5-1))*(IF($D$4+Höjnin1&lt;='4. NPV'!AR$4,TioÅrFastighetsskötsel,0)+IF($D$4+Höjning2&lt;='4. NPV'!AR$4,FemtonÅrFastighetsskötsel,0))+((AR$6*NybFastighetsskötsel+AR$7*BefFastighetsskötsel)*((1+Inflation)^('4. NPV'!AR$5-1))))</f>
        <v>-0.0</v>
      </c>
      <c r="AS20" s="228">
        <f>-(((AS$6*NybFastighetsskötsel+AS$7*BefFastighetsskötsel)*(1+Inflation)^(AS5-1))*(IF($D$4+Höjnin1&lt;='4. NPV'!AS$4,TioÅrFastighetsskötsel,0)+IF($D$4+Höjning2&lt;='4. NPV'!AS$4,FemtonÅrFastighetsskötsel,0))+((AS$6*NybFastighetsskötsel+AS$7*BefFastighetsskötsel)*((1+Inflation)^('4. NPV'!AS$5-1))))</f>
        <v>-0.0</v>
      </c>
      <c r="AT20" s="228">
        <f>-(((AT$6*NybFastighetsskötsel+AT$7*BefFastighetsskötsel)*(1+Inflation)^(AT5-1))*(IF($D$4+Höjnin1&lt;='4. NPV'!AT$4,TioÅrFastighetsskötsel,0)+IF($D$4+Höjning2&lt;='4. NPV'!AT$4,FemtonÅrFastighetsskötsel,0))+((AT$6*NybFastighetsskötsel+AT$7*BefFastighetsskötsel)*((1+Inflation)^('4. NPV'!AT$5-1))))</f>
        <v>-0.0</v>
      </c>
      <c r="AU20" s="228">
        <f>-(((AU$6*NybFastighetsskötsel+AU$7*BefFastighetsskötsel)*(1+Inflation)^(AU5-1))*(IF($D$4+Höjnin1&lt;='4. NPV'!AU$4,TioÅrFastighetsskötsel,0)+IF($D$4+Höjning2&lt;='4. NPV'!AU$4,FemtonÅrFastighetsskötsel,0))+((AU$6*NybFastighetsskötsel+AU$7*BefFastighetsskötsel)*((1+Inflation)^('4. NPV'!AU$5-1))))</f>
        <v>-0.0</v>
      </c>
      <c r="AV20" s="228">
        <f>-(((AV$6*NybFastighetsskötsel+AV$7*BefFastighetsskötsel)*(1+Inflation)^(AV5-1))*(IF($D$4+Höjnin1&lt;='4. NPV'!AV$4,TioÅrFastighetsskötsel,0)+IF($D$4+Höjning2&lt;='4. NPV'!AV$4,FemtonÅrFastighetsskötsel,0))+((AV$6*NybFastighetsskötsel+AV$7*BefFastighetsskötsel)*((1+Inflation)^('4. NPV'!AV$5-1))))</f>
        <v>-0.0</v>
      </c>
      <c r="AW20" s="228">
        <f>-(((AW$6*NybFastighetsskötsel+AW$7*BefFastighetsskötsel)*(1+Inflation)^(AW5-1))*(IF($D$4+Höjnin1&lt;='4. NPV'!AW$4,TioÅrFastighetsskötsel,0)+IF($D$4+Höjning2&lt;='4. NPV'!AW$4,FemtonÅrFastighetsskötsel,0))+((AW$6*NybFastighetsskötsel+AW$7*BefFastighetsskötsel)*((1+Inflation)^('4. NPV'!AW$5-1))))</f>
        <v>-0.0</v>
      </c>
      <c r="AX20" s="228">
        <f>-(((AX$6*NybFastighetsskötsel+AX$7*BefFastighetsskötsel)*(1+Inflation)^(AX5-1))*(IF($D$4+Höjnin1&lt;='4. NPV'!AX$4,TioÅrFastighetsskötsel,0)+IF($D$4+Höjning2&lt;='4. NPV'!AX$4,FemtonÅrFastighetsskötsel,0))+((AX$6*NybFastighetsskötsel+AX$7*BefFastighetsskötsel)*((1+Inflation)^('4. NPV'!AX$5-1))))</f>
        <v>-0.0</v>
      </c>
      <c r="AY20" s="228">
        <f>-(((AY$6*NybFastighetsskötsel+AY$7*BefFastighetsskötsel)*(1+Inflation)^(AY5-1))*(IF($D$4+Höjnin1&lt;='4. NPV'!AY$4,TioÅrFastighetsskötsel,0)+IF($D$4+Höjning2&lt;='4. NPV'!AY$4,FemtonÅrFastighetsskötsel,0))+((AY$6*NybFastighetsskötsel+AY$7*BefFastighetsskötsel)*((1+Inflation)^('4. NPV'!AY$5-1))))</f>
        <v>-0.0</v>
      </c>
      <c r="AZ20" s="228">
        <f>-(((AZ$6*NybFastighetsskötsel+AZ$7*BefFastighetsskötsel)*(1+Inflation)^(AZ5-1))*(IF($D$4+Höjnin1&lt;='4. NPV'!AZ$4,TioÅrFastighetsskötsel,0)+IF($D$4+Höjning2&lt;='4. NPV'!AZ$4,FemtonÅrFastighetsskötsel,0))+((AZ$6*NybFastighetsskötsel+AZ$7*BefFastighetsskötsel)*((1+Inflation)^('4. NPV'!AZ$5-1))))</f>
        <v>-0.0</v>
      </c>
      <c r="BA20" s="228">
        <f>-(((BA$6*NybFastighetsskötsel+BA$7*BefFastighetsskötsel)*(1+Inflation)^(BA5-1))*(IF($D$4+Höjnin1&lt;='4. NPV'!BA$4,TioÅrFastighetsskötsel,0)+IF($D$4+Höjning2&lt;='4. NPV'!BA$4,FemtonÅrFastighetsskötsel,0))+((BA$6*NybFastighetsskötsel+BA$7*BefFastighetsskötsel)*((1+Inflation)^('4. NPV'!BA$5-1))))</f>
        <v>-0.0</v>
      </c>
      <c r="BB20" s="494"/>
    </row>
    <row r="21" spans="2:54" s="19" customFormat="1" ht="15">
      <c r="B21" s="227" t="s">
        <v>232</v>
      </c>
      <c r="C21" s="327">
        <f>IFERROR($D21/$C$8,"")</f>
        <v>-0.0</v>
      </c>
      <c r="D21" s="228">
        <f>-(((D$6*NybReparationer+D$7*BefReparationer)*(1+Inflation)^(D5-1))*(IF($D$4+Höjnin1&lt;='4. NPV'!D$4,TioÅrReparationer,0)+IF($D$4+Höjning2&lt;='4. NPV'!D$4,FemtonÅrReparationer,0))+((D$6*NybReparationer+D$7*BefReparationer)*((1+Inflation)^('4. NPV'!D$5-1))))</f>
        <v>-0.0</v>
      </c>
      <c r="E21" s="228">
        <f>-(((E$6*NybReparationer+E$7*BefReparationer)*(1+Inflation)^(E5-1))*(IF($D$4+Höjnin1&lt;='4. NPV'!E$4,TioÅrReparationer,0)+IF($D$4+Höjning2&lt;='4. NPV'!E$4,FemtonÅrReparationer,0))+((E$6*NybReparationer+E$7*BefReparationer)*((1+Inflation)^('4. NPV'!E$5-1))))</f>
        <v>-0.0</v>
      </c>
      <c r="F21" s="228">
        <f>-(((F$6*NybReparationer+F$7*BefReparationer)*(1+Inflation)^(F5-1))*(IF($D$4+Höjnin1&lt;='4. NPV'!F$4,TioÅrReparationer,0)+IF($D$4+Höjning2&lt;='4. NPV'!F$4,FemtonÅrReparationer,0))+((F$6*NybReparationer+F$7*BefReparationer)*((1+Inflation)^('4. NPV'!F$5-1))))</f>
        <v>-0.0</v>
      </c>
      <c r="G21" s="228">
        <f>-(((G$6*NybReparationer+G$7*BefReparationer)*(1+Inflation)^(G5-1))*(IF($D$4+Höjnin1&lt;='4. NPV'!G$4,TioÅrReparationer,0)+IF($D$4+Höjning2&lt;='4. NPV'!G$4,FemtonÅrReparationer,0))+((G$6*NybReparationer+G$7*BefReparationer)*((1+Inflation)^('4. NPV'!G$5-1))))</f>
        <v>-0.0</v>
      </c>
      <c r="H21" s="228">
        <f>-(((H$6*NybReparationer+H$7*BefReparationer)*(1+Inflation)^(H5-1))*(IF($D$4+Höjnin1&lt;='4. NPV'!H$4,TioÅrReparationer,0)+IF($D$4+Höjning2&lt;='4. NPV'!H$4,FemtonÅrReparationer,0))+((H$6*NybReparationer+H$7*BefReparationer)*((1+Inflation)^('4. NPV'!H$5-1))))</f>
        <v>-0.0</v>
      </c>
      <c r="I21" s="228">
        <f>-(((I$6*NybReparationer+I$7*BefReparationer)*(1+Inflation)^(I5-1))*(IF($D$4+Höjnin1&lt;='4. NPV'!I$4,TioÅrReparationer,0)+IF($D$4+Höjning2&lt;='4. NPV'!I$4,FemtonÅrReparationer,0))+((I$6*NybReparationer+I$7*BefReparationer)*((1+Inflation)^('4. NPV'!I$5-1))))</f>
        <v>-0.0</v>
      </c>
      <c r="J21" s="228">
        <f>-(((J$6*NybReparationer+J$7*BefReparationer)*(1+Inflation)^(J5-1))*(IF($D$4+Höjnin1&lt;='4. NPV'!J$4,TioÅrReparationer,0)+IF($D$4+Höjning2&lt;='4. NPV'!J$4,FemtonÅrReparationer,0))+((J$6*NybReparationer+J$7*BefReparationer)*((1+Inflation)^('4. NPV'!J$5-1))))</f>
        <v>-0.0</v>
      </c>
      <c r="K21" s="228">
        <f>-(((K$6*NybReparationer+K$7*BefReparationer)*(1+Inflation)^(K5-1))*(IF($D$4+Höjnin1&lt;='4. NPV'!K$4,TioÅrReparationer,0)+IF($D$4+Höjning2&lt;='4. NPV'!K$4,FemtonÅrReparationer,0))+((K$6*NybReparationer+K$7*BefReparationer)*((1+Inflation)^('4. NPV'!K$5-1))))</f>
        <v>-0.0</v>
      </c>
      <c r="L21" s="228">
        <f>-(((L$6*NybReparationer+L$7*BefReparationer)*(1+Inflation)^(L5-1))*(IF($D$4+Höjnin1&lt;='4. NPV'!L$4,TioÅrReparationer,0)+IF($D$4+Höjning2&lt;='4. NPV'!L$4,FemtonÅrReparationer,0))+((L$6*NybReparationer+L$7*BefReparationer)*((1+Inflation)^('4. NPV'!L$5-1))))</f>
        <v>-0.0</v>
      </c>
      <c r="M21" s="228">
        <f>-(((M$6*NybReparationer+M$7*BefReparationer)*(1+Inflation)^(M5-1))*(IF($D$4+Höjnin1&lt;='4. NPV'!M$4,TioÅrReparationer,0)+IF($D$4+Höjning2&lt;='4. NPV'!M$4,FemtonÅrReparationer,0))+((M$6*NybReparationer+M$7*BefReparationer)*((1+Inflation)^('4. NPV'!M$5-1))))</f>
        <v>-0.0</v>
      </c>
      <c r="N21" s="228">
        <f>-(((N$6*NybReparationer+N$7*BefReparationer)*(1+Inflation)^(N5-1))*(IF($D$4+Höjnin1&lt;='4. NPV'!N$4,TioÅrReparationer,0)+IF($D$4+Höjning2&lt;='4. NPV'!N$4,FemtonÅrReparationer,0))+((N$6*NybReparationer+N$7*BefReparationer)*((1+Inflation)^('4. NPV'!N$5-1))))</f>
        <v>-0.0</v>
      </c>
      <c r="O21" s="228">
        <f>-(((O$6*NybReparationer+O$7*BefReparationer)*(1+Inflation)^(O5-1))*(IF($D$4+Höjnin1&lt;='4. NPV'!O$4,TioÅrReparationer,0)+IF($D$4+Höjning2&lt;='4. NPV'!O$4,FemtonÅrReparationer,0))+((O$6*NybReparationer+O$7*BefReparationer)*((1+Inflation)^('4. NPV'!O$5-1))))</f>
        <v>-0.0</v>
      </c>
      <c r="P21" s="228">
        <f>-(((P$6*NybReparationer+P$7*BefReparationer)*(1+Inflation)^(P5-1))*(IF($D$4+Höjnin1&lt;='4. NPV'!P$4,TioÅrReparationer,0)+IF($D$4+Höjning2&lt;='4. NPV'!P$4,FemtonÅrReparationer,0))+((P$6*NybReparationer+P$7*BefReparationer)*((1+Inflation)^('4. NPV'!P$5-1))))</f>
        <v>-0.0</v>
      </c>
      <c r="Q21" s="228">
        <f>-(((Q$6*NybReparationer+Q$7*BefReparationer)*(1+Inflation)^(Q5-1))*(IF($D$4+Höjnin1&lt;='4. NPV'!Q$4,TioÅrReparationer,0)+IF($D$4+Höjning2&lt;='4. NPV'!Q$4,FemtonÅrReparationer,0))+((Q$6*NybReparationer+Q$7*BefReparationer)*((1+Inflation)^('4. NPV'!Q$5-1))))</f>
        <v>-0.0</v>
      </c>
      <c r="R21" s="228">
        <f>-(((R$6*NybReparationer+R$7*BefReparationer)*(1+Inflation)^(R5-1))*(IF($D$4+Höjnin1&lt;='4. NPV'!R$4,TioÅrReparationer,0)+IF($D$4+Höjning2&lt;='4. NPV'!R$4,FemtonÅrReparationer,0))+((R$6*NybReparationer+R$7*BefReparationer)*((1+Inflation)^('4. NPV'!R$5-1))))</f>
        <v>-0.0</v>
      </c>
      <c r="S21" s="228">
        <f>-(((S$6*NybReparationer+S$7*BefReparationer)*(1+Inflation)^(S5-1))*(IF($D$4+Höjnin1&lt;='4. NPV'!S$4,TioÅrReparationer,0)+IF($D$4+Höjning2&lt;='4. NPV'!S$4,FemtonÅrReparationer,0))+((S$6*NybReparationer+S$7*BefReparationer)*((1+Inflation)^('4. NPV'!S$5-1))))</f>
        <v>-0.0</v>
      </c>
      <c r="T21" s="228">
        <f>-(((T$6*NybReparationer+T$7*BefReparationer)*(1+Inflation)^(T5-1))*(IF($D$4+Höjnin1&lt;='4. NPV'!T$4,TioÅrReparationer,0)+IF($D$4+Höjning2&lt;='4. NPV'!T$4,FemtonÅrReparationer,0))+((T$6*NybReparationer+T$7*BefReparationer)*((1+Inflation)^('4. NPV'!T$5-1))))</f>
        <v>-0.0</v>
      </c>
      <c r="U21" s="228">
        <f>-(((U$6*NybReparationer+U$7*BefReparationer)*(1+Inflation)^(U5-1))*(IF($D$4+Höjnin1&lt;='4. NPV'!U$4,TioÅrReparationer,0)+IF($D$4+Höjning2&lt;='4. NPV'!U$4,FemtonÅrReparationer,0))+((U$6*NybReparationer+U$7*BefReparationer)*((1+Inflation)^('4. NPV'!U$5-1))))</f>
        <v>-0.0</v>
      </c>
      <c r="V21" s="228">
        <f>-(((V$6*NybReparationer+V$7*BefReparationer)*(1+Inflation)^(V5-1))*(IF($D$4+Höjnin1&lt;='4. NPV'!V$4,TioÅrReparationer,0)+IF($D$4+Höjning2&lt;='4. NPV'!V$4,FemtonÅrReparationer,0))+((V$6*NybReparationer+V$7*BefReparationer)*((1+Inflation)^('4. NPV'!V$5-1))))</f>
        <v>-0.0</v>
      </c>
      <c r="W21" s="228">
        <f>-(((W$6*NybReparationer+W$7*BefReparationer)*(1+Inflation)^(W5-1))*(IF($D$4+Höjnin1&lt;='4. NPV'!W$4,TioÅrReparationer,0)+IF($D$4+Höjning2&lt;='4. NPV'!W$4,FemtonÅrReparationer,0))+((W$6*NybReparationer+W$7*BefReparationer)*((1+Inflation)^('4. NPV'!W$5-1))))</f>
        <v>-0.0</v>
      </c>
      <c r="X21" s="228">
        <f>-(((X$6*NybReparationer+X$7*BefReparationer)*(1+Inflation)^(X5-1))*(IF($D$4+Höjnin1&lt;='4. NPV'!X$4,TioÅrReparationer,0)+IF($D$4+Höjning2&lt;='4. NPV'!X$4,FemtonÅrReparationer,0))+((X$6*NybReparationer+X$7*BefReparationer)*((1+Inflation)^('4. NPV'!X$5-1))))</f>
        <v>-0.0</v>
      </c>
      <c r="Y21" s="228">
        <f>-(((Y$6*NybReparationer+Y$7*BefReparationer)*(1+Inflation)^(Y5-1))*(IF($D$4+Höjnin1&lt;='4. NPV'!Y$4,TioÅrReparationer,0)+IF($D$4+Höjning2&lt;='4. NPV'!Y$4,FemtonÅrReparationer,0))+((Y$6*NybReparationer+Y$7*BefReparationer)*((1+Inflation)^('4. NPV'!Y$5-1))))</f>
        <v>-0.0</v>
      </c>
      <c r="Z21" s="228">
        <f>-(((Z$6*NybReparationer+Z$7*BefReparationer)*(1+Inflation)^(Z5-1))*(IF($D$4+Höjnin1&lt;='4. NPV'!Z$4,TioÅrReparationer,0)+IF($D$4+Höjning2&lt;='4. NPV'!Z$4,FemtonÅrReparationer,0))+((Z$6*NybReparationer+Z$7*BefReparationer)*((1+Inflation)^('4. NPV'!Z$5-1))))</f>
        <v>-0.0</v>
      </c>
      <c r="AA21" s="228">
        <f>-(((AA$6*NybReparationer+AA$7*BefReparationer)*(1+Inflation)^(AA5-1))*(IF($D$4+Höjnin1&lt;='4. NPV'!AA$4,TioÅrReparationer,0)+IF($D$4+Höjning2&lt;='4. NPV'!AA$4,FemtonÅrReparationer,0))+((AA$6*NybReparationer+AA$7*BefReparationer)*((1+Inflation)^('4. NPV'!AA$5-1))))</f>
        <v>-0.0</v>
      </c>
      <c r="AB21" s="228">
        <f>-(((AB$6*NybReparationer+AB$7*BefReparationer)*(1+Inflation)^(AB5-1))*(IF($D$4+Höjnin1&lt;='4. NPV'!AB$4,TioÅrReparationer,0)+IF($D$4+Höjning2&lt;='4. NPV'!AB$4,FemtonÅrReparationer,0))+((AB$6*NybReparationer+AB$7*BefReparationer)*((1+Inflation)^('4. NPV'!AB$5-1))))</f>
        <v>-0.0</v>
      </c>
      <c r="AC21" s="228">
        <f>-(((AC$6*NybReparationer+AC$7*BefReparationer)*(1+Inflation)^(AC5-1))*(IF($D$4+Höjnin1&lt;='4. NPV'!AC$4,TioÅrReparationer,0)+IF($D$4+Höjning2&lt;='4. NPV'!AC$4,FemtonÅrReparationer,0))+((AC$6*NybReparationer+AC$7*BefReparationer)*((1+Inflation)^('4. NPV'!AC$5-1))))</f>
        <v>-0.0</v>
      </c>
      <c r="AD21" s="228">
        <f>-(((AD$6*NybReparationer+AD$7*BefReparationer)*(1+Inflation)^(AD5-1))*(IF($D$4+Höjnin1&lt;='4. NPV'!AD$4,TioÅrReparationer,0)+IF($D$4+Höjning2&lt;='4. NPV'!AD$4,FemtonÅrReparationer,0))+((AD$6*NybReparationer+AD$7*BefReparationer)*((1+Inflation)^('4. NPV'!AD$5-1))))</f>
        <v>-0.0</v>
      </c>
      <c r="AE21" s="228">
        <f>-(((AE$6*NybReparationer+AE$7*BefReparationer)*(1+Inflation)^(AE5-1))*(IF($D$4+Höjnin1&lt;='4. NPV'!AE$4,TioÅrReparationer,0)+IF($D$4+Höjning2&lt;='4. NPV'!AE$4,FemtonÅrReparationer,0))+((AE$6*NybReparationer+AE$7*BefReparationer)*((1+Inflation)^('4. NPV'!AE$5-1))))</f>
        <v>-0.0</v>
      </c>
      <c r="AF21" s="228">
        <f>-(((AF$6*NybReparationer+AF$7*BefReparationer)*(1+Inflation)^(AF5-1))*(IF($D$4+Höjnin1&lt;='4. NPV'!AF$4,TioÅrReparationer,0)+IF($D$4+Höjning2&lt;='4. NPV'!AF$4,FemtonÅrReparationer,0))+((AF$6*NybReparationer+AF$7*BefReparationer)*((1+Inflation)^('4. NPV'!AF$5-1))))</f>
        <v>-0.0</v>
      </c>
      <c r="AG21" s="228">
        <f>-(((AG$6*NybReparationer+AG$7*BefReparationer)*(1+Inflation)^(AG5-1))*(IF($D$4+Höjnin1&lt;='4. NPV'!AG$4,TioÅrReparationer,0)+IF($D$4+Höjning2&lt;='4. NPV'!AG$4,FemtonÅrReparationer,0))+((AG$6*NybReparationer+AG$7*BefReparationer)*((1+Inflation)^('4. NPV'!AG$5-1))))</f>
        <v>-0.0</v>
      </c>
      <c r="AH21" s="228">
        <f>-(((AH$6*NybReparationer+AH$7*BefReparationer)*(1+Inflation)^(AH5-1))*(IF($D$4+Höjnin1&lt;='4. NPV'!AH$4,TioÅrReparationer,0)+IF($D$4+Höjning2&lt;='4. NPV'!AH$4,FemtonÅrReparationer,0))+((AH$6*NybReparationer+AH$7*BefReparationer)*((1+Inflation)^('4. NPV'!AH$5-1))))</f>
        <v>-0.0</v>
      </c>
      <c r="AI21" s="228">
        <f>-(((AI$6*NybReparationer+AI$7*BefReparationer)*(1+Inflation)^(AI5-1))*(IF($D$4+Höjnin1&lt;='4. NPV'!AI$4,TioÅrReparationer,0)+IF($D$4+Höjning2&lt;='4. NPV'!AI$4,FemtonÅrReparationer,0))+((AI$6*NybReparationer+AI$7*BefReparationer)*((1+Inflation)^('4. NPV'!AI$5-1))))</f>
        <v>-0.0</v>
      </c>
      <c r="AJ21" s="228">
        <f>-(((AJ$6*NybReparationer+AJ$7*BefReparationer)*(1+Inflation)^(AJ5-1))*(IF($D$4+Höjnin1&lt;='4. NPV'!AJ$4,TioÅrReparationer,0)+IF($D$4+Höjning2&lt;='4. NPV'!AJ$4,FemtonÅrReparationer,0))+((AJ$6*NybReparationer+AJ$7*BefReparationer)*((1+Inflation)^('4. NPV'!AJ$5-1))))</f>
        <v>-0.0</v>
      </c>
      <c r="AK21" s="228">
        <f>-(((AK$6*NybReparationer+AK$7*BefReparationer)*(1+Inflation)^(AK5-1))*(IF($D$4+Höjnin1&lt;='4. NPV'!AK$4,TioÅrReparationer,0)+IF($D$4+Höjning2&lt;='4. NPV'!AK$4,FemtonÅrReparationer,0))+((AK$6*NybReparationer+AK$7*BefReparationer)*((1+Inflation)^('4. NPV'!AK$5-1))))</f>
        <v>-0.0</v>
      </c>
      <c r="AL21" s="228">
        <f>-(((AL$6*NybReparationer+AL$7*BefReparationer)*(1+Inflation)^(AL5-1))*(IF($D$4+Höjnin1&lt;='4. NPV'!AL$4,TioÅrReparationer,0)+IF($D$4+Höjning2&lt;='4. NPV'!AL$4,FemtonÅrReparationer,0))+((AL$6*NybReparationer+AL$7*BefReparationer)*((1+Inflation)^('4. NPV'!AL$5-1))))</f>
        <v>-0.0</v>
      </c>
      <c r="AM21" s="228">
        <f>-(((AM$6*NybReparationer+AM$7*BefReparationer)*(1+Inflation)^(AM5-1))*(IF($D$4+Höjnin1&lt;='4. NPV'!AM$4,TioÅrReparationer,0)+IF($D$4+Höjning2&lt;='4. NPV'!AM$4,FemtonÅrReparationer,0))+((AM$6*NybReparationer+AM$7*BefReparationer)*((1+Inflation)^('4. NPV'!AM$5-1))))</f>
        <v>-0.0</v>
      </c>
      <c r="AN21" s="228">
        <f>-(((AN$6*NybReparationer+AN$7*BefReparationer)*(1+Inflation)^(AN5-1))*(IF($D$4+Höjnin1&lt;='4. NPV'!AN$4,TioÅrReparationer,0)+IF($D$4+Höjning2&lt;='4. NPV'!AN$4,FemtonÅrReparationer,0))+((AN$6*NybReparationer+AN$7*BefReparationer)*((1+Inflation)^('4. NPV'!AN$5-1))))</f>
        <v>-0.0</v>
      </c>
      <c r="AO21" s="228">
        <f>-(((AO$6*NybReparationer+AO$7*BefReparationer)*(1+Inflation)^(AO5-1))*(IF($D$4+Höjnin1&lt;='4. NPV'!AO$4,TioÅrReparationer,0)+IF($D$4+Höjning2&lt;='4. NPV'!AO$4,FemtonÅrReparationer,0))+((AO$6*NybReparationer+AO$7*BefReparationer)*((1+Inflation)^('4. NPV'!AO$5-1))))</f>
        <v>-0.0</v>
      </c>
      <c r="AP21" s="228">
        <f>-(((AP$6*NybReparationer+AP$7*BefReparationer)*(1+Inflation)^(AP5-1))*(IF($D$4+Höjnin1&lt;='4. NPV'!AP$4,TioÅrReparationer,0)+IF($D$4+Höjning2&lt;='4. NPV'!AP$4,FemtonÅrReparationer,0))+((AP$6*NybReparationer+AP$7*BefReparationer)*((1+Inflation)^('4. NPV'!AP$5-1))))</f>
        <v>-0.0</v>
      </c>
      <c r="AQ21" s="228">
        <f>-(((AQ$6*NybReparationer+AQ$7*BefReparationer)*(1+Inflation)^(AQ5-1))*(IF($D$4+Höjnin1&lt;='4. NPV'!AQ$4,TioÅrReparationer,0)+IF($D$4+Höjning2&lt;='4. NPV'!AQ$4,FemtonÅrReparationer,0))+((AQ$6*NybReparationer+AQ$7*BefReparationer)*((1+Inflation)^('4. NPV'!AQ$5-1))))</f>
        <v>-0.0</v>
      </c>
      <c r="AR21" s="228">
        <f>-(((AR$6*NybReparationer+AR$7*BefReparationer)*(1+Inflation)^(AR5-1))*(IF($D$4+Höjnin1&lt;='4. NPV'!AR$4,TioÅrReparationer,0)+IF($D$4+Höjning2&lt;='4. NPV'!AR$4,FemtonÅrReparationer,0))+((AR$6*NybReparationer+AR$7*BefReparationer)*((1+Inflation)^('4. NPV'!AR$5-1))))</f>
        <v>-0.0</v>
      </c>
      <c r="AS21" s="228">
        <f>-(((AS$6*NybReparationer+AS$7*BefReparationer)*(1+Inflation)^(AS5-1))*(IF($D$4+Höjnin1&lt;='4. NPV'!AS$4,TioÅrReparationer,0)+IF($D$4+Höjning2&lt;='4. NPV'!AS$4,FemtonÅrReparationer,0))+((AS$6*NybReparationer+AS$7*BefReparationer)*((1+Inflation)^('4. NPV'!AS$5-1))))</f>
        <v>-0.0</v>
      </c>
      <c r="AT21" s="228">
        <f>-(((AT$6*NybReparationer+AT$7*BefReparationer)*(1+Inflation)^(AT5-1))*(IF($D$4+Höjnin1&lt;='4. NPV'!AT$4,TioÅrReparationer,0)+IF($D$4+Höjning2&lt;='4. NPV'!AT$4,FemtonÅrReparationer,0))+((AT$6*NybReparationer+AT$7*BefReparationer)*((1+Inflation)^('4. NPV'!AT$5-1))))</f>
        <v>-0.0</v>
      </c>
      <c r="AU21" s="228">
        <f>-(((AU$6*NybReparationer+AU$7*BefReparationer)*(1+Inflation)^(AU5-1))*(IF($D$4+Höjnin1&lt;='4. NPV'!AU$4,TioÅrReparationer,0)+IF($D$4+Höjning2&lt;='4. NPV'!AU$4,FemtonÅrReparationer,0))+((AU$6*NybReparationer+AU$7*BefReparationer)*((1+Inflation)^('4. NPV'!AU$5-1))))</f>
        <v>-0.0</v>
      </c>
      <c r="AV21" s="228">
        <f>-(((AV$6*NybReparationer+AV$7*BefReparationer)*(1+Inflation)^(AV5-1))*(IF($D$4+Höjnin1&lt;='4. NPV'!AV$4,TioÅrReparationer,0)+IF($D$4+Höjning2&lt;='4. NPV'!AV$4,FemtonÅrReparationer,0))+((AV$6*NybReparationer+AV$7*BefReparationer)*((1+Inflation)^('4. NPV'!AV$5-1))))</f>
        <v>-0.0</v>
      </c>
      <c r="AW21" s="228">
        <f>-(((AW$6*NybReparationer+AW$7*BefReparationer)*(1+Inflation)^(AW5-1))*(IF($D$4+Höjnin1&lt;='4. NPV'!AW$4,TioÅrReparationer,0)+IF($D$4+Höjning2&lt;='4. NPV'!AW$4,FemtonÅrReparationer,0))+((AW$6*NybReparationer+AW$7*BefReparationer)*((1+Inflation)^('4. NPV'!AW$5-1))))</f>
        <v>-0.0</v>
      </c>
      <c r="AX21" s="228">
        <f>-(((AX$6*NybReparationer+AX$7*BefReparationer)*(1+Inflation)^(AX5-1))*(IF($D$4+Höjnin1&lt;='4. NPV'!AX$4,TioÅrReparationer,0)+IF($D$4+Höjning2&lt;='4. NPV'!AX$4,FemtonÅrReparationer,0))+((AX$6*NybReparationer+AX$7*BefReparationer)*((1+Inflation)^('4. NPV'!AX$5-1))))</f>
        <v>-0.0</v>
      </c>
      <c r="AY21" s="228">
        <f>-(((AY$6*NybReparationer+AY$7*BefReparationer)*(1+Inflation)^(AY5-1))*(IF($D$4+Höjnin1&lt;='4. NPV'!AY$4,TioÅrReparationer,0)+IF($D$4+Höjning2&lt;='4. NPV'!AY$4,FemtonÅrReparationer,0))+((AY$6*NybReparationer+AY$7*BefReparationer)*((1+Inflation)^('4. NPV'!AY$5-1))))</f>
        <v>-0.0</v>
      </c>
      <c r="AZ21" s="228">
        <f>-(((AZ$6*NybReparationer+AZ$7*BefReparationer)*(1+Inflation)^(AZ5-1))*(IF($D$4+Höjnin1&lt;='4. NPV'!AZ$4,TioÅrReparationer,0)+IF($D$4+Höjning2&lt;='4. NPV'!AZ$4,FemtonÅrReparationer,0))+((AZ$6*NybReparationer+AZ$7*BefReparationer)*((1+Inflation)^('4. NPV'!AZ$5-1))))</f>
        <v>-0.0</v>
      </c>
      <c r="BA21" s="228">
        <f>-(((BA$6*NybReparationer+BA$7*BefReparationer)*(1+Inflation)^(BA5-1))*(IF($D$4+Höjnin1&lt;='4. NPV'!BA$4,TioÅrReparationer,0)+IF($D$4+Höjning2&lt;='4. NPV'!BA$4,FemtonÅrReparationer,0))+((BA$6*NybReparationer+BA$7*BefReparationer)*((1+Inflation)^('4. NPV'!BA$5-1))))</f>
        <v>-0.0</v>
      </c>
      <c r="BB21" s="494"/>
    </row>
    <row r="22" spans="2:54" s="19" customFormat="1" ht="15">
      <c r="B22" s="227" t="s">
        <v>233</v>
      </c>
      <c r="C22" s="327">
        <f>IFERROR($D22/$C$8,"")</f>
        <v>-0.0</v>
      </c>
      <c r="D22" s="228">
        <f>-(((D$6*NybPlaneratunderhåll+D$7*BefPlaneratunderhåll)*(1+Inflation)^(D5-1))*(IF($D$4+Höjnin1&lt;='4. NPV'!D$4,TioÅrPlaneratUnderhåll,0)+IF($D$4+Höjning2&lt;='4. NPV'!D$4,FemtonÅrPlaneratUnderhåll,0))+((D$6*NybPlaneratunderhåll+D$7*BefPlaneratunderhåll)*((1+Inflation)^('4. NPV'!D$5-1))))</f>
        <v>-0.0</v>
      </c>
      <c r="E22" s="228">
        <f>-(((E$6*NybPlaneratunderhåll+E$7*BefPlaneratunderhåll)*(1+Inflation)^(E5-1))*(IF($D$4+Höjnin1&lt;='4. NPV'!E$4,TioÅrPlaneratUnderhåll,0)+IF($D$4+Höjning2&lt;='4. NPV'!E$4,FemtonÅrPlaneratUnderhåll,0))+((E$6*NybPlaneratunderhåll+E$7*BefPlaneratunderhåll)*((1+Inflation)^('4. NPV'!E$5-1))))</f>
        <v>-0.0</v>
      </c>
      <c r="F22" s="228">
        <f>-(((F$6*NybPlaneratunderhåll+F$7*BefPlaneratunderhåll)*(1+Inflation)^(F5-1))*(IF($D$4+Höjnin1&lt;='4. NPV'!F$4,TioÅrPlaneratUnderhåll,0)+IF($D$4+Höjning2&lt;='4. NPV'!F$4,FemtonÅrPlaneratUnderhåll,0))+((F$6*NybPlaneratunderhåll+F$7*BefPlaneratunderhåll)*((1+Inflation)^('4. NPV'!F$5-1))))</f>
        <v>-0.0</v>
      </c>
      <c r="G22" s="228">
        <f>-(((G$6*NybPlaneratunderhåll+G$7*BefPlaneratunderhåll)*(1+Inflation)^(G5-1))*(IF($D$4+Höjnin1&lt;='4. NPV'!G$4,TioÅrPlaneratUnderhåll,0)+IF($D$4+Höjning2&lt;='4. NPV'!G$4,FemtonÅrPlaneratUnderhåll,0))+((G$6*NybPlaneratunderhåll+G$7*BefPlaneratunderhåll)*((1+Inflation)^('4. NPV'!G$5-1))))</f>
        <v>-0.0</v>
      </c>
      <c r="H22" s="228">
        <f>-(((H$6*NybPlaneratunderhåll+H$7*BefPlaneratunderhåll)*(1+Inflation)^(H5-1))*(IF($D$4+Höjnin1&lt;='4. NPV'!H$4,TioÅrPlaneratUnderhåll,0)+IF($D$4+Höjning2&lt;='4. NPV'!H$4,FemtonÅrPlaneratUnderhåll,0))+((H$6*NybPlaneratunderhåll+H$7*BefPlaneratunderhåll)*((1+Inflation)^('4. NPV'!H$5-1))))</f>
        <v>-0.0</v>
      </c>
      <c r="I22" s="228">
        <f>-(((I$6*NybPlaneratunderhåll+I$7*BefPlaneratunderhåll)*(1+Inflation)^(I5-1))*(IF($D$4+Höjnin1&lt;='4. NPV'!I$4,TioÅrPlaneratUnderhåll,0)+IF($D$4+Höjning2&lt;='4. NPV'!I$4,FemtonÅrPlaneratUnderhåll,0))+((I$6*NybPlaneratunderhåll+I$7*BefPlaneratunderhåll)*((1+Inflation)^('4. NPV'!I$5-1))))</f>
        <v>-0.0</v>
      </c>
      <c r="J22" s="228">
        <f>-(((J$6*NybPlaneratunderhåll+J$7*BefPlaneratunderhåll)*(1+Inflation)^(J5-1))*(IF($D$4+Höjnin1&lt;='4. NPV'!J$4,TioÅrPlaneratUnderhåll,0)+IF($D$4+Höjning2&lt;='4. NPV'!J$4,FemtonÅrPlaneratUnderhåll,0))+((J$6*NybPlaneratunderhåll+J$7*BefPlaneratunderhåll)*((1+Inflation)^('4. NPV'!J$5-1))))</f>
        <v>-0.0</v>
      </c>
      <c r="K22" s="228">
        <f>-(((K$6*NybPlaneratunderhåll+K$7*BefPlaneratunderhåll)*(1+Inflation)^(K5-1))*(IF($D$4+Höjnin1&lt;='4. NPV'!K$4,TioÅrPlaneratUnderhåll,0)+IF($D$4+Höjning2&lt;='4. NPV'!K$4,FemtonÅrPlaneratUnderhåll,0))+((K$6*NybPlaneratunderhåll+K$7*BefPlaneratunderhåll)*((1+Inflation)^('4. NPV'!K$5-1))))</f>
        <v>-0.0</v>
      </c>
      <c r="L22" s="228">
        <f>-(((L$6*NybPlaneratunderhåll+L$7*BefPlaneratunderhåll)*(1+Inflation)^(L5-1))*(IF($D$4+Höjnin1&lt;='4. NPV'!L$4,TioÅrPlaneratUnderhåll,0)+IF($D$4+Höjning2&lt;='4. NPV'!L$4,FemtonÅrPlaneratUnderhåll,0))+((L$6*NybPlaneratunderhåll+L$7*BefPlaneratunderhåll)*((1+Inflation)^('4. NPV'!L$5-1))))</f>
        <v>-0.0</v>
      </c>
      <c r="M22" s="228">
        <f>-(((M$6*NybPlaneratunderhåll+M$7*BefPlaneratunderhåll)*(1+Inflation)^(M5-1))*(IF($D$4+Höjnin1&lt;='4. NPV'!M$4,TioÅrPlaneratUnderhåll,0)+IF($D$4+Höjning2&lt;='4. NPV'!M$4,FemtonÅrPlaneratUnderhåll,0))+((M$6*NybPlaneratunderhåll+M$7*BefPlaneratunderhåll)*((1+Inflation)^('4. NPV'!M$5-1))))</f>
        <v>-0.0</v>
      </c>
      <c r="N22" s="228">
        <f>-(((N$6*NybPlaneratunderhåll+N$7*BefPlaneratunderhåll)*(1+Inflation)^(N5-1))*(IF($D$4+Höjnin1&lt;='4. NPV'!N$4,TioÅrPlaneratUnderhåll,0)+IF($D$4+Höjning2&lt;='4. NPV'!N$4,FemtonÅrPlaneratUnderhåll,0))+((N$6*NybPlaneratunderhåll+N$7*BefPlaneratunderhåll)*((1+Inflation)^('4. NPV'!N$5-1))))</f>
        <v>-0.0</v>
      </c>
      <c r="O22" s="228">
        <f>-(((O$6*NybPlaneratunderhåll+O$7*BefPlaneratunderhåll)*(1+Inflation)^(O5-1))*(IF($D$4+Höjnin1&lt;='4. NPV'!O$4,TioÅrPlaneratUnderhåll,0)+IF($D$4+Höjning2&lt;='4. NPV'!O$4,FemtonÅrPlaneratUnderhåll,0))+((O$6*NybPlaneratunderhåll+O$7*BefPlaneratunderhåll)*((1+Inflation)^('4. NPV'!O$5-1))))</f>
        <v>-0.0</v>
      </c>
      <c r="P22" s="228">
        <f>-(((P$6*NybPlaneratunderhåll+P$7*BefPlaneratunderhåll)*(1+Inflation)^(P5-1))*(IF($D$4+Höjnin1&lt;='4. NPV'!P$4,TioÅrPlaneratUnderhåll,0)+IF($D$4+Höjning2&lt;='4. NPV'!P$4,FemtonÅrPlaneratUnderhåll,0))+((P$6*NybPlaneratunderhåll+P$7*BefPlaneratunderhåll)*((1+Inflation)^('4. NPV'!P$5-1))))</f>
        <v>-0.0</v>
      </c>
      <c r="Q22" s="228">
        <f>-(((Q$6*NybPlaneratunderhåll+Q$7*BefPlaneratunderhåll)*(1+Inflation)^(Q5-1))*(IF($D$4+Höjnin1&lt;='4. NPV'!Q$4,TioÅrPlaneratUnderhåll,0)+IF($D$4+Höjning2&lt;='4. NPV'!Q$4,FemtonÅrPlaneratUnderhåll,0))+((Q$6*NybPlaneratunderhåll+Q$7*BefPlaneratunderhåll)*((1+Inflation)^('4. NPV'!Q$5-1))))</f>
        <v>-0.0</v>
      </c>
      <c r="R22" s="228">
        <f>-(((R$6*NybPlaneratunderhåll+R$7*BefPlaneratunderhåll)*(1+Inflation)^(R5-1))*(IF($D$4+Höjnin1&lt;='4. NPV'!R$4,TioÅrPlaneratUnderhåll,0)+IF($D$4+Höjning2&lt;='4. NPV'!R$4,FemtonÅrPlaneratUnderhåll,0))+((R$6*NybPlaneratunderhåll+R$7*BefPlaneratunderhåll)*((1+Inflation)^('4. NPV'!R$5-1))))</f>
        <v>-0.0</v>
      </c>
      <c r="S22" s="228">
        <f>-(((S$6*NybPlaneratunderhåll+S$7*BefPlaneratunderhåll)*(1+Inflation)^(S5-1))*(IF($D$4+Höjnin1&lt;='4. NPV'!S$4,TioÅrPlaneratUnderhåll,0)+IF($D$4+Höjning2&lt;='4. NPV'!S$4,FemtonÅrPlaneratUnderhåll,0))+((S$6*NybPlaneratunderhåll+S$7*BefPlaneratunderhåll)*((1+Inflation)^('4. NPV'!S$5-1))))</f>
        <v>-0.0</v>
      </c>
      <c r="T22" s="228">
        <f>-(((T$6*NybPlaneratunderhåll+T$7*BefPlaneratunderhåll)*(1+Inflation)^(T5-1))*(IF($D$4+Höjnin1&lt;='4. NPV'!T$4,TioÅrPlaneratUnderhåll,0)+IF($D$4+Höjning2&lt;='4. NPV'!T$4,FemtonÅrPlaneratUnderhåll,0))+((T$6*NybPlaneratunderhåll+T$7*BefPlaneratunderhåll)*((1+Inflation)^('4. NPV'!T$5-1))))</f>
        <v>-0.0</v>
      </c>
      <c r="U22" s="228">
        <f>-(((U$6*NybPlaneratunderhåll+U$7*BefPlaneratunderhåll)*(1+Inflation)^(U5-1))*(IF($D$4+Höjnin1&lt;='4. NPV'!U$4,TioÅrPlaneratUnderhåll,0)+IF($D$4+Höjning2&lt;='4. NPV'!U$4,FemtonÅrPlaneratUnderhåll,0))+((U$6*NybPlaneratunderhåll+U$7*BefPlaneratunderhåll)*((1+Inflation)^('4. NPV'!U$5-1))))</f>
        <v>-0.0</v>
      </c>
      <c r="V22" s="228">
        <f>-(((V$6*NybPlaneratunderhåll+V$7*BefPlaneratunderhåll)*(1+Inflation)^(V5-1))*(IF($D$4+Höjnin1&lt;='4. NPV'!V$4,TioÅrPlaneratUnderhåll,0)+IF($D$4+Höjning2&lt;='4. NPV'!V$4,FemtonÅrPlaneratUnderhåll,0))+((V$6*NybPlaneratunderhåll+V$7*BefPlaneratunderhåll)*((1+Inflation)^('4. NPV'!V$5-1))))</f>
        <v>-0.0</v>
      </c>
      <c r="W22" s="228">
        <f>-(((W$6*NybPlaneratunderhåll+W$7*BefPlaneratunderhåll)*(1+Inflation)^(W5-1))*(IF($D$4+Höjnin1&lt;='4. NPV'!W$4,TioÅrPlaneratUnderhåll,0)+IF($D$4+Höjning2&lt;='4. NPV'!W$4,FemtonÅrPlaneratUnderhåll,0))+((W$6*NybPlaneratunderhåll+W$7*BefPlaneratunderhåll)*((1+Inflation)^('4. NPV'!W$5-1))))</f>
        <v>-0.0</v>
      </c>
      <c r="X22" s="228">
        <f>-(((X$6*NybPlaneratunderhåll+X$7*BefPlaneratunderhåll)*(1+Inflation)^(X5-1))*(IF($D$4+Höjnin1&lt;='4. NPV'!X$4,TioÅrPlaneratUnderhåll,0)+IF($D$4+Höjning2&lt;='4. NPV'!X$4,FemtonÅrPlaneratUnderhåll,0))+((X$6*NybPlaneratunderhåll+X$7*BefPlaneratunderhåll)*((1+Inflation)^('4. NPV'!X$5-1))))</f>
        <v>-0.0</v>
      </c>
      <c r="Y22" s="228">
        <f>-(((Y$6*NybPlaneratunderhåll+Y$7*BefPlaneratunderhåll)*(1+Inflation)^(Y5-1))*(IF($D$4+Höjnin1&lt;='4. NPV'!Y$4,TioÅrPlaneratUnderhåll,0)+IF($D$4+Höjning2&lt;='4. NPV'!Y$4,FemtonÅrPlaneratUnderhåll,0))+((Y$6*NybPlaneratunderhåll+Y$7*BefPlaneratunderhåll)*((1+Inflation)^('4. NPV'!Y$5-1))))</f>
        <v>-0.0</v>
      </c>
      <c r="Z22" s="228">
        <f>-(((Z$6*NybPlaneratunderhåll+Z$7*BefPlaneratunderhåll)*(1+Inflation)^(Z5-1))*(IF($D$4+Höjnin1&lt;='4. NPV'!Z$4,TioÅrPlaneratUnderhåll,0)+IF($D$4+Höjning2&lt;='4. NPV'!Z$4,FemtonÅrPlaneratUnderhåll,0))+((Z$6*NybPlaneratunderhåll+Z$7*BefPlaneratunderhåll)*((1+Inflation)^('4. NPV'!Z$5-1))))</f>
        <v>-0.0</v>
      </c>
      <c r="AA22" s="228">
        <f>-(((AA$6*NybPlaneratunderhåll+AA$7*BefPlaneratunderhåll)*(1+Inflation)^(AA5-1))*(IF($D$4+Höjnin1&lt;='4. NPV'!AA$4,TioÅrPlaneratUnderhåll,0)+IF($D$4+Höjning2&lt;='4. NPV'!AA$4,FemtonÅrPlaneratUnderhåll,0))+((AA$6*NybPlaneratunderhåll+AA$7*BefPlaneratunderhåll)*((1+Inflation)^('4. NPV'!AA$5-1))))</f>
        <v>-0.0</v>
      </c>
      <c r="AB22" s="228">
        <f>-(((AB$6*NybPlaneratunderhåll+AB$7*BefPlaneratunderhåll)*(1+Inflation)^(AB5-1))*(IF($D$4+Höjnin1&lt;='4. NPV'!AB$4,TioÅrPlaneratUnderhåll,0)+IF($D$4+Höjning2&lt;='4. NPV'!AB$4,FemtonÅrPlaneratUnderhåll,0))+((AB$6*NybPlaneratunderhåll+AB$7*BefPlaneratunderhåll)*((1+Inflation)^('4. NPV'!AB$5-1))))</f>
        <v>-0.0</v>
      </c>
      <c r="AC22" s="228">
        <f>-(((AC$6*NybPlaneratunderhåll+AC$7*BefPlaneratunderhåll)*(1+Inflation)^(AC5-1))*(IF($D$4+Höjnin1&lt;='4. NPV'!AC$4,TioÅrPlaneratUnderhåll,0)+IF($D$4+Höjning2&lt;='4. NPV'!AC$4,FemtonÅrPlaneratUnderhåll,0))+((AC$6*NybPlaneratunderhåll+AC$7*BefPlaneratunderhåll)*((1+Inflation)^('4. NPV'!AC$5-1))))</f>
        <v>-0.0</v>
      </c>
      <c r="AD22" s="228">
        <f>-(((AD$6*NybPlaneratunderhåll+AD$7*BefPlaneratunderhåll)*(1+Inflation)^(AD5-1))*(IF($D$4+Höjnin1&lt;='4. NPV'!AD$4,TioÅrPlaneratUnderhåll,0)+IF($D$4+Höjning2&lt;='4. NPV'!AD$4,FemtonÅrPlaneratUnderhåll,0))+((AD$6*NybPlaneratunderhåll+AD$7*BefPlaneratunderhåll)*((1+Inflation)^('4. NPV'!AD$5-1))))</f>
        <v>-0.0</v>
      </c>
      <c r="AE22" s="228">
        <f>-(((AE$6*NybPlaneratunderhåll+AE$7*BefPlaneratunderhåll)*(1+Inflation)^(AE5-1))*(IF($D$4+Höjnin1&lt;='4. NPV'!AE$4,TioÅrPlaneratUnderhåll,0)+IF($D$4+Höjning2&lt;='4. NPV'!AE$4,FemtonÅrPlaneratUnderhåll,0))+((AE$6*NybPlaneratunderhåll+AE$7*BefPlaneratunderhåll)*((1+Inflation)^('4. NPV'!AE$5-1))))</f>
        <v>-0.0</v>
      </c>
      <c r="AF22" s="228">
        <f>-(((AF$6*NybPlaneratunderhåll+AF$7*BefPlaneratunderhåll)*(1+Inflation)^(AF5-1))*(IF($D$4+Höjnin1&lt;='4. NPV'!AF$4,TioÅrPlaneratUnderhåll,0)+IF($D$4+Höjning2&lt;='4. NPV'!AF$4,FemtonÅrPlaneratUnderhåll,0))+((AF$6*NybPlaneratunderhåll+AF$7*BefPlaneratunderhåll)*((1+Inflation)^('4. NPV'!AF$5-1))))</f>
        <v>-0.0</v>
      </c>
      <c r="AG22" s="228">
        <f>-(((AG$6*NybPlaneratunderhåll+AG$7*BefPlaneratunderhåll)*(1+Inflation)^(AG5-1))*(IF($D$4+Höjnin1&lt;='4. NPV'!AG$4,TioÅrPlaneratUnderhåll,0)+IF($D$4+Höjning2&lt;='4. NPV'!AG$4,FemtonÅrPlaneratUnderhåll,0))+((AG$6*NybPlaneratunderhåll+AG$7*BefPlaneratunderhåll)*((1+Inflation)^('4. NPV'!AG$5-1))))</f>
        <v>-0.0</v>
      </c>
      <c r="AH22" s="228">
        <f>-(((AH$6*NybPlaneratunderhåll+AH$7*BefPlaneratunderhåll)*(1+Inflation)^(AH5-1))*(IF($D$4+Höjnin1&lt;='4. NPV'!AH$4,TioÅrPlaneratUnderhåll,0)+IF($D$4+Höjning2&lt;='4. NPV'!AH$4,FemtonÅrPlaneratUnderhåll,0))+((AH$6*NybPlaneratunderhåll+AH$7*BefPlaneratunderhåll)*((1+Inflation)^('4. NPV'!AH$5-1))))</f>
        <v>-0.0</v>
      </c>
      <c r="AI22" s="228">
        <f>-(((AI$6*NybPlaneratunderhåll+AI$7*BefPlaneratunderhåll)*(1+Inflation)^(AI5-1))*(IF($D$4+Höjnin1&lt;='4. NPV'!AI$4,TioÅrPlaneratUnderhåll,0)+IF($D$4+Höjning2&lt;='4. NPV'!AI$4,FemtonÅrPlaneratUnderhåll,0))+((AI$6*NybPlaneratunderhåll+AI$7*BefPlaneratunderhåll)*((1+Inflation)^('4. NPV'!AI$5-1))))</f>
        <v>-0.0</v>
      </c>
      <c r="AJ22" s="228">
        <f>-(((AJ$6*NybPlaneratunderhåll+AJ$7*BefPlaneratunderhåll)*(1+Inflation)^(AJ5-1))*(IF($D$4+Höjnin1&lt;='4. NPV'!AJ$4,TioÅrPlaneratUnderhåll,0)+IF($D$4+Höjning2&lt;='4. NPV'!AJ$4,FemtonÅrPlaneratUnderhåll,0))+((AJ$6*NybPlaneratunderhåll+AJ$7*BefPlaneratunderhåll)*((1+Inflation)^('4. NPV'!AJ$5-1))))</f>
        <v>-0.0</v>
      </c>
      <c r="AK22" s="228">
        <f>-(((AK$6*NybPlaneratunderhåll+AK$7*BefPlaneratunderhåll)*(1+Inflation)^(AK5-1))*(IF($D$4+Höjnin1&lt;='4. NPV'!AK$4,TioÅrPlaneratUnderhåll,0)+IF($D$4+Höjning2&lt;='4. NPV'!AK$4,FemtonÅrPlaneratUnderhåll,0))+((AK$6*NybPlaneratunderhåll+AK$7*BefPlaneratunderhåll)*((1+Inflation)^('4. NPV'!AK$5-1))))</f>
        <v>-0.0</v>
      </c>
      <c r="AL22" s="228">
        <f>-(((AL$6*NybPlaneratunderhåll+AL$7*BefPlaneratunderhåll)*(1+Inflation)^(AL5-1))*(IF($D$4+Höjnin1&lt;='4. NPV'!AL$4,TioÅrPlaneratUnderhåll,0)+IF($D$4+Höjning2&lt;='4. NPV'!AL$4,FemtonÅrPlaneratUnderhåll,0))+((AL$6*NybPlaneratunderhåll+AL$7*BefPlaneratunderhåll)*((1+Inflation)^('4. NPV'!AL$5-1))))</f>
        <v>-0.0</v>
      </c>
      <c r="AM22" s="228">
        <f>-(((AM$6*NybPlaneratunderhåll+AM$7*BefPlaneratunderhåll)*(1+Inflation)^(AM5-1))*(IF($D$4+Höjnin1&lt;='4. NPV'!AM$4,TioÅrPlaneratUnderhåll,0)+IF($D$4+Höjning2&lt;='4. NPV'!AM$4,FemtonÅrPlaneratUnderhåll,0))+((AM$6*NybPlaneratunderhåll+AM$7*BefPlaneratunderhåll)*((1+Inflation)^('4. NPV'!AM$5-1))))</f>
        <v>-0.0</v>
      </c>
      <c r="AN22" s="228">
        <f>-(((AN$6*NybPlaneratunderhåll+AN$7*BefPlaneratunderhåll)*(1+Inflation)^(AN5-1))*(IF($D$4+Höjnin1&lt;='4. NPV'!AN$4,TioÅrPlaneratUnderhåll,0)+IF($D$4+Höjning2&lt;='4. NPV'!AN$4,FemtonÅrPlaneratUnderhåll,0))+((AN$6*NybPlaneratunderhåll+AN$7*BefPlaneratunderhåll)*((1+Inflation)^('4. NPV'!AN$5-1))))</f>
        <v>-0.0</v>
      </c>
      <c r="AO22" s="228">
        <f>-(((AO$6*NybPlaneratunderhåll+AO$7*BefPlaneratunderhåll)*(1+Inflation)^(AO5-1))*(IF($D$4+Höjnin1&lt;='4. NPV'!AO$4,TioÅrPlaneratUnderhåll,0)+IF($D$4+Höjning2&lt;='4. NPV'!AO$4,FemtonÅrPlaneratUnderhåll,0))+((AO$6*NybPlaneratunderhåll+AO$7*BefPlaneratunderhåll)*((1+Inflation)^('4. NPV'!AO$5-1))))</f>
        <v>-0.0</v>
      </c>
      <c r="AP22" s="228">
        <f>-(((AP$6*NybPlaneratunderhåll+AP$7*BefPlaneratunderhåll)*(1+Inflation)^(AP5-1))*(IF($D$4+Höjnin1&lt;='4. NPV'!AP$4,TioÅrPlaneratUnderhåll,0)+IF($D$4+Höjning2&lt;='4. NPV'!AP$4,FemtonÅrPlaneratUnderhåll,0))+((AP$6*NybPlaneratunderhåll+AP$7*BefPlaneratunderhåll)*((1+Inflation)^('4. NPV'!AP$5-1))))</f>
        <v>-0.0</v>
      </c>
      <c r="AQ22" s="228">
        <f>-(((AQ$6*NybPlaneratunderhåll+AQ$7*BefPlaneratunderhåll)*(1+Inflation)^(AQ5-1))*(IF($D$4+Höjnin1&lt;='4. NPV'!AQ$4,TioÅrPlaneratUnderhåll,0)+IF($D$4+Höjning2&lt;='4. NPV'!AQ$4,FemtonÅrPlaneratUnderhåll,0))+((AQ$6*NybPlaneratunderhåll+AQ$7*BefPlaneratunderhåll)*((1+Inflation)^('4. NPV'!AQ$5-1))))</f>
        <v>-0.0</v>
      </c>
      <c r="AR22" s="228">
        <f>-(((AR$6*NybPlaneratunderhåll+AR$7*BefPlaneratunderhåll)*(1+Inflation)^(AR5-1))*(IF($D$4+Höjnin1&lt;='4. NPV'!AR$4,TioÅrPlaneratUnderhåll,0)+IF($D$4+Höjning2&lt;='4. NPV'!AR$4,FemtonÅrPlaneratUnderhåll,0))+((AR$6*NybPlaneratunderhåll+AR$7*BefPlaneratunderhåll)*((1+Inflation)^('4. NPV'!AR$5-1))))</f>
        <v>-0.0</v>
      </c>
      <c r="AS22" s="228">
        <f>-(((AS$6*NybPlaneratunderhåll+AS$7*BefPlaneratunderhåll)*(1+Inflation)^(AS5-1))*(IF($D$4+Höjnin1&lt;='4. NPV'!AS$4,TioÅrPlaneratUnderhåll,0)+IF($D$4+Höjning2&lt;='4. NPV'!AS$4,FemtonÅrPlaneratUnderhåll,0))+((AS$6*NybPlaneratunderhåll+AS$7*BefPlaneratunderhåll)*((1+Inflation)^('4. NPV'!AS$5-1))))</f>
        <v>-0.0</v>
      </c>
      <c r="AT22" s="228">
        <f>-(((AT$6*NybPlaneratunderhåll+AT$7*BefPlaneratunderhåll)*(1+Inflation)^(AT5-1))*(IF($D$4+Höjnin1&lt;='4. NPV'!AT$4,TioÅrPlaneratUnderhåll,0)+IF($D$4+Höjning2&lt;='4. NPV'!AT$4,FemtonÅrPlaneratUnderhåll,0))+((AT$6*NybPlaneratunderhåll+AT$7*BefPlaneratunderhåll)*((1+Inflation)^('4. NPV'!AT$5-1))))</f>
        <v>-0.0</v>
      </c>
      <c r="AU22" s="228">
        <f>-(((AU$6*NybPlaneratunderhåll+AU$7*BefPlaneratunderhåll)*(1+Inflation)^(AU5-1))*(IF($D$4+Höjnin1&lt;='4. NPV'!AU$4,TioÅrPlaneratUnderhåll,0)+IF($D$4+Höjning2&lt;='4. NPV'!AU$4,FemtonÅrPlaneratUnderhåll,0))+((AU$6*NybPlaneratunderhåll+AU$7*BefPlaneratunderhåll)*((1+Inflation)^('4. NPV'!AU$5-1))))</f>
        <v>-0.0</v>
      </c>
      <c r="AV22" s="228">
        <f>-(((AV$6*NybPlaneratunderhåll+AV$7*BefPlaneratunderhåll)*(1+Inflation)^(AV5-1))*(IF($D$4+Höjnin1&lt;='4. NPV'!AV$4,TioÅrPlaneratUnderhåll,0)+IF($D$4+Höjning2&lt;='4. NPV'!AV$4,FemtonÅrPlaneratUnderhåll,0))+((AV$6*NybPlaneratunderhåll+AV$7*BefPlaneratunderhåll)*((1+Inflation)^('4. NPV'!AV$5-1))))</f>
        <v>-0.0</v>
      </c>
      <c r="AW22" s="228">
        <f>-(((AW$6*NybPlaneratunderhåll+AW$7*BefPlaneratunderhåll)*(1+Inflation)^(AW5-1))*(IF($D$4+Höjnin1&lt;='4. NPV'!AW$4,TioÅrPlaneratUnderhåll,0)+IF($D$4+Höjning2&lt;='4. NPV'!AW$4,FemtonÅrPlaneratUnderhåll,0))+((AW$6*NybPlaneratunderhåll+AW$7*BefPlaneratunderhåll)*((1+Inflation)^('4. NPV'!AW$5-1))))</f>
        <v>-0.0</v>
      </c>
      <c r="AX22" s="228">
        <f>-(((AX$6*NybPlaneratunderhåll+AX$7*BefPlaneratunderhåll)*(1+Inflation)^(AX5-1))*(IF($D$4+Höjnin1&lt;='4. NPV'!AX$4,TioÅrPlaneratUnderhåll,0)+IF($D$4+Höjning2&lt;='4. NPV'!AX$4,FemtonÅrPlaneratUnderhåll,0))+((AX$6*NybPlaneratunderhåll+AX$7*BefPlaneratunderhåll)*((1+Inflation)^('4. NPV'!AX$5-1))))</f>
        <v>-0.0</v>
      </c>
      <c r="AY22" s="228">
        <f>-(((AY$6*NybPlaneratunderhåll+AY$7*BefPlaneratunderhåll)*(1+Inflation)^(AY5-1))*(IF($D$4+Höjnin1&lt;='4. NPV'!AY$4,TioÅrPlaneratUnderhåll,0)+IF($D$4+Höjning2&lt;='4. NPV'!AY$4,FemtonÅrPlaneratUnderhåll,0))+((AY$6*NybPlaneratunderhåll+AY$7*BefPlaneratunderhåll)*((1+Inflation)^('4. NPV'!AY$5-1))))</f>
        <v>-0.0</v>
      </c>
      <c r="AZ22" s="228">
        <f>-(((AZ$6*NybPlaneratunderhåll+AZ$7*BefPlaneratunderhåll)*(1+Inflation)^(AZ5-1))*(IF($D$4+Höjnin1&lt;='4. NPV'!AZ$4,TioÅrPlaneratUnderhåll,0)+IF($D$4+Höjning2&lt;='4. NPV'!AZ$4,FemtonÅrPlaneratUnderhåll,0))+((AZ$6*NybPlaneratunderhåll+AZ$7*BefPlaneratunderhåll)*((1+Inflation)^('4. NPV'!AZ$5-1))))</f>
        <v>-0.0</v>
      </c>
      <c r="BA22" s="228">
        <f>-(((BA$6*NybPlaneratunderhåll+BA$7*BefPlaneratunderhåll)*(1+Inflation)^(BA5-1))*(IF($D$4+Höjnin1&lt;='4. NPV'!BA$4,TioÅrPlaneratUnderhåll,0)+IF($D$4+Höjning2&lt;='4. NPV'!BA$4,FemtonÅrPlaneratUnderhåll,0))+((BA$6*NybPlaneratunderhåll+BA$7*BefPlaneratunderhåll)*((1+Inflation)^('4. NPV'!BA$5-1))))</f>
        <v>-0.0</v>
      </c>
      <c r="BB22" s="494"/>
    </row>
    <row r="23" spans="2:54">
      <c r="B23" s="227" t="s">
        <v>234</v>
      </c>
      <c r="C23" s="327">
        <f>IFERROR($D23/$C$8,"")</f>
        <v>-0.0</v>
      </c>
      <c r="D23" s="228">
        <f>-(((D$6*NybMedia+D$7*BefMedia)*(1+Inflation)^(D5-1))*(IF($D$4+Höjnin1&lt;='4. NPV'!D$4,TioÅrMedia,0)+IF($D$4+Höjning2&lt;='4. NPV'!D$4,FemtonÅrMedia,0))+((D$6*NybMedia+D$7*BefMedia)*((1+Inflation)^('4. NPV'!D$5-1))))</f>
        <v>-0.0</v>
      </c>
      <c r="E23" s="228">
        <f>-(((E$6*NybMedia+E$7*BefMedia)*(1+Inflation)^(E5-1))*(IF($D$4+Höjnin1&lt;='4. NPV'!E$4,TioÅrMedia,0)+IF($D$4+Höjning2&lt;='4. NPV'!E$4,FemtonÅrMedia,0))+((E$6*NybMedia+E$7*BefMedia)*((1+Inflation)^('4. NPV'!E$5-1))))</f>
        <v>-0.0</v>
      </c>
      <c r="F23" s="228">
        <f>-(((F$6*NybMedia+F$7*BefMedia)*(1+Inflation)^(F5-1))*(IF($D$4+Höjnin1&lt;='4. NPV'!F$4,TioÅrMedia,0)+IF($D$4+Höjning2&lt;='4. NPV'!F$4,FemtonÅrMedia,0))+((F$6*NybMedia+F$7*BefMedia)*((1+Inflation)^('4. NPV'!F$5-1))))</f>
        <v>-0.0</v>
      </c>
      <c r="G23" s="228">
        <f>-(((G$6*NybMedia+G$7*BefMedia)*(1+Inflation)^(G5-1))*(IF($D$4+Höjnin1&lt;='4. NPV'!G$4,TioÅrMedia,0)+IF($D$4+Höjning2&lt;='4. NPV'!G$4,FemtonÅrMedia,0))+((G$6*NybMedia+G$7*BefMedia)*((1+Inflation)^('4. NPV'!G$5-1))))</f>
        <v>-0.0</v>
      </c>
      <c r="H23" s="228">
        <f>-(((H$6*NybMedia+H$7*BefMedia)*(1+Inflation)^(H5-1))*(IF($D$4+Höjnin1&lt;='4. NPV'!H$4,TioÅrMedia,0)+IF($D$4+Höjning2&lt;='4. NPV'!H$4,FemtonÅrMedia,0))+((H$6*NybMedia+H$7*BefMedia)*((1+Inflation)^('4. NPV'!H$5-1))))</f>
        <v>-0.0</v>
      </c>
      <c r="I23" s="228">
        <f>-(((I$6*NybMedia+I$7*BefMedia)*(1+Inflation)^(I5-1))*(IF($D$4+Höjnin1&lt;='4. NPV'!I$4,TioÅrMedia,0)+IF($D$4+Höjning2&lt;='4. NPV'!I$4,FemtonÅrMedia,0))+((I$6*NybMedia+I$7*BefMedia)*((1+Inflation)^('4. NPV'!I$5-1))))</f>
        <v>-0.0</v>
      </c>
      <c r="J23" s="228">
        <f>-(((J$6*NybMedia+J$7*BefMedia)*(1+Inflation)^(J5-1))*(IF($D$4+Höjnin1&lt;='4. NPV'!J$4,TioÅrMedia,0)+IF($D$4+Höjning2&lt;='4. NPV'!J$4,FemtonÅrMedia,0))+((J$6*NybMedia+J$7*BefMedia)*((1+Inflation)^('4. NPV'!J$5-1))))</f>
        <v>-0.0</v>
      </c>
      <c r="K23" s="228">
        <f>-(((K$6*NybMedia+K$7*BefMedia)*(1+Inflation)^(K5-1))*(IF($D$4+Höjnin1&lt;='4. NPV'!K$4,TioÅrMedia,0)+IF($D$4+Höjning2&lt;='4. NPV'!K$4,FemtonÅrMedia,0))+((K$6*NybMedia+K$7*BefMedia)*((1+Inflation)^('4. NPV'!K$5-1))))</f>
        <v>-0.0</v>
      </c>
      <c r="L23" s="228">
        <f>-(((L$6*NybMedia+L$7*BefMedia)*(1+Inflation)^(L5-1))*(IF($D$4+Höjnin1&lt;='4. NPV'!L$4,TioÅrMedia,0)+IF($D$4+Höjning2&lt;='4. NPV'!L$4,FemtonÅrMedia,0))+((L$6*NybMedia+L$7*BefMedia)*((1+Inflation)^('4. NPV'!L$5-1))))</f>
        <v>-0.0</v>
      </c>
      <c r="M23" s="228">
        <f>-(((M$6*NybMedia+M$7*BefMedia)*(1+Inflation)^(M5-1))*(IF($D$4+Höjnin1&lt;='4. NPV'!M$4,TioÅrMedia,0)+IF($D$4+Höjning2&lt;='4. NPV'!M$4,FemtonÅrMedia,0))+((M$6*NybMedia+M$7*BefMedia)*((1+Inflation)^('4. NPV'!M$5-1))))</f>
        <v>-0.0</v>
      </c>
      <c r="N23" s="228">
        <f>-(((N$6*NybMedia+N$7*BefMedia)*(1+Inflation)^(N5-1))*(IF($D$4+Höjnin1&lt;='4. NPV'!N$4,TioÅrMedia,0)+IF($D$4+Höjning2&lt;='4. NPV'!N$4,FemtonÅrMedia,0))+((N$6*NybMedia+N$7*BefMedia)*((1+Inflation)^('4. NPV'!N$5-1))))</f>
        <v>-0.0</v>
      </c>
      <c r="O23" s="228">
        <f>-(((O$6*NybMedia+O$7*BefMedia)*(1+Inflation)^(O5-1))*(IF($D$4+Höjnin1&lt;='4. NPV'!O$4,TioÅrMedia,0)+IF($D$4+Höjning2&lt;='4. NPV'!O$4,FemtonÅrMedia,0))+((O$6*NybMedia+O$7*BefMedia)*((1+Inflation)^('4. NPV'!O$5-1))))</f>
        <v>-0.0</v>
      </c>
      <c r="P23" s="228">
        <f>-(((P$6*NybMedia+P$7*BefMedia)*(1+Inflation)^(P5-1))*(IF($D$4+Höjnin1&lt;='4. NPV'!P$4,TioÅrMedia,0)+IF($D$4+Höjning2&lt;='4. NPV'!P$4,FemtonÅrMedia,0))+((P$6*NybMedia+P$7*BefMedia)*((1+Inflation)^('4. NPV'!P$5-1))))</f>
        <v>-0.0</v>
      </c>
      <c r="Q23" s="228">
        <f>-(((Q$6*NybMedia+Q$7*BefMedia)*(1+Inflation)^(Q5-1))*(IF($D$4+Höjnin1&lt;='4. NPV'!Q$4,TioÅrMedia,0)+IF($D$4+Höjning2&lt;='4. NPV'!Q$4,FemtonÅrMedia,0))+((Q$6*NybMedia+Q$7*BefMedia)*((1+Inflation)^('4. NPV'!Q$5-1))))</f>
        <v>-0.0</v>
      </c>
      <c r="R23" s="228">
        <f>-(((R$6*NybMedia+R$7*BefMedia)*(1+Inflation)^(R5-1))*(IF($D$4+Höjnin1&lt;='4. NPV'!R$4,TioÅrMedia,0)+IF($D$4+Höjning2&lt;='4. NPV'!R$4,FemtonÅrMedia,0))+((R$6*NybMedia+R$7*BefMedia)*((1+Inflation)^('4. NPV'!R$5-1))))</f>
        <v>-0.0</v>
      </c>
      <c r="S23" s="228">
        <f>-(((S$6*NybMedia+S$7*BefMedia)*(1+Inflation)^(S5-1))*(IF($D$4+Höjnin1&lt;='4. NPV'!S$4,TioÅrMedia,0)+IF($D$4+Höjning2&lt;='4. NPV'!S$4,FemtonÅrMedia,0))+((S$6*NybMedia+S$7*BefMedia)*((1+Inflation)^('4. NPV'!S$5-1))))</f>
        <v>-0.0</v>
      </c>
      <c r="T23" s="228">
        <f>-(((T$6*NybMedia+T$7*BefMedia)*(1+Inflation)^(T5-1))*(IF($D$4+Höjnin1&lt;='4. NPV'!T$4,TioÅrMedia,0)+IF($D$4+Höjning2&lt;='4. NPV'!T$4,FemtonÅrMedia,0))+((T$6*NybMedia+T$7*BefMedia)*((1+Inflation)^('4. NPV'!T$5-1))))</f>
        <v>-0.0</v>
      </c>
      <c r="U23" s="228">
        <f>-(((U$6*NybMedia+U$7*BefMedia)*(1+Inflation)^(U5-1))*(IF($D$4+Höjnin1&lt;='4. NPV'!U$4,TioÅrMedia,0)+IF($D$4+Höjning2&lt;='4. NPV'!U$4,FemtonÅrMedia,0))+((U$6*NybMedia+U$7*BefMedia)*((1+Inflation)^('4. NPV'!U$5-1))))</f>
        <v>-0.0</v>
      </c>
      <c r="V23" s="228">
        <f>-(((V$6*NybMedia+V$7*BefMedia)*(1+Inflation)^(V5-1))*(IF($D$4+Höjnin1&lt;='4. NPV'!V$4,TioÅrMedia,0)+IF($D$4+Höjning2&lt;='4. NPV'!V$4,FemtonÅrMedia,0))+((V$6*NybMedia+V$7*BefMedia)*((1+Inflation)^('4. NPV'!V$5-1))))</f>
        <v>-0.0</v>
      </c>
      <c r="W23" s="228">
        <f>-(((W$6*NybMedia+W$7*BefMedia)*(1+Inflation)^(W5-1))*(IF($D$4+Höjnin1&lt;='4. NPV'!W$4,TioÅrMedia,0)+IF($D$4+Höjning2&lt;='4. NPV'!W$4,FemtonÅrMedia,0))+((W$6*NybMedia+W$7*BefMedia)*((1+Inflation)^('4. NPV'!W$5-1))))</f>
        <v>-0.0</v>
      </c>
      <c r="X23" s="228">
        <f>-(((X$6*NybMedia+X$7*BefMedia)*(1+Inflation)^(X5-1))*(IF($D$4+Höjnin1&lt;='4. NPV'!X$4,TioÅrMedia,0)+IF($D$4+Höjning2&lt;='4. NPV'!X$4,FemtonÅrMedia,0))+((X$6*NybMedia+X$7*BefMedia)*((1+Inflation)^('4. NPV'!X$5-1))))</f>
        <v>-0.0</v>
      </c>
      <c r="Y23" s="228">
        <f>-(((Y$6*NybMedia+Y$7*BefMedia)*(1+Inflation)^(Y5-1))*(IF($D$4+Höjnin1&lt;='4. NPV'!Y$4,TioÅrMedia,0)+IF($D$4+Höjning2&lt;='4. NPV'!Y$4,FemtonÅrMedia,0))+((Y$6*NybMedia+Y$7*BefMedia)*((1+Inflation)^('4. NPV'!Y$5-1))))</f>
        <v>-0.0</v>
      </c>
      <c r="Z23" s="228">
        <f>-(((Z$6*NybMedia+Z$7*BefMedia)*(1+Inflation)^(Z5-1))*(IF($D$4+Höjnin1&lt;='4. NPV'!Z$4,TioÅrMedia,0)+IF($D$4+Höjning2&lt;='4. NPV'!Z$4,FemtonÅrMedia,0))+((Z$6*NybMedia+Z$7*BefMedia)*((1+Inflation)^('4. NPV'!Z$5-1))))</f>
        <v>-0.0</v>
      </c>
      <c r="AA23" s="228">
        <f>-(((AA$6*NybMedia+AA$7*BefMedia)*(1+Inflation)^(AA5-1))*(IF($D$4+Höjnin1&lt;='4. NPV'!AA$4,TioÅrMedia,0)+IF($D$4+Höjning2&lt;='4. NPV'!AA$4,FemtonÅrMedia,0))+((AA$6*NybMedia+AA$7*BefMedia)*((1+Inflation)^('4. NPV'!AA$5-1))))</f>
        <v>-0.0</v>
      </c>
      <c r="AB23" s="228">
        <f>-(((AB$6*NybMedia+AB$7*BefMedia)*(1+Inflation)^(AB5-1))*(IF($D$4+Höjnin1&lt;='4. NPV'!AB$4,TioÅrMedia,0)+IF($D$4+Höjning2&lt;='4. NPV'!AB$4,FemtonÅrMedia,0))+((AB$6*NybMedia+AB$7*BefMedia)*((1+Inflation)^('4. NPV'!AB$5-1))))</f>
        <v>-0.0</v>
      </c>
      <c r="AC23" s="228">
        <f>-(((AC$6*NybMedia+AC$7*BefMedia)*(1+Inflation)^(AC5-1))*(IF($D$4+Höjnin1&lt;='4. NPV'!AC$4,TioÅrMedia,0)+IF($D$4+Höjning2&lt;='4. NPV'!AC$4,FemtonÅrMedia,0))+((AC$6*NybMedia+AC$7*BefMedia)*((1+Inflation)^('4. NPV'!AC$5-1))))</f>
        <v>-0.0</v>
      </c>
      <c r="AD23" s="228">
        <f>-(((AD$6*NybMedia+AD$7*BefMedia)*(1+Inflation)^(AD5-1))*(IF($D$4+Höjnin1&lt;='4. NPV'!AD$4,TioÅrMedia,0)+IF($D$4+Höjning2&lt;='4. NPV'!AD$4,FemtonÅrMedia,0))+((AD$6*NybMedia+AD$7*BefMedia)*((1+Inflation)^('4. NPV'!AD$5-1))))</f>
        <v>-0.0</v>
      </c>
      <c r="AE23" s="228">
        <f>-(((AE$6*NybMedia+AE$7*BefMedia)*(1+Inflation)^(AE5-1))*(IF($D$4+Höjnin1&lt;='4. NPV'!AE$4,TioÅrMedia,0)+IF($D$4+Höjning2&lt;='4. NPV'!AE$4,FemtonÅrMedia,0))+((AE$6*NybMedia+AE$7*BefMedia)*((1+Inflation)^('4. NPV'!AE$5-1))))</f>
        <v>-0.0</v>
      </c>
      <c r="AF23" s="228">
        <f>-(((AF$6*NybMedia+AF$7*BefMedia)*(1+Inflation)^(AF5-1))*(IF($D$4+Höjnin1&lt;='4. NPV'!AF$4,TioÅrMedia,0)+IF($D$4+Höjning2&lt;='4. NPV'!AF$4,FemtonÅrMedia,0))+((AF$6*NybMedia+AF$7*BefMedia)*((1+Inflation)^('4. NPV'!AF$5-1))))</f>
        <v>-0.0</v>
      </c>
      <c r="AG23" s="228">
        <f>-(((AG$6*NybMedia+AG$7*BefMedia)*(1+Inflation)^(AG5-1))*(IF($D$4+Höjnin1&lt;='4. NPV'!AG$4,TioÅrMedia,0)+IF($D$4+Höjning2&lt;='4. NPV'!AG$4,FemtonÅrMedia,0))+((AG$6*NybMedia+AG$7*BefMedia)*((1+Inflation)^('4. NPV'!AG$5-1))))</f>
        <v>-0.0</v>
      </c>
      <c r="AH23" s="228">
        <f>-(((AH$6*NybMedia+AH$7*BefMedia)*(1+Inflation)^(AH5-1))*(IF($D$4+Höjnin1&lt;='4. NPV'!AH$4,TioÅrMedia,0)+IF($D$4+Höjning2&lt;='4. NPV'!AH$4,FemtonÅrMedia,0))+((AH$6*NybMedia+AH$7*BefMedia)*((1+Inflation)^('4. NPV'!AH$5-1))))</f>
        <v>-0.0</v>
      </c>
      <c r="AI23" s="228">
        <f>-(((AI$6*NybMedia+AI$7*BefMedia)*(1+Inflation)^(AI5-1))*(IF($D$4+Höjnin1&lt;='4. NPV'!AI$4,TioÅrMedia,0)+IF($D$4+Höjning2&lt;='4. NPV'!AI$4,FemtonÅrMedia,0))+((AI$6*NybMedia+AI$7*BefMedia)*((1+Inflation)^('4. NPV'!AI$5-1))))</f>
        <v>-0.0</v>
      </c>
      <c r="AJ23" s="228">
        <f>-(((AJ$6*NybMedia+AJ$7*BefMedia)*(1+Inflation)^(AJ5-1))*(IF($D$4+Höjnin1&lt;='4. NPV'!AJ$4,TioÅrMedia,0)+IF($D$4+Höjning2&lt;='4. NPV'!AJ$4,FemtonÅrMedia,0))+((AJ$6*NybMedia+AJ$7*BefMedia)*((1+Inflation)^('4. NPV'!AJ$5-1))))</f>
        <v>-0.0</v>
      </c>
      <c r="AK23" s="228">
        <f>-(((AK$6*NybMedia+AK$7*BefMedia)*(1+Inflation)^(AK5-1))*(IF($D$4+Höjnin1&lt;='4. NPV'!AK$4,TioÅrMedia,0)+IF($D$4+Höjning2&lt;='4. NPV'!AK$4,FemtonÅrMedia,0))+((AK$6*NybMedia+AK$7*BefMedia)*((1+Inflation)^('4. NPV'!AK$5-1))))</f>
        <v>-0.0</v>
      </c>
      <c r="AL23" s="228">
        <f>-(((AL$6*NybMedia+AL$7*BefMedia)*(1+Inflation)^(AL5-1))*(IF($D$4+Höjnin1&lt;='4. NPV'!AL$4,TioÅrMedia,0)+IF($D$4+Höjning2&lt;='4. NPV'!AL$4,FemtonÅrMedia,0))+((AL$6*NybMedia+AL$7*BefMedia)*((1+Inflation)^('4. NPV'!AL$5-1))))</f>
        <v>-0.0</v>
      </c>
      <c r="AM23" s="228">
        <f>-(((AM$6*NybMedia+AM$7*BefMedia)*(1+Inflation)^(AM5-1))*(IF($D$4+Höjnin1&lt;='4. NPV'!AM$4,TioÅrMedia,0)+IF($D$4+Höjning2&lt;='4. NPV'!AM$4,FemtonÅrMedia,0))+((AM$6*NybMedia+AM$7*BefMedia)*((1+Inflation)^('4. NPV'!AM$5-1))))</f>
        <v>-0.0</v>
      </c>
      <c r="AN23" s="228">
        <f>-(((AN$6*NybMedia+AN$7*BefMedia)*(1+Inflation)^(AN5-1))*(IF($D$4+Höjnin1&lt;='4. NPV'!AN$4,TioÅrMedia,0)+IF($D$4+Höjning2&lt;='4. NPV'!AN$4,FemtonÅrMedia,0))+((AN$6*NybMedia+AN$7*BefMedia)*((1+Inflation)^('4. NPV'!AN$5-1))))</f>
        <v>-0.0</v>
      </c>
      <c r="AO23" s="228">
        <f>-(((AO$6*NybMedia+AO$7*BefMedia)*(1+Inflation)^(AO5-1))*(IF($D$4+Höjnin1&lt;='4. NPV'!AO$4,TioÅrMedia,0)+IF($D$4+Höjning2&lt;='4. NPV'!AO$4,FemtonÅrMedia,0))+((AO$6*NybMedia+AO$7*BefMedia)*((1+Inflation)^('4. NPV'!AO$5-1))))</f>
        <v>-0.0</v>
      </c>
      <c r="AP23" s="228">
        <f>-(((AP$6*NybMedia+AP$7*BefMedia)*(1+Inflation)^(AP5-1))*(IF($D$4+Höjnin1&lt;='4. NPV'!AP$4,TioÅrMedia,0)+IF($D$4+Höjning2&lt;='4. NPV'!AP$4,FemtonÅrMedia,0))+((AP$6*NybMedia+AP$7*BefMedia)*((1+Inflation)^('4. NPV'!AP$5-1))))</f>
        <v>-0.0</v>
      </c>
      <c r="AQ23" s="228">
        <f>-(((AQ$6*NybMedia+AQ$7*BefMedia)*(1+Inflation)^(AQ5-1))*(IF($D$4+Höjnin1&lt;='4. NPV'!AQ$4,TioÅrMedia,0)+IF($D$4+Höjning2&lt;='4. NPV'!AQ$4,FemtonÅrMedia,0))+((AQ$6*NybMedia+AQ$7*BefMedia)*((1+Inflation)^('4. NPV'!AQ$5-1))))</f>
        <v>-0.0</v>
      </c>
      <c r="AR23" s="228">
        <f>-(((AR$6*NybMedia+AR$7*BefMedia)*(1+Inflation)^(AR5-1))*(IF($D$4+Höjnin1&lt;='4. NPV'!AR$4,TioÅrMedia,0)+IF($D$4+Höjning2&lt;='4. NPV'!AR$4,FemtonÅrMedia,0))+((AR$6*NybMedia+AR$7*BefMedia)*((1+Inflation)^('4. NPV'!AR$5-1))))</f>
        <v>-0.0</v>
      </c>
      <c r="AS23" s="228">
        <f>-(((AS$6*NybMedia+AS$7*BefMedia)*(1+Inflation)^(AS5-1))*(IF($D$4+Höjnin1&lt;='4. NPV'!AS$4,TioÅrMedia,0)+IF($D$4+Höjning2&lt;='4. NPV'!AS$4,FemtonÅrMedia,0))+((AS$6*NybMedia+AS$7*BefMedia)*((1+Inflation)^('4. NPV'!AS$5-1))))</f>
        <v>-0.0</v>
      </c>
      <c r="AT23" s="228">
        <f>-(((AT$6*NybMedia+AT$7*BefMedia)*(1+Inflation)^(AT5-1))*(IF($D$4+Höjnin1&lt;='4. NPV'!AT$4,TioÅrMedia,0)+IF($D$4+Höjning2&lt;='4. NPV'!AT$4,FemtonÅrMedia,0))+((AT$6*NybMedia+AT$7*BefMedia)*((1+Inflation)^('4. NPV'!AT$5-1))))</f>
        <v>-0.0</v>
      </c>
      <c r="AU23" s="228">
        <f>-(((AU$6*NybMedia+AU$7*BefMedia)*(1+Inflation)^(AU5-1))*(IF($D$4+Höjnin1&lt;='4. NPV'!AU$4,TioÅrMedia,0)+IF($D$4+Höjning2&lt;='4. NPV'!AU$4,FemtonÅrMedia,0))+((AU$6*NybMedia+AU$7*BefMedia)*((1+Inflation)^('4. NPV'!AU$5-1))))</f>
        <v>-0.0</v>
      </c>
      <c r="AV23" s="228">
        <f>-(((AV$6*NybMedia+AV$7*BefMedia)*(1+Inflation)^(AV5-1))*(IF($D$4+Höjnin1&lt;='4. NPV'!AV$4,TioÅrMedia,0)+IF($D$4+Höjning2&lt;='4. NPV'!AV$4,FemtonÅrMedia,0))+((AV$6*NybMedia+AV$7*BefMedia)*((1+Inflation)^('4. NPV'!AV$5-1))))</f>
        <v>-0.0</v>
      </c>
      <c r="AW23" s="228">
        <f>-(((AW$6*NybMedia+AW$7*BefMedia)*(1+Inflation)^(AW5-1))*(IF($D$4+Höjnin1&lt;='4. NPV'!AW$4,TioÅrMedia,0)+IF($D$4+Höjning2&lt;='4. NPV'!AW$4,FemtonÅrMedia,0))+((AW$6*NybMedia+AW$7*BefMedia)*((1+Inflation)^('4. NPV'!AW$5-1))))</f>
        <v>-0.0</v>
      </c>
      <c r="AX23" s="228">
        <f>-(((AX$6*NybMedia+AX$7*BefMedia)*(1+Inflation)^(AX5-1))*(IF($D$4+Höjnin1&lt;='4. NPV'!AX$4,TioÅrMedia,0)+IF($D$4+Höjning2&lt;='4. NPV'!AX$4,FemtonÅrMedia,0))+((AX$6*NybMedia+AX$7*BefMedia)*((1+Inflation)^('4. NPV'!AX$5-1))))</f>
        <v>-0.0</v>
      </c>
      <c r="AY23" s="228">
        <f>-(((AY$6*NybMedia+AY$7*BefMedia)*(1+Inflation)^(AY5-1))*(IF($D$4+Höjnin1&lt;='4. NPV'!AY$4,TioÅrMedia,0)+IF($D$4+Höjning2&lt;='4. NPV'!AY$4,FemtonÅrMedia,0))+((AY$6*NybMedia+AY$7*BefMedia)*((1+Inflation)^('4. NPV'!AY$5-1))))</f>
        <v>-0.0</v>
      </c>
      <c r="AZ23" s="228">
        <f>-(((AZ$6*NybMedia+AZ$7*BefMedia)*(1+Inflation)^(AZ5-1))*(IF($D$4+Höjnin1&lt;='4. NPV'!AZ$4,TioÅrMedia,0)+IF($D$4+Höjning2&lt;='4. NPV'!AZ$4,FemtonÅrMedia,0))+((AZ$6*NybMedia+AZ$7*BefMedia)*((1+Inflation)^('4. NPV'!AZ$5-1))))</f>
        <v>-0.0</v>
      </c>
      <c r="BA23" s="228">
        <f>-(((BA$6*NybMedia+BA$7*BefMedia)*(1+Inflation)^(BA5-1))*(IF($D$4+Höjnin1&lt;='4. NPV'!BA$4,TioÅrMedia,0)+IF($D$4+Höjning2&lt;='4. NPV'!BA$4,FemtonÅrMedia,0))+((BA$6*NybMedia+BA$7*BefMedia)*((1+Inflation)^('4. NPV'!BA$5-1))))</f>
        <v>-0.0</v>
      </c>
      <c r="BB23" s="494"/>
    </row>
    <row r="24" spans="2:54">
      <c r="B24" s="227" t="s">
        <v>235</v>
      </c>
      <c r="C24" s="327">
        <f>IFERROR($D24/$C$8,"")</f>
        <v>-405.0</v>
      </c>
      <c r="D24" s="228">
        <f>-(((D$6*NybÖvrigaförvaltningskostnader+D$7*BefÖvrigaförvaltningskostnader)*(1+Inflation)^(D5-1))*(IF($D$4+Höjnin1&lt;='4. NPV'!D$4,TioÅrÖvrigaFörvaltningskostnader,0)+IF($D$4+Höjning2&lt;='4. NPV'!D$4,FemtonÅrÖvrigaFörvaltningskostnader,0))+((D$6*NybÖvrigaförvaltningskostnader+D$7*BefÖvrigaförvaltningskostnader)*((1+Inflation)^('4. NPV'!D$5-1))))</f>
        <v>-2470500.0</v>
      </c>
      <c r="E24" s="228">
        <f>-(((E$6*NybÖvrigaförvaltningskostnader+E$7*BefÖvrigaförvaltningskostnader)*(1+Inflation)^(E5-1))*(IF($D$4+Höjnin1&lt;='4. NPV'!E$4,TioÅrÖvrigaFörvaltningskostnader,0)+IF($D$4+Höjning2&lt;='4. NPV'!E$4,FemtonÅrÖvrigaFörvaltningskostnader,0))+((E$6*NybÖvrigaförvaltningskostnader+E$7*BefÖvrigaförvaltningskostnader)*((1+Inflation)^('4. NPV'!E$5-1))))</f>
        <v>-2519910.0</v>
      </c>
      <c r="F24" s="228">
        <f>-(((F$6*NybÖvrigaförvaltningskostnader+F$7*BefÖvrigaförvaltningskostnader)*(1+Inflation)^(F5-1))*(IF($D$4+Höjnin1&lt;='4. NPV'!F$4,TioÅrÖvrigaFörvaltningskostnader,0)+IF($D$4+Höjning2&lt;='4. NPV'!F$4,FemtonÅrÖvrigaFörvaltningskostnader,0))+((F$6*NybÖvrigaförvaltningskostnader+F$7*BefÖvrigaförvaltningskostnader)*((1+Inflation)^('4. NPV'!F$5-1))))</f>
        <v>-2570308.2</v>
      </c>
      <c r="G24" s="228">
        <f>-(((G$6*NybÖvrigaförvaltningskostnader+G$7*BefÖvrigaförvaltningskostnader)*(1+Inflation)^(G5-1))*(IF($D$4+Höjnin1&lt;='4. NPV'!G$4,TioÅrÖvrigaFörvaltningskostnader,0)+IF($D$4+Höjning2&lt;='4. NPV'!G$4,FemtonÅrÖvrigaFörvaltningskostnader,0))+((G$6*NybÖvrigaförvaltningskostnader+G$7*BefÖvrigaförvaltningskostnader)*((1+Inflation)^('4. NPV'!G$5-1))))</f>
        <v>-2621714.3640000005</v>
      </c>
      <c r="H24" s="228">
        <f>-(((H$6*NybÖvrigaförvaltningskostnader+H$7*BefÖvrigaförvaltningskostnader)*(1+Inflation)^(H5-1))*(IF($D$4+Höjnin1&lt;='4. NPV'!H$4,TioÅrÖvrigaFörvaltningskostnader,0)+IF($D$4+Höjning2&lt;='4. NPV'!H$4,FemtonÅrÖvrigaFörvaltningskostnader,0))+((H$6*NybÖvrigaförvaltningskostnader+H$7*BefÖvrigaförvaltningskostnader)*((1+Inflation)^('4. NPV'!H$5-1))))</f>
        <v>-2674148.65128</v>
      </c>
      <c r="I24" s="228">
        <f>-(((I$6*NybÖvrigaförvaltningskostnader+I$7*BefÖvrigaförvaltningskostnader)*(1+Inflation)^(I5-1))*(IF($D$4+Höjnin1&lt;='4. NPV'!I$4,TioÅrÖvrigaFörvaltningskostnader,0)+IF($D$4+Höjning2&lt;='4. NPV'!I$4,FemtonÅrÖvrigaFörvaltningskostnader,0))+((I$6*NybÖvrigaförvaltningskostnader+I$7*BefÖvrigaförvaltningskostnader)*((1+Inflation)^('4. NPV'!I$5-1))))</f>
        <v>-2727631.6243056</v>
      </c>
      <c r="J24" s="228">
        <f>-(((J$6*NybÖvrigaförvaltningskostnader+J$7*BefÖvrigaförvaltningskostnader)*(1+Inflation)^(J5-1))*(IF($D$4+Höjnin1&lt;='4. NPV'!J$4,TioÅrÖvrigaFörvaltningskostnader,0)+IF($D$4+Höjning2&lt;='4. NPV'!J$4,FemtonÅrÖvrigaFörvaltningskostnader,0))+((J$6*NybÖvrigaförvaltningskostnader+J$7*BefÖvrigaförvaltningskostnader)*((1+Inflation)^('4. NPV'!J$5-1))))</f>
        <v>-2782184.2567917123</v>
      </c>
      <c r="K24" s="228">
        <f>-(((K$6*NybÖvrigaförvaltningskostnader+K$7*BefÖvrigaförvaltningskostnader)*(1+Inflation)^(K5-1))*(IF($D$4+Höjnin1&lt;='4. NPV'!K$4,TioÅrÖvrigaFörvaltningskostnader,0)+IF($D$4+Höjning2&lt;='4. NPV'!K$4,FemtonÅrÖvrigaFörvaltningskostnader,0))+((K$6*NybÖvrigaförvaltningskostnader+K$7*BefÖvrigaförvaltningskostnader)*((1+Inflation)^('4. NPV'!K$5-1))))</f>
        <v>-2837827.941927546</v>
      </c>
      <c r="L24" s="228">
        <f>-(((L$6*NybÖvrigaförvaltningskostnader+L$7*BefÖvrigaförvaltningskostnader)*(1+Inflation)^(L5-1))*(IF($D$4+Höjnin1&lt;='4. NPV'!L$4,TioÅrÖvrigaFörvaltningskostnader,0)+IF($D$4+Höjning2&lt;='4. NPV'!L$4,FemtonÅrÖvrigaFörvaltningskostnader,0))+((L$6*NybÖvrigaförvaltningskostnader+L$7*BefÖvrigaförvaltningskostnader)*((1+Inflation)^('4. NPV'!L$5-1))))</f>
        <v>-2894584.5007660976</v>
      </c>
      <c r="M24" s="228">
        <f>-(((M$6*NybÖvrigaförvaltningskostnader+M$7*BefÖvrigaförvaltningskostnader)*(1+Inflation)^(M5-1))*(IF($D$4+Höjnin1&lt;='4. NPV'!M$4,TioÅrÖvrigaFörvaltningskostnader,0)+IF($D$4+Höjning2&lt;='4. NPV'!M$4,FemtonÅrÖvrigaFörvaltningskostnader,0))+((M$6*NybÖvrigaförvaltningskostnader+M$7*BefÖvrigaförvaltningskostnader)*((1+Inflation)^('4. NPV'!M$5-1))))</f>
        <v>-2952476.1907814196</v>
      </c>
      <c r="N24" s="228">
        <f>-(((N$6*NybÖvrigaförvaltningskostnader+N$7*BefÖvrigaförvaltningskostnader)*(1+Inflation)^(N5-1))*(IF($D$4+Höjnin1&lt;='4. NPV'!N$4,TioÅrÖvrigaFörvaltningskostnader,0)+IF($D$4+Höjning2&lt;='4. NPV'!N$4,FemtonÅrÖvrigaFörvaltningskostnader,0))+((N$6*NybÖvrigaförvaltningskostnader+N$7*BefÖvrigaförvaltningskostnader)*((1+Inflation)^('4. NPV'!N$5-1))))</f>
        <v>-3011525.714597048</v>
      </c>
      <c r="O24" s="228">
        <f>-(((O$6*NybÖvrigaförvaltningskostnader+O$7*BefÖvrigaförvaltningskostnader)*(1+Inflation)^(O5-1))*(IF($D$4+Höjnin1&lt;='4. NPV'!O$4,TioÅrÖvrigaFörvaltningskostnader,0)+IF($D$4+Höjning2&lt;='4. NPV'!O$4,FemtonÅrÖvrigaFörvaltningskostnader,0))+((O$6*NybÖvrigaförvaltningskostnader+O$7*BefÖvrigaförvaltningskostnader)*((1+Inflation)^('4. NPV'!O$5-1))))</f>
        <v>-3071756.228888989</v>
      </c>
      <c r="P24" s="228">
        <f>-(((P$6*NybÖvrigaförvaltningskostnader+P$7*BefÖvrigaförvaltningskostnader)*(1+Inflation)^(P5-1))*(IF($D$4+Höjnin1&lt;='4. NPV'!P$4,TioÅrÖvrigaFörvaltningskostnader,0)+IF($D$4+Höjning2&lt;='4. NPV'!P$4,FemtonÅrÖvrigaFörvaltningskostnader,0))+((P$6*NybÖvrigaförvaltningskostnader+P$7*BefÖvrigaförvaltningskostnader)*((1+Inflation)^('4. NPV'!P$5-1))))</f>
        <v>-3133191.3534667687</v>
      </c>
      <c r="Q24" s="228">
        <f>-(((Q$6*NybÖvrigaförvaltningskostnader+Q$7*BefÖvrigaförvaltningskostnader)*(1+Inflation)^(Q5-1))*(IF($D$4+Höjnin1&lt;='4. NPV'!Q$4,TioÅrÖvrigaFörvaltningskostnader,0)+IF($D$4+Höjning2&lt;='4. NPV'!Q$4,FemtonÅrÖvrigaFörvaltningskostnader,0))+((Q$6*NybÖvrigaförvaltningskostnader+Q$7*BefÖvrigaförvaltningskostnader)*((1+Inflation)^('4. NPV'!Q$5-1))))</f>
        <v>-3195855.1805361044</v>
      </c>
      <c r="R24" s="228">
        <f>-(((R$6*NybÖvrigaförvaltningskostnader+R$7*BefÖvrigaförvaltningskostnader)*(1+Inflation)^(R5-1))*(IF($D$4+Höjnin1&lt;='4. NPV'!R$4,TioÅrÖvrigaFörvaltningskostnader,0)+IF($D$4+Höjning2&lt;='4. NPV'!R$4,FemtonÅrÖvrigaFörvaltningskostnader,0))+((R$6*NybÖvrigaförvaltningskostnader+R$7*BefÖvrigaförvaltningskostnader)*((1+Inflation)^('4. NPV'!R$5-1))))</f>
        <v>-3259772.2841468262</v>
      </c>
      <c r="S24" s="228">
        <f>-(((S$6*NybÖvrigaförvaltningskostnader+S$7*BefÖvrigaförvaltningskostnader)*(1+Inflation)^(S5-1))*(IF($D$4+Höjnin1&lt;='4. NPV'!S$4,TioÅrÖvrigaFörvaltningskostnader,0)+IF($D$4+Höjning2&lt;='4. NPV'!S$4,FemtonÅrÖvrigaFörvaltningskostnader,0))+((S$6*NybÖvrigaförvaltningskostnader+S$7*BefÖvrigaförvaltningskostnader)*((1+Inflation)^('4. NPV'!S$5-1))))</f>
        <v>-3324967.729829763</v>
      </c>
      <c r="T24" s="228">
        <f>-(((T$6*NybÖvrigaförvaltningskostnader+T$7*BefÖvrigaförvaltningskostnader)*(1+Inflation)^(T5-1))*(IF($D$4+Höjnin1&lt;='4. NPV'!T$4,TioÅrÖvrigaFörvaltningskostnader,0)+IF($D$4+Höjning2&lt;='4. NPV'!T$4,FemtonÅrÖvrigaFörvaltningskostnader,0))+((T$6*NybÖvrigaförvaltningskostnader+T$7*BefÖvrigaförvaltningskostnader)*((1+Inflation)^('4. NPV'!T$5-1))))</f>
        <v>-3391467.0844263583</v>
      </c>
      <c r="U24" s="228">
        <f>-(((U$6*NybÖvrigaförvaltningskostnader+U$7*BefÖvrigaförvaltningskostnader)*(1+Inflation)^(U5-1))*(IF($D$4+Höjnin1&lt;='4. NPV'!U$4,TioÅrÖvrigaFörvaltningskostnader,0)+IF($D$4+Höjning2&lt;='4. NPV'!U$4,FemtonÅrÖvrigaFörvaltningskostnader,0))+((U$6*NybÖvrigaförvaltningskostnader+U$7*BefÖvrigaförvaltningskostnader)*((1+Inflation)^('4. NPV'!U$5-1))))</f>
        <v>-3459296.4261148856</v>
      </c>
      <c r="V24" s="228">
        <f>-(((V$6*NybÖvrigaförvaltningskostnader+V$7*BefÖvrigaförvaltningskostnader)*(1+Inflation)^(V5-1))*(IF($D$4+Höjnin1&lt;='4. NPV'!V$4,TioÅrÖvrigaFörvaltningskostnader,0)+IF($D$4+Höjning2&lt;='4. NPV'!V$4,FemtonÅrÖvrigaFörvaltningskostnader,0))+((V$6*NybÖvrigaförvaltningskostnader+V$7*BefÖvrigaförvaltningskostnader)*((1+Inflation)^('4. NPV'!V$5-1))))</f>
        <v>-3528482.3546371832</v>
      </c>
      <c r="W24" s="228">
        <f>-(((W$6*NybÖvrigaförvaltningskostnader+W$7*BefÖvrigaförvaltningskostnader)*(1+Inflation)^(W5-1))*(IF($D$4+Höjnin1&lt;='4. NPV'!W$4,TioÅrÖvrigaFörvaltningskostnader,0)+IF($D$4+Höjning2&lt;='4. NPV'!W$4,FemtonÅrÖvrigaFörvaltningskostnader,0))+((W$6*NybÖvrigaförvaltningskostnader+W$7*BefÖvrigaförvaltningskostnader)*((1+Inflation)^('4. NPV'!W$5-1))))</f>
        <v>-3599052.001729927</v>
      </c>
      <c r="X24" s="228">
        <f>-(((X$6*NybÖvrigaförvaltningskostnader+X$7*BefÖvrigaförvaltningskostnader)*(1+Inflation)^(X5-1))*(IF($D$4+Höjnin1&lt;='4. NPV'!X$4,TioÅrÖvrigaFörvaltningskostnader,0)+IF($D$4+Höjning2&lt;='4. NPV'!X$4,FemtonÅrÖvrigaFörvaltningskostnader,0))+((X$6*NybÖvrigaförvaltningskostnader+X$7*BefÖvrigaförvaltningskostnader)*((1+Inflation)^('4. NPV'!X$5-1))))</f>
        <v>-3671033.0417645257</v>
      </c>
      <c r="Y24" s="228">
        <f>-(((Y$6*NybÖvrigaförvaltningskostnader+Y$7*BefÖvrigaförvaltningskostnader)*(1+Inflation)^(Y5-1))*(IF($D$4+Höjnin1&lt;='4. NPV'!Y$4,TioÅrÖvrigaFörvaltningskostnader,0)+IF($D$4+Höjning2&lt;='4. NPV'!Y$4,FemtonÅrÖvrigaFörvaltningskostnader,0))+((Y$6*NybÖvrigaförvaltningskostnader+Y$7*BefÖvrigaförvaltningskostnader)*((1+Inflation)^('4. NPV'!Y$5-1))))</f>
        <v>-0.0</v>
      </c>
      <c r="Z24" s="228">
        <f>-(((Z$6*NybÖvrigaförvaltningskostnader+Z$7*BefÖvrigaförvaltningskostnader)*(1+Inflation)^(Z5-1))*(IF($D$4+Höjnin1&lt;='4. NPV'!Z$4,TioÅrÖvrigaFörvaltningskostnader,0)+IF($D$4+Höjning2&lt;='4. NPV'!Z$4,FemtonÅrÖvrigaFörvaltningskostnader,0))+((Z$6*NybÖvrigaförvaltningskostnader+Z$7*BefÖvrigaförvaltningskostnader)*((1+Inflation)^('4. NPV'!Z$5-1))))</f>
        <v>-0.0</v>
      </c>
      <c r="AA24" s="228">
        <f>-(((AA$6*NybÖvrigaförvaltningskostnader+AA$7*BefÖvrigaförvaltningskostnader)*(1+Inflation)^(AA5-1))*(IF($D$4+Höjnin1&lt;='4. NPV'!AA$4,TioÅrÖvrigaFörvaltningskostnader,0)+IF($D$4+Höjning2&lt;='4. NPV'!AA$4,FemtonÅrÖvrigaFörvaltningskostnader,0))+((AA$6*NybÖvrigaförvaltningskostnader+AA$7*BefÖvrigaförvaltningskostnader)*((1+Inflation)^('4. NPV'!AA$5-1))))</f>
        <v>-0.0</v>
      </c>
      <c r="AB24" s="228">
        <f>-(((AB$6*NybÖvrigaförvaltningskostnader+AB$7*BefÖvrigaförvaltningskostnader)*(1+Inflation)^(AB5-1))*(IF($D$4+Höjnin1&lt;='4. NPV'!AB$4,TioÅrÖvrigaFörvaltningskostnader,0)+IF($D$4+Höjning2&lt;='4. NPV'!AB$4,FemtonÅrÖvrigaFörvaltningskostnader,0))+((AB$6*NybÖvrigaförvaltningskostnader+AB$7*BefÖvrigaförvaltningskostnader)*((1+Inflation)^('4. NPV'!AB$5-1))))</f>
        <v>-0.0</v>
      </c>
      <c r="AC24" s="228">
        <f>-(((AC$6*NybÖvrigaförvaltningskostnader+AC$7*BefÖvrigaförvaltningskostnader)*(1+Inflation)^(AC5-1))*(IF($D$4+Höjnin1&lt;='4. NPV'!AC$4,TioÅrÖvrigaFörvaltningskostnader,0)+IF($D$4+Höjning2&lt;='4. NPV'!AC$4,FemtonÅrÖvrigaFörvaltningskostnader,0))+((AC$6*NybÖvrigaförvaltningskostnader+AC$7*BefÖvrigaförvaltningskostnader)*((1+Inflation)^('4. NPV'!AC$5-1))))</f>
        <v>-0.0</v>
      </c>
      <c r="AD24" s="228">
        <f>-(((AD$6*NybÖvrigaförvaltningskostnader+AD$7*BefÖvrigaförvaltningskostnader)*(1+Inflation)^(AD5-1))*(IF($D$4+Höjnin1&lt;='4. NPV'!AD$4,TioÅrÖvrigaFörvaltningskostnader,0)+IF($D$4+Höjning2&lt;='4. NPV'!AD$4,FemtonÅrÖvrigaFörvaltningskostnader,0))+((AD$6*NybÖvrigaförvaltningskostnader+AD$7*BefÖvrigaförvaltningskostnader)*((1+Inflation)^('4. NPV'!AD$5-1))))</f>
        <v>-0.0</v>
      </c>
      <c r="AE24" s="228">
        <f>-(((AE$6*NybÖvrigaförvaltningskostnader+AE$7*BefÖvrigaförvaltningskostnader)*(1+Inflation)^(AE5-1))*(IF($D$4+Höjnin1&lt;='4. NPV'!AE$4,TioÅrÖvrigaFörvaltningskostnader,0)+IF($D$4+Höjning2&lt;='4. NPV'!AE$4,FemtonÅrÖvrigaFörvaltningskostnader,0))+((AE$6*NybÖvrigaförvaltningskostnader+AE$7*BefÖvrigaförvaltningskostnader)*((1+Inflation)^('4. NPV'!AE$5-1))))</f>
        <v>-0.0</v>
      </c>
      <c r="AF24" s="228">
        <f>-(((AF$6*NybÖvrigaförvaltningskostnader+AF$7*BefÖvrigaförvaltningskostnader)*(1+Inflation)^(AF5-1))*(IF($D$4+Höjnin1&lt;='4. NPV'!AF$4,TioÅrÖvrigaFörvaltningskostnader,0)+IF($D$4+Höjning2&lt;='4. NPV'!AF$4,FemtonÅrÖvrigaFörvaltningskostnader,0))+((AF$6*NybÖvrigaförvaltningskostnader+AF$7*BefÖvrigaförvaltningskostnader)*((1+Inflation)^('4. NPV'!AF$5-1))))</f>
        <v>-0.0</v>
      </c>
      <c r="AG24" s="228">
        <f>-(((AG$6*NybÖvrigaförvaltningskostnader+AG$7*BefÖvrigaförvaltningskostnader)*(1+Inflation)^(AG5-1))*(IF($D$4+Höjnin1&lt;='4. NPV'!AG$4,TioÅrÖvrigaFörvaltningskostnader,0)+IF($D$4+Höjning2&lt;='4. NPV'!AG$4,FemtonÅrÖvrigaFörvaltningskostnader,0))+((AG$6*NybÖvrigaförvaltningskostnader+AG$7*BefÖvrigaförvaltningskostnader)*((1+Inflation)^('4. NPV'!AG$5-1))))</f>
        <v>-0.0</v>
      </c>
      <c r="AH24" s="228">
        <f>-(((AH$6*NybÖvrigaförvaltningskostnader+AH$7*BefÖvrigaförvaltningskostnader)*(1+Inflation)^(AH5-1))*(IF($D$4+Höjnin1&lt;='4. NPV'!AH$4,TioÅrÖvrigaFörvaltningskostnader,0)+IF($D$4+Höjning2&lt;='4. NPV'!AH$4,FemtonÅrÖvrigaFörvaltningskostnader,0))+((AH$6*NybÖvrigaförvaltningskostnader+AH$7*BefÖvrigaförvaltningskostnader)*((1+Inflation)^('4. NPV'!AH$5-1))))</f>
        <v>-0.0</v>
      </c>
      <c r="AI24" s="228">
        <f>-(((AI$6*NybÖvrigaförvaltningskostnader+AI$7*BefÖvrigaförvaltningskostnader)*(1+Inflation)^(AI5-1))*(IF($D$4+Höjnin1&lt;='4. NPV'!AI$4,TioÅrÖvrigaFörvaltningskostnader,0)+IF($D$4+Höjning2&lt;='4. NPV'!AI$4,FemtonÅrÖvrigaFörvaltningskostnader,0))+((AI$6*NybÖvrigaförvaltningskostnader+AI$7*BefÖvrigaförvaltningskostnader)*((1+Inflation)^('4. NPV'!AI$5-1))))</f>
        <v>-0.0</v>
      </c>
      <c r="AJ24" s="228">
        <f>-(((AJ$6*NybÖvrigaförvaltningskostnader+AJ$7*BefÖvrigaförvaltningskostnader)*(1+Inflation)^(AJ5-1))*(IF($D$4+Höjnin1&lt;='4. NPV'!AJ$4,TioÅrÖvrigaFörvaltningskostnader,0)+IF($D$4+Höjning2&lt;='4. NPV'!AJ$4,FemtonÅrÖvrigaFörvaltningskostnader,0))+((AJ$6*NybÖvrigaförvaltningskostnader+AJ$7*BefÖvrigaförvaltningskostnader)*((1+Inflation)^('4. NPV'!AJ$5-1))))</f>
        <v>-0.0</v>
      </c>
      <c r="AK24" s="228">
        <f>-(((AK$6*NybÖvrigaförvaltningskostnader+AK$7*BefÖvrigaförvaltningskostnader)*(1+Inflation)^(AK5-1))*(IF($D$4+Höjnin1&lt;='4. NPV'!AK$4,TioÅrÖvrigaFörvaltningskostnader,0)+IF($D$4+Höjning2&lt;='4. NPV'!AK$4,FemtonÅrÖvrigaFörvaltningskostnader,0))+((AK$6*NybÖvrigaförvaltningskostnader+AK$7*BefÖvrigaförvaltningskostnader)*((1+Inflation)^('4. NPV'!AK$5-1))))</f>
        <v>-0.0</v>
      </c>
      <c r="AL24" s="228">
        <f>-(((AL$6*NybÖvrigaförvaltningskostnader+AL$7*BefÖvrigaförvaltningskostnader)*(1+Inflation)^(AL5-1))*(IF($D$4+Höjnin1&lt;='4. NPV'!AL$4,TioÅrÖvrigaFörvaltningskostnader,0)+IF($D$4+Höjning2&lt;='4. NPV'!AL$4,FemtonÅrÖvrigaFörvaltningskostnader,0))+((AL$6*NybÖvrigaförvaltningskostnader+AL$7*BefÖvrigaförvaltningskostnader)*((1+Inflation)^('4. NPV'!AL$5-1))))</f>
        <v>-0.0</v>
      </c>
      <c r="AM24" s="228">
        <f>-(((AM$6*NybÖvrigaförvaltningskostnader+AM$7*BefÖvrigaförvaltningskostnader)*(1+Inflation)^(AM5-1))*(IF($D$4+Höjnin1&lt;='4. NPV'!AM$4,TioÅrÖvrigaFörvaltningskostnader,0)+IF($D$4+Höjning2&lt;='4. NPV'!AM$4,FemtonÅrÖvrigaFörvaltningskostnader,0))+((AM$6*NybÖvrigaförvaltningskostnader+AM$7*BefÖvrigaförvaltningskostnader)*((1+Inflation)^('4. NPV'!AM$5-1))))</f>
        <v>-0.0</v>
      </c>
      <c r="AN24" s="228">
        <f>-(((AN$6*NybÖvrigaförvaltningskostnader+AN$7*BefÖvrigaförvaltningskostnader)*(1+Inflation)^(AN5-1))*(IF($D$4+Höjnin1&lt;='4. NPV'!AN$4,TioÅrÖvrigaFörvaltningskostnader,0)+IF($D$4+Höjning2&lt;='4. NPV'!AN$4,FemtonÅrÖvrigaFörvaltningskostnader,0))+((AN$6*NybÖvrigaförvaltningskostnader+AN$7*BefÖvrigaförvaltningskostnader)*((1+Inflation)^('4. NPV'!AN$5-1))))</f>
        <v>-0.0</v>
      </c>
      <c r="AO24" s="228">
        <f>-(((AO$6*NybÖvrigaförvaltningskostnader+AO$7*BefÖvrigaförvaltningskostnader)*(1+Inflation)^(AO5-1))*(IF($D$4+Höjnin1&lt;='4. NPV'!AO$4,TioÅrÖvrigaFörvaltningskostnader,0)+IF($D$4+Höjning2&lt;='4. NPV'!AO$4,FemtonÅrÖvrigaFörvaltningskostnader,0))+((AO$6*NybÖvrigaförvaltningskostnader+AO$7*BefÖvrigaförvaltningskostnader)*((1+Inflation)^('4. NPV'!AO$5-1))))</f>
        <v>-0.0</v>
      </c>
      <c r="AP24" s="228">
        <f>-(((AP$6*NybÖvrigaförvaltningskostnader+AP$7*BefÖvrigaförvaltningskostnader)*(1+Inflation)^(AP5-1))*(IF($D$4+Höjnin1&lt;='4. NPV'!AP$4,TioÅrÖvrigaFörvaltningskostnader,0)+IF($D$4+Höjning2&lt;='4. NPV'!AP$4,FemtonÅrÖvrigaFörvaltningskostnader,0))+((AP$6*NybÖvrigaförvaltningskostnader+AP$7*BefÖvrigaförvaltningskostnader)*((1+Inflation)^('4. NPV'!AP$5-1))))</f>
        <v>-0.0</v>
      </c>
      <c r="AQ24" s="228">
        <f>-(((AQ$6*NybÖvrigaförvaltningskostnader+AQ$7*BefÖvrigaförvaltningskostnader)*(1+Inflation)^(AQ5-1))*(IF($D$4+Höjnin1&lt;='4. NPV'!AQ$4,TioÅrÖvrigaFörvaltningskostnader,0)+IF($D$4+Höjning2&lt;='4. NPV'!AQ$4,FemtonÅrÖvrigaFörvaltningskostnader,0))+((AQ$6*NybÖvrigaförvaltningskostnader+AQ$7*BefÖvrigaförvaltningskostnader)*((1+Inflation)^('4. NPV'!AQ$5-1))))</f>
        <v>-0.0</v>
      </c>
      <c r="AR24" s="228">
        <f>-(((AR$6*NybÖvrigaförvaltningskostnader+AR$7*BefÖvrigaförvaltningskostnader)*(1+Inflation)^(AR5-1))*(IF($D$4+Höjnin1&lt;='4. NPV'!AR$4,TioÅrÖvrigaFörvaltningskostnader,0)+IF($D$4+Höjning2&lt;='4. NPV'!AR$4,FemtonÅrÖvrigaFörvaltningskostnader,0))+((AR$6*NybÖvrigaförvaltningskostnader+AR$7*BefÖvrigaförvaltningskostnader)*((1+Inflation)^('4. NPV'!AR$5-1))))</f>
        <v>-0.0</v>
      </c>
      <c r="AS24" s="228">
        <f>-(((AS$6*NybÖvrigaförvaltningskostnader+AS$7*BefÖvrigaförvaltningskostnader)*(1+Inflation)^(AS5-1))*(IF($D$4+Höjnin1&lt;='4. NPV'!AS$4,TioÅrÖvrigaFörvaltningskostnader,0)+IF($D$4+Höjning2&lt;='4. NPV'!AS$4,FemtonÅrÖvrigaFörvaltningskostnader,0))+((AS$6*NybÖvrigaförvaltningskostnader+AS$7*BefÖvrigaförvaltningskostnader)*((1+Inflation)^('4. NPV'!AS$5-1))))</f>
        <v>-0.0</v>
      </c>
      <c r="AT24" s="228">
        <f>-(((AT$6*NybÖvrigaförvaltningskostnader+AT$7*BefÖvrigaförvaltningskostnader)*(1+Inflation)^(AT5-1))*(IF($D$4+Höjnin1&lt;='4. NPV'!AT$4,TioÅrÖvrigaFörvaltningskostnader,0)+IF($D$4+Höjning2&lt;='4. NPV'!AT$4,FemtonÅrÖvrigaFörvaltningskostnader,0))+((AT$6*NybÖvrigaförvaltningskostnader+AT$7*BefÖvrigaförvaltningskostnader)*((1+Inflation)^('4. NPV'!AT$5-1))))</f>
        <v>-0.0</v>
      </c>
      <c r="AU24" s="228">
        <f>-(((AU$6*NybÖvrigaförvaltningskostnader+AU$7*BefÖvrigaförvaltningskostnader)*(1+Inflation)^(AU5-1))*(IF($D$4+Höjnin1&lt;='4. NPV'!AU$4,TioÅrÖvrigaFörvaltningskostnader,0)+IF($D$4+Höjning2&lt;='4. NPV'!AU$4,FemtonÅrÖvrigaFörvaltningskostnader,0))+((AU$6*NybÖvrigaförvaltningskostnader+AU$7*BefÖvrigaförvaltningskostnader)*((1+Inflation)^('4. NPV'!AU$5-1))))</f>
        <v>-0.0</v>
      </c>
      <c r="AV24" s="228">
        <f>-(((AV$6*NybÖvrigaförvaltningskostnader+AV$7*BefÖvrigaförvaltningskostnader)*(1+Inflation)^(AV5-1))*(IF($D$4+Höjnin1&lt;='4. NPV'!AV$4,TioÅrÖvrigaFörvaltningskostnader,0)+IF($D$4+Höjning2&lt;='4. NPV'!AV$4,FemtonÅrÖvrigaFörvaltningskostnader,0))+((AV$6*NybÖvrigaförvaltningskostnader+AV$7*BefÖvrigaförvaltningskostnader)*((1+Inflation)^('4. NPV'!AV$5-1))))</f>
        <v>-0.0</v>
      </c>
      <c r="AW24" s="228">
        <f>-(((AW$6*NybÖvrigaförvaltningskostnader+AW$7*BefÖvrigaförvaltningskostnader)*(1+Inflation)^(AW5-1))*(IF($D$4+Höjnin1&lt;='4. NPV'!AW$4,TioÅrÖvrigaFörvaltningskostnader,0)+IF($D$4+Höjning2&lt;='4. NPV'!AW$4,FemtonÅrÖvrigaFörvaltningskostnader,0))+((AW$6*NybÖvrigaförvaltningskostnader+AW$7*BefÖvrigaförvaltningskostnader)*((1+Inflation)^('4. NPV'!AW$5-1))))</f>
        <v>-0.0</v>
      </c>
      <c r="AX24" s="228">
        <f>-(((AX$6*NybÖvrigaförvaltningskostnader+AX$7*BefÖvrigaförvaltningskostnader)*(1+Inflation)^(AX5-1))*(IF($D$4+Höjnin1&lt;='4. NPV'!AX$4,TioÅrÖvrigaFörvaltningskostnader,0)+IF($D$4+Höjning2&lt;='4. NPV'!AX$4,FemtonÅrÖvrigaFörvaltningskostnader,0))+((AX$6*NybÖvrigaförvaltningskostnader+AX$7*BefÖvrigaförvaltningskostnader)*((1+Inflation)^('4. NPV'!AX$5-1))))</f>
        <v>-0.0</v>
      </c>
      <c r="AY24" s="228">
        <f>-(((AY$6*NybÖvrigaförvaltningskostnader+AY$7*BefÖvrigaförvaltningskostnader)*(1+Inflation)^(AY5-1))*(IF($D$4+Höjnin1&lt;='4. NPV'!AY$4,TioÅrÖvrigaFörvaltningskostnader,0)+IF($D$4+Höjning2&lt;='4. NPV'!AY$4,FemtonÅrÖvrigaFörvaltningskostnader,0))+((AY$6*NybÖvrigaförvaltningskostnader+AY$7*BefÖvrigaförvaltningskostnader)*((1+Inflation)^('4. NPV'!AY$5-1))))</f>
        <v>-0.0</v>
      </c>
      <c r="AZ24" s="228">
        <f>-(((AZ$6*NybÖvrigaförvaltningskostnader+AZ$7*BefÖvrigaförvaltningskostnader)*(1+Inflation)^(AZ5-1))*(IF($D$4+Höjnin1&lt;='4. NPV'!AZ$4,TioÅrÖvrigaFörvaltningskostnader,0)+IF($D$4+Höjning2&lt;='4. NPV'!AZ$4,FemtonÅrÖvrigaFörvaltningskostnader,0))+((AZ$6*NybÖvrigaförvaltningskostnader+AZ$7*BefÖvrigaförvaltningskostnader)*((1+Inflation)^('4. NPV'!AZ$5-1))))</f>
        <v>-0.0</v>
      </c>
      <c r="BA24" s="228">
        <f>-(((BA$6*NybÖvrigaförvaltningskostnader+BA$7*BefÖvrigaförvaltningskostnader)*(1+Inflation)^(BA5-1))*(IF($D$4+Höjnin1&lt;='4. NPV'!BA$4,TioÅrÖvrigaFörvaltningskostnader,0)+IF($D$4+Höjning2&lt;='4. NPV'!BA$4,FemtonÅrÖvrigaFörvaltningskostnader,0))+((BA$6*NybÖvrigaförvaltningskostnader+BA$7*BefÖvrigaförvaltningskostnader)*((1+Inflation)^('4. NPV'!BA$5-1))))</f>
        <v>-0.0</v>
      </c>
      <c r="BB24" s="494"/>
    </row>
    <row r="25" spans="2:54">
      <c r="B25" s="227" t="inlineStr">
        <is>
          <t>Re-investering/hyressatt underhåll</t>
        </is>
      </c>
      <c r="C25" s="327">
        <f t="shared" ref="C25:C26" si="7">IFERROR($D25/$C$8,"")</f>
        <v>-0.0</v>
      </c>
      <c r="D25" s="228">
        <f>IF(D$4="",0,IFERROR(-(SUMIF('2. Kalkyldata'!$R$34:$R$39,'4. NPV'!D$4,'2. Kalkyldata'!$W$34:$W$39)),0))</f>
        <v>-0.0</v>
      </c>
      <c r="E25" s="228">
        <f>IF(E$4="",0,IFERROR(-(SUMIF('2. Kalkyldata'!$R$34:$R$39,'4. NPV'!E$4,'2. Kalkyldata'!$W$34:$W$39)),0))</f>
        <v>-0.0</v>
      </c>
      <c r="F25" s="228">
        <f>IF(F$4="",0,IFERROR(-(SUMIF('2. Kalkyldata'!$R$34:$R$39,'4. NPV'!F$4,'2. Kalkyldata'!$W$34:$W$39)),0))</f>
        <v>-0.0</v>
      </c>
      <c r="G25" s="228">
        <f>IF(G$4="",0,IFERROR(-(SUMIF('2. Kalkyldata'!$R$34:$R$39,'4. NPV'!G$4,'2. Kalkyldata'!$W$34:$W$39)),0))</f>
        <v>-0.0</v>
      </c>
      <c r="H25" s="228">
        <f>IF(H$4="",0,IFERROR(-(SUMIF('2. Kalkyldata'!$R$34:$R$39,'4. NPV'!H$4,'2. Kalkyldata'!$W$34:$W$39)),0))</f>
        <v>-0.0</v>
      </c>
      <c r="I25" s="228">
        <f>IF(I$4="",0,IFERROR(-(SUMIF('2. Kalkyldata'!$R$34:$R$39,'4. NPV'!I$4,'2. Kalkyldata'!$W$34:$W$39)),0))</f>
        <v>-0.0</v>
      </c>
      <c r="J25" s="228">
        <f>IF(J$4="",0,IFERROR(-(SUMIF('2. Kalkyldata'!$R$34:$R$39,'4. NPV'!J$4,'2. Kalkyldata'!$W$34:$W$39)),0))</f>
        <v>-0.0</v>
      </c>
      <c r="K25" s="228">
        <f>IF(K$4="",0,IFERROR(-(SUMIF('2. Kalkyldata'!$R$34:$R$39,'4. NPV'!K$4,'2. Kalkyldata'!$W$34:$W$39)),0))</f>
        <v>-0.0</v>
      </c>
      <c r="L25" s="228">
        <f>IF(L$4="",0,IFERROR(-(SUMIF('2. Kalkyldata'!$R$34:$R$39,'4. NPV'!L$4,'2. Kalkyldata'!$W$34:$W$39)),0))</f>
        <v>-0.0</v>
      </c>
      <c r="M25" s="228">
        <f>IF(M$4="",0,IFERROR(-(SUMIF('2. Kalkyldata'!$R$34:$R$39,'4. NPV'!M$4,'2. Kalkyldata'!$W$34:$W$39)),0))</f>
        <v>-0.0</v>
      </c>
      <c r="N25" s="228">
        <f>IF(N$4="",0,IFERROR(-(SUMIF('2. Kalkyldata'!$R$34:$R$39,'4. NPV'!N$4,'2. Kalkyldata'!$W$34:$W$39)),0))</f>
        <v>-0.0</v>
      </c>
      <c r="O25" s="228">
        <f>IF(O$4="",0,IFERROR(-(SUMIF('2. Kalkyldata'!$R$34:$R$39,'4. NPV'!O$4,'2. Kalkyldata'!$W$34:$W$39)),0))</f>
        <v>-0.0</v>
      </c>
      <c r="P25" s="228">
        <f>IF(P$4="",0,IFERROR(-(SUMIF('2. Kalkyldata'!$R$34:$R$39,'4. NPV'!P$4,'2. Kalkyldata'!$W$34:$W$39)),0))</f>
        <v>-0.0</v>
      </c>
      <c r="Q25" s="228">
        <f>IF(Q$4="",0,IFERROR(-(SUMIF('2. Kalkyldata'!$R$34:$R$39,'4. NPV'!Q$4,'2. Kalkyldata'!$W$34:$W$39)),0))</f>
        <v>-0.0</v>
      </c>
      <c r="R25" s="228">
        <f>IF(R$4="",0,IFERROR(-(SUMIF('2. Kalkyldata'!$R$34:$R$39,'4. NPV'!R$4,'2. Kalkyldata'!$W$34:$W$39)),0))</f>
        <v>-0.0</v>
      </c>
      <c r="S25" s="228">
        <f>IF(S$4="",0,IFERROR(-(SUMIF('2. Kalkyldata'!$R$34:$R$39,'4. NPV'!S$4,'2. Kalkyldata'!$W$34:$W$39)),0))</f>
        <v>-0.0</v>
      </c>
      <c r="T25" s="228">
        <f>IF(T$4="",0,IFERROR(-(SUMIF('2. Kalkyldata'!$R$34:$R$39,'4. NPV'!T$4,'2. Kalkyldata'!$W$34:$W$39)),0))</f>
        <v>-0.0</v>
      </c>
      <c r="U25" s="228">
        <f>IF(U$4="",0,IFERROR(-(SUMIF('2. Kalkyldata'!$R$34:$R$39,'4. NPV'!U$4,'2. Kalkyldata'!$W$34:$W$39)),0))</f>
        <v>-0.0</v>
      </c>
      <c r="V25" s="228">
        <f>IF(V$4="",0,IFERROR(-(SUMIF('2. Kalkyldata'!$R$34:$R$39,'4. NPV'!V$4,'2. Kalkyldata'!$W$34:$W$39)),0))</f>
        <v>-0.0</v>
      </c>
      <c r="W25" s="228">
        <f>IF(W$4="",0,IFERROR(-(SUMIF('2. Kalkyldata'!$R$34:$R$39,'4. NPV'!W$4,'2. Kalkyldata'!$W$34:$W$39)),0))</f>
        <v>-0.0</v>
      </c>
      <c r="X25" s="228">
        <f>IF(X$4="",0,IFERROR(-(SUMIF('2. Kalkyldata'!$R$34:$R$39,'4. NPV'!X$4,'2. Kalkyldata'!$W$34:$W$39)),0))</f>
        <v>-0.0</v>
      </c>
      <c r="Y25" s="228">
        <f>IF(Y$4="",0,IFERROR(-(SUMIF('2. Kalkyldata'!$R$34:$R$39,'4. NPV'!Y$4,'2. Kalkyldata'!$W$34:$W$39)),0))</f>
        <v>0.0</v>
      </c>
      <c r="Z25" s="228">
        <f>IF(Z$4="",0,IFERROR(-(SUMIF('2. Kalkyldata'!$R$34:$R$39,'4. NPV'!Z$4,'2. Kalkyldata'!$W$34:$W$39)),0))</f>
        <v>0.0</v>
      </c>
      <c r="AA25" s="228">
        <f>IF(AA$4="",0,IFERROR(-(SUMIF('2. Kalkyldata'!$R$34:$R$39,'4. NPV'!AA$4,'2. Kalkyldata'!$W$34:$W$39)),0))</f>
        <v>0.0</v>
      </c>
      <c r="AB25" s="228">
        <f>IF(AB$4="",0,IFERROR(-(SUMIF('2. Kalkyldata'!$R$34:$R$39,'4. NPV'!AB$4,'2. Kalkyldata'!$W$34:$W$39)),0))</f>
        <v>0.0</v>
      </c>
      <c r="AC25" s="228">
        <f>IF(AC$4="",0,IFERROR(-(SUMIF('2. Kalkyldata'!$R$34:$R$39,'4. NPV'!AC$4,'2. Kalkyldata'!$W$34:$W$39)),0))</f>
        <v>0.0</v>
      </c>
      <c r="AD25" s="228">
        <f>IF(AD$4="",0,IFERROR(-(SUMIF('2. Kalkyldata'!$R$34:$R$39,'4. NPV'!AD$4,'2. Kalkyldata'!$W$34:$W$39)),0))</f>
        <v>0.0</v>
      </c>
      <c r="AE25" s="228">
        <f>IF(AE$4="",0,IFERROR(-(SUMIF('2. Kalkyldata'!$R$34:$R$39,'4. NPV'!AE$4,'2. Kalkyldata'!$W$34:$W$39)),0))</f>
        <v>0.0</v>
      </c>
      <c r="AF25" s="228">
        <f>IF(AF$4="",0,IFERROR(-(SUMIF('2. Kalkyldata'!$R$34:$R$39,'4. NPV'!AF$4,'2. Kalkyldata'!$W$34:$W$39)),0))</f>
        <v>0.0</v>
      </c>
      <c r="AG25" s="228">
        <f>IF(AG$4="",0,IFERROR(-(SUMIF('2. Kalkyldata'!$R$34:$R$39,'4. NPV'!AG$4,'2. Kalkyldata'!$W$34:$W$39)),0))</f>
        <v>0.0</v>
      </c>
      <c r="AH25" s="228">
        <f>IF(AH$4="",0,IFERROR(-(SUMIF('2. Kalkyldata'!$R$34:$R$39,'4. NPV'!AH$4,'2. Kalkyldata'!$W$34:$W$39)),0))</f>
        <v>0.0</v>
      </c>
      <c r="AI25" s="228">
        <f>IF(AI$4="",0,IFERROR(-(SUMIF('2. Kalkyldata'!$R$34:$R$39,'4. NPV'!AI$4,'2. Kalkyldata'!$W$34:$W$39)),0))</f>
        <v>0.0</v>
      </c>
      <c r="AJ25" s="228">
        <f>IF(AJ$4="",0,IFERROR(-(SUMIF('2. Kalkyldata'!$R$34:$R$39,'4. NPV'!AJ$4,'2. Kalkyldata'!$W$34:$W$39)),0))</f>
        <v>0.0</v>
      </c>
      <c r="AK25" s="228">
        <f>IF(AK$4="",0,IFERROR(-(SUMIF('2. Kalkyldata'!$R$34:$R$39,'4. NPV'!AK$4,'2. Kalkyldata'!$W$34:$W$39)),0))</f>
        <v>0.0</v>
      </c>
      <c r="AL25" s="228">
        <f>IF(AL$4="",0,IFERROR(-(SUMIF('2. Kalkyldata'!$R$34:$R$39,'4. NPV'!AL$4,'2. Kalkyldata'!$W$34:$W$39)),0))</f>
        <v>0.0</v>
      </c>
      <c r="AM25" s="228">
        <f>IF(AM$4="",0,IFERROR(-(SUMIF('2. Kalkyldata'!$R$34:$R$39,'4. NPV'!AM$4,'2. Kalkyldata'!$W$34:$W$39)),0))</f>
        <v>0.0</v>
      </c>
      <c r="AN25" s="228">
        <f>IF(AN$4="",0,IFERROR(-(SUMIF('2. Kalkyldata'!$R$34:$R$39,'4. NPV'!AN$4,'2. Kalkyldata'!$W$34:$W$39)),0))</f>
        <v>0.0</v>
      </c>
      <c r="AO25" s="228">
        <f>IF(AO$4="",0,IFERROR(-(SUMIF('2. Kalkyldata'!$R$34:$R$39,'4. NPV'!AO$4,'2. Kalkyldata'!$W$34:$W$39)),0))</f>
        <v>0.0</v>
      </c>
      <c r="AP25" s="228">
        <f>IF(AP$4="",0,IFERROR(-(SUMIF('2. Kalkyldata'!$R$34:$R$39,'4. NPV'!AP$4,'2. Kalkyldata'!$W$34:$W$39)),0))</f>
        <v>0.0</v>
      </c>
      <c r="AQ25" s="228">
        <f>IF(AQ$4="",0,IFERROR(-(SUMIF('2. Kalkyldata'!$R$34:$R$39,'4. NPV'!AQ$4,'2. Kalkyldata'!$W$34:$W$39)),0))</f>
        <v>0.0</v>
      </c>
      <c r="AR25" s="228">
        <f>IF(AR$4="",0,IFERROR(-(SUMIF('2. Kalkyldata'!$R$34:$R$39,'4. NPV'!AR$4,'2. Kalkyldata'!$W$34:$W$39)),0))</f>
        <v>0.0</v>
      </c>
      <c r="AS25" s="228">
        <f>IF(AS$4="",0,IFERROR(-(SUMIF('2. Kalkyldata'!$R$34:$R$39,'4. NPV'!AS$4,'2. Kalkyldata'!$W$34:$W$39)),0))</f>
        <v>0.0</v>
      </c>
      <c r="AT25" s="228">
        <f>IF(AT$4="",0,IFERROR(-(SUMIF('2. Kalkyldata'!$R$34:$R$39,'4. NPV'!AT$4,'2. Kalkyldata'!$W$34:$W$39)),0))</f>
        <v>0.0</v>
      </c>
      <c r="AU25" s="228">
        <f>IF(AU$4="",0,IFERROR(-(SUMIF('2. Kalkyldata'!$R$34:$R$39,'4. NPV'!AU$4,'2. Kalkyldata'!$W$34:$W$39)),0))</f>
        <v>0.0</v>
      </c>
      <c r="AV25" s="228">
        <f>IF(AV$4="",0,IFERROR(-(SUMIF('2. Kalkyldata'!$R$34:$R$39,'4. NPV'!AV$4,'2. Kalkyldata'!$W$34:$W$39)),0))</f>
        <v>0.0</v>
      </c>
      <c r="AW25" s="228">
        <f>IF(AW$4="",0,IFERROR(-(SUMIF('2. Kalkyldata'!$R$34:$R$39,'4. NPV'!AW$4,'2. Kalkyldata'!$W$34:$W$39)),0))</f>
        <v>0.0</v>
      </c>
      <c r="AX25" s="228">
        <f>IF(AX$4="",0,IFERROR(-(SUMIF('2. Kalkyldata'!$R$34:$R$39,'4. NPV'!AX$4,'2. Kalkyldata'!$W$34:$W$39)),0))</f>
        <v>0.0</v>
      </c>
      <c r="AY25" s="228">
        <f>IF(AY$4="",0,IFERROR(-(SUMIF('2. Kalkyldata'!$R$34:$R$39,'4. NPV'!AY$4,'2. Kalkyldata'!$W$34:$W$39)),0))</f>
        <v>0.0</v>
      </c>
      <c r="AZ25" s="228">
        <f>IF(AZ$4="",0,IFERROR(-(SUMIF('2. Kalkyldata'!$R$34:$R$39,'4. NPV'!AZ$4,'2. Kalkyldata'!$W$34:$W$39)),0))</f>
        <v>0.0</v>
      </c>
      <c r="BA25" s="228">
        <f>IF(BA$4="",0,IFERROR(-(SUMIF('2. Kalkyldata'!$R$34:$R$39,'4. NPV'!BA$4,'2. Kalkyldata'!$W$34:$W$39)),0))</f>
        <v>0.0</v>
      </c>
      <c r="BB25" s="494"/>
    </row>
    <row r="26" spans="2:54" s="19" customFormat="1" ht="15">
      <c r="B26" s="412" t="s">
        <v>237</v>
      </c>
      <c r="C26" s="413">
        <f t="shared" si="7"/>
        <v>-405.0</v>
      </c>
      <c r="D26" s="414">
        <f>SUM(D20:D25)</f>
        <v>-2470500.0</v>
      </c>
      <c r="E26" s="414">
        <f t="shared" ref="E26:BA26" si="8">SUM(E20:E25)</f>
        <v>-2519910.0</v>
      </c>
      <c r="F26" s="414">
        <f t="shared" si="8"/>
        <v>-2570308.2</v>
      </c>
      <c r="G26" s="414">
        <f t="shared" si="8"/>
        <v>-2621714.3640000005</v>
      </c>
      <c r="H26" s="414">
        <f t="shared" si="8"/>
        <v>-2674148.65128</v>
      </c>
      <c r="I26" s="414">
        <f t="shared" si="8"/>
        <v>-2727631.6243056</v>
      </c>
      <c r="J26" s="414">
        <f t="shared" si="8"/>
        <v>-2782184.2567917123</v>
      </c>
      <c r="K26" s="414">
        <f t="shared" si="8"/>
        <v>-2837827.941927546</v>
      </c>
      <c r="L26" s="414">
        <f t="shared" si="8"/>
        <v>-2894584.5007660976</v>
      </c>
      <c r="M26" s="414">
        <f t="shared" si="8"/>
        <v>-2952476.1907814196</v>
      </c>
      <c r="N26" s="414">
        <f t="shared" si="8"/>
        <v>-3011525.714597048</v>
      </c>
      <c r="O26" s="414">
        <f t="shared" si="8"/>
        <v>-3071756.228888989</v>
      </c>
      <c r="P26" s="414">
        <f t="shared" si="8"/>
        <v>-3133191.3534667687</v>
      </c>
      <c r="Q26" s="414">
        <f t="shared" si="8"/>
        <v>-3195855.1805361044</v>
      </c>
      <c r="R26" s="414">
        <f t="shared" si="8"/>
        <v>-3259772.2841468262</v>
      </c>
      <c r="S26" s="414">
        <f t="shared" si="8"/>
        <v>-3324967.729829763</v>
      </c>
      <c r="T26" s="414">
        <f t="shared" si="8"/>
        <v>-3391467.0844263583</v>
      </c>
      <c r="U26" s="414">
        <f t="shared" si="8"/>
        <v>-3459296.4261148856</v>
      </c>
      <c r="V26" s="414">
        <f t="shared" si="8"/>
        <v>-3528482.3546371832</v>
      </c>
      <c r="W26" s="414">
        <f t="shared" si="8"/>
        <v>-3599052.001729927</v>
      </c>
      <c r="X26" s="414">
        <f t="shared" si="8"/>
        <v>-3671033.0417645257</v>
      </c>
      <c r="Y26" s="414">
        <f t="shared" si="8"/>
        <v>0.0</v>
      </c>
      <c r="Z26" s="414">
        <f t="shared" si="8"/>
        <v>0.0</v>
      </c>
      <c r="AA26" s="414">
        <f t="shared" si="8"/>
        <v>0.0</v>
      </c>
      <c r="AB26" s="414">
        <f t="shared" si="8"/>
        <v>0.0</v>
      </c>
      <c r="AC26" s="414">
        <f t="shared" si="8"/>
        <v>0.0</v>
      </c>
      <c r="AD26" s="414">
        <f t="shared" si="8"/>
        <v>0.0</v>
      </c>
      <c r="AE26" s="414">
        <f t="shared" si="8"/>
        <v>0.0</v>
      </c>
      <c r="AF26" s="414">
        <f t="shared" si="8"/>
        <v>0.0</v>
      </c>
      <c r="AG26" s="414">
        <f t="shared" si="8"/>
        <v>0.0</v>
      </c>
      <c r="AH26" s="414">
        <f t="shared" si="8"/>
        <v>0.0</v>
      </c>
      <c r="AI26" s="414">
        <f t="shared" si="8"/>
        <v>0.0</v>
      </c>
      <c r="AJ26" s="414">
        <f t="shared" si="8"/>
        <v>0.0</v>
      </c>
      <c r="AK26" s="414">
        <f t="shared" si="8"/>
        <v>0.0</v>
      </c>
      <c r="AL26" s="414">
        <f t="shared" si="8"/>
        <v>0.0</v>
      </c>
      <c r="AM26" s="414">
        <f t="shared" si="8"/>
        <v>0.0</v>
      </c>
      <c r="AN26" s="414">
        <f t="shared" si="8"/>
        <v>0.0</v>
      </c>
      <c r="AO26" s="414">
        <f t="shared" si="8"/>
        <v>0.0</v>
      </c>
      <c r="AP26" s="414">
        <f t="shared" si="8"/>
        <v>0.0</v>
      </c>
      <c r="AQ26" s="414">
        <f t="shared" si="8"/>
        <v>0.0</v>
      </c>
      <c r="AR26" s="414">
        <f t="shared" si="8"/>
        <v>0.0</v>
      </c>
      <c r="AS26" s="414">
        <f t="shared" si="8"/>
        <v>0.0</v>
      </c>
      <c r="AT26" s="414">
        <f t="shared" si="8"/>
        <v>0.0</v>
      </c>
      <c r="AU26" s="414">
        <f t="shared" si="8"/>
        <v>0.0</v>
      </c>
      <c r="AV26" s="414">
        <f t="shared" si="8"/>
        <v>0.0</v>
      </c>
      <c r="AW26" s="414">
        <f t="shared" si="8"/>
        <v>0.0</v>
      </c>
      <c r="AX26" s="414">
        <f t="shared" si="8"/>
        <v>0.0</v>
      </c>
      <c r="AY26" s="414">
        <f t="shared" si="8"/>
        <v>0.0</v>
      </c>
      <c r="AZ26" s="414">
        <f t="shared" si="8"/>
        <v>0.0</v>
      </c>
      <c r="BA26" s="414">
        <f t="shared" si="8"/>
        <v>0.0</v>
      </c>
      <c r="BB26" s="494"/>
    </row>
    <row r="27" spans="2:54" s="19" customFormat="1" ht="15">
      <c r="B27" s="227" t="s">
        <v>124</v>
      </c>
      <c r="C27" s="327">
        <f>IFERROR($D27/$C$8,"")</f>
        <v>-0.0</v>
      </c>
      <c r="D27" s="328">
        <f>(IF(D$4="",0,-IF(LOOKUP(D$4,'2. Kalkyldata'!$P$5:$R$5,'2. Kalkyldata'!$P$7:$R$7)=0,0,LOOKUP(D$4,'2. Kalkyldata'!$P$5:$R$5,'2. Kalkyldata'!$P$7:$R$7)))*((1+'2. Kalkyldata'!$M$9)^(D$4-$D$4)))*'2. Kalkyldata'!$P$8</f>
        <v>-0.0</v>
      </c>
      <c r="E27" s="328">
        <f>IF(E$4="",0,-IF(LOOKUP(E$4,'2. Kalkyldata'!$P$5:$R$5,'2. Kalkyldata'!$P$7:$R$7)=0,-D$27,LOOKUP(E$4,'2. Kalkyldata'!$P$5:$R$5,'2. Kalkyldata'!$P$7:$R$7))*((1+'2. Kalkyldata'!$M$9)^(E$4-$D$4)))*'2. Kalkyldata'!$P$8</f>
        <v>-0.0</v>
      </c>
      <c r="F27" s="328">
        <f>IF(F$4="",0,-IF(LOOKUP(F$4,'2. Kalkyldata'!$P$5:$R$5,'2. Kalkyldata'!$P$7:$R$7)=0,-E$27,LOOKUP(F$4,'2. Kalkyldata'!$P$5:$R$5,'2. Kalkyldata'!$P$7:$R$7))*((1+'2. Kalkyldata'!$M$9)^(F$4-$D$4)))*'2. Kalkyldata'!$P$8</f>
        <v>-0.0</v>
      </c>
      <c r="G27" s="328">
        <f>IF(G$4="",0,-IF(LOOKUP(G$4,'2. Kalkyldata'!$P$5:$R$5,'2. Kalkyldata'!$P$7:$R$7)=0,-F$27,LOOKUP(G$4,'2. Kalkyldata'!$P$5:$R$5,'2. Kalkyldata'!$P$7:$R$7))*((1+'2. Kalkyldata'!$M$9)^(G$4-$D$4)))*'2. Kalkyldata'!$P$8</f>
        <v>-0.0</v>
      </c>
      <c r="H27" s="328">
        <f>IF(H$4="",0,-IF(LOOKUP(H$4,'2. Kalkyldata'!$P$5:$R$5,'2. Kalkyldata'!$P$7:$R$7)=0,-G$27,LOOKUP(H$4,'2. Kalkyldata'!$P$5:$R$5,'2. Kalkyldata'!$P$7:$R$7))*((1+'2. Kalkyldata'!$M$9)^(H$4-$D$4)))*'2. Kalkyldata'!$P$8</f>
        <v>-0.0</v>
      </c>
      <c r="I27" s="328">
        <f>IF(I$4="",0,-IF(LOOKUP(I$4,'2. Kalkyldata'!$P$5:$R$5,'2. Kalkyldata'!$P$7:$R$7)=0,-H$27,LOOKUP(I$4,'2. Kalkyldata'!$P$5:$R$5,'2. Kalkyldata'!$P$7:$R$7))*((1+'2. Kalkyldata'!$M$9)^(I$4-$D$4)))*'2. Kalkyldata'!$P$8</f>
        <v>-0.0</v>
      </c>
      <c r="J27" s="328">
        <f>IF(J$4="",0,-IF(LOOKUP(J$4,'2. Kalkyldata'!$P$5:$R$5,'2. Kalkyldata'!$P$7:$R$7)=0,-I$27,LOOKUP(J$4,'2. Kalkyldata'!$P$5:$R$5,'2. Kalkyldata'!$P$7:$R$7))*((1+'2. Kalkyldata'!$M$9)^(J$4-$D$4)))*'2. Kalkyldata'!$P$8</f>
        <v>-0.0</v>
      </c>
      <c r="K27" s="328">
        <f>IF(K$4="",0,-IF(LOOKUP(K$4,'2. Kalkyldata'!$P$5:$R$5,'2. Kalkyldata'!$P$7:$R$7)=0,-J$27,LOOKUP(K$4,'2. Kalkyldata'!$P$5:$R$5,'2. Kalkyldata'!$P$7:$R$7))*((1+'2. Kalkyldata'!$M$9)^(K$4-$D$4)))*'2. Kalkyldata'!$P$8</f>
        <v>-0.0</v>
      </c>
      <c r="L27" s="328">
        <f>IF(L$4="",0,-IF(LOOKUP(L$4,'2. Kalkyldata'!$P$5:$R$5,'2. Kalkyldata'!$P$7:$R$7)=0,-K$27,LOOKUP(L$4,'2. Kalkyldata'!$P$5:$R$5,'2. Kalkyldata'!$P$7:$R$7))*((1+'2. Kalkyldata'!$M$9)^(L$4-$D$4)))*'2. Kalkyldata'!$P$8</f>
        <v>-0.0</v>
      </c>
      <c r="M27" s="328">
        <f>IF(M$4="",0,-IF(LOOKUP(M$4,'2. Kalkyldata'!$P$5:$R$5,'2. Kalkyldata'!$P$7:$R$7)=0,-L$27,LOOKUP(M$4,'2. Kalkyldata'!$P$5:$R$5,'2. Kalkyldata'!$P$7:$R$7))*((1+'2. Kalkyldata'!$M$9)^(M$4-$D$4)))*'2. Kalkyldata'!$P$8</f>
        <v>-0.0</v>
      </c>
      <c r="N27" s="328">
        <f>IF(N$4="",0,-IF(LOOKUP(N$4,'2. Kalkyldata'!$P$5:$R$5,'2. Kalkyldata'!$P$7:$R$7)=0,-M$27,LOOKUP(N$4,'2. Kalkyldata'!$P$5:$R$5,'2. Kalkyldata'!$P$7:$R$7))*((1+'2. Kalkyldata'!$M$9)^(N$4-$D$4)))*'2. Kalkyldata'!$P$8</f>
        <v>-0.0</v>
      </c>
      <c r="O27" s="328">
        <f>IF(O$4="",0,-IF(LOOKUP(O$4,'2. Kalkyldata'!$P$5:$R$5,'2. Kalkyldata'!$P$7:$R$7)=0,-N$27,LOOKUP(O$4,'2. Kalkyldata'!$P$5:$R$5,'2. Kalkyldata'!$P$7:$R$7))*((1+'2. Kalkyldata'!$M$9)^(O$4-$D$4)))*'2. Kalkyldata'!$P$8</f>
        <v>-0.0</v>
      </c>
      <c r="P27" s="328">
        <f>IF(P$4="",0,-IF(LOOKUP(P$4,'2. Kalkyldata'!$P$5:$R$5,'2. Kalkyldata'!$P$7:$R$7)=0,-O$27,LOOKUP(P$4,'2. Kalkyldata'!$P$5:$R$5,'2. Kalkyldata'!$P$7:$R$7))*((1+'2. Kalkyldata'!$M$9)^(P$4-$D$4)))*'2. Kalkyldata'!$P$8</f>
        <v>-0.0</v>
      </c>
      <c r="Q27" s="328">
        <f>IF(Q$4="",0,-IF(LOOKUP(Q$4,'2. Kalkyldata'!$P$5:$R$5,'2. Kalkyldata'!$P$7:$R$7)=0,-P$27,LOOKUP(Q$4,'2. Kalkyldata'!$P$5:$R$5,'2. Kalkyldata'!$P$7:$R$7))*((1+'2. Kalkyldata'!$M$9)^(Q$4-$D$4)))*'2. Kalkyldata'!$P$8</f>
        <v>-0.0</v>
      </c>
      <c r="R27" s="328">
        <f>IF(R$4="",0,-IF(LOOKUP(R$4,'2. Kalkyldata'!$P$5:$R$5,'2. Kalkyldata'!$P$7:$R$7)=0,-Q$27,LOOKUP(R$4,'2. Kalkyldata'!$P$5:$R$5,'2. Kalkyldata'!$P$7:$R$7))*((1+'2. Kalkyldata'!$M$9)^(R$4-$D$4)))*'2. Kalkyldata'!$P$8</f>
        <v>-0.0</v>
      </c>
      <c r="S27" s="328">
        <f>IF(S$4="",0,-IF(LOOKUP(S$4,'2. Kalkyldata'!$P$5:$R$5,'2. Kalkyldata'!$P$7:$R$7)=0,-R$27,LOOKUP(S$4,'2. Kalkyldata'!$P$5:$R$5,'2. Kalkyldata'!$P$7:$R$7))*((1+'2. Kalkyldata'!$M$9)^(S$4-$D$4)))*'2. Kalkyldata'!$P$8</f>
        <v>-0.0</v>
      </c>
      <c r="T27" s="328">
        <f>IF(T$4="",0,-IF(LOOKUP(T$4,'2. Kalkyldata'!$P$5:$R$5,'2. Kalkyldata'!$P$7:$R$7)=0,-S$27,LOOKUP(T$4,'2. Kalkyldata'!$P$5:$R$5,'2. Kalkyldata'!$P$7:$R$7))*((1+'2. Kalkyldata'!$M$9)^(T$4-$D$4)))*'2. Kalkyldata'!$P$8</f>
        <v>-0.0</v>
      </c>
      <c r="U27" s="328">
        <f>IF(U$4="",0,-IF(LOOKUP(U$4,'2. Kalkyldata'!$P$5:$R$5,'2. Kalkyldata'!$P$7:$R$7)=0,-T$27,LOOKUP(U$4,'2. Kalkyldata'!$P$5:$R$5,'2. Kalkyldata'!$P$7:$R$7))*((1+'2. Kalkyldata'!$M$9)^(U$4-$D$4)))*'2. Kalkyldata'!$P$8</f>
        <v>-0.0</v>
      </c>
      <c r="V27" s="328">
        <f>IF(V$4="",0,-IF(LOOKUP(V$4,'2. Kalkyldata'!$P$5:$R$5,'2. Kalkyldata'!$P$7:$R$7)=0,-U$27,LOOKUP(V$4,'2. Kalkyldata'!$P$5:$R$5,'2. Kalkyldata'!$P$7:$R$7))*((1+'2. Kalkyldata'!$M$9)^(V$4-$D$4)))*'2. Kalkyldata'!$P$8</f>
        <v>-0.0</v>
      </c>
      <c r="W27" s="328">
        <f>IF(W$4="",0,-IF(LOOKUP(W$4,'2. Kalkyldata'!$P$5:$R$5,'2. Kalkyldata'!$P$7:$R$7)=0,-V$27,LOOKUP(W$4,'2. Kalkyldata'!$P$5:$R$5,'2. Kalkyldata'!$P$7:$R$7))*((1+'2. Kalkyldata'!$M$9)^(W$4-$D$4)))*'2. Kalkyldata'!$P$8</f>
        <v>-0.0</v>
      </c>
      <c r="X27" s="328">
        <f>IF(X$4="",0,-IF(LOOKUP(X$4,'2. Kalkyldata'!$P$5:$R$5,'2. Kalkyldata'!$P$7:$R$7)=0,-W$27,LOOKUP(X$4,'2. Kalkyldata'!$P$5:$R$5,'2. Kalkyldata'!$P$7:$R$7))*((1+'2. Kalkyldata'!$M$9)^(X$4-$D$4)))*'2. Kalkyldata'!$P$8</f>
        <v>-0.0</v>
      </c>
      <c r="Y27" s="328">
        <f>IF(Y$4="",0,-IF(LOOKUP(Y$4,'2. Kalkyldata'!$P$5:$R$5,'2. Kalkyldata'!$P$7:$R$7)=0,-X$27,LOOKUP(Y$4,'2. Kalkyldata'!$P$5:$R$5,'2. Kalkyldata'!$P$7:$R$7))*((1+'2. Kalkyldata'!$M$9)^(Y$4-$D$4)))*'2. Kalkyldata'!$P$8</f>
        <v>0.0</v>
      </c>
      <c r="Z27" s="328">
        <f>IF(Z$4="",0,-IF(LOOKUP(Z$4,'2. Kalkyldata'!$P$5:$R$5,'2. Kalkyldata'!$P$7:$R$7)=0,-Y$27,LOOKUP(Z$4,'2. Kalkyldata'!$P$5:$R$5,'2. Kalkyldata'!$P$7:$R$7))*((1+'2. Kalkyldata'!$M$9)^(Z$4-$D$4)))*'2. Kalkyldata'!$P$8</f>
        <v>0.0</v>
      </c>
      <c r="AA27" s="328">
        <f>IF(AA$4="",0,-IF(LOOKUP(AA$4,'2. Kalkyldata'!$P$5:$R$5,'2. Kalkyldata'!$P$7:$R$7)=0,-Z$27,LOOKUP(AA$4,'2. Kalkyldata'!$P$5:$R$5,'2. Kalkyldata'!$P$7:$R$7))*((1+'2. Kalkyldata'!$M$9)^(AA$4-$D$4)))*'2. Kalkyldata'!$P$8</f>
        <v>0.0</v>
      </c>
      <c r="AB27" s="328">
        <f>IF(AB$4="",0,-IF(LOOKUP(AB$4,'2. Kalkyldata'!$P$5:$R$5,'2. Kalkyldata'!$P$7:$R$7)=0,-AA$27,LOOKUP(AB$4,'2. Kalkyldata'!$P$5:$R$5,'2. Kalkyldata'!$P$7:$R$7))*((1+'2. Kalkyldata'!$M$9)^(AB$4-$D$4)))*'2. Kalkyldata'!$P$8</f>
        <v>0.0</v>
      </c>
      <c r="AC27" s="328">
        <f>IF(AC$4="",0,-IF(LOOKUP(AC$4,'2. Kalkyldata'!$P$5:$R$5,'2. Kalkyldata'!$P$7:$R$7)=0,-AB$27,LOOKUP(AC$4,'2. Kalkyldata'!$P$5:$R$5,'2. Kalkyldata'!$P$7:$R$7))*((1+'2. Kalkyldata'!$M$9)^(AC$4-$D$4)))*'2. Kalkyldata'!$P$8</f>
        <v>0.0</v>
      </c>
      <c r="AD27" s="328">
        <f>IF(AD$4="",0,-IF(LOOKUP(AD$4,'2. Kalkyldata'!$P$5:$R$5,'2. Kalkyldata'!$P$7:$R$7)=0,-AC$27,LOOKUP(AD$4,'2. Kalkyldata'!$P$5:$R$5,'2. Kalkyldata'!$P$7:$R$7))*((1+'2. Kalkyldata'!$M$9)^(AD$4-$D$4)))*'2. Kalkyldata'!$P$8</f>
        <v>0.0</v>
      </c>
      <c r="AE27" s="328">
        <f>IF(AE$4="",0,-IF(LOOKUP(AE$4,'2. Kalkyldata'!$P$5:$R$5,'2. Kalkyldata'!$P$7:$R$7)=0,-AD$27,LOOKUP(AE$4,'2. Kalkyldata'!$P$5:$R$5,'2. Kalkyldata'!$P$7:$R$7))*((1+'2. Kalkyldata'!$M$9)^(AE$4-$D$4)))*'2. Kalkyldata'!$P$8</f>
        <v>0.0</v>
      </c>
      <c r="AF27" s="328">
        <f>IF(AF$4="",0,-IF(LOOKUP(AF$4,'2. Kalkyldata'!$P$5:$R$5,'2. Kalkyldata'!$P$7:$R$7)=0,-AE$27,LOOKUP(AF$4,'2. Kalkyldata'!$P$5:$R$5,'2. Kalkyldata'!$P$7:$R$7))*((1+'2. Kalkyldata'!$M$9)^(AF$4-$D$4)))*'2. Kalkyldata'!$P$8</f>
        <v>0.0</v>
      </c>
      <c r="AG27" s="328">
        <f>IF(AG$4="",0,-IF(LOOKUP(AG$4,'2. Kalkyldata'!$P$5:$R$5,'2. Kalkyldata'!$P$7:$R$7)=0,-AF$27,LOOKUP(AG$4,'2. Kalkyldata'!$P$5:$R$5,'2. Kalkyldata'!$P$7:$R$7))*((1+'2. Kalkyldata'!$M$9)^(AG$4-$D$4)))*'2. Kalkyldata'!$P$8</f>
        <v>0.0</v>
      </c>
      <c r="AH27" s="328">
        <f>IF(AH$4="",0,-IF(LOOKUP(AH$4,'2. Kalkyldata'!$P$5:$R$5,'2. Kalkyldata'!$P$7:$R$7)=0,-AG$27,LOOKUP(AH$4,'2. Kalkyldata'!$P$5:$R$5,'2. Kalkyldata'!$P$7:$R$7))*((1+'2. Kalkyldata'!$M$9)^(AH$4-$D$4)))*'2. Kalkyldata'!$P$8</f>
        <v>0.0</v>
      </c>
      <c r="AI27" s="328">
        <f>IF(AI$4="",0,-IF(LOOKUP(AI$4,'2. Kalkyldata'!$P$5:$R$5,'2. Kalkyldata'!$P$7:$R$7)=0,-AH$27,LOOKUP(AI$4,'2. Kalkyldata'!$P$5:$R$5,'2. Kalkyldata'!$P$7:$R$7))*((1+'2. Kalkyldata'!$M$9)^(AI$4-$D$4)))*'2. Kalkyldata'!$P$8</f>
        <v>0.0</v>
      </c>
      <c r="AJ27" s="328">
        <f>IF(AJ$4="",0,-IF(LOOKUP(AJ$4,'2. Kalkyldata'!$P$5:$R$5,'2. Kalkyldata'!$P$7:$R$7)=0,-AI$27,LOOKUP(AJ$4,'2. Kalkyldata'!$P$5:$R$5,'2. Kalkyldata'!$P$7:$R$7))*((1+'2. Kalkyldata'!$M$9)^(AJ$4-$D$4)))*'2. Kalkyldata'!$P$8</f>
        <v>0.0</v>
      </c>
      <c r="AK27" s="328">
        <f>IF(AK$4="",0,-IF(LOOKUP(AK$4,'2. Kalkyldata'!$P$5:$R$5,'2. Kalkyldata'!$P$7:$R$7)=0,-AJ$27,LOOKUP(AK$4,'2. Kalkyldata'!$P$5:$R$5,'2. Kalkyldata'!$P$7:$R$7))*((1+'2. Kalkyldata'!$M$9)^(AK$4-$D$4)))*'2. Kalkyldata'!$P$8</f>
        <v>0.0</v>
      </c>
      <c r="AL27" s="328">
        <f>IF(AL$4="",0,-IF(LOOKUP(AL$4,'2. Kalkyldata'!$P$5:$R$5,'2. Kalkyldata'!$P$7:$R$7)=0,-AK$27,LOOKUP(AL$4,'2. Kalkyldata'!$P$5:$R$5,'2. Kalkyldata'!$P$7:$R$7))*((1+'2. Kalkyldata'!$M$9)^(AL$4-$D$4)))*'2. Kalkyldata'!$P$8</f>
        <v>0.0</v>
      </c>
      <c r="AM27" s="328">
        <f>IF(AM$4="",0,-IF(LOOKUP(AM$4,'2. Kalkyldata'!$P$5:$R$5,'2. Kalkyldata'!$P$7:$R$7)=0,-AL$27,LOOKUP(AM$4,'2. Kalkyldata'!$P$5:$R$5,'2. Kalkyldata'!$P$7:$R$7))*((1+'2. Kalkyldata'!$M$9)^(AM$4-$D$4)))*'2. Kalkyldata'!$P$8</f>
        <v>0.0</v>
      </c>
      <c r="AN27" s="328">
        <f>IF(AN$4="",0,-IF(LOOKUP(AN$4,'2. Kalkyldata'!$P$5:$R$5,'2. Kalkyldata'!$P$7:$R$7)=0,-AM$27,LOOKUP(AN$4,'2. Kalkyldata'!$P$5:$R$5,'2. Kalkyldata'!$P$7:$R$7))*((1+'2. Kalkyldata'!$M$9)^(AN$4-$D$4)))*'2. Kalkyldata'!$P$8</f>
        <v>0.0</v>
      </c>
      <c r="AO27" s="328">
        <f>IF(AO$4="",0,-IF(LOOKUP(AO$4,'2. Kalkyldata'!$P$5:$R$5,'2. Kalkyldata'!$P$7:$R$7)=0,-AN$27,LOOKUP(AO$4,'2. Kalkyldata'!$P$5:$R$5,'2. Kalkyldata'!$P$7:$R$7))*((1+'2. Kalkyldata'!$M$9)^(AO$4-$D$4)))*'2. Kalkyldata'!$P$8</f>
        <v>0.0</v>
      </c>
      <c r="AP27" s="328">
        <f>IF(AP$4="",0,-IF(LOOKUP(AP$4,'2. Kalkyldata'!$P$5:$R$5,'2. Kalkyldata'!$P$7:$R$7)=0,-AO$27,LOOKUP(AP$4,'2. Kalkyldata'!$P$5:$R$5,'2. Kalkyldata'!$P$7:$R$7))*((1+'2. Kalkyldata'!$M$9)^(AP$4-$D$4)))*'2. Kalkyldata'!$P$8</f>
        <v>0.0</v>
      </c>
      <c r="AQ27" s="328">
        <f>IF(AQ$4="",0,-IF(LOOKUP(AQ$4,'2. Kalkyldata'!$P$5:$R$5,'2. Kalkyldata'!$P$7:$R$7)=0,-AP$27,LOOKUP(AQ$4,'2. Kalkyldata'!$P$5:$R$5,'2. Kalkyldata'!$P$7:$R$7))*((1+'2. Kalkyldata'!$M$9)^(AQ$4-$D$4)))*'2. Kalkyldata'!$P$8</f>
        <v>0.0</v>
      </c>
      <c r="AR27" s="328">
        <f>IF(AR$4="",0,-IF(LOOKUP(AR$4,'2. Kalkyldata'!$P$5:$R$5,'2. Kalkyldata'!$P$7:$R$7)=0,-AQ$27,LOOKUP(AR$4,'2. Kalkyldata'!$P$5:$R$5,'2. Kalkyldata'!$P$7:$R$7))*((1+'2. Kalkyldata'!$M$9)^(AR$4-$D$4)))*'2. Kalkyldata'!$P$8</f>
        <v>0.0</v>
      </c>
      <c r="AS27" s="328">
        <f>IF(AS$4="",0,-IF(LOOKUP(AS$4,'2. Kalkyldata'!$P$5:$R$5,'2. Kalkyldata'!$P$7:$R$7)=0,-AR$27,LOOKUP(AS$4,'2. Kalkyldata'!$P$5:$R$5,'2. Kalkyldata'!$P$7:$R$7))*((1+'2. Kalkyldata'!$M$9)^(AS$4-$D$4)))*'2. Kalkyldata'!$P$8</f>
        <v>0.0</v>
      </c>
      <c r="AT27" s="328">
        <f>IF(AT$4="",0,-IF(LOOKUP(AT$4,'2. Kalkyldata'!$P$5:$R$5,'2. Kalkyldata'!$P$7:$R$7)=0,-AS$27,LOOKUP(AT$4,'2. Kalkyldata'!$P$5:$R$5,'2. Kalkyldata'!$P$7:$R$7))*((1+'2. Kalkyldata'!$M$9)^(AT$4-$D$4)))*'2. Kalkyldata'!$P$8</f>
        <v>0.0</v>
      </c>
      <c r="AU27" s="328">
        <f>IF(AU$4="",0,-IF(LOOKUP(AU$4,'2. Kalkyldata'!$P$5:$R$5,'2. Kalkyldata'!$P$7:$R$7)=0,-AT$27,LOOKUP(AU$4,'2. Kalkyldata'!$P$5:$R$5,'2. Kalkyldata'!$P$7:$R$7))*((1+'2. Kalkyldata'!$M$9)^(AU$4-$D$4)))*'2. Kalkyldata'!$P$8</f>
        <v>0.0</v>
      </c>
      <c r="AV27" s="328">
        <f>IF(AV$4="",0,-IF(LOOKUP(AV$4,'2. Kalkyldata'!$P$5:$R$5,'2. Kalkyldata'!$P$7:$R$7)=0,-AU$27,LOOKUP(AV$4,'2. Kalkyldata'!$P$5:$R$5,'2. Kalkyldata'!$P$7:$R$7))*((1+'2. Kalkyldata'!$M$9)^(AV$4-$D$4)))*'2. Kalkyldata'!$P$8</f>
        <v>0.0</v>
      </c>
      <c r="AW27" s="328">
        <f>IF(AW$4="",0,-IF(LOOKUP(AW$4,'2. Kalkyldata'!$P$5:$R$5,'2. Kalkyldata'!$P$7:$R$7)=0,-AV$27,LOOKUP(AW$4,'2. Kalkyldata'!$P$5:$R$5,'2. Kalkyldata'!$P$7:$R$7))*((1+'2. Kalkyldata'!$M$9)^(AW$4-$D$4)))*'2. Kalkyldata'!$P$8</f>
        <v>0.0</v>
      </c>
      <c r="AX27" s="328">
        <f>IF(AX$4="",0,-IF(LOOKUP(AX$4,'2. Kalkyldata'!$P$5:$R$5,'2. Kalkyldata'!$P$7:$R$7)=0,-AW$27,LOOKUP(AX$4,'2. Kalkyldata'!$P$5:$R$5,'2. Kalkyldata'!$P$7:$R$7))*((1+'2. Kalkyldata'!$M$9)^(AX$4-$D$4)))*'2. Kalkyldata'!$P$8</f>
        <v>0.0</v>
      </c>
      <c r="AY27" s="328">
        <f>IF(AY$4="",0,-IF(LOOKUP(AY$4,'2. Kalkyldata'!$P$5:$R$5,'2. Kalkyldata'!$P$7:$R$7)=0,-AX$27,LOOKUP(AY$4,'2. Kalkyldata'!$P$5:$R$5,'2. Kalkyldata'!$P$7:$R$7))*((1+'2. Kalkyldata'!$M$9)^(AY$4-$D$4)))*'2. Kalkyldata'!$P$8</f>
        <v>0.0</v>
      </c>
      <c r="AZ27" s="328">
        <f>IF(AZ$4="",0,-IF(LOOKUP(AZ$4,'2. Kalkyldata'!$P$5:$R$5,'2. Kalkyldata'!$P$7:$R$7)=0,-AY$27,LOOKUP(AZ$4,'2. Kalkyldata'!$P$5:$R$5,'2. Kalkyldata'!$P$7:$R$7))*((1+'2. Kalkyldata'!$M$9)^(AZ$4-$D$4)))*'2. Kalkyldata'!$P$8</f>
        <v>0.0</v>
      </c>
      <c r="BA27" s="328">
        <f>IF(BA$4="",0,-IF(LOOKUP(BA$4,'2. Kalkyldata'!$P$5:$R$5,'2. Kalkyldata'!$P$7:$R$7)=0,-AZ$27,LOOKUP(BA$4,'2. Kalkyldata'!$P$5:$R$5,'2. Kalkyldata'!$P$7:$R$7))*((1+'2. Kalkyldata'!$M$9)^(BA$4-$D$4)))*'2. Kalkyldata'!$P$8</f>
        <v>0.0</v>
      </c>
    </row>
    <row r="28" spans="2:54" s="19" customFormat="1" ht="15">
      <c r="B28" s="227" t="s">
        <v>115</v>
      </c>
      <c r="C28" s="327">
        <f>IFERROR($D28/$C$8,"")</f>
        <v>-0.0</v>
      </c>
      <c r="D28" s="328">
        <f>IF(D$4="",0,-IF(LOOKUP(D$4,'2. Kalkyldata'!$P$5:$R$5,'2. Kalkyldata'!$P$6:$R$6)=0,0,LOOKUP(D$4,'2. Kalkyldata'!$P$5:$R$5,'2. Kalkyldata'!$P$6:$R$6)))</f>
        <v>-0.0</v>
      </c>
      <c r="E28" s="328">
        <f>IF(E$4="",0,-IF(LOOKUP(E$4,'2. Kalkyldata'!$P$5:$R$5,'2. Kalkyldata'!$P$6:$R$6)=0,-D$28,LOOKUP(E$4,'2. Kalkyldata'!$P$5:$R$5,'2. Kalkyldata'!$P$6:$R$6)))</f>
        <v>-0.0</v>
      </c>
      <c r="F28" s="328">
        <f>IF(F$4="",0,-IF(LOOKUP(F$4,'2. Kalkyldata'!$P$5:$R$5,'2. Kalkyldata'!$P$6:$R$6)=0,-E$28,LOOKUP(F$4,'2. Kalkyldata'!$P$5:$R$5,'2. Kalkyldata'!$P$6:$R$6)))</f>
        <v>-0.0</v>
      </c>
      <c r="G28" s="328">
        <f>IF(G$4="",0,-IF(LOOKUP(G$4,'2. Kalkyldata'!$P$5:$R$5,'2. Kalkyldata'!$P$6:$R$6)=0,-F$28,LOOKUP(G$4,'2. Kalkyldata'!$P$5:$R$5,'2. Kalkyldata'!$P$6:$R$6)))</f>
        <v>-0.0</v>
      </c>
      <c r="H28" s="328">
        <f>IF(H$4="",0,-IF(LOOKUP(H$4,'2. Kalkyldata'!$P$5:$R$5,'2. Kalkyldata'!$P$6:$R$6)=0,-G$28,LOOKUP(H$4,'2. Kalkyldata'!$P$5:$R$5,'2. Kalkyldata'!$P$6:$R$6)))</f>
        <v>-0.0</v>
      </c>
      <c r="I28" s="328">
        <f>IF(I$4="",0,-IF(LOOKUP(I$4,'2. Kalkyldata'!$P$5:$R$5,'2. Kalkyldata'!$P$6:$R$6)=0,-H$28,LOOKUP(I$4,'2. Kalkyldata'!$P$5:$R$5,'2. Kalkyldata'!$P$6:$R$6)))</f>
        <v>-0.0</v>
      </c>
      <c r="J28" s="328">
        <f>IF(J$4="",0,-IF(LOOKUP(J$4,'2. Kalkyldata'!$P$5:$R$5,'2. Kalkyldata'!$P$6:$R$6)=0,-I$28,LOOKUP(J$4,'2. Kalkyldata'!$P$5:$R$5,'2. Kalkyldata'!$P$6:$R$6)))</f>
        <v>-0.0</v>
      </c>
      <c r="K28" s="328">
        <f>IF(K$4="",0,-IF(LOOKUP(K$4,'2. Kalkyldata'!$P$5:$R$5,'2. Kalkyldata'!$P$6:$R$6)=0,-J$28,LOOKUP(K$4,'2. Kalkyldata'!$P$5:$R$5,'2. Kalkyldata'!$P$6:$R$6)))</f>
        <v>-0.0</v>
      </c>
      <c r="L28" s="328">
        <f>IF(L$4="",0,-IF(LOOKUP(L$4,'2. Kalkyldata'!$P$5:$R$5,'2. Kalkyldata'!$P$6:$R$6)=0,-K$28,LOOKUP(L$4,'2. Kalkyldata'!$P$5:$R$5,'2. Kalkyldata'!$P$6:$R$6)))</f>
        <v>-0.0</v>
      </c>
      <c r="M28" s="328">
        <f>IF(M$4="",0,-IF(LOOKUP(M$4,'2. Kalkyldata'!$P$5:$R$5,'2. Kalkyldata'!$P$6:$R$6)=0,-L$28,LOOKUP(M$4,'2. Kalkyldata'!$P$5:$R$5,'2. Kalkyldata'!$P$6:$R$6)))</f>
        <v>-0.0</v>
      </c>
      <c r="N28" s="328">
        <f>IF(N$4="",0,-IF(LOOKUP(N$4,'2. Kalkyldata'!$P$5:$R$5,'2. Kalkyldata'!$P$6:$R$6)=0,-M$28,LOOKUP(N$4,'2. Kalkyldata'!$P$5:$R$5,'2. Kalkyldata'!$P$6:$R$6)))</f>
        <v>-0.0</v>
      </c>
      <c r="O28" s="328">
        <f>IF(O$4="",0,-IF(LOOKUP(O$4,'2. Kalkyldata'!$P$5:$R$5,'2. Kalkyldata'!$P$6:$R$6)=0,-N$28,LOOKUP(O$4,'2. Kalkyldata'!$P$5:$R$5,'2. Kalkyldata'!$P$6:$R$6)))</f>
        <v>-0.0</v>
      </c>
      <c r="P28" s="328">
        <f>IF(P$4="",0,-IF(LOOKUP(P$4,'2. Kalkyldata'!$P$5:$R$5,'2. Kalkyldata'!$P$6:$R$6)=0,-O$28,LOOKUP(P$4,'2. Kalkyldata'!$P$5:$R$5,'2. Kalkyldata'!$P$6:$R$6)))</f>
        <v>-0.0</v>
      </c>
      <c r="Q28" s="328">
        <f>IF(Q$4="",0,-IF(LOOKUP(Q$4,'2. Kalkyldata'!$P$5:$R$5,'2. Kalkyldata'!$P$6:$R$6)=0,-P$28,LOOKUP(Q$4,'2. Kalkyldata'!$P$5:$R$5,'2. Kalkyldata'!$P$6:$R$6)))</f>
        <v>-0.0</v>
      </c>
      <c r="R28" s="328">
        <f>IF(R$4="",0,-IF(LOOKUP(R$4,'2. Kalkyldata'!$P$5:$R$5,'2. Kalkyldata'!$P$6:$R$6)=0,-Q$28,LOOKUP(R$4,'2. Kalkyldata'!$P$5:$R$5,'2. Kalkyldata'!$P$6:$R$6)))</f>
        <v>-0.0</v>
      </c>
      <c r="S28" s="328">
        <f>IF(S$4="",0,-IF(LOOKUP(S$4,'2. Kalkyldata'!$P$5:$R$5,'2. Kalkyldata'!$P$6:$R$6)=0,-R$28,LOOKUP(S$4,'2. Kalkyldata'!$P$5:$R$5,'2. Kalkyldata'!$P$6:$R$6)))</f>
        <v>-0.0</v>
      </c>
      <c r="T28" s="328">
        <f>IF(T$4="",0,-IF(LOOKUP(T$4,'2. Kalkyldata'!$P$5:$R$5,'2. Kalkyldata'!$P$6:$R$6)=0,-S$28,LOOKUP(T$4,'2. Kalkyldata'!$P$5:$R$5,'2. Kalkyldata'!$P$6:$R$6)))</f>
        <v>-0.0</v>
      </c>
      <c r="U28" s="328">
        <f>IF(U$4="",0,-IF(LOOKUP(U$4,'2. Kalkyldata'!$P$5:$R$5,'2. Kalkyldata'!$P$6:$R$6)=0,-T$28,LOOKUP(U$4,'2. Kalkyldata'!$P$5:$R$5,'2. Kalkyldata'!$P$6:$R$6)))</f>
        <v>-0.0</v>
      </c>
      <c r="V28" s="328">
        <f>IF(V$4="",0,-IF(LOOKUP(V$4,'2. Kalkyldata'!$P$5:$R$5,'2. Kalkyldata'!$P$6:$R$6)=0,-U$28,LOOKUP(V$4,'2. Kalkyldata'!$P$5:$R$5,'2. Kalkyldata'!$P$6:$R$6)))</f>
        <v>-0.0</v>
      </c>
      <c r="W28" s="328">
        <f>IF(W$4="",0,-IF(LOOKUP(W$4,'2. Kalkyldata'!$P$5:$R$5,'2. Kalkyldata'!$P$6:$R$6)=0,-V$28,LOOKUP(W$4,'2. Kalkyldata'!$P$5:$R$5,'2. Kalkyldata'!$P$6:$R$6)))</f>
        <v>-0.0</v>
      </c>
      <c r="X28" s="328">
        <f>IF(X$4="",0,-IF(LOOKUP(X$4,'2. Kalkyldata'!$P$5:$R$5,'2. Kalkyldata'!$P$6:$R$6)=0,-W$28,LOOKUP(X$4,'2. Kalkyldata'!$P$5:$R$5,'2. Kalkyldata'!$P$6:$R$6)))</f>
        <v>-0.0</v>
      </c>
      <c r="Y28" s="328">
        <f>IF(Y$4="",0,-IF(LOOKUP(Y$4,'2. Kalkyldata'!$P$5:$R$5,'2. Kalkyldata'!$P$6:$R$6)=0,-X$28,LOOKUP(Y$4,'2. Kalkyldata'!$P$5:$R$5,'2. Kalkyldata'!$P$6:$R$6)))</f>
        <v>0.0</v>
      </c>
      <c r="Z28" s="328">
        <f>IF(Z$4="",0,-IF(LOOKUP(Z$4,'2. Kalkyldata'!$P$5:$R$5,'2. Kalkyldata'!$P$6:$R$6)=0,-Y$28,LOOKUP(Z$4,'2. Kalkyldata'!$P$5:$R$5,'2. Kalkyldata'!$P$6:$R$6)))</f>
        <v>0.0</v>
      </c>
      <c r="AA28" s="328">
        <f>IF(AA$4="",0,-IF(LOOKUP(AA$4,'2. Kalkyldata'!$P$5:$R$5,'2. Kalkyldata'!$P$6:$R$6)=0,-Z$28,LOOKUP(AA$4,'2. Kalkyldata'!$P$5:$R$5,'2. Kalkyldata'!$P$6:$R$6)))</f>
        <v>0.0</v>
      </c>
      <c r="AB28" s="328">
        <f>IF(AB$4="",0,-IF(LOOKUP(AB$4,'2. Kalkyldata'!$P$5:$R$5,'2. Kalkyldata'!$P$6:$R$6)=0,-AA$28,LOOKUP(AB$4,'2. Kalkyldata'!$P$5:$R$5,'2. Kalkyldata'!$P$6:$R$6)))</f>
        <v>0.0</v>
      </c>
      <c r="AC28" s="328">
        <f>IF(AC$4="",0,-IF(LOOKUP(AC$4,'2. Kalkyldata'!$P$5:$R$5,'2. Kalkyldata'!$P$6:$R$6)=0,-AB$28,LOOKUP(AC$4,'2. Kalkyldata'!$P$5:$R$5,'2. Kalkyldata'!$P$6:$R$6)))</f>
        <v>0.0</v>
      </c>
      <c r="AD28" s="328">
        <f>IF(AD$4="",0,-IF(LOOKUP(AD$4,'2. Kalkyldata'!$P$5:$R$5,'2. Kalkyldata'!$P$6:$R$6)=0,-AC$28,LOOKUP(AD$4,'2. Kalkyldata'!$P$5:$R$5,'2. Kalkyldata'!$P$6:$R$6)))</f>
        <v>0.0</v>
      </c>
      <c r="AE28" s="328">
        <f>IF(AE$4="",0,-IF(LOOKUP(AE$4,'2. Kalkyldata'!$P$5:$R$5,'2. Kalkyldata'!$P$6:$R$6)=0,-AD$28,LOOKUP(AE$4,'2. Kalkyldata'!$P$5:$R$5,'2. Kalkyldata'!$P$6:$R$6)))</f>
        <v>0.0</v>
      </c>
      <c r="AF28" s="328">
        <f>IF(AF$4="",0,-IF(LOOKUP(AF$4,'2. Kalkyldata'!$P$5:$R$5,'2. Kalkyldata'!$P$6:$R$6)=0,-AE$28,LOOKUP(AF$4,'2. Kalkyldata'!$P$5:$R$5,'2. Kalkyldata'!$P$6:$R$6)))</f>
        <v>0.0</v>
      </c>
      <c r="AG28" s="328">
        <f>IF(AG$4="",0,-IF(LOOKUP(AG$4,'2. Kalkyldata'!$P$5:$R$5,'2. Kalkyldata'!$P$6:$R$6)=0,-AF$28,LOOKUP(AG$4,'2. Kalkyldata'!$P$5:$R$5,'2. Kalkyldata'!$P$6:$R$6)))</f>
        <v>0.0</v>
      </c>
      <c r="AH28" s="328">
        <f>IF(AH$4="",0,-IF(LOOKUP(AH$4,'2. Kalkyldata'!$P$5:$R$5,'2. Kalkyldata'!$P$6:$R$6)=0,-AG$28,LOOKUP(AH$4,'2. Kalkyldata'!$P$5:$R$5,'2. Kalkyldata'!$P$6:$R$6)))</f>
        <v>0.0</v>
      </c>
      <c r="AI28" s="328">
        <f>IF(AI$4="",0,-IF(LOOKUP(AI$4,'2. Kalkyldata'!$P$5:$R$5,'2. Kalkyldata'!$P$6:$R$6)=0,-AH$28,LOOKUP(AI$4,'2. Kalkyldata'!$P$5:$R$5,'2. Kalkyldata'!$P$6:$R$6)))</f>
        <v>0.0</v>
      </c>
      <c r="AJ28" s="328">
        <f>IF(AJ$4="",0,-IF(LOOKUP(AJ$4,'2. Kalkyldata'!$P$5:$R$5,'2. Kalkyldata'!$P$6:$R$6)=0,-AI$28,LOOKUP(AJ$4,'2. Kalkyldata'!$P$5:$R$5,'2. Kalkyldata'!$P$6:$R$6)))</f>
        <v>0.0</v>
      </c>
      <c r="AK28" s="328">
        <f>IF(AK$4="",0,-IF(LOOKUP(AK$4,'2. Kalkyldata'!$P$5:$R$5,'2. Kalkyldata'!$P$6:$R$6)=0,-AJ$28,LOOKUP(AK$4,'2. Kalkyldata'!$P$5:$R$5,'2. Kalkyldata'!$P$6:$R$6)))</f>
        <v>0.0</v>
      </c>
      <c r="AL28" s="328">
        <f>IF(AL$4="",0,-IF(LOOKUP(AL$4,'2. Kalkyldata'!$P$5:$R$5,'2. Kalkyldata'!$P$6:$R$6)=0,-AK$28,LOOKUP(AL$4,'2. Kalkyldata'!$P$5:$R$5,'2. Kalkyldata'!$P$6:$R$6)))</f>
        <v>0.0</v>
      </c>
      <c r="AM28" s="328">
        <f>IF(AM$4="",0,-IF(LOOKUP(AM$4,'2. Kalkyldata'!$P$5:$R$5,'2. Kalkyldata'!$P$6:$R$6)=0,-AL$28,LOOKUP(AM$4,'2. Kalkyldata'!$P$5:$R$5,'2. Kalkyldata'!$P$6:$R$6)))</f>
        <v>0.0</v>
      </c>
      <c r="AN28" s="328">
        <f>IF(AN$4="",0,-IF(LOOKUP(AN$4,'2. Kalkyldata'!$P$5:$R$5,'2. Kalkyldata'!$P$6:$R$6)=0,-AM$28,LOOKUP(AN$4,'2. Kalkyldata'!$P$5:$R$5,'2. Kalkyldata'!$P$6:$R$6)))</f>
        <v>0.0</v>
      </c>
      <c r="AO28" s="328">
        <f>IF(AO$4="",0,-IF(LOOKUP(AO$4,'2. Kalkyldata'!$P$5:$R$5,'2. Kalkyldata'!$P$6:$R$6)=0,-AN$28,LOOKUP(AO$4,'2. Kalkyldata'!$P$5:$R$5,'2. Kalkyldata'!$P$6:$R$6)))</f>
        <v>0.0</v>
      </c>
      <c r="AP28" s="328">
        <f>IF(AP$4="",0,-IF(LOOKUP(AP$4,'2. Kalkyldata'!$P$5:$R$5,'2. Kalkyldata'!$P$6:$R$6)=0,-AO$28,LOOKUP(AP$4,'2. Kalkyldata'!$P$5:$R$5,'2. Kalkyldata'!$P$6:$R$6)))</f>
        <v>0.0</v>
      </c>
      <c r="AQ28" s="328">
        <f>IF(AQ$4="",0,-IF(LOOKUP(AQ$4,'2. Kalkyldata'!$P$5:$R$5,'2. Kalkyldata'!$P$6:$R$6)=0,-AP$28,LOOKUP(AQ$4,'2. Kalkyldata'!$P$5:$R$5,'2. Kalkyldata'!$P$6:$R$6)))</f>
        <v>0.0</v>
      </c>
      <c r="AR28" s="328">
        <f>IF(AR$4="",0,-IF(LOOKUP(AR$4,'2. Kalkyldata'!$P$5:$R$5,'2. Kalkyldata'!$P$6:$R$6)=0,-AQ$28,LOOKUP(AR$4,'2. Kalkyldata'!$P$5:$R$5,'2. Kalkyldata'!$P$6:$R$6)))</f>
        <v>0.0</v>
      </c>
      <c r="AS28" s="328">
        <f>IF(AS$4="",0,-IF(LOOKUP(AS$4,'2. Kalkyldata'!$P$5:$R$5,'2. Kalkyldata'!$P$6:$R$6)=0,-AR$28,LOOKUP(AS$4,'2. Kalkyldata'!$P$5:$R$5,'2. Kalkyldata'!$P$6:$R$6)))</f>
        <v>0.0</v>
      </c>
      <c r="AT28" s="328">
        <f>IF(AT$4="",0,-IF(LOOKUP(AT$4,'2. Kalkyldata'!$P$5:$R$5,'2. Kalkyldata'!$P$6:$R$6)=0,-AS$28,LOOKUP(AT$4,'2. Kalkyldata'!$P$5:$R$5,'2. Kalkyldata'!$P$6:$R$6)))</f>
        <v>0.0</v>
      </c>
      <c r="AU28" s="328">
        <f>IF(AU$4="",0,-IF(LOOKUP(AU$4,'2. Kalkyldata'!$P$5:$R$5,'2. Kalkyldata'!$P$6:$R$6)=0,-AT$28,LOOKUP(AU$4,'2. Kalkyldata'!$P$5:$R$5,'2. Kalkyldata'!$P$6:$R$6)))</f>
        <v>0.0</v>
      </c>
      <c r="AV28" s="328">
        <f>IF(AV$4="",0,-IF(LOOKUP(AV$4,'2. Kalkyldata'!$P$5:$R$5,'2. Kalkyldata'!$P$6:$R$6)=0,-AU$28,LOOKUP(AV$4,'2. Kalkyldata'!$P$5:$R$5,'2. Kalkyldata'!$P$6:$R$6)))</f>
        <v>0.0</v>
      </c>
      <c r="AW28" s="328">
        <f>IF(AW$4="",0,-IF(LOOKUP(AW$4,'2. Kalkyldata'!$P$5:$R$5,'2. Kalkyldata'!$P$6:$R$6)=0,-AV$28,LOOKUP(AW$4,'2. Kalkyldata'!$P$5:$R$5,'2. Kalkyldata'!$P$6:$R$6)))</f>
        <v>0.0</v>
      </c>
      <c r="AX28" s="328">
        <f>IF(AX$4="",0,-IF(LOOKUP(AX$4,'2. Kalkyldata'!$P$5:$R$5,'2. Kalkyldata'!$P$6:$R$6)=0,-AW$28,LOOKUP(AX$4,'2. Kalkyldata'!$P$5:$R$5,'2. Kalkyldata'!$P$6:$R$6)))</f>
        <v>0.0</v>
      </c>
      <c r="AY28" s="328">
        <f>IF(AY$4="",0,-IF(LOOKUP(AY$4,'2. Kalkyldata'!$P$5:$R$5,'2. Kalkyldata'!$P$6:$R$6)=0,-AX$28,LOOKUP(AY$4,'2. Kalkyldata'!$P$5:$R$5,'2. Kalkyldata'!$P$6:$R$6)))</f>
        <v>0.0</v>
      </c>
      <c r="AZ28" s="328">
        <f>IF(AZ$4="",0,-IF(LOOKUP(AZ$4,'2. Kalkyldata'!$P$5:$R$5,'2. Kalkyldata'!$P$6:$R$6)=0,-AY$28,LOOKUP(AZ$4,'2. Kalkyldata'!$P$5:$R$5,'2. Kalkyldata'!$P$6:$R$6)))</f>
        <v>0.0</v>
      </c>
      <c r="BA28" s="328">
        <f>IF(BA$4="",0,-IF(LOOKUP(BA$4,'2. Kalkyldata'!$P$5:$R$5,'2. Kalkyldata'!$P$6:$R$6)=0,-AZ$28,LOOKUP(BA$4,'2. Kalkyldata'!$P$5:$R$5,'2. Kalkyldata'!$P$6:$R$6)))</f>
        <v>0.0</v>
      </c>
    </row>
    <row r="29" spans="2:54" s="19" customFormat="1" ht="15">
      <c r="B29" s="412" t="s">
        <v>238</v>
      </c>
      <c r="C29" s="413">
        <f>IFERROR($D29/$C$8,"")</f>
        <v>2245.0</v>
      </c>
      <c r="D29" s="414">
        <f t="shared" ref="D29:AI29" si="9">D19+D26+D27+D28</f>
        <v>13694500.0</v>
      </c>
      <c r="E29" s="414">
        <f t="shared" si="9"/>
        <v>13871400.0</v>
      </c>
      <c r="F29" s="414">
        <f t="shared" si="9"/>
        <v>14050480.14</v>
      </c>
      <c r="G29" s="414">
        <f t="shared" si="9"/>
        <v>14231765.012759998</v>
      </c>
      <c r="H29" s="414">
        <f t="shared" si="9"/>
        <v>14415279.43675464</v>
      </c>
      <c r="I29" s="414">
        <f t="shared" si="9"/>
        <v>14601048.456961526</v>
      </c>
      <c r="J29" s="414">
        <f t="shared" si="9"/>
        <v>14789097.34561315</v>
      </c>
      <c r="K29" s="414">
        <f t="shared" si="9"/>
        <v>14979451.60291099</v>
      </c>
      <c r="L29" s="414">
        <f t="shared" si="9"/>
        <v>15172136.957700178</v>
      </c>
      <c r="M29" s="414">
        <f t="shared" si="9"/>
        <v>15367179.368103383</v>
      </c>
      <c r="N29" s="414">
        <f t="shared" si="9"/>
        <v>15564605.02211214</v>
      </c>
      <c r="O29" s="414">
        <f t="shared" si="9"/>
        <v>15764440.338134129</v>
      </c>
      <c r="P29" s="414">
        <f t="shared" si="9"/>
        <v>15966711.965494674</v>
      </c>
      <c r="Q29" s="414">
        <f t="shared" si="9"/>
        <v>16171446.784890799</v>
      </c>
      <c r="R29" s="414">
        <f t="shared" si="9"/>
        <v>16378671.908796053</v>
      </c>
      <c r="S29" s="414">
        <f t="shared" si="9"/>
        <v>16588414.68181432</v>
      </c>
      <c r="T29" s="414">
        <f t="shared" si="9"/>
        <v>16800702.68098074</v>
      </c>
      <c r="U29" s="414">
        <f t="shared" si="9"/>
        <v>17015563.71600791</v>
      </c>
      <c r="V29" s="414">
        <f t="shared" si="9"/>
        <v>17233025.829475332</v>
      </c>
      <c r="W29" s="414">
        <f t="shared" si="9"/>
        <v>17453117.296960164</v>
      </c>
      <c r="X29" s="414">
        <f t="shared" si="9"/>
        <v>17675866.627107225</v>
      </c>
      <c r="Y29" s="414">
        <f t="shared" si="9"/>
        <v>0.0</v>
      </c>
      <c r="Z29" s="414">
        <f t="shared" si="9"/>
        <v>0.0</v>
      </c>
      <c r="AA29" s="414">
        <f t="shared" si="9"/>
        <v>0.0</v>
      </c>
      <c r="AB29" s="414">
        <f t="shared" si="9"/>
        <v>0.0</v>
      </c>
      <c r="AC29" s="414">
        <f t="shared" si="9"/>
        <v>0.0</v>
      </c>
      <c r="AD29" s="414">
        <f t="shared" si="9"/>
        <v>0.0</v>
      </c>
      <c r="AE29" s="414">
        <f t="shared" si="9"/>
        <v>0.0</v>
      </c>
      <c r="AF29" s="414">
        <f t="shared" si="9"/>
        <v>0.0</v>
      </c>
      <c r="AG29" s="414">
        <f t="shared" si="9"/>
        <v>0.0</v>
      </c>
      <c r="AH29" s="414">
        <f t="shared" si="9"/>
        <v>0.0</v>
      </c>
      <c r="AI29" s="414">
        <f t="shared" si="9"/>
        <v>0.0</v>
      </c>
      <c r="AJ29" s="414">
        <f t="shared" ref="AJ29:BA29" si="10">AJ19+AJ26+AJ27+AJ28</f>
        <v>0.0</v>
      </c>
      <c r="AK29" s="414">
        <f t="shared" si="10"/>
        <v>0.0</v>
      </c>
      <c r="AL29" s="414">
        <f t="shared" si="10"/>
        <v>0.0</v>
      </c>
      <c r="AM29" s="414">
        <f t="shared" si="10"/>
        <v>0.0</v>
      </c>
      <c r="AN29" s="414">
        <f t="shared" si="10"/>
        <v>0.0</v>
      </c>
      <c r="AO29" s="414">
        <f t="shared" si="10"/>
        <v>0.0</v>
      </c>
      <c r="AP29" s="414">
        <f t="shared" si="10"/>
        <v>0.0</v>
      </c>
      <c r="AQ29" s="414">
        <f t="shared" si="10"/>
        <v>0.0</v>
      </c>
      <c r="AR29" s="414">
        <f t="shared" si="10"/>
        <v>0.0</v>
      </c>
      <c r="AS29" s="414">
        <f t="shared" si="10"/>
        <v>0.0</v>
      </c>
      <c r="AT29" s="414">
        <f t="shared" si="10"/>
        <v>0.0</v>
      </c>
      <c r="AU29" s="414">
        <f t="shared" si="10"/>
        <v>0.0</v>
      </c>
      <c r="AV29" s="414">
        <f t="shared" si="10"/>
        <v>0.0</v>
      </c>
      <c r="AW29" s="414">
        <f t="shared" si="10"/>
        <v>0.0</v>
      </c>
      <c r="AX29" s="414">
        <f t="shared" si="10"/>
        <v>0.0</v>
      </c>
      <c r="AY29" s="414">
        <f t="shared" si="10"/>
        <v>0.0</v>
      </c>
      <c r="AZ29" s="414">
        <f t="shared" si="10"/>
        <v>0.0</v>
      </c>
      <c r="BA29" s="414">
        <f t="shared" si="10"/>
        <v>0.0</v>
      </c>
      <c r="BB29" s="494"/>
    </row>
    <row r="30" spans="2:54" s="189" customFormat="1">
      <c r="B30" s="336" t="s">
        <v>239</v>
      </c>
      <c r="C30" s="337"/>
      <c r="D30" s="327">
        <f t="shared" ref="D30:AI30" si="11">IFERROR(D29/D8,0)</f>
        <v>2245.0</v>
      </c>
      <c r="E30" s="327">
        <f t="shared" si="11"/>
        <v>2274.0</v>
      </c>
      <c r="F30" s="327">
        <f t="shared" si="11"/>
        <v>2303.3574</v>
      </c>
      <c r="G30" s="327">
        <f t="shared" si="11"/>
        <v>2333.0762315999996</v>
      </c>
      <c r="H30" s="327">
        <f t="shared" si="11"/>
        <v>2363.1605634024</v>
      </c>
      <c r="I30" s="327">
        <f t="shared" si="11"/>
        <v>2393.6145011412336</v>
      </c>
      <c r="J30" s="327">
        <f t="shared" si="11"/>
        <v>2424.4421878054345</v>
      </c>
      <c r="K30" s="327">
        <f t="shared" si="11"/>
        <v>2455.6478037559</v>
      </c>
      <c r="L30" s="327">
        <f t="shared" si="11"/>
        <v>2487.2355668360947</v>
      </c>
      <c r="M30" s="327">
        <f t="shared" si="11"/>
        <v>2519.2097324759643</v>
      </c>
      <c r="N30" s="327">
        <f t="shared" si="11"/>
        <v>2551.5745937888755</v>
      </c>
      <c r="O30" s="327">
        <f t="shared" si="11"/>
        <v>2584.3344816613326</v>
      </c>
      <c r="P30" s="327">
        <f t="shared" si="11"/>
        <v>2617.4937648351925</v>
      </c>
      <c r="Q30" s="327">
        <f t="shared" si="11"/>
        <v>2651.0568499820984</v>
      </c>
      <c r="R30" s="327">
        <f t="shared" si="11"/>
        <v>2685.0281817698447</v>
      </c>
      <c r="S30" s="327">
        <f t="shared" si="11"/>
        <v>2719.4122429203803</v>
      </c>
      <c r="T30" s="327">
        <f t="shared" si="11"/>
        <v>2754.2135542591373</v>
      </c>
      <c r="U30" s="327">
        <f t="shared" si="11"/>
        <v>2789.4366747553954</v>
      </c>
      <c r="V30" s="327">
        <f t="shared" si="11"/>
        <v>2825.086201553333</v>
      </c>
      <c r="W30" s="327">
        <f t="shared" si="11"/>
        <v>2861.1667699934696</v>
      </c>
      <c r="X30" s="327">
        <f t="shared" si="11"/>
        <v>2897.6830536241355</v>
      </c>
      <c r="Y30" s="327">
        <f t="shared" si="11"/>
        <v>0.0</v>
      </c>
      <c r="Z30" s="327">
        <f t="shared" si="11"/>
        <v>0.0</v>
      </c>
      <c r="AA30" s="327">
        <f t="shared" si="11"/>
        <v>0.0</v>
      </c>
      <c r="AB30" s="327">
        <f t="shared" si="11"/>
        <v>0.0</v>
      </c>
      <c r="AC30" s="327">
        <f t="shared" si="11"/>
        <v>0.0</v>
      </c>
      <c r="AD30" s="327">
        <f t="shared" si="11"/>
        <v>0.0</v>
      </c>
      <c r="AE30" s="327">
        <f t="shared" si="11"/>
        <v>0.0</v>
      </c>
      <c r="AF30" s="327">
        <f t="shared" si="11"/>
        <v>0.0</v>
      </c>
      <c r="AG30" s="327">
        <f t="shared" si="11"/>
        <v>0.0</v>
      </c>
      <c r="AH30" s="327">
        <f t="shared" si="11"/>
        <v>0.0</v>
      </c>
      <c r="AI30" s="327">
        <f t="shared" si="11"/>
        <v>0.0</v>
      </c>
      <c r="AJ30" s="327">
        <f t="shared" ref="AJ30:BA30" si="12">IFERROR(AJ29/AJ8,0)</f>
        <v>0.0</v>
      </c>
      <c r="AK30" s="327">
        <f t="shared" si="12"/>
        <v>0.0</v>
      </c>
      <c r="AL30" s="327">
        <f t="shared" si="12"/>
        <v>0.0</v>
      </c>
      <c r="AM30" s="327">
        <f t="shared" si="12"/>
        <v>0.0</v>
      </c>
      <c r="AN30" s="327">
        <f t="shared" si="12"/>
        <v>0.0</v>
      </c>
      <c r="AO30" s="327">
        <f t="shared" si="12"/>
        <v>0.0</v>
      </c>
      <c r="AP30" s="327">
        <f t="shared" si="12"/>
        <v>0.0</v>
      </c>
      <c r="AQ30" s="327">
        <f t="shared" si="12"/>
        <v>0.0</v>
      </c>
      <c r="AR30" s="327">
        <f t="shared" si="12"/>
        <v>0.0</v>
      </c>
      <c r="AS30" s="327">
        <f t="shared" si="12"/>
        <v>0.0</v>
      </c>
      <c r="AT30" s="327">
        <f t="shared" si="12"/>
        <v>0.0</v>
      </c>
      <c r="AU30" s="327">
        <f t="shared" si="12"/>
        <v>0.0</v>
      </c>
      <c r="AV30" s="327">
        <f t="shared" si="12"/>
        <v>0.0</v>
      </c>
      <c r="AW30" s="327">
        <f t="shared" si="12"/>
        <v>0.0</v>
      </c>
      <c r="AX30" s="327">
        <f t="shared" si="12"/>
        <v>0.0</v>
      </c>
      <c r="AY30" s="327">
        <f t="shared" si="12"/>
        <v>0.0</v>
      </c>
      <c r="AZ30" s="327">
        <f t="shared" si="12"/>
        <v>0.0</v>
      </c>
      <c r="BA30" s="327">
        <f t="shared" si="12"/>
        <v>0.0</v>
      </c>
    </row>
    <row r="31" spans="2:54" s="189" customFormat="1">
      <c r="B31" s="418" t="inlineStr">
        <is>
          <t>Nettohyra, kr/kvm</t>
        </is>
      </c>
      <c r="C31" s="416"/>
      <c r="D31" s="416">
        <f>IFERROR(D$19/D$8,0)</f>
        <v>2650.0</v>
      </c>
      <c r="E31" s="416">
        <f t="shared" ref="E31:BA31" si="13">IFERROR(E$19/E$8,0)</f>
        <v>2687.1</v>
      </c>
      <c r="F31" s="416">
        <f t="shared" si="13"/>
        <v>2724.7194000000004</v>
      </c>
      <c r="G31" s="416">
        <f t="shared" si="13"/>
        <v>2762.8654715999996</v>
      </c>
      <c r="H31" s="416">
        <f t="shared" si="13"/>
        <v>2801.5455882024003</v>
      </c>
      <c r="I31" s="416">
        <f t="shared" si="13"/>
        <v>2840.7672264372336</v>
      </c>
      <c r="J31" s="416">
        <f t="shared" si="13"/>
        <v>2880.5379676073544</v>
      </c>
      <c r="K31" s="416">
        <f t="shared" si="13"/>
        <v>2920.8654991538583</v>
      </c>
      <c r="L31" s="416">
        <f t="shared" si="13"/>
        <v>2961.7576161420125</v>
      </c>
      <c r="M31" s="416">
        <f t="shared" si="13"/>
        <v>3003.2222227680004</v>
      </c>
      <c r="N31" s="416">
        <f t="shared" si="13"/>
        <v>3045.267333886752</v>
      </c>
      <c r="O31" s="416">
        <f t="shared" si="13"/>
        <v>3087.9010765611665</v>
      </c>
      <c r="P31" s="416">
        <f t="shared" si="13"/>
        <v>3131.1316916330234</v>
      </c>
      <c r="Q31" s="416">
        <f t="shared" si="13"/>
        <v>3174.967535315886</v>
      </c>
      <c r="R31" s="416">
        <f t="shared" si="13"/>
        <v>3219.417080810308</v>
      </c>
      <c r="S31" s="416">
        <f t="shared" si="13"/>
        <v>3264.488919941653</v>
      </c>
      <c r="T31" s="416">
        <f t="shared" si="13"/>
        <v>3310.1917648208355</v>
      </c>
      <c r="U31" s="416">
        <f t="shared" si="13"/>
        <v>3356.5344495283275</v>
      </c>
      <c r="V31" s="416">
        <f t="shared" si="13"/>
        <v>3403.525931821724</v>
      </c>
      <c r="W31" s="416">
        <f t="shared" si="13"/>
        <v>3451.1752948672283</v>
      </c>
      <c r="X31" s="416">
        <f t="shared" si="13"/>
        <v>3499.491748995369</v>
      </c>
      <c r="Y31" s="416">
        <f t="shared" si="13"/>
        <v>0.0</v>
      </c>
      <c r="Z31" s="416">
        <f t="shared" si="13"/>
        <v>0.0</v>
      </c>
      <c r="AA31" s="416">
        <f t="shared" si="13"/>
        <v>0.0</v>
      </c>
      <c r="AB31" s="416">
        <f t="shared" si="13"/>
        <v>0.0</v>
      </c>
      <c r="AC31" s="416">
        <f t="shared" si="13"/>
        <v>0.0</v>
      </c>
      <c r="AD31" s="416">
        <f t="shared" si="13"/>
        <v>0.0</v>
      </c>
      <c r="AE31" s="416">
        <f t="shared" si="13"/>
        <v>0.0</v>
      </c>
      <c r="AF31" s="416">
        <f t="shared" si="13"/>
        <v>0.0</v>
      </c>
      <c r="AG31" s="416">
        <f t="shared" si="13"/>
        <v>0.0</v>
      </c>
      <c r="AH31" s="416">
        <f t="shared" si="13"/>
        <v>0.0</v>
      </c>
      <c r="AI31" s="416">
        <f t="shared" si="13"/>
        <v>0.0</v>
      </c>
      <c r="AJ31" s="416">
        <f t="shared" si="13"/>
        <v>0.0</v>
      </c>
      <c r="AK31" s="416">
        <f t="shared" si="13"/>
        <v>0.0</v>
      </c>
      <c r="AL31" s="416">
        <f t="shared" si="13"/>
        <v>0.0</v>
      </c>
      <c r="AM31" s="416">
        <f t="shared" si="13"/>
        <v>0.0</v>
      </c>
      <c r="AN31" s="416">
        <f t="shared" si="13"/>
        <v>0.0</v>
      </c>
      <c r="AO31" s="416">
        <f t="shared" si="13"/>
        <v>0.0</v>
      </c>
      <c r="AP31" s="416">
        <f t="shared" si="13"/>
        <v>0.0</v>
      </c>
      <c r="AQ31" s="416">
        <f t="shared" si="13"/>
        <v>0.0</v>
      </c>
      <c r="AR31" s="416">
        <f t="shared" si="13"/>
        <v>0.0</v>
      </c>
      <c r="AS31" s="416">
        <f t="shared" si="13"/>
        <v>0.0</v>
      </c>
      <c r="AT31" s="416">
        <f t="shared" si="13"/>
        <v>0.0</v>
      </c>
      <c r="AU31" s="416">
        <f t="shared" si="13"/>
        <v>0.0</v>
      </c>
      <c r="AV31" s="416">
        <f t="shared" si="13"/>
        <v>0.0</v>
      </c>
      <c r="AW31" s="416">
        <f t="shared" si="13"/>
        <v>0.0</v>
      </c>
      <c r="AX31" s="416">
        <f t="shared" si="13"/>
        <v>0.0</v>
      </c>
      <c r="AY31" s="416">
        <f t="shared" si="13"/>
        <v>0.0</v>
      </c>
      <c r="AZ31" s="416">
        <f t="shared" si="13"/>
        <v>0.0</v>
      </c>
      <c r="BA31" s="416">
        <f t="shared" si="13"/>
        <v>0.0</v>
      </c>
    </row>
    <row r="32" spans="2:54" s="189" customFormat="1">
      <c r="B32" s="418" t="inlineStr">
        <is>
          <t>Drift och underhåll exkl extraordinärt UH, kr/kvm</t>
        </is>
      </c>
      <c r="C32" s="416"/>
      <c r="D32" s="416">
        <f>IFERROR(SUM(D$20:D$24)/D$8,0)</f>
        <v>-405.0</v>
      </c>
      <c r="E32" s="416">
        <f t="shared" ref="E32:BA32" si="14">IFERROR(SUM(E$20:E$24)/E$8,0)</f>
        <v>-413.1</v>
      </c>
      <c r="F32" s="416">
        <f t="shared" si="14"/>
        <v>-421.362</v>
      </c>
      <c r="G32" s="416">
        <f t="shared" si="14"/>
        <v>-429.78924000000006</v>
      </c>
      <c r="H32" s="416">
        <f t="shared" si="14"/>
        <v>-438.3850248</v>
      </c>
      <c r="I32" s="416">
        <f t="shared" si="14"/>
        <v>-447.15272529599997</v>
      </c>
      <c r="J32" s="416">
        <f t="shared" si="14"/>
        <v>-456.09577980192006</v>
      </c>
      <c r="K32" s="416">
        <f t="shared" si="14"/>
        <v>-465.2176953979584</v>
      </c>
      <c r="L32" s="416">
        <f t="shared" si="14"/>
        <v>-474.5220493059176</v>
      </c>
      <c r="M32" s="416">
        <f t="shared" si="14"/>
        <v>-484.012490292036</v>
      </c>
      <c r="N32" s="416">
        <f t="shared" si="14"/>
        <v>-493.6927400978767</v>
      </c>
      <c r="O32" s="416">
        <f t="shared" si="14"/>
        <v>-503.56659489983423</v>
      </c>
      <c r="P32" s="416">
        <f t="shared" si="14"/>
        <v>-513.6379267978309</v>
      </c>
      <c r="Q32" s="416">
        <f t="shared" si="14"/>
        <v>-523.9106853337876</v>
      </c>
      <c r="R32" s="416">
        <f t="shared" si="14"/>
        <v>-534.3888990404633</v>
      </c>
      <c r="S32" s="416">
        <f t="shared" si="14"/>
        <v>-545.0766770212726</v>
      </c>
      <c r="T32" s="416">
        <f t="shared" si="14"/>
        <v>-555.9782105616981</v>
      </c>
      <c r="U32" s="416">
        <f t="shared" si="14"/>
        <v>-567.0977747729321</v>
      </c>
      <c r="V32" s="416">
        <f t="shared" si="14"/>
        <v>-578.4397302683907</v>
      </c>
      <c r="W32" s="416">
        <f t="shared" si="14"/>
        <v>-590.0085248737586</v>
      </c>
      <c r="X32" s="416">
        <f t="shared" si="14"/>
        <v>-601.8086953712337</v>
      </c>
      <c r="Y32" s="416">
        <f t="shared" si="14"/>
        <v>0.0</v>
      </c>
      <c r="Z32" s="416">
        <f t="shared" si="14"/>
        <v>0.0</v>
      </c>
      <c r="AA32" s="416">
        <f t="shared" si="14"/>
        <v>0.0</v>
      </c>
      <c r="AB32" s="416">
        <f t="shared" si="14"/>
        <v>0.0</v>
      </c>
      <c r="AC32" s="416">
        <f t="shared" si="14"/>
        <v>0.0</v>
      </c>
      <c r="AD32" s="416">
        <f t="shared" si="14"/>
        <v>0.0</v>
      </c>
      <c r="AE32" s="416">
        <f t="shared" si="14"/>
        <v>0.0</v>
      </c>
      <c r="AF32" s="416">
        <f t="shared" si="14"/>
        <v>0.0</v>
      </c>
      <c r="AG32" s="416">
        <f t="shared" si="14"/>
        <v>0.0</v>
      </c>
      <c r="AH32" s="416">
        <f t="shared" si="14"/>
        <v>0.0</v>
      </c>
      <c r="AI32" s="416">
        <f t="shared" si="14"/>
        <v>0.0</v>
      </c>
      <c r="AJ32" s="416">
        <f t="shared" si="14"/>
        <v>0.0</v>
      </c>
      <c r="AK32" s="416">
        <f t="shared" si="14"/>
        <v>0.0</v>
      </c>
      <c r="AL32" s="416">
        <f t="shared" si="14"/>
        <v>0.0</v>
      </c>
      <c r="AM32" s="416">
        <f t="shared" si="14"/>
        <v>0.0</v>
      </c>
      <c r="AN32" s="416">
        <f t="shared" si="14"/>
        <v>0.0</v>
      </c>
      <c r="AO32" s="416">
        <f t="shared" si="14"/>
        <v>0.0</v>
      </c>
      <c r="AP32" s="416">
        <f t="shared" si="14"/>
        <v>0.0</v>
      </c>
      <c r="AQ32" s="416">
        <f t="shared" si="14"/>
        <v>0.0</v>
      </c>
      <c r="AR32" s="416">
        <f t="shared" si="14"/>
        <v>0.0</v>
      </c>
      <c r="AS32" s="416">
        <f t="shared" si="14"/>
        <v>0.0</v>
      </c>
      <c r="AT32" s="416">
        <f t="shared" si="14"/>
        <v>0.0</v>
      </c>
      <c r="AU32" s="416">
        <f t="shared" si="14"/>
        <v>0.0</v>
      </c>
      <c r="AV32" s="416">
        <f t="shared" si="14"/>
        <v>0.0</v>
      </c>
      <c r="AW32" s="416">
        <f t="shared" si="14"/>
        <v>0.0</v>
      </c>
      <c r="AX32" s="416">
        <f t="shared" si="14"/>
        <v>0.0</v>
      </c>
      <c r="AY32" s="416">
        <f t="shared" si="14"/>
        <v>0.0</v>
      </c>
      <c r="AZ32" s="416">
        <f t="shared" si="14"/>
        <v>0.0</v>
      </c>
      <c r="BA32" s="416">
        <f t="shared" si="14"/>
        <v>0.0</v>
      </c>
    </row>
    <row r="33" spans="2:54">
      <c r="B33" s="336" t="s">
        <v>242</v>
      </c>
      <c r="C33" s="410"/>
      <c r="D33" s="411">
        <f>IF(D4="","",IFERROR((D29-D25)/D19,0))</f>
        <v>0.8471698113207548</v>
      </c>
      <c r="E33" s="411">
        <f>IF(E4="","",IFERROR((E29-E25)/E19,0))</f>
        <v>0.8462654906776823</v>
      </c>
      <c r="F33" s="411">
        <f t="shared" ref="F33:BA33" si="15">IF(F4="","",IFERROR((F29-F25)/F19,0))</f>
        <v>0.8453558190248874</v>
      </c>
      <c r="G33" s="411">
        <f t="shared" si="15"/>
        <v>0.844440764699591</v>
      </c>
      <c r="H33" s="411">
        <f t="shared" si="15"/>
        <v>0.8435202958516596</v>
      </c>
      <c r="I33" s="411">
        <f t="shared" si="15"/>
        <v>0.8425943804424978</v>
      </c>
      <c r="J33" s="411">
        <f t="shared" si="15"/>
        <v>0.8416629862439327</v>
      </c>
      <c r="K33" s="411">
        <f t="shared" si="15"/>
        <v>0.840726080837092</v>
      </c>
      <c r="L33" s="411">
        <f t="shared" si="15"/>
        <v>0.839783631611276</v>
      </c>
      <c r="M33" s="411">
        <f t="shared" si="15"/>
        <v>0.838835605762822</v>
      </c>
      <c r="N33" s="411">
        <f t="shared" si="15"/>
        <v>0.8378819702939629</v>
      </c>
      <c r="O33" s="411">
        <f t="shared" si="15"/>
        <v>0.8369226920116788</v>
      </c>
      <c r="P33" s="411">
        <f t="shared" si="15"/>
        <v>0.8359577375265408</v>
      </c>
      <c r="Q33" s="411">
        <f t="shared" si="15"/>
        <v>0.8349870732515499</v>
      </c>
      <c r="R33" s="411">
        <f t="shared" si="15"/>
        <v>0.8340106654009672</v>
      </c>
      <c r="S33" s="411">
        <f t="shared" si="15"/>
        <v>0.8330284799891388</v>
      </c>
      <c r="T33" s="411">
        <f t="shared" si="15"/>
        <v>0.8320404828293111</v>
      </c>
      <c r="U33" s="411">
        <f t="shared" si="15"/>
        <v>0.8310466395324431</v>
      </c>
      <c r="V33" s="411">
        <f t="shared" si="15"/>
        <v>0.8300469155060078</v>
      </c>
      <c r="W33" s="411">
        <f t="shared" si="15"/>
        <v>0.829041275952789</v>
      </c>
      <c r="X33" s="411">
        <f t="shared" si="15"/>
        <v>0.8280296858696693</v>
      </c>
      <c r="Y33" s="411" t="str">
        <f t="shared" si="15"/>
        <v/>
      </c>
      <c r="Z33" s="411" t="str">
        <f t="shared" si="15"/>
        <v/>
      </c>
      <c r="AA33" s="411" t="str">
        <f t="shared" si="15"/>
        <v/>
      </c>
      <c r="AB33" s="411" t="str">
        <f t="shared" si="15"/>
        <v/>
      </c>
      <c r="AC33" s="411" t="str">
        <f t="shared" si="15"/>
        <v/>
      </c>
      <c r="AD33" s="411" t="str">
        <f t="shared" si="15"/>
        <v/>
      </c>
      <c r="AE33" s="411" t="str">
        <f t="shared" si="15"/>
        <v/>
      </c>
      <c r="AF33" s="411" t="str">
        <f t="shared" si="15"/>
        <v/>
      </c>
      <c r="AG33" s="411" t="str">
        <f t="shared" si="15"/>
        <v/>
      </c>
      <c r="AH33" s="411" t="str">
        <f t="shared" si="15"/>
        <v/>
      </c>
      <c r="AI33" s="411" t="str">
        <f t="shared" si="15"/>
        <v/>
      </c>
      <c r="AJ33" s="411" t="str">
        <f t="shared" si="15"/>
        <v/>
      </c>
      <c r="AK33" s="411" t="str">
        <f t="shared" si="15"/>
        <v/>
      </c>
      <c r="AL33" s="411" t="str">
        <f t="shared" si="15"/>
        <v/>
      </c>
      <c r="AM33" s="411" t="str">
        <f t="shared" si="15"/>
        <v/>
      </c>
      <c r="AN33" s="411" t="str">
        <f t="shared" si="15"/>
        <v/>
      </c>
      <c r="AO33" s="411" t="str">
        <f t="shared" si="15"/>
        <v/>
      </c>
      <c r="AP33" s="411" t="str">
        <f t="shared" si="15"/>
        <v/>
      </c>
      <c r="AQ33" s="411" t="str">
        <f t="shared" si="15"/>
        <v/>
      </c>
      <c r="AR33" s="411" t="str">
        <f t="shared" si="15"/>
        <v/>
      </c>
      <c r="AS33" s="411" t="str">
        <f t="shared" si="15"/>
        <v/>
      </c>
      <c r="AT33" s="411" t="str">
        <f t="shared" si="15"/>
        <v/>
      </c>
      <c r="AU33" s="411" t="str">
        <f t="shared" si="15"/>
        <v/>
      </c>
      <c r="AV33" s="411" t="str">
        <f t="shared" si="15"/>
        <v/>
      </c>
      <c r="AW33" s="411" t="str">
        <f t="shared" si="15"/>
        <v/>
      </c>
      <c r="AX33" s="411" t="str">
        <f t="shared" si="15"/>
        <v/>
      </c>
      <c r="AY33" s="411" t="str">
        <f t="shared" si="15"/>
        <v/>
      </c>
      <c r="AZ33" s="411" t="str">
        <f t="shared" si="15"/>
        <v/>
      </c>
      <c r="BA33" s="411" t="str">
        <f t="shared" si="15"/>
        <v/>
      </c>
      <c r="BB33" s="494"/>
    </row>
    <row r="34" spans="2:54" s="191" customFormat="1" ht="12">
      <c r="B34" s="336" t="s">
        <v>243</v>
      </c>
      <c r="C34" s="337"/>
      <c r="D34" s="338">
        <f>IFERROR(D$29/'7.Grafer'!C$44,0)</f>
        <v>0.06417106420404574</v>
      </c>
      <c r="E34" s="338">
        <f>IFERROR(E$29/'7.Grafer'!D$44,0)</f>
        <v>0.06417154367793726</v>
      </c>
      <c r="F34" s="338">
        <f>IFERROR(F$29/'7.Grafer'!E$44,0)</f>
        <v>0.06417202703116338</v>
      </c>
      <c r="G34" s="338">
        <f>IFERROR(G$29/'7.Grafer'!F$44,0)</f>
        <v>0.06417251430248118</v>
      </c>
      <c r="H34" s="338">
        <f>IFERROR(H$29/'7.Grafer'!G$44,0)</f>
        <v>0.06417300553114112</v>
      </c>
      <c r="I34" s="338">
        <f>IFERROR(I$29/'7.Grafer'!H$44,0)</f>
        <v>0.064173500756895</v>
      </c>
      <c r="J34" s="338">
        <f>IFERROR(J$29/'7.Grafer'!I$44,0)</f>
        <v>0.06417400002000373</v>
      </c>
      <c r="K34" s="338">
        <f>IFERROR(K$29/'7.Grafer'!J$44,0)</f>
        <v>0.06417450336124599</v>
      </c>
      <c r="L34" s="338">
        <f>IFERROR(L$29/'7.Grafer'!K$44,0)</f>
        <v>0.06417501082192593</v>
      </c>
      <c r="M34" s="338">
        <f>IFERROR(M$29/'7.Grafer'!L$44,0)</f>
        <v>0.06417552244388224</v>
      </c>
      <c r="N34" s="338">
        <f>IFERROR(N$29/'7.Grafer'!M$44,0)</f>
        <v>0.06417603826949643</v>
      </c>
      <c r="O34" s="338">
        <f>IFERROR(O$29/'7.Grafer'!N$44,0)</f>
        <v>0.06417655834170188</v>
      </c>
      <c r="P34" s="338">
        <f>IFERROR(P$29/'7.Grafer'!O$44,0)</f>
        <v>0.06417708270399271</v>
      </c>
      <c r="Q34" s="338">
        <f>IFERROR(Q$29/'7.Grafer'!P$44,0)</f>
        <v>0.06417761140043303</v>
      </c>
      <c r="R34" s="338">
        <f>IFERROR(R$29/'7.Grafer'!Q$44,0)</f>
        <v>0.0641781444756663</v>
      </c>
      <c r="S34" s="338">
        <f>IFERROR(S$29/'7.Grafer'!R$44,0)</f>
        <v>0.06417868197492489</v>
      </c>
      <c r="T34" s="338">
        <f>IFERROR(T$29/'7.Grafer'!S$44,0)</f>
        <v>0.0641792239440397</v>
      </c>
      <c r="U34" s="338">
        <f>IFERROR(U$29/'7.Grafer'!T$44,0)</f>
        <v>0.0641797704294503</v>
      </c>
      <c r="V34" s="338">
        <f>IFERROR(V$29/'7.Grafer'!U$44,0)</f>
        <v>0.06418032147821491</v>
      </c>
      <c r="W34" s="338">
        <f>IFERROR(W$29/'7.Grafer'!V$44,0)</f>
        <v>0.06418087713802077</v>
      </c>
      <c r="X34" s="338">
        <f>IFERROR(X$29/'7.Grafer'!W$44,0)</f>
        <v>0.0</v>
      </c>
      <c r="Y34" s="338">
        <f>IFERROR(Y$29/'7.Grafer'!X$44,0)</f>
        <v>0.0</v>
      </c>
      <c r="Z34" s="338">
        <f>IFERROR(Z$29/'7.Grafer'!Y$44,0)</f>
        <v>0.0</v>
      </c>
      <c r="AA34" s="338">
        <f>IFERROR(AA$29/'7.Grafer'!Z$44,0)</f>
        <v>0.0</v>
      </c>
      <c r="AB34" s="338">
        <f>IFERROR(AB$29/'7.Grafer'!AA$44,0)</f>
        <v>0.0</v>
      </c>
      <c r="AC34" s="338">
        <f>IFERROR(AC$29/'7.Grafer'!AB$44,0)</f>
        <v>0.0</v>
      </c>
      <c r="AD34" s="338">
        <f>IFERROR(AD$29/'7.Grafer'!AC$44,0)</f>
        <v>0.0</v>
      </c>
      <c r="AE34" s="338">
        <f>IFERROR(AE$29/'7.Grafer'!AD$44,0)</f>
        <v>0.0</v>
      </c>
      <c r="AF34" s="338">
        <f>IFERROR(AF$29/'7.Grafer'!AE$44,0)</f>
        <v>0.0</v>
      </c>
      <c r="AG34" s="338">
        <f>IFERROR(AG$29/'7.Grafer'!AF$44,0)</f>
        <v>0.0</v>
      </c>
      <c r="AH34" s="338">
        <f>IFERROR(AH$29/'7.Grafer'!AG$44,0)</f>
        <v>0.0</v>
      </c>
      <c r="AI34" s="338">
        <f>IFERROR(AI$29/'7.Grafer'!AH$44,0)</f>
        <v>0.0</v>
      </c>
      <c r="AJ34" s="338">
        <f>IFERROR(AJ$29/'7.Grafer'!AI$44,0)</f>
        <v>0.0</v>
      </c>
      <c r="AK34" s="338">
        <f>IFERROR(AK$29/'7.Grafer'!AJ$44,0)</f>
        <v>0.0</v>
      </c>
      <c r="AL34" s="338">
        <f>IFERROR(AL$29/'7.Grafer'!AK$44,0)</f>
        <v>0.0</v>
      </c>
      <c r="AM34" s="338">
        <f>IFERROR(AM$29/'7.Grafer'!AL$44,0)</f>
        <v>0.0</v>
      </c>
      <c r="AN34" s="338">
        <f>IFERROR(AN$29/'7.Grafer'!AM$44,0)</f>
        <v>0.0</v>
      </c>
      <c r="AO34" s="338">
        <f>IFERROR(AO$29/'7.Grafer'!AN$44,0)</f>
        <v>0.0</v>
      </c>
      <c r="AP34" s="338">
        <f>IFERROR(AP$29/'7.Grafer'!AO$44,0)</f>
        <v>0.0</v>
      </c>
      <c r="AQ34" s="338">
        <f>IFERROR(AQ$29/'7.Grafer'!AP$44,0)</f>
        <v>0.0</v>
      </c>
      <c r="AR34" s="338">
        <f>IFERROR(AR$29/'7.Grafer'!AQ$44,0)</f>
        <v>0.0</v>
      </c>
      <c r="AS34" s="338">
        <f>IFERROR(AS$29/'7.Grafer'!AR$44,0)</f>
        <v>0.0</v>
      </c>
      <c r="AT34" s="338">
        <f>IFERROR(AT$29/'7.Grafer'!AS$44,0)</f>
        <v>0.0</v>
      </c>
      <c r="AU34" s="338">
        <f>IFERROR(AU$29/'7.Grafer'!AT$44,0)</f>
        <v>0.0</v>
      </c>
      <c r="AV34" s="338">
        <f>IFERROR(AV$29/'7.Grafer'!AU$44,0)</f>
        <v>0.0</v>
      </c>
      <c r="AW34" s="338">
        <f>IFERROR(AW$29/'7.Grafer'!AV$44,0)</f>
        <v>0.0</v>
      </c>
      <c r="AX34" s="338">
        <f>IFERROR(AX$29/'7.Grafer'!AW$44,0)</f>
        <v>0.0</v>
      </c>
      <c r="AY34" s="338">
        <f>IFERROR(AY$29/'7.Grafer'!AX$44,0)</f>
        <v>0.0</v>
      </c>
      <c r="AZ34" s="338">
        <f>IFERROR(AZ$29/'7.Grafer'!AY$44,0)</f>
        <v>0.0</v>
      </c>
      <c r="BA34" s="338">
        <f>IFERROR(BA$29/'7.Grafer'!AZ$44,0)</f>
        <v>0.0</v>
      </c>
      <c r="BB34" s="190"/>
    </row>
    <row r="35" spans="2:54" s="191" customFormat="1" ht="12">
      <c r="B35" s="336" t="s">
        <v>244</v>
      </c>
      <c r="C35" s="337"/>
      <c r="D35" s="338">
        <f>IFERROR(D$29/'7.Grafer'!C$48,0)</f>
        <v>0.05884355468750001</v>
      </c>
      <c r="E35" s="338">
        <f>IFERROR(E$29/'7.Grafer'!D$48,0)</f>
        <v>0.06152637096774194</v>
      </c>
      <c r="F35" s="338">
        <f>IFERROR(F$29/'7.Grafer'!E$48,0)</f>
        <v>0.064398033975</v>
      </c>
      <c r="G35" s="338">
        <f>IFERROR(G$29/'7.Grafer'!F$48,0)</f>
        <v>0.06747819618118966</v>
      </c>
      <c r="H35" s="338">
        <f>IFERROR(H$29/'7.Grafer'!G$48,0)</f>
        <v>0.0707893186626344</v>
      </c>
      <c r="I35" s="338">
        <f>IFERROR(I$29/'7.Grafer'!H$48,0)</f>
        <v>0.07435719121600777</v>
      </c>
      <c r="J35" s="338">
        <f>IFERROR(J$29/'7.Grafer'!I$48,0)</f>
        <v>0.07821157250083878</v>
      </c>
      <c r="K35" s="338">
        <f>IFERROR(K$29/'7.Grafer'!J$48,0)</f>
        <v>0.08238698381601045</v>
      </c>
      <c r="L35" s="338">
        <f>IFERROR(L$29/'7.Grafer'!K$48,0)</f>
        <v>0.08692370132015728</v>
      </c>
      <c r="M35" s="338">
        <f>IFERROR(M$29/'7.Grafer'!L$48,0)</f>
        <v>0.09186900709192242</v>
      </c>
      <c r="N35" s="338">
        <f>IFERROR(N$29/'7.Grafer'!M$48,0)</f>
        <v>0.09727878138820088</v>
      </c>
      <c r="O35" s="338">
        <f>IFERROR(O$29/'7.Grafer'!N$48,0)</f>
        <v>0.10321954983302109</v>
      </c>
      <c r="P35" s="338">
        <f>IFERROR(P$29/'7.Grafer'!O$48,0)</f>
        <v>0.1097711447627759</v>
      </c>
      <c r="Q35" s="338">
        <f>IFERROR(Q$29/'7.Grafer'!P$48,0)</f>
        <v>0.11703020699592025</v>
      </c>
      <c r="R35" s="338">
        <f>IFERROR(R$29/'7.Grafer'!Q$48,0)</f>
        <v>0.12511485485885873</v>
      </c>
      <c r="S35" s="338">
        <f>IFERROR(S$29/'7.Grafer'!R$48,0)</f>
        <v>0.13417100110290994</v>
      </c>
      <c r="T35" s="338">
        <f>IFERROR(T$29/'7.Grafer'!S$48,0)</f>
        <v>0.14438103866467822</v>
      </c>
      <c r="U35" s="338">
        <f>IFERROR(U$29/'7.Grafer'!T$48,0)</f>
        <v>0.1559760007300725</v>
      </c>
      <c r="V35" s="338">
        <f>IFERROR(V$29/'7.Grafer'!U$48,0)</f>
        <v>0.16925293225377558</v>
      </c>
      <c r="W35" s="338">
        <f>IFERROR(W$29/'7.Grafer'!V$48,0)</f>
        <v>0.1846002791024633</v>
      </c>
      <c r="X35" s="338">
        <f>IFERROR(X$29/'7.Grafer'!W$48,0)</f>
        <v>0.202535971768937</v>
      </c>
      <c r="Y35" s="338">
        <f>IFERROR(Y$29/'7.Grafer'!X$48,0)</f>
        <v>0.0</v>
      </c>
      <c r="Z35" s="338">
        <f>IFERROR(Z$29/'7.Grafer'!Y$48,0)</f>
        <v>0.0</v>
      </c>
      <c r="AA35" s="338">
        <f>IFERROR(AA$29/'7.Grafer'!Z$48,0)</f>
        <v>0.0</v>
      </c>
      <c r="AB35" s="338">
        <f>IFERROR(AB$29/'7.Grafer'!AA$48,0)</f>
        <v>0.0</v>
      </c>
      <c r="AC35" s="338">
        <f>IFERROR(AC$29/'7.Grafer'!AB$48,0)</f>
        <v>0.0</v>
      </c>
      <c r="AD35" s="338">
        <f>IFERROR(AD$29/'7.Grafer'!AC$48,0)</f>
        <v>0.0</v>
      </c>
      <c r="AE35" s="338">
        <f>IFERROR(AE$29/'7.Grafer'!AD$48,0)</f>
        <v>0.0</v>
      </c>
      <c r="AF35" s="338">
        <f>IFERROR(AF$29/'7.Grafer'!AE$48,0)</f>
        <v>0.0</v>
      </c>
      <c r="AG35" s="338">
        <f>IFERROR(AG$29/'7.Grafer'!AF$48,0)</f>
        <v>0.0</v>
      </c>
      <c r="AH35" s="338">
        <f>IFERROR(AH$29/'7.Grafer'!AG$48,0)</f>
        <v>0.0</v>
      </c>
      <c r="AI35" s="338">
        <f>IFERROR(AI$29/'7.Grafer'!AH$48,0)</f>
        <v>0.0</v>
      </c>
      <c r="AJ35" s="338">
        <f>IFERROR(AJ$29/'7.Grafer'!AI$48,0)</f>
        <v>0.0</v>
      </c>
      <c r="AK35" s="338">
        <f>IFERROR(AK$29/'7.Grafer'!AJ$48,0)</f>
        <v>0.0</v>
      </c>
      <c r="AL35" s="338">
        <f>IFERROR(AL$29/'7.Grafer'!AK$48,0)</f>
        <v>0.0</v>
      </c>
      <c r="AM35" s="338">
        <f>IFERROR(AM$29/'7.Grafer'!AL$48,0)</f>
        <v>0.0</v>
      </c>
      <c r="AN35" s="338">
        <f>IFERROR(AN$29/'7.Grafer'!AM$48,0)</f>
        <v>0.0</v>
      </c>
      <c r="AO35" s="338">
        <f>IFERROR(AO$29/'7.Grafer'!AN$48,0)</f>
        <v>0.0</v>
      </c>
      <c r="AP35" s="338">
        <f>IFERROR(AP$29/'7.Grafer'!AO$48,0)</f>
        <v>0.0</v>
      </c>
      <c r="AQ35" s="338">
        <f>IFERROR(AQ$29/'7.Grafer'!AP$48,0)</f>
        <v>0.0</v>
      </c>
      <c r="AR35" s="338">
        <f>IFERROR(AR$29/'7.Grafer'!AQ$48,0)</f>
        <v>0.0</v>
      </c>
      <c r="AS35" s="338">
        <f>IFERROR(AS$29/'7.Grafer'!AR$48,0)</f>
        <v>0.0</v>
      </c>
      <c r="AT35" s="338">
        <f>IFERROR(AT$29/'7.Grafer'!AS$48,0)</f>
        <v>0.0</v>
      </c>
      <c r="AU35" s="338">
        <f>IFERROR(AU$29/'7.Grafer'!AT$48,0)</f>
        <v>0.0</v>
      </c>
      <c r="AV35" s="338">
        <f>IFERROR(AV$29/'7.Grafer'!AU$48,0)</f>
        <v>0.0</v>
      </c>
      <c r="AW35" s="338">
        <f>IFERROR(AW$29/'7.Grafer'!AV$48,0)</f>
        <v>0.0</v>
      </c>
      <c r="AX35" s="338">
        <f>IFERROR(AX$29/'7.Grafer'!AW$48,0)</f>
        <v>0.0</v>
      </c>
      <c r="AY35" s="338">
        <f>IFERROR(AY$29/'7.Grafer'!AX$48,0)</f>
        <v>0.0</v>
      </c>
      <c r="AZ35" s="338">
        <f>IFERROR(AZ$29/'7.Grafer'!AY$48,0)</f>
        <v>0.0</v>
      </c>
      <c r="BA35" s="338">
        <f>IFERROR(BA$29/'7.Grafer'!AZ$48,0)</f>
        <v>0.0</v>
      </c>
      <c r="BB35" s="190"/>
    </row>
    <row r="36" spans="2:54" hidden="1" outlineLevel="1">
      <c r="B36" s="192" t="s">
        <v>245</v>
      </c>
      <c r="C36" s="520"/>
      <c r="D36" s="192">
        <f>(D$29-D$25)/((1+'2. Kalkyldata'!$M$7)^'4. NPV'!D$5)</f>
        <v>13098517.455762792</v>
      </c>
      <c r="E36" s="192">
        <f>(E$29-E$25)/((1+'2. Kalkyldata'!$M$7)^'4. NPV'!E$5)</f>
        <v>12690309.703333337</v>
      </c>
      <c r="F36" s="192">
        <f>(F$29-F$25)/((1+'2. Kalkyldata'!$M$7)^'4. NPV'!F$5)</f>
        <v>12294731.646523232</v>
      </c>
      <c r="G36" s="192">
        <f>(G$29-G$25)/((1+'2. Kalkyldata'!$M$7)^'4. NPV'!G$5)</f>
        <v>11911394.696503203</v>
      </c>
      <c r="H36" s="192">
        <f>(H$29-H$25)/((1+'2. Kalkyldata'!$M$7)^'4. NPV'!H$5)</f>
        <v>11539922.169045176</v>
      </c>
      <c r="I36" s="192">
        <f>(I$29-I$25)/((1+'2. Kalkyldata'!$M$7)^'4. NPV'!I$5)</f>
        <v>11179948.92104801</v>
      </c>
      <c r="J36" s="192">
        <f>(J$29-J$25)/((1+'2. Kalkyldata'!$M$7)^'4. NPV'!J$5)</f>
        <v>10831120.998131488</v>
      </c>
      <c r="K36" s="192">
        <f>(K$29-K$25)/((1+'2. Kalkyldata'!$M$7)^'4. NPV'!K$5)</f>
        <v>10493095.292962179</v>
      </c>
      <c r="L36" s="192">
        <f>(L$29-L$25)/((1+'2. Kalkyldata'!$M$7)^'4. NPV'!L$5)</f>
        <v>10165539.213985015</v>
      </c>
      <c r="M36" s="192">
        <f>(M$29-M$25)/((1+'2. Kalkyldata'!$M$7)^'4. NPV'!M$5)</f>
        <v>9848130.364244446</v>
      </c>
      <c r="N36" s="192">
        <f>(N$29-N$25)/((1+'2. Kalkyldata'!$M$7)^'4. NPV'!N$5)</f>
        <v>9540556.229988432</v>
      </c>
      <c r="O36" s="192">
        <f>(O$29-O$25)/((1+'2. Kalkyldata'!$M$7)^'4. NPV'!O$5)</f>
        <v>9242513.878757987</v>
      </c>
      <c r="P36" s="192">
        <f>(P$29-P$25)/((1+'2. Kalkyldata'!$M$7)^'4. NPV'!P$5)</f>
        <v>8953709.666673968</v>
      </c>
      <c r="Q36" s="192">
        <f>(Q$29-Q$25)/((1+'2. Kalkyldata'!$M$7)^'4. NPV'!Q$5)</f>
        <v>8673858.954641491</v>
      </c>
      <c r="R36" s="192">
        <f>(R$29-R$25)/((1+'2. Kalkyldata'!$M$7)^'4. NPV'!R$5)</f>
        <v>8402685.833200973</v>
      </c>
      <c r="S36" s="192">
        <f>(S$29-S$25)/((1+'2. Kalkyldata'!$M$7)^'4. NPV'!S$5)</f>
        <v>8139922.855762867</v>
      </c>
      <c r="T36" s="192">
        <f>(T$29-T$25)/((1+'2. Kalkyldata'!$M$7)^'4. NPV'!T$5)</f>
        <v>7885310.779971234</v>
      </c>
      <c r="U36" s="192">
        <f>(U$29-U$25)/((1+'2. Kalkyldata'!$M$7)^'4. NPV'!U$5)</f>
        <v>7638598.316949044</v>
      </c>
      <c r="V36" s="192">
        <f>(V$29-V$25)/((1+'2. Kalkyldata'!$M$7)^'4. NPV'!V$5)</f>
        <v>7399541.8881854955</v>
      </c>
      <c r="W36" s="192">
        <f>(W$29-W$25)/((1+'2. Kalkyldata'!$M$7)^'4. NPV'!W$5)</f>
        <v>7167905.389833036</v>
      </c>
      <c r="X36" s="192">
        <f>(X$29-X$25)/((1+'2. Kalkyldata'!$M$7)^'4. NPV'!X$5)</f>
        <v>6943459.96418874</v>
      </c>
      <c r="Y36" s="192">
        <f>(Y$29-Y$25)/((1+'2. Kalkyldata'!$M$7)^'4. NPV'!Y$5)</f>
        <v>0.0</v>
      </c>
      <c r="Z36" s="192">
        <f>(Z$29-Z$25)/((1+'2. Kalkyldata'!$M$7)^'4. NPV'!Z$5)</f>
        <v>0.0</v>
      </c>
      <c r="AA36" s="192">
        <f>(AA$29-AA$25)/((1+'2. Kalkyldata'!$M$7)^'4. NPV'!AA$5)</f>
        <v>0.0</v>
      </c>
      <c r="AB36" s="192">
        <f>(AB$29-AB$25)/((1+'2. Kalkyldata'!$M$7)^'4. NPV'!AB$5)</f>
        <v>0.0</v>
      </c>
      <c r="AC36" s="192">
        <f>(AC$29-AC$25)/((1+'2. Kalkyldata'!$M$7)^'4. NPV'!AC$5)</f>
        <v>0.0</v>
      </c>
      <c r="AD36" s="192">
        <f>(AD$29-AD$25)/((1+'2. Kalkyldata'!$M$7)^'4. NPV'!AD$5)</f>
        <v>0.0</v>
      </c>
      <c r="AE36" s="192">
        <f>(AE$29-AE$25)/((1+'2. Kalkyldata'!$M$7)^'4. NPV'!AE$5)</f>
        <v>0.0</v>
      </c>
      <c r="AF36" s="192">
        <f>(AF$29-AF$25)/((1+'2. Kalkyldata'!$M$7)^'4. NPV'!AF$5)</f>
        <v>0.0</v>
      </c>
      <c r="AG36" s="192">
        <f>(AG$29-AG$25)/((1+'2. Kalkyldata'!$M$7)^'4. NPV'!AG$5)</f>
        <v>0.0</v>
      </c>
      <c r="AH36" s="192">
        <f>(AH$29-AH$25)/((1+'2. Kalkyldata'!$M$7)^'4. NPV'!AH$5)</f>
        <v>0.0</v>
      </c>
      <c r="AI36" s="192">
        <f>(AI$29-AI$25)/((1+'2. Kalkyldata'!$M$7)^'4. NPV'!AI$5)</f>
        <v>0.0</v>
      </c>
      <c r="AJ36" s="192">
        <f>(AJ$29-AJ$25)/((1+'2. Kalkyldata'!$M$7)^'4. NPV'!AJ$5)</f>
        <v>0.0</v>
      </c>
      <c r="AK36" s="192">
        <f>(AK$29-AK$25)/((1+'2. Kalkyldata'!$M$7)^'4. NPV'!AK$5)</f>
        <v>0.0</v>
      </c>
      <c r="AL36" s="192">
        <f>(AL$29-AL$25)/((1+'2. Kalkyldata'!$M$7)^'4. NPV'!AL$5)</f>
        <v>0.0</v>
      </c>
      <c r="AM36" s="192">
        <f>(AM$29-AM$25)/((1+'2. Kalkyldata'!$M$7)^'4. NPV'!AM$5)</f>
        <v>0.0</v>
      </c>
      <c r="AN36" s="192">
        <f>(AN$29-AN$25)/((1+'2. Kalkyldata'!$M$7)^'4. NPV'!AN$5)</f>
        <v>0.0</v>
      </c>
      <c r="AO36" s="192">
        <f>(AO$29-AO$25)/((1+'2. Kalkyldata'!$M$7)^'4. NPV'!AO$5)</f>
        <v>0.0</v>
      </c>
      <c r="AP36" s="192">
        <f>(AP$29-AP$25)/((1+'2. Kalkyldata'!$M$7)^'4. NPV'!AP$5)</f>
        <v>0.0</v>
      </c>
      <c r="AQ36" s="192">
        <f>(AQ$29-AQ$25)/((1+'2. Kalkyldata'!$M$7)^'4. NPV'!AQ$5)</f>
        <v>0.0</v>
      </c>
      <c r="AR36" s="192">
        <f>(AR$29-AR$25)/((1+'2. Kalkyldata'!$M$7)^'4. NPV'!AR$5)</f>
        <v>0.0</v>
      </c>
      <c r="AS36" s="192">
        <f>(AS$29-AS$25)/((1+'2. Kalkyldata'!$M$7)^'4. NPV'!AS$5)</f>
        <v>0.0</v>
      </c>
      <c r="AT36" s="192">
        <f>(AT$29-AT$25)/((1+'2. Kalkyldata'!$M$7)^'4. NPV'!AT$5)</f>
        <v>0.0</v>
      </c>
      <c r="AU36" s="192">
        <f>(AU$29-AU$25)/((1+'2. Kalkyldata'!$M$7)^'4. NPV'!AU$5)</f>
        <v>0.0</v>
      </c>
      <c r="AV36" s="192">
        <f>(AV$29-AV$25)/((1+'2. Kalkyldata'!$M$7)^'4. NPV'!AV$5)</f>
        <v>0.0</v>
      </c>
      <c r="AW36" s="192">
        <f>(AW$29-AW$25)/((1+'2. Kalkyldata'!$M$7)^'4. NPV'!AW$5)</f>
        <v>0.0</v>
      </c>
      <c r="AX36" s="192">
        <f>(AX$29-AX$25)/((1+'2. Kalkyldata'!$M$7)^'4. NPV'!AX$5)</f>
        <v>0.0</v>
      </c>
      <c r="AY36" s="192">
        <f>(AY$29-AY$25)/((1+'2. Kalkyldata'!$M$7)^'4. NPV'!AY$5)</f>
        <v>0.0</v>
      </c>
      <c r="AZ36" s="192">
        <f>(AZ$29-AZ$25)/((1+'2. Kalkyldata'!$M$7)^'4. NPV'!AZ$5)</f>
        <v>0.0</v>
      </c>
      <c r="BA36" s="192">
        <f>(BA$29-BA$25)/((1+'2. Kalkyldata'!$M$7)^'4. NPV'!BA$5)</f>
        <v>0.0</v>
      </c>
      <c r="BB36" s="494"/>
    </row>
    <row r="37" spans="2:54" hidden="1" outlineLevel="1">
      <c r="B37" s="192" t="inlineStr">
        <is>
          <t>Driftnetto exkl extraordinärt UH</t>
        </is>
      </c>
      <c r="C37" s="520"/>
      <c r="D37" s="192">
        <f>D$29-D$25</f>
        <v>13694500.0</v>
      </c>
      <c r="E37" s="192">
        <f t="shared" ref="E37:BA37" si="16">E$29-E$25</f>
        <v>13871400.0</v>
      </c>
      <c r="F37" s="192">
        <f t="shared" si="16"/>
        <v>14050480.14</v>
      </c>
      <c r="G37" s="192">
        <f t="shared" si="16"/>
        <v>14231765.012759998</v>
      </c>
      <c r="H37" s="192">
        <f t="shared" si="16"/>
        <v>14415279.43675464</v>
      </c>
      <c r="I37" s="192">
        <f t="shared" si="16"/>
        <v>14601048.456961526</v>
      </c>
      <c r="J37" s="192">
        <f t="shared" si="16"/>
        <v>14789097.34561315</v>
      </c>
      <c r="K37" s="192">
        <f t="shared" si="16"/>
        <v>14979451.60291099</v>
      </c>
      <c r="L37" s="192">
        <f t="shared" si="16"/>
        <v>15172136.957700178</v>
      </c>
      <c r="M37" s="192">
        <f t="shared" si="16"/>
        <v>15367179.368103383</v>
      </c>
      <c r="N37" s="192">
        <f t="shared" si="16"/>
        <v>15564605.02211214</v>
      </c>
      <c r="O37" s="192">
        <f t="shared" si="16"/>
        <v>15764440.338134129</v>
      </c>
      <c r="P37" s="192">
        <f t="shared" si="16"/>
        <v>15966711.965494674</v>
      </c>
      <c r="Q37" s="192">
        <f t="shared" si="16"/>
        <v>16171446.784890799</v>
      </c>
      <c r="R37" s="192">
        <f t="shared" si="16"/>
        <v>16378671.908796053</v>
      </c>
      <c r="S37" s="192">
        <f t="shared" si="16"/>
        <v>16588414.68181432</v>
      </c>
      <c r="T37" s="192">
        <f t="shared" si="16"/>
        <v>16800702.68098074</v>
      </c>
      <c r="U37" s="192">
        <f t="shared" si="16"/>
        <v>17015563.71600791</v>
      </c>
      <c r="V37" s="192">
        <f t="shared" si="16"/>
        <v>17233025.829475332</v>
      </c>
      <c r="W37" s="192">
        <f t="shared" si="16"/>
        <v>17453117.296960164</v>
      </c>
      <c r="X37" s="192">
        <f t="shared" si="16"/>
        <v>17675866.627107225</v>
      </c>
      <c r="Y37" s="192">
        <f t="shared" si="16"/>
        <v>0.0</v>
      </c>
      <c r="Z37" s="192">
        <f t="shared" si="16"/>
        <v>0.0</v>
      </c>
      <c r="AA37" s="192">
        <f t="shared" si="16"/>
        <v>0.0</v>
      </c>
      <c r="AB37" s="192">
        <f t="shared" si="16"/>
        <v>0.0</v>
      </c>
      <c r="AC37" s="192">
        <f t="shared" si="16"/>
        <v>0.0</v>
      </c>
      <c r="AD37" s="192">
        <f t="shared" si="16"/>
        <v>0.0</v>
      </c>
      <c r="AE37" s="192">
        <f t="shared" si="16"/>
        <v>0.0</v>
      </c>
      <c r="AF37" s="192">
        <f t="shared" si="16"/>
        <v>0.0</v>
      </c>
      <c r="AG37" s="192">
        <f t="shared" si="16"/>
        <v>0.0</v>
      </c>
      <c r="AH37" s="192">
        <f t="shared" si="16"/>
        <v>0.0</v>
      </c>
      <c r="AI37" s="192">
        <f t="shared" si="16"/>
        <v>0.0</v>
      </c>
      <c r="AJ37" s="192">
        <f t="shared" si="16"/>
        <v>0.0</v>
      </c>
      <c r="AK37" s="192">
        <f t="shared" si="16"/>
        <v>0.0</v>
      </c>
      <c r="AL37" s="192">
        <f t="shared" si="16"/>
        <v>0.0</v>
      </c>
      <c r="AM37" s="192">
        <f t="shared" si="16"/>
        <v>0.0</v>
      </c>
      <c r="AN37" s="192">
        <f t="shared" si="16"/>
        <v>0.0</v>
      </c>
      <c r="AO37" s="192">
        <f t="shared" si="16"/>
        <v>0.0</v>
      </c>
      <c r="AP37" s="192">
        <f t="shared" si="16"/>
        <v>0.0</v>
      </c>
      <c r="AQ37" s="192">
        <f t="shared" si="16"/>
        <v>0.0</v>
      </c>
      <c r="AR37" s="192">
        <f t="shared" si="16"/>
        <v>0.0</v>
      </c>
      <c r="AS37" s="192">
        <f t="shared" si="16"/>
        <v>0.0</v>
      </c>
      <c r="AT37" s="192">
        <f t="shared" si="16"/>
        <v>0.0</v>
      </c>
      <c r="AU37" s="192">
        <f t="shared" si="16"/>
        <v>0.0</v>
      </c>
      <c r="AV37" s="192">
        <f t="shared" si="16"/>
        <v>0.0</v>
      </c>
      <c r="AW37" s="192">
        <f t="shared" si="16"/>
        <v>0.0</v>
      </c>
      <c r="AX37" s="192">
        <f t="shared" si="16"/>
        <v>0.0</v>
      </c>
      <c r="AY37" s="192">
        <f t="shared" si="16"/>
        <v>0.0</v>
      </c>
      <c r="AZ37" s="192">
        <f t="shared" si="16"/>
        <v>0.0</v>
      </c>
      <c r="BA37" s="192">
        <f t="shared" si="16"/>
        <v>0.0</v>
      </c>
      <c r="BB37" s="494"/>
    </row>
    <row r="38" spans="2:54" hidden="1" outlineLevel="1">
      <c r="B38" s="192" t="s">
        <v>247</v>
      </c>
      <c r="C38" s="520"/>
      <c r="D38" s="192">
        <f>-(D$25/((1+'2. Kalkyldata'!$M$7)^D$5))</f>
        <v>0.0</v>
      </c>
      <c r="E38" s="192">
        <f>-(E$25/((1+'2. Kalkyldata'!$M$7)^E$5))</f>
        <v>0.0</v>
      </c>
      <c r="F38" s="192">
        <f>-(F$25/((1+'2. Kalkyldata'!$M$7)^F$5))</f>
        <v>0.0</v>
      </c>
      <c r="G38" s="192">
        <f>-(G$25/((1+'2. Kalkyldata'!$M$7)^G$5))</f>
        <v>0.0</v>
      </c>
      <c r="H38" s="192">
        <f>-(H$25/((1+'2. Kalkyldata'!$M$7)^H$5))</f>
        <v>0.0</v>
      </c>
      <c r="I38" s="192">
        <f>-(I$25/((1+'2. Kalkyldata'!$M$7)^I$5))</f>
        <v>0.0</v>
      </c>
      <c r="J38" s="192">
        <f>-(J$25/((1+'2. Kalkyldata'!$M$7)^J$5))</f>
        <v>0.0</v>
      </c>
      <c r="K38" s="192">
        <f>-(K$25/((1+'2. Kalkyldata'!$M$7)^K$5))</f>
        <v>0.0</v>
      </c>
      <c r="L38" s="192">
        <f>-(L$25/((1+'2. Kalkyldata'!$M$7)^L$5))</f>
        <v>0.0</v>
      </c>
      <c r="M38" s="192">
        <f>-(M$25/((1+'2. Kalkyldata'!$M$7)^M$5))</f>
        <v>0.0</v>
      </c>
      <c r="N38" s="192">
        <f>-(N$25/((1+'2. Kalkyldata'!$M$7)^N$5))</f>
        <v>0.0</v>
      </c>
      <c r="O38" s="192">
        <f>-(O$25/((1+'2. Kalkyldata'!$M$7)^O$5))</f>
        <v>0.0</v>
      </c>
      <c r="P38" s="192">
        <f>-(P$25/((1+'2. Kalkyldata'!$M$7)^P$5))</f>
        <v>0.0</v>
      </c>
      <c r="Q38" s="192">
        <f>-(Q$25/((1+'2. Kalkyldata'!$M$7)^Q$5))</f>
        <v>0.0</v>
      </c>
      <c r="R38" s="192">
        <f>-(R$25/((1+'2. Kalkyldata'!$M$7)^R$5))</f>
        <v>0.0</v>
      </c>
      <c r="S38" s="192">
        <f>-(S$25/((1+'2. Kalkyldata'!$M$7)^S$5))</f>
        <v>0.0</v>
      </c>
      <c r="T38" s="192">
        <f>-(T$25/((1+'2. Kalkyldata'!$M$7)^T$5))</f>
        <v>0.0</v>
      </c>
      <c r="U38" s="192">
        <f>-(U$25/((1+'2. Kalkyldata'!$M$7)^U$5))</f>
        <v>0.0</v>
      </c>
      <c r="V38" s="192">
        <f>-(V$25/((1+'2. Kalkyldata'!$M$7)^V$5))</f>
        <v>0.0</v>
      </c>
      <c r="W38" s="192">
        <f>-(W$25/((1+'2. Kalkyldata'!$M$7)^W$5))</f>
        <v>0.0</v>
      </c>
      <c r="X38" s="192">
        <f>-(X$25/((1+'2. Kalkyldata'!$M$7)^X$5))</f>
        <v>0.0</v>
      </c>
      <c r="Y38" s="192">
        <f>-(Y$25/((1+'2. Kalkyldata'!$M$7)^Y$5))</f>
        <v>-0.0</v>
      </c>
      <c r="Z38" s="192">
        <f>-(Z$25/((1+'2. Kalkyldata'!$M$7)^Z$5))</f>
        <v>-0.0</v>
      </c>
      <c r="AA38" s="192">
        <f>-(AA$25/((1+'2. Kalkyldata'!$M$7)^AA$5))</f>
        <v>-0.0</v>
      </c>
      <c r="AB38" s="192">
        <f>-(AB$25/((1+'2. Kalkyldata'!$M$7)^AB$5))</f>
        <v>-0.0</v>
      </c>
      <c r="AC38" s="192">
        <f>-(AC$25/((1+'2. Kalkyldata'!$M$7)^AC$5))</f>
        <v>-0.0</v>
      </c>
      <c r="AD38" s="192">
        <f>-(AD$25/((1+'2. Kalkyldata'!$M$7)^AD$5))</f>
        <v>-0.0</v>
      </c>
      <c r="AE38" s="192">
        <f>-(AE$25/((1+'2. Kalkyldata'!$M$7)^AE$5))</f>
        <v>-0.0</v>
      </c>
      <c r="AF38" s="192">
        <f>-(AF$25/((1+'2. Kalkyldata'!$M$7)^AF$5))</f>
        <v>-0.0</v>
      </c>
      <c r="AG38" s="192">
        <f>-(AG$25/((1+'2. Kalkyldata'!$M$7)^AG$5))</f>
        <v>-0.0</v>
      </c>
      <c r="AH38" s="192">
        <f>-(AH$25/((1+'2. Kalkyldata'!$M$7)^AH$5))</f>
        <v>-0.0</v>
      </c>
      <c r="AI38" s="192">
        <f>-(AI$25/((1+'2. Kalkyldata'!$M$7)^AI$5))</f>
        <v>-0.0</v>
      </c>
      <c r="AJ38" s="192">
        <f>-(AJ$25/((1+'2. Kalkyldata'!$M$7)^AJ$5))</f>
        <v>-0.0</v>
      </c>
      <c r="AK38" s="192">
        <f>-(AK$25/((1+'2. Kalkyldata'!$M$7)^AK$5))</f>
        <v>-0.0</v>
      </c>
      <c r="AL38" s="192">
        <f>-(AL$25/((1+'2. Kalkyldata'!$M$7)^AL$5))</f>
        <v>-0.0</v>
      </c>
      <c r="AM38" s="192">
        <f>-(AM$25/((1+'2. Kalkyldata'!$M$7)^AM$5))</f>
        <v>-0.0</v>
      </c>
      <c r="AN38" s="192">
        <f>-(AN$25/((1+'2. Kalkyldata'!$M$7)^AN$5))</f>
        <v>-0.0</v>
      </c>
      <c r="AO38" s="192">
        <f>-(AO$25/((1+'2. Kalkyldata'!$M$7)^AO$5))</f>
        <v>-0.0</v>
      </c>
      <c r="AP38" s="192">
        <f>-(AP$25/((1+'2. Kalkyldata'!$M$7)^AP$5))</f>
        <v>-0.0</v>
      </c>
      <c r="AQ38" s="192">
        <f>-(AQ$25/((1+'2. Kalkyldata'!$M$7)^AQ$5))</f>
        <v>-0.0</v>
      </c>
      <c r="AR38" s="192">
        <f>-(AR$25/((1+'2. Kalkyldata'!$M$7)^AR$5))</f>
        <v>-0.0</v>
      </c>
      <c r="AS38" s="192">
        <f>-(AS$25/((1+'2. Kalkyldata'!$M$7)^AS$5))</f>
        <v>-0.0</v>
      </c>
      <c r="AT38" s="192">
        <f>-(AT$25/((1+'2. Kalkyldata'!$M$7)^AT$5))</f>
        <v>-0.0</v>
      </c>
      <c r="AU38" s="192">
        <f>-(AU$25/((1+'2. Kalkyldata'!$M$7)^AU$5))</f>
        <v>-0.0</v>
      </c>
      <c r="AV38" s="192">
        <f>-(AV$25/((1+'2. Kalkyldata'!$M$7)^AV$5))</f>
        <v>-0.0</v>
      </c>
      <c r="AW38" s="192">
        <f>-(AW$25/((1+'2. Kalkyldata'!$M$7)^AW$5))</f>
        <v>-0.0</v>
      </c>
      <c r="AX38" s="192">
        <f>-(AX$25/((1+'2. Kalkyldata'!$M$7)^AX$5))</f>
        <v>-0.0</v>
      </c>
      <c r="AY38" s="192">
        <f>-(AY$25/((1+'2. Kalkyldata'!$M$7)^AY$5))</f>
        <v>-0.0</v>
      </c>
      <c r="AZ38" s="192">
        <f>-(AZ$25/((1+'2. Kalkyldata'!$M$7)^AZ$5))</f>
        <v>-0.0</v>
      </c>
      <c r="BA38" s="192">
        <f>-(BA$25/((1+'2. Kalkyldata'!$M$7)^BA$5))</f>
        <v>-0.0</v>
      </c>
      <c r="BB38" s="494"/>
    </row>
    <row r="39" spans="2:54" hidden="1" outlineLevel="1">
      <c r="B39" s="192" t="s">
        <v>248</v>
      </c>
      <c r="C39" s="520"/>
      <c r="D39" s="192">
        <f>IF(-D$25+SUM(($D$29:D$29))&gt;'2. Kalkyldata'!$W$28,"",(SUM(($D$29:D$29))))</f>
        <v>13694500.0</v>
      </c>
      <c r="E39" s="192">
        <f>IF(-E$25+SUM(($D$29:E$29))&gt;'2. Kalkyldata'!$W$28,"",(SUM(($D$29:E$29))))</f>
        <v>27565900.0</v>
      </c>
      <c r="F39" s="192">
        <f>IF(-F$25+SUM(($D$29:F$29))&gt;'2. Kalkyldata'!$W$28,"",(SUM(($D$29:F$29))))</f>
        <v>41616380.14</v>
      </c>
      <c r="G39" s="192">
        <f>IF(-G$25+SUM(($D$29:G$29))&gt;'2. Kalkyldata'!$W$28,"",(SUM(($D$29:G$29))))</f>
        <v>55848145.15276</v>
      </c>
      <c r="H39" s="192">
        <f>IF(-H$25+SUM(($D$29:H$29))&gt;'2. Kalkyldata'!$W$28,"",(SUM(($D$29:H$29))))</f>
        <v>70263424.58951464</v>
      </c>
      <c r="I39" s="192">
        <f>IF(-I$25+SUM(($D$29:I$29))&gt;'2. Kalkyldata'!$W$28,"",(SUM(($D$29:I$29))))</f>
        <v>84864473.04647617</v>
      </c>
      <c r="J39" s="192">
        <f>IF(-J$25+SUM(($D$29:J$29))&gt;'2. Kalkyldata'!$W$28,"",(SUM(($D$29:J$29))))</f>
        <v>99653570.39208932</v>
      </c>
      <c r="K39" s="192">
        <f>IF(-K$25+SUM(($D$29:K$29))&gt;'2. Kalkyldata'!$W$28,"",(SUM(($D$29:K$29))))</f>
        <v>114633021.9950003</v>
      </c>
      <c r="L39" s="192">
        <f>IF(-L$25+SUM(($D$29:L$29))&gt;'2. Kalkyldata'!$W$28,"",(SUM(($D$29:L$29))))</f>
        <v>129805158.95270048</v>
      </c>
      <c r="M39" s="192">
        <f>IF(-M$25+SUM(($D$29:M$29))&gt;'2. Kalkyldata'!$W$28,"",(SUM(($D$29:M$29))))</f>
        <v>145172338.32080385</v>
      </c>
      <c r="N39" s="192">
        <f>IF(-N$25+SUM(($D$29:N$29))&gt;'2. Kalkyldata'!$W$28,"",(SUM(($D$29:N$29))))</f>
        <v>160736943.342916</v>
      </c>
      <c r="O39" s="192">
        <f>IF(-O$25+SUM(($D$29:O$29))&gt;'2. Kalkyldata'!$W$28,"",(SUM(($D$29:O$29))))</f>
        <v>176501383.68105015</v>
      </c>
      <c r="P39" s="192">
        <f>IF(-P$25+SUM(($D$29:P$29))&gt;'2. Kalkyldata'!$W$28,"",(SUM(($D$29:P$29))))</f>
        <v>192468095.64654478</v>
      </c>
      <c r="Q39" s="192">
        <f>IF(-Q$25+SUM(($D$29:Q$29))&gt;'2. Kalkyldata'!$W$28,"",(SUM(($D$29:Q$29))))</f>
        <v>208639542.4314356</v>
      </c>
      <c r="R39" s="192">
        <f>IF(-R$25+SUM(($D$29:R$29))&gt;'2. Kalkyldata'!$W$28,"",(SUM(($D$29:R$29))))</f>
        <v>225018214.34023166</v>
      </c>
      <c r="S39" s="192" t="str">
        <f>IF(-S$25+SUM(($D$29:S$29))&gt;'2. Kalkyldata'!$W$28,"",(SUM(($D$29:S$29))))</f>
        <v/>
      </c>
      <c r="T39" s="192" t="str">
        <f>IF(-T$25+SUM(($D$29:T$29))&gt;'2. Kalkyldata'!$W$28,"",(SUM(($D$29:T$29))))</f>
        <v/>
      </c>
      <c r="U39" s="192" t="str">
        <f>IF(-U$25+SUM(($D$29:U$29))&gt;'2. Kalkyldata'!$W$28,"",(SUM(($D$29:U$29))))</f>
        <v/>
      </c>
      <c r="V39" s="192" t="str">
        <f>IF(-V$25+SUM(($D$29:V$29))&gt;'2. Kalkyldata'!$W$28,"",(SUM(($D$29:V$29))))</f>
        <v/>
      </c>
      <c r="W39" s="192" t="str">
        <f>IF(-W$25+SUM(($D$29:W$29))&gt;'2. Kalkyldata'!$W$28,"",(SUM(($D$29:W$29))))</f>
        <v/>
      </c>
      <c r="X39" s="192" t="str">
        <f>IF(-X$25+SUM(($D$29:X$29))&gt;'2. Kalkyldata'!$W$28,"",(SUM(($D$29:X$29))))</f>
        <v/>
      </c>
      <c r="Y39" s="192" t="str">
        <f>IF(-Y$25+SUM(($D$29:Y$29))&gt;'2. Kalkyldata'!$W$28,"",(SUM(($D$29:Y$29))))</f>
        <v/>
      </c>
      <c r="Z39" s="192" t="str">
        <f>IF(-Z$25+SUM(($D$29:Z$29))&gt;'2. Kalkyldata'!$W$28,"",(SUM(($D$29:Z$29))))</f>
        <v/>
      </c>
      <c r="AA39" s="192" t="str">
        <f>IF(-AA$25+SUM(($D$29:AA$29))&gt;'2. Kalkyldata'!$W$28,"",(SUM(($D$29:AA$29))))</f>
        <v/>
      </c>
      <c r="AB39" s="192" t="str">
        <f>IF(-AB$25+SUM(($D$29:AB$29))&gt;'2. Kalkyldata'!$W$28,"",(SUM(($D$29:AB$29))))</f>
        <v/>
      </c>
      <c r="AC39" s="192" t="str">
        <f>IF(-AC$25+SUM(($D$29:AC$29))&gt;'2. Kalkyldata'!$W$28,"",(SUM(($D$29:AC$29))))</f>
        <v/>
      </c>
      <c r="AD39" s="192" t="str">
        <f>IF(-AD$25+SUM(($D$29:AD$29))&gt;'2. Kalkyldata'!$W$28,"",(SUM(($D$29:AD$29))))</f>
        <v/>
      </c>
      <c r="AE39" s="192" t="str">
        <f>IF(-AE$25+SUM(($D$29:AE$29))&gt;'2. Kalkyldata'!$W$28,"",(SUM(($D$29:AE$29))))</f>
        <v/>
      </c>
      <c r="AF39" s="192" t="str">
        <f>IF(-AF$25+SUM(($D$29:AF$29))&gt;'2. Kalkyldata'!$W$28,"",(SUM(($D$29:AF$29))))</f>
        <v/>
      </c>
      <c r="AG39" s="192" t="str">
        <f>IF(-AG$25+SUM(($D$29:AG$29))&gt;'2. Kalkyldata'!$W$28,"",(SUM(($D$29:AG$29))))</f>
        <v/>
      </c>
      <c r="AH39" s="192" t="str">
        <f>IF(-AH$25+SUM(($D$29:AH$29))&gt;'2. Kalkyldata'!$W$28,"",(SUM(($D$29:AH$29))))</f>
        <v/>
      </c>
      <c r="AI39" s="192" t="str">
        <f>IF(-AI$25+SUM(($D$29:AI$29))&gt;'2. Kalkyldata'!$W$28,"",(SUM(($D$29:AI$29))))</f>
        <v/>
      </c>
      <c r="AJ39" s="192" t="str">
        <f>IF(-AJ$25+SUM(($D$29:AJ$29))&gt;'2. Kalkyldata'!$W$28,"",(SUM(($D$29:AJ$29))))</f>
        <v/>
      </c>
      <c r="AK39" s="192" t="str">
        <f>IF(-AK$25+SUM(($D$29:AK$29))&gt;'2. Kalkyldata'!$W$28,"",(SUM(($D$29:AK$29))))</f>
        <v/>
      </c>
      <c r="AL39" s="192" t="str">
        <f>IF(-AL$25+SUM(($D$29:AL$29))&gt;'2. Kalkyldata'!$W$28,"",(SUM(($D$29:AL$29))))</f>
        <v/>
      </c>
      <c r="AM39" s="192" t="str">
        <f>IF(-AM$25+SUM(($D$29:AM$29))&gt;'2. Kalkyldata'!$W$28,"",(SUM(($D$29:AM$29))))</f>
        <v/>
      </c>
      <c r="AN39" s="192" t="str">
        <f>IF(-AN$25+SUM(($D$29:AN$29))&gt;'2. Kalkyldata'!$W$28,"",(SUM(($D$29:AN$29))))</f>
        <v/>
      </c>
      <c r="AO39" s="192" t="str">
        <f>IF(-AO$25+SUM(($D$29:AO$29))&gt;'2. Kalkyldata'!$W$28,"",(SUM(($D$29:AO$29))))</f>
        <v/>
      </c>
      <c r="AP39" s="192" t="str">
        <f>IF(-AP$25+SUM(($D$29:AP$29))&gt;'2. Kalkyldata'!$W$28,"",(SUM(($D$29:AP$29))))</f>
        <v/>
      </c>
      <c r="AQ39" s="192" t="str">
        <f>IF(-AQ$25+SUM(($D$29:AQ$29))&gt;'2. Kalkyldata'!$W$28,"",(SUM(($D$29:AQ$29))))</f>
        <v/>
      </c>
      <c r="AR39" s="192" t="str">
        <f>IF(-AR$25+SUM(($D$29:AR$29))&gt;'2. Kalkyldata'!$W$28,"",(SUM(($D$29:AR$29))))</f>
        <v/>
      </c>
      <c r="AS39" s="192" t="str">
        <f>IF(-AS$25+SUM(($D$29:AS$29))&gt;'2. Kalkyldata'!$W$28,"",(SUM(($D$29:AS$29))))</f>
        <v/>
      </c>
      <c r="AT39" s="192" t="str">
        <f>IF(-AT$25+SUM(($D$29:AT$29))&gt;'2. Kalkyldata'!$W$28,"",(SUM(($D$29:AT$29))))</f>
        <v/>
      </c>
      <c r="AU39" s="192" t="str">
        <f>IF(-AU$25+SUM(($D$29:AU$29))&gt;'2. Kalkyldata'!$W$28,"",(SUM(($D$29:AU$29))))</f>
        <v/>
      </c>
      <c r="AV39" s="192" t="str">
        <f>IF(-AV$25+SUM(($D$29:AV$29))&gt;'2. Kalkyldata'!$W$28,"",(SUM(($D$29:AV$29))))</f>
        <v/>
      </c>
      <c r="AW39" s="192" t="str">
        <f>IF(-AW$25+SUM(($D$29:AW$29))&gt;'2. Kalkyldata'!$W$28,"",(SUM(($D$29:AW$29))))</f>
        <v/>
      </c>
      <c r="AX39" s="192" t="str">
        <f>IF(-AX$25+SUM(($D$29:AX$29))&gt;'2. Kalkyldata'!$W$28,"",(SUM(($D$29:AX$29))))</f>
        <v/>
      </c>
      <c r="AY39" s="192" t="str">
        <f>IF(-AY$25+SUM(($D$29:AY$29))&gt;'2. Kalkyldata'!$W$28,"",(SUM(($D$29:AY$29))))</f>
        <v/>
      </c>
      <c r="AZ39" s="192" t="str">
        <f>IF(-AZ$25+SUM(($D$29:AZ$29))&gt;'2. Kalkyldata'!$W$28,"",(SUM(($D$29:AZ$29))))</f>
        <v/>
      </c>
      <c r="BA39" s="192" t="str">
        <f>IF(-BA$25+SUM(($D$29:BA$29))&gt;'2. Kalkyldata'!$W$28,"",(SUM(($D$29:BA$29))))</f>
        <v/>
      </c>
      <c r="BB39" s="494"/>
    </row>
    <row r="40" spans="2:54" hidden="1" outlineLevel="1">
      <c r="B40" s="192" t="inlineStr">
        <is>
          <t>Beräkning nettonuvärde 10 år</t>
        </is>
      </c>
      <c r="C40" s="520"/>
      <c r="D40" s="192">
        <f t="shared" ref="D40:AI40" si="17">IF(OR(D$5=$C$47),E$37,0)</f>
        <v>0.0</v>
      </c>
      <c r="E40" s="192">
        <f t="shared" si="17"/>
        <v>0.0</v>
      </c>
      <c r="F40" s="192">
        <f t="shared" si="17"/>
        <v>0.0</v>
      </c>
      <c r="G40" s="192">
        <f t="shared" si="17"/>
        <v>0.0</v>
      </c>
      <c r="H40" s="192">
        <f t="shared" si="17"/>
        <v>0.0</v>
      </c>
      <c r="I40" s="192">
        <f t="shared" si="17"/>
        <v>0.0</v>
      </c>
      <c r="J40" s="192">
        <f t="shared" si="17"/>
        <v>0.0</v>
      </c>
      <c r="K40" s="192">
        <f t="shared" si="17"/>
        <v>0.0</v>
      </c>
      <c r="L40" s="192">
        <f t="shared" si="17"/>
        <v>0.0</v>
      </c>
      <c r="M40" s="192">
        <f t="shared" si="17"/>
        <v>15564605.02211214</v>
      </c>
      <c r="N40" s="192">
        <f t="shared" si="17"/>
        <v>0.0</v>
      </c>
      <c r="O40" s="192">
        <f t="shared" si="17"/>
        <v>0.0</v>
      </c>
      <c r="P40" s="192">
        <f t="shared" si="17"/>
        <v>0.0</v>
      </c>
      <c r="Q40" s="192">
        <f t="shared" si="17"/>
        <v>0.0</v>
      </c>
      <c r="R40" s="192">
        <f t="shared" si="17"/>
        <v>0.0</v>
      </c>
      <c r="S40" s="192">
        <f t="shared" si="17"/>
        <v>0.0</v>
      </c>
      <c r="T40" s="192">
        <f t="shared" si="17"/>
        <v>0.0</v>
      </c>
      <c r="U40" s="192">
        <f t="shared" si="17"/>
        <v>0.0</v>
      </c>
      <c r="V40" s="192">
        <f t="shared" si="17"/>
        <v>0.0</v>
      </c>
      <c r="W40" s="192">
        <f t="shared" si="17"/>
        <v>0.0</v>
      </c>
      <c r="X40" s="192">
        <f t="shared" si="17"/>
        <v>0.0</v>
      </c>
      <c r="Y40" s="192">
        <f t="shared" si="17"/>
        <v>0.0</v>
      </c>
      <c r="Z40" s="192">
        <f t="shared" si="17"/>
        <v>0.0</v>
      </c>
      <c r="AA40" s="192">
        <f t="shared" si="17"/>
        <v>0.0</v>
      </c>
      <c r="AB40" s="192">
        <f t="shared" si="17"/>
        <v>0.0</v>
      </c>
      <c r="AC40" s="192">
        <f t="shared" si="17"/>
        <v>0.0</v>
      </c>
      <c r="AD40" s="192">
        <f t="shared" si="17"/>
        <v>0.0</v>
      </c>
      <c r="AE40" s="192">
        <f t="shared" si="17"/>
        <v>0.0</v>
      </c>
      <c r="AF40" s="192">
        <f t="shared" si="17"/>
        <v>0.0</v>
      </c>
      <c r="AG40" s="192">
        <f t="shared" si="17"/>
        <v>0.0</v>
      </c>
      <c r="AH40" s="192">
        <f t="shared" si="17"/>
        <v>0.0</v>
      </c>
      <c r="AI40" s="192">
        <f t="shared" si="17"/>
        <v>0.0</v>
      </c>
      <c r="AJ40" s="192">
        <f t="shared" ref="AJ40:BA40" si="18">IF(OR(AJ$5=$C$47),AK$37,0)</f>
        <v>0.0</v>
      </c>
      <c r="AK40" s="192">
        <f t="shared" si="18"/>
        <v>0.0</v>
      </c>
      <c r="AL40" s="192">
        <f t="shared" si="18"/>
        <v>0.0</v>
      </c>
      <c r="AM40" s="192">
        <f t="shared" si="18"/>
        <v>0.0</v>
      </c>
      <c r="AN40" s="192">
        <f t="shared" si="18"/>
        <v>0.0</v>
      </c>
      <c r="AO40" s="192">
        <f t="shared" si="18"/>
        <v>0.0</v>
      </c>
      <c r="AP40" s="192">
        <f t="shared" si="18"/>
        <v>0.0</v>
      </c>
      <c r="AQ40" s="192">
        <f t="shared" si="18"/>
        <v>0.0</v>
      </c>
      <c r="AR40" s="192">
        <f t="shared" si="18"/>
        <v>0.0</v>
      </c>
      <c r="AS40" s="192">
        <f t="shared" si="18"/>
        <v>0.0</v>
      </c>
      <c r="AT40" s="192">
        <f t="shared" si="18"/>
        <v>0.0</v>
      </c>
      <c r="AU40" s="192">
        <f t="shared" si="18"/>
        <v>0.0</v>
      </c>
      <c r="AV40" s="192">
        <f t="shared" si="18"/>
        <v>0.0</v>
      </c>
      <c r="AW40" s="192">
        <f t="shared" si="18"/>
        <v>0.0</v>
      </c>
      <c r="AX40" s="192">
        <f t="shared" si="18"/>
        <v>0.0</v>
      </c>
      <c r="AY40" s="192">
        <f t="shared" si="18"/>
        <v>0.0</v>
      </c>
      <c r="AZ40" s="192">
        <f t="shared" si="18"/>
        <v>0.0</v>
      </c>
      <c r="BA40" s="192">
        <f t="shared" si="18"/>
        <v>0.0</v>
      </c>
      <c r="BB40" s="494"/>
    </row>
    <row r="41" spans="2:54" hidden="1" outlineLevel="1">
      <c r="B41" s="192" t="inlineStr">
        <is>
          <t>Beräkning nettonuvärde 20 år</t>
        </is>
      </c>
      <c r="C41" s="520"/>
      <c r="D41" s="192">
        <f t="shared" ref="D41:AI41" si="19">IF(OR(D$5=$E$47),E$37,0)</f>
        <v>0.0</v>
      </c>
      <c r="E41" s="192">
        <f t="shared" si="19"/>
        <v>0.0</v>
      </c>
      <c r="F41" s="192">
        <f t="shared" si="19"/>
        <v>0.0</v>
      </c>
      <c r="G41" s="192">
        <f t="shared" si="19"/>
        <v>0.0</v>
      </c>
      <c r="H41" s="192">
        <f t="shared" si="19"/>
        <v>0.0</v>
      </c>
      <c r="I41" s="192">
        <f t="shared" si="19"/>
        <v>0.0</v>
      </c>
      <c r="J41" s="192">
        <f t="shared" si="19"/>
        <v>0.0</v>
      </c>
      <c r="K41" s="192">
        <f t="shared" si="19"/>
        <v>0.0</v>
      </c>
      <c r="L41" s="192">
        <f t="shared" si="19"/>
        <v>0.0</v>
      </c>
      <c r="M41" s="192">
        <f t="shared" si="19"/>
        <v>0.0</v>
      </c>
      <c r="N41" s="192">
        <f t="shared" si="19"/>
        <v>0.0</v>
      </c>
      <c r="O41" s="192">
        <f t="shared" si="19"/>
        <v>0.0</v>
      </c>
      <c r="P41" s="192">
        <f t="shared" si="19"/>
        <v>0.0</v>
      </c>
      <c r="Q41" s="192">
        <f t="shared" si="19"/>
        <v>0.0</v>
      </c>
      <c r="R41" s="192">
        <f t="shared" si="19"/>
        <v>0.0</v>
      </c>
      <c r="S41" s="192">
        <f t="shared" si="19"/>
        <v>0.0</v>
      </c>
      <c r="T41" s="192">
        <f t="shared" si="19"/>
        <v>0.0</v>
      </c>
      <c r="U41" s="192">
        <f t="shared" si="19"/>
        <v>0.0</v>
      </c>
      <c r="V41" s="192">
        <f t="shared" si="19"/>
        <v>0.0</v>
      </c>
      <c r="W41" s="192">
        <f t="shared" si="19"/>
        <v>17675866.627107225</v>
      </c>
      <c r="X41" s="192">
        <f t="shared" si="19"/>
        <v>0.0</v>
      </c>
      <c r="Y41" s="192">
        <f t="shared" si="19"/>
        <v>0.0</v>
      </c>
      <c r="Z41" s="192">
        <f t="shared" si="19"/>
        <v>0.0</v>
      </c>
      <c r="AA41" s="192">
        <f t="shared" si="19"/>
        <v>0.0</v>
      </c>
      <c r="AB41" s="192">
        <f t="shared" si="19"/>
        <v>0.0</v>
      </c>
      <c r="AC41" s="192">
        <f t="shared" si="19"/>
        <v>0.0</v>
      </c>
      <c r="AD41" s="192">
        <f t="shared" si="19"/>
        <v>0.0</v>
      </c>
      <c r="AE41" s="192">
        <f t="shared" si="19"/>
        <v>0.0</v>
      </c>
      <c r="AF41" s="192">
        <f t="shared" si="19"/>
        <v>0.0</v>
      </c>
      <c r="AG41" s="192">
        <f t="shared" si="19"/>
        <v>0.0</v>
      </c>
      <c r="AH41" s="192">
        <f t="shared" si="19"/>
        <v>0.0</v>
      </c>
      <c r="AI41" s="192">
        <f t="shared" si="19"/>
        <v>0.0</v>
      </c>
      <c r="AJ41" s="192">
        <f t="shared" ref="AJ41:BA41" si="20">IF(OR(AJ$5=$E$47),AK$37,0)</f>
        <v>0.0</v>
      </c>
      <c r="AK41" s="192">
        <f t="shared" si="20"/>
        <v>0.0</v>
      </c>
      <c r="AL41" s="192">
        <f t="shared" si="20"/>
        <v>0.0</v>
      </c>
      <c r="AM41" s="192">
        <f t="shared" si="20"/>
        <v>0.0</v>
      </c>
      <c r="AN41" s="192">
        <f t="shared" si="20"/>
        <v>0.0</v>
      </c>
      <c r="AO41" s="192">
        <f t="shared" si="20"/>
        <v>0.0</v>
      </c>
      <c r="AP41" s="192">
        <f t="shared" si="20"/>
        <v>0.0</v>
      </c>
      <c r="AQ41" s="192">
        <f t="shared" si="20"/>
        <v>0.0</v>
      </c>
      <c r="AR41" s="192">
        <f t="shared" si="20"/>
        <v>0.0</v>
      </c>
      <c r="AS41" s="192">
        <f t="shared" si="20"/>
        <v>0.0</v>
      </c>
      <c r="AT41" s="192">
        <f t="shared" si="20"/>
        <v>0.0</v>
      </c>
      <c r="AU41" s="192">
        <f t="shared" si="20"/>
        <v>0.0</v>
      </c>
      <c r="AV41" s="192">
        <f t="shared" si="20"/>
        <v>0.0</v>
      </c>
      <c r="AW41" s="192">
        <f t="shared" si="20"/>
        <v>0.0</v>
      </c>
      <c r="AX41" s="192">
        <f t="shared" si="20"/>
        <v>0.0</v>
      </c>
      <c r="AY41" s="192">
        <f t="shared" si="20"/>
        <v>0.0</v>
      </c>
      <c r="AZ41" s="192">
        <f t="shared" si="20"/>
        <v>0.0</v>
      </c>
      <c r="BA41" s="192">
        <f t="shared" si="20"/>
        <v>0.0</v>
      </c>
      <c r="BB41" s="494"/>
    </row>
    <row r="42" spans="2:54" hidden="1" outlineLevel="1">
      <c r="B42" s="192" t="s">
        <v>251</v>
      </c>
      <c r="C42" s="520"/>
      <c r="D42" s="192">
        <f>(D$32)/((1+'2. Kalkyldata'!$M$9)^(D$5-1))</f>
        <v>-405.0</v>
      </c>
      <c r="E42" s="192">
        <f>(E$32)/((1+'2. Kalkyldata'!$M$9)^(E$5-1))</f>
        <v>-405.0</v>
      </c>
      <c r="F42" s="192">
        <f>(F$32)/((1+'2. Kalkyldata'!$M$9)^(F$5-1))</f>
        <v>-405.0</v>
      </c>
      <c r="G42" s="192">
        <f>(G$32)/((1+'2. Kalkyldata'!$M$9)^(G$5-1))</f>
        <v>-405.0</v>
      </c>
      <c r="H42" s="192">
        <f>(H$32)/((1+'2. Kalkyldata'!$M$9)^(H$5-1))</f>
        <v>-405.0</v>
      </c>
      <c r="I42" s="192">
        <f>(I$32)/((1+'2. Kalkyldata'!$M$9)^(I$5-1))</f>
        <v>-404.99999999999994</v>
      </c>
      <c r="J42" s="192">
        <f>(J$32)/((1+'2. Kalkyldata'!$M$9)^(J$5-1))</f>
        <v>-405.0</v>
      </c>
      <c r="K42" s="192">
        <f>(K$32)/((1+'2. Kalkyldata'!$M$9)^(K$5-1))</f>
        <v>-404.99999999999994</v>
      </c>
      <c r="L42" s="192">
        <f>(L$32)/((1+'2. Kalkyldata'!$M$9)^(L$5-1))</f>
        <v>-405.0</v>
      </c>
      <c r="M42" s="192">
        <f>(M$32)/((1+'2. Kalkyldata'!$M$9)^(M$5-1))</f>
        <v>-405.0</v>
      </c>
      <c r="N42" s="192">
        <f>(N$32)/((1+'2. Kalkyldata'!$M$9)^(N$5-1))</f>
        <v>-405.0</v>
      </c>
      <c r="O42" s="192">
        <f>(O$32)/((1+'2. Kalkyldata'!$M$9)^(O$5-1))</f>
        <v>-405.0</v>
      </c>
      <c r="P42" s="192">
        <f>(P$32)/((1+'2. Kalkyldata'!$M$9)^(P$5-1))</f>
        <v>-405.0</v>
      </c>
      <c r="Q42" s="192">
        <f>(Q$32)/((1+'2. Kalkyldata'!$M$9)^(Q$5-1))</f>
        <v>-405.0</v>
      </c>
      <c r="R42" s="192">
        <f>(R$32)/((1+'2. Kalkyldata'!$M$9)^(R$5-1))</f>
        <v>-405.0</v>
      </c>
      <c r="S42" s="192">
        <f>(S$32)/((1+'2. Kalkyldata'!$M$9)^(S$5-1))</f>
        <v>-405.00000000000006</v>
      </c>
      <c r="T42" s="192">
        <f>(T$32)/((1+'2. Kalkyldata'!$M$9)^(T$5-1))</f>
        <v>-405.00000000000006</v>
      </c>
      <c r="U42" s="192">
        <f>(U$32)/((1+'2. Kalkyldata'!$M$9)^(U$5-1))</f>
        <v>-405.0</v>
      </c>
      <c r="V42" s="192">
        <f>(V$32)/((1+'2. Kalkyldata'!$M$9)^(V$5-1))</f>
        <v>-405.0</v>
      </c>
      <c r="W42" s="192">
        <f>(W$32)/((1+'2. Kalkyldata'!$M$9)^(W$5-1))</f>
        <v>-405.00000000000006</v>
      </c>
      <c r="X42" s="192">
        <f>(X$32)/((1+'2. Kalkyldata'!$M$9)^(X$5-1))</f>
        <v>-405.0</v>
      </c>
      <c r="Y42" s="192">
        <f>(Y$32)/((1+'2. Kalkyldata'!$M$9)^(Y$5-1))</f>
        <v>0.0</v>
      </c>
      <c r="Z42" s="192">
        <f>(Z$32)/((1+'2. Kalkyldata'!$M$9)^(Z$5-1))</f>
        <v>0.0</v>
      </c>
      <c r="AA42" s="192">
        <f>(AA$32)/((1+'2. Kalkyldata'!$M$9)^(AA$5-1))</f>
        <v>0.0</v>
      </c>
      <c r="AB42" s="192">
        <f>(AB$32)/((1+'2. Kalkyldata'!$M$9)^(AB$5-1))</f>
        <v>0.0</v>
      </c>
      <c r="AC42" s="192">
        <f>(AC$32)/((1+'2. Kalkyldata'!$M$9)^(AC$5-1))</f>
        <v>0.0</v>
      </c>
      <c r="AD42" s="192">
        <f>(AD$32)/((1+'2. Kalkyldata'!$M$9)^(AD$5-1))</f>
        <v>0.0</v>
      </c>
      <c r="AE42" s="192">
        <f>(AE$32)/((1+'2. Kalkyldata'!$M$9)^(AE$5-1))</f>
        <v>0.0</v>
      </c>
      <c r="AF42" s="192">
        <f>(AF$32)/((1+'2. Kalkyldata'!$M$9)^(AF$5-1))</f>
        <v>0.0</v>
      </c>
      <c r="AG42" s="192">
        <f>(AG$32)/((1+'2. Kalkyldata'!$M$9)^(AG$5-1))</f>
        <v>0.0</v>
      </c>
      <c r="AH42" s="192">
        <f>(AH$32)/((1+'2. Kalkyldata'!$M$9)^(AH$5-1))</f>
        <v>0.0</v>
      </c>
      <c r="AI42" s="192">
        <f>(AI$32)/((1+'2. Kalkyldata'!$M$9)^(AI$5-1))</f>
        <v>0.0</v>
      </c>
      <c r="AJ42" s="192">
        <f>(AJ$32)/((1+'2. Kalkyldata'!$M$9)^(AJ$5-1))</f>
        <v>0.0</v>
      </c>
      <c r="AK42" s="192">
        <f>(AK$32)/((1+'2. Kalkyldata'!$M$9)^(AK$5-1))</f>
        <v>0.0</v>
      </c>
      <c r="AL42" s="192">
        <f>(AL$32)/((1+'2. Kalkyldata'!$M$9)^(AL$5-1))</f>
        <v>0.0</v>
      </c>
      <c r="AM42" s="192">
        <f>(AM$32)/((1+'2. Kalkyldata'!$M$9)^(AM$5-1))</f>
        <v>0.0</v>
      </c>
      <c r="AN42" s="192">
        <f>(AN$32)/((1+'2. Kalkyldata'!$M$9)^(AN$5-1))</f>
        <v>0.0</v>
      </c>
      <c r="AO42" s="192">
        <f>(AO$32)/((1+'2. Kalkyldata'!$M$9)^(AO$5-1))</f>
        <v>0.0</v>
      </c>
      <c r="AP42" s="192">
        <f>(AP$32)/((1+'2. Kalkyldata'!$M$9)^(AP$5-1))</f>
        <v>0.0</v>
      </c>
      <c r="AQ42" s="192">
        <f>(AQ$32)/((1+'2. Kalkyldata'!$M$9)^(AQ$5-1))</f>
        <v>0.0</v>
      </c>
      <c r="AR42" s="192">
        <f>(AR$32)/((1+'2. Kalkyldata'!$M$9)^(AR$5-1))</f>
        <v>0.0</v>
      </c>
      <c r="AS42" s="192">
        <f>(AS$32)/((1+'2. Kalkyldata'!$M$9)^(AS$5-1))</f>
        <v>0.0</v>
      </c>
      <c r="AT42" s="192">
        <f>(AT$32)/((1+'2. Kalkyldata'!$M$9)^(AT$5-1))</f>
        <v>0.0</v>
      </c>
      <c r="AU42" s="192">
        <f>(AU$32)/((1+'2. Kalkyldata'!$M$9)^(AU$5-1))</f>
        <v>0.0</v>
      </c>
      <c r="AV42" s="192">
        <f>(AV$32)/((1+'2. Kalkyldata'!$M$9)^(AV$5-1))</f>
        <v>0.0</v>
      </c>
      <c r="AW42" s="192">
        <f>(AW$32)/((1+'2. Kalkyldata'!$M$9)^(AW$5-1))</f>
        <v>0.0</v>
      </c>
      <c r="AX42" s="192">
        <f>(AX$32)/((1+'2. Kalkyldata'!$M$9)^(AX$5-1))</f>
        <v>0.0</v>
      </c>
      <c r="AY42" s="192">
        <f>(AY$32)/((1+'2. Kalkyldata'!$M$9)^(AY$5-1))</f>
        <v>0.0</v>
      </c>
      <c r="AZ42" s="192">
        <f>(AZ$32)/((1+'2. Kalkyldata'!$M$9)^(AZ$5-1))</f>
        <v>0.0</v>
      </c>
      <c r="BA42" s="192">
        <f>(BA$32)/((1+'2. Kalkyldata'!$M$9)^(BA$5-1))</f>
        <v>0.0</v>
      </c>
      <c r="BB42" s="494"/>
    </row>
    <row r="43" spans="2:54" ht="15" hidden="1" outlineLevel="1">
      <c r="B43" s="193"/>
      <c r="C43" s="194">
        <f>$D$4+(C47-1)</f>
        <v>2035.0</v>
      </c>
      <c r="D43" s="194">
        <f>$D$4+(E47-1)</f>
        <v>2045.0</v>
      </c>
      <c r="E43" s="193"/>
      <c r="F43" s="195" t="str">
        <f>IF(OR(C43="",D43=""),"ÅR SAKNAS ovan NPV år!!!","")</f>
        <v/>
      </c>
      <c r="G43" s="196"/>
      <c r="H43" s="714"/>
      <c r="I43" s="714"/>
      <c r="J43" s="613"/>
      <c r="K43" s="613"/>
      <c r="L43" s="613"/>
      <c r="M43" s="613"/>
      <c r="N43" s="613"/>
      <c r="O43" s="613"/>
      <c r="P43" s="613"/>
      <c r="Q43" s="613"/>
      <c r="R43" s="613"/>
      <c r="S43" s="613"/>
      <c r="T43" s="613"/>
      <c r="U43" s="613"/>
      <c r="V43" s="613"/>
      <c r="W43" s="613"/>
      <c r="X43" s="613"/>
      <c r="Y43" s="613"/>
      <c r="Z43" s="613"/>
      <c r="AA43" s="613"/>
      <c r="AB43" s="613"/>
      <c r="AC43" s="613"/>
      <c r="AD43" s="613"/>
      <c r="AE43" s="613"/>
      <c r="AF43" s="613"/>
      <c r="AG43" s="613"/>
      <c r="AH43" s="613"/>
      <c r="AI43" s="613"/>
      <c r="AJ43" s="613"/>
      <c r="AK43" s="613"/>
      <c r="AL43" s="613"/>
      <c r="AM43" s="613"/>
      <c r="AN43" s="613"/>
      <c r="AO43" s="613"/>
      <c r="AP43" s="613"/>
      <c r="AQ43" s="613"/>
      <c r="AR43" s="613"/>
      <c r="AS43" s="613"/>
      <c r="AT43" s="613"/>
      <c r="AU43" s="494"/>
      <c r="AV43" s="494"/>
      <c r="AW43" s="494"/>
      <c r="AX43" s="494"/>
      <c r="AY43" s="494"/>
      <c r="AZ43" s="494"/>
      <c r="BA43" s="494"/>
      <c r="BB43" s="494"/>
    </row>
    <row r="44" spans="2:54" ht="15" hidden="1" outlineLevel="1">
      <c r="B44" s="198"/>
      <c r="C44" s="199" t="str">
        <f>LOOKUP(C43,D4:BA4,D3:BA3)</f>
        <v>&lt;=2035</v>
      </c>
      <c r="D44" s="199" t="str">
        <f>LOOKUP(D43,E4:BB4,E3:BB3)</f>
        <v>&lt;=2045</v>
      </c>
      <c r="E44" s="193"/>
      <c r="F44" s="195" t="str">
        <f>IF(OR(C44="",D44=""),"ÅR SAKNAS ovan NPV år!!!","")</f>
        <v/>
      </c>
      <c r="G44" s="494"/>
      <c r="H44" s="714"/>
      <c r="I44" s="714"/>
      <c r="J44" s="613"/>
      <c r="K44" s="613"/>
      <c r="L44" s="613"/>
      <c r="M44" s="613"/>
      <c r="N44" s="613"/>
      <c r="O44" s="613"/>
      <c r="P44" s="613"/>
      <c r="Q44" s="613"/>
      <c r="R44" s="613"/>
      <c r="S44" s="613"/>
      <c r="T44" s="613"/>
      <c r="U44" s="613"/>
      <c r="V44" s="613"/>
      <c r="W44" s="613"/>
      <c r="X44" s="613"/>
      <c r="Y44" s="613"/>
      <c r="Z44" s="613"/>
      <c r="AA44" s="613"/>
      <c r="AB44" s="613"/>
      <c r="AC44" s="613"/>
      <c r="AD44" s="613"/>
      <c r="AE44" s="613"/>
      <c r="AF44" s="613"/>
      <c r="AG44" s="613"/>
      <c r="AH44" s="613"/>
      <c r="AI44" s="613"/>
      <c r="AJ44" s="613"/>
      <c r="AK44" s="613"/>
      <c r="AL44" s="494"/>
      <c r="AM44" s="494"/>
      <c r="AN44" s="494"/>
      <c r="AO44" s="494"/>
      <c r="AP44" s="494"/>
      <c r="AQ44" s="494"/>
      <c r="AR44" s="494"/>
      <c r="AS44" s="494"/>
      <c r="AT44" s="494"/>
      <c r="AU44" s="494"/>
      <c r="AV44" s="494"/>
      <c r="AW44" s="494"/>
      <c r="AX44" s="494"/>
      <c r="AY44" s="494"/>
      <c r="AZ44" s="494"/>
      <c r="BA44" s="494"/>
      <c r="BB44" s="494"/>
    </row>
    <row r="45" spans="2:54" ht="15" hidden="1" outlineLevel="1">
      <c r="B45" s="198"/>
      <c r="C45" s="199"/>
      <c r="D45" s="199"/>
      <c r="E45" s="193"/>
      <c r="F45" s="195"/>
      <c r="G45" s="494"/>
      <c r="H45" s="197"/>
      <c r="I45" s="197"/>
      <c r="J45" s="613"/>
      <c r="K45" s="613"/>
      <c r="L45" s="613"/>
      <c r="M45" s="613"/>
      <c r="N45" s="613"/>
      <c r="O45" s="613"/>
      <c r="P45" s="613"/>
      <c r="Q45" s="613"/>
      <c r="R45" s="613"/>
      <c r="S45" s="613"/>
      <c r="T45" s="613"/>
      <c r="U45" s="613"/>
      <c r="V45" s="613"/>
      <c r="W45" s="613"/>
      <c r="X45" s="613"/>
      <c r="Y45" s="613"/>
      <c r="Z45" s="613"/>
      <c r="AA45" s="613"/>
      <c r="AB45" s="613"/>
      <c r="AC45" s="613"/>
      <c r="AD45" s="613"/>
      <c r="AE45" s="613"/>
      <c r="AF45" s="613"/>
      <c r="AG45" s="613"/>
      <c r="AH45" s="613"/>
      <c r="AI45" s="613"/>
      <c r="AJ45" s="613"/>
      <c r="AK45" s="613"/>
      <c r="AL45" s="494"/>
      <c r="AM45" s="494"/>
      <c r="AN45" s="494"/>
      <c r="AO45" s="494"/>
      <c r="AP45" s="494"/>
      <c r="AQ45" s="494"/>
      <c r="AR45" s="494"/>
      <c r="AS45" s="494"/>
      <c r="AT45" s="494"/>
      <c r="AU45" s="494"/>
      <c r="AV45" s="494"/>
      <c r="AW45" s="494"/>
      <c r="AX45" s="494"/>
      <c r="AY45" s="494"/>
      <c r="AZ45" s="494"/>
      <c r="BA45" s="494"/>
      <c r="BB45" s="494"/>
    </row>
    <row r="46" spans="2:54" ht="15" collapsed="1">
      <c r="B46" s="69"/>
      <c r="C46" s="200"/>
      <c r="D46" s="200"/>
      <c r="E46" s="76"/>
      <c r="F46" s="195"/>
      <c r="G46" s="494"/>
      <c r="H46" s="197"/>
      <c r="I46" s="197"/>
      <c r="J46" s="613"/>
      <c r="K46" s="613"/>
      <c r="L46" s="613"/>
      <c r="M46" s="613"/>
      <c r="N46" s="613"/>
      <c r="O46" s="613"/>
      <c r="P46" s="613"/>
      <c r="Q46" s="613"/>
      <c r="R46" s="613"/>
      <c r="S46" s="613"/>
      <c r="T46" s="613"/>
      <c r="U46" s="613"/>
      <c r="V46" s="613"/>
      <c r="W46" s="613"/>
      <c r="X46" s="613"/>
      <c r="Y46" s="613"/>
      <c r="Z46" s="613"/>
      <c r="AA46" s="613"/>
      <c r="AB46" s="613"/>
      <c r="AC46" s="613"/>
      <c r="AD46" s="613"/>
      <c r="AE46" s="613"/>
      <c r="AF46" s="613"/>
      <c r="AG46" s="613"/>
      <c r="AH46" s="613"/>
      <c r="AI46" s="613"/>
      <c r="AJ46" s="613"/>
      <c r="AK46" s="613"/>
      <c r="AL46" s="494"/>
      <c r="AM46" s="494"/>
      <c r="AN46" s="494"/>
      <c r="AO46" s="494"/>
      <c r="AP46" s="494"/>
      <c r="AQ46" s="494"/>
      <c r="AR46" s="494"/>
      <c r="AS46" s="494"/>
      <c r="AT46" s="494"/>
      <c r="AU46" s="494"/>
      <c r="AV46" s="494"/>
      <c r="AW46" s="494"/>
      <c r="AX46" s="494"/>
      <c r="AY46" s="494"/>
      <c r="AZ46" s="494"/>
      <c r="BA46" s="494"/>
      <c r="BB46" s="494"/>
    </row>
    <row r="47" spans="2:54" s="201" customFormat="1" ht="30" customHeight="1">
      <c r="B47" s="897" t="inlineStr">
        <is>
          <t>NPV HELA FASTIGHETEN, krav 3</t>
        </is>
      </c>
      <c r="C47" s="420">
        <v>10</v>
      </c>
      <c r="D47" s="420"/>
      <c r="E47" s="420">
        <f>'2. Kalkyldata'!P17</f>
        <v>20.0</v>
      </c>
      <c r="F47" s="904" t="inlineStr">
        <is>
          <t>Hela fastigheten inkl. Bef-objekt. PV TOTALT (rad 52) prövas mot bokfört värde i krav 3 (2. Kalkyldata D15).</t>
        </is>
      </c>
      <c r="G47" s="202"/>
      <c r="H47" s="203"/>
      <c r="I47" s="204"/>
      <c r="J47" s="614"/>
      <c r="K47" s="614"/>
      <c r="L47" s="614"/>
      <c r="M47" s="614"/>
      <c r="N47" s="614"/>
      <c r="O47" s="614"/>
      <c r="P47" s="614"/>
      <c r="Q47" s="614"/>
      <c r="R47" s="614"/>
      <c r="S47" s="614"/>
      <c r="T47" s="615"/>
      <c r="U47" s="615"/>
      <c r="V47" s="615"/>
      <c r="W47" s="615"/>
      <c r="X47" s="615"/>
      <c r="Y47" s="615"/>
      <c r="Z47" s="615"/>
      <c r="AA47" s="615"/>
      <c r="AB47" s="615"/>
      <c r="AC47" s="615"/>
      <c r="AD47" s="615"/>
      <c r="AE47" s="615"/>
      <c r="AF47" s="615"/>
      <c r="AG47" s="615"/>
      <c r="AH47" s="615"/>
      <c r="AI47" s="615"/>
      <c r="AJ47" s="615"/>
      <c r="AK47" s="615"/>
      <c r="AL47" s="569"/>
      <c r="AM47" s="569"/>
      <c r="AN47" s="569"/>
      <c r="AO47" s="569"/>
      <c r="AP47" s="569"/>
      <c r="AQ47" s="569"/>
      <c r="AR47" s="569"/>
      <c r="AS47" s="569"/>
      <c r="AT47" s="569"/>
      <c r="AU47" s="569"/>
      <c r="AV47" s="569"/>
      <c r="AW47" s="569"/>
      <c r="AX47" s="569"/>
      <c r="AY47" s="569"/>
      <c r="AZ47" s="569"/>
      <c r="BA47" s="569"/>
      <c r="BB47" s="569"/>
    </row>
    <row r="48" spans="2:54">
      <c r="B48" s="227" t="s">
        <v>252</v>
      </c>
      <c r="C48" s="328">
        <f>ROUND((SUMIFS($D$36:$BA$36,$D$4:$BA$4,$C$44))/10000,0)*10000</f>
        <v>114050000.0</v>
      </c>
      <c r="D48" s="328"/>
      <c r="E48" s="328">
        <f>ROUND((SUMIFS($D$36:$BA$36,$D$4:$BA$4,$D$44))/10000,0)*10000</f>
        <v>197100000.0</v>
      </c>
      <c r="F48" s="494"/>
      <c r="G48" s="494"/>
      <c r="H48" s="494"/>
      <c r="I48" s="494"/>
      <c r="J48" s="494"/>
      <c r="K48" s="614"/>
      <c r="L48" s="614"/>
      <c r="M48" s="614"/>
      <c r="N48" s="614"/>
      <c r="O48" s="614"/>
      <c r="P48" s="614"/>
      <c r="Q48" s="614"/>
      <c r="R48" s="614"/>
      <c r="S48" s="614"/>
      <c r="T48" s="494"/>
      <c r="U48" s="494"/>
      <c r="V48" s="494"/>
      <c r="W48" s="494"/>
      <c r="X48" s="546"/>
      <c r="Y48" s="494"/>
      <c r="Z48" s="494"/>
      <c r="AA48" s="494"/>
      <c r="AB48" s="494"/>
      <c r="AC48" s="494"/>
      <c r="AD48" s="494"/>
      <c r="AE48" s="494"/>
      <c r="AF48" s="494"/>
      <c r="AG48" s="494"/>
      <c r="AH48" s="494"/>
      <c r="AI48" s="494"/>
      <c r="AJ48" s="494"/>
      <c r="AK48" s="494"/>
      <c r="AL48" s="494"/>
      <c r="AM48" s="494"/>
      <c r="AN48" s="494"/>
      <c r="AO48" s="494"/>
      <c r="AP48" s="494"/>
      <c r="AQ48" s="494"/>
      <c r="AR48" s="494"/>
      <c r="AS48" s="494"/>
      <c r="AT48" s="494"/>
      <c r="AU48" s="494"/>
      <c r="AV48" s="494"/>
      <c r="AW48" s="494"/>
      <c r="AX48" s="494"/>
      <c r="AY48" s="494"/>
      <c r="AZ48" s="494"/>
      <c r="BA48" s="494"/>
      <c r="BB48" s="494"/>
    </row>
    <row r="49" spans="2:25" ht="15">
      <c r="B49" s="227" t="s">
        <v>247</v>
      </c>
      <c r="C49" s="328">
        <f>-ROUND((SUMIFS($D$38:$BA$38,$D$4:$BA$4,$C$44))/10000,0)*10000</f>
        <v>-0.0</v>
      </c>
      <c r="D49" s="328"/>
      <c r="E49" s="328">
        <f>-ROUND((SUMIFS($D$38:$BA$38,$D$4:$BA$4,$D$44))/10000,0)*10000</f>
        <v>-0.0</v>
      </c>
      <c r="F49" s="494"/>
      <c r="G49" s="494"/>
      <c r="H49" s="494"/>
      <c r="I49" s="494"/>
      <c r="J49" s="494"/>
      <c r="K49" s="205"/>
      <c r="L49" s="205"/>
      <c r="M49" s="205"/>
      <c r="N49" s="205"/>
      <c r="O49" s="205"/>
      <c r="P49" s="205"/>
      <c r="Q49" s="205"/>
      <c r="R49" s="205"/>
      <c r="S49" s="205"/>
      <c r="T49" s="205"/>
      <c r="U49" s="205"/>
      <c r="V49" s="205"/>
      <c r="W49" s="205"/>
      <c r="X49" s="205"/>
      <c r="Y49" s="494"/>
    </row>
    <row r="50" spans="2:25">
      <c r="B50" s="227" t="inlineStr">
        <is>
          <t>Restvärde (rad 89)</t>
        </is>
      </c>
      <c r="C50" s="328">
        <f>ROUND((HLOOKUP(C$43,$D$4:$BA$89,86,FALSE))/10000,0)*10000</f>
        <v>239460000.0</v>
      </c>
      <c r="D50" s="328"/>
      <c r="E50" s="328">
        <f>ROUND((HLOOKUP(D$43,$D$4:$BA$89,86,FALSE))/10000,0)*10000</f>
        <v>271940000.0</v>
      </c>
      <c r="F50" s="494"/>
      <c r="G50" s="494"/>
      <c r="H50" s="494"/>
      <c r="I50" s="494"/>
      <c r="J50" s="494"/>
      <c r="K50" s="494"/>
      <c r="L50" s="494"/>
      <c r="M50" s="616"/>
      <c r="N50" s="494"/>
      <c r="O50" s="494"/>
      <c r="P50" s="494"/>
      <c r="Q50" s="494"/>
      <c r="R50" s="494"/>
      <c r="S50" s="494"/>
      <c r="T50" s="494"/>
      <c r="U50" s="494"/>
      <c r="V50" s="494"/>
      <c r="W50" s="494"/>
      <c r="X50" s="494"/>
      <c r="Y50" s="494"/>
    </row>
    <row r="51" spans="2:25" s="201" customFormat="1">
      <c r="B51" s="421" t="s">
        <v>254</v>
      </c>
      <c r="C51" s="328">
        <f>ROUND((C50/((1+'2. Kalkyldata'!$M$8)^(C47)))/10000,0)*10000</f>
        <v>105910000.0</v>
      </c>
      <c r="D51" s="328"/>
      <c r="E51" s="328">
        <f>ROUND((E50/((1+'2. Kalkyldata'!$M$8)^(E47)))/10000,0)*10000</f>
        <v>53200000.0</v>
      </c>
      <c r="F51" s="569"/>
      <c r="G51" s="569"/>
      <c r="H51" s="569"/>
      <c r="I51" s="569"/>
      <c r="J51" s="617"/>
      <c r="K51" s="617"/>
      <c r="L51" s="617"/>
      <c r="M51" s="617"/>
      <c r="N51" s="617"/>
      <c r="O51" s="617"/>
      <c r="P51" s="617"/>
      <c r="Q51" s="617"/>
      <c r="R51" s="617"/>
      <c r="S51" s="617"/>
      <c r="T51" s="617"/>
      <c r="U51" s="617"/>
      <c r="V51" s="569"/>
      <c r="W51" s="569"/>
      <c r="X51" s="569"/>
      <c r="Y51" s="569"/>
    </row>
    <row r="52" spans="2:25" ht="15">
      <c r="B52" s="422" t="inlineStr">
        <is>
          <t>PV TOTALT (krav 3)</t>
        </is>
      </c>
      <c r="C52" s="423">
        <f>IFERROR(C48+C49+C51,0)</f>
        <v>219960000.0</v>
      </c>
      <c r="D52" s="424"/>
      <c r="E52" s="424">
        <f>IFERROR(E51+E48+E49,0)</f>
        <v>250300000.0</v>
      </c>
      <c r="F52" s="494"/>
      <c r="G52" s="494"/>
      <c r="H52" s="494"/>
      <c r="I52" s="494"/>
      <c r="J52" s="494"/>
      <c r="K52" s="618"/>
      <c r="L52" s="619"/>
      <c r="M52" s="494"/>
      <c r="N52" s="494"/>
      <c r="O52" s="494"/>
      <c r="P52" s="494"/>
      <c r="Q52" s="494"/>
      <c r="R52" s="494"/>
      <c r="S52" s="494"/>
      <c r="T52" s="494"/>
      <c r="U52" s="494"/>
      <c r="V52" s="494"/>
      <c r="W52" s="494"/>
      <c r="X52" s="494"/>
      <c r="Y52" s="494"/>
    </row>
    <row r="53" spans="2:25">
      <c r="B53" s="425" t="inlineStr">
        <is>
          <t>kr/kvm</t>
        </is>
      </c>
      <c r="C53" s="426">
        <f>IFERROR(C52/'2. Kalkyldata'!$H$28,0)</f>
        <v>36059.016393442624</v>
      </c>
      <c r="D53" s="426"/>
      <c r="E53" s="426">
        <f>IFERROR(E52/'2. Kalkyldata'!$H$28,0)</f>
        <v>41032.7868852459</v>
      </c>
      <c r="F53" s="195"/>
      <c r="G53" s="494"/>
      <c r="H53" s="494"/>
      <c r="I53" s="494"/>
      <c r="J53" s="494"/>
      <c r="K53" s="598"/>
      <c r="L53" s="494"/>
      <c r="M53" s="494"/>
      <c r="N53" s="494"/>
      <c r="O53" s="494"/>
      <c r="P53" s="494"/>
      <c r="Q53" s="494"/>
      <c r="R53" s="494"/>
      <c r="S53" s="494"/>
      <c r="T53" s="494"/>
      <c r="U53" s="494"/>
      <c r="V53" s="494"/>
      <c r="W53" s="494"/>
      <c r="X53" s="494"/>
      <c r="Y53" s="494"/>
    </row>
    <row r="54" spans="2:25">
      <c r="B54" s="227"/>
      <c r="C54" s="328"/>
      <c r="D54" s="328"/>
      <c r="E54" s="328"/>
      <c r="F54" s="195"/>
      <c r="G54" s="494"/>
      <c r="H54" s="494"/>
      <c r="I54" s="494"/>
      <c r="J54" s="494"/>
      <c r="K54" s="494"/>
      <c r="L54" s="494"/>
      <c r="M54" s="494"/>
      <c r="N54" s="494"/>
      <c r="O54" s="494"/>
      <c r="P54" s="494"/>
      <c r="Q54" s="494"/>
      <c r="R54" s="494"/>
      <c r="S54" s="494"/>
      <c r="T54" s="494"/>
      <c r="U54" s="494"/>
      <c r="V54" s="494"/>
      <c r="W54" s="494"/>
      <c r="X54" s="494"/>
      <c r="Y54" s="494"/>
    </row>
    <row r="55" spans="2:25">
      <c r="B55" s="227" t="s">
        <v>166</v>
      </c>
      <c r="C55" s="328">
        <f>-'2. Kalkyldata'!$W$28</f>
        <v>-239999999.99999997</v>
      </c>
      <c r="D55" s="228"/>
      <c r="E55" s="228">
        <f>$C$55</f>
        <v>-239999999.99999997</v>
      </c>
      <c r="F55" s="494"/>
      <c r="G55" s="494"/>
      <c r="H55" s="494"/>
      <c r="I55" s="494"/>
      <c r="J55" s="494"/>
      <c r="K55" s="494"/>
      <c r="L55" s="620"/>
      <c r="M55" s="620"/>
      <c r="N55" s="620"/>
      <c r="O55" s="620"/>
      <c r="P55" s="494"/>
      <c r="Q55" s="494"/>
      <c r="R55" s="494"/>
      <c r="S55" s="494"/>
      <c r="T55" s="494"/>
      <c r="U55" s="494"/>
      <c r="V55" s="494"/>
      <c r="W55" s="494"/>
      <c r="X55" s="494"/>
      <c r="Y55" s="494"/>
    </row>
    <row r="56" spans="2:25">
      <c r="B56" s="227" t="s">
        <v>256</v>
      </c>
      <c r="C56" s="328">
        <f>-'2. Kalkyldata'!$X$28</f>
        <v>-239999999.99999997</v>
      </c>
      <c r="D56" s="228"/>
      <c r="E56" s="228">
        <f>$C$56</f>
        <v>-239999999.99999997</v>
      </c>
      <c r="F56" s="494"/>
      <c r="G56" s="494"/>
      <c r="H56" s="494"/>
      <c r="I56" s="494"/>
      <c r="J56" s="494"/>
      <c r="K56" s="494"/>
      <c r="L56" s="494"/>
      <c r="M56" s="494"/>
      <c r="N56" s="616"/>
      <c r="O56" s="546"/>
      <c r="P56" s="494"/>
      <c r="Q56" s="494"/>
      <c r="R56" s="494"/>
      <c r="S56" s="494"/>
      <c r="T56" s="494"/>
      <c r="U56" s="494"/>
      <c r="V56" s="494"/>
      <c r="W56" s="494"/>
      <c r="X56" s="494"/>
      <c r="Y56" s="613"/>
    </row>
    <row r="57" spans="2:25">
      <c r="B57" s="427" t="s">
        <v>27</v>
      </c>
      <c r="C57" s="428">
        <f>IFERROR($C$56/'2. Kalkyldata'!$H$28,0)</f>
        <v>-39344.262295081964</v>
      </c>
      <c r="D57" s="428"/>
      <c r="E57" s="428">
        <f>IFERROR($E$56/'2. Kalkyldata'!$H$28,0)</f>
        <v>-39344.262295081964</v>
      </c>
      <c r="F57" s="494"/>
      <c r="G57" s="494"/>
      <c r="H57" s="494"/>
      <c r="I57" s="494"/>
      <c r="J57" s="494"/>
      <c r="K57" s="494"/>
      <c r="L57" s="494"/>
      <c r="M57" s="494"/>
      <c r="N57" s="616"/>
      <c r="O57" s="546"/>
      <c r="P57" s="494"/>
      <c r="Q57" s="494"/>
      <c r="R57" s="494"/>
      <c r="S57" s="494"/>
      <c r="T57" s="494"/>
      <c r="U57" s="494"/>
      <c r="V57" s="494"/>
      <c r="W57" s="494"/>
      <c r="X57" s="494"/>
      <c r="Y57" s="494"/>
    </row>
    <row r="58" spans="2:25">
      <c r="B58" s="429"/>
      <c r="C58" s="428"/>
      <c r="D58" s="428"/>
      <c r="E58" s="428"/>
      <c r="F58" s="494"/>
      <c r="G58" s="494"/>
      <c r="H58" s="494"/>
      <c r="I58" s="494"/>
      <c r="J58" s="494"/>
      <c r="K58" s="494"/>
      <c r="L58" s="494"/>
      <c r="M58" s="494"/>
      <c r="N58" s="616"/>
      <c r="O58" s="546"/>
      <c r="P58" s="494"/>
      <c r="Q58" s="494"/>
      <c r="R58" s="494"/>
      <c r="S58" s="494"/>
      <c r="T58" s="494"/>
      <c r="U58" s="494"/>
      <c r="V58" s="494"/>
      <c r="W58" s="494"/>
      <c r="X58" s="494"/>
      <c r="Y58" s="494"/>
    </row>
    <row r="59" spans="2:25" s="201" customFormat="1" ht="15.75">
      <c r="B59" s="419" t="inlineStr">
        <is>
          <t>NPV hela fastigheten</t>
        </is>
      </c>
      <c r="C59" s="430">
        <f>$C$52+$C$56</f>
        <v>-20039999.99999997</v>
      </c>
      <c r="D59" s="430"/>
      <c r="E59" s="430">
        <f>$E$52+$E$56</f>
        <v>10300000.00000003</v>
      </c>
      <c r="F59" s="904" t="inlineStr">
        <is>
          <t>Informativ, ej krav. Lika med NPV tillkommande (rad 82) när Bef-rader saknas.</t>
        </is>
      </c>
      <c r="G59" s="569"/>
      <c r="H59" s="569"/>
      <c r="I59" s="569"/>
      <c r="J59" s="569"/>
      <c r="K59" s="569"/>
      <c r="L59" s="569"/>
      <c r="M59" s="569"/>
      <c r="N59" s="546"/>
      <c r="O59" s="494"/>
      <c r="P59" s="569"/>
      <c r="Q59" s="569"/>
      <c r="R59" s="569"/>
      <c r="S59" s="569"/>
      <c r="T59" s="569"/>
      <c r="U59" s="569"/>
      <c r="V59" s="569"/>
      <c r="W59" s="569"/>
      <c r="X59" s="569"/>
      <c r="Y59" s="569"/>
    </row>
    <row r="60" spans="2:25" s="201" customFormat="1" ht="15" customHeight="1">
      <c r="B60" s="431" t="inlineStr">
        <is>
          <t>kr/kvm</t>
        </is>
      </c>
      <c r="C60" s="432">
        <f>IFERROR($C$59/'2. Kalkyldata'!$H$28,0)</f>
        <v>-3285.2459016393395</v>
      </c>
      <c r="D60" s="432"/>
      <c r="E60" s="432">
        <f>IFERROR($E$59/'2. Kalkyldata'!$H$28,0)</f>
        <v>1688.5245901639394</v>
      </c>
      <c r="F60" s="569"/>
      <c r="G60" s="569"/>
      <c r="H60" s="569"/>
      <c r="I60" s="569"/>
      <c r="J60" s="569"/>
      <c r="K60" s="569"/>
      <c r="L60" s="569"/>
      <c r="M60" s="569"/>
      <c r="N60" s="616"/>
      <c r="O60" s="494"/>
      <c r="P60" s="569"/>
      <c r="Q60" s="569"/>
      <c r="R60" s="569"/>
      <c r="S60" s="569"/>
      <c r="T60" s="569"/>
      <c r="U60" s="569"/>
      <c r="V60" s="569"/>
      <c r="W60" s="569"/>
      <c r="X60" s="569"/>
      <c r="Y60" s="569"/>
    </row>
    <row r="61" spans="2:25" ht="15">
      <c r="B61" s="433"/>
      <c r="C61" s="434"/>
      <c r="D61" s="433"/>
      <c r="E61" s="433"/>
      <c r="F61" s="494"/>
      <c r="G61" s="494"/>
      <c r="H61" s="494"/>
      <c r="I61" s="494"/>
      <c r="J61" s="494"/>
      <c r="K61" s="494"/>
      <c r="L61" s="494"/>
      <c r="M61" s="494"/>
      <c r="N61" s="616"/>
      <c r="O61" s="494"/>
      <c r="P61" s="494"/>
      <c r="Q61" s="494"/>
      <c r="R61" s="494"/>
      <c r="S61" s="494"/>
      <c r="T61" s="494"/>
      <c r="U61" s="494"/>
      <c r="V61" s="494"/>
      <c r="W61" s="494"/>
      <c r="X61" s="494"/>
      <c r="Y61" s="494"/>
    </row>
    <row r="62" spans="2:25" ht="15.75">
      <c r="B62" s="419" t="s">
        <v>150</v>
      </c>
      <c r="C62" s="715">
        <f>IF(COUNT(D39:BA39)=50,"N/A",COUNT(D39:BA39))</f>
        <v>15.0</v>
      </c>
      <c r="D62" s="715"/>
      <c r="E62" s="715"/>
      <c r="F62" s="905" t="inlineStr">
        <is>
          <t>År tills ackumulerat driftnetto (ej diskonterat) täcker investeringen. Informativ, förs till 2. Kalkyldata D16.</t>
        </is>
      </c>
      <c r="G62" s="494"/>
      <c r="H62" s="494"/>
      <c r="I62" s="494"/>
      <c r="J62" s="494"/>
      <c r="K62" s="494"/>
      <c r="L62" s="494"/>
      <c r="M62" s="494"/>
      <c r="N62" s="494"/>
      <c r="O62" s="494"/>
      <c r="P62" s="494"/>
      <c r="Q62" s="494"/>
      <c r="R62" s="494"/>
      <c r="S62" s="494"/>
      <c r="T62" s="494"/>
      <c r="U62" s="494"/>
      <c r="V62" s="494"/>
      <c r="W62" s="494"/>
      <c r="X62" s="494"/>
      <c r="Y62" s="494"/>
    </row>
    <row r="63" spans="2:25">
      <c r="B63" s="494"/>
      <c r="C63" s="206"/>
      <c r="D63" s="207"/>
      <c r="E63" s="207"/>
      <c r="F63" s="207"/>
      <c r="G63" s="494"/>
      <c r="H63" s="494"/>
      <c r="I63" s="494"/>
      <c r="J63" s="494"/>
      <c r="K63" s="494"/>
      <c r="L63" s="494"/>
      <c r="M63" s="494"/>
      <c r="N63" s="494"/>
      <c r="O63" s="494"/>
      <c r="P63" s="494"/>
      <c r="Q63" s="494"/>
      <c r="R63" s="494"/>
      <c r="S63" s="494"/>
      <c r="T63" s="494"/>
      <c r="U63" s="494"/>
      <c r="V63" s="494"/>
      <c r="W63" s="494"/>
      <c r="X63" s="494"/>
      <c r="Y63" s="494"/>
    </row>
    <row r="64" spans="2:25" ht="15.75">
      <c r="B64" s="419" t="inlineStr">
        <is>
          <t>TILLKOMMANDE FLÖDE — hela fastigheten minus Bef-objekt (nollalternativet)</t>
        </is>
      </c>
      <c r="C64" s="420"/>
      <c r="D64" s="420"/>
      <c r="E64" s="420"/>
      <c r="F64" s="420"/>
      <c r="G64" s="420"/>
      <c r="H64" s="420"/>
      <c r="I64" s="420"/>
      <c r="J64" s="420"/>
      <c r="K64" s="420"/>
      <c r="L64" s="420"/>
      <c r="M64" s="420"/>
      <c r="N64" s="420"/>
      <c r="O64" s="420"/>
      <c r="P64" s="420"/>
      <c r="Q64" s="420"/>
      <c r="R64" s="420"/>
      <c r="S64" s="420"/>
      <c r="T64" s="420"/>
      <c r="U64" s="420"/>
      <c r="V64" s="420"/>
      <c r="W64" s="420"/>
      <c r="X64" s="420"/>
      <c r="Y64" s="494"/>
    </row>
    <row r="65" spans="2:53">
      <c r="B65" s="227" t="s">
        <v>374</v>
      </c>
      <c r="C65" s="327"/>
      <c r="D65" s="228">
        <f>IF(D$4="",0,SUMIFS('2. Kalkyldata'!$H$23:$H$27,'2. Kalkyldata'!$E$23:$E$27,"Bef",'2. Kalkyldata'!$M$23:$M$27,D$3))</f>
        <v>0.0</v>
      </c>
      <c r="E65" s="228">
        <f>IF(E$4="",0,SUMIFS('2. Kalkyldata'!$H$23:$H$27,'2. Kalkyldata'!$E$23:$E$27,"Bef",'2. Kalkyldata'!$M$23:$M$27,E$3))</f>
        <v>0.0</v>
      </c>
      <c r="F65" s="228">
        <f>IF(F$4="",0,SUMIFS('2. Kalkyldata'!$H$23:$H$27,'2. Kalkyldata'!$E$23:$E$27,"Bef",'2. Kalkyldata'!$M$23:$M$27,F$3))</f>
        <v>0.0</v>
      </c>
      <c r="G65" s="228">
        <f>IF(G$4="",0,SUMIFS('2. Kalkyldata'!$H$23:$H$27,'2. Kalkyldata'!$E$23:$E$27,"Bef",'2. Kalkyldata'!$M$23:$M$27,G$3))</f>
        <v>0.0</v>
      </c>
      <c r="H65" s="228">
        <f>IF(H$4="",0,SUMIFS('2. Kalkyldata'!$H$23:$H$27,'2. Kalkyldata'!$E$23:$E$27,"Bef",'2. Kalkyldata'!$M$23:$M$27,H$3))</f>
        <v>0.0</v>
      </c>
      <c r="I65" s="228">
        <f>IF(I$4="",0,SUMIFS('2. Kalkyldata'!$H$23:$H$27,'2. Kalkyldata'!$E$23:$E$27,"Bef",'2. Kalkyldata'!$M$23:$M$27,I$3))</f>
        <v>0.0</v>
      </c>
      <c r="J65" s="228">
        <f>IF(J$4="",0,SUMIFS('2. Kalkyldata'!$H$23:$H$27,'2. Kalkyldata'!$E$23:$E$27,"Bef",'2. Kalkyldata'!$M$23:$M$27,J$3))</f>
        <v>0.0</v>
      </c>
      <c r="K65" s="228">
        <f>IF(K$4="",0,SUMIFS('2. Kalkyldata'!$H$23:$H$27,'2. Kalkyldata'!$E$23:$E$27,"Bef",'2. Kalkyldata'!$M$23:$M$27,K$3))</f>
        <v>0.0</v>
      </c>
      <c r="L65" s="228">
        <f>IF(L$4="",0,SUMIFS('2. Kalkyldata'!$H$23:$H$27,'2. Kalkyldata'!$E$23:$E$27,"Bef",'2. Kalkyldata'!$M$23:$M$27,L$3))</f>
        <v>0.0</v>
      </c>
      <c r="M65" s="228">
        <f>IF(M$4="",0,SUMIFS('2. Kalkyldata'!$H$23:$H$27,'2. Kalkyldata'!$E$23:$E$27,"Bef",'2. Kalkyldata'!$M$23:$M$27,M$3))</f>
        <v>0.0</v>
      </c>
      <c r="N65" s="228">
        <f>IF(N$4="",0,SUMIFS('2. Kalkyldata'!$H$23:$H$27,'2. Kalkyldata'!$E$23:$E$27,"Bef",'2. Kalkyldata'!$M$23:$M$27,N$3))</f>
        <v>0.0</v>
      </c>
      <c r="O65" s="228">
        <f>IF(O$4="",0,SUMIFS('2. Kalkyldata'!$H$23:$H$27,'2. Kalkyldata'!$E$23:$E$27,"Bef",'2. Kalkyldata'!$M$23:$M$27,O$3))</f>
        <v>0.0</v>
      </c>
      <c r="P65" s="228">
        <f>IF(P$4="",0,SUMIFS('2. Kalkyldata'!$H$23:$H$27,'2. Kalkyldata'!$E$23:$E$27,"Bef",'2. Kalkyldata'!$M$23:$M$27,P$3))</f>
        <v>0.0</v>
      </c>
      <c r="Q65" s="228">
        <f>IF(Q$4="",0,SUMIFS('2. Kalkyldata'!$H$23:$H$27,'2. Kalkyldata'!$E$23:$E$27,"Bef",'2. Kalkyldata'!$M$23:$M$27,Q$3))</f>
        <v>0.0</v>
      </c>
      <c r="R65" s="228">
        <f>IF(R$4="",0,SUMIFS('2. Kalkyldata'!$H$23:$H$27,'2. Kalkyldata'!$E$23:$E$27,"Bef",'2. Kalkyldata'!$M$23:$M$27,R$3))</f>
        <v>0.0</v>
      </c>
      <c r="S65" s="228">
        <f>IF(S$4="",0,SUMIFS('2. Kalkyldata'!$H$23:$H$27,'2. Kalkyldata'!$E$23:$E$27,"Bef",'2. Kalkyldata'!$M$23:$M$27,S$3))</f>
        <v>0.0</v>
      </c>
      <c r="T65" s="228">
        <f>IF(T$4="",0,SUMIFS('2. Kalkyldata'!$H$23:$H$27,'2. Kalkyldata'!$E$23:$E$27,"Bef",'2. Kalkyldata'!$M$23:$M$27,T$3))</f>
        <v>0.0</v>
      </c>
      <c r="U65" s="228">
        <f>IF(U$4="",0,SUMIFS('2. Kalkyldata'!$H$23:$H$27,'2. Kalkyldata'!$E$23:$E$27,"Bef",'2. Kalkyldata'!$M$23:$M$27,U$3))</f>
        <v>0.0</v>
      </c>
      <c r="V65" s="228">
        <f>IF(V$4="",0,SUMIFS('2. Kalkyldata'!$H$23:$H$27,'2. Kalkyldata'!$E$23:$E$27,"Bef",'2. Kalkyldata'!$M$23:$M$27,V$3))</f>
        <v>0.0</v>
      </c>
      <c r="W65" s="228">
        <f>IF(W$4="",0,SUMIFS('2. Kalkyldata'!$H$23:$H$27,'2. Kalkyldata'!$E$23:$E$27,"Bef",'2. Kalkyldata'!$M$23:$M$27,W$3))</f>
        <v>0.0</v>
      </c>
      <c r="X65" s="228">
        <f>IF(X$4="",0,SUMIFS('2. Kalkyldata'!$H$23:$H$27,'2. Kalkyldata'!$E$23:$E$27,"Bef",'2. Kalkyldata'!$M$23:$M$27,X$3))</f>
        <v>0.0</v>
      </c>
      <c r="Y65" s="228">
        <f>IF(Y$4="",0,SUMIFS('2. Kalkyldata'!$H$23:$H$27,'2. Kalkyldata'!$E$23:$E$27,"Bef",'2. Kalkyldata'!$M$23:$M$27,Y$3))</f>
        <v>0.0</v>
      </c>
      <c r="Z65" s="228">
        <f>IF(Z$4="",0,SUMIFS('2. Kalkyldata'!$H$23:$H$27,'2. Kalkyldata'!$E$23:$E$27,"Bef",'2. Kalkyldata'!$M$23:$M$27,Z$3))</f>
        <v>0.0</v>
      </c>
      <c r="AA65" s="228">
        <f>IF(AA$4="",0,SUMIFS('2. Kalkyldata'!$H$23:$H$27,'2. Kalkyldata'!$E$23:$E$27,"Bef",'2. Kalkyldata'!$M$23:$M$27,AA$3))</f>
        <v>0.0</v>
      </c>
      <c r="AB65" s="228">
        <f>IF(AB$4="",0,SUMIFS('2. Kalkyldata'!$H$23:$H$27,'2. Kalkyldata'!$E$23:$E$27,"Bef",'2. Kalkyldata'!$M$23:$M$27,AB$3))</f>
        <v>0.0</v>
      </c>
      <c r="AC65" s="228">
        <f>IF(AC$4="",0,SUMIFS('2. Kalkyldata'!$H$23:$H$27,'2. Kalkyldata'!$E$23:$E$27,"Bef",'2. Kalkyldata'!$M$23:$M$27,AC$3))</f>
        <v>0.0</v>
      </c>
      <c r="AD65" s="228">
        <f>IF(AD$4="",0,SUMIFS('2. Kalkyldata'!$H$23:$H$27,'2. Kalkyldata'!$E$23:$E$27,"Bef",'2. Kalkyldata'!$M$23:$M$27,AD$3))</f>
        <v>0.0</v>
      </c>
      <c r="AE65" s="228">
        <f>IF(AE$4="",0,SUMIFS('2. Kalkyldata'!$H$23:$H$27,'2. Kalkyldata'!$E$23:$E$27,"Bef",'2. Kalkyldata'!$M$23:$M$27,AE$3))</f>
        <v>0.0</v>
      </c>
      <c r="AF65" s="228">
        <f>IF(AF$4="",0,SUMIFS('2. Kalkyldata'!$H$23:$H$27,'2. Kalkyldata'!$E$23:$E$27,"Bef",'2. Kalkyldata'!$M$23:$M$27,AF$3))</f>
        <v>0.0</v>
      </c>
      <c r="AG65" s="228">
        <f>IF(AG$4="",0,SUMIFS('2. Kalkyldata'!$H$23:$H$27,'2. Kalkyldata'!$E$23:$E$27,"Bef",'2. Kalkyldata'!$M$23:$M$27,AG$3))</f>
        <v>0.0</v>
      </c>
      <c r="AH65" s="228">
        <f>IF(AH$4="",0,SUMIFS('2. Kalkyldata'!$H$23:$H$27,'2. Kalkyldata'!$E$23:$E$27,"Bef",'2. Kalkyldata'!$M$23:$M$27,AH$3))</f>
        <v>0.0</v>
      </c>
      <c r="AI65" s="228">
        <f>IF(AI$4="",0,SUMIFS('2. Kalkyldata'!$H$23:$H$27,'2. Kalkyldata'!$E$23:$E$27,"Bef",'2. Kalkyldata'!$M$23:$M$27,AI$3))</f>
        <v>0.0</v>
      </c>
      <c r="AJ65" s="228">
        <f>IF(AJ$4="",0,SUMIFS('2. Kalkyldata'!$H$23:$H$27,'2. Kalkyldata'!$E$23:$E$27,"Bef",'2. Kalkyldata'!$M$23:$M$27,AJ$3))</f>
        <v>0.0</v>
      </c>
      <c r="AK65" s="228">
        <f>IF(AK$4="",0,SUMIFS('2. Kalkyldata'!$H$23:$H$27,'2. Kalkyldata'!$E$23:$E$27,"Bef",'2. Kalkyldata'!$M$23:$M$27,AK$3))</f>
        <v>0.0</v>
      </c>
      <c r="AL65" s="228">
        <f>IF(AL$4="",0,SUMIFS('2. Kalkyldata'!$H$23:$H$27,'2. Kalkyldata'!$E$23:$E$27,"Bef",'2. Kalkyldata'!$M$23:$M$27,AL$3))</f>
        <v>0.0</v>
      </c>
      <c r="AM65" s="228">
        <f>IF(AM$4="",0,SUMIFS('2. Kalkyldata'!$H$23:$H$27,'2. Kalkyldata'!$E$23:$E$27,"Bef",'2. Kalkyldata'!$M$23:$M$27,AM$3))</f>
        <v>0.0</v>
      </c>
      <c r="AN65" s="228">
        <f>IF(AN$4="",0,SUMIFS('2. Kalkyldata'!$H$23:$H$27,'2. Kalkyldata'!$E$23:$E$27,"Bef",'2. Kalkyldata'!$M$23:$M$27,AN$3))</f>
        <v>0.0</v>
      </c>
      <c r="AO65" s="228">
        <f>IF(AO$4="",0,SUMIFS('2. Kalkyldata'!$H$23:$H$27,'2. Kalkyldata'!$E$23:$E$27,"Bef",'2. Kalkyldata'!$M$23:$M$27,AO$3))</f>
        <v>0.0</v>
      </c>
      <c r="AP65" s="228">
        <f>IF(AP$4="",0,SUMIFS('2. Kalkyldata'!$H$23:$H$27,'2. Kalkyldata'!$E$23:$E$27,"Bef",'2. Kalkyldata'!$M$23:$M$27,AP$3))</f>
        <v>0.0</v>
      </c>
      <c r="AQ65" s="228">
        <f>IF(AQ$4="",0,SUMIFS('2. Kalkyldata'!$H$23:$H$27,'2. Kalkyldata'!$E$23:$E$27,"Bef",'2. Kalkyldata'!$M$23:$M$27,AQ$3))</f>
        <v>0.0</v>
      </c>
      <c r="AR65" s="228">
        <f>IF(AR$4="",0,SUMIFS('2. Kalkyldata'!$H$23:$H$27,'2. Kalkyldata'!$E$23:$E$27,"Bef",'2. Kalkyldata'!$M$23:$M$27,AR$3))</f>
        <v>0.0</v>
      </c>
      <c r="AS65" s="228">
        <f>IF(AS$4="",0,SUMIFS('2. Kalkyldata'!$H$23:$H$27,'2. Kalkyldata'!$E$23:$E$27,"Bef",'2. Kalkyldata'!$M$23:$M$27,AS$3))</f>
        <v>0.0</v>
      </c>
      <c r="AT65" s="228">
        <f>IF(AT$4="",0,SUMIFS('2. Kalkyldata'!$H$23:$H$27,'2. Kalkyldata'!$E$23:$E$27,"Bef",'2. Kalkyldata'!$M$23:$M$27,AT$3))</f>
        <v>0.0</v>
      </c>
      <c r="AU65" s="228">
        <f>IF(AU$4="",0,SUMIFS('2. Kalkyldata'!$H$23:$H$27,'2. Kalkyldata'!$E$23:$E$27,"Bef",'2. Kalkyldata'!$M$23:$M$27,AU$3))</f>
        <v>0.0</v>
      </c>
      <c r="AV65" s="228">
        <f>IF(AV$4="",0,SUMIFS('2. Kalkyldata'!$H$23:$H$27,'2. Kalkyldata'!$E$23:$E$27,"Bef",'2. Kalkyldata'!$M$23:$M$27,AV$3))</f>
        <v>0.0</v>
      </c>
      <c r="AW65" s="228">
        <f>IF(AW$4="",0,SUMIFS('2. Kalkyldata'!$H$23:$H$27,'2. Kalkyldata'!$E$23:$E$27,"Bef",'2. Kalkyldata'!$M$23:$M$27,AW$3))</f>
        <v>0.0</v>
      </c>
      <c r="AX65" s="228">
        <f>IF(AX$4="",0,SUMIFS('2. Kalkyldata'!$H$23:$H$27,'2. Kalkyldata'!$E$23:$E$27,"Bef",'2. Kalkyldata'!$M$23:$M$27,AX$3))</f>
        <v>0.0</v>
      </c>
      <c r="AY65" s="228">
        <f>IF(AY$4="",0,SUMIFS('2. Kalkyldata'!$H$23:$H$27,'2. Kalkyldata'!$E$23:$E$27,"Bef",'2. Kalkyldata'!$M$23:$M$27,AY$3))</f>
        <v>0.0</v>
      </c>
      <c r="AZ65" s="228">
        <f>IF(AZ$4="",0,SUMIFS('2. Kalkyldata'!$H$23:$H$27,'2. Kalkyldata'!$E$23:$E$27,"Bef",'2. Kalkyldata'!$M$23:$M$27,AZ$3))</f>
        <v>0.0</v>
      </c>
      <c r="BA65" s="228">
        <f>IF(BA$4="",0,SUMIFS('2. Kalkyldata'!$H$23:$H$27,'2. Kalkyldata'!$E$23:$E$27,"Bef",'2. Kalkyldata'!$M$23:$M$27,BA$3))</f>
        <v>0.0</v>
      </c>
    </row>
    <row r="66" spans="2:53">
      <c r="B66" s="227" t="s">
        <v>375</v>
      </c>
      <c r="C66" s="327"/>
      <c r="D66" s="228">
        <f>IF(D$4="",0,SUMPRODUCT(--('2. Kalkyldata'!$E$23:$E$27="Bef"),D12:D16))</f>
        <v>0.0</v>
      </c>
      <c r="E66" s="228">
        <f>IF(E$4="",0,SUMPRODUCT(--('2. Kalkyldata'!$E$23:$E$27="Bef"),E12:E16))</f>
        <v>0.0</v>
      </c>
      <c r="F66" s="228">
        <f>IF(F$4="",0,SUMPRODUCT(--('2. Kalkyldata'!$E$23:$E$27="Bef"),F12:F16))</f>
        <v>0.0</v>
      </c>
      <c r="G66" s="228">
        <f>IF(G$4="",0,SUMPRODUCT(--('2. Kalkyldata'!$E$23:$E$27="Bef"),G12:G16))</f>
        <v>0.0</v>
      </c>
      <c r="H66" s="228">
        <f>IF(H$4="",0,SUMPRODUCT(--('2. Kalkyldata'!$E$23:$E$27="Bef"),H12:H16))</f>
        <v>0.0</v>
      </c>
      <c r="I66" s="228">
        <f>IF(I$4="",0,SUMPRODUCT(--('2. Kalkyldata'!$E$23:$E$27="Bef"),I12:I16))</f>
        <v>0.0</v>
      </c>
      <c r="J66" s="228">
        <f>IF(J$4="",0,SUMPRODUCT(--('2. Kalkyldata'!$E$23:$E$27="Bef"),J12:J16))</f>
        <v>0.0</v>
      </c>
      <c r="K66" s="228">
        <f>IF(K$4="",0,SUMPRODUCT(--('2. Kalkyldata'!$E$23:$E$27="Bef"),K12:K16))</f>
        <v>0.0</v>
      </c>
      <c r="L66" s="228">
        <f>IF(L$4="",0,SUMPRODUCT(--('2. Kalkyldata'!$E$23:$E$27="Bef"),L12:L16))</f>
        <v>0.0</v>
      </c>
      <c r="M66" s="228">
        <f>IF(M$4="",0,SUMPRODUCT(--('2. Kalkyldata'!$E$23:$E$27="Bef"),M12:M16))</f>
        <v>0.0</v>
      </c>
      <c r="N66" s="228">
        <f>IF(N$4="",0,SUMPRODUCT(--('2. Kalkyldata'!$E$23:$E$27="Bef"),N12:N16))</f>
        <v>0.0</v>
      </c>
      <c r="O66" s="228">
        <f>IF(O$4="",0,SUMPRODUCT(--('2. Kalkyldata'!$E$23:$E$27="Bef"),O12:O16))</f>
        <v>0.0</v>
      </c>
      <c r="P66" s="228">
        <f>IF(P$4="",0,SUMPRODUCT(--('2. Kalkyldata'!$E$23:$E$27="Bef"),P12:P16))</f>
        <v>0.0</v>
      </c>
      <c r="Q66" s="228">
        <f>IF(Q$4="",0,SUMPRODUCT(--('2. Kalkyldata'!$E$23:$E$27="Bef"),Q12:Q16))</f>
        <v>0.0</v>
      </c>
      <c r="R66" s="228">
        <f>IF(R$4="",0,SUMPRODUCT(--('2. Kalkyldata'!$E$23:$E$27="Bef"),R12:R16))</f>
        <v>0.0</v>
      </c>
      <c r="S66" s="228">
        <f>IF(S$4="",0,SUMPRODUCT(--('2. Kalkyldata'!$E$23:$E$27="Bef"),S12:S16))</f>
        <v>0.0</v>
      </c>
      <c r="T66" s="228">
        <f>IF(T$4="",0,SUMPRODUCT(--('2. Kalkyldata'!$E$23:$E$27="Bef"),T12:T16))</f>
        <v>0.0</v>
      </c>
      <c r="U66" s="228">
        <f>IF(U$4="",0,SUMPRODUCT(--('2. Kalkyldata'!$E$23:$E$27="Bef"),U12:U16))</f>
        <v>0.0</v>
      </c>
      <c r="V66" s="228">
        <f>IF(V$4="",0,SUMPRODUCT(--('2. Kalkyldata'!$E$23:$E$27="Bef"),V12:V16))</f>
        <v>0.0</v>
      </c>
      <c r="W66" s="228">
        <f>IF(W$4="",0,SUMPRODUCT(--('2. Kalkyldata'!$E$23:$E$27="Bef"),W12:W16))</f>
        <v>0.0</v>
      </c>
      <c r="X66" s="228">
        <f>IF(X$4="",0,SUMPRODUCT(--('2. Kalkyldata'!$E$23:$E$27="Bef"),X12:X16))</f>
        <v>0.0</v>
      </c>
      <c r="Y66" s="228">
        <f>IF(Y$4="",0,SUMPRODUCT(--('2. Kalkyldata'!$E$23:$E$27="Bef"),Y12:Y16))</f>
        <v>0.0</v>
      </c>
      <c r="Z66" s="228">
        <f>IF(Z$4="",0,SUMPRODUCT(--('2. Kalkyldata'!$E$23:$E$27="Bef"),Z12:Z16))</f>
        <v>0.0</v>
      </c>
      <c r="AA66" s="228">
        <f>IF(AA$4="",0,SUMPRODUCT(--('2. Kalkyldata'!$E$23:$E$27="Bef"),AA12:AA16))</f>
        <v>0.0</v>
      </c>
      <c r="AB66" s="228">
        <f>IF(AB$4="",0,SUMPRODUCT(--('2. Kalkyldata'!$E$23:$E$27="Bef"),AB12:AB16))</f>
        <v>0.0</v>
      </c>
      <c r="AC66" s="228">
        <f>IF(AC$4="",0,SUMPRODUCT(--('2. Kalkyldata'!$E$23:$E$27="Bef"),AC12:AC16))</f>
        <v>0.0</v>
      </c>
      <c r="AD66" s="228">
        <f>IF(AD$4="",0,SUMPRODUCT(--('2. Kalkyldata'!$E$23:$E$27="Bef"),AD12:AD16))</f>
        <v>0.0</v>
      </c>
      <c r="AE66" s="228">
        <f>IF(AE$4="",0,SUMPRODUCT(--('2. Kalkyldata'!$E$23:$E$27="Bef"),AE12:AE16))</f>
        <v>0.0</v>
      </c>
      <c r="AF66" s="228">
        <f>IF(AF$4="",0,SUMPRODUCT(--('2. Kalkyldata'!$E$23:$E$27="Bef"),AF12:AF16))</f>
        <v>0.0</v>
      </c>
      <c r="AG66" s="228">
        <f>IF(AG$4="",0,SUMPRODUCT(--('2. Kalkyldata'!$E$23:$E$27="Bef"),AG12:AG16))</f>
        <v>0.0</v>
      </c>
      <c r="AH66" s="228">
        <f>IF(AH$4="",0,SUMPRODUCT(--('2. Kalkyldata'!$E$23:$E$27="Bef"),AH12:AH16))</f>
        <v>0.0</v>
      </c>
      <c r="AI66" s="228">
        <f>IF(AI$4="",0,SUMPRODUCT(--('2. Kalkyldata'!$E$23:$E$27="Bef"),AI12:AI16))</f>
        <v>0.0</v>
      </c>
      <c r="AJ66" s="228">
        <f>IF(AJ$4="",0,SUMPRODUCT(--('2. Kalkyldata'!$E$23:$E$27="Bef"),AJ12:AJ16))</f>
        <v>0.0</v>
      </c>
      <c r="AK66" s="228">
        <f>IF(AK$4="",0,SUMPRODUCT(--('2. Kalkyldata'!$E$23:$E$27="Bef"),AK12:AK16))</f>
        <v>0.0</v>
      </c>
      <c r="AL66" s="228">
        <f>IF(AL$4="",0,SUMPRODUCT(--('2. Kalkyldata'!$E$23:$E$27="Bef"),AL12:AL16))</f>
        <v>0.0</v>
      </c>
      <c r="AM66" s="228">
        <f>IF(AM$4="",0,SUMPRODUCT(--('2. Kalkyldata'!$E$23:$E$27="Bef"),AM12:AM16))</f>
        <v>0.0</v>
      </c>
      <c r="AN66" s="228">
        <f>IF(AN$4="",0,SUMPRODUCT(--('2. Kalkyldata'!$E$23:$E$27="Bef"),AN12:AN16))</f>
        <v>0.0</v>
      </c>
      <c r="AO66" s="228">
        <f>IF(AO$4="",0,SUMPRODUCT(--('2. Kalkyldata'!$E$23:$E$27="Bef"),AO12:AO16))</f>
        <v>0.0</v>
      </c>
      <c r="AP66" s="228">
        <f>IF(AP$4="",0,SUMPRODUCT(--('2. Kalkyldata'!$E$23:$E$27="Bef"),AP12:AP16))</f>
        <v>0.0</v>
      </c>
      <c r="AQ66" s="228">
        <f>IF(AQ$4="",0,SUMPRODUCT(--('2. Kalkyldata'!$E$23:$E$27="Bef"),AQ12:AQ16))</f>
        <v>0.0</v>
      </c>
      <c r="AR66" s="228">
        <f>IF(AR$4="",0,SUMPRODUCT(--('2. Kalkyldata'!$E$23:$E$27="Bef"),AR12:AR16))</f>
        <v>0.0</v>
      </c>
      <c r="AS66" s="228">
        <f>IF(AS$4="",0,SUMPRODUCT(--('2. Kalkyldata'!$E$23:$E$27="Bef"),AS12:AS16))</f>
        <v>0.0</v>
      </c>
      <c r="AT66" s="228">
        <f>IF(AT$4="",0,SUMPRODUCT(--('2. Kalkyldata'!$E$23:$E$27="Bef"),AT12:AT16))</f>
        <v>0.0</v>
      </c>
      <c r="AU66" s="228">
        <f>IF(AU$4="",0,SUMPRODUCT(--('2. Kalkyldata'!$E$23:$E$27="Bef"),AU12:AU16))</f>
        <v>0.0</v>
      </c>
      <c r="AV66" s="228">
        <f>IF(AV$4="",0,SUMPRODUCT(--('2. Kalkyldata'!$E$23:$E$27="Bef"),AV12:AV16))</f>
        <v>0.0</v>
      </c>
      <c r="AW66" s="228">
        <f>IF(AW$4="",0,SUMPRODUCT(--('2. Kalkyldata'!$E$23:$E$27="Bef"),AW12:AW16))</f>
        <v>0.0</v>
      </c>
      <c r="AX66" s="228">
        <f>IF(AX$4="",0,SUMPRODUCT(--('2. Kalkyldata'!$E$23:$E$27="Bef"),AX12:AX16))</f>
        <v>0.0</v>
      </c>
      <c r="AY66" s="228">
        <f>IF(AY$4="",0,SUMPRODUCT(--('2. Kalkyldata'!$E$23:$E$27="Bef"),AY12:AY16))</f>
        <v>0.0</v>
      </c>
      <c r="AZ66" s="228">
        <f>IF(AZ$4="",0,SUMPRODUCT(--('2. Kalkyldata'!$E$23:$E$27="Bef"),AZ12:AZ16))</f>
        <v>0.0</v>
      </c>
      <c r="BA66" s="228">
        <f>IF(BA$4="",0,SUMPRODUCT(--('2. Kalkyldata'!$E$23:$E$27="Bef"),BA12:BA16))</f>
        <v>0.0</v>
      </c>
    </row>
    <row r="67" spans="2:53">
      <c r="B67" s="227" t="s">
        <v>376</v>
      </c>
      <c r="C67" s="327"/>
      <c r="D67" s="228">
        <f>IF(D$4="",0,-SUMPRODUCT(--('2. Kalkyldata'!$E$23:$E$27="Bef"),1-(D$4&gt;='2. Kalkyldata'!$M$23:$M$27)*(D$4&lt;='2. Kalkyldata'!$N$23:$N$27),D12:D16,'2. Kalkyldata'!$P$23:$P$27))</f>
        <v>-0.0</v>
      </c>
      <c r="E67" s="228">
        <f>IF(E$4="",0,-SUMPRODUCT(--('2. Kalkyldata'!$E$23:$E$27="Bef"),1-(E$4&gt;='2. Kalkyldata'!$M$23:$M$27)*(E$4&lt;='2. Kalkyldata'!$N$23:$N$27),E12:E16,'2. Kalkyldata'!$P$23:$P$27))</f>
        <v>-0.0</v>
      </c>
      <c r="F67" s="228">
        <f>IF(F$4="",0,-SUMPRODUCT(--('2. Kalkyldata'!$E$23:$E$27="Bef"),1-(F$4&gt;='2. Kalkyldata'!$M$23:$M$27)*(F$4&lt;='2. Kalkyldata'!$N$23:$N$27),F12:F16,'2. Kalkyldata'!$P$23:$P$27))</f>
        <v>-0.0</v>
      </c>
      <c r="G67" s="228">
        <f>IF(G$4="",0,-SUMPRODUCT(--('2. Kalkyldata'!$E$23:$E$27="Bef"),1-(G$4&gt;='2. Kalkyldata'!$M$23:$M$27)*(G$4&lt;='2. Kalkyldata'!$N$23:$N$27),G12:G16,'2. Kalkyldata'!$P$23:$P$27))</f>
        <v>-0.0</v>
      </c>
      <c r="H67" s="228">
        <f>IF(H$4="",0,-SUMPRODUCT(--('2. Kalkyldata'!$E$23:$E$27="Bef"),1-(H$4&gt;='2. Kalkyldata'!$M$23:$M$27)*(H$4&lt;='2. Kalkyldata'!$N$23:$N$27),H12:H16,'2. Kalkyldata'!$P$23:$P$27))</f>
        <v>-0.0</v>
      </c>
      <c r="I67" s="228">
        <f>IF(I$4="",0,-SUMPRODUCT(--('2. Kalkyldata'!$E$23:$E$27="Bef"),1-(I$4&gt;='2. Kalkyldata'!$M$23:$M$27)*(I$4&lt;='2. Kalkyldata'!$N$23:$N$27),I12:I16,'2. Kalkyldata'!$P$23:$P$27))</f>
        <v>-0.0</v>
      </c>
      <c r="J67" s="228">
        <f>IF(J$4="",0,-SUMPRODUCT(--('2. Kalkyldata'!$E$23:$E$27="Bef"),1-(J$4&gt;='2. Kalkyldata'!$M$23:$M$27)*(J$4&lt;='2. Kalkyldata'!$N$23:$N$27),J12:J16,'2. Kalkyldata'!$P$23:$P$27))</f>
        <v>-0.0</v>
      </c>
      <c r="K67" s="228">
        <f>IF(K$4="",0,-SUMPRODUCT(--('2. Kalkyldata'!$E$23:$E$27="Bef"),1-(K$4&gt;='2. Kalkyldata'!$M$23:$M$27)*(K$4&lt;='2. Kalkyldata'!$N$23:$N$27),K12:K16,'2. Kalkyldata'!$P$23:$P$27))</f>
        <v>-0.0</v>
      </c>
      <c r="L67" s="228">
        <f>IF(L$4="",0,-SUMPRODUCT(--('2. Kalkyldata'!$E$23:$E$27="Bef"),1-(L$4&gt;='2. Kalkyldata'!$M$23:$M$27)*(L$4&lt;='2. Kalkyldata'!$N$23:$N$27),L12:L16,'2. Kalkyldata'!$P$23:$P$27))</f>
        <v>-0.0</v>
      </c>
      <c r="M67" s="228">
        <f>IF(M$4="",0,-SUMPRODUCT(--('2. Kalkyldata'!$E$23:$E$27="Bef"),1-(M$4&gt;='2. Kalkyldata'!$M$23:$M$27)*(M$4&lt;='2. Kalkyldata'!$N$23:$N$27),M12:M16,'2. Kalkyldata'!$P$23:$P$27))</f>
        <v>-0.0</v>
      </c>
      <c r="N67" s="228">
        <f>IF(N$4="",0,-SUMPRODUCT(--('2. Kalkyldata'!$E$23:$E$27="Bef"),1-(N$4&gt;='2. Kalkyldata'!$M$23:$M$27)*(N$4&lt;='2. Kalkyldata'!$N$23:$N$27),N12:N16,'2. Kalkyldata'!$P$23:$P$27))</f>
        <v>-0.0</v>
      </c>
      <c r="O67" s="228">
        <f>IF(O$4="",0,-SUMPRODUCT(--('2. Kalkyldata'!$E$23:$E$27="Bef"),1-(O$4&gt;='2. Kalkyldata'!$M$23:$M$27)*(O$4&lt;='2. Kalkyldata'!$N$23:$N$27),O12:O16,'2. Kalkyldata'!$P$23:$P$27))</f>
        <v>-0.0</v>
      </c>
      <c r="P67" s="228">
        <f>IF(P$4="",0,-SUMPRODUCT(--('2. Kalkyldata'!$E$23:$E$27="Bef"),1-(P$4&gt;='2. Kalkyldata'!$M$23:$M$27)*(P$4&lt;='2. Kalkyldata'!$N$23:$N$27),P12:P16,'2. Kalkyldata'!$P$23:$P$27))</f>
        <v>-0.0</v>
      </c>
      <c r="Q67" s="228">
        <f>IF(Q$4="",0,-SUMPRODUCT(--('2. Kalkyldata'!$E$23:$E$27="Bef"),1-(Q$4&gt;='2. Kalkyldata'!$M$23:$M$27)*(Q$4&lt;='2. Kalkyldata'!$N$23:$N$27),Q12:Q16,'2. Kalkyldata'!$P$23:$P$27))</f>
        <v>-0.0</v>
      </c>
      <c r="R67" s="228">
        <f>IF(R$4="",0,-SUMPRODUCT(--('2. Kalkyldata'!$E$23:$E$27="Bef"),1-(R$4&gt;='2. Kalkyldata'!$M$23:$M$27)*(R$4&lt;='2. Kalkyldata'!$N$23:$N$27),R12:R16,'2. Kalkyldata'!$P$23:$P$27))</f>
        <v>-0.0</v>
      </c>
      <c r="S67" s="228">
        <f>IF(S$4="",0,-SUMPRODUCT(--('2. Kalkyldata'!$E$23:$E$27="Bef"),1-(S$4&gt;='2. Kalkyldata'!$M$23:$M$27)*(S$4&lt;='2. Kalkyldata'!$N$23:$N$27),S12:S16,'2. Kalkyldata'!$P$23:$P$27))</f>
        <v>-0.0</v>
      </c>
      <c r="T67" s="228">
        <f>IF(T$4="",0,-SUMPRODUCT(--('2. Kalkyldata'!$E$23:$E$27="Bef"),1-(T$4&gt;='2. Kalkyldata'!$M$23:$M$27)*(T$4&lt;='2. Kalkyldata'!$N$23:$N$27),T12:T16,'2. Kalkyldata'!$P$23:$P$27))</f>
        <v>-0.0</v>
      </c>
      <c r="U67" s="228">
        <f>IF(U$4="",0,-SUMPRODUCT(--('2. Kalkyldata'!$E$23:$E$27="Bef"),1-(U$4&gt;='2. Kalkyldata'!$M$23:$M$27)*(U$4&lt;='2. Kalkyldata'!$N$23:$N$27),U12:U16,'2. Kalkyldata'!$P$23:$P$27))</f>
        <v>-0.0</v>
      </c>
      <c r="V67" s="228">
        <f>IF(V$4="",0,-SUMPRODUCT(--('2. Kalkyldata'!$E$23:$E$27="Bef"),1-(V$4&gt;='2. Kalkyldata'!$M$23:$M$27)*(V$4&lt;='2. Kalkyldata'!$N$23:$N$27),V12:V16,'2. Kalkyldata'!$P$23:$P$27))</f>
        <v>-0.0</v>
      </c>
      <c r="W67" s="228">
        <f>IF(W$4="",0,-SUMPRODUCT(--('2. Kalkyldata'!$E$23:$E$27="Bef"),1-(W$4&gt;='2. Kalkyldata'!$M$23:$M$27)*(W$4&lt;='2. Kalkyldata'!$N$23:$N$27),W12:W16,'2. Kalkyldata'!$P$23:$P$27))</f>
        <v>-0.0</v>
      </c>
      <c r="X67" s="228">
        <f>IF(X$4="",0,-SUMPRODUCT(--('2. Kalkyldata'!$E$23:$E$27="Bef"),1-(X$4&gt;='2. Kalkyldata'!$M$23:$M$27)*(X$4&lt;='2. Kalkyldata'!$N$23:$N$27),X12:X16,'2. Kalkyldata'!$P$23:$P$27))</f>
        <v>-0.0</v>
      </c>
      <c r="Y67" s="228">
        <f>IF(Y$4="",0,-SUMPRODUCT(--('2. Kalkyldata'!$E$23:$E$27="Bef"),1-(Y$4&gt;='2. Kalkyldata'!$M$23:$M$27)*(Y$4&lt;='2. Kalkyldata'!$N$23:$N$27),Y12:Y16,'2. Kalkyldata'!$P$23:$P$27))</f>
        <v>0.0</v>
      </c>
      <c r="Z67" s="228">
        <f>IF(Z$4="",0,-SUMPRODUCT(--('2. Kalkyldata'!$E$23:$E$27="Bef"),1-(Z$4&gt;='2. Kalkyldata'!$M$23:$M$27)*(Z$4&lt;='2. Kalkyldata'!$N$23:$N$27),Z12:Z16,'2. Kalkyldata'!$P$23:$P$27))</f>
        <v>0.0</v>
      </c>
      <c r="AA67" s="228">
        <f>IF(AA$4="",0,-SUMPRODUCT(--('2. Kalkyldata'!$E$23:$E$27="Bef"),1-(AA$4&gt;='2. Kalkyldata'!$M$23:$M$27)*(AA$4&lt;='2. Kalkyldata'!$N$23:$N$27),AA12:AA16,'2. Kalkyldata'!$P$23:$P$27))</f>
        <v>0.0</v>
      </c>
      <c r="AB67" s="228">
        <f>IF(AB$4="",0,-SUMPRODUCT(--('2. Kalkyldata'!$E$23:$E$27="Bef"),1-(AB$4&gt;='2. Kalkyldata'!$M$23:$M$27)*(AB$4&lt;='2. Kalkyldata'!$N$23:$N$27),AB12:AB16,'2. Kalkyldata'!$P$23:$P$27))</f>
        <v>0.0</v>
      </c>
      <c r="AC67" s="228">
        <f>IF(AC$4="",0,-SUMPRODUCT(--('2. Kalkyldata'!$E$23:$E$27="Bef"),1-(AC$4&gt;='2. Kalkyldata'!$M$23:$M$27)*(AC$4&lt;='2. Kalkyldata'!$N$23:$N$27),AC12:AC16,'2. Kalkyldata'!$P$23:$P$27))</f>
        <v>0.0</v>
      </c>
      <c r="AD67" s="228">
        <f>IF(AD$4="",0,-SUMPRODUCT(--('2. Kalkyldata'!$E$23:$E$27="Bef"),1-(AD$4&gt;='2. Kalkyldata'!$M$23:$M$27)*(AD$4&lt;='2. Kalkyldata'!$N$23:$N$27),AD12:AD16,'2. Kalkyldata'!$P$23:$P$27))</f>
        <v>0.0</v>
      </c>
      <c r="AE67" s="228">
        <f>IF(AE$4="",0,-SUMPRODUCT(--('2. Kalkyldata'!$E$23:$E$27="Bef"),1-(AE$4&gt;='2. Kalkyldata'!$M$23:$M$27)*(AE$4&lt;='2. Kalkyldata'!$N$23:$N$27),AE12:AE16,'2. Kalkyldata'!$P$23:$P$27))</f>
        <v>0.0</v>
      </c>
      <c r="AF67" s="228">
        <f>IF(AF$4="",0,-SUMPRODUCT(--('2. Kalkyldata'!$E$23:$E$27="Bef"),1-(AF$4&gt;='2. Kalkyldata'!$M$23:$M$27)*(AF$4&lt;='2. Kalkyldata'!$N$23:$N$27),AF12:AF16,'2. Kalkyldata'!$P$23:$P$27))</f>
        <v>0.0</v>
      </c>
      <c r="AG67" s="228">
        <f>IF(AG$4="",0,-SUMPRODUCT(--('2. Kalkyldata'!$E$23:$E$27="Bef"),1-(AG$4&gt;='2. Kalkyldata'!$M$23:$M$27)*(AG$4&lt;='2. Kalkyldata'!$N$23:$N$27),AG12:AG16,'2. Kalkyldata'!$P$23:$P$27))</f>
        <v>0.0</v>
      </c>
      <c r="AH67" s="228">
        <f>IF(AH$4="",0,-SUMPRODUCT(--('2. Kalkyldata'!$E$23:$E$27="Bef"),1-(AH$4&gt;='2. Kalkyldata'!$M$23:$M$27)*(AH$4&lt;='2. Kalkyldata'!$N$23:$N$27),AH12:AH16,'2. Kalkyldata'!$P$23:$P$27))</f>
        <v>0.0</v>
      </c>
      <c r="AI67" s="228">
        <f>IF(AI$4="",0,-SUMPRODUCT(--('2. Kalkyldata'!$E$23:$E$27="Bef"),1-(AI$4&gt;='2. Kalkyldata'!$M$23:$M$27)*(AI$4&lt;='2. Kalkyldata'!$N$23:$N$27),AI12:AI16,'2. Kalkyldata'!$P$23:$P$27))</f>
        <v>0.0</v>
      </c>
      <c r="AJ67" s="228">
        <f>IF(AJ$4="",0,-SUMPRODUCT(--('2. Kalkyldata'!$E$23:$E$27="Bef"),1-(AJ$4&gt;='2. Kalkyldata'!$M$23:$M$27)*(AJ$4&lt;='2. Kalkyldata'!$N$23:$N$27),AJ12:AJ16,'2. Kalkyldata'!$P$23:$P$27))</f>
        <v>0.0</v>
      </c>
      <c r="AK67" s="228">
        <f>IF(AK$4="",0,-SUMPRODUCT(--('2. Kalkyldata'!$E$23:$E$27="Bef"),1-(AK$4&gt;='2. Kalkyldata'!$M$23:$M$27)*(AK$4&lt;='2. Kalkyldata'!$N$23:$N$27),AK12:AK16,'2. Kalkyldata'!$P$23:$P$27))</f>
        <v>0.0</v>
      </c>
      <c r="AL67" s="228">
        <f>IF(AL$4="",0,-SUMPRODUCT(--('2. Kalkyldata'!$E$23:$E$27="Bef"),1-(AL$4&gt;='2. Kalkyldata'!$M$23:$M$27)*(AL$4&lt;='2. Kalkyldata'!$N$23:$N$27),AL12:AL16,'2. Kalkyldata'!$P$23:$P$27))</f>
        <v>0.0</v>
      </c>
      <c r="AM67" s="228">
        <f>IF(AM$4="",0,-SUMPRODUCT(--('2. Kalkyldata'!$E$23:$E$27="Bef"),1-(AM$4&gt;='2. Kalkyldata'!$M$23:$M$27)*(AM$4&lt;='2. Kalkyldata'!$N$23:$N$27),AM12:AM16,'2. Kalkyldata'!$P$23:$P$27))</f>
        <v>0.0</v>
      </c>
      <c r="AN67" s="228">
        <f>IF(AN$4="",0,-SUMPRODUCT(--('2. Kalkyldata'!$E$23:$E$27="Bef"),1-(AN$4&gt;='2. Kalkyldata'!$M$23:$M$27)*(AN$4&lt;='2. Kalkyldata'!$N$23:$N$27),AN12:AN16,'2. Kalkyldata'!$P$23:$P$27))</f>
        <v>0.0</v>
      </c>
      <c r="AO67" s="228">
        <f>IF(AO$4="",0,-SUMPRODUCT(--('2. Kalkyldata'!$E$23:$E$27="Bef"),1-(AO$4&gt;='2. Kalkyldata'!$M$23:$M$27)*(AO$4&lt;='2. Kalkyldata'!$N$23:$N$27),AO12:AO16,'2. Kalkyldata'!$P$23:$P$27))</f>
        <v>0.0</v>
      </c>
      <c r="AP67" s="228">
        <f>IF(AP$4="",0,-SUMPRODUCT(--('2. Kalkyldata'!$E$23:$E$27="Bef"),1-(AP$4&gt;='2. Kalkyldata'!$M$23:$M$27)*(AP$4&lt;='2. Kalkyldata'!$N$23:$N$27),AP12:AP16,'2. Kalkyldata'!$P$23:$P$27))</f>
        <v>0.0</v>
      </c>
      <c r="AQ67" s="228">
        <f>IF(AQ$4="",0,-SUMPRODUCT(--('2. Kalkyldata'!$E$23:$E$27="Bef"),1-(AQ$4&gt;='2. Kalkyldata'!$M$23:$M$27)*(AQ$4&lt;='2. Kalkyldata'!$N$23:$N$27),AQ12:AQ16,'2. Kalkyldata'!$P$23:$P$27))</f>
        <v>0.0</v>
      </c>
      <c r="AR67" s="228">
        <f>IF(AR$4="",0,-SUMPRODUCT(--('2. Kalkyldata'!$E$23:$E$27="Bef"),1-(AR$4&gt;='2. Kalkyldata'!$M$23:$M$27)*(AR$4&lt;='2. Kalkyldata'!$N$23:$N$27),AR12:AR16,'2. Kalkyldata'!$P$23:$P$27))</f>
        <v>0.0</v>
      </c>
      <c r="AS67" s="228">
        <f>IF(AS$4="",0,-SUMPRODUCT(--('2. Kalkyldata'!$E$23:$E$27="Bef"),1-(AS$4&gt;='2. Kalkyldata'!$M$23:$M$27)*(AS$4&lt;='2. Kalkyldata'!$N$23:$N$27),AS12:AS16,'2. Kalkyldata'!$P$23:$P$27))</f>
        <v>0.0</v>
      </c>
      <c r="AT67" s="228">
        <f>IF(AT$4="",0,-SUMPRODUCT(--('2. Kalkyldata'!$E$23:$E$27="Bef"),1-(AT$4&gt;='2. Kalkyldata'!$M$23:$M$27)*(AT$4&lt;='2. Kalkyldata'!$N$23:$N$27),AT12:AT16,'2. Kalkyldata'!$P$23:$P$27))</f>
        <v>0.0</v>
      </c>
      <c r="AU67" s="228">
        <f>IF(AU$4="",0,-SUMPRODUCT(--('2. Kalkyldata'!$E$23:$E$27="Bef"),1-(AU$4&gt;='2. Kalkyldata'!$M$23:$M$27)*(AU$4&lt;='2. Kalkyldata'!$N$23:$N$27),AU12:AU16,'2. Kalkyldata'!$P$23:$P$27))</f>
        <v>0.0</v>
      </c>
      <c r="AV67" s="228">
        <f>IF(AV$4="",0,-SUMPRODUCT(--('2. Kalkyldata'!$E$23:$E$27="Bef"),1-(AV$4&gt;='2. Kalkyldata'!$M$23:$M$27)*(AV$4&lt;='2. Kalkyldata'!$N$23:$N$27),AV12:AV16,'2. Kalkyldata'!$P$23:$P$27))</f>
        <v>0.0</v>
      </c>
      <c r="AW67" s="228">
        <f>IF(AW$4="",0,-SUMPRODUCT(--('2. Kalkyldata'!$E$23:$E$27="Bef"),1-(AW$4&gt;='2. Kalkyldata'!$M$23:$M$27)*(AW$4&lt;='2. Kalkyldata'!$N$23:$N$27),AW12:AW16,'2. Kalkyldata'!$P$23:$P$27))</f>
        <v>0.0</v>
      </c>
      <c r="AX67" s="228">
        <f>IF(AX$4="",0,-SUMPRODUCT(--('2. Kalkyldata'!$E$23:$E$27="Bef"),1-(AX$4&gt;='2. Kalkyldata'!$M$23:$M$27)*(AX$4&lt;='2. Kalkyldata'!$N$23:$N$27),AX12:AX16,'2. Kalkyldata'!$P$23:$P$27))</f>
        <v>0.0</v>
      </c>
      <c r="AY67" s="228">
        <f>IF(AY$4="",0,-SUMPRODUCT(--('2. Kalkyldata'!$E$23:$E$27="Bef"),1-(AY$4&gt;='2. Kalkyldata'!$M$23:$M$27)*(AY$4&lt;='2. Kalkyldata'!$N$23:$N$27),AY12:AY16,'2. Kalkyldata'!$P$23:$P$27))</f>
        <v>0.0</v>
      </c>
      <c r="AZ67" s="228">
        <f>IF(AZ$4="",0,-SUMPRODUCT(--('2. Kalkyldata'!$E$23:$E$27="Bef"),1-(AZ$4&gt;='2. Kalkyldata'!$M$23:$M$27)*(AZ$4&lt;='2. Kalkyldata'!$N$23:$N$27),AZ12:AZ16,'2. Kalkyldata'!$P$23:$P$27))</f>
        <v>0.0</v>
      </c>
      <c r="BA67" s="228">
        <f>IF(BA$4="",0,-SUMPRODUCT(--('2. Kalkyldata'!$E$23:$E$27="Bef"),1-(BA$4&gt;='2. Kalkyldata'!$M$23:$M$27)*(BA$4&lt;='2. Kalkyldata'!$N$23:$N$27),BA12:BA16,'2. Kalkyldata'!$P$23:$P$27))</f>
        <v>0.0</v>
      </c>
    </row>
    <row r="68" spans="2:53">
      <c r="B68" s="227" t="s">
        <v>377</v>
      </c>
      <c r="C68" s="327"/>
      <c r="D68" s="228">
        <f>IF(D$4="",0,-D65*(1+Inflation)^(D$5-1)*(BefFastighetsskötsel*(1+IF($D$4+Höjnin1&lt;=D$4,TioÅrFastighetsskötsel,0)+IF($D$4+Höjning2&lt;=D$4,FemtonÅrFastighetsskötsel,0))+BefReparationer*(1+IF($D$4+Höjnin1&lt;=D$4,TioÅrReparationer,0)+IF($D$4+Höjning2&lt;=D$4,FemtonÅrReparationer,0))+BefPlaneratunderhåll*(1+IF($D$4+Höjnin1&lt;=D$4,TioÅrPlaneratUnderhåll,0)+IF($D$4+Höjning2&lt;=D$4,FemtonÅrPlaneratUnderhåll,0))+BefMedia*(1+IF($D$4+Höjnin1&lt;=D$4,TioÅrMedia,0)+IF($D$4+Höjning2&lt;=D$4,FemtonÅrMedia,0))+BefÖvrigaförvaltningskostnader*(1+IF($D$4+Höjnin1&lt;=D$4,TioÅrÖvrigaFörvaltningskostnader,0)+IF($D$4+Höjning2&lt;=D$4,FemtonÅrÖvrigaFörvaltningskostnader,0))))</f>
        <v>-0.0</v>
      </c>
      <c r="E68" s="228">
        <f>IF(E$4="",0,-E65*(1+Inflation)^(E$5-1)*(BefFastighetsskötsel*(1+IF($D$4+Höjnin1&lt;=E$4,TioÅrFastighetsskötsel,0)+IF($D$4+Höjning2&lt;=E$4,FemtonÅrFastighetsskötsel,0))+BefReparationer*(1+IF($D$4+Höjnin1&lt;=E$4,TioÅrReparationer,0)+IF($D$4+Höjning2&lt;=E$4,FemtonÅrReparationer,0))+BefPlaneratunderhåll*(1+IF($D$4+Höjnin1&lt;=E$4,TioÅrPlaneratUnderhåll,0)+IF($D$4+Höjning2&lt;=E$4,FemtonÅrPlaneratUnderhåll,0))+BefMedia*(1+IF($D$4+Höjnin1&lt;=E$4,TioÅrMedia,0)+IF($D$4+Höjning2&lt;=E$4,FemtonÅrMedia,0))+BefÖvrigaförvaltningskostnader*(1+IF($D$4+Höjnin1&lt;=E$4,TioÅrÖvrigaFörvaltningskostnader,0)+IF($D$4+Höjning2&lt;=E$4,FemtonÅrÖvrigaFörvaltningskostnader,0))))</f>
        <v>-0.0</v>
      </c>
      <c r="F68" s="228">
        <f>IF(F$4="",0,-F65*(1+Inflation)^(F$5-1)*(BefFastighetsskötsel*(1+IF($D$4+Höjnin1&lt;=F$4,TioÅrFastighetsskötsel,0)+IF($D$4+Höjning2&lt;=F$4,FemtonÅrFastighetsskötsel,0))+BefReparationer*(1+IF($D$4+Höjnin1&lt;=F$4,TioÅrReparationer,0)+IF($D$4+Höjning2&lt;=F$4,FemtonÅrReparationer,0))+BefPlaneratunderhåll*(1+IF($D$4+Höjnin1&lt;=F$4,TioÅrPlaneratUnderhåll,0)+IF($D$4+Höjning2&lt;=F$4,FemtonÅrPlaneratUnderhåll,0))+BefMedia*(1+IF($D$4+Höjnin1&lt;=F$4,TioÅrMedia,0)+IF($D$4+Höjning2&lt;=F$4,FemtonÅrMedia,0))+BefÖvrigaförvaltningskostnader*(1+IF($D$4+Höjnin1&lt;=F$4,TioÅrÖvrigaFörvaltningskostnader,0)+IF($D$4+Höjning2&lt;=F$4,FemtonÅrÖvrigaFörvaltningskostnader,0))))</f>
        <v>-0.0</v>
      </c>
      <c r="G68" s="228">
        <f>IF(G$4="",0,-G65*(1+Inflation)^(G$5-1)*(BefFastighetsskötsel*(1+IF($D$4+Höjnin1&lt;=G$4,TioÅrFastighetsskötsel,0)+IF($D$4+Höjning2&lt;=G$4,FemtonÅrFastighetsskötsel,0))+BefReparationer*(1+IF($D$4+Höjnin1&lt;=G$4,TioÅrReparationer,0)+IF($D$4+Höjning2&lt;=G$4,FemtonÅrReparationer,0))+BefPlaneratunderhåll*(1+IF($D$4+Höjnin1&lt;=G$4,TioÅrPlaneratUnderhåll,0)+IF($D$4+Höjning2&lt;=G$4,FemtonÅrPlaneratUnderhåll,0))+BefMedia*(1+IF($D$4+Höjnin1&lt;=G$4,TioÅrMedia,0)+IF($D$4+Höjning2&lt;=G$4,FemtonÅrMedia,0))+BefÖvrigaförvaltningskostnader*(1+IF($D$4+Höjnin1&lt;=G$4,TioÅrÖvrigaFörvaltningskostnader,0)+IF($D$4+Höjning2&lt;=G$4,FemtonÅrÖvrigaFörvaltningskostnader,0))))</f>
        <v>-0.0</v>
      </c>
      <c r="H68" s="228">
        <f>IF(H$4="",0,-H65*(1+Inflation)^(H$5-1)*(BefFastighetsskötsel*(1+IF($D$4+Höjnin1&lt;=H$4,TioÅrFastighetsskötsel,0)+IF($D$4+Höjning2&lt;=H$4,FemtonÅrFastighetsskötsel,0))+BefReparationer*(1+IF($D$4+Höjnin1&lt;=H$4,TioÅrReparationer,0)+IF($D$4+Höjning2&lt;=H$4,FemtonÅrReparationer,0))+BefPlaneratunderhåll*(1+IF($D$4+Höjnin1&lt;=H$4,TioÅrPlaneratUnderhåll,0)+IF($D$4+Höjning2&lt;=H$4,FemtonÅrPlaneratUnderhåll,0))+BefMedia*(1+IF($D$4+Höjnin1&lt;=H$4,TioÅrMedia,0)+IF($D$4+Höjning2&lt;=H$4,FemtonÅrMedia,0))+BefÖvrigaförvaltningskostnader*(1+IF($D$4+Höjnin1&lt;=H$4,TioÅrÖvrigaFörvaltningskostnader,0)+IF($D$4+Höjning2&lt;=H$4,FemtonÅrÖvrigaFörvaltningskostnader,0))))</f>
        <v>-0.0</v>
      </c>
      <c r="I68" s="228">
        <f>IF(I$4="",0,-I65*(1+Inflation)^(I$5-1)*(BefFastighetsskötsel*(1+IF($D$4+Höjnin1&lt;=I$4,TioÅrFastighetsskötsel,0)+IF($D$4+Höjning2&lt;=I$4,FemtonÅrFastighetsskötsel,0))+BefReparationer*(1+IF($D$4+Höjnin1&lt;=I$4,TioÅrReparationer,0)+IF($D$4+Höjning2&lt;=I$4,FemtonÅrReparationer,0))+BefPlaneratunderhåll*(1+IF($D$4+Höjnin1&lt;=I$4,TioÅrPlaneratUnderhåll,0)+IF($D$4+Höjning2&lt;=I$4,FemtonÅrPlaneratUnderhåll,0))+BefMedia*(1+IF($D$4+Höjnin1&lt;=I$4,TioÅrMedia,0)+IF($D$4+Höjning2&lt;=I$4,FemtonÅrMedia,0))+BefÖvrigaförvaltningskostnader*(1+IF($D$4+Höjnin1&lt;=I$4,TioÅrÖvrigaFörvaltningskostnader,0)+IF($D$4+Höjning2&lt;=I$4,FemtonÅrÖvrigaFörvaltningskostnader,0))))</f>
        <v>-0.0</v>
      </c>
      <c r="J68" s="228">
        <f>IF(J$4="",0,-J65*(1+Inflation)^(J$5-1)*(BefFastighetsskötsel*(1+IF($D$4+Höjnin1&lt;=J$4,TioÅrFastighetsskötsel,0)+IF($D$4+Höjning2&lt;=J$4,FemtonÅrFastighetsskötsel,0))+BefReparationer*(1+IF($D$4+Höjnin1&lt;=J$4,TioÅrReparationer,0)+IF($D$4+Höjning2&lt;=J$4,FemtonÅrReparationer,0))+BefPlaneratunderhåll*(1+IF($D$4+Höjnin1&lt;=J$4,TioÅrPlaneratUnderhåll,0)+IF($D$4+Höjning2&lt;=J$4,FemtonÅrPlaneratUnderhåll,0))+BefMedia*(1+IF($D$4+Höjnin1&lt;=J$4,TioÅrMedia,0)+IF($D$4+Höjning2&lt;=J$4,FemtonÅrMedia,0))+BefÖvrigaförvaltningskostnader*(1+IF($D$4+Höjnin1&lt;=J$4,TioÅrÖvrigaFörvaltningskostnader,0)+IF($D$4+Höjning2&lt;=J$4,FemtonÅrÖvrigaFörvaltningskostnader,0))))</f>
        <v>-0.0</v>
      </c>
      <c r="K68" s="228">
        <f>IF(K$4="",0,-K65*(1+Inflation)^(K$5-1)*(BefFastighetsskötsel*(1+IF($D$4+Höjnin1&lt;=K$4,TioÅrFastighetsskötsel,0)+IF($D$4+Höjning2&lt;=K$4,FemtonÅrFastighetsskötsel,0))+BefReparationer*(1+IF($D$4+Höjnin1&lt;=K$4,TioÅrReparationer,0)+IF($D$4+Höjning2&lt;=K$4,FemtonÅrReparationer,0))+BefPlaneratunderhåll*(1+IF($D$4+Höjnin1&lt;=K$4,TioÅrPlaneratUnderhåll,0)+IF($D$4+Höjning2&lt;=K$4,FemtonÅrPlaneratUnderhåll,0))+BefMedia*(1+IF($D$4+Höjnin1&lt;=K$4,TioÅrMedia,0)+IF($D$4+Höjning2&lt;=K$4,FemtonÅrMedia,0))+BefÖvrigaförvaltningskostnader*(1+IF($D$4+Höjnin1&lt;=K$4,TioÅrÖvrigaFörvaltningskostnader,0)+IF($D$4+Höjning2&lt;=K$4,FemtonÅrÖvrigaFörvaltningskostnader,0))))</f>
        <v>-0.0</v>
      </c>
      <c r="L68" s="228">
        <f>IF(L$4="",0,-L65*(1+Inflation)^(L$5-1)*(BefFastighetsskötsel*(1+IF($D$4+Höjnin1&lt;=L$4,TioÅrFastighetsskötsel,0)+IF($D$4+Höjning2&lt;=L$4,FemtonÅrFastighetsskötsel,0))+BefReparationer*(1+IF($D$4+Höjnin1&lt;=L$4,TioÅrReparationer,0)+IF($D$4+Höjning2&lt;=L$4,FemtonÅrReparationer,0))+BefPlaneratunderhåll*(1+IF($D$4+Höjnin1&lt;=L$4,TioÅrPlaneratUnderhåll,0)+IF($D$4+Höjning2&lt;=L$4,FemtonÅrPlaneratUnderhåll,0))+BefMedia*(1+IF($D$4+Höjnin1&lt;=L$4,TioÅrMedia,0)+IF($D$4+Höjning2&lt;=L$4,FemtonÅrMedia,0))+BefÖvrigaförvaltningskostnader*(1+IF($D$4+Höjnin1&lt;=L$4,TioÅrÖvrigaFörvaltningskostnader,0)+IF($D$4+Höjning2&lt;=L$4,FemtonÅrÖvrigaFörvaltningskostnader,0))))</f>
        <v>-0.0</v>
      </c>
      <c r="M68" s="228">
        <f>IF(M$4="",0,-M65*(1+Inflation)^(M$5-1)*(BefFastighetsskötsel*(1+IF($D$4+Höjnin1&lt;=M$4,TioÅrFastighetsskötsel,0)+IF($D$4+Höjning2&lt;=M$4,FemtonÅrFastighetsskötsel,0))+BefReparationer*(1+IF($D$4+Höjnin1&lt;=M$4,TioÅrReparationer,0)+IF($D$4+Höjning2&lt;=M$4,FemtonÅrReparationer,0))+BefPlaneratunderhåll*(1+IF($D$4+Höjnin1&lt;=M$4,TioÅrPlaneratUnderhåll,0)+IF($D$4+Höjning2&lt;=M$4,FemtonÅrPlaneratUnderhåll,0))+BefMedia*(1+IF($D$4+Höjnin1&lt;=M$4,TioÅrMedia,0)+IF($D$4+Höjning2&lt;=M$4,FemtonÅrMedia,0))+BefÖvrigaförvaltningskostnader*(1+IF($D$4+Höjnin1&lt;=M$4,TioÅrÖvrigaFörvaltningskostnader,0)+IF($D$4+Höjning2&lt;=M$4,FemtonÅrÖvrigaFörvaltningskostnader,0))))</f>
        <v>-0.0</v>
      </c>
      <c r="N68" s="228">
        <f>IF(N$4="",0,-N65*(1+Inflation)^(N$5-1)*(BefFastighetsskötsel*(1+IF($D$4+Höjnin1&lt;=N$4,TioÅrFastighetsskötsel,0)+IF($D$4+Höjning2&lt;=N$4,FemtonÅrFastighetsskötsel,0))+BefReparationer*(1+IF($D$4+Höjnin1&lt;=N$4,TioÅrReparationer,0)+IF($D$4+Höjning2&lt;=N$4,FemtonÅrReparationer,0))+BefPlaneratunderhåll*(1+IF($D$4+Höjnin1&lt;=N$4,TioÅrPlaneratUnderhåll,0)+IF($D$4+Höjning2&lt;=N$4,FemtonÅrPlaneratUnderhåll,0))+BefMedia*(1+IF($D$4+Höjnin1&lt;=N$4,TioÅrMedia,0)+IF($D$4+Höjning2&lt;=N$4,FemtonÅrMedia,0))+BefÖvrigaförvaltningskostnader*(1+IF($D$4+Höjnin1&lt;=N$4,TioÅrÖvrigaFörvaltningskostnader,0)+IF($D$4+Höjning2&lt;=N$4,FemtonÅrÖvrigaFörvaltningskostnader,0))))</f>
        <v>-0.0</v>
      </c>
      <c r="O68" s="228">
        <f>IF(O$4="",0,-O65*(1+Inflation)^(O$5-1)*(BefFastighetsskötsel*(1+IF($D$4+Höjnin1&lt;=O$4,TioÅrFastighetsskötsel,0)+IF($D$4+Höjning2&lt;=O$4,FemtonÅrFastighetsskötsel,0))+BefReparationer*(1+IF($D$4+Höjnin1&lt;=O$4,TioÅrReparationer,0)+IF($D$4+Höjning2&lt;=O$4,FemtonÅrReparationer,0))+BefPlaneratunderhåll*(1+IF($D$4+Höjnin1&lt;=O$4,TioÅrPlaneratUnderhåll,0)+IF($D$4+Höjning2&lt;=O$4,FemtonÅrPlaneratUnderhåll,0))+BefMedia*(1+IF($D$4+Höjnin1&lt;=O$4,TioÅrMedia,0)+IF($D$4+Höjning2&lt;=O$4,FemtonÅrMedia,0))+BefÖvrigaförvaltningskostnader*(1+IF($D$4+Höjnin1&lt;=O$4,TioÅrÖvrigaFörvaltningskostnader,0)+IF($D$4+Höjning2&lt;=O$4,FemtonÅrÖvrigaFörvaltningskostnader,0))))</f>
        <v>-0.0</v>
      </c>
      <c r="P68" s="228">
        <f>IF(P$4="",0,-P65*(1+Inflation)^(P$5-1)*(BefFastighetsskötsel*(1+IF($D$4+Höjnin1&lt;=P$4,TioÅrFastighetsskötsel,0)+IF($D$4+Höjning2&lt;=P$4,FemtonÅrFastighetsskötsel,0))+BefReparationer*(1+IF($D$4+Höjnin1&lt;=P$4,TioÅrReparationer,0)+IF($D$4+Höjning2&lt;=P$4,FemtonÅrReparationer,0))+BefPlaneratunderhåll*(1+IF($D$4+Höjnin1&lt;=P$4,TioÅrPlaneratUnderhåll,0)+IF($D$4+Höjning2&lt;=P$4,FemtonÅrPlaneratUnderhåll,0))+BefMedia*(1+IF($D$4+Höjnin1&lt;=P$4,TioÅrMedia,0)+IF($D$4+Höjning2&lt;=P$4,FemtonÅrMedia,0))+BefÖvrigaförvaltningskostnader*(1+IF($D$4+Höjnin1&lt;=P$4,TioÅrÖvrigaFörvaltningskostnader,0)+IF($D$4+Höjning2&lt;=P$4,FemtonÅrÖvrigaFörvaltningskostnader,0))))</f>
        <v>-0.0</v>
      </c>
      <c r="Q68" s="228">
        <f>IF(Q$4="",0,-Q65*(1+Inflation)^(Q$5-1)*(BefFastighetsskötsel*(1+IF($D$4+Höjnin1&lt;=Q$4,TioÅrFastighetsskötsel,0)+IF($D$4+Höjning2&lt;=Q$4,FemtonÅrFastighetsskötsel,0))+BefReparationer*(1+IF($D$4+Höjnin1&lt;=Q$4,TioÅrReparationer,0)+IF($D$4+Höjning2&lt;=Q$4,FemtonÅrReparationer,0))+BefPlaneratunderhåll*(1+IF($D$4+Höjnin1&lt;=Q$4,TioÅrPlaneratUnderhåll,0)+IF($D$4+Höjning2&lt;=Q$4,FemtonÅrPlaneratUnderhåll,0))+BefMedia*(1+IF($D$4+Höjnin1&lt;=Q$4,TioÅrMedia,0)+IF($D$4+Höjning2&lt;=Q$4,FemtonÅrMedia,0))+BefÖvrigaförvaltningskostnader*(1+IF($D$4+Höjnin1&lt;=Q$4,TioÅrÖvrigaFörvaltningskostnader,0)+IF($D$4+Höjning2&lt;=Q$4,FemtonÅrÖvrigaFörvaltningskostnader,0))))</f>
        <v>-0.0</v>
      </c>
      <c r="R68" s="228">
        <f>IF(R$4="",0,-R65*(1+Inflation)^(R$5-1)*(BefFastighetsskötsel*(1+IF($D$4+Höjnin1&lt;=R$4,TioÅrFastighetsskötsel,0)+IF($D$4+Höjning2&lt;=R$4,FemtonÅrFastighetsskötsel,0))+BefReparationer*(1+IF($D$4+Höjnin1&lt;=R$4,TioÅrReparationer,0)+IF($D$4+Höjning2&lt;=R$4,FemtonÅrReparationer,0))+BefPlaneratunderhåll*(1+IF($D$4+Höjnin1&lt;=R$4,TioÅrPlaneratUnderhåll,0)+IF($D$4+Höjning2&lt;=R$4,FemtonÅrPlaneratUnderhåll,0))+BefMedia*(1+IF($D$4+Höjnin1&lt;=R$4,TioÅrMedia,0)+IF($D$4+Höjning2&lt;=R$4,FemtonÅrMedia,0))+BefÖvrigaförvaltningskostnader*(1+IF($D$4+Höjnin1&lt;=R$4,TioÅrÖvrigaFörvaltningskostnader,0)+IF($D$4+Höjning2&lt;=R$4,FemtonÅrÖvrigaFörvaltningskostnader,0))))</f>
        <v>-0.0</v>
      </c>
      <c r="S68" s="228">
        <f>IF(S$4="",0,-S65*(1+Inflation)^(S$5-1)*(BefFastighetsskötsel*(1+IF($D$4+Höjnin1&lt;=S$4,TioÅrFastighetsskötsel,0)+IF($D$4+Höjning2&lt;=S$4,FemtonÅrFastighetsskötsel,0))+BefReparationer*(1+IF($D$4+Höjnin1&lt;=S$4,TioÅrReparationer,0)+IF($D$4+Höjning2&lt;=S$4,FemtonÅrReparationer,0))+BefPlaneratunderhåll*(1+IF($D$4+Höjnin1&lt;=S$4,TioÅrPlaneratUnderhåll,0)+IF($D$4+Höjning2&lt;=S$4,FemtonÅrPlaneratUnderhåll,0))+BefMedia*(1+IF($D$4+Höjnin1&lt;=S$4,TioÅrMedia,0)+IF($D$4+Höjning2&lt;=S$4,FemtonÅrMedia,0))+BefÖvrigaförvaltningskostnader*(1+IF($D$4+Höjnin1&lt;=S$4,TioÅrÖvrigaFörvaltningskostnader,0)+IF($D$4+Höjning2&lt;=S$4,FemtonÅrÖvrigaFörvaltningskostnader,0))))</f>
        <v>-0.0</v>
      </c>
      <c r="T68" s="228">
        <f>IF(T$4="",0,-T65*(1+Inflation)^(T$5-1)*(BefFastighetsskötsel*(1+IF($D$4+Höjnin1&lt;=T$4,TioÅrFastighetsskötsel,0)+IF($D$4+Höjning2&lt;=T$4,FemtonÅrFastighetsskötsel,0))+BefReparationer*(1+IF($D$4+Höjnin1&lt;=T$4,TioÅrReparationer,0)+IF($D$4+Höjning2&lt;=T$4,FemtonÅrReparationer,0))+BefPlaneratunderhåll*(1+IF($D$4+Höjnin1&lt;=T$4,TioÅrPlaneratUnderhåll,0)+IF($D$4+Höjning2&lt;=T$4,FemtonÅrPlaneratUnderhåll,0))+BefMedia*(1+IF($D$4+Höjnin1&lt;=T$4,TioÅrMedia,0)+IF($D$4+Höjning2&lt;=T$4,FemtonÅrMedia,0))+BefÖvrigaförvaltningskostnader*(1+IF($D$4+Höjnin1&lt;=T$4,TioÅrÖvrigaFörvaltningskostnader,0)+IF($D$4+Höjning2&lt;=T$4,FemtonÅrÖvrigaFörvaltningskostnader,0))))</f>
        <v>-0.0</v>
      </c>
      <c r="U68" s="228">
        <f>IF(U$4="",0,-U65*(1+Inflation)^(U$5-1)*(BefFastighetsskötsel*(1+IF($D$4+Höjnin1&lt;=U$4,TioÅrFastighetsskötsel,0)+IF($D$4+Höjning2&lt;=U$4,FemtonÅrFastighetsskötsel,0))+BefReparationer*(1+IF($D$4+Höjnin1&lt;=U$4,TioÅrReparationer,0)+IF($D$4+Höjning2&lt;=U$4,FemtonÅrReparationer,0))+BefPlaneratunderhåll*(1+IF($D$4+Höjnin1&lt;=U$4,TioÅrPlaneratUnderhåll,0)+IF($D$4+Höjning2&lt;=U$4,FemtonÅrPlaneratUnderhåll,0))+BefMedia*(1+IF($D$4+Höjnin1&lt;=U$4,TioÅrMedia,0)+IF($D$4+Höjning2&lt;=U$4,FemtonÅrMedia,0))+BefÖvrigaförvaltningskostnader*(1+IF($D$4+Höjnin1&lt;=U$4,TioÅrÖvrigaFörvaltningskostnader,0)+IF($D$4+Höjning2&lt;=U$4,FemtonÅrÖvrigaFörvaltningskostnader,0))))</f>
        <v>-0.0</v>
      </c>
      <c r="V68" s="228">
        <f>IF(V$4="",0,-V65*(1+Inflation)^(V$5-1)*(BefFastighetsskötsel*(1+IF($D$4+Höjnin1&lt;=V$4,TioÅrFastighetsskötsel,0)+IF($D$4+Höjning2&lt;=V$4,FemtonÅrFastighetsskötsel,0))+BefReparationer*(1+IF($D$4+Höjnin1&lt;=V$4,TioÅrReparationer,0)+IF($D$4+Höjning2&lt;=V$4,FemtonÅrReparationer,0))+BefPlaneratunderhåll*(1+IF($D$4+Höjnin1&lt;=V$4,TioÅrPlaneratUnderhåll,0)+IF($D$4+Höjning2&lt;=V$4,FemtonÅrPlaneratUnderhåll,0))+BefMedia*(1+IF($D$4+Höjnin1&lt;=V$4,TioÅrMedia,0)+IF($D$4+Höjning2&lt;=V$4,FemtonÅrMedia,0))+BefÖvrigaförvaltningskostnader*(1+IF($D$4+Höjnin1&lt;=V$4,TioÅrÖvrigaFörvaltningskostnader,0)+IF($D$4+Höjning2&lt;=V$4,FemtonÅrÖvrigaFörvaltningskostnader,0))))</f>
        <v>-0.0</v>
      </c>
      <c r="W68" s="228">
        <f>IF(W$4="",0,-W65*(1+Inflation)^(W$5-1)*(BefFastighetsskötsel*(1+IF($D$4+Höjnin1&lt;=W$4,TioÅrFastighetsskötsel,0)+IF($D$4+Höjning2&lt;=W$4,FemtonÅrFastighetsskötsel,0))+BefReparationer*(1+IF($D$4+Höjnin1&lt;=W$4,TioÅrReparationer,0)+IF($D$4+Höjning2&lt;=W$4,FemtonÅrReparationer,0))+BefPlaneratunderhåll*(1+IF($D$4+Höjnin1&lt;=W$4,TioÅrPlaneratUnderhåll,0)+IF($D$4+Höjning2&lt;=W$4,FemtonÅrPlaneratUnderhåll,0))+BefMedia*(1+IF($D$4+Höjnin1&lt;=W$4,TioÅrMedia,0)+IF($D$4+Höjning2&lt;=W$4,FemtonÅrMedia,0))+BefÖvrigaförvaltningskostnader*(1+IF($D$4+Höjnin1&lt;=W$4,TioÅrÖvrigaFörvaltningskostnader,0)+IF($D$4+Höjning2&lt;=W$4,FemtonÅrÖvrigaFörvaltningskostnader,0))))</f>
        <v>-0.0</v>
      </c>
      <c r="X68" s="228">
        <f>IF(X$4="",0,-X65*(1+Inflation)^(X$5-1)*(BefFastighetsskötsel*(1+IF($D$4+Höjnin1&lt;=X$4,TioÅrFastighetsskötsel,0)+IF($D$4+Höjning2&lt;=X$4,FemtonÅrFastighetsskötsel,0))+BefReparationer*(1+IF($D$4+Höjnin1&lt;=X$4,TioÅrReparationer,0)+IF($D$4+Höjning2&lt;=X$4,FemtonÅrReparationer,0))+BefPlaneratunderhåll*(1+IF($D$4+Höjnin1&lt;=X$4,TioÅrPlaneratUnderhåll,0)+IF($D$4+Höjning2&lt;=X$4,FemtonÅrPlaneratUnderhåll,0))+BefMedia*(1+IF($D$4+Höjnin1&lt;=X$4,TioÅrMedia,0)+IF($D$4+Höjning2&lt;=X$4,FemtonÅrMedia,0))+BefÖvrigaförvaltningskostnader*(1+IF($D$4+Höjnin1&lt;=X$4,TioÅrÖvrigaFörvaltningskostnader,0)+IF($D$4+Höjning2&lt;=X$4,FemtonÅrÖvrigaFörvaltningskostnader,0))))</f>
        <v>-0.0</v>
      </c>
      <c r="Y68" s="228">
        <f>IF(Y$4="",0,-Y65*(1+Inflation)^(Y$5-1)*(BefFastighetsskötsel*(1+IF($D$4+Höjnin1&lt;=Y$4,TioÅrFastighetsskötsel,0)+IF($D$4+Höjning2&lt;=Y$4,FemtonÅrFastighetsskötsel,0))+BefReparationer*(1+IF($D$4+Höjnin1&lt;=Y$4,TioÅrReparationer,0)+IF($D$4+Höjning2&lt;=Y$4,FemtonÅrReparationer,0))+BefPlaneratunderhåll*(1+IF($D$4+Höjnin1&lt;=Y$4,TioÅrPlaneratUnderhåll,0)+IF($D$4+Höjning2&lt;=Y$4,FemtonÅrPlaneratUnderhåll,0))+BefMedia*(1+IF($D$4+Höjnin1&lt;=Y$4,TioÅrMedia,0)+IF($D$4+Höjning2&lt;=Y$4,FemtonÅrMedia,0))+BefÖvrigaförvaltningskostnader*(1+IF($D$4+Höjnin1&lt;=Y$4,TioÅrÖvrigaFörvaltningskostnader,0)+IF($D$4+Höjning2&lt;=Y$4,FemtonÅrÖvrigaFörvaltningskostnader,0))))</f>
        <v>0.0</v>
      </c>
      <c r="Z68" s="228">
        <f>IF(Z$4="",0,-Z65*(1+Inflation)^(Z$5-1)*(BefFastighetsskötsel*(1+IF($D$4+Höjnin1&lt;=Z$4,TioÅrFastighetsskötsel,0)+IF($D$4+Höjning2&lt;=Z$4,FemtonÅrFastighetsskötsel,0))+BefReparationer*(1+IF($D$4+Höjnin1&lt;=Z$4,TioÅrReparationer,0)+IF($D$4+Höjning2&lt;=Z$4,FemtonÅrReparationer,0))+BefPlaneratunderhåll*(1+IF($D$4+Höjnin1&lt;=Z$4,TioÅrPlaneratUnderhåll,0)+IF($D$4+Höjning2&lt;=Z$4,FemtonÅrPlaneratUnderhåll,0))+BefMedia*(1+IF($D$4+Höjnin1&lt;=Z$4,TioÅrMedia,0)+IF($D$4+Höjning2&lt;=Z$4,FemtonÅrMedia,0))+BefÖvrigaförvaltningskostnader*(1+IF($D$4+Höjnin1&lt;=Z$4,TioÅrÖvrigaFörvaltningskostnader,0)+IF($D$4+Höjning2&lt;=Z$4,FemtonÅrÖvrigaFörvaltningskostnader,0))))</f>
        <v>0.0</v>
      </c>
      <c r="AA68" s="228">
        <f>IF(AA$4="",0,-AA65*(1+Inflation)^(AA$5-1)*(BefFastighetsskötsel*(1+IF($D$4+Höjnin1&lt;=AA$4,TioÅrFastighetsskötsel,0)+IF($D$4+Höjning2&lt;=AA$4,FemtonÅrFastighetsskötsel,0))+BefReparationer*(1+IF($D$4+Höjnin1&lt;=AA$4,TioÅrReparationer,0)+IF($D$4+Höjning2&lt;=AA$4,FemtonÅrReparationer,0))+BefPlaneratunderhåll*(1+IF($D$4+Höjnin1&lt;=AA$4,TioÅrPlaneratUnderhåll,0)+IF($D$4+Höjning2&lt;=AA$4,FemtonÅrPlaneratUnderhåll,0))+BefMedia*(1+IF($D$4+Höjnin1&lt;=AA$4,TioÅrMedia,0)+IF($D$4+Höjning2&lt;=AA$4,FemtonÅrMedia,0))+BefÖvrigaförvaltningskostnader*(1+IF($D$4+Höjnin1&lt;=AA$4,TioÅrÖvrigaFörvaltningskostnader,0)+IF($D$4+Höjning2&lt;=AA$4,FemtonÅrÖvrigaFörvaltningskostnader,0))))</f>
        <v>0.0</v>
      </c>
      <c r="AB68" s="228">
        <f>IF(AB$4="",0,-AB65*(1+Inflation)^(AB$5-1)*(BefFastighetsskötsel*(1+IF($D$4+Höjnin1&lt;=AB$4,TioÅrFastighetsskötsel,0)+IF($D$4+Höjning2&lt;=AB$4,FemtonÅrFastighetsskötsel,0))+BefReparationer*(1+IF($D$4+Höjnin1&lt;=AB$4,TioÅrReparationer,0)+IF($D$4+Höjning2&lt;=AB$4,FemtonÅrReparationer,0))+BefPlaneratunderhåll*(1+IF($D$4+Höjnin1&lt;=AB$4,TioÅrPlaneratUnderhåll,0)+IF($D$4+Höjning2&lt;=AB$4,FemtonÅrPlaneratUnderhåll,0))+BefMedia*(1+IF($D$4+Höjnin1&lt;=AB$4,TioÅrMedia,0)+IF($D$4+Höjning2&lt;=AB$4,FemtonÅrMedia,0))+BefÖvrigaförvaltningskostnader*(1+IF($D$4+Höjnin1&lt;=AB$4,TioÅrÖvrigaFörvaltningskostnader,0)+IF($D$4+Höjning2&lt;=AB$4,FemtonÅrÖvrigaFörvaltningskostnader,0))))</f>
        <v>0.0</v>
      </c>
      <c r="AC68" s="228">
        <f>IF(AC$4="",0,-AC65*(1+Inflation)^(AC$5-1)*(BefFastighetsskötsel*(1+IF($D$4+Höjnin1&lt;=AC$4,TioÅrFastighetsskötsel,0)+IF($D$4+Höjning2&lt;=AC$4,FemtonÅrFastighetsskötsel,0))+BefReparationer*(1+IF($D$4+Höjnin1&lt;=AC$4,TioÅrReparationer,0)+IF($D$4+Höjning2&lt;=AC$4,FemtonÅrReparationer,0))+BefPlaneratunderhåll*(1+IF($D$4+Höjnin1&lt;=AC$4,TioÅrPlaneratUnderhåll,0)+IF($D$4+Höjning2&lt;=AC$4,FemtonÅrPlaneratUnderhåll,0))+BefMedia*(1+IF($D$4+Höjnin1&lt;=AC$4,TioÅrMedia,0)+IF($D$4+Höjning2&lt;=AC$4,FemtonÅrMedia,0))+BefÖvrigaförvaltningskostnader*(1+IF($D$4+Höjnin1&lt;=AC$4,TioÅrÖvrigaFörvaltningskostnader,0)+IF($D$4+Höjning2&lt;=AC$4,FemtonÅrÖvrigaFörvaltningskostnader,0))))</f>
        <v>0.0</v>
      </c>
      <c r="AD68" s="228">
        <f>IF(AD$4="",0,-AD65*(1+Inflation)^(AD$5-1)*(BefFastighetsskötsel*(1+IF($D$4+Höjnin1&lt;=AD$4,TioÅrFastighetsskötsel,0)+IF($D$4+Höjning2&lt;=AD$4,FemtonÅrFastighetsskötsel,0))+BefReparationer*(1+IF($D$4+Höjnin1&lt;=AD$4,TioÅrReparationer,0)+IF($D$4+Höjning2&lt;=AD$4,FemtonÅrReparationer,0))+BefPlaneratunderhåll*(1+IF($D$4+Höjnin1&lt;=AD$4,TioÅrPlaneratUnderhåll,0)+IF($D$4+Höjning2&lt;=AD$4,FemtonÅrPlaneratUnderhåll,0))+BefMedia*(1+IF($D$4+Höjnin1&lt;=AD$4,TioÅrMedia,0)+IF($D$4+Höjning2&lt;=AD$4,FemtonÅrMedia,0))+BefÖvrigaförvaltningskostnader*(1+IF($D$4+Höjnin1&lt;=AD$4,TioÅrÖvrigaFörvaltningskostnader,0)+IF($D$4+Höjning2&lt;=AD$4,FemtonÅrÖvrigaFörvaltningskostnader,0))))</f>
        <v>0.0</v>
      </c>
      <c r="AE68" s="228">
        <f>IF(AE$4="",0,-AE65*(1+Inflation)^(AE$5-1)*(BefFastighetsskötsel*(1+IF($D$4+Höjnin1&lt;=AE$4,TioÅrFastighetsskötsel,0)+IF($D$4+Höjning2&lt;=AE$4,FemtonÅrFastighetsskötsel,0))+BefReparationer*(1+IF($D$4+Höjnin1&lt;=AE$4,TioÅrReparationer,0)+IF($D$4+Höjning2&lt;=AE$4,FemtonÅrReparationer,0))+BefPlaneratunderhåll*(1+IF($D$4+Höjnin1&lt;=AE$4,TioÅrPlaneratUnderhåll,0)+IF($D$4+Höjning2&lt;=AE$4,FemtonÅrPlaneratUnderhåll,0))+BefMedia*(1+IF($D$4+Höjnin1&lt;=AE$4,TioÅrMedia,0)+IF($D$4+Höjning2&lt;=AE$4,FemtonÅrMedia,0))+BefÖvrigaförvaltningskostnader*(1+IF($D$4+Höjnin1&lt;=AE$4,TioÅrÖvrigaFörvaltningskostnader,0)+IF($D$4+Höjning2&lt;=AE$4,FemtonÅrÖvrigaFörvaltningskostnader,0))))</f>
        <v>0.0</v>
      </c>
      <c r="AF68" s="228">
        <f>IF(AF$4="",0,-AF65*(1+Inflation)^(AF$5-1)*(BefFastighetsskötsel*(1+IF($D$4+Höjnin1&lt;=AF$4,TioÅrFastighetsskötsel,0)+IF($D$4+Höjning2&lt;=AF$4,FemtonÅrFastighetsskötsel,0))+BefReparationer*(1+IF($D$4+Höjnin1&lt;=AF$4,TioÅrReparationer,0)+IF($D$4+Höjning2&lt;=AF$4,FemtonÅrReparationer,0))+BefPlaneratunderhåll*(1+IF($D$4+Höjnin1&lt;=AF$4,TioÅrPlaneratUnderhåll,0)+IF($D$4+Höjning2&lt;=AF$4,FemtonÅrPlaneratUnderhåll,0))+BefMedia*(1+IF($D$4+Höjnin1&lt;=AF$4,TioÅrMedia,0)+IF($D$4+Höjning2&lt;=AF$4,FemtonÅrMedia,0))+BefÖvrigaförvaltningskostnader*(1+IF($D$4+Höjnin1&lt;=AF$4,TioÅrÖvrigaFörvaltningskostnader,0)+IF($D$4+Höjning2&lt;=AF$4,FemtonÅrÖvrigaFörvaltningskostnader,0))))</f>
        <v>0.0</v>
      </c>
      <c r="AG68" s="228">
        <f>IF(AG$4="",0,-AG65*(1+Inflation)^(AG$5-1)*(BefFastighetsskötsel*(1+IF($D$4+Höjnin1&lt;=AG$4,TioÅrFastighetsskötsel,0)+IF($D$4+Höjning2&lt;=AG$4,FemtonÅrFastighetsskötsel,0))+BefReparationer*(1+IF($D$4+Höjnin1&lt;=AG$4,TioÅrReparationer,0)+IF($D$4+Höjning2&lt;=AG$4,FemtonÅrReparationer,0))+BefPlaneratunderhåll*(1+IF($D$4+Höjnin1&lt;=AG$4,TioÅrPlaneratUnderhåll,0)+IF($D$4+Höjning2&lt;=AG$4,FemtonÅrPlaneratUnderhåll,0))+BefMedia*(1+IF($D$4+Höjnin1&lt;=AG$4,TioÅrMedia,0)+IF($D$4+Höjning2&lt;=AG$4,FemtonÅrMedia,0))+BefÖvrigaförvaltningskostnader*(1+IF($D$4+Höjnin1&lt;=AG$4,TioÅrÖvrigaFörvaltningskostnader,0)+IF($D$4+Höjning2&lt;=AG$4,FemtonÅrÖvrigaFörvaltningskostnader,0))))</f>
        <v>0.0</v>
      </c>
      <c r="AH68" s="228">
        <f>IF(AH$4="",0,-AH65*(1+Inflation)^(AH$5-1)*(BefFastighetsskötsel*(1+IF($D$4+Höjnin1&lt;=AH$4,TioÅrFastighetsskötsel,0)+IF($D$4+Höjning2&lt;=AH$4,FemtonÅrFastighetsskötsel,0))+BefReparationer*(1+IF($D$4+Höjnin1&lt;=AH$4,TioÅrReparationer,0)+IF($D$4+Höjning2&lt;=AH$4,FemtonÅrReparationer,0))+BefPlaneratunderhåll*(1+IF($D$4+Höjnin1&lt;=AH$4,TioÅrPlaneratUnderhåll,0)+IF($D$4+Höjning2&lt;=AH$4,FemtonÅrPlaneratUnderhåll,0))+BefMedia*(1+IF($D$4+Höjnin1&lt;=AH$4,TioÅrMedia,0)+IF($D$4+Höjning2&lt;=AH$4,FemtonÅrMedia,0))+BefÖvrigaförvaltningskostnader*(1+IF($D$4+Höjnin1&lt;=AH$4,TioÅrÖvrigaFörvaltningskostnader,0)+IF($D$4+Höjning2&lt;=AH$4,FemtonÅrÖvrigaFörvaltningskostnader,0))))</f>
        <v>0.0</v>
      </c>
      <c r="AI68" s="228">
        <f>IF(AI$4="",0,-AI65*(1+Inflation)^(AI$5-1)*(BefFastighetsskötsel*(1+IF($D$4+Höjnin1&lt;=AI$4,TioÅrFastighetsskötsel,0)+IF($D$4+Höjning2&lt;=AI$4,FemtonÅrFastighetsskötsel,0))+BefReparationer*(1+IF($D$4+Höjnin1&lt;=AI$4,TioÅrReparationer,0)+IF($D$4+Höjning2&lt;=AI$4,FemtonÅrReparationer,0))+BefPlaneratunderhåll*(1+IF($D$4+Höjnin1&lt;=AI$4,TioÅrPlaneratUnderhåll,0)+IF($D$4+Höjning2&lt;=AI$4,FemtonÅrPlaneratUnderhåll,0))+BefMedia*(1+IF($D$4+Höjnin1&lt;=AI$4,TioÅrMedia,0)+IF($D$4+Höjning2&lt;=AI$4,FemtonÅrMedia,0))+BefÖvrigaförvaltningskostnader*(1+IF($D$4+Höjnin1&lt;=AI$4,TioÅrÖvrigaFörvaltningskostnader,0)+IF($D$4+Höjning2&lt;=AI$4,FemtonÅrÖvrigaFörvaltningskostnader,0))))</f>
        <v>0.0</v>
      </c>
      <c r="AJ68" s="228">
        <f>IF(AJ$4="",0,-AJ65*(1+Inflation)^(AJ$5-1)*(BefFastighetsskötsel*(1+IF($D$4+Höjnin1&lt;=AJ$4,TioÅrFastighetsskötsel,0)+IF($D$4+Höjning2&lt;=AJ$4,FemtonÅrFastighetsskötsel,0))+BefReparationer*(1+IF($D$4+Höjnin1&lt;=AJ$4,TioÅrReparationer,0)+IF($D$4+Höjning2&lt;=AJ$4,FemtonÅrReparationer,0))+BefPlaneratunderhåll*(1+IF($D$4+Höjnin1&lt;=AJ$4,TioÅrPlaneratUnderhåll,0)+IF($D$4+Höjning2&lt;=AJ$4,FemtonÅrPlaneratUnderhåll,0))+BefMedia*(1+IF($D$4+Höjnin1&lt;=AJ$4,TioÅrMedia,0)+IF($D$4+Höjning2&lt;=AJ$4,FemtonÅrMedia,0))+BefÖvrigaförvaltningskostnader*(1+IF($D$4+Höjnin1&lt;=AJ$4,TioÅrÖvrigaFörvaltningskostnader,0)+IF($D$4+Höjning2&lt;=AJ$4,FemtonÅrÖvrigaFörvaltningskostnader,0))))</f>
        <v>0.0</v>
      </c>
      <c r="AK68" s="228">
        <f>IF(AK$4="",0,-AK65*(1+Inflation)^(AK$5-1)*(BefFastighetsskötsel*(1+IF($D$4+Höjnin1&lt;=AK$4,TioÅrFastighetsskötsel,0)+IF($D$4+Höjning2&lt;=AK$4,FemtonÅrFastighetsskötsel,0))+BefReparationer*(1+IF($D$4+Höjnin1&lt;=AK$4,TioÅrReparationer,0)+IF($D$4+Höjning2&lt;=AK$4,FemtonÅrReparationer,0))+BefPlaneratunderhåll*(1+IF($D$4+Höjnin1&lt;=AK$4,TioÅrPlaneratUnderhåll,0)+IF($D$4+Höjning2&lt;=AK$4,FemtonÅrPlaneratUnderhåll,0))+BefMedia*(1+IF($D$4+Höjnin1&lt;=AK$4,TioÅrMedia,0)+IF($D$4+Höjning2&lt;=AK$4,FemtonÅrMedia,0))+BefÖvrigaförvaltningskostnader*(1+IF($D$4+Höjnin1&lt;=AK$4,TioÅrÖvrigaFörvaltningskostnader,0)+IF($D$4+Höjning2&lt;=AK$4,FemtonÅrÖvrigaFörvaltningskostnader,0))))</f>
        <v>0.0</v>
      </c>
      <c r="AL68" s="228">
        <f>IF(AL$4="",0,-AL65*(1+Inflation)^(AL$5-1)*(BefFastighetsskötsel*(1+IF($D$4+Höjnin1&lt;=AL$4,TioÅrFastighetsskötsel,0)+IF($D$4+Höjning2&lt;=AL$4,FemtonÅrFastighetsskötsel,0))+BefReparationer*(1+IF($D$4+Höjnin1&lt;=AL$4,TioÅrReparationer,0)+IF($D$4+Höjning2&lt;=AL$4,FemtonÅrReparationer,0))+BefPlaneratunderhåll*(1+IF($D$4+Höjnin1&lt;=AL$4,TioÅrPlaneratUnderhåll,0)+IF($D$4+Höjning2&lt;=AL$4,FemtonÅrPlaneratUnderhåll,0))+BefMedia*(1+IF($D$4+Höjnin1&lt;=AL$4,TioÅrMedia,0)+IF($D$4+Höjning2&lt;=AL$4,FemtonÅrMedia,0))+BefÖvrigaförvaltningskostnader*(1+IF($D$4+Höjnin1&lt;=AL$4,TioÅrÖvrigaFörvaltningskostnader,0)+IF($D$4+Höjning2&lt;=AL$4,FemtonÅrÖvrigaFörvaltningskostnader,0))))</f>
        <v>0.0</v>
      </c>
      <c r="AM68" s="228">
        <f>IF(AM$4="",0,-AM65*(1+Inflation)^(AM$5-1)*(BefFastighetsskötsel*(1+IF($D$4+Höjnin1&lt;=AM$4,TioÅrFastighetsskötsel,0)+IF($D$4+Höjning2&lt;=AM$4,FemtonÅrFastighetsskötsel,0))+BefReparationer*(1+IF($D$4+Höjnin1&lt;=AM$4,TioÅrReparationer,0)+IF($D$4+Höjning2&lt;=AM$4,FemtonÅrReparationer,0))+BefPlaneratunderhåll*(1+IF($D$4+Höjnin1&lt;=AM$4,TioÅrPlaneratUnderhåll,0)+IF($D$4+Höjning2&lt;=AM$4,FemtonÅrPlaneratUnderhåll,0))+BefMedia*(1+IF($D$4+Höjnin1&lt;=AM$4,TioÅrMedia,0)+IF($D$4+Höjning2&lt;=AM$4,FemtonÅrMedia,0))+BefÖvrigaförvaltningskostnader*(1+IF($D$4+Höjnin1&lt;=AM$4,TioÅrÖvrigaFörvaltningskostnader,0)+IF($D$4+Höjning2&lt;=AM$4,FemtonÅrÖvrigaFörvaltningskostnader,0))))</f>
        <v>0.0</v>
      </c>
      <c r="AN68" s="228">
        <f>IF(AN$4="",0,-AN65*(1+Inflation)^(AN$5-1)*(BefFastighetsskötsel*(1+IF($D$4+Höjnin1&lt;=AN$4,TioÅrFastighetsskötsel,0)+IF($D$4+Höjning2&lt;=AN$4,FemtonÅrFastighetsskötsel,0))+BefReparationer*(1+IF($D$4+Höjnin1&lt;=AN$4,TioÅrReparationer,0)+IF($D$4+Höjning2&lt;=AN$4,FemtonÅrReparationer,0))+BefPlaneratunderhåll*(1+IF($D$4+Höjnin1&lt;=AN$4,TioÅrPlaneratUnderhåll,0)+IF($D$4+Höjning2&lt;=AN$4,FemtonÅrPlaneratUnderhåll,0))+BefMedia*(1+IF($D$4+Höjnin1&lt;=AN$4,TioÅrMedia,0)+IF($D$4+Höjning2&lt;=AN$4,FemtonÅrMedia,0))+BefÖvrigaförvaltningskostnader*(1+IF($D$4+Höjnin1&lt;=AN$4,TioÅrÖvrigaFörvaltningskostnader,0)+IF($D$4+Höjning2&lt;=AN$4,FemtonÅrÖvrigaFörvaltningskostnader,0))))</f>
        <v>0.0</v>
      </c>
      <c r="AO68" s="228">
        <f>IF(AO$4="",0,-AO65*(1+Inflation)^(AO$5-1)*(BefFastighetsskötsel*(1+IF($D$4+Höjnin1&lt;=AO$4,TioÅrFastighetsskötsel,0)+IF($D$4+Höjning2&lt;=AO$4,FemtonÅrFastighetsskötsel,0))+BefReparationer*(1+IF($D$4+Höjnin1&lt;=AO$4,TioÅrReparationer,0)+IF($D$4+Höjning2&lt;=AO$4,FemtonÅrReparationer,0))+BefPlaneratunderhåll*(1+IF($D$4+Höjnin1&lt;=AO$4,TioÅrPlaneratUnderhåll,0)+IF($D$4+Höjning2&lt;=AO$4,FemtonÅrPlaneratUnderhåll,0))+BefMedia*(1+IF($D$4+Höjnin1&lt;=AO$4,TioÅrMedia,0)+IF($D$4+Höjning2&lt;=AO$4,FemtonÅrMedia,0))+BefÖvrigaförvaltningskostnader*(1+IF($D$4+Höjnin1&lt;=AO$4,TioÅrÖvrigaFörvaltningskostnader,0)+IF($D$4+Höjning2&lt;=AO$4,FemtonÅrÖvrigaFörvaltningskostnader,0))))</f>
        <v>0.0</v>
      </c>
      <c r="AP68" s="228">
        <f>IF(AP$4="",0,-AP65*(1+Inflation)^(AP$5-1)*(BefFastighetsskötsel*(1+IF($D$4+Höjnin1&lt;=AP$4,TioÅrFastighetsskötsel,0)+IF($D$4+Höjning2&lt;=AP$4,FemtonÅrFastighetsskötsel,0))+BefReparationer*(1+IF($D$4+Höjnin1&lt;=AP$4,TioÅrReparationer,0)+IF($D$4+Höjning2&lt;=AP$4,FemtonÅrReparationer,0))+BefPlaneratunderhåll*(1+IF($D$4+Höjnin1&lt;=AP$4,TioÅrPlaneratUnderhåll,0)+IF($D$4+Höjning2&lt;=AP$4,FemtonÅrPlaneratUnderhåll,0))+BefMedia*(1+IF($D$4+Höjnin1&lt;=AP$4,TioÅrMedia,0)+IF($D$4+Höjning2&lt;=AP$4,FemtonÅrMedia,0))+BefÖvrigaförvaltningskostnader*(1+IF($D$4+Höjnin1&lt;=AP$4,TioÅrÖvrigaFörvaltningskostnader,0)+IF($D$4+Höjning2&lt;=AP$4,FemtonÅrÖvrigaFörvaltningskostnader,0))))</f>
        <v>0.0</v>
      </c>
      <c r="AQ68" s="228">
        <f>IF(AQ$4="",0,-AQ65*(1+Inflation)^(AQ$5-1)*(BefFastighetsskötsel*(1+IF($D$4+Höjnin1&lt;=AQ$4,TioÅrFastighetsskötsel,0)+IF($D$4+Höjning2&lt;=AQ$4,FemtonÅrFastighetsskötsel,0))+BefReparationer*(1+IF($D$4+Höjnin1&lt;=AQ$4,TioÅrReparationer,0)+IF($D$4+Höjning2&lt;=AQ$4,FemtonÅrReparationer,0))+BefPlaneratunderhåll*(1+IF($D$4+Höjnin1&lt;=AQ$4,TioÅrPlaneratUnderhåll,0)+IF($D$4+Höjning2&lt;=AQ$4,FemtonÅrPlaneratUnderhåll,0))+BefMedia*(1+IF($D$4+Höjnin1&lt;=AQ$4,TioÅrMedia,0)+IF($D$4+Höjning2&lt;=AQ$4,FemtonÅrMedia,0))+BefÖvrigaförvaltningskostnader*(1+IF($D$4+Höjnin1&lt;=AQ$4,TioÅrÖvrigaFörvaltningskostnader,0)+IF($D$4+Höjning2&lt;=AQ$4,FemtonÅrÖvrigaFörvaltningskostnader,0))))</f>
        <v>0.0</v>
      </c>
      <c r="AR68" s="228">
        <f>IF(AR$4="",0,-AR65*(1+Inflation)^(AR$5-1)*(BefFastighetsskötsel*(1+IF($D$4+Höjnin1&lt;=AR$4,TioÅrFastighetsskötsel,0)+IF($D$4+Höjning2&lt;=AR$4,FemtonÅrFastighetsskötsel,0))+BefReparationer*(1+IF($D$4+Höjnin1&lt;=AR$4,TioÅrReparationer,0)+IF($D$4+Höjning2&lt;=AR$4,FemtonÅrReparationer,0))+BefPlaneratunderhåll*(1+IF($D$4+Höjnin1&lt;=AR$4,TioÅrPlaneratUnderhåll,0)+IF($D$4+Höjning2&lt;=AR$4,FemtonÅrPlaneratUnderhåll,0))+BefMedia*(1+IF($D$4+Höjnin1&lt;=AR$4,TioÅrMedia,0)+IF($D$4+Höjning2&lt;=AR$4,FemtonÅrMedia,0))+BefÖvrigaförvaltningskostnader*(1+IF($D$4+Höjnin1&lt;=AR$4,TioÅrÖvrigaFörvaltningskostnader,0)+IF($D$4+Höjning2&lt;=AR$4,FemtonÅrÖvrigaFörvaltningskostnader,0))))</f>
        <v>0.0</v>
      </c>
      <c r="AS68" s="228">
        <f>IF(AS$4="",0,-AS65*(1+Inflation)^(AS$5-1)*(BefFastighetsskötsel*(1+IF($D$4+Höjnin1&lt;=AS$4,TioÅrFastighetsskötsel,0)+IF($D$4+Höjning2&lt;=AS$4,FemtonÅrFastighetsskötsel,0))+BefReparationer*(1+IF($D$4+Höjnin1&lt;=AS$4,TioÅrReparationer,0)+IF($D$4+Höjning2&lt;=AS$4,FemtonÅrReparationer,0))+BefPlaneratunderhåll*(1+IF($D$4+Höjnin1&lt;=AS$4,TioÅrPlaneratUnderhåll,0)+IF($D$4+Höjning2&lt;=AS$4,FemtonÅrPlaneratUnderhåll,0))+BefMedia*(1+IF($D$4+Höjnin1&lt;=AS$4,TioÅrMedia,0)+IF($D$4+Höjning2&lt;=AS$4,FemtonÅrMedia,0))+BefÖvrigaförvaltningskostnader*(1+IF($D$4+Höjnin1&lt;=AS$4,TioÅrÖvrigaFörvaltningskostnader,0)+IF($D$4+Höjning2&lt;=AS$4,FemtonÅrÖvrigaFörvaltningskostnader,0))))</f>
        <v>0.0</v>
      </c>
      <c r="AT68" s="228">
        <f>IF(AT$4="",0,-AT65*(1+Inflation)^(AT$5-1)*(BefFastighetsskötsel*(1+IF($D$4+Höjnin1&lt;=AT$4,TioÅrFastighetsskötsel,0)+IF($D$4+Höjning2&lt;=AT$4,FemtonÅrFastighetsskötsel,0))+BefReparationer*(1+IF($D$4+Höjnin1&lt;=AT$4,TioÅrReparationer,0)+IF($D$4+Höjning2&lt;=AT$4,FemtonÅrReparationer,0))+BefPlaneratunderhåll*(1+IF($D$4+Höjnin1&lt;=AT$4,TioÅrPlaneratUnderhåll,0)+IF($D$4+Höjning2&lt;=AT$4,FemtonÅrPlaneratUnderhåll,0))+BefMedia*(1+IF($D$4+Höjnin1&lt;=AT$4,TioÅrMedia,0)+IF($D$4+Höjning2&lt;=AT$4,FemtonÅrMedia,0))+BefÖvrigaförvaltningskostnader*(1+IF($D$4+Höjnin1&lt;=AT$4,TioÅrÖvrigaFörvaltningskostnader,0)+IF($D$4+Höjning2&lt;=AT$4,FemtonÅrÖvrigaFörvaltningskostnader,0))))</f>
        <v>0.0</v>
      </c>
      <c r="AU68" s="228">
        <f>IF(AU$4="",0,-AU65*(1+Inflation)^(AU$5-1)*(BefFastighetsskötsel*(1+IF($D$4+Höjnin1&lt;=AU$4,TioÅrFastighetsskötsel,0)+IF($D$4+Höjning2&lt;=AU$4,FemtonÅrFastighetsskötsel,0))+BefReparationer*(1+IF($D$4+Höjnin1&lt;=AU$4,TioÅrReparationer,0)+IF($D$4+Höjning2&lt;=AU$4,FemtonÅrReparationer,0))+BefPlaneratunderhåll*(1+IF($D$4+Höjnin1&lt;=AU$4,TioÅrPlaneratUnderhåll,0)+IF($D$4+Höjning2&lt;=AU$4,FemtonÅrPlaneratUnderhåll,0))+BefMedia*(1+IF($D$4+Höjnin1&lt;=AU$4,TioÅrMedia,0)+IF($D$4+Höjning2&lt;=AU$4,FemtonÅrMedia,0))+BefÖvrigaförvaltningskostnader*(1+IF($D$4+Höjnin1&lt;=AU$4,TioÅrÖvrigaFörvaltningskostnader,0)+IF($D$4+Höjning2&lt;=AU$4,FemtonÅrÖvrigaFörvaltningskostnader,0))))</f>
        <v>0.0</v>
      </c>
      <c r="AV68" s="228">
        <f>IF(AV$4="",0,-AV65*(1+Inflation)^(AV$5-1)*(BefFastighetsskötsel*(1+IF($D$4+Höjnin1&lt;=AV$4,TioÅrFastighetsskötsel,0)+IF($D$4+Höjning2&lt;=AV$4,FemtonÅrFastighetsskötsel,0))+BefReparationer*(1+IF($D$4+Höjnin1&lt;=AV$4,TioÅrReparationer,0)+IF($D$4+Höjning2&lt;=AV$4,FemtonÅrReparationer,0))+BefPlaneratunderhåll*(1+IF($D$4+Höjnin1&lt;=AV$4,TioÅrPlaneratUnderhåll,0)+IF($D$4+Höjning2&lt;=AV$4,FemtonÅrPlaneratUnderhåll,0))+BefMedia*(1+IF($D$4+Höjnin1&lt;=AV$4,TioÅrMedia,0)+IF($D$4+Höjning2&lt;=AV$4,FemtonÅrMedia,0))+BefÖvrigaförvaltningskostnader*(1+IF($D$4+Höjnin1&lt;=AV$4,TioÅrÖvrigaFörvaltningskostnader,0)+IF($D$4+Höjning2&lt;=AV$4,FemtonÅrÖvrigaFörvaltningskostnader,0))))</f>
        <v>0.0</v>
      </c>
      <c r="AW68" s="228">
        <f>IF(AW$4="",0,-AW65*(1+Inflation)^(AW$5-1)*(BefFastighetsskötsel*(1+IF($D$4+Höjnin1&lt;=AW$4,TioÅrFastighetsskötsel,0)+IF($D$4+Höjning2&lt;=AW$4,FemtonÅrFastighetsskötsel,0))+BefReparationer*(1+IF($D$4+Höjnin1&lt;=AW$4,TioÅrReparationer,0)+IF($D$4+Höjning2&lt;=AW$4,FemtonÅrReparationer,0))+BefPlaneratunderhåll*(1+IF($D$4+Höjnin1&lt;=AW$4,TioÅrPlaneratUnderhåll,0)+IF($D$4+Höjning2&lt;=AW$4,FemtonÅrPlaneratUnderhåll,0))+BefMedia*(1+IF($D$4+Höjnin1&lt;=AW$4,TioÅrMedia,0)+IF($D$4+Höjning2&lt;=AW$4,FemtonÅrMedia,0))+BefÖvrigaförvaltningskostnader*(1+IF($D$4+Höjnin1&lt;=AW$4,TioÅrÖvrigaFörvaltningskostnader,0)+IF($D$4+Höjning2&lt;=AW$4,FemtonÅrÖvrigaFörvaltningskostnader,0))))</f>
        <v>0.0</v>
      </c>
      <c r="AX68" s="228">
        <f>IF(AX$4="",0,-AX65*(1+Inflation)^(AX$5-1)*(BefFastighetsskötsel*(1+IF($D$4+Höjnin1&lt;=AX$4,TioÅrFastighetsskötsel,0)+IF($D$4+Höjning2&lt;=AX$4,FemtonÅrFastighetsskötsel,0))+BefReparationer*(1+IF($D$4+Höjnin1&lt;=AX$4,TioÅrReparationer,0)+IF($D$4+Höjning2&lt;=AX$4,FemtonÅrReparationer,0))+BefPlaneratunderhåll*(1+IF($D$4+Höjnin1&lt;=AX$4,TioÅrPlaneratUnderhåll,0)+IF($D$4+Höjning2&lt;=AX$4,FemtonÅrPlaneratUnderhåll,0))+BefMedia*(1+IF($D$4+Höjnin1&lt;=AX$4,TioÅrMedia,0)+IF($D$4+Höjning2&lt;=AX$4,FemtonÅrMedia,0))+BefÖvrigaförvaltningskostnader*(1+IF($D$4+Höjnin1&lt;=AX$4,TioÅrÖvrigaFörvaltningskostnader,0)+IF($D$4+Höjning2&lt;=AX$4,FemtonÅrÖvrigaFörvaltningskostnader,0))))</f>
        <v>0.0</v>
      </c>
      <c r="AY68" s="228">
        <f>IF(AY$4="",0,-AY65*(1+Inflation)^(AY$5-1)*(BefFastighetsskötsel*(1+IF($D$4+Höjnin1&lt;=AY$4,TioÅrFastighetsskötsel,0)+IF($D$4+Höjning2&lt;=AY$4,FemtonÅrFastighetsskötsel,0))+BefReparationer*(1+IF($D$4+Höjnin1&lt;=AY$4,TioÅrReparationer,0)+IF($D$4+Höjning2&lt;=AY$4,FemtonÅrReparationer,0))+BefPlaneratunderhåll*(1+IF($D$4+Höjnin1&lt;=AY$4,TioÅrPlaneratUnderhåll,0)+IF($D$4+Höjning2&lt;=AY$4,FemtonÅrPlaneratUnderhåll,0))+BefMedia*(1+IF($D$4+Höjnin1&lt;=AY$4,TioÅrMedia,0)+IF($D$4+Höjning2&lt;=AY$4,FemtonÅrMedia,0))+BefÖvrigaförvaltningskostnader*(1+IF($D$4+Höjnin1&lt;=AY$4,TioÅrÖvrigaFörvaltningskostnader,0)+IF($D$4+Höjning2&lt;=AY$4,FemtonÅrÖvrigaFörvaltningskostnader,0))))</f>
        <v>0.0</v>
      </c>
      <c r="AZ68" s="228">
        <f>IF(AZ$4="",0,-AZ65*(1+Inflation)^(AZ$5-1)*(BefFastighetsskötsel*(1+IF($D$4+Höjnin1&lt;=AZ$4,TioÅrFastighetsskötsel,0)+IF($D$4+Höjning2&lt;=AZ$4,FemtonÅrFastighetsskötsel,0))+BefReparationer*(1+IF($D$4+Höjnin1&lt;=AZ$4,TioÅrReparationer,0)+IF($D$4+Höjning2&lt;=AZ$4,FemtonÅrReparationer,0))+BefPlaneratunderhåll*(1+IF($D$4+Höjnin1&lt;=AZ$4,TioÅrPlaneratUnderhåll,0)+IF($D$4+Höjning2&lt;=AZ$4,FemtonÅrPlaneratUnderhåll,0))+BefMedia*(1+IF($D$4+Höjnin1&lt;=AZ$4,TioÅrMedia,0)+IF($D$4+Höjning2&lt;=AZ$4,FemtonÅrMedia,0))+BefÖvrigaförvaltningskostnader*(1+IF($D$4+Höjnin1&lt;=AZ$4,TioÅrÖvrigaFörvaltningskostnader,0)+IF($D$4+Höjning2&lt;=AZ$4,FemtonÅrÖvrigaFörvaltningskostnader,0))))</f>
        <v>0.0</v>
      </c>
      <c r="BA68" s="228">
        <f>IF(BA$4="",0,-BA65*(1+Inflation)^(BA$5-1)*(BefFastighetsskötsel*(1+IF($D$4+Höjnin1&lt;=BA$4,TioÅrFastighetsskötsel,0)+IF($D$4+Höjning2&lt;=BA$4,FemtonÅrFastighetsskötsel,0))+BefReparationer*(1+IF($D$4+Höjnin1&lt;=BA$4,TioÅrReparationer,0)+IF($D$4+Höjning2&lt;=BA$4,FemtonÅrReparationer,0))+BefPlaneratunderhåll*(1+IF($D$4+Höjnin1&lt;=BA$4,TioÅrPlaneratUnderhåll,0)+IF($D$4+Höjning2&lt;=BA$4,FemtonÅrPlaneratUnderhåll,0))+BefMedia*(1+IF($D$4+Höjnin1&lt;=BA$4,TioÅrMedia,0)+IF($D$4+Höjning2&lt;=BA$4,FemtonÅrMedia,0))+BefÖvrigaförvaltningskostnader*(1+IF($D$4+Höjnin1&lt;=BA$4,TioÅrÖvrigaFörvaltningskostnader,0)+IF($D$4+Höjning2&lt;=BA$4,FemtonÅrÖvrigaFörvaltningskostnader,0))))</f>
        <v>0.0</v>
      </c>
    </row>
    <row r="69" spans="2:53">
      <c r="B69" s="227" t="s">
        <v>378</v>
      </c>
      <c r="C69" s="327"/>
      <c r="D69" s="228">
        <f>IF(D$4="",0,-SUMPRODUCT(--('2. Kalkyldata'!$E$23:$E$27="Bef"),SUMIFS('2. Kalkyldata'!$W$34:$W$39,'2. Kalkyldata'!$R$34:$R$39,D$4,'2. Kalkyldata'!$Q$34:$Q$39,'2. Kalkyldata'!$C$23:$C$27)))</f>
        <v>-0.0</v>
      </c>
      <c r="E69" s="228">
        <f>IF(E$4="",0,-SUMPRODUCT(--('2. Kalkyldata'!$E$23:$E$27="Bef"),SUMIFS('2. Kalkyldata'!$W$34:$W$39,'2. Kalkyldata'!$R$34:$R$39,E$4,'2. Kalkyldata'!$Q$34:$Q$39,'2. Kalkyldata'!$C$23:$C$27)))</f>
        <v>-0.0</v>
      </c>
      <c r="F69" s="228">
        <f>IF(F$4="",0,-SUMPRODUCT(--('2. Kalkyldata'!$E$23:$E$27="Bef"),SUMIFS('2. Kalkyldata'!$W$34:$W$39,'2. Kalkyldata'!$R$34:$R$39,F$4,'2. Kalkyldata'!$Q$34:$Q$39,'2. Kalkyldata'!$C$23:$C$27)))</f>
        <v>-0.0</v>
      </c>
      <c r="G69" s="228">
        <f>IF(G$4="",0,-SUMPRODUCT(--('2. Kalkyldata'!$E$23:$E$27="Bef"),SUMIFS('2. Kalkyldata'!$W$34:$W$39,'2. Kalkyldata'!$R$34:$R$39,G$4,'2. Kalkyldata'!$Q$34:$Q$39,'2. Kalkyldata'!$C$23:$C$27)))</f>
        <v>-0.0</v>
      </c>
      <c r="H69" s="228">
        <f>IF(H$4="",0,-SUMPRODUCT(--('2. Kalkyldata'!$E$23:$E$27="Bef"),SUMIFS('2. Kalkyldata'!$W$34:$W$39,'2. Kalkyldata'!$R$34:$R$39,H$4,'2. Kalkyldata'!$Q$34:$Q$39,'2. Kalkyldata'!$C$23:$C$27)))</f>
        <v>-0.0</v>
      </c>
      <c r="I69" s="228">
        <f>IF(I$4="",0,-SUMPRODUCT(--('2. Kalkyldata'!$E$23:$E$27="Bef"),SUMIFS('2. Kalkyldata'!$W$34:$W$39,'2. Kalkyldata'!$R$34:$R$39,I$4,'2. Kalkyldata'!$Q$34:$Q$39,'2. Kalkyldata'!$C$23:$C$27)))</f>
        <v>-0.0</v>
      </c>
      <c r="J69" s="228">
        <f>IF(J$4="",0,-SUMPRODUCT(--('2. Kalkyldata'!$E$23:$E$27="Bef"),SUMIFS('2. Kalkyldata'!$W$34:$W$39,'2. Kalkyldata'!$R$34:$R$39,J$4,'2. Kalkyldata'!$Q$34:$Q$39,'2. Kalkyldata'!$C$23:$C$27)))</f>
        <v>-0.0</v>
      </c>
      <c r="K69" s="228">
        <f>IF(K$4="",0,-SUMPRODUCT(--('2. Kalkyldata'!$E$23:$E$27="Bef"),SUMIFS('2. Kalkyldata'!$W$34:$W$39,'2. Kalkyldata'!$R$34:$R$39,K$4,'2. Kalkyldata'!$Q$34:$Q$39,'2. Kalkyldata'!$C$23:$C$27)))</f>
        <v>-0.0</v>
      </c>
      <c r="L69" s="228">
        <f>IF(L$4="",0,-SUMPRODUCT(--('2. Kalkyldata'!$E$23:$E$27="Bef"),SUMIFS('2. Kalkyldata'!$W$34:$W$39,'2. Kalkyldata'!$R$34:$R$39,L$4,'2. Kalkyldata'!$Q$34:$Q$39,'2. Kalkyldata'!$C$23:$C$27)))</f>
        <v>-0.0</v>
      </c>
      <c r="M69" s="228">
        <f>IF(M$4="",0,-SUMPRODUCT(--('2. Kalkyldata'!$E$23:$E$27="Bef"),SUMIFS('2. Kalkyldata'!$W$34:$W$39,'2. Kalkyldata'!$R$34:$R$39,M$4,'2. Kalkyldata'!$Q$34:$Q$39,'2. Kalkyldata'!$C$23:$C$27)))</f>
        <v>-0.0</v>
      </c>
      <c r="N69" s="228">
        <f>IF(N$4="",0,-SUMPRODUCT(--('2. Kalkyldata'!$E$23:$E$27="Bef"),SUMIFS('2. Kalkyldata'!$W$34:$W$39,'2. Kalkyldata'!$R$34:$R$39,N$4,'2. Kalkyldata'!$Q$34:$Q$39,'2. Kalkyldata'!$C$23:$C$27)))</f>
        <v>-0.0</v>
      </c>
      <c r="O69" s="228">
        <f>IF(O$4="",0,-SUMPRODUCT(--('2. Kalkyldata'!$E$23:$E$27="Bef"),SUMIFS('2. Kalkyldata'!$W$34:$W$39,'2. Kalkyldata'!$R$34:$R$39,O$4,'2. Kalkyldata'!$Q$34:$Q$39,'2. Kalkyldata'!$C$23:$C$27)))</f>
        <v>-0.0</v>
      </c>
      <c r="P69" s="228">
        <f>IF(P$4="",0,-SUMPRODUCT(--('2. Kalkyldata'!$E$23:$E$27="Bef"),SUMIFS('2. Kalkyldata'!$W$34:$W$39,'2. Kalkyldata'!$R$34:$R$39,P$4,'2. Kalkyldata'!$Q$34:$Q$39,'2. Kalkyldata'!$C$23:$C$27)))</f>
        <v>-0.0</v>
      </c>
      <c r="Q69" s="228">
        <f>IF(Q$4="",0,-SUMPRODUCT(--('2. Kalkyldata'!$E$23:$E$27="Bef"),SUMIFS('2. Kalkyldata'!$W$34:$W$39,'2. Kalkyldata'!$R$34:$R$39,Q$4,'2. Kalkyldata'!$Q$34:$Q$39,'2. Kalkyldata'!$C$23:$C$27)))</f>
        <v>-0.0</v>
      </c>
      <c r="R69" s="228">
        <f>IF(R$4="",0,-SUMPRODUCT(--('2. Kalkyldata'!$E$23:$E$27="Bef"),SUMIFS('2. Kalkyldata'!$W$34:$W$39,'2. Kalkyldata'!$R$34:$R$39,R$4,'2. Kalkyldata'!$Q$34:$Q$39,'2. Kalkyldata'!$C$23:$C$27)))</f>
        <v>-0.0</v>
      </c>
      <c r="S69" s="228">
        <f>IF(S$4="",0,-SUMPRODUCT(--('2. Kalkyldata'!$E$23:$E$27="Bef"),SUMIFS('2. Kalkyldata'!$W$34:$W$39,'2. Kalkyldata'!$R$34:$R$39,S$4,'2. Kalkyldata'!$Q$34:$Q$39,'2. Kalkyldata'!$C$23:$C$27)))</f>
        <v>-0.0</v>
      </c>
      <c r="T69" s="228">
        <f>IF(T$4="",0,-SUMPRODUCT(--('2. Kalkyldata'!$E$23:$E$27="Bef"),SUMIFS('2. Kalkyldata'!$W$34:$W$39,'2. Kalkyldata'!$R$34:$R$39,T$4,'2. Kalkyldata'!$Q$34:$Q$39,'2. Kalkyldata'!$C$23:$C$27)))</f>
        <v>-0.0</v>
      </c>
      <c r="U69" s="228">
        <f>IF(U$4="",0,-SUMPRODUCT(--('2. Kalkyldata'!$E$23:$E$27="Bef"),SUMIFS('2. Kalkyldata'!$W$34:$W$39,'2. Kalkyldata'!$R$34:$R$39,U$4,'2. Kalkyldata'!$Q$34:$Q$39,'2. Kalkyldata'!$C$23:$C$27)))</f>
        <v>-0.0</v>
      </c>
      <c r="V69" s="228">
        <f>IF(V$4="",0,-SUMPRODUCT(--('2. Kalkyldata'!$E$23:$E$27="Bef"),SUMIFS('2. Kalkyldata'!$W$34:$W$39,'2. Kalkyldata'!$R$34:$R$39,V$4,'2. Kalkyldata'!$Q$34:$Q$39,'2. Kalkyldata'!$C$23:$C$27)))</f>
        <v>-0.0</v>
      </c>
      <c r="W69" s="228">
        <f>IF(W$4="",0,-SUMPRODUCT(--('2. Kalkyldata'!$E$23:$E$27="Bef"),SUMIFS('2. Kalkyldata'!$W$34:$W$39,'2. Kalkyldata'!$R$34:$R$39,W$4,'2. Kalkyldata'!$Q$34:$Q$39,'2. Kalkyldata'!$C$23:$C$27)))</f>
        <v>-0.0</v>
      </c>
      <c r="X69" s="228">
        <f>IF(X$4="",0,-SUMPRODUCT(--('2. Kalkyldata'!$E$23:$E$27="Bef"),SUMIFS('2. Kalkyldata'!$W$34:$W$39,'2. Kalkyldata'!$R$34:$R$39,X$4,'2. Kalkyldata'!$Q$34:$Q$39,'2. Kalkyldata'!$C$23:$C$27)))</f>
        <v>-0.0</v>
      </c>
      <c r="Y69" s="228">
        <f>IF(Y$4="",0,-SUMPRODUCT(--('2. Kalkyldata'!$E$23:$E$27="Bef"),SUMIFS('2. Kalkyldata'!$W$34:$W$39,'2. Kalkyldata'!$R$34:$R$39,Y$4,'2. Kalkyldata'!$Q$34:$Q$39,'2. Kalkyldata'!$C$23:$C$27)))</f>
        <v>0.0</v>
      </c>
      <c r="Z69" s="228">
        <f>IF(Z$4="",0,-SUMPRODUCT(--('2. Kalkyldata'!$E$23:$E$27="Bef"),SUMIFS('2. Kalkyldata'!$W$34:$W$39,'2. Kalkyldata'!$R$34:$R$39,Z$4,'2. Kalkyldata'!$Q$34:$Q$39,'2. Kalkyldata'!$C$23:$C$27)))</f>
        <v>0.0</v>
      </c>
      <c r="AA69" s="228">
        <f>IF(AA$4="",0,-SUMPRODUCT(--('2. Kalkyldata'!$E$23:$E$27="Bef"),SUMIFS('2. Kalkyldata'!$W$34:$W$39,'2. Kalkyldata'!$R$34:$R$39,AA$4,'2. Kalkyldata'!$Q$34:$Q$39,'2. Kalkyldata'!$C$23:$C$27)))</f>
        <v>0.0</v>
      </c>
      <c r="AB69" s="228">
        <f>IF(AB$4="",0,-SUMPRODUCT(--('2. Kalkyldata'!$E$23:$E$27="Bef"),SUMIFS('2. Kalkyldata'!$W$34:$W$39,'2. Kalkyldata'!$R$34:$R$39,AB$4,'2. Kalkyldata'!$Q$34:$Q$39,'2. Kalkyldata'!$C$23:$C$27)))</f>
        <v>0.0</v>
      </c>
      <c r="AC69" s="228">
        <f>IF(AC$4="",0,-SUMPRODUCT(--('2. Kalkyldata'!$E$23:$E$27="Bef"),SUMIFS('2. Kalkyldata'!$W$34:$W$39,'2. Kalkyldata'!$R$34:$R$39,AC$4,'2. Kalkyldata'!$Q$34:$Q$39,'2. Kalkyldata'!$C$23:$C$27)))</f>
        <v>0.0</v>
      </c>
      <c r="AD69" s="228">
        <f>IF(AD$4="",0,-SUMPRODUCT(--('2. Kalkyldata'!$E$23:$E$27="Bef"),SUMIFS('2. Kalkyldata'!$W$34:$W$39,'2. Kalkyldata'!$R$34:$R$39,AD$4,'2. Kalkyldata'!$Q$34:$Q$39,'2. Kalkyldata'!$C$23:$C$27)))</f>
        <v>0.0</v>
      </c>
      <c r="AE69" s="228">
        <f>IF(AE$4="",0,-SUMPRODUCT(--('2. Kalkyldata'!$E$23:$E$27="Bef"),SUMIFS('2. Kalkyldata'!$W$34:$W$39,'2. Kalkyldata'!$R$34:$R$39,AE$4,'2. Kalkyldata'!$Q$34:$Q$39,'2. Kalkyldata'!$C$23:$C$27)))</f>
        <v>0.0</v>
      </c>
      <c r="AF69" s="228">
        <f>IF(AF$4="",0,-SUMPRODUCT(--('2. Kalkyldata'!$E$23:$E$27="Bef"),SUMIFS('2. Kalkyldata'!$W$34:$W$39,'2. Kalkyldata'!$R$34:$R$39,AF$4,'2. Kalkyldata'!$Q$34:$Q$39,'2. Kalkyldata'!$C$23:$C$27)))</f>
        <v>0.0</v>
      </c>
      <c r="AG69" s="228">
        <f>IF(AG$4="",0,-SUMPRODUCT(--('2. Kalkyldata'!$E$23:$E$27="Bef"),SUMIFS('2. Kalkyldata'!$W$34:$W$39,'2. Kalkyldata'!$R$34:$R$39,AG$4,'2. Kalkyldata'!$Q$34:$Q$39,'2. Kalkyldata'!$C$23:$C$27)))</f>
        <v>0.0</v>
      </c>
      <c r="AH69" s="228">
        <f>IF(AH$4="",0,-SUMPRODUCT(--('2. Kalkyldata'!$E$23:$E$27="Bef"),SUMIFS('2. Kalkyldata'!$W$34:$W$39,'2. Kalkyldata'!$R$34:$R$39,AH$4,'2. Kalkyldata'!$Q$34:$Q$39,'2. Kalkyldata'!$C$23:$C$27)))</f>
        <v>0.0</v>
      </c>
      <c r="AI69" s="228">
        <f>IF(AI$4="",0,-SUMPRODUCT(--('2. Kalkyldata'!$E$23:$E$27="Bef"),SUMIFS('2. Kalkyldata'!$W$34:$W$39,'2. Kalkyldata'!$R$34:$R$39,AI$4,'2. Kalkyldata'!$Q$34:$Q$39,'2. Kalkyldata'!$C$23:$C$27)))</f>
        <v>0.0</v>
      </c>
      <c r="AJ69" s="228">
        <f>IF(AJ$4="",0,-SUMPRODUCT(--('2. Kalkyldata'!$E$23:$E$27="Bef"),SUMIFS('2. Kalkyldata'!$W$34:$W$39,'2. Kalkyldata'!$R$34:$R$39,AJ$4,'2. Kalkyldata'!$Q$34:$Q$39,'2. Kalkyldata'!$C$23:$C$27)))</f>
        <v>0.0</v>
      </c>
      <c r="AK69" s="228">
        <f>IF(AK$4="",0,-SUMPRODUCT(--('2. Kalkyldata'!$E$23:$E$27="Bef"),SUMIFS('2. Kalkyldata'!$W$34:$W$39,'2. Kalkyldata'!$R$34:$R$39,AK$4,'2. Kalkyldata'!$Q$34:$Q$39,'2. Kalkyldata'!$C$23:$C$27)))</f>
        <v>0.0</v>
      </c>
      <c r="AL69" s="228">
        <f>IF(AL$4="",0,-SUMPRODUCT(--('2. Kalkyldata'!$E$23:$E$27="Bef"),SUMIFS('2. Kalkyldata'!$W$34:$W$39,'2. Kalkyldata'!$R$34:$R$39,AL$4,'2. Kalkyldata'!$Q$34:$Q$39,'2. Kalkyldata'!$C$23:$C$27)))</f>
        <v>0.0</v>
      </c>
      <c r="AM69" s="228">
        <f>IF(AM$4="",0,-SUMPRODUCT(--('2. Kalkyldata'!$E$23:$E$27="Bef"),SUMIFS('2. Kalkyldata'!$W$34:$W$39,'2. Kalkyldata'!$R$34:$R$39,AM$4,'2. Kalkyldata'!$Q$34:$Q$39,'2. Kalkyldata'!$C$23:$C$27)))</f>
        <v>0.0</v>
      </c>
      <c r="AN69" s="228">
        <f>IF(AN$4="",0,-SUMPRODUCT(--('2. Kalkyldata'!$E$23:$E$27="Bef"),SUMIFS('2. Kalkyldata'!$W$34:$W$39,'2. Kalkyldata'!$R$34:$R$39,AN$4,'2. Kalkyldata'!$Q$34:$Q$39,'2. Kalkyldata'!$C$23:$C$27)))</f>
        <v>0.0</v>
      </c>
      <c r="AO69" s="228">
        <f>IF(AO$4="",0,-SUMPRODUCT(--('2. Kalkyldata'!$E$23:$E$27="Bef"),SUMIFS('2. Kalkyldata'!$W$34:$W$39,'2. Kalkyldata'!$R$34:$R$39,AO$4,'2. Kalkyldata'!$Q$34:$Q$39,'2. Kalkyldata'!$C$23:$C$27)))</f>
        <v>0.0</v>
      </c>
      <c r="AP69" s="228">
        <f>IF(AP$4="",0,-SUMPRODUCT(--('2. Kalkyldata'!$E$23:$E$27="Bef"),SUMIFS('2. Kalkyldata'!$W$34:$W$39,'2. Kalkyldata'!$R$34:$R$39,AP$4,'2. Kalkyldata'!$Q$34:$Q$39,'2. Kalkyldata'!$C$23:$C$27)))</f>
        <v>0.0</v>
      </c>
      <c r="AQ69" s="228">
        <f>IF(AQ$4="",0,-SUMPRODUCT(--('2. Kalkyldata'!$E$23:$E$27="Bef"),SUMIFS('2. Kalkyldata'!$W$34:$W$39,'2. Kalkyldata'!$R$34:$R$39,AQ$4,'2. Kalkyldata'!$Q$34:$Q$39,'2. Kalkyldata'!$C$23:$C$27)))</f>
        <v>0.0</v>
      </c>
      <c r="AR69" s="228">
        <f>IF(AR$4="",0,-SUMPRODUCT(--('2. Kalkyldata'!$E$23:$E$27="Bef"),SUMIFS('2. Kalkyldata'!$W$34:$W$39,'2. Kalkyldata'!$R$34:$R$39,AR$4,'2. Kalkyldata'!$Q$34:$Q$39,'2. Kalkyldata'!$C$23:$C$27)))</f>
        <v>0.0</v>
      </c>
      <c r="AS69" s="228">
        <f>IF(AS$4="",0,-SUMPRODUCT(--('2. Kalkyldata'!$E$23:$E$27="Bef"),SUMIFS('2. Kalkyldata'!$W$34:$W$39,'2. Kalkyldata'!$R$34:$R$39,AS$4,'2. Kalkyldata'!$Q$34:$Q$39,'2. Kalkyldata'!$C$23:$C$27)))</f>
        <v>0.0</v>
      </c>
      <c r="AT69" s="228">
        <f>IF(AT$4="",0,-SUMPRODUCT(--('2. Kalkyldata'!$E$23:$E$27="Bef"),SUMIFS('2. Kalkyldata'!$W$34:$W$39,'2. Kalkyldata'!$R$34:$R$39,AT$4,'2. Kalkyldata'!$Q$34:$Q$39,'2. Kalkyldata'!$C$23:$C$27)))</f>
        <v>0.0</v>
      </c>
      <c r="AU69" s="228">
        <f>IF(AU$4="",0,-SUMPRODUCT(--('2. Kalkyldata'!$E$23:$E$27="Bef"),SUMIFS('2. Kalkyldata'!$W$34:$W$39,'2. Kalkyldata'!$R$34:$R$39,AU$4,'2. Kalkyldata'!$Q$34:$Q$39,'2. Kalkyldata'!$C$23:$C$27)))</f>
        <v>0.0</v>
      </c>
      <c r="AV69" s="228">
        <f>IF(AV$4="",0,-SUMPRODUCT(--('2. Kalkyldata'!$E$23:$E$27="Bef"),SUMIFS('2. Kalkyldata'!$W$34:$W$39,'2. Kalkyldata'!$R$34:$R$39,AV$4,'2. Kalkyldata'!$Q$34:$Q$39,'2. Kalkyldata'!$C$23:$C$27)))</f>
        <v>0.0</v>
      </c>
      <c r="AW69" s="228">
        <f>IF(AW$4="",0,-SUMPRODUCT(--('2. Kalkyldata'!$E$23:$E$27="Bef"),SUMIFS('2. Kalkyldata'!$W$34:$W$39,'2. Kalkyldata'!$R$34:$R$39,AW$4,'2. Kalkyldata'!$Q$34:$Q$39,'2. Kalkyldata'!$C$23:$C$27)))</f>
        <v>0.0</v>
      </c>
      <c r="AX69" s="228">
        <f>IF(AX$4="",0,-SUMPRODUCT(--('2. Kalkyldata'!$E$23:$E$27="Bef"),SUMIFS('2. Kalkyldata'!$W$34:$W$39,'2. Kalkyldata'!$R$34:$R$39,AX$4,'2. Kalkyldata'!$Q$34:$Q$39,'2. Kalkyldata'!$C$23:$C$27)))</f>
        <v>0.0</v>
      </c>
      <c r="AY69" s="228">
        <f>IF(AY$4="",0,-SUMPRODUCT(--('2. Kalkyldata'!$E$23:$E$27="Bef"),SUMIFS('2. Kalkyldata'!$W$34:$W$39,'2. Kalkyldata'!$R$34:$R$39,AY$4,'2. Kalkyldata'!$Q$34:$Q$39,'2. Kalkyldata'!$C$23:$C$27)))</f>
        <v>0.0</v>
      </c>
      <c r="AZ69" s="228">
        <f>IF(AZ$4="",0,-SUMPRODUCT(--('2. Kalkyldata'!$E$23:$E$27="Bef"),SUMIFS('2. Kalkyldata'!$W$34:$W$39,'2. Kalkyldata'!$R$34:$R$39,AZ$4,'2. Kalkyldata'!$Q$34:$Q$39,'2. Kalkyldata'!$C$23:$C$27)))</f>
        <v>0.0</v>
      </c>
      <c r="BA69" s="228">
        <f>IF(BA$4="",0,-SUMPRODUCT(--('2. Kalkyldata'!$E$23:$E$27="Bef"),SUMIFS('2. Kalkyldata'!$W$34:$W$39,'2. Kalkyldata'!$R$34:$R$39,BA$4,'2. Kalkyldata'!$Q$34:$Q$39,'2. Kalkyldata'!$C$23:$C$27)))</f>
        <v>0.0</v>
      </c>
    </row>
    <row r="70" spans="2:53">
      <c r="B70" s="227" t="s">
        <v>379</v>
      </c>
      <c r="C70" s="327"/>
      <c r="D70" s="228">
        <f>D66+D67+D68+D69</f>
        <v>0.0</v>
      </c>
      <c r="E70" s="228">
        <f>E66+E67+E68+E69</f>
        <v>0.0</v>
      </c>
      <c r="F70" s="228">
        <f>F66+F67+F68+F69</f>
        <v>0.0</v>
      </c>
      <c r="G70" s="228">
        <f>G66+G67+G68+G69</f>
        <v>0.0</v>
      </c>
      <c r="H70" s="228">
        <f>H66+H67+H68+H69</f>
        <v>0.0</v>
      </c>
      <c r="I70" s="228">
        <f>I66+I67+I68+I69</f>
        <v>0.0</v>
      </c>
      <c r="J70" s="228">
        <f>J66+J67+J68+J69</f>
        <v>0.0</v>
      </c>
      <c r="K70" s="228">
        <f>K66+K67+K68+K69</f>
        <v>0.0</v>
      </c>
      <c r="L70" s="228">
        <f>L66+L67+L68+L69</f>
        <v>0.0</v>
      </c>
      <c r="M70" s="228">
        <f>M66+M67+M68+M69</f>
        <v>0.0</v>
      </c>
      <c r="N70" s="228">
        <f>N66+N67+N68+N69</f>
        <v>0.0</v>
      </c>
      <c r="O70" s="228">
        <f>O66+O67+O68+O69</f>
        <v>0.0</v>
      </c>
      <c r="P70" s="228">
        <f>P66+P67+P68+P69</f>
        <v>0.0</v>
      </c>
      <c r="Q70" s="228">
        <f>Q66+Q67+Q68+Q69</f>
        <v>0.0</v>
      </c>
      <c r="R70" s="228">
        <f>R66+R67+R68+R69</f>
        <v>0.0</v>
      </c>
      <c r="S70" s="228">
        <f>S66+S67+S68+S69</f>
        <v>0.0</v>
      </c>
      <c r="T70" s="228">
        <f>T66+T67+T68+T69</f>
        <v>0.0</v>
      </c>
      <c r="U70" s="228">
        <f>U66+U67+U68+U69</f>
        <v>0.0</v>
      </c>
      <c r="V70" s="228">
        <f>V66+V67+V68+V69</f>
        <v>0.0</v>
      </c>
      <c r="W70" s="228">
        <f>W66+W67+W68+W69</f>
        <v>0.0</v>
      </c>
      <c r="X70" s="228">
        <f>X66+X67+X68+X69</f>
        <v>0.0</v>
      </c>
      <c r="Y70" s="228">
        <f>Y66+Y67+Y68+Y69</f>
        <v>0.0</v>
      </c>
      <c r="Z70" s="228">
        <f>Z66+Z67+Z68+Z69</f>
        <v>0.0</v>
      </c>
      <c r="AA70" s="228">
        <f>AA66+AA67+AA68+AA69</f>
        <v>0.0</v>
      </c>
      <c r="AB70" s="228">
        <f>AB66+AB67+AB68+AB69</f>
        <v>0.0</v>
      </c>
      <c r="AC70" s="228">
        <f>AC66+AC67+AC68+AC69</f>
        <v>0.0</v>
      </c>
      <c r="AD70" s="228">
        <f>AD66+AD67+AD68+AD69</f>
        <v>0.0</v>
      </c>
      <c r="AE70" s="228">
        <f>AE66+AE67+AE68+AE69</f>
        <v>0.0</v>
      </c>
      <c r="AF70" s="228">
        <f>AF66+AF67+AF68+AF69</f>
        <v>0.0</v>
      </c>
      <c r="AG70" s="228">
        <f>AG66+AG67+AG68+AG69</f>
        <v>0.0</v>
      </c>
      <c r="AH70" s="228">
        <f>AH66+AH67+AH68+AH69</f>
        <v>0.0</v>
      </c>
      <c r="AI70" s="228">
        <f>AI66+AI67+AI68+AI69</f>
        <v>0.0</v>
      </c>
      <c r="AJ70" s="228">
        <f>AJ66+AJ67+AJ68+AJ69</f>
        <v>0.0</v>
      </c>
      <c r="AK70" s="228">
        <f>AK66+AK67+AK68+AK69</f>
        <v>0.0</v>
      </c>
      <c r="AL70" s="228">
        <f>AL66+AL67+AL68+AL69</f>
        <v>0.0</v>
      </c>
      <c r="AM70" s="228">
        <f>AM66+AM67+AM68+AM69</f>
        <v>0.0</v>
      </c>
      <c r="AN70" s="228">
        <f>AN66+AN67+AN68+AN69</f>
        <v>0.0</v>
      </c>
      <c r="AO70" s="228">
        <f>AO66+AO67+AO68+AO69</f>
        <v>0.0</v>
      </c>
      <c r="AP70" s="228">
        <f>AP66+AP67+AP68+AP69</f>
        <v>0.0</v>
      </c>
      <c r="AQ70" s="228">
        <f>AQ66+AQ67+AQ68+AQ69</f>
        <v>0.0</v>
      </c>
      <c r="AR70" s="228">
        <f>AR66+AR67+AR68+AR69</f>
        <v>0.0</v>
      </c>
      <c r="AS70" s="228">
        <f>AS66+AS67+AS68+AS69</f>
        <v>0.0</v>
      </c>
      <c r="AT70" s="228">
        <f>AT66+AT67+AT68+AT69</f>
        <v>0.0</v>
      </c>
      <c r="AU70" s="228">
        <f>AU66+AU67+AU68+AU69</f>
        <v>0.0</v>
      </c>
      <c r="AV70" s="228">
        <f>AV66+AV67+AV68+AV69</f>
        <v>0.0</v>
      </c>
      <c r="AW70" s="228">
        <f>AW66+AW67+AW68+AW69</f>
        <v>0.0</v>
      </c>
      <c r="AX70" s="228">
        <f>AX66+AX67+AX68+AX69</f>
        <v>0.0</v>
      </c>
      <c r="AY70" s="228">
        <f>AY66+AY67+AY68+AY69</f>
        <v>0.0</v>
      </c>
      <c r="AZ70" s="228">
        <f>AZ66+AZ67+AZ68+AZ69</f>
        <v>0.0</v>
      </c>
      <c r="BA70" s="228">
        <f>BA66+BA67+BA68+BA69</f>
        <v>0.0</v>
      </c>
    </row>
    <row r="71" spans="2:53" ht="15">
      <c r="B71" s="412" t="s">
        <v>380</v>
      </c>
      <c r="C71" s="327"/>
      <c r="D71" s="414">
        <f>D29-D70</f>
        <v>13694500.0</v>
      </c>
      <c r="E71" s="414">
        <f>E29-E70</f>
        <v>13871400.0</v>
      </c>
      <c r="F71" s="414">
        <f>F29-F70</f>
        <v>14050480.14</v>
      </c>
      <c r="G71" s="414">
        <f>G29-G70</f>
        <v>14231765.012759998</v>
      </c>
      <c r="H71" s="414">
        <f>H29-H70</f>
        <v>14415279.43675464</v>
      </c>
      <c r="I71" s="414">
        <f>I29-I70</f>
        <v>14601048.456961526</v>
      </c>
      <c r="J71" s="414">
        <f>J29-J70</f>
        <v>14789097.34561315</v>
      </c>
      <c r="K71" s="414">
        <f>K29-K70</f>
        <v>14979451.60291099</v>
      </c>
      <c r="L71" s="414">
        <f>L29-L70</f>
        <v>15172136.957700178</v>
      </c>
      <c r="M71" s="414">
        <f>M29-M70</f>
        <v>15367179.368103383</v>
      </c>
      <c r="N71" s="414">
        <f>N29-N70</f>
        <v>15564605.02211214</v>
      </c>
      <c r="O71" s="414">
        <f>O29-O70</f>
        <v>15764440.338134129</v>
      </c>
      <c r="P71" s="414">
        <f>P29-P70</f>
        <v>15966711.965494674</v>
      </c>
      <c r="Q71" s="414">
        <f>Q29-Q70</f>
        <v>16171446.784890799</v>
      </c>
      <c r="R71" s="414">
        <f>R29-R70</f>
        <v>16378671.908796053</v>
      </c>
      <c r="S71" s="414">
        <f>S29-S70</f>
        <v>16588414.68181432</v>
      </c>
      <c r="T71" s="414">
        <f>T29-T70</f>
        <v>16800702.68098074</v>
      </c>
      <c r="U71" s="414">
        <f>U29-U70</f>
        <v>17015563.71600791</v>
      </c>
      <c r="V71" s="414">
        <f>V29-V70</f>
        <v>17233025.829475332</v>
      </c>
      <c r="W71" s="414">
        <f>W29-W70</f>
        <v>17453117.296960164</v>
      </c>
      <c r="X71" s="414">
        <f>X29-X70</f>
        <v>17675866.627107225</v>
      </c>
      <c r="Y71" s="414">
        <f>Y29-Y70</f>
        <v>0.0</v>
      </c>
      <c r="Z71" s="414">
        <f>Z29-Z70</f>
        <v>0.0</v>
      </c>
      <c r="AA71" s="414">
        <f>AA29-AA70</f>
        <v>0.0</v>
      </c>
      <c r="AB71" s="414">
        <f>AB29-AB70</f>
        <v>0.0</v>
      </c>
      <c r="AC71" s="414">
        <f>AC29-AC70</f>
        <v>0.0</v>
      </c>
      <c r="AD71" s="414">
        <f>AD29-AD70</f>
        <v>0.0</v>
      </c>
      <c r="AE71" s="414">
        <f>AE29-AE70</f>
        <v>0.0</v>
      </c>
      <c r="AF71" s="414">
        <f>AF29-AF70</f>
        <v>0.0</v>
      </c>
      <c r="AG71" s="414">
        <f>AG29-AG70</f>
        <v>0.0</v>
      </c>
      <c r="AH71" s="414">
        <f>AH29-AH70</f>
        <v>0.0</v>
      </c>
      <c r="AI71" s="414">
        <f>AI29-AI70</f>
        <v>0.0</v>
      </c>
      <c r="AJ71" s="414">
        <f>AJ29-AJ70</f>
        <v>0.0</v>
      </c>
      <c r="AK71" s="414">
        <f>AK29-AK70</f>
        <v>0.0</v>
      </c>
      <c r="AL71" s="414">
        <f>AL29-AL70</f>
        <v>0.0</v>
      </c>
      <c r="AM71" s="414">
        <f>AM29-AM70</f>
        <v>0.0</v>
      </c>
      <c r="AN71" s="414">
        <f>AN29-AN70</f>
        <v>0.0</v>
      </c>
      <c r="AO71" s="414">
        <f>AO29-AO70</f>
        <v>0.0</v>
      </c>
      <c r="AP71" s="414">
        <f>AP29-AP70</f>
        <v>0.0</v>
      </c>
      <c r="AQ71" s="414">
        <f>AQ29-AQ70</f>
        <v>0.0</v>
      </c>
      <c r="AR71" s="414">
        <f>AR29-AR70</f>
        <v>0.0</v>
      </c>
      <c r="AS71" s="414">
        <f>AS29-AS70</f>
        <v>0.0</v>
      </c>
      <c r="AT71" s="414">
        <f>AT29-AT70</f>
        <v>0.0</v>
      </c>
      <c r="AU71" s="414">
        <f>AU29-AU70</f>
        <v>0.0</v>
      </c>
      <c r="AV71" s="414">
        <f>AV29-AV70</f>
        <v>0.0</v>
      </c>
      <c r="AW71" s="414">
        <f>AW29-AW70</f>
        <v>0.0</v>
      </c>
      <c r="AX71" s="414">
        <f>AX29-AX70</f>
        <v>0.0</v>
      </c>
      <c r="AY71" s="414">
        <f>AY29-AY70</f>
        <v>0.0</v>
      </c>
      <c r="AZ71" s="414">
        <f>AZ29-AZ70</f>
        <v>0.0</v>
      </c>
      <c r="BA71" s="414">
        <f>BA29-BA70</f>
        <v>0.0</v>
      </c>
    </row>
    <row r="72" spans="2:53">
      <c r="B72" s="227" t="s">
        <v>381</v>
      </c>
      <c r="C72" s="327"/>
      <c r="D72" s="228">
        <f>D25-D69</f>
        <v>0.0</v>
      </c>
      <c r="E72" s="228">
        <f>E25-E69</f>
        <v>0.0</v>
      </c>
      <c r="F72" s="228">
        <f>F25-F69</f>
        <v>0.0</v>
      </c>
      <c r="G72" s="228">
        <f>G25-G69</f>
        <v>0.0</v>
      </c>
      <c r="H72" s="228">
        <f>H25-H69</f>
        <v>0.0</v>
      </c>
      <c r="I72" s="228">
        <f>I25-I69</f>
        <v>0.0</v>
      </c>
      <c r="J72" s="228">
        <f>J25-J69</f>
        <v>0.0</v>
      </c>
      <c r="K72" s="228">
        <f>K25-K69</f>
        <v>0.0</v>
      </c>
      <c r="L72" s="228">
        <f>L25-L69</f>
        <v>0.0</v>
      </c>
      <c r="M72" s="228">
        <f>M25-M69</f>
        <v>0.0</v>
      </c>
      <c r="N72" s="228">
        <f>N25-N69</f>
        <v>0.0</v>
      </c>
      <c r="O72" s="228">
        <f>O25-O69</f>
        <v>0.0</v>
      </c>
      <c r="P72" s="228">
        <f>P25-P69</f>
        <v>0.0</v>
      </c>
      <c r="Q72" s="228">
        <f>Q25-Q69</f>
        <v>0.0</v>
      </c>
      <c r="R72" s="228">
        <f>R25-R69</f>
        <v>0.0</v>
      </c>
      <c r="S72" s="228">
        <f>S25-S69</f>
        <v>0.0</v>
      </c>
      <c r="T72" s="228">
        <f>T25-T69</f>
        <v>0.0</v>
      </c>
      <c r="U72" s="228">
        <f>U25-U69</f>
        <v>0.0</v>
      </c>
      <c r="V72" s="228">
        <f>V25-V69</f>
        <v>0.0</v>
      </c>
      <c r="W72" s="228">
        <f>W25-W69</f>
        <v>0.0</v>
      </c>
      <c r="X72" s="228">
        <f>X25-X69</f>
        <v>0.0</v>
      </c>
      <c r="Y72" s="228">
        <f>Y25-Y69</f>
        <v>0.0</v>
      </c>
      <c r="Z72" s="228">
        <f>Z25-Z69</f>
        <v>0.0</v>
      </c>
      <c r="AA72" s="228">
        <f>AA25-AA69</f>
        <v>0.0</v>
      </c>
      <c r="AB72" s="228">
        <f>AB25-AB69</f>
        <v>0.0</v>
      </c>
      <c r="AC72" s="228">
        <f>AC25-AC69</f>
        <v>0.0</v>
      </c>
      <c r="AD72" s="228">
        <f>AD25-AD69</f>
        <v>0.0</v>
      </c>
      <c r="AE72" s="228">
        <f>AE25-AE69</f>
        <v>0.0</v>
      </c>
      <c r="AF72" s="228">
        <f>AF25-AF69</f>
        <v>0.0</v>
      </c>
      <c r="AG72" s="228">
        <f>AG25-AG69</f>
        <v>0.0</v>
      </c>
      <c r="AH72" s="228">
        <f>AH25-AH69</f>
        <v>0.0</v>
      </c>
      <c r="AI72" s="228">
        <f>AI25-AI69</f>
        <v>0.0</v>
      </c>
      <c r="AJ72" s="228">
        <f>AJ25-AJ69</f>
        <v>0.0</v>
      </c>
      <c r="AK72" s="228">
        <f>AK25-AK69</f>
        <v>0.0</v>
      </c>
      <c r="AL72" s="228">
        <f>AL25-AL69</f>
        <v>0.0</v>
      </c>
      <c r="AM72" s="228">
        <f>AM25-AM69</f>
        <v>0.0</v>
      </c>
      <c r="AN72" s="228">
        <f>AN25-AN69</f>
        <v>0.0</v>
      </c>
      <c r="AO72" s="228">
        <f>AO25-AO69</f>
        <v>0.0</v>
      </c>
      <c r="AP72" s="228">
        <f>AP25-AP69</f>
        <v>0.0</v>
      </c>
      <c r="AQ72" s="228">
        <f>AQ25-AQ69</f>
        <v>0.0</v>
      </c>
      <c r="AR72" s="228">
        <f>AR25-AR69</f>
        <v>0.0</v>
      </c>
      <c r="AS72" s="228">
        <f>AS25-AS69</f>
        <v>0.0</v>
      </c>
      <c r="AT72" s="228">
        <f>AT25-AT69</f>
        <v>0.0</v>
      </c>
      <c r="AU72" s="228">
        <f>AU25-AU69</f>
        <v>0.0</v>
      </c>
      <c r="AV72" s="228">
        <f>AV25-AV69</f>
        <v>0.0</v>
      </c>
      <c r="AW72" s="228">
        <f>AW25-AW69</f>
        <v>0.0</v>
      </c>
      <c r="AX72" s="228">
        <f>AX25-AX69</f>
        <v>0.0</v>
      </c>
      <c r="AY72" s="228">
        <f>AY25-AY69</f>
        <v>0.0</v>
      </c>
      <c r="AZ72" s="228">
        <f>AZ25-AZ69</f>
        <v>0.0</v>
      </c>
      <c r="BA72" s="228">
        <f>BA25-BA69</f>
        <v>0.0</v>
      </c>
    </row>
    <row r="73" spans="2:53">
      <c r="B73" s="227" t="inlineStr">
        <is>
          <t>PV driftnetto tillkommande</t>
        </is>
      </c>
      <c r="C73" s="327"/>
      <c r="D73" s="228">
        <f>(D71-D72)/((1+'2. Kalkyldata'!$M$7)^D$5)</f>
        <v>13098517.455762792</v>
      </c>
      <c r="E73" s="228">
        <f>(E71-E72)/((1+'2. Kalkyldata'!$M$7)^E$5)</f>
        <v>12690309.703333337</v>
      </c>
      <c r="F73" s="228">
        <f>(F71-F72)/((1+'2. Kalkyldata'!$M$7)^F$5)</f>
        <v>12294731.646523232</v>
      </c>
      <c r="G73" s="228">
        <f>(G71-G72)/((1+'2. Kalkyldata'!$M$7)^G$5)</f>
        <v>11911394.696503203</v>
      </c>
      <c r="H73" s="228">
        <f>(H71-H72)/((1+'2. Kalkyldata'!$M$7)^H$5)</f>
        <v>11539922.169045176</v>
      </c>
      <c r="I73" s="228">
        <f>(I71-I72)/((1+'2. Kalkyldata'!$M$7)^I$5)</f>
        <v>11179948.92104801</v>
      </c>
      <c r="J73" s="228">
        <f>(J71-J72)/((1+'2. Kalkyldata'!$M$7)^J$5)</f>
        <v>10831120.998131488</v>
      </c>
      <c r="K73" s="228">
        <f>(K71-K72)/((1+'2. Kalkyldata'!$M$7)^K$5)</f>
        <v>10493095.292962179</v>
      </c>
      <c r="L73" s="228">
        <f>(L71-L72)/((1+'2. Kalkyldata'!$M$7)^L$5)</f>
        <v>10165539.213985015</v>
      </c>
      <c r="M73" s="228">
        <f>(M71-M72)/((1+'2. Kalkyldata'!$M$7)^M$5)</f>
        <v>9848130.364244446</v>
      </c>
      <c r="N73" s="228">
        <f>(N71-N72)/((1+'2. Kalkyldata'!$M$7)^N$5)</f>
        <v>9540556.229988432</v>
      </c>
      <c r="O73" s="228">
        <f>(O71-O72)/((1+'2. Kalkyldata'!$M$7)^O$5)</f>
        <v>9242513.878757987</v>
      </c>
      <c r="P73" s="228">
        <f>(P71-P72)/((1+'2. Kalkyldata'!$M$7)^P$5)</f>
        <v>8953709.666673968</v>
      </c>
      <c r="Q73" s="228">
        <f>(Q71-Q72)/((1+'2. Kalkyldata'!$M$7)^Q$5)</f>
        <v>8673858.954641491</v>
      </c>
      <c r="R73" s="228">
        <f>(R71-R72)/((1+'2. Kalkyldata'!$M$7)^R$5)</f>
        <v>8402685.833200973</v>
      </c>
      <c r="S73" s="228">
        <f>(S71-S72)/((1+'2. Kalkyldata'!$M$7)^S$5)</f>
        <v>8139922.855762867</v>
      </c>
      <c r="T73" s="228">
        <f>(T71-T72)/((1+'2. Kalkyldata'!$M$7)^T$5)</f>
        <v>7885310.779971234</v>
      </c>
      <c r="U73" s="228">
        <f>(U71-U72)/((1+'2. Kalkyldata'!$M$7)^U$5)</f>
        <v>7638598.316949044</v>
      </c>
      <c r="V73" s="228">
        <f>(V71-V72)/((1+'2. Kalkyldata'!$M$7)^V$5)</f>
        <v>7399541.8881854955</v>
      </c>
      <c r="W73" s="228">
        <f>(W71-W72)/((1+'2. Kalkyldata'!$M$7)^W$5)</f>
        <v>7167905.389833036</v>
      </c>
      <c r="X73" s="228">
        <f>(X71-X72)/((1+'2. Kalkyldata'!$M$7)^X$5)</f>
        <v>6943459.96418874</v>
      </c>
      <c r="Y73" s="228">
        <f>(Y71-Y72)/((1+'2. Kalkyldata'!$M$7)^Y$5)</f>
        <v>0.0</v>
      </c>
      <c r="Z73" s="228">
        <f>(Z71-Z72)/((1+'2. Kalkyldata'!$M$7)^Z$5)</f>
        <v>0.0</v>
      </c>
      <c r="AA73" s="228">
        <f>(AA71-AA72)/((1+'2. Kalkyldata'!$M$7)^AA$5)</f>
        <v>0.0</v>
      </c>
      <c r="AB73" s="228">
        <f>(AB71-AB72)/((1+'2. Kalkyldata'!$M$7)^AB$5)</f>
        <v>0.0</v>
      </c>
      <c r="AC73" s="228">
        <f>(AC71-AC72)/((1+'2. Kalkyldata'!$M$7)^AC$5)</f>
        <v>0.0</v>
      </c>
      <c r="AD73" s="228">
        <f>(AD71-AD72)/((1+'2. Kalkyldata'!$M$7)^AD$5)</f>
        <v>0.0</v>
      </c>
      <c r="AE73" s="228">
        <f>(AE71-AE72)/((1+'2. Kalkyldata'!$M$7)^AE$5)</f>
        <v>0.0</v>
      </c>
      <c r="AF73" s="228">
        <f>(AF71-AF72)/((1+'2. Kalkyldata'!$M$7)^AF$5)</f>
        <v>0.0</v>
      </c>
      <c r="AG73" s="228">
        <f>(AG71-AG72)/((1+'2. Kalkyldata'!$M$7)^AG$5)</f>
        <v>0.0</v>
      </c>
      <c r="AH73" s="228">
        <f>(AH71-AH72)/((1+'2. Kalkyldata'!$M$7)^AH$5)</f>
        <v>0.0</v>
      </c>
      <c r="AI73" s="228">
        <f>(AI71-AI72)/((1+'2. Kalkyldata'!$M$7)^AI$5)</f>
        <v>0.0</v>
      </c>
      <c r="AJ73" s="228">
        <f>(AJ71-AJ72)/((1+'2. Kalkyldata'!$M$7)^AJ$5)</f>
        <v>0.0</v>
      </c>
      <c r="AK73" s="228">
        <f>(AK71-AK72)/((1+'2. Kalkyldata'!$M$7)^AK$5)</f>
        <v>0.0</v>
      </c>
      <c r="AL73" s="228">
        <f>(AL71-AL72)/((1+'2. Kalkyldata'!$M$7)^AL$5)</f>
        <v>0.0</v>
      </c>
      <c r="AM73" s="228">
        <f>(AM71-AM72)/((1+'2. Kalkyldata'!$M$7)^AM$5)</f>
        <v>0.0</v>
      </c>
      <c r="AN73" s="228">
        <f>(AN71-AN72)/((1+'2. Kalkyldata'!$M$7)^AN$5)</f>
        <v>0.0</v>
      </c>
      <c r="AO73" s="228">
        <f>(AO71-AO72)/((1+'2. Kalkyldata'!$M$7)^AO$5)</f>
        <v>0.0</v>
      </c>
      <c r="AP73" s="228">
        <f>(AP71-AP72)/((1+'2. Kalkyldata'!$M$7)^AP$5)</f>
        <v>0.0</v>
      </c>
      <c r="AQ73" s="228">
        <f>(AQ71-AQ72)/((1+'2. Kalkyldata'!$M$7)^AQ$5)</f>
        <v>0.0</v>
      </c>
      <c r="AR73" s="228">
        <f>(AR71-AR72)/((1+'2. Kalkyldata'!$M$7)^AR$5)</f>
        <v>0.0</v>
      </c>
      <c r="AS73" s="228">
        <f>(AS71-AS72)/((1+'2. Kalkyldata'!$M$7)^AS$5)</f>
        <v>0.0</v>
      </c>
      <c r="AT73" s="228">
        <f>(AT71-AT72)/((1+'2. Kalkyldata'!$M$7)^AT$5)</f>
        <v>0.0</v>
      </c>
      <c r="AU73" s="228">
        <f>(AU71-AU72)/((1+'2. Kalkyldata'!$M$7)^AU$5)</f>
        <v>0.0</v>
      </c>
      <c r="AV73" s="228">
        <f>(AV71-AV72)/((1+'2. Kalkyldata'!$M$7)^AV$5)</f>
        <v>0.0</v>
      </c>
      <c r="AW73" s="228">
        <f>(AW71-AW72)/((1+'2. Kalkyldata'!$M$7)^AW$5)</f>
        <v>0.0</v>
      </c>
      <c r="AX73" s="228">
        <f>(AX71-AX72)/((1+'2. Kalkyldata'!$M$7)^AX$5)</f>
        <v>0.0</v>
      </c>
      <c r="AY73" s="228">
        <f>(AY71-AY72)/((1+'2. Kalkyldata'!$M$7)^AY$5)</f>
        <v>0.0</v>
      </c>
      <c r="AZ73" s="228">
        <f>(AZ71-AZ72)/((1+'2. Kalkyldata'!$M$7)^AZ$5)</f>
        <v>0.0</v>
      </c>
      <c r="BA73" s="228">
        <f>(BA71-BA72)/((1+'2. Kalkyldata'!$M$7)^BA$5)</f>
        <v>0.0</v>
      </c>
    </row>
    <row r="74" spans="2:53">
      <c r="B74" s="227" t="inlineStr">
        <is>
          <t>PV extraordinärt UH tillkommande</t>
        </is>
      </c>
      <c r="C74" s="327"/>
      <c r="D74" s="228">
        <f>-(D72/((1+'2. Kalkyldata'!$M$7)^D$5))</f>
        <v>-0.0</v>
      </c>
      <c r="E74" s="228">
        <f>-(E72/((1+'2. Kalkyldata'!$M$7)^E$5))</f>
        <v>-0.0</v>
      </c>
      <c r="F74" s="228">
        <f>-(F72/((1+'2. Kalkyldata'!$M$7)^F$5))</f>
        <v>-0.0</v>
      </c>
      <c r="G74" s="228">
        <f>-(G72/((1+'2. Kalkyldata'!$M$7)^G$5))</f>
        <v>-0.0</v>
      </c>
      <c r="H74" s="228">
        <f>-(H72/((1+'2. Kalkyldata'!$M$7)^H$5))</f>
        <v>-0.0</v>
      </c>
      <c r="I74" s="228">
        <f>-(I72/((1+'2. Kalkyldata'!$M$7)^I$5))</f>
        <v>-0.0</v>
      </c>
      <c r="J74" s="228">
        <f>-(J72/((1+'2. Kalkyldata'!$M$7)^J$5))</f>
        <v>-0.0</v>
      </c>
      <c r="K74" s="228">
        <f>-(K72/((1+'2. Kalkyldata'!$M$7)^K$5))</f>
        <v>-0.0</v>
      </c>
      <c r="L74" s="228">
        <f>-(L72/((1+'2. Kalkyldata'!$M$7)^L$5))</f>
        <v>-0.0</v>
      </c>
      <c r="M74" s="228">
        <f>-(M72/((1+'2. Kalkyldata'!$M$7)^M$5))</f>
        <v>-0.0</v>
      </c>
      <c r="N74" s="228">
        <f>-(N72/((1+'2. Kalkyldata'!$M$7)^N$5))</f>
        <v>-0.0</v>
      </c>
      <c r="O74" s="228">
        <f>-(O72/((1+'2. Kalkyldata'!$M$7)^O$5))</f>
        <v>-0.0</v>
      </c>
      <c r="P74" s="228">
        <f>-(P72/((1+'2. Kalkyldata'!$M$7)^P$5))</f>
        <v>-0.0</v>
      </c>
      <c r="Q74" s="228">
        <f>-(Q72/((1+'2. Kalkyldata'!$M$7)^Q$5))</f>
        <v>-0.0</v>
      </c>
      <c r="R74" s="228">
        <f>-(R72/((1+'2. Kalkyldata'!$M$7)^R$5))</f>
        <v>-0.0</v>
      </c>
      <c r="S74" s="228">
        <f>-(S72/((1+'2. Kalkyldata'!$M$7)^S$5))</f>
        <v>-0.0</v>
      </c>
      <c r="T74" s="228">
        <f>-(T72/((1+'2. Kalkyldata'!$M$7)^T$5))</f>
        <v>-0.0</v>
      </c>
      <c r="U74" s="228">
        <f>-(U72/((1+'2. Kalkyldata'!$M$7)^U$5))</f>
        <v>-0.0</v>
      </c>
      <c r="V74" s="228">
        <f>-(V72/((1+'2. Kalkyldata'!$M$7)^V$5))</f>
        <v>-0.0</v>
      </c>
      <c r="W74" s="228">
        <f>-(W72/((1+'2. Kalkyldata'!$M$7)^W$5))</f>
        <v>-0.0</v>
      </c>
      <c r="X74" s="228">
        <f>-(X72/((1+'2. Kalkyldata'!$M$7)^X$5))</f>
        <v>-0.0</v>
      </c>
      <c r="Y74" s="228">
        <f>-(Y72/((1+'2. Kalkyldata'!$M$7)^Y$5))</f>
        <v>-0.0</v>
      </c>
      <c r="Z74" s="228">
        <f>-(Z72/((1+'2. Kalkyldata'!$M$7)^Z$5))</f>
        <v>-0.0</v>
      </c>
      <c r="AA74" s="228">
        <f>-(AA72/((1+'2. Kalkyldata'!$M$7)^AA$5))</f>
        <v>-0.0</v>
      </c>
      <c r="AB74" s="228">
        <f>-(AB72/((1+'2. Kalkyldata'!$M$7)^AB$5))</f>
        <v>-0.0</v>
      </c>
      <c r="AC74" s="228">
        <f>-(AC72/((1+'2. Kalkyldata'!$M$7)^AC$5))</f>
        <v>-0.0</v>
      </c>
      <c r="AD74" s="228">
        <f>-(AD72/((1+'2. Kalkyldata'!$M$7)^AD$5))</f>
        <v>-0.0</v>
      </c>
      <c r="AE74" s="228">
        <f>-(AE72/((1+'2. Kalkyldata'!$M$7)^AE$5))</f>
        <v>-0.0</v>
      </c>
      <c r="AF74" s="228">
        <f>-(AF72/((1+'2. Kalkyldata'!$M$7)^AF$5))</f>
        <v>-0.0</v>
      </c>
      <c r="AG74" s="228">
        <f>-(AG72/((1+'2. Kalkyldata'!$M$7)^AG$5))</f>
        <v>-0.0</v>
      </c>
      <c r="AH74" s="228">
        <f>-(AH72/((1+'2. Kalkyldata'!$M$7)^AH$5))</f>
        <v>-0.0</v>
      </c>
      <c r="AI74" s="228">
        <f>-(AI72/((1+'2. Kalkyldata'!$M$7)^AI$5))</f>
        <v>-0.0</v>
      </c>
      <c r="AJ74" s="228">
        <f>-(AJ72/((1+'2. Kalkyldata'!$M$7)^AJ$5))</f>
        <v>-0.0</v>
      </c>
      <c r="AK74" s="228">
        <f>-(AK72/((1+'2. Kalkyldata'!$M$7)^AK$5))</f>
        <v>-0.0</v>
      </c>
      <c r="AL74" s="228">
        <f>-(AL72/((1+'2. Kalkyldata'!$M$7)^AL$5))</f>
        <v>-0.0</v>
      </c>
      <c r="AM74" s="228">
        <f>-(AM72/((1+'2. Kalkyldata'!$M$7)^AM$5))</f>
        <v>-0.0</v>
      </c>
      <c r="AN74" s="228">
        <f>-(AN72/((1+'2. Kalkyldata'!$M$7)^AN$5))</f>
        <v>-0.0</v>
      </c>
      <c r="AO74" s="228">
        <f>-(AO72/((1+'2. Kalkyldata'!$M$7)^AO$5))</f>
        <v>-0.0</v>
      </c>
      <c r="AP74" s="228">
        <f>-(AP72/((1+'2. Kalkyldata'!$M$7)^AP$5))</f>
        <v>-0.0</v>
      </c>
      <c r="AQ74" s="228">
        <f>-(AQ72/((1+'2. Kalkyldata'!$M$7)^AQ$5))</f>
        <v>-0.0</v>
      </c>
      <c r="AR74" s="228">
        <f>-(AR72/((1+'2. Kalkyldata'!$M$7)^AR$5))</f>
        <v>-0.0</v>
      </c>
      <c r="AS74" s="228">
        <f>-(AS72/((1+'2. Kalkyldata'!$M$7)^AS$5))</f>
        <v>-0.0</v>
      </c>
      <c r="AT74" s="228">
        <f>-(AT72/((1+'2. Kalkyldata'!$M$7)^AT$5))</f>
        <v>-0.0</v>
      </c>
      <c r="AU74" s="228">
        <f>-(AU72/((1+'2. Kalkyldata'!$M$7)^AU$5))</f>
        <v>-0.0</v>
      </c>
      <c r="AV74" s="228">
        <f>-(AV72/((1+'2. Kalkyldata'!$M$7)^AV$5))</f>
        <v>-0.0</v>
      </c>
      <c r="AW74" s="228">
        <f>-(AW72/((1+'2. Kalkyldata'!$M$7)^AW$5))</f>
        <v>-0.0</v>
      </c>
      <c r="AX74" s="228">
        <f>-(AX72/((1+'2. Kalkyldata'!$M$7)^AX$5))</f>
        <v>-0.0</v>
      </c>
      <c r="AY74" s="228">
        <f>-(AY72/((1+'2. Kalkyldata'!$M$7)^AY$5))</f>
        <v>-0.0</v>
      </c>
      <c r="AZ74" s="228">
        <f>-(AZ72/((1+'2. Kalkyldata'!$M$7)^AZ$5))</f>
        <v>-0.0</v>
      </c>
      <c r="BA74" s="228">
        <f>-(BA72/((1+'2. Kalkyldata'!$M$7)^BA$5))</f>
        <v>-0.0</v>
      </c>
    </row>
    <row r="75" spans="2:53">
      <c r="B75" s="910" t="inlineStr">
        <is>
          <t>Utan Bef-rader (befintliga avtal som löper vidare) är tillkommande flöde = hela fastigheten, och blocket nedan visar samma siffror som rad 48–59.</t>
        </is>
      </c>
      <c r="C75" s="207"/>
      <c r="D75" s="207"/>
      <c r="E75" s="207"/>
      <c r="F75" s="207"/>
    </row>
    <row r="76" spans="2:53" ht="15.75">
      <c r="B76" s="419" t="s">
        <v>385</v>
      </c>
      <c r="C76" s="420">
        <f>C47</f>
        <v>10.0</v>
      </c>
      <c r="D76" s="420"/>
      <c r="E76" s="420">
        <f>E47</f>
        <v>20.0</v>
      </c>
      <c r="F76" s="207"/>
    </row>
    <row r="77" spans="2:53">
      <c r="B77" s="227" t="s">
        <v>386</v>
      </c>
      <c r="C77" s="328">
        <f>ROUND((SUMIFS($D$73:$BA$73,$D$4:$BA$4,$C$44))/10000,0)*10000</f>
        <v>114050000.0</v>
      </c>
      <c r="D77" s="328"/>
      <c r="E77" s="328">
        <f>ROUND((SUMIFS($D$73:$BA$73,$D$4:$BA$4,$D$44))/10000,0)*10000</f>
        <v>197100000.0</v>
      </c>
      <c r="F77" s="494"/>
    </row>
    <row r="78" spans="2:53">
      <c r="B78" s="227" t="s">
        <v>247</v>
      </c>
      <c r="C78" s="328">
        <f>-ROUND((SUMIFS($D$74:$BA$74,$D$4:$BA$4,$C$44))/10000,0)*10000</f>
        <v>-0.0</v>
      </c>
      <c r="D78" s="328"/>
      <c r="E78" s="328">
        <f>-ROUND((SUMIFS($D$74:$BA$74,$D$4:$BA$4,$D$44))/10000,0)*10000</f>
        <v>-0.0</v>
      </c>
      <c r="F78" s="494"/>
    </row>
    <row r="79" spans="2:53">
      <c r="B79" s="227" t="inlineStr">
        <is>
          <t>Restvärde tillkommande (rad 88)</t>
        </is>
      </c>
      <c r="C79" s="328">
        <f>ROUND((HLOOKUP(C$43,$D$4:$BA$88,85,FALSE))/10000,0)*10000</f>
        <v>239460000.0</v>
      </c>
      <c r="D79" s="328"/>
      <c r="E79" s="328">
        <f>ROUND((HLOOKUP(D$43,$D$4:$BA$88,85,FALSE))/10000,0)*10000</f>
        <v>271940000.0</v>
      </c>
      <c r="F79" s="494"/>
    </row>
    <row r="80" spans="2:53">
      <c r="B80" s="227" t="s">
        <v>254</v>
      </c>
      <c r="C80" s="328">
        <f>ROUND((C79/((1+'2. Kalkyldata'!$M$8)^(C47)))/10000,0)*10000</f>
        <v>105910000.0</v>
      </c>
      <c r="D80" s="328"/>
      <c r="E80" s="328">
        <f>ROUND((E79/((1+'2. Kalkyldata'!$M$8)^(E47)))/10000,0)*10000</f>
        <v>53200000.0</v>
      </c>
      <c r="F80" s="494"/>
    </row>
    <row r="81" spans="2:5">
      <c r="B81" s="227" t="s">
        <v>388</v>
      </c>
      <c r="C81" s="328">
        <f>IFERROR(C77+C78+C80,0)</f>
        <v>219960000.0</v>
      </c>
      <c r="D81" s="328"/>
      <c r="E81" s="328">
        <f>IFERROR(E77+E78+E80,0)</f>
        <v>250300000.0</v>
      </c>
    </row>
    <row r="82" ht="15.75">
      <c r="B82" s="419" t="s">
        <v>389</v>
      </c>
      <c r="C82" s="430">
        <f>C81+$C$56</f>
        <v>-20039999.99999997</v>
      </c>
      <c r="D82" s="430"/>
      <c r="E82" s="430">
        <f>E81+$E$56</f>
        <v>10300000.00000003</v>
      </c>
      <c r="F82" t="inlineStr" s="906">
        <is>
          <t>← Krav 1: NPV vid kalkylperiodens slut (kolumn E) ska vara ≥ 0. Förs till 2. Kalkyldata D13.</t>
        </is>
      </c>
    </row>
    <row r="83" spans="2:5">
      <c r="C83" s="494"/>
      <c r="D83" s="494"/>
      <c r="E83" s="494"/>
    </row>
    <row r="84">
      <c r="B84" s="419" t="inlineStr">
        <is>
          <t>RESTVÄRDE — driftnetto år t+1 / justerad direktavkastning (2. Kalkyldata M11)</t>
        </is>
      </c>
      <c r="C84" s="420"/>
      <c r="D84" s="420"/>
      <c r="E84" s="420"/>
      <c r="F84" s="420"/>
      <c r="G84" s="420"/>
      <c r="H84" s="420"/>
      <c r="I84" s="420"/>
      <c r="J84" s="420"/>
      <c r="K84" s="420"/>
      <c r="L84" s="420"/>
      <c r="M84" s="420"/>
      <c r="N84" s="420"/>
      <c r="O84" s="420"/>
      <c r="P84" s="420"/>
      <c r="Q84" s="420"/>
      <c r="R84" s="420"/>
      <c r="S84" s="420"/>
      <c r="T84" s="420"/>
      <c r="U84" s="420"/>
      <c r="V84" s="420"/>
      <c r="W84" s="420"/>
      <c r="X84" s="420"/>
    </row>
    <row r="85">
      <c r="B85" s="227" t="inlineStr">
        <is>
          <t>Vakans tillkommande (efter avtal)</t>
        </is>
      </c>
      <c r="C85" s="327"/>
      <c r="D85" s="228">
        <f>IF(D$4="",0,D18-D67)</f>
        <v>0.0</v>
      </c>
      <c r="E85" s="228">
        <f>IF(E$4="",0,E18-E67)</f>
        <v>0.0</v>
      </c>
      <c r="F85" s="228">
        <f>IF(F$4="",0,F18-F67)</f>
        <v>0.0</v>
      </c>
      <c r="G85" s="228">
        <f>IF(G$4="",0,G18-G67)</f>
        <v>0.0</v>
      </c>
      <c r="H85" s="228">
        <f>IF(H$4="",0,H18-H67)</f>
        <v>0.0</v>
      </c>
      <c r="I85" s="228">
        <f>IF(I$4="",0,I18-I67)</f>
        <v>0.0</v>
      </c>
      <c r="J85" s="228">
        <f>IF(J$4="",0,J18-J67)</f>
        <v>0.0</v>
      </c>
      <c r="K85" s="228">
        <f>IF(K$4="",0,K18-K67)</f>
        <v>0.0</v>
      </c>
      <c r="L85" s="228">
        <f>IF(L$4="",0,L18-L67)</f>
        <v>0.0</v>
      </c>
      <c r="M85" s="228">
        <f>IF(M$4="",0,M18-M67)</f>
        <v>0.0</v>
      </c>
      <c r="N85" s="228">
        <f>IF(N$4="",0,N18-N67)</f>
        <v>0.0</v>
      </c>
      <c r="O85" s="228">
        <f>IF(O$4="",0,O18-O67)</f>
        <v>0.0</v>
      </c>
      <c r="P85" s="228">
        <f>IF(P$4="",0,P18-P67)</f>
        <v>0.0</v>
      </c>
      <c r="Q85" s="228">
        <f>IF(Q$4="",0,Q18-Q67)</f>
        <v>0.0</v>
      </c>
      <c r="R85" s="228">
        <f>IF(R$4="",0,R18-R67)</f>
        <v>0.0</v>
      </c>
      <c r="S85" s="228">
        <f>IF(S$4="",0,S18-S67)</f>
        <v>0.0</v>
      </c>
      <c r="T85" s="228">
        <f>IF(T$4="",0,T18-T67)</f>
        <v>0.0</v>
      </c>
      <c r="U85" s="228">
        <f>IF(U$4="",0,U18-U67)</f>
        <v>0.0</v>
      </c>
      <c r="V85" s="228">
        <f>IF(V$4="",0,V18-V67)</f>
        <v>0.0</v>
      </c>
      <c r="W85" s="228">
        <f>IF(W$4="",0,W18-W67)</f>
        <v>0.0</v>
      </c>
      <c r="X85" s="228">
        <f>IF(X$4="",0,X18-X67)</f>
        <v>0.0</v>
      </c>
      <c r="Y85" s="228">
        <f>IF(Y$4="",0,Y18-Y67)</f>
        <v>0.0</v>
      </c>
      <c r="Z85" s="228">
        <f>IF(Z$4="",0,Z18-Z67)</f>
        <v>0.0</v>
      </c>
      <c r="AA85" s="228">
        <f>IF(AA$4="",0,AA18-AA67)</f>
        <v>0.0</v>
      </c>
      <c r="AB85" s="228">
        <f>IF(AB$4="",0,AB18-AB67)</f>
        <v>0.0</v>
      </c>
      <c r="AC85" s="228">
        <f>IF(AC$4="",0,AC18-AC67)</f>
        <v>0.0</v>
      </c>
      <c r="AD85" s="228">
        <f>IF(AD$4="",0,AD18-AD67)</f>
        <v>0.0</v>
      </c>
      <c r="AE85" s="228">
        <f>IF(AE$4="",0,AE18-AE67)</f>
        <v>0.0</v>
      </c>
      <c r="AF85" s="228">
        <f>IF(AF$4="",0,AF18-AF67)</f>
        <v>0.0</v>
      </c>
      <c r="AG85" s="228">
        <f>IF(AG$4="",0,AG18-AG67)</f>
        <v>0.0</v>
      </c>
      <c r="AH85" s="228">
        <f>IF(AH$4="",0,AH18-AH67)</f>
        <v>0.0</v>
      </c>
      <c r="AI85" s="228">
        <f>IF(AI$4="",0,AI18-AI67)</f>
        <v>0.0</v>
      </c>
      <c r="AJ85" s="228">
        <f>IF(AJ$4="",0,AJ18-AJ67)</f>
        <v>0.0</v>
      </c>
      <c r="AK85" s="228">
        <f>IF(AK$4="",0,AK18-AK67)</f>
        <v>0.0</v>
      </c>
      <c r="AL85" s="228">
        <f>IF(AL$4="",0,AL18-AL67)</f>
        <v>0.0</v>
      </c>
      <c r="AM85" s="228">
        <f>IF(AM$4="",0,AM18-AM67)</f>
        <v>0.0</v>
      </c>
      <c r="AN85" s="228">
        <f>IF(AN$4="",0,AN18-AN67)</f>
        <v>0.0</v>
      </c>
      <c r="AO85" s="228">
        <f>IF(AO$4="",0,AO18-AO67)</f>
        <v>0.0</v>
      </c>
      <c r="AP85" s="228">
        <f>IF(AP$4="",0,AP18-AP67)</f>
        <v>0.0</v>
      </c>
      <c r="AQ85" s="228">
        <f>IF(AQ$4="",0,AQ18-AQ67)</f>
        <v>0.0</v>
      </c>
      <c r="AR85" s="228">
        <f>IF(AR$4="",0,AR18-AR67)</f>
        <v>0.0</v>
      </c>
      <c r="AS85" s="228">
        <f>IF(AS$4="",0,AS18-AS67)</f>
        <v>0.0</v>
      </c>
      <c r="AT85" s="228">
        <f>IF(AT$4="",0,AT18-AT67)</f>
        <v>0.0</v>
      </c>
      <c r="AU85" s="228">
        <f>IF(AU$4="",0,AU18-AU67)</f>
        <v>0.0</v>
      </c>
      <c r="AV85" s="228">
        <f>IF(AV$4="",0,AV18-AV67)</f>
        <v>0.0</v>
      </c>
      <c r="AW85" s="228">
        <f>IF(AW$4="",0,AW18-AW67)</f>
        <v>0.0</v>
      </c>
      <c r="AX85" s="228">
        <f>IF(AX$4="",0,AX18-AX67)</f>
        <v>0.0</v>
      </c>
      <c r="AY85" s="228">
        <f>IF(AY$4="",0,AY18-AY67)</f>
        <v>0.0</v>
      </c>
      <c r="AZ85" s="228">
        <f>IF(AZ$4="",0,AZ18-AZ67)</f>
        <v>0.0</v>
      </c>
      <c r="BA85" s="228">
        <f>IF(BA$4="",0,BA18-BA67)</f>
        <v>0.0</v>
      </c>
    </row>
    <row r="86">
      <c r="B86" s="227" t="inlineStr">
        <is>
          <t>Kapitaliseringsbart driftnetto, tillkommande</t>
        </is>
      </c>
      <c r="C86" s="327"/>
      <c r="D86" s="228">
        <f>IF(D$4="",0,D71-D72-D85)</f>
        <v>13694500.0</v>
      </c>
      <c r="E86" s="228">
        <f>IF(E$4="",0,E71-E72-E85)</f>
        <v>13871400.0</v>
      </c>
      <c r="F86" s="228">
        <f>IF(F$4="",0,F71-F72-F85)</f>
        <v>14050480.14</v>
      </c>
      <c r="G86" s="228">
        <f>IF(G$4="",0,G71-G72-G85)</f>
        <v>14231765.012759998</v>
      </c>
      <c r="H86" s="228">
        <f>IF(H$4="",0,H71-H72-H85)</f>
        <v>14415279.43675464</v>
      </c>
      <c r="I86" s="228">
        <f>IF(I$4="",0,I71-I72-I85)</f>
        <v>14601048.456961526</v>
      </c>
      <c r="J86" s="228">
        <f>IF(J$4="",0,J71-J72-J85)</f>
        <v>14789097.34561315</v>
      </c>
      <c r="K86" s="228">
        <f>IF(K$4="",0,K71-K72-K85)</f>
        <v>14979451.60291099</v>
      </c>
      <c r="L86" s="228">
        <f>IF(L$4="",0,L71-L72-L85)</f>
        <v>15172136.957700178</v>
      </c>
      <c r="M86" s="228">
        <f>IF(M$4="",0,M71-M72-M85)</f>
        <v>15367179.368103383</v>
      </c>
      <c r="N86" s="228">
        <f>IF(N$4="",0,N71-N72-N85)</f>
        <v>15564605.02211214</v>
      </c>
      <c r="O86" s="228">
        <f>IF(O$4="",0,O71-O72-O85)</f>
        <v>15764440.338134129</v>
      </c>
      <c r="P86" s="228">
        <f>IF(P$4="",0,P71-P72-P85)</f>
        <v>15966711.965494674</v>
      </c>
      <c r="Q86" s="228">
        <f>IF(Q$4="",0,Q71-Q72-Q85)</f>
        <v>16171446.784890799</v>
      </c>
      <c r="R86" s="228">
        <f>IF(R$4="",0,R71-R72-R85)</f>
        <v>16378671.908796053</v>
      </c>
      <c r="S86" s="228">
        <f>IF(S$4="",0,S71-S72-S85)</f>
        <v>16588414.68181432</v>
      </c>
      <c r="T86" s="228">
        <f>IF(T$4="",0,T71-T72-T85)</f>
        <v>16800702.68098074</v>
      </c>
      <c r="U86" s="228">
        <f>IF(U$4="",0,U71-U72-U85)</f>
        <v>17015563.71600791</v>
      </c>
      <c r="V86" s="228">
        <f>IF(V$4="",0,V71-V72-V85)</f>
        <v>17233025.829475332</v>
      </c>
      <c r="W86" s="228">
        <f>IF(W$4="",0,W71-W72-W85)</f>
        <v>17453117.296960164</v>
      </c>
      <c r="X86" s="228">
        <f>IF(X$4="",0,X71-X72-X85)</f>
        <v>17675866.627107225</v>
      </c>
      <c r="Y86" s="228">
        <f>IF(Y$4="",0,Y71-Y72-Y85)</f>
        <v>0.0</v>
      </c>
      <c r="Z86" s="228">
        <f>IF(Z$4="",0,Z71-Z72-Z85)</f>
        <v>0.0</v>
      </c>
      <c r="AA86" s="228">
        <f>IF(AA$4="",0,AA71-AA72-AA85)</f>
        <v>0.0</v>
      </c>
      <c r="AB86" s="228">
        <f>IF(AB$4="",0,AB71-AB72-AB85)</f>
        <v>0.0</v>
      </c>
      <c r="AC86" s="228">
        <f>IF(AC$4="",0,AC71-AC72-AC85)</f>
        <v>0.0</v>
      </c>
      <c r="AD86" s="228">
        <f>IF(AD$4="",0,AD71-AD72-AD85)</f>
        <v>0.0</v>
      </c>
      <c r="AE86" s="228">
        <f>IF(AE$4="",0,AE71-AE72-AE85)</f>
        <v>0.0</v>
      </c>
      <c r="AF86" s="228">
        <f>IF(AF$4="",0,AF71-AF72-AF85)</f>
        <v>0.0</v>
      </c>
      <c r="AG86" s="228">
        <f>IF(AG$4="",0,AG71-AG72-AG85)</f>
        <v>0.0</v>
      </c>
      <c r="AH86" s="228">
        <f>IF(AH$4="",0,AH71-AH72-AH85)</f>
        <v>0.0</v>
      </c>
      <c r="AI86" s="228">
        <f>IF(AI$4="",0,AI71-AI72-AI85)</f>
        <v>0.0</v>
      </c>
      <c r="AJ86" s="228">
        <f>IF(AJ$4="",0,AJ71-AJ72-AJ85)</f>
        <v>0.0</v>
      </c>
      <c r="AK86" s="228">
        <f>IF(AK$4="",0,AK71-AK72-AK85)</f>
        <v>0.0</v>
      </c>
      <c r="AL86" s="228">
        <f>IF(AL$4="",0,AL71-AL72-AL85)</f>
        <v>0.0</v>
      </c>
      <c r="AM86" s="228">
        <f>IF(AM$4="",0,AM71-AM72-AM85)</f>
        <v>0.0</v>
      </c>
      <c r="AN86" s="228">
        <f>IF(AN$4="",0,AN71-AN72-AN85)</f>
        <v>0.0</v>
      </c>
      <c r="AO86" s="228">
        <f>IF(AO$4="",0,AO71-AO72-AO85)</f>
        <v>0.0</v>
      </c>
      <c r="AP86" s="228">
        <f>IF(AP$4="",0,AP71-AP72-AP85)</f>
        <v>0.0</v>
      </c>
      <c r="AQ86" s="228">
        <f>IF(AQ$4="",0,AQ71-AQ72-AQ85)</f>
        <v>0.0</v>
      </c>
      <c r="AR86" s="228">
        <f>IF(AR$4="",0,AR71-AR72-AR85)</f>
        <v>0.0</v>
      </c>
      <c r="AS86" s="228">
        <f>IF(AS$4="",0,AS71-AS72-AS85)</f>
        <v>0.0</v>
      </c>
      <c r="AT86" s="228">
        <f>IF(AT$4="",0,AT71-AT72-AT85)</f>
        <v>0.0</v>
      </c>
      <c r="AU86" s="228">
        <f>IF(AU$4="",0,AU71-AU72-AU85)</f>
        <v>0.0</v>
      </c>
      <c r="AV86" s="228">
        <f>IF(AV$4="",0,AV71-AV72-AV85)</f>
        <v>0.0</v>
      </c>
      <c r="AW86" s="228">
        <f>IF(AW$4="",0,AW71-AW72-AW85)</f>
        <v>0.0</v>
      </c>
      <c r="AX86" s="228">
        <f>IF(AX$4="",0,AX71-AX72-AX85)</f>
        <v>0.0</v>
      </c>
      <c r="AY86" s="228">
        <f>IF(AY$4="",0,AY71-AY72-AY85)</f>
        <v>0.0</v>
      </c>
      <c r="AZ86" s="228">
        <f>IF(AZ$4="",0,AZ71-AZ72-AZ85)</f>
        <v>0.0</v>
      </c>
      <c r="BA86" s="228">
        <f>IF(BA$4="",0,BA71-BA72-BA85)</f>
        <v>0.0</v>
      </c>
    </row>
    <row r="87">
      <c r="B87" s="227" t="inlineStr">
        <is>
          <t>Kapitaliseringsbart driftnetto, hela fastigheten</t>
        </is>
      </c>
      <c r="C87" s="327"/>
      <c r="D87" s="228">
        <f>IF(D$4="",0,D29-D25-D18)</f>
        <v>13694500.0</v>
      </c>
      <c r="E87" s="228">
        <f>IF(E$4="",0,E29-E25-E18)</f>
        <v>13871400.0</v>
      </c>
      <c r="F87" s="228">
        <f>IF(F$4="",0,F29-F25-F18)</f>
        <v>14050480.14</v>
      </c>
      <c r="G87" s="228">
        <f>IF(G$4="",0,G29-G25-G18)</f>
        <v>14231765.012759998</v>
      </c>
      <c r="H87" s="228">
        <f>IF(H$4="",0,H29-H25-H18)</f>
        <v>14415279.43675464</v>
      </c>
      <c r="I87" s="228">
        <f>IF(I$4="",0,I29-I25-I18)</f>
        <v>14601048.456961526</v>
      </c>
      <c r="J87" s="228">
        <f>IF(J$4="",0,J29-J25-J18)</f>
        <v>14789097.34561315</v>
      </c>
      <c r="K87" s="228">
        <f>IF(K$4="",0,K29-K25-K18)</f>
        <v>14979451.60291099</v>
      </c>
      <c r="L87" s="228">
        <f>IF(L$4="",0,L29-L25-L18)</f>
        <v>15172136.957700178</v>
      </c>
      <c r="M87" s="228">
        <f>IF(M$4="",0,M29-M25-M18)</f>
        <v>15367179.368103383</v>
      </c>
      <c r="N87" s="228">
        <f>IF(N$4="",0,N29-N25-N18)</f>
        <v>15564605.02211214</v>
      </c>
      <c r="O87" s="228">
        <f>IF(O$4="",0,O29-O25-O18)</f>
        <v>15764440.338134129</v>
      </c>
      <c r="P87" s="228">
        <f>IF(P$4="",0,P29-P25-P18)</f>
        <v>15966711.965494674</v>
      </c>
      <c r="Q87" s="228">
        <f>IF(Q$4="",0,Q29-Q25-Q18)</f>
        <v>16171446.784890799</v>
      </c>
      <c r="R87" s="228">
        <f>IF(R$4="",0,R29-R25-R18)</f>
        <v>16378671.908796053</v>
      </c>
      <c r="S87" s="228">
        <f>IF(S$4="",0,S29-S25-S18)</f>
        <v>16588414.68181432</v>
      </c>
      <c r="T87" s="228">
        <f>IF(T$4="",0,T29-T25-T18)</f>
        <v>16800702.68098074</v>
      </c>
      <c r="U87" s="228">
        <f>IF(U$4="",0,U29-U25-U18)</f>
        <v>17015563.71600791</v>
      </c>
      <c r="V87" s="228">
        <f>IF(V$4="",0,V29-V25-V18)</f>
        <v>17233025.829475332</v>
      </c>
      <c r="W87" s="228">
        <f>IF(W$4="",0,W29-W25-W18)</f>
        <v>17453117.296960164</v>
      </c>
      <c r="X87" s="228">
        <f>IF(X$4="",0,X29-X25-X18)</f>
        <v>17675866.627107225</v>
      </c>
      <c r="Y87" s="228">
        <f>IF(Y$4="",0,Y29-Y25-Y18)</f>
        <v>0.0</v>
      </c>
      <c r="Z87" s="228">
        <f>IF(Z$4="",0,Z29-Z25-Z18)</f>
        <v>0.0</v>
      </c>
      <c r="AA87" s="228">
        <f>IF(AA$4="",0,AA29-AA25-AA18)</f>
        <v>0.0</v>
      </c>
      <c r="AB87" s="228">
        <f>IF(AB$4="",0,AB29-AB25-AB18)</f>
        <v>0.0</v>
      </c>
      <c r="AC87" s="228">
        <f>IF(AC$4="",0,AC29-AC25-AC18)</f>
        <v>0.0</v>
      </c>
      <c r="AD87" s="228">
        <f>IF(AD$4="",0,AD29-AD25-AD18)</f>
        <v>0.0</v>
      </c>
      <c r="AE87" s="228">
        <f>IF(AE$4="",0,AE29-AE25-AE18)</f>
        <v>0.0</v>
      </c>
      <c r="AF87" s="228">
        <f>IF(AF$4="",0,AF29-AF25-AF18)</f>
        <v>0.0</v>
      </c>
      <c r="AG87" s="228">
        <f>IF(AG$4="",0,AG29-AG25-AG18)</f>
        <v>0.0</v>
      </c>
      <c r="AH87" s="228">
        <f>IF(AH$4="",0,AH29-AH25-AH18)</f>
        <v>0.0</v>
      </c>
      <c r="AI87" s="228">
        <f>IF(AI$4="",0,AI29-AI25-AI18)</f>
        <v>0.0</v>
      </c>
      <c r="AJ87" s="228">
        <f>IF(AJ$4="",0,AJ29-AJ25-AJ18)</f>
        <v>0.0</v>
      </c>
      <c r="AK87" s="228">
        <f>IF(AK$4="",0,AK29-AK25-AK18)</f>
        <v>0.0</v>
      </c>
      <c r="AL87" s="228">
        <f>IF(AL$4="",0,AL29-AL25-AL18)</f>
        <v>0.0</v>
      </c>
      <c r="AM87" s="228">
        <f>IF(AM$4="",0,AM29-AM25-AM18)</f>
        <v>0.0</v>
      </c>
      <c r="AN87" s="228">
        <f>IF(AN$4="",0,AN29-AN25-AN18)</f>
        <v>0.0</v>
      </c>
      <c r="AO87" s="228">
        <f>IF(AO$4="",0,AO29-AO25-AO18)</f>
        <v>0.0</v>
      </c>
      <c r="AP87" s="228">
        <f>IF(AP$4="",0,AP29-AP25-AP18)</f>
        <v>0.0</v>
      </c>
      <c r="AQ87" s="228">
        <f>IF(AQ$4="",0,AQ29-AQ25-AQ18)</f>
        <v>0.0</v>
      </c>
      <c r="AR87" s="228">
        <f>IF(AR$4="",0,AR29-AR25-AR18)</f>
        <v>0.0</v>
      </c>
      <c r="AS87" s="228">
        <f>IF(AS$4="",0,AS29-AS25-AS18)</f>
        <v>0.0</v>
      </c>
      <c r="AT87" s="228">
        <f>IF(AT$4="",0,AT29-AT25-AT18)</f>
        <v>0.0</v>
      </c>
      <c r="AU87" s="228">
        <f>IF(AU$4="",0,AU29-AU25-AU18)</f>
        <v>0.0</v>
      </c>
      <c r="AV87" s="228">
        <f>IF(AV$4="",0,AV29-AV25-AV18)</f>
        <v>0.0</v>
      </c>
      <c r="AW87" s="228">
        <f>IF(AW$4="",0,AW29-AW25-AW18)</f>
        <v>0.0</v>
      </c>
      <c r="AX87" s="228">
        <f>IF(AX$4="",0,AX29-AX25-AX18)</f>
        <v>0.0</v>
      </c>
      <c r="AY87" s="228">
        <f>IF(AY$4="",0,AY29-AY25-AY18)</f>
        <v>0.0</v>
      </c>
      <c r="AZ87" s="228">
        <f>IF(AZ$4="",0,AZ29-AZ25-AZ18)</f>
        <v>0.0</v>
      </c>
      <c r="BA87" s="228">
        <f>IF(BA$4="",0,BA29-BA25-BA18)</f>
        <v>0.0</v>
      </c>
    </row>
    <row r="88">
      <c r="B88" s="412" t="inlineStr">
        <is>
          <t>Restvärde tillkommande, årets slut (krav 1–2)</t>
        </is>
      </c>
      <c r="C88" s="327"/>
      <c r="D88" s="414">
        <f>IF(E$4="",0,E86/'2. Kalkyldata'!$M$11)</f>
        <v>213406153.84615383</v>
      </c>
      <c r="E88" s="414">
        <f>IF(F$4="",0,F86/'2. Kalkyldata'!$M$11)</f>
        <v>216161232.92307693</v>
      </c>
      <c r="F88" s="414">
        <f>IF(G$4="",0,G86/'2. Kalkyldata'!$M$11)</f>
        <v>218950230.96553844</v>
      </c>
      <c r="G88" s="414">
        <f>IF(H$4="",0,H86/'2. Kalkyldata'!$M$11)</f>
        <v>221773529.79622522</v>
      </c>
      <c r="H88" s="414">
        <f>IF(I$4="",0,I86/'2. Kalkyldata'!$M$11)</f>
        <v>224631514.722485</v>
      </c>
      <c r="I88" s="414">
        <f>IF(J$4="",0,J86/'2. Kalkyldata'!$M$11)</f>
        <v>227524574.5478946</v>
      </c>
      <c r="J88" s="414">
        <f>IF(K$4="",0,K86/'2. Kalkyldata'!$M$11)</f>
        <v>230453101.583246</v>
      </c>
      <c r="K88" s="414">
        <f>IF(L$4="",0,L86/'2. Kalkyldata'!$M$11)</f>
        <v>233417491.6569258</v>
      </c>
      <c r="L88" s="414">
        <f>IF(M$4="",0,M86/'2. Kalkyldata'!$M$11)</f>
        <v>236418144.12466744</v>
      </c>
      <c r="M88" s="414">
        <f>IF(N$4="",0,N86/'2. Kalkyldata'!$M$11)</f>
        <v>239455461.8786483</v>
      </c>
      <c r="N88" s="414">
        <f>IF(O$4="",0,O86/'2. Kalkyldata'!$M$11)</f>
        <v>242529851.35590968</v>
      </c>
      <c r="O88" s="414">
        <f>IF(P$4="",0,P86/'2. Kalkyldata'!$M$11)</f>
        <v>245641722.5460719</v>
      </c>
      <c r="P88" s="414">
        <f>IF(Q$4="",0,Q86/'2. Kalkyldata'!$M$11)</f>
        <v>248791488.99831998</v>
      </c>
      <c r="Q88" s="414">
        <f>IF(R$4="",0,R86/'2. Kalkyldata'!$M$11)</f>
        <v>251979567.8276316</v>
      </c>
      <c r="R88" s="414">
        <f>IF(S$4="",0,S86/'2. Kalkyldata'!$M$11)</f>
        <v>255206379.7202203</v>
      </c>
      <c r="S88" s="414">
        <f>IF(T$4="",0,T86/'2. Kalkyldata'!$M$11)</f>
        <v>258472348.9381652</v>
      </c>
      <c r="T88" s="414">
        <f>IF(U$4="",0,U86/'2. Kalkyldata'!$M$11)</f>
        <v>261777903.32319862</v>
      </c>
      <c r="U88" s="414">
        <f>IF(V$4="",0,V86/'2. Kalkyldata'!$M$11)</f>
        <v>265123474.29962048</v>
      </c>
      <c r="V88" s="414">
        <f>IF(W$4="",0,W86/'2. Kalkyldata'!$M$11)</f>
        <v>268509496.8763102</v>
      </c>
      <c r="W88" s="414">
        <f>IF(X$4="",0,X86/'2. Kalkyldata'!$M$11)</f>
        <v>271936409.6478035</v>
      </c>
      <c r="X88" s="414">
        <f>IF(Y$4="",0,Y86/'2. Kalkyldata'!$M$11)</f>
        <v>0.0</v>
      </c>
      <c r="Y88" s="414">
        <f>IF(Z$4="",0,Z86/'2. Kalkyldata'!$M$11)</f>
        <v>0.0</v>
      </c>
      <c r="Z88" s="414">
        <f>IF(AA$4="",0,AA86/'2. Kalkyldata'!$M$11)</f>
        <v>0.0</v>
      </c>
      <c r="AA88" s="414">
        <f>IF(AB$4="",0,AB86/'2. Kalkyldata'!$M$11)</f>
        <v>0.0</v>
      </c>
      <c r="AB88" s="414">
        <f>IF(AC$4="",0,AC86/'2. Kalkyldata'!$M$11)</f>
        <v>0.0</v>
      </c>
      <c r="AC88" s="414">
        <f>IF(AD$4="",0,AD86/'2. Kalkyldata'!$M$11)</f>
        <v>0.0</v>
      </c>
      <c r="AD88" s="414">
        <f>IF(AE$4="",0,AE86/'2. Kalkyldata'!$M$11)</f>
        <v>0.0</v>
      </c>
      <c r="AE88" s="414">
        <f>IF(AF$4="",0,AF86/'2. Kalkyldata'!$M$11)</f>
        <v>0.0</v>
      </c>
      <c r="AF88" s="414">
        <f>IF(AG$4="",0,AG86/'2. Kalkyldata'!$M$11)</f>
        <v>0.0</v>
      </c>
      <c r="AG88" s="414">
        <f>IF(AH$4="",0,AH86/'2. Kalkyldata'!$M$11)</f>
        <v>0.0</v>
      </c>
      <c r="AH88" s="414">
        <f>IF(AI$4="",0,AI86/'2. Kalkyldata'!$M$11)</f>
        <v>0.0</v>
      </c>
      <c r="AI88" s="414">
        <f>IF(AJ$4="",0,AJ86/'2. Kalkyldata'!$M$11)</f>
        <v>0.0</v>
      </c>
      <c r="AJ88" s="414">
        <f>IF(AK$4="",0,AK86/'2. Kalkyldata'!$M$11)</f>
        <v>0.0</v>
      </c>
      <c r="AK88" s="414">
        <f>IF(AL$4="",0,AL86/'2. Kalkyldata'!$M$11)</f>
        <v>0.0</v>
      </c>
      <c r="AL88" s="414">
        <f>IF(AM$4="",0,AM86/'2. Kalkyldata'!$M$11)</f>
        <v>0.0</v>
      </c>
      <c r="AM88" s="414">
        <f>IF(AN$4="",0,AN86/'2. Kalkyldata'!$M$11)</f>
        <v>0.0</v>
      </c>
      <c r="AN88" s="414">
        <f>IF(AO$4="",0,AO86/'2. Kalkyldata'!$M$11)</f>
        <v>0.0</v>
      </c>
      <c r="AO88" s="414">
        <f>IF(AP$4="",0,AP86/'2. Kalkyldata'!$M$11)</f>
        <v>0.0</v>
      </c>
      <c r="AP88" s="414">
        <f>IF(AQ$4="",0,AQ86/'2. Kalkyldata'!$M$11)</f>
        <v>0.0</v>
      </c>
      <c r="AQ88" s="414">
        <f>IF(AR$4="",0,AR86/'2. Kalkyldata'!$M$11)</f>
        <v>0.0</v>
      </c>
      <c r="AR88" s="414">
        <f>IF(AS$4="",0,AS86/'2. Kalkyldata'!$M$11)</f>
        <v>0.0</v>
      </c>
      <c r="AS88" s="414">
        <f>IF(AT$4="",0,AT86/'2. Kalkyldata'!$M$11)</f>
        <v>0.0</v>
      </c>
      <c r="AT88" s="414">
        <f>IF(AU$4="",0,AU86/'2. Kalkyldata'!$M$11)</f>
        <v>0.0</v>
      </c>
      <c r="AU88" s="414">
        <f>IF(AV$4="",0,AV86/'2. Kalkyldata'!$M$11)</f>
        <v>0.0</v>
      </c>
      <c r="AV88" s="414">
        <f>IF(AW$4="",0,AW86/'2. Kalkyldata'!$M$11)</f>
        <v>0.0</v>
      </c>
      <c r="AW88" s="414">
        <f>IF(AX$4="",0,AX86/'2. Kalkyldata'!$M$11)</f>
        <v>0.0</v>
      </c>
      <c r="AX88" s="414">
        <f>IF(AY$4="",0,AY86/'2. Kalkyldata'!$M$11)</f>
        <v>0.0</v>
      </c>
      <c r="AY88" s="414">
        <f>IF(AZ$4="",0,AZ86/'2. Kalkyldata'!$M$11)</f>
        <v>0.0</v>
      </c>
      <c r="AZ88" s="414">
        <f>IF(BA$4="",0,BA86/'2. Kalkyldata'!$M$11)</f>
        <v>0.0</v>
      </c>
      <c r="BA88" s="414">
        <f>IF(BB$4="",0,BB86/'2. Kalkyldata'!$M$11)</f>
        <v>0.0</v>
      </c>
    </row>
    <row r="89">
      <c r="B89" s="412" t="inlineStr">
        <is>
          <t>Restvärde hela fastigheten, årets slut (krav 3)</t>
        </is>
      </c>
      <c r="C89" s="327"/>
      <c r="D89" s="414">
        <f>IF(E$4="",0,E87/'2. Kalkyldata'!$M$11)</f>
        <v>213406153.84615383</v>
      </c>
      <c r="E89" s="414">
        <f>IF(F$4="",0,F87/'2. Kalkyldata'!$M$11)</f>
        <v>216161232.92307693</v>
      </c>
      <c r="F89" s="414">
        <f>IF(G$4="",0,G87/'2. Kalkyldata'!$M$11)</f>
        <v>218950230.96553844</v>
      </c>
      <c r="G89" s="414">
        <f>IF(H$4="",0,H87/'2. Kalkyldata'!$M$11)</f>
        <v>221773529.79622522</v>
      </c>
      <c r="H89" s="414">
        <f>IF(I$4="",0,I87/'2. Kalkyldata'!$M$11)</f>
        <v>224631514.722485</v>
      </c>
      <c r="I89" s="414">
        <f>IF(J$4="",0,J87/'2. Kalkyldata'!$M$11)</f>
        <v>227524574.5478946</v>
      </c>
      <c r="J89" s="414">
        <f>IF(K$4="",0,K87/'2. Kalkyldata'!$M$11)</f>
        <v>230453101.583246</v>
      </c>
      <c r="K89" s="414">
        <f>IF(L$4="",0,L87/'2. Kalkyldata'!$M$11)</f>
        <v>233417491.6569258</v>
      </c>
      <c r="L89" s="414">
        <f>IF(M$4="",0,M87/'2. Kalkyldata'!$M$11)</f>
        <v>236418144.12466744</v>
      </c>
      <c r="M89" s="414">
        <f>IF(N$4="",0,N87/'2. Kalkyldata'!$M$11)</f>
        <v>239455461.8786483</v>
      </c>
      <c r="N89" s="414">
        <f>IF(O$4="",0,O87/'2. Kalkyldata'!$M$11)</f>
        <v>242529851.35590968</v>
      </c>
      <c r="O89" s="414">
        <f>IF(P$4="",0,P87/'2. Kalkyldata'!$M$11)</f>
        <v>245641722.5460719</v>
      </c>
      <c r="P89" s="414">
        <f>IF(Q$4="",0,Q87/'2. Kalkyldata'!$M$11)</f>
        <v>248791488.99831998</v>
      </c>
      <c r="Q89" s="414">
        <f>IF(R$4="",0,R87/'2. Kalkyldata'!$M$11)</f>
        <v>251979567.8276316</v>
      </c>
      <c r="R89" s="414">
        <f>IF(S$4="",0,S87/'2. Kalkyldata'!$M$11)</f>
        <v>255206379.7202203</v>
      </c>
      <c r="S89" s="414">
        <f>IF(T$4="",0,T87/'2. Kalkyldata'!$M$11)</f>
        <v>258472348.9381652</v>
      </c>
      <c r="T89" s="414">
        <f>IF(U$4="",0,U87/'2. Kalkyldata'!$M$11)</f>
        <v>261777903.32319862</v>
      </c>
      <c r="U89" s="414">
        <f>IF(V$4="",0,V87/'2. Kalkyldata'!$M$11)</f>
        <v>265123474.29962048</v>
      </c>
      <c r="V89" s="414">
        <f>IF(W$4="",0,W87/'2. Kalkyldata'!$M$11)</f>
        <v>268509496.8763102</v>
      </c>
      <c r="W89" s="414">
        <f>IF(X$4="",0,X87/'2. Kalkyldata'!$M$11)</f>
        <v>271936409.6478035</v>
      </c>
      <c r="X89" s="414">
        <f>IF(Y$4="",0,Y87/'2. Kalkyldata'!$M$11)</f>
        <v>0.0</v>
      </c>
      <c r="Y89" s="414">
        <f>IF(Z$4="",0,Z87/'2. Kalkyldata'!$M$11)</f>
        <v>0.0</v>
      </c>
      <c r="Z89" s="414">
        <f>IF(AA$4="",0,AA87/'2. Kalkyldata'!$M$11)</f>
        <v>0.0</v>
      </c>
      <c r="AA89" s="414">
        <f>IF(AB$4="",0,AB87/'2. Kalkyldata'!$M$11)</f>
        <v>0.0</v>
      </c>
      <c r="AB89" s="414">
        <f>IF(AC$4="",0,AC87/'2. Kalkyldata'!$M$11)</f>
        <v>0.0</v>
      </c>
      <c r="AC89" s="414">
        <f>IF(AD$4="",0,AD87/'2. Kalkyldata'!$M$11)</f>
        <v>0.0</v>
      </c>
      <c r="AD89" s="414">
        <f>IF(AE$4="",0,AE87/'2. Kalkyldata'!$M$11)</f>
        <v>0.0</v>
      </c>
      <c r="AE89" s="414">
        <f>IF(AF$4="",0,AF87/'2. Kalkyldata'!$M$11)</f>
        <v>0.0</v>
      </c>
      <c r="AF89" s="414">
        <f>IF(AG$4="",0,AG87/'2. Kalkyldata'!$M$11)</f>
        <v>0.0</v>
      </c>
      <c r="AG89" s="414">
        <f>IF(AH$4="",0,AH87/'2. Kalkyldata'!$M$11)</f>
        <v>0.0</v>
      </c>
      <c r="AH89" s="414">
        <f>IF(AI$4="",0,AI87/'2. Kalkyldata'!$M$11)</f>
        <v>0.0</v>
      </c>
      <c r="AI89" s="414">
        <f>IF(AJ$4="",0,AJ87/'2. Kalkyldata'!$M$11)</f>
        <v>0.0</v>
      </c>
      <c r="AJ89" s="414">
        <f>IF(AK$4="",0,AK87/'2. Kalkyldata'!$M$11)</f>
        <v>0.0</v>
      </c>
      <c r="AK89" s="414">
        <f>IF(AL$4="",0,AL87/'2. Kalkyldata'!$M$11)</f>
        <v>0.0</v>
      </c>
      <c r="AL89" s="414">
        <f>IF(AM$4="",0,AM87/'2. Kalkyldata'!$M$11)</f>
        <v>0.0</v>
      </c>
      <c r="AM89" s="414">
        <f>IF(AN$4="",0,AN87/'2. Kalkyldata'!$M$11)</f>
        <v>0.0</v>
      </c>
      <c r="AN89" s="414">
        <f>IF(AO$4="",0,AO87/'2. Kalkyldata'!$M$11)</f>
        <v>0.0</v>
      </c>
      <c r="AO89" s="414">
        <f>IF(AP$4="",0,AP87/'2. Kalkyldata'!$M$11)</f>
        <v>0.0</v>
      </c>
      <c r="AP89" s="414">
        <f>IF(AQ$4="",0,AQ87/'2. Kalkyldata'!$M$11)</f>
        <v>0.0</v>
      </c>
      <c r="AQ89" s="414">
        <f>IF(AR$4="",0,AR87/'2. Kalkyldata'!$M$11)</f>
        <v>0.0</v>
      </c>
      <c r="AR89" s="414">
        <f>IF(AS$4="",0,AS87/'2. Kalkyldata'!$M$11)</f>
        <v>0.0</v>
      </c>
      <c r="AS89" s="414">
        <f>IF(AT$4="",0,AT87/'2. Kalkyldata'!$M$11)</f>
        <v>0.0</v>
      </c>
      <c r="AT89" s="414">
        <f>IF(AU$4="",0,AU87/'2. Kalkyldata'!$M$11)</f>
        <v>0.0</v>
      </c>
      <c r="AU89" s="414">
        <f>IF(AV$4="",0,AV87/'2. Kalkyldata'!$M$11)</f>
        <v>0.0</v>
      </c>
      <c r="AV89" s="414">
        <f>IF(AW$4="",0,AW87/'2. Kalkyldata'!$M$11)</f>
        <v>0.0</v>
      </c>
      <c r="AW89" s="414">
        <f>IF(AX$4="",0,AX87/'2. Kalkyldata'!$M$11)</f>
        <v>0.0</v>
      </c>
      <c r="AX89" s="414">
        <f>IF(AY$4="",0,AY87/'2. Kalkyldata'!$M$11)</f>
        <v>0.0</v>
      </c>
      <c r="AY89" s="414">
        <f>IF(AZ$4="",0,AZ87/'2. Kalkyldata'!$M$11)</f>
        <v>0.0</v>
      </c>
      <c r="AZ89" s="414">
        <f>IF(BA$4="",0,BA87/'2. Kalkyldata'!$M$11)</f>
        <v>0.0</v>
      </c>
      <c r="BA89" s="414">
        <f>IF(BB$4="",0,BB87/'2. Kalkyldata'!$M$11)</f>
        <v>0.0</v>
      </c>
    </row>
    <row r="90">
      <c r="B90" s="227" t="inlineStr">
        <is>
          <t>Bruttohyra tillk. (underlag Motsv. vakans)</t>
        </is>
      </c>
      <c r="C90" s="327"/>
      <c r="D90" s="228">
        <f>IF(D$4="",0,D17-D66)</f>
        <v>16165000.0</v>
      </c>
      <c r="E90" s="228">
        <f>IF(E$4="",0,E17-E66)</f>
        <v>16391310.0</v>
      </c>
      <c r="F90" s="228">
        <f>IF(F$4="",0,F17-F66)</f>
        <v>16620788.340000002</v>
      </c>
      <c r="G90" s="228">
        <f>IF(G$4="",0,G17-G66)</f>
        <v>16853479.37676</v>
      </c>
      <c r="H90" s="228">
        <f>IF(H$4="",0,H17-H66)</f>
        <v>17089428.08803464</v>
      </c>
      <c r="I90" s="228">
        <f>IF(I$4="",0,I17-I66)</f>
        <v>17328680.081267126</v>
      </c>
      <c r="J90" s="228">
        <f>IF(J$4="",0,J17-J66)</f>
        <v>17571281.602404863</v>
      </c>
      <c r="K90" s="228">
        <f>IF(K$4="",0,K17-K66)</f>
        <v>17817279.544838537</v>
      </c>
      <c r="L90" s="228">
        <f>IF(L$4="",0,L17-L66)</f>
        <v>18066721.458466277</v>
      </c>
      <c r="M90" s="228">
        <f>IF(M$4="",0,M17-M66)</f>
        <v>18319655.558884803</v>
      </c>
      <c r="N90" s="228">
        <f>IF(N$4="",0,N17-N66)</f>
        <v>18576130.73670919</v>
      </c>
      <c r="O90" s="228">
        <f>IF(O$4="",0,O17-O66)</f>
        <v>18836196.567023117</v>
      </c>
      <c r="P90" s="228">
        <f>IF(P$4="",0,P17-P66)</f>
        <v>19099903.31896144</v>
      </c>
      <c r="Q90" s="228">
        <f>IF(Q$4="",0,Q17-Q66)</f>
        <v>19367301.965426903</v>
      </c>
      <c r="R90" s="228">
        <f>IF(R$4="",0,R17-R66)</f>
        <v>19638444.19294288</v>
      </c>
      <c r="S90" s="228">
        <f>IF(S$4="",0,S17-S66)</f>
        <v>19913382.411644083</v>
      </c>
      <c r="T90" s="228">
        <f>IF(T$4="",0,T17-T66)</f>
        <v>20192169.765407097</v>
      </c>
      <c r="U90" s="228">
        <f>IF(U$4="",0,U17-U66)</f>
        <v>20474860.142122798</v>
      </c>
      <c r="V90" s="228">
        <f>IF(V$4="",0,V17-V66)</f>
        <v>20761508.184112515</v>
      </c>
      <c r="W90" s="228">
        <f>IF(W$4="",0,W17-W66)</f>
        <v>21052169.29869009</v>
      </c>
      <c r="X90" s="228">
        <f>IF(X$4="",0,X17-X66)</f>
        <v>21346899.668871753</v>
      </c>
      <c r="Y90" s="228">
        <f>IF(Y$4="",0,Y17-Y66)</f>
        <v>0.0</v>
      </c>
      <c r="Z90" s="228">
        <f>IF(Z$4="",0,Z17-Z66)</f>
        <v>0.0</v>
      </c>
      <c r="AA90" s="228">
        <f>IF(AA$4="",0,AA17-AA66)</f>
        <v>0.0</v>
      </c>
      <c r="AB90" s="228">
        <f>IF(AB$4="",0,AB17-AB66)</f>
        <v>0.0</v>
      </c>
      <c r="AC90" s="228">
        <f>IF(AC$4="",0,AC17-AC66)</f>
        <v>0.0</v>
      </c>
      <c r="AD90" s="228">
        <f>IF(AD$4="",0,AD17-AD66)</f>
        <v>0.0</v>
      </c>
      <c r="AE90" s="228">
        <f>IF(AE$4="",0,AE17-AE66)</f>
        <v>0.0</v>
      </c>
      <c r="AF90" s="228">
        <f>IF(AF$4="",0,AF17-AF66)</f>
        <v>0.0</v>
      </c>
      <c r="AG90" s="228">
        <f>IF(AG$4="",0,AG17-AG66)</f>
        <v>0.0</v>
      </c>
      <c r="AH90" s="228">
        <f>IF(AH$4="",0,AH17-AH66)</f>
        <v>0.0</v>
      </c>
      <c r="AI90" s="228">
        <f>IF(AI$4="",0,AI17-AI66)</f>
        <v>0.0</v>
      </c>
      <c r="AJ90" s="228">
        <f>IF(AJ$4="",0,AJ17-AJ66)</f>
        <v>0.0</v>
      </c>
      <c r="AK90" s="228">
        <f>IF(AK$4="",0,AK17-AK66)</f>
        <v>0.0</v>
      </c>
      <c r="AL90" s="228">
        <f>IF(AL$4="",0,AL17-AL66)</f>
        <v>0.0</v>
      </c>
      <c r="AM90" s="228">
        <f>IF(AM$4="",0,AM17-AM66)</f>
        <v>0.0</v>
      </c>
      <c r="AN90" s="228">
        <f>IF(AN$4="",0,AN17-AN66)</f>
        <v>0.0</v>
      </c>
      <c r="AO90" s="228">
        <f>IF(AO$4="",0,AO17-AO66)</f>
        <v>0.0</v>
      </c>
      <c r="AP90" s="228">
        <f>IF(AP$4="",0,AP17-AP66)</f>
        <v>0.0</v>
      </c>
      <c r="AQ90" s="228">
        <f>IF(AQ$4="",0,AQ17-AQ66)</f>
        <v>0.0</v>
      </c>
      <c r="AR90" s="228">
        <f>IF(AR$4="",0,AR17-AR66)</f>
        <v>0.0</v>
      </c>
      <c r="AS90" s="228">
        <f>IF(AS$4="",0,AS17-AS66)</f>
        <v>0.0</v>
      </c>
      <c r="AT90" s="228">
        <f>IF(AT$4="",0,AT17-AT66)</f>
        <v>0.0</v>
      </c>
      <c r="AU90" s="228">
        <f>IF(AU$4="",0,AU17-AU66)</f>
        <v>0.0</v>
      </c>
      <c r="AV90" s="228">
        <f>IF(AV$4="",0,AV17-AV66)</f>
        <v>0.0</v>
      </c>
      <c r="AW90" s="228">
        <f>IF(AW$4="",0,AW17-AW66)</f>
        <v>0.0</v>
      </c>
      <c r="AX90" s="228">
        <f>IF(AX$4="",0,AX17-AX66)</f>
        <v>0.0</v>
      </c>
      <c r="AY90" s="228">
        <f>IF(AY$4="",0,AY17-AY66)</f>
        <v>0.0</v>
      </c>
      <c r="AZ90" s="228">
        <f>IF(AZ$4="",0,AZ17-AZ66)</f>
        <v>0.0</v>
      </c>
      <c r="BA90" s="228">
        <f>IF(BA$4="",0,BA17-BA66)</f>
        <v>0.0</v>
      </c>
    </row>
    <row r="91">
      <c r="B91" s="911" t="inlineStr">
        <is>
          <t>Kapitaliseringsbart driftnetto = fullt uthyrt (vakans efter avtal återlagd), exkl. extraordinärt UH. Restvärdet vid slutet av år t = driftnetto år t+1 / justerad direktavkastning.</t>
        </is>
      </c>
    </row>
  </sheetData>
  <mergeCells count="4">
    <mergeCell ref="H44:I44"/>
    <mergeCell ref="H43:I43"/>
    <mergeCell ref="C62:E62"/>
    <mergeCell ref="B2:K2"/>
  </mergeCells>
  <conditionalFormatting sqref="C52">
    <cfRule type="cellIs" dxfId="10" priority="18" operator="notEqual">
      <formula>$C$52</formula>
    </cfRule>
  </conditionalFormatting>
  <conditionalFormatting sqref="C62">
    <cfRule type="expression" dxfId="9" priority="9">
      <formula>"om($C$60=N/A"</formula>
    </cfRule>
  </conditionalFormatting>
  <conditionalFormatting sqref="F43">
    <cfRule type="cellIs" dxfId="2" priority="27" operator="equal">
      <formula>"ÅR SAKNAS ovan NPV år"</formula>
    </cfRule>
  </conditionalFormatting>
  <conditionalFormatting sqref="F44:F46">
    <cfRule type="cellIs" dxfId="1" priority="24" operator="equal">
      <formula>"ÅR SAKNAS ovan NPV år!!!"</formula>
    </cfRule>
  </conditionalFormatting>
  <conditionalFormatting sqref="F52">
    <cfRule type="containsText" dxfId="0" priority="28" operator="containsText" text="FEL!!">
      <formula>NOT(ISERROR(SEARCH("FEL!!",F52)))</formula>
    </cfRule>
  </conditionalFormatting>
  <dataValidations count="6">
    <dataValidation allowBlank="1" showInputMessage="1" promptTitle="Krav 1 – NPV tillkommande" prompt="Nuvärde av tillkommande driftnetto + restvärde (rad 88) minus PV investering över hela kalkylperioden. Ska vara ≥ 0. Kravhyran på 2. Kalkyldata rad 17 är den hyra som ger 0 här." sqref="E82"/>
    <dataValidation allowBlank="1" showInputMessage="1" promptTitle="PV hela fastigheten (krav 3)" prompt="Jämförs mot bokfört värde i 2. Kalkyldata D15. Inkluderar Bef-objekt." sqref="E52"/>
    <dataValidation allowBlank="1" showInputMessage="1" promptTitle="Investering" prompt="Summa tillkommande investering, 2. Kalkyldata W28 (sektion 4)." sqref="C55:E55"/>
    <dataValidation allowBlank="1" showInputMessage="1" promptTitle="PV investering" prompt="Investeringen diskonterad till kalkylstart, 2. Kalkyldata X28." sqref="C56:E56"/>
    <dataValidation allowBlank="1" showInputMessage="1" promptTitle="Kort NPV-horisont" prompt="Antal år för den korta NPV-kolumnen (standard 10). Kan ändras. Den långa kolumnen följer kalkylperioden." sqref="C47"/>
    <dataValidation allowBlank="1" showInputMessage="1" promptTitle="Kalkylperiod" prompt="Hämtas från 2. Kalkyldata P17 (ändras där)." sqref="E47"/>
  </dataValidations>
  <pageMargins left="0.39370078740157477" right="0.39370078740157477" top="0.59055118110236215" bottom="0.59055118110236215" header="0.23622047244094485" footer="0.23622047244094485"/>
  <pageSetup paperSize="8" scale="84" fitToWidth="2" fitToHeight="0" orientation="landscape" r:id="rId1" pageOrder="overThenDown"/>
  <headerFooter differentFirst="1">
    <oddFooter>&amp;LLejonfastigheter · Investeringskalkyl LM 371 v3.2&amp;C4. NPV&amp;RSida &amp;P av &amp;N · &amp;D</oddFooter>
    <firstHeader>&amp;L&amp;"Arial,Regular"&amp;8&amp;G</firstHeader>
    <firstFooter>&amp;LLejonfastigheter · Investeringskalkyl LM 371 v3.2&amp;C4. NPV&amp;RSida &amp;P av &amp;N · &amp;D</firstFooter>
  </headerFooter>
  <rowBreaks count="1" manualBreakCount="1">
    <brk id="63" max="16383"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7"/>
    <pageSetUpPr fitToPage="1"/>
  </sheetPr>
  <dimension ref="A1:BA61"/>
  <sheetViews>
    <sheetView showGridLines="0" zoomScaleNormal="100" zoomScaleSheetLayoutView="85" workbookViewId="0"/>
  </sheetViews>
  <sheetFormatPr defaultColWidth="9.125" defaultRowHeight="14.25" outlineLevelRow="1"/>
  <cols>
    <col min="1" max="1" width="4.625" style="11" customWidth="1"/>
    <col min="2" max="2" width="33.625" style="11" customWidth="1"/>
    <col min="3" max="3" width="15.375" style="11" customWidth="1"/>
    <col min="4" max="53" width="13.625" style="11" customWidth="1"/>
    <col min="54" max="16384" width="9.125" style="11"/>
  </cols>
  <sheetData>
    <row r="1" spans="1:53" ht="23.25">
      <c r="A1" s="177"/>
      <c r="B1" s="177" t="inlineStr">
        <is>
          <t>Internräntemetoden (IRR)</t>
        </is>
      </c>
      <c r="C1" s="494"/>
      <c r="D1" s="598"/>
      <c r="E1" s="598"/>
      <c r="F1" s="598"/>
      <c r="G1" s="598"/>
      <c r="H1" s="598"/>
      <c r="I1" s="598"/>
      <c r="J1" s="598"/>
      <c r="K1" s="598"/>
      <c r="L1" s="598"/>
      <c r="M1" s="598"/>
      <c r="N1" s="598"/>
      <c r="O1" s="598"/>
      <c r="P1" s="598"/>
      <c r="Q1" s="598"/>
      <c r="R1" s="598"/>
      <c r="S1" s="598"/>
      <c r="T1" s="598"/>
      <c r="U1" s="598"/>
      <c r="V1" s="598"/>
      <c r="W1" s="598"/>
      <c r="X1" s="598"/>
      <c r="Y1" s="598"/>
      <c r="Z1" s="598"/>
      <c r="AA1" s="598"/>
      <c r="AB1" s="598"/>
      <c r="AC1" s="598"/>
      <c r="AD1" s="598"/>
      <c r="AE1" s="598"/>
      <c r="AF1" s="598"/>
      <c r="AG1" s="598"/>
      <c r="AH1" s="598"/>
      <c r="AI1" s="598"/>
      <c r="AJ1" s="598"/>
      <c r="AK1" s="598"/>
      <c r="AL1" s="598"/>
      <c r="AM1" s="598"/>
      <c r="AN1" s="598"/>
      <c r="AO1" s="598"/>
      <c r="AP1" s="598"/>
      <c r="AQ1" s="598"/>
      <c r="AR1" s="598"/>
      <c r="AS1" s="598"/>
      <c r="AT1" s="598"/>
      <c r="AU1" s="598"/>
      <c r="AV1" s="598"/>
      <c r="AW1" s="598"/>
      <c r="AX1" s="598"/>
      <c r="AY1" s="598"/>
      <c r="AZ1" s="598"/>
      <c r="BA1" s="598"/>
    </row>
    <row r="2" spans="1:53" ht="42.75" hidden="1" customHeight="1" outlineLevel="1">
      <c r="A2" s="177"/>
      <c r="B2" s="717" t="inlineStr">
        <is>
          <t>Internräntemetoden (IRR) beräknar den årliga avkastningen på eget kapital för det tillkommande kassaflödet och jämförs med IRR-kravet på 2. Kalkyldata rad 14.
Restvärdet vid kalkylperiodens slut förs in som försäljningsvärde. Standard är rent marknadsvärde (driftnetto år N+1 / justerad direktavkastning). Vikterna i kolumn A kan väga in återstående kapitalutlägg eller bokfört värde.</t>
        </is>
      </c>
      <c r="C2" s="717"/>
      <c r="D2" s="717"/>
      <c r="E2" s="717"/>
      <c r="F2" s="717"/>
      <c r="G2" s="717"/>
      <c r="H2" s="717"/>
      <c r="I2" s="717"/>
      <c r="J2" s="717"/>
      <c r="K2" s="717"/>
      <c r="L2" s="598"/>
      <c r="M2" s="598"/>
      <c r="N2" s="598"/>
      <c r="O2" s="598"/>
      <c r="P2" s="598"/>
      <c r="Q2" s="598"/>
      <c r="R2" s="598"/>
      <c r="S2" s="598"/>
      <c r="T2" s="598"/>
      <c r="U2" s="598"/>
      <c r="V2" s="598"/>
      <c r="W2" s="598"/>
      <c r="X2" s="598"/>
      <c r="Y2" s="598"/>
      <c r="Z2" s="598"/>
      <c r="AA2" s="598"/>
      <c r="AB2" s="598"/>
      <c r="AC2" s="598"/>
      <c r="AD2" s="598"/>
      <c r="AE2" s="598"/>
      <c r="AF2" s="598"/>
      <c r="AG2" s="598"/>
      <c r="AH2" s="598"/>
      <c r="AI2" s="598"/>
      <c r="AJ2" s="598"/>
      <c r="AK2" s="598"/>
      <c r="AL2" s="598"/>
      <c r="AM2" s="598"/>
      <c r="AN2" s="598"/>
      <c r="AO2" s="598"/>
      <c r="AP2" s="598"/>
      <c r="AQ2" s="598"/>
      <c r="AR2" s="598"/>
      <c r="AS2" s="598"/>
      <c r="AT2" s="598"/>
      <c r="AU2" s="598"/>
      <c r="AV2" s="598"/>
      <c r="AW2" s="598"/>
      <c r="AX2" s="598"/>
      <c r="AY2" s="598"/>
      <c r="AZ2" s="598"/>
      <c r="BA2" s="598"/>
    </row>
    <row r="3" spans="1:53" ht="23.25" hidden="1" outlineLevel="1">
      <c r="A3" s="177"/>
      <c r="B3" s="717"/>
      <c r="C3" s="717"/>
      <c r="D3" s="717"/>
      <c r="E3" s="717"/>
      <c r="F3" s="717"/>
      <c r="G3" s="717"/>
      <c r="H3" s="717"/>
      <c r="I3" s="717"/>
      <c r="J3" s="717"/>
      <c r="K3" s="717"/>
      <c r="L3" s="598"/>
      <c r="M3" s="598"/>
      <c r="N3" s="598"/>
      <c r="O3" s="598"/>
      <c r="P3" s="598"/>
      <c r="Q3" s="598"/>
      <c r="R3" s="598"/>
      <c r="S3" s="598"/>
      <c r="T3" s="598"/>
      <c r="U3" s="598"/>
      <c r="V3" s="598"/>
      <c r="W3" s="598"/>
      <c r="X3" s="598"/>
      <c r="Y3" s="598"/>
      <c r="Z3" s="598"/>
      <c r="AA3" s="598"/>
      <c r="AB3" s="598"/>
      <c r="AC3" s="598"/>
      <c r="AD3" s="598"/>
      <c r="AE3" s="598"/>
      <c r="AF3" s="598"/>
      <c r="AG3" s="598"/>
      <c r="AH3" s="598"/>
      <c r="AI3" s="598"/>
      <c r="AJ3" s="598"/>
      <c r="AK3" s="598"/>
      <c r="AL3" s="598"/>
      <c r="AM3" s="598"/>
      <c r="AN3" s="598"/>
      <c r="AO3" s="598"/>
      <c r="AP3" s="598"/>
      <c r="AQ3" s="598"/>
      <c r="AR3" s="598"/>
      <c r="AS3" s="598"/>
      <c r="AT3" s="598"/>
      <c r="AU3" s="598"/>
      <c r="AV3" s="598"/>
      <c r="AW3" s="598"/>
      <c r="AX3" s="598"/>
      <c r="AY3" s="598"/>
      <c r="AZ3" s="598"/>
      <c r="BA3" s="598"/>
    </row>
    <row r="4" spans="1:53" ht="27.75" hidden="1" customHeight="1" outlineLevel="1">
      <c r="A4" s="177"/>
      <c r="B4" s="717"/>
      <c r="C4" s="717"/>
      <c r="D4" s="717"/>
      <c r="E4" s="717"/>
      <c r="F4" s="717"/>
      <c r="G4" s="717"/>
      <c r="H4" s="717"/>
      <c r="I4" s="717"/>
      <c r="J4" s="717"/>
      <c r="K4" s="717"/>
      <c r="L4" s="598"/>
      <c r="M4" s="598"/>
      <c r="N4" s="598"/>
      <c r="O4" s="598"/>
      <c r="P4" s="598"/>
      <c r="Q4" s="598"/>
      <c r="R4" s="598"/>
      <c r="S4" s="598"/>
      <c r="T4" s="598"/>
      <c r="U4" s="598"/>
      <c r="V4" s="598"/>
      <c r="W4" s="598"/>
      <c r="X4" s="598"/>
      <c r="Y4" s="598"/>
      <c r="Z4" s="598"/>
      <c r="AA4" s="598"/>
      <c r="AB4" s="598"/>
      <c r="AC4" s="598"/>
      <c r="AD4" s="598"/>
      <c r="AE4" s="598"/>
      <c r="AF4" s="598"/>
      <c r="AG4" s="598"/>
      <c r="AH4" s="598"/>
      <c r="AI4" s="598"/>
      <c r="AJ4" s="598"/>
      <c r="AK4" s="598"/>
      <c r="AL4" s="598"/>
      <c r="AM4" s="598"/>
      <c r="AN4" s="598"/>
      <c r="AO4" s="598"/>
      <c r="AP4" s="598"/>
      <c r="AQ4" s="598"/>
      <c r="AR4" s="598"/>
      <c r="AS4" s="598"/>
      <c r="AT4" s="598"/>
      <c r="AU4" s="598"/>
      <c r="AV4" s="598"/>
      <c r="AW4" s="598"/>
      <c r="AX4" s="598"/>
      <c r="AY4" s="598"/>
      <c r="AZ4" s="598"/>
      <c r="BA4" s="598"/>
    </row>
    <row r="5" spans="1:53" ht="45.75" customHeight="1" collapsed="1">
      <c r="A5" s="178" t="inlineStr">
        <is>
          <t>Vikt</t>
        </is>
      </c>
      <c r="B5" s="393" t="inlineStr">
        <is>
          <t>BERÄKNING AV EXIT-VÄRDE VID KALKYLPERIODENS SLUT</t>
        </is>
      </c>
      <c r="C5" s="394">
        <f>'2. Kalkyldata'!$P$17</f>
        <v>20.0</v>
      </c>
      <c r="D5" s="325">
        <f>D15</f>
        <v>2026.0</v>
      </c>
      <c r="E5" s="325">
        <f t="shared" ref="E5:BA5" si="0">E15</f>
        <v>2027.0</v>
      </c>
      <c r="F5" s="325">
        <f t="shared" si="0"/>
        <v>2028.0</v>
      </c>
      <c r="G5" s="325">
        <f t="shared" si="0"/>
        <v>2029.0</v>
      </c>
      <c r="H5" s="325">
        <f t="shared" si="0"/>
        <v>2030.0</v>
      </c>
      <c r="I5" s="325">
        <f t="shared" si="0"/>
        <v>2031.0</v>
      </c>
      <c r="J5" s="325">
        <f t="shared" si="0"/>
        <v>2032.0</v>
      </c>
      <c r="K5" s="325">
        <f t="shared" si="0"/>
        <v>2033.0</v>
      </c>
      <c r="L5" s="325">
        <f t="shared" si="0"/>
        <v>2034.0</v>
      </c>
      <c r="M5" s="325">
        <f t="shared" si="0"/>
        <v>2035.0</v>
      </c>
      <c r="N5" s="325">
        <f t="shared" si="0"/>
        <v>2036.0</v>
      </c>
      <c r="O5" s="325">
        <f t="shared" si="0"/>
        <v>2037.0</v>
      </c>
      <c r="P5" s="325">
        <f t="shared" si="0"/>
        <v>2038.0</v>
      </c>
      <c r="Q5" s="325">
        <f t="shared" si="0"/>
        <v>2039.0</v>
      </c>
      <c r="R5" s="325">
        <f t="shared" si="0"/>
        <v>2040.0</v>
      </c>
      <c r="S5" s="325">
        <f t="shared" si="0"/>
        <v>2041.0</v>
      </c>
      <c r="T5" s="325">
        <f t="shared" si="0"/>
        <v>2042.0</v>
      </c>
      <c r="U5" s="325">
        <f t="shared" si="0"/>
        <v>2043.0</v>
      </c>
      <c r="V5" s="325">
        <f t="shared" si="0"/>
        <v>2044.0</v>
      </c>
      <c r="W5" s="325">
        <f t="shared" si="0"/>
        <v>2045.0</v>
      </c>
      <c r="X5" s="325" t="str">
        <f t="shared" si="0"/>
        <v/>
      </c>
      <c r="Y5" s="325" t="str">
        <f t="shared" si="0"/>
        <v/>
      </c>
      <c r="Z5" s="325" t="str">
        <f t="shared" si="0"/>
        <v/>
      </c>
      <c r="AA5" s="325" t="str">
        <f t="shared" si="0"/>
        <v/>
      </c>
      <c r="AB5" s="325" t="str">
        <f t="shared" si="0"/>
        <v/>
      </c>
      <c r="AC5" s="325" t="str">
        <f t="shared" si="0"/>
        <v/>
      </c>
      <c r="AD5" s="325" t="str">
        <f t="shared" si="0"/>
        <v/>
      </c>
      <c r="AE5" s="325" t="str">
        <f t="shared" si="0"/>
        <v/>
      </c>
      <c r="AF5" s="325" t="str">
        <f t="shared" si="0"/>
        <v/>
      </c>
      <c r="AG5" s="325" t="str">
        <f t="shared" si="0"/>
        <v/>
      </c>
      <c r="AH5" s="325" t="str">
        <f t="shared" si="0"/>
        <v/>
      </c>
      <c r="AI5" s="325" t="str">
        <f t="shared" si="0"/>
        <v/>
      </c>
      <c r="AJ5" s="325" t="str">
        <f t="shared" si="0"/>
        <v/>
      </c>
      <c r="AK5" s="325" t="str">
        <f t="shared" si="0"/>
        <v/>
      </c>
      <c r="AL5" s="325" t="str">
        <f t="shared" si="0"/>
        <v/>
      </c>
      <c r="AM5" s="325" t="str">
        <f t="shared" si="0"/>
        <v/>
      </c>
      <c r="AN5" s="325" t="str">
        <f t="shared" si="0"/>
        <v/>
      </c>
      <c r="AO5" s="325" t="str">
        <f t="shared" si="0"/>
        <v/>
      </c>
      <c r="AP5" s="325" t="str">
        <f t="shared" si="0"/>
        <v/>
      </c>
      <c r="AQ5" s="325" t="str">
        <f t="shared" si="0"/>
        <v/>
      </c>
      <c r="AR5" s="325" t="str">
        <f t="shared" si="0"/>
        <v/>
      </c>
      <c r="AS5" s="325" t="str">
        <f t="shared" si="0"/>
        <v/>
      </c>
      <c r="AT5" s="325" t="str">
        <f t="shared" si="0"/>
        <v/>
      </c>
      <c r="AU5" s="325" t="str">
        <f t="shared" si="0"/>
        <v/>
      </c>
      <c r="AV5" s="325" t="str">
        <f t="shared" si="0"/>
        <v/>
      </c>
      <c r="AW5" s="325" t="str">
        <f t="shared" si="0"/>
        <v/>
      </c>
      <c r="AX5" s="325" t="str">
        <f t="shared" si="0"/>
        <v/>
      </c>
      <c r="AY5" s="325" t="str">
        <f t="shared" si="0"/>
        <v/>
      </c>
      <c r="AZ5" s="325" t="str">
        <f t="shared" si="0"/>
        <v/>
      </c>
      <c r="BA5" s="325" t="str">
        <f t="shared" si="0"/>
        <v/>
      </c>
    </row>
    <row r="6" spans="1:53" s="180" customFormat="1" ht="15" customHeight="1">
      <c r="A6" s="913">
        <v>0</v>
      </c>
      <c r="B6" s="452" t="inlineStr">
        <is>
          <t>Återstående ack. kapitalutlägg</t>
        </is>
      </c>
      <c r="C6" s="453">
        <f>ROUND((LOOKUP('2. Kalkyldata'!$P$17,'5. IRR'!$D$14:$BA$14,'5. IRR'!$D$6:BA6))/100000,0)*100000</f>
        <v>104500000.0</v>
      </c>
      <c r="D6" s="454">
        <f>IFERROR(IF('6. Ack.kapitalutlägg'!C$13&gt;'2. Kalkyldata'!$U$17*((1+'2. Kalkyldata'!$M$9)^('5. IRR'!D$15-'5. IRR'!$D$15)),'6. Ack.kapitalutlägg'!C$13,('2. Kalkyldata'!$U$17*((1+'2. Kalkyldata'!$M$9)^('5. IRR'!D$15-'5. IRR'!$D$15)))),"")</f>
        <v>237225499.99999997</v>
      </c>
      <c r="E6" s="454">
        <f>IFERROR(IF('6. Ack.kapitalutlägg'!D$13&gt;'2. Kalkyldata'!$U$17*((1+'2. Kalkyldata'!$M$9)^('5. IRR'!E$15-'5. IRR'!$D$15)),'6. Ack.kapitalutlägg'!D$13,('2. Kalkyldata'!$U$17*((1+'2. Kalkyldata'!$M$9)^('5. IRR'!E$15-'5. IRR'!$D$15)))),"")</f>
        <v>234147860.24999997</v>
      </c>
      <c r="F6" s="454">
        <f>IFERROR(IF('6. Ack.kapitalutlägg'!E$13&gt;'2. Kalkyldata'!$U$17*((1+'2. Kalkyldata'!$M$9)^('5. IRR'!F$15-'5. IRR'!$D$15)),'6. Ack.kapitalutlägg'!E$13,('2. Kalkyldata'!$U$17*((1+'2. Kalkyldata'!$M$9)^('5. IRR'!F$15-'5. IRR'!$D$15)))),"")</f>
        <v>230751107.75137496</v>
      </c>
      <c r="G6" s="454">
        <f>IFERROR(IF('6. Ack.kapitalutlägg'!F$13&gt;'2. Kalkyldata'!$U$17*((1+'2. Kalkyldata'!$M$9)^('5. IRR'!G$15-'5. IRR'!$D$15)),'6. Ack.kapitalutlägg'!F$13,('2. Kalkyldata'!$U$17*((1+'2. Kalkyldata'!$M$9)^('5. IRR'!G$15-'5. IRR'!$D$15)))),"")</f>
        <v>227018518.14130253</v>
      </c>
      <c r="H6" s="454">
        <f>IFERROR(IF('6. Ack.kapitalutlägg'!G$13&gt;'2. Kalkyldata'!$U$17*((1+'2. Kalkyldata'!$M$9)^('5. IRR'!H$15-'5. IRR'!$D$15)),'6. Ack.kapitalutlägg'!G$13,('2. Kalkyldata'!$U$17*((1+'2. Kalkyldata'!$M$9)^('5. IRR'!H$15-'5. IRR'!$D$15)))),"")</f>
        <v>222932581.27997714</v>
      </c>
      <c r="I6" s="454">
        <f>IFERROR(IF('6. Ack.kapitalutlägg'!H$13&gt;'2. Kalkyldata'!$U$17*((1+'2. Kalkyldata'!$M$9)^('5. IRR'!I$15-'5. IRR'!$D$15)),'6. Ack.kapitalutlägg'!H$13,('2. Kalkyldata'!$U$17*((1+'2. Kalkyldata'!$M$9)^('5. IRR'!I$15-'5. IRR'!$D$15)))),"")</f>
        <v>218474965.2712546</v>
      </c>
      <c r="J6" s="454">
        <f>IFERROR(IF('6. Ack.kapitalutlägg'!I$13&gt;'2. Kalkyldata'!$U$17*((1+'2. Kalkyldata'!$M$9)^('5. IRR'!J$15-'5. IRR'!$D$15)),'6. Ack.kapitalutlägg'!I$13,('2. Kalkyldata'!$U$17*((1+'2. Kalkyldata'!$M$9)^('5. IRR'!J$15-'5. IRR'!$D$15)))),"")</f>
        <v>213626478.84548354</v>
      </c>
      <c r="K6" s="454">
        <f>IFERROR(IF('6. Ack.kapitalutlägg'!J$13&gt;'2. Kalkyldata'!$U$17*((1+'2. Kalkyldata'!$M$9)^('5. IRR'!K$15-'5. IRR'!$D$15)),'6. Ack.kapitalutlägg'!J$13,('2. Kalkyldata'!$U$17*((1+'2. Kalkyldata'!$M$9)^('5. IRR'!K$15-'5. IRR'!$D$15)))),"")</f>
        <v>208367032.03004205</v>
      </c>
      <c r="L6" s="454">
        <f>IFERROR(IF('6. Ack.kapitalutlägg'!K$13&gt;'2. Kalkyldata'!$U$17*((1+'2. Kalkyldata'!$M$9)^('5. IRR'!L$15-'5. IRR'!$D$15)),'6. Ack.kapitalutlägg'!K$13,('2. Kalkyldata'!$U$17*((1+'2. Kalkyldata'!$M$9)^('5. IRR'!L$15-'5. IRR'!$D$15)))),"")</f>
        <v>202675595.02970877</v>
      </c>
      <c r="M6" s="454">
        <f>IFERROR(IF('6. Ack.kapitalutlägg'!L$13&gt;'2. Kalkyldata'!$U$17*((1+'2. Kalkyldata'!$M$9)^('5. IRR'!M$15-'5. IRR'!$D$15)),'6. Ack.kapitalutlägg'!L$13,('2. Kalkyldata'!$U$17*((1+'2. Kalkyldata'!$M$9)^('5. IRR'!M$15-'5. IRR'!$D$15)))),"")</f>
        <v>196530155.23545712</v>
      </c>
      <c r="N6" s="454">
        <f>IFERROR(IF('6. Ack.kapitalutlägg'!M$13&gt;'2. Kalkyldata'!$U$17*((1+'2. Kalkyldata'!$M$9)^('5. IRR'!N$15-'5. IRR'!$D$15)),'6. Ack.kapitalutlägg'!M$13,('2. Kalkyldata'!$U$17*((1+'2. Kalkyldata'!$M$9)^('5. IRR'!N$15-'5. IRR'!$D$15)))),"")</f>
        <v>189907672.27655828</v>
      </c>
      <c r="O6" s="454">
        <f>IFERROR(IF('6. Ack.kapitalutlägg'!N$13&gt;'2. Kalkyldata'!$U$17*((1+'2. Kalkyldata'!$M$9)^('5. IRR'!O$15-'5. IRR'!$D$15)),'6. Ack.kapitalutlägg'!N$13,('2. Kalkyldata'!$U$17*((1+'2. Kalkyldata'!$M$9)^('5. IRR'!O$15-'5. IRR'!$D$15)))),"")</f>
        <v>182784031.02700755</v>
      </c>
      <c r="P6" s="454">
        <f>IFERROR(IF('6. Ack.kapitalutlägg'!O$13&gt;'2. Kalkyldata'!$U$17*((1+'2. Kalkyldata'!$M$9)^('5. IRR'!P$15-'5. IRR'!$D$15)),'6. Ack.kapitalutlägg'!O$13,('2. Kalkyldata'!$U$17*((1+'2. Kalkyldata'!$M$9)^('5. IRR'!P$15-'5. IRR'!$D$15)))),"")</f>
        <v>175133992.47324172</v>
      </c>
      <c r="Q6" s="454">
        <f>IFERROR(IF('6. Ack.kapitalutlägg'!P$13&gt;'2. Kalkyldata'!$U$17*((1+'2. Kalkyldata'!$M$9)^('5. IRR'!Q$15-'5. IRR'!$D$15)),'6. Ack.kapitalutlägg'!P$13,('2. Kalkyldata'!$U$17*((1+'2. Kalkyldata'!$M$9)^('5. IRR'!Q$15-'5. IRR'!$D$15)))),"")</f>
        <v>166931142.34588343</v>
      </c>
      <c r="R6" s="454">
        <f>IFERROR(IF('6. Ack.kapitalutlägg'!Q$13&gt;'2. Kalkyldata'!$U$17*((1+'2. Kalkyldata'!$M$9)^('5. IRR'!R$15-'5. IRR'!$D$15)),'6. Ack.kapitalutlägg'!Q$13,('2. Kalkyldata'!$U$17*((1+'2. Kalkyldata'!$M$9)^('5. IRR'!R$15-'5. IRR'!$D$15)))),"")</f>
        <v>158147837.4138251</v>
      </c>
      <c r="S6" s="454">
        <f>IFERROR(IF('6. Ack.kapitalutlägg'!R$13&gt;'2. Kalkyldata'!$U$17*((1+'2. Kalkyldata'!$M$9)^('5. IRR'!S$15-'5. IRR'!$D$15)),'6. Ack.kapitalutlägg'!R$13,('2. Kalkyldata'!$U$17*((1+'2. Kalkyldata'!$M$9)^('5. IRR'!S$15-'5. IRR'!$D$15)))),"")</f>
        <v>148755149.33433983</v>
      </c>
      <c r="T6" s="454">
        <f>IFERROR(IF('6. Ack.kapitalutlägg'!S$13&gt;'2. Kalkyldata'!$U$17*((1+'2. Kalkyldata'!$M$9)^('5. IRR'!T$15-'5. IRR'!$D$15)),'6. Ack.kapitalutlägg'!S$13,('2. Kalkyldata'!$U$17*((1+'2. Kalkyldata'!$M$9)^('5. IRR'!T$15-'5. IRR'!$D$15)))),"")</f>
        <v>138722805.94807154</v>
      </c>
      <c r="U6" s="454">
        <f>IFERROR(IF('6. Ack.kapitalutlägg'!T$13&gt;'2. Kalkyldata'!$U$17*((1+'2. Kalkyldata'!$M$9)^('5. IRR'!U$15-'5. IRR'!$D$15)),'6. Ack.kapitalutlägg'!T$13,('2. Kalkyldata'!$U$17*((1+'2. Kalkyldata'!$M$9)^('5. IRR'!U$15-'5. IRR'!$D$15)))),"")</f>
        <v>128019129.90270087</v>
      </c>
      <c r="V6" s="454">
        <f>IFERROR(IF('6. Ack.kapitalutlägg'!U$13&gt;'2. Kalkyldata'!$U$17*((1+'2. Kalkyldata'!$M$9)^('5. IRR'!V$15-'5. IRR'!$D$15)),'6. Ack.kapitalutlägg'!U$13,('2. Kalkyldata'!$U$17*((1+'2. Kalkyldata'!$M$9)^('5. IRR'!V$15-'5. IRR'!$D$15)))),"")</f>
        <v>116610974.48379843</v>
      </c>
      <c r="W6" s="454">
        <f>IFERROR(IF('6. Ack.kapitalutlägg'!V$13&gt;'2. Kalkyldata'!$U$17*((1+'2. Kalkyldata'!$M$9)^('5. IRR'!W$15-'5. IRR'!$D$15)),'6. Ack.kapitalutlägg'!V$13,('2. Kalkyldata'!$U$17*((1+'2. Kalkyldata'!$M$9)^('5. IRR'!W$15-'5. IRR'!$D$15)))),"")</f>
        <v>104463656.5258511</v>
      </c>
      <c r="X6" s="447" t="str">
        <f>IFERROR(IF('6. Ack.kapitalutlägg'!W$13&gt;'2. Kalkyldata'!$U$17*((1+'2. Kalkyldata'!$M$9)^('5. IRR'!X$15-'5. IRR'!$D$15)),'6. Ack.kapitalutlägg'!W$13,('2. Kalkyldata'!$U$17*((1+'2. Kalkyldata'!$M$9)^('5. IRR'!X$15-'5. IRR'!$D$15)))),"")</f>
        <v/>
      </c>
      <c r="Y6" s="447" t="str">
        <f>IFERROR(IF('6. Ack.kapitalutlägg'!X$13&gt;'2. Kalkyldata'!$U$17*((1+'2. Kalkyldata'!$M$9)^('5. IRR'!Y$15-'5. IRR'!$D$15)),'6. Ack.kapitalutlägg'!X$13,('2. Kalkyldata'!$U$17*((1+'2. Kalkyldata'!$M$9)^('5. IRR'!Y$15-'5. IRR'!$D$15)))),"")</f>
        <v/>
      </c>
      <c r="Z6" s="447" t="str">
        <f>IFERROR(IF('6. Ack.kapitalutlägg'!Y$13&gt;'2. Kalkyldata'!$U$17*((1+'2. Kalkyldata'!$M$9)^('5. IRR'!Z$15-'5. IRR'!$D$15)),'6. Ack.kapitalutlägg'!Y$13,('2. Kalkyldata'!$U$17*((1+'2. Kalkyldata'!$M$9)^('5. IRR'!Z$15-'5. IRR'!$D$15)))),"")</f>
        <v/>
      </c>
      <c r="AA6" s="447" t="str">
        <f>IFERROR(IF('6. Ack.kapitalutlägg'!Z$13&gt;'2. Kalkyldata'!$U$17*((1+'2. Kalkyldata'!$M$9)^('5. IRR'!AA$15-'5. IRR'!$D$15)),'6. Ack.kapitalutlägg'!Z$13,('2. Kalkyldata'!$U$17*((1+'2. Kalkyldata'!$M$9)^('5. IRR'!AA$15-'5. IRR'!$D$15)))),"")</f>
        <v/>
      </c>
      <c r="AB6" s="447" t="str">
        <f>IFERROR(IF('6. Ack.kapitalutlägg'!AA$13&gt;'2. Kalkyldata'!$U$17*((1+'2. Kalkyldata'!$M$9)^('5. IRR'!AB$15-'5. IRR'!$D$15)),'6. Ack.kapitalutlägg'!AA$13,('2. Kalkyldata'!$U$17*((1+'2. Kalkyldata'!$M$9)^('5. IRR'!AB$15-'5. IRR'!$D$15)))),"")</f>
        <v/>
      </c>
      <c r="AC6" s="447" t="str">
        <f>IFERROR(IF('6. Ack.kapitalutlägg'!AB$13&gt;'2. Kalkyldata'!$U$17*((1+'2. Kalkyldata'!$M$9)^('5. IRR'!AC$15-'5. IRR'!$D$15)),'6. Ack.kapitalutlägg'!AB$13,('2. Kalkyldata'!$U$17*((1+'2. Kalkyldata'!$M$9)^('5. IRR'!AC$15-'5. IRR'!$D$15)))),"")</f>
        <v/>
      </c>
      <c r="AD6" s="447" t="str">
        <f>IFERROR(IF('6. Ack.kapitalutlägg'!AC$13&gt;'2. Kalkyldata'!$U$17*((1+'2. Kalkyldata'!$M$9)^('5. IRR'!AD$15-'5. IRR'!$D$15)),'6. Ack.kapitalutlägg'!AC$13,('2. Kalkyldata'!$U$17*((1+'2. Kalkyldata'!$M$9)^('5. IRR'!AD$15-'5. IRR'!$D$15)))),"")</f>
        <v/>
      </c>
      <c r="AE6" s="447" t="str">
        <f>IFERROR(IF('6. Ack.kapitalutlägg'!AD$13&gt;'2. Kalkyldata'!$U$17*((1+'2. Kalkyldata'!$M$9)^('5. IRR'!AE$15-'5. IRR'!$D$15)),'6. Ack.kapitalutlägg'!AD$13,('2. Kalkyldata'!$U$17*((1+'2. Kalkyldata'!$M$9)^('5. IRR'!AE$15-'5. IRR'!$D$15)))),"")</f>
        <v/>
      </c>
      <c r="AF6" s="447" t="str">
        <f>IFERROR(IF('6. Ack.kapitalutlägg'!AE$13&gt;'2. Kalkyldata'!$U$17*((1+'2. Kalkyldata'!$M$9)^('5. IRR'!AF$15-'5. IRR'!$D$15)),'6. Ack.kapitalutlägg'!AE$13,('2. Kalkyldata'!$U$17*((1+'2. Kalkyldata'!$M$9)^('5. IRR'!AF$15-'5. IRR'!$D$15)))),"")</f>
        <v/>
      </c>
      <c r="AG6" s="447" t="str">
        <f>IFERROR(IF('6. Ack.kapitalutlägg'!AF$13&gt;'2. Kalkyldata'!$U$17*((1+'2. Kalkyldata'!$M$9)^('5. IRR'!AG$15-'5. IRR'!$D$15)),'6. Ack.kapitalutlägg'!AF$13,('2. Kalkyldata'!$U$17*((1+'2. Kalkyldata'!$M$9)^('5. IRR'!AG$15-'5. IRR'!$D$15)))),"")</f>
        <v/>
      </c>
      <c r="AH6" s="447" t="str">
        <f>IFERROR(IF('6. Ack.kapitalutlägg'!AG$13&gt;'2. Kalkyldata'!$U$17*((1+'2. Kalkyldata'!$M$9)^('5. IRR'!AH$15-'5. IRR'!$D$15)),'6. Ack.kapitalutlägg'!AG$13,('2. Kalkyldata'!$U$17*((1+'2. Kalkyldata'!$M$9)^('5. IRR'!AH$15-'5. IRR'!$D$15)))),"")</f>
        <v/>
      </c>
      <c r="AI6" s="447" t="str">
        <f>IFERROR(IF('6. Ack.kapitalutlägg'!AH$13&gt;'2. Kalkyldata'!$U$17*((1+'2. Kalkyldata'!$M$9)^('5. IRR'!AI$15-'5. IRR'!$D$15)),'6. Ack.kapitalutlägg'!AH$13,('2. Kalkyldata'!$U$17*((1+'2. Kalkyldata'!$M$9)^('5. IRR'!AI$15-'5. IRR'!$D$15)))),"")</f>
        <v/>
      </c>
      <c r="AJ6" s="447" t="str">
        <f>IFERROR(IF('6. Ack.kapitalutlägg'!AI$13&gt;'2. Kalkyldata'!$U$17*((1+'2. Kalkyldata'!$M$9)^('5. IRR'!AJ$15-'5. IRR'!$D$15)),'6. Ack.kapitalutlägg'!AI$13,('2. Kalkyldata'!$U$17*((1+'2. Kalkyldata'!$M$9)^('5. IRR'!AJ$15-'5. IRR'!$D$15)))),"")</f>
        <v/>
      </c>
      <c r="AK6" s="447" t="str">
        <f>IFERROR(IF('6. Ack.kapitalutlägg'!AJ$13&gt;'2. Kalkyldata'!$U$17*((1+'2. Kalkyldata'!$M$9)^('5. IRR'!AK$15-'5. IRR'!$D$15)),'6. Ack.kapitalutlägg'!AJ$13,('2. Kalkyldata'!$U$17*((1+'2. Kalkyldata'!$M$9)^('5. IRR'!AK$15-'5. IRR'!$D$15)))),"")</f>
        <v/>
      </c>
      <c r="AL6" s="447" t="str">
        <f>IFERROR(IF('6. Ack.kapitalutlägg'!AK$13&gt;'2. Kalkyldata'!$U$17*((1+'2. Kalkyldata'!$M$9)^('5. IRR'!AL$15-'5. IRR'!$D$15)),'6. Ack.kapitalutlägg'!AK$13,('2. Kalkyldata'!$U$17*((1+'2. Kalkyldata'!$M$9)^('5. IRR'!AL$15-'5. IRR'!$D$15)))),"")</f>
        <v/>
      </c>
      <c r="AM6" s="447" t="str">
        <f>IFERROR(IF('6. Ack.kapitalutlägg'!AL$13&gt;'2. Kalkyldata'!$U$17*((1+'2. Kalkyldata'!$M$9)^('5. IRR'!AM$15-'5. IRR'!$D$15)),'6. Ack.kapitalutlägg'!AL$13,('2. Kalkyldata'!$U$17*((1+'2. Kalkyldata'!$M$9)^('5. IRR'!AM$15-'5. IRR'!$D$15)))),"")</f>
        <v/>
      </c>
      <c r="AN6" s="447" t="str">
        <f>IFERROR(IF('6. Ack.kapitalutlägg'!AM$13&gt;'2. Kalkyldata'!$U$17*((1+'2. Kalkyldata'!$M$9)^('5. IRR'!AN$15-'5. IRR'!$D$15)),'6. Ack.kapitalutlägg'!AM$13,('2. Kalkyldata'!$U$17*((1+'2. Kalkyldata'!$M$9)^('5. IRR'!AN$15-'5. IRR'!$D$15)))),"")</f>
        <v/>
      </c>
      <c r="AO6" s="447" t="str">
        <f>IFERROR(IF('6. Ack.kapitalutlägg'!AN$13&gt;'2. Kalkyldata'!$U$17*((1+'2. Kalkyldata'!$M$9)^('5. IRR'!AO$15-'5. IRR'!$D$15)),'6. Ack.kapitalutlägg'!AN$13,('2. Kalkyldata'!$U$17*((1+'2. Kalkyldata'!$M$9)^('5. IRR'!AO$15-'5. IRR'!$D$15)))),"")</f>
        <v/>
      </c>
      <c r="AP6" s="447" t="str">
        <f>IFERROR(IF('6. Ack.kapitalutlägg'!AO$13&gt;'2. Kalkyldata'!$U$17*((1+'2. Kalkyldata'!$M$9)^('5. IRR'!AP$15-'5. IRR'!$D$15)),'6. Ack.kapitalutlägg'!AO$13,('2. Kalkyldata'!$U$17*((1+'2. Kalkyldata'!$M$9)^('5. IRR'!AP$15-'5. IRR'!$D$15)))),"")</f>
        <v/>
      </c>
      <c r="AQ6" s="447" t="str">
        <f>IFERROR(IF('6. Ack.kapitalutlägg'!AP$13&gt;'2. Kalkyldata'!$U$17*((1+'2. Kalkyldata'!$M$9)^('5. IRR'!AQ$15-'5. IRR'!$D$15)),'6. Ack.kapitalutlägg'!AP$13,('2. Kalkyldata'!$U$17*((1+'2. Kalkyldata'!$M$9)^('5. IRR'!AQ$15-'5. IRR'!$D$15)))),"")</f>
        <v/>
      </c>
      <c r="AR6" s="447" t="str">
        <f>IFERROR(IF('6. Ack.kapitalutlägg'!AQ$13&gt;'2. Kalkyldata'!$U$17*((1+'2. Kalkyldata'!$M$9)^('5. IRR'!AR$15-'5. IRR'!$D$15)),'6. Ack.kapitalutlägg'!AQ$13,('2. Kalkyldata'!$U$17*((1+'2. Kalkyldata'!$M$9)^('5. IRR'!AR$15-'5. IRR'!$D$15)))),"")</f>
        <v/>
      </c>
      <c r="AS6" s="447" t="str">
        <f>IFERROR(IF('6. Ack.kapitalutlägg'!AR$13&gt;'2. Kalkyldata'!$U$17*((1+'2. Kalkyldata'!$M$9)^('5. IRR'!AS$15-'5. IRR'!$D$15)),'6. Ack.kapitalutlägg'!AR$13,('2. Kalkyldata'!$U$17*((1+'2. Kalkyldata'!$M$9)^('5. IRR'!AS$15-'5. IRR'!$D$15)))),"")</f>
        <v/>
      </c>
      <c r="AT6" s="447" t="str">
        <f>IFERROR(IF('6. Ack.kapitalutlägg'!AS$13&gt;'2. Kalkyldata'!$U$17*((1+'2. Kalkyldata'!$M$9)^('5. IRR'!AT$15-'5. IRR'!$D$15)),'6. Ack.kapitalutlägg'!AS$13,('2. Kalkyldata'!$U$17*((1+'2. Kalkyldata'!$M$9)^('5. IRR'!AT$15-'5. IRR'!$D$15)))),"")</f>
        <v/>
      </c>
      <c r="AU6" s="447" t="str">
        <f>IFERROR(IF('6. Ack.kapitalutlägg'!AT$13&gt;'2. Kalkyldata'!$U$17*((1+'2. Kalkyldata'!$M$9)^('5. IRR'!AU$15-'5. IRR'!$D$15)),'6. Ack.kapitalutlägg'!AT$13,('2. Kalkyldata'!$U$17*((1+'2. Kalkyldata'!$M$9)^('5. IRR'!AU$15-'5. IRR'!$D$15)))),"")</f>
        <v/>
      </c>
      <c r="AV6" s="447" t="str">
        <f>IFERROR(IF('6. Ack.kapitalutlägg'!AU$13&gt;'2. Kalkyldata'!$U$17*((1+'2. Kalkyldata'!$M$9)^('5. IRR'!AV$15-'5. IRR'!$D$15)),'6. Ack.kapitalutlägg'!AU$13,('2. Kalkyldata'!$U$17*((1+'2. Kalkyldata'!$M$9)^('5. IRR'!AV$15-'5. IRR'!$D$15)))),"")</f>
        <v/>
      </c>
      <c r="AW6" s="447" t="str">
        <f>IFERROR(IF('6. Ack.kapitalutlägg'!AV$13&gt;'2. Kalkyldata'!$U$17*((1+'2. Kalkyldata'!$M$9)^('5. IRR'!AW$15-'5. IRR'!$D$15)),'6. Ack.kapitalutlägg'!AV$13,('2. Kalkyldata'!$U$17*((1+'2. Kalkyldata'!$M$9)^('5. IRR'!AW$15-'5. IRR'!$D$15)))),"")</f>
        <v/>
      </c>
      <c r="AX6" s="447" t="str">
        <f>IFERROR(IF('6. Ack.kapitalutlägg'!AW$13&gt;'2. Kalkyldata'!$U$17*((1+'2. Kalkyldata'!$M$9)^('5. IRR'!AX$15-'5. IRR'!$D$15)),'6. Ack.kapitalutlägg'!AW$13,('2. Kalkyldata'!$U$17*((1+'2. Kalkyldata'!$M$9)^('5. IRR'!AX$15-'5. IRR'!$D$15)))),"")</f>
        <v/>
      </c>
      <c r="AY6" s="447" t="str">
        <f>IFERROR(IF('6. Ack.kapitalutlägg'!AX$13&gt;'2. Kalkyldata'!$U$17*((1+'2. Kalkyldata'!$M$9)^('5. IRR'!AY$15-'5. IRR'!$D$15)),'6. Ack.kapitalutlägg'!AX$13,('2. Kalkyldata'!$U$17*((1+'2. Kalkyldata'!$M$9)^('5. IRR'!AY$15-'5. IRR'!$D$15)))),"")</f>
        <v/>
      </c>
      <c r="AZ6" s="447" t="str">
        <f>IFERROR(IF('6. Ack.kapitalutlägg'!AY$13&gt;'2. Kalkyldata'!$U$17*((1+'2. Kalkyldata'!$M$9)^('5. IRR'!AZ$15-'5. IRR'!$D$15)),'6. Ack.kapitalutlägg'!AY$13,('2. Kalkyldata'!$U$17*((1+'2. Kalkyldata'!$M$9)^('5. IRR'!AZ$15-'5. IRR'!$D$15)))),"")</f>
        <v/>
      </c>
      <c r="BA6" s="447" t="str">
        <f>IFERROR(IF('6. Ack.kapitalutlägg'!AZ$13&gt;'2. Kalkyldata'!$U$17*((1+'2. Kalkyldata'!$M$9)^('5. IRR'!BA$15-'5. IRR'!$D$15)),'6. Ack.kapitalutlägg'!AZ$13,('2. Kalkyldata'!$U$17*((1+'2. Kalkyldata'!$M$9)^('5. IRR'!BA$15-'5. IRR'!$D$15)))),"")</f>
        <v/>
      </c>
    </row>
    <row r="7" spans="1:53" ht="15" customHeight="1">
      <c r="A7" s="913">
        <v>1</v>
      </c>
      <c r="B7" s="452" t="str">
        <f>"Marknadsvärde, direktavk. "&amp;ROUND('2. Kalkyldata'!$M$11*100,2)&amp;" %"</f>
        <v>Marknadsvärde, direktavk. 6,5 %</v>
      </c>
      <c r="C7" s="912">
        <f>'4. NPV'!$E$79</f>
        <v>271940000.0</v>
      </c>
      <c r="D7" s="454">
        <f>IF(D$5="","",'4. NPV'!D$88)</f>
        <v>213406153.84615383</v>
      </c>
      <c r="E7" s="454">
        <f>IF(E$5="","",'4. NPV'!E$88)</f>
        <v>216161232.92307693</v>
      </c>
      <c r="F7" s="454">
        <f>IF(F$5="","",'4. NPV'!F$88)</f>
        <v>218950230.96553844</v>
      </c>
      <c r="G7" s="454">
        <f>IF(G$5="","",'4. NPV'!G$88)</f>
        <v>221773529.79622522</v>
      </c>
      <c r="H7" s="454">
        <f>IF(H$5="","",'4. NPV'!H$88)</f>
        <v>224631514.722485</v>
      </c>
      <c r="I7" s="454">
        <f>IF(I$5="","",'4. NPV'!I$88)</f>
        <v>227524574.5478946</v>
      </c>
      <c r="J7" s="454">
        <f>IF(J$5="","",'4. NPV'!J$88)</f>
        <v>230453101.583246</v>
      </c>
      <c r="K7" s="454">
        <f>IF(K$5="","",'4. NPV'!K$88)</f>
        <v>233417491.6569258</v>
      </c>
      <c r="L7" s="454">
        <f>IF(L$5="","",'4. NPV'!L$88)</f>
        <v>236418144.12466744</v>
      </c>
      <c r="M7" s="454">
        <f>IF(M$5="","",'4. NPV'!M$88)</f>
        <v>239455461.8786483</v>
      </c>
      <c r="N7" s="454">
        <f>IF(N$5="","",'4. NPV'!N$88)</f>
        <v>242529851.35590968</v>
      </c>
      <c r="O7" s="454">
        <f>IF(O$5="","",'4. NPV'!O$88)</f>
        <v>245641722.5460719</v>
      </c>
      <c r="P7" s="454">
        <f>IF(P$5="","",'4. NPV'!P$88)</f>
        <v>248791488.99831998</v>
      </c>
      <c r="Q7" s="454">
        <f>IF(Q$5="","",'4. NPV'!Q$88)</f>
        <v>251979567.8276316</v>
      </c>
      <c r="R7" s="454">
        <f>IF(R$5="","",'4. NPV'!R$88)</f>
        <v>255206379.7202203</v>
      </c>
      <c r="S7" s="454">
        <f>IF(S$5="","",'4. NPV'!S$88)</f>
        <v>258472348.9381652</v>
      </c>
      <c r="T7" s="454">
        <f>IF(T$5="","",'4. NPV'!T$88)</f>
        <v>261777903.32319862</v>
      </c>
      <c r="U7" s="454">
        <f>IF(U$5="","",'4. NPV'!U$88)</f>
        <v>265123474.29962048</v>
      </c>
      <c r="V7" s="454">
        <f>IF(V$5="","",'4. NPV'!V$88)</f>
        <v>268509496.8763102</v>
      </c>
      <c r="W7" s="454">
        <f>IF(W$5="","",'4. NPV'!W$88)</f>
        <v>271936409.6478035</v>
      </c>
      <c r="X7" s="396" t="str">
        <f>IF(X$5="","",'4. NPV'!X$88)</f>
        <v/>
      </c>
      <c r="Y7" s="396" t="str">
        <f>IF(Y$5="","",'4. NPV'!Y$88)</f>
        <v/>
      </c>
      <c r="Z7" s="396" t="str">
        <f>IF(Z$5="","",'4. NPV'!Z$88)</f>
        <v/>
      </c>
      <c r="AA7" s="396" t="str">
        <f>IF(AA$5="","",'4. NPV'!AA$88)</f>
        <v/>
      </c>
      <c r="AB7" s="396" t="str">
        <f>IF(AB$5="","",'4. NPV'!AB$88)</f>
        <v/>
      </c>
      <c r="AC7" s="396" t="str">
        <f>IF(AC$5="","",'4. NPV'!AC$88)</f>
        <v/>
      </c>
      <c r="AD7" s="396" t="str">
        <f>IF(AD$5="","",'4. NPV'!AD$88)</f>
        <v/>
      </c>
      <c r="AE7" s="396" t="str">
        <f>IF(AE$5="","",'4. NPV'!AE$88)</f>
        <v/>
      </c>
      <c r="AF7" s="396" t="str">
        <f>IF(AF$5="","",'4. NPV'!AF$88)</f>
        <v/>
      </c>
      <c r="AG7" s="396" t="str">
        <f>IF(AG$5="","",'4. NPV'!AG$88)</f>
        <v/>
      </c>
      <c r="AH7" s="396" t="str">
        <f>IF(AH$5="","",'4. NPV'!AH$88)</f>
        <v/>
      </c>
      <c r="AI7" s="396" t="str">
        <f>IF(AI$5="","",'4. NPV'!AI$88)</f>
        <v/>
      </c>
      <c r="AJ7" s="396" t="str">
        <f>IF(AJ$5="","",'4. NPV'!AJ$88)</f>
        <v/>
      </c>
      <c r="AK7" s="396" t="str">
        <f>IF(AK$5="","",'4. NPV'!AK$88)</f>
        <v/>
      </c>
      <c r="AL7" s="396" t="str">
        <f>IF(AL$5="","",'4. NPV'!AL$88)</f>
        <v/>
      </c>
      <c r="AM7" s="396" t="str">
        <f>IF(AM$5="","",'4. NPV'!AM$88)</f>
        <v/>
      </c>
      <c r="AN7" s="396" t="str">
        <f>IF(AN$5="","",'4. NPV'!AN$88)</f>
        <v/>
      </c>
      <c r="AO7" s="396" t="str">
        <f>IF(AO$5="","",'4. NPV'!AO$88)</f>
        <v/>
      </c>
      <c r="AP7" s="396" t="str">
        <f>IF(AP$5="","",'4. NPV'!AP$88)</f>
        <v/>
      </c>
      <c r="AQ7" s="396" t="str">
        <f>IF(AQ$5="","",'4. NPV'!AQ$88)</f>
        <v/>
      </c>
      <c r="AR7" s="396" t="str">
        <f>IF(AR$5="","",'4. NPV'!AR$88)</f>
        <v/>
      </c>
      <c r="AS7" s="396" t="str">
        <f>IF(AS$5="","",'4. NPV'!AS$88)</f>
        <v/>
      </c>
      <c r="AT7" s="396" t="str">
        <f>IF(AT$5="","",'4. NPV'!AT$88)</f>
        <v/>
      </c>
      <c r="AU7" s="396" t="str">
        <f>IF(AU$5="","",'4. NPV'!AU$88)</f>
        <v/>
      </c>
      <c r="AV7" s="396" t="str">
        <f>IF(AV$5="","",'4. NPV'!AV$88)</f>
        <v/>
      </c>
      <c r="AW7" s="396" t="str">
        <f>IF(AW$5="","",'4. NPV'!AW$88)</f>
        <v/>
      </c>
      <c r="AX7" s="396" t="str">
        <f>IF(AX$5="","",'4. NPV'!AX$88)</f>
        <v/>
      </c>
      <c r="AY7" s="396" t="str">
        <f>IF(AY$5="","",'4. NPV'!AY$88)</f>
        <v/>
      </c>
      <c r="AZ7" s="396" t="str">
        <f>IF(AZ$5="","",'4. NPV'!AZ$88)</f>
        <v/>
      </c>
      <c r="BA7" s="396" t="str">
        <f>IF(BA$5="","",'4. NPV'!BA$88)</f>
        <v/>
      </c>
    </row>
    <row r="8" spans="1:53" ht="15" customHeight="1">
      <c r="A8" s="913">
        <v>0</v>
      </c>
      <c r="B8" s="449" t="s">
        <v>83</v>
      </c>
      <c r="C8" s="451">
        <f>ROUND((LOOKUP('2. Kalkyldata'!$P$17,'5. IRR'!$D$14:$BA$14,'5. IRR'!$D$8:BA8))/100000,0)*100000</f>
        <v>94500000.0</v>
      </c>
      <c r="D8" s="450">
        <f>IF(D$5="","",'3. Finansiering'!D$57)</f>
        <v>232727272.7272727</v>
      </c>
      <c r="E8" s="450">
        <f>IF(E$5="","",'3. Finansiering'!E$57)</f>
        <v>225454545.45454544</v>
      </c>
      <c r="F8" s="450">
        <f>IF(F$5="","",'3. Finansiering'!F$57)</f>
        <v>218181818.18181816</v>
      </c>
      <c r="G8" s="450">
        <f>IF(G$5="","",'3. Finansiering'!G$57)</f>
        <v>210909090.90909088</v>
      </c>
      <c r="H8" s="450">
        <f>IF(H$5="","",'3. Finansiering'!H$57)</f>
        <v>203636363.63636363</v>
      </c>
      <c r="I8" s="450">
        <f>IF(I$5="","",'3. Finansiering'!I$57)</f>
        <v>196363636.36363634</v>
      </c>
      <c r="J8" s="450">
        <f>IF(J$5="","",'3. Finansiering'!J$57)</f>
        <v>189090909.09090906</v>
      </c>
      <c r="K8" s="450">
        <f>IF(K$5="","",'3. Finansiering'!K$57)</f>
        <v>181818181.8181818</v>
      </c>
      <c r="L8" s="450">
        <f>IF(L$5="","",'3. Finansiering'!L$57)</f>
        <v>174545454.54545453</v>
      </c>
      <c r="M8" s="450">
        <f>IF(M$5="","",'3. Finansiering'!M$57)</f>
        <v>167272727.27272725</v>
      </c>
      <c r="N8" s="450">
        <f>IF(N$5="","",'3. Finansiering'!N$57)</f>
        <v>160000000.0</v>
      </c>
      <c r="O8" s="450">
        <f>IF(O$5="","",'3. Finansiering'!O$57)</f>
        <v>152727272.72727272</v>
      </c>
      <c r="P8" s="450">
        <f>IF(P$5="","",'3. Finansiering'!P$57)</f>
        <v>145454545.45454544</v>
      </c>
      <c r="Q8" s="450">
        <f>IF(Q$5="","",'3. Finansiering'!Q$57)</f>
        <v>138181818.1818182</v>
      </c>
      <c r="R8" s="450">
        <f>IF(R$5="","",'3. Finansiering'!R$57)</f>
        <v>130909090.9090909</v>
      </c>
      <c r="S8" s="450">
        <f>IF(S$5="","",'3. Finansiering'!S$57)</f>
        <v>123636363.63636363</v>
      </c>
      <c r="T8" s="450">
        <f>IF(T$5="","",'3. Finansiering'!T$57)</f>
        <v>116363636.36363636</v>
      </c>
      <c r="U8" s="450">
        <f>IF(U$5="","",'3. Finansiering'!U$57)</f>
        <v>109090909.0909091</v>
      </c>
      <c r="V8" s="450">
        <f>IF(V$5="","",'3. Finansiering'!V$57)</f>
        <v>101818181.81818181</v>
      </c>
      <c r="W8" s="450">
        <f>IF(W$5="","",'3. Finansiering'!W$57)</f>
        <v>94545454.54545453</v>
      </c>
      <c r="X8" s="450" t="str">
        <f>IF(X$5="","",'3. Finansiering'!X$57)</f>
        <v/>
      </c>
      <c r="Y8" s="450" t="str">
        <f>IF(Y$5="","",'3. Finansiering'!Y$57)</f>
        <v/>
      </c>
      <c r="Z8" s="450" t="str">
        <f>IF(Z$5="","",'3. Finansiering'!Z$57)</f>
        <v/>
      </c>
      <c r="AA8" s="450" t="str">
        <f>IF(AA$5="","",'3. Finansiering'!AA$57)</f>
        <v/>
      </c>
      <c r="AB8" s="450" t="str">
        <f>IF(AB$5="","",'3. Finansiering'!AB$57)</f>
        <v/>
      </c>
      <c r="AC8" s="450" t="str">
        <f>IF(AC$5="","",'3. Finansiering'!AC$57)</f>
        <v/>
      </c>
      <c r="AD8" s="450" t="str">
        <f>IF(AD$5="","",'3. Finansiering'!AD$57)</f>
        <v/>
      </c>
      <c r="AE8" s="450" t="str">
        <f>IF(AE$5="","",'3. Finansiering'!AE$57)</f>
        <v/>
      </c>
      <c r="AF8" s="450" t="str">
        <f>IF(AF$5="","",'3. Finansiering'!AF$57)</f>
        <v/>
      </c>
      <c r="AG8" s="450" t="str">
        <f>IF(AG$5="","",'3. Finansiering'!AG$57)</f>
        <v/>
      </c>
      <c r="AH8" s="450" t="str">
        <f>IF(AH$5="","",'3. Finansiering'!AH$57)</f>
        <v/>
      </c>
      <c r="AI8" s="450" t="str">
        <f>IF(AI$5="","",'3. Finansiering'!AI$57)</f>
        <v/>
      </c>
      <c r="AJ8" s="450" t="str">
        <f>IF(AJ$5="","",'3. Finansiering'!AJ$57)</f>
        <v/>
      </c>
      <c r="AK8" s="450" t="str">
        <f>IF(AK$5="","",'3. Finansiering'!AK$57)</f>
        <v/>
      </c>
      <c r="AL8" s="450" t="str">
        <f>IF(AL$5="","",'3. Finansiering'!AL$57)</f>
        <v/>
      </c>
      <c r="AM8" s="450" t="str">
        <f>IF(AM$5="","",'3. Finansiering'!AM$57)</f>
        <v/>
      </c>
      <c r="AN8" s="450" t="str">
        <f>IF(AN$5="","",'3. Finansiering'!AN$57)</f>
        <v/>
      </c>
      <c r="AO8" s="450" t="str">
        <f>IF(AO$5="","",'3. Finansiering'!AO$57)</f>
        <v/>
      </c>
      <c r="AP8" s="450" t="str">
        <f>IF(AP$5="","",'3. Finansiering'!AP$57)</f>
        <v/>
      </c>
      <c r="AQ8" s="450" t="str">
        <f>IF(AQ$5="","",'3. Finansiering'!AQ$57)</f>
        <v/>
      </c>
      <c r="AR8" s="450" t="str">
        <f>IF(AR$5="","",'3. Finansiering'!AR$57)</f>
        <v/>
      </c>
      <c r="AS8" s="450" t="str">
        <f>IF(AS$5="","",'3. Finansiering'!AS$57)</f>
        <v/>
      </c>
      <c r="AT8" s="450" t="str">
        <f>IF(AT$5="","",'3. Finansiering'!AT$57)</f>
        <v/>
      </c>
      <c r="AU8" s="450" t="str">
        <f>IF(AU$5="","",'3. Finansiering'!AU$57)</f>
        <v/>
      </c>
      <c r="AV8" s="450" t="str">
        <f>IF(AV$5="","",'3. Finansiering'!AV$57)</f>
        <v/>
      </c>
      <c r="AW8" s="450" t="str">
        <f>IF(AW$5="","",'3. Finansiering'!AW$57)</f>
        <v/>
      </c>
      <c r="AX8" s="450" t="str">
        <f>IF(AX$5="","",'3. Finansiering'!AX$57)</f>
        <v/>
      </c>
      <c r="AY8" s="450" t="str">
        <f>IF(AY$5="","",'3. Finansiering'!AY$57)</f>
        <v/>
      </c>
      <c r="AZ8" s="450" t="str">
        <f>IF(AZ$5="","",'3. Finansiering'!AZ$57)</f>
        <v/>
      </c>
      <c r="BA8" s="450" t="str">
        <f>IF(BA$5="","",'3. Finansiering'!BA$57)</f>
        <v/>
      </c>
    </row>
    <row r="9" spans="1:53" ht="15" customHeight="1">
      <c r="A9" s="181"/>
      <c r="B9" s="452" t="inlineStr">
        <is>
          <t>Återstående lån (löses rad 35)</t>
        </is>
      </c>
      <c r="C9" s="453">
        <f>ROUND((LOOKUP('2. Kalkyldata'!$P$17,'5. IRR'!$D$14:$BA$14,'5. IRR'!$D$9:BA9))/100000,0)*100000</f>
        <v>35500000.0</v>
      </c>
      <c r="D9" s="454">
        <f>IF(D$5="","",'3. Finansiering'!D$22)</f>
        <v>86135999.99999999</v>
      </c>
      <c r="E9" s="454">
        <f>IF(E$5="","",'3. Finansiering'!E$22)</f>
        <v>83471999.99999999</v>
      </c>
      <c r="F9" s="454">
        <f>IF(F$5="","",'3. Finansiering'!F$22)</f>
        <v>80807999.99999999</v>
      </c>
      <c r="G9" s="454">
        <f>IF(G$5="","",'3. Finansiering'!G$22)</f>
        <v>78143999.99999999</v>
      </c>
      <c r="H9" s="454">
        <f>IF(H$5="","",'3. Finansiering'!H$22)</f>
        <v>75479999.99999999</v>
      </c>
      <c r="I9" s="454">
        <f>IF(I$5="","",'3. Finansiering'!I$22)</f>
        <v>72815999.99999999</v>
      </c>
      <c r="J9" s="454">
        <f>IF(J$5="","",'3. Finansiering'!J$22)</f>
        <v>70151999.99999999</v>
      </c>
      <c r="K9" s="454">
        <f>IF(K$5="","",'3. Finansiering'!K$22)</f>
        <v>67487999.99999999</v>
      </c>
      <c r="L9" s="454">
        <f>IF(L$5="","",'3. Finansiering'!L$22)</f>
        <v>64823999.999999985</v>
      </c>
      <c r="M9" s="454">
        <f>IF(M$5="","",'3. Finansiering'!M$22)</f>
        <v>62159999.999999985</v>
      </c>
      <c r="N9" s="454">
        <f>IF(N$5="","",'3. Finansiering'!N$22)</f>
        <v>59495999.999999985</v>
      </c>
      <c r="O9" s="454">
        <f>IF(O$5="","",'3. Finansiering'!O$22)</f>
        <v>56831999.999999985</v>
      </c>
      <c r="P9" s="454">
        <f>IF(P$5="","",'3. Finansiering'!P$22)</f>
        <v>54167999.99999999</v>
      </c>
      <c r="Q9" s="454">
        <f>IF(Q$5="","",'3. Finansiering'!Q$22)</f>
        <v>51503999.99999999</v>
      </c>
      <c r="R9" s="454">
        <f>IF(R$5="","",'3. Finansiering'!R$22)</f>
        <v>48839999.99999999</v>
      </c>
      <c r="S9" s="454">
        <f>IF(S$5="","",'3. Finansiering'!S$22)</f>
        <v>46175999.99999999</v>
      </c>
      <c r="T9" s="454">
        <f>IF(T$5="","",'3. Finansiering'!T$22)</f>
        <v>43511999.99999999</v>
      </c>
      <c r="U9" s="454">
        <f>IF(U$5="","",'3. Finansiering'!U$22)</f>
        <v>40847999.99999999</v>
      </c>
      <c r="V9" s="454">
        <f>IF(V$5="","",'3. Finansiering'!V$22)</f>
        <v>38183999.99999999</v>
      </c>
      <c r="W9" s="454">
        <f>IF(W$5="","",'3. Finansiering'!W$22)</f>
        <v>35519999.99999999</v>
      </c>
      <c r="X9" s="454" t="str">
        <f>IF(X$5="","",'3. Finansiering'!X$22)</f>
        <v/>
      </c>
      <c r="Y9" s="454" t="str">
        <f>IF(Y$5="","",'3. Finansiering'!Y$22)</f>
        <v/>
      </c>
      <c r="Z9" s="454" t="str">
        <f>IF(Z$5="","",'3. Finansiering'!Z$22)</f>
        <v/>
      </c>
      <c r="AA9" s="454" t="str">
        <f>IF(AA$5="","",'3. Finansiering'!AA$22)</f>
        <v/>
      </c>
      <c r="AB9" s="454" t="str">
        <f>IF(AB$5="","",'3. Finansiering'!AB$22)</f>
        <v/>
      </c>
      <c r="AC9" s="454" t="str">
        <f>IF(AC$5="","",'3. Finansiering'!AC$22)</f>
        <v/>
      </c>
      <c r="AD9" s="454" t="str">
        <f>IF(AD$5="","",'3. Finansiering'!AD$22)</f>
        <v/>
      </c>
      <c r="AE9" s="454" t="str">
        <f>IF(AE$5="","",'3. Finansiering'!AE$22)</f>
        <v/>
      </c>
      <c r="AF9" s="454" t="str">
        <f>IF(AF$5="","",'3. Finansiering'!AF$22)</f>
        <v/>
      </c>
      <c r="AG9" s="454" t="str">
        <f>IF(AG$5="","",'3. Finansiering'!AG$22)</f>
        <v/>
      </c>
      <c r="AH9" s="454" t="str">
        <f>IF(AH$5="","",'3. Finansiering'!AH$22)</f>
        <v/>
      </c>
      <c r="AI9" s="454" t="str">
        <f>IF(AI$5="","",'3. Finansiering'!AI$22)</f>
        <v/>
      </c>
      <c r="AJ9" s="454" t="str">
        <f>IF(AJ$5="","",'3. Finansiering'!AJ$22)</f>
        <v/>
      </c>
      <c r="AK9" s="454" t="str">
        <f>IF(AK$5="","",'3. Finansiering'!AK$22)</f>
        <v/>
      </c>
      <c r="AL9" s="454" t="str">
        <f>IF(AL$5="","",'3. Finansiering'!AL$22)</f>
        <v/>
      </c>
      <c r="AM9" s="454" t="str">
        <f>IF(AM$5="","",'3. Finansiering'!AM$22)</f>
        <v/>
      </c>
      <c r="AN9" s="454" t="str">
        <f>IF(AN$5="","",'3. Finansiering'!AN$22)</f>
        <v/>
      </c>
      <c r="AO9" s="454" t="str">
        <f>IF(AO$5="","",'3. Finansiering'!AO$22)</f>
        <v/>
      </c>
      <c r="AP9" s="454" t="str">
        <f>IF(AP$5="","",'3. Finansiering'!AP$22)</f>
        <v/>
      </c>
      <c r="AQ9" s="454" t="str">
        <f>IF(AQ$5="","",'3. Finansiering'!AQ$22)</f>
        <v/>
      </c>
      <c r="AR9" s="454" t="str">
        <f>IF(AR$5="","",'3. Finansiering'!AR$22)</f>
        <v/>
      </c>
      <c r="AS9" s="454" t="str">
        <f>IF(AS$5="","",'3. Finansiering'!AS$22)</f>
        <v/>
      </c>
      <c r="AT9" s="454" t="str">
        <f>IF(AT$5="","",'3. Finansiering'!AT$22)</f>
        <v/>
      </c>
      <c r="AU9" s="454" t="str">
        <f>IF(AU$5="","",'3. Finansiering'!AU$22)</f>
        <v/>
      </c>
      <c r="AV9" s="454" t="str">
        <f>IF(AV$5="","",'3. Finansiering'!AV$22)</f>
        <v/>
      </c>
      <c r="AW9" s="454" t="str">
        <f>IF(AW$5="","",'3. Finansiering'!AW$22)</f>
        <v/>
      </c>
      <c r="AX9" s="454" t="str">
        <f>IF(AX$5="","",'3. Finansiering'!AX$22)</f>
        <v/>
      </c>
      <c r="AY9" s="454" t="str">
        <f>IF(AY$5="","",'3. Finansiering'!AY$22)</f>
        <v/>
      </c>
      <c r="AZ9" s="454" t="str">
        <f>IF(AZ$5="","",'3. Finansiering'!AZ$22)</f>
        <v/>
      </c>
      <c r="BA9" s="454" t="str">
        <f>IF(BA$5="","",'3. Finansiering'!BA$22)</f>
        <v/>
      </c>
    </row>
    <row r="10" spans="1:53" ht="15" customHeight="1">
      <c r="A10" s="182"/>
      <c r="B10" s="455" t="s">
        <v>420</v>
      </c>
      <c r="C10" s="912">
        <f>IF($C$11=0,($C$6*$A$6+$C$7*$A$7+$C$8*$A$8),C11)</f>
        <v>271940000.0</v>
      </c>
      <c r="D10" s="915" t="inlineStr">
        <is>
          <t>= vikt × värde, rad 6–8 (eller C11 om ifyllt). Förs in som Försäljningsvärde (rad 18) exit-året.</t>
        </is>
      </c>
      <c r="E10" s="479"/>
      <c r="F10" s="479"/>
      <c r="G10" s="479"/>
      <c r="H10" s="479"/>
      <c r="I10" s="479"/>
      <c r="J10" s="479"/>
      <c r="K10" s="479"/>
      <c r="L10" s="479"/>
      <c r="M10" s="479"/>
      <c r="N10" s="479"/>
      <c r="O10" s="479"/>
      <c r="P10" s="479"/>
      <c r="Q10" s="479"/>
      <c r="R10" s="479"/>
      <c r="S10" s="479"/>
      <c r="T10" s="479"/>
      <c r="U10" s="479"/>
      <c r="V10" s="479"/>
      <c r="W10" s="479"/>
      <c r="X10" s="479"/>
      <c r="Y10" s="479"/>
      <c r="Z10" s="479"/>
      <c r="AA10" s="479"/>
      <c r="AB10" s="479"/>
      <c r="AC10" s="479"/>
      <c r="AD10" s="479"/>
      <c r="AE10" s="479"/>
      <c r="AF10" s="479"/>
      <c r="AG10" s="479"/>
      <c r="AH10" s="479"/>
      <c r="AI10" s="479"/>
      <c r="AJ10" s="479"/>
      <c r="AK10" s="479"/>
      <c r="AL10" s="479"/>
      <c r="AM10" s="479"/>
      <c r="AN10" s="479"/>
      <c r="AO10" s="479"/>
      <c r="AP10" s="479"/>
      <c r="AQ10" s="479"/>
      <c r="AR10" s="479"/>
      <c r="AS10" s="479"/>
      <c r="AT10" s="479"/>
      <c r="AU10" s="479"/>
      <c r="AV10" s="479"/>
      <c r="AW10" s="479"/>
      <c r="AX10" s="479"/>
      <c r="AY10" s="479"/>
      <c r="AZ10" s="480"/>
      <c r="BA10" s="480"/>
    </row>
    <row r="11" spans="1:53" ht="15" customHeight="1">
      <c r="A11" s="182"/>
      <c r="B11" s="397" t="inlineStr">
        <is>
          <t>Justering av försäljningsvärde</t>
        </is>
      </c>
      <c r="C11" s="361"/>
      <c r="D11" s="917" t="inlineStr">
        <is>
          <t>← Lämnas normalt tomt. Ett belopp här ersätter exit-värdet i C10 helt – bara i undantagsfall och med motivering.</t>
        </is>
      </c>
      <c r="E11" s="481"/>
      <c r="F11" s="481"/>
      <c r="G11" s="481"/>
      <c r="H11" s="481"/>
      <c r="I11" s="481"/>
      <c r="J11" s="481"/>
      <c r="K11" s="481"/>
      <c r="L11" s="481"/>
      <c r="M11" s="481"/>
      <c r="N11" s="481"/>
      <c r="O11" s="481"/>
      <c r="P11" s="481"/>
      <c r="Q11" s="481"/>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1"/>
      <c r="AZ11" s="481"/>
      <c r="BA11" s="481"/>
    </row>
    <row r="12" spans="1:53" ht="15" customHeight="1" hidden="1">
      <c r="A12" s="182"/>
      <c r="B12" s="398"/>
      <c r="C12" s="483"/>
      <c r="D12" s="481"/>
      <c r="E12" s="481"/>
      <c r="F12" s="481"/>
      <c r="G12" s="481"/>
      <c r="H12" s="481"/>
      <c r="I12" s="481"/>
      <c r="J12" s="481"/>
      <c r="K12" s="481"/>
      <c r="L12" s="481"/>
      <c r="M12" s="481"/>
      <c r="N12" s="481"/>
      <c r="O12" s="481"/>
      <c r="P12" s="481"/>
      <c r="Q12" s="481"/>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481"/>
      <c r="AX12" s="481"/>
      <c r="AY12" s="481"/>
      <c r="AZ12" s="481"/>
      <c r="BA12" s="481"/>
    </row>
    <row r="13" spans="1:53" ht="15" customHeight="1">
      <c r="A13" s="182"/>
      <c r="B13" s="722" t="inlineStr">
        <is>
          <t>Vikter i kolumn A (summa 100 %): 0 % / 100 % / 0 % = rent marknadsvärde vid justerad direktavkastning (standard). 0 % / 40 % / 60 % = tidigare LM 371-viktning mot bokfört värde.</t>
        </is>
      </c>
      <c r="C13" s="494"/>
      <c r="D13" s="183"/>
      <c r="E13" s="183"/>
      <c r="F13" s="183"/>
      <c r="G13" s="183"/>
      <c r="H13" s="183"/>
      <c r="I13" s="183"/>
      <c r="J13" s="183"/>
      <c r="K13" s="183"/>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AK13" s="494"/>
      <c r="AL13" s="494"/>
      <c r="AM13" s="494"/>
      <c r="AN13" s="494"/>
      <c r="AO13" s="494"/>
      <c r="AP13" s="494"/>
      <c r="AQ13" s="494"/>
      <c r="AR13" s="494"/>
      <c r="AS13" s="494"/>
      <c r="AT13" s="494"/>
      <c r="AU13" s="494"/>
      <c r="AV13" s="494"/>
      <c r="AW13" s="494"/>
      <c r="AX13" s="494"/>
      <c r="AY13" s="494"/>
      <c r="AZ13" s="494"/>
      <c r="BA13" s="494"/>
    </row>
    <row r="14" spans="1:53" ht="15">
      <c r="A14" s="184"/>
      <c r="B14" s="322" t="inlineStr">
        <is>
          <t>RESULTATRÄKNING / KASSAFLÖDE</t>
        </is>
      </c>
      <c r="C14" s="322"/>
      <c r="D14" s="325">
        <f>'4. NPV'!D5</f>
        <v>1.0</v>
      </c>
      <c r="E14" s="325">
        <f>'4. NPV'!E5</f>
        <v>2.0</v>
      </c>
      <c r="F14" s="325">
        <v>3</v>
      </c>
      <c r="G14" s="325">
        <f>'4. NPV'!G5</f>
        <v>4.0</v>
      </c>
      <c r="H14" s="325">
        <f>'4. NPV'!H5</f>
        <v>5.0</v>
      </c>
      <c r="I14" s="325">
        <f>'4. NPV'!I5</f>
        <v>6.0</v>
      </c>
      <c r="J14" s="325">
        <f>'4. NPV'!J5</f>
        <v>7.0</v>
      </c>
      <c r="K14" s="325">
        <f>'4. NPV'!K5</f>
        <v>8.0</v>
      </c>
      <c r="L14" s="325">
        <f>'4. NPV'!L5</f>
        <v>9.0</v>
      </c>
      <c r="M14" s="325">
        <f>'4. NPV'!M5</f>
        <v>10.0</v>
      </c>
      <c r="N14" s="325">
        <f>'4. NPV'!N5</f>
        <v>11.0</v>
      </c>
      <c r="O14" s="325">
        <f>'4. NPV'!O5</f>
        <v>12.0</v>
      </c>
      <c r="P14" s="325">
        <f>'4. NPV'!P5</f>
        <v>13.0</v>
      </c>
      <c r="Q14" s="325">
        <f>'4. NPV'!Q5</f>
        <v>14.0</v>
      </c>
      <c r="R14" s="325">
        <f>'4. NPV'!R5</f>
        <v>15.0</v>
      </c>
      <c r="S14" s="325">
        <f>'4. NPV'!S5</f>
        <v>16.0</v>
      </c>
      <c r="T14" s="325">
        <f>'4. NPV'!T5</f>
        <v>17.0</v>
      </c>
      <c r="U14" s="325">
        <f>'4. NPV'!U5</f>
        <v>18.0</v>
      </c>
      <c r="V14" s="325">
        <f>'4. NPV'!V5</f>
        <v>19.0</v>
      </c>
      <c r="W14" s="325">
        <f>'4. NPV'!W5</f>
        <v>20.0</v>
      </c>
      <c r="X14" s="325">
        <f>'4. NPV'!X5</f>
        <v>21.0</v>
      </c>
      <c r="Y14" s="325">
        <f>'4. NPV'!Y5</f>
        <v>22.0</v>
      </c>
      <c r="Z14" s="325">
        <f>'4. NPV'!Z5</f>
        <v>23.0</v>
      </c>
      <c r="AA14" s="325">
        <f>'4. NPV'!AA5</f>
        <v>24.0</v>
      </c>
      <c r="AB14" s="325">
        <f>'4. NPV'!AB5</f>
        <v>25.0</v>
      </c>
      <c r="AC14" s="325">
        <f>'4. NPV'!AC5</f>
        <v>26.0</v>
      </c>
      <c r="AD14" s="325">
        <f>'4. NPV'!AD5</f>
        <v>27.0</v>
      </c>
      <c r="AE14" s="325">
        <f>'4. NPV'!AE5</f>
        <v>28.0</v>
      </c>
      <c r="AF14" s="325">
        <f>'4. NPV'!AF5</f>
        <v>29.0</v>
      </c>
      <c r="AG14" s="325">
        <f>'4. NPV'!AG5</f>
        <v>30.0</v>
      </c>
      <c r="AH14" s="325">
        <f>'4. NPV'!AH5</f>
        <v>31.0</v>
      </c>
      <c r="AI14" s="325">
        <f>'4. NPV'!AI5</f>
        <v>32.0</v>
      </c>
      <c r="AJ14" s="325">
        <f>'4. NPV'!AJ5</f>
        <v>33.0</v>
      </c>
      <c r="AK14" s="325">
        <f>'4. NPV'!AK5</f>
        <v>34.0</v>
      </c>
      <c r="AL14" s="325">
        <f>'4. NPV'!AL5</f>
        <v>35.0</v>
      </c>
      <c r="AM14" s="325">
        <f>'4. NPV'!AM5</f>
        <v>36.0</v>
      </c>
      <c r="AN14" s="325">
        <f>'4. NPV'!AN5</f>
        <v>37.0</v>
      </c>
      <c r="AO14" s="325">
        <f>'4. NPV'!AO5</f>
        <v>38.0</v>
      </c>
      <c r="AP14" s="325">
        <f>'4. NPV'!AP5</f>
        <v>39.0</v>
      </c>
      <c r="AQ14" s="325">
        <f>'4. NPV'!AQ5</f>
        <v>40.0</v>
      </c>
      <c r="AR14" s="325">
        <f>'4. NPV'!AR5</f>
        <v>41.0</v>
      </c>
      <c r="AS14" s="325">
        <f>'4. NPV'!AS5</f>
        <v>42.0</v>
      </c>
      <c r="AT14" s="325">
        <f>'4. NPV'!AT5</f>
        <v>43.0</v>
      </c>
      <c r="AU14" s="325">
        <f>'4. NPV'!AU5</f>
        <v>44.0</v>
      </c>
      <c r="AV14" s="325">
        <f>'4. NPV'!AV5</f>
        <v>45.0</v>
      </c>
      <c r="AW14" s="325">
        <f>'4. NPV'!AW5</f>
        <v>46.0</v>
      </c>
      <c r="AX14" s="325">
        <f>'4. NPV'!AX5</f>
        <v>47.0</v>
      </c>
      <c r="AY14" s="325">
        <f>'4. NPV'!AY5</f>
        <v>48.0</v>
      </c>
      <c r="AZ14" s="325">
        <f>'4. NPV'!AZ5</f>
        <v>49.0</v>
      </c>
      <c r="BA14" s="325">
        <f>'4. NPV'!BA5</f>
        <v>50.0</v>
      </c>
    </row>
    <row r="15" spans="1:53" ht="15">
      <c r="A15" s="19"/>
      <c r="B15" s="322" t="s">
        <v>192</v>
      </c>
      <c r="C15" s="918" t="inlineStr">
        <is>
          <t>Belopp i kr</t>
        </is>
      </c>
      <c r="D15" s="322">
        <f>IF(D$14&lt;='2. Kalkyldata'!$P$17,'3. Finansiering'!D$13,"")</f>
        <v>2026.0</v>
      </c>
      <c r="E15" s="322">
        <f>IF(E$14&lt;='2. Kalkyldata'!$P$17,'3. Finansiering'!E$13,"")</f>
        <v>2027.0</v>
      </c>
      <c r="F15" s="322">
        <f>IF(F$14&lt;='2. Kalkyldata'!$P$17,'3. Finansiering'!F$13,"")</f>
        <v>2028.0</v>
      </c>
      <c r="G15" s="322">
        <f>IF(G$14&lt;='2. Kalkyldata'!$P$17,'3. Finansiering'!G$13,"")</f>
        <v>2029.0</v>
      </c>
      <c r="H15" s="322">
        <f>IF(H$14&lt;='2. Kalkyldata'!$P$17,'3. Finansiering'!H$13,"")</f>
        <v>2030.0</v>
      </c>
      <c r="I15" s="322">
        <f>IF(I$14&lt;='2. Kalkyldata'!$P$17,'3. Finansiering'!I$13,"")</f>
        <v>2031.0</v>
      </c>
      <c r="J15" s="322">
        <f>IF(J$14&lt;='2. Kalkyldata'!$P$17,'3. Finansiering'!J$13,"")</f>
        <v>2032.0</v>
      </c>
      <c r="K15" s="322">
        <f>IF(K$14&lt;='2. Kalkyldata'!$P$17,'3. Finansiering'!K$13,"")</f>
        <v>2033.0</v>
      </c>
      <c r="L15" s="322">
        <f>IF(L$14&lt;='2. Kalkyldata'!$P$17,'3. Finansiering'!L$13,"")</f>
        <v>2034.0</v>
      </c>
      <c r="M15" s="322">
        <f>IF(M$14&lt;='2. Kalkyldata'!$P$17,'3. Finansiering'!M$13,"")</f>
        <v>2035.0</v>
      </c>
      <c r="N15" s="322">
        <f>IF(N$14&lt;='2. Kalkyldata'!$P$17,'3. Finansiering'!N$13,"")</f>
        <v>2036.0</v>
      </c>
      <c r="O15" s="322">
        <f>IF(O$14&lt;='2. Kalkyldata'!$P$17,'3. Finansiering'!O$13,"")</f>
        <v>2037.0</v>
      </c>
      <c r="P15" s="322">
        <f>IF(P$14&lt;='2. Kalkyldata'!$P$17,'3. Finansiering'!P$13,"")</f>
        <v>2038.0</v>
      </c>
      <c r="Q15" s="322">
        <f>IF(Q$14&lt;='2. Kalkyldata'!$P$17,'3. Finansiering'!Q$13,"")</f>
        <v>2039.0</v>
      </c>
      <c r="R15" s="322">
        <f>IF(R$14&lt;='2. Kalkyldata'!$P$17,'3. Finansiering'!R$13,"")</f>
        <v>2040.0</v>
      </c>
      <c r="S15" s="322">
        <f>IF(S$14&lt;='2. Kalkyldata'!$P$17,'3. Finansiering'!S$13,"")</f>
        <v>2041.0</v>
      </c>
      <c r="T15" s="322">
        <f>IF(T$14&lt;='2. Kalkyldata'!$P$17,'3. Finansiering'!T$13,"")</f>
        <v>2042.0</v>
      </c>
      <c r="U15" s="322">
        <f>IF(U$14&lt;='2. Kalkyldata'!$P$17,'3. Finansiering'!U$13,"")</f>
        <v>2043.0</v>
      </c>
      <c r="V15" s="322">
        <f>IF(V$14&lt;='2. Kalkyldata'!$P$17,'3. Finansiering'!V$13,"")</f>
        <v>2044.0</v>
      </c>
      <c r="W15" s="322">
        <f>IF(W$14&lt;='2. Kalkyldata'!$P$17,'3. Finansiering'!W$13,"")</f>
        <v>2045.0</v>
      </c>
      <c r="X15" s="322" t="str">
        <f>IF(X$14&lt;='2. Kalkyldata'!$P$17,'3. Finansiering'!X$13,"")</f>
        <v/>
      </c>
      <c r="Y15" s="322" t="str">
        <f>IF(Y$14&lt;='2. Kalkyldata'!$P$17,'3. Finansiering'!Y$13,"")</f>
        <v/>
      </c>
      <c r="Z15" s="322" t="str">
        <f>IF(Z$14&lt;='2. Kalkyldata'!$P$17,'3. Finansiering'!Z$13,"")</f>
        <v/>
      </c>
      <c r="AA15" s="322" t="str">
        <f>IF(AA$14&lt;='2. Kalkyldata'!$P$17,'3. Finansiering'!AA$13,"")</f>
        <v/>
      </c>
      <c r="AB15" s="322" t="str">
        <f>IF(AB$14&lt;='2. Kalkyldata'!$P$17,'3. Finansiering'!AB$13,"")</f>
        <v/>
      </c>
      <c r="AC15" s="322" t="str">
        <f>IF(AC$14&lt;='2. Kalkyldata'!$P$17,'3. Finansiering'!AC$13,"")</f>
        <v/>
      </c>
      <c r="AD15" s="322" t="str">
        <f>IF(AD$14&lt;='2. Kalkyldata'!$P$17,'3. Finansiering'!AD$13,"")</f>
        <v/>
      </c>
      <c r="AE15" s="322" t="str">
        <f>IF(AE$14&lt;='2. Kalkyldata'!$P$17,'3. Finansiering'!AE$13,"")</f>
        <v/>
      </c>
      <c r="AF15" s="322" t="str">
        <f>IF(AF$14&lt;='2. Kalkyldata'!$P$17,'3. Finansiering'!AF$13,"")</f>
        <v/>
      </c>
      <c r="AG15" s="322" t="str">
        <f>IF(AG$14&lt;='2. Kalkyldata'!$P$17,'3. Finansiering'!AG$13,"")</f>
        <v/>
      </c>
      <c r="AH15" s="322" t="str">
        <f>IF(AH$14&lt;='2. Kalkyldata'!$P$17,'3. Finansiering'!AH$13,"")</f>
        <v/>
      </c>
      <c r="AI15" s="322" t="str">
        <f>IF(AI$14&lt;='2. Kalkyldata'!$P$17,'3. Finansiering'!AI$13,"")</f>
        <v/>
      </c>
      <c r="AJ15" s="322" t="str">
        <f>IF(AJ$14&lt;='2. Kalkyldata'!$P$17,'3. Finansiering'!AJ$13,"")</f>
        <v/>
      </c>
      <c r="AK15" s="322" t="str">
        <f>IF(AK$14&lt;='2. Kalkyldata'!$P$17,'3. Finansiering'!AK$13,"")</f>
        <v/>
      </c>
      <c r="AL15" s="322" t="str">
        <f>IF(AL$14&lt;='2. Kalkyldata'!$P$17,'3. Finansiering'!AL$13,"")</f>
        <v/>
      </c>
      <c r="AM15" s="322" t="str">
        <f>IF(AM$14&lt;='2. Kalkyldata'!$P$17,'3. Finansiering'!AM$13,"")</f>
        <v/>
      </c>
      <c r="AN15" s="322" t="str">
        <f>IF(AN$14&lt;='2. Kalkyldata'!$P$17,'3. Finansiering'!AN$13,"")</f>
        <v/>
      </c>
      <c r="AO15" s="322" t="str">
        <f>IF(AO$14&lt;='2. Kalkyldata'!$P$17,'3. Finansiering'!AO$13,"")</f>
        <v/>
      </c>
      <c r="AP15" s="322" t="str">
        <f>IF(AP$14&lt;='2. Kalkyldata'!$P$17,'3. Finansiering'!AP$13,"")</f>
        <v/>
      </c>
      <c r="AQ15" s="322" t="str">
        <f>IF(AQ$14&lt;='2. Kalkyldata'!$P$17,'3. Finansiering'!AQ$13,"")</f>
        <v/>
      </c>
      <c r="AR15" s="322" t="str">
        <f>IF(AR$14&lt;='2. Kalkyldata'!$P$17,'3. Finansiering'!AR$13,"")</f>
        <v/>
      </c>
      <c r="AS15" s="322" t="str">
        <f>IF(AS$14&lt;='2. Kalkyldata'!$P$17,'3. Finansiering'!AS$13,"")</f>
        <v/>
      </c>
      <c r="AT15" s="322" t="str">
        <f>IF(AT$14&lt;='2. Kalkyldata'!$P$17,'3. Finansiering'!AT$13,"")</f>
        <v/>
      </c>
      <c r="AU15" s="322" t="str">
        <f>IF(AU$14&lt;='2. Kalkyldata'!$P$17,'3. Finansiering'!AU$13,"")</f>
        <v/>
      </c>
      <c r="AV15" s="322" t="str">
        <f>IF(AV$14&lt;='2. Kalkyldata'!$P$17,'3. Finansiering'!AV$13,"")</f>
        <v/>
      </c>
      <c r="AW15" s="322" t="str">
        <f>IF(AW$14&lt;='2. Kalkyldata'!$P$17,'3. Finansiering'!AW$13,"")</f>
        <v/>
      </c>
      <c r="AX15" s="322" t="str">
        <f>IF(AX$14&lt;='2. Kalkyldata'!$P$17,'3. Finansiering'!AX$13,"")</f>
        <v/>
      </c>
      <c r="AY15" s="322" t="str">
        <f>IF(AY$14&lt;='2. Kalkyldata'!$P$17,'3. Finansiering'!AY$13,"")</f>
        <v/>
      </c>
      <c r="AZ15" s="322" t="str">
        <f>IF(AZ$14&lt;='2. Kalkyldata'!$P$17,'3. Finansiering'!AZ$13,"")</f>
        <v/>
      </c>
      <c r="BA15" s="322" t="str">
        <f>IF(BA$14&lt;='2. Kalkyldata'!$P$17,'3. Finansiering'!BA$13,"")</f>
        <v/>
      </c>
    </row>
    <row r="16" spans="1:53">
      <c r="A16" s="494"/>
      <c r="B16" s="344" t="s">
        <v>80</v>
      </c>
      <c r="C16" s="920" t="inlineStr">
        <is>
          <t>(ingår ej i IRR)</t>
        </is>
      </c>
      <c r="D16" s="345">
        <f>'4. NPV'!D9</f>
        <v>-239999999.99999997</v>
      </c>
      <c r="E16" s="345">
        <f>'4. NPV'!E9</f>
        <v>-0.0</v>
      </c>
      <c r="F16" s="345">
        <f>'4. NPV'!F9</f>
        <v>-0.0</v>
      </c>
      <c r="G16" s="345">
        <f>'4. NPV'!G9</f>
        <v>-0.0</v>
      </c>
      <c r="H16" s="345">
        <f>'4. NPV'!H9</f>
        <v>-0.0</v>
      </c>
      <c r="I16" s="345">
        <f>'4. NPV'!I9</f>
        <v>-0.0</v>
      </c>
      <c r="J16" s="345">
        <f>'4. NPV'!J9</f>
        <v>-0.0</v>
      </c>
      <c r="K16" s="345">
        <f>'4. NPV'!K9</f>
        <v>-0.0</v>
      </c>
      <c r="L16" s="345">
        <f>'4. NPV'!L9</f>
        <v>-0.0</v>
      </c>
      <c r="M16" s="345">
        <f>'4. NPV'!M9</f>
        <v>-0.0</v>
      </c>
      <c r="N16" s="345">
        <f>'4. NPV'!N9</f>
        <v>-0.0</v>
      </c>
      <c r="O16" s="345">
        <f>'4. NPV'!O9</f>
        <v>-0.0</v>
      </c>
      <c r="P16" s="345">
        <f>'4. NPV'!P9</f>
        <v>-0.0</v>
      </c>
      <c r="Q16" s="345">
        <f>'4. NPV'!Q9</f>
        <v>-0.0</v>
      </c>
      <c r="R16" s="345">
        <f>'4. NPV'!R9</f>
        <v>-0.0</v>
      </c>
      <c r="S16" s="345">
        <f>'4. NPV'!S9</f>
        <v>-0.0</v>
      </c>
      <c r="T16" s="345">
        <f>'4. NPV'!T9</f>
        <v>-0.0</v>
      </c>
      <c r="U16" s="345">
        <f>'4. NPV'!U9</f>
        <v>-0.0</v>
      </c>
      <c r="V16" s="345">
        <f>'4. NPV'!V9</f>
        <v>-0.0</v>
      </c>
      <c r="W16" s="345">
        <f>'4. NPV'!W9</f>
        <v>-0.0</v>
      </c>
      <c r="X16" s="345">
        <f>'4. NPV'!X9</f>
        <v>-0.0</v>
      </c>
      <c r="Y16" s="345">
        <f>'4. NPV'!Y9</f>
        <v>-0.0</v>
      </c>
      <c r="Z16" s="345">
        <f>'4. NPV'!Z9</f>
        <v>-0.0</v>
      </c>
      <c r="AA16" s="345">
        <f>'4. NPV'!AA9</f>
        <v>-0.0</v>
      </c>
      <c r="AB16" s="345">
        <f>'4. NPV'!AB9</f>
        <v>-0.0</v>
      </c>
      <c r="AC16" s="345">
        <f>'4. NPV'!AC9</f>
        <v>-0.0</v>
      </c>
      <c r="AD16" s="345">
        <f>'4. NPV'!AD9</f>
        <v>-0.0</v>
      </c>
      <c r="AE16" s="345">
        <f>'4. NPV'!AE9</f>
        <v>-0.0</v>
      </c>
      <c r="AF16" s="345">
        <f>'4. NPV'!AF9</f>
        <v>-0.0</v>
      </c>
      <c r="AG16" s="345">
        <f>'4. NPV'!AG9</f>
        <v>-0.0</v>
      </c>
      <c r="AH16" s="345">
        <f>'4. NPV'!AH9</f>
        <v>-0.0</v>
      </c>
      <c r="AI16" s="345">
        <f>'4. NPV'!AI9</f>
        <v>-0.0</v>
      </c>
      <c r="AJ16" s="345">
        <f>'4. NPV'!AJ9</f>
        <v>-0.0</v>
      </c>
      <c r="AK16" s="345">
        <f>'4. NPV'!AK9</f>
        <v>-0.0</v>
      </c>
      <c r="AL16" s="345">
        <f>'4. NPV'!AL9</f>
        <v>-0.0</v>
      </c>
      <c r="AM16" s="345">
        <f>'4. NPV'!AM9</f>
        <v>-0.0</v>
      </c>
      <c r="AN16" s="345">
        <f>'4. NPV'!AN9</f>
        <v>-0.0</v>
      </c>
      <c r="AO16" s="345">
        <f>'4. NPV'!AO9</f>
        <v>-0.0</v>
      </c>
      <c r="AP16" s="345">
        <f>'4. NPV'!AP9</f>
        <v>-0.0</v>
      </c>
      <c r="AQ16" s="345">
        <f>'4. NPV'!AQ9</f>
        <v>-0.0</v>
      </c>
      <c r="AR16" s="345">
        <f>'4. NPV'!AR9</f>
        <v>-0.0</v>
      </c>
      <c r="AS16" s="345">
        <f>'4. NPV'!AS9</f>
        <v>-0.0</v>
      </c>
      <c r="AT16" s="345">
        <f>'4. NPV'!AT9</f>
        <v>-0.0</v>
      </c>
      <c r="AU16" s="345">
        <f>'4. NPV'!AU9</f>
        <v>-0.0</v>
      </c>
      <c r="AV16" s="345">
        <f>'4. NPV'!AV9</f>
        <v>-0.0</v>
      </c>
      <c r="AW16" s="345">
        <f>'4. NPV'!AW9</f>
        <v>-0.0</v>
      </c>
      <c r="AX16" s="345">
        <f>'4. NPV'!AX9</f>
        <v>-0.0</v>
      </c>
      <c r="AY16" s="345">
        <f>'4. NPV'!AY9</f>
        <v>-0.0</v>
      </c>
      <c r="AZ16" s="345">
        <f>'4. NPV'!AZ9</f>
        <v>-0.0</v>
      </c>
      <c r="BA16" s="345">
        <f>'4. NPV'!BA9</f>
        <v>-0.0</v>
      </c>
    </row>
    <row r="17" spans="1:53">
      <c r="A17" s="494"/>
      <c r="B17" s="227" t="s">
        <v>267</v>
      </c>
      <c r="C17" s="921" t="inlineStr">
        <is>
          <t>(ingår ej i IRR)</t>
        </is>
      </c>
      <c r="D17" s="228">
        <f>IF(D15&lt;&gt;"",IFERROR(SUM($D$16:D$16),0),0)</f>
        <v>-239999999.99999997</v>
      </c>
      <c r="E17" s="228">
        <f>IF(E15&lt;&gt;"",IFERROR(SUM($D$16:E$16),0),0)</f>
        <v>-239999999.99999997</v>
      </c>
      <c r="F17" s="228">
        <f>IF(F15&lt;&gt;"",IFERROR(SUM($D$16:F$16),0),0)</f>
        <v>-239999999.99999997</v>
      </c>
      <c r="G17" s="228">
        <f>IF(G15&lt;&gt;"",IFERROR(SUM($D$16:G$16),0),0)</f>
        <v>-239999999.99999997</v>
      </c>
      <c r="H17" s="228">
        <f>IF(H15&lt;&gt;"",IFERROR(SUM($D$16:H$16),0),0)</f>
        <v>-239999999.99999997</v>
      </c>
      <c r="I17" s="228">
        <f>IF(I15&lt;&gt;"",IFERROR(SUM($D$16:I$16),0),0)</f>
        <v>-239999999.99999997</v>
      </c>
      <c r="J17" s="228">
        <f>IF(J15&lt;&gt;"",IFERROR(SUM($D$16:J$16),0),0)</f>
        <v>-239999999.99999997</v>
      </c>
      <c r="K17" s="228">
        <f>IF(K15&lt;&gt;"",IFERROR(SUM($D$16:K$16),0),0)</f>
        <v>-239999999.99999997</v>
      </c>
      <c r="L17" s="228">
        <f>IF(L15&lt;&gt;"",IFERROR(SUM($D$16:L$16),0),0)</f>
        <v>-239999999.99999997</v>
      </c>
      <c r="M17" s="228">
        <f>IF(M15&lt;&gt;"",IFERROR(SUM($D$16:M$16),0),0)</f>
        <v>-239999999.99999997</v>
      </c>
      <c r="N17" s="228">
        <f>IF(N15&lt;&gt;"",IFERROR(SUM($D$16:N$16),0),0)</f>
        <v>-239999999.99999997</v>
      </c>
      <c r="O17" s="228">
        <f>IF(O15&lt;&gt;"",IFERROR(SUM($D$16:O$16),0),0)</f>
        <v>-239999999.99999997</v>
      </c>
      <c r="P17" s="228">
        <f>IF(P15&lt;&gt;"",IFERROR(SUM($D$16:P$16),0),0)</f>
        <v>-239999999.99999997</v>
      </c>
      <c r="Q17" s="228">
        <f>IF(Q15&lt;&gt;"",IFERROR(SUM($D$16:Q$16),0),0)</f>
        <v>-239999999.99999997</v>
      </c>
      <c r="R17" s="228">
        <f>IF(R15&lt;&gt;"",IFERROR(SUM($D$16:R$16),0),0)</f>
        <v>-239999999.99999997</v>
      </c>
      <c r="S17" s="228">
        <f>IF(S15&lt;&gt;"",IFERROR(SUM($D$16:S$16),0),0)</f>
        <v>-239999999.99999997</v>
      </c>
      <c r="T17" s="228">
        <f>IF(T15&lt;&gt;"",IFERROR(SUM($D$16:T$16),0),0)</f>
        <v>-239999999.99999997</v>
      </c>
      <c r="U17" s="228">
        <f>IF(U15&lt;&gt;"",IFERROR(SUM($D$16:U$16),0),0)</f>
        <v>-239999999.99999997</v>
      </c>
      <c r="V17" s="228">
        <f>IF(V15&lt;&gt;"",IFERROR(SUM($D$16:V$16),0),0)</f>
        <v>-239999999.99999997</v>
      </c>
      <c r="W17" s="228">
        <f>IF(W15&lt;&gt;"",IFERROR(SUM($D$16:W$16),0),0)</f>
        <v>-239999999.99999997</v>
      </c>
      <c r="X17" s="228">
        <f>IF(X15&lt;&gt;"",IFERROR(SUM($D$16:X$16),0),0)</f>
        <v>0.0</v>
      </c>
      <c r="Y17" s="228">
        <f>IF(Y15&lt;&gt;"",IFERROR(SUM($D$16:Y$16),0),0)</f>
        <v>0.0</v>
      </c>
      <c r="Z17" s="228">
        <f>IF(Z15&lt;&gt;"",IFERROR(SUM($D$16:Z$16),0),0)</f>
        <v>0.0</v>
      </c>
      <c r="AA17" s="228">
        <f>IF(AA15&lt;&gt;"",IFERROR(SUM($D$16:AA$16),0),0)</f>
        <v>0.0</v>
      </c>
      <c r="AB17" s="228">
        <f>IF(AB15&lt;&gt;"",IFERROR(SUM($D$16:AB$16),0),0)</f>
        <v>0.0</v>
      </c>
      <c r="AC17" s="228">
        <f>IF(AC15&lt;&gt;"",IFERROR(SUM($D$16:AC$16),0),0)</f>
        <v>0.0</v>
      </c>
      <c r="AD17" s="228">
        <f>IF(AD15&lt;&gt;"",IFERROR(SUM($D$16:AD$16),0),0)</f>
        <v>0.0</v>
      </c>
      <c r="AE17" s="228">
        <f>IF(AE15&lt;&gt;"",IFERROR(SUM($D$16:AE$16),0),0)</f>
        <v>0.0</v>
      </c>
      <c r="AF17" s="228">
        <f>IF(AF15&lt;&gt;"",IFERROR(SUM($D$16:AF$16),0),0)</f>
        <v>0.0</v>
      </c>
      <c r="AG17" s="228">
        <f>IF(AG15&lt;&gt;"",IFERROR(SUM($D$16:AG$16),0),0)</f>
        <v>0.0</v>
      </c>
      <c r="AH17" s="228">
        <f>IF(AH15&lt;&gt;"",IFERROR(SUM($D$16:AH$16),0),0)</f>
        <v>0.0</v>
      </c>
      <c r="AI17" s="228">
        <f>IF(AI15&lt;&gt;"",IFERROR(SUM($D$16:AI$16),0),0)</f>
        <v>0.0</v>
      </c>
      <c r="AJ17" s="228">
        <f>IF(AJ15&lt;&gt;"",IFERROR(SUM($D$16:AJ$16),0),0)</f>
        <v>0.0</v>
      </c>
      <c r="AK17" s="228">
        <f>IF(AK15&lt;&gt;"",IFERROR(SUM($D$16:AK$16),0),0)</f>
        <v>0.0</v>
      </c>
      <c r="AL17" s="228">
        <f>IF(AL15&lt;&gt;"",IFERROR(SUM($D$16:AL$16),0),0)</f>
        <v>0.0</v>
      </c>
      <c r="AM17" s="228">
        <f>IF(AM15&lt;&gt;"",IFERROR(SUM($D$16:AM$16),0),0)</f>
        <v>0.0</v>
      </c>
      <c r="AN17" s="228">
        <f>IF(AN15&lt;&gt;"",IFERROR(SUM($D$16:AN$16),0),0)</f>
        <v>0.0</v>
      </c>
      <c r="AO17" s="228">
        <f>IF(AO15&lt;&gt;"",IFERROR(SUM($D$16:AO$16),0),0)</f>
        <v>0.0</v>
      </c>
      <c r="AP17" s="228">
        <f>IF(AP15&lt;&gt;"",IFERROR(SUM($D$16:AP$16),0),0)</f>
        <v>0.0</v>
      </c>
      <c r="AQ17" s="228">
        <f>IF(AQ15&lt;&gt;"",IFERROR(SUM($D$16:AQ$16),0),0)</f>
        <v>0.0</v>
      </c>
      <c r="AR17" s="228">
        <f>IF(AR15&lt;&gt;"",IFERROR(SUM($D$16:AR$16),0),0)</f>
        <v>0.0</v>
      </c>
      <c r="AS17" s="228">
        <f>IF(AS15&lt;&gt;"",IFERROR(SUM($D$16:AS$16),0),0)</f>
        <v>0.0</v>
      </c>
      <c r="AT17" s="228">
        <f>IF(AT15&lt;&gt;"",IFERROR(SUM($D$16:AT$16),0),0)</f>
        <v>0.0</v>
      </c>
      <c r="AU17" s="228">
        <f>IF(AU15&lt;&gt;"",IFERROR(SUM($D$16:AU$16),0),0)</f>
        <v>0.0</v>
      </c>
      <c r="AV17" s="228">
        <f>IF(AV15&lt;&gt;"",IFERROR(SUM($D$16:AV$16),0),0)</f>
        <v>0.0</v>
      </c>
      <c r="AW17" s="228">
        <f>IF(AW15&lt;&gt;"",IFERROR(SUM($D$16:AW$16),0),0)</f>
        <v>0.0</v>
      </c>
      <c r="AX17" s="228">
        <f>IF(AX15&lt;&gt;"",IFERROR(SUM($D$16:AX$16),0),0)</f>
        <v>0.0</v>
      </c>
      <c r="AY17" s="228">
        <f>IF(AY15&lt;&gt;"",IFERROR(SUM($D$16:AY$16),0),0)</f>
        <v>0.0</v>
      </c>
      <c r="AZ17" s="228">
        <f>IF(AZ15&lt;&gt;"",IFERROR(SUM($D$16:AZ$16),0),0)</f>
        <v>0.0</v>
      </c>
      <c r="BA17" s="228">
        <f>IF(BA15&lt;&gt;"",IFERROR(SUM($D$16:BA$16),0),0)</f>
        <v>0.0</v>
      </c>
    </row>
    <row r="18" spans="1:53">
      <c r="A18" s="494"/>
      <c r="B18" s="415" t="s">
        <v>85</v>
      </c>
      <c r="C18" s="415"/>
      <c r="D18" s="417">
        <f t="shared" ref="D18:AI18" si="1">IF(D$14=$C$5,$C$10,0)</f>
        <v>0.0</v>
      </c>
      <c r="E18" s="417">
        <f t="shared" si="1"/>
        <v>0.0</v>
      </c>
      <c r="F18" s="417">
        <f t="shared" si="1"/>
        <v>0.0</v>
      </c>
      <c r="G18" s="417">
        <f t="shared" si="1"/>
        <v>0.0</v>
      </c>
      <c r="H18" s="417">
        <f t="shared" si="1"/>
        <v>0.0</v>
      </c>
      <c r="I18" s="417">
        <f t="shared" si="1"/>
        <v>0.0</v>
      </c>
      <c r="J18" s="417">
        <f t="shared" si="1"/>
        <v>0.0</v>
      </c>
      <c r="K18" s="417">
        <f t="shared" si="1"/>
        <v>0.0</v>
      </c>
      <c r="L18" s="417">
        <f t="shared" si="1"/>
        <v>0.0</v>
      </c>
      <c r="M18" s="417">
        <f t="shared" si="1"/>
        <v>0.0</v>
      </c>
      <c r="N18" s="417">
        <f t="shared" si="1"/>
        <v>0.0</v>
      </c>
      <c r="O18" s="417">
        <f t="shared" si="1"/>
        <v>0.0</v>
      </c>
      <c r="P18" s="417">
        <f t="shared" si="1"/>
        <v>0.0</v>
      </c>
      <c r="Q18" s="417">
        <f t="shared" si="1"/>
        <v>0.0</v>
      </c>
      <c r="R18" s="417">
        <f t="shared" si="1"/>
        <v>0.0</v>
      </c>
      <c r="S18" s="417">
        <f t="shared" si="1"/>
        <v>0.0</v>
      </c>
      <c r="T18" s="417">
        <f t="shared" si="1"/>
        <v>0.0</v>
      </c>
      <c r="U18" s="417">
        <f t="shared" si="1"/>
        <v>0.0</v>
      </c>
      <c r="V18" s="417">
        <f t="shared" si="1"/>
        <v>0.0</v>
      </c>
      <c r="W18" s="417">
        <f t="shared" si="1"/>
        <v>271940000.0</v>
      </c>
      <c r="X18" s="417">
        <f t="shared" si="1"/>
        <v>0.0</v>
      </c>
      <c r="Y18" s="417">
        <f t="shared" si="1"/>
        <v>0.0</v>
      </c>
      <c r="Z18" s="417">
        <f t="shared" si="1"/>
        <v>0.0</v>
      </c>
      <c r="AA18" s="417">
        <f t="shared" si="1"/>
        <v>0.0</v>
      </c>
      <c r="AB18" s="417">
        <f t="shared" si="1"/>
        <v>0.0</v>
      </c>
      <c r="AC18" s="417">
        <f t="shared" si="1"/>
        <v>0.0</v>
      </c>
      <c r="AD18" s="417">
        <f t="shared" si="1"/>
        <v>0.0</v>
      </c>
      <c r="AE18" s="417">
        <f t="shared" si="1"/>
        <v>0.0</v>
      </c>
      <c r="AF18" s="417">
        <f t="shared" si="1"/>
        <v>0.0</v>
      </c>
      <c r="AG18" s="417">
        <f t="shared" si="1"/>
        <v>0.0</v>
      </c>
      <c r="AH18" s="417">
        <f t="shared" si="1"/>
        <v>0.0</v>
      </c>
      <c r="AI18" s="417">
        <f t="shared" si="1"/>
        <v>0.0</v>
      </c>
      <c r="AJ18" s="417">
        <f t="shared" ref="AJ18:BA18" si="2">IF(AJ$14=$C$5,$C$10,0)</f>
        <v>0.0</v>
      </c>
      <c r="AK18" s="417">
        <f t="shared" si="2"/>
        <v>0.0</v>
      </c>
      <c r="AL18" s="417">
        <f t="shared" si="2"/>
        <v>0.0</v>
      </c>
      <c r="AM18" s="417">
        <f t="shared" si="2"/>
        <v>0.0</v>
      </c>
      <c r="AN18" s="417">
        <f t="shared" si="2"/>
        <v>0.0</v>
      </c>
      <c r="AO18" s="417">
        <f t="shared" si="2"/>
        <v>0.0</v>
      </c>
      <c r="AP18" s="417">
        <f t="shared" si="2"/>
        <v>0.0</v>
      </c>
      <c r="AQ18" s="417">
        <f t="shared" si="2"/>
        <v>0.0</v>
      </c>
      <c r="AR18" s="417">
        <f t="shared" si="2"/>
        <v>0.0</v>
      </c>
      <c r="AS18" s="417">
        <f t="shared" si="2"/>
        <v>0.0</v>
      </c>
      <c r="AT18" s="417">
        <f t="shared" si="2"/>
        <v>0.0</v>
      </c>
      <c r="AU18" s="417">
        <f t="shared" si="2"/>
        <v>0.0</v>
      </c>
      <c r="AV18" s="417">
        <f t="shared" si="2"/>
        <v>0.0</v>
      </c>
      <c r="AW18" s="417">
        <f t="shared" si="2"/>
        <v>0.0</v>
      </c>
      <c r="AX18" s="417">
        <f t="shared" si="2"/>
        <v>0.0</v>
      </c>
      <c r="AY18" s="417">
        <f t="shared" si="2"/>
        <v>0.0</v>
      </c>
      <c r="AZ18" s="417">
        <f t="shared" si="2"/>
        <v>0.0</v>
      </c>
      <c r="BA18" s="417">
        <f t="shared" si="2"/>
        <v>0.0</v>
      </c>
    </row>
    <row r="19" spans="1:53" ht="8.1" customHeight="1">
      <c r="A19" s="494"/>
      <c r="B19" s="227"/>
      <c r="C19" s="227"/>
      <c r="D19" s="228"/>
      <c r="E19" s="228"/>
      <c r="F19" s="228"/>
      <c r="G19" s="228"/>
      <c r="H19" s="228"/>
      <c r="I19" s="228"/>
      <c r="J19" s="228"/>
      <c r="K19" s="228"/>
      <c r="L19" s="228"/>
      <c r="M19" s="228"/>
      <c r="N19" s="228"/>
      <c r="O19" s="228"/>
      <c r="P19" s="228"/>
      <c r="Q19" s="228"/>
      <c r="R19" s="228"/>
      <c r="S19" s="228"/>
      <c r="T19" s="228"/>
      <c r="U19" s="228"/>
      <c r="V19" s="228"/>
      <c r="W19" s="228"/>
      <c r="X19" s="228"/>
      <c r="Y19" s="228"/>
      <c r="Z19" s="228"/>
      <c r="AA19" s="228"/>
      <c r="AB19" s="228"/>
      <c r="AC19" s="228"/>
      <c r="AD19" s="228"/>
      <c r="AE19" s="228"/>
      <c r="AF19" s="228"/>
      <c r="AG19" s="228"/>
      <c r="AH19" s="228"/>
      <c r="AI19" s="228"/>
      <c r="AJ19" s="228"/>
      <c r="AK19" s="228"/>
      <c r="AL19" s="228"/>
      <c r="AM19" s="228"/>
      <c r="AN19" s="228"/>
      <c r="AO19" s="228"/>
      <c r="AP19" s="228"/>
      <c r="AQ19" s="228"/>
      <c r="AR19" s="228"/>
      <c r="AS19" s="228"/>
      <c r="AT19" s="228"/>
      <c r="AU19" s="228"/>
      <c r="AV19" s="228"/>
      <c r="AW19" s="228"/>
      <c r="AX19" s="228"/>
      <c r="AY19" s="228"/>
      <c r="AZ19" s="228"/>
      <c r="BA19" s="228"/>
    </row>
    <row r="20" spans="1:53">
      <c r="A20" s="494"/>
      <c r="B20" s="227" t="inlineStr">
        <is>
          <t>Investering, eget kapital</t>
        </is>
      </c>
      <c r="C20" s="227"/>
      <c r="D20" s="228">
        <f>-'3. Finansiering'!D$16</f>
        <v>-151199999.99999997</v>
      </c>
      <c r="E20" s="228">
        <f>-'3. Finansiering'!E$16</f>
        <v>-0.0</v>
      </c>
      <c r="F20" s="228">
        <f>-'3. Finansiering'!F$16</f>
        <v>-0.0</v>
      </c>
      <c r="G20" s="228">
        <f>-'3. Finansiering'!G$16</f>
        <v>-0.0</v>
      </c>
      <c r="H20" s="228">
        <f>-'3. Finansiering'!H$16</f>
        <v>-0.0</v>
      </c>
      <c r="I20" s="228">
        <f>-'3. Finansiering'!I$16</f>
        <v>-0.0</v>
      </c>
      <c r="J20" s="228">
        <f>-'3. Finansiering'!J$16</f>
        <v>-0.0</v>
      </c>
      <c r="K20" s="228">
        <f>-'3. Finansiering'!K$16</f>
        <v>-0.0</v>
      </c>
      <c r="L20" s="228">
        <f>-'3. Finansiering'!L$16</f>
        <v>-0.0</v>
      </c>
      <c r="M20" s="228">
        <f>-'3. Finansiering'!M$16</f>
        <v>-0.0</v>
      </c>
      <c r="N20" s="228">
        <f>-'3. Finansiering'!N$16</f>
        <v>-0.0</v>
      </c>
      <c r="O20" s="228">
        <f>-'3. Finansiering'!O$16</f>
        <v>-0.0</v>
      </c>
      <c r="P20" s="228">
        <f>-'3. Finansiering'!P$16</f>
        <v>-0.0</v>
      </c>
      <c r="Q20" s="228">
        <f>-'3. Finansiering'!Q$16</f>
        <v>-0.0</v>
      </c>
      <c r="R20" s="228">
        <f>-'3. Finansiering'!R$16</f>
        <v>-0.0</v>
      </c>
      <c r="S20" s="228">
        <f>-'3. Finansiering'!S$16</f>
        <v>-0.0</v>
      </c>
      <c r="T20" s="228">
        <f>-'3. Finansiering'!T$16</f>
        <v>-0.0</v>
      </c>
      <c r="U20" s="228">
        <f>-'3. Finansiering'!U$16</f>
        <v>-0.0</v>
      </c>
      <c r="V20" s="228">
        <f>-'3. Finansiering'!V$16</f>
        <v>-0.0</v>
      </c>
      <c r="W20" s="228">
        <f>-'3. Finansiering'!W$16</f>
        <v>-0.0</v>
      </c>
      <c r="X20" s="228">
        <f>-'3. Finansiering'!X$16</f>
        <v>-0.0</v>
      </c>
      <c r="Y20" s="228">
        <f>-'3. Finansiering'!Y$16</f>
        <v>-0.0</v>
      </c>
      <c r="Z20" s="228">
        <f>-'3. Finansiering'!Z$16</f>
        <v>-0.0</v>
      </c>
      <c r="AA20" s="228">
        <f>-'3. Finansiering'!AA$16</f>
        <v>-0.0</v>
      </c>
      <c r="AB20" s="228">
        <f>-'3. Finansiering'!AB$16</f>
        <v>-0.0</v>
      </c>
      <c r="AC20" s="228">
        <f>-'3. Finansiering'!AC$16</f>
        <v>-0.0</v>
      </c>
      <c r="AD20" s="228">
        <f>-'3. Finansiering'!AD$16</f>
        <v>-0.0</v>
      </c>
      <c r="AE20" s="228">
        <f>-'3. Finansiering'!AE$16</f>
        <v>-0.0</v>
      </c>
      <c r="AF20" s="228">
        <f>-'3. Finansiering'!AF$16</f>
        <v>-0.0</v>
      </c>
      <c r="AG20" s="228">
        <f>-'3. Finansiering'!AG$16</f>
        <v>-0.0</v>
      </c>
      <c r="AH20" s="228">
        <f>-'3. Finansiering'!AH$16</f>
        <v>-0.0</v>
      </c>
      <c r="AI20" s="228">
        <f>-'3. Finansiering'!AI$16</f>
        <v>-0.0</v>
      </c>
      <c r="AJ20" s="228">
        <f>-'3. Finansiering'!AJ$16</f>
        <v>-0.0</v>
      </c>
      <c r="AK20" s="228">
        <f>-'3. Finansiering'!AK$16</f>
        <v>-0.0</v>
      </c>
      <c r="AL20" s="228">
        <f>-'3. Finansiering'!AL$16</f>
        <v>-0.0</v>
      </c>
      <c r="AM20" s="228">
        <f>-'3. Finansiering'!AM$16</f>
        <v>-0.0</v>
      </c>
      <c r="AN20" s="228">
        <f>-'3. Finansiering'!AN$16</f>
        <v>-0.0</v>
      </c>
      <c r="AO20" s="228">
        <f>-'3. Finansiering'!AO$16</f>
        <v>-0.0</v>
      </c>
      <c r="AP20" s="228">
        <f>-'3. Finansiering'!AP$16</f>
        <v>-0.0</v>
      </c>
      <c r="AQ20" s="228">
        <f>-'3. Finansiering'!AQ$16</f>
        <v>-0.0</v>
      </c>
      <c r="AR20" s="228">
        <f>-'3. Finansiering'!AR$16</f>
        <v>-0.0</v>
      </c>
      <c r="AS20" s="228">
        <f>-'3. Finansiering'!AS$16</f>
        <v>-0.0</v>
      </c>
      <c r="AT20" s="228">
        <f>-'3. Finansiering'!AT$16</f>
        <v>-0.0</v>
      </c>
      <c r="AU20" s="228">
        <f>-'3. Finansiering'!AU$16</f>
        <v>-0.0</v>
      </c>
      <c r="AV20" s="228">
        <f>-'3. Finansiering'!AV$16</f>
        <v>-0.0</v>
      </c>
      <c r="AW20" s="228">
        <f>-'3. Finansiering'!AW$16</f>
        <v>-0.0</v>
      </c>
      <c r="AX20" s="228">
        <f>-'3. Finansiering'!AX$16</f>
        <v>-0.0</v>
      </c>
      <c r="AY20" s="228">
        <f>-'3. Finansiering'!AY$16</f>
        <v>-0.0</v>
      </c>
      <c r="AZ20" s="228">
        <f>-'3. Finansiering'!AZ$16</f>
        <v>-0.0</v>
      </c>
      <c r="BA20" s="228">
        <f>-'3. Finansiering'!BA$16</f>
        <v>-0.0</v>
      </c>
    </row>
    <row r="21" spans="1:53">
      <c r="A21" s="494"/>
      <c r="B21" s="227" t="inlineStr">
        <is>
          <t>Bokfört värde – projektbelastning (avskrivning)</t>
        </is>
      </c>
      <c r="C21" s="227"/>
      <c r="D21" s="228">
        <f>-'2. Kalkyldata'!$AA$28</f>
        <v>-0.0</v>
      </c>
      <c r="E21" s="228"/>
      <c r="F21" s="228"/>
      <c r="G21" s="228"/>
      <c r="H21" s="228"/>
      <c r="I21" s="228"/>
      <c r="J21" s="228"/>
      <c r="K21" s="228"/>
      <c r="L21" s="228"/>
      <c r="M21" s="228"/>
      <c r="N21" s="228"/>
      <c r="O21" s="228"/>
      <c r="P21" s="228"/>
      <c r="Q21" s="228"/>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8"/>
      <c r="AO21" s="228"/>
      <c r="AP21" s="228"/>
      <c r="AQ21" s="228"/>
      <c r="AR21" s="228"/>
      <c r="AS21" s="228"/>
      <c r="AT21" s="228"/>
      <c r="AU21" s="228"/>
      <c r="AV21" s="228"/>
      <c r="AW21" s="228"/>
      <c r="AX21" s="228"/>
      <c r="AY21" s="228"/>
      <c r="AZ21" s="228"/>
      <c r="BA21" s="228"/>
    </row>
    <row r="22" spans="1:53" ht="8.1" customHeight="1">
      <c r="A22" s="494"/>
      <c r="B22" s="227"/>
      <c r="C22" s="227"/>
      <c r="D22" s="227"/>
      <c r="E22" s="227"/>
      <c r="F22" s="227"/>
      <c r="G22" s="227"/>
      <c r="H22" s="227"/>
      <c r="I22" s="227"/>
      <c r="J22" s="227"/>
      <c r="K22" s="227"/>
      <c r="L22" s="227"/>
      <c r="M22" s="227"/>
      <c r="N22" s="227"/>
      <c r="O22" s="227"/>
      <c r="P22" s="227"/>
      <c r="Q22" s="227"/>
      <c r="R22" s="227"/>
      <c r="S22" s="227"/>
      <c r="T22" s="227"/>
      <c r="U22" s="227"/>
      <c r="V22" s="227"/>
      <c r="W22" s="227"/>
      <c r="X22" s="227"/>
      <c r="Y22" s="227"/>
      <c r="Z22" s="227"/>
      <c r="AA22" s="227"/>
      <c r="AB22" s="227"/>
      <c r="AC22" s="227"/>
      <c r="AD22" s="227"/>
      <c r="AE22" s="227"/>
      <c r="AF22" s="227"/>
      <c r="AG22" s="227"/>
      <c r="AH22" s="227"/>
      <c r="AI22" s="227"/>
      <c r="AJ22" s="227"/>
      <c r="AK22" s="227"/>
      <c r="AL22" s="227"/>
      <c r="AM22" s="227"/>
      <c r="AN22" s="227"/>
      <c r="AO22" s="227"/>
      <c r="AP22" s="227"/>
      <c r="AQ22" s="227"/>
      <c r="AR22" s="227"/>
      <c r="AS22" s="227"/>
      <c r="AT22" s="227"/>
      <c r="AU22" s="227"/>
      <c r="AV22" s="227"/>
      <c r="AW22" s="227"/>
      <c r="AX22" s="227"/>
      <c r="AY22" s="227"/>
      <c r="AZ22" s="227"/>
      <c r="BA22" s="227"/>
    </row>
    <row r="23" spans="1:53" ht="15">
      <c r="A23" s="19"/>
      <c r="B23" s="412" t="inlineStr">
        <is>
          <t>Driftnetto tillkommande (4. NPV)</t>
        </is>
      </c>
      <c r="C23" s="412"/>
      <c r="D23" s="414">
        <f>IFERROR(IF(D15="","",'4. NPV'!D$71),0)</f>
        <v>13694500.0</v>
      </c>
      <c r="E23" s="414">
        <f>IFERROR(IF(E15="","",'4. NPV'!E$71),0)</f>
        <v>13871400.0</v>
      </c>
      <c r="F23" s="414">
        <f>IFERROR(IF(F15="","",'4. NPV'!F$71),0)</f>
        <v>14050480.14</v>
      </c>
      <c r="G23" s="414">
        <f>IFERROR(IF(G15="","",'4. NPV'!G$71),0)</f>
        <v>14231765.012759998</v>
      </c>
      <c r="H23" s="414">
        <f>IFERROR(IF(H15="","",'4. NPV'!H$71),0)</f>
        <v>14415279.43675464</v>
      </c>
      <c r="I23" s="414">
        <f>IFERROR(IF(I15="","",'4. NPV'!I$71),0)</f>
        <v>14601048.456961526</v>
      </c>
      <c r="J23" s="414">
        <f>IFERROR(IF(J15="","",'4. NPV'!J$71),0)</f>
        <v>14789097.34561315</v>
      </c>
      <c r="K23" s="414">
        <f>IFERROR(IF(K15="","",'4. NPV'!K$71),0)</f>
        <v>14979451.60291099</v>
      </c>
      <c r="L23" s="414">
        <f>IFERROR(IF(L15="","",'4. NPV'!L$71),0)</f>
        <v>15172136.957700178</v>
      </c>
      <c r="M23" s="414">
        <f>IFERROR(IF(M15="","",'4. NPV'!M$71),0)</f>
        <v>15367179.368103383</v>
      </c>
      <c r="N23" s="414">
        <f>IFERROR(IF(N15="","",'4. NPV'!N$71),0)</f>
        <v>15564605.02211214</v>
      </c>
      <c r="O23" s="414">
        <f>IFERROR(IF(O15="","",'4. NPV'!O$71),0)</f>
        <v>15764440.338134129</v>
      </c>
      <c r="P23" s="414">
        <f>IFERROR(IF(P15="","",'4. NPV'!P$71),0)</f>
        <v>15966711.965494674</v>
      </c>
      <c r="Q23" s="414">
        <f>IFERROR(IF(Q15="","",'4. NPV'!Q$71),0)</f>
        <v>16171446.784890799</v>
      </c>
      <c r="R23" s="414">
        <f>IFERROR(IF(R15="","",'4. NPV'!R$71),0)</f>
        <v>16378671.908796053</v>
      </c>
      <c r="S23" s="414">
        <f>IFERROR(IF(S15="","",'4. NPV'!S$71),0)</f>
        <v>16588414.68181432</v>
      </c>
      <c r="T23" s="414">
        <f>IFERROR(IF(T15="","",'4. NPV'!T$71),0)</f>
        <v>16800702.68098074</v>
      </c>
      <c r="U23" s="414">
        <f>IFERROR(IF(U15="","",'4. NPV'!U$71),0)</f>
        <v>17015563.71600791</v>
      </c>
      <c r="V23" s="414">
        <f>IFERROR(IF(V15="","",'4. NPV'!V$71),0)</f>
        <v>17233025.829475332</v>
      </c>
      <c r="W23" s="414">
        <f>IFERROR(IF(W15="","",'4. NPV'!W$71),0)</f>
        <v>17453117.296960164</v>
      </c>
      <c r="X23" s="414" t="str">
        <f>IFERROR(IF(X15="","",'4. NPV'!X$71),0)</f>
        <v/>
      </c>
      <c r="Y23" s="414" t="str">
        <f>IFERROR(IF(Y15="","",'4. NPV'!Y$71),0)</f>
        <v/>
      </c>
      <c r="Z23" s="414" t="str">
        <f>IFERROR(IF(Z15="","",'4. NPV'!Z$71),0)</f>
        <v/>
      </c>
      <c r="AA23" s="414" t="str">
        <f>IFERROR(IF(AA15="","",'4. NPV'!AA$71),0)</f>
        <v/>
      </c>
      <c r="AB23" s="414" t="str">
        <f>IFERROR(IF(AB15="","",'4. NPV'!AB$71),0)</f>
        <v/>
      </c>
      <c r="AC23" s="414" t="str">
        <f>IFERROR(IF(AC15="","",'4. NPV'!AC$71),0)</f>
        <v/>
      </c>
      <c r="AD23" s="414" t="str">
        <f>IFERROR(IF(AD15="","",'4. NPV'!AD$71),0)</f>
        <v/>
      </c>
      <c r="AE23" s="414" t="str">
        <f>IFERROR(IF(AE15="","",'4. NPV'!AE$71),0)</f>
        <v/>
      </c>
      <c r="AF23" s="414" t="str">
        <f>IFERROR(IF(AF15="","",'4. NPV'!AF$71),0)</f>
        <v/>
      </c>
      <c r="AG23" s="414" t="str">
        <f>IFERROR(IF(AG15="","",'4. NPV'!AG$71),0)</f>
        <v/>
      </c>
      <c r="AH23" s="414" t="str">
        <f>IFERROR(IF(AH15="","",'4. NPV'!AH$71),0)</f>
        <v/>
      </c>
      <c r="AI23" s="414" t="str">
        <f>IFERROR(IF(AI15="","",'4. NPV'!AI$71),0)</f>
        <v/>
      </c>
      <c r="AJ23" s="414" t="str">
        <f>IFERROR(IF(AJ15="","",'4. NPV'!AJ$71),0)</f>
        <v/>
      </c>
      <c r="AK23" s="414" t="str">
        <f>IFERROR(IF(AK15="","",'4. NPV'!AK$71),0)</f>
        <v/>
      </c>
      <c r="AL23" s="414" t="str">
        <f>IFERROR(IF(AL15="","",'4. NPV'!AL$71),0)</f>
        <v/>
      </c>
      <c r="AM23" s="414" t="str">
        <f>IFERROR(IF(AM15="","",'4. NPV'!AM$71),0)</f>
        <v/>
      </c>
      <c r="AN23" s="414" t="str">
        <f>IFERROR(IF(AN15="","",'4. NPV'!AN$71),0)</f>
        <v/>
      </c>
      <c r="AO23" s="414" t="str">
        <f>IFERROR(IF(AO15="","",'4. NPV'!AO$71),0)</f>
        <v/>
      </c>
      <c r="AP23" s="414" t="str">
        <f>IFERROR(IF(AP15="","",'4. NPV'!AP$71),0)</f>
        <v/>
      </c>
      <c r="AQ23" s="414" t="str">
        <f>IFERROR(IF(AQ15="","",'4. NPV'!AQ$71),0)</f>
        <v/>
      </c>
      <c r="AR23" s="414" t="str">
        <f>IFERROR(IF(AR15="","",'4. NPV'!AR$71),0)</f>
        <v/>
      </c>
      <c r="AS23" s="414" t="str">
        <f>IFERROR(IF(AS15="","",'4. NPV'!AS$71),0)</f>
        <v/>
      </c>
      <c r="AT23" s="414" t="str">
        <f>IFERROR(IF(AT15="","",'4. NPV'!AT$71),0)</f>
        <v/>
      </c>
      <c r="AU23" s="414" t="str">
        <f>IFERROR(IF(AU15="","",'4. NPV'!AU$71),0)</f>
        <v/>
      </c>
      <c r="AV23" s="414" t="str">
        <f>IFERROR(IF(AV15="","",'4. NPV'!AV$71),0)</f>
        <v/>
      </c>
      <c r="AW23" s="414" t="str">
        <f>IFERROR(IF(AW15="","",'4. NPV'!AW$71),0)</f>
        <v/>
      </c>
      <c r="AX23" s="414" t="str">
        <f>IFERROR(IF(AX15="","",'4. NPV'!AX$71),0)</f>
        <v/>
      </c>
      <c r="AY23" s="414" t="str">
        <f>IFERROR(IF(AY15="","",'4. NPV'!AY$71),0)</f>
        <v/>
      </c>
      <c r="AZ23" s="414" t="str">
        <f>IFERROR(IF(AZ15="","",'4. NPV'!AZ$71),0)</f>
        <v/>
      </c>
      <c r="BA23" s="414" t="str">
        <f>IFERROR(IF(BA15="","",'4. NPV'!BA$71),0)</f>
        <v/>
      </c>
    </row>
    <row r="24" spans="1:53" ht="15">
      <c r="A24" s="19"/>
      <c r="B24" s="227" t="s">
        <v>133</v>
      </c>
      <c r="C24" s="226"/>
      <c r="D24" s="228">
        <f>-IF(AND('2. Kalkyldata'!$Q$11&lt;='5. IRR'!D15,'2. Kalkyldata'!$R$11&gt;'5. IRR'!D15),'2. Kalkyldata'!$P$11,0)</f>
        <v>-0.0</v>
      </c>
      <c r="E24" s="228">
        <f>-IF(AND('2. Kalkyldata'!$Q$11&lt;='5. IRR'!E15,'2. Kalkyldata'!$R$11&gt;'5. IRR'!E15),'2. Kalkyldata'!$P$11,0)</f>
        <v>-0.0</v>
      </c>
      <c r="F24" s="228">
        <f>-IF(AND('2. Kalkyldata'!$Q$11&lt;='5. IRR'!F15,'2. Kalkyldata'!$R$11&gt;'5. IRR'!F15),'2. Kalkyldata'!$P$11,0)</f>
        <v>-0.0</v>
      </c>
      <c r="G24" s="228">
        <f>-IF(AND('2. Kalkyldata'!$Q$11&lt;='5. IRR'!G15,'2. Kalkyldata'!$R$11&gt;'5. IRR'!G15),'2. Kalkyldata'!$P$11,0)</f>
        <v>-0.0</v>
      </c>
      <c r="H24" s="228">
        <f>-IF(AND('2. Kalkyldata'!$Q$11&lt;='5. IRR'!H15,'2. Kalkyldata'!$R$11&gt;'5. IRR'!H15),'2. Kalkyldata'!$P$11,0)</f>
        <v>-0.0</v>
      </c>
      <c r="I24" s="228">
        <f>-IF(AND('2. Kalkyldata'!$Q$11&lt;='5. IRR'!I15,'2. Kalkyldata'!$R$11&gt;'5. IRR'!I15),'2. Kalkyldata'!$P$11,0)</f>
        <v>-0.0</v>
      </c>
      <c r="J24" s="228">
        <f>-IF(AND('2. Kalkyldata'!$Q$11&lt;='5. IRR'!J15,'2. Kalkyldata'!$R$11&gt;'5. IRR'!J15),'2. Kalkyldata'!$P$11,0)</f>
        <v>-0.0</v>
      </c>
      <c r="K24" s="228">
        <f>-IF(AND('2. Kalkyldata'!$Q$11&lt;='5. IRR'!K15,'2. Kalkyldata'!$R$11&gt;'5. IRR'!K15),'2. Kalkyldata'!$P$11,0)</f>
        <v>-0.0</v>
      </c>
      <c r="L24" s="228">
        <f>-IF(AND('2. Kalkyldata'!$Q$11&lt;='5. IRR'!L15,'2. Kalkyldata'!$R$11&gt;'5. IRR'!L15),'2. Kalkyldata'!$P$11,0)</f>
        <v>-0.0</v>
      </c>
      <c r="M24" s="228">
        <f>-IF(AND('2. Kalkyldata'!$Q$11&lt;='5. IRR'!M15,'2. Kalkyldata'!$R$11&gt;'5. IRR'!M15),'2. Kalkyldata'!$P$11,0)</f>
        <v>-0.0</v>
      </c>
      <c r="N24" s="228">
        <f>-IF(AND('2. Kalkyldata'!$Q$11&lt;='5. IRR'!N15,'2. Kalkyldata'!$R$11&gt;'5. IRR'!N15),'2. Kalkyldata'!$P$11,0)</f>
        <v>-0.0</v>
      </c>
      <c r="O24" s="228">
        <f>-IF(AND('2. Kalkyldata'!$Q$11&lt;='5. IRR'!O15,'2. Kalkyldata'!$R$11&gt;'5. IRR'!O15),'2. Kalkyldata'!$P$11,0)</f>
        <v>-0.0</v>
      </c>
      <c r="P24" s="228">
        <f>-IF(AND('2. Kalkyldata'!$Q$11&lt;='5. IRR'!P15,'2. Kalkyldata'!$R$11&gt;'5. IRR'!P15),'2. Kalkyldata'!$P$11,0)</f>
        <v>-0.0</v>
      </c>
      <c r="Q24" s="228">
        <f>-IF(AND('2. Kalkyldata'!$Q$11&lt;='5. IRR'!Q15,'2. Kalkyldata'!$R$11&gt;'5. IRR'!Q15),'2. Kalkyldata'!$P$11,0)</f>
        <v>-0.0</v>
      </c>
      <c r="R24" s="228">
        <f>-IF(AND('2. Kalkyldata'!$Q$11&lt;='5. IRR'!R15,'2. Kalkyldata'!$R$11&gt;'5. IRR'!R15),'2. Kalkyldata'!$P$11,0)</f>
        <v>-0.0</v>
      </c>
      <c r="S24" s="228">
        <f>-IF(AND('2. Kalkyldata'!$Q$11&lt;='5. IRR'!S15,'2. Kalkyldata'!$R$11&gt;'5. IRR'!S15),'2. Kalkyldata'!$P$11,0)</f>
        <v>-0.0</v>
      </c>
      <c r="T24" s="228">
        <f>-IF(AND('2. Kalkyldata'!$Q$11&lt;='5. IRR'!T15,'2. Kalkyldata'!$R$11&gt;'5. IRR'!T15),'2. Kalkyldata'!$P$11,0)</f>
        <v>-0.0</v>
      </c>
      <c r="U24" s="228">
        <f>-IF(AND('2. Kalkyldata'!$Q$11&lt;='5. IRR'!U15,'2. Kalkyldata'!$R$11&gt;'5. IRR'!U15),'2. Kalkyldata'!$P$11,0)</f>
        <v>-0.0</v>
      </c>
      <c r="V24" s="228">
        <f>-IF(AND('2. Kalkyldata'!$Q$11&lt;='5. IRR'!V15,'2. Kalkyldata'!$R$11&gt;'5. IRR'!V15),'2. Kalkyldata'!$P$11,0)</f>
        <v>-0.0</v>
      </c>
      <c r="W24" s="228">
        <f>-IF(AND('2. Kalkyldata'!$Q$11&lt;='5. IRR'!W15,'2. Kalkyldata'!$R$11&gt;'5. IRR'!W15),'2. Kalkyldata'!$P$11,0)</f>
        <v>-0.0</v>
      </c>
      <c r="X24" s="228">
        <f>-IF(AND('2. Kalkyldata'!$Q$11&lt;='5. IRR'!X15,'2. Kalkyldata'!$R$11&gt;'5. IRR'!X15),'2. Kalkyldata'!$P$11,0)</f>
        <v>-0.0</v>
      </c>
      <c r="Y24" s="228">
        <f>-IF(AND('2. Kalkyldata'!$Q$11&lt;='5. IRR'!Y15,'2. Kalkyldata'!$R$11&gt;'5. IRR'!Y15),'2. Kalkyldata'!$P$11,0)</f>
        <v>-0.0</v>
      </c>
      <c r="Z24" s="228">
        <f>-IF(AND('2. Kalkyldata'!$Q$11&lt;='5. IRR'!Z15,'2. Kalkyldata'!$R$11&gt;'5. IRR'!Z15),'2. Kalkyldata'!$P$11,0)</f>
        <v>-0.0</v>
      </c>
      <c r="AA24" s="228">
        <f>-IF(AND('2. Kalkyldata'!$Q$11&lt;='5. IRR'!AA15,'2. Kalkyldata'!$R$11&gt;'5. IRR'!AA15),'2. Kalkyldata'!$P$11,0)</f>
        <v>-0.0</v>
      </c>
      <c r="AB24" s="228">
        <f>-IF(AND('2. Kalkyldata'!$Q$11&lt;='5. IRR'!AB15,'2. Kalkyldata'!$R$11&gt;'5. IRR'!AB15),'2. Kalkyldata'!$P$11,0)</f>
        <v>-0.0</v>
      </c>
      <c r="AC24" s="228">
        <f>-IF(AND('2. Kalkyldata'!$Q$11&lt;='5. IRR'!AC15,'2. Kalkyldata'!$R$11&gt;'5. IRR'!AC15),'2. Kalkyldata'!$P$11,0)</f>
        <v>-0.0</v>
      </c>
      <c r="AD24" s="228">
        <f>-IF(AND('2. Kalkyldata'!$Q$11&lt;='5. IRR'!AD15,'2. Kalkyldata'!$R$11&gt;'5. IRR'!AD15),'2. Kalkyldata'!$P$11,0)</f>
        <v>-0.0</v>
      </c>
      <c r="AE24" s="228">
        <f>-IF(AND('2. Kalkyldata'!$Q$11&lt;='5. IRR'!AE15,'2. Kalkyldata'!$R$11&gt;'5. IRR'!AE15),'2. Kalkyldata'!$P$11,0)</f>
        <v>-0.0</v>
      </c>
      <c r="AF24" s="228">
        <f>-IF(AND('2. Kalkyldata'!$Q$11&lt;='5. IRR'!AF15,'2. Kalkyldata'!$R$11&gt;'5. IRR'!AF15),'2. Kalkyldata'!$P$11,0)</f>
        <v>-0.0</v>
      </c>
      <c r="AG24" s="228">
        <f>-IF(AND('2. Kalkyldata'!$Q$11&lt;='5. IRR'!AG15,'2. Kalkyldata'!$R$11&gt;'5. IRR'!AG15),'2. Kalkyldata'!$P$11,0)</f>
        <v>-0.0</v>
      </c>
      <c r="AH24" s="228">
        <f>-IF(AND('2. Kalkyldata'!$Q$11&lt;='5. IRR'!AH15,'2. Kalkyldata'!$R$11&gt;'5. IRR'!AH15),'2. Kalkyldata'!$P$11,0)</f>
        <v>-0.0</v>
      </c>
      <c r="AI24" s="228">
        <f>-IF(AND('2. Kalkyldata'!$Q$11&lt;='5. IRR'!AI15,'2. Kalkyldata'!$R$11&gt;'5. IRR'!AI15),'2. Kalkyldata'!$P$11,0)</f>
        <v>-0.0</v>
      </c>
      <c r="AJ24" s="228">
        <f>-IF(AND('2. Kalkyldata'!$Q$11&lt;='5. IRR'!AJ15,'2. Kalkyldata'!$R$11&gt;'5. IRR'!AJ15),'2. Kalkyldata'!$P$11,0)</f>
        <v>-0.0</v>
      </c>
      <c r="AK24" s="228">
        <f>-IF(AND('2. Kalkyldata'!$Q$11&lt;='5. IRR'!AK15,'2. Kalkyldata'!$R$11&gt;'5. IRR'!AK15),'2. Kalkyldata'!$P$11,0)</f>
        <v>-0.0</v>
      </c>
      <c r="AL24" s="228">
        <f>-IF(AND('2. Kalkyldata'!$Q$11&lt;='5. IRR'!AL15,'2. Kalkyldata'!$R$11&gt;'5. IRR'!AL15),'2. Kalkyldata'!$P$11,0)</f>
        <v>-0.0</v>
      </c>
      <c r="AM24" s="228">
        <f>-IF(AND('2. Kalkyldata'!$Q$11&lt;='5. IRR'!AM15,'2. Kalkyldata'!$R$11&gt;'5. IRR'!AM15),'2. Kalkyldata'!$P$11,0)</f>
        <v>-0.0</v>
      </c>
      <c r="AN24" s="228">
        <f>-IF(AND('2. Kalkyldata'!$Q$11&lt;='5. IRR'!AN15,'2. Kalkyldata'!$R$11&gt;'5. IRR'!AN15),'2. Kalkyldata'!$P$11,0)</f>
        <v>-0.0</v>
      </c>
      <c r="AO24" s="228">
        <f>-IF(AND('2. Kalkyldata'!$Q$11&lt;='5. IRR'!AO15,'2. Kalkyldata'!$R$11&gt;'5. IRR'!AO15),'2. Kalkyldata'!$P$11,0)</f>
        <v>-0.0</v>
      </c>
      <c r="AP24" s="228">
        <f>-IF(AND('2. Kalkyldata'!$Q$11&lt;='5. IRR'!AP15,'2. Kalkyldata'!$R$11&gt;'5. IRR'!AP15),'2. Kalkyldata'!$P$11,0)</f>
        <v>-0.0</v>
      </c>
      <c r="AQ24" s="228">
        <f>-IF(AND('2. Kalkyldata'!$Q$11&lt;='5. IRR'!AQ15,'2. Kalkyldata'!$R$11&gt;'5. IRR'!AQ15),'2. Kalkyldata'!$P$11,0)</f>
        <v>-0.0</v>
      </c>
      <c r="AR24" s="228">
        <f>-IF(AND('2. Kalkyldata'!$Q$11&lt;='5. IRR'!AR15,'2. Kalkyldata'!$R$11&gt;'5. IRR'!AR15),'2. Kalkyldata'!$P$11,0)</f>
        <v>-0.0</v>
      </c>
      <c r="AS24" s="228">
        <f>-IF(AND('2. Kalkyldata'!$Q$11&lt;='5. IRR'!AS15,'2. Kalkyldata'!$R$11&gt;'5. IRR'!AS15),'2. Kalkyldata'!$P$11,0)</f>
        <v>-0.0</v>
      </c>
      <c r="AT24" s="228">
        <f>-IF(AND('2. Kalkyldata'!$Q$11&lt;='5. IRR'!AT15,'2. Kalkyldata'!$R$11&gt;'5. IRR'!AT15),'2. Kalkyldata'!$P$11,0)</f>
        <v>-0.0</v>
      </c>
      <c r="AU24" s="228">
        <f>-IF(AND('2. Kalkyldata'!$Q$11&lt;='5. IRR'!AU15,'2. Kalkyldata'!$R$11&gt;'5. IRR'!AU15),'2. Kalkyldata'!$P$11,0)</f>
        <v>-0.0</v>
      </c>
      <c r="AV24" s="228">
        <f>-IF(AND('2. Kalkyldata'!$Q$11&lt;='5. IRR'!AV15,'2. Kalkyldata'!$R$11&gt;'5. IRR'!AV15),'2. Kalkyldata'!$P$11,0)</f>
        <v>-0.0</v>
      </c>
      <c r="AW24" s="228">
        <f>-IF(AND('2. Kalkyldata'!$Q$11&lt;='5. IRR'!AW15,'2. Kalkyldata'!$R$11&gt;'5. IRR'!AW15),'2. Kalkyldata'!$P$11,0)</f>
        <v>-0.0</v>
      </c>
      <c r="AX24" s="228">
        <f>-IF(AND('2. Kalkyldata'!$Q$11&lt;='5. IRR'!AX15,'2. Kalkyldata'!$R$11&gt;'5. IRR'!AX15),'2. Kalkyldata'!$P$11,0)</f>
        <v>-0.0</v>
      </c>
      <c r="AY24" s="228">
        <f>-IF(AND('2. Kalkyldata'!$Q$11&lt;='5. IRR'!AY15,'2. Kalkyldata'!$R$11&gt;'5. IRR'!AY15),'2. Kalkyldata'!$P$11,0)</f>
        <v>-0.0</v>
      </c>
      <c r="AZ24" s="228">
        <f>-IF(AND('2. Kalkyldata'!$Q$11&lt;='5. IRR'!AZ15,'2. Kalkyldata'!$R$11&gt;'5. IRR'!AZ15),'2. Kalkyldata'!$P$11,0)</f>
        <v>-0.0</v>
      </c>
      <c r="BA24" s="228">
        <f>-IF(AND('2. Kalkyldata'!$Q$11&lt;='5. IRR'!BA15,'2. Kalkyldata'!$R$11&gt;'5. IRR'!BA15),'2. Kalkyldata'!$P$11,0)</f>
        <v>-0.0</v>
      </c>
    </row>
    <row r="25" spans="1:53" ht="15">
      <c r="A25" s="19"/>
      <c r="B25" s="227" t="s">
        <v>137</v>
      </c>
      <c r="C25" s="226"/>
      <c r="D25" s="228">
        <f>IF(AND('2. Kalkyldata'!$Q$12&lt;='5. IRR'!D15,'2. Kalkyldata'!$R$12&gt;'5. IRR'!D15),'2. Kalkyldata'!$P$12,0)</f>
        <v>0.0</v>
      </c>
      <c r="E25" s="228">
        <f>IF(AND('2. Kalkyldata'!$Q$12&lt;='5. IRR'!E15,'2. Kalkyldata'!$R$12&gt;'5. IRR'!E15),'2. Kalkyldata'!$P$12,0)</f>
        <v>0.0</v>
      </c>
      <c r="F25" s="228">
        <f>IF(AND('2. Kalkyldata'!$Q$12&lt;='5. IRR'!F15,'2. Kalkyldata'!$R$12&gt;'5. IRR'!F15),'2. Kalkyldata'!$P$12,0)</f>
        <v>0.0</v>
      </c>
      <c r="G25" s="228">
        <f>IF(AND('2. Kalkyldata'!$Q$12&lt;='5. IRR'!G15,'2. Kalkyldata'!$R$12&gt;'5. IRR'!G15),'2. Kalkyldata'!$P$12,0)</f>
        <v>0.0</v>
      </c>
      <c r="H25" s="228">
        <f>IF(AND('2. Kalkyldata'!$Q$12&lt;='5. IRR'!H15,'2. Kalkyldata'!$R$12&gt;'5. IRR'!H15),'2. Kalkyldata'!$P$12,0)</f>
        <v>0.0</v>
      </c>
      <c r="I25" s="228">
        <f>IF(AND('2. Kalkyldata'!$Q$12&lt;='5. IRR'!I15,'2. Kalkyldata'!$R$12&gt;'5. IRR'!I15),'2. Kalkyldata'!$P$12,0)</f>
        <v>0.0</v>
      </c>
      <c r="J25" s="228">
        <f>IF(AND('2. Kalkyldata'!$Q$12&lt;='5. IRR'!J15,'2. Kalkyldata'!$R$12&gt;'5. IRR'!J15),'2. Kalkyldata'!$P$12,0)</f>
        <v>0.0</v>
      </c>
      <c r="K25" s="228">
        <f>IF(AND('2. Kalkyldata'!$Q$12&lt;='5. IRR'!K15,'2. Kalkyldata'!$R$12&gt;'5. IRR'!K15),'2. Kalkyldata'!$P$12,0)</f>
        <v>0.0</v>
      </c>
      <c r="L25" s="228">
        <f>IF(AND('2. Kalkyldata'!$Q$12&lt;='5. IRR'!L15,'2. Kalkyldata'!$R$12&gt;'5. IRR'!L15),'2. Kalkyldata'!$P$12,0)</f>
        <v>0.0</v>
      </c>
      <c r="M25" s="228">
        <f>IF(AND('2. Kalkyldata'!$Q$12&lt;='5. IRR'!M15,'2. Kalkyldata'!$R$12&gt;'5. IRR'!M15),'2. Kalkyldata'!$P$12,0)</f>
        <v>0.0</v>
      </c>
      <c r="N25" s="228">
        <f>IF(AND('2. Kalkyldata'!$Q$12&lt;='5. IRR'!N15,'2. Kalkyldata'!$R$12&gt;'5. IRR'!N15),'2. Kalkyldata'!$P$12,0)</f>
        <v>0.0</v>
      </c>
      <c r="O25" s="228">
        <f>IF(AND('2. Kalkyldata'!$Q$12&lt;='5. IRR'!O15,'2. Kalkyldata'!$R$12&gt;'5. IRR'!O15),'2. Kalkyldata'!$P$12,0)</f>
        <v>0.0</v>
      </c>
      <c r="P25" s="228">
        <f>IF(AND('2. Kalkyldata'!$Q$12&lt;='5. IRR'!P15,'2. Kalkyldata'!$R$12&gt;'5. IRR'!P15),'2. Kalkyldata'!$P$12,0)</f>
        <v>0.0</v>
      </c>
      <c r="Q25" s="228">
        <f>IF(AND('2. Kalkyldata'!$Q$12&lt;='5. IRR'!Q15,'2. Kalkyldata'!$R$12&gt;'5. IRR'!Q15),'2. Kalkyldata'!$P$12,0)</f>
        <v>0.0</v>
      </c>
      <c r="R25" s="228">
        <f>IF(AND('2. Kalkyldata'!$Q$12&lt;='5. IRR'!R15,'2. Kalkyldata'!$R$12&gt;'5. IRR'!R15),'2. Kalkyldata'!$P$12,0)</f>
        <v>0.0</v>
      </c>
      <c r="S25" s="228">
        <f>IF(AND('2. Kalkyldata'!$Q$12&lt;='5. IRR'!S15,'2. Kalkyldata'!$R$12&gt;'5. IRR'!S15),'2. Kalkyldata'!$P$12,0)</f>
        <v>0.0</v>
      </c>
      <c r="T25" s="228">
        <f>IF(AND('2. Kalkyldata'!$Q$12&lt;='5. IRR'!T15,'2. Kalkyldata'!$R$12&gt;'5. IRR'!T15),'2. Kalkyldata'!$P$12,0)</f>
        <v>0.0</v>
      </c>
      <c r="U25" s="228">
        <f>IF(AND('2. Kalkyldata'!$Q$12&lt;='5. IRR'!U15,'2. Kalkyldata'!$R$12&gt;'5. IRR'!U15),'2. Kalkyldata'!$P$12,0)</f>
        <v>0.0</v>
      </c>
      <c r="V25" s="228">
        <f>IF(AND('2. Kalkyldata'!$Q$12&lt;='5. IRR'!V15,'2. Kalkyldata'!$R$12&gt;'5. IRR'!V15),'2. Kalkyldata'!$P$12,0)</f>
        <v>0.0</v>
      </c>
      <c r="W25" s="228">
        <f>IF(AND('2. Kalkyldata'!$Q$12&lt;='5. IRR'!W15,'2. Kalkyldata'!$R$12&gt;'5. IRR'!W15),'2. Kalkyldata'!$P$12,0)</f>
        <v>0.0</v>
      </c>
      <c r="X25" s="228">
        <f>IF(AND('2. Kalkyldata'!$Q$12&lt;='5. IRR'!X15,'2. Kalkyldata'!$R$12&gt;'5. IRR'!X15),'2. Kalkyldata'!$P$12,0)</f>
        <v>0.0</v>
      </c>
      <c r="Y25" s="228">
        <f>IF(AND('2. Kalkyldata'!$Q$12&lt;='5. IRR'!Y15,'2. Kalkyldata'!$R$12&gt;'5. IRR'!Y15),'2. Kalkyldata'!$P$12,0)</f>
        <v>0.0</v>
      </c>
      <c r="Z25" s="228">
        <f>IF(AND('2. Kalkyldata'!$Q$12&lt;='5. IRR'!Z15,'2. Kalkyldata'!$R$12&gt;'5. IRR'!Z15),'2. Kalkyldata'!$P$12,0)</f>
        <v>0.0</v>
      </c>
      <c r="AA25" s="228">
        <f>IF(AND('2. Kalkyldata'!$Q$12&lt;='5. IRR'!AA15,'2. Kalkyldata'!$R$12&gt;'5. IRR'!AA15),'2. Kalkyldata'!$P$12,0)</f>
        <v>0.0</v>
      </c>
      <c r="AB25" s="228">
        <f>IF(AND('2. Kalkyldata'!$Q$12&lt;='5. IRR'!AB15,'2. Kalkyldata'!$R$12&gt;'5. IRR'!AB15),'2. Kalkyldata'!$P$12,0)</f>
        <v>0.0</v>
      </c>
      <c r="AC25" s="228">
        <f>IF(AND('2. Kalkyldata'!$Q$12&lt;='5. IRR'!AC15,'2. Kalkyldata'!$R$12&gt;'5. IRR'!AC15),'2. Kalkyldata'!$P$12,0)</f>
        <v>0.0</v>
      </c>
      <c r="AD25" s="228">
        <f>IF(AND('2. Kalkyldata'!$Q$12&lt;='5. IRR'!AD15,'2. Kalkyldata'!$R$12&gt;'5. IRR'!AD15),'2. Kalkyldata'!$P$12,0)</f>
        <v>0.0</v>
      </c>
      <c r="AE25" s="228">
        <f>IF(AND('2. Kalkyldata'!$Q$12&lt;='5. IRR'!AE15,'2. Kalkyldata'!$R$12&gt;'5. IRR'!AE15),'2. Kalkyldata'!$P$12,0)</f>
        <v>0.0</v>
      </c>
      <c r="AF25" s="228">
        <f>IF(AND('2. Kalkyldata'!$Q$12&lt;='5. IRR'!AF15,'2. Kalkyldata'!$R$12&gt;'5. IRR'!AF15),'2. Kalkyldata'!$P$12,0)</f>
        <v>0.0</v>
      </c>
      <c r="AG25" s="228">
        <f>IF(AND('2. Kalkyldata'!$Q$12&lt;='5. IRR'!AG15,'2. Kalkyldata'!$R$12&gt;'5. IRR'!AG15),'2. Kalkyldata'!$P$12,0)</f>
        <v>0.0</v>
      </c>
      <c r="AH25" s="228">
        <f>IF(AND('2. Kalkyldata'!$Q$12&lt;='5. IRR'!AH15,'2. Kalkyldata'!$R$12&gt;'5. IRR'!AH15),'2. Kalkyldata'!$P$12,0)</f>
        <v>0.0</v>
      </c>
      <c r="AI25" s="228">
        <f>IF(AND('2. Kalkyldata'!$Q$12&lt;='5. IRR'!AI15,'2. Kalkyldata'!$R$12&gt;'5. IRR'!AI15),'2. Kalkyldata'!$P$12,0)</f>
        <v>0.0</v>
      </c>
      <c r="AJ25" s="228">
        <f>IF(AND('2. Kalkyldata'!$Q$12&lt;='5. IRR'!AJ15,'2. Kalkyldata'!$R$12&gt;'5. IRR'!AJ15),'2. Kalkyldata'!$P$12,0)</f>
        <v>0.0</v>
      </c>
      <c r="AK25" s="228">
        <f>IF(AND('2. Kalkyldata'!$Q$12&lt;='5. IRR'!AK15,'2. Kalkyldata'!$R$12&gt;'5. IRR'!AK15),'2. Kalkyldata'!$P$12,0)</f>
        <v>0.0</v>
      </c>
      <c r="AL25" s="228">
        <f>IF(AND('2. Kalkyldata'!$Q$12&lt;='5. IRR'!AL15,'2. Kalkyldata'!$R$12&gt;'5. IRR'!AL15),'2. Kalkyldata'!$P$12,0)</f>
        <v>0.0</v>
      </c>
      <c r="AM25" s="228">
        <f>IF(AND('2. Kalkyldata'!$Q$12&lt;='5. IRR'!AM15,'2. Kalkyldata'!$R$12&gt;'5. IRR'!AM15),'2. Kalkyldata'!$P$12,0)</f>
        <v>0.0</v>
      </c>
      <c r="AN25" s="228">
        <f>IF(AND('2. Kalkyldata'!$Q$12&lt;='5. IRR'!AN15,'2. Kalkyldata'!$R$12&gt;'5. IRR'!AN15),'2. Kalkyldata'!$P$12,0)</f>
        <v>0.0</v>
      </c>
      <c r="AO25" s="228">
        <f>IF(AND('2. Kalkyldata'!$Q$12&lt;='5. IRR'!AO15,'2. Kalkyldata'!$R$12&gt;'5. IRR'!AO15),'2. Kalkyldata'!$P$12,0)</f>
        <v>0.0</v>
      </c>
      <c r="AP25" s="228">
        <f>IF(AND('2. Kalkyldata'!$Q$12&lt;='5. IRR'!AP15,'2. Kalkyldata'!$R$12&gt;'5. IRR'!AP15),'2. Kalkyldata'!$P$12,0)</f>
        <v>0.0</v>
      </c>
      <c r="AQ25" s="228">
        <f>IF(AND('2. Kalkyldata'!$Q$12&lt;='5. IRR'!AQ15,'2. Kalkyldata'!$R$12&gt;'5. IRR'!AQ15),'2. Kalkyldata'!$P$12,0)</f>
        <v>0.0</v>
      </c>
      <c r="AR25" s="228">
        <f>IF(AND('2. Kalkyldata'!$Q$12&lt;='5. IRR'!AR15,'2. Kalkyldata'!$R$12&gt;'5. IRR'!AR15),'2. Kalkyldata'!$P$12,0)</f>
        <v>0.0</v>
      </c>
      <c r="AS25" s="228">
        <f>IF(AND('2. Kalkyldata'!$Q$12&lt;='5. IRR'!AS15,'2. Kalkyldata'!$R$12&gt;'5. IRR'!AS15),'2. Kalkyldata'!$P$12,0)</f>
        <v>0.0</v>
      </c>
      <c r="AT25" s="228">
        <f>IF(AND('2. Kalkyldata'!$Q$12&lt;='5. IRR'!AT15,'2. Kalkyldata'!$R$12&gt;'5. IRR'!AT15),'2. Kalkyldata'!$P$12,0)</f>
        <v>0.0</v>
      </c>
      <c r="AU25" s="228">
        <f>IF(AND('2. Kalkyldata'!$Q$12&lt;='5. IRR'!AU15,'2. Kalkyldata'!$R$12&gt;'5. IRR'!AU15),'2. Kalkyldata'!$P$12,0)</f>
        <v>0.0</v>
      </c>
      <c r="AV25" s="228">
        <f>IF(AND('2. Kalkyldata'!$Q$12&lt;='5. IRR'!AV15,'2. Kalkyldata'!$R$12&gt;'5. IRR'!AV15),'2. Kalkyldata'!$P$12,0)</f>
        <v>0.0</v>
      </c>
      <c r="AW25" s="228">
        <f>IF(AND('2. Kalkyldata'!$Q$12&lt;='5. IRR'!AW15,'2. Kalkyldata'!$R$12&gt;'5. IRR'!AW15),'2. Kalkyldata'!$P$12,0)</f>
        <v>0.0</v>
      </c>
      <c r="AX25" s="228">
        <f>IF(AND('2. Kalkyldata'!$Q$12&lt;='5. IRR'!AX15,'2. Kalkyldata'!$R$12&gt;'5. IRR'!AX15),'2. Kalkyldata'!$P$12,0)</f>
        <v>0.0</v>
      </c>
      <c r="AY25" s="228">
        <f>IF(AND('2. Kalkyldata'!$Q$12&lt;='5. IRR'!AY15,'2. Kalkyldata'!$R$12&gt;'5. IRR'!AY15),'2. Kalkyldata'!$P$12,0)</f>
        <v>0.0</v>
      </c>
      <c r="AZ25" s="228">
        <f>IF(AND('2. Kalkyldata'!$Q$12&lt;='5. IRR'!AZ15,'2. Kalkyldata'!$R$12&gt;'5. IRR'!AZ15),'2. Kalkyldata'!$P$12,0)</f>
        <v>0.0</v>
      </c>
      <c r="BA25" s="228">
        <f>IF(AND('2. Kalkyldata'!$Q$12&lt;='5. IRR'!BA15,'2. Kalkyldata'!$R$12&gt;'5. IRR'!BA15),'2. Kalkyldata'!$P$12,0)</f>
        <v>0.0</v>
      </c>
    </row>
    <row r="26" spans="1:53">
      <c r="A26" s="494"/>
      <c r="B26" s="227" t="s">
        <v>143</v>
      </c>
      <c r="C26" s="227"/>
      <c r="D26" s="228">
        <f>IF(D15="",0,-'2. Kalkyldata'!$P$14*('4. NPV'!D$8-'4. NPV'!D$65))</f>
        <v>-488000.0</v>
      </c>
      <c r="E26" s="228">
        <f>IF(E15="",0,-'2. Kalkyldata'!$P$14*('4. NPV'!E$8-'4. NPV'!E$65))*(1+'2. Kalkyldata'!$M$9)^('5. IRR'!E14-1)</f>
        <v>-497760.0</v>
      </c>
      <c r="F26" s="228">
        <f>IF(F15="",0,-'2. Kalkyldata'!$P$14*('4. NPV'!F$8-'4. NPV'!F$65))*(1+'2. Kalkyldata'!$M$9)^('5. IRR'!F14-1)</f>
        <v>-507715.2</v>
      </c>
      <c r="G26" s="228">
        <f>IF(G15="",0,-'2. Kalkyldata'!$P$14*('4. NPV'!G$8-'4. NPV'!G$65))*(1+'2. Kalkyldata'!$M$9)^('5. IRR'!G14-1)</f>
        <v>-517869.5040000001</v>
      </c>
      <c r="H26" s="228">
        <f>IF(H15="",0,-'2. Kalkyldata'!$P$14*('4. NPV'!H$8-'4. NPV'!H$65))*(1+'2. Kalkyldata'!$M$9)^('5. IRR'!H14-1)</f>
        <v>-528226.89408</v>
      </c>
      <c r="I26" s="228">
        <f>IF(I15="",0,-'2. Kalkyldata'!$P$14*('4. NPV'!I$8-'4. NPV'!I$65))*(1+'2. Kalkyldata'!$M$9)^('5. IRR'!I14-1)</f>
        <v>-538791.4319616</v>
      </c>
      <c r="J26" s="228">
        <f>IF(J15="",0,-'2. Kalkyldata'!$P$14*('4. NPV'!J$8-'4. NPV'!J$65))*(1+'2. Kalkyldata'!$M$9)^('5. IRR'!J14-1)</f>
        <v>-549567.260600832</v>
      </c>
      <c r="K26" s="228">
        <f>IF(K15="",0,-'2. Kalkyldata'!$P$14*('4. NPV'!K$8-'4. NPV'!K$65))*(1+'2. Kalkyldata'!$M$9)^('5. IRR'!K14-1)</f>
        <v>-560558.6058128487</v>
      </c>
      <c r="L26" s="228">
        <f>IF(L15="",0,-'2. Kalkyldata'!$P$14*('4. NPV'!L$8-'4. NPV'!L$65))*(1+'2. Kalkyldata'!$M$9)^('5. IRR'!L14-1)</f>
        <v>-571769.7779291057</v>
      </c>
      <c r="M26" s="228">
        <f>IF(M15="",0,-'2. Kalkyldata'!$P$14*('4. NPV'!M$8-'4. NPV'!M$65))*(1+'2. Kalkyldata'!$M$9)^('5. IRR'!M14-1)</f>
        <v>-583205.1734876878</v>
      </c>
      <c r="N26" s="228">
        <f>IF(N15="",0,-'2. Kalkyldata'!$P$14*('4. NPV'!N$8-'4. NPV'!N$65))*(1+'2. Kalkyldata'!$M$9)^('5. IRR'!N14-1)</f>
        <v>-594869.2769574416</v>
      </c>
      <c r="O26" s="228">
        <f>IF(O15="",0,-'2. Kalkyldata'!$P$14*('4. NPV'!O$8-'4. NPV'!O$65))*(1+'2. Kalkyldata'!$M$9)^('5. IRR'!O14-1)</f>
        <v>-606766.6624965904</v>
      </c>
      <c r="P26" s="228">
        <f>IF(P15="",0,-'2. Kalkyldata'!$P$14*('4. NPV'!P$8-'4. NPV'!P$65))*(1+'2. Kalkyldata'!$M$9)^('5. IRR'!P14-1)</f>
        <v>-618901.9957465222</v>
      </c>
      <c r="Q26" s="228">
        <f>IF(Q15="",0,-'2. Kalkyldata'!$P$14*('4. NPV'!Q$8-'4. NPV'!Q$65))*(1+'2. Kalkyldata'!$M$9)^('5. IRR'!Q14-1)</f>
        <v>-631280.0356614527</v>
      </c>
      <c r="R26" s="228">
        <f>IF(R15="",0,-'2. Kalkyldata'!$P$14*('4. NPV'!R$8-'4. NPV'!R$65))*(1+'2. Kalkyldata'!$M$9)^('5. IRR'!R14-1)</f>
        <v>-643905.6363746817</v>
      </c>
      <c r="S26" s="228">
        <f>IF(S15="",0,-'2. Kalkyldata'!$P$14*('4. NPV'!S$8-'4. NPV'!S$65))*(1+'2. Kalkyldata'!$M$9)^('5. IRR'!S14-1)</f>
        <v>-656783.7491021754</v>
      </c>
      <c r="T26" s="228">
        <f>IF(T15="",0,-'2. Kalkyldata'!$P$14*('4. NPV'!T$8-'4. NPV'!T$65))*(1+'2. Kalkyldata'!$M$9)^('5. IRR'!T14-1)</f>
        <v>-669919.4240842189</v>
      </c>
      <c r="U26" s="228">
        <f>IF(U15="",0,-'2. Kalkyldata'!$P$14*('4. NPV'!U$8-'4. NPV'!U$65))*(1+'2. Kalkyldata'!$M$9)^('5. IRR'!U14-1)</f>
        <v>-683317.8125659033</v>
      </c>
      <c r="V26" s="228">
        <f>IF(V15="",0,-'2. Kalkyldata'!$P$14*('4. NPV'!V$8-'4. NPV'!V$65))*(1+'2. Kalkyldata'!$M$9)^('5. IRR'!V14-1)</f>
        <v>-696984.1688172214</v>
      </c>
      <c r="W26" s="228">
        <f>IF(W15="",0,-'2. Kalkyldata'!$P$14*('4. NPV'!W$8-'4. NPV'!W$65))*(1+'2. Kalkyldata'!$M$9)^('5. IRR'!W14-1)</f>
        <v>-710923.8521935658</v>
      </c>
      <c r="X26" s="228">
        <f>IF(X15="",0,-'2. Kalkyldata'!$P$14*('4. NPV'!X$8-'4. NPV'!X$65))*(1+'2. Kalkyldata'!$M$9)^('5. IRR'!X14-1)</f>
        <v>0.0</v>
      </c>
      <c r="Y26" s="228">
        <f>IF(Y15="",0,-'2. Kalkyldata'!$P$14*('4. NPV'!Y$8-'4. NPV'!Y$65))*(1+'2. Kalkyldata'!$M$9)^('5. IRR'!Y14-1)</f>
        <v>0.0</v>
      </c>
      <c r="Z26" s="228">
        <f>IF(Z15="",0,-'2. Kalkyldata'!$P$14*('4. NPV'!Z$8-'4. NPV'!Z$65))*(1+'2. Kalkyldata'!$M$9)^('5. IRR'!Z14-1)</f>
        <v>0.0</v>
      </c>
      <c r="AA26" s="228">
        <f>IF(AA15="",0,-'2. Kalkyldata'!$P$14*('4. NPV'!AA$8-'4. NPV'!AA$65))*(1+'2. Kalkyldata'!$M$9)^('5. IRR'!AA14-1)</f>
        <v>0.0</v>
      </c>
      <c r="AB26" s="228">
        <f>IF(AB15="",0,-'2. Kalkyldata'!$P$14*('4. NPV'!AB$8-'4. NPV'!AB$65))*(1+'2. Kalkyldata'!$M$9)^('5. IRR'!AB14-1)</f>
        <v>0.0</v>
      </c>
      <c r="AC26" s="228">
        <f>IF(AC15="",0,-'2. Kalkyldata'!$P$14*('4. NPV'!AC$8-'4. NPV'!AC$65))*(1+'2. Kalkyldata'!$M$9)^('5. IRR'!AC14-1)</f>
        <v>0.0</v>
      </c>
      <c r="AD26" s="228">
        <f>IF(AD15="",0,-'2. Kalkyldata'!$P$14*('4. NPV'!AD$8-'4. NPV'!AD$65))*(1+'2. Kalkyldata'!$M$9)^('5. IRR'!AD14-1)</f>
        <v>0.0</v>
      </c>
      <c r="AE26" s="228">
        <f>IF(AE15="",0,-'2. Kalkyldata'!$P$14*('4. NPV'!AE$8-'4. NPV'!AE$65))*(1+'2. Kalkyldata'!$M$9)^('5. IRR'!AE14-1)</f>
        <v>0.0</v>
      </c>
      <c r="AF26" s="228">
        <f>IF(AF15="",0,-'2. Kalkyldata'!$P$14*('4. NPV'!AF$8-'4. NPV'!AF$65))*(1+'2. Kalkyldata'!$M$9)^('5. IRR'!AF14-1)</f>
        <v>0.0</v>
      </c>
      <c r="AG26" s="228">
        <f>IF(AG15="",0,-'2. Kalkyldata'!$P$14*('4. NPV'!AG$8-'4. NPV'!AG$65))*(1+'2. Kalkyldata'!$M$9)^('5. IRR'!AG14-1)</f>
        <v>0.0</v>
      </c>
      <c r="AH26" s="228">
        <f>IF(AH15="",0,-'2. Kalkyldata'!$P$14*('4. NPV'!AH$8-'4. NPV'!AH$65))*(1+'2. Kalkyldata'!$M$9)^('5. IRR'!AH14-1)</f>
        <v>0.0</v>
      </c>
      <c r="AI26" s="228">
        <f>IF(AI15="",0,-'2. Kalkyldata'!$P$14*('4. NPV'!AI$8-'4. NPV'!AI$65))*(1+'2. Kalkyldata'!$M$9)^('5. IRR'!AI14-1)</f>
        <v>0.0</v>
      </c>
      <c r="AJ26" s="228">
        <f>IF(AJ15="",0,-'2. Kalkyldata'!$P$14*('4. NPV'!AJ$8-'4. NPV'!AJ$65))*(1+'2. Kalkyldata'!$M$9)^('5. IRR'!AJ14-1)</f>
        <v>0.0</v>
      </c>
      <c r="AK26" s="228">
        <f>IF(AK15="",0,-'2. Kalkyldata'!$P$14*('4. NPV'!AK$8-'4. NPV'!AK$65))*(1+'2. Kalkyldata'!$M$9)^('5. IRR'!AK14-1)</f>
        <v>0.0</v>
      </c>
      <c r="AL26" s="228">
        <f>IF(AL15="",0,-'2. Kalkyldata'!$P$14*('4. NPV'!AL$8-'4. NPV'!AL$65))*(1+'2. Kalkyldata'!$M$9)^('5. IRR'!AL14-1)</f>
        <v>0.0</v>
      </c>
      <c r="AM26" s="228">
        <f>IF(AM15="",0,-'2. Kalkyldata'!$P$14*('4. NPV'!AM$8-'4. NPV'!AM$65))*(1+'2. Kalkyldata'!$M$9)^('5. IRR'!AM14-1)</f>
        <v>0.0</v>
      </c>
      <c r="AN26" s="228">
        <f>IF(AN15="",0,-'2. Kalkyldata'!$P$14*('4. NPV'!AN$8-'4. NPV'!AN$65))*(1+'2. Kalkyldata'!$M$9)^('5. IRR'!AN14-1)</f>
        <v>0.0</v>
      </c>
      <c r="AO26" s="228">
        <f>IF(AO15="",0,-'2. Kalkyldata'!$P$14*('4. NPV'!AO$8-'4. NPV'!AO$65))*(1+'2. Kalkyldata'!$M$9)^('5. IRR'!AO14-1)</f>
        <v>0.0</v>
      </c>
      <c r="AP26" s="228">
        <f>IF(AP15="",0,-'2. Kalkyldata'!$P$14*('4. NPV'!AP$8-'4. NPV'!AP$65))*(1+'2. Kalkyldata'!$M$9)^('5. IRR'!AP14-1)</f>
        <v>0.0</v>
      </c>
      <c r="AQ26" s="228">
        <f>IF(AQ15="",0,-'2. Kalkyldata'!$P$14*('4. NPV'!AQ$8-'4. NPV'!AQ$65))*(1+'2. Kalkyldata'!$M$9)^('5. IRR'!AQ14-1)</f>
        <v>0.0</v>
      </c>
      <c r="AR26" s="228">
        <f>IF(AR15="",0,-'2. Kalkyldata'!$P$14*('4. NPV'!AR$8-'4. NPV'!AR$65))*(1+'2. Kalkyldata'!$M$9)^('5. IRR'!AR14-1)</f>
        <v>0.0</v>
      </c>
      <c r="AS26" s="228">
        <f>IF(AS15="",0,-'2. Kalkyldata'!$P$14*('4. NPV'!AS$8-'4. NPV'!AS$65))*(1+'2. Kalkyldata'!$M$9)^('5. IRR'!AS14-1)</f>
        <v>0.0</v>
      </c>
      <c r="AT26" s="228">
        <f>IF(AT15="",0,-'2. Kalkyldata'!$P$14*('4. NPV'!AT$8-'4. NPV'!AT$65))*(1+'2. Kalkyldata'!$M$9)^('5. IRR'!AT14-1)</f>
        <v>0.0</v>
      </c>
      <c r="AU26" s="228">
        <f>IF(AU15="",0,-'2. Kalkyldata'!$P$14*('4. NPV'!AU$8-'4. NPV'!AU$65))*(1+'2. Kalkyldata'!$M$9)^('5. IRR'!AU14-1)</f>
        <v>0.0</v>
      </c>
      <c r="AV26" s="228">
        <f>IF(AV15="",0,-'2. Kalkyldata'!$P$14*('4. NPV'!AV$8-'4. NPV'!AV$65))*(1+'2. Kalkyldata'!$M$9)^('5. IRR'!AV14-1)</f>
        <v>0.0</v>
      </c>
      <c r="AW26" s="228">
        <f>IF(AW15="",0,-'2. Kalkyldata'!$P$14*('4. NPV'!AW$8-'4. NPV'!AW$65))*(1+'2. Kalkyldata'!$M$9)^('5. IRR'!AW14-1)</f>
        <v>0.0</v>
      </c>
      <c r="AX26" s="228">
        <f>IF(AX15="",0,-'2. Kalkyldata'!$P$14*('4. NPV'!AX$8-'4. NPV'!AX$65))*(1+'2. Kalkyldata'!$M$9)^('5. IRR'!AX14-1)</f>
        <v>0.0</v>
      </c>
      <c r="AY26" s="228">
        <f>IF(AY15="",0,-'2. Kalkyldata'!$P$14*('4. NPV'!AY$8-'4. NPV'!AY$65))*(1+'2. Kalkyldata'!$M$9)^('5. IRR'!AY14-1)</f>
        <v>0.0</v>
      </c>
      <c r="AZ26" s="228">
        <f>IF(AZ15="",0,-'2. Kalkyldata'!$P$14*('4. NPV'!AZ$8-'4. NPV'!AZ$65))*(1+'2. Kalkyldata'!$M$9)^('5. IRR'!AZ14-1)</f>
        <v>0.0</v>
      </c>
      <c r="BA26" s="228">
        <f>IF(BA15="",0,-'2. Kalkyldata'!$P$14*('4. NPV'!BA$8-'4. NPV'!BA$65))*(1+'2. Kalkyldata'!$M$9)^('5. IRR'!BA14-1)</f>
        <v>0.0</v>
      </c>
    </row>
    <row r="27" spans="1:53">
      <c r="A27" s="494"/>
      <c r="B27" s="227" t="s">
        <v>270</v>
      </c>
      <c r="C27" s="227"/>
      <c r="D27" s="228">
        <f t="shared" ref="D27:AI27" si="3">IF(IF(D$18&lt;=0,0,D$18-D$8)&lt;=0,0,IF(D$18&lt;=0,0,D$18-D$8))</f>
        <v>0.0</v>
      </c>
      <c r="E27" s="228">
        <f t="shared" si="3"/>
        <v>0.0</v>
      </c>
      <c r="F27" s="228">
        <f t="shared" si="3"/>
        <v>0.0</v>
      </c>
      <c r="G27" s="228">
        <f t="shared" si="3"/>
        <v>0.0</v>
      </c>
      <c r="H27" s="228">
        <f t="shared" si="3"/>
        <v>0.0</v>
      </c>
      <c r="I27" s="228">
        <f t="shared" si="3"/>
        <v>0.0</v>
      </c>
      <c r="J27" s="228">
        <f t="shared" si="3"/>
        <v>0.0</v>
      </c>
      <c r="K27" s="228">
        <f t="shared" si="3"/>
        <v>0.0</v>
      </c>
      <c r="L27" s="228">
        <f t="shared" si="3"/>
        <v>0.0</v>
      </c>
      <c r="M27" s="228">
        <f t="shared" si="3"/>
        <v>0.0</v>
      </c>
      <c r="N27" s="228">
        <f t="shared" si="3"/>
        <v>0.0</v>
      </c>
      <c r="O27" s="228">
        <f t="shared" si="3"/>
        <v>0.0</v>
      </c>
      <c r="P27" s="228">
        <f t="shared" si="3"/>
        <v>0.0</v>
      </c>
      <c r="Q27" s="228">
        <f t="shared" si="3"/>
        <v>0.0</v>
      </c>
      <c r="R27" s="228">
        <f t="shared" si="3"/>
        <v>0.0</v>
      </c>
      <c r="S27" s="228">
        <f t="shared" si="3"/>
        <v>0.0</v>
      </c>
      <c r="T27" s="228">
        <f t="shared" si="3"/>
        <v>0.0</v>
      </c>
      <c r="U27" s="228">
        <f t="shared" si="3"/>
        <v>0.0</v>
      </c>
      <c r="V27" s="228">
        <f t="shared" si="3"/>
        <v>0.0</v>
      </c>
      <c r="W27" s="228">
        <f t="shared" si="3"/>
        <v>177394545.45454547</v>
      </c>
      <c r="X27" s="228">
        <f t="shared" si="3"/>
        <v>0.0</v>
      </c>
      <c r="Y27" s="228">
        <f t="shared" si="3"/>
        <v>0.0</v>
      </c>
      <c r="Z27" s="228">
        <f t="shared" si="3"/>
        <v>0.0</v>
      </c>
      <c r="AA27" s="228">
        <f t="shared" si="3"/>
        <v>0.0</v>
      </c>
      <c r="AB27" s="228">
        <f t="shared" si="3"/>
        <v>0.0</v>
      </c>
      <c r="AC27" s="228">
        <f t="shared" si="3"/>
        <v>0.0</v>
      </c>
      <c r="AD27" s="228">
        <f t="shared" si="3"/>
        <v>0.0</v>
      </c>
      <c r="AE27" s="228">
        <f t="shared" si="3"/>
        <v>0.0</v>
      </c>
      <c r="AF27" s="228">
        <f t="shared" si="3"/>
        <v>0.0</v>
      </c>
      <c r="AG27" s="228">
        <f t="shared" si="3"/>
        <v>0.0</v>
      </c>
      <c r="AH27" s="228">
        <f t="shared" si="3"/>
        <v>0.0</v>
      </c>
      <c r="AI27" s="228">
        <f t="shared" si="3"/>
        <v>0.0</v>
      </c>
      <c r="AJ27" s="228">
        <f t="shared" ref="AJ27:BA27" si="4">IF(IF(AJ$18&lt;=0,0,AJ$18-AJ$8)&lt;=0,0,IF(AJ$18&lt;=0,0,AJ$18-AJ$8))</f>
        <v>0.0</v>
      </c>
      <c r="AK27" s="228">
        <f t="shared" si="4"/>
        <v>0.0</v>
      </c>
      <c r="AL27" s="228">
        <f t="shared" si="4"/>
        <v>0.0</v>
      </c>
      <c r="AM27" s="228">
        <f t="shared" si="4"/>
        <v>0.0</v>
      </c>
      <c r="AN27" s="228">
        <f t="shared" si="4"/>
        <v>0.0</v>
      </c>
      <c r="AO27" s="228">
        <f t="shared" si="4"/>
        <v>0.0</v>
      </c>
      <c r="AP27" s="228">
        <f t="shared" si="4"/>
        <v>0.0</v>
      </c>
      <c r="AQ27" s="228">
        <f t="shared" si="4"/>
        <v>0.0</v>
      </c>
      <c r="AR27" s="228">
        <f t="shared" si="4"/>
        <v>0.0</v>
      </c>
      <c r="AS27" s="228">
        <f t="shared" si="4"/>
        <v>0.0</v>
      </c>
      <c r="AT27" s="228">
        <f t="shared" si="4"/>
        <v>0.0</v>
      </c>
      <c r="AU27" s="228">
        <f t="shared" si="4"/>
        <v>0.0</v>
      </c>
      <c r="AV27" s="228">
        <f t="shared" si="4"/>
        <v>0.0</v>
      </c>
      <c r="AW27" s="228">
        <f t="shared" si="4"/>
        <v>0.0</v>
      </c>
      <c r="AX27" s="228">
        <f t="shared" si="4"/>
        <v>0.0</v>
      </c>
      <c r="AY27" s="228">
        <f t="shared" si="4"/>
        <v>0.0</v>
      </c>
      <c r="AZ27" s="228">
        <f t="shared" si="4"/>
        <v>0.0</v>
      </c>
      <c r="BA27" s="228">
        <f t="shared" si="4"/>
        <v>0.0</v>
      </c>
    </row>
    <row r="28" spans="1:53" ht="15">
      <c r="A28" s="19"/>
      <c r="B28" s="412" t="inlineStr">
        <is>
          <t>Resultat före avskrivningar (EBITDA)</t>
        </is>
      </c>
      <c r="C28" s="412"/>
      <c r="D28" s="414">
        <f t="shared" ref="D28:AI28" si="5">IFERROR(D23+SUM(D24:D27),0)</f>
        <v>13206500.0</v>
      </c>
      <c r="E28" s="414">
        <f t="shared" si="5"/>
        <v>13373640.0</v>
      </c>
      <c r="F28" s="414">
        <f t="shared" si="5"/>
        <v>13542764.940000001</v>
      </c>
      <c r="G28" s="414">
        <f t="shared" si="5"/>
        <v>13713895.508759998</v>
      </c>
      <c r="H28" s="414">
        <f t="shared" si="5"/>
        <v>13887052.54267464</v>
      </c>
      <c r="I28" s="414">
        <f t="shared" si="5"/>
        <v>14062257.024999926</v>
      </c>
      <c r="J28" s="414">
        <f t="shared" si="5"/>
        <v>14239530.085012319</v>
      </c>
      <c r="K28" s="414">
        <f t="shared" si="5"/>
        <v>14418892.99709814</v>
      </c>
      <c r="L28" s="414">
        <f t="shared" si="5"/>
        <v>14600367.179771073</v>
      </c>
      <c r="M28" s="414">
        <f t="shared" si="5"/>
        <v>14783974.194615696</v>
      </c>
      <c r="N28" s="414">
        <f t="shared" si="5"/>
        <v>14969735.7451547</v>
      </c>
      <c r="O28" s="414">
        <f t="shared" si="5"/>
        <v>15157673.675637538</v>
      </c>
      <c r="P28" s="414">
        <f t="shared" si="5"/>
        <v>15347809.96974815</v>
      </c>
      <c r="Q28" s="414">
        <f t="shared" si="5"/>
        <v>15540166.749229345</v>
      </c>
      <c r="R28" s="414">
        <f t="shared" si="5"/>
        <v>15734766.272421371</v>
      </c>
      <c r="S28" s="414">
        <f t="shared" si="5"/>
        <v>15931630.932712145</v>
      </c>
      <c r="T28" s="414">
        <f t="shared" si="5"/>
        <v>16130783.25689652</v>
      </c>
      <c r="U28" s="414">
        <f t="shared" si="5"/>
        <v>16332245.903442007</v>
      </c>
      <c r="V28" s="414">
        <f t="shared" si="5"/>
        <v>16536041.66065811</v>
      </c>
      <c r="W28" s="414">
        <f t="shared" si="5"/>
        <v>194136738.89931208</v>
      </c>
      <c r="X28" s="414">
        <f t="shared" si="5"/>
        <v>0.0</v>
      </c>
      <c r="Y28" s="414">
        <f t="shared" si="5"/>
        <v>0.0</v>
      </c>
      <c r="Z28" s="414">
        <f t="shared" si="5"/>
        <v>0.0</v>
      </c>
      <c r="AA28" s="414">
        <f t="shared" si="5"/>
        <v>0.0</v>
      </c>
      <c r="AB28" s="414">
        <f t="shared" si="5"/>
        <v>0.0</v>
      </c>
      <c r="AC28" s="414">
        <f t="shared" si="5"/>
        <v>0.0</v>
      </c>
      <c r="AD28" s="414">
        <f t="shared" si="5"/>
        <v>0.0</v>
      </c>
      <c r="AE28" s="414">
        <f t="shared" si="5"/>
        <v>0.0</v>
      </c>
      <c r="AF28" s="414">
        <f t="shared" si="5"/>
        <v>0.0</v>
      </c>
      <c r="AG28" s="414">
        <f t="shared" si="5"/>
        <v>0.0</v>
      </c>
      <c r="AH28" s="414">
        <f t="shared" si="5"/>
        <v>0.0</v>
      </c>
      <c r="AI28" s="414">
        <f t="shared" si="5"/>
        <v>0.0</v>
      </c>
      <c r="AJ28" s="414">
        <f t="shared" ref="AJ28:BA28" si="6">IFERROR(AJ23+SUM(AJ24:AJ27),0)</f>
        <v>0.0</v>
      </c>
      <c r="AK28" s="414">
        <f t="shared" si="6"/>
        <v>0.0</v>
      </c>
      <c r="AL28" s="414">
        <f t="shared" si="6"/>
        <v>0.0</v>
      </c>
      <c r="AM28" s="414">
        <f t="shared" si="6"/>
        <v>0.0</v>
      </c>
      <c r="AN28" s="414">
        <f t="shared" si="6"/>
        <v>0.0</v>
      </c>
      <c r="AO28" s="414">
        <f t="shared" si="6"/>
        <v>0.0</v>
      </c>
      <c r="AP28" s="414">
        <f t="shared" si="6"/>
        <v>0.0</v>
      </c>
      <c r="AQ28" s="414">
        <f t="shared" si="6"/>
        <v>0.0</v>
      </c>
      <c r="AR28" s="414">
        <f t="shared" si="6"/>
        <v>0.0</v>
      </c>
      <c r="AS28" s="414">
        <f t="shared" si="6"/>
        <v>0.0</v>
      </c>
      <c r="AT28" s="414">
        <f t="shared" si="6"/>
        <v>0.0</v>
      </c>
      <c r="AU28" s="414">
        <f t="shared" si="6"/>
        <v>0.0</v>
      </c>
      <c r="AV28" s="414">
        <f t="shared" si="6"/>
        <v>0.0</v>
      </c>
      <c r="AW28" s="414">
        <f t="shared" si="6"/>
        <v>0.0</v>
      </c>
      <c r="AX28" s="414">
        <f t="shared" si="6"/>
        <v>0.0</v>
      </c>
      <c r="AY28" s="414">
        <f t="shared" si="6"/>
        <v>0.0</v>
      </c>
      <c r="AZ28" s="414">
        <f t="shared" si="6"/>
        <v>0.0</v>
      </c>
      <c r="BA28" s="414">
        <f t="shared" si="6"/>
        <v>0.0</v>
      </c>
    </row>
    <row r="29" spans="1:53" ht="15">
      <c r="A29" s="19"/>
      <c r="B29" s="227" t="s">
        <v>272</v>
      </c>
      <c r="C29" s="226"/>
      <c r="D29" s="228">
        <f>IF(D15="","",'3. Finansiering'!D$47)</f>
        <v>-7272727.272727272</v>
      </c>
      <c r="E29" s="228">
        <f>IF(E15="","",'3. Finansiering'!E$47)</f>
        <v>-7272727.272727272</v>
      </c>
      <c r="F29" s="228">
        <f>IF(F15="","",'3. Finansiering'!F$47)</f>
        <v>-7272727.272727272</v>
      </c>
      <c r="G29" s="228">
        <f>IF(G15="","",'3. Finansiering'!G$47)</f>
        <v>-7272727.272727272</v>
      </c>
      <c r="H29" s="228">
        <f>IF(H15="","",'3. Finansiering'!H$47)</f>
        <v>-7272727.272727272</v>
      </c>
      <c r="I29" s="228">
        <f>IF(I15="","",'3. Finansiering'!I$47)</f>
        <v>-7272727.272727272</v>
      </c>
      <c r="J29" s="228">
        <f>IF(J15="","",'3. Finansiering'!J$47)</f>
        <v>-7272727.272727272</v>
      </c>
      <c r="K29" s="228">
        <f>IF(K15="","",'3. Finansiering'!K$47)</f>
        <v>-7272727.272727272</v>
      </c>
      <c r="L29" s="228">
        <f>IF(L15="","",'3. Finansiering'!L$47)</f>
        <v>-7272727.272727272</v>
      </c>
      <c r="M29" s="228">
        <f>IF(M15="","",'3. Finansiering'!M$47)</f>
        <v>-7272727.272727272</v>
      </c>
      <c r="N29" s="228">
        <f>IF(N15="","",'3. Finansiering'!N$47)</f>
        <v>-7272727.272727272</v>
      </c>
      <c r="O29" s="228">
        <f>IF(O15="","",'3. Finansiering'!O$47)</f>
        <v>-7272727.272727272</v>
      </c>
      <c r="P29" s="228">
        <f>IF(P15="","",'3. Finansiering'!P$47)</f>
        <v>-7272727.272727272</v>
      </c>
      <c r="Q29" s="228">
        <f>IF(Q15="","",'3. Finansiering'!Q$47)</f>
        <v>-7272727.272727272</v>
      </c>
      <c r="R29" s="228">
        <f>IF(R15="","",'3. Finansiering'!R$47)</f>
        <v>-7272727.272727272</v>
      </c>
      <c r="S29" s="228">
        <f>IF(S15="","",'3. Finansiering'!S$47)</f>
        <v>-7272727.272727272</v>
      </c>
      <c r="T29" s="228">
        <f>IF(T15="","",'3. Finansiering'!T$47)</f>
        <v>-7272727.272727272</v>
      </c>
      <c r="U29" s="228">
        <f>IF(U15="","",'3. Finansiering'!U$47)</f>
        <v>-7272727.272727272</v>
      </c>
      <c r="V29" s="228">
        <f>IF(V15="","",'3. Finansiering'!V$47)</f>
        <v>-7272727.272727272</v>
      </c>
      <c r="W29" s="228">
        <f>IF(W15="","",'3. Finansiering'!W$47)</f>
        <v>-7272727.272727272</v>
      </c>
      <c r="X29" s="440" t="str">
        <f>IF(X15="","",'3. Finansiering'!X$47)</f>
        <v/>
      </c>
      <c r="Y29" s="440" t="str">
        <f>IF(Y15="","",'3. Finansiering'!Y$47)</f>
        <v/>
      </c>
      <c r="Z29" s="440" t="str">
        <f>IF(Z15="","",'3. Finansiering'!Z$47)</f>
        <v/>
      </c>
      <c r="AA29" s="440" t="str">
        <f>IF(AA15="","",'3. Finansiering'!AA$47)</f>
        <v/>
      </c>
      <c r="AB29" s="440" t="str">
        <f>IF(AB15="","",'3. Finansiering'!AB$47)</f>
        <v/>
      </c>
      <c r="AC29" s="440" t="str">
        <f>IF(AC15="","",'3. Finansiering'!AC$47)</f>
        <v/>
      </c>
      <c r="AD29" s="440" t="str">
        <f>IF(AD15="","",'3. Finansiering'!AD$47)</f>
        <v/>
      </c>
      <c r="AE29" s="440" t="str">
        <f>IF(AE15="","",'3. Finansiering'!AE$47)</f>
        <v/>
      </c>
      <c r="AF29" s="440" t="str">
        <f>IF(AF15="","",'3. Finansiering'!AF$47)</f>
        <v/>
      </c>
      <c r="AG29" s="440" t="str">
        <f>IF(AG15="","",'3. Finansiering'!AG$47)</f>
        <v/>
      </c>
      <c r="AH29" s="440" t="str">
        <f>IF(AH15="","",'3. Finansiering'!AH$47)</f>
        <v/>
      </c>
      <c r="AI29" s="440" t="str">
        <f>IF(AI15="","",'3. Finansiering'!AI$47)</f>
        <v/>
      </c>
      <c r="AJ29" s="440" t="str">
        <f>IF(AJ15="","",'3. Finansiering'!AJ$47)</f>
        <v/>
      </c>
      <c r="AK29" s="440" t="str">
        <f>IF(AK15="","",'3. Finansiering'!AK$47)</f>
        <v/>
      </c>
      <c r="AL29" s="440" t="str">
        <f>IF(AL15="","",'3. Finansiering'!AL$47)</f>
        <v/>
      </c>
      <c r="AM29" s="440" t="str">
        <f>IF(AM15="","",'3. Finansiering'!AM$47)</f>
        <v/>
      </c>
      <c r="AN29" s="440" t="str">
        <f>IF(AN15="","",'3. Finansiering'!AN$47)</f>
        <v/>
      </c>
      <c r="AO29" s="440" t="str">
        <f>IF(AO15="","",'3. Finansiering'!AO$47)</f>
        <v/>
      </c>
      <c r="AP29" s="440" t="str">
        <f>IF(AP15="","",'3. Finansiering'!AP$47)</f>
        <v/>
      </c>
      <c r="AQ29" s="440" t="str">
        <f>IF(AQ15="","",'3. Finansiering'!AQ$47)</f>
        <v/>
      </c>
      <c r="AR29" s="440" t="str">
        <f>IF(AR15="","",'3. Finansiering'!AR$47)</f>
        <v/>
      </c>
      <c r="AS29" s="440" t="str">
        <f>IF(AS15="","",'3. Finansiering'!AS$47)</f>
        <v/>
      </c>
      <c r="AT29" s="440" t="str">
        <f>IF(AT15="","",'3. Finansiering'!AT$47)</f>
        <v/>
      </c>
      <c r="AU29" s="440" t="str">
        <f>IF(AU15="","",'3. Finansiering'!AU$47)</f>
        <v/>
      </c>
      <c r="AV29" s="440" t="str">
        <f>IF(AV15="","",'3. Finansiering'!AV$47)</f>
        <v/>
      </c>
      <c r="AW29" s="440" t="str">
        <f>IF(AW15="","",'3. Finansiering'!AW$47)</f>
        <v/>
      </c>
      <c r="AX29" s="440" t="str">
        <f>IF(AX15="","",'3. Finansiering'!AX$47)</f>
        <v/>
      </c>
      <c r="AY29" s="440" t="str">
        <f>IF(AY15="","",'3. Finansiering'!AY$47)</f>
        <v/>
      </c>
      <c r="AZ29" s="440" t="str">
        <f>IF(AZ15="","",'3. Finansiering'!AZ$47)</f>
        <v/>
      </c>
      <c r="BA29" s="440" t="str">
        <f>IF(BA15="","",'3. Finansiering'!BA$47)</f>
        <v/>
      </c>
    </row>
    <row r="30" spans="1:53">
      <c r="A30" s="494"/>
      <c r="B30" s="227" t="s">
        <v>215</v>
      </c>
      <c r="C30" s="227"/>
      <c r="D30" s="228">
        <f>IF(D15="","",IF(D15&lt;&gt;"",'3. Finansiering'!D$24,0))</f>
        <v>-2644375.1999999997</v>
      </c>
      <c r="E30" s="228">
        <f>IF(E15="","",IF(E15&lt;&gt;"",'3. Finansiering'!E$24,0))</f>
        <v>-2686128.9599999995</v>
      </c>
      <c r="F30" s="228">
        <f>IF(F15="","",IF(F15&lt;&gt;"",'3. Finansiering'!F$24,0))</f>
        <v>-2719997.28</v>
      </c>
      <c r="G30" s="228">
        <f>IF(G15="","",IF(G15&lt;&gt;"",'3. Finansiering'!G$24,0))</f>
        <v>-2745980.159999999</v>
      </c>
      <c r="H30" s="228">
        <f>IF(H15="","",IF(H15&lt;&gt;"",'3. Finansiering'!H$24,0))</f>
        <v>-2764077.5999999996</v>
      </c>
      <c r="I30" s="228">
        <f>IF(I15="","",IF(I15&lt;&gt;"",'3. Finansiering'!I$24,0))</f>
        <v>-2774289.5999999996</v>
      </c>
      <c r="J30" s="228">
        <f>IF(J15="","",IF(J15&lt;&gt;"",'3. Finansiering'!J$24,0))</f>
        <v>-2776616.159999999</v>
      </c>
      <c r="K30" s="228">
        <f>IF(K15="","",IF(K15&lt;&gt;"",'3. Finansiering'!K$24,0))</f>
        <v>-2771057.2799999993</v>
      </c>
      <c r="L30" s="228">
        <f>IF(L15="","",IF(L15&lt;&gt;"",'3. Finansiering'!L$24,0))</f>
        <v>-2757612.9599999995</v>
      </c>
      <c r="M30" s="228">
        <f>IF(M15="","",IF(M15&lt;&gt;"",'3. Finansiering'!M$24,0))</f>
        <v>-2736283.1999999997</v>
      </c>
      <c r="N30" s="228">
        <f>IF(N15="","",IF(N15&lt;&gt;"",'3. Finansiering'!N$24,0))</f>
        <v>-2707067.999999999</v>
      </c>
      <c r="O30" s="228">
        <f>IF(O15="","",IF(O15&lt;&gt;"",'3. Finansiering'!O$24,0))</f>
        <v>-2585855.999999999</v>
      </c>
      <c r="P30" s="228">
        <f>IF(P15="","",IF(P15&lt;&gt;"",'3. Finansiering'!P$24,0))</f>
        <v>-2464643.9999999995</v>
      </c>
      <c r="Q30" s="228">
        <f>IF(Q15="","",IF(Q15&lt;&gt;"",'3. Finansiering'!Q$24,0))</f>
        <v>-2343431.9999999995</v>
      </c>
      <c r="R30" s="228">
        <f>IF(R15="","",IF(R15&lt;&gt;"",'3. Finansiering'!R$24,0))</f>
        <v>-2222219.9999999995</v>
      </c>
      <c r="S30" s="228">
        <f>IF(S15="","",IF(S15&lt;&gt;"",'3. Finansiering'!S$24,0))</f>
        <v>-2101007.9999999995</v>
      </c>
      <c r="T30" s="228">
        <f>IF(T15="","",IF(T15&lt;&gt;"",'3. Finansiering'!T$24,0))</f>
        <v>-1979795.9999999995</v>
      </c>
      <c r="U30" s="228">
        <f>IF(U15="","",IF(U15&lt;&gt;"",'3. Finansiering'!U$24,0))</f>
        <v>-1858583.9999999995</v>
      </c>
      <c r="V30" s="228">
        <f>IF(V15="","",IF(V15&lt;&gt;"",'3. Finansiering'!V$24,0))</f>
        <v>-1737371.9999999995</v>
      </c>
      <c r="W30" s="228">
        <f>IF(W15="","",IF(W15&lt;&gt;"",'3. Finansiering'!W$24,0))</f>
        <v>-1616159.9999999995</v>
      </c>
      <c r="X30" s="228" t="str">
        <f>IF(X15="","",IF(X15&lt;&gt;"",'3. Finansiering'!X$24,0))</f>
        <v/>
      </c>
      <c r="Y30" s="228" t="str">
        <f>IF(Y15="","",IF(Y15&lt;&gt;"",'3. Finansiering'!Y$24,0))</f>
        <v/>
      </c>
      <c r="Z30" s="228" t="str">
        <f>IF(Z15="","",IF(Z15&lt;&gt;"",'3. Finansiering'!Z$24,0))</f>
        <v/>
      </c>
      <c r="AA30" s="228" t="str">
        <f>IF(AA15="","",IF(AA15&lt;&gt;"",'3. Finansiering'!AA$24,0))</f>
        <v/>
      </c>
      <c r="AB30" s="228" t="str">
        <f>IF(AB15="","",IF(AB15&lt;&gt;"",'3. Finansiering'!AB$24,0))</f>
        <v/>
      </c>
      <c r="AC30" s="228" t="str">
        <f>IF(AC15="","",IF(AC15&lt;&gt;"",'3. Finansiering'!AC$24,0))</f>
        <v/>
      </c>
      <c r="AD30" s="228" t="str">
        <f>IF(AD15="","",IF(AD15&lt;&gt;"",'3. Finansiering'!AD$24,0))</f>
        <v/>
      </c>
      <c r="AE30" s="228" t="str">
        <f>IF(AE15="","",IF(AE15&lt;&gt;"",'3. Finansiering'!AE$24,0))</f>
        <v/>
      </c>
      <c r="AF30" s="228" t="str">
        <f>IF(AF15="","",IF(AF15&lt;&gt;"",'3. Finansiering'!AF$24,0))</f>
        <v/>
      </c>
      <c r="AG30" s="228" t="str">
        <f>IF(AG15="","",IF(AG15&lt;&gt;"",'3. Finansiering'!AG$24,0))</f>
        <v/>
      </c>
      <c r="AH30" s="228" t="str">
        <f>IF(AH15="","",IF(AH15&lt;&gt;"",'3. Finansiering'!AH$24,0))</f>
        <v/>
      </c>
      <c r="AI30" s="228" t="str">
        <f>IF(AI15="","",IF(AI15&lt;&gt;"",'3. Finansiering'!AI$24,0))</f>
        <v/>
      </c>
      <c r="AJ30" s="228" t="str">
        <f>IF(AJ15="","",IF(AJ15&lt;&gt;"",'3. Finansiering'!AJ$24,0))</f>
        <v/>
      </c>
      <c r="AK30" s="228" t="str">
        <f>IF(AK15="","",IF(AK15&lt;&gt;"",'3. Finansiering'!AK$24,0))</f>
        <v/>
      </c>
      <c r="AL30" s="228" t="str">
        <f>IF(AL15="","",IF(AL15&lt;&gt;"",'3. Finansiering'!AL$24,0))</f>
        <v/>
      </c>
      <c r="AM30" s="228" t="str">
        <f>IF(AM15="","",IF(AM15&lt;&gt;"",'3. Finansiering'!AM$24,0))</f>
        <v/>
      </c>
      <c r="AN30" s="228" t="str">
        <f>IF(AN15="","",IF(AN15&lt;&gt;"",'3. Finansiering'!AN$24,0))</f>
        <v/>
      </c>
      <c r="AO30" s="228" t="str">
        <f>IF(AO15="","",IF(AO15&lt;&gt;"",'3. Finansiering'!AO$24,0))</f>
        <v/>
      </c>
      <c r="AP30" s="228" t="str">
        <f>IF(AP15="","",IF(AP15&lt;&gt;"",'3. Finansiering'!AP$24,0))</f>
        <v/>
      </c>
      <c r="AQ30" s="228" t="str">
        <f>IF(AQ15="","",IF(AQ15&lt;&gt;"",'3. Finansiering'!AQ$24,0))</f>
        <v/>
      </c>
      <c r="AR30" s="228" t="str">
        <f>IF(AR15="","",IF(AR15&lt;&gt;"",'3. Finansiering'!AR$24,0))</f>
        <v/>
      </c>
      <c r="AS30" s="228" t="str">
        <f>IF(AS15="","",IF(AS15&lt;&gt;"",'3. Finansiering'!AS$24,0))</f>
        <v/>
      </c>
      <c r="AT30" s="228" t="str">
        <f>IF(AT15="","",IF(AT15&lt;&gt;"",'3. Finansiering'!AT$24,0))</f>
        <v/>
      </c>
      <c r="AU30" s="228" t="str">
        <f>IF(AU15="","",IF(AU15&lt;&gt;"",'3. Finansiering'!AU$24,0))</f>
        <v/>
      </c>
      <c r="AV30" s="228" t="str">
        <f>IF(AV15="","",IF(AV15&lt;&gt;"",'3. Finansiering'!AV$24,0))</f>
        <v/>
      </c>
      <c r="AW30" s="228" t="str">
        <f>IF(AW15="","",IF(AW15&lt;&gt;"",'3. Finansiering'!AW$24,0))</f>
        <v/>
      </c>
      <c r="AX30" s="228" t="str">
        <f>IF(AX15="","",IF(AX15&lt;&gt;"",'3. Finansiering'!AX$24,0))</f>
        <v/>
      </c>
      <c r="AY30" s="228" t="str">
        <f>IF(AY15="","",IF(AY15&lt;&gt;"",'3. Finansiering'!AY$24,0))</f>
        <v/>
      </c>
      <c r="AZ30" s="228" t="str">
        <f>IF(AZ15="","",IF(AZ15&lt;&gt;"",'3. Finansiering'!AZ$24,0))</f>
        <v/>
      </c>
      <c r="BA30" s="228" t="str">
        <f>IF(BA15="","",IF(BA15&lt;&gt;"",'3. Finansiering'!BA$24,0))</f>
        <v/>
      </c>
    </row>
    <row r="31" spans="1:53" ht="15">
      <c r="A31" s="19"/>
      <c r="B31" s="329" t="s">
        <v>273</v>
      </c>
      <c r="C31" s="329"/>
      <c r="D31" s="330">
        <f>D28+SUM(D29:D30)</f>
        <v>3289397.527272729</v>
      </c>
      <c r="E31" s="330">
        <f t="shared" ref="E31:BA31" si="7">E28+SUM(E29:E30)</f>
        <v>3414783.7672727294</v>
      </c>
      <c r="F31" s="330">
        <f t="shared" si="7"/>
        <v>3550040.3872727305</v>
      </c>
      <c r="G31" s="330">
        <f t="shared" si="7"/>
        <v>3695188.076032728</v>
      </c>
      <c r="H31" s="330">
        <f t="shared" si="7"/>
        <v>3850247.669947369</v>
      </c>
      <c r="I31" s="330">
        <f t="shared" si="7"/>
        <v>4015240.1522726547</v>
      </c>
      <c r="J31" s="330">
        <f t="shared" si="7"/>
        <v>4190186.6522850487</v>
      </c>
      <c r="K31" s="330">
        <f t="shared" si="7"/>
        <v>4375108.44437087</v>
      </c>
      <c r="L31" s="330">
        <f t="shared" si="7"/>
        <v>4570026.947043803</v>
      </c>
      <c r="M31" s="330">
        <f t="shared" si="7"/>
        <v>4774963.721888425</v>
      </c>
      <c r="N31" s="330">
        <f t="shared" si="7"/>
        <v>4989940.47242743</v>
      </c>
      <c r="O31" s="330">
        <f t="shared" si="7"/>
        <v>5299090.402910268</v>
      </c>
      <c r="P31" s="330">
        <f t="shared" si="7"/>
        <v>5610438.697020879</v>
      </c>
      <c r="Q31" s="330">
        <f t="shared" si="7"/>
        <v>5924007.476502074</v>
      </c>
      <c r="R31" s="330">
        <f t="shared" si="7"/>
        <v>6239818.9996941</v>
      </c>
      <c r="S31" s="330">
        <f t="shared" si="7"/>
        <v>6557895.659984874</v>
      </c>
      <c r="T31" s="330">
        <f t="shared" si="7"/>
        <v>6878259.9841692485</v>
      </c>
      <c r="U31" s="330">
        <f t="shared" si="7"/>
        <v>7200934.630714735</v>
      </c>
      <c r="V31" s="330">
        <f t="shared" si="7"/>
        <v>7525942.387930838</v>
      </c>
      <c r="W31" s="330">
        <f t="shared" si="7"/>
        <v>185247851.6265848</v>
      </c>
      <c r="X31" s="330">
        <f t="shared" si="7"/>
        <v>0.0</v>
      </c>
      <c r="Y31" s="330">
        <f t="shared" si="7"/>
        <v>0.0</v>
      </c>
      <c r="Z31" s="330">
        <f t="shared" si="7"/>
        <v>0.0</v>
      </c>
      <c r="AA31" s="330">
        <f t="shared" si="7"/>
        <v>0.0</v>
      </c>
      <c r="AB31" s="330">
        <f t="shared" si="7"/>
        <v>0.0</v>
      </c>
      <c r="AC31" s="330">
        <f t="shared" si="7"/>
        <v>0.0</v>
      </c>
      <c r="AD31" s="330">
        <f t="shared" si="7"/>
        <v>0.0</v>
      </c>
      <c r="AE31" s="330">
        <f t="shared" si="7"/>
        <v>0.0</v>
      </c>
      <c r="AF31" s="330">
        <f t="shared" si="7"/>
        <v>0.0</v>
      </c>
      <c r="AG31" s="330">
        <f t="shared" si="7"/>
        <v>0.0</v>
      </c>
      <c r="AH31" s="330">
        <f t="shared" si="7"/>
        <v>0.0</v>
      </c>
      <c r="AI31" s="330">
        <f t="shared" si="7"/>
        <v>0.0</v>
      </c>
      <c r="AJ31" s="330">
        <f t="shared" si="7"/>
        <v>0.0</v>
      </c>
      <c r="AK31" s="330">
        <f t="shared" si="7"/>
        <v>0.0</v>
      </c>
      <c r="AL31" s="330">
        <f t="shared" si="7"/>
        <v>0.0</v>
      </c>
      <c r="AM31" s="330">
        <f t="shared" si="7"/>
        <v>0.0</v>
      </c>
      <c r="AN31" s="330">
        <f t="shared" si="7"/>
        <v>0.0</v>
      </c>
      <c r="AO31" s="330">
        <f t="shared" si="7"/>
        <v>0.0</v>
      </c>
      <c r="AP31" s="330">
        <f t="shared" si="7"/>
        <v>0.0</v>
      </c>
      <c r="AQ31" s="330">
        <f t="shared" si="7"/>
        <v>0.0</v>
      </c>
      <c r="AR31" s="330">
        <f t="shared" si="7"/>
        <v>0.0</v>
      </c>
      <c r="AS31" s="330">
        <f t="shared" si="7"/>
        <v>0.0</v>
      </c>
      <c r="AT31" s="330">
        <f t="shared" si="7"/>
        <v>0.0</v>
      </c>
      <c r="AU31" s="330">
        <f t="shared" si="7"/>
        <v>0.0</v>
      </c>
      <c r="AV31" s="330">
        <f t="shared" si="7"/>
        <v>0.0</v>
      </c>
      <c r="AW31" s="330">
        <f t="shared" si="7"/>
        <v>0.0</v>
      </c>
      <c r="AX31" s="330">
        <f t="shared" si="7"/>
        <v>0.0</v>
      </c>
      <c r="AY31" s="330">
        <f t="shared" si="7"/>
        <v>0.0</v>
      </c>
      <c r="AZ31" s="330">
        <f t="shared" si="7"/>
        <v>0.0</v>
      </c>
      <c r="BA31" s="330">
        <f t="shared" si="7"/>
        <v>0.0</v>
      </c>
    </row>
    <row r="32" spans="1:53">
      <c r="A32" s="494"/>
      <c r="B32" s="456" t="str">
        <f>CONCATENATE("Bolagsskatt, ",'2. Kalkyldata'!M16*100,"%")</f>
        <v>Bolagsskatt, 20,6%</v>
      </c>
      <c r="C32" s="456"/>
      <c r="D32" s="457">
        <f>IF(D15="","",IF(D$31&lt;=0,0,(-(D$31)*'2. Kalkyldata'!$M$16)))</f>
        <v>-677615.8906181821</v>
      </c>
      <c r="E32" s="457">
        <f>IF(E15="","",IF(E$31&lt;=0,0,(-(E$31)*'2. Kalkyldata'!$M$16)))</f>
        <v>-703445.4560581822</v>
      </c>
      <c r="F32" s="457">
        <f>IF(F15="","",IF(F$31&lt;=0,0,(-(F$31)*'2. Kalkyldata'!$M$16)))</f>
        <v>-731308.3197781824</v>
      </c>
      <c r="G32" s="457">
        <f>IF(G15="","",IF(G$31&lt;=0,0,(-(G$31)*'2. Kalkyldata'!$M$16)))</f>
        <v>-761208.743662742</v>
      </c>
      <c r="H32" s="457">
        <f>IF(H15="","",IF(H$31&lt;=0,0,(-(H$31)*'2. Kalkyldata'!$M$16)))</f>
        <v>-793151.020009158</v>
      </c>
      <c r="I32" s="457">
        <f>IF(I15="","",IF(I$31&lt;=0,0,(-(I$31)*'2. Kalkyldata'!$M$16)))</f>
        <v>-827139.4713681669</v>
      </c>
      <c r="J32" s="457">
        <f>IF(J15="","",IF(J$31&lt;=0,0,(-(J$31)*'2. Kalkyldata'!$M$16)))</f>
        <v>-863178.45037072</v>
      </c>
      <c r="K32" s="457">
        <f>IF(K15="","",IF(K$31&lt;=0,0,(-(K$31)*'2. Kalkyldata'!$M$16)))</f>
        <v>-901272.339540399</v>
      </c>
      <c r="L32" s="457">
        <f>IF(L15="","",IF(L$31&lt;=0,0,(-(L$31)*'2. Kalkyldata'!$M$16)))</f>
        <v>-941425.5510910233</v>
      </c>
      <c r="M32" s="457">
        <f>IF(M15="","",IF(M$31&lt;=0,0,(-(M$31)*'2. Kalkyldata'!$M$16)))</f>
        <v>-983642.5267090155</v>
      </c>
      <c r="N32" s="457">
        <f>IF(N15="","",IF(N$31&lt;=0,0,(-(N$31)*'2. Kalkyldata'!$M$16)))</f>
        <v>-1027927.7373200505</v>
      </c>
      <c r="O32" s="457">
        <f>IF(O15="","",IF(O$31&lt;=0,0,(-(O$31)*'2. Kalkyldata'!$M$16)))</f>
        <v>-1091612.6229995152</v>
      </c>
      <c r="P32" s="457">
        <f>IF(P15="","",IF(P$31&lt;=0,0,(-(P$31)*'2. Kalkyldata'!$M$16)))</f>
        <v>-1155750.371586301</v>
      </c>
      <c r="Q32" s="457">
        <f>IF(Q15="","",IF(Q$31&lt;=0,0,(-(Q$31)*'2. Kalkyldata'!$M$16)))</f>
        <v>-1220345.540159427</v>
      </c>
      <c r="R32" s="457">
        <f>IF(R15="","",IF(R$31&lt;=0,0,(-(R$31)*'2. Kalkyldata'!$M$16)))</f>
        <v>-1285402.7139369845</v>
      </c>
      <c r="S32" s="457">
        <f>IF(S15="","",IF(S$31&lt;=0,0,(-(S$31)*'2. Kalkyldata'!$M$16)))</f>
        <v>-1350926.5059568838</v>
      </c>
      <c r="T32" s="457">
        <f>IF(T15="","",IF(T$31&lt;=0,0,(-(T$31)*'2. Kalkyldata'!$M$16)))</f>
        <v>-1416921.556738865</v>
      </c>
      <c r="U32" s="457">
        <f>IF(U15="","",IF(U$31&lt;=0,0,(-(U$31)*'2. Kalkyldata'!$M$16)))</f>
        <v>-1483392.5339272353</v>
      </c>
      <c r="V32" s="457">
        <f>IF(V15="","",IF(V$31&lt;=0,0,(-(V$31)*'2. Kalkyldata'!$M$16)))</f>
        <v>-1550344.1319137525</v>
      </c>
      <c r="W32" s="457">
        <f>IF(W15="","",IF(W$31&lt;=0,0,(-(W$31)*'2. Kalkyldata'!$M$16)))</f>
        <v>-38161057.43507647</v>
      </c>
      <c r="X32" s="457" t="str">
        <f>IF(X15="","",IF(X$31&lt;=0,0,(-(X$31)*'2. Kalkyldata'!$M$16)))</f>
        <v/>
      </c>
      <c r="Y32" s="457" t="str">
        <f>IF(Y15="","",IF(Y$31&lt;=0,0,(-(Y$31)*'2. Kalkyldata'!$M$16)))</f>
        <v/>
      </c>
      <c r="Z32" s="457" t="str">
        <f>IF(Z15="","",IF(Z$31&lt;=0,0,(-(Z$31)*'2. Kalkyldata'!$M$16)))</f>
        <v/>
      </c>
      <c r="AA32" s="457" t="str">
        <f>IF(AA15="","",IF(AA$31&lt;=0,0,(-(AA$31)*'2. Kalkyldata'!$M$16)))</f>
        <v/>
      </c>
      <c r="AB32" s="457" t="str">
        <f>IF(AB15="","",IF(AB$31&lt;=0,0,(-(AB$31)*'2. Kalkyldata'!$M$16)))</f>
        <v/>
      </c>
      <c r="AC32" s="457" t="str">
        <f>IF(AC15="","",IF(AC$31&lt;=0,0,(-(AC$31)*'2. Kalkyldata'!$M$16)))</f>
        <v/>
      </c>
      <c r="AD32" s="457" t="str">
        <f>IF(AD15="","",IF(AD$31&lt;=0,0,(-(AD$31)*'2. Kalkyldata'!$M$16)))</f>
        <v/>
      </c>
      <c r="AE32" s="457" t="str">
        <f>IF(AE15="","",IF(AE$31&lt;=0,0,(-(AE$31)*'2. Kalkyldata'!$M$16)))</f>
        <v/>
      </c>
      <c r="AF32" s="457" t="str">
        <f>IF(AF15="","",IF(AF$31&lt;=0,0,(-(AF$31)*'2. Kalkyldata'!$M$16)))</f>
        <v/>
      </c>
      <c r="AG32" s="457" t="str">
        <f>IF(AG15="","",IF(AG$31&lt;=0,0,(-(AG$31)*'2. Kalkyldata'!$M$16)))</f>
        <v/>
      </c>
      <c r="AH32" s="457" t="str">
        <f>IF(AH15="","",IF(AH$31&lt;=0,0,(-(AH$31)*'2. Kalkyldata'!$M$16)))</f>
        <v/>
      </c>
      <c r="AI32" s="457" t="str">
        <f>IF(AI15="","",IF(AI$31&lt;=0,0,(-(AI$31)*'2. Kalkyldata'!$M$16)))</f>
        <v/>
      </c>
      <c r="AJ32" s="457" t="str">
        <f>IF(AJ15="","",IF(AJ$31&lt;=0,0,(-(AJ$31)*'2. Kalkyldata'!$M$16)))</f>
        <v/>
      </c>
      <c r="AK32" s="457" t="str">
        <f>IF(AK15="","",IF(AK$31&lt;=0,0,(-(AK$31)*'2. Kalkyldata'!$M$16)))</f>
        <v/>
      </c>
      <c r="AL32" s="457" t="str">
        <f>IF(AL15="","",IF(AL$31&lt;=0,0,(-(AL$31)*'2. Kalkyldata'!$M$16)))</f>
        <v/>
      </c>
      <c r="AM32" s="457" t="str">
        <f>IF(AM15="","",IF(AM$31&lt;=0,0,(-(AM$31)*'2. Kalkyldata'!$M$16)))</f>
        <v/>
      </c>
      <c r="AN32" s="457" t="str">
        <f>IF(AN15="","",IF(AN$31&lt;=0,0,(-(AN$31)*'2. Kalkyldata'!$M$16)))</f>
        <v/>
      </c>
      <c r="AO32" s="457" t="str">
        <f>IF(AO15="","",IF(AO$31&lt;=0,0,(-(AO$31)*'2. Kalkyldata'!$M$16)))</f>
        <v/>
      </c>
      <c r="AP32" s="457" t="str">
        <f>IF(AP15="","",IF(AP$31&lt;=0,0,(-(AP$31)*'2. Kalkyldata'!$M$16)))</f>
        <v/>
      </c>
      <c r="AQ32" s="457" t="str">
        <f>IF(AQ15="","",IF(AQ$31&lt;=0,0,(-(AQ$31)*'2. Kalkyldata'!$M$16)))</f>
        <v/>
      </c>
      <c r="AR32" s="457" t="str">
        <f>IF(AR15="","",IF(AR$31&lt;=0,0,(-(AR$31)*'2. Kalkyldata'!$M$16)))</f>
        <v/>
      </c>
      <c r="AS32" s="457" t="str">
        <f>IF(AS15="","",IF(AS$31&lt;=0,0,(-(AS$31)*'2. Kalkyldata'!$M$16)))</f>
        <v/>
      </c>
      <c r="AT32" s="457" t="str">
        <f>IF(AT15="","",IF(AT$31&lt;=0,0,(-(AT$31)*'2. Kalkyldata'!$M$16)))</f>
        <v/>
      </c>
      <c r="AU32" s="457" t="str">
        <f>IF(AU15="","",IF(AU$31&lt;=0,0,(-(AU$31)*'2. Kalkyldata'!$M$16)))</f>
        <v/>
      </c>
      <c r="AV32" s="457" t="str">
        <f>IF(AV15="","",IF(AV$31&lt;=0,0,(-(AV$31)*'2. Kalkyldata'!$M$16)))</f>
        <v/>
      </c>
      <c r="AW32" s="457" t="str">
        <f>IF(AW15="","",IF(AW$31&lt;=0,0,(-(AW$31)*'2. Kalkyldata'!$M$16)))</f>
        <v/>
      </c>
      <c r="AX32" s="457" t="str">
        <f>IF(AX15="","",IF(AX$31&lt;=0,0,(-(AX$31)*'2. Kalkyldata'!$M$16)))</f>
        <v/>
      </c>
      <c r="AY32" s="457" t="str">
        <f>IF(AY15="","",IF(AY$31&lt;=0,0,(-(AY$31)*'2. Kalkyldata'!$M$16)))</f>
        <v/>
      </c>
      <c r="AZ32" s="457" t="str">
        <f>IF(AZ15="","",IF(AZ$31&lt;=0,0,(-(AZ$31)*'2. Kalkyldata'!$M$16)))</f>
        <v/>
      </c>
      <c r="BA32" s="457" t="str">
        <f>IF(BA15="","",IF(BA$31&lt;=0,0,(-(BA$31)*'2. Kalkyldata'!$M$16)))</f>
        <v/>
      </c>
    </row>
    <row r="33" spans="1:53" ht="15">
      <c r="A33" s="19"/>
      <c r="B33" s="412" t="inlineStr">
        <is>
          <t>Resultat efter skatt</t>
        </is>
      </c>
      <c r="C33" s="412"/>
      <c r="D33" s="414">
        <f t="shared" ref="D33:V33" si="8">IFERROR(D$31+D$32,0)</f>
        <v>2611781.636654547</v>
      </c>
      <c r="E33" s="414">
        <f t="shared" si="8"/>
        <v>2711338.311214547</v>
      </c>
      <c r="F33" s="414">
        <f t="shared" si="8"/>
        <v>2818732.067494548</v>
      </c>
      <c r="G33" s="414">
        <f t="shared" si="8"/>
        <v>2933979.332369986</v>
      </c>
      <c r="H33" s="414">
        <f t="shared" si="8"/>
        <v>3057096.649938211</v>
      </c>
      <c r="I33" s="414">
        <f t="shared" si="8"/>
        <v>3188100.680904488</v>
      </c>
      <c r="J33" s="414">
        <f t="shared" si="8"/>
        <v>3327008.2019143286</v>
      </c>
      <c r="K33" s="414">
        <f t="shared" si="8"/>
        <v>3473836.1048304704</v>
      </c>
      <c r="L33" s="414">
        <f t="shared" si="8"/>
        <v>3628601.3959527793</v>
      </c>
      <c r="M33" s="414">
        <f t="shared" si="8"/>
        <v>3791321.1951794093</v>
      </c>
      <c r="N33" s="414">
        <f t="shared" si="8"/>
        <v>3962012.735107379</v>
      </c>
      <c r="O33" s="414">
        <f t="shared" si="8"/>
        <v>4207477.779910753</v>
      </c>
      <c r="P33" s="414">
        <f t="shared" si="8"/>
        <v>4454688.325434579</v>
      </c>
      <c r="Q33" s="414">
        <f t="shared" si="8"/>
        <v>4703661.936342647</v>
      </c>
      <c r="R33" s="414">
        <f t="shared" si="8"/>
        <v>4954416.285757115</v>
      </c>
      <c r="S33" s="414">
        <f t="shared" si="8"/>
        <v>5206969.15402799</v>
      </c>
      <c r="T33" s="414">
        <f t="shared" si="8"/>
        <v>5461338.427430384</v>
      </c>
      <c r="U33" s="414">
        <f t="shared" si="8"/>
        <v>5717542.096787499</v>
      </c>
      <c r="V33" s="414">
        <f t="shared" si="8"/>
        <v>5975598.256017086</v>
      </c>
      <c r="W33" s="414">
        <f>IFERROR(W$31+W$32,0)</f>
        <v>147086794.19150832</v>
      </c>
      <c r="X33" s="414">
        <f t="shared" ref="X33:BA33" si="9">IFERROR(X$31+X$32,0)</f>
        <v>0.0</v>
      </c>
      <c r="Y33" s="414">
        <f t="shared" si="9"/>
        <v>0.0</v>
      </c>
      <c r="Z33" s="414">
        <f t="shared" si="9"/>
        <v>0.0</v>
      </c>
      <c r="AA33" s="414">
        <f t="shared" si="9"/>
        <v>0.0</v>
      </c>
      <c r="AB33" s="414">
        <f t="shared" si="9"/>
        <v>0.0</v>
      </c>
      <c r="AC33" s="414">
        <f t="shared" si="9"/>
        <v>0.0</v>
      </c>
      <c r="AD33" s="414">
        <f t="shared" si="9"/>
        <v>0.0</v>
      </c>
      <c r="AE33" s="414">
        <f t="shared" si="9"/>
        <v>0.0</v>
      </c>
      <c r="AF33" s="414">
        <f t="shared" si="9"/>
        <v>0.0</v>
      </c>
      <c r="AG33" s="414">
        <f t="shared" si="9"/>
        <v>0.0</v>
      </c>
      <c r="AH33" s="414">
        <f t="shared" si="9"/>
        <v>0.0</v>
      </c>
      <c r="AI33" s="414">
        <f t="shared" si="9"/>
        <v>0.0</v>
      </c>
      <c r="AJ33" s="414">
        <f t="shared" si="9"/>
        <v>0.0</v>
      </c>
      <c r="AK33" s="414">
        <f t="shared" si="9"/>
        <v>0.0</v>
      </c>
      <c r="AL33" s="414">
        <f t="shared" si="9"/>
        <v>0.0</v>
      </c>
      <c r="AM33" s="414">
        <f t="shared" si="9"/>
        <v>0.0</v>
      </c>
      <c r="AN33" s="414">
        <f t="shared" si="9"/>
        <v>0.0</v>
      </c>
      <c r="AO33" s="414">
        <f t="shared" si="9"/>
        <v>0.0</v>
      </c>
      <c r="AP33" s="414">
        <f t="shared" si="9"/>
        <v>0.0</v>
      </c>
      <c r="AQ33" s="414">
        <f t="shared" si="9"/>
        <v>0.0</v>
      </c>
      <c r="AR33" s="414">
        <f t="shared" si="9"/>
        <v>0.0</v>
      </c>
      <c r="AS33" s="414">
        <f t="shared" si="9"/>
        <v>0.0</v>
      </c>
      <c r="AT33" s="414">
        <f t="shared" si="9"/>
        <v>0.0</v>
      </c>
      <c r="AU33" s="414">
        <f t="shared" si="9"/>
        <v>0.0</v>
      </c>
      <c r="AV33" s="414">
        <f t="shared" si="9"/>
        <v>0.0</v>
      </c>
      <c r="AW33" s="414">
        <f t="shared" si="9"/>
        <v>0.0</v>
      </c>
      <c r="AX33" s="414">
        <f t="shared" si="9"/>
        <v>0.0</v>
      </c>
      <c r="AY33" s="414">
        <f t="shared" si="9"/>
        <v>0.0</v>
      </c>
      <c r="AZ33" s="414">
        <f t="shared" si="9"/>
        <v>0.0</v>
      </c>
      <c r="BA33" s="414">
        <f t="shared" si="9"/>
        <v>0.0</v>
      </c>
    </row>
    <row r="34" spans="1:53">
      <c r="A34" s="494"/>
      <c r="B34" s="227" t="s">
        <v>75</v>
      </c>
      <c r="C34" s="227"/>
      <c r="D34" s="228">
        <f>IF(D15="","",IF(D15&lt;&gt;"",'3. Finansiering'!D$20,0))</f>
        <v>-2663999.9999999995</v>
      </c>
      <c r="E34" s="228">
        <f>IF(E15="","",IF(E15&lt;&gt;"",'3. Finansiering'!E$20,0))</f>
        <v>-2663999.9999999995</v>
      </c>
      <c r="F34" s="228">
        <f>IF(F15="","",IF(F15&lt;&gt;"",'3. Finansiering'!F$20,0))</f>
        <v>-2663999.9999999995</v>
      </c>
      <c r="G34" s="228">
        <f>IF(G15="","",IF(G15&lt;&gt;"",'3. Finansiering'!G$20,0))</f>
        <v>-2663999.9999999995</v>
      </c>
      <c r="H34" s="228">
        <f>IF(H15="","",IF(H15&lt;&gt;"",'3. Finansiering'!H$20,0))</f>
        <v>-2663999.9999999995</v>
      </c>
      <c r="I34" s="228">
        <f>IF(I15="","",IF(I15&lt;&gt;"",'3. Finansiering'!I$20,0))</f>
        <v>-2663999.9999999995</v>
      </c>
      <c r="J34" s="228">
        <f>IF(J15="","",IF(J15&lt;&gt;"",'3. Finansiering'!J$20,0))</f>
        <v>-2663999.9999999995</v>
      </c>
      <c r="K34" s="228">
        <f>IF(K15="","",IF(K15&lt;&gt;"",'3. Finansiering'!K$20,0))</f>
        <v>-2663999.9999999995</v>
      </c>
      <c r="L34" s="228">
        <f>IF(L15="","",IF(L15&lt;&gt;"",'3. Finansiering'!L$20,0))</f>
        <v>-2663999.9999999995</v>
      </c>
      <c r="M34" s="228">
        <f>IF(M15="","",IF(M15&lt;&gt;"",'3. Finansiering'!M$20,0))</f>
        <v>-2663999.9999999995</v>
      </c>
      <c r="N34" s="228">
        <f>IF(N15="","",IF(N15&lt;&gt;"",'3. Finansiering'!N$20,0))</f>
        <v>-2663999.9999999995</v>
      </c>
      <c r="O34" s="228">
        <f>IF(O15="","",IF(O15&lt;&gt;"",'3. Finansiering'!O$20,0))</f>
        <v>-2663999.9999999995</v>
      </c>
      <c r="P34" s="228">
        <f>IF(P15="","",IF(P15&lt;&gt;"",'3. Finansiering'!P$20,0))</f>
        <v>-2663999.9999999995</v>
      </c>
      <c r="Q34" s="228">
        <f>IF(Q15="","",IF(Q15&lt;&gt;"",'3. Finansiering'!Q$20,0))</f>
        <v>-2663999.9999999995</v>
      </c>
      <c r="R34" s="228">
        <f>IF(R15="","",IF(R15&lt;&gt;"",'3. Finansiering'!R$20,0))</f>
        <v>-2663999.9999999995</v>
      </c>
      <c r="S34" s="228">
        <f>IF(S15="","",IF(S15&lt;&gt;"",'3. Finansiering'!S$20,0))</f>
        <v>-2663999.9999999995</v>
      </c>
      <c r="T34" s="228">
        <f>IF(T15="","",IF(T15&lt;&gt;"",'3. Finansiering'!T$20,0))</f>
        <v>-2663999.9999999995</v>
      </c>
      <c r="U34" s="228">
        <f>IF(U15="","",IF(U15&lt;&gt;"",'3. Finansiering'!U$20,0))</f>
        <v>-2663999.9999999995</v>
      </c>
      <c r="V34" s="228">
        <f>IF(V15="","",IF(V15&lt;&gt;"",'3. Finansiering'!V$20,0))</f>
        <v>-2663999.9999999995</v>
      </c>
      <c r="W34" s="228">
        <f>IF(W15="","",IF(W15&lt;&gt;"",'3. Finansiering'!W$20,0))</f>
        <v>-2663999.9999999995</v>
      </c>
      <c r="X34" s="228" t="str">
        <f>IF(X15="","",IF(X15&lt;&gt;"",'3. Finansiering'!X$20,0))</f>
        <v/>
      </c>
      <c r="Y34" s="228" t="str">
        <f>IF(Y15="","",IF(Y15&lt;&gt;"",'3. Finansiering'!Y$20,0))</f>
        <v/>
      </c>
      <c r="Z34" s="228" t="str">
        <f>IF(Z15="","",IF(Z15&lt;&gt;"",'3. Finansiering'!Z$20,0))</f>
        <v/>
      </c>
      <c r="AA34" s="228" t="str">
        <f>IF(AA15="","",IF(AA15&lt;&gt;"",'3. Finansiering'!AA$20,0))</f>
        <v/>
      </c>
      <c r="AB34" s="228" t="str">
        <f>IF(AB15="","",IF(AB15&lt;&gt;"",'3. Finansiering'!AB$20,0))</f>
        <v/>
      </c>
      <c r="AC34" s="228" t="str">
        <f>IF(AC15="","",IF(AC15&lt;&gt;"",'3. Finansiering'!AC$20,0))</f>
        <v/>
      </c>
      <c r="AD34" s="228" t="str">
        <f>IF(AD15="","",IF(AD15&lt;&gt;"",'3. Finansiering'!AD$20,0))</f>
        <v/>
      </c>
      <c r="AE34" s="228" t="str">
        <f>IF(AE15="","",IF(AE15&lt;&gt;"",'3. Finansiering'!AE$20,0))</f>
        <v/>
      </c>
      <c r="AF34" s="228" t="str">
        <f>IF(AF15="","",IF(AF15&lt;&gt;"",'3. Finansiering'!AF$20,0))</f>
        <v/>
      </c>
      <c r="AG34" s="228" t="str">
        <f>IF(AG15="","",IF(AG15&lt;&gt;"",'3. Finansiering'!AG$20,0))</f>
        <v/>
      </c>
      <c r="AH34" s="228" t="str">
        <f>IF(AH15="","",IF(AH15&lt;&gt;"",'3. Finansiering'!AH$20,0))</f>
        <v/>
      </c>
      <c r="AI34" s="228" t="str">
        <f>IF(AI15="","",IF(AI15&lt;&gt;"",'3. Finansiering'!AI$20,0))</f>
        <v/>
      </c>
      <c r="AJ34" s="228" t="str">
        <f>IF(AJ15="","",IF(AJ15&lt;&gt;"",'3. Finansiering'!AJ$20,0))</f>
        <v/>
      </c>
      <c r="AK34" s="228" t="str">
        <f>IF(AK15="","",IF(AK15&lt;&gt;"",'3. Finansiering'!AK$20,0))</f>
        <v/>
      </c>
      <c r="AL34" s="228" t="str">
        <f>IF(AL15="","",IF(AL15&lt;&gt;"",'3. Finansiering'!AL$20,0))</f>
        <v/>
      </c>
      <c r="AM34" s="228" t="str">
        <f>IF(AM15="","",IF(AM15&lt;&gt;"",'3. Finansiering'!AM$20,0))</f>
        <v/>
      </c>
      <c r="AN34" s="228" t="str">
        <f>IF(AN15="","",IF(AN15&lt;&gt;"",'3. Finansiering'!AN$20,0))</f>
        <v/>
      </c>
      <c r="AO34" s="228" t="str">
        <f>IF(AO15="","",IF(AO15&lt;&gt;"",'3. Finansiering'!AO$20,0))</f>
        <v/>
      </c>
      <c r="AP34" s="228" t="str">
        <f>IF(AP15="","",IF(AP15&lt;&gt;"",'3. Finansiering'!AP$20,0))</f>
        <v/>
      </c>
      <c r="AQ34" s="228" t="str">
        <f>IF(AQ15="","",IF(AQ15&lt;&gt;"",'3. Finansiering'!AQ$20,0))</f>
        <v/>
      </c>
      <c r="AR34" s="228" t="str">
        <f>IF(AR15="","",IF(AR15&lt;&gt;"",'3. Finansiering'!AR$20,0))</f>
        <v/>
      </c>
      <c r="AS34" s="228" t="str">
        <f>IF(AS15="","",IF(AS15&lt;&gt;"",'3. Finansiering'!AS$20,0))</f>
        <v/>
      </c>
      <c r="AT34" s="228" t="str">
        <f>IF(AT15="","",IF(AT15&lt;&gt;"",'3. Finansiering'!AT$20,0))</f>
        <v/>
      </c>
      <c r="AU34" s="228" t="str">
        <f>IF(AU15="","",IF(AU15&lt;&gt;"",'3. Finansiering'!AU$20,0))</f>
        <v/>
      </c>
      <c r="AV34" s="228" t="str">
        <f>IF(AV15="","",IF(AV15&lt;&gt;"",'3. Finansiering'!AV$20,0))</f>
        <v/>
      </c>
      <c r="AW34" s="228" t="str">
        <f>IF(AW15="","",IF(AW15&lt;&gt;"",'3. Finansiering'!AW$20,0))</f>
        <v/>
      </c>
      <c r="AX34" s="228" t="str">
        <f>IF(AX15="","",IF(AX15&lt;&gt;"",'3. Finansiering'!AX$20,0))</f>
        <v/>
      </c>
      <c r="AY34" s="228" t="str">
        <f>IF(AY15="","",IF(AY15&lt;&gt;"",'3. Finansiering'!AY$20,0))</f>
        <v/>
      </c>
      <c r="AZ34" s="228" t="str">
        <f>IF(AZ15="","",IF(AZ15&lt;&gt;"",'3. Finansiering'!AZ$20,0))</f>
        <v/>
      </c>
      <c r="BA34" s="228" t="str">
        <f>IF(BA15="","",IF(BA15&lt;&gt;"",'3. Finansiering'!BA$20,0))</f>
        <v/>
      </c>
    </row>
    <row r="35" spans="1:53">
      <c r="A35" s="494"/>
      <c r="B35" s="227" t="inlineStr">
        <is>
          <t>Amortering återstående skuld (vid exit)</t>
        </is>
      </c>
      <c r="C35" s="227"/>
      <c r="D35" s="228">
        <f>IF(E$15="",IF('2. Kalkyldata'!$M$3+'2. Kalkyldata'!$Q$17-1='5. IRR'!D15,-HLOOKUP(D$15,'3. Finansiering'!$D$13:$BA$26,10,FALSE),0),0)</f>
        <v>0.0</v>
      </c>
      <c r="E35" s="228">
        <f>IF(F$15="",IF('2. Kalkyldata'!$M$3+'2. Kalkyldata'!$Q$17-1='5. IRR'!E15,-HLOOKUP(E$15,'3. Finansiering'!$D$13:$BA$26,10,FALSE),0),0)</f>
        <v>0.0</v>
      </c>
      <c r="F35" s="228">
        <f>IF(G$15="",IF('2. Kalkyldata'!$M$3+'2. Kalkyldata'!$Q$17-1='5. IRR'!F15,-HLOOKUP(F$15,'3. Finansiering'!$D$13:$BA$26,10,FALSE),0),0)</f>
        <v>0.0</v>
      </c>
      <c r="G35" s="228">
        <f>IF(H$15="",IF('2. Kalkyldata'!$M$3+'2. Kalkyldata'!$Q$17-1='5. IRR'!G15,-HLOOKUP(G$15,'3. Finansiering'!$D$13:$BA$26,10,FALSE),0),0)</f>
        <v>0.0</v>
      </c>
      <c r="H35" s="228">
        <f>IF(I$15="",IF('2. Kalkyldata'!$M$3+'2. Kalkyldata'!$Q$17-1='5. IRR'!H15,-HLOOKUP(H$15,'3. Finansiering'!$D$13:$BA$26,10,FALSE),0),0)</f>
        <v>0.0</v>
      </c>
      <c r="I35" s="228">
        <f>IF(J$15="",IF('2. Kalkyldata'!$M$3+'2. Kalkyldata'!$Q$17-1='5. IRR'!I15,-HLOOKUP(I$15,'3. Finansiering'!$D$13:$BA$26,10,FALSE),0),0)</f>
        <v>0.0</v>
      </c>
      <c r="J35" s="228">
        <f>IF(K$15="",IF('2. Kalkyldata'!$M$3+'2. Kalkyldata'!$Q$17-1='5. IRR'!J15,-HLOOKUP(J$15,'3. Finansiering'!$D$13:$BA$26,10,FALSE),0),0)</f>
        <v>0.0</v>
      </c>
      <c r="K35" s="228">
        <f>IF(L$15="",IF('2. Kalkyldata'!$M$3+'2. Kalkyldata'!$Q$17-1='5. IRR'!K15,-HLOOKUP(K$15,'3. Finansiering'!$D$13:$BA$26,10,FALSE),0),0)</f>
        <v>0.0</v>
      </c>
      <c r="L35" s="228">
        <f>IF(M$15="",IF('2. Kalkyldata'!$M$3+'2. Kalkyldata'!$Q$17-1='5. IRR'!L15,-HLOOKUP(L$15,'3. Finansiering'!$D$13:$BA$26,10,FALSE),0),0)</f>
        <v>0.0</v>
      </c>
      <c r="M35" s="228">
        <f>IF(N$15="",IF('2. Kalkyldata'!$M$3+'2. Kalkyldata'!$Q$17-1='5. IRR'!M15,-HLOOKUP(M$15,'3. Finansiering'!$D$13:$BA$26,10,FALSE),0),0)</f>
        <v>0.0</v>
      </c>
      <c r="N35" s="228">
        <f>IF(O$15="",IF('2. Kalkyldata'!$M$3+'2. Kalkyldata'!$Q$17-1='5. IRR'!N15,-HLOOKUP(N$15,'3. Finansiering'!$D$13:$BA$26,10,FALSE),0),0)</f>
        <v>0.0</v>
      </c>
      <c r="O35" s="228">
        <f>IF(P$15="",IF('2. Kalkyldata'!$M$3+'2. Kalkyldata'!$Q$17-1='5. IRR'!O15,-HLOOKUP(O$15,'3. Finansiering'!$D$13:$BA$26,10,FALSE),0),0)</f>
        <v>0.0</v>
      </c>
      <c r="P35" s="228">
        <f>IF(Q$15="",IF('2. Kalkyldata'!$M$3+'2. Kalkyldata'!$Q$17-1='5. IRR'!P15,-HLOOKUP(P$15,'3. Finansiering'!$D$13:$BA$26,10,FALSE),0),0)</f>
        <v>0.0</v>
      </c>
      <c r="Q35" s="228">
        <f>IF(R$15="",IF('2. Kalkyldata'!$M$3+'2. Kalkyldata'!$Q$17-1='5. IRR'!Q15,-HLOOKUP(Q$15,'3. Finansiering'!$D$13:$BA$26,10,FALSE),0),0)</f>
        <v>0.0</v>
      </c>
      <c r="R35" s="228">
        <f>IF(S$15="",IF('2. Kalkyldata'!$M$3+'2. Kalkyldata'!$Q$17-1='5. IRR'!R15,-HLOOKUP(R$15,'3. Finansiering'!$D$13:$BA$26,10,FALSE),0),0)</f>
        <v>0.0</v>
      </c>
      <c r="S35" s="228">
        <f>IF(T$15="",IF('2. Kalkyldata'!$M$3+'2. Kalkyldata'!$Q$17-1='5. IRR'!S15,-HLOOKUP(S$15,'3. Finansiering'!$D$13:$BA$26,10,FALSE),0),0)</f>
        <v>0.0</v>
      </c>
      <c r="T35" s="228">
        <f>IF(U$15="",IF('2. Kalkyldata'!$M$3+'2. Kalkyldata'!$Q$17-1='5. IRR'!T15,-HLOOKUP(T$15,'3. Finansiering'!$D$13:$BA$26,10,FALSE),0),0)</f>
        <v>0.0</v>
      </c>
      <c r="U35" s="228">
        <f>IF(V$15="",IF('2. Kalkyldata'!$M$3+'2. Kalkyldata'!$Q$17-1='5. IRR'!U15,-HLOOKUP(U$15,'3. Finansiering'!$D$13:$BA$26,10,FALSE),0),0)</f>
        <v>0.0</v>
      </c>
      <c r="V35" s="228">
        <f>IF(W$15="",IF('2. Kalkyldata'!$M$3+'2. Kalkyldata'!$Q$17-1='5. IRR'!V15,-HLOOKUP(V$15,'3. Finansiering'!$D$13:$BA$26,10,FALSE),0),0)</f>
        <v>0.0</v>
      </c>
      <c r="W35" s="228">
        <f>IF(X$15="",IF('2. Kalkyldata'!$M$3+'2. Kalkyldata'!$Q$17-1='5. IRR'!W15,-HLOOKUP(W$15,'3. Finansiering'!$D$13:$BA$26,10,FALSE),0),0)</f>
        <v>-35519999.99999999</v>
      </c>
      <c r="X35" s="228">
        <f>IF(Y$15="",IF('2. Kalkyldata'!$M$3+'2. Kalkyldata'!$Q$17-1='5. IRR'!X15,-HLOOKUP(X$15,'3. Finansiering'!$D$13:$BA$26,10,FALSE),0),0)</f>
        <v>0.0</v>
      </c>
      <c r="Y35" s="228">
        <f>IF(Z$15="",IF('2. Kalkyldata'!$M$3+'2. Kalkyldata'!$Q$17-1='5. IRR'!Y15,-HLOOKUP(Y$15,'3. Finansiering'!$D$13:$BA$26,10,FALSE),0),0)</f>
        <v>0.0</v>
      </c>
      <c r="Z35" s="228">
        <f>IF(AA$15="",IF('2. Kalkyldata'!$M$3+'2. Kalkyldata'!$Q$17-1='5. IRR'!Z15,-HLOOKUP(Z$15,'3. Finansiering'!$D$13:$BA$26,10,FALSE),0),0)</f>
        <v>0.0</v>
      </c>
      <c r="AA35" s="228">
        <f>IF(AB$15="",IF('2. Kalkyldata'!$M$3+'2. Kalkyldata'!$Q$17-1='5. IRR'!AA15,-HLOOKUP(AA$15,'3. Finansiering'!$D$13:$BA$26,10,FALSE),0),0)</f>
        <v>0.0</v>
      </c>
      <c r="AB35" s="228">
        <f>IF(AC$15="",IF('2. Kalkyldata'!$M$3+'2. Kalkyldata'!$Q$17-1='5. IRR'!AB15,-HLOOKUP(AB$15,'3. Finansiering'!$D$13:$BA$26,10,FALSE),0),0)</f>
        <v>0.0</v>
      </c>
      <c r="AC35" s="228">
        <f>IF(AD$15="",IF('2. Kalkyldata'!$M$3+'2. Kalkyldata'!$Q$17-1='5. IRR'!AC15,-HLOOKUP(AC$15,'3. Finansiering'!$D$13:$BA$26,10,FALSE),0),0)</f>
        <v>0.0</v>
      </c>
      <c r="AD35" s="228">
        <f>IF(AE$15="",IF('2. Kalkyldata'!$M$3+'2. Kalkyldata'!$Q$17-1='5. IRR'!AD15,-HLOOKUP(AD$15,'3. Finansiering'!$D$13:$BA$26,10,FALSE),0),0)</f>
        <v>0.0</v>
      </c>
      <c r="AE35" s="228">
        <f>IF(AF$15="",IF('2. Kalkyldata'!$M$3+'2. Kalkyldata'!$Q$17-1='5. IRR'!AE15,-HLOOKUP(AE$15,'3. Finansiering'!$D$13:$BA$26,10,FALSE),0),0)</f>
        <v>0.0</v>
      </c>
      <c r="AF35" s="228">
        <f>IF(AG$15="",IF('2. Kalkyldata'!$M$3+'2. Kalkyldata'!$Q$17-1='5. IRR'!AF15,-HLOOKUP(AF$15,'3. Finansiering'!$D$13:$BA$26,10,FALSE),0),0)</f>
        <v>0.0</v>
      </c>
      <c r="AG35" s="228">
        <f>IF(AH$15="",IF('2. Kalkyldata'!$M$3+'2. Kalkyldata'!$Q$17-1='5. IRR'!AG15,-HLOOKUP(AG$15,'3. Finansiering'!$D$13:$BA$26,10,FALSE),0),0)</f>
        <v>0.0</v>
      </c>
      <c r="AH35" s="228">
        <f>IF(AI$15="",IF('2. Kalkyldata'!$M$3+'2. Kalkyldata'!$Q$17-1='5. IRR'!AH15,-HLOOKUP(AH$15,'3. Finansiering'!$D$13:$BA$26,10,FALSE),0),0)</f>
        <v>0.0</v>
      </c>
      <c r="AI35" s="228">
        <f>IF(AJ$15="",IF('2. Kalkyldata'!$M$3+'2. Kalkyldata'!$Q$17-1='5. IRR'!AI15,-HLOOKUP(AI$15,'3. Finansiering'!$D$13:$BA$26,10,FALSE),0),0)</f>
        <v>0.0</v>
      </c>
      <c r="AJ35" s="228">
        <f>IF(AK$15="",IF('2. Kalkyldata'!$M$3+'2. Kalkyldata'!$Q$17-1='5. IRR'!AJ15,-HLOOKUP(AJ$15,'3. Finansiering'!$D$13:$BA$26,10,FALSE),0),0)</f>
        <v>0.0</v>
      </c>
      <c r="AK35" s="228">
        <f>IF(AL$15="",IF('2. Kalkyldata'!$M$3+'2. Kalkyldata'!$Q$17-1='5. IRR'!AK15,-HLOOKUP(AK$15,'3. Finansiering'!$D$13:$BA$26,10,FALSE),0),0)</f>
        <v>0.0</v>
      </c>
      <c r="AL35" s="228">
        <f>IF(AM$15="",IF('2. Kalkyldata'!$M$3+'2. Kalkyldata'!$Q$17-1='5. IRR'!AL15,-HLOOKUP(AL$15,'3. Finansiering'!$D$13:$BA$26,10,FALSE),0),0)</f>
        <v>0.0</v>
      </c>
      <c r="AM35" s="228">
        <f>IF(AN$15="",IF('2. Kalkyldata'!$M$3+'2. Kalkyldata'!$Q$17-1='5. IRR'!AM15,-HLOOKUP(AM$15,'3. Finansiering'!$D$13:$BA$26,10,FALSE),0),0)</f>
        <v>0.0</v>
      </c>
      <c r="AN35" s="228">
        <f>IF(AO$15="",IF('2. Kalkyldata'!$M$3+'2. Kalkyldata'!$Q$17-1='5. IRR'!AN15,-HLOOKUP(AN$15,'3. Finansiering'!$D$13:$BA$26,10,FALSE),0),0)</f>
        <v>0.0</v>
      </c>
      <c r="AO35" s="228">
        <f>IF(AP$15="",IF('2. Kalkyldata'!$M$3+'2. Kalkyldata'!$Q$17-1='5. IRR'!AO15,-HLOOKUP(AO$15,'3. Finansiering'!$D$13:$BA$26,10,FALSE),0),0)</f>
        <v>0.0</v>
      </c>
      <c r="AP35" s="228">
        <f>IF(AQ$15="",IF('2. Kalkyldata'!$M$3+'2. Kalkyldata'!$Q$17-1='5. IRR'!AP15,-HLOOKUP(AP$15,'3. Finansiering'!$D$13:$BA$26,10,FALSE),0),0)</f>
        <v>0.0</v>
      </c>
      <c r="AQ35" s="228">
        <f>IF(AR$15="",IF('2. Kalkyldata'!$M$3+'2. Kalkyldata'!$Q$17-1='5. IRR'!AQ15,-HLOOKUP(AQ$15,'3. Finansiering'!$D$13:$BA$26,10,FALSE),0),0)</f>
        <v>0.0</v>
      </c>
      <c r="AR35" s="228">
        <f>IF(AS$15="",IF('2. Kalkyldata'!$M$3+'2. Kalkyldata'!$Q$17-1='5. IRR'!AR15,-HLOOKUP(AR$15,'3. Finansiering'!$D$13:$BA$26,10,FALSE),0),0)</f>
        <v>0.0</v>
      </c>
      <c r="AS35" s="228">
        <f>IF(AT$15="",IF('2. Kalkyldata'!$M$3+'2. Kalkyldata'!$Q$17-1='5. IRR'!AS15,-HLOOKUP(AS$15,'3. Finansiering'!$D$13:$BA$26,10,FALSE),0),0)</f>
        <v>0.0</v>
      </c>
      <c r="AT35" s="228">
        <f>IF(AU$15="",IF('2. Kalkyldata'!$M$3+'2. Kalkyldata'!$Q$17-1='5. IRR'!AT15,-HLOOKUP(AT$15,'3. Finansiering'!$D$13:$BA$26,10,FALSE),0),0)</f>
        <v>0.0</v>
      </c>
      <c r="AU35" s="228">
        <f>IF(AV$15="",IF('2. Kalkyldata'!$M$3+'2. Kalkyldata'!$Q$17-1='5. IRR'!AU15,-HLOOKUP(AU$15,'3. Finansiering'!$D$13:$BA$26,10,FALSE),0),0)</f>
        <v>0.0</v>
      </c>
      <c r="AV35" s="228">
        <f>IF(AW$15="",IF('2. Kalkyldata'!$M$3+'2. Kalkyldata'!$Q$17-1='5. IRR'!AV15,-HLOOKUP(AV$15,'3. Finansiering'!$D$13:$BA$26,10,FALSE),0),0)</f>
        <v>0.0</v>
      </c>
      <c r="AW35" s="228">
        <f>IF(AX$15="",IF('2. Kalkyldata'!$M$3+'2. Kalkyldata'!$Q$17-1='5. IRR'!AW15,-HLOOKUP(AW$15,'3. Finansiering'!$D$13:$BA$26,10,FALSE),0),0)</f>
        <v>0.0</v>
      </c>
      <c r="AX35" s="228">
        <f>IF(AY$15="",IF('2. Kalkyldata'!$M$3+'2. Kalkyldata'!$Q$17-1='5. IRR'!AX15,-HLOOKUP(AX$15,'3. Finansiering'!$D$13:$BA$26,10,FALSE),0),0)</f>
        <v>0.0</v>
      </c>
      <c r="AY35" s="228">
        <f>IF(AZ$15="",IF('2. Kalkyldata'!$M$3+'2. Kalkyldata'!$Q$17-1='5. IRR'!AY15,-HLOOKUP(AY$15,'3. Finansiering'!$D$13:$BA$26,10,FALSE),0),0)</f>
        <v>0.0</v>
      </c>
      <c r="AZ35" s="228">
        <f>IF(BA$15="",IF('2. Kalkyldata'!$M$3+'2. Kalkyldata'!$Q$17-1='5. IRR'!AZ15,-HLOOKUP(AZ$15,'3. Finansiering'!$D$13:$BA$26,10,FALSE),0),0)</f>
        <v>0.0</v>
      </c>
      <c r="BA35" s="228">
        <f>IF(BB$15="",IF('2. Kalkyldata'!$M$3+'2. Kalkyldata'!$Q$17-1='5. IRR'!BA15,-HLOOKUP(BA$15,'3. Finansiering'!$D$13:$BA$26,10,FALSE),0),0)</f>
        <v>0.0</v>
      </c>
    </row>
    <row r="36" spans="1:53">
      <c r="A36" s="494"/>
      <c r="B36" s="415"/>
      <c r="C36" s="415"/>
      <c r="D36" s="415"/>
      <c r="E36" s="415"/>
      <c r="F36" s="415"/>
      <c r="G36" s="415"/>
      <c r="H36" s="415"/>
      <c r="I36" s="415"/>
      <c r="J36" s="415"/>
      <c r="K36" s="415"/>
      <c r="L36" s="415"/>
      <c r="M36" s="415"/>
      <c r="N36" s="415"/>
      <c r="O36" s="415"/>
      <c r="P36" s="415"/>
      <c r="Q36" s="415"/>
      <c r="R36" s="415"/>
      <c r="S36" s="415"/>
      <c r="T36" s="415"/>
      <c r="U36" s="415"/>
      <c r="V36" s="415"/>
      <c r="W36" s="415"/>
      <c r="X36" s="415"/>
      <c r="Y36" s="415"/>
      <c r="Z36" s="415"/>
      <c r="AA36" s="415"/>
      <c r="AB36" s="415"/>
      <c r="AC36" s="415"/>
      <c r="AD36" s="415"/>
      <c r="AE36" s="415"/>
      <c r="AF36" s="415"/>
      <c r="AG36" s="415"/>
      <c r="AH36" s="415"/>
      <c r="AI36" s="415"/>
      <c r="AJ36" s="415"/>
      <c r="AK36" s="415"/>
      <c r="AL36" s="415"/>
      <c r="AM36" s="415"/>
      <c r="AN36" s="415"/>
      <c r="AO36" s="415"/>
      <c r="AP36" s="415"/>
      <c r="AQ36" s="415"/>
      <c r="AR36" s="415"/>
      <c r="AS36" s="415"/>
      <c r="AT36" s="415"/>
      <c r="AU36" s="415"/>
      <c r="AV36" s="415"/>
      <c r="AW36" s="415"/>
      <c r="AX36" s="415"/>
      <c r="AY36" s="415"/>
      <c r="AZ36" s="415"/>
      <c r="BA36" s="415"/>
    </row>
    <row r="37" spans="1:53" ht="15">
      <c r="A37" s="19"/>
      <c r="B37" s="412" t="inlineStr">
        <is>
          <t>KASSAFLÖDE, före skatt</t>
        </is>
      </c>
      <c r="C37" s="412" t="s">
        <v>421</v>
      </c>
      <c r="D37" s="414">
        <f>IFERROR(((D$18+D$20+D$21+D$31+D$34+D$35)-D$29)-D$27,"")</f>
        <v>-143301875.19999996</v>
      </c>
      <c r="E37" s="414">
        <f t="shared" ref="E37:BA37" si="10">IFERROR(((E$18+E$20+E$21+E$31+E$34+E$35)-E$29)-E$27,"")</f>
        <v>8023511.040000001</v>
      </c>
      <c r="F37" s="414">
        <f t="shared" si="10"/>
        <v>8158767.660000002</v>
      </c>
      <c r="G37" s="414">
        <f t="shared" si="10"/>
        <v>8303915.3487599995</v>
      </c>
      <c r="H37" s="414">
        <f t="shared" si="10"/>
        <v>8458974.94267464</v>
      </c>
      <c r="I37" s="414">
        <f t="shared" si="10"/>
        <v>8623967.424999926</v>
      </c>
      <c r="J37" s="414">
        <f t="shared" si="10"/>
        <v>8798913.92501232</v>
      </c>
      <c r="K37" s="414">
        <f t="shared" si="10"/>
        <v>8983835.717098141</v>
      </c>
      <c r="L37" s="414">
        <f t="shared" si="10"/>
        <v>9178754.219771074</v>
      </c>
      <c r="M37" s="414">
        <f t="shared" si="10"/>
        <v>9383690.994615696</v>
      </c>
      <c r="N37" s="414">
        <f t="shared" si="10"/>
        <v>9598667.745154701</v>
      </c>
      <c r="O37" s="414">
        <f t="shared" si="10"/>
        <v>9907817.67563754</v>
      </c>
      <c r="P37" s="414">
        <f t="shared" si="10"/>
        <v>10219165.96974815</v>
      </c>
      <c r="Q37" s="414">
        <f t="shared" si="10"/>
        <v>10532734.749229345</v>
      </c>
      <c r="R37" s="414">
        <f t="shared" si="10"/>
        <v>10848546.272421371</v>
      </c>
      <c r="S37" s="414">
        <f t="shared" si="10"/>
        <v>11166622.932712145</v>
      </c>
      <c r="T37" s="414">
        <f t="shared" si="10"/>
        <v>11486987.25689652</v>
      </c>
      <c r="U37" s="414">
        <f t="shared" si="10"/>
        <v>11809661.903442007</v>
      </c>
      <c r="V37" s="414">
        <f t="shared" si="10"/>
        <v>12134669.66065811</v>
      </c>
      <c r="W37" s="414">
        <f t="shared" si="10"/>
        <v>248882033.44476655</v>
      </c>
      <c r="X37" s="414" t="str">
        <f t="shared" si="10"/>
        <v/>
      </c>
      <c r="Y37" s="414" t="str">
        <f t="shared" si="10"/>
        <v/>
      </c>
      <c r="Z37" s="414" t="str">
        <f t="shared" si="10"/>
        <v/>
      </c>
      <c r="AA37" s="414" t="str">
        <f t="shared" si="10"/>
        <v/>
      </c>
      <c r="AB37" s="414" t="str">
        <f t="shared" si="10"/>
        <v/>
      </c>
      <c r="AC37" s="414" t="str">
        <f t="shared" si="10"/>
        <v/>
      </c>
      <c r="AD37" s="414" t="str">
        <f t="shared" si="10"/>
        <v/>
      </c>
      <c r="AE37" s="414" t="str">
        <f t="shared" si="10"/>
        <v/>
      </c>
      <c r="AF37" s="414" t="str">
        <f t="shared" si="10"/>
        <v/>
      </c>
      <c r="AG37" s="414" t="str">
        <f t="shared" si="10"/>
        <v/>
      </c>
      <c r="AH37" s="414" t="str">
        <f t="shared" si="10"/>
        <v/>
      </c>
      <c r="AI37" s="414" t="str">
        <f t="shared" si="10"/>
        <v/>
      </c>
      <c r="AJ37" s="414" t="str">
        <f t="shared" si="10"/>
        <v/>
      </c>
      <c r="AK37" s="414" t="str">
        <f t="shared" si="10"/>
        <v/>
      </c>
      <c r="AL37" s="414" t="str">
        <f t="shared" si="10"/>
        <v/>
      </c>
      <c r="AM37" s="414" t="str">
        <f t="shared" si="10"/>
        <v/>
      </c>
      <c r="AN37" s="414" t="str">
        <f t="shared" si="10"/>
        <v/>
      </c>
      <c r="AO37" s="414" t="str">
        <f t="shared" si="10"/>
        <v/>
      </c>
      <c r="AP37" s="414" t="str">
        <f t="shared" si="10"/>
        <v/>
      </c>
      <c r="AQ37" s="414" t="str">
        <f t="shared" si="10"/>
        <v/>
      </c>
      <c r="AR37" s="414" t="str">
        <f t="shared" si="10"/>
        <v/>
      </c>
      <c r="AS37" s="414" t="str">
        <f t="shared" si="10"/>
        <v/>
      </c>
      <c r="AT37" s="414" t="str">
        <f t="shared" si="10"/>
        <v/>
      </c>
      <c r="AU37" s="414" t="str">
        <f t="shared" si="10"/>
        <v/>
      </c>
      <c r="AV37" s="414" t="str">
        <f t="shared" si="10"/>
        <v/>
      </c>
      <c r="AW37" s="414" t="str">
        <f t="shared" si="10"/>
        <v/>
      </c>
      <c r="AX37" s="414" t="str">
        <f t="shared" si="10"/>
        <v/>
      </c>
      <c r="AY37" s="414" t="str">
        <f t="shared" si="10"/>
        <v/>
      </c>
      <c r="AZ37" s="414" t="str">
        <f t="shared" si="10"/>
        <v/>
      </c>
      <c r="BA37" s="414" t="str">
        <f t="shared" si="10"/>
        <v/>
      </c>
    </row>
    <row r="38" spans="1:53" ht="15">
      <c r="A38" s="19"/>
      <c r="B38" s="412" t="inlineStr">
        <is>
          <t>KASSAFLÖDE, efter skatt</t>
        </is>
      </c>
      <c r="C38" s="412"/>
      <c r="D38" s="414">
        <f>IFERROR(((D$18+D$20+D$21+D$33+D$34+D$35)-D$29)-D$27,"")</f>
        <v>-143979491.09061813</v>
      </c>
      <c r="E38" s="414">
        <f t="shared" ref="E38:BA38" si="11">IFERROR(((E$18+E$20+E$21+E$33+E$34+E$35)-E$29)-E$27,"")</f>
        <v>7320065.583941819</v>
      </c>
      <c r="F38" s="414">
        <f t="shared" si="11"/>
        <v>7427459.34022182</v>
      </c>
      <c r="G38" s="414">
        <f t="shared" si="11"/>
        <v>7542706.605097258</v>
      </c>
      <c r="H38" s="414">
        <f t="shared" si="11"/>
        <v>7665823.922665482</v>
      </c>
      <c r="I38" s="414">
        <f t="shared" si="11"/>
        <v>7796827.953631761</v>
      </c>
      <c r="J38" s="414">
        <f t="shared" si="11"/>
        <v>7935735.474641601</v>
      </c>
      <c r="K38" s="414">
        <f t="shared" si="11"/>
        <v>8082563.377557742</v>
      </c>
      <c r="L38" s="414">
        <f t="shared" si="11"/>
        <v>8237328.668680051</v>
      </c>
      <c r="M38" s="414">
        <f t="shared" si="11"/>
        <v>8400048.467906682</v>
      </c>
      <c r="N38" s="414">
        <f t="shared" si="11"/>
        <v>8570740.00783465</v>
      </c>
      <c r="O38" s="414">
        <f t="shared" si="11"/>
        <v>8816205.052638024</v>
      </c>
      <c r="P38" s="414">
        <f t="shared" si="11"/>
        <v>9063415.59816185</v>
      </c>
      <c r="Q38" s="414">
        <f t="shared" si="11"/>
        <v>9312389.209069919</v>
      </c>
      <c r="R38" s="414">
        <f t="shared" si="11"/>
        <v>9563143.558484387</v>
      </c>
      <c r="S38" s="414">
        <f t="shared" si="11"/>
        <v>9815696.426755263</v>
      </c>
      <c r="T38" s="414">
        <f t="shared" si="11"/>
        <v>10070065.700157655</v>
      </c>
      <c r="U38" s="414">
        <f t="shared" si="11"/>
        <v>10326269.36951477</v>
      </c>
      <c r="V38" s="414">
        <f t="shared" si="11"/>
        <v>10584325.528744359</v>
      </c>
      <c r="W38" s="414">
        <f t="shared" si="11"/>
        <v>210720976.00969008</v>
      </c>
      <c r="X38" s="414" t="str">
        <f t="shared" si="11"/>
        <v/>
      </c>
      <c r="Y38" s="414" t="str">
        <f t="shared" si="11"/>
        <v/>
      </c>
      <c r="Z38" s="414" t="str">
        <f t="shared" si="11"/>
        <v/>
      </c>
      <c r="AA38" s="414" t="str">
        <f t="shared" si="11"/>
        <v/>
      </c>
      <c r="AB38" s="414" t="str">
        <f t="shared" si="11"/>
        <v/>
      </c>
      <c r="AC38" s="414" t="str">
        <f t="shared" si="11"/>
        <v/>
      </c>
      <c r="AD38" s="414" t="str">
        <f t="shared" si="11"/>
        <v/>
      </c>
      <c r="AE38" s="414" t="str">
        <f t="shared" si="11"/>
        <v/>
      </c>
      <c r="AF38" s="414" t="str">
        <f t="shared" si="11"/>
        <v/>
      </c>
      <c r="AG38" s="414" t="str">
        <f t="shared" si="11"/>
        <v/>
      </c>
      <c r="AH38" s="414" t="str">
        <f t="shared" si="11"/>
        <v/>
      </c>
      <c r="AI38" s="414" t="str">
        <f t="shared" si="11"/>
        <v/>
      </c>
      <c r="AJ38" s="414" t="str">
        <f t="shared" si="11"/>
        <v/>
      </c>
      <c r="AK38" s="414" t="str">
        <f t="shared" si="11"/>
        <v/>
      </c>
      <c r="AL38" s="414" t="str">
        <f t="shared" si="11"/>
        <v/>
      </c>
      <c r="AM38" s="414" t="str">
        <f t="shared" si="11"/>
        <v/>
      </c>
      <c r="AN38" s="414" t="str">
        <f t="shared" si="11"/>
        <v/>
      </c>
      <c r="AO38" s="414" t="str">
        <f t="shared" si="11"/>
        <v/>
      </c>
      <c r="AP38" s="414" t="str">
        <f t="shared" si="11"/>
        <v/>
      </c>
      <c r="AQ38" s="414" t="str">
        <f t="shared" si="11"/>
        <v/>
      </c>
      <c r="AR38" s="414" t="str">
        <f t="shared" si="11"/>
        <v/>
      </c>
      <c r="AS38" s="414" t="str">
        <f t="shared" si="11"/>
        <v/>
      </c>
      <c r="AT38" s="414" t="str">
        <f t="shared" si="11"/>
        <v/>
      </c>
      <c r="AU38" s="414" t="str">
        <f t="shared" si="11"/>
        <v/>
      </c>
      <c r="AV38" s="414" t="str">
        <f t="shared" si="11"/>
        <v/>
      </c>
      <c r="AW38" s="414" t="str">
        <f t="shared" si="11"/>
        <v/>
      </c>
      <c r="AX38" s="414" t="str">
        <f t="shared" si="11"/>
        <v/>
      </c>
      <c r="AY38" s="414" t="str">
        <f t="shared" si="11"/>
        <v/>
      </c>
      <c r="AZ38" s="414" t="str">
        <f t="shared" si="11"/>
        <v/>
      </c>
      <c r="BA38" s="414" t="str">
        <f t="shared" si="11"/>
        <v/>
      </c>
    </row>
    <row r="39" spans="1:53">
      <c r="A39" s="494"/>
      <c r="B39" s="494"/>
      <c r="C39" s="494"/>
      <c r="D39" s="598"/>
      <c r="E39" s="494"/>
      <c r="F39" s="494"/>
      <c r="G39" s="494"/>
      <c r="H39" s="494"/>
      <c r="I39" s="494"/>
      <c r="J39" s="494"/>
      <c r="K39" s="494"/>
      <c r="L39" s="494"/>
      <c r="M39" s="494"/>
      <c r="N39" s="494"/>
      <c r="O39" s="494"/>
      <c r="P39" s="494"/>
      <c r="Q39" s="494"/>
      <c r="R39" s="494"/>
      <c r="S39" s="494"/>
      <c r="T39" s="494"/>
      <c r="U39" s="494"/>
      <c r="V39" s="494"/>
      <c r="W39" s="494"/>
      <c r="X39" s="494"/>
      <c r="Y39" s="494"/>
      <c r="Z39" s="494"/>
      <c r="AA39" s="494"/>
      <c r="AB39" s="494"/>
      <c r="AC39" s="494"/>
      <c r="AD39" s="494"/>
      <c r="AE39" s="494"/>
      <c r="AF39" s="494"/>
      <c r="AG39" s="494"/>
      <c r="AH39" s="494"/>
      <c r="AI39" s="494"/>
      <c r="AJ39" s="494"/>
      <c r="AK39" s="494"/>
      <c r="AL39" s="494"/>
      <c r="AM39" s="494"/>
      <c r="AN39" s="494"/>
      <c r="AO39" s="494"/>
      <c r="AP39" s="494"/>
      <c r="AQ39" s="494"/>
      <c r="AR39" s="494"/>
      <c r="AS39" s="494"/>
      <c r="AT39" s="494"/>
      <c r="AU39" s="494"/>
      <c r="AV39" s="494"/>
      <c r="AW39" s="494"/>
      <c r="AX39" s="494"/>
      <c r="AY39" s="494"/>
      <c r="AZ39" s="494"/>
      <c r="BA39" s="494"/>
    </row>
    <row r="40" spans="1:53" ht="23.25">
      <c r="A40" s="19"/>
      <c r="B40" s="441" t="inlineStr">
        <is>
          <t>IRR eget kapital, före skatt</t>
        </is>
      </c>
      <c r="C40" s="441"/>
      <c r="D40" s="793">
        <f>IFERROR(IRR(D37:BA37),"N/A")</f>
        <v>0.08080374302175485</v>
      </c>
      <c r="E40" s="905" t="inlineStr">
        <is>
          <t>← Krav 2: jämförs med IRR-kravet på 2. Kalkyldata (F14)</t>
        </is>
      </c>
      <c r="F40" s="494"/>
      <c r="G40" s="598"/>
      <c r="H40" s="494"/>
      <c r="I40" s="494"/>
      <c r="J40" s="494"/>
      <c r="K40" s="494"/>
      <c r="L40" s="494"/>
      <c r="M40" s="494"/>
      <c r="N40" s="494"/>
      <c r="O40" s="494"/>
      <c r="P40" s="494"/>
      <c r="Q40" s="494"/>
      <c r="R40" s="494"/>
      <c r="S40" s="494"/>
      <c r="T40" s="494"/>
      <c r="U40" s="494"/>
      <c r="V40" s="494"/>
      <c r="W40" s="494"/>
      <c r="X40" s="494"/>
      <c r="Y40" s="494"/>
      <c r="Z40" s="494"/>
      <c r="AA40" s="494"/>
      <c r="AB40" s="494"/>
      <c r="AC40" s="494"/>
      <c r="AD40" s="494"/>
      <c r="AE40" s="494"/>
      <c r="AF40" s="494"/>
      <c r="AG40" s="494"/>
      <c r="AH40" s="494"/>
      <c r="AI40" s="494"/>
      <c r="AJ40" s="494"/>
      <c r="AK40" s="494"/>
      <c r="AL40" s="494"/>
      <c r="AM40" s="494"/>
      <c r="AN40" s="494"/>
      <c r="AO40" s="494"/>
      <c r="AP40" s="494"/>
      <c r="AQ40" s="494"/>
      <c r="AR40" s="494"/>
      <c r="AS40" s="494"/>
      <c r="AT40" s="494"/>
      <c r="AU40" s="494"/>
      <c r="AV40" s="494"/>
      <c r="AW40" s="494"/>
      <c r="AX40" s="494"/>
      <c r="AY40" s="494"/>
      <c r="AZ40" s="494"/>
      <c r="BA40" s="494"/>
    </row>
    <row r="41" spans="1:53" ht="15">
      <c r="A41" s="494"/>
      <c r="B41" s="443" t="inlineStr">
        <is>
          <t>IRR eget kapital, efter skatt</t>
        </is>
      </c>
      <c r="C41" s="443"/>
      <c r="D41" s="794">
        <f>IFERROR(IRR(D38:BA38),"N/A")</f>
        <v>0.06904368480407501</v>
      </c>
      <c r="E41" s="494"/>
      <c r="F41" s="620"/>
      <c r="G41" s="494"/>
      <c r="H41" s="494"/>
      <c r="I41" s="494"/>
      <c r="J41" s="494"/>
      <c r="K41" s="494"/>
      <c r="L41" s="494"/>
      <c r="M41" s="494"/>
      <c r="N41" s="494"/>
      <c r="O41" s="494"/>
      <c r="P41" s="494"/>
      <c r="Q41" s="494"/>
      <c r="R41" s="494"/>
      <c r="S41" s="494"/>
      <c r="T41" s="494"/>
      <c r="U41" s="494"/>
      <c r="V41" s="494"/>
      <c r="W41" s="494"/>
      <c r="X41" s="494"/>
      <c r="Y41" s="494"/>
      <c r="Z41" s="494"/>
      <c r="AA41" s="494"/>
      <c r="AB41" s="494"/>
      <c r="AC41" s="494"/>
      <c r="AD41" s="494"/>
      <c r="AE41" s="494"/>
      <c r="AF41" s="494"/>
      <c r="AG41" s="494"/>
      <c r="AH41" s="494"/>
      <c r="AI41" s="494"/>
      <c r="AJ41" s="494"/>
      <c r="AK41" s="494"/>
      <c r="AL41" s="494"/>
      <c r="AM41" s="494"/>
      <c r="AN41" s="494"/>
      <c r="AO41" s="494"/>
      <c r="AP41" s="494"/>
      <c r="AQ41" s="494"/>
      <c r="AR41" s="494"/>
      <c r="AS41" s="494"/>
      <c r="AT41" s="494"/>
      <c r="AU41" s="494"/>
      <c r="AV41" s="494"/>
      <c r="AW41" s="494"/>
      <c r="AX41" s="494"/>
      <c r="AY41" s="494"/>
      <c r="AZ41" s="494"/>
      <c r="BA41" s="494"/>
    </row>
    <row r="42" spans="1:53" ht="15" hidden="1" outlineLevel="1">
      <c r="A42" s="494"/>
      <c r="B42" s="494"/>
      <c r="C42" s="494"/>
      <c r="D42" s="494"/>
      <c r="E42" s="494"/>
      <c r="F42" s="494"/>
      <c r="G42" s="494"/>
      <c r="H42" s="494"/>
      <c r="I42" s="494"/>
      <c r="J42" s="494"/>
      <c r="K42" s="494"/>
      <c r="L42" s="19" t="s">
        <v>280</v>
      </c>
      <c r="M42" s="494"/>
      <c r="N42" s="494"/>
      <c r="O42" s="494"/>
      <c r="P42" s="494"/>
      <c r="Q42" s="494"/>
      <c r="R42" s="494"/>
      <c r="S42" s="494"/>
      <c r="T42" s="494"/>
      <c r="U42" s="494"/>
      <c r="V42" s="494"/>
      <c r="W42" s="494"/>
      <c r="X42" s="494"/>
      <c r="Y42" s="494"/>
      <c r="Z42" s="494"/>
      <c r="AA42" s="494"/>
      <c r="AB42" s="494"/>
      <c r="AC42" s="494"/>
      <c r="AD42" s="494"/>
      <c r="AE42" s="494"/>
      <c r="AF42" s="494"/>
      <c r="AG42" s="494"/>
      <c r="AH42" s="494"/>
      <c r="AI42" s="494"/>
      <c r="AJ42" s="494"/>
      <c r="AK42" s="494"/>
      <c r="AL42" s="494"/>
      <c r="AM42" s="494"/>
      <c r="AN42" s="494"/>
      <c r="AO42" s="494"/>
      <c r="AP42" s="494"/>
      <c r="AQ42" s="494"/>
      <c r="AR42" s="494"/>
      <c r="AS42" s="494"/>
      <c r="AT42" s="494"/>
      <c r="AU42" s="494"/>
      <c r="AV42" s="494"/>
      <c r="AW42" s="494"/>
      <c r="AX42" s="494"/>
      <c r="AY42" s="494"/>
      <c r="AZ42" s="494"/>
      <c r="BA42" s="494"/>
    </row>
    <row r="43" spans="1:53" hidden="1" outlineLevel="1">
      <c r="A43" s="494"/>
      <c r="B43" s="494"/>
      <c r="C43" s="494"/>
      <c r="D43" s="494"/>
      <c r="E43" s="494"/>
      <c r="F43" s="494"/>
      <c r="G43" s="494"/>
      <c r="H43" s="494"/>
      <c r="I43" s="494"/>
      <c r="J43" s="494"/>
      <c r="K43" s="494"/>
      <c r="L43" s="494" t="s">
        <v>281</v>
      </c>
      <c r="M43" s="598">
        <f t="shared" ref="M43:AJ43" si="12">M18</f>
        <v>0.0</v>
      </c>
      <c r="N43" s="598">
        <f t="shared" si="12"/>
        <v>0.0</v>
      </c>
      <c r="O43" s="598">
        <f t="shared" si="12"/>
        <v>0.0</v>
      </c>
      <c r="P43" s="598">
        <f t="shared" si="12"/>
        <v>0.0</v>
      </c>
      <c r="Q43" s="598">
        <f t="shared" si="12"/>
        <v>0.0</v>
      </c>
      <c r="R43" s="598">
        <f t="shared" si="12"/>
        <v>0.0</v>
      </c>
      <c r="S43" s="598">
        <f t="shared" si="12"/>
        <v>0.0</v>
      </c>
      <c r="T43" s="598">
        <f t="shared" si="12"/>
        <v>0.0</v>
      </c>
      <c r="U43" s="598">
        <f t="shared" si="12"/>
        <v>0.0</v>
      </c>
      <c r="V43" s="598">
        <f t="shared" si="12"/>
        <v>0.0</v>
      </c>
      <c r="W43" s="598">
        <f t="shared" si="12"/>
        <v>271940000.0</v>
      </c>
      <c r="X43" s="598">
        <f t="shared" si="12"/>
        <v>0.0</v>
      </c>
      <c r="Y43" s="598">
        <f t="shared" si="12"/>
        <v>0.0</v>
      </c>
      <c r="Z43" s="598">
        <f t="shared" si="12"/>
        <v>0.0</v>
      </c>
      <c r="AA43" s="598">
        <f t="shared" si="12"/>
        <v>0.0</v>
      </c>
      <c r="AB43" s="598">
        <f t="shared" si="12"/>
        <v>0.0</v>
      </c>
      <c r="AC43" s="598">
        <f t="shared" si="12"/>
        <v>0.0</v>
      </c>
      <c r="AD43" s="598">
        <f t="shared" si="12"/>
        <v>0.0</v>
      </c>
      <c r="AE43" s="598">
        <f t="shared" si="12"/>
        <v>0.0</v>
      </c>
      <c r="AF43" s="598">
        <f t="shared" si="12"/>
        <v>0.0</v>
      </c>
      <c r="AG43" s="598">
        <f t="shared" si="12"/>
        <v>0.0</v>
      </c>
      <c r="AH43" s="598">
        <f t="shared" si="12"/>
        <v>0.0</v>
      </c>
      <c r="AI43" s="598">
        <f t="shared" si="12"/>
        <v>0.0</v>
      </c>
      <c r="AJ43" s="598">
        <f t="shared" si="12"/>
        <v>0.0</v>
      </c>
      <c r="AK43" s="598"/>
      <c r="AL43" s="598"/>
      <c r="AM43" s="598"/>
      <c r="AN43" s="598"/>
      <c r="AO43" s="598"/>
      <c r="AP43" s="598"/>
      <c r="AQ43" s="598"/>
      <c r="AR43" s="598"/>
      <c r="AS43" s="598"/>
      <c r="AT43" s="598"/>
      <c r="AU43" s="598"/>
      <c r="AV43" s="598"/>
      <c r="AW43" s="598"/>
      <c r="AX43" s="598"/>
      <c r="AY43" s="598"/>
      <c r="AZ43" s="598"/>
      <c r="BA43" s="598"/>
    </row>
    <row r="44" spans="1:53" hidden="1" outlineLevel="1">
      <c r="A44" s="494"/>
      <c r="B44" s="494"/>
      <c r="C44" s="494"/>
      <c r="D44" s="494"/>
      <c r="E44" s="494"/>
      <c r="F44" s="494"/>
      <c r="G44" s="494"/>
      <c r="H44" s="494"/>
      <c r="I44" s="494"/>
      <c r="J44" s="494"/>
      <c r="K44" s="494"/>
      <c r="L44" s="494" t="s">
        <v>238</v>
      </c>
      <c r="M44" s="598">
        <f t="shared" ref="M44:AJ44" si="13">M23</f>
        <v>15367179.368103383</v>
      </c>
      <c r="N44" s="598">
        <f t="shared" si="13"/>
        <v>15564605.02211214</v>
      </c>
      <c r="O44" s="598">
        <f t="shared" si="13"/>
        <v>15764440.338134129</v>
      </c>
      <c r="P44" s="598">
        <f t="shared" si="13"/>
        <v>15966711.965494674</v>
      </c>
      <c r="Q44" s="598">
        <f t="shared" si="13"/>
        <v>16171446.784890799</v>
      </c>
      <c r="R44" s="598">
        <f t="shared" si="13"/>
        <v>16378671.908796053</v>
      </c>
      <c r="S44" s="598">
        <f t="shared" si="13"/>
        <v>16588414.68181432</v>
      </c>
      <c r="T44" s="598">
        <f t="shared" si="13"/>
        <v>16800702.68098074</v>
      </c>
      <c r="U44" s="598">
        <f t="shared" si="13"/>
        <v>17015563.71600791</v>
      </c>
      <c r="V44" s="598">
        <f t="shared" si="13"/>
        <v>17233025.829475332</v>
      </c>
      <c r="W44" s="598">
        <f t="shared" si="13"/>
        <v>17453117.296960164</v>
      </c>
      <c r="X44" s="598" t="str">
        <f t="shared" si="13"/>
        <v/>
      </c>
      <c r="Y44" s="598" t="str">
        <f t="shared" si="13"/>
        <v/>
      </c>
      <c r="Z44" s="598" t="str">
        <f t="shared" si="13"/>
        <v/>
      </c>
      <c r="AA44" s="598" t="str">
        <f t="shared" si="13"/>
        <v/>
      </c>
      <c r="AB44" s="598" t="str">
        <f t="shared" si="13"/>
        <v/>
      </c>
      <c r="AC44" s="598" t="str">
        <f t="shared" si="13"/>
        <v/>
      </c>
      <c r="AD44" s="598" t="str">
        <f t="shared" si="13"/>
        <v/>
      </c>
      <c r="AE44" s="598" t="str">
        <f t="shared" si="13"/>
        <v/>
      </c>
      <c r="AF44" s="598" t="str">
        <f t="shared" si="13"/>
        <v/>
      </c>
      <c r="AG44" s="598" t="str">
        <f t="shared" si="13"/>
        <v/>
      </c>
      <c r="AH44" s="598" t="str">
        <f t="shared" si="13"/>
        <v/>
      </c>
      <c r="AI44" s="598" t="str">
        <f t="shared" si="13"/>
        <v/>
      </c>
      <c r="AJ44" s="598" t="str">
        <f t="shared" si="13"/>
        <v/>
      </c>
      <c r="AK44" s="598"/>
      <c r="AL44" s="598"/>
      <c r="AM44" s="598"/>
      <c r="AN44" s="598"/>
      <c r="AO44" s="598"/>
      <c r="AP44" s="598"/>
      <c r="AQ44" s="598"/>
      <c r="AR44" s="598"/>
      <c r="AS44" s="598"/>
      <c r="AT44" s="598"/>
      <c r="AU44" s="598"/>
      <c r="AV44" s="598"/>
      <c r="AW44" s="598"/>
      <c r="AX44" s="598"/>
      <c r="AY44" s="598"/>
      <c r="AZ44" s="598"/>
      <c r="BA44" s="598"/>
    </row>
    <row r="45" spans="1:53" hidden="1" outlineLevel="1">
      <c r="A45" s="494"/>
      <c r="B45" s="494"/>
      <c r="C45" s="494"/>
      <c r="D45" s="494"/>
      <c r="E45" s="494"/>
      <c r="F45" s="494"/>
      <c r="G45" s="494"/>
      <c r="H45" s="494"/>
      <c r="I45" s="494"/>
      <c r="J45" s="494"/>
      <c r="K45" s="494"/>
      <c r="L45" s="494" t="s">
        <v>282</v>
      </c>
      <c r="M45" s="598">
        <f t="shared" ref="M45:AJ45" si="14">M26+M30</f>
        <v>-3319488.3734876877</v>
      </c>
      <c r="N45" s="598">
        <f t="shared" si="14"/>
        <v>-3301937.2769574407</v>
      </c>
      <c r="O45" s="598">
        <f t="shared" si="14"/>
        <v>-3192622.6624965896</v>
      </c>
      <c r="P45" s="598">
        <f t="shared" si="14"/>
        <v>-3083545.9957465217</v>
      </c>
      <c r="Q45" s="598">
        <f t="shared" si="14"/>
        <v>-2974712.0356614524</v>
      </c>
      <c r="R45" s="598">
        <f t="shared" si="14"/>
        <v>-2866125.6363746813</v>
      </c>
      <c r="S45" s="598">
        <f t="shared" si="14"/>
        <v>-2757791.749102175</v>
      </c>
      <c r="T45" s="598">
        <f t="shared" si="14"/>
        <v>-2649715.424084218</v>
      </c>
      <c r="U45" s="598">
        <f t="shared" si="14"/>
        <v>-2541901.8125659027</v>
      </c>
      <c r="V45" s="598">
        <f t="shared" si="14"/>
        <v>-2434356.168817221</v>
      </c>
      <c r="W45" s="598">
        <f t="shared" si="14"/>
        <v>-2327083.852193565</v>
      </c>
      <c r="X45" s="598" t="e">
        <f t="shared" si="14"/>
        <v>#VALUE!</v>
      </c>
      <c r="Y45" s="598" t="e">
        <f t="shared" si="14"/>
        <v>#VALUE!</v>
      </c>
      <c r="Z45" s="598" t="e">
        <f t="shared" si="14"/>
        <v>#VALUE!</v>
      </c>
      <c r="AA45" s="598" t="e">
        <f t="shared" si="14"/>
        <v>#VALUE!</v>
      </c>
      <c r="AB45" s="598" t="e">
        <f t="shared" si="14"/>
        <v>#VALUE!</v>
      </c>
      <c r="AC45" s="598" t="e">
        <f t="shared" si="14"/>
        <v>#VALUE!</v>
      </c>
      <c r="AD45" s="598" t="e">
        <f t="shared" si="14"/>
        <v>#VALUE!</v>
      </c>
      <c r="AE45" s="598" t="e">
        <f t="shared" si="14"/>
        <v>#VALUE!</v>
      </c>
      <c r="AF45" s="598" t="e">
        <f t="shared" si="14"/>
        <v>#VALUE!</v>
      </c>
      <c r="AG45" s="598" t="e">
        <f t="shared" si="14"/>
        <v>#VALUE!</v>
      </c>
      <c r="AH45" s="598" t="e">
        <f t="shared" si="14"/>
        <v>#VALUE!</v>
      </c>
      <c r="AI45" s="598" t="e">
        <f t="shared" si="14"/>
        <v>#VALUE!</v>
      </c>
      <c r="AJ45" s="598" t="e">
        <f t="shared" si="14"/>
        <v>#VALUE!</v>
      </c>
      <c r="AK45" s="598"/>
      <c r="AL45" s="598"/>
      <c r="AM45" s="598"/>
      <c r="AN45" s="598"/>
      <c r="AO45" s="598"/>
      <c r="AP45" s="598"/>
      <c r="AQ45" s="598"/>
      <c r="AR45" s="598"/>
      <c r="AS45" s="598"/>
      <c r="AT45" s="598"/>
      <c r="AU45" s="598"/>
      <c r="AV45" s="598"/>
      <c r="AW45" s="598"/>
      <c r="AX45" s="598"/>
      <c r="AY45" s="598"/>
      <c r="AZ45" s="598"/>
      <c r="BA45" s="598"/>
    </row>
    <row r="46" spans="1:53" hidden="1" outlineLevel="1">
      <c r="A46" s="494"/>
      <c r="B46" s="494"/>
      <c r="C46" s="494"/>
      <c r="D46" s="494"/>
      <c r="E46" s="494"/>
      <c r="F46" s="494"/>
      <c r="G46" s="494"/>
      <c r="H46" s="494"/>
      <c r="I46" s="494"/>
      <c r="J46" s="494"/>
      <c r="K46" s="494"/>
      <c r="L46" s="494" t="s">
        <v>283</v>
      </c>
      <c r="M46" s="598">
        <f t="shared" ref="M46:AJ46" si="15">M32</f>
        <v>-983642.5267090155</v>
      </c>
      <c r="N46" s="598">
        <f t="shared" si="15"/>
        <v>-1027927.7373200505</v>
      </c>
      <c r="O46" s="598">
        <f t="shared" si="15"/>
        <v>-1091612.6229995152</v>
      </c>
      <c r="P46" s="598">
        <f t="shared" si="15"/>
        <v>-1155750.371586301</v>
      </c>
      <c r="Q46" s="598">
        <f t="shared" si="15"/>
        <v>-1220345.540159427</v>
      </c>
      <c r="R46" s="598">
        <f t="shared" si="15"/>
        <v>-1285402.7139369845</v>
      </c>
      <c r="S46" s="598">
        <f t="shared" si="15"/>
        <v>-1350926.5059568838</v>
      </c>
      <c r="T46" s="598">
        <f t="shared" si="15"/>
        <v>-1416921.556738865</v>
      </c>
      <c r="U46" s="598">
        <f t="shared" si="15"/>
        <v>-1483392.5339272353</v>
      </c>
      <c r="V46" s="598">
        <f t="shared" si="15"/>
        <v>-1550344.1319137525</v>
      </c>
      <c r="W46" s="598">
        <f t="shared" si="15"/>
        <v>-38161057.43507647</v>
      </c>
      <c r="X46" s="598" t="str">
        <f t="shared" si="15"/>
        <v/>
      </c>
      <c r="Y46" s="598" t="str">
        <f t="shared" si="15"/>
        <v/>
      </c>
      <c r="Z46" s="598" t="str">
        <f t="shared" si="15"/>
        <v/>
      </c>
      <c r="AA46" s="598" t="str">
        <f t="shared" si="15"/>
        <v/>
      </c>
      <c r="AB46" s="598" t="str">
        <f t="shared" si="15"/>
        <v/>
      </c>
      <c r="AC46" s="598" t="str">
        <f t="shared" si="15"/>
        <v/>
      </c>
      <c r="AD46" s="598" t="str">
        <f t="shared" si="15"/>
        <v/>
      </c>
      <c r="AE46" s="598" t="str">
        <f t="shared" si="15"/>
        <v/>
      </c>
      <c r="AF46" s="598" t="str">
        <f t="shared" si="15"/>
        <v/>
      </c>
      <c r="AG46" s="598" t="str">
        <f t="shared" si="15"/>
        <v/>
      </c>
      <c r="AH46" s="598" t="str">
        <f t="shared" si="15"/>
        <v/>
      </c>
      <c r="AI46" s="598" t="str">
        <f t="shared" si="15"/>
        <v/>
      </c>
      <c r="AJ46" s="598" t="str">
        <f t="shared" si="15"/>
        <v/>
      </c>
      <c r="AK46" s="598"/>
      <c r="AL46" s="598"/>
      <c r="AM46" s="598"/>
      <c r="AN46" s="598"/>
      <c r="AO46" s="598"/>
      <c r="AP46" s="598"/>
      <c r="AQ46" s="598"/>
      <c r="AR46" s="598"/>
      <c r="AS46" s="598"/>
      <c r="AT46" s="598"/>
      <c r="AU46" s="598"/>
      <c r="AV46" s="598"/>
      <c r="AW46" s="598"/>
      <c r="AX46" s="598"/>
      <c r="AY46" s="598"/>
      <c r="AZ46" s="598"/>
      <c r="BA46" s="598"/>
    </row>
    <row r="47" spans="1:53" hidden="1" outlineLevel="1">
      <c r="A47" s="494"/>
      <c r="B47" s="494"/>
      <c r="C47" s="494"/>
      <c r="D47" s="494"/>
      <c r="E47" s="494"/>
      <c r="F47" s="494"/>
      <c r="G47" s="494"/>
      <c r="H47" s="494"/>
      <c r="I47" s="494"/>
      <c r="J47" s="494"/>
      <c r="K47" s="494"/>
      <c r="L47" s="494" t="s">
        <v>75</v>
      </c>
      <c r="M47" s="598">
        <f t="shared" ref="M47:AJ47" si="16">M34+M35</f>
        <v>-2663999.9999999995</v>
      </c>
      <c r="N47" s="598">
        <f t="shared" si="16"/>
        <v>-2663999.9999999995</v>
      </c>
      <c r="O47" s="598">
        <f t="shared" si="16"/>
        <v>-2663999.9999999995</v>
      </c>
      <c r="P47" s="598">
        <f t="shared" si="16"/>
        <v>-2663999.9999999995</v>
      </c>
      <c r="Q47" s="598">
        <f t="shared" si="16"/>
        <v>-2663999.9999999995</v>
      </c>
      <c r="R47" s="598">
        <f t="shared" si="16"/>
        <v>-2663999.9999999995</v>
      </c>
      <c r="S47" s="598">
        <f t="shared" si="16"/>
        <v>-2663999.9999999995</v>
      </c>
      <c r="T47" s="598">
        <f t="shared" si="16"/>
        <v>-2663999.9999999995</v>
      </c>
      <c r="U47" s="598">
        <f t="shared" si="16"/>
        <v>-2663999.9999999995</v>
      </c>
      <c r="V47" s="598">
        <f t="shared" si="16"/>
        <v>-2663999.9999999995</v>
      </c>
      <c r="W47" s="598">
        <f t="shared" si="16"/>
        <v>-38183999.99999999</v>
      </c>
      <c r="X47" s="598" t="e">
        <f t="shared" si="16"/>
        <v>#VALUE!</v>
      </c>
      <c r="Y47" s="598" t="e">
        <f t="shared" si="16"/>
        <v>#VALUE!</v>
      </c>
      <c r="Z47" s="598" t="e">
        <f t="shared" si="16"/>
        <v>#VALUE!</v>
      </c>
      <c r="AA47" s="598" t="e">
        <f t="shared" si="16"/>
        <v>#VALUE!</v>
      </c>
      <c r="AB47" s="598" t="e">
        <f t="shared" si="16"/>
        <v>#VALUE!</v>
      </c>
      <c r="AC47" s="598" t="e">
        <f t="shared" si="16"/>
        <v>#VALUE!</v>
      </c>
      <c r="AD47" s="598" t="e">
        <f t="shared" si="16"/>
        <v>#VALUE!</v>
      </c>
      <c r="AE47" s="598" t="e">
        <f t="shared" si="16"/>
        <v>#VALUE!</v>
      </c>
      <c r="AF47" s="598" t="e">
        <f t="shared" si="16"/>
        <v>#VALUE!</v>
      </c>
      <c r="AG47" s="598" t="e">
        <f t="shared" si="16"/>
        <v>#VALUE!</v>
      </c>
      <c r="AH47" s="598" t="e">
        <f t="shared" si="16"/>
        <v>#VALUE!</v>
      </c>
      <c r="AI47" s="598" t="e">
        <f t="shared" si="16"/>
        <v>#VALUE!</v>
      </c>
      <c r="AJ47" s="598" t="e">
        <f t="shared" si="16"/>
        <v>#VALUE!</v>
      </c>
      <c r="AK47" s="598"/>
      <c r="AL47" s="598"/>
      <c r="AM47" s="598"/>
      <c r="AN47" s="598"/>
      <c r="AO47" s="598"/>
      <c r="AP47" s="598"/>
      <c r="AQ47" s="598"/>
      <c r="AR47" s="598"/>
      <c r="AS47" s="598"/>
      <c r="AT47" s="598"/>
      <c r="AU47" s="598"/>
      <c r="AV47" s="598"/>
      <c r="AW47" s="598"/>
      <c r="AX47" s="598"/>
      <c r="AY47" s="598"/>
      <c r="AZ47" s="598"/>
      <c r="BA47" s="598"/>
    </row>
    <row r="48" spans="1:53" hidden="1" outlineLevel="1">
      <c r="A48" s="494"/>
      <c r="B48" s="494"/>
      <c r="C48" s="494"/>
      <c r="D48" s="494"/>
      <c r="E48" s="494"/>
      <c r="F48" s="494"/>
      <c r="G48" s="494"/>
      <c r="H48" s="494"/>
      <c r="I48" s="494"/>
      <c r="J48" s="494"/>
      <c r="K48" s="494"/>
      <c r="L48" s="494" t="s">
        <v>284</v>
      </c>
      <c r="M48" s="598">
        <f>SUM(M43:M47)-M46</f>
        <v>9383690.994615696</v>
      </c>
      <c r="N48" s="598">
        <f t="shared" ref="N48:V48" si="17">N49-N46</f>
        <v>9598667.7451547</v>
      </c>
      <c r="O48" s="598">
        <f t="shared" si="17"/>
        <v>9907817.67563754</v>
      </c>
      <c r="P48" s="598">
        <f t="shared" si="17"/>
        <v>10219165.96974815</v>
      </c>
      <c r="Q48" s="598">
        <f t="shared" si="17"/>
        <v>10532734.749229345</v>
      </c>
      <c r="R48" s="598">
        <f t="shared" si="17"/>
        <v>10848546.272421371</v>
      </c>
      <c r="S48" s="598">
        <f t="shared" si="17"/>
        <v>11166622.932712147</v>
      </c>
      <c r="T48" s="598">
        <f t="shared" si="17"/>
        <v>11486987.25689652</v>
      </c>
      <c r="U48" s="598">
        <f t="shared" si="17"/>
        <v>11809661.903442008</v>
      </c>
      <c r="V48" s="598">
        <f t="shared" si="17"/>
        <v>12134669.660658112</v>
      </c>
      <c r="W48" s="598">
        <f>W49-W46</f>
        <v>248882033.4447666</v>
      </c>
      <c r="X48" s="598" t="e">
        <f t="shared" ref="X48:AJ48" si="18">X49-X46</f>
        <v>#VALUE!</v>
      </c>
      <c r="Y48" s="598" t="e">
        <f>SUM(Y43:Y47)-Y46</f>
        <v>#VALUE!</v>
      </c>
      <c r="Z48" s="598" t="e">
        <f t="shared" si="18"/>
        <v>#VALUE!</v>
      </c>
      <c r="AA48" s="598" t="e">
        <f t="shared" si="18"/>
        <v>#VALUE!</v>
      </c>
      <c r="AB48" s="598" t="e">
        <f t="shared" si="18"/>
        <v>#VALUE!</v>
      </c>
      <c r="AC48" s="598" t="e">
        <f t="shared" si="18"/>
        <v>#VALUE!</v>
      </c>
      <c r="AD48" s="598" t="e">
        <f t="shared" si="18"/>
        <v>#VALUE!</v>
      </c>
      <c r="AE48" s="598" t="e">
        <f t="shared" si="18"/>
        <v>#VALUE!</v>
      </c>
      <c r="AF48" s="598" t="e">
        <f t="shared" si="18"/>
        <v>#VALUE!</v>
      </c>
      <c r="AG48" s="598" t="e">
        <f t="shared" si="18"/>
        <v>#VALUE!</v>
      </c>
      <c r="AH48" s="598" t="e">
        <f t="shared" si="18"/>
        <v>#VALUE!</v>
      </c>
      <c r="AI48" s="598" t="e">
        <f t="shared" si="18"/>
        <v>#VALUE!</v>
      </c>
      <c r="AJ48" s="598" t="e">
        <f t="shared" si="18"/>
        <v>#VALUE!</v>
      </c>
      <c r="AK48" s="598"/>
      <c r="AL48" s="598"/>
      <c r="AM48" s="598"/>
      <c r="AN48" s="598"/>
      <c r="AO48" s="598"/>
      <c r="AP48" s="598"/>
      <c r="AQ48" s="598"/>
      <c r="AR48" s="598"/>
      <c r="AS48" s="598"/>
      <c r="AT48" s="598"/>
      <c r="AU48" s="598"/>
      <c r="AV48" s="598"/>
      <c r="AW48" s="598"/>
      <c r="AX48" s="598"/>
      <c r="AY48" s="598"/>
      <c r="AZ48" s="598"/>
      <c r="BA48" s="598"/>
    </row>
    <row r="49" spans="2:53" hidden="1" outlineLevel="1">
      <c r="L49" s="494" t="s">
        <v>285</v>
      </c>
      <c r="M49" s="598">
        <f>SUM(M43:M47)</f>
        <v>8400048.46790668</v>
      </c>
      <c r="N49" s="598">
        <f t="shared" ref="N49:AJ49" si="19">SUM(N43:N47)</f>
        <v>8570740.007834649</v>
      </c>
      <c r="O49" s="598">
        <f t="shared" si="19"/>
        <v>8816205.052638024</v>
      </c>
      <c r="P49" s="598">
        <f t="shared" si="19"/>
        <v>9063415.59816185</v>
      </c>
      <c r="Q49" s="598">
        <f t="shared" si="19"/>
        <v>9312389.209069919</v>
      </c>
      <c r="R49" s="598">
        <f t="shared" si="19"/>
        <v>9563143.558484387</v>
      </c>
      <c r="S49" s="598">
        <f t="shared" si="19"/>
        <v>9815696.426755263</v>
      </c>
      <c r="T49" s="598">
        <f t="shared" si="19"/>
        <v>10070065.700157655</v>
      </c>
      <c r="U49" s="598">
        <f t="shared" si="19"/>
        <v>10326269.369514773</v>
      </c>
      <c r="V49" s="598">
        <f t="shared" si="19"/>
        <v>10584325.528744359</v>
      </c>
      <c r="W49" s="598">
        <f t="shared" si="19"/>
        <v>210720976.00969014</v>
      </c>
      <c r="X49" s="598" t="e">
        <f t="shared" si="19"/>
        <v>#VALUE!</v>
      </c>
      <c r="Y49" s="598" t="e">
        <f t="shared" si="19"/>
        <v>#VALUE!</v>
      </c>
      <c r="Z49" s="598" t="e">
        <f t="shared" si="19"/>
        <v>#VALUE!</v>
      </c>
      <c r="AA49" s="598" t="e">
        <f t="shared" si="19"/>
        <v>#VALUE!</v>
      </c>
      <c r="AB49" s="598" t="e">
        <f t="shared" si="19"/>
        <v>#VALUE!</v>
      </c>
      <c r="AC49" s="598" t="e">
        <f t="shared" si="19"/>
        <v>#VALUE!</v>
      </c>
      <c r="AD49" s="598" t="e">
        <f t="shared" si="19"/>
        <v>#VALUE!</v>
      </c>
      <c r="AE49" s="598" t="e">
        <f t="shared" si="19"/>
        <v>#VALUE!</v>
      </c>
      <c r="AF49" s="598" t="e">
        <f t="shared" si="19"/>
        <v>#VALUE!</v>
      </c>
      <c r="AG49" s="598" t="e">
        <f t="shared" si="19"/>
        <v>#VALUE!</v>
      </c>
      <c r="AH49" s="598" t="e">
        <f t="shared" si="19"/>
        <v>#VALUE!</v>
      </c>
      <c r="AI49" s="598" t="e">
        <f t="shared" si="19"/>
        <v>#VALUE!</v>
      </c>
      <c r="AJ49" s="598" t="e">
        <f t="shared" si="19"/>
        <v>#VALUE!</v>
      </c>
      <c r="AK49" s="598"/>
      <c r="AL49" s="598"/>
      <c r="AM49" s="598"/>
      <c r="AN49" s="598"/>
      <c r="AO49" s="598"/>
      <c r="AP49" s="598"/>
      <c r="AQ49" s="598"/>
      <c r="AR49" s="598"/>
      <c r="AS49" s="598"/>
      <c r="AT49" s="598"/>
      <c r="AU49" s="598"/>
      <c r="AV49" s="598"/>
      <c r="AW49" s="598"/>
      <c r="AX49" s="598"/>
      <c r="AY49" s="598"/>
      <c r="AZ49" s="598"/>
      <c r="BA49" s="598"/>
    </row>
    <row r="50" spans="2:53" collapsed="1">
      <c r="L50" s="494"/>
      <c r="M50" s="494"/>
      <c r="N50" s="494"/>
      <c r="O50" s="494"/>
      <c r="P50" s="494"/>
      <c r="Q50" s="494"/>
      <c r="R50" s="494"/>
      <c r="S50" s="494"/>
      <c r="T50" s="494"/>
      <c r="U50" s="494"/>
      <c r="V50" s="494"/>
      <c r="W50" s="494"/>
      <c r="X50" s="494"/>
      <c r="Y50" s="494"/>
      <c r="Z50" s="494"/>
      <c r="AA50" s="494"/>
      <c r="AB50" s="494"/>
      <c r="AC50" s="494"/>
      <c r="AD50" s="494"/>
      <c r="AE50" s="494"/>
      <c r="AF50" s="494"/>
      <c r="AG50" s="494"/>
      <c r="AH50" s="494"/>
      <c r="AI50" s="494"/>
      <c r="AJ50" s="494"/>
      <c r="AK50" s="494"/>
      <c r="AL50" s="494"/>
      <c r="AM50" s="494"/>
      <c r="AN50" s="494"/>
      <c r="AO50" s="494"/>
      <c r="AP50" s="494"/>
      <c r="AQ50" s="494"/>
      <c r="AR50" s="494"/>
      <c r="AS50" s="494"/>
      <c r="AT50" s="494"/>
      <c r="AU50" s="494"/>
      <c r="AV50" s="494"/>
      <c r="AW50" s="494"/>
      <c r="AX50" s="494"/>
      <c r="AY50" s="494"/>
      <c r="AZ50" s="494"/>
      <c r="BA50" s="494"/>
    </row>
    <row r="53" spans="2:53" ht="15">
      <c r="B53" s="322" t="s">
        <v>392</v>
      </c>
      <c r="C53" s="322"/>
      <c r="D53" s="325"/>
      <c r="E53" s="325"/>
      <c r="F53" s="325"/>
      <c r="G53" s="325"/>
      <c r="H53" s="325"/>
      <c r="I53" s="325"/>
      <c r="J53" s="325"/>
      <c r="K53" s="325"/>
      <c r="L53" s="325"/>
      <c r="M53" s="325"/>
      <c r="N53" s="325"/>
      <c r="O53" s="325"/>
      <c r="P53" s="325"/>
      <c r="Q53" s="325"/>
      <c r="R53" s="325"/>
      <c r="S53" s="325"/>
      <c r="T53" s="325"/>
      <c r="U53" s="325"/>
      <c r="V53" s="325"/>
      <c r="W53" s="325"/>
    </row>
    <row r="54" spans="2:53" ht="30" customHeight="1">
      <c r="B54" s="393" t="s">
        <v>393</v>
      </c>
      <c r="C54" s="393" t="inlineStr">
        <is>
          <t>Direktavk. vid exit</t>
        </is>
      </c>
      <c r="D54" s="393" t="str">
        <f>"Exit-värde år "&amp;$C$5</f>
        <v>Exit-värde år 20</v>
      </c>
      <c r="E54" s="393" t="s">
        <v>395</v>
      </c>
      <c r="F54" s="393" t="inlineStr">
        <is>
          <t>NPV tillk., kr</t>
        </is>
      </c>
      <c r="G54" s="393" t="inlineStr">
        <is>
          <t>Mot IRR-krav</t>
        </is>
      </c>
      <c r="H54" s="393" t="inlineStr">
        <is>
          <t>Kravhyra krav 1–2, kr/kvm</t>
        </is>
      </c>
    </row>
    <row r="55" ht="15">
      <c r="B55" s="412" t="s">
        <v>398</v>
      </c>
      <c r="C55" s="723">
        <f>'2. Kalkyldata'!$M$11-0.01</f>
        <v>0.055</v>
      </c>
      <c r="D55" s="414">
        <f>$C$7*'2. Kalkyldata'!$M$11/C55</f>
        <v>321383636.3636364</v>
      </c>
      <c r="E55" s="723">
        <f>IFERROR(IRR(D59:BA59),"N/A")</f>
        <v>0.08724726148571967</v>
      </c>
      <c r="F55" s="414">
        <f>'4. NPV'!$E$77+'4. NPV'!$E$78+ROUND(ROUND('4. NPV'!$E$79*'2. Kalkyldata'!$M$11/C55/10000,0)*10000/((1+'2. Kalkyldata'!$M$8)^'4. NPV'!$E$47)/10000,0)*10000+'4. NPV'!$E$56</f>
        <v>19970000.00000003</v>
      </c>
      <c r="G55" s="414" t="str">
        <f>IF(ISNUMBER(E55),IF(E55&gt;='2. Kalkyldata'!$F$14,"✓ klarar krav","⚠ under krav"),"")</f>
        <v>✓ klarar krav</v>
      </c>
      <c r="H55" s="729">
        <f>CEILING('2. Kalkyldata'!$AD$20*'2. Kalkyldata'!$AF$19,1)</f>
        <v>2480.0</v>
      </c>
      <c r="I55" t="inlineStr" s="922">
        <is>
          <t>IRR per scenario räknas i dolda hjälprader 59–61.</t>
        </is>
      </c>
    </row>
    <row r="56" spans="2:53" ht="15">
      <c r="B56" s="412" t="inlineStr">
        <is>
          <t>Bedömt (2. Kalkyldata sektion 5)</t>
        </is>
      </c>
      <c r="C56" s="723">
        <f>'2. Kalkyldata'!$M$11</f>
        <v>0.065</v>
      </c>
      <c r="D56" s="414">
        <f>$C$7*'2. Kalkyldata'!$M$11/C56</f>
        <v>271940000.0</v>
      </c>
      <c r="E56" s="723">
        <f>IFERROR(IRR(D60:BA60),"N/A")</f>
        <v>0.08080374302175485</v>
      </c>
      <c r="F56" s="414">
        <f>'4. NPV'!$E$77+'4. NPV'!$E$78+ROUND(ROUND('4. NPV'!$E$79*'2. Kalkyldata'!$M$11/C56/10000,0)*10000/((1+'2. Kalkyldata'!$M$8)^'4. NPV'!$E$47)/10000,0)*10000+'4. NPV'!$E$56</f>
        <v>10300000.00000003</v>
      </c>
      <c r="G56" s="414" t="str">
        <f>IF(ISNUMBER(E56),IF(E56&gt;='2. Kalkyldata'!$F$14,"✓ klarar krav","⚠ under krav"),"")</f>
        <v>✓ klarar krav</v>
      </c>
      <c r="H56" s="729">
        <f>CEILING('2. Kalkyldata'!$AD$20*'2. Kalkyldata'!$AD$19,1)</f>
        <v>2559.0</v>
      </c>
    </row>
    <row r="57" spans="2:53" ht="15">
      <c r="B57" s="412" t="s">
        <v>400</v>
      </c>
      <c r="C57" s="723">
        <f>'2. Kalkyldata'!$M$11+0.01</f>
        <v>0.075</v>
      </c>
      <c r="D57" s="414">
        <f>$C$7*'2. Kalkyldata'!$M$11/C57</f>
        <v>235681333.33333334</v>
      </c>
      <c r="E57" s="723">
        <f>IFERROR(IRR(D61:BA61),"N/A")</f>
        <v>0.07550636593572588</v>
      </c>
      <c r="F57" s="414">
        <f>'4. NPV'!$E$77+'4. NPV'!$E$78+ROUND(ROUND('4. NPV'!$E$79*'2. Kalkyldata'!$M$11/C57/10000,0)*10000/((1+'2. Kalkyldata'!$M$8)^'4. NPV'!$E$47)/10000,0)*10000+'4. NPV'!$E$56</f>
        <v>3200000.00000003</v>
      </c>
      <c r="G57" s="414" t="str">
        <f>IF(ISNUMBER(E57),IF(E57&gt;='2. Kalkyldata'!$F$14,"✓ klarar krav","⚠ under krav"),"")</f>
        <v>✓ klarar krav</v>
      </c>
      <c r="H57" s="729">
        <f>CEILING('2. Kalkyldata'!$AD$20*'2. Kalkyldata'!$AG$19,1)</f>
        <v>2621.0</v>
      </c>
    </row>
    <row r="58" hidden="1"/>
    <row r="59" spans="2:53" ht="15" hidden="1">
      <c r="B59" s="412" t="inlineStr">
        <is>
          <t>Kassaflöde före skatt — optimistisk</t>
        </is>
      </c>
      <c r="C59" s="412"/>
      <c r="D59" s="414">
        <f>IF(D$37="","",IF(D$14=$C$5,D$37+$A$7*($D55-$C$7),D$37))</f>
        <v>-143301875.19999996</v>
      </c>
      <c r="E59" s="414">
        <f>IF(E$37="","",IF(E$14=$C$5,E$37+$A$7*($D55-$C$7),E$37))</f>
        <v>8023511.040000001</v>
      </c>
      <c r="F59" s="414">
        <f>IF(F$37="","",IF(F$14=$C$5,F$37+$A$7*($D55-$C$7),F$37))</f>
        <v>8158767.660000002</v>
      </c>
      <c r="G59" s="414">
        <f>IF(G$37="","",IF(G$14=$C$5,G$37+$A$7*($D55-$C$7),G$37))</f>
        <v>8303915.3487599995</v>
      </c>
      <c r="H59" s="414">
        <f>IF(H$37="","",IF(H$14=$C$5,H$37+$A$7*($D55-$C$7),H$37))</f>
        <v>8458974.94267464</v>
      </c>
      <c r="I59" s="414">
        <f>IF(I$37="","",IF(I$14=$C$5,I$37+$A$7*($D55-$C$7),I$37))</f>
        <v>8623967.424999926</v>
      </c>
      <c r="J59" s="414">
        <f>IF(J$37="","",IF(J$14=$C$5,J$37+$A$7*($D55-$C$7),J$37))</f>
        <v>8798913.92501232</v>
      </c>
      <c r="K59" s="414">
        <f>IF(K$37="","",IF(K$14=$C$5,K$37+$A$7*($D55-$C$7),K$37))</f>
        <v>8983835.717098141</v>
      </c>
      <c r="L59" s="414">
        <f>IF(L$37="","",IF(L$14=$C$5,L$37+$A$7*($D55-$C$7),L$37))</f>
        <v>9178754.219771074</v>
      </c>
      <c r="M59" s="414">
        <f>IF(M$37="","",IF(M$14=$C$5,M$37+$A$7*($D55-$C$7),M$37))</f>
        <v>9383690.994615696</v>
      </c>
      <c r="N59" s="414">
        <f>IF(N$37="","",IF(N$14=$C$5,N$37+$A$7*($D55-$C$7),N$37))</f>
        <v>9598667.745154701</v>
      </c>
      <c r="O59" s="414">
        <f>IF(O$37="","",IF(O$14=$C$5,O$37+$A$7*($D55-$C$7),O$37))</f>
        <v>9907817.67563754</v>
      </c>
      <c r="P59" s="414">
        <f>IF(P$37="","",IF(P$14=$C$5,P$37+$A$7*($D55-$C$7),P$37))</f>
        <v>10219165.96974815</v>
      </c>
      <c r="Q59" s="414">
        <f>IF(Q$37="","",IF(Q$14=$C$5,Q$37+$A$7*($D55-$C$7),Q$37))</f>
        <v>10532734.749229345</v>
      </c>
      <c r="R59" s="414">
        <f>IF(R$37="","",IF(R$14=$C$5,R$37+$A$7*($D55-$C$7),R$37))</f>
        <v>10848546.272421371</v>
      </c>
      <c r="S59" s="414">
        <f>IF(S$37="","",IF(S$14=$C$5,S$37+$A$7*($D55-$C$7),S$37))</f>
        <v>11166622.932712145</v>
      </c>
      <c r="T59" s="414">
        <f>IF(T$37="","",IF(T$14=$C$5,T$37+$A$7*($D55-$C$7),T$37))</f>
        <v>11486987.25689652</v>
      </c>
      <c r="U59" s="414">
        <f>IF(U$37="","",IF(U$14=$C$5,U$37+$A$7*($D55-$C$7),U$37))</f>
        <v>11809661.903442007</v>
      </c>
      <c r="V59" s="414">
        <f>IF(V$37="","",IF(V$14=$C$5,V$37+$A$7*($D55-$C$7),V$37))</f>
        <v>12134669.66065811</v>
      </c>
      <c r="W59" s="414">
        <f>IF(W$37="","",IF(W$14=$C$5,W$37+$A$7*($D55-$C$7),W$37))</f>
        <v>298325669.8084029</v>
      </c>
      <c r="X59" s="414" t="str">
        <f>IF(X$37="","",IF(X$14=$C$5,X$37+$A$7*($D55-$C$7),X$37))</f>
        <v/>
      </c>
      <c r="Y59" s="414" t="str">
        <f>IF(Y$37="","",IF(Y$14=$C$5,Y$37+$A$7*($D55-$C$7),Y$37))</f>
        <v/>
      </c>
      <c r="Z59" s="414" t="str">
        <f>IF(Z$37="","",IF(Z$14=$C$5,Z$37+$A$7*($D55-$C$7),Z$37))</f>
        <v/>
      </c>
      <c r="AA59" s="414" t="str">
        <f>IF(AA$37="","",IF(AA$14=$C$5,AA$37+$A$7*($D55-$C$7),AA$37))</f>
        <v/>
      </c>
      <c r="AB59" s="414" t="str">
        <f>IF(AB$37="","",IF(AB$14=$C$5,AB$37+$A$7*($D55-$C$7),AB$37))</f>
        <v/>
      </c>
      <c r="AC59" s="414" t="str">
        <f>IF(AC$37="","",IF(AC$14=$C$5,AC$37+$A$7*($D55-$C$7),AC$37))</f>
        <v/>
      </c>
      <c r="AD59" s="414" t="str">
        <f>IF(AD$37="","",IF(AD$14=$C$5,AD$37+$A$7*($D55-$C$7),AD$37))</f>
        <v/>
      </c>
      <c r="AE59" s="414" t="str">
        <f>IF(AE$37="","",IF(AE$14=$C$5,AE$37+$A$7*($D55-$C$7),AE$37))</f>
        <v/>
      </c>
      <c r="AF59" s="414" t="str">
        <f>IF(AF$37="","",IF(AF$14=$C$5,AF$37+$A$7*($D55-$C$7),AF$37))</f>
        <v/>
      </c>
      <c r="AG59" s="414" t="str">
        <f>IF(AG$37="","",IF(AG$14=$C$5,AG$37+$A$7*($D55-$C$7),AG$37))</f>
        <v/>
      </c>
      <c r="AH59" s="414" t="str">
        <f>IF(AH$37="","",IF(AH$14=$C$5,AH$37+$A$7*($D55-$C$7),AH$37))</f>
        <v/>
      </c>
      <c r="AI59" s="414" t="str">
        <f>IF(AI$37="","",IF(AI$14=$C$5,AI$37+$A$7*($D55-$C$7),AI$37))</f>
        <v/>
      </c>
      <c r="AJ59" s="414" t="str">
        <f>IF(AJ$37="","",IF(AJ$14=$C$5,AJ$37+$A$7*($D55-$C$7),AJ$37))</f>
        <v/>
      </c>
      <c r="AK59" s="414" t="str">
        <f>IF(AK$37="","",IF(AK$14=$C$5,AK$37+$A$7*($D55-$C$7),AK$37))</f>
        <v/>
      </c>
      <c r="AL59" s="414" t="str">
        <f>IF(AL$37="","",IF(AL$14=$C$5,AL$37+$A$7*($D55-$C$7),AL$37))</f>
        <v/>
      </c>
      <c r="AM59" s="414" t="str">
        <f>IF(AM$37="","",IF(AM$14=$C$5,AM$37+$A$7*($D55-$C$7),AM$37))</f>
        <v/>
      </c>
      <c r="AN59" s="414" t="str">
        <f>IF(AN$37="","",IF(AN$14=$C$5,AN$37+$A$7*($D55-$C$7),AN$37))</f>
        <v/>
      </c>
      <c r="AO59" s="414" t="str">
        <f>IF(AO$37="","",IF(AO$14=$C$5,AO$37+$A$7*($D55-$C$7),AO$37))</f>
        <v/>
      </c>
      <c r="AP59" s="414" t="str">
        <f>IF(AP$37="","",IF(AP$14=$C$5,AP$37+$A$7*($D55-$C$7),AP$37))</f>
        <v/>
      </c>
      <c r="AQ59" s="414" t="str">
        <f>IF(AQ$37="","",IF(AQ$14=$C$5,AQ$37+$A$7*($D55-$C$7),AQ$37))</f>
        <v/>
      </c>
      <c r="AR59" s="414" t="str">
        <f>IF(AR$37="","",IF(AR$14=$C$5,AR$37+$A$7*($D55-$C$7),AR$37))</f>
        <v/>
      </c>
      <c r="AS59" s="414" t="str">
        <f>IF(AS$37="","",IF(AS$14=$C$5,AS$37+$A$7*($D55-$C$7),AS$37))</f>
        <v/>
      </c>
      <c r="AT59" s="414" t="str">
        <f>IF(AT$37="","",IF(AT$14=$C$5,AT$37+$A$7*($D55-$C$7),AT$37))</f>
        <v/>
      </c>
      <c r="AU59" s="414" t="str">
        <f>IF(AU$37="","",IF(AU$14=$C$5,AU$37+$A$7*($D55-$C$7),AU$37))</f>
        <v/>
      </c>
      <c r="AV59" s="414" t="str">
        <f>IF(AV$37="","",IF(AV$14=$C$5,AV$37+$A$7*($D55-$C$7),AV$37))</f>
        <v/>
      </c>
      <c r="AW59" s="414" t="str">
        <f>IF(AW$37="","",IF(AW$14=$C$5,AW$37+$A$7*($D55-$C$7),AW$37))</f>
        <v/>
      </c>
      <c r="AX59" s="414" t="str">
        <f>IF(AX$37="","",IF(AX$14=$C$5,AX$37+$A$7*($D55-$C$7),AX$37))</f>
        <v/>
      </c>
      <c r="AY59" s="414" t="str">
        <f>IF(AY$37="","",IF(AY$14=$C$5,AY$37+$A$7*($D55-$C$7),AY$37))</f>
        <v/>
      </c>
      <c r="AZ59" s="414" t="str">
        <f>IF(AZ$37="","",IF(AZ$14=$C$5,AZ$37+$A$7*($D55-$C$7),AZ$37))</f>
        <v/>
      </c>
      <c r="BA59" s="414" t="str">
        <f>IF(BA$37="","",IF(BA$14=$C$5,BA$37+$A$7*($D55-$C$7),BA$37))</f>
        <v/>
      </c>
    </row>
    <row r="60" spans="2:53" ht="15" hidden="1">
      <c r="B60" s="412" t="inlineStr">
        <is>
          <t>Kassaflöde före skatt — bedömt (= rad 37)</t>
        </is>
      </c>
      <c r="C60" s="412"/>
      <c r="D60" s="414">
        <f>IF(D$37="","",IF(D$14=$C$5,D$37+$A$7*($D56-$C$7),D$37))</f>
        <v>-143301875.19999996</v>
      </c>
      <c r="E60" s="414">
        <f>IF(E$37="","",IF(E$14=$C$5,E$37+$A$7*($D56-$C$7),E$37))</f>
        <v>8023511.040000001</v>
      </c>
      <c r="F60" s="414">
        <f>IF(F$37="","",IF(F$14=$C$5,F$37+$A$7*($D56-$C$7),F$37))</f>
        <v>8158767.660000002</v>
      </c>
      <c r="G60" s="414">
        <f>IF(G$37="","",IF(G$14=$C$5,G$37+$A$7*($D56-$C$7),G$37))</f>
        <v>8303915.3487599995</v>
      </c>
      <c r="H60" s="414">
        <f>IF(H$37="","",IF(H$14=$C$5,H$37+$A$7*($D56-$C$7),H$37))</f>
        <v>8458974.94267464</v>
      </c>
      <c r="I60" s="414">
        <f>IF(I$37="","",IF(I$14=$C$5,I$37+$A$7*($D56-$C$7),I$37))</f>
        <v>8623967.424999926</v>
      </c>
      <c r="J60" s="414">
        <f>IF(J$37="","",IF(J$14=$C$5,J$37+$A$7*($D56-$C$7),J$37))</f>
        <v>8798913.92501232</v>
      </c>
      <c r="K60" s="414">
        <f>IF(K$37="","",IF(K$14=$C$5,K$37+$A$7*($D56-$C$7),K$37))</f>
        <v>8983835.717098141</v>
      </c>
      <c r="L60" s="414">
        <f>IF(L$37="","",IF(L$14=$C$5,L$37+$A$7*($D56-$C$7),L$37))</f>
        <v>9178754.219771074</v>
      </c>
      <c r="M60" s="414">
        <f>IF(M$37="","",IF(M$14=$C$5,M$37+$A$7*($D56-$C$7),M$37))</f>
        <v>9383690.994615696</v>
      </c>
      <c r="N60" s="414">
        <f>IF(N$37="","",IF(N$14=$C$5,N$37+$A$7*($D56-$C$7),N$37))</f>
        <v>9598667.745154701</v>
      </c>
      <c r="O60" s="414">
        <f>IF(O$37="","",IF(O$14=$C$5,O$37+$A$7*($D56-$C$7),O$37))</f>
        <v>9907817.67563754</v>
      </c>
      <c r="P60" s="414">
        <f>IF(P$37="","",IF(P$14=$C$5,P$37+$A$7*($D56-$C$7),P$37))</f>
        <v>10219165.96974815</v>
      </c>
      <c r="Q60" s="414">
        <f>IF(Q$37="","",IF(Q$14=$C$5,Q$37+$A$7*($D56-$C$7),Q$37))</f>
        <v>10532734.749229345</v>
      </c>
      <c r="R60" s="414">
        <f>IF(R$37="","",IF(R$14=$C$5,R$37+$A$7*($D56-$C$7),R$37))</f>
        <v>10848546.272421371</v>
      </c>
      <c r="S60" s="414">
        <f>IF(S$37="","",IF(S$14=$C$5,S$37+$A$7*($D56-$C$7),S$37))</f>
        <v>11166622.932712145</v>
      </c>
      <c r="T60" s="414">
        <f>IF(T$37="","",IF(T$14=$C$5,T$37+$A$7*($D56-$C$7),T$37))</f>
        <v>11486987.25689652</v>
      </c>
      <c r="U60" s="414">
        <f>IF(U$37="","",IF(U$14=$C$5,U$37+$A$7*($D56-$C$7),U$37))</f>
        <v>11809661.903442007</v>
      </c>
      <c r="V60" s="414">
        <f>IF(V$37="","",IF(V$14=$C$5,V$37+$A$7*($D56-$C$7),V$37))</f>
        <v>12134669.66065811</v>
      </c>
      <c r="W60" s="414">
        <f>IF(W$37="","",IF(W$14=$C$5,W$37+$A$7*($D56-$C$7),W$37))</f>
        <v>248882033.44476655</v>
      </c>
      <c r="X60" s="414" t="str">
        <f>IF(X$37="","",IF(X$14=$C$5,X$37+$A$7*($D56-$C$7),X$37))</f>
        <v/>
      </c>
      <c r="Y60" s="414" t="str">
        <f>IF(Y$37="","",IF(Y$14=$C$5,Y$37+$A$7*($D56-$C$7),Y$37))</f>
        <v/>
      </c>
      <c r="Z60" s="414" t="str">
        <f>IF(Z$37="","",IF(Z$14=$C$5,Z$37+$A$7*($D56-$C$7),Z$37))</f>
        <v/>
      </c>
      <c r="AA60" s="414" t="str">
        <f>IF(AA$37="","",IF(AA$14=$C$5,AA$37+$A$7*($D56-$C$7),AA$37))</f>
        <v/>
      </c>
      <c r="AB60" s="414" t="str">
        <f>IF(AB$37="","",IF(AB$14=$C$5,AB$37+$A$7*($D56-$C$7),AB$37))</f>
        <v/>
      </c>
      <c r="AC60" s="414" t="str">
        <f>IF(AC$37="","",IF(AC$14=$C$5,AC$37+$A$7*($D56-$C$7),AC$37))</f>
        <v/>
      </c>
      <c r="AD60" s="414" t="str">
        <f>IF(AD$37="","",IF(AD$14=$C$5,AD$37+$A$7*($D56-$C$7),AD$37))</f>
        <v/>
      </c>
      <c r="AE60" s="414" t="str">
        <f>IF(AE$37="","",IF(AE$14=$C$5,AE$37+$A$7*($D56-$C$7),AE$37))</f>
        <v/>
      </c>
      <c r="AF60" s="414" t="str">
        <f>IF(AF$37="","",IF(AF$14=$C$5,AF$37+$A$7*($D56-$C$7),AF$37))</f>
        <v/>
      </c>
      <c r="AG60" s="414" t="str">
        <f>IF(AG$37="","",IF(AG$14=$C$5,AG$37+$A$7*($D56-$C$7),AG$37))</f>
        <v/>
      </c>
      <c r="AH60" s="414" t="str">
        <f>IF(AH$37="","",IF(AH$14=$C$5,AH$37+$A$7*($D56-$C$7),AH$37))</f>
        <v/>
      </c>
      <c r="AI60" s="414" t="str">
        <f>IF(AI$37="","",IF(AI$14=$C$5,AI$37+$A$7*($D56-$C$7),AI$37))</f>
        <v/>
      </c>
      <c r="AJ60" s="414" t="str">
        <f>IF(AJ$37="","",IF(AJ$14=$C$5,AJ$37+$A$7*($D56-$C$7),AJ$37))</f>
        <v/>
      </c>
      <c r="AK60" s="414" t="str">
        <f>IF(AK$37="","",IF(AK$14=$C$5,AK$37+$A$7*($D56-$C$7),AK$37))</f>
        <v/>
      </c>
      <c r="AL60" s="414" t="str">
        <f>IF(AL$37="","",IF(AL$14=$C$5,AL$37+$A$7*($D56-$C$7),AL$37))</f>
        <v/>
      </c>
      <c r="AM60" s="414" t="str">
        <f>IF(AM$37="","",IF(AM$14=$C$5,AM$37+$A$7*($D56-$C$7),AM$37))</f>
        <v/>
      </c>
      <c r="AN60" s="414" t="str">
        <f>IF(AN$37="","",IF(AN$14=$C$5,AN$37+$A$7*($D56-$C$7),AN$37))</f>
        <v/>
      </c>
      <c r="AO60" s="414" t="str">
        <f>IF(AO$37="","",IF(AO$14=$C$5,AO$37+$A$7*($D56-$C$7),AO$37))</f>
        <v/>
      </c>
      <c r="AP60" s="414" t="str">
        <f>IF(AP$37="","",IF(AP$14=$C$5,AP$37+$A$7*($D56-$C$7),AP$37))</f>
        <v/>
      </c>
      <c r="AQ60" s="414" t="str">
        <f>IF(AQ$37="","",IF(AQ$14=$C$5,AQ$37+$A$7*($D56-$C$7),AQ$37))</f>
        <v/>
      </c>
      <c r="AR60" s="414" t="str">
        <f>IF(AR$37="","",IF(AR$14=$C$5,AR$37+$A$7*($D56-$C$7),AR$37))</f>
        <v/>
      </c>
      <c r="AS60" s="414" t="str">
        <f>IF(AS$37="","",IF(AS$14=$C$5,AS$37+$A$7*($D56-$C$7),AS$37))</f>
        <v/>
      </c>
      <c r="AT60" s="414" t="str">
        <f>IF(AT$37="","",IF(AT$14=$C$5,AT$37+$A$7*($D56-$C$7),AT$37))</f>
        <v/>
      </c>
      <c r="AU60" s="414" t="str">
        <f>IF(AU$37="","",IF(AU$14=$C$5,AU$37+$A$7*($D56-$C$7),AU$37))</f>
        <v/>
      </c>
      <c r="AV60" s="414" t="str">
        <f>IF(AV$37="","",IF(AV$14=$C$5,AV$37+$A$7*($D56-$C$7),AV$37))</f>
        <v/>
      </c>
      <c r="AW60" s="414" t="str">
        <f>IF(AW$37="","",IF(AW$14=$C$5,AW$37+$A$7*($D56-$C$7),AW$37))</f>
        <v/>
      </c>
      <c r="AX60" s="414" t="str">
        <f>IF(AX$37="","",IF(AX$14=$C$5,AX$37+$A$7*($D56-$C$7),AX$37))</f>
        <v/>
      </c>
      <c r="AY60" s="414" t="str">
        <f>IF(AY$37="","",IF(AY$14=$C$5,AY$37+$A$7*($D56-$C$7),AY$37))</f>
        <v/>
      </c>
      <c r="AZ60" s="414" t="str">
        <f>IF(AZ$37="","",IF(AZ$14=$C$5,AZ$37+$A$7*($D56-$C$7),AZ$37))</f>
        <v/>
      </c>
      <c r="BA60" s="414" t="str">
        <f>IF(BA$37="","",IF(BA$14=$C$5,BA$37+$A$7*($D56-$C$7),BA$37))</f>
        <v/>
      </c>
    </row>
    <row r="61" spans="2:53" ht="15" hidden="1">
      <c r="B61" s="412" t="inlineStr">
        <is>
          <t>Kassaflöde före skatt — pessimistisk</t>
        </is>
      </c>
      <c r="C61" s="412"/>
      <c r="D61" s="414">
        <f>IF(D$37="","",IF(D$14=$C$5,D$37+$A$7*($D57-$C$7),D$37))</f>
        <v>-143301875.19999996</v>
      </c>
      <c r="E61" s="414">
        <f>IF(E$37="","",IF(E$14=$C$5,E$37+$A$7*($D57-$C$7),E$37))</f>
        <v>8023511.040000001</v>
      </c>
      <c r="F61" s="414">
        <f>IF(F$37="","",IF(F$14=$C$5,F$37+$A$7*($D57-$C$7),F$37))</f>
        <v>8158767.660000002</v>
      </c>
      <c r="G61" s="414">
        <f>IF(G$37="","",IF(G$14=$C$5,G$37+$A$7*($D57-$C$7),G$37))</f>
        <v>8303915.3487599995</v>
      </c>
      <c r="H61" s="414">
        <f>IF(H$37="","",IF(H$14=$C$5,H$37+$A$7*($D57-$C$7),H$37))</f>
        <v>8458974.94267464</v>
      </c>
      <c r="I61" s="414">
        <f>IF(I$37="","",IF(I$14=$C$5,I$37+$A$7*($D57-$C$7),I$37))</f>
        <v>8623967.424999926</v>
      </c>
      <c r="J61" s="414">
        <f>IF(J$37="","",IF(J$14=$C$5,J$37+$A$7*($D57-$C$7),J$37))</f>
        <v>8798913.92501232</v>
      </c>
      <c r="K61" s="414">
        <f>IF(K$37="","",IF(K$14=$C$5,K$37+$A$7*($D57-$C$7),K$37))</f>
        <v>8983835.717098141</v>
      </c>
      <c r="L61" s="414">
        <f>IF(L$37="","",IF(L$14=$C$5,L$37+$A$7*($D57-$C$7),L$37))</f>
        <v>9178754.219771074</v>
      </c>
      <c r="M61" s="414">
        <f>IF(M$37="","",IF(M$14=$C$5,M$37+$A$7*($D57-$C$7),M$37))</f>
        <v>9383690.994615696</v>
      </c>
      <c r="N61" s="414">
        <f>IF(N$37="","",IF(N$14=$C$5,N$37+$A$7*($D57-$C$7),N$37))</f>
        <v>9598667.745154701</v>
      </c>
      <c r="O61" s="414">
        <f>IF(O$37="","",IF(O$14=$C$5,O$37+$A$7*($D57-$C$7),O$37))</f>
        <v>9907817.67563754</v>
      </c>
      <c r="P61" s="414">
        <f>IF(P$37="","",IF(P$14=$C$5,P$37+$A$7*($D57-$C$7),P$37))</f>
        <v>10219165.96974815</v>
      </c>
      <c r="Q61" s="414">
        <f>IF(Q$37="","",IF(Q$14=$C$5,Q$37+$A$7*($D57-$C$7),Q$37))</f>
        <v>10532734.749229345</v>
      </c>
      <c r="R61" s="414">
        <f>IF(R$37="","",IF(R$14=$C$5,R$37+$A$7*($D57-$C$7),R$37))</f>
        <v>10848546.272421371</v>
      </c>
      <c r="S61" s="414">
        <f>IF(S$37="","",IF(S$14=$C$5,S$37+$A$7*($D57-$C$7),S$37))</f>
        <v>11166622.932712145</v>
      </c>
      <c r="T61" s="414">
        <f>IF(T$37="","",IF(T$14=$C$5,T$37+$A$7*($D57-$C$7),T$37))</f>
        <v>11486987.25689652</v>
      </c>
      <c r="U61" s="414">
        <f>IF(U$37="","",IF(U$14=$C$5,U$37+$A$7*($D57-$C$7),U$37))</f>
        <v>11809661.903442007</v>
      </c>
      <c r="V61" s="414">
        <f>IF(V$37="","",IF(V$14=$C$5,V$37+$A$7*($D57-$C$7),V$37))</f>
        <v>12134669.66065811</v>
      </c>
      <c r="W61" s="414">
        <f>IF(W$37="","",IF(W$14=$C$5,W$37+$A$7*($D57-$C$7),W$37))</f>
        <v>212623366.7780999</v>
      </c>
      <c r="X61" s="414" t="str">
        <f>IF(X$37="","",IF(X$14=$C$5,X$37+$A$7*($D57-$C$7),X$37))</f>
        <v/>
      </c>
      <c r="Y61" s="414" t="str">
        <f>IF(Y$37="","",IF(Y$14=$C$5,Y$37+$A$7*($D57-$C$7),Y$37))</f>
        <v/>
      </c>
      <c r="Z61" s="414" t="str">
        <f>IF(Z$37="","",IF(Z$14=$C$5,Z$37+$A$7*($D57-$C$7),Z$37))</f>
        <v/>
      </c>
      <c r="AA61" s="414" t="str">
        <f>IF(AA$37="","",IF(AA$14=$C$5,AA$37+$A$7*($D57-$C$7),AA$37))</f>
        <v/>
      </c>
      <c r="AB61" s="414" t="str">
        <f>IF(AB$37="","",IF(AB$14=$C$5,AB$37+$A$7*($D57-$C$7),AB$37))</f>
        <v/>
      </c>
      <c r="AC61" s="414" t="str">
        <f>IF(AC$37="","",IF(AC$14=$C$5,AC$37+$A$7*($D57-$C$7),AC$37))</f>
        <v/>
      </c>
      <c r="AD61" s="414" t="str">
        <f>IF(AD$37="","",IF(AD$14=$C$5,AD$37+$A$7*($D57-$C$7),AD$37))</f>
        <v/>
      </c>
      <c r="AE61" s="414" t="str">
        <f>IF(AE$37="","",IF(AE$14=$C$5,AE$37+$A$7*($D57-$C$7),AE$37))</f>
        <v/>
      </c>
      <c r="AF61" s="414" t="str">
        <f>IF(AF$37="","",IF(AF$14=$C$5,AF$37+$A$7*($D57-$C$7),AF$37))</f>
        <v/>
      </c>
      <c r="AG61" s="414" t="str">
        <f>IF(AG$37="","",IF(AG$14=$C$5,AG$37+$A$7*($D57-$C$7),AG$37))</f>
        <v/>
      </c>
      <c r="AH61" s="414" t="str">
        <f>IF(AH$37="","",IF(AH$14=$C$5,AH$37+$A$7*($D57-$C$7),AH$37))</f>
        <v/>
      </c>
      <c r="AI61" s="414" t="str">
        <f>IF(AI$37="","",IF(AI$14=$C$5,AI$37+$A$7*($D57-$C$7),AI$37))</f>
        <v/>
      </c>
      <c r="AJ61" s="414" t="str">
        <f>IF(AJ$37="","",IF(AJ$14=$C$5,AJ$37+$A$7*($D57-$C$7),AJ$37))</f>
        <v/>
      </c>
      <c r="AK61" s="414" t="str">
        <f>IF(AK$37="","",IF(AK$14=$C$5,AK$37+$A$7*($D57-$C$7),AK$37))</f>
        <v/>
      </c>
      <c r="AL61" s="414" t="str">
        <f>IF(AL$37="","",IF(AL$14=$C$5,AL$37+$A$7*($D57-$C$7),AL$37))</f>
        <v/>
      </c>
      <c r="AM61" s="414" t="str">
        <f>IF(AM$37="","",IF(AM$14=$C$5,AM$37+$A$7*($D57-$C$7),AM$37))</f>
        <v/>
      </c>
      <c r="AN61" s="414" t="str">
        <f>IF(AN$37="","",IF(AN$14=$C$5,AN$37+$A$7*($D57-$C$7),AN$37))</f>
        <v/>
      </c>
      <c r="AO61" s="414" t="str">
        <f>IF(AO$37="","",IF(AO$14=$C$5,AO$37+$A$7*($D57-$C$7),AO$37))</f>
        <v/>
      </c>
      <c r="AP61" s="414" t="str">
        <f>IF(AP$37="","",IF(AP$14=$C$5,AP$37+$A$7*($D57-$C$7),AP$37))</f>
        <v/>
      </c>
      <c r="AQ61" s="414" t="str">
        <f>IF(AQ$37="","",IF(AQ$14=$C$5,AQ$37+$A$7*($D57-$C$7),AQ$37))</f>
        <v/>
      </c>
      <c r="AR61" s="414" t="str">
        <f>IF(AR$37="","",IF(AR$14=$C$5,AR$37+$A$7*($D57-$C$7),AR$37))</f>
        <v/>
      </c>
      <c r="AS61" s="414" t="str">
        <f>IF(AS$37="","",IF(AS$14=$C$5,AS$37+$A$7*($D57-$C$7),AS$37))</f>
        <v/>
      </c>
      <c r="AT61" s="414" t="str">
        <f>IF(AT$37="","",IF(AT$14=$C$5,AT$37+$A$7*($D57-$C$7),AT$37))</f>
        <v/>
      </c>
      <c r="AU61" s="414" t="str">
        <f>IF(AU$37="","",IF(AU$14=$C$5,AU$37+$A$7*($D57-$C$7),AU$37))</f>
        <v/>
      </c>
      <c r="AV61" s="414" t="str">
        <f>IF(AV$37="","",IF(AV$14=$C$5,AV$37+$A$7*($D57-$C$7),AV$37))</f>
        <v/>
      </c>
      <c r="AW61" s="414" t="str">
        <f>IF(AW$37="","",IF(AW$14=$C$5,AW$37+$A$7*($D57-$C$7),AW$37))</f>
        <v/>
      </c>
      <c r="AX61" s="414" t="str">
        <f>IF(AX$37="","",IF(AX$14=$C$5,AX$37+$A$7*($D57-$C$7),AX$37))</f>
        <v/>
      </c>
      <c r="AY61" s="414" t="str">
        <f>IF(AY$37="","",IF(AY$14=$C$5,AY$37+$A$7*($D57-$C$7),AY$37))</f>
        <v/>
      </c>
      <c r="AZ61" s="414" t="str">
        <f>IF(AZ$37="","",IF(AZ$14=$C$5,AZ$37+$A$7*($D57-$C$7),AZ$37))</f>
        <v/>
      </c>
      <c r="BA61" s="414" t="str">
        <f>IF(BA$37="","",IF(BA$14=$C$5,BA$37+$A$7*($D57-$C$7),BA$37))</f>
        <v/>
      </c>
    </row>
  </sheetData>
  <mergeCells count="1">
    <mergeCell ref="B2:K4"/>
  </mergeCells>
  <dataValidations count="2">
    <dataValidation allowBlank="1" showInputMessage="1" promptTitle="Eget exit-värde (undantag)" prompt="Lämna tomt = beräknat värde (rad 10). Ett ifyllt belopp i kr ERSÄTTER exit-värdet helt, det är inget tillägg. Motivera i kommentaren. 2. Kalkyldata visar en notis när fältet är ifyllt." sqref="C11"/>
    <dataValidation allowBlank="1" showInputMessage="1" promptTitle="Vikt i exit-värdet" prompt="Standard 0 % / 100 % / 0 % (rent marknadsvärde). Summan av A6:A8 ska vara 100 %. Ändra bara med motivering. Rad 9 (lån) viktas inte." sqref="A6:A8"/>
  </dataValidations>
  <pageMargins left="0.39370078740157477" right="0.39370078740157477" top="0.59055118110236215" bottom="0.59055118110236215" header="0.23622047244094485" footer="0.23622047244094485"/>
  <pageSetup paperSize="8" scale="84" fitToWidth="2" fitToHeight="0" orientation="landscape" r:id="rId1"/>
  <headerFooter differentFirst="1">
    <oddFooter>&amp;LLejonfastigheter · Investeringskalkyl LM 371 v3.2&amp;C5. IRR&amp;RSida &amp;P av &amp;N · &amp;D</oddFooter>
    <firstHeader>&amp;L&amp;"Arial,Regular"&amp;8&amp;G</firstHeader>
    <firstFooter>&amp;LLejonfastigheter · Investeringskalkyl LM 371 v3.2&amp;C5. IRR&amp;RSida &amp;P av &amp;N · &amp;D</first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6"/>
    <pageSetUpPr fitToPage="1"/>
  </sheetPr>
  <dimension ref="A1:BA17"/>
  <sheetViews>
    <sheetView showGridLines="0" zoomScaleNormal="100" zoomScaleSheetLayoutView="69" workbookViewId="0">
      <pane ySplit="4" topLeftCell="A5" activePane="bottomLeft" state="frozen"/>
      <selection pane="bottomLeft" activeCell="A5" sqref="A5"/>
    </sheetView>
  </sheetViews>
  <sheetFormatPr defaultColWidth="9.125" defaultRowHeight="14.25"/>
  <cols>
    <col min="1" max="1" width="2.75" style="180" customWidth="1"/>
    <col min="2" max="2" width="46.0" style="180" customWidth="1"/>
    <col min="3" max="52" width="12.625" style="180" customWidth="1"/>
    <col min="53" max="53" width="12.625" style="11" customWidth="1"/>
    <col min="54" max="16384" width="9.125" style="11"/>
  </cols>
  <sheetData>
    <row r="1" spans="1:53" ht="23.25">
      <c r="A1" s="185" t="s">
        <v>286</v>
      </c>
      <c r="BA1" s="494"/>
    </row>
    <row r="2" spans="1:53" ht="36.0" customHeight="1">
      <c r="A2" s="928" t="inlineStr">
        <is>
          <t>Visar hur mycket av investeringen, inklusive räntekrav på bundet kapital, som återstår att tjäna in år för år. När Ack. kapitalutlägg (sista raden) når 0 är kapitalet återvunnet.</t>
        </is>
      </c>
      <c r="BA2" s="494"/>
    </row>
    <row r="3" spans="1:53" s="19" customFormat="1" ht="15">
      <c r="A3" s="220"/>
      <c r="B3" s="923" t="inlineStr">
        <is>
          <t>Belopp i kr</t>
        </is>
      </c>
      <c r="C3" s="403">
        <f>'4. NPV'!D$4</f>
        <v>2026.0</v>
      </c>
      <c r="D3" s="403">
        <f>'4. NPV'!E$4</f>
        <v>2027.0</v>
      </c>
      <c r="E3" s="403">
        <f>'4. NPV'!F$4</f>
        <v>2028.0</v>
      </c>
      <c r="F3" s="403">
        <f>'4. NPV'!G$4</f>
        <v>2029.0</v>
      </c>
      <c r="G3" s="403">
        <f>'4. NPV'!H$4</f>
        <v>2030.0</v>
      </c>
      <c r="H3" s="403">
        <f>'4. NPV'!I$4</f>
        <v>2031.0</v>
      </c>
      <c r="I3" s="403">
        <f>'4. NPV'!J$4</f>
        <v>2032.0</v>
      </c>
      <c r="J3" s="403">
        <f>'4. NPV'!K$4</f>
        <v>2033.0</v>
      </c>
      <c r="K3" s="403">
        <f>'4. NPV'!L$4</f>
        <v>2034.0</v>
      </c>
      <c r="L3" s="403">
        <f>'4. NPV'!M$4</f>
        <v>2035.0</v>
      </c>
      <c r="M3" s="403">
        <f>'4. NPV'!N$4</f>
        <v>2036.0</v>
      </c>
      <c r="N3" s="403">
        <f>'4. NPV'!O$4</f>
        <v>2037.0</v>
      </c>
      <c r="O3" s="403">
        <f>'4. NPV'!P$4</f>
        <v>2038.0</v>
      </c>
      <c r="P3" s="403">
        <f>'4. NPV'!Q$4</f>
        <v>2039.0</v>
      </c>
      <c r="Q3" s="403">
        <f>'4. NPV'!R$4</f>
        <v>2040.0</v>
      </c>
      <c r="R3" s="403">
        <f>'4. NPV'!S$4</f>
        <v>2041.0</v>
      </c>
      <c r="S3" s="403">
        <f>'4. NPV'!T$4</f>
        <v>2042.0</v>
      </c>
      <c r="T3" s="403">
        <f>'4. NPV'!U$4</f>
        <v>2043.0</v>
      </c>
      <c r="U3" s="403">
        <f>'4. NPV'!V$4</f>
        <v>2044.0</v>
      </c>
      <c r="V3" s="403">
        <f>'4. NPV'!W$4</f>
        <v>2045.0</v>
      </c>
      <c r="W3" s="403">
        <f>'4. NPV'!X$4</f>
        <v>2046.0</v>
      </c>
      <c r="X3" s="403" t="str">
        <f>'4. NPV'!Y$4</f>
        <v/>
      </c>
      <c r="Y3" s="403" t="str">
        <f>'4. NPV'!Z$4</f>
        <v/>
      </c>
      <c r="Z3" s="403" t="str">
        <f>'4. NPV'!AA$4</f>
        <v/>
      </c>
      <c r="AA3" s="403" t="str">
        <f>'4. NPV'!AB$4</f>
        <v/>
      </c>
      <c r="AB3" s="403" t="str">
        <f>'4. NPV'!AC$4</f>
        <v/>
      </c>
      <c r="AC3" s="403" t="str">
        <f>'4. NPV'!AD$4</f>
        <v/>
      </c>
      <c r="AD3" s="403" t="str">
        <f>'4. NPV'!AE$4</f>
        <v/>
      </c>
      <c r="AE3" s="403" t="str">
        <f>'4. NPV'!AF$4</f>
        <v/>
      </c>
      <c r="AF3" s="403" t="str">
        <f>'4. NPV'!AG$4</f>
        <v/>
      </c>
      <c r="AG3" s="403" t="str">
        <f>'4. NPV'!AH$4</f>
        <v/>
      </c>
      <c r="AH3" s="403" t="str">
        <f>'4. NPV'!AI$4</f>
        <v/>
      </c>
      <c r="AI3" s="403" t="str">
        <f>'4. NPV'!AJ$4</f>
        <v/>
      </c>
      <c r="AJ3" s="403" t="str">
        <f>'4. NPV'!AK$4</f>
        <v/>
      </c>
      <c r="AK3" s="403" t="str">
        <f>'4. NPV'!AL$4</f>
        <v/>
      </c>
      <c r="AL3" s="403" t="str">
        <f>'4. NPV'!AM$4</f>
        <v/>
      </c>
      <c r="AM3" s="403" t="str">
        <f>'4. NPV'!AN$4</f>
        <v/>
      </c>
      <c r="AN3" s="403" t="str">
        <f>'4. NPV'!AO$4</f>
        <v/>
      </c>
      <c r="AO3" s="403" t="str">
        <f>'4. NPV'!AP$4</f>
        <v/>
      </c>
      <c r="AP3" s="403" t="str">
        <f>'4. NPV'!AQ$4</f>
        <v/>
      </c>
      <c r="AQ3" s="403" t="str">
        <f>'4. NPV'!AR$4</f>
        <v/>
      </c>
      <c r="AR3" s="403" t="str">
        <f>'4. NPV'!AS$4</f>
        <v/>
      </c>
      <c r="AS3" s="403" t="str">
        <f>'4. NPV'!AT$4</f>
        <v/>
      </c>
      <c r="AT3" s="403" t="str">
        <f>'4. NPV'!AU$4</f>
        <v/>
      </c>
      <c r="AU3" s="403" t="str">
        <f>'4. NPV'!AV$4</f>
        <v/>
      </c>
      <c r="AV3" s="403" t="str">
        <f>'4. NPV'!AW$4</f>
        <v/>
      </c>
      <c r="AW3" s="403" t="str">
        <f>'4. NPV'!AX$4</f>
        <v/>
      </c>
      <c r="AX3" s="403" t="str">
        <f>'4. NPV'!AY$4</f>
        <v/>
      </c>
      <c r="AY3" s="403" t="str">
        <f>'4. NPV'!AZ$4</f>
        <v/>
      </c>
      <c r="AZ3" s="403" t="str">
        <f>'4. NPV'!BA$4</f>
        <v/>
      </c>
      <c r="BA3" s="494"/>
    </row>
    <row r="4" spans="1:53">
      <c r="B4" s="924" t="inlineStr">
        <is>
          <t>År i kalkylen</t>
        </is>
      </c>
      <c r="C4" s="405">
        <f>'5. IRR'!D14</f>
        <v>1.0</v>
      </c>
      <c r="D4" s="405">
        <f>'5. IRR'!E14</f>
        <v>2.0</v>
      </c>
      <c r="E4" s="405">
        <f>'5. IRR'!F14</f>
        <v>3.0</v>
      </c>
      <c r="F4" s="405">
        <f>'5. IRR'!G14</f>
        <v>4.0</v>
      </c>
      <c r="G4" s="405">
        <f>'5. IRR'!H14</f>
        <v>5.0</v>
      </c>
      <c r="H4" s="405">
        <f>'5. IRR'!I14</f>
        <v>6.0</v>
      </c>
      <c r="I4" s="405">
        <f>'5. IRR'!J14</f>
        <v>7.0</v>
      </c>
      <c r="J4" s="405">
        <f>'5. IRR'!K14</f>
        <v>8.0</v>
      </c>
      <c r="K4" s="405">
        <f>'5. IRR'!L14</f>
        <v>9.0</v>
      </c>
      <c r="L4" s="405">
        <f>'5. IRR'!M14</f>
        <v>10.0</v>
      </c>
      <c r="M4" s="405">
        <f>'5. IRR'!N14</f>
        <v>11.0</v>
      </c>
      <c r="N4" s="405">
        <f>'5. IRR'!O14</f>
        <v>12.0</v>
      </c>
      <c r="O4" s="405">
        <f>'5. IRR'!P14</f>
        <v>13.0</v>
      </c>
      <c r="P4" s="405">
        <f>'5. IRR'!Q14</f>
        <v>14.0</v>
      </c>
      <c r="Q4" s="405">
        <f>'5. IRR'!R14</f>
        <v>15.0</v>
      </c>
      <c r="R4" s="405">
        <f>'5. IRR'!S14</f>
        <v>16.0</v>
      </c>
      <c r="S4" s="405">
        <f>'5. IRR'!T14</f>
        <v>17.0</v>
      </c>
      <c r="T4" s="405">
        <f>'5. IRR'!U14</f>
        <v>18.0</v>
      </c>
      <c r="U4" s="405">
        <f>'5. IRR'!V14</f>
        <v>19.0</v>
      </c>
      <c r="V4" s="405">
        <f>'5. IRR'!W14</f>
        <v>20.0</v>
      </c>
      <c r="W4" s="405">
        <f>'5. IRR'!X14</f>
        <v>21.0</v>
      </c>
      <c r="X4" s="405">
        <f>'5. IRR'!Y14</f>
        <v>22.0</v>
      </c>
      <c r="Y4" s="405">
        <f>'5. IRR'!Z14</f>
        <v>23.0</v>
      </c>
      <c r="Z4" s="405">
        <f>'5. IRR'!AA14</f>
        <v>24.0</v>
      </c>
      <c r="AA4" s="405">
        <f>'5. IRR'!AB14</f>
        <v>25.0</v>
      </c>
      <c r="AB4" s="405">
        <f>'5. IRR'!AC14</f>
        <v>26.0</v>
      </c>
      <c r="AC4" s="405">
        <f>'5. IRR'!AD14</f>
        <v>27.0</v>
      </c>
      <c r="AD4" s="405">
        <f>'5. IRR'!AE14</f>
        <v>28.0</v>
      </c>
      <c r="AE4" s="405">
        <f>'5. IRR'!AF14</f>
        <v>29.0</v>
      </c>
      <c r="AF4" s="405">
        <f>'5. IRR'!AG14</f>
        <v>30.0</v>
      </c>
      <c r="AG4" s="405">
        <f>'5. IRR'!AH14</f>
        <v>31.0</v>
      </c>
      <c r="AH4" s="405">
        <f>'5. IRR'!AI14</f>
        <v>32.0</v>
      </c>
      <c r="AI4" s="405">
        <f>'5. IRR'!AJ14</f>
        <v>33.0</v>
      </c>
      <c r="AJ4" s="405">
        <f>'5. IRR'!AK14</f>
        <v>34.0</v>
      </c>
      <c r="AK4" s="405">
        <f>'5. IRR'!AL14</f>
        <v>35.0</v>
      </c>
      <c r="AL4" s="405">
        <f>'5. IRR'!AM14</f>
        <v>36.0</v>
      </c>
      <c r="AM4" s="405">
        <f>'5. IRR'!AN14</f>
        <v>37.0</v>
      </c>
      <c r="AN4" s="405">
        <f>'5. IRR'!AO14</f>
        <v>38.0</v>
      </c>
      <c r="AO4" s="405">
        <f>'5. IRR'!AP14</f>
        <v>39.0</v>
      </c>
      <c r="AP4" s="405">
        <f>'5. IRR'!AQ14</f>
        <v>40.0</v>
      </c>
      <c r="AQ4" s="405">
        <f>'5. IRR'!AR14</f>
        <v>41.0</v>
      </c>
      <c r="AR4" s="405">
        <f>'5. IRR'!AS14</f>
        <v>42.0</v>
      </c>
      <c r="AS4" s="405">
        <f>'5. IRR'!AT14</f>
        <v>43.0</v>
      </c>
      <c r="AT4" s="405">
        <f>'5. IRR'!AU14</f>
        <v>44.0</v>
      </c>
      <c r="AU4" s="405">
        <f>'5. IRR'!AV14</f>
        <v>45.0</v>
      </c>
      <c r="AV4" s="405">
        <f>'5. IRR'!AW14</f>
        <v>46.0</v>
      </c>
      <c r="AW4" s="405">
        <f>'5. IRR'!AX14</f>
        <v>47.0</v>
      </c>
      <c r="AX4" s="405">
        <f>'5. IRR'!AY14</f>
        <v>48.0</v>
      </c>
      <c r="AY4" s="405">
        <f>'5. IRR'!AZ14</f>
        <v>49.0</v>
      </c>
      <c r="AZ4" s="405">
        <f>'5. IRR'!BA14</f>
        <v>50.0</v>
      </c>
      <c r="BA4" s="494"/>
    </row>
    <row r="5" spans="1:53">
      <c r="B5" s="406" t="inlineStr">
        <is>
          <t>(+) Ingående balans (bokfört värde)</t>
        </is>
      </c>
      <c r="C5" s="933">
        <f>'2. Kalkyldata'!$P$9-'2. Kalkyldata'!$P$10</f>
        <v>0.0</v>
      </c>
      <c r="D5" s="933"/>
      <c r="E5" s="933"/>
      <c r="F5" s="933"/>
      <c r="G5" s="933"/>
      <c r="H5" s="933"/>
      <c r="I5" s="933"/>
      <c r="J5" s="933"/>
      <c r="K5" s="933"/>
      <c r="L5" s="933"/>
      <c r="M5" s="933"/>
      <c r="N5" s="933"/>
      <c r="O5" s="933"/>
      <c r="P5" s="933"/>
      <c r="Q5" s="933"/>
      <c r="R5" s="933"/>
      <c r="S5" s="933"/>
      <c r="T5" s="933"/>
      <c r="U5" s="933"/>
      <c r="V5" s="933"/>
      <c r="W5" s="933"/>
      <c r="X5" s="935"/>
      <c r="Y5" s="935"/>
      <c r="Z5" s="935"/>
      <c r="AA5" s="935"/>
      <c r="AB5" s="935"/>
      <c r="AC5" s="935"/>
      <c r="AD5" s="935"/>
      <c r="AE5" s="935"/>
      <c r="AF5" s="935"/>
      <c r="AG5" s="935"/>
      <c r="AH5" s="935"/>
      <c r="AI5" s="935"/>
      <c r="AJ5" s="935"/>
      <c r="AK5" s="935"/>
      <c r="AL5" s="935"/>
      <c r="AM5" s="935"/>
      <c r="AN5" s="935"/>
      <c r="AO5" s="935"/>
      <c r="AP5" s="935"/>
      <c r="AQ5" s="935"/>
      <c r="AR5" s="935"/>
      <c r="AS5" s="935"/>
      <c r="AT5" s="935"/>
      <c r="AU5" s="935"/>
      <c r="AV5" s="935"/>
      <c r="AW5" s="935"/>
      <c r="AX5" s="935"/>
      <c r="AY5" s="935"/>
      <c r="AZ5" s="935"/>
      <c r="BA5" s="936"/>
    </row>
    <row r="6" spans="1:53">
      <c r="B6" s="406" t="inlineStr">
        <is>
          <t>(-) Driftnetto (hela fastigheten, 4. NPV)</t>
        </is>
      </c>
      <c r="C6" s="933">
        <f>'4. NPV'!D$29</f>
        <v>13694500.0</v>
      </c>
      <c r="D6" s="933">
        <f>'4. NPV'!E$29</f>
        <v>13871400.0</v>
      </c>
      <c r="E6" s="933">
        <f>'4. NPV'!F$29</f>
        <v>14050480.14</v>
      </c>
      <c r="F6" s="933">
        <f>'4. NPV'!G$29</f>
        <v>14231765.012759998</v>
      </c>
      <c r="G6" s="933">
        <f>'4. NPV'!H$29</f>
        <v>14415279.43675464</v>
      </c>
      <c r="H6" s="933">
        <f>'4. NPV'!I$29</f>
        <v>14601048.456961526</v>
      </c>
      <c r="I6" s="933">
        <f>'4. NPV'!J$29</f>
        <v>14789097.34561315</v>
      </c>
      <c r="J6" s="933">
        <f>'4. NPV'!K$29</f>
        <v>14979451.60291099</v>
      </c>
      <c r="K6" s="933">
        <f>'4. NPV'!L$29</f>
        <v>15172136.957700178</v>
      </c>
      <c r="L6" s="933">
        <f>'4. NPV'!M$29</f>
        <v>15367179.368103383</v>
      </c>
      <c r="M6" s="933">
        <f>'4. NPV'!N$29</f>
        <v>15564605.02211214</v>
      </c>
      <c r="N6" s="933">
        <f>'4. NPV'!O$29</f>
        <v>15764440.338134129</v>
      </c>
      <c r="O6" s="933">
        <f>'4. NPV'!P$29</f>
        <v>15966711.965494674</v>
      </c>
      <c r="P6" s="933">
        <f>'4. NPV'!Q$29</f>
        <v>16171446.784890799</v>
      </c>
      <c r="Q6" s="933">
        <f>'4. NPV'!R$29</f>
        <v>16378671.908796053</v>
      </c>
      <c r="R6" s="933">
        <f>'4. NPV'!S$29</f>
        <v>16588414.68181432</v>
      </c>
      <c r="S6" s="933">
        <f>'4. NPV'!T$29</f>
        <v>16800702.68098074</v>
      </c>
      <c r="T6" s="933">
        <f>'4. NPV'!U$29</f>
        <v>17015563.71600791</v>
      </c>
      <c r="U6" s="933">
        <f>'4. NPV'!V$29</f>
        <v>17233025.829475332</v>
      </c>
      <c r="V6" s="933">
        <f>'4. NPV'!W$29</f>
        <v>17453117.296960164</v>
      </c>
      <c r="W6" s="933">
        <f>'4. NPV'!X$29</f>
        <v>17675866.627107225</v>
      </c>
      <c r="X6" s="935">
        <f>'4. NPV'!Y$29</f>
        <v>0.0</v>
      </c>
      <c r="Y6" s="935">
        <f>'4. NPV'!Z$29</f>
        <v>0.0</v>
      </c>
      <c r="Z6" s="935">
        <f>'4. NPV'!AA$29</f>
        <v>0.0</v>
      </c>
      <c r="AA6" s="935">
        <f>'4. NPV'!AB$29</f>
        <v>0.0</v>
      </c>
      <c r="AB6" s="935">
        <f>'4. NPV'!AC$29</f>
        <v>0.0</v>
      </c>
      <c r="AC6" s="935">
        <f>'4. NPV'!AD$29</f>
        <v>0.0</v>
      </c>
      <c r="AD6" s="935">
        <f>'4. NPV'!AE$29</f>
        <v>0.0</v>
      </c>
      <c r="AE6" s="935">
        <f>'4. NPV'!AF$29</f>
        <v>0.0</v>
      </c>
      <c r="AF6" s="935">
        <f>'4. NPV'!AG$29</f>
        <v>0.0</v>
      </c>
      <c r="AG6" s="935">
        <f>'4. NPV'!AH$29</f>
        <v>0.0</v>
      </c>
      <c r="AH6" s="935">
        <f>'4. NPV'!AI$29</f>
        <v>0.0</v>
      </c>
      <c r="AI6" s="935">
        <f>'4. NPV'!AJ$29</f>
        <v>0.0</v>
      </c>
      <c r="AJ6" s="935">
        <f>'4. NPV'!AK$29</f>
        <v>0.0</v>
      </c>
      <c r="AK6" s="935">
        <f>'4. NPV'!AL$29</f>
        <v>0.0</v>
      </c>
      <c r="AL6" s="935">
        <f>'4. NPV'!AM$29</f>
        <v>0.0</v>
      </c>
      <c r="AM6" s="935">
        <f>'4. NPV'!AN$29</f>
        <v>0.0</v>
      </c>
      <c r="AN6" s="935">
        <f>'4. NPV'!AO$29</f>
        <v>0.0</v>
      </c>
      <c r="AO6" s="935">
        <f>'4. NPV'!AP$29</f>
        <v>0.0</v>
      </c>
      <c r="AP6" s="935">
        <f>'4. NPV'!AQ$29</f>
        <v>0.0</v>
      </c>
      <c r="AQ6" s="935">
        <f>'4. NPV'!AR$29</f>
        <v>0.0</v>
      </c>
      <c r="AR6" s="935">
        <f>'4. NPV'!AS$29</f>
        <v>0.0</v>
      </c>
      <c r="AS6" s="935">
        <f>'4. NPV'!AT$29</f>
        <v>0.0</v>
      </c>
      <c r="AT6" s="935">
        <f>'4. NPV'!AU$29</f>
        <v>0.0</v>
      </c>
      <c r="AU6" s="935">
        <f>'4. NPV'!AV$29</f>
        <v>0.0</v>
      </c>
      <c r="AV6" s="935">
        <f>'4. NPV'!AW$29</f>
        <v>0.0</v>
      </c>
      <c r="AW6" s="935">
        <f>'4. NPV'!AX$29</f>
        <v>0.0</v>
      </c>
      <c r="AX6" s="935">
        <f>'4. NPV'!AY$29</f>
        <v>0.0</v>
      </c>
      <c r="AY6" s="935">
        <f>'4. NPV'!AZ$29</f>
        <v>0.0</v>
      </c>
      <c r="AZ6" s="935">
        <f>'4. NPV'!BA$29</f>
        <v>0.0</v>
      </c>
      <c r="BA6" s="936"/>
    </row>
    <row r="7" spans="1:53" hidden="1">
      <c r="B7" s="407" t="s">
        <v>289</v>
      </c>
      <c r="C7" s="933">
        <v>0</v>
      </c>
      <c r="D7" s="933">
        <v>0</v>
      </c>
      <c r="E7" s="933">
        <v>0</v>
      </c>
      <c r="F7" s="933">
        <v>0</v>
      </c>
      <c r="G7" s="933">
        <v>0</v>
      </c>
      <c r="H7" s="933">
        <v>0</v>
      </c>
      <c r="I7" s="933">
        <v>0</v>
      </c>
      <c r="J7" s="933">
        <v>0</v>
      </c>
      <c r="K7" s="933">
        <v>0</v>
      </c>
      <c r="L7" s="933">
        <v>0</v>
      </c>
      <c r="M7" s="933">
        <v>0</v>
      </c>
      <c r="N7" s="933">
        <v>0</v>
      </c>
      <c r="O7" s="933">
        <v>0</v>
      </c>
      <c r="P7" s="933">
        <v>0</v>
      </c>
      <c r="Q7" s="933">
        <v>0</v>
      </c>
      <c r="R7" s="933">
        <v>0</v>
      </c>
      <c r="S7" s="933">
        <v>0</v>
      </c>
      <c r="T7" s="933">
        <v>0</v>
      </c>
      <c r="U7" s="933">
        <v>0</v>
      </c>
      <c r="V7" s="933">
        <v>0</v>
      </c>
      <c r="W7" s="933">
        <v>0</v>
      </c>
      <c r="X7" s="935">
        <v>0</v>
      </c>
      <c r="Y7" s="935">
        <v>0</v>
      </c>
      <c r="Z7" s="935">
        <v>0</v>
      </c>
      <c r="AA7" s="935">
        <v>0</v>
      </c>
      <c r="AB7" s="935">
        <v>0</v>
      </c>
      <c r="AC7" s="935">
        <v>0</v>
      </c>
      <c r="AD7" s="935">
        <v>0</v>
      </c>
      <c r="AE7" s="935">
        <v>0</v>
      </c>
      <c r="AF7" s="935">
        <v>0</v>
      </c>
      <c r="AG7" s="935">
        <v>0</v>
      </c>
      <c r="AH7" s="935">
        <v>0</v>
      </c>
      <c r="AI7" s="935">
        <v>0</v>
      </c>
      <c r="AJ7" s="935">
        <v>0</v>
      </c>
      <c r="AK7" s="935">
        <v>0</v>
      </c>
      <c r="AL7" s="935">
        <v>0</v>
      </c>
      <c r="AM7" s="935">
        <v>0</v>
      </c>
      <c r="AN7" s="935">
        <v>0</v>
      </c>
      <c r="AO7" s="935">
        <v>0</v>
      </c>
      <c r="AP7" s="935">
        <v>0</v>
      </c>
      <c r="AQ7" s="935">
        <v>0</v>
      </c>
      <c r="AR7" s="935">
        <v>0</v>
      </c>
      <c r="AS7" s="935">
        <v>0</v>
      </c>
      <c r="AT7" s="935">
        <v>0</v>
      </c>
      <c r="AU7" s="935">
        <v>0</v>
      </c>
      <c r="AV7" s="935">
        <v>0</v>
      </c>
      <c r="AW7" s="935">
        <v>0</v>
      </c>
      <c r="AX7" s="935">
        <v>0</v>
      </c>
      <c r="AY7" s="935">
        <v>0</v>
      </c>
      <c r="AZ7" s="935">
        <v>0</v>
      </c>
      <c r="BA7" s="936"/>
    </row>
    <row r="8" spans="1:53">
      <c r="B8" s="406" t="s">
        <v>290</v>
      </c>
      <c r="C8" s="933">
        <f>('4. NPV'!D$9)-'2. Kalkyldata'!$AA$28</f>
        <v>-239999999.99999997</v>
      </c>
      <c r="D8" s="933">
        <f>('4. NPV'!E$9)</f>
        <v>-0.0</v>
      </c>
      <c r="E8" s="933">
        <f>('4. NPV'!F$9)</f>
        <v>-0.0</v>
      </c>
      <c r="F8" s="933">
        <f>('4. NPV'!G$9)</f>
        <v>-0.0</v>
      </c>
      <c r="G8" s="933">
        <f>('4. NPV'!H$9)</f>
        <v>-0.0</v>
      </c>
      <c r="H8" s="933">
        <f>('4. NPV'!I$9)</f>
        <v>-0.0</v>
      </c>
      <c r="I8" s="933">
        <f>('4. NPV'!J$9)</f>
        <v>-0.0</v>
      </c>
      <c r="J8" s="933">
        <f>('4. NPV'!K$9)</f>
        <v>-0.0</v>
      </c>
      <c r="K8" s="933">
        <f>('4. NPV'!L$9)</f>
        <v>-0.0</v>
      </c>
      <c r="L8" s="933">
        <f>('4. NPV'!M$9)</f>
        <v>-0.0</v>
      </c>
      <c r="M8" s="933">
        <f>('4. NPV'!N$9)</f>
        <v>-0.0</v>
      </c>
      <c r="N8" s="933">
        <f>('4. NPV'!O$9)</f>
        <v>-0.0</v>
      </c>
      <c r="O8" s="933">
        <f>('4. NPV'!P$9)</f>
        <v>-0.0</v>
      </c>
      <c r="P8" s="933">
        <f>('4. NPV'!Q$9)</f>
        <v>-0.0</v>
      </c>
      <c r="Q8" s="933">
        <f>('4. NPV'!R$9)</f>
        <v>-0.0</v>
      </c>
      <c r="R8" s="933">
        <f>('4. NPV'!S$9)</f>
        <v>-0.0</v>
      </c>
      <c r="S8" s="933">
        <f>('4. NPV'!T$9)</f>
        <v>-0.0</v>
      </c>
      <c r="T8" s="933">
        <f>('4. NPV'!U$9)</f>
        <v>-0.0</v>
      </c>
      <c r="U8" s="933">
        <f>('4. NPV'!V$9)</f>
        <v>-0.0</v>
      </c>
      <c r="V8" s="933">
        <f>('4. NPV'!W$9)</f>
        <v>-0.0</v>
      </c>
      <c r="W8" s="933">
        <f>('4. NPV'!X$9)</f>
        <v>-0.0</v>
      </c>
      <c r="X8" s="935">
        <f>('4. NPV'!Y$9)</f>
        <v>-0.0</v>
      </c>
      <c r="Y8" s="935">
        <f>('4. NPV'!Z$9)</f>
        <v>-0.0</v>
      </c>
      <c r="Z8" s="935">
        <f>('4. NPV'!AA$9)</f>
        <v>-0.0</v>
      </c>
      <c r="AA8" s="935">
        <f>('4. NPV'!AB$9)</f>
        <v>-0.0</v>
      </c>
      <c r="AB8" s="935">
        <f>('4. NPV'!AC$9)</f>
        <v>-0.0</v>
      </c>
      <c r="AC8" s="935">
        <f>('4. NPV'!AD$9)</f>
        <v>-0.0</v>
      </c>
      <c r="AD8" s="935">
        <f>('4. NPV'!AE$9)</f>
        <v>-0.0</v>
      </c>
      <c r="AE8" s="935">
        <f>('4. NPV'!AF$9)</f>
        <v>-0.0</v>
      </c>
      <c r="AF8" s="935">
        <f>('4. NPV'!AG$9)</f>
        <v>-0.0</v>
      </c>
      <c r="AG8" s="935">
        <f>('4. NPV'!AH$9)</f>
        <v>-0.0</v>
      </c>
      <c r="AH8" s="935">
        <f>('4. NPV'!AI$9)</f>
        <v>-0.0</v>
      </c>
      <c r="AI8" s="935">
        <f>('4. NPV'!AJ$9)</f>
        <v>-0.0</v>
      </c>
      <c r="AJ8" s="935">
        <f>('4. NPV'!AK$9)</f>
        <v>-0.0</v>
      </c>
      <c r="AK8" s="935">
        <f>('4. NPV'!AL$9)</f>
        <v>-0.0</v>
      </c>
      <c r="AL8" s="935">
        <f>('4. NPV'!AM$9)</f>
        <v>-0.0</v>
      </c>
      <c r="AM8" s="935">
        <f>('4. NPV'!AN$9)</f>
        <v>-0.0</v>
      </c>
      <c r="AN8" s="935">
        <f>('4. NPV'!AO$9)</f>
        <v>-0.0</v>
      </c>
      <c r="AO8" s="935">
        <f>('4. NPV'!AP$9)</f>
        <v>-0.0</v>
      </c>
      <c r="AP8" s="935">
        <f>('4. NPV'!AQ$9)</f>
        <v>-0.0</v>
      </c>
      <c r="AQ8" s="935">
        <f>('4. NPV'!AR$9)</f>
        <v>-0.0</v>
      </c>
      <c r="AR8" s="935">
        <f>('4. NPV'!AS$9)</f>
        <v>-0.0</v>
      </c>
      <c r="AS8" s="935">
        <f>('4. NPV'!AT$9)</f>
        <v>-0.0</v>
      </c>
      <c r="AT8" s="935">
        <f>('4. NPV'!AU$9)</f>
        <v>-0.0</v>
      </c>
      <c r="AU8" s="935">
        <f>('4. NPV'!AV$9)</f>
        <v>-0.0</v>
      </c>
      <c r="AV8" s="935">
        <f>('4. NPV'!AW$9)</f>
        <v>-0.0</v>
      </c>
      <c r="AW8" s="935">
        <f>('4. NPV'!AX$9)</f>
        <v>-0.0</v>
      </c>
      <c r="AX8" s="935">
        <f>('4. NPV'!AY$9)</f>
        <v>-0.0</v>
      </c>
      <c r="AY8" s="935">
        <f>('4. NPV'!AZ$9)</f>
        <v>-0.0</v>
      </c>
      <c r="AZ8" s="935">
        <f>('4. NPV'!BA$9)</f>
        <v>-0.0</v>
      </c>
      <c r="BA8" s="936"/>
    </row>
    <row r="9" spans="1:53">
      <c r="B9" s="406" t="inlineStr">
        <is>
          <t>(-) Övriga intäkter/kostnader (5. IRR rad 24–25)</t>
        </is>
      </c>
      <c r="C9" s="933">
        <f>('5. IRR'!D$24+'5. IRR'!D$25)</f>
        <v>0.0</v>
      </c>
      <c r="D9" s="933">
        <f>('5. IRR'!E$24+'5. IRR'!E$25)</f>
        <v>0.0</v>
      </c>
      <c r="E9" s="933">
        <f>('5. IRR'!F$24+'5. IRR'!F$25)</f>
        <v>0.0</v>
      </c>
      <c r="F9" s="933">
        <f>('5. IRR'!G$24+'5. IRR'!G$25)</f>
        <v>0.0</v>
      </c>
      <c r="G9" s="933">
        <f>('5. IRR'!H$24+'5. IRR'!H$25)</f>
        <v>0.0</v>
      </c>
      <c r="H9" s="933">
        <f>('5. IRR'!I$24+'5. IRR'!I$25)</f>
        <v>0.0</v>
      </c>
      <c r="I9" s="933">
        <f>('5. IRR'!J$24+'5. IRR'!J$25)</f>
        <v>0.0</v>
      </c>
      <c r="J9" s="933">
        <f>('5. IRR'!K$24+'5. IRR'!K$25)</f>
        <v>0.0</v>
      </c>
      <c r="K9" s="933">
        <f>('5. IRR'!L$24+'5. IRR'!L$25)</f>
        <v>0.0</v>
      </c>
      <c r="L9" s="933">
        <f>('5. IRR'!M$24+'5. IRR'!M$25)</f>
        <v>0.0</v>
      </c>
      <c r="M9" s="933">
        <f>('5. IRR'!N$24+'5. IRR'!N$25)</f>
        <v>0.0</v>
      </c>
      <c r="N9" s="933">
        <f>('5. IRR'!O$24+'5. IRR'!O$25)</f>
        <v>0.0</v>
      </c>
      <c r="O9" s="933">
        <f>('5. IRR'!P$24+'5. IRR'!P$25)</f>
        <v>0.0</v>
      </c>
      <c r="P9" s="933">
        <f>('5. IRR'!Q$24+'5. IRR'!Q$25)</f>
        <v>0.0</v>
      </c>
      <c r="Q9" s="933">
        <f>('5. IRR'!R$24+'5. IRR'!R$25)</f>
        <v>0.0</v>
      </c>
      <c r="R9" s="933">
        <f>('5. IRR'!S$24+'5. IRR'!S$25)</f>
        <v>0.0</v>
      </c>
      <c r="S9" s="933">
        <f>('5. IRR'!T$24+'5. IRR'!T$25)</f>
        <v>0.0</v>
      </c>
      <c r="T9" s="933">
        <f>('5. IRR'!U$24+'5. IRR'!U$25)</f>
        <v>0.0</v>
      </c>
      <c r="U9" s="933">
        <f>('5. IRR'!V$24+'5. IRR'!V$25)</f>
        <v>0.0</v>
      </c>
      <c r="V9" s="933">
        <f>('5. IRR'!W$24+'5. IRR'!W$25)</f>
        <v>0.0</v>
      </c>
      <c r="W9" s="933">
        <f>('5. IRR'!X$24+'5. IRR'!X$25)</f>
        <v>0.0</v>
      </c>
      <c r="X9" s="935">
        <f>('5. IRR'!Y$24+'5. IRR'!Y$25)</f>
        <v>0.0</v>
      </c>
      <c r="Y9" s="935">
        <f>('5. IRR'!Z$24+'5. IRR'!Z$25)</f>
        <v>0.0</v>
      </c>
      <c r="Z9" s="935">
        <f>('5. IRR'!AA$24+'5. IRR'!AA$25)</f>
        <v>0.0</v>
      </c>
      <c r="AA9" s="935">
        <f>('5. IRR'!AB$24+'5. IRR'!AB$25)</f>
        <v>0.0</v>
      </c>
      <c r="AB9" s="935">
        <f>('5. IRR'!AC$24+'5. IRR'!AC$25)</f>
        <v>0.0</v>
      </c>
      <c r="AC9" s="935">
        <f>('5. IRR'!AD$24+'5. IRR'!AD$25)</f>
        <v>0.0</v>
      </c>
      <c r="AD9" s="935">
        <f>('5. IRR'!AE$24+'5. IRR'!AE$25)</f>
        <v>0.0</v>
      </c>
      <c r="AE9" s="935">
        <f>('5. IRR'!AF$24+'5. IRR'!AF$25)</f>
        <v>0.0</v>
      </c>
      <c r="AF9" s="935">
        <f>('5. IRR'!AG$24+'5. IRR'!AG$25)</f>
        <v>0.0</v>
      </c>
      <c r="AG9" s="935">
        <f>('5. IRR'!AH$24+'5. IRR'!AH$25)</f>
        <v>0.0</v>
      </c>
      <c r="AH9" s="935">
        <f>('5. IRR'!AI$24+'5. IRR'!AI$25)</f>
        <v>0.0</v>
      </c>
      <c r="AI9" s="935">
        <f>('5. IRR'!AJ$24+'5. IRR'!AJ$25)</f>
        <v>0.0</v>
      </c>
      <c r="AJ9" s="935">
        <f>('5. IRR'!AK$24+'5. IRR'!AK$25)</f>
        <v>0.0</v>
      </c>
      <c r="AK9" s="935">
        <f>('5. IRR'!AL$24+'5. IRR'!AL$25)</f>
        <v>0.0</v>
      </c>
      <c r="AL9" s="935">
        <f>('5. IRR'!AM$24+'5. IRR'!AM$25)</f>
        <v>0.0</v>
      </c>
      <c r="AM9" s="935">
        <f>('5. IRR'!AN$24+'5. IRR'!AN$25)</f>
        <v>0.0</v>
      </c>
      <c r="AN9" s="935">
        <f>('5. IRR'!AO$24+'5. IRR'!AO$25)</f>
        <v>0.0</v>
      </c>
      <c r="AO9" s="935">
        <f>('5. IRR'!AP$24+'5. IRR'!AP$25)</f>
        <v>0.0</v>
      </c>
      <c r="AP9" s="935">
        <f>('5. IRR'!AQ$24+'5. IRR'!AQ$25)</f>
        <v>0.0</v>
      </c>
      <c r="AQ9" s="935">
        <f>('5. IRR'!AR$24+'5. IRR'!AR$25)</f>
        <v>0.0</v>
      </c>
      <c r="AR9" s="935">
        <f>('5. IRR'!AS$24+'5. IRR'!AS$25)</f>
        <v>0.0</v>
      </c>
      <c r="AS9" s="935">
        <f>('5. IRR'!AT$24+'5. IRR'!AT$25)</f>
        <v>0.0</v>
      </c>
      <c r="AT9" s="935">
        <f>('5. IRR'!AU$24+'5. IRR'!AU$25)</f>
        <v>0.0</v>
      </c>
      <c r="AU9" s="935">
        <f>('5. IRR'!AV$24+'5. IRR'!AV$25)</f>
        <v>0.0</v>
      </c>
      <c r="AV9" s="935">
        <f>('5. IRR'!AW$24+'5. IRR'!AW$25)</f>
        <v>0.0</v>
      </c>
      <c r="AW9" s="935">
        <f>('5. IRR'!AX$24+'5. IRR'!AX$25)</f>
        <v>0.0</v>
      </c>
      <c r="AX9" s="935">
        <f>('5. IRR'!AY$24+'5. IRR'!AY$25)</f>
        <v>0.0</v>
      </c>
      <c r="AY9" s="935">
        <f>('5. IRR'!AZ$24+'5. IRR'!AZ$25)</f>
        <v>0.0</v>
      </c>
      <c r="AZ9" s="935">
        <f>('5. IRR'!BA$24+'5. IRR'!BA$25)</f>
        <v>0.0</v>
      </c>
      <c r="BA9" s="935"/>
    </row>
    <row r="10" spans="1:53">
      <c r="B10" s="458" t="s">
        <v>292</v>
      </c>
      <c r="C10" s="934">
        <f t="shared" ref="C10:AH10" si="0">C6+C7+C8</f>
        <v>-226305499.99999997</v>
      </c>
      <c r="D10" s="934">
        <f t="shared" si="0"/>
        <v>13871400.0</v>
      </c>
      <c r="E10" s="934">
        <f t="shared" si="0"/>
        <v>14050480.14</v>
      </c>
      <c r="F10" s="934">
        <f t="shared" si="0"/>
        <v>14231765.012759998</v>
      </c>
      <c r="G10" s="934">
        <f t="shared" si="0"/>
        <v>14415279.43675464</v>
      </c>
      <c r="H10" s="934">
        <f t="shared" si="0"/>
        <v>14601048.456961526</v>
      </c>
      <c r="I10" s="934">
        <f t="shared" si="0"/>
        <v>14789097.34561315</v>
      </c>
      <c r="J10" s="934">
        <f t="shared" si="0"/>
        <v>14979451.60291099</v>
      </c>
      <c r="K10" s="934">
        <f t="shared" si="0"/>
        <v>15172136.957700178</v>
      </c>
      <c r="L10" s="934">
        <f t="shared" si="0"/>
        <v>15367179.368103383</v>
      </c>
      <c r="M10" s="934">
        <f t="shared" si="0"/>
        <v>15564605.02211214</v>
      </c>
      <c r="N10" s="934">
        <f t="shared" si="0"/>
        <v>15764440.338134129</v>
      </c>
      <c r="O10" s="934">
        <f t="shared" si="0"/>
        <v>15966711.965494674</v>
      </c>
      <c r="P10" s="934">
        <f t="shared" si="0"/>
        <v>16171446.784890799</v>
      </c>
      <c r="Q10" s="934">
        <f t="shared" si="0"/>
        <v>16378671.908796053</v>
      </c>
      <c r="R10" s="934">
        <f t="shared" si="0"/>
        <v>16588414.68181432</v>
      </c>
      <c r="S10" s="934">
        <f t="shared" si="0"/>
        <v>16800702.68098074</v>
      </c>
      <c r="T10" s="934">
        <f t="shared" si="0"/>
        <v>17015563.71600791</v>
      </c>
      <c r="U10" s="934">
        <f t="shared" si="0"/>
        <v>17233025.829475332</v>
      </c>
      <c r="V10" s="934">
        <f t="shared" si="0"/>
        <v>17453117.296960164</v>
      </c>
      <c r="W10" s="934">
        <f t="shared" si="0"/>
        <v>17675866.627107225</v>
      </c>
      <c r="X10" s="937">
        <f t="shared" si="0"/>
        <v>0.0</v>
      </c>
      <c r="Y10" s="937">
        <f t="shared" si="0"/>
        <v>0.0</v>
      </c>
      <c r="Z10" s="937">
        <f t="shared" si="0"/>
        <v>0.0</v>
      </c>
      <c r="AA10" s="937">
        <f t="shared" si="0"/>
        <v>0.0</v>
      </c>
      <c r="AB10" s="937">
        <f t="shared" si="0"/>
        <v>0.0</v>
      </c>
      <c r="AC10" s="937">
        <f t="shared" si="0"/>
        <v>0.0</v>
      </c>
      <c r="AD10" s="937">
        <f t="shared" si="0"/>
        <v>0.0</v>
      </c>
      <c r="AE10" s="937">
        <f t="shared" si="0"/>
        <v>0.0</v>
      </c>
      <c r="AF10" s="937">
        <f t="shared" si="0"/>
        <v>0.0</v>
      </c>
      <c r="AG10" s="937">
        <f t="shared" si="0"/>
        <v>0.0</v>
      </c>
      <c r="AH10" s="937">
        <f t="shared" si="0"/>
        <v>0.0</v>
      </c>
      <c r="AI10" s="937">
        <f t="shared" ref="AI10:AZ10" si="1">AI6+AI7+AI8</f>
        <v>0.0</v>
      </c>
      <c r="AJ10" s="937">
        <f t="shared" si="1"/>
        <v>0.0</v>
      </c>
      <c r="AK10" s="937">
        <f t="shared" si="1"/>
        <v>0.0</v>
      </c>
      <c r="AL10" s="937">
        <f t="shared" si="1"/>
        <v>0.0</v>
      </c>
      <c r="AM10" s="937">
        <f t="shared" si="1"/>
        <v>0.0</v>
      </c>
      <c r="AN10" s="937">
        <f t="shared" si="1"/>
        <v>0.0</v>
      </c>
      <c r="AO10" s="937">
        <f t="shared" si="1"/>
        <v>0.0</v>
      </c>
      <c r="AP10" s="937">
        <f t="shared" si="1"/>
        <v>0.0</v>
      </c>
      <c r="AQ10" s="937">
        <f t="shared" si="1"/>
        <v>0.0</v>
      </c>
      <c r="AR10" s="937">
        <f t="shared" si="1"/>
        <v>0.0</v>
      </c>
      <c r="AS10" s="937">
        <f t="shared" si="1"/>
        <v>0.0</v>
      </c>
      <c r="AT10" s="937">
        <f t="shared" si="1"/>
        <v>0.0</v>
      </c>
      <c r="AU10" s="937">
        <f t="shared" si="1"/>
        <v>0.0</v>
      </c>
      <c r="AV10" s="937">
        <f t="shared" si="1"/>
        <v>0.0</v>
      </c>
      <c r="AW10" s="937">
        <f t="shared" si="1"/>
        <v>0.0</v>
      </c>
      <c r="AX10" s="937">
        <f t="shared" si="1"/>
        <v>0.0</v>
      </c>
      <c r="AY10" s="937">
        <f t="shared" si="1"/>
        <v>0.0</v>
      </c>
      <c r="AZ10" s="937">
        <f t="shared" si="1"/>
        <v>0.0</v>
      </c>
      <c r="BA10" s="936"/>
    </row>
    <row r="11" spans="1:53">
      <c r="B11" s="406" t="inlineStr">
        <is>
          <t>(+) Räntekrav (kalkylränta driftnetto, flik 2)</t>
        </is>
      </c>
      <c r="C11" s="933">
        <f>-(SUM(C$8:$C$8)*'2. Kalkyldata'!$M$7)</f>
        <v>10919999.999999998</v>
      </c>
      <c r="D11" s="933">
        <f>C$13*'2. Kalkyldata'!$M$7</f>
        <v>10793760.249999998</v>
      </c>
      <c r="E11" s="933">
        <f>D$13*'2. Kalkyldata'!$M$7</f>
        <v>10653727.641374998</v>
      </c>
      <c r="F11" s="933">
        <f>E$13*'2. Kalkyldata'!$M$7</f>
        <v>10499175.40268756</v>
      </c>
      <c r="G11" s="933">
        <f>F$13*'2. Kalkyldata'!$M$7</f>
        <v>10329342.575429264</v>
      </c>
      <c r="H11" s="933">
        <f>G$13*'2. Kalkyldata'!$M$7</f>
        <v>10143432.44823896</v>
      </c>
      <c r="I11" s="933">
        <f>H$13*'2. Kalkyldata'!$M$7</f>
        <v>9940610.919842085</v>
      </c>
      <c r="J11" s="933">
        <f>I$13*'2. Kalkyldata'!$M$7</f>
        <v>9720004.7874695</v>
      </c>
      <c r="K11" s="933">
        <f>J$13*'2. Kalkyldata'!$M$7</f>
        <v>9480699.957366914</v>
      </c>
      <c r="L11" s="933">
        <f>K$13*'2. Kalkyldata'!$M$7</f>
        <v>9221739.57385175</v>
      </c>
      <c r="M11" s="933">
        <f>L$13*'2. Kalkyldata'!$M$7</f>
        <v>8942122.063213298</v>
      </c>
      <c r="N11" s="933">
        <f>M$13*'2. Kalkyldata'!$M$7</f>
        <v>8640799.088583402</v>
      </c>
      <c r="O11" s="933">
        <f>N$13*'2. Kalkyldata'!$M$7</f>
        <v>8316673.411728843</v>
      </c>
      <c r="P11" s="933">
        <f>O$13*'2. Kalkyldata'!$M$7</f>
        <v>7968596.657532498</v>
      </c>
      <c r="Q11" s="933">
        <f>P$13*'2. Kalkyldata'!$M$7</f>
        <v>7595366.976737696</v>
      </c>
      <c r="R11" s="933">
        <f>Q$13*'2. Kalkyldata'!$M$7</f>
        <v>7195726.602329042</v>
      </c>
      <c r="S11" s="933">
        <f>R$13*'2. Kalkyldata'!$M$7</f>
        <v>6768359.2947124615</v>
      </c>
      <c r="T11" s="933">
        <f>S$13*'2. Kalkyldata'!$M$7</f>
        <v>6311887.670637255</v>
      </c>
      <c r="U11" s="933">
        <f>T$13*'2. Kalkyldata'!$M$7</f>
        <v>5824870.410572889</v>
      </c>
      <c r="V11" s="933">
        <f>U$13*'2. Kalkyldata'!$M$7</f>
        <v>5305799.339012829</v>
      </c>
      <c r="W11" s="933">
        <f>V$13*'2. Kalkyldata'!$M$7</f>
        <v>4753096.371926225</v>
      </c>
      <c r="X11" s="935">
        <f>W$13*'2. Kalkyldata'!$M$7</f>
        <v>4165110.325315489</v>
      </c>
      <c r="Y11" s="935">
        <f>X$13*'2. Kalkyldata'!$M$7</f>
        <v>0.0</v>
      </c>
      <c r="Z11" s="935">
        <f>Y$13*'2. Kalkyldata'!$M$7</f>
        <v>0.0</v>
      </c>
      <c r="AA11" s="935">
        <f>Z$13*'2. Kalkyldata'!$M$7</f>
        <v>0.0</v>
      </c>
      <c r="AB11" s="935">
        <f>AA$13*'2. Kalkyldata'!$M$7</f>
        <v>0.0</v>
      </c>
      <c r="AC11" s="935">
        <f>AB$13*'2. Kalkyldata'!$M$7</f>
        <v>0.0</v>
      </c>
      <c r="AD11" s="935">
        <f>AC$13*'2. Kalkyldata'!$M$7</f>
        <v>0.0</v>
      </c>
      <c r="AE11" s="935">
        <f>AD$13*'2. Kalkyldata'!$M$7</f>
        <v>0.0</v>
      </c>
      <c r="AF11" s="935">
        <f>AE$13*'2. Kalkyldata'!$M$7</f>
        <v>0.0</v>
      </c>
      <c r="AG11" s="935">
        <f>AF$13*'2. Kalkyldata'!$M$7</f>
        <v>0.0</v>
      </c>
      <c r="AH11" s="935">
        <f>AG$13*'2. Kalkyldata'!$M$7</f>
        <v>0.0</v>
      </c>
      <c r="AI11" s="935">
        <f>AH$13*'2. Kalkyldata'!$M$7</f>
        <v>0.0</v>
      </c>
      <c r="AJ11" s="935">
        <f>AI$13*'2. Kalkyldata'!$M$7</f>
        <v>0.0</v>
      </c>
      <c r="AK11" s="935">
        <f>AJ$13*'2. Kalkyldata'!$M$7</f>
        <v>0.0</v>
      </c>
      <c r="AL11" s="935">
        <f>AK$13*'2. Kalkyldata'!$M$7</f>
        <v>0.0</v>
      </c>
      <c r="AM11" s="935">
        <f>AL$13*'2. Kalkyldata'!$M$7</f>
        <v>0.0</v>
      </c>
      <c r="AN11" s="935">
        <f>AM$13*'2. Kalkyldata'!$M$7</f>
        <v>0.0</v>
      </c>
      <c r="AO11" s="935">
        <f>AN$13*'2. Kalkyldata'!$M$7</f>
        <v>0.0</v>
      </c>
      <c r="AP11" s="935">
        <f>AO$13*'2. Kalkyldata'!$M$7</f>
        <v>0.0</v>
      </c>
      <c r="AQ11" s="935">
        <f>AP$13*'2. Kalkyldata'!$M$7</f>
        <v>0.0</v>
      </c>
      <c r="AR11" s="935">
        <f>AQ$13*'2. Kalkyldata'!$M$7</f>
        <v>0.0</v>
      </c>
      <c r="AS11" s="935">
        <f>AR$13*'2. Kalkyldata'!$M$7</f>
        <v>0.0</v>
      </c>
      <c r="AT11" s="935">
        <f>AS$13*'2. Kalkyldata'!$M$7</f>
        <v>0.0</v>
      </c>
      <c r="AU11" s="935">
        <f>AT$13*'2. Kalkyldata'!$M$7</f>
        <v>0.0</v>
      </c>
      <c r="AV11" s="935">
        <f>AU$13*'2. Kalkyldata'!$M$7</f>
        <v>0.0</v>
      </c>
      <c r="AW11" s="935">
        <f>AV$13*'2. Kalkyldata'!$M$7</f>
        <v>0.0</v>
      </c>
      <c r="AX11" s="935">
        <f>AW$13*'2. Kalkyldata'!$M$7</f>
        <v>0.0</v>
      </c>
      <c r="AY11" s="935">
        <f>AX$13*'2. Kalkyldata'!$M$7</f>
        <v>0.0</v>
      </c>
      <c r="AZ11" s="935">
        <f>AY$13*'2. Kalkyldata'!$M$7</f>
        <v>0.0</v>
      </c>
      <c r="BA11" s="936"/>
    </row>
    <row r="12" spans="1:53">
      <c r="B12" s="406" t="inlineStr">
        <is>
          <t>(=) Återvunnet kapital (kassaflöde − räntekrav)</t>
        </is>
      </c>
      <c r="C12" s="933">
        <f>C10-C11</f>
        <v>-237225499.99999997</v>
      </c>
      <c r="D12" s="933">
        <f t="shared" ref="D12:AH12" si="2">D10-D11</f>
        <v>3077639.750000002</v>
      </c>
      <c r="E12" s="933">
        <f t="shared" si="2"/>
        <v>3396752.498625003</v>
      </c>
      <c r="F12" s="933">
        <f t="shared" si="2"/>
        <v>3732589.6100724377</v>
      </c>
      <c r="G12" s="933">
        <f t="shared" si="2"/>
        <v>4085936.8613253757</v>
      </c>
      <c r="H12" s="933">
        <f t="shared" si="2"/>
        <v>4457616.008722566</v>
      </c>
      <c r="I12" s="933">
        <f t="shared" si="2"/>
        <v>4848486.425771065</v>
      </c>
      <c r="J12" s="933">
        <f t="shared" si="2"/>
        <v>5259446.815441489</v>
      </c>
      <c r="K12" s="933">
        <f t="shared" si="2"/>
        <v>5691437.0003332645</v>
      </c>
      <c r="L12" s="933">
        <f t="shared" si="2"/>
        <v>6145439.794251634</v>
      </c>
      <c r="M12" s="933">
        <f t="shared" si="2"/>
        <v>6622482.958898842</v>
      </c>
      <c r="N12" s="933">
        <f t="shared" si="2"/>
        <v>7123641.249550726</v>
      </c>
      <c r="O12" s="933">
        <f t="shared" si="2"/>
        <v>7650038.553765831</v>
      </c>
      <c r="P12" s="933">
        <f t="shared" si="2"/>
        <v>8202850.127358301</v>
      </c>
      <c r="Q12" s="933">
        <f t="shared" si="2"/>
        <v>8783304.932058357</v>
      </c>
      <c r="R12" s="933">
        <f t="shared" si="2"/>
        <v>9392688.079485279</v>
      </c>
      <c r="S12" s="933">
        <f t="shared" si="2"/>
        <v>10032343.386268277</v>
      </c>
      <c r="T12" s="933">
        <f t="shared" si="2"/>
        <v>10703676.045370657</v>
      </c>
      <c r="U12" s="933">
        <f t="shared" si="2"/>
        <v>11408155.418902442</v>
      </c>
      <c r="V12" s="933">
        <f t="shared" si="2"/>
        <v>12147317.957947336</v>
      </c>
      <c r="W12" s="933">
        <f t="shared" si="2"/>
        <v>12922770.255181</v>
      </c>
      <c r="X12" s="935">
        <f t="shared" si="2"/>
        <v>-4165110.325315489</v>
      </c>
      <c r="Y12" s="935">
        <f t="shared" si="2"/>
        <v>0.0</v>
      </c>
      <c r="Z12" s="935">
        <f t="shared" si="2"/>
        <v>0.0</v>
      </c>
      <c r="AA12" s="935">
        <f t="shared" si="2"/>
        <v>0.0</v>
      </c>
      <c r="AB12" s="935">
        <f t="shared" si="2"/>
        <v>0.0</v>
      </c>
      <c r="AC12" s="935">
        <f t="shared" si="2"/>
        <v>0.0</v>
      </c>
      <c r="AD12" s="935">
        <f t="shared" si="2"/>
        <v>0.0</v>
      </c>
      <c r="AE12" s="935">
        <f t="shared" si="2"/>
        <v>0.0</v>
      </c>
      <c r="AF12" s="935">
        <f t="shared" si="2"/>
        <v>0.0</v>
      </c>
      <c r="AG12" s="935">
        <f t="shared" si="2"/>
        <v>0.0</v>
      </c>
      <c r="AH12" s="935">
        <f t="shared" si="2"/>
        <v>0.0</v>
      </c>
      <c r="AI12" s="935">
        <f t="shared" ref="AI12:AZ12" si="3">AI10-AI11</f>
        <v>0.0</v>
      </c>
      <c r="AJ12" s="935">
        <f t="shared" si="3"/>
        <v>0.0</v>
      </c>
      <c r="AK12" s="935">
        <f t="shared" si="3"/>
        <v>0.0</v>
      </c>
      <c r="AL12" s="935">
        <f t="shared" si="3"/>
        <v>0.0</v>
      </c>
      <c r="AM12" s="935">
        <f t="shared" si="3"/>
        <v>0.0</v>
      </c>
      <c r="AN12" s="935">
        <f t="shared" si="3"/>
        <v>0.0</v>
      </c>
      <c r="AO12" s="935">
        <f t="shared" si="3"/>
        <v>0.0</v>
      </c>
      <c r="AP12" s="935">
        <f t="shared" si="3"/>
        <v>0.0</v>
      </c>
      <c r="AQ12" s="935">
        <f t="shared" si="3"/>
        <v>0.0</v>
      </c>
      <c r="AR12" s="935">
        <f t="shared" si="3"/>
        <v>0.0</v>
      </c>
      <c r="AS12" s="935">
        <f t="shared" si="3"/>
        <v>0.0</v>
      </c>
      <c r="AT12" s="935">
        <f t="shared" si="3"/>
        <v>0.0</v>
      </c>
      <c r="AU12" s="935">
        <f t="shared" si="3"/>
        <v>0.0</v>
      </c>
      <c r="AV12" s="935">
        <f t="shared" si="3"/>
        <v>0.0</v>
      </c>
      <c r="AW12" s="935">
        <f t="shared" si="3"/>
        <v>0.0</v>
      </c>
      <c r="AX12" s="935">
        <f t="shared" si="3"/>
        <v>0.0</v>
      </c>
      <c r="AY12" s="935">
        <f t="shared" si="3"/>
        <v>0.0</v>
      </c>
      <c r="AZ12" s="935">
        <f t="shared" si="3"/>
        <v>0.0</v>
      </c>
      <c r="BA12" s="936"/>
    </row>
    <row r="13" spans="1:53">
      <c r="A13" s="180"/>
      <c r="B13" s="460" t="inlineStr">
        <is>
          <t>(=) Ack. kapitalutlägg (kvar att återvinna)</t>
        </is>
      </c>
      <c r="C13" s="461">
        <f>IF(C$3="",0,C$5-C$6-C$8+-C$9+C$11)</f>
        <v>237225499.99999997</v>
      </c>
      <c r="D13" s="461">
        <f>IF(D$3="",0,C$13-D$6-D$8+-D$9+D$11)</f>
        <v>234147860.24999997</v>
      </c>
      <c r="E13" s="461">
        <f t="shared" ref="E13:AZ13" si="4">IF(E$3="",0,D$13-E$6-E$8+-E$9+E$11)</f>
        <v>230751107.75137496</v>
      </c>
      <c r="F13" s="461">
        <f t="shared" si="4"/>
        <v>227018518.14130253</v>
      </c>
      <c r="G13" s="461">
        <f t="shared" si="4"/>
        <v>222932581.27997714</v>
      </c>
      <c r="H13" s="461">
        <f t="shared" si="4"/>
        <v>218474965.2712546</v>
      </c>
      <c r="I13" s="461">
        <f t="shared" si="4"/>
        <v>213626478.84548354</v>
      </c>
      <c r="J13" s="461">
        <f t="shared" si="4"/>
        <v>208367032.03004205</v>
      </c>
      <c r="K13" s="461">
        <f t="shared" si="4"/>
        <v>202675595.02970877</v>
      </c>
      <c r="L13" s="461">
        <f t="shared" si="4"/>
        <v>196530155.23545712</v>
      </c>
      <c r="M13" s="461">
        <f t="shared" si="4"/>
        <v>189907672.27655828</v>
      </c>
      <c r="N13" s="461">
        <f t="shared" si="4"/>
        <v>182784031.02700755</v>
      </c>
      <c r="O13" s="461">
        <f t="shared" si="4"/>
        <v>175133992.47324172</v>
      </c>
      <c r="P13" s="461">
        <f t="shared" si="4"/>
        <v>166931142.34588343</v>
      </c>
      <c r="Q13" s="461">
        <f t="shared" si="4"/>
        <v>158147837.4138251</v>
      </c>
      <c r="R13" s="461">
        <f t="shared" si="4"/>
        <v>148755149.33433983</v>
      </c>
      <c r="S13" s="461">
        <f t="shared" si="4"/>
        <v>138722805.94807154</v>
      </c>
      <c r="T13" s="461">
        <f t="shared" si="4"/>
        <v>128019129.90270087</v>
      </c>
      <c r="U13" s="461">
        <f t="shared" si="4"/>
        <v>116610974.48379843</v>
      </c>
      <c r="V13" s="461">
        <f t="shared" si="4"/>
        <v>104463656.5258511</v>
      </c>
      <c r="W13" s="461">
        <f t="shared" si="4"/>
        <v>91540886.27067009</v>
      </c>
      <c r="X13" s="938">
        <f t="shared" si="4"/>
        <v>0.0</v>
      </c>
      <c r="Y13" s="938">
        <f t="shared" si="4"/>
        <v>0.0</v>
      </c>
      <c r="Z13" s="938">
        <f t="shared" si="4"/>
        <v>0.0</v>
      </c>
      <c r="AA13" s="938">
        <f t="shared" si="4"/>
        <v>0.0</v>
      </c>
      <c r="AB13" s="938">
        <f t="shared" si="4"/>
        <v>0.0</v>
      </c>
      <c r="AC13" s="938">
        <f t="shared" si="4"/>
        <v>0.0</v>
      </c>
      <c r="AD13" s="938">
        <f t="shared" si="4"/>
        <v>0.0</v>
      </c>
      <c r="AE13" s="938">
        <f t="shared" si="4"/>
        <v>0.0</v>
      </c>
      <c r="AF13" s="938">
        <f t="shared" si="4"/>
        <v>0.0</v>
      </c>
      <c r="AG13" s="938">
        <f t="shared" si="4"/>
        <v>0.0</v>
      </c>
      <c r="AH13" s="938">
        <f t="shared" si="4"/>
        <v>0.0</v>
      </c>
      <c r="AI13" s="938">
        <f t="shared" si="4"/>
        <v>0.0</v>
      </c>
      <c r="AJ13" s="938">
        <f t="shared" si="4"/>
        <v>0.0</v>
      </c>
      <c r="AK13" s="938">
        <f t="shared" si="4"/>
        <v>0.0</v>
      </c>
      <c r="AL13" s="938">
        <f t="shared" si="4"/>
        <v>0.0</v>
      </c>
      <c r="AM13" s="938">
        <f t="shared" si="4"/>
        <v>0.0</v>
      </c>
      <c r="AN13" s="938">
        <f t="shared" si="4"/>
        <v>0.0</v>
      </c>
      <c r="AO13" s="938">
        <f t="shared" si="4"/>
        <v>0.0</v>
      </c>
      <c r="AP13" s="938">
        <f t="shared" si="4"/>
        <v>0.0</v>
      </c>
      <c r="AQ13" s="938">
        <f t="shared" si="4"/>
        <v>0.0</v>
      </c>
      <c r="AR13" s="938">
        <f t="shared" si="4"/>
        <v>0.0</v>
      </c>
      <c r="AS13" s="938">
        <f t="shared" si="4"/>
        <v>0.0</v>
      </c>
      <c r="AT13" s="938">
        <f t="shared" si="4"/>
        <v>0.0</v>
      </c>
      <c r="AU13" s="938">
        <f t="shared" si="4"/>
        <v>0.0</v>
      </c>
      <c r="AV13" s="938">
        <f t="shared" si="4"/>
        <v>0.0</v>
      </c>
      <c r="AW13" s="938">
        <f t="shared" si="4"/>
        <v>0.0</v>
      </c>
      <c r="AX13" s="938">
        <f t="shared" si="4"/>
        <v>0.0</v>
      </c>
      <c r="AY13" s="938">
        <f t="shared" si="4"/>
        <v>0.0</v>
      </c>
      <c r="AZ13" s="938">
        <f t="shared" si="4"/>
        <v>0.0</v>
      </c>
      <c r="BA13" s="936"/>
    </row>
    <row r="14" spans="1:53">
      <c r="C14" s="183"/>
      <c r="BA14" s="494"/>
    </row>
    <row r="15" ht="48.0" customHeight="1">
      <c r="B15" s="932" t="inlineStr">
        <is>
          <t>Tecknen (+)/(−) anger effekten på Ack. kapitalutlägg. Kassaflöde = rad 6 + 7 + 8. Räntekrav = föregående års Ack. kapitalutlägg × kalkylränta driftnetto (2. Kalkyldata M7); år 1 investeringen × samma ränta.</t>
        </is>
      </c>
    </row>
    <row r="16" ht="36.0" customHeight="1">
      <c r="B16" s="932" t="inlineStr">
        <is>
          <t>Räntebidrag (rad 7, dold) ingår i Kassaflöde men inte i Ack. kapitalutlägg. Övriga intäkter/kostnader (rad 9) ingår i Ack. kapitalutlägg men inte i Kassaflöde.</t>
        </is>
      </c>
    </row>
    <row r="17" ht="36.0" customHeight="1">
      <c r="B17" s="932" t="inlineStr">
        <is>
          <t>Ack. kapitalutlägg används i 5. IRR rad 6. Med standardvikterna (0 % / 100 % / 0 %) påverkar fliken inte exit-värdet – den är information.</t>
        </is>
      </c>
    </row>
  </sheetData>
  <mergeCells count="1">
    <mergeCell ref="A2:B2"/>
  </mergeCells>
  <dataValidations count="4">
    <dataValidation allowBlank="1" showInputMessage="1" promptTitle="Investeringar" prompt="Investering (4. NPV rad 9) minus projektbelastat bokfört värde (flik 2). Negativt belopp = utbetalning, som ökar kapitalutlägget." sqref="B8"/>
    <dataValidation allowBlank="1" showInputMessage="1" promptTitle="Övriga intäkter/kostnader" prompt="Ersättningslokaler och tillfälliga intäkter (flik 2 P11–P12, via 5. IRR rad 24–25). Ingår i Ack. kapitalutlägg men inte i Kassaflöde (rad 10)." sqref="B9"/>
    <dataValidation allowBlank="1" showInputMessage="1" promptTitle="Räntekrav" prompt="År 1: investeringen × kalkylränta driftnetto (flik 2 M7). Därefter: föregående års Ack. kapitalutlägg × samma ränta." sqref="B11"/>
    <dataValidation allowBlank="1" showInputMessage="1" promptTitle="Ack. kapitalutlägg" prompt="Kvar att återvinna inklusive räntekrav. Det år raden blir 0 eller negativ är investeringen återbetald." sqref="B13"/>
  </dataValidations>
  <pageMargins left="0.39370078740157477" right="0.39370078740157477" top="0.59055118110236215" bottom="0.59055118110236215" header="0.23622047244094485" footer="0.23622047244094485"/>
  <pageSetup paperSize="8" scale="98" fitToWidth="2" orientation="landscape" r:id="rId1"/>
  <headerFooter differentFirst="1">
    <oddFooter>&amp;LLejonfastigheter · Investeringskalkyl LM 371 v3.2&amp;C6. Ack.kapitalutlägg&amp;RSida &amp;P av &amp;N · &amp;D</oddFooter>
    <firstHeader>&amp;L&amp;"Arial,Regular"&amp;8&amp;G</firstHeader>
    <firstFooter>&amp;LLejonfastigheter · Investeringskalkyl LM 371 v3.2&amp;C6. Ack.kapitalutlägg&amp;RSida &amp;P av &amp;N · &amp;D</first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8"/>
    <pageSetUpPr fitToPage="1"/>
  </sheetPr>
  <dimension ref="A36:XFD57"/>
  <sheetViews>
    <sheetView showGridLines="0" topLeftCell="A1" zoomScaleNormal="100" workbookViewId="0">
      <pane topLeftCell="A40" activePane="bottomLeft" state="frozen" ySplit="39"/>
      <selection pane="bottomLeft" activeCell="A40" sqref="A40"/>
    </sheetView>
  </sheetViews>
  <sheetFormatPr defaultColWidth="9" defaultRowHeight="14.25"/>
  <cols>
    <col min="1" max="1" width="8.0" style="3" customWidth="1"/>
    <col min="2" max="2" width="42.0" style="3" customWidth="1"/>
    <col min="3" max="52" width="12.75" style="3" customWidth="1"/>
    <col min="53" max="16384" width="9" style="3"/>
  </cols>
  <sheetData>
    <row r="1" hidden="1"/>
    <row r="2" hidden="1"/>
    <row r="3" hidden="1"/>
    <row r="4" hidden="1"/>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t="23.25" customHeight="1">
      <c r="A36" t="inlineStr" s="185">
        <is>
          <t>Diagramunderlag per kalkylår</t>
        </is>
      </c>
    </row>
    <row r="37">
      <c r="A37" t="inlineStr" s="901">
        <is>
          <t>Inget fylls i här. Raderna hämtas från flik 3–5 och kan markeras för egna diagram (Infoga › Diagram). Rad 44 och 48 används av 4. NPV rad 34–35 – ändra inte.</t>
        </is>
      </c>
    </row>
    <row r="38" spans="1:16384">
      <c r="A38" s="322"/>
      <c r="B38" s="322" t="inlineStr">
        <is>
          <t>Kalenderår</t>
        </is>
      </c>
      <c r="C38" s="322">
        <f>'3. Finansiering'!D$13</f>
        <v>2026.0</v>
      </c>
      <c r="D38" s="322">
        <f>'3. Finansiering'!E$13</f>
        <v>2027.0</v>
      </c>
      <c r="E38" s="322">
        <f>'3. Finansiering'!F$13</f>
        <v>2028.0</v>
      </c>
      <c r="F38" s="322">
        <f>'3. Finansiering'!G$13</f>
        <v>2029.0</v>
      </c>
      <c r="G38" s="322">
        <f>'3. Finansiering'!H$13</f>
        <v>2030.0</v>
      </c>
      <c r="H38" s="322">
        <f>'3. Finansiering'!I$13</f>
        <v>2031.0</v>
      </c>
      <c r="I38" s="322">
        <f>'3. Finansiering'!J$13</f>
        <v>2032.0</v>
      </c>
      <c r="J38" s="322">
        <f>'3. Finansiering'!K$13</f>
        <v>2033.0</v>
      </c>
      <c r="K38" s="322">
        <f>'3. Finansiering'!L$13</f>
        <v>2034.0</v>
      </c>
      <c r="L38" s="322">
        <f>'3. Finansiering'!M$13</f>
        <v>2035.0</v>
      </c>
      <c r="M38" s="322">
        <f>'3. Finansiering'!N$13</f>
        <v>2036.0</v>
      </c>
      <c r="N38" s="322">
        <f>'3. Finansiering'!O$13</f>
        <v>2037.0</v>
      </c>
      <c r="O38" s="322">
        <f>'3. Finansiering'!P$13</f>
        <v>2038.0</v>
      </c>
      <c r="P38" s="322">
        <f>'3. Finansiering'!Q$13</f>
        <v>2039.0</v>
      </c>
      <c r="Q38" s="322">
        <f>'3. Finansiering'!R$13</f>
        <v>2040.0</v>
      </c>
      <c r="R38" s="322">
        <f>'3. Finansiering'!S$13</f>
        <v>2041.0</v>
      </c>
      <c r="S38" s="322">
        <f>'3. Finansiering'!T$13</f>
        <v>2042.0</v>
      </c>
      <c r="T38" s="322">
        <f>'3. Finansiering'!U$13</f>
        <v>2043.0</v>
      </c>
      <c r="U38" s="322">
        <f>'3. Finansiering'!V$13</f>
        <v>2044.0</v>
      </c>
      <c r="V38" s="322">
        <f>'3. Finansiering'!W$13</f>
        <v>2045.0</v>
      </c>
      <c r="W38" s="322">
        <f>'3. Finansiering'!X$13</f>
        <v>2046.0</v>
      </c>
      <c r="X38" s="5" t="str">
        <f>'3. Finansiering'!Y$13</f>
        <v/>
      </c>
      <c r="Y38" s="5" t="str">
        <f>'3. Finansiering'!Z$13</f>
        <v/>
      </c>
      <c r="Z38" s="5" t="str">
        <f>'3. Finansiering'!AA$13</f>
        <v/>
      </c>
      <c r="AA38" s="5" t="str">
        <f>'3. Finansiering'!AB$13</f>
        <v/>
      </c>
      <c r="AB38" s="5" t="str">
        <f>'3. Finansiering'!AC$13</f>
        <v/>
      </c>
      <c r="AC38" s="5" t="str">
        <f>'3. Finansiering'!AD$13</f>
        <v/>
      </c>
      <c r="AD38" s="5" t="str">
        <f>'3. Finansiering'!AE$13</f>
        <v/>
      </c>
      <c r="AE38" s="5" t="str">
        <f>'3. Finansiering'!AF$13</f>
        <v/>
      </c>
      <c r="AF38" s="5" t="str">
        <f>'3. Finansiering'!AG$13</f>
        <v/>
      </c>
      <c r="AG38" s="5" t="str">
        <f>'3. Finansiering'!AH$13</f>
        <v/>
      </c>
      <c r="AH38" s="5" t="str">
        <f>'3. Finansiering'!AI$13</f>
        <v/>
      </c>
      <c r="AI38" s="5" t="str">
        <f>'3. Finansiering'!AJ$13</f>
        <v/>
      </c>
      <c r="AJ38" s="5" t="str">
        <f>'3. Finansiering'!AK$13</f>
        <v/>
      </c>
      <c r="AK38" s="5" t="str">
        <f>'3. Finansiering'!AL$13</f>
        <v/>
      </c>
      <c r="AL38" s="5" t="str">
        <f>'3. Finansiering'!AM$13</f>
        <v/>
      </c>
      <c r="AM38" s="5" t="str">
        <f>'3. Finansiering'!AN$13</f>
        <v/>
      </c>
      <c r="AN38" s="5" t="str">
        <f>'3. Finansiering'!AO$13</f>
        <v/>
      </c>
      <c r="AO38" s="5" t="str">
        <f>'3. Finansiering'!AP$13</f>
        <v/>
      </c>
      <c r="AP38" s="5" t="str">
        <f>'3. Finansiering'!AQ$13</f>
        <v/>
      </c>
      <c r="AQ38" s="5" t="str">
        <f>'3. Finansiering'!AR$13</f>
        <v/>
      </c>
      <c r="AR38" s="5" t="str">
        <f>'3. Finansiering'!AS$13</f>
        <v/>
      </c>
      <c r="AS38" s="5" t="str">
        <f>'3. Finansiering'!AT$13</f>
        <v/>
      </c>
      <c r="AT38" s="5" t="str">
        <f>'3. Finansiering'!AU$13</f>
        <v/>
      </c>
      <c r="AU38" s="5" t="str">
        <f>'3. Finansiering'!AV$13</f>
        <v/>
      </c>
      <c r="AV38" s="5" t="str">
        <f>'3. Finansiering'!AW$13</f>
        <v/>
      </c>
      <c r="AW38" s="5" t="str">
        <f>'3. Finansiering'!AX$13</f>
        <v/>
      </c>
      <c r="AX38" s="5" t="str">
        <f>'3. Finansiering'!AY$13</f>
        <v/>
      </c>
      <c r="AY38" s="5" t="str">
        <f>'3. Finansiering'!AZ$13</f>
        <v/>
      </c>
      <c r="AZ38" s="5" t="str">
        <f>'3. Finansiering'!BA$13</f>
        <v/>
      </c>
    </row>
    <row r="39" spans="1:16384" s="4" customFormat="1">
      <c r="A39" s="439"/>
      <c r="B39" s="439" t="inlineStr">
        <is>
          <t>Kalkylår</t>
        </is>
      </c>
      <c r="C39" s="439">
        <f>'3. Finansiering'!D$14</f>
        <v>1.0</v>
      </c>
      <c r="D39" s="439">
        <f>'3. Finansiering'!E$14</f>
        <v>2.0</v>
      </c>
      <c r="E39" s="439">
        <f>'3. Finansiering'!F$14</f>
        <v>3.0</v>
      </c>
      <c r="F39" s="439">
        <f>'3. Finansiering'!G$14</f>
        <v>4.0</v>
      </c>
      <c r="G39" s="439">
        <f>'3. Finansiering'!H$14</f>
        <v>5.0</v>
      </c>
      <c r="H39" s="439">
        <f>'3. Finansiering'!I$14</f>
        <v>6.0</v>
      </c>
      <c r="I39" s="439">
        <f>'3. Finansiering'!J$14</f>
        <v>7.0</v>
      </c>
      <c r="J39" s="439">
        <f>'3. Finansiering'!K$14</f>
        <v>8.0</v>
      </c>
      <c r="K39" s="439">
        <f>'3. Finansiering'!L$14</f>
        <v>9.0</v>
      </c>
      <c r="L39" s="439">
        <f>'3. Finansiering'!M$14</f>
        <v>10.0</v>
      </c>
      <c r="M39" s="439">
        <f>'3. Finansiering'!N$14</f>
        <v>11.0</v>
      </c>
      <c r="N39" s="439">
        <f>'3. Finansiering'!O$14</f>
        <v>12.0</v>
      </c>
      <c r="O39" s="439">
        <f>'3. Finansiering'!P$14</f>
        <v>13.0</v>
      </c>
      <c r="P39" s="439">
        <f>'3. Finansiering'!Q$14</f>
        <v>14.0</v>
      </c>
      <c r="Q39" s="439">
        <f>'3. Finansiering'!R$14</f>
        <v>15.0</v>
      </c>
      <c r="R39" s="439">
        <f>'3. Finansiering'!S$14</f>
        <v>16.0</v>
      </c>
      <c r="S39" s="439">
        <f>'3. Finansiering'!T$14</f>
        <v>17.0</v>
      </c>
      <c r="T39" s="439">
        <f>'3. Finansiering'!U$14</f>
        <v>18.0</v>
      </c>
      <c r="U39" s="439">
        <f>'3. Finansiering'!V$14</f>
        <v>19.0</v>
      </c>
      <c r="V39" s="439">
        <f>'3. Finansiering'!W$14</f>
        <v>20.0</v>
      </c>
      <c r="W39" s="439">
        <f>'3. Finansiering'!X$14</f>
        <v>21.0</v>
      </c>
      <c r="X39" s="4">
        <f>'3. Finansiering'!Y$14</f>
        <v>22.0</v>
      </c>
      <c r="Y39" s="4">
        <f>'3. Finansiering'!Z$14</f>
        <v>23.0</v>
      </c>
      <c r="Z39" s="4">
        <f>'3. Finansiering'!AA$14</f>
        <v>24.0</v>
      </c>
      <c r="AA39" s="4">
        <f>'3. Finansiering'!AB$14</f>
        <v>25.0</v>
      </c>
      <c r="AB39" s="4">
        <f>'3. Finansiering'!AC$14</f>
        <v>26.0</v>
      </c>
      <c r="AC39" s="4">
        <f>'3. Finansiering'!AD$14</f>
        <v>27.0</v>
      </c>
      <c r="AD39" s="4">
        <f>'3. Finansiering'!AE$14</f>
        <v>28.0</v>
      </c>
      <c r="AE39" s="4">
        <f>'3. Finansiering'!AF$14</f>
        <v>29.0</v>
      </c>
      <c r="AF39" s="4">
        <f>'3. Finansiering'!AG$14</f>
        <v>30.0</v>
      </c>
      <c r="AG39" s="4">
        <f>'3. Finansiering'!AH$14</f>
        <v>31.0</v>
      </c>
      <c r="AH39" s="4">
        <f>'3. Finansiering'!AI$14</f>
        <v>32.0</v>
      </c>
      <c r="AI39" s="4">
        <f>'3. Finansiering'!AJ$14</f>
        <v>33.0</v>
      </c>
      <c r="AJ39" s="4">
        <f>'3. Finansiering'!AK$14</f>
        <v>34.0</v>
      </c>
      <c r="AK39" s="4">
        <f>'3. Finansiering'!AL$14</f>
        <v>35.0</v>
      </c>
      <c r="AL39" s="4">
        <f>'3. Finansiering'!AM$14</f>
        <v>36.0</v>
      </c>
      <c r="AM39" s="4">
        <f>'3. Finansiering'!AN$14</f>
        <v>37.0</v>
      </c>
      <c r="AN39" s="4">
        <f>'3. Finansiering'!AO$14</f>
        <v>38.0</v>
      </c>
      <c r="AO39" s="4">
        <f>'3. Finansiering'!AP$14</f>
        <v>39.0</v>
      </c>
      <c r="AP39" s="4">
        <f>'3. Finansiering'!AQ$14</f>
        <v>40.0</v>
      </c>
      <c r="AQ39" s="4">
        <f>'3. Finansiering'!AR$14</f>
        <v>41.0</v>
      </c>
      <c r="AR39" s="4">
        <f>'3. Finansiering'!AS$14</f>
        <v>42.0</v>
      </c>
      <c r="AS39" s="4">
        <f>'3. Finansiering'!AT$14</f>
        <v>43.0</v>
      </c>
      <c r="AT39" s="4">
        <f>'3. Finansiering'!AU$14</f>
        <v>44.0</v>
      </c>
      <c r="AU39" s="4">
        <f>'3. Finansiering'!AV$14</f>
        <v>45.0</v>
      </c>
      <c r="AV39" s="4">
        <f>'3. Finansiering'!AW$14</f>
        <v>46.0</v>
      </c>
      <c r="AW39" s="4">
        <f>'3. Finansiering'!AX$14</f>
        <v>47.0</v>
      </c>
      <c r="AX39" s="4">
        <f>'3. Finansiering'!AY$14</f>
        <v>48.0</v>
      </c>
      <c r="AY39" s="4">
        <f>'3. Finansiering'!AZ$14</f>
        <v>49.0</v>
      </c>
      <c r="AZ39" s="4">
        <f>'3. Finansiering'!BA$14</f>
        <v>50.0</v>
      </c>
    </row>
    <row r="40" spans="1:16384" s="5" customFormat="1">
      <c r="A40" s="772" t="inlineStr">
        <is>
          <t>kr</t>
        </is>
      </c>
      <c r="B40" s="772" t="inlineStr">
        <is>
          <t>Driftnetto tillkommande exkl. extraordinärt UH</t>
        </is>
      </c>
      <c r="C40" s="774">
        <f>IFERROR(('4. NPV'!D$71-'4. NPV'!D$72),0)</f>
        <v>13694500.0</v>
      </c>
      <c r="D40" s="774">
        <f>IFERROR(('4. NPV'!E$71-'4. NPV'!E$72),0)</f>
        <v>13871400.0</v>
      </c>
      <c r="E40" s="774">
        <f>IFERROR(('4. NPV'!F$71-'4. NPV'!F$72),0)</f>
        <v>14050480.14</v>
      </c>
      <c r="F40" s="774">
        <f>IFERROR(('4. NPV'!G$71-'4. NPV'!G$72),0)</f>
        <v>14231765.012759998</v>
      </c>
      <c r="G40" s="774">
        <f>IFERROR(('4. NPV'!H$71-'4. NPV'!H$72),0)</f>
        <v>14415279.43675464</v>
      </c>
      <c r="H40" s="774">
        <f>IFERROR(('4. NPV'!I$71-'4. NPV'!I$72),0)</f>
        <v>14601048.456961526</v>
      </c>
      <c r="I40" s="774">
        <f>IFERROR(('4. NPV'!J$71-'4. NPV'!J$72),0)</f>
        <v>14789097.34561315</v>
      </c>
      <c r="J40" s="774">
        <f>IFERROR(('4. NPV'!K$71-'4. NPV'!K$72),0)</f>
        <v>14979451.60291099</v>
      </c>
      <c r="K40" s="774">
        <f>IFERROR(('4. NPV'!L$71-'4. NPV'!L$72),0)</f>
        <v>15172136.957700178</v>
      </c>
      <c r="L40" s="774">
        <f>IFERROR(('4. NPV'!M$71-'4. NPV'!M$72),0)</f>
        <v>15367179.368103383</v>
      </c>
      <c r="M40" s="774">
        <f>IFERROR(('4. NPV'!N$71-'4. NPV'!N$72),0)</f>
        <v>15564605.02211214</v>
      </c>
      <c r="N40" s="774">
        <f>IFERROR(('4. NPV'!O$71-'4. NPV'!O$72),0)</f>
        <v>15764440.338134129</v>
      </c>
      <c r="O40" s="774">
        <f>IFERROR(('4. NPV'!P$71-'4. NPV'!P$72),0)</f>
        <v>15966711.965494674</v>
      </c>
      <c r="P40" s="774">
        <f>IFERROR(('4. NPV'!Q$71-'4. NPV'!Q$72),0)</f>
        <v>16171446.784890799</v>
      </c>
      <c r="Q40" s="774">
        <f>IFERROR(('4. NPV'!R$71-'4. NPV'!R$72),0)</f>
        <v>16378671.908796053</v>
      </c>
      <c r="R40" s="774">
        <f>IFERROR(('4. NPV'!S$71-'4. NPV'!S$72),0)</f>
        <v>16588414.68181432</v>
      </c>
      <c r="S40" s="774">
        <f>IFERROR(('4. NPV'!T$71-'4. NPV'!T$72),0)</f>
        <v>16800702.68098074</v>
      </c>
      <c r="T40" s="774">
        <f>IFERROR(('4. NPV'!U$71-'4. NPV'!U$72),0)</f>
        <v>17015563.71600791</v>
      </c>
      <c r="U40" s="774">
        <f>IFERROR(('4. NPV'!V$71-'4. NPV'!V$72),0)</f>
        <v>17233025.829475332</v>
      </c>
      <c r="V40" s="774">
        <f>IFERROR(('4. NPV'!W$71-'4. NPV'!W$72),0)</f>
        <v>17453117.296960164</v>
      </c>
      <c r="W40" s="774">
        <f>IFERROR(('4. NPV'!X$71-'4. NPV'!X$72),0)</f>
        <v>17675866.627107225</v>
      </c>
      <c r="X40" s="6">
        <f>IFERROR(('4. NPV'!Y$71-'4. NPV'!Y$72),0)</f>
        <v>0.0</v>
      </c>
      <c r="Y40" s="6">
        <f>IFERROR(('4. NPV'!Z$71-'4. NPV'!Z$72),0)</f>
        <v>0.0</v>
      </c>
      <c r="Z40" s="6">
        <f>IFERROR(('4. NPV'!AA$71-'4. NPV'!AA$72),0)</f>
        <v>0.0</v>
      </c>
      <c r="AA40" s="6">
        <f>IFERROR(('4. NPV'!AB$71-'4. NPV'!AB$72),0)</f>
        <v>0.0</v>
      </c>
      <c r="AB40" s="6">
        <f>IFERROR(('4. NPV'!AC$71-'4. NPV'!AC$72),0)</f>
        <v>0.0</v>
      </c>
      <c r="AC40" s="6">
        <f>IFERROR(('4. NPV'!AD$71-'4. NPV'!AD$72),0)</f>
        <v>0.0</v>
      </c>
      <c r="AD40" s="6">
        <f>IFERROR(('4. NPV'!AE$71-'4. NPV'!AE$72),0)</f>
        <v>0.0</v>
      </c>
      <c r="AE40" s="6">
        <f>IFERROR(('4. NPV'!AF$71-'4. NPV'!AF$72),0)</f>
        <v>0.0</v>
      </c>
      <c r="AF40" s="6">
        <f>IFERROR(('4. NPV'!AG$71-'4. NPV'!AG$72),0)</f>
        <v>0.0</v>
      </c>
      <c r="AG40" s="6">
        <f>IFERROR(('4. NPV'!AH$71-'4. NPV'!AH$72),0)</f>
        <v>0.0</v>
      </c>
      <c r="AH40" s="6">
        <f>IFERROR(('4. NPV'!AI$71-'4. NPV'!AI$72),0)</f>
        <v>0.0</v>
      </c>
      <c r="AI40" s="6">
        <f>IFERROR(('4. NPV'!AJ$71-'4. NPV'!AJ$72),0)</f>
        <v>0.0</v>
      </c>
      <c r="AJ40" s="6">
        <f>IFERROR(('4. NPV'!AK$71-'4. NPV'!AK$72),0)</f>
        <v>0.0</v>
      </c>
      <c r="AK40" s="6">
        <f>IFERROR(('4. NPV'!AL$71-'4. NPV'!AL$72),0)</f>
        <v>0.0</v>
      </c>
      <c r="AL40" s="6">
        <f>IFERROR(('4. NPV'!AM$71-'4. NPV'!AM$72),0)</f>
        <v>0.0</v>
      </c>
      <c r="AM40" s="6">
        <f>IFERROR(('4. NPV'!AN$71-'4. NPV'!AN$72),0)</f>
        <v>0.0</v>
      </c>
      <c r="AN40" s="6">
        <f>IFERROR(('4. NPV'!AO$71-'4. NPV'!AO$72),0)</f>
        <v>0.0</v>
      </c>
      <c r="AO40" s="6">
        <f>IFERROR(('4. NPV'!AP$71-'4. NPV'!AP$72),0)</f>
        <v>0.0</v>
      </c>
      <c r="AP40" s="6">
        <f>IFERROR(('4. NPV'!AQ$71-'4. NPV'!AQ$72),0)</f>
        <v>0.0</v>
      </c>
      <c r="AQ40" s="6">
        <f>IFERROR(('4. NPV'!AR$71-'4. NPV'!AR$72),0)</f>
        <v>0.0</v>
      </c>
      <c r="AR40" s="6">
        <f>IFERROR(('4. NPV'!AS$71-'4. NPV'!AS$72),0)</f>
        <v>0.0</v>
      </c>
      <c r="AS40" s="6">
        <f>IFERROR(('4. NPV'!AT$71-'4. NPV'!AT$72),0)</f>
        <v>0.0</v>
      </c>
      <c r="AT40" s="6">
        <f>IFERROR(('4. NPV'!AU$71-'4. NPV'!AU$72),0)</f>
        <v>0.0</v>
      </c>
      <c r="AU40" s="6">
        <f>IFERROR(('4. NPV'!AV$71-'4. NPV'!AV$72),0)</f>
        <v>0.0</v>
      </c>
      <c r="AV40" s="6">
        <f>IFERROR(('4. NPV'!AW$71-'4. NPV'!AW$72),0)</f>
        <v>0.0</v>
      </c>
      <c r="AW40" s="6">
        <f>IFERROR(('4. NPV'!AX$71-'4. NPV'!AX$72),0)</f>
        <v>0.0</v>
      </c>
      <c r="AX40" s="6">
        <f>IFERROR(('4. NPV'!AY$71-'4. NPV'!AY$72),0)</f>
        <v>0.0</v>
      </c>
      <c r="AY40" s="6">
        <f>IFERROR(('4. NPV'!AZ$71-'4. NPV'!AZ$72),0)</f>
        <v>0.0</v>
      </c>
      <c r="AZ40" s="6">
        <f>IFERROR(('4. NPV'!BA$71-'4. NPV'!BA$72),0)</f>
        <v>0.0</v>
      </c>
    </row>
    <row r="41" spans="1:16384" s="5" customFormat="1">
      <c r="A41" s="772" t="inlineStr">
        <is>
          <t>kr</t>
        </is>
      </c>
      <c r="B41" s="772" t="s">
        <v>297</v>
      </c>
      <c r="C41" s="774">
        <f>IFERROR('4. NPV'!D$19,0)</f>
        <v>16165000.0</v>
      </c>
      <c r="D41" s="774">
        <f>IFERROR('4. NPV'!E$19,0)</f>
        <v>16391310.0</v>
      </c>
      <c r="E41" s="774">
        <f>IFERROR('4. NPV'!F$19,0)</f>
        <v>16620788.340000002</v>
      </c>
      <c r="F41" s="774">
        <f>IFERROR('4. NPV'!G$19,0)</f>
        <v>16853479.37676</v>
      </c>
      <c r="G41" s="774">
        <f>IFERROR('4. NPV'!H$19,0)</f>
        <v>17089428.08803464</v>
      </c>
      <c r="H41" s="774">
        <f>IFERROR('4. NPV'!I$19,0)</f>
        <v>17328680.081267126</v>
      </c>
      <c r="I41" s="774">
        <f>IFERROR('4. NPV'!J$19,0)</f>
        <v>17571281.602404863</v>
      </c>
      <c r="J41" s="774">
        <f>IFERROR('4. NPV'!K$19,0)</f>
        <v>17817279.544838537</v>
      </c>
      <c r="K41" s="774">
        <f>IFERROR('4. NPV'!L$19,0)</f>
        <v>18066721.458466277</v>
      </c>
      <c r="L41" s="774">
        <f>IFERROR('4. NPV'!M$19,0)</f>
        <v>18319655.558884803</v>
      </c>
      <c r="M41" s="774">
        <f>IFERROR('4. NPV'!N$19,0)</f>
        <v>18576130.73670919</v>
      </c>
      <c r="N41" s="774">
        <f>IFERROR('4. NPV'!O$19,0)</f>
        <v>18836196.567023117</v>
      </c>
      <c r="O41" s="774">
        <f>IFERROR('4. NPV'!P$19,0)</f>
        <v>19099903.31896144</v>
      </c>
      <c r="P41" s="774">
        <f>IFERROR('4. NPV'!Q$19,0)</f>
        <v>19367301.965426903</v>
      </c>
      <c r="Q41" s="774">
        <f>IFERROR('4. NPV'!R$19,0)</f>
        <v>19638444.19294288</v>
      </c>
      <c r="R41" s="774">
        <f>IFERROR('4. NPV'!S$19,0)</f>
        <v>19913382.411644083</v>
      </c>
      <c r="S41" s="774">
        <f>IFERROR('4. NPV'!T$19,0)</f>
        <v>20192169.765407097</v>
      </c>
      <c r="T41" s="774">
        <f>IFERROR('4. NPV'!U$19,0)</f>
        <v>20474860.142122798</v>
      </c>
      <c r="U41" s="774">
        <f>IFERROR('4. NPV'!V$19,0)</f>
        <v>20761508.184112515</v>
      </c>
      <c r="V41" s="774">
        <f>IFERROR('4. NPV'!W$19,0)</f>
        <v>21052169.29869009</v>
      </c>
      <c r="W41" s="774">
        <f>IFERROR('4. NPV'!X$19,0)</f>
        <v>21346899.668871753</v>
      </c>
      <c r="X41" s="6">
        <f>IFERROR('4. NPV'!Y$19,0)</f>
        <v>0.0</v>
      </c>
      <c r="Y41" s="6">
        <f>IFERROR('4. NPV'!Z$19,0)</f>
        <v>0.0</v>
      </c>
      <c r="Z41" s="6">
        <f>IFERROR('4. NPV'!AA$19,0)</f>
        <v>0.0</v>
      </c>
      <c r="AA41" s="6">
        <f>IFERROR('4. NPV'!AB$19,0)</f>
        <v>0.0</v>
      </c>
      <c r="AB41" s="6">
        <f>IFERROR('4. NPV'!AC$19,0)</f>
        <v>0.0</v>
      </c>
      <c r="AC41" s="6">
        <f>IFERROR('4. NPV'!AD$19,0)</f>
        <v>0.0</v>
      </c>
      <c r="AD41" s="6">
        <f>IFERROR('4. NPV'!AE$19,0)</f>
        <v>0.0</v>
      </c>
      <c r="AE41" s="6">
        <f>IFERROR('4. NPV'!AF$19,0)</f>
        <v>0.0</v>
      </c>
      <c r="AF41" s="6">
        <f>IFERROR('4. NPV'!AG$19,0)</f>
        <v>0.0</v>
      </c>
      <c r="AG41" s="6">
        <f>IFERROR('4. NPV'!AH$19,0)</f>
        <v>0.0</v>
      </c>
      <c r="AH41" s="6">
        <f>IFERROR('4. NPV'!AI$19,0)</f>
        <v>0.0</v>
      </c>
      <c r="AI41" s="6">
        <f>IFERROR('4. NPV'!AJ$19,0)</f>
        <v>0.0</v>
      </c>
      <c r="AJ41" s="6">
        <f>IFERROR('4. NPV'!AK$19,0)</f>
        <v>0.0</v>
      </c>
      <c r="AK41" s="6">
        <f>IFERROR('4. NPV'!AL$19,0)</f>
        <v>0.0</v>
      </c>
      <c r="AL41" s="6">
        <f>IFERROR('4. NPV'!AM$19,0)</f>
        <v>0.0</v>
      </c>
      <c r="AM41" s="6">
        <f>IFERROR('4. NPV'!AN$19,0)</f>
        <v>0.0</v>
      </c>
      <c r="AN41" s="6">
        <f>IFERROR('4. NPV'!AO$19,0)</f>
        <v>0.0</v>
      </c>
      <c r="AO41" s="6">
        <f>IFERROR('4. NPV'!AP$19,0)</f>
        <v>0.0</v>
      </c>
      <c r="AP41" s="6">
        <f>IFERROR('4. NPV'!AQ$19,0)</f>
        <v>0.0</v>
      </c>
      <c r="AQ41" s="6">
        <f>IFERROR('4. NPV'!AR$19,0)</f>
        <v>0.0</v>
      </c>
      <c r="AR41" s="6">
        <f>IFERROR('4. NPV'!AS$19,0)</f>
        <v>0.0</v>
      </c>
      <c r="AS41" s="6">
        <f>IFERROR('4. NPV'!AT$19,0)</f>
        <v>0.0</v>
      </c>
      <c r="AT41" s="6">
        <f>IFERROR('4. NPV'!AU$19,0)</f>
        <v>0.0</v>
      </c>
      <c r="AU41" s="6">
        <f>IFERROR('4. NPV'!AV$19,0)</f>
        <v>0.0</v>
      </c>
      <c r="AV41" s="6">
        <f>IFERROR('4. NPV'!AW$19,0)</f>
        <v>0.0</v>
      </c>
      <c r="AW41" s="6">
        <f>IFERROR('4. NPV'!AX$19,0)</f>
        <v>0.0</v>
      </c>
      <c r="AX41" s="6">
        <f>IFERROR('4. NPV'!AY$19,0)</f>
        <v>0.0</v>
      </c>
      <c r="AY41" s="6">
        <f>IFERROR('4. NPV'!AZ$19,0)</f>
        <v>0.0</v>
      </c>
      <c r="AZ41" s="6">
        <f>IFERROR('4. NPV'!BA$19,0)</f>
        <v>0.0</v>
      </c>
    </row>
    <row r="42" spans="1:16384" s="5" customFormat="1">
      <c r="A42" s="772" t="inlineStr">
        <is>
          <t>kr</t>
        </is>
      </c>
      <c r="B42" s="772" t="inlineStr">
        <is>
          <t>Kostnader exkl. extraordinärt UH</t>
        </is>
      </c>
      <c r="C42" s="774">
        <f>-IFERROR(('4. NPV'!D$26+'4. NPV'!D$27+'4. NPV'!D$28-'4. NPV'!D$25),0)</f>
        <v>2470500.0</v>
      </c>
      <c r="D42" s="774">
        <f>-IFERROR(('4. NPV'!E$26+'4. NPV'!E$27+'4. NPV'!E$28-'4. NPV'!E$25),0)</f>
        <v>2519910.0</v>
      </c>
      <c r="E42" s="774">
        <f>-IFERROR(('4. NPV'!F$26+'4. NPV'!F$27+'4. NPV'!F$28-'4. NPV'!F$25),0)</f>
        <v>2570308.2</v>
      </c>
      <c r="F42" s="774">
        <f>-IFERROR(('4. NPV'!G$26+'4. NPV'!G$27+'4. NPV'!G$28-'4. NPV'!G$25),0)</f>
        <v>2621714.3640000005</v>
      </c>
      <c r="G42" s="774">
        <f>-IFERROR(('4. NPV'!H$26+'4. NPV'!H$27+'4. NPV'!H$28-'4. NPV'!H$25),0)</f>
        <v>2674148.65128</v>
      </c>
      <c r="H42" s="774">
        <f>-IFERROR(('4. NPV'!I$26+'4. NPV'!I$27+'4. NPV'!I$28-'4. NPV'!I$25),0)</f>
        <v>2727631.6243056</v>
      </c>
      <c r="I42" s="774">
        <f>-IFERROR(('4. NPV'!J$26+'4. NPV'!J$27+'4. NPV'!J$28-'4. NPV'!J$25),0)</f>
        <v>2782184.2567917123</v>
      </c>
      <c r="J42" s="774">
        <f>-IFERROR(('4. NPV'!K$26+'4. NPV'!K$27+'4. NPV'!K$28-'4. NPV'!K$25),0)</f>
        <v>2837827.941927546</v>
      </c>
      <c r="K42" s="774">
        <f>-IFERROR(('4. NPV'!L$26+'4. NPV'!L$27+'4. NPV'!L$28-'4. NPV'!L$25),0)</f>
        <v>2894584.5007660976</v>
      </c>
      <c r="L42" s="774">
        <f>-IFERROR(('4. NPV'!M$26+'4. NPV'!M$27+'4. NPV'!M$28-'4. NPV'!M$25),0)</f>
        <v>2952476.1907814196</v>
      </c>
      <c r="M42" s="774">
        <f>-IFERROR(('4. NPV'!N$26+'4. NPV'!N$27+'4. NPV'!N$28-'4. NPV'!N$25),0)</f>
        <v>3011525.714597048</v>
      </c>
      <c r="N42" s="774">
        <f>-IFERROR(('4. NPV'!O$26+'4. NPV'!O$27+'4. NPV'!O$28-'4. NPV'!O$25),0)</f>
        <v>3071756.228888989</v>
      </c>
      <c r="O42" s="774">
        <f>-IFERROR(('4. NPV'!P$26+'4. NPV'!P$27+'4. NPV'!P$28-'4. NPV'!P$25),0)</f>
        <v>3133191.3534667687</v>
      </c>
      <c r="P42" s="774">
        <f>-IFERROR(('4. NPV'!Q$26+'4. NPV'!Q$27+'4. NPV'!Q$28-'4. NPV'!Q$25),0)</f>
        <v>3195855.1805361044</v>
      </c>
      <c r="Q42" s="774">
        <f>-IFERROR(('4. NPV'!R$26+'4. NPV'!R$27+'4. NPV'!R$28-'4. NPV'!R$25),0)</f>
        <v>3259772.2841468262</v>
      </c>
      <c r="R42" s="774">
        <f>-IFERROR(('4. NPV'!S$26+'4. NPV'!S$27+'4. NPV'!S$28-'4. NPV'!S$25),0)</f>
        <v>3324967.729829763</v>
      </c>
      <c r="S42" s="774">
        <f>-IFERROR(('4. NPV'!T$26+'4. NPV'!T$27+'4. NPV'!T$28-'4. NPV'!T$25),0)</f>
        <v>3391467.0844263583</v>
      </c>
      <c r="T42" s="774">
        <f>-IFERROR(('4. NPV'!U$26+'4. NPV'!U$27+'4. NPV'!U$28-'4. NPV'!U$25),0)</f>
        <v>3459296.4261148856</v>
      </c>
      <c r="U42" s="774">
        <f>-IFERROR(('4. NPV'!V$26+'4. NPV'!V$27+'4. NPV'!V$28-'4. NPV'!V$25),0)</f>
        <v>3528482.3546371832</v>
      </c>
      <c r="V42" s="774">
        <f>-IFERROR(('4. NPV'!W$26+'4. NPV'!W$27+'4. NPV'!W$28-'4. NPV'!W$25),0)</f>
        <v>3599052.001729927</v>
      </c>
      <c r="W42" s="774">
        <f>-IFERROR(('4. NPV'!X$26+'4. NPV'!X$27+'4. NPV'!X$28-'4. NPV'!X$25),0)</f>
        <v>3671033.0417645257</v>
      </c>
      <c r="X42" s="6">
        <f>-IFERROR(('4. NPV'!Y$26+'4. NPV'!Y$27+'4. NPV'!Y$28-'4. NPV'!Y$25),0)</f>
        <v>-0.0</v>
      </c>
      <c r="Y42" s="6">
        <f>-IFERROR(('4. NPV'!Z$26+'4. NPV'!Z$27+'4. NPV'!Z$28-'4. NPV'!Z$25),0)</f>
        <v>-0.0</v>
      </c>
      <c r="Z42" s="6">
        <f>-IFERROR(('4. NPV'!AA$26+'4. NPV'!AA$27+'4. NPV'!AA$28-'4. NPV'!AA$25),0)</f>
        <v>-0.0</v>
      </c>
      <c r="AA42" s="6">
        <f>-IFERROR(('4. NPV'!AB$26+'4. NPV'!AB$27+'4. NPV'!AB$28-'4. NPV'!AB$25),0)</f>
        <v>-0.0</v>
      </c>
      <c r="AB42" s="6">
        <f>-IFERROR(('4. NPV'!AC$26+'4. NPV'!AC$27+'4. NPV'!AC$28-'4. NPV'!AC$25),0)</f>
        <v>-0.0</v>
      </c>
      <c r="AC42" s="6">
        <f>-IFERROR(('4. NPV'!AD$26+'4. NPV'!AD$27+'4. NPV'!AD$28-'4. NPV'!AD$25),0)</f>
        <v>-0.0</v>
      </c>
      <c r="AD42" s="6">
        <f>-IFERROR(('4. NPV'!AE$26+'4. NPV'!AE$27+'4. NPV'!AE$28-'4. NPV'!AE$25),0)</f>
        <v>-0.0</v>
      </c>
      <c r="AE42" s="6">
        <f>-IFERROR(('4. NPV'!AF$26+'4. NPV'!AF$27+'4. NPV'!AF$28-'4. NPV'!AF$25),0)</f>
        <v>-0.0</v>
      </c>
      <c r="AF42" s="6">
        <f>-IFERROR(('4. NPV'!AG$26+'4. NPV'!AG$27+'4. NPV'!AG$28-'4. NPV'!AG$25),0)</f>
        <v>-0.0</v>
      </c>
      <c r="AG42" s="6">
        <f>-IFERROR(('4. NPV'!AH$26+'4. NPV'!AH$27+'4. NPV'!AH$28-'4. NPV'!AH$25),0)</f>
        <v>-0.0</v>
      </c>
      <c r="AH42" s="6">
        <f>-IFERROR(('4. NPV'!AI$26+'4. NPV'!AI$27+'4. NPV'!AI$28-'4. NPV'!AI$25),0)</f>
        <v>-0.0</v>
      </c>
      <c r="AI42" s="6">
        <f>-IFERROR(('4. NPV'!AJ$26+'4. NPV'!AJ$27+'4. NPV'!AJ$28-'4. NPV'!AJ$25),0)</f>
        <v>-0.0</v>
      </c>
      <c r="AJ42" s="6">
        <f>-IFERROR(('4. NPV'!AK$26+'4. NPV'!AK$27+'4. NPV'!AK$28-'4. NPV'!AK$25),0)</f>
        <v>-0.0</v>
      </c>
      <c r="AK42" s="6">
        <f>-IFERROR(('4. NPV'!AL$26+'4. NPV'!AL$27+'4. NPV'!AL$28-'4. NPV'!AL$25),0)</f>
        <v>-0.0</v>
      </c>
      <c r="AL42" s="6">
        <f>-IFERROR(('4. NPV'!AM$26+'4. NPV'!AM$27+'4. NPV'!AM$28-'4. NPV'!AM$25),0)</f>
        <v>-0.0</v>
      </c>
      <c r="AM42" s="6">
        <f>-IFERROR(('4. NPV'!AN$26+'4. NPV'!AN$27+'4. NPV'!AN$28-'4. NPV'!AN$25),0)</f>
        <v>-0.0</v>
      </c>
      <c r="AN42" s="6">
        <f>-IFERROR(('4. NPV'!AO$26+'4. NPV'!AO$27+'4. NPV'!AO$28-'4. NPV'!AO$25),0)</f>
        <v>-0.0</v>
      </c>
      <c r="AO42" s="6">
        <f>-IFERROR(('4. NPV'!AP$26+'4. NPV'!AP$27+'4. NPV'!AP$28-'4. NPV'!AP$25),0)</f>
        <v>-0.0</v>
      </c>
      <c r="AP42" s="6">
        <f>-IFERROR(('4. NPV'!AQ$26+'4. NPV'!AQ$27+'4. NPV'!AQ$28-'4. NPV'!AQ$25),0)</f>
        <v>-0.0</v>
      </c>
      <c r="AQ42" s="6">
        <f>-IFERROR(('4. NPV'!AR$26+'4. NPV'!AR$27+'4. NPV'!AR$28-'4. NPV'!AR$25),0)</f>
        <v>-0.0</v>
      </c>
      <c r="AR42" s="6">
        <f>-IFERROR(('4. NPV'!AS$26+'4. NPV'!AS$27+'4. NPV'!AS$28-'4. NPV'!AS$25),0)</f>
        <v>-0.0</v>
      </c>
      <c r="AS42" s="6">
        <f>-IFERROR(('4. NPV'!AT$26+'4. NPV'!AT$27+'4. NPV'!AT$28-'4. NPV'!AT$25),0)</f>
        <v>-0.0</v>
      </c>
      <c r="AT42" s="6">
        <f>-IFERROR(('4. NPV'!AU$26+'4. NPV'!AU$27+'4. NPV'!AU$28-'4. NPV'!AU$25),0)</f>
        <v>-0.0</v>
      </c>
      <c r="AU42" s="6">
        <f>-IFERROR(('4. NPV'!AV$26+'4. NPV'!AV$27+'4. NPV'!AV$28-'4. NPV'!AV$25),0)</f>
        <v>-0.0</v>
      </c>
      <c r="AV42" s="6">
        <f>-IFERROR(('4. NPV'!AW$26+'4. NPV'!AW$27+'4. NPV'!AW$28-'4. NPV'!AW$25),0)</f>
        <v>-0.0</v>
      </c>
      <c r="AW42" s="6">
        <f>-IFERROR(('4. NPV'!AX$26+'4. NPV'!AX$27+'4. NPV'!AX$28-'4. NPV'!AX$25),0)</f>
        <v>-0.0</v>
      </c>
      <c r="AX42" s="6">
        <f>-IFERROR(('4. NPV'!AY$26+'4. NPV'!AY$27+'4. NPV'!AY$28-'4. NPV'!AY$25),0)</f>
        <v>-0.0</v>
      </c>
      <c r="AY42" s="6">
        <f>-IFERROR(('4. NPV'!AZ$26+'4. NPV'!AZ$27+'4. NPV'!AZ$28-'4. NPV'!AZ$25),0)</f>
        <v>-0.0</v>
      </c>
      <c r="AZ42" s="6">
        <f>-IFERROR(('4. NPV'!BA$26+'4. NPV'!BA$27+'4. NPV'!BA$28-'4. NPV'!BA$25),0)</f>
        <v>-0.0</v>
      </c>
      <c r="BA42" s="6"/>
    </row>
    <row r="43" spans="1:16384" s="5" customFormat="1">
      <c r="A43" s="772" t="inlineStr">
        <is>
          <t>kr</t>
        </is>
      </c>
      <c r="B43" s="772" t="s">
        <v>299</v>
      </c>
      <c r="C43" s="774">
        <f>-'4. NPV'!D$25</f>
        <v>0.0</v>
      </c>
      <c r="D43" s="774">
        <f>-'4. NPV'!E$25</f>
        <v>0.0</v>
      </c>
      <c r="E43" s="774">
        <f>-'4. NPV'!F$25</f>
        <v>0.0</v>
      </c>
      <c r="F43" s="774">
        <f>-'4. NPV'!G$25</f>
        <v>0.0</v>
      </c>
      <c r="G43" s="774">
        <f>-'4. NPV'!H$25</f>
        <v>0.0</v>
      </c>
      <c r="H43" s="774">
        <f>-'4. NPV'!I$25</f>
        <v>0.0</v>
      </c>
      <c r="I43" s="774">
        <f>-'4. NPV'!J$25</f>
        <v>0.0</v>
      </c>
      <c r="J43" s="774">
        <f>-'4. NPV'!K$25</f>
        <v>0.0</v>
      </c>
      <c r="K43" s="774">
        <f>-'4. NPV'!L$25</f>
        <v>0.0</v>
      </c>
      <c r="L43" s="774">
        <f>-'4. NPV'!M$25</f>
        <v>0.0</v>
      </c>
      <c r="M43" s="774">
        <f>-'4. NPV'!N$25</f>
        <v>0.0</v>
      </c>
      <c r="N43" s="774">
        <f>-'4. NPV'!O$25</f>
        <v>0.0</v>
      </c>
      <c r="O43" s="774">
        <f>-'4. NPV'!P$25</f>
        <v>0.0</v>
      </c>
      <c r="P43" s="774">
        <f>-'4. NPV'!Q$25</f>
        <v>0.0</v>
      </c>
      <c r="Q43" s="774">
        <f>-'4. NPV'!R$25</f>
        <v>0.0</v>
      </c>
      <c r="R43" s="774">
        <f>-'4. NPV'!S$25</f>
        <v>0.0</v>
      </c>
      <c r="S43" s="774">
        <f>-'4. NPV'!T$25</f>
        <v>0.0</v>
      </c>
      <c r="T43" s="774">
        <f>-'4. NPV'!U$25</f>
        <v>0.0</v>
      </c>
      <c r="U43" s="774">
        <f>-'4. NPV'!V$25</f>
        <v>0.0</v>
      </c>
      <c r="V43" s="774">
        <f>-'4. NPV'!W$25</f>
        <v>0.0</v>
      </c>
      <c r="W43" s="774">
        <f>-'4. NPV'!X$25</f>
        <v>0.0</v>
      </c>
      <c r="X43" s="6">
        <f>-'4. NPV'!Y$25</f>
        <v>-0.0</v>
      </c>
      <c r="Y43" s="6">
        <f>-'4. NPV'!Z$25</f>
        <v>-0.0</v>
      </c>
      <c r="Z43" s="6">
        <f>-'4. NPV'!AA$25</f>
        <v>-0.0</v>
      </c>
      <c r="AA43" s="6">
        <f>-'4. NPV'!AB$25</f>
        <v>-0.0</v>
      </c>
      <c r="AB43" s="6">
        <f>-'4. NPV'!AC$25</f>
        <v>-0.0</v>
      </c>
      <c r="AC43" s="6">
        <f>-'4. NPV'!AD$25</f>
        <v>-0.0</v>
      </c>
      <c r="AD43" s="6">
        <f>-'4. NPV'!AE$25</f>
        <v>-0.0</v>
      </c>
      <c r="AE43" s="6">
        <f>-'4. NPV'!AF$25</f>
        <v>-0.0</v>
      </c>
      <c r="AF43" s="6">
        <f>-'4. NPV'!AG$25</f>
        <v>-0.0</v>
      </c>
      <c r="AG43" s="6">
        <f>-'4. NPV'!AH$25</f>
        <v>-0.0</v>
      </c>
      <c r="AH43" s="6">
        <f>-'4. NPV'!AI$25</f>
        <v>-0.0</v>
      </c>
      <c r="AI43" s="6">
        <f>-'4. NPV'!AJ$25</f>
        <v>-0.0</v>
      </c>
      <c r="AJ43" s="6">
        <f>-'4. NPV'!AK$25</f>
        <v>-0.0</v>
      </c>
      <c r="AK43" s="6">
        <f>-'4. NPV'!AL$25</f>
        <v>-0.0</v>
      </c>
      <c r="AL43" s="6">
        <f>-'4. NPV'!AM$25</f>
        <v>-0.0</v>
      </c>
      <c r="AM43" s="6">
        <f>-'4. NPV'!AN$25</f>
        <v>-0.0</v>
      </c>
      <c r="AN43" s="6">
        <f>-'4. NPV'!AO$25</f>
        <v>-0.0</v>
      </c>
      <c r="AO43" s="6">
        <f>-'4. NPV'!AP$25</f>
        <v>-0.0</v>
      </c>
      <c r="AP43" s="6">
        <f>-'4. NPV'!AQ$25</f>
        <v>-0.0</v>
      </c>
      <c r="AQ43" s="6">
        <f>-'4. NPV'!AR$25</f>
        <v>-0.0</v>
      </c>
      <c r="AR43" s="6">
        <f>-'4. NPV'!AS$25</f>
        <v>-0.0</v>
      </c>
      <c r="AS43" s="6">
        <f>-'4. NPV'!AT$25</f>
        <v>-0.0</v>
      </c>
      <c r="AT43" s="6">
        <f>-'4. NPV'!AU$25</f>
        <v>-0.0</v>
      </c>
      <c r="AU43" s="6">
        <f>-'4. NPV'!AV$25</f>
        <v>-0.0</v>
      </c>
      <c r="AV43" s="6">
        <f>-'4. NPV'!AW$25</f>
        <v>-0.0</v>
      </c>
      <c r="AW43" s="6">
        <f>-'4. NPV'!AX$25</f>
        <v>-0.0</v>
      </c>
      <c r="AX43" s="6">
        <f>-'4. NPV'!AY$25</f>
        <v>-0.0</v>
      </c>
      <c r="AY43" s="6">
        <f>-'4. NPV'!AZ$25</f>
        <v>-0.0</v>
      </c>
      <c r="AZ43" s="6">
        <f>-'4. NPV'!BA$25</f>
        <v>-0.0</v>
      </c>
    </row>
    <row r="44" spans="1:16384" s="5" customFormat="1">
      <c r="A44" s="775" t="inlineStr">
        <is>
          <t>kr</t>
        </is>
      </c>
      <c r="B44" s="775" t="inlineStr">
        <is>
          <t>Restvärde tillkommande, årets slut</t>
        </is>
      </c>
      <c r="C44" s="776">
        <f>IF(C40=0,C48,'4. NPV'!D$88)</f>
        <v>213406153.84615383</v>
      </c>
      <c r="D44" s="776">
        <f>IF(D40=0,D48,'4. NPV'!E$88)</f>
        <v>216161232.92307693</v>
      </c>
      <c r="E44" s="776">
        <f>IF(E40=0,E48,'4. NPV'!F$88)</f>
        <v>218950230.96553844</v>
      </c>
      <c r="F44" s="776">
        <f>IF(F40=0,F48,'4. NPV'!G$88)</f>
        <v>221773529.79622522</v>
      </c>
      <c r="G44" s="776">
        <f>IF(G40=0,G48,'4. NPV'!H$88)</f>
        <v>224631514.722485</v>
      </c>
      <c r="H44" s="776">
        <f>IF(H40=0,H48,'4. NPV'!I$88)</f>
        <v>227524574.5478946</v>
      </c>
      <c r="I44" s="776">
        <f>IF(I40=0,I48,'4. NPV'!J$88)</f>
        <v>230453101.583246</v>
      </c>
      <c r="J44" s="776">
        <f>IF(J40=0,J48,'4. NPV'!K$88)</f>
        <v>233417491.6569258</v>
      </c>
      <c r="K44" s="776">
        <f>IF(K40=0,K48,'4. NPV'!L$88)</f>
        <v>236418144.12466744</v>
      </c>
      <c r="L44" s="776">
        <f>IF(L40=0,L48,'4. NPV'!M$88)</f>
        <v>239455461.8786483</v>
      </c>
      <c r="M44" s="776">
        <f>IF(M40=0,M48,'4. NPV'!N$88)</f>
        <v>242529851.35590968</v>
      </c>
      <c r="N44" s="776">
        <f>IF(N40=0,N48,'4. NPV'!O$88)</f>
        <v>245641722.5460719</v>
      </c>
      <c r="O44" s="776">
        <f>IF(O40=0,O48,'4. NPV'!P$88)</f>
        <v>248791488.99831998</v>
      </c>
      <c r="P44" s="776">
        <f>IF(P40=0,P48,'4. NPV'!Q$88)</f>
        <v>251979567.8276316</v>
      </c>
      <c r="Q44" s="776">
        <f>IF(Q40=0,Q48,'4. NPV'!R$88)</f>
        <v>255206379.7202203</v>
      </c>
      <c r="R44" s="776">
        <f>IF(R40=0,R48,'4. NPV'!S$88)</f>
        <v>258472348.9381652</v>
      </c>
      <c r="S44" s="776">
        <f>IF(S40=0,S48,'4. NPV'!T$88)</f>
        <v>261777903.32319862</v>
      </c>
      <c r="T44" s="776">
        <f>IF(T40=0,T48,'4. NPV'!U$88)</f>
        <v>265123474.29962048</v>
      </c>
      <c r="U44" s="776">
        <f>IF(U40=0,U48,'4. NPV'!V$88)</f>
        <v>268509496.8763102</v>
      </c>
      <c r="V44" s="776">
        <f>IF(V40=0,V48,'4. NPV'!W$88)</f>
        <v>271936409.6478035</v>
      </c>
      <c r="W44" s="776">
        <f>IF(W40=0,W48,'4. NPV'!X$88)</f>
        <v>0.0</v>
      </c>
      <c r="X44" s="8">
        <f>IF(X40=0,X48,'4. NPV'!Y$88)</f>
        <v>0.0</v>
      </c>
      <c r="Y44" s="8">
        <f>IF(Y40=0,Y48,'4. NPV'!Z$88)</f>
        <v>0.0</v>
      </c>
      <c r="Z44" s="8">
        <f>IF(Z40=0,Z48,'4. NPV'!AA$88)</f>
        <v>0.0</v>
      </c>
      <c r="AA44" s="8">
        <f>IF(AA40=0,AA48,'4. NPV'!AB$88)</f>
        <v>0.0</v>
      </c>
      <c r="AB44" s="8">
        <f>IF(AB40=0,AB48,'4. NPV'!AC$88)</f>
        <v>0.0</v>
      </c>
      <c r="AC44" s="8">
        <f>IF(AC40=0,AC48,'4. NPV'!AD$88)</f>
        <v>0.0</v>
      </c>
      <c r="AD44" s="8">
        <f>IF(AD40=0,AD48,'4. NPV'!AE$88)</f>
        <v>0.0</v>
      </c>
      <c r="AE44" s="8">
        <f>IF(AE40=0,AE48,'4. NPV'!AF$88)</f>
        <v>0.0</v>
      </c>
      <c r="AF44" s="8">
        <f>IF(AF40=0,AF48,'4. NPV'!AG$88)</f>
        <v>0.0</v>
      </c>
      <c r="AG44" s="8">
        <f>IF(AG40=0,AG48,'4. NPV'!AH$88)</f>
        <v>0.0</v>
      </c>
      <c r="AH44" s="8">
        <f>IF(AH40=0,AH48,'4. NPV'!AI$88)</f>
        <v>0.0</v>
      </c>
      <c r="AI44" s="8">
        <f>IF(AI40=0,AI48,'4. NPV'!AJ$88)</f>
        <v>0.0</v>
      </c>
      <c r="AJ44" s="8">
        <f>IF(AJ40=0,AJ48,'4. NPV'!AK$88)</f>
        <v>0.0</v>
      </c>
      <c r="AK44" s="8">
        <f>IF(AK40=0,AK48,'4. NPV'!AL$88)</f>
        <v>0.0</v>
      </c>
      <c r="AL44" s="8">
        <f>IF(AL40=0,AL48,'4. NPV'!AM$88)</f>
        <v>0.0</v>
      </c>
      <c r="AM44" s="8">
        <f>IF(AM40=0,AM48,'4. NPV'!AN$88)</f>
        <v>0.0</v>
      </c>
      <c r="AN44" s="8">
        <f>IF(AN40=0,AN48,'4. NPV'!AO$88)</f>
        <v>0.0</v>
      </c>
      <c r="AO44" s="8">
        <f>IF(AO40=0,AO48,'4. NPV'!AP$88)</f>
        <v>0.0</v>
      </c>
      <c r="AP44" s="8">
        <f>IF(AP40=0,AP48,'4. NPV'!AQ$88)</f>
        <v>0.0</v>
      </c>
      <c r="AQ44" s="8">
        <f>IF(AQ40=0,AQ48,'4. NPV'!AR$88)</f>
        <v>0.0</v>
      </c>
      <c r="AR44" s="8">
        <f>IF(AR40=0,AR48,'4. NPV'!AS$88)</f>
        <v>0.0</v>
      </c>
      <c r="AS44" s="8">
        <f>IF(AS40=0,AS48,'4. NPV'!AT$88)</f>
        <v>0.0</v>
      </c>
      <c r="AT44" s="8">
        <f>IF(AT40=0,AT48,'4. NPV'!AU$88)</f>
        <v>0.0</v>
      </c>
      <c r="AU44" s="8">
        <f>IF(AU40=0,AU48,'4. NPV'!AV$88)</f>
        <v>0.0</v>
      </c>
      <c r="AV44" s="8">
        <f>IF(AV40=0,AV48,'4. NPV'!AW$88)</f>
        <v>0.0</v>
      </c>
      <c r="AW44" s="8">
        <f>IF(AW40=0,AW48,'4. NPV'!AX$88)</f>
        <v>0.0</v>
      </c>
      <c r="AX44" s="8">
        <f>IF(AX40=0,AX48,'4. NPV'!AY$88)</f>
        <v>0.0</v>
      </c>
      <c r="AY44" s="8">
        <f>IF(AY40=0,AY48,'4. NPV'!AZ$88)</f>
        <v>0.0</v>
      </c>
      <c r="AZ44" s="8">
        <f>IF(AZ40=0,AZ48,'4. NPV'!BA$88)</f>
        <v>0.0</v>
      </c>
    </row>
    <row r="45" spans="1:16384" s="5" customFormat="1">
      <c r="A45" s="772" t="inlineStr">
        <is>
          <t>kr</t>
        </is>
      </c>
      <c r="B45" s="772" t="s">
        <v>166</v>
      </c>
      <c r="C45" s="774">
        <f>-'5. IRR'!D16</f>
        <v>239999999.99999997</v>
      </c>
      <c r="D45" s="774">
        <f>-'5. IRR'!E16</f>
        <v>0.0</v>
      </c>
      <c r="E45" s="774">
        <f>-'5. IRR'!F16</f>
        <v>0.0</v>
      </c>
      <c r="F45" s="774">
        <f>-'5. IRR'!G16</f>
        <v>0.0</v>
      </c>
      <c r="G45" s="774">
        <f>-'5. IRR'!H16</f>
        <v>0.0</v>
      </c>
      <c r="H45" s="774">
        <f>-'5. IRR'!I16</f>
        <v>0.0</v>
      </c>
      <c r="I45" s="774">
        <f>-'5. IRR'!J16</f>
        <v>0.0</v>
      </c>
      <c r="J45" s="774">
        <f>-'5. IRR'!K16</f>
        <v>0.0</v>
      </c>
      <c r="K45" s="774">
        <f>-'5. IRR'!L16</f>
        <v>0.0</v>
      </c>
      <c r="L45" s="774">
        <f>-'5. IRR'!M16</f>
        <v>0.0</v>
      </c>
      <c r="M45" s="774">
        <f>-'5. IRR'!N16</f>
        <v>0.0</v>
      </c>
      <c r="N45" s="774">
        <f>-'5. IRR'!O16</f>
        <v>0.0</v>
      </c>
      <c r="O45" s="774">
        <f>-'5. IRR'!P16</f>
        <v>0.0</v>
      </c>
      <c r="P45" s="774">
        <f>-'5. IRR'!Q16</f>
        <v>0.0</v>
      </c>
      <c r="Q45" s="774">
        <f>-'5. IRR'!R16</f>
        <v>0.0</v>
      </c>
      <c r="R45" s="774">
        <f>-'5. IRR'!S16</f>
        <v>0.0</v>
      </c>
      <c r="S45" s="774">
        <f>-'5. IRR'!T16</f>
        <v>0.0</v>
      </c>
      <c r="T45" s="774">
        <f>-'5. IRR'!U16</f>
        <v>0.0</v>
      </c>
      <c r="U45" s="774">
        <f>-'5. IRR'!V16</f>
        <v>0.0</v>
      </c>
      <c r="V45" s="774">
        <f>-'5. IRR'!W16</f>
        <v>0.0</v>
      </c>
      <c r="W45" s="774">
        <f>-'5. IRR'!X16</f>
        <v>0.0</v>
      </c>
      <c r="X45" s="6">
        <f>-'5. IRR'!Y16</f>
        <v>0.0</v>
      </c>
      <c r="Y45" s="6">
        <f>-'5. IRR'!Z16</f>
        <v>0.0</v>
      </c>
      <c r="Z45" s="6">
        <f>-'5. IRR'!AA16</f>
        <v>0.0</v>
      </c>
      <c r="AA45" s="6">
        <f>-'5. IRR'!AB16</f>
        <v>0.0</v>
      </c>
      <c r="AB45" s="6">
        <f>-'5. IRR'!AC16</f>
        <v>0.0</v>
      </c>
      <c r="AC45" s="6">
        <f>-'5. IRR'!AD16</f>
        <v>0.0</v>
      </c>
      <c r="AD45" s="6">
        <f>-'5. IRR'!AE16</f>
        <v>0.0</v>
      </c>
      <c r="AE45" s="6">
        <f>-'5. IRR'!AF16</f>
        <v>0.0</v>
      </c>
      <c r="AF45" s="6">
        <f>-'5. IRR'!AG16</f>
        <v>0.0</v>
      </c>
      <c r="AG45" s="6">
        <f>-'5. IRR'!AH16</f>
        <v>0.0</v>
      </c>
      <c r="AH45" s="6">
        <f>-'5. IRR'!AI16</f>
        <v>0.0</v>
      </c>
      <c r="AI45" s="6">
        <f>-'5. IRR'!AJ16</f>
        <v>0.0</v>
      </c>
      <c r="AJ45" s="6">
        <f>-'5. IRR'!AK16</f>
        <v>0.0</v>
      </c>
      <c r="AK45" s="6">
        <f>-'5. IRR'!AL16</f>
        <v>0.0</v>
      </c>
      <c r="AL45" s="6">
        <f>-'5. IRR'!AM16</f>
        <v>0.0</v>
      </c>
      <c r="AM45" s="6">
        <f>-'5. IRR'!AN16</f>
        <v>0.0</v>
      </c>
      <c r="AN45" s="6">
        <f>-'5. IRR'!AO16</f>
        <v>0.0</v>
      </c>
      <c r="AO45" s="6">
        <f>-'5. IRR'!AP16</f>
        <v>0.0</v>
      </c>
      <c r="AP45" s="6">
        <f>-'5. IRR'!AQ16</f>
        <v>0.0</v>
      </c>
      <c r="AQ45" s="6">
        <f>-'5. IRR'!AR16</f>
        <v>0.0</v>
      </c>
      <c r="AR45" s="6">
        <f>-'5. IRR'!AS16</f>
        <v>0.0</v>
      </c>
      <c r="AS45" s="6">
        <f>-'5. IRR'!AT16</f>
        <v>0.0</v>
      </c>
      <c r="AT45" s="6">
        <f>-'5. IRR'!AU16</f>
        <v>0.0</v>
      </c>
      <c r="AU45" s="6">
        <f>-'5. IRR'!AV16</f>
        <v>0.0</v>
      </c>
      <c r="AV45" s="6">
        <f>-'5. IRR'!AW16</f>
        <v>0.0</v>
      </c>
      <c r="AW45" s="6">
        <f>-'5. IRR'!AX16</f>
        <v>0.0</v>
      </c>
      <c r="AX45" s="6">
        <f>-'5. IRR'!AY16</f>
        <v>0.0</v>
      </c>
      <c r="AY45" s="6">
        <f>-'5. IRR'!AZ16</f>
        <v>0.0</v>
      </c>
      <c r="AZ45" s="6">
        <f>-'5. IRR'!BA16</f>
        <v>0.0</v>
      </c>
      <c r="BA45" s="5">
        <f>-'5. IRR'!BB16</f>
        <v>-0.0</v>
      </c>
      <c r="BB45" s="5">
        <f>-'5. IRR'!BC16</f>
        <v>-0.0</v>
      </c>
      <c r="BC45" s="5">
        <f>-'5. IRR'!BD16</f>
        <v>-0.0</v>
      </c>
      <c r="BD45" s="5">
        <f>-'5. IRR'!BE16</f>
        <v>-0.0</v>
      </c>
      <c r="BE45" s="5">
        <f>-'5. IRR'!BF16</f>
        <v>-0.0</v>
      </c>
      <c r="BF45" s="5">
        <f>-'5. IRR'!BG16</f>
        <v>-0.0</v>
      </c>
      <c r="BG45" s="5">
        <f>-'5. IRR'!BH16</f>
        <v>-0.0</v>
      </c>
      <c r="BH45" s="5">
        <f>-'5. IRR'!BI16</f>
        <v>-0.0</v>
      </c>
      <c r="BI45" s="5">
        <f>-'5. IRR'!BJ16</f>
        <v>-0.0</v>
      </c>
      <c r="BJ45" s="5">
        <f>-'5. IRR'!BK16</f>
        <v>-0.0</v>
      </c>
      <c r="BK45" s="5">
        <f>-'5. IRR'!BL16</f>
        <v>-0.0</v>
      </c>
      <c r="BL45" s="5">
        <f>-'5. IRR'!BM16</f>
        <v>-0.0</v>
      </c>
      <c r="BM45" s="5">
        <f>-'5. IRR'!BN16</f>
        <v>-0.0</v>
      </c>
      <c r="BN45" s="5">
        <f>-'5. IRR'!BO16</f>
        <v>-0.0</v>
      </c>
      <c r="BO45" s="5">
        <f>-'5. IRR'!BP16</f>
        <v>-0.0</v>
      </c>
      <c r="BP45" s="5">
        <f>-'5. IRR'!BQ16</f>
        <v>-0.0</v>
      </c>
      <c r="BQ45" s="5">
        <f>-'5. IRR'!BR16</f>
        <v>-0.0</v>
      </c>
      <c r="BR45" s="5">
        <f>-'5. IRR'!BS16</f>
        <v>-0.0</v>
      </c>
      <c r="BS45" s="5">
        <f>-'5. IRR'!BT16</f>
        <v>-0.0</v>
      </c>
      <c r="BT45" s="5">
        <f>-'5. IRR'!BU16</f>
        <v>-0.0</v>
      </c>
      <c r="BU45" s="5">
        <f>-'5. IRR'!BV16</f>
        <v>-0.0</v>
      </c>
      <c r="BV45" s="5">
        <f>-'5. IRR'!BW16</f>
        <v>-0.0</v>
      </c>
      <c r="BW45" s="5">
        <f>-'5. IRR'!BX16</f>
        <v>-0.0</v>
      </c>
      <c r="BX45" s="5">
        <f>-'5. IRR'!BY16</f>
        <v>-0.0</v>
      </c>
      <c r="BY45" s="5">
        <f>-'5. IRR'!BZ16</f>
        <v>-0.0</v>
      </c>
      <c r="BZ45" s="5">
        <f>-'5. IRR'!CA16</f>
        <v>-0.0</v>
      </c>
      <c r="CA45" s="5">
        <f>-'5. IRR'!CB16</f>
        <v>-0.0</v>
      </c>
      <c r="CB45" s="5">
        <f>-'5. IRR'!CC16</f>
        <v>-0.0</v>
      </c>
      <c r="CC45" s="5">
        <f>-'5. IRR'!CD16</f>
        <v>-0.0</v>
      </c>
      <c r="CD45" s="5">
        <f>-'5. IRR'!CE16</f>
        <v>-0.0</v>
      </c>
      <c r="CE45" s="5">
        <f>-'5. IRR'!CF16</f>
        <v>-0.0</v>
      </c>
      <c r="CF45" s="5">
        <f>-'5. IRR'!CG16</f>
        <v>-0.0</v>
      </c>
      <c r="CG45" s="5">
        <f>-'5. IRR'!CH16</f>
        <v>-0.0</v>
      </c>
      <c r="CH45" s="5">
        <f>-'5. IRR'!CI16</f>
        <v>-0.0</v>
      </c>
      <c r="CI45" s="5">
        <f>-'5. IRR'!CJ16</f>
        <v>-0.0</v>
      </c>
      <c r="CJ45" s="5">
        <f>-'5. IRR'!CK16</f>
        <v>-0.0</v>
      </c>
      <c r="CK45" s="5">
        <f>-'5. IRR'!CL16</f>
        <v>-0.0</v>
      </c>
      <c r="CL45" s="5">
        <f>-'5. IRR'!CM16</f>
        <v>-0.0</v>
      </c>
      <c r="CM45" s="5">
        <f>-'5. IRR'!CN16</f>
        <v>-0.0</v>
      </c>
      <c r="CN45" s="5">
        <f>-'5. IRR'!CO16</f>
        <v>-0.0</v>
      </c>
      <c r="CO45" s="5">
        <f>-'5. IRR'!CP16</f>
        <v>-0.0</v>
      </c>
      <c r="CP45" s="5">
        <f>-'5. IRR'!CQ16</f>
        <v>-0.0</v>
      </c>
      <c r="CQ45" s="5">
        <f>-'5. IRR'!CR16</f>
        <v>-0.0</v>
      </c>
      <c r="CR45" s="5">
        <f>-'5. IRR'!CS16</f>
        <v>-0.0</v>
      </c>
      <c r="CS45" s="5">
        <f>-'5. IRR'!CT16</f>
        <v>-0.0</v>
      </c>
      <c r="CT45" s="5">
        <f>-'5. IRR'!CU16</f>
        <v>-0.0</v>
      </c>
      <c r="CU45" s="5">
        <f>-'5. IRR'!CV16</f>
        <v>-0.0</v>
      </c>
      <c r="CV45" s="5">
        <f>-'5. IRR'!CW16</f>
        <v>-0.0</v>
      </c>
      <c r="CW45" s="5">
        <f>-'5. IRR'!CX16</f>
        <v>-0.0</v>
      </c>
      <c r="CX45" s="5">
        <f>-'5. IRR'!CY16</f>
        <v>-0.0</v>
      </c>
      <c r="CY45" s="5">
        <f>-'5. IRR'!CZ16</f>
        <v>-0.0</v>
      </c>
      <c r="CZ45" s="5">
        <f>-'5. IRR'!DA16</f>
        <v>-0.0</v>
      </c>
      <c r="DA45" s="5">
        <f>-'5. IRR'!DB16</f>
        <v>-0.0</v>
      </c>
      <c r="DB45" s="5">
        <f>-'5. IRR'!DC16</f>
        <v>-0.0</v>
      </c>
      <c r="DC45" s="5">
        <f>-'5. IRR'!DD16</f>
        <v>-0.0</v>
      </c>
      <c r="DD45" s="5">
        <f>-'5. IRR'!DE16</f>
        <v>-0.0</v>
      </c>
      <c r="DE45" s="5">
        <f>-'5. IRR'!DF16</f>
        <v>-0.0</v>
      </c>
      <c r="DF45" s="5">
        <f>-'5. IRR'!DG16</f>
        <v>-0.0</v>
      </c>
      <c r="DG45" s="5">
        <f>-'5. IRR'!DH16</f>
        <v>-0.0</v>
      </c>
      <c r="DH45" s="5">
        <f>-'5. IRR'!DI16</f>
        <v>-0.0</v>
      </c>
      <c r="DI45" s="5">
        <f>-'5. IRR'!DJ16</f>
        <v>-0.0</v>
      </c>
      <c r="DJ45" s="5">
        <f>-'5. IRR'!DK16</f>
        <v>-0.0</v>
      </c>
      <c r="DK45" s="5">
        <f>-'5. IRR'!DL16</f>
        <v>-0.0</v>
      </c>
      <c r="DL45" s="5">
        <f>-'5. IRR'!DM16</f>
        <v>-0.0</v>
      </c>
      <c r="DM45" s="5">
        <f>-'5. IRR'!DN16</f>
        <v>-0.0</v>
      </c>
      <c r="DN45" s="5">
        <f>-'5. IRR'!DO16</f>
        <v>-0.0</v>
      </c>
      <c r="DO45" s="5">
        <f>-'5. IRR'!DP16</f>
        <v>-0.0</v>
      </c>
      <c r="DP45" s="5">
        <f>-'5. IRR'!DQ16</f>
        <v>-0.0</v>
      </c>
      <c r="DQ45" s="5">
        <f>-'5. IRR'!DR16</f>
        <v>-0.0</v>
      </c>
      <c r="DR45" s="5">
        <f>-'5. IRR'!DS16</f>
        <v>-0.0</v>
      </c>
      <c r="DS45" s="5">
        <f>-'5. IRR'!DT16</f>
        <v>-0.0</v>
      </c>
      <c r="DT45" s="5">
        <f>-'5. IRR'!DU16</f>
        <v>-0.0</v>
      </c>
      <c r="DU45" s="5">
        <f>-'5. IRR'!DV16</f>
        <v>-0.0</v>
      </c>
      <c r="DV45" s="5">
        <f>-'5. IRR'!DW16</f>
        <v>-0.0</v>
      </c>
      <c r="DW45" s="5">
        <f>-'5. IRR'!DX16</f>
        <v>-0.0</v>
      </c>
      <c r="DX45" s="5">
        <f>-'5. IRR'!DY16</f>
        <v>-0.0</v>
      </c>
      <c r="DY45" s="5">
        <f>-'5. IRR'!DZ16</f>
        <v>-0.0</v>
      </c>
      <c r="DZ45" s="5">
        <f>-'5. IRR'!EA16</f>
        <v>-0.0</v>
      </c>
      <c r="EA45" s="5">
        <f>-'5. IRR'!EB16</f>
        <v>-0.0</v>
      </c>
      <c r="EB45" s="5">
        <f>-'5. IRR'!EC16</f>
        <v>-0.0</v>
      </c>
      <c r="EC45" s="5">
        <f>-'5. IRR'!ED16</f>
        <v>-0.0</v>
      </c>
      <c r="ED45" s="5">
        <f>-'5. IRR'!EE16</f>
        <v>-0.0</v>
      </c>
      <c r="EE45" s="5">
        <f>-'5. IRR'!EF16</f>
        <v>-0.0</v>
      </c>
      <c r="EF45" s="5">
        <f>-'5. IRR'!EG16</f>
        <v>-0.0</v>
      </c>
      <c r="EG45" s="5">
        <f>-'5. IRR'!EH16</f>
        <v>-0.0</v>
      </c>
      <c r="EH45" s="5">
        <f>-'5. IRR'!EI16</f>
        <v>-0.0</v>
      </c>
      <c r="EI45" s="5">
        <f>-'5. IRR'!EJ16</f>
        <v>-0.0</v>
      </c>
      <c r="EJ45" s="5">
        <f>-'5. IRR'!EK16</f>
        <v>-0.0</v>
      </c>
      <c r="EK45" s="5">
        <f>-'5. IRR'!EL16</f>
        <v>-0.0</v>
      </c>
      <c r="EL45" s="5">
        <f>-'5. IRR'!EM16</f>
        <v>-0.0</v>
      </c>
      <c r="EM45" s="5">
        <f>-'5. IRR'!EN16</f>
        <v>-0.0</v>
      </c>
      <c r="EN45" s="5">
        <f>-'5. IRR'!EO16</f>
        <v>-0.0</v>
      </c>
      <c r="EO45" s="5">
        <f>-'5. IRR'!EP16</f>
        <v>-0.0</v>
      </c>
      <c r="EP45" s="5">
        <f>-'5. IRR'!EQ16</f>
        <v>-0.0</v>
      </c>
      <c r="EQ45" s="5">
        <f>-'5. IRR'!ER16</f>
        <v>-0.0</v>
      </c>
      <c r="ER45" s="5">
        <f>-'5. IRR'!ES16</f>
        <v>-0.0</v>
      </c>
      <c r="ES45" s="5">
        <f>-'5. IRR'!ET16</f>
        <v>-0.0</v>
      </c>
      <c r="ET45" s="5">
        <f>-'5. IRR'!EU16</f>
        <v>-0.0</v>
      </c>
      <c r="EU45" s="5">
        <f>-'5. IRR'!EV16</f>
        <v>-0.0</v>
      </c>
      <c r="EV45" s="5">
        <f>-'5. IRR'!EW16</f>
        <v>-0.0</v>
      </c>
      <c r="EW45" s="5">
        <f>-'5. IRR'!EX16</f>
        <v>-0.0</v>
      </c>
      <c r="EX45" s="5">
        <f>-'5. IRR'!EY16</f>
        <v>-0.0</v>
      </c>
      <c r="EY45" s="5">
        <f>-'5. IRR'!EZ16</f>
        <v>-0.0</v>
      </c>
      <c r="EZ45" s="5">
        <f>-'5. IRR'!FA16</f>
        <v>-0.0</v>
      </c>
      <c r="FA45" s="5">
        <f>-'5. IRR'!FB16</f>
        <v>-0.0</v>
      </c>
      <c r="FB45" s="5">
        <f>-'5. IRR'!FC16</f>
        <v>-0.0</v>
      </c>
      <c r="FC45" s="5">
        <f>-'5. IRR'!FD16</f>
        <v>-0.0</v>
      </c>
      <c r="FD45" s="5">
        <f>-'5. IRR'!FE16</f>
        <v>-0.0</v>
      </c>
      <c r="FE45" s="5">
        <f>-'5. IRR'!FF16</f>
        <v>-0.0</v>
      </c>
      <c r="FF45" s="5">
        <f>-'5. IRR'!FG16</f>
        <v>-0.0</v>
      </c>
      <c r="FG45" s="5">
        <f>-'5. IRR'!FH16</f>
        <v>-0.0</v>
      </c>
      <c r="FH45" s="5">
        <f>-'5. IRR'!FI16</f>
        <v>-0.0</v>
      </c>
      <c r="FI45" s="5">
        <f>-'5. IRR'!FJ16</f>
        <v>-0.0</v>
      </c>
      <c r="FJ45" s="5">
        <f>-'5. IRR'!FK16</f>
        <v>-0.0</v>
      </c>
      <c r="FK45" s="5">
        <f>-'5. IRR'!FL16</f>
        <v>-0.0</v>
      </c>
      <c r="FL45" s="5">
        <f>-'5. IRR'!FM16</f>
        <v>-0.0</v>
      </c>
      <c r="FM45" s="5">
        <f>-'5. IRR'!FN16</f>
        <v>-0.0</v>
      </c>
      <c r="FN45" s="5">
        <f>-'5. IRR'!FO16</f>
        <v>-0.0</v>
      </c>
      <c r="FO45" s="5">
        <f>-'5. IRR'!FP16</f>
        <v>-0.0</v>
      </c>
      <c r="FP45" s="5">
        <f>-'5. IRR'!FQ16</f>
        <v>-0.0</v>
      </c>
      <c r="FQ45" s="5">
        <f>-'5. IRR'!FR16</f>
        <v>-0.0</v>
      </c>
      <c r="FR45" s="5">
        <f>-'5. IRR'!FS16</f>
        <v>-0.0</v>
      </c>
      <c r="FS45" s="5">
        <f>-'5. IRR'!FT16</f>
        <v>-0.0</v>
      </c>
      <c r="FT45" s="5">
        <f>-'5. IRR'!FU16</f>
        <v>-0.0</v>
      </c>
      <c r="FU45" s="5">
        <f>-'5. IRR'!FV16</f>
        <v>-0.0</v>
      </c>
      <c r="FV45" s="5">
        <f>-'5. IRR'!FW16</f>
        <v>-0.0</v>
      </c>
      <c r="FW45" s="5">
        <f>-'5. IRR'!FX16</f>
        <v>-0.0</v>
      </c>
      <c r="FX45" s="5">
        <f>-'5. IRR'!FY16</f>
        <v>-0.0</v>
      </c>
      <c r="FY45" s="5">
        <f>-'5. IRR'!FZ16</f>
        <v>-0.0</v>
      </c>
      <c r="FZ45" s="5">
        <f>-'5. IRR'!GA16</f>
        <v>-0.0</v>
      </c>
      <c r="GA45" s="5">
        <f>-'5. IRR'!GB16</f>
        <v>-0.0</v>
      </c>
      <c r="GB45" s="5">
        <f>-'5. IRR'!GC16</f>
        <v>-0.0</v>
      </c>
      <c r="GC45" s="5">
        <f>-'5. IRR'!GD16</f>
        <v>-0.0</v>
      </c>
      <c r="GD45" s="5">
        <f>-'5. IRR'!GE16</f>
        <v>-0.0</v>
      </c>
      <c r="GE45" s="5">
        <f>-'5. IRR'!GF16</f>
        <v>-0.0</v>
      </c>
      <c r="GF45" s="5">
        <f>-'5. IRR'!GG16</f>
        <v>-0.0</v>
      </c>
      <c r="GG45" s="5">
        <f>-'5. IRR'!GH16</f>
        <v>-0.0</v>
      </c>
      <c r="GH45" s="5">
        <f>-'5. IRR'!GI16</f>
        <v>-0.0</v>
      </c>
      <c r="GI45" s="5">
        <f>-'5. IRR'!GJ16</f>
        <v>-0.0</v>
      </c>
      <c r="GJ45" s="5">
        <f>-'5. IRR'!GK16</f>
        <v>-0.0</v>
      </c>
      <c r="GK45" s="5">
        <f>-'5. IRR'!GL16</f>
        <v>-0.0</v>
      </c>
      <c r="GL45" s="5">
        <f>-'5. IRR'!GM16</f>
        <v>-0.0</v>
      </c>
      <c r="GM45" s="5">
        <f>-'5. IRR'!GN16</f>
        <v>-0.0</v>
      </c>
      <c r="GN45" s="5">
        <f>-'5. IRR'!GO16</f>
        <v>-0.0</v>
      </c>
      <c r="GO45" s="5">
        <f>-'5. IRR'!GP16</f>
        <v>-0.0</v>
      </c>
      <c r="GP45" s="5">
        <f>-'5. IRR'!GQ16</f>
        <v>-0.0</v>
      </c>
      <c r="GQ45" s="5">
        <f>-'5. IRR'!GR16</f>
        <v>-0.0</v>
      </c>
      <c r="GR45" s="5">
        <f>-'5. IRR'!GS16</f>
        <v>-0.0</v>
      </c>
      <c r="GS45" s="5">
        <f>-'5. IRR'!GT16</f>
        <v>-0.0</v>
      </c>
      <c r="GT45" s="5">
        <f>-'5. IRR'!GU16</f>
        <v>-0.0</v>
      </c>
      <c r="GU45" s="5">
        <f>-'5. IRR'!GV16</f>
        <v>-0.0</v>
      </c>
      <c r="GV45" s="5">
        <f>-'5. IRR'!GW16</f>
        <v>-0.0</v>
      </c>
      <c r="GW45" s="5">
        <f>-'5. IRR'!GX16</f>
        <v>-0.0</v>
      </c>
      <c r="GX45" s="5">
        <f>-'5. IRR'!GY16</f>
        <v>-0.0</v>
      </c>
      <c r="GY45" s="5">
        <f>-'5. IRR'!GZ16</f>
        <v>-0.0</v>
      </c>
      <c r="GZ45" s="5">
        <f>-'5. IRR'!HA16</f>
        <v>-0.0</v>
      </c>
      <c r="HA45" s="5">
        <f>-'5. IRR'!HB16</f>
        <v>-0.0</v>
      </c>
      <c r="HB45" s="5">
        <f>-'5. IRR'!HC16</f>
        <v>-0.0</v>
      </c>
      <c r="HC45" s="5">
        <f>-'5. IRR'!HD16</f>
        <v>-0.0</v>
      </c>
      <c r="HD45" s="5">
        <f>-'5. IRR'!HE16</f>
        <v>-0.0</v>
      </c>
      <c r="HE45" s="5">
        <f>-'5. IRR'!HF16</f>
        <v>-0.0</v>
      </c>
      <c r="HF45" s="5">
        <f>-'5. IRR'!HG16</f>
        <v>-0.0</v>
      </c>
      <c r="HG45" s="5">
        <f>-'5. IRR'!HH16</f>
        <v>-0.0</v>
      </c>
      <c r="HH45" s="5">
        <f>-'5. IRR'!HI16</f>
        <v>-0.0</v>
      </c>
      <c r="HI45" s="5">
        <f>-'5. IRR'!HJ16</f>
        <v>-0.0</v>
      </c>
      <c r="HJ45" s="5">
        <f>-'5. IRR'!HK16</f>
        <v>-0.0</v>
      </c>
      <c r="HK45" s="5">
        <f>-'5. IRR'!HL16</f>
        <v>-0.0</v>
      </c>
      <c r="HL45" s="5">
        <f>-'5. IRR'!HM16</f>
        <v>-0.0</v>
      </c>
      <c r="HM45" s="5">
        <f>-'5. IRR'!HN16</f>
        <v>-0.0</v>
      </c>
      <c r="HN45" s="5">
        <f>-'5. IRR'!HO16</f>
        <v>-0.0</v>
      </c>
      <c r="HO45" s="5">
        <f>-'5. IRR'!HP16</f>
        <v>-0.0</v>
      </c>
      <c r="HP45" s="5">
        <f>-'5. IRR'!HQ16</f>
        <v>-0.0</v>
      </c>
      <c r="HQ45" s="5">
        <f>-'5. IRR'!HR16</f>
        <v>-0.0</v>
      </c>
      <c r="HR45" s="5">
        <f>-'5. IRR'!HS16</f>
        <v>-0.0</v>
      </c>
      <c r="HS45" s="5">
        <f>-'5. IRR'!HT16</f>
        <v>-0.0</v>
      </c>
      <c r="HT45" s="5">
        <f>-'5. IRR'!HU16</f>
        <v>-0.0</v>
      </c>
      <c r="HU45" s="5">
        <f>-'5. IRR'!HV16</f>
        <v>-0.0</v>
      </c>
      <c r="HV45" s="5">
        <f>-'5. IRR'!HW16</f>
        <v>-0.0</v>
      </c>
      <c r="HW45" s="5">
        <f>-'5. IRR'!HX16</f>
        <v>-0.0</v>
      </c>
      <c r="HX45" s="5">
        <f>-'5. IRR'!HY16</f>
        <v>-0.0</v>
      </c>
      <c r="HY45" s="5">
        <f>-'5. IRR'!HZ16</f>
        <v>-0.0</v>
      </c>
      <c r="HZ45" s="5">
        <f>-'5. IRR'!IA16</f>
        <v>-0.0</v>
      </c>
      <c r="IA45" s="5">
        <f>-'5. IRR'!IB16</f>
        <v>-0.0</v>
      </c>
      <c r="IB45" s="5">
        <f>-'5. IRR'!IC16</f>
        <v>-0.0</v>
      </c>
      <c r="IC45" s="5">
        <f>-'5. IRR'!ID16</f>
        <v>-0.0</v>
      </c>
      <c r="ID45" s="5">
        <f>-'5. IRR'!IE16</f>
        <v>-0.0</v>
      </c>
      <c r="IE45" s="5">
        <f>-'5. IRR'!IF16</f>
        <v>-0.0</v>
      </c>
      <c r="IF45" s="5">
        <f>-'5. IRR'!IG16</f>
        <v>-0.0</v>
      </c>
      <c r="IG45" s="5">
        <f>-'5. IRR'!IH16</f>
        <v>-0.0</v>
      </c>
      <c r="IH45" s="5">
        <f>-'5. IRR'!II16</f>
        <v>-0.0</v>
      </c>
      <c r="II45" s="5">
        <f>-'5. IRR'!IJ16</f>
        <v>-0.0</v>
      </c>
      <c r="IJ45" s="5">
        <f>-'5. IRR'!IK16</f>
        <v>-0.0</v>
      </c>
      <c r="IK45" s="5">
        <f>-'5. IRR'!IL16</f>
        <v>-0.0</v>
      </c>
      <c r="IL45" s="5">
        <f>-'5. IRR'!IM16</f>
        <v>-0.0</v>
      </c>
      <c r="IM45" s="5">
        <f>-'5. IRR'!IN16</f>
        <v>-0.0</v>
      </c>
      <c r="IN45" s="5">
        <f>-'5. IRR'!IO16</f>
        <v>-0.0</v>
      </c>
      <c r="IO45" s="5">
        <f>-'5. IRR'!IP16</f>
        <v>-0.0</v>
      </c>
      <c r="IP45" s="5">
        <f>-'5. IRR'!IQ16</f>
        <v>-0.0</v>
      </c>
      <c r="IQ45" s="5">
        <f>-'5. IRR'!IR16</f>
        <v>-0.0</v>
      </c>
      <c r="IR45" s="5">
        <f>-'5. IRR'!IS16</f>
        <v>-0.0</v>
      </c>
      <c r="IS45" s="5">
        <f>-'5. IRR'!IT16</f>
        <v>-0.0</v>
      </c>
      <c r="IT45" s="5">
        <f>-'5. IRR'!IU16</f>
        <v>-0.0</v>
      </c>
      <c r="IU45" s="5">
        <f>-'5. IRR'!IV16</f>
        <v>-0.0</v>
      </c>
      <c r="IV45" s="5">
        <f>-'5. IRR'!IW16</f>
        <v>-0.0</v>
      </c>
      <c r="IW45" s="5">
        <f>-'5. IRR'!IX16</f>
        <v>-0.0</v>
      </c>
      <c r="IX45" s="5">
        <f>-'5. IRR'!IY16</f>
        <v>-0.0</v>
      </c>
      <c r="IY45" s="5">
        <f>-'5. IRR'!IZ16</f>
        <v>-0.0</v>
      </c>
      <c r="IZ45" s="5">
        <f>-'5. IRR'!JA16</f>
        <v>-0.0</v>
      </c>
      <c r="JA45" s="5">
        <f>-'5. IRR'!JB16</f>
        <v>-0.0</v>
      </c>
      <c r="JB45" s="5">
        <f>-'5. IRR'!JC16</f>
        <v>-0.0</v>
      </c>
      <c r="JC45" s="5">
        <f>-'5. IRR'!JD16</f>
        <v>-0.0</v>
      </c>
      <c r="JD45" s="5">
        <f>-'5. IRR'!JE16</f>
        <v>-0.0</v>
      </c>
      <c r="JE45" s="5">
        <f>-'5. IRR'!JF16</f>
        <v>-0.0</v>
      </c>
      <c r="JF45" s="5">
        <f>-'5. IRR'!JG16</f>
        <v>-0.0</v>
      </c>
      <c r="JG45" s="5">
        <f>-'5. IRR'!JH16</f>
        <v>-0.0</v>
      </c>
      <c r="JH45" s="5">
        <f>-'5. IRR'!JI16</f>
        <v>-0.0</v>
      </c>
      <c r="JI45" s="5">
        <f>-'5. IRR'!JJ16</f>
        <v>-0.0</v>
      </c>
      <c r="JJ45" s="5">
        <f>-'5. IRR'!JK16</f>
        <v>-0.0</v>
      </c>
      <c r="JK45" s="5">
        <f>-'5. IRR'!JL16</f>
        <v>-0.0</v>
      </c>
      <c r="JL45" s="5">
        <f>-'5. IRR'!JM16</f>
        <v>-0.0</v>
      </c>
      <c r="JM45" s="5">
        <f>-'5. IRR'!JN16</f>
        <v>-0.0</v>
      </c>
      <c r="JN45" s="5">
        <f>-'5. IRR'!JO16</f>
        <v>-0.0</v>
      </c>
      <c r="JO45" s="5">
        <f>-'5. IRR'!JP16</f>
        <v>-0.0</v>
      </c>
      <c r="JP45" s="5">
        <f>-'5. IRR'!JQ16</f>
        <v>-0.0</v>
      </c>
      <c r="JQ45" s="5">
        <f>-'5. IRR'!JR16</f>
        <v>-0.0</v>
      </c>
      <c r="JR45" s="5">
        <f>-'5. IRR'!JS16</f>
        <v>-0.0</v>
      </c>
      <c r="JS45" s="5">
        <f>-'5. IRR'!JT16</f>
        <v>-0.0</v>
      </c>
      <c r="JT45" s="5">
        <f>-'5. IRR'!JU16</f>
        <v>-0.0</v>
      </c>
      <c r="JU45" s="5">
        <f>-'5. IRR'!JV16</f>
        <v>-0.0</v>
      </c>
      <c r="JV45" s="5">
        <f>-'5. IRR'!JW16</f>
        <v>-0.0</v>
      </c>
      <c r="JW45" s="5">
        <f>-'5. IRR'!JX16</f>
        <v>-0.0</v>
      </c>
      <c r="JX45" s="5">
        <f>-'5. IRR'!JY16</f>
        <v>-0.0</v>
      </c>
      <c r="JY45" s="5">
        <f>-'5. IRR'!JZ16</f>
        <v>-0.0</v>
      </c>
      <c r="JZ45" s="5">
        <f>-'5. IRR'!KA16</f>
        <v>-0.0</v>
      </c>
      <c r="KA45" s="5">
        <f>-'5. IRR'!KB16</f>
        <v>-0.0</v>
      </c>
      <c r="KB45" s="5">
        <f>-'5. IRR'!KC16</f>
        <v>-0.0</v>
      </c>
      <c r="KC45" s="5">
        <f>-'5. IRR'!KD16</f>
        <v>-0.0</v>
      </c>
      <c r="KD45" s="5">
        <f>-'5. IRR'!KE16</f>
        <v>-0.0</v>
      </c>
      <c r="KE45" s="5">
        <f>-'5. IRR'!KF16</f>
        <v>-0.0</v>
      </c>
      <c r="KF45" s="5">
        <f>-'5. IRR'!KG16</f>
        <v>-0.0</v>
      </c>
      <c r="KG45" s="5">
        <f>-'5. IRR'!KH16</f>
        <v>-0.0</v>
      </c>
      <c r="KH45" s="5">
        <f>-'5. IRR'!KI16</f>
        <v>-0.0</v>
      </c>
      <c r="KI45" s="5">
        <f>-'5. IRR'!KJ16</f>
        <v>-0.0</v>
      </c>
      <c r="KJ45" s="5">
        <f>-'5. IRR'!KK16</f>
        <v>-0.0</v>
      </c>
      <c r="KK45" s="5">
        <f>-'5. IRR'!KL16</f>
        <v>-0.0</v>
      </c>
      <c r="KL45" s="5">
        <f>-'5. IRR'!KM16</f>
        <v>-0.0</v>
      </c>
      <c r="KM45" s="5">
        <f>-'5. IRR'!KN16</f>
        <v>-0.0</v>
      </c>
      <c r="KN45" s="5">
        <f>-'5. IRR'!KO16</f>
        <v>-0.0</v>
      </c>
      <c r="KO45" s="5">
        <f>-'5. IRR'!KP16</f>
        <v>-0.0</v>
      </c>
      <c r="KP45" s="5">
        <f>-'5. IRR'!KQ16</f>
        <v>-0.0</v>
      </c>
      <c r="KQ45" s="5">
        <f>-'5. IRR'!KR16</f>
        <v>-0.0</v>
      </c>
      <c r="KR45" s="5">
        <f>-'5. IRR'!KS16</f>
        <v>-0.0</v>
      </c>
      <c r="KS45" s="5">
        <f>-'5. IRR'!KT16</f>
        <v>-0.0</v>
      </c>
      <c r="KT45" s="5">
        <f>-'5. IRR'!KU16</f>
        <v>-0.0</v>
      </c>
      <c r="KU45" s="5">
        <f>-'5. IRR'!KV16</f>
        <v>-0.0</v>
      </c>
      <c r="KV45" s="5">
        <f>-'5. IRR'!KW16</f>
        <v>-0.0</v>
      </c>
      <c r="KW45" s="5">
        <f>-'5. IRR'!KX16</f>
        <v>-0.0</v>
      </c>
      <c r="KX45" s="5">
        <f>-'5. IRR'!KY16</f>
        <v>-0.0</v>
      </c>
      <c r="KY45" s="5">
        <f>-'5. IRR'!KZ16</f>
        <v>-0.0</v>
      </c>
      <c r="KZ45" s="5">
        <f>-'5. IRR'!LA16</f>
        <v>-0.0</v>
      </c>
      <c r="LA45" s="5">
        <f>-'5. IRR'!LB16</f>
        <v>-0.0</v>
      </c>
      <c r="LB45" s="5">
        <f>-'5. IRR'!LC16</f>
        <v>-0.0</v>
      </c>
      <c r="LC45" s="5">
        <f>-'5. IRR'!LD16</f>
        <v>-0.0</v>
      </c>
      <c r="LD45" s="5">
        <f>-'5. IRR'!LE16</f>
        <v>-0.0</v>
      </c>
      <c r="LE45" s="5">
        <f>-'5. IRR'!LF16</f>
        <v>-0.0</v>
      </c>
      <c r="LF45" s="5">
        <f>-'5. IRR'!LG16</f>
        <v>-0.0</v>
      </c>
      <c r="LG45" s="5">
        <f>-'5. IRR'!LH16</f>
        <v>-0.0</v>
      </c>
      <c r="LH45" s="5">
        <f>-'5. IRR'!LI16</f>
        <v>-0.0</v>
      </c>
      <c r="LI45" s="5">
        <f>-'5. IRR'!LJ16</f>
        <v>-0.0</v>
      </c>
      <c r="LJ45" s="5">
        <f>-'5. IRR'!LK16</f>
        <v>-0.0</v>
      </c>
      <c r="LK45" s="5">
        <f>-'5. IRR'!LL16</f>
        <v>-0.0</v>
      </c>
      <c r="LL45" s="5">
        <f>-'5. IRR'!LM16</f>
        <v>-0.0</v>
      </c>
      <c r="LM45" s="5">
        <f>-'5. IRR'!LN16</f>
        <v>-0.0</v>
      </c>
      <c r="LN45" s="5">
        <f>-'5. IRR'!LO16</f>
        <v>-0.0</v>
      </c>
      <c r="LO45" s="5">
        <f>-'5. IRR'!LP16</f>
        <v>-0.0</v>
      </c>
      <c r="LP45" s="5">
        <f>-'5. IRR'!LQ16</f>
        <v>-0.0</v>
      </c>
      <c r="LQ45" s="5">
        <f>-'5. IRR'!LR16</f>
        <v>-0.0</v>
      </c>
      <c r="LR45" s="5">
        <f>-'5. IRR'!LS16</f>
        <v>-0.0</v>
      </c>
      <c r="LS45" s="5">
        <f>-'5. IRR'!LT16</f>
        <v>-0.0</v>
      </c>
      <c r="LT45" s="5">
        <f>-'5. IRR'!LU16</f>
        <v>-0.0</v>
      </c>
      <c r="LU45" s="5">
        <f>-'5. IRR'!LV16</f>
        <v>-0.0</v>
      </c>
      <c r="LV45" s="5">
        <f>-'5. IRR'!LW16</f>
        <v>-0.0</v>
      </c>
      <c r="LW45" s="5">
        <f>-'5. IRR'!LX16</f>
        <v>-0.0</v>
      </c>
      <c r="LX45" s="5">
        <f>-'5. IRR'!LY16</f>
        <v>-0.0</v>
      </c>
      <c r="LY45" s="5">
        <f>-'5. IRR'!LZ16</f>
        <v>-0.0</v>
      </c>
      <c r="LZ45" s="5">
        <f>-'5. IRR'!MA16</f>
        <v>-0.0</v>
      </c>
      <c r="MA45" s="5">
        <f>-'5. IRR'!MB16</f>
        <v>-0.0</v>
      </c>
      <c r="MB45" s="5">
        <f>-'5. IRR'!MC16</f>
        <v>-0.0</v>
      </c>
      <c r="MC45" s="5">
        <f>-'5. IRR'!MD16</f>
        <v>-0.0</v>
      </c>
      <c r="MD45" s="5">
        <f>-'5. IRR'!ME16</f>
        <v>-0.0</v>
      </c>
      <c r="ME45" s="5">
        <f>-'5. IRR'!MF16</f>
        <v>-0.0</v>
      </c>
      <c r="MF45" s="5">
        <f>-'5. IRR'!MG16</f>
        <v>-0.0</v>
      </c>
      <c r="MG45" s="5">
        <f>-'5. IRR'!MH16</f>
        <v>-0.0</v>
      </c>
      <c r="MH45" s="5">
        <f>-'5. IRR'!MI16</f>
        <v>-0.0</v>
      </c>
      <c r="MI45" s="5">
        <f>-'5. IRR'!MJ16</f>
        <v>-0.0</v>
      </c>
      <c r="MJ45" s="5">
        <f>-'5. IRR'!MK16</f>
        <v>-0.0</v>
      </c>
      <c r="MK45" s="5">
        <f>-'5. IRR'!ML16</f>
        <v>-0.0</v>
      </c>
      <c r="ML45" s="5">
        <f>-'5. IRR'!MM16</f>
        <v>-0.0</v>
      </c>
      <c r="MM45" s="5">
        <f>-'5. IRR'!MN16</f>
        <v>-0.0</v>
      </c>
      <c r="MN45" s="5">
        <f>-'5. IRR'!MO16</f>
        <v>-0.0</v>
      </c>
      <c r="MO45" s="5">
        <f>-'5. IRR'!MP16</f>
        <v>-0.0</v>
      </c>
      <c r="MP45" s="5">
        <f>-'5. IRR'!MQ16</f>
        <v>-0.0</v>
      </c>
      <c r="MQ45" s="5">
        <f>-'5. IRR'!MR16</f>
        <v>-0.0</v>
      </c>
      <c r="MR45" s="5">
        <f>-'5. IRR'!MS16</f>
        <v>-0.0</v>
      </c>
      <c r="MS45" s="5">
        <f>-'5. IRR'!MT16</f>
        <v>-0.0</v>
      </c>
      <c r="MT45" s="5">
        <f>-'5. IRR'!MU16</f>
        <v>-0.0</v>
      </c>
      <c r="MU45" s="5">
        <f>-'5. IRR'!MV16</f>
        <v>-0.0</v>
      </c>
      <c r="MV45" s="5">
        <f>-'5. IRR'!MW16</f>
        <v>-0.0</v>
      </c>
      <c r="MW45" s="5">
        <f>-'5. IRR'!MX16</f>
        <v>-0.0</v>
      </c>
      <c r="MX45" s="5">
        <f>-'5. IRR'!MY16</f>
        <v>-0.0</v>
      </c>
      <c r="MY45" s="5">
        <f>-'5. IRR'!MZ16</f>
        <v>-0.0</v>
      </c>
      <c r="MZ45" s="5">
        <f>-'5. IRR'!NA16</f>
        <v>-0.0</v>
      </c>
      <c r="NA45" s="5">
        <f>-'5. IRR'!NB16</f>
        <v>-0.0</v>
      </c>
      <c r="NB45" s="5">
        <f>-'5. IRR'!NC16</f>
        <v>-0.0</v>
      </c>
      <c r="NC45" s="5">
        <f>-'5. IRR'!ND16</f>
        <v>-0.0</v>
      </c>
      <c r="ND45" s="5">
        <f>-'5. IRR'!NE16</f>
        <v>-0.0</v>
      </c>
      <c r="NE45" s="5">
        <f>-'5. IRR'!NF16</f>
        <v>-0.0</v>
      </c>
      <c r="NF45" s="5">
        <f>-'5. IRR'!NG16</f>
        <v>-0.0</v>
      </c>
      <c r="NG45" s="5">
        <f>-'5. IRR'!NH16</f>
        <v>-0.0</v>
      </c>
      <c r="NH45" s="5">
        <f>-'5. IRR'!NI16</f>
        <v>-0.0</v>
      </c>
      <c r="NI45" s="5">
        <f>-'5. IRR'!NJ16</f>
        <v>-0.0</v>
      </c>
      <c r="NJ45" s="5">
        <f>-'5. IRR'!NK16</f>
        <v>-0.0</v>
      </c>
      <c r="NK45" s="5">
        <f>-'5. IRR'!NL16</f>
        <v>-0.0</v>
      </c>
      <c r="NL45" s="5">
        <f>-'5. IRR'!NM16</f>
        <v>-0.0</v>
      </c>
      <c r="NM45" s="5">
        <f>-'5. IRR'!NN16</f>
        <v>-0.0</v>
      </c>
      <c r="NN45" s="5">
        <f>-'5. IRR'!NO16</f>
        <v>-0.0</v>
      </c>
      <c r="NO45" s="5">
        <f>-'5. IRR'!NP16</f>
        <v>-0.0</v>
      </c>
      <c r="NP45" s="5">
        <f>-'5. IRR'!NQ16</f>
        <v>-0.0</v>
      </c>
      <c r="NQ45" s="5">
        <f>-'5. IRR'!NR16</f>
        <v>-0.0</v>
      </c>
      <c r="NR45" s="5">
        <f>-'5. IRR'!NS16</f>
        <v>-0.0</v>
      </c>
      <c r="NS45" s="5">
        <f>-'5. IRR'!NT16</f>
        <v>-0.0</v>
      </c>
      <c r="NT45" s="5">
        <f>-'5. IRR'!NU16</f>
        <v>-0.0</v>
      </c>
      <c r="NU45" s="5">
        <f>-'5. IRR'!NV16</f>
        <v>-0.0</v>
      </c>
      <c r="NV45" s="5">
        <f>-'5. IRR'!NW16</f>
        <v>-0.0</v>
      </c>
      <c r="NW45" s="5">
        <f>-'5. IRR'!NX16</f>
        <v>-0.0</v>
      </c>
      <c r="NX45" s="5">
        <f>-'5. IRR'!NY16</f>
        <v>-0.0</v>
      </c>
      <c r="NY45" s="5">
        <f>-'5. IRR'!NZ16</f>
        <v>-0.0</v>
      </c>
      <c r="NZ45" s="5">
        <f>-'5. IRR'!OA16</f>
        <v>-0.0</v>
      </c>
      <c r="OA45" s="5">
        <f>-'5. IRR'!OB16</f>
        <v>-0.0</v>
      </c>
      <c r="OB45" s="5">
        <f>-'5. IRR'!OC16</f>
        <v>-0.0</v>
      </c>
      <c r="OC45" s="5">
        <f>-'5. IRR'!OD16</f>
        <v>-0.0</v>
      </c>
      <c r="OD45" s="5">
        <f>-'5. IRR'!OE16</f>
        <v>-0.0</v>
      </c>
      <c r="OE45" s="5">
        <f>-'5. IRR'!OF16</f>
        <v>-0.0</v>
      </c>
      <c r="OF45" s="5">
        <f>-'5. IRR'!OG16</f>
        <v>-0.0</v>
      </c>
      <c r="OG45" s="5">
        <f>-'5. IRR'!OH16</f>
        <v>-0.0</v>
      </c>
      <c r="OH45" s="5">
        <f>-'5. IRR'!OI16</f>
        <v>-0.0</v>
      </c>
      <c r="OI45" s="5">
        <f>-'5. IRR'!OJ16</f>
        <v>-0.0</v>
      </c>
      <c r="OJ45" s="5">
        <f>-'5. IRR'!OK16</f>
        <v>-0.0</v>
      </c>
      <c r="OK45" s="5">
        <f>-'5. IRR'!OL16</f>
        <v>-0.0</v>
      </c>
      <c r="OL45" s="5">
        <f>-'5. IRR'!OM16</f>
        <v>-0.0</v>
      </c>
      <c r="OM45" s="5">
        <f>-'5. IRR'!ON16</f>
        <v>-0.0</v>
      </c>
      <c r="ON45" s="5">
        <f>-'5. IRR'!OO16</f>
        <v>-0.0</v>
      </c>
      <c r="OO45" s="5">
        <f>-'5. IRR'!OP16</f>
        <v>-0.0</v>
      </c>
      <c r="OP45" s="5">
        <f>-'5. IRR'!OQ16</f>
        <v>-0.0</v>
      </c>
      <c r="OQ45" s="5">
        <f>-'5. IRR'!OR16</f>
        <v>-0.0</v>
      </c>
      <c r="OR45" s="5">
        <f>-'5. IRR'!OS16</f>
        <v>-0.0</v>
      </c>
      <c r="OS45" s="5">
        <f>-'5. IRR'!OT16</f>
        <v>-0.0</v>
      </c>
      <c r="OT45" s="5">
        <f>-'5. IRR'!OU16</f>
        <v>-0.0</v>
      </c>
      <c r="OU45" s="5">
        <f>-'5. IRR'!OV16</f>
        <v>-0.0</v>
      </c>
      <c r="OV45" s="5">
        <f>-'5. IRR'!OW16</f>
        <v>-0.0</v>
      </c>
      <c r="OW45" s="5">
        <f>-'5. IRR'!OX16</f>
        <v>-0.0</v>
      </c>
      <c r="OX45" s="5">
        <f>-'5. IRR'!OY16</f>
        <v>-0.0</v>
      </c>
      <c r="OY45" s="5">
        <f>-'5. IRR'!OZ16</f>
        <v>-0.0</v>
      </c>
      <c r="OZ45" s="5">
        <f>-'5. IRR'!PA16</f>
        <v>-0.0</v>
      </c>
      <c r="PA45" s="5">
        <f>-'5. IRR'!PB16</f>
        <v>-0.0</v>
      </c>
      <c r="PB45" s="5">
        <f>-'5. IRR'!PC16</f>
        <v>-0.0</v>
      </c>
      <c r="PC45" s="5">
        <f>-'5. IRR'!PD16</f>
        <v>-0.0</v>
      </c>
      <c r="PD45" s="5">
        <f>-'5. IRR'!PE16</f>
        <v>-0.0</v>
      </c>
      <c r="PE45" s="5">
        <f>-'5. IRR'!PF16</f>
        <v>-0.0</v>
      </c>
      <c r="PF45" s="5">
        <f>-'5. IRR'!PG16</f>
        <v>-0.0</v>
      </c>
      <c r="PG45" s="5">
        <f>-'5. IRR'!PH16</f>
        <v>-0.0</v>
      </c>
      <c r="PH45" s="5">
        <f>-'5. IRR'!PI16</f>
        <v>-0.0</v>
      </c>
      <c r="PI45" s="5">
        <f>-'5. IRR'!PJ16</f>
        <v>-0.0</v>
      </c>
      <c r="PJ45" s="5">
        <f>-'5. IRR'!PK16</f>
        <v>-0.0</v>
      </c>
      <c r="PK45" s="5">
        <f>-'5. IRR'!PL16</f>
        <v>-0.0</v>
      </c>
      <c r="PL45" s="5">
        <f>-'5. IRR'!PM16</f>
        <v>-0.0</v>
      </c>
      <c r="PM45" s="5">
        <f>-'5. IRR'!PN16</f>
        <v>-0.0</v>
      </c>
      <c r="PN45" s="5">
        <f>-'5. IRR'!PO16</f>
        <v>-0.0</v>
      </c>
      <c r="PO45" s="5">
        <f>-'5. IRR'!PP16</f>
        <v>-0.0</v>
      </c>
      <c r="PP45" s="5">
        <f>-'5. IRR'!PQ16</f>
        <v>-0.0</v>
      </c>
      <c r="PQ45" s="5">
        <f>-'5. IRR'!PR16</f>
        <v>-0.0</v>
      </c>
      <c r="PR45" s="5">
        <f>-'5. IRR'!PS16</f>
        <v>-0.0</v>
      </c>
      <c r="PS45" s="5">
        <f>-'5. IRR'!PT16</f>
        <v>-0.0</v>
      </c>
      <c r="PT45" s="5">
        <f>-'5. IRR'!PU16</f>
        <v>-0.0</v>
      </c>
      <c r="PU45" s="5">
        <f>-'5. IRR'!PV16</f>
        <v>-0.0</v>
      </c>
      <c r="PV45" s="5">
        <f>-'5. IRR'!PW16</f>
        <v>-0.0</v>
      </c>
      <c r="PW45" s="5">
        <f>-'5. IRR'!PX16</f>
        <v>-0.0</v>
      </c>
      <c r="PX45" s="5">
        <f>-'5. IRR'!PY16</f>
        <v>-0.0</v>
      </c>
      <c r="PY45" s="5">
        <f>-'5. IRR'!PZ16</f>
        <v>-0.0</v>
      </c>
      <c r="PZ45" s="5">
        <f>-'5. IRR'!QA16</f>
        <v>-0.0</v>
      </c>
      <c r="QA45" s="5">
        <f>-'5. IRR'!QB16</f>
        <v>-0.0</v>
      </c>
      <c r="QB45" s="5">
        <f>-'5. IRR'!QC16</f>
        <v>-0.0</v>
      </c>
      <c r="QC45" s="5">
        <f>-'5. IRR'!QD16</f>
        <v>-0.0</v>
      </c>
      <c r="QD45" s="5">
        <f>-'5. IRR'!QE16</f>
        <v>-0.0</v>
      </c>
      <c r="QE45" s="5">
        <f>-'5. IRR'!QF16</f>
        <v>-0.0</v>
      </c>
      <c r="QF45" s="5">
        <f>-'5. IRR'!QG16</f>
        <v>-0.0</v>
      </c>
      <c r="QG45" s="5">
        <f>-'5. IRR'!QH16</f>
        <v>-0.0</v>
      </c>
      <c r="QH45" s="5">
        <f>-'5. IRR'!QI16</f>
        <v>-0.0</v>
      </c>
      <c r="QI45" s="5">
        <f>-'5. IRR'!QJ16</f>
        <v>-0.0</v>
      </c>
      <c r="QJ45" s="5">
        <f>-'5. IRR'!QK16</f>
        <v>-0.0</v>
      </c>
      <c r="QK45" s="5">
        <f>-'5. IRR'!QL16</f>
        <v>-0.0</v>
      </c>
      <c r="QL45" s="5">
        <f>-'5. IRR'!QM16</f>
        <v>-0.0</v>
      </c>
      <c r="QM45" s="5">
        <f>-'5. IRR'!QN16</f>
        <v>-0.0</v>
      </c>
      <c r="QN45" s="5">
        <f>-'5. IRR'!QO16</f>
        <v>-0.0</v>
      </c>
      <c r="QO45" s="5">
        <f>-'5. IRR'!QP16</f>
        <v>-0.0</v>
      </c>
      <c r="QP45" s="5">
        <f>-'5. IRR'!QQ16</f>
        <v>-0.0</v>
      </c>
      <c r="QQ45" s="5">
        <f>-'5. IRR'!QR16</f>
        <v>-0.0</v>
      </c>
      <c r="QR45" s="5">
        <f>-'5. IRR'!QS16</f>
        <v>-0.0</v>
      </c>
      <c r="QS45" s="5">
        <f>-'5. IRR'!QT16</f>
        <v>-0.0</v>
      </c>
      <c r="QT45" s="5">
        <f>-'5. IRR'!QU16</f>
        <v>-0.0</v>
      </c>
      <c r="QU45" s="5">
        <f>-'5. IRR'!QV16</f>
        <v>-0.0</v>
      </c>
      <c r="QV45" s="5">
        <f>-'5. IRR'!QW16</f>
        <v>-0.0</v>
      </c>
      <c r="QW45" s="5">
        <f>-'5. IRR'!QX16</f>
        <v>-0.0</v>
      </c>
      <c r="QX45" s="5">
        <f>-'5. IRR'!QY16</f>
        <v>-0.0</v>
      </c>
      <c r="QY45" s="5">
        <f>-'5. IRR'!QZ16</f>
        <v>-0.0</v>
      </c>
      <c r="QZ45" s="5">
        <f>-'5. IRR'!RA16</f>
        <v>-0.0</v>
      </c>
      <c r="RA45" s="5">
        <f>-'5. IRR'!RB16</f>
        <v>-0.0</v>
      </c>
      <c r="RB45" s="5">
        <f>-'5. IRR'!RC16</f>
        <v>-0.0</v>
      </c>
      <c r="RC45" s="5">
        <f>-'5. IRR'!RD16</f>
        <v>-0.0</v>
      </c>
      <c r="RD45" s="5">
        <f>-'5. IRR'!RE16</f>
        <v>-0.0</v>
      </c>
      <c r="RE45" s="5">
        <f>-'5. IRR'!RF16</f>
        <v>-0.0</v>
      </c>
      <c r="RF45" s="5">
        <f>-'5. IRR'!RG16</f>
        <v>-0.0</v>
      </c>
      <c r="RG45" s="5">
        <f>-'5. IRR'!RH16</f>
        <v>-0.0</v>
      </c>
      <c r="RH45" s="5">
        <f>-'5. IRR'!RI16</f>
        <v>-0.0</v>
      </c>
      <c r="RI45" s="5">
        <f>-'5. IRR'!RJ16</f>
        <v>-0.0</v>
      </c>
      <c r="RJ45" s="5">
        <f>-'5. IRR'!RK16</f>
        <v>-0.0</v>
      </c>
      <c r="RK45" s="5">
        <f>-'5. IRR'!RL16</f>
        <v>-0.0</v>
      </c>
      <c r="RL45" s="5">
        <f>-'5. IRR'!RM16</f>
        <v>-0.0</v>
      </c>
      <c r="RM45" s="5">
        <f>-'5. IRR'!RN16</f>
        <v>-0.0</v>
      </c>
      <c r="RN45" s="5">
        <f>-'5. IRR'!RO16</f>
        <v>-0.0</v>
      </c>
      <c r="RO45" s="5">
        <f>-'5. IRR'!RP16</f>
        <v>-0.0</v>
      </c>
      <c r="RP45" s="5">
        <f>-'5. IRR'!RQ16</f>
        <v>-0.0</v>
      </c>
      <c r="RQ45" s="5">
        <f>-'5. IRR'!RR16</f>
        <v>-0.0</v>
      </c>
      <c r="RR45" s="5">
        <f>-'5. IRR'!RS16</f>
        <v>-0.0</v>
      </c>
      <c r="RS45" s="5">
        <f>-'5. IRR'!RT16</f>
        <v>-0.0</v>
      </c>
      <c r="RT45" s="5">
        <f>-'5. IRR'!RU16</f>
        <v>-0.0</v>
      </c>
      <c r="RU45" s="5">
        <f>-'5. IRR'!RV16</f>
        <v>-0.0</v>
      </c>
      <c r="RV45" s="5">
        <f>-'5. IRR'!RW16</f>
        <v>-0.0</v>
      </c>
      <c r="RW45" s="5">
        <f>-'5. IRR'!RX16</f>
        <v>-0.0</v>
      </c>
      <c r="RX45" s="5">
        <f>-'5. IRR'!RY16</f>
        <v>-0.0</v>
      </c>
      <c r="RY45" s="5">
        <f>-'5. IRR'!RZ16</f>
        <v>-0.0</v>
      </c>
      <c r="RZ45" s="5">
        <f>-'5. IRR'!SA16</f>
        <v>-0.0</v>
      </c>
      <c r="SA45" s="5">
        <f>-'5. IRR'!SB16</f>
        <v>-0.0</v>
      </c>
      <c r="SB45" s="5">
        <f>-'5. IRR'!SC16</f>
        <v>-0.0</v>
      </c>
      <c r="SC45" s="5">
        <f>-'5. IRR'!SD16</f>
        <v>-0.0</v>
      </c>
      <c r="SD45" s="5">
        <f>-'5. IRR'!SE16</f>
        <v>-0.0</v>
      </c>
      <c r="SE45" s="5">
        <f>-'5. IRR'!SF16</f>
        <v>-0.0</v>
      </c>
      <c r="SF45" s="5">
        <f>-'5. IRR'!SG16</f>
        <v>-0.0</v>
      </c>
      <c r="SG45" s="5">
        <f>-'5. IRR'!SH16</f>
        <v>-0.0</v>
      </c>
      <c r="SH45" s="5">
        <f>-'5. IRR'!SI16</f>
        <v>-0.0</v>
      </c>
      <c r="SI45" s="5">
        <f>-'5. IRR'!SJ16</f>
        <v>-0.0</v>
      </c>
      <c r="SJ45" s="5">
        <f>-'5. IRR'!SK16</f>
        <v>-0.0</v>
      </c>
      <c r="SK45" s="5">
        <f>-'5. IRR'!SL16</f>
        <v>-0.0</v>
      </c>
      <c r="SL45" s="5">
        <f>-'5. IRR'!SM16</f>
        <v>-0.0</v>
      </c>
      <c r="SM45" s="5">
        <f>-'5. IRR'!SN16</f>
        <v>-0.0</v>
      </c>
      <c r="SN45" s="5">
        <f>-'5. IRR'!SO16</f>
        <v>-0.0</v>
      </c>
      <c r="SO45" s="5">
        <f>-'5. IRR'!SP16</f>
        <v>-0.0</v>
      </c>
      <c r="SP45" s="5">
        <f>-'5. IRR'!SQ16</f>
        <v>-0.0</v>
      </c>
      <c r="SQ45" s="5">
        <f>-'5. IRR'!SR16</f>
        <v>-0.0</v>
      </c>
      <c r="SR45" s="5">
        <f>-'5. IRR'!SS16</f>
        <v>-0.0</v>
      </c>
      <c r="SS45" s="5">
        <f>-'5. IRR'!ST16</f>
        <v>-0.0</v>
      </c>
      <c r="ST45" s="5">
        <f>-'5. IRR'!SU16</f>
        <v>-0.0</v>
      </c>
      <c r="SU45" s="5">
        <f>-'5. IRR'!SV16</f>
        <v>-0.0</v>
      </c>
      <c r="SV45" s="5">
        <f>-'5. IRR'!SW16</f>
        <v>-0.0</v>
      </c>
      <c r="SW45" s="5">
        <f>-'5. IRR'!SX16</f>
        <v>-0.0</v>
      </c>
      <c r="SX45" s="5">
        <f>-'5. IRR'!SY16</f>
        <v>-0.0</v>
      </c>
      <c r="SY45" s="5">
        <f>-'5. IRR'!SZ16</f>
        <v>-0.0</v>
      </c>
      <c r="SZ45" s="5">
        <f>-'5. IRR'!TA16</f>
        <v>-0.0</v>
      </c>
      <c r="TA45" s="5">
        <f>-'5. IRR'!TB16</f>
        <v>-0.0</v>
      </c>
      <c r="TB45" s="5">
        <f>-'5. IRR'!TC16</f>
        <v>-0.0</v>
      </c>
      <c r="TC45" s="5">
        <f>-'5. IRR'!TD16</f>
        <v>-0.0</v>
      </c>
      <c r="TD45" s="5">
        <f>-'5. IRR'!TE16</f>
        <v>-0.0</v>
      </c>
      <c r="TE45" s="5">
        <f>-'5. IRR'!TF16</f>
        <v>-0.0</v>
      </c>
      <c r="TF45" s="5">
        <f>-'5. IRR'!TG16</f>
        <v>-0.0</v>
      </c>
      <c r="TG45" s="5">
        <f>-'5. IRR'!TH16</f>
        <v>-0.0</v>
      </c>
      <c r="TH45" s="5">
        <f>-'5. IRR'!TI16</f>
        <v>-0.0</v>
      </c>
      <c r="TI45" s="5">
        <f>-'5. IRR'!TJ16</f>
        <v>-0.0</v>
      </c>
      <c r="TJ45" s="5">
        <f>-'5. IRR'!TK16</f>
        <v>-0.0</v>
      </c>
      <c r="TK45" s="5">
        <f>-'5. IRR'!TL16</f>
        <v>-0.0</v>
      </c>
      <c r="TL45" s="5">
        <f>-'5. IRR'!TM16</f>
        <v>-0.0</v>
      </c>
      <c r="TM45" s="5">
        <f>-'5. IRR'!TN16</f>
        <v>-0.0</v>
      </c>
      <c r="TN45" s="5">
        <f>-'5. IRR'!TO16</f>
        <v>-0.0</v>
      </c>
      <c r="TO45" s="5">
        <f>-'5. IRR'!TP16</f>
        <v>-0.0</v>
      </c>
      <c r="TP45" s="5">
        <f>-'5. IRR'!TQ16</f>
        <v>-0.0</v>
      </c>
      <c r="TQ45" s="5">
        <f>-'5. IRR'!TR16</f>
        <v>-0.0</v>
      </c>
      <c r="TR45" s="5">
        <f>-'5. IRR'!TS16</f>
        <v>-0.0</v>
      </c>
      <c r="TS45" s="5">
        <f>-'5. IRR'!TT16</f>
        <v>-0.0</v>
      </c>
      <c r="TT45" s="5">
        <f>-'5. IRR'!TU16</f>
        <v>-0.0</v>
      </c>
      <c r="TU45" s="5">
        <f>-'5. IRR'!TV16</f>
        <v>-0.0</v>
      </c>
      <c r="TV45" s="5">
        <f>-'5. IRR'!TW16</f>
        <v>-0.0</v>
      </c>
      <c r="TW45" s="5">
        <f>-'5. IRR'!TX16</f>
        <v>-0.0</v>
      </c>
      <c r="TX45" s="5">
        <f>-'5. IRR'!TY16</f>
        <v>-0.0</v>
      </c>
      <c r="TY45" s="5">
        <f>-'5. IRR'!TZ16</f>
        <v>-0.0</v>
      </c>
      <c r="TZ45" s="5">
        <f>-'5. IRR'!UA16</f>
        <v>-0.0</v>
      </c>
      <c r="UA45" s="5">
        <f>-'5. IRR'!UB16</f>
        <v>-0.0</v>
      </c>
      <c r="UB45" s="5">
        <f>-'5. IRR'!UC16</f>
        <v>-0.0</v>
      </c>
      <c r="UC45" s="5">
        <f>-'5. IRR'!UD16</f>
        <v>-0.0</v>
      </c>
      <c r="UD45" s="5">
        <f>-'5. IRR'!UE16</f>
        <v>-0.0</v>
      </c>
      <c r="UE45" s="5">
        <f>-'5. IRR'!UF16</f>
        <v>-0.0</v>
      </c>
      <c r="UF45" s="5">
        <f>-'5. IRR'!UG16</f>
        <v>-0.0</v>
      </c>
      <c r="UG45" s="5">
        <f>-'5. IRR'!UH16</f>
        <v>-0.0</v>
      </c>
      <c r="UH45" s="5">
        <f>-'5. IRR'!UI16</f>
        <v>-0.0</v>
      </c>
      <c r="UI45" s="5">
        <f>-'5. IRR'!UJ16</f>
        <v>-0.0</v>
      </c>
      <c r="UJ45" s="5">
        <f>-'5. IRR'!UK16</f>
        <v>-0.0</v>
      </c>
      <c r="UK45" s="5">
        <f>-'5. IRR'!UL16</f>
        <v>-0.0</v>
      </c>
      <c r="UL45" s="5">
        <f>-'5. IRR'!UM16</f>
        <v>-0.0</v>
      </c>
      <c r="UM45" s="5">
        <f>-'5. IRR'!UN16</f>
        <v>-0.0</v>
      </c>
      <c r="UN45" s="5">
        <f>-'5. IRR'!UO16</f>
        <v>-0.0</v>
      </c>
      <c r="UO45" s="5">
        <f>-'5. IRR'!UP16</f>
        <v>-0.0</v>
      </c>
      <c r="UP45" s="5">
        <f>-'5. IRR'!UQ16</f>
        <v>-0.0</v>
      </c>
      <c r="UQ45" s="5">
        <f>-'5. IRR'!UR16</f>
        <v>-0.0</v>
      </c>
      <c r="UR45" s="5">
        <f>-'5. IRR'!US16</f>
        <v>-0.0</v>
      </c>
      <c r="US45" s="5">
        <f>-'5. IRR'!UT16</f>
        <v>-0.0</v>
      </c>
      <c r="UT45" s="5">
        <f>-'5. IRR'!UU16</f>
        <v>-0.0</v>
      </c>
      <c r="UU45" s="5">
        <f>-'5. IRR'!UV16</f>
        <v>-0.0</v>
      </c>
      <c r="UV45" s="5">
        <f>-'5. IRR'!UW16</f>
        <v>-0.0</v>
      </c>
      <c r="UW45" s="5">
        <f>-'5. IRR'!UX16</f>
        <v>-0.0</v>
      </c>
      <c r="UX45" s="5">
        <f>-'5. IRR'!UY16</f>
        <v>-0.0</v>
      </c>
      <c r="UY45" s="5">
        <f>-'5. IRR'!UZ16</f>
        <v>-0.0</v>
      </c>
      <c r="UZ45" s="5">
        <f>-'5. IRR'!VA16</f>
        <v>-0.0</v>
      </c>
      <c r="VA45" s="5">
        <f>-'5. IRR'!VB16</f>
        <v>-0.0</v>
      </c>
      <c r="VB45" s="5">
        <f>-'5. IRR'!VC16</f>
        <v>-0.0</v>
      </c>
      <c r="VC45" s="5">
        <f>-'5. IRR'!VD16</f>
        <v>-0.0</v>
      </c>
      <c r="VD45" s="5">
        <f>-'5. IRR'!VE16</f>
        <v>-0.0</v>
      </c>
      <c r="VE45" s="5">
        <f>-'5. IRR'!VF16</f>
        <v>-0.0</v>
      </c>
      <c r="VF45" s="5">
        <f>-'5. IRR'!VG16</f>
        <v>-0.0</v>
      </c>
      <c r="VG45" s="5">
        <f>-'5. IRR'!VH16</f>
        <v>-0.0</v>
      </c>
      <c r="VH45" s="5">
        <f>-'5. IRR'!VI16</f>
        <v>-0.0</v>
      </c>
      <c r="VI45" s="5">
        <f>-'5. IRR'!VJ16</f>
        <v>-0.0</v>
      </c>
      <c r="VJ45" s="5">
        <f>-'5. IRR'!VK16</f>
        <v>-0.0</v>
      </c>
      <c r="VK45" s="5">
        <f>-'5. IRR'!VL16</f>
        <v>-0.0</v>
      </c>
      <c r="VL45" s="5">
        <f>-'5. IRR'!VM16</f>
        <v>-0.0</v>
      </c>
      <c r="VM45" s="5">
        <f>-'5. IRR'!VN16</f>
        <v>-0.0</v>
      </c>
      <c r="VN45" s="5">
        <f>-'5. IRR'!VO16</f>
        <v>-0.0</v>
      </c>
      <c r="VO45" s="5">
        <f>-'5. IRR'!VP16</f>
        <v>-0.0</v>
      </c>
      <c r="VP45" s="5">
        <f>-'5. IRR'!VQ16</f>
        <v>-0.0</v>
      </c>
      <c r="VQ45" s="5">
        <f>-'5. IRR'!VR16</f>
        <v>-0.0</v>
      </c>
      <c r="VR45" s="5">
        <f>-'5. IRR'!VS16</f>
        <v>-0.0</v>
      </c>
      <c r="VS45" s="5">
        <f>-'5. IRR'!VT16</f>
        <v>-0.0</v>
      </c>
      <c r="VT45" s="5">
        <f>-'5. IRR'!VU16</f>
        <v>-0.0</v>
      </c>
      <c r="VU45" s="5">
        <f>-'5. IRR'!VV16</f>
        <v>-0.0</v>
      </c>
      <c r="VV45" s="5">
        <f>-'5. IRR'!VW16</f>
        <v>-0.0</v>
      </c>
      <c r="VW45" s="5">
        <f>-'5. IRR'!VX16</f>
        <v>-0.0</v>
      </c>
      <c r="VX45" s="5">
        <f>-'5. IRR'!VY16</f>
        <v>-0.0</v>
      </c>
      <c r="VY45" s="5">
        <f>-'5. IRR'!VZ16</f>
        <v>-0.0</v>
      </c>
      <c r="VZ45" s="5">
        <f>-'5. IRR'!WA16</f>
        <v>-0.0</v>
      </c>
      <c r="WA45" s="5">
        <f>-'5. IRR'!WB16</f>
        <v>-0.0</v>
      </c>
      <c r="WB45" s="5">
        <f>-'5. IRR'!WC16</f>
        <v>-0.0</v>
      </c>
      <c r="WC45" s="5">
        <f>-'5. IRR'!WD16</f>
        <v>-0.0</v>
      </c>
      <c r="WD45" s="5">
        <f>-'5. IRR'!WE16</f>
        <v>-0.0</v>
      </c>
      <c r="WE45" s="5">
        <f>-'5. IRR'!WF16</f>
        <v>-0.0</v>
      </c>
      <c r="WF45" s="5">
        <f>-'5. IRR'!WG16</f>
        <v>-0.0</v>
      </c>
      <c r="WG45" s="5">
        <f>-'5. IRR'!WH16</f>
        <v>-0.0</v>
      </c>
      <c r="WH45" s="5">
        <f>-'5. IRR'!WI16</f>
        <v>-0.0</v>
      </c>
      <c r="WI45" s="5">
        <f>-'5. IRR'!WJ16</f>
        <v>-0.0</v>
      </c>
      <c r="WJ45" s="5">
        <f>-'5. IRR'!WK16</f>
        <v>-0.0</v>
      </c>
      <c r="WK45" s="5">
        <f>-'5. IRR'!WL16</f>
        <v>-0.0</v>
      </c>
      <c r="WL45" s="5">
        <f>-'5. IRR'!WM16</f>
        <v>-0.0</v>
      </c>
      <c r="WM45" s="5">
        <f>-'5. IRR'!WN16</f>
        <v>-0.0</v>
      </c>
      <c r="WN45" s="5">
        <f>-'5. IRR'!WO16</f>
        <v>-0.0</v>
      </c>
      <c r="WO45" s="5">
        <f>-'5. IRR'!WP16</f>
        <v>-0.0</v>
      </c>
      <c r="WP45" s="5">
        <f>-'5. IRR'!WQ16</f>
        <v>-0.0</v>
      </c>
      <c r="WQ45" s="5">
        <f>-'5. IRR'!WR16</f>
        <v>-0.0</v>
      </c>
      <c r="WR45" s="5">
        <f>-'5. IRR'!WS16</f>
        <v>-0.0</v>
      </c>
      <c r="WS45" s="5">
        <f>-'5. IRR'!WT16</f>
        <v>-0.0</v>
      </c>
      <c r="WT45" s="5">
        <f>-'5. IRR'!WU16</f>
        <v>-0.0</v>
      </c>
      <c r="WU45" s="5">
        <f>-'5. IRR'!WV16</f>
        <v>-0.0</v>
      </c>
      <c r="WV45" s="5">
        <f>-'5. IRR'!WW16</f>
        <v>-0.0</v>
      </c>
      <c r="WW45" s="5">
        <f>-'5. IRR'!WX16</f>
        <v>-0.0</v>
      </c>
      <c r="WX45" s="5">
        <f>-'5. IRR'!WY16</f>
        <v>-0.0</v>
      </c>
      <c r="WY45" s="5">
        <f>-'5. IRR'!WZ16</f>
        <v>-0.0</v>
      </c>
      <c r="WZ45" s="5">
        <f>-'5. IRR'!XA16</f>
        <v>-0.0</v>
      </c>
      <c r="XA45" s="5">
        <f>-'5. IRR'!XB16</f>
        <v>-0.0</v>
      </c>
      <c r="XB45" s="5">
        <f>-'5. IRR'!XC16</f>
        <v>-0.0</v>
      </c>
      <c r="XC45" s="5">
        <f>-'5. IRR'!XD16</f>
        <v>-0.0</v>
      </c>
      <c r="XD45" s="5">
        <f>-'5. IRR'!XE16</f>
        <v>-0.0</v>
      </c>
      <c r="XE45" s="5">
        <f>-'5. IRR'!XF16</f>
        <v>-0.0</v>
      </c>
      <c r="XF45" s="5">
        <f>-'5. IRR'!XG16</f>
        <v>-0.0</v>
      </c>
      <c r="XG45" s="5">
        <f>-'5. IRR'!XH16</f>
        <v>-0.0</v>
      </c>
      <c r="XH45" s="5">
        <f>-'5. IRR'!XI16</f>
        <v>-0.0</v>
      </c>
      <c r="XI45" s="5">
        <f>-'5. IRR'!XJ16</f>
        <v>-0.0</v>
      </c>
      <c r="XJ45" s="5">
        <f>-'5. IRR'!XK16</f>
        <v>-0.0</v>
      </c>
      <c r="XK45" s="5">
        <f>-'5. IRR'!XL16</f>
        <v>-0.0</v>
      </c>
      <c r="XL45" s="5">
        <f>-'5. IRR'!XM16</f>
        <v>-0.0</v>
      </c>
      <c r="XM45" s="5">
        <f>-'5. IRR'!XN16</f>
        <v>-0.0</v>
      </c>
      <c r="XN45" s="5">
        <f>-'5. IRR'!XO16</f>
        <v>-0.0</v>
      </c>
      <c r="XO45" s="5">
        <f>-'5. IRR'!XP16</f>
        <v>-0.0</v>
      </c>
      <c r="XP45" s="5">
        <f>-'5. IRR'!XQ16</f>
        <v>-0.0</v>
      </c>
      <c r="XQ45" s="5">
        <f>-'5. IRR'!XR16</f>
        <v>-0.0</v>
      </c>
      <c r="XR45" s="5">
        <f>-'5. IRR'!XS16</f>
        <v>-0.0</v>
      </c>
      <c r="XS45" s="5">
        <f>-'5. IRR'!XT16</f>
        <v>-0.0</v>
      </c>
      <c r="XT45" s="5">
        <f>-'5. IRR'!XU16</f>
        <v>-0.0</v>
      </c>
      <c r="XU45" s="5">
        <f>-'5. IRR'!XV16</f>
        <v>-0.0</v>
      </c>
      <c r="XV45" s="5">
        <f>-'5. IRR'!XW16</f>
        <v>-0.0</v>
      </c>
      <c r="XW45" s="5">
        <f>-'5. IRR'!XX16</f>
        <v>-0.0</v>
      </c>
      <c r="XX45" s="5">
        <f>-'5. IRR'!XY16</f>
        <v>-0.0</v>
      </c>
      <c r="XY45" s="5">
        <f>-'5. IRR'!XZ16</f>
        <v>-0.0</v>
      </c>
      <c r="XZ45" s="5">
        <f>-'5. IRR'!YA16</f>
        <v>-0.0</v>
      </c>
      <c r="YA45" s="5">
        <f>-'5. IRR'!YB16</f>
        <v>-0.0</v>
      </c>
      <c r="YB45" s="5">
        <f>-'5. IRR'!YC16</f>
        <v>-0.0</v>
      </c>
      <c r="YC45" s="5">
        <f>-'5. IRR'!YD16</f>
        <v>-0.0</v>
      </c>
      <c r="YD45" s="5">
        <f>-'5. IRR'!YE16</f>
        <v>-0.0</v>
      </c>
      <c r="YE45" s="5">
        <f>-'5. IRR'!YF16</f>
        <v>-0.0</v>
      </c>
      <c r="YF45" s="5">
        <f>-'5. IRR'!YG16</f>
        <v>-0.0</v>
      </c>
      <c r="YG45" s="5">
        <f>-'5. IRR'!YH16</f>
        <v>-0.0</v>
      </c>
      <c r="YH45" s="5">
        <f>-'5. IRR'!YI16</f>
        <v>-0.0</v>
      </c>
      <c r="YI45" s="5">
        <f>-'5. IRR'!YJ16</f>
        <v>-0.0</v>
      </c>
      <c r="YJ45" s="5">
        <f>-'5. IRR'!YK16</f>
        <v>-0.0</v>
      </c>
      <c r="YK45" s="5">
        <f>-'5. IRR'!YL16</f>
        <v>-0.0</v>
      </c>
      <c r="YL45" s="5">
        <f>-'5. IRR'!YM16</f>
        <v>-0.0</v>
      </c>
      <c r="YM45" s="5">
        <f>-'5. IRR'!YN16</f>
        <v>-0.0</v>
      </c>
      <c r="YN45" s="5">
        <f>-'5. IRR'!YO16</f>
        <v>-0.0</v>
      </c>
      <c r="YO45" s="5">
        <f>-'5. IRR'!YP16</f>
        <v>-0.0</v>
      </c>
      <c r="YP45" s="5">
        <f>-'5. IRR'!YQ16</f>
        <v>-0.0</v>
      </c>
      <c r="YQ45" s="5">
        <f>-'5. IRR'!YR16</f>
        <v>-0.0</v>
      </c>
      <c r="YR45" s="5">
        <f>-'5. IRR'!YS16</f>
        <v>-0.0</v>
      </c>
      <c r="YS45" s="5">
        <f>-'5. IRR'!YT16</f>
        <v>-0.0</v>
      </c>
      <c r="YT45" s="5">
        <f>-'5. IRR'!YU16</f>
        <v>-0.0</v>
      </c>
      <c r="YU45" s="5">
        <f>-'5. IRR'!YV16</f>
        <v>-0.0</v>
      </c>
      <c r="YV45" s="5">
        <f>-'5. IRR'!YW16</f>
        <v>-0.0</v>
      </c>
      <c r="YW45" s="5">
        <f>-'5. IRR'!YX16</f>
        <v>-0.0</v>
      </c>
      <c r="YX45" s="5">
        <f>-'5. IRR'!YY16</f>
        <v>-0.0</v>
      </c>
      <c r="YY45" s="5">
        <f>-'5. IRR'!YZ16</f>
        <v>-0.0</v>
      </c>
      <c r="YZ45" s="5">
        <f>-'5. IRR'!ZA16</f>
        <v>-0.0</v>
      </c>
      <c r="ZA45" s="5">
        <f>-'5. IRR'!ZB16</f>
        <v>-0.0</v>
      </c>
      <c r="ZB45" s="5">
        <f>-'5. IRR'!ZC16</f>
        <v>-0.0</v>
      </c>
      <c r="ZC45" s="5">
        <f>-'5. IRR'!ZD16</f>
        <v>-0.0</v>
      </c>
      <c r="ZD45" s="5">
        <f>-'5. IRR'!ZE16</f>
        <v>-0.0</v>
      </c>
      <c r="ZE45" s="5">
        <f>-'5. IRR'!ZF16</f>
        <v>-0.0</v>
      </c>
      <c r="ZF45" s="5">
        <f>-'5. IRR'!ZG16</f>
        <v>-0.0</v>
      </c>
      <c r="ZG45" s="5">
        <f>-'5. IRR'!ZH16</f>
        <v>-0.0</v>
      </c>
      <c r="ZH45" s="5">
        <f>-'5. IRR'!ZI16</f>
        <v>-0.0</v>
      </c>
      <c r="ZI45" s="5">
        <f>-'5. IRR'!ZJ16</f>
        <v>-0.0</v>
      </c>
      <c r="ZJ45" s="5">
        <f>-'5. IRR'!ZK16</f>
        <v>-0.0</v>
      </c>
      <c r="ZK45" s="5">
        <f>-'5. IRR'!ZL16</f>
        <v>-0.0</v>
      </c>
      <c r="ZL45" s="5">
        <f>-'5. IRR'!ZM16</f>
        <v>-0.0</v>
      </c>
      <c r="ZM45" s="5">
        <f>-'5. IRR'!ZN16</f>
        <v>-0.0</v>
      </c>
      <c r="ZN45" s="5">
        <f>-'5. IRR'!ZO16</f>
        <v>-0.0</v>
      </c>
      <c r="ZO45" s="5">
        <f>-'5. IRR'!ZP16</f>
        <v>-0.0</v>
      </c>
      <c r="ZP45" s="5">
        <f>-'5. IRR'!ZQ16</f>
        <v>-0.0</v>
      </c>
      <c r="ZQ45" s="5">
        <f>-'5. IRR'!ZR16</f>
        <v>-0.0</v>
      </c>
      <c r="ZR45" s="5">
        <f>-'5. IRR'!ZS16</f>
        <v>-0.0</v>
      </c>
      <c r="ZS45" s="5">
        <f>-'5. IRR'!ZT16</f>
        <v>-0.0</v>
      </c>
      <c r="ZT45" s="5">
        <f>-'5. IRR'!ZU16</f>
        <v>-0.0</v>
      </c>
      <c r="ZU45" s="5">
        <f>-'5. IRR'!ZV16</f>
        <v>-0.0</v>
      </c>
      <c r="ZV45" s="5">
        <f>-'5. IRR'!ZW16</f>
        <v>-0.0</v>
      </c>
      <c r="ZW45" s="5">
        <f>-'5. IRR'!ZX16</f>
        <v>-0.0</v>
      </c>
      <c r="ZX45" s="5">
        <f>-'5. IRR'!ZY16</f>
        <v>-0.0</v>
      </c>
      <c r="ZY45" s="5">
        <f>-'5. IRR'!ZZ16</f>
        <v>-0.0</v>
      </c>
      <c r="ZZ45" s="5">
        <f>-'5. IRR'!AAA16</f>
        <v>-0.0</v>
      </c>
      <c r="AAA45" s="5">
        <f>-'5. IRR'!AAB16</f>
        <v>-0.0</v>
      </c>
      <c r="AAB45" s="5">
        <f>-'5. IRR'!AAC16</f>
        <v>-0.0</v>
      </c>
      <c r="AAC45" s="5">
        <f>-'5. IRR'!AAD16</f>
        <v>-0.0</v>
      </c>
      <c r="AAD45" s="5">
        <f>-'5. IRR'!AAE16</f>
        <v>-0.0</v>
      </c>
      <c r="AAE45" s="5">
        <f>-'5. IRR'!AAF16</f>
        <v>-0.0</v>
      </c>
      <c r="AAF45" s="5">
        <f>-'5. IRR'!AAG16</f>
        <v>-0.0</v>
      </c>
      <c r="AAG45" s="5">
        <f>-'5. IRR'!AAH16</f>
        <v>-0.0</v>
      </c>
      <c r="AAH45" s="5">
        <f>-'5. IRR'!AAI16</f>
        <v>-0.0</v>
      </c>
      <c r="AAI45" s="5">
        <f>-'5. IRR'!AAJ16</f>
        <v>-0.0</v>
      </c>
      <c r="AAJ45" s="5">
        <f>-'5. IRR'!AAK16</f>
        <v>-0.0</v>
      </c>
      <c r="AAK45" s="5">
        <f>-'5. IRR'!AAL16</f>
        <v>-0.0</v>
      </c>
      <c r="AAL45" s="5">
        <f>-'5. IRR'!AAM16</f>
        <v>-0.0</v>
      </c>
      <c r="AAM45" s="5">
        <f>-'5. IRR'!AAN16</f>
        <v>-0.0</v>
      </c>
      <c r="AAN45" s="5">
        <f>-'5. IRR'!AAO16</f>
        <v>-0.0</v>
      </c>
      <c r="AAO45" s="5">
        <f>-'5. IRR'!AAP16</f>
        <v>-0.0</v>
      </c>
      <c r="AAP45" s="5">
        <f>-'5. IRR'!AAQ16</f>
        <v>-0.0</v>
      </c>
      <c r="AAQ45" s="5">
        <f>-'5. IRR'!AAR16</f>
        <v>-0.0</v>
      </c>
      <c r="AAR45" s="5">
        <f>-'5. IRR'!AAS16</f>
        <v>-0.0</v>
      </c>
      <c r="AAS45" s="5">
        <f>-'5. IRR'!AAT16</f>
        <v>-0.0</v>
      </c>
      <c r="AAT45" s="5">
        <f>-'5. IRR'!AAU16</f>
        <v>-0.0</v>
      </c>
      <c r="AAU45" s="5">
        <f>-'5. IRR'!AAV16</f>
        <v>-0.0</v>
      </c>
      <c r="AAV45" s="5">
        <f>-'5. IRR'!AAW16</f>
        <v>-0.0</v>
      </c>
      <c r="AAW45" s="5">
        <f>-'5. IRR'!AAX16</f>
        <v>-0.0</v>
      </c>
      <c r="AAX45" s="5">
        <f>-'5. IRR'!AAY16</f>
        <v>-0.0</v>
      </c>
      <c r="AAY45" s="5">
        <f>-'5. IRR'!AAZ16</f>
        <v>-0.0</v>
      </c>
      <c r="AAZ45" s="5">
        <f>-'5. IRR'!ABA16</f>
        <v>-0.0</v>
      </c>
      <c r="ABA45" s="5">
        <f>-'5. IRR'!ABB16</f>
        <v>-0.0</v>
      </c>
      <c r="ABB45" s="5">
        <f>-'5. IRR'!ABC16</f>
        <v>-0.0</v>
      </c>
      <c r="ABC45" s="5">
        <f>-'5. IRR'!ABD16</f>
        <v>-0.0</v>
      </c>
      <c r="ABD45" s="5">
        <f>-'5. IRR'!ABE16</f>
        <v>-0.0</v>
      </c>
      <c r="ABE45" s="5">
        <f>-'5. IRR'!ABF16</f>
        <v>-0.0</v>
      </c>
      <c r="ABF45" s="5">
        <f>-'5. IRR'!ABG16</f>
        <v>-0.0</v>
      </c>
      <c r="ABG45" s="5">
        <f>-'5. IRR'!ABH16</f>
        <v>-0.0</v>
      </c>
      <c r="ABH45" s="5">
        <f>-'5. IRR'!ABI16</f>
        <v>-0.0</v>
      </c>
      <c r="ABI45" s="5">
        <f>-'5. IRR'!ABJ16</f>
        <v>-0.0</v>
      </c>
      <c r="ABJ45" s="5">
        <f>-'5. IRR'!ABK16</f>
        <v>-0.0</v>
      </c>
      <c r="ABK45" s="5">
        <f>-'5. IRR'!ABL16</f>
        <v>-0.0</v>
      </c>
      <c r="ABL45" s="5">
        <f>-'5. IRR'!ABM16</f>
        <v>-0.0</v>
      </c>
      <c r="ABM45" s="5">
        <f>-'5. IRR'!ABN16</f>
        <v>-0.0</v>
      </c>
      <c r="ABN45" s="5">
        <f>-'5. IRR'!ABO16</f>
        <v>-0.0</v>
      </c>
      <c r="ABO45" s="5">
        <f>-'5. IRR'!ABP16</f>
        <v>-0.0</v>
      </c>
      <c r="ABP45" s="5">
        <f>-'5. IRR'!ABQ16</f>
        <v>-0.0</v>
      </c>
      <c r="ABQ45" s="5">
        <f>-'5. IRR'!ABR16</f>
        <v>-0.0</v>
      </c>
      <c r="ABR45" s="5">
        <f>-'5. IRR'!ABS16</f>
        <v>-0.0</v>
      </c>
      <c r="ABS45" s="5">
        <f>-'5. IRR'!ABT16</f>
        <v>-0.0</v>
      </c>
      <c r="ABT45" s="5">
        <f>-'5. IRR'!ABU16</f>
        <v>-0.0</v>
      </c>
      <c r="ABU45" s="5">
        <f>-'5. IRR'!ABV16</f>
        <v>-0.0</v>
      </c>
      <c r="ABV45" s="5">
        <f>-'5. IRR'!ABW16</f>
        <v>-0.0</v>
      </c>
      <c r="ABW45" s="5">
        <f>-'5. IRR'!ABX16</f>
        <v>-0.0</v>
      </c>
      <c r="ABX45" s="5">
        <f>-'5. IRR'!ABY16</f>
        <v>-0.0</v>
      </c>
      <c r="ABY45" s="5">
        <f>-'5. IRR'!ABZ16</f>
        <v>-0.0</v>
      </c>
      <c r="ABZ45" s="5">
        <f>-'5. IRR'!ACA16</f>
        <v>-0.0</v>
      </c>
      <c r="ACA45" s="5">
        <f>-'5. IRR'!ACB16</f>
        <v>-0.0</v>
      </c>
      <c r="ACB45" s="5">
        <f>-'5. IRR'!ACC16</f>
        <v>-0.0</v>
      </c>
      <c r="ACC45" s="5">
        <f>-'5. IRR'!ACD16</f>
        <v>-0.0</v>
      </c>
      <c r="ACD45" s="5">
        <f>-'5. IRR'!ACE16</f>
        <v>-0.0</v>
      </c>
      <c r="ACE45" s="5">
        <f>-'5. IRR'!ACF16</f>
        <v>-0.0</v>
      </c>
      <c r="ACF45" s="5">
        <f>-'5. IRR'!ACG16</f>
        <v>-0.0</v>
      </c>
      <c r="ACG45" s="5">
        <f>-'5. IRR'!ACH16</f>
        <v>-0.0</v>
      </c>
      <c r="ACH45" s="5">
        <f>-'5. IRR'!ACI16</f>
        <v>-0.0</v>
      </c>
      <c r="ACI45" s="5">
        <f>-'5. IRR'!ACJ16</f>
        <v>-0.0</v>
      </c>
      <c r="ACJ45" s="5">
        <f>-'5. IRR'!ACK16</f>
        <v>-0.0</v>
      </c>
      <c r="ACK45" s="5">
        <f>-'5. IRR'!ACL16</f>
        <v>-0.0</v>
      </c>
      <c r="ACL45" s="5">
        <f>-'5. IRR'!ACM16</f>
        <v>-0.0</v>
      </c>
      <c r="ACM45" s="5">
        <f>-'5. IRR'!ACN16</f>
        <v>-0.0</v>
      </c>
      <c r="ACN45" s="5">
        <f>-'5. IRR'!ACO16</f>
        <v>-0.0</v>
      </c>
      <c r="ACO45" s="5">
        <f>-'5. IRR'!ACP16</f>
        <v>-0.0</v>
      </c>
      <c r="ACP45" s="5">
        <f>-'5. IRR'!ACQ16</f>
        <v>-0.0</v>
      </c>
      <c r="ACQ45" s="5">
        <f>-'5. IRR'!ACR16</f>
        <v>-0.0</v>
      </c>
      <c r="ACR45" s="5">
        <f>-'5. IRR'!ACS16</f>
        <v>-0.0</v>
      </c>
      <c r="ACS45" s="5">
        <f>-'5. IRR'!ACT16</f>
        <v>-0.0</v>
      </c>
      <c r="ACT45" s="5">
        <f>-'5. IRR'!ACU16</f>
        <v>-0.0</v>
      </c>
      <c r="ACU45" s="5">
        <f>-'5. IRR'!ACV16</f>
        <v>-0.0</v>
      </c>
      <c r="ACV45" s="5">
        <f>-'5. IRR'!ACW16</f>
        <v>-0.0</v>
      </c>
      <c r="ACW45" s="5">
        <f>-'5. IRR'!ACX16</f>
        <v>-0.0</v>
      </c>
      <c r="ACX45" s="5">
        <f>-'5. IRR'!ACY16</f>
        <v>-0.0</v>
      </c>
      <c r="ACY45" s="5">
        <f>-'5. IRR'!ACZ16</f>
        <v>-0.0</v>
      </c>
      <c r="ACZ45" s="5">
        <f>-'5. IRR'!ADA16</f>
        <v>-0.0</v>
      </c>
      <c r="ADA45" s="5">
        <f>-'5. IRR'!ADB16</f>
        <v>-0.0</v>
      </c>
      <c r="ADB45" s="5">
        <f>-'5. IRR'!ADC16</f>
        <v>-0.0</v>
      </c>
      <c r="ADC45" s="5">
        <f>-'5. IRR'!ADD16</f>
        <v>-0.0</v>
      </c>
      <c r="ADD45" s="5">
        <f>-'5. IRR'!ADE16</f>
        <v>-0.0</v>
      </c>
      <c r="ADE45" s="5">
        <f>-'5. IRR'!ADF16</f>
        <v>-0.0</v>
      </c>
      <c r="ADF45" s="5">
        <f>-'5. IRR'!ADG16</f>
        <v>-0.0</v>
      </c>
      <c r="ADG45" s="5">
        <f>-'5. IRR'!ADH16</f>
        <v>-0.0</v>
      </c>
      <c r="ADH45" s="5">
        <f>-'5. IRR'!ADI16</f>
        <v>-0.0</v>
      </c>
      <c r="ADI45" s="5">
        <f>-'5. IRR'!ADJ16</f>
        <v>-0.0</v>
      </c>
      <c r="ADJ45" s="5">
        <f>-'5. IRR'!ADK16</f>
        <v>-0.0</v>
      </c>
      <c r="ADK45" s="5">
        <f>-'5. IRR'!ADL16</f>
        <v>-0.0</v>
      </c>
      <c r="ADL45" s="5">
        <f>-'5. IRR'!ADM16</f>
        <v>-0.0</v>
      </c>
      <c r="ADM45" s="5">
        <f>-'5. IRR'!ADN16</f>
        <v>-0.0</v>
      </c>
      <c r="ADN45" s="5">
        <f>-'5. IRR'!ADO16</f>
        <v>-0.0</v>
      </c>
      <c r="ADO45" s="5">
        <f>-'5. IRR'!ADP16</f>
        <v>-0.0</v>
      </c>
      <c r="ADP45" s="5">
        <f>-'5. IRR'!ADQ16</f>
        <v>-0.0</v>
      </c>
      <c r="ADQ45" s="5">
        <f>-'5. IRR'!ADR16</f>
        <v>-0.0</v>
      </c>
      <c r="ADR45" s="5">
        <f>-'5. IRR'!ADS16</f>
        <v>-0.0</v>
      </c>
      <c r="ADS45" s="5">
        <f>-'5. IRR'!ADT16</f>
        <v>-0.0</v>
      </c>
      <c r="ADT45" s="5">
        <f>-'5. IRR'!ADU16</f>
        <v>-0.0</v>
      </c>
      <c r="ADU45" s="5">
        <f>-'5. IRR'!ADV16</f>
        <v>-0.0</v>
      </c>
      <c r="ADV45" s="5">
        <f>-'5. IRR'!ADW16</f>
        <v>-0.0</v>
      </c>
      <c r="ADW45" s="5">
        <f>-'5. IRR'!ADX16</f>
        <v>-0.0</v>
      </c>
      <c r="ADX45" s="5">
        <f>-'5. IRR'!ADY16</f>
        <v>-0.0</v>
      </c>
      <c r="ADY45" s="5">
        <f>-'5. IRR'!ADZ16</f>
        <v>-0.0</v>
      </c>
      <c r="ADZ45" s="5">
        <f>-'5. IRR'!AEA16</f>
        <v>-0.0</v>
      </c>
      <c r="AEA45" s="5">
        <f>-'5. IRR'!AEB16</f>
        <v>-0.0</v>
      </c>
      <c r="AEB45" s="5">
        <f>-'5. IRR'!AEC16</f>
        <v>-0.0</v>
      </c>
      <c r="AEC45" s="5">
        <f>-'5. IRR'!AED16</f>
        <v>-0.0</v>
      </c>
      <c r="AED45" s="5">
        <f>-'5. IRR'!AEE16</f>
        <v>-0.0</v>
      </c>
      <c r="AEE45" s="5">
        <f>-'5. IRR'!AEF16</f>
        <v>-0.0</v>
      </c>
      <c r="AEF45" s="5">
        <f>-'5. IRR'!AEG16</f>
        <v>-0.0</v>
      </c>
      <c r="AEG45" s="5">
        <f>-'5. IRR'!AEH16</f>
        <v>-0.0</v>
      </c>
      <c r="AEH45" s="5">
        <f>-'5. IRR'!AEI16</f>
        <v>-0.0</v>
      </c>
      <c r="AEI45" s="5">
        <f>-'5. IRR'!AEJ16</f>
        <v>-0.0</v>
      </c>
      <c r="AEJ45" s="5">
        <f>-'5. IRR'!AEK16</f>
        <v>-0.0</v>
      </c>
      <c r="AEK45" s="5">
        <f>-'5. IRR'!AEL16</f>
        <v>-0.0</v>
      </c>
      <c r="AEL45" s="5">
        <f>-'5. IRR'!AEM16</f>
        <v>-0.0</v>
      </c>
      <c r="AEM45" s="5">
        <f>-'5. IRR'!AEN16</f>
        <v>-0.0</v>
      </c>
      <c r="AEN45" s="5">
        <f>-'5. IRR'!AEO16</f>
        <v>-0.0</v>
      </c>
      <c r="AEO45" s="5">
        <f>-'5. IRR'!AEP16</f>
        <v>-0.0</v>
      </c>
      <c r="AEP45" s="5">
        <f>-'5. IRR'!AEQ16</f>
        <v>-0.0</v>
      </c>
      <c r="AEQ45" s="5">
        <f>-'5. IRR'!AER16</f>
        <v>-0.0</v>
      </c>
      <c r="AER45" s="5">
        <f>-'5. IRR'!AES16</f>
        <v>-0.0</v>
      </c>
      <c r="AES45" s="5">
        <f>-'5. IRR'!AET16</f>
        <v>-0.0</v>
      </c>
      <c r="AET45" s="5">
        <f>-'5. IRR'!AEU16</f>
        <v>-0.0</v>
      </c>
      <c r="AEU45" s="5">
        <f>-'5. IRR'!AEV16</f>
        <v>-0.0</v>
      </c>
      <c r="AEV45" s="5">
        <f>-'5. IRR'!AEW16</f>
        <v>-0.0</v>
      </c>
      <c r="AEW45" s="5">
        <f>-'5. IRR'!AEX16</f>
        <v>-0.0</v>
      </c>
      <c r="AEX45" s="5">
        <f>-'5. IRR'!AEY16</f>
        <v>-0.0</v>
      </c>
      <c r="AEY45" s="5">
        <f>-'5. IRR'!AEZ16</f>
        <v>-0.0</v>
      </c>
      <c r="AEZ45" s="5">
        <f>-'5. IRR'!AFA16</f>
        <v>-0.0</v>
      </c>
      <c r="AFA45" s="5">
        <f>-'5. IRR'!AFB16</f>
        <v>-0.0</v>
      </c>
      <c r="AFB45" s="5">
        <f>-'5. IRR'!AFC16</f>
        <v>-0.0</v>
      </c>
      <c r="AFC45" s="5">
        <f>-'5. IRR'!AFD16</f>
        <v>-0.0</v>
      </c>
      <c r="AFD45" s="5">
        <f>-'5. IRR'!AFE16</f>
        <v>-0.0</v>
      </c>
      <c r="AFE45" s="5">
        <f>-'5. IRR'!AFF16</f>
        <v>-0.0</v>
      </c>
      <c r="AFF45" s="5">
        <f>-'5. IRR'!AFG16</f>
        <v>-0.0</v>
      </c>
      <c r="AFG45" s="5">
        <f>-'5. IRR'!AFH16</f>
        <v>-0.0</v>
      </c>
      <c r="AFH45" s="5">
        <f>-'5. IRR'!AFI16</f>
        <v>-0.0</v>
      </c>
      <c r="AFI45" s="5">
        <f>-'5. IRR'!AFJ16</f>
        <v>-0.0</v>
      </c>
      <c r="AFJ45" s="5">
        <f>-'5. IRR'!AFK16</f>
        <v>-0.0</v>
      </c>
      <c r="AFK45" s="5">
        <f>-'5. IRR'!AFL16</f>
        <v>-0.0</v>
      </c>
      <c r="AFL45" s="5">
        <f>-'5. IRR'!AFM16</f>
        <v>-0.0</v>
      </c>
      <c r="AFM45" s="5">
        <f>-'5. IRR'!AFN16</f>
        <v>-0.0</v>
      </c>
      <c r="AFN45" s="5">
        <f>-'5. IRR'!AFO16</f>
        <v>-0.0</v>
      </c>
      <c r="AFO45" s="5">
        <f>-'5. IRR'!AFP16</f>
        <v>-0.0</v>
      </c>
      <c r="AFP45" s="5">
        <f>-'5. IRR'!AFQ16</f>
        <v>-0.0</v>
      </c>
      <c r="AFQ45" s="5">
        <f>-'5. IRR'!AFR16</f>
        <v>-0.0</v>
      </c>
      <c r="AFR45" s="5">
        <f>-'5. IRR'!AFS16</f>
        <v>-0.0</v>
      </c>
      <c r="AFS45" s="5">
        <f>-'5. IRR'!AFT16</f>
        <v>-0.0</v>
      </c>
      <c r="AFT45" s="5">
        <f>-'5. IRR'!AFU16</f>
        <v>-0.0</v>
      </c>
      <c r="AFU45" s="5">
        <f>-'5. IRR'!AFV16</f>
        <v>-0.0</v>
      </c>
      <c r="AFV45" s="5">
        <f>-'5. IRR'!AFW16</f>
        <v>-0.0</v>
      </c>
      <c r="AFW45" s="5">
        <f>-'5. IRR'!AFX16</f>
        <v>-0.0</v>
      </c>
      <c r="AFX45" s="5">
        <f>-'5. IRR'!AFY16</f>
        <v>-0.0</v>
      </c>
      <c r="AFY45" s="5">
        <f>-'5. IRR'!AFZ16</f>
        <v>-0.0</v>
      </c>
      <c r="AFZ45" s="5">
        <f>-'5. IRR'!AGA16</f>
        <v>-0.0</v>
      </c>
      <c r="AGA45" s="5">
        <f>-'5. IRR'!AGB16</f>
        <v>-0.0</v>
      </c>
      <c r="AGB45" s="5">
        <f>-'5. IRR'!AGC16</f>
        <v>-0.0</v>
      </c>
      <c r="AGC45" s="5">
        <f>-'5. IRR'!AGD16</f>
        <v>-0.0</v>
      </c>
      <c r="AGD45" s="5">
        <f>-'5. IRR'!AGE16</f>
        <v>-0.0</v>
      </c>
      <c r="AGE45" s="5">
        <f>-'5. IRR'!AGF16</f>
        <v>-0.0</v>
      </c>
      <c r="AGF45" s="5">
        <f>-'5. IRR'!AGG16</f>
        <v>-0.0</v>
      </c>
      <c r="AGG45" s="5">
        <f>-'5. IRR'!AGH16</f>
        <v>-0.0</v>
      </c>
      <c r="AGH45" s="5">
        <f>-'5. IRR'!AGI16</f>
        <v>-0.0</v>
      </c>
      <c r="AGI45" s="5">
        <f>-'5. IRR'!AGJ16</f>
        <v>-0.0</v>
      </c>
      <c r="AGJ45" s="5">
        <f>-'5. IRR'!AGK16</f>
        <v>-0.0</v>
      </c>
      <c r="AGK45" s="5">
        <f>-'5. IRR'!AGL16</f>
        <v>-0.0</v>
      </c>
      <c r="AGL45" s="5">
        <f>-'5. IRR'!AGM16</f>
        <v>-0.0</v>
      </c>
      <c r="AGM45" s="5">
        <f>-'5. IRR'!AGN16</f>
        <v>-0.0</v>
      </c>
      <c r="AGN45" s="5">
        <f>-'5. IRR'!AGO16</f>
        <v>-0.0</v>
      </c>
      <c r="AGO45" s="5">
        <f>-'5. IRR'!AGP16</f>
        <v>-0.0</v>
      </c>
      <c r="AGP45" s="5">
        <f>-'5. IRR'!AGQ16</f>
        <v>-0.0</v>
      </c>
      <c r="AGQ45" s="5">
        <f>-'5. IRR'!AGR16</f>
        <v>-0.0</v>
      </c>
      <c r="AGR45" s="5">
        <f>-'5. IRR'!AGS16</f>
        <v>-0.0</v>
      </c>
      <c r="AGS45" s="5">
        <f>-'5. IRR'!AGT16</f>
        <v>-0.0</v>
      </c>
      <c r="AGT45" s="5">
        <f>-'5. IRR'!AGU16</f>
        <v>-0.0</v>
      </c>
      <c r="AGU45" s="5">
        <f>-'5. IRR'!AGV16</f>
        <v>-0.0</v>
      </c>
      <c r="AGV45" s="5">
        <f>-'5. IRR'!AGW16</f>
        <v>-0.0</v>
      </c>
      <c r="AGW45" s="5">
        <f>-'5. IRR'!AGX16</f>
        <v>-0.0</v>
      </c>
      <c r="AGX45" s="5">
        <f>-'5. IRR'!AGY16</f>
        <v>-0.0</v>
      </c>
      <c r="AGY45" s="5">
        <f>-'5. IRR'!AGZ16</f>
        <v>-0.0</v>
      </c>
      <c r="AGZ45" s="5">
        <f>-'5. IRR'!AHA16</f>
        <v>-0.0</v>
      </c>
      <c r="AHA45" s="5">
        <f>-'5. IRR'!AHB16</f>
        <v>-0.0</v>
      </c>
      <c r="AHB45" s="5">
        <f>-'5. IRR'!AHC16</f>
        <v>-0.0</v>
      </c>
      <c r="AHC45" s="5">
        <f>-'5. IRR'!AHD16</f>
        <v>-0.0</v>
      </c>
      <c r="AHD45" s="5">
        <f>-'5. IRR'!AHE16</f>
        <v>-0.0</v>
      </c>
      <c r="AHE45" s="5">
        <f>-'5. IRR'!AHF16</f>
        <v>-0.0</v>
      </c>
      <c r="AHF45" s="5">
        <f>-'5. IRR'!AHG16</f>
        <v>-0.0</v>
      </c>
      <c r="AHG45" s="5">
        <f>-'5. IRR'!AHH16</f>
        <v>-0.0</v>
      </c>
      <c r="AHH45" s="5">
        <f>-'5. IRR'!AHI16</f>
        <v>-0.0</v>
      </c>
      <c r="AHI45" s="5">
        <f>-'5. IRR'!AHJ16</f>
        <v>-0.0</v>
      </c>
      <c r="AHJ45" s="5">
        <f>-'5. IRR'!AHK16</f>
        <v>-0.0</v>
      </c>
      <c r="AHK45" s="5">
        <f>-'5. IRR'!AHL16</f>
        <v>-0.0</v>
      </c>
      <c r="AHL45" s="5">
        <f>-'5. IRR'!AHM16</f>
        <v>-0.0</v>
      </c>
      <c r="AHM45" s="5">
        <f>-'5. IRR'!AHN16</f>
        <v>-0.0</v>
      </c>
      <c r="AHN45" s="5">
        <f>-'5. IRR'!AHO16</f>
        <v>-0.0</v>
      </c>
      <c r="AHO45" s="5">
        <f>-'5. IRR'!AHP16</f>
        <v>-0.0</v>
      </c>
      <c r="AHP45" s="5">
        <f>-'5. IRR'!AHQ16</f>
        <v>-0.0</v>
      </c>
      <c r="AHQ45" s="5">
        <f>-'5. IRR'!AHR16</f>
        <v>-0.0</v>
      </c>
      <c r="AHR45" s="5">
        <f>-'5. IRR'!AHS16</f>
        <v>-0.0</v>
      </c>
      <c r="AHS45" s="5">
        <f>-'5. IRR'!AHT16</f>
        <v>-0.0</v>
      </c>
      <c r="AHT45" s="5">
        <f>-'5. IRR'!AHU16</f>
        <v>-0.0</v>
      </c>
      <c r="AHU45" s="5">
        <f>-'5. IRR'!AHV16</f>
        <v>-0.0</v>
      </c>
      <c r="AHV45" s="5">
        <f>-'5. IRR'!AHW16</f>
        <v>-0.0</v>
      </c>
      <c r="AHW45" s="5">
        <f>-'5. IRR'!AHX16</f>
        <v>-0.0</v>
      </c>
      <c r="AHX45" s="5">
        <f>-'5. IRR'!AHY16</f>
        <v>-0.0</v>
      </c>
      <c r="AHY45" s="5">
        <f>-'5. IRR'!AHZ16</f>
        <v>-0.0</v>
      </c>
      <c r="AHZ45" s="5">
        <f>-'5. IRR'!AIA16</f>
        <v>-0.0</v>
      </c>
      <c r="AIA45" s="5">
        <f>-'5. IRR'!AIB16</f>
        <v>-0.0</v>
      </c>
      <c r="AIB45" s="5">
        <f>-'5. IRR'!AIC16</f>
        <v>-0.0</v>
      </c>
      <c r="AIC45" s="5">
        <f>-'5. IRR'!AID16</f>
        <v>-0.0</v>
      </c>
      <c r="AID45" s="5">
        <f>-'5. IRR'!AIE16</f>
        <v>-0.0</v>
      </c>
      <c r="AIE45" s="5">
        <f>-'5. IRR'!AIF16</f>
        <v>-0.0</v>
      </c>
      <c r="AIF45" s="5">
        <f>-'5. IRR'!AIG16</f>
        <v>-0.0</v>
      </c>
      <c r="AIG45" s="5">
        <f>-'5. IRR'!AIH16</f>
        <v>-0.0</v>
      </c>
      <c r="AIH45" s="5">
        <f>-'5. IRR'!AII16</f>
        <v>-0.0</v>
      </c>
      <c r="AII45" s="5">
        <f>-'5. IRR'!AIJ16</f>
        <v>-0.0</v>
      </c>
      <c r="AIJ45" s="5">
        <f>-'5. IRR'!AIK16</f>
        <v>-0.0</v>
      </c>
      <c r="AIK45" s="5">
        <f>-'5. IRR'!AIL16</f>
        <v>-0.0</v>
      </c>
      <c r="AIL45" s="5">
        <f>-'5. IRR'!AIM16</f>
        <v>-0.0</v>
      </c>
      <c r="AIM45" s="5">
        <f>-'5. IRR'!AIN16</f>
        <v>-0.0</v>
      </c>
      <c r="AIN45" s="5">
        <f>-'5. IRR'!AIO16</f>
        <v>-0.0</v>
      </c>
      <c r="AIO45" s="5">
        <f>-'5. IRR'!AIP16</f>
        <v>-0.0</v>
      </c>
      <c r="AIP45" s="5">
        <f>-'5. IRR'!AIQ16</f>
        <v>-0.0</v>
      </c>
      <c r="AIQ45" s="5">
        <f>-'5. IRR'!AIR16</f>
        <v>-0.0</v>
      </c>
      <c r="AIR45" s="5">
        <f>-'5. IRR'!AIS16</f>
        <v>-0.0</v>
      </c>
      <c r="AIS45" s="5">
        <f>-'5. IRR'!AIT16</f>
        <v>-0.0</v>
      </c>
      <c r="AIT45" s="5">
        <f>-'5. IRR'!AIU16</f>
        <v>-0.0</v>
      </c>
      <c r="AIU45" s="5">
        <f>-'5. IRR'!AIV16</f>
        <v>-0.0</v>
      </c>
      <c r="AIV45" s="5">
        <f>-'5. IRR'!AIW16</f>
        <v>-0.0</v>
      </c>
      <c r="AIW45" s="5">
        <f>-'5. IRR'!AIX16</f>
        <v>-0.0</v>
      </c>
      <c r="AIX45" s="5">
        <f>-'5. IRR'!AIY16</f>
        <v>-0.0</v>
      </c>
      <c r="AIY45" s="5">
        <f>-'5. IRR'!AIZ16</f>
        <v>-0.0</v>
      </c>
      <c r="AIZ45" s="5">
        <f>-'5. IRR'!AJA16</f>
        <v>-0.0</v>
      </c>
      <c r="AJA45" s="5">
        <f>-'5. IRR'!AJB16</f>
        <v>-0.0</v>
      </c>
      <c r="AJB45" s="5">
        <f>-'5. IRR'!AJC16</f>
        <v>-0.0</v>
      </c>
      <c r="AJC45" s="5">
        <f>-'5. IRR'!AJD16</f>
        <v>-0.0</v>
      </c>
      <c r="AJD45" s="5">
        <f>-'5. IRR'!AJE16</f>
        <v>-0.0</v>
      </c>
      <c r="AJE45" s="5">
        <f>-'5. IRR'!AJF16</f>
        <v>-0.0</v>
      </c>
      <c r="AJF45" s="5">
        <f>-'5. IRR'!AJG16</f>
        <v>-0.0</v>
      </c>
      <c r="AJG45" s="5">
        <f>-'5. IRR'!AJH16</f>
        <v>-0.0</v>
      </c>
      <c r="AJH45" s="5">
        <f>-'5. IRR'!AJI16</f>
        <v>-0.0</v>
      </c>
      <c r="AJI45" s="5">
        <f>-'5. IRR'!AJJ16</f>
        <v>-0.0</v>
      </c>
      <c r="AJJ45" s="5">
        <f>-'5. IRR'!AJK16</f>
        <v>-0.0</v>
      </c>
      <c r="AJK45" s="5">
        <f>-'5. IRR'!AJL16</f>
        <v>-0.0</v>
      </c>
      <c r="AJL45" s="5">
        <f>-'5. IRR'!AJM16</f>
        <v>-0.0</v>
      </c>
      <c r="AJM45" s="5">
        <f>-'5. IRR'!AJN16</f>
        <v>-0.0</v>
      </c>
      <c r="AJN45" s="5">
        <f>-'5. IRR'!AJO16</f>
        <v>-0.0</v>
      </c>
      <c r="AJO45" s="5">
        <f>-'5. IRR'!AJP16</f>
        <v>-0.0</v>
      </c>
      <c r="AJP45" s="5">
        <f>-'5. IRR'!AJQ16</f>
        <v>-0.0</v>
      </c>
      <c r="AJQ45" s="5">
        <f>-'5. IRR'!AJR16</f>
        <v>-0.0</v>
      </c>
      <c r="AJR45" s="5">
        <f>-'5. IRR'!AJS16</f>
        <v>-0.0</v>
      </c>
      <c r="AJS45" s="5">
        <f>-'5. IRR'!AJT16</f>
        <v>-0.0</v>
      </c>
      <c r="AJT45" s="5">
        <f>-'5. IRR'!AJU16</f>
        <v>-0.0</v>
      </c>
      <c r="AJU45" s="5">
        <f>-'5. IRR'!AJV16</f>
        <v>-0.0</v>
      </c>
      <c r="AJV45" s="5">
        <f>-'5. IRR'!AJW16</f>
        <v>-0.0</v>
      </c>
      <c r="AJW45" s="5">
        <f>-'5. IRR'!AJX16</f>
        <v>-0.0</v>
      </c>
      <c r="AJX45" s="5">
        <f>-'5. IRR'!AJY16</f>
        <v>-0.0</v>
      </c>
      <c r="AJY45" s="5">
        <f>-'5. IRR'!AJZ16</f>
        <v>-0.0</v>
      </c>
      <c r="AJZ45" s="5">
        <f>-'5. IRR'!AKA16</f>
        <v>-0.0</v>
      </c>
      <c r="AKA45" s="5">
        <f>-'5. IRR'!AKB16</f>
        <v>-0.0</v>
      </c>
      <c r="AKB45" s="5">
        <f>-'5. IRR'!AKC16</f>
        <v>-0.0</v>
      </c>
      <c r="AKC45" s="5">
        <f>-'5. IRR'!AKD16</f>
        <v>-0.0</v>
      </c>
      <c r="AKD45" s="5">
        <f>-'5. IRR'!AKE16</f>
        <v>-0.0</v>
      </c>
      <c r="AKE45" s="5">
        <f>-'5. IRR'!AKF16</f>
        <v>-0.0</v>
      </c>
      <c r="AKF45" s="5">
        <f>-'5. IRR'!AKG16</f>
        <v>-0.0</v>
      </c>
      <c r="AKG45" s="5">
        <f>-'5. IRR'!AKH16</f>
        <v>-0.0</v>
      </c>
      <c r="AKH45" s="5">
        <f>-'5. IRR'!AKI16</f>
        <v>-0.0</v>
      </c>
      <c r="AKI45" s="5">
        <f>-'5. IRR'!AKJ16</f>
        <v>-0.0</v>
      </c>
      <c r="AKJ45" s="5">
        <f>-'5. IRR'!AKK16</f>
        <v>-0.0</v>
      </c>
      <c r="AKK45" s="5">
        <f>-'5. IRR'!AKL16</f>
        <v>-0.0</v>
      </c>
      <c r="AKL45" s="5">
        <f>-'5. IRR'!AKM16</f>
        <v>-0.0</v>
      </c>
      <c r="AKM45" s="5">
        <f>-'5. IRR'!AKN16</f>
        <v>-0.0</v>
      </c>
      <c r="AKN45" s="5">
        <f>-'5. IRR'!AKO16</f>
        <v>-0.0</v>
      </c>
      <c r="AKO45" s="5">
        <f>-'5. IRR'!AKP16</f>
        <v>-0.0</v>
      </c>
      <c r="AKP45" s="5">
        <f>-'5. IRR'!AKQ16</f>
        <v>-0.0</v>
      </c>
      <c r="AKQ45" s="5">
        <f>-'5. IRR'!AKR16</f>
        <v>-0.0</v>
      </c>
      <c r="AKR45" s="5">
        <f>-'5. IRR'!AKS16</f>
        <v>-0.0</v>
      </c>
      <c r="AKS45" s="5">
        <f>-'5. IRR'!AKT16</f>
        <v>-0.0</v>
      </c>
      <c r="AKT45" s="5">
        <f>-'5. IRR'!AKU16</f>
        <v>-0.0</v>
      </c>
      <c r="AKU45" s="5">
        <f>-'5. IRR'!AKV16</f>
        <v>-0.0</v>
      </c>
      <c r="AKV45" s="5">
        <f>-'5. IRR'!AKW16</f>
        <v>-0.0</v>
      </c>
      <c r="AKW45" s="5">
        <f>-'5. IRR'!AKX16</f>
        <v>-0.0</v>
      </c>
      <c r="AKX45" s="5">
        <f>-'5. IRR'!AKY16</f>
        <v>-0.0</v>
      </c>
      <c r="AKY45" s="5">
        <f>-'5. IRR'!AKZ16</f>
        <v>-0.0</v>
      </c>
      <c r="AKZ45" s="5">
        <f>-'5. IRR'!ALA16</f>
        <v>-0.0</v>
      </c>
      <c r="ALA45" s="5">
        <f>-'5. IRR'!ALB16</f>
        <v>-0.0</v>
      </c>
      <c r="ALB45" s="5">
        <f>-'5. IRR'!ALC16</f>
        <v>-0.0</v>
      </c>
      <c r="ALC45" s="5">
        <f>-'5. IRR'!ALD16</f>
        <v>-0.0</v>
      </c>
      <c r="ALD45" s="5">
        <f>-'5. IRR'!ALE16</f>
        <v>-0.0</v>
      </c>
      <c r="ALE45" s="5">
        <f>-'5. IRR'!ALF16</f>
        <v>-0.0</v>
      </c>
      <c r="ALF45" s="5">
        <f>-'5. IRR'!ALG16</f>
        <v>-0.0</v>
      </c>
      <c r="ALG45" s="5">
        <f>-'5. IRR'!ALH16</f>
        <v>-0.0</v>
      </c>
      <c r="ALH45" s="5">
        <f>-'5. IRR'!ALI16</f>
        <v>-0.0</v>
      </c>
      <c r="ALI45" s="5">
        <f>-'5. IRR'!ALJ16</f>
        <v>-0.0</v>
      </c>
      <c r="ALJ45" s="5">
        <f>-'5. IRR'!ALK16</f>
        <v>-0.0</v>
      </c>
      <c r="ALK45" s="5">
        <f>-'5. IRR'!ALL16</f>
        <v>-0.0</v>
      </c>
      <c r="ALL45" s="5">
        <f>-'5. IRR'!ALM16</f>
        <v>-0.0</v>
      </c>
      <c r="ALM45" s="5">
        <f>-'5. IRR'!ALN16</f>
        <v>-0.0</v>
      </c>
      <c r="ALN45" s="5">
        <f>-'5. IRR'!ALO16</f>
        <v>-0.0</v>
      </c>
      <c r="ALO45" s="5">
        <f>-'5. IRR'!ALP16</f>
        <v>-0.0</v>
      </c>
      <c r="ALP45" s="5">
        <f>-'5. IRR'!ALQ16</f>
        <v>-0.0</v>
      </c>
      <c r="ALQ45" s="5">
        <f>-'5. IRR'!ALR16</f>
        <v>-0.0</v>
      </c>
      <c r="ALR45" s="5">
        <f>-'5. IRR'!ALS16</f>
        <v>-0.0</v>
      </c>
      <c r="ALS45" s="5">
        <f>-'5. IRR'!ALT16</f>
        <v>-0.0</v>
      </c>
      <c r="ALT45" s="5">
        <f>-'5. IRR'!ALU16</f>
        <v>-0.0</v>
      </c>
      <c r="ALU45" s="5">
        <f>-'5. IRR'!ALV16</f>
        <v>-0.0</v>
      </c>
      <c r="ALV45" s="5">
        <f>-'5. IRR'!ALW16</f>
        <v>-0.0</v>
      </c>
      <c r="ALW45" s="5">
        <f>-'5. IRR'!ALX16</f>
        <v>-0.0</v>
      </c>
      <c r="ALX45" s="5">
        <f>-'5. IRR'!ALY16</f>
        <v>-0.0</v>
      </c>
      <c r="ALY45" s="5">
        <f>-'5. IRR'!ALZ16</f>
        <v>-0.0</v>
      </c>
      <c r="ALZ45" s="5">
        <f>-'5. IRR'!AMA16</f>
        <v>-0.0</v>
      </c>
      <c r="AMA45" s="5">
        <f>-'5. IRR'!AMB16</f>
        <v>-0.0</v>
      </c>
      <c r="AMB45" s="5">
        <f>-'5. IRR'!AMC16</f>
        <v>-0.0</v>
      </c>
      <c r="AMC45" s="5">
        <f>-'5. IRR'!AMD16</f>
        <v>-0.0</v>
      </c>
      <c r="AMD45" s="5">
        <f>-'5. IRR'!AME16</f>
        <v>-0.0</v>
      </c>
      <c r="AME45" s="5">
        <f>-'5. IRR'!AMF16</f>
        <v>-0.0</v>
      </c>
      <c r="AMF45" s="5">
        <f>-'5. IRR'!AMG16</f>
        <v>-0.0</v>
      </c>
      <c r="AMG45" s="5">
        <f>-'5. IRR'!AMH16</f>
        <v>-0.0</v>
      </c>
      <c r="AMH45" s="5">
        <f>-'5. IRR'!AMI16</f>
        <v>-0.0</v>
      </c>
      <c r="AMI45" s="5">
        <f>-'5. IRR'!AMJ16</f>
        <v>-0.0</v>
      </c>
      <c r="AMJ45" s="5">
        <f>-'5. IRR'!AMK16</f>
        <v>-0.0</v>
      </c>
      <c r="AMK45" s="5">
        <f>-'5. IRR'!AML16</f>
        <v>-0.0</v>
      </c>
      <c r="AML45" s="5">
        <f>-'5. IRR'!AMM16</f>
        <v>-0.0</v>
      </c>
      <c r="AMM45" s="5">
        <f>-'5. IRR'!AMN16</f>
        <v>-0.0</v>
      </c>
      <c r="AMN45" s="5">
        <f>-'5. IRR'!AMO16</f>
        <v>-0.0</v>
      </c>
      <c r="AMO45" s="5">
        <f>-'5. IRR'!AMP16</f>
        <v>-0.0</v>
      </c>
      <c r="AMP45" s="5">
        <f>-'5. IRR'!AMQ16</f>
        <v>-0.0</v>
      </c>
      <c r="AMQ45" s="5">
        <f>-'5. IRR'!AMR16</f>
        <v>-0.0</v>
      </c>
      <c r="AMR45" s="5">
        <f>-'5. IRR'!AMS16</f>
        <v>-0.0</v>
      </c>
      <c r="AMS45" s="5">
        <f>-'5. IRR'!AMT16</f>
        <v>-0.0</v>
      </c>
      <c r="AMT45" s="5">
        <f>-'5. IRR'!AMU16</f>
        <v>-0.0</v>
      </c>
      <c r="AMU45" s="5">
        <f>-'5. IRR'!AMV16</f>
        <v>-0.0</v>
      </c>
      <c r="AMV45" s="5">
        <f>-'5. IRR'!AMW16</f>
        <v>-0.0</v>
      </c>
      <c r="AMW45" s="5">
        <f>-'5. IRR'!AMX16</f>
        <v>-0.0</v>
      </c>
      <c r="AMX45" s="5">
        <f>-'5. IRR'!AMY16</f>
        <v>-0.0</v>
      </c>
      <c r="AMY45" s="5">
        <f>-'5. IRR'!AMZ16</f>
        <v>-0.0</v>
      </c>
      <c r="AMZ45" s="5">
        <f>-'5. IRR'!ANA16</f>
        <v>-0.0</v>
      </c>
      <c r="ANA45" s="5">
        <f>-'5. IRR'!ANB16</f>
        <v>-0.0</v>
      </c>
      <c r="ANB45" s="5">
        <f>-'5. IRR'!ANC16</f>
        <v>-0.0</v>
      </c>
      <c r="ANC45" s="5">
        <f>-'5. IRR'!AND16</f>
        <v>-0.0</v>
      </c>
      <c r="AND45" s="5">
        <f>-'5. IRR'!ANE16</f>
        <v>-0.0</v>
      </c>
      <c r="ANE45" s="5">
        <f>-'5. IRR'!ANF16</f>
        <v>-0.0</v>
      </c>
      <c r="ANF45" s="5">
        <f>-'5. IRR'!ANG16</f>
        <v>-0.0</v>
      </c>
      <c r="ANG45" s="5">
        <f>-'5. IRR'!ANH16</f>
        <v>-0.0</v>
      </c>
      <c r="ANH45" s="5">
        <f>-'5. IRR'!ANI16</f>
        <v>-0.0</v>
      </c>
      <c r="ANI45" s="5">
        <f>-'5. IRR'!ANJ16</f>
        <v>-0.0</v>
      </c>
      <c r="ANJ45" s="5">
        <f>-'5. IRR'!ANK16</f>
        <v>-0.0</v>
      </c>
      <c r="ANK45" s="5">
        <f>-'5. IRR'!ANL16</f>
        <v>-0.0</v>
      </c>
      <c r="ANL45" s="5">
        <f>-'5. IRR'!ANM16</f>
        <v>-0.0</v>
      </c>
      <c r="ANM45" s="5">
        <f>-'5. IRR'!ANN16</f>
        <v>-0.0</v>
      </c>
      <c r="ANN45" s="5">
        <f>-'5. IRR'!ANO16</f>
        <v>-0.0</v>
      </c>
      <c r="ANO45" s="5">
        <f>-'5. IRR'!ANP16</f>
        <v>-0.0</v>
      </c>
      <c r="ANP45" s="5">
        <f>-'5. IRR'!ANQ16</f>
        <v>-0.0</v>
      </c>
      <c r="ANQ45" s="5">
        <f>-'5. IRR'!ANR16</f>
        <v>-0.0</v>
      </c>
      <c r="ANR45" s="5">
        <f>-'5. IRR'!ANS16</f>
        <v>-0.0</v>
      </c>
      <c r="ANS45" s="5">
        <f>-'5. IRR'!ANT16</f>
        <v>-0.0</v>
      </c>
      <c r="ANT45" s="5">
        <f>-'5. IRR'!ANU16</f>
        <v>-0.0</v>
      </c>
      <c r="ANU45" s="5">
        <f>-'5. IRR'!ANV16</f>
        <v>-0.0</v>
      </c>
      <c r="ANV45" s="5">
        <f>-'5. IRR'!ANW16</f>
        <v>-0.0</v>
      </c>
      <c r="ANW45" s="5">
        <f>-'5. IRR'!ANX16</f>
        <v>-0.0</v>
      </c>
      <c r="ANX45" s="5">
        <f>-'5. IRR'!ANY16</f>
        <v>-0.0</v>
      </c>
      <c r="ANY45" s="5">
        <f>-'5. IRR'!ANZ16</f>
        <v>-0.0</v>
      </c>
      <c r="ANZ45" s="5">
        <f>-'5. IRR'!AOA16</f>
        <v>-0.0</v>
      </c>
      <c r="AOA45" s="5">
        <f>-'5. IRR'!AOB16</f>
        <v>-0.0</v>
      </c>
      <c r="AOB45" s="5">
        <f>-'5. IRR'!AOC16</f>
        <v>-0.0</v>
      </c>
      <c r="AOC45" s="5">
        <f>-'5. IRR'!AOD16</f>
        <v>-0.0</v>
      </c>
      <c r="AOD45" s="5">
        <f>-'5. IRR'!AOE16</f>
        <v>-0.0</v>
      </c>
      <c r="AOE45" s="5">
        <f>-'5. IRR'!AOF16</f>
        <v>-0.0</v>
      </c>
      <c r="AOF45" s="5">
        <f>-'5. IRR'!AOG16</f>
        <v>-0.0</v>
      </c>
      <c r="AOG45" s="5">
        <f>-'5. IRR'!AOH16</f>
        <v>-0.0</v>
      </c>
      <c r="AOH45" s="5">
        <f>-'5. IRR'!AOI16</f>
        <v>-0.0</v>
      </c>
      <c r="AOI45" s="5">
        <f>-'5. IRR'!AOJ16</f>
        <v>-0.0</v>
      </c>
      <c r="AOJ45" s="5">
        <f>-'5. IRR'!AOK16</f>
        <v>-0.0</v>
      </c>
      <c r="AOK45" s="5">
        <f>-'5. IRR'!AOL16</f>
        <v>-0.0</v>
      </c>
      <c r="AOL45" s="5">
        <f>-'5. IRR'!AOM16</f>
        <v>-0.0</v>
      </c>
      <c r="AOM45" s="5">
        <f>-'5. IRR'!AON16</f>
        <v>-0.0</v>
      </c>
      <c r="AON45" s="5">
        <f>-'5. IRR'!AOO16</f>
        <v>-0.0</v>
      </c>
      <c r="AOO45" s="5">
        <f>-'5. IRR'!AOP16</f>
        <v>-0.0</v>
      </c>
      <c r="AOP45" s="5">
        <f>-'5. IRR'!AOQ16</f>
        <v>-0.0</v>
      </c>
      <c r="AOQ45" s="5">
        <f>-'5. IRR'!AOR16</f>
        <v>-0.0</v>
      </c>
      <c r="AOR45" s="5">
        <f>-'5. IRR'!AOS16</f>
        <v>-0.0</v>
      </c>
      <c r="AOS45" s="5">
        <f>-'5. IRR'!AOT16</f>
        <v>-0.0</v>
      </c>
      <c r="AOT45" s="5">
        <f>-'5. IRR'!AOU16</f>
        <v>-0.0</v>
      </c>
      <c r="AOU45" s="5">
        <f>-'5. IRR'!AOV16</f>
        <v>-0.0</v>
      </c>
      <c r="AOV45" s="5">
        <f>-'5. IRR'!AOW16</f>
        <v>-0.0</v>
      </c>
      <c r="AOW45" s="5">
        <f>-'5. IRR'!AOX16</f>
        <v>-0.0</v>
      </c>
      <c r="AOX45" s="5">
        <f>-'5. IRR'!AOY16</f>
        <v>-0.0</v>
      </c>
      <c r="AOY45" s="5">
        <f>-'5. IRR'!AOZ16</f>
        <v>-0.0</v>
      </c>
      <c r="AOZ45" s="5">
        <f>-'5. IRR'!APA16</f>
        <v>-0.0</v>
      </c>
      <c r="APA45" s="5">
        <f>-'5. IRR'!APB16</f>
        <v>-0.0</v>
      </c>
      <c r="APB45" s="5">
        <f>-'5. IRR'!APC16</f>
        <v>-0.0</v>
      </c>
      <c r="APC45" s="5">
        <f>-'5. IRR'!APD16</f>
        <v>-0.0</v>
      </c>
      <c r="APD45" s="5">
        <f>-'5. IRR'!APE16</f>
        <v>-0.0</v>
      </c>
      <c r="APE45" s="5">
        <f>-'5. IRR'!APF16</f>
        <v>-0.0</v>
      </c>
      <c r="APF45" s="5">
        <f>-'5. IRR'!APG16</f>
        <v>-0.0</v>
      </c>
      <c r="APG45" s="5">
        <f>-'5. IRR'!APH16</f>
        <v>-0.0</v>
      </c>
      <c r="APH45" s="5">
        <f>-'5. IRR'!API16</f>
        <v>-0.0</v>
      </c>
      <c r="API45" s="5">
        <f>-'5. IRR'!APJ16</f>
        <v>-0.0</v>
      </c>
      <c r="APJ45" s="5">
        <f>-'5. IRR'!APK16</f>
        <v>-0.0</v>
      </c>
      <c r="APK45" s="5">
        <f>-'5. IRR'!APL16</f>
        <v>-0.0</v>
      </c>
      <c r="APL45" s="5">
        <f>-'5. IRR'!APM16</f>
        <v>-0.0</v>
      </c>
      <c r="APM45" s="5">
        <f>-'5. IRR'!APN16</f>
        <v>-0.0</v>
      </c>
      <c r="APN45" s="5">
        <f>-'5. IRR'!APO16</f>
        <v>-0.0</v>
      </c>
      <c r="APO45" s="5">
        <f>-'5. IRR'!APP16</f>
        <v>-0.0</v>
      </c>
      <c r="APP45" s="5">
        <f>-'5. IRR'!APQ16</f>
        <v>-0.0</v>
      </c>
      <c r="APQ45" s="5">
        <f>-'5. IRR'!APR16</f>
        <v>-0.0</v>
      </c>
      <c r="APR45" s="5">
        <f>-'5. IRR'!APS16</f>
        <v>-0.0</v>
      </c>
      <c r="APS45" s="5">
        <f>-'5. IRR'!APT16</f>
        <v>-0.0</v>
      </c>
      <c r="APT45" s="5">
        <f>-'5. IRR'!APU16</f>
        <v>-0.0</v>
      </c>
      <c r="APU45" s="5">
        <f>-'5. IRR'!APV16</f>
        <v>-0.0</v>
      </c>
      <c r="APV45" s="5">
        <f>-'5. IRR'!APW16</f>
        <v>-0.0</v>
      </c>
      <c r="APW45" s="5">
        <f>-'5. IRR'!APX16</f>
        <v>-0.0</v>
      </c>
      <c r="APX45" s="5">
        <f>-'5. IRR'!APY16</f>
        <v>-0.0</v>
      </c>
      <c r="APY45" s="5">
        <f>-'5. IRR'!APZ16</f>
        <v>-0.0</v>
      </c>
      <c r="APZ45" s="5">
        <f>-'5. IRR'!AQA16</f>
        <v>-0.0</v>
      </c>
      <c r="AQA45" s="5">
        <f>-'5. IRR'!AQB16</f>
        <v>-0.0</v>
      </c>
      <c r="AQB45" s="5">
        <f>-'5. IRR'!AQC16</f>
        <v>-0.0</v>
      </c>
      <c r="AQC45" s="5">
        <f>-'5. IRR'!AQD16</f>
        <v>-0.0</v>
      </c>
      <c r="AQD45" s="5">
        <f>-'5. IRR'!AQE16</f>
        <v>-0.0</v>
      </c>
      <c r="AQE45" s="5">
        <f>-'5. IRR'!AQF16</f>
        <v>-0.0</v>
      </c>
      <c r="AQF45" s="5">
        <f>-'5. IRR'!AQG16</f>
        <v>-0.0</v>
      </c>
      <c r="AQG45" s="5">
        <f>-'5. IRR'!AQH16</f>
        <v>-0.0</v>
      </c>
      <c r="AQH45" s="5">
        <f>-'5. IRR'!AQI16</f>
        <v>-0.0</v>
      </c>
      <c r="AQI45" s="5">
        <f>-'5. IRR'!AQJ16</f>
        <v>-0.0</v>
      </c>
      <c r="AQJ45" s="5">
        <f>-'5. IRR'!AQK16</f>
        <v>-0.0</v>
      </c>
      <c r="AQK45" s="5">
        <f>-'5. IRR'!AQL16</f>
        <v>-0.0</v>
      </c>
      <c r="AQL45" s="5">
        <f>-'5. IRR'!AQM16</f>
        <v>-0.0</v>
      </c>
      <c r="AQM45" s="5">
        <f>-'5. IRR'!AQN16</f>
        <v>-0.0</v>
      </c>
      <c r="AQN45" s="5">
        <f>-'5. IRR'!AQO16</f>
        <v>-0.0</v>
      </c>
      <c r="AQO45" s="5">
        <f>-'5. IRR'!AQP16</f>
        <v>-0.0</v>
      </c>
      <c r="AQP45" s="5">
        <f>-'5. IRR'!AQQ16</f>
        <v>-0.0</v>
      </c>
      <c r="AQQ45" s="5">
        <f>-'5. IRR'!AQR16</f>
        <v>-0.0</v>
      </c>
      <c r="AQR45" s="5">
        <f>-'5. IRR'!AQS16</f>
        <v>-0.0</v>
      </c>
      <c r="AQS45" s="5">
        <f>-'5. IRR'!AQT16</f>
        <v>-0.0</v>
      </c>
      <c r="AQT45" s="5">
        <f>-'5. IRR'!AQU16</f>
        <v>-0.0</v>
      </c>
      <c r="AQU45" s="5">
        <f>-'5. IRR'!AQV16</f>
        <v>-0.0</v>
      </c>
      <c r="AQV45" s="5">
        <f>-'5. IRR'!AQW16</f>
        <v>-0.0</v>
      </c>
      <c r="AQW45" s="5">
        <f>-'5. IRR'!AQX16</f>
        <v>-0.0</v>
      </c>
      <c r="AQX45" s="5">
        <f>-'5. IRR'!AQY16</f>
        <v>-0.0</v>
      </c>
      <c r="AQY45" s="5">
        <f>-'5. IRR'!AQZ16</f>
        <v>-0.0</v>
      </c>
      <c r="AQZ45" s="5">
        <f>-'5. IRR'!ARA16</f>
        <v>-0.0</v>
      </c>
      <c r="ARA45" s="5">
        <f>-'5. IRR'!ARB16</f>
        <v>-0.0</v>
      </c>
      <c r="ARB45" s="5">
        <f>-'5. IRR'!ARC16</f>
        <v>-0.0</v>
      </c>
      <c r="ARC45" s="5">
        <f>-'5. IRR'!ARD16</f>
        <v>-0.0</v>
      </c>
      <c r="ARD45" s="5">
        <f>-'5. IRR'!ARE16</f>
        <v>-0.0</v>
      </c>
      <c r="ARE45" s="5">
        <f>-'5. IRR'!ARF16</f>
        <v>-0.0</v>
      </c>
      <c r="ARF45" s="5">
        <f>-'5. IRR'!ARG16</f>
        <v>-0.0</v>
      </c>
      <c r="ARG45" s="5">
        <f>-'5. IRR'!ARH16</f>
        <v>-0.0</v>
      </c>
      <c r="ARH45" s="5">
        <f>-'5. IRR'!ARI16</f>
        <v>-0.0</v>
      </c>
      <c r="ARI45" s="5">
        <f>-'5. IRR'!ARJ16</f>
        <v>-0.0</v>
      </c>
      <c r="ARJ45" s="5">
        <f>-'5. IRR'!ARK16</f>
        <v>-0.0</v>
      </c>
      <c r="ARK45" s="5">
        <f>-'5. IRR'!ARL16</f>
        <v>-0.0</v>
      </c>
      <c r="ARL45" s="5">
        <f>-'5. IRR'!ARM16</f>
        <v>-0.0</v>
      </c>
      <c r="ARM45" s="5">
        <f>-'5. IRR'!ARN16</f>
        <v>-0.0</v>
      </c>
      <c r="ARN45" s="5">
        <f>-'5. IRR'!ARO16</f>
        <v>-0.0</v>
      </c>
      <c r="ARO45" s="5">
        <f>-'5. IRR'!ARP16</f>
        <v>-0.0</v>
      </c>
      <c r="ARP45" s="5">
        <f>-'5. IRR'!ARQ16</f>
        <v>-0.0</v>
      </c>
      <c r="ARQ45" s="5">
        <f>-'5. IRR'!ARR16</f>
        <v>-0.0</v>
      </c>
      <c r="ARR45" s="5">
        <f>-'5. IRR'!ARS16</f>
        <v>-0.0</v>
      </c>
      <c r="ARS45" s="5">
        <f>-'5. IRR'!ART16</f>
        <v>-0.0</v>
      </c>
      <c r="ART45" s="5">
        <f>-'5. IRR'!ARU16</f>
        <v>-0.0</v>
      </c>
      <c r="ARU45" s="5">
        <f>-'5. IRR'!ARV16</f>
        <v>-0.0</v>
      </c>
      <c r="ARV45" s="5">
        <f>-'5. IRR'!ARW16</f>
        <v>-0.0</v>
      </c>
      <c r="ARW45" s="5">
        <f>-'5. IRR'!ARX16</f>
        <v>-0.0</v>
      </c>
      <c r="ARX45" s="5">
        <f>-'5. IRR'!ARY16</f>
        <v>-0.0</v>
      </c>
      <c r="ARY45" s="5">
        <f>-'5. IRR'!ARZ16</f>
        <v>-0.0</v>
      </c>
      <c r="ARZ45" s="5">
        <f>-'5. IRR'!ASA16</f>
        <v>-0.0</v>
      </c>
      <c r="ASA45" s="5">
        <f>-'5. IRR'!ASB16</f>
        <v>-0.0</v>
      </c>
      <c r="ASB45" s="5">
        <f>-'5. IRR'!ASC16</f>
        <v>-0.0</v>
      </c>
      <c r="ASC45" s="5">
        <f>-'5. IRR'!ASD16</f>
        <v>-0.0</v>
      </c>
      <c r="ASD45" s="5">
        <f>-'5. IRR'!ASE16</f>
        <v>-0.0</v>
      </c>
      <c r="ASE45" s="5">
        <f>-'5. IRR'!ASF16</f>
        <v>-0.0</v>
      </c>
      <c r="ASF45" s="5">
        <f>-'5. IRR'!ASG16</f>
        <v>-0.0</v>
      </c>
      <c r="ASG45" s="5">
        <f>-'5. IRR'!ASH16</f>
        <v>-0.0</v>
      </c>
      <c r="ASH45" s="5">
        <f>-'5. IRR'!ASI16</f>
        <v>-0.0</v>
      </c>
      <c r="ASI45" s="5">
        <f>-'5. IRR'!ASJ16</f>
        <v>-0.0</v>
      </c>
      <c r="ASJ45" s="5">
        <f>-'5. IRR'!ASK16</f>
        <v>-0.0</v>
      </c>
      <c r="ASK45" s="5">
        <f>-'5. IRR'!ASL16</f>
        <v>-0.0</v>
      </c>
      <c r="ASL45" s="5">
        <f>-'5. IRR'!ASM16</f>
        <v>-0.0</v>
      </c>
      <c r="ASM45" s="5">
        <f>-'5. IRR'!ASN16</f>
        <v>-0.0</v>
      </c>
      <c r="ASN45" s="5">
        <f>-'5. IRR'!ASO16</f>
        <v>-0.0</v>
      </c>
      <c r="ASO45" s="5">
        <f>-'5. IRR'!ASP16</f>
        <v>-0.0</v>
      </c>
      <c r="ASP45" s="5">
        <f>-'5. IRR'!ASQ16</f>
        <v>-0.0</v>
      </c>
      <c r="ASQ45" s="5">
        <f>-'5. IRR'!ASR16</f>
        <v>-0.0</v>
      </c>
      <c r="ASR45" s="5">
        <f>-'5. IRR'!ASS16</f>
        <v>-0.0</v>
      </c>
      <c r="ASS45" s="5">
        <f>-'5. IRR'!AST16</f>
        <v>-0.0</v>
      </c>
      <c r="AST45" s="5">
        <f>-'5. IRR'!ASU16</f>
        <v>-0.0</v>
      </c>
      <c r="ASU45" s="5">
        <f>-'5. IRR'!ASV16</f>
        <v>-0.0</v>
      </c>
      <c r="ASV45" s="5">
        <f>-'5. IRR'!ASW16</f>
        <v>-0.0</v>
      </c>
      <c r="ASW45" s="5">
        <f>-'5. IRR'!ASX16</f>
        <v>-0.0</v>
      </c>
      <c r="ASX45" s="5">
        <f>-'5. IRR'!ASY16</f>
        <v>-0.0</v>
      </c>
      <c r="ASY45" s="5">
        <f>-'5. IRR'!ASZ16</f>
        <v>-0.0</v>
      </c>
      <c r="ASZ45" s="5">
        <f>-'5. IRR'!ATA16</f>
        <v>-0.0</v>
      </c>
      <c r="ATA45" s="5">
        <f>-'5. IRR'!ATB16</f>
        <v>-0.0</v>
      </c>
      <c r="ATB45" s="5">
        <f>-'5. IRR'!ATC16</f>
        <v>-0.0</v>
      </c>
      <c r="ATC45" s="5">
        <f>-'5. IRR'!ATD16</f>
        <v>-0.0</v>
      </c>
      <c r="ATD45" s="5">
        <f>-'5. IRR'!ATE16</f>
        <v>-0.0</v>
      </c>
      <c r="ATE45" s="5">
        <f>-'5. IRR'!ATF16</f>
        <v>-0.0</v>
      </c>
      <c r="ATF45" s="5">
        <f>-'5. IRR'!ATG16</f>
        <v>-0.0</v>
      </c>
      <c r="ATG45" s="5">
        <f>-'5. IRR'!ATH16</f>
        <v>-0.0</v>
      </c>
      <c r="ATH45" s="5">
        <f>-'5. IRR'!ATI16</f>
        <v>-0.0</v>
      </c>
      <c r="ATI45" s="5">
        <f>-'5. IRR'!ATJ16</f>
        <v>-0.0</v>
      </c>
      <c r="ATJ45" s="5">
        <f>-'5. IRR'!ATK16</f>
        <v>-0.0</v>
      </c>
      <c r="ATK45" s="5">
        <f>-'5. IRR'!ATL16</f>
        <v>-0.0</v>
      </c>
      <c r="ATL45" s="5">
        <f>-'5. IRR'!ATM16</f>
        <v>-0.0</v>
      </c>
      <c r="ATM45" s="5">
        <f>-'5. IRR'!ATN16</f>
        <v>-0.0</v>
      </c>
      <c r="ATN45" s="5">
        <f>-'5. IRR'!ATO16</f>
        <v>-0.0</v>
      </c>
      <c r="ATO45" s="5">
        <f>-'5. IRR'!ATP16</f>
        <v>-0.0</v>
      </c>
      <c r="ATP45" s="5">
        <f>-'5. IRR'!ATQ16</f>
        <v>-0.0</v>
      </c>
      <c r="ATQ45" s="5">
        <f>-'5. IRR'!ATR16</f>
        <v>-0.0</v>
      </c>
      <c r="ATR45" s="5">
        <f>-'5. IRR'!ATS16</f>
        <v>-0.0</v>
      </c>
      <c r="ATS45" s="5">
        <f>-'5. IRR'!ATT16</f>
        <v>-0.0</v>
      </c>
      <c r="ATT45" s="5">
        <f>-'5. IRR'!ATU16</f>
        <v>-0.0</v>
      </c>
      <c r="ATU45" s="5">
        <f>-'5. IRR'!ATV16</f>
        <v>-0.0</v>
      </c>
      <c r="ATV45" s="5">
        <f>-'5. IRR'!ATW16</f>
        <v>-0.0</v>
      </c>
      <c r="ATW45" s="5">
        <f>-'5. IRR'!ATX16</f>
        <v>-0.0</v>
      </c>
      <c r="ATX45" s="5">
        <f>-'5. IRR'!ATY16</f>
        <v>-0.0</v>
      </c>
      <c r="ATY45" s="5">
        <f>-'5. IRR'!ATZ16</f>
        <v>-0.0</v>
      </c>
      <c r="ATZ45" s="5">
        <f>-'5. IRR'!AUA16</f>
        <v>-0.0</v>
      </c>
      <c r="AUA45" s="5">
        <f>-'5. IRR'!AUB16</f>
        <v>-0.0</v>
      </c>
      <c r="AUB45" s="5">
        <f>-'5. IRR'!AUC16</f>
        <v>-0.0</v>
      </c>
      <c r="AUC45" s="5">
        <f>-'5. IRR'!AUD16</f>
        <v>-0.0</v>
      </c>
      <c r="AUD45" s="5">
        <f>-'5. IRR'!AUE16</f>
        <v>-0.0</v>
      </c>
      <c r="AUE45" s="5">
        <f>-'5. IRR'!AUF16</f>
        <v>-0.0</v>
      </c>
      <c r="AUF45" s="5">
        <f>-'5. IRR'!AUG16</f>
        <v>-0.0</v>
      </c>
      <c r="AUG45" s="5">
        <f>-'5. IRR'!AUH16</f>
        <v>-0.0</v>
      </c>
      <c r="AUH45" s="5">
        <f>-'5. IRR'!AUI16</f>
        <v>-0.0</v>
      </c>
      <c r="AUI45" s="5">
        <f>-'5. IRR'!AUJ16</f>
        <v>-0.0</v>
      </c>
      <c r="AUJ45" s="5">
        <f>-'5. IRR'!AUK16</f>
        <v>-0.0</v>
      </c>
      <c r="AUK45" s="5">
        <f>-'5. IRR'!AUL16</f>
        <v>-0.0</v>
      </c>
      <c r="AUL45" s="5">
        <f>-'5. IRR'!AUM16</f>
        <v>-0.0</v>
      </c>
      <c r="AUM45" s="5">
        <f>-'5. IRR'!AUN16</f>
        <v>-0.0</v>
      </c>
      <c r="AUN45" s="5">
        <f>-'5. IRR'!AUO16</f>
        <v>-0.0</v>
      </c>
      <c r="AUO45" s="5">
        <f>-'5. IRR'!AUP16</f>
        <v>-0.0</v>
      </c>
      <c r="AUP45" s="5">
        <f>-'5. IRR'!AUQ16</f>
        <v>-0.0</v>
      </c>
      <c r="AUQ45" s="5">
        <f>-'5. IRR'!AUR16</f>
        <v>-0.0</v>
      </c>
      <c r="AUR45" s="5">
        <f>-'5. IRR'!AUS16</f>
        <v>-0.0</v>
      </c>
      <c r="AUS45" s="5">
        <f>-'5. IRR'!AUT16</f>
        <v>-0.0</v>
      </c>
      <c r="AUT45" s="5">
        <f>-'5. IRR'!AUU16</f>
        <v>-0.0</v>
      </c>
      <c r="AUU45" s="5">
        <f>-'5. IRR'!AUV16</f>
        <v>-0.0</v>
      </c>
      <c r="AUV45" s="5">
        <f>-'5. IRR'!AUW16</f>
        <v>-0.0</v>
      </c>
      <c r="AUW45" s="5">
        <f>-'5. IRR'!AUX16</f>
        <v>-0.0</v>
      </c>
      <c r="AUX45" s="5">
        <f>-'5. IRR'!AUY16</f>
        <v>-0.0</v>
      </c>
      <c r="AUY45" s="5">
        <f>-'5. IRR'!AUZ16</f>
        <v>-0.0</v>
      </c>
      <c r="AUZ45" s="5">
        <f>-'5. IRR'!AVA16</f>
        <v>-0.0</v>
      </c>
      <c r="AVA45" s="5">
        <f>-'5. IRR'!AVB16</f>
        <v>-0.0</v>
      </c>
      <c r="AVB45" s="5">
        <f>-'5. IRR'!AVC16</f>
        <v>-0.0</v>
      </c>
      <c r="AVC45" s="5">
        <f>-'5. IRR'!AVD16</f>
        <v>-0.0</v>
      </c>
      <c r="AVD45" s="5">
        <f>-'5. IRR'!AVE16</f>
        <v>-0.0</v>
      </c>
      <c r="AVE45" s="5">
        <f>-'5. IRR'!AVF16</f>
        <v>-0.0</v>
      </c>
      <c r="AVF45" s="5">
        <f>-'5. IRR'!AVG16</f>
        <v>-0.0</v>
      </c>
      <c r="AVG45" s="5">
        <f>-'5. IRR'!AVH16</f>
        <v>-0.0</v>
      </c>
      <c r="AVH45" s="5">
        <f>-'5. IRR'!AVI16</f>
        <v>-0.0</v>
      </c>
      <c r="AVI45" s="5">
        <f>-'5. IRR'!AVJ16</f>
        <v>-0.0</v>
      </c>
      <c r="AVJ45" s="5">
        <f>-'5. IRR'!AVK16</f>
        <v>-0.0</v>
      </c>
      <c r="AVK45" s="5">
        <f>-'5. IRR'!AVL16</f>
        <v>-0.0</v>
      </c>
      <c r="AVL45" s="5">
        <f>-'5. IRR'!AVM16</f>
        <v>-0.0</v>
      </c>
      <c r="AVM45" s="5">
        <f>-'5. IRR'!AVN16</f>
        <v>-0.0</v>
      </c>
      <c r="AVN45" s="5">
        <f>-'5. IRR'!AVO16</f>
        <v>-0.0</v>
      </c>
      <c r="AVO45" s="5">
        <f>-'5. IRR'!AVP16</f>
        <v>-0.0</v>
      </c>
      <c r="AVP45" s="5">
        <f>-'5. IRR'!AVQ16</f>
        <v>-0.0</v>
      </c>
      <c r="AVQ45" s="5">
        <f>-'5. IRR'!AVR16</f>
        <v>-0.0</v>
      </c>
      <c r="AVR45" s="5">
        <f>-'5. IRR'!AVS16</f>
        <v>-0.0</v>
      </c>
      <c r="AVS45" s="5">
        <f>-'5. IRR'!AVT16</f>
        <v>-0.0</v>
      </c>
      <c r="AVT45" s="5">
        <f>-'5. IRR'!AVU16</f>
        <v>-0.0</v>
      </c>
      <c r="AVU45" s="5">
        <f>-'5. IRR'!AVV16</f>
        <v>-0.0</v>
      </c>
      <c r="AVV45" s="5">
        <f>-'5. IRR'!AVW16</f>
        <v>-0.0</v>
      </c>
      <c r="AVW45" s="5">
        <f>-'5. IRR'!AVX16</f>
        <v>-0.0</v>
      </c>
      <c r="AVX45" s="5">
        <f>-'5. IRR'!AVY16</f>
        <v>-0.0</v>
      </c>
      <c r="AVY45" s="5">
        <f>-'5. IRR'!AVZ16</f>
        <v>-0.0</v>
      </c>
      <c r="AVZ45" s="5">
        <f>-'5. IRR'!AWA16</f>
        <v>-0.0</v>
      </c>
      <c r="AWA45" s="5">
        <f>-'5. IRR'!AWB16</f>
        <v>-0.0</v>
      </c>
      <c r="AWB45" s="5">
        <f>-'5. IRR'!AWC16</f>
        <v>-0.0</v>
      </c>
      <c r="AWC45" s="5">
        <f>-'5. IRR'!AWD16</f>
        <v>-0.0</v>
      </c>
      <c r="AWD45" s="5">
        <f>-'5. IRR'!AWE16</f>
        <v>-0.0</v>
      </c>
      <c r="AWE45" s="5">
        <f>-'5. IRR'!AWF16</f>
        <v>-0.0</v>
      </c>
      <c r="AWF45" s="5">
        <f>-'5. IRR'!AWG16</f>
        <v>-0.0</v>
      </c>
      <c r="AWG45" s="5">
        <f>-'5. IRR'!AWH16</f>
        <v>-0.0</v>
      </c>
      <c r="AWH45" s="5">
        <f>-'5. IRR'!AWI16</f>
        <v>-0.0</v>
      </c>
      <c r="AWI45" s="5">
        <f>-'5. IRR'!AWJ16</f>
        <v>-0.0</v>
      </c>
      <c r="AWJ45" s="5">
        <f>-'5. IRR'!AWK16</f>
        <v>-0.0</v>
      </c>
      <c r="AWK45" s="5">
        <f>-'5. IRR'!AWL16</f>
        <v>-0.0</v>
      </c>
      <c r="AWL45" s="5">
        <f>-'5. IRR'!AWM16</f>
        <v>-0.0</v>
      </c>
      <c r="AWM45" s="5">
        <f>-'5. IRR'!AWN16</f>
        <v>-0.0</v>
      </c>
      <c r="AWN45" s="5">
        <f>-'5. IRR'!AWO16</f>
        <v>-0.0</v>
      </c>
      <c r="AWO45" s="5">
        <f>-'5. IRR'!AWP16</f>
        <v>-0.0</v>
      </c>
      <c r="AWP45" s="5">
        <f>-'5. IRR'!AWQ16</f>
        <v>-0.0</v>
      </c>
      <c r="AWQ45" s="5">
        <f>-'5. IRR'!AWR16</f>
        <v>-0.0</v>
      </c>
      <c r="AWR45" s="5">
        <f>-'5. IRR'!AWS16</f>
        <v>-0.0</v>
      </c>
      <c r="AWS45" s="5">
        <f>-'5. IRR'!AWT16</f>
        <v>-0.0</v>
      </c>
      <c r="AWT45" s="5">
        <f>-'5. IRR'!AWU16</f>
        <v>-0.0</v>
      </c>
      <c r="AWU45" s="5">
        <f>-'5. IRR'!AWV16</f>
        <v>-0.0</v>
      </c>
      <c r="AWV45" s="5">
        <f>-'5. IRR'!AWW16</f>
        <v>-0.0</v>
      </c>
      <c r="AWW45" s="5">
        <f>-'5. IRR'!AWX16</f>
        <v>-0.0</v>
      </c>
      <c r="AWX45" s="5">
        <f>-'5. IRR'!AWY16</f>
        <v>-0.0</v>
      </c>
      <c r="AWY45" s="5">
        <f>-'5. IRR'!AWZ16</f>
        <v>-0.0</v>
      </c>
      <c r="AWZ45" s="5">
        <f>-'5. IRR'!AXA16</f>
        <v>-0.0</v>
      </c>
      <c r="AXA45" s="5">
        <f>-'5. IRR'!AXB16</f>
        <v>-0.0</v>
      </c>
      <c r="AXB45" s="5">
        <f>-'5. IRR'!AXC16</f>
        <v>-0.0</v>
      </c>
      <c r="AXC45" s="5">
        <f>-'5. IRR'!AXD16</f>
        <v>-0.0</v>
      </c>
      <c r="AXD45" s="5">
        <f>-'5. IRR'!AXE16</f>
        <v>-0.0</v>
      </c>
      <c r="AXE45" s="5">
        <f>-'5. IRR'!AXF16</f>
        <v>-0.0</v>
      </c>
      <c r="AXF45" s="5">
        <f>-'5. IRR'!AXG16</f>
        <v>-0.0</v>
      </c>
      <c r="AXG45" s="5">
        <f>-'5. IRR'!AXH16</f>
        <v>-0.0</v>
      </c>
      <c r="AXH45" s="5">
        <f>-'5. IRR'!AXI16</f>
        <v>-0.0</v>
      </c>
      <c r="AXI45" s="5">
        <f>-'5. IRR'!AXJ16</f>
        <v>-0.0</v>
      </c>
      <c r="AXJ45" s="5">
        <f>-'5. IRR'!AXK16</f>
        <v>-0.0</v>
      </c>
      <c r="AXK45" s="5">
        <f>-'5. IRR'!AXL16</f>
        <v>-0.0</v>
      </c>
      <c r="AXL45" s="5">
        <f>-'5. IRR'!AXM16</f>
        <v>-0.0</v>
      </c>
      <c r="AXM45" s="5">
        <f>-'5. IRR'!AXN16</f>
        <v>-0.0</v>
      </c>
      <c r="AXN45" s="5">
        <f>-'5. IRR'!AXO16</f>
        <v>-0.0</v>
      </c>
      <c r="AXO45" s="5">
        <f>-'5. IRR'!AXP16</f>
        <v>-0.0</v>
      </c>
      <c r="AXP45" s="5">
        <f>-'5. IRR'!AXQ16</f>
        <v>-0.0</v>
      </c>
      <c r="AXQ45" s="5">
        <f>-'5. IRR'!AXR16</f>
        <v>-0.0</v>
      </c>
      <c r="AXR45" s="5">
        <f>-'5. IRR'!AXS16</f>
        <v>-0.0</v>
      </c>
      <c r="AXS45" s="5">
        <f>-'5. IRR'!AXT16</f>
        <v>-0.0</v>
      </c>
      <c r="AXT45" s="5">
        <f>-'5. IRR'!AXU16</f>
        <v>-0.0</v>
      </c>
      <c r="AXU45" s="5">
        <f>-'5. IRR'!AXV16</f>
        <v>-0.0</v>
      </c>
      <c r="AXV45" s="5">
        <f>-'5. IRR'!AXW16</f>
        <v>-0.0</v>
      </c>
      <c r="AXW45" s="5">
        <f>-'5. IRR'!AXX16</f>
        <v>-0.0</v>
      </c>
      <c r="AXX45" s="5">
        <f>-'5. IRR'!AXY16</f>
        <v>-0.0</v>
      </c>
      <c r="AXY45" s="5">
        <f>-'5. IRR'!AXZ16</f>
        <v>-0.0</v>
      </c>
      <c r="AXZ45" s="5">
        <f>-'5. IRR'!AYA16</f>
        <v>-0.0</v>
      </c>
      <c r="AYA45" s="5">
        <f>-'5. IRR'!AYB16</f>
        <v>-0.0</v>
      </c>
      <c r="AYB45" s="5">
        <f>-'5. IRR'!AYC16</f>
        <v>-0.0</v>
      </c>
      <c r="AYC45" s="5">
        <f>-'5. IRR'!AYD16</f>
        <v>-0.0</v>
      </c>
      <c r="AYD45" s="5">
        <f>-'5. IRR'!AYE16</f>
        <v>-0.0</v>
      </c>
      <c r="AYE45" s="5">
        <f>-'5. IRR'!AYF16</f>
        <v>-0.0</v>
      </c>
      <c r="AYF45" s="5">
        <f>-'5. IRR'!AYG16</f>
        <v>-0.0</v>
      </c>
      <c r="AYG45" s="5">
        <f>-'5. IRR'!AYH16</f>
        <v>-0.0</v>
      </c>
      <c r="AYH45" s="5">
        <f>-'5. IRR'!AYI16</f>
        <v>-0.0</v>
      </c>
      <c r="AYI45" s="5">
        <f>-'5. IRR'!AYJ16</f>
        <v>-0.0</v>
      </c>
      <c r="AYJ45" s="5">
        <f>-'5. IRR'!AYK16</f>
        <v>-0.0</v>
      </c>
      <c r="AYK45" s="5">
        <f>-'5. IRR'!AYL16</f>
        <v>-0.0</v>
      </c>
      <c r="AYL45" s="5">
        <f>-'5. IRR'!AYM16</f>
        <v>-0.0</v>
      </c>
      <c r="AYM45" s="5">
        <f>-'5. IRR'!AYN16</f>
        <v>-0.0</v>
      </c>
      <c r="AYN45" s="5">
        <f>-'5. IRR'!AYO16</f>
        <v>-0.0</v>
      </c>
      <c r="AYO45" s="5">
        <f>-'5. IRR'!AYP16</f>
        <v>-0.0</v>
      </c>
      <c r="AYP45" s="5">
        <f>-'5. IRR'!AYQ16</f>
        <v>-0.0</v>
      </c>
      <c r="AYQ45" s="5">
        <f>-'5. IRR'!AYR16</f>
        <v>-0.0</v>
      </c>
      <c r="AYR45" s="5">
        <f>-'5. IRR'!AYS16</f>
        <v>-0.0</v>
      </c>
      <c r="AYS45" s="5">
        <f>-'5. IRR'!AYT16</f>
        <v>-0.0</v>
      </c>
      <c r="AYT45" s="5">
        <f>-'5. IRR'!AYU16</f>
        <v>-0.0</v>
      </c>
      <c r="AYU45" s="5">
        <f>-'5. IRR'!AYV16</f>
        <v>-0.0</v>
      </c>
      <c r="AYV45" s="5">
        <f>-'5. IRR'!AYW16</f>
        <v>-0.0</v>
      </c>
      <c r="AYW45" s="5">
        <f>-'5. IRR'!AYX16</f>
        <v>-0.0</v>
      </c>
      <c r="AYX45" s="5">
        <f>-'5. IRR'!AYY16</f>
        <v>-0.0</v>
      </c>
      <c r="AYY45" s="5">
        <f>-'5. IRR'!AYZ16</f>
        <v>-0.0</v>
      </c>
      <c r="AYZ45" s="5">
        <f>-'5. IRR'!AZA16</f>
        <v>-0.0</v>
      </c>
      <c r="AZA45" s="5">
        <f>-'5. IRR'!AZB16</f>
        <v>-0.0</v>
      </c>
      <c r="AZB45" s="5">
        <f>-'5. IRR'!AZC16</f>
        <v>-0.0</v>
      </c>
      <c r="AZC45" s="5">
        <f>-'5. IRR'!AZD16</f>
        <v>-0.0</v>
      </c>
      <c r="AZD45" s="5">
        <f>-'5. IRR'!AZE16</f>
        <v>-0.0</v>
      </c>
      <c r="AZE45" s="5">
        <f>-'5. IRR'!AZF16</f>
        <v>-0.0</v>
      </c>
      <c r="AZF45" s="5">
        <f>-'5. IRR'!AZG16</f>
        <v>-0.0</v>
      </c>
      <c r="AZG45" s="5">
        <f>-'5. IRR'!AZH16</f>
        <v>-0.0</v>
      </c>
      <c r="AZH45" s="5">
        <f>-'5. IRR'!AZI16</f>
        <v>-0.0</v>
      </c>
      <c r="AZI45" s="5">
        <f>-'5. IRR'!AZJ16</f>
        <v>-0.0</v>
      </c>
      <c r="AZJ45" s="5">
        <f>-'5. IRR'!AZK16</f>
        <v>-0.0</v>
      </c>
      <c r="AZK45" s="5">
        <f>-'5. IRR'!AZL16</f>
        <v>-0.0</v>
      </c>
      <c r="AZL45" s="5">
        <f>-'5. IRR'!AZM16</f>
        <v>-0.0</v>
      </c>
      <c r="AZM45" s="5">
        <f>-'5. IRR'!AZN16</f>
        <v>-0.0</v>
      </c>
      <c r="AZN45" s="5">
        <f>-'5. IRR'!AZO16</f>
        <v>-0.0</v>
      </c>
      <c r="AZO45" s="5">
        <f>-'5. IRR'!AZP16</f>
        <v>-0.0</v>
      </c>
      <c r="AZP45" s="5">
        <f>-'5. IRR'!AZQ16</f>
        <v>-0.0</v>
      </c>
      <c r="AZQ45" s="5">
        <f>-'5. IRR'!AZR16</f>
        <v>-0.0</v>
      </c>
      <c r="AZR45" s="5">
        <f>-'5. IRR'!AZS16</f>
        <v>-0.0</v>
      </c>
      <c r="AZS45" s="5">
        <f>-'5. IRR'!AZT16</f>
        <v>-0.0</v>
      </c>
      <c r="AZT45" s="5">
        <f>-'5. IRR'!AZU16</f>
        <v>-0.0</v>
      </c>
      <c r="AZU45" s="5">
        <f>-'5. IRR'!AZV16</f>
        <v>-0.0</v>
      </c>
      <c r="AZV45" s="5">
        <f>-'5. IRR'!AZW16</f>
        <v>-0.0</v>
      </c>
      <c r="AZW45" s="5">
        <f>-'5. IRR'!AZX16</f>
        <v>-0.0</v>
      </c>
      <c r="AZX45" s="5">
        <f>-'5. IRR'!AZY16</f>
        <v>-0.0</v>
      </c>
      <c r="AZY45" s="5">
        <f>-'5. IRR'!AZZ16</f>
        <v>-0.0</v>
      </c>
      <c r="AZZ45" s="5">
        <f>-'5. IRR'!BAA16</f>
        <v>-0.0</v>
      </c>
      <c r="BAA45" s="5">
        <f>-'5. IRR'!BAB16</f>
        <v>-0.0</v>
      </c>
      <c r="BAB45" s="5">
        <f>-'5. IRR'!BAC16</f>
        <v>-0.0</v>
      </c>
      <c r="BAC45" s="5">
        <f>-'5. IRR'!BAD16</f>
        <v>-0.0</v>
      </c>
      <c r="BAD45" s="5">
        <f>-'5. IRR'!BAE16</f>
        <v>-0.0</v>
      </c>
      <c r="BAE45" s="5">
        <f>-'5. IRR'!BAF16</f>
        <v>-0.0</v>
      </c>
      <c r="BAF45" s="5">
        <f>-'5. IRR'!BAG16</f>
        <v>-0.0</v>
      </c>
      <c r="BAG45" s="5">
        <f>-'5. IRR'!BAH16</f>
        <v>-0.0</v>
      </c>
      <c r="BAH45" s="5">
        <f>-'5. IRR'!BAI16</f>
        <v>-0.0</v>
      </c>
      <c r="BAI45" s="5">
        <f>-'5. IRR'!BAJ16</f>
        <v>-0.0</v>
      </c>
      <c r="BAJ45" s="5">
        <f>-'5. IRR'!BAK16</f>
        <v>-0.0</v>
      </c>
      <c r="BAK45" s="5">
        <f>-'5. IRR'!BAL16</f>
        <v>-0.0</v>
      </c>
      <c r="BAL45" s="5">
        <f>-'5. IRR'!BAM16</f>
        <v>-0.0</v>
      </c>
      <c r="BAM45" s="5">
        <f>-'5. IRR'!BAN16</f>
        <v>-0.0</v>
      </c>
      <c r="BAN45" s="5">
        <f>-'5. IRR'!BAO16</f>
        <v>-0.0</v>
      </c>
      <c r="BAO45" s="5">
        <f>-'5. IRR'!BAP16</f>
        <v>-0.0</v>
      </c>
      <c r="BAP45" s="5">
        <f>-'5. IRR'!BAQ16</f>
        <v>-0.0</v>
      </c>
      <c r="BAQ45" s="5">
        <f>-'5. IRR'!BAR16</f>
        <v>-0.0</v>
      </c>
      <c r="BAR45" s="5">
        <f>-'5. IRR'!BAS16</f>
        <v>-0.0</v>
      </c>
      <c r="BAS45" s="5">
        <f>-'5. IRR'!BAT16</f>
        <v>-0.0</v>
      </c>
      <c r="BAT45" s="5">
        <f>-'5. IRR'!BAU16</f>
        <v>-0.0</v>
      </c>
      <c r="BAU45" s="5">
        <f>-'5. IRR'!BAV16</f>
        <v>-0.0</v>
      </c>
      <c r="BAV45" s="5">
        <f>-'5. IRR'!BAW16</f>
        <v>-0.0</v>
      </c>
      <c r="BAW45" s="5">
        <f>-'5. IRR'!BAX16</f>
        <v>-0.0</v>
      </c>
      <c r="BAX45" s="5">
        <f>-'5. IRR'!BAY16</f>
        <v>-0.0</v>
      </c>
      <c r="BAY45" s="5">
        <f>-'5. IRR'!BAZ16</f>
        <v>-0.0</v>
      </c>
      <c r="BAZ45" s="5">
        <f>-'5. IRR'!BBA16</f>
        <v>-0.0</v>
      </c>
      <c r="BBA45" s="5">
        <f>-'5. IRR'!BBB16</f>
        <v>-0.0</v>
      </c>
      <c r="BBB45" s="5">
        <f>-'5. IRR'!BBC16</f>
        <v>-0.0</v>
      </c>
      <c r="BBC45" s="5">
        <f>-'5. IRR'!BBD16</f>
        <v>-0.0</v>
      </c>
      <c r="BBD45" s="5">
        <f>-'5. IRR'!BBE16</f>
        <v>-0.0</v>
      </c>
      <c r="BBE45" s="5">
        <f>-'5. IRR'!BBF16</f>
        <v>-0.0</v>
      </c>
      <c r="BBF45" s="5">
        <f>-'5. IRR'!BBG16</f>
        <v>-0.0</v>
      </c>
      <c r="BBG45" s="5">
        <f>-'5. IRR'!BBH16</f>
        <v>-0.0</v>
      </c>
      <c r="BBH45" s="5">
        <f>-'5. IRR'!BBI16</f>
        <v>-0.0</v>
      </c>
      <c r="BBI45" s="5">
        <f>-'5. IRR'!BBJ16</f>
        <v>-0.0</v>
      </c>
      <c r="BBJ45" s="5">
        <f>-'5. IRR'!BBK16</f>
        <v>-0.0</v>
      </c>
      <c r="BBK45" s="5">
        <f>-'5. IRR'!BBL16</f>
        <v>-0.0</v>
      </c>
      <c r="BBL45" s="5">
        <f>-'5. IRR'!BBM16</f>
        <v>-0.0</v>
      </c>
      <c r="BBM45" s="5">
        <f>-'5. IRR'!BBN16</f>
        <v>-0.0</v>
      </c>
      <c r="BBN45" s="5">
        <f>-'5. IRR'!BBO16</f>
        <v>-0.0</v>
      </c>
      <c r="BBO45" s="5">
        <f>-'5. IRR'!BBP16</f>
        <v>-0.0</v>
      </c>
      <c r="BBP45" s="5">
        <f>-'5. IRR'!BBQ16</f>
        <v>-0.0</v>
      </c>
      <c r="BBQ45" s="5">
        <f>-'5. IRR'!BBR16</f>
        <v>-0.0</v>
      </c>
      <c r="BBR45" s="5">
        <f>-'5. IRR'!BBS16</f>
        <v>-0.0</v>
      </c>
      <c r="BBS45" s="5">
        <f>-'5. IRR'!BBT16</f>
        <v>-0.0</v>
      </c>
      <c r="BBT45" s="5">
        <f>-'5. IRR'!BBU16</f>
        <v>-0.0</v>
      </c>
      <c r="BBU45" s="5">
        <f>-'5. IRR'!BBV16</f>
        <v>-0.0</v>
      </c>
      <c r="BBV45" s="5">
        <f>-'5. IRR'!BBW16</f>
        <v>-0.0</v>
      </c>
      <c r="BBW45" s="5">
        <f>-'5. IRR'!BBX16</f>
        <v>-0.0</v>
      </c>
      <c r="BBX45" s="5">
        <f>-'5. IRR'!BBY16</f>
        <v>-0.0</v>
      </c>
      <c r="BBY45" s="5">
        <f>-'5. IRR'!BBZ16</f>
        <v>-0.0</v>
      </c>
      <c r="BBZ45" s="5">
        <f>-'5. IRR'!BCA16</f>
        <v>-0.0</v>
      </c>
      <c r="BCA45" s="5">
        <f>-'5. IRR'!BCB16</f>
        <v>-0.0</v>
      </c>
      <c r="BCB45" s="5">
        <f>-'5. IRR'!BCC16</f>
        <v>-0.0</v>
      </c>
      <c r="BCC45" s="5">
        <f>-'5. IRR'!BCD16</f>
        <v>-0.0</v>
      </c>
      <c r="BCD45" s="5">
        <f>-'5. IRR'!BCE16</f>
        <v>-0.0</v>
      </c>
      <c r="BCE45" s="5">
        <f>-'5. IRR'!BCF16</f>
        <v>-0.0</v>
      </c>
      <c r="BCF45" s="5">
        <f>-'5. IRR'!BCG16</f>
        <v>-0.0</v>
      </c>
      <c r="BCG45" s="5">
        <f>-'5. IRR'!BCH16</f>
        <v>-0.0</v>
      </c>
      <c r="BCH45" s="5">
        <f>-'5. IRR'!BCI16</f>
        <v>-0.0</v>
      </c>
      <c r="BCI45" s="5">
        <f>-'5. IRR'!BCJ16</f>
        <v>-0.0</v>
      </c>
      <c r="BCJ45" s="5">
        <f>-'5. IRR'!BCK16</f>
        <v>-0.0</v>
      </c>
      <c r="BCK45" s="5">
        <f>-'5. IRR'!BCL16</f>
        <v>-0.0</v>
      </c>
      <c r="BCL45" s="5">
        <f>-'5. IRR'!BCM16</f>
        <v>-0.0</v>
      </c>
      <c r="BCM45" s="5">
        <f>-'5. IRR'!BCN16</f>
        <v>-0.0</v>
      </c>
      <c r="BCN45" s="5">
        <f>-'5. IRR'!BCO16</f>
        <v>-0.0</v>
      </c>
      <c r="BCO45" s="5">
        <f>-'5. IRR'!BCP16</f>
        <v>-0.0</v>
      </c>
      <c r="BCP45" s="5">
        <f>-'5. IRR'!BCQ16</f>
        <v>-0.0</v>
      </c>
      <c r="BCQ45" s="5">
        <f>-'5. IRR'!BCR16</f>
        <v>-0.0</v>
      </c>
      <c r="BCR45" s="5">
        <f>-'5. IRR'!BCS16</f>
        <v>-0.0</v>
      </c>
      <c r="BCS45" s="5">
        <f>-'5. IRR'!BCT16</f>
        <v>-0.0</v>
      </c>
      <c r="BCT45" s="5">
        <f>-'5. IRR'!BCU16</f>
        <v>-0.0</v>
      </c>
      <c r="BCU45" s="5">
        <f>-'5. IRR'!BCV16</f>
        <v>-0.0</v>
      </c>
      <c r="BCV45" s="5">
        <f>-'5. IRR'!BCW16</f>
        <v>-0.0</v>
      </c>
      <c r="BCW45" s="5">
        <f>-'5. IRR'!BCX16</f>
        <v>-0.0</v>
      </c>
      <c r="BCX45" s="5">
        <f>-'5. IRR'!BCY16</f>
        <v>-0.0</v>
      </c>
      <c r="BCY45" s="5">
        <f>-'5. IRR'!BCZ16</f>
        <v>-0.0</v>
      </c>
      <c r="BCZ45" s="5">
        <f>-'5. IRR'!BDA16</f>
        <v>-0.0</v>
      </c>
      <c r="BDA45" s="5">
        <f>-'5. IRR'!BDB16</f>
        <v>-0.0</v>
      </c>
      <c r="BDB45" s="5">
        <f>-'5. IRR'!BDC16</f>
        <v>-0.0</v>
      </c>
      <c r="BDC45" s="5">
        <f>-'5. IRR'!BDD16</f>
        <v>-0.0</v>
      </c>
      <c r="BDD45" s="5">
        <f>-'5. IRR'!BDE16</f>
        <v>-0.0</v>
      </c>
      <c r="BDE45" s="5">
        <f>-'5. IRR'!BDF16</f>
        <v>-0.0</v>
      </c>
      <c r="BDF45" s="5">
        <f>-'5. IRR'!BDG16</f>
        <v>-0.0</v>
      </c>
      <c r="BDG45" s="5">
        <f>-'5. IRR'!BDH16</f>
        <v>-0.0</v>
      </c>
      <c r="BDH45" s="5">
        <f>-'5. IRR'!BDI16</f>
        <v>-0.0</v>
      </c>
      <c r="BDI45" s="5">
        <f>-'5. IRR'!BDJ16</f>
        <v>-0.0</v>
      </c>
      <c r="BDJ45" s="5">
        <f>-'5. IRR'!BDK16</f>
        <v>-0.0</v>
      </c>
      <c r="BDK45" s="5">
        <f>-'5. IRR'!BDL16</f>
        <v>-0.0</v>
      </c>
      <c r="BDL45" s="5">
        <f>-'5. IRR'!BDM16</f>
        <v>-0.0</v>
      </c>
      <c r="BDM45" s="5">
        <f>-'5. IRR'!BDN16</f>
        <v>-0.0</v>
      </c>
      <c r="BDN45" s="5">
        <f>-'5. IRR'!BDO16</f>
        <v>-0.0</v>
      </c>
      <c r="BDO45" s="5">
        <f>-'5. IRR'!BDP16</f>
        <v>-0.0</v>
      </c>
      <c r="BDP45" s="5">
        <f>-'5. IRR'!BDQ16</f>
        <v>-0.0</v>
      </c>
      <c r="BDQ45" s="5">
        <f>-'5. IRR'!BDR16</f>
        <v>-0.0</v>
      </c>
      <c r="BDR45" s="5">
        <f>-'5. IRR'!BDS16</f>
        <v>-0.0</v>
      </c>
      <c r="BDS45" s="5">
        <f>-'5. IRR'!BDT16</f>
        <v>-0.0</v>
      </c>
      <c r="BDT45" s="5">
        <f>-'5. IRR'!BDU16</f>
        <v>-0.0</v>
      </c>
      <c r="BDU45" s="5">
        <f>-'5. IRR'!BDV16</f>
        <v>-0.0</v>
      </c>
      <c r="BDV45" s="5">
        <f>-'5. IRR'!BDW16</f>
        <v>-0.0</v>
      </c>
      <c r="BDW45" s="5">
        <f>-'5. IRR'!BDX16</f>
        <v>-0.0</v>
      </c>
      <c r="BDX45" s="5">
        <f>-'5. IRR'!BDY16</f>
        <v>-0.0</v>
      </c>
      <c r="BDY45" s="5">
        <f>-'5. IRR'!BDZ16</f>
        <v>-0.0</v>
      </c>
      <c r="BDZ45" s="5">
        <f>-'5. IRR'!BEA16</f>
        <v>-0.0</v>
      </c>
      <c r="BEA45" s="5">
        <f>-'5. IRR'!BEB16</f>
        <v>-0.0</v>
      </c>
      <c r="BEB45" s="5">
        <f>-'5. IRR'!BEC16</f>
        <v>-0.0</v>
      </c>
      <c r="BEC45" s="5">
        <f>-'5. IRR'!BED16</f>
        <v>-0.0</v>
      </c>
      <c r="BED45" s="5">
        <f>-'5. IRR'!BEE16</f>
        <v>-0.0</v>
      </c>
      <c r="BEE45" s="5">
        <f>-'5. IRR'!BEF16</f>
        <v>-0.0</v>
      </c>
      <c r="BEF45" s="5">
        <f>-'5. IRR'!BEG16</f>
        <v>-0.0</v>
      </c>
      <c r="BEG45" s="5">
        <f>-'5. IRR'!BEH16</f>
        <v>-0.0</v>
      </c>
      <c r="BEH45" s="5">
        <f>-'5. IRR'!BEI16</f>
        <v>-0.0</v>
      </c>
      <c r="BEI45" s="5">
        <f>-'5. IRR'!BEJ16</f>
        <v>-0.0</v>
      </c>
      <c r="BEJ45" s="5">
        <f>-'5. IRR'!BEK16</f>
        <v>-0.0</v>
      </c>
      <c r="BEK45" s="5">
        <f>-'5. IRR'!BEL16</f>
        <v>-0.0</v>
      </c>
      <c r="BEL45" s="5">
        <f>-'5. IRR'!BEM16</f>
        <v>-0.0</v>
      </c>
      <c r="BEM45" s="5">
        <f>-'5. IRR'!BEN16</f>
        <v>-0.0</v>
      </c>
      <c r="BEN45" s="5">
        <f>-'5. IRR'!BEO16</f>
        <v>-0.0</v>
      </c>
      <c r="BEO45" s="5">
        <f>-'5. IRR'!BEP16</f>
        <v>-0.0</v>
      </c>
      <c r="BEP45" s="5">
        <f>-'5. IRR'!BEQ16</f>
        <v>-0.0</v>
      </c>
      <c r="BEQ45" s="5">
        <f>-'5. IRR'!BER16</f>
        <v>-0.0</v>
      </c>
      <c r="BER45" s="5">
        <f>-'5. IRR'!BES16</f>
        <v>-0.0</v>
      </c>
      <c r="BES45" s="5">
        <f>-'5. IRR'!BET16</f>
        <v>-0.0</v>
      </c>
      <c r="BET45" s="5">
        <f>-'5. IRR'!BEU16</f>
        <v>-0.0</v>
      </c>
      <c r="BEU45" s="5">
        <f>-'5. IRR'!BEV16</f>
        <v>-0.0</v>
      </c>
      <c r="BEV45" s="5">
        <f>-'5. IRR'!BEW16</f>
        <v>-0.0</v>
      </c>
      <c r="BEW45" s="5">
        <f>-'5. IRR'!BEX16</f>
        <v>-0.0</v>
      </c>
      <c r="BEX45" s="5">
        <f>-'5. IRR'!BEY16</f>
        <v>-0.0</v>
      </c>
      <c r="BEY45" s="5">
        <f>-'5. IRR'!BEZ16</f>
        <v>-0.0</v>
      </c>
      <c r="BEZ45" s="5">
        <f>-'5. IRR'!BFA16</f>
        <v>-0.0</v>
      </c>
      <c r="BFA45" s="5">
        <f>-'5. IRR'!BFB16</f>
        <v>-0.0</v>
      </c>
      <c r="BFB45" s="5">
        <f>-'5. IRR'!BFC16</f>
        <v>-0.0</v>
      </c>
      <c r="BFC45" s="5">
        <f>-'5. IRR'!BFD16</f>
        <v>-0.0</v>
      </c>
      <c r="BFD45" s="5">
        <f>-'5. IRR'!BFE16</f>
        <v>-0.0</v>
      </c>
      <c r="BFE45" s="5">
        <f>-'5. IRR'!BFF16</f>
        <v>-0.0</v>
      </c>
      <c r="BFF45" s="5">
        <f>-'5. IRR'!BFG16</f>
        <v>-0.0</v>
      </c>
      <c r="BFG45" s="5">
        <f>-'5. IRR'!BFH16</f>
        <v>-0.0</v>
      </c>
      <c r="BFH45" s="5">
        <f>-'5. IRR'!BFI16</f>
        <v>-0.0</v>
      </c>
      <c r="BFI45" s="5">
        <f>-'5. IRR'!BFJ16</f>
        <v>-0.0</v>
      </c>
      <c r="BFJ45" s="5">
        <f>-'5. IRR'!BFK16</f>
        <v>-0.0</v>
      </c>
      <c r="BFK45" s="5">
        <f>-'5. IRR'!BFL16</f>
        <v>-0.0</v>
      </c>
      <c r="BFL45" s="5">
        <f>-'5. IRR'!BFM16</f>
        <v>-0.0</v>
      </c>
      <c r="BFM45" s="5">
        <f>-'5. IRR'!BFN16</f>
        <v>-0.0</v>
      </c>
      <c r="BFN45" s="5">
        <f>-'5. IRR'!BFO16</f>
        <v>-0.0</v>
      </c>
      <c r="BFO45" s="5">
        <f>-'5. IRR'!BFP16</f>
        <v>-0.0</v>
      </c>
      <c r="BFP45" s="5">
        <f>-'5. IRR'!BFQ16</f>
        <v>-0.0</v>
      </c>
      <c r="BFQ45" s="5">
        <f>-'5. IRR'!BFR16</f>
        <v>-0.0</v>
      </c>
      <c r="BFR45" s="5">
        <f>-'5. IRR'!BFS16</f>
        <v>-0.0</v>
      </c>
      <c r="BFS45" s="5">
        <f>-'5. IRR'!BFT16</f>
        <v>-0.0</v>
      </c>
      <c r="BFT45" s="5">
        <f>-'5. IRR'!BFU16</f>
        <v>-0.0</v>
      </c>
      <c r="BFU45" s="5">
        <f>-'5. IRR'!BFV16</f>
        <v>-0.0</v>
      </c>
      <c r="BFV45" s="5">
        <f>-'5. IRR'!BFW16</f>
        <v>-0.0</v>
      </c>
      <c r="BFW45" s="5">
        <f>-'5. IRR'!BFX16</f>
        <v>-0.0</v>
      </c>
      <c r="BFX45" s="5">
        <f>-'5. IRR'!BFY16</f>
        <v>-0.0</v>
      </c>
      <c r="BFY45" s="5">
        <f>-'5. IRR'!BFZ16</f>
        <v>-0.0</v>
      </c>
      <c r="BFZ45" s="5">
        <f>-'5. IRR'!BGA16</f>
        <v>-0.0</v>
      </c>
      <c r="BGA45" s="5">
        <f>-'5. IRR'!BGB16</f>
        <v>-0.0</v>
      </c>
      <c r="BGB45" s="5">
        <f>-'5. IRR'!BGC16</f>
        <v>-0.0</v>
      </c>
      <c r="BGC45" s="5">
        <f>-'5. IRR'!BGD16</f>
        <v>-0.0</v>
      </c>
      <c r="BGD45" s="5">
        <f>-'5. IRR'!BGE16</f>
        <v>-0.0</v>
      </c>
      <c r="BGE45" s="5">
        <f>-'5. IRR'!BGF16</f>
        <v>-0.0</v>
      </c>
      <c r="BGF45" s="5">
        <f>-'5. IRR'!BGG16</f>
        <v>-0.0</v>
      </c>
      <c r="BGG45" s="5">
        <f>-'5. IRR'!BGH16</f>
        <v>-0.0</v>
      </c>
      <c r="BGH45" s="5">
        <f>-'5. IRR'!BGI16</f>
        <v>-0.0</v>
      </c>
      <c r="BGI45" s="5">
        <f>-'5. IRR'!BGJ16</f>
        <v>-0.0</v>
      </c>
      <c r="BGJ45" s="5">
        <f>-'5. IRR'!BGK16</f>
        <v>-0.0</v>
      </c>
      <c r="BGK45" s="5">
        <f>-'5. IRR'!BGL16</f>
        <v>-0.0</v>
      </c>
      <c r="BGL45" s="5">
        <f>-'5. IRR'!BGM16</f>
        <v>-0.0</v>
      </c>
      <c r="BGM45" s="5">
        <f>-'5. IRR'!BGN16</f>
        <v>-0.0</v>
      </c>
      <c r="BGN45" s="5">
        <f>-'5. IRR'!BGO16</f>
        <v>-0.0</v>
      </c>
      <c r="BGO45" s="5">
        <f>-'5. IRR'!BGP16</f>
        <v>-0.0</v>
      </c>
      <c r="BGP45" s="5">
        <f>-'5. IRR'!BGQ16</f>
        <v>-0.0</v>
      </c>
      <c r="BGQ45" s="5">
        <f>-'5. IRR'!BGR16</f>
        <v>-0.0</v>
      </c>
      <c r="BGR45" s="5">
        <f>-'5. IRR'!BGS16</f>
        <v>-0.0</v>
      </c>
      <c r="BGS45" s="5">
        <f>-'5. IRR'!BGT16</f>
        <v>-0.0</v>
      </c>
      <c r="BGT45" s="5">
        <f>-'5. IRR'!BGU16</f>
        <v>-0.0</v>
      </c>
      <c r="BGU45" s="5">
        <f>-'5. IRR'!BGV16</f>
        <v>-0.0</v>
      </c>
      <c r="BGV45" s="5">
        <f>-'5. IRR'!BGW16</f>
        <v>-0.0</v>
      </c>
      <c r="BGW45" s="5">
        <f>-'5. IRR'!BGX16</f>
        <v>-0.0</v>
      </c>
      <c r="BGX45" s="5">
        <f>-'5. IRR'!BGY16</f>
        <v>-0.0</v>
      </c>
      <c r="BGY45" s="5">
        <f>-'5. IRR'!BGZ16</f>
        <v>-0.0</v>
      </c>
      <c r="BGZ45" s="5">
        <f>-'5. IRR'!BHA16</f>
        <v>-0.0</v>
      </c>
      <c r="BHA45" s="5">
        <f>-'5. IRR'!BHB16</f>
        <v>-0.0</v>
      </c>
      <c r="BHB45" s="5">
        <f>-'5. IRR'!BHC16</f>
        <v>-0.0</v>
      </c>
      <c r="BHC45" s="5">
        <f>-'5. IRR'!BHD16</f>
        <v>-0.0</v>
      </c>
      <c r="BHD45" s="5">
        <f>-'5. IRR'!BHE16</f>
        <v>-0.0</v>
      </c>
      <c r="BHE45" s="5">
        <f>-'5. IRR'!BHF16</f>
        <v>-0.0</v>
      </c>
      <c r="BHF45" s="5">
        <f>-'5. IRR'!BHG16</f>
        <v>-0.0</v>
      </c>
      <c r="BHG45" s="5">
        <f>-'5. IRR'!BHH16</f>
        <v>-0.0</v>
      </c>
      <c r="BHH45" s="5">
        <f>-'5. IRR'!BHI16</f>
        <v>-0.0</v>
      </c>
      <c r="BHI45" s="5">
        <f>-'5. IRR'!BHJ16</f>
        <v>-0.0</v>
      </c>
      <c r="BHJ45" s="5">
        <f>-'5. IRR'!BHK16</f>
        <v>-0.0</v>
      </c>
      <c r="BHK45" s="5">
        <f>-'5. IRR'!BHL16</f>
        <v>-0.0</v>
      </c>
      <c r="BHL45" s="5">
        <f>-'5. IRR'!BHM16</f>
        <v>-0.0</v>
      </c>
      <c r="BHM45" s="5">
        <f>-'5. IRR'!BHN16</f>
        <v>-0.0</v>
      </c>
      <c r="BHN45" s="5">
        <f>-'5. IRR'!BHO16</f>
        <v>-0.0</v>
      </c>
      <c r="BHO45" s="5">
        <f>-'5. IRR'!BHP16</f>
        <v>-0.0</v>
      </c>
      <c r="BHP45" s="5">
        <f>-'5. IRR'!BHQ16</f>
        <v>-0.0</v>
      </c>
      <c r="BHQ45" s="5">
        <f>-'5. IRR'!BHR16</f>
        <v>-0.0</v>
      </c>
      <c r="BHR45" s="5">
        <f>-'5. IRR'!BHS16</f>
        <v>-0.0</v>
      </c>
      <c r="BHS45" s="5">
        <f>-'5. IRR'!BHT16</f>
        <v>-0.0</v>
      </c>
      <c r="BHT45" s="5">
        <f>-'5. IRR'!BHU16</f>
        <v>-0.0</v>
      </c>
      <c r="BHU45" s="5">
        <f>-'5. IRR'!BHV16</f>
        <v>-0.0</v>
      </c>
      <c r="BHV45" s="5">
        <f>-'5. IRR'!BHW16</f>
        <v>-0.0</v>
      </c>
      <c r="BHW45" s="5">
        <f>-'5. IRR'!BHX16</f>
        <v>-0.0</v>
      </c>
      <c r="BHX45" s="5">
        <f>-'5. IRR'!BHY16</f>
        <v>-0.0</v>
      </c>
      <c r="BHY45" s="5">
        <f>-'5. IRR'!BHZ16</f>
        <v>-0.0</v>
      </c>
      <c r="BHZ45" s="5">
        <f>-'5. IRR'!BIA16</f>
        <v>-0.0</v>
      </c>
      <c r="BIA45" s="5">
        <f>-'5. IRR'!BIB16</f>
        <v>-0.0</v>
      </c>
      <c r="BIB45" s="5">
        <f>-'5. IRR'!BIC16</f>
        <v>-0.0</v>
      </c>
      <c r="BIC45" s="5">
        <f>-'5. IRR'!BID16</f>
        <v>-0.0</v>
      </c>
      <c r="BID45" s="5">
        <f>-'5. IRR'!BIE16</f>
        <v>-0.0</v>
      </c>
      <c r="BIE45" s="5">
        <f>-'5. IRR'!BIF16</f>
        <v>-0.0</v>
      </c>
      <c r="BIF45" s="5">
        <f>-'5. IRR'!BIG16</f>
        <v>-0.0</v>
      </c>
      <c r="BIG45" s="5">
        <f>-'5. IRR'!BIH16</f>
        <v>-0.0</v>
      </c>
      <c r="BIH45" s="5">
        <f>-'5. IRR'!BII16</f>
        <v>-0.0</v>
      </c>
      <c r="BII45" s="5">
        <f>-'5. IRR'!BIJ16</f>
        <v>-0.0</v>
      </c>
      <c r="BIJ45" s="5">
        <f>-'5. IRR'!BIK16</f>
        <v>-0.0</v>
      </c>
      <c r="BIK45" s="5">
        <f>-'5. IRR'!BIL16</f>
        <v>-0.0</v>
      </c>
      <c r="BIL45" s="5">
        <f>-'5. IRR'!BIM16</f>
        <v>-0.0</v>
      </c>
      <c r="BIM45" s="5">
        <f>-'5. IRR'!BIN16</f>
        <v>-0.0</v>
      </c>
      <c r="BIN45" s="5">
        <f>-'5. IRR'!BIO16</f>
        <v>-0.0</v>
      </c>
      <c r="BIO45" s="5">
        <f>-'5. IRR'!BIP16</f>
        <v>-0.0</v>
      </c>
      <c r="BIP45" s="5">
        <f>-'5. IRR'!BIQ16</f>
        <v>-0.0</v>
      </c>
      <c r="BIQ45" s="5">
        <f>-'5. IRR'!BIR16</f>
        <v>-0.0</v>
      </c>
      <c r="BIR45" s="5">
        <f>-'5. IRR'!BIS16</f>
        <v>-0.0</v>
      </c>
      <c r="BIS45" s="5">
        <f>-'5. IRR'!BIT16</f>
        <v>-0.0</v>
      </c>
      <c r="BIT45" s="5">
        <f>-'5. IRR'!BIU16</f>
        <v>-0.0</v>
      </c>
      <c r="BIU45" s="5">
        <f>-'5. IRR'!BIV16</f>
        <v>-0.0</v>
      </c>
      <c r="BIV45" s="5">
        <f>-'5. IRR'!BIW16</f>
        <v>-0.0</v>
      </c>
      <c r="BIW45" s="5">
        <f>-'5. IRR'!BIX16</f>
        <v>-0.0</v>
      </c>
      <c r="BIX45" s="5">
        <f>-'5. IRR'!BIY16</f>
        <v>-0.0</v>
      </c>
      <c r="BIY45" s="5">
        <f>-'5. IRR'!BIZ16</f>
        <v>-0.0</v>
      </c>
      <c r="BIZ45" s="5">
        <f>-'5. IRR'!BJA16</f>
        <v>-0.0</v>
      </c>
      <c r="BJA45" s="5">
        <f>-'5. IRR'!BJB16</f>
        <v>-0.0</v>
      </c>
      <c r="BJB45" s="5">
        <f>-'5. IRR'!BJC16</f>
        <v>-0.0</v>
      </c>
      <c r="BJC45" s="5">
        <f>-'5. IRR'!BJD16</f>
        <v>-0.0</v>
      </c>
      <c r="BJD45" s="5">
        <f>-'5. IRR'!BJE16</f>
        <v>-0.0</v>
      </c>
      <c r="BJE45" s="5">
        <f>-'5. IRR'!BJF16</f>
        <v>-0.0</v>
      </c>
      <c r="BJF45" s="5">
        <f>-'5. IRR'!BJG16</f>
        <v>-0.0</v>
      </c>
      <c r="BJG45" s="5">
        <f>-'5. IRR'!BJH16</f>
        <v>-0.0</v>
      </c>
      <c r="BJH45" s="5">
        <f>-'5. IRR'!BJI16</f>
        <v>-0.0</v>
      </c>
      <c r="BJI45" s="5">
        <f>-'5. IRR'!BJJ16</f>
        <v>-0.0</v>
      </c>
      <c r="BJJ45" s="5">
        <f>-'5. IRR'!BJK16</f>
        <v>-0.0</v>
      </c>
      <c r="BJK45" s="5">
        <f>-'5. IRR'!BJL16</f>
        <v>-0.0</v>
      </c>
      <c r="BJL45" s="5">
        <f>-'5. IRR'!BJM16</f>
        <v>-0.0</v>
      </c>
      <c r="BJM45" s="5">
        <f>-'5. IRR'!BJN16</f>
        <v>-0.0</v>
      </c>
      <c r="BJN45" s="5">
        <f>-'5. IRR'!BJO16</f>
        <v>-0.0</v>
      </c>
      <c r="BJO45" s="5">
        <f>-'5. IRR'!BJP16</f>
        <v>-0.0</v>
      </c>
      <c r="BJP45" s="5">
        <f>-'5. IRR'!BJQ16</f>
        <v>-0.0</v>
      </c>
      <c r="BJQ45" s="5">
        <f>-'5. IRR'!BJR16</f>
        <v>-0.0</v>
      </c>
      <c r="BJR45" s="5">
        <f>-'5. IRR'!BJS16</f>
        <v>-0.0</v>
      </c>
      <c r="BJS45" s="5">
        <f>-'5. IRR'!BJT16</f>
        <v>-0.0</v>
      </c>
      <c r="BJT45" s="5">
        <f>-'5. IRR'!BJU16</f>
        <v>-0.0</v>
      </c>
      <c r="BJU45" s="5">
        <f>-'5. IRR'!BJV16</f>
        <v>-0.0</v>
      </c>
      <c r="BJV45" s="5">
        <f>-'5. IRR'!BJW16</f>
        <v>-0.0</v>
      </c>
      <c r="BJW45" s="5">
        <f>-'5. IRR'!BJX16</f>
        <v>-0.0</v>
      </c>
      <c r="BJX45" s="5">
        <f>-'5. IRR'!BJY16</f>
        <v>-0.0</v>
      </c>
      <c r="BJY45" s="5">
        <f>-'5. IRR'!BJZ16</f>
        <v>-0.0</v>
      </c>
      <c r="BJZ45" s="5">
        <f>-'5. IRR'!BKA16</f>
        <v>-0.0</v>
      </c>
      <c r="BKA45" s="5">
        <f>-'5. IRR'!BKB16</f>
        <v>-0.0</v>
      </c>
      <c r="BKB45" s="5">
        <f>-'5. IRR'!BKC16</f>
        <v>-0.0</v>
      </c>
      <c r="BKC45" s="5">
        <f>-'5. IRR'!BKD16</f>
        <v>-0.0</v>
      </c>
      <c r="BKD45" s="5">
        <f>-'5. IRR'!BKE16</f>
        <v>-0.0</v>
      </c>
      <c r="BKE45" s="5">
        <f>-'5. IRR'!BKF16</f>
        <v>-0.0</v>
      </c>
      <c r="BKF45" s="5">
        <f>-'5. IRR'!BKG16</f>
        <v>-0.0</v>
      </c>
      <c r="BKG45" s="5">
        <f>-'5. IRR'!BKH16</f>
        <v>-0.0</v>
      </c>
      <c r="BKH45" s="5">
        <f>-'5. IRR'!BKI16</f>
        <v>-0.0</v>
      </c>
      <c r="BKI45" s="5">
        <f>-'5. IRR'!BKJ16</f>
        <v>-0.0</v>
      </c>
      <c r="BKJ45" s="5">
        <f>-'5. IRR'!BKK16</f>
        <v>-0.0</v>
      </c>
      <c r="BKK45" s="5">
        <f>-'5. IRR'!BKL16</f>
        <v>-0.0</v>
      </c>
      <c r="BKL45" s="5">
        <f>-'5. IRR'!BKM16</f>
        <v>-0.0</v>
      </c>
      <c r="BKM45" s="5">
        <f>-'5. IRR'!BKN16</f>
        <v>-0.0</v>
      </c>
      <c r="BKN45" s="5">
        <f>-'5. IRR'!BKO16</f>
        <v>-0.0</v>
      </c>
      <c r="BKO45" s="5">
        <f>-'5. IRR'!BKP16</f>
        <v>-0.0</v>
      </c>
      <c r="BKP45" s="5">
        <f>-'5. IRR'!BKQ16</f>
        <v>-0.0</v>
      </c>
      <c r="BKQ45" s="5">
        <f>-'5. IRR'!BKR16</f>
        <v>-0.0</v>
      </c>
      <c r="BKR45" s="5">
        <f>-'5. IRR'!BKS16</f>
        <v>-0.0</v>
      </c>
      <c r="BKS45" s="5">
        <f>-'5. IRR'!BKT16</f>
        <v>-0.0</v>
      </c>
      <c r="BKT45" s="5">
        <f>-'5. IRR'!BKU16</f>
        <v>-0.0</v>
      </c>
      <c r="BKU45" s="5">
        <f>-'5. IRR'!BKV16</f>
        <v>-0.0</v>
      </c>
      <c r="BKV45" s="5">
        <f>-'5. IRR'!BKW16</f>
        <v>-0.0</v>
      </c>
      <c r="BKW45" s="5">
        <f>-'5. IRR'!BKX16</f>
        <v>-0.0</v>
      </c>
      <c r="BKX45" s="5">
        <f>-'5. IRR'!BKY16</f>
        <v>-0.0</v>
      </c>
      <c r="BKY45" s="5">
        <f>-'5. IRR'!BKZ16</f>
        <v>-0.0</v>
      </c>
      <c r="BKZ45" s="5">
        <f>-'5. IRR'!BLA16</f>
        <v>-0.0</v>
      </c>
      <c r="BLA45" s="5">
        <f>-'5. IRR'!BLB16</f>
        <v>-0.0</v>
      </c>
      <c r="BLB45" s="5">
        <f>-'5. IRR'!BLC16</f>
        <v>-0.0</v>
      </c>
      <c r="BLC45" s="5">
        <f>-'5. IRR'!BLD16</f>
        <v>-0.0</v>
      </c>
      <c r="BLD45" s="5">
        <f>-'5. IRR'!BLE16</f>
        <v>-0.0</v>
      </c>
      <c r="BLE45" s="5">
        <f>-'5. IRR'!BLF16</f>
        <v>-0.0</v>
      </c>
      <c r="BLF45" s="5">
        <f>-'5. IRR'!BLG16</f>
        <v>-0.0</v>
      </c>
      <c r="BLG45" s="5">
        <f>-'5. IRR'!BLH16</f>
        <v>-0.0</v>
      </c>
      <c r="BLH45" s="5">
        <f>-'5. IRR'!BLI16</f>
        <v>-0.0</v>
      </c>
      <c r="BLI45" s="5">
        <f>-'5. IRR'!BLJ16</f>
        <v>-0.0</v>
      </c>
      <c r="BLJ45" s="5">
        <f>-'5. IRR'!BLK16</f>
        <v>-0.0</v>
      </c>
      <c r="BLK45" s="5">
        <f>-'5. IRR'!BLL16</f>
        <v>-0.0</v>
      </c>
      <c r="BLL45" s="5">
        <f>-'5. IRR'!BLM16</f>
        <v>-0.0</v>
      </c>
      <c r="BLM45" s="5">
        <f>-'5. IRR'!BLN16</f>
        <v>-0.0</v>
      </c>
      <c r="BLN45" s="5">
        <f>-'5. IRR'!BLO16</f>
        <v>-0.0</v>
      </c>
      <c r="BLO45" s="5">
        <f>-'5. IRR'!BLP16</f>
        <v>-0.0</v>
      </c>
      <c r="BLP45" s="5">
        <f>-'5. IRR'!BLQ16</f>
        <v>-0.0</v>
      </c>
      <c r="BLQ45" s="5">
        <f>-'5. IRR'!BLR16</f>
        <v>-0.0</v>
      </c>
      <c r="BLR45" s="5">
        <f>-'5. IRR'!BLS16</f>
        <v>-0.0</v>
      </c>
      <c r="BLS45" s="5">
        <f>-'5. IRR'!BLT16</f>
        <v>-0.0</v>
      </c>
      <c r="BLT45" s="5">
        <f>-'5. IRR'!BLU16</f>
        <v>-0.0</v>
      </c>
      <c r="BLU45" s="5">
        <f>-'5. IRR'!BLV16</f>
        <v>-0.0</v>
      </c>
      <c r="BLV45" s="5">
        <f>-'5. IRR'!BLW16</f>
        <v>-0.0</v>
      </c>
      <c r="BLW45" s="5">
        <f>-'5. IRR'!BLX16</f>
        <v>-0.0</v>
      </c>
      <c r="BLX45" s="5">
        <f>-'5. IRR'!BLY16</f>
        <v>-0.0</v>
      </c>
      <c r="BLY45" s="5">
        <f>-'5. IRR'!BLZ16</f>
        <v>-0.0</v>
      </c>
      <c r="BLZ45" s="5">
        <f>-'5. IRR'!BMA16</f>
        <v>-0.0</v>
      </c>
      <c r="BMA45" s="5">
        <f>-'5. IRR'!BMB16</f>
        <v>-0.0</v>
      </c>
      <c r="BMB45" s="5">
        <f>-'5. IRR'!BMC16</f>
        <v>-0.0</v>
      </c>
      <c r="BMC45" s="5">
        <f>-'5. IRR'!BMD16</f>
        <v>-0.0</v>
      </c>
      <c r="BMD45" s="5">
        <f>-'5. IRR'!BME16</f>
        <v>-0.0</v>
      </c>
      <c r="BME45" s="5">
        <f>-'5. IRR'!BMF16</f>
        <v>-0.0</v>
      </c>
      <c r="BMF45" s="5">
        <f>-'5. IRR'!BMG16</f>
        <v>-0.0</v>
      </c>
      <c r="BMG45" s="5">
        <f>-'5. IRR'!BMH16</f>
        <v>-0.0</v>
      </c>
      <c r="BMH45" s="5">
        <f>-'5. IRR'!BMI16</f>
        <v>-0.0</v>
      </c>
      <c r="BMI45" s="5">
        <f>-'5. IRR'!BMJ16</f>
        <v>-0.0</v>
      </c>
      <c r="BMJ45" s="5">
        <f>-'5. IRR'!BMK16</f>
        <v>-0.0</v>
      </c>
      <c r="BMK45" s="5">
        <f>-'5. IRR'!BML16</f>
        <v>-0.0</v>
      </c>
      <c r="BML45" s="5">
        <f>-'5. IRR'!BMM16</f>
        <v>-0.0</v>
      </c>
      <c r="BMM45" s="5">
        <f>-'5. IRR'!BMN16</f>
        <v>-0.0</v>
      </c>
      <c r="BMN45" s="5">
        <f>-'5. IRR'!BMO16</f>
        <v>-0.0</v>
      </c>
      <c r="BMO45" s="5">
        <f>-'5. IRR'!BMP16</f>
        <v>-0.0</v>
      </c>
      <c r="BMP45" s="5">
        <f>-'5. IRR'!BMQ16</f>
        <v>-0.0</v>
      </c>
      <c r="BMQ45" s="5">
        <f>-'5. IRR'!BMR16</f>
        <v>-0.0</v>
      </c>
      <c r="BMR45" s="5">
        <f>-'5. IRR'!BMS16</f>
        <v>-0.0</v>
      </c>
      <c r="BMS45" s="5">
        <f>-'5. IRR'!BMT16</f>
        <v>-0.0</v>
      </c>
      <c r="BMT45" s="5">
        <f>-'5. IRR'!BMU16</f>
        <v>-0.0</v>
      </c>
      <c r="BMU45" s="5">
        <f>-'5. IRR'!BMV16</f>
        <v>-0.0</v>
      </c>
      <c r="BMV45" s="5">
        <f>-'5. IRR'!BMW16</f>
        <v>-0.0</v>
      </c>
      <c r="BMW45" s="5">
        <f>-'5. IRR'!BMX16</f>
        <v>-0.0</v>
      </c>
      <c r="BMX45" s="5">
        <f>-'5. IRR'!BMY16</f>
        <v>-0.0</v>
      </c>
      <c r="BMY45" s="5">
        <f>-'5. IRR'!BMZ16</f>
        <v>-0.0</v>
      </c>
      <c r="BMZ45" s="5">
        <f>-'5. IRR'!BNA16</f>
        <v>-0.0</v>
      </c>
      <c r="BNA45" s="5">
        <f>-'5. IRR'!BNB16</f>
        <v>-0.0</v>
      </c>
      <c r="BNB45" s="5">
        <f>-'5. IRR'!BNC16</f>
        <v>-0.0</v>
      </c>
      <c r="BNC45" s="5">
        <f>-'5. IRR'!BND16</f>
        <v>-0.0</v>
      </c>
      <c r="BND45" s="5">
        <f>-'5. IRR'!BNE16</f>
        <v>-0.0</v>
      </c>
      <c r="BNE45" s="5">
        <f>-'5. IRR'!BNF16</f>
        <v>-0.0</v>
      </c>
      <c r="BNF45" s="5">
        <f>-'5. IRR'!BNG16</f>
        <v>-0.0</v>
      </c>
      <c r="BNG45" s="5">
        <f>-'5. IRR'!BNH16</f>
        <v>-0.0</v>
      </c>
      <c r="BNH45" s="5">
        <f>-'5. IRR'!BNI16</f>
        <v>-0.0</v>
      </c>
      <c r="BNI45" s="5">
        <f>-'5. IRR'!BNJ16</f>
        <v>-0.0</v>
      </c>
      <c r="BNJ45" s="5">
        <f>-'5. IRR'!BNK16</f>
        <v>-0.0</v>
      </c>
      <c r="BNK45" s="5">
        <f>-'5. IRR'!BNL16</f>
        <v>-0.0</v>
      </c>
      <c r="BNL45" s="5">
        <f>-'5. IRR'!BNM16</f>
        <v>-0.0</v>
      </c>
      <c r="BNM45" s="5">
        <f>-'5. IRR'!BNN16</f>
        <v>-0.0</v>
      </c>
      <c r="BNN45" s="5">
        <f>-'5. IRR'!BNO16</f>
        <v>-0.0</v>
      </c>
      <c r="BNO45" s="5">
        <f>-'5. IRR'!BNP16</f>
        <v>-0.0</v>
      </c>
      <c r="BNP45" s="5">
        <f>-'5. IRR'!BNQ16</f>
        <v>-0.0</v>
      </c>
      <c r="BNQ45" s="5">
        <f>-'5. IRR'!BNR16</f>
        <v>-0.0</v>
      </c>
      <c r="BNR45" s="5">
        <f>-'5. IRR'!BNS16</f>
        <v>-0.0</v>
      </c>
      <c r="BNS45" s="5">
        <f>-'5. IRR'!BNT16</f>
        <v>-0.0</v>
      </c>
      <c r="BNT45" s="5">
        <f>-'5. IRR'!BNU16</f>
        <v>-0.0</v>
      </c>
      <c r="BNU45" s="5">
        <f>-'5. IRR'!BNV16</f>
        <v>-0.0</v>
      </c>
      <c r="BNV45" s="5">
        <f>-'5. IRR'!BNW16</f>
        <v>-0.0</v>
      </c>
      <c r="BNW45" s="5">
        <f>-'5. IRR'!BNX16</f>
        <v>-0.0</v>
      </c>
      <c r="BNX45" s="5">
        <f>-'5. IRR'!BNY16</f>
        <v>-0.0</v>
      </c>
      <c r="BNY45" s="5">
        <f>-'5. IRR'!BNZ16</f>
        <v>-0.0</v>
      </c>
      <c r="BNZ45" s="5">
        <f>-'5. IRR'!BOA16</f>
        <v>-0.0</v>
      </c>
      <c r="BOA45" s="5">
        <f>-'5. IRR'!BOB16</f>
        <v>-0.0</v>
      </c>
      <c r="BOB45" s="5">
        <f>-'5. IRR'!BOC16</f>
        <v>-0.0</v>
      </c>
      <c r="BOC45" s="5">
        <f>-'5. IRR'!BOD16</f>
        <v>-0.0</v>
      </c>
      <c r="BOD45" s="5">
        <f>-'5. IRR'!BOE16</f>
        <v>-0.0</v>
      </c>
      <c r="BOE45" s="5">
        <f>-'5. IRR'!BOF16</f>
        <v>-0.0</v>
      </c>
      <c r="BOF45" s="5">
        <f>-'5. IRR'!BOG16</f>
        <v>-0.0</v>
      </c>
      <c r="BOG45" s="5">
        <f>-'5. IRR'!BOH16</f>
        <v>-0.0</v>
      </c>
      <c r="BOH45" s="5">
        <f>-'5. IRR'!BOI16</f>
        <v>-0.0</v>
      </c>
      <c r="BOI45" s="5">
        <f>-'5. IRR'!BOJ16</f>
        <v>-0.0</v>
      </c>
      <c r="BOJ45" s="5">
        <f>-'5. IRR'!BOK16</f>
        <v>-0.0</v>
      </c>
      <c r="BOK45" s="5">
        <f>-'5. IRR'!BOL16</f>
        <v>-0.0</v>
      </c>
      <c r="BOL45" s="5">
        <f>-'5. IRR'!BOM16</f>
        <v>-0.0</v>
      </c>
      <c r="BOM45" s="5">
        <f>-'5. IRR'!BON16</f>
        <v>-0.0</v>
      </c>
      <c r="BON45" s="5">
        <f>-'5. IRR'!BOO16</f>
        <v>-0.0</v>
      </c>
      <c r="BOO45" s="5">
        <f>-'5. IRR'!BOP16</f>
        <v>-0.0</v>
      </c>
      <c r="BOP45" s="5">
        <f>-'5. IRR'!BOQ16</f>
        <v>-0.0</v>
      </c>
      <c r="BOQ45" s="5">
        <f>-'5. IRR'!BOR16</f>
        <v>-0.0</v>
      </c>
      <c r="BOR45" s="5">
        <f>-'5. IRR'!BOS16</f>
        <v>-0.0</v>
      </c>
      <c r="BOS45" s="5">
        <f>-'5. IRR'!BOT16</f>
        <v>-0.0</v>
      </c>
      <c r="BOT45" s="5">
        <f>-'5. IRR'!BOU16</f>
        <v>-0.0</v>
      </c>
      <c r="BOU45" s="5">
        <f>-'5. IRR'!BOV16</f>
        <v>-0.0</v>
      </c>
      <c r="BOV45" s="5">
        <f>-'5. IRR'!BOW16</f>
        <v>-0.0</v>
      </c>
      <c r="BOW45" s="5">
        <f>-'5. IRR'!BOX16</f>
        <v>-0.0</v>
      </c>
      <c r="BOX45" s="5">
        <f>-'5. IRR'!BOY16</f>
        <v>-0.0</v>
      </c>
      <c r="BOY45" s="5">
        <f>-'5. IRR'!BOZ16</f>
        <v>-0.0</v>
      </c>
      <c r="BOZ45" s="5">
        <f>-'5. IRR'!BPA16</f>
        <v>-0.0</v>
      </c>
      <c r="BPA45" s="5">
        <f>-'5. IRR'!BPB16</f>
        <v>-0.0</v>
      </c>
      <c r="BPB45" s="5">
        <f>-'5. IRR'!BPC16</f>
        <v>-0.0</v>
      </c>
      <c r="BPC45" s="5">
        <f>-'5. IRR'!BPD16</f>
        <v>-0.0</v>
      </c>
      <c r="BPD45" s="5">
        <f>-'5. IRR'!BPE16</f>
        <v>-0.0</v>
      </c>
      <c r="BPE45" s="5">
        <f>-'5. IRR'!BPF16</f>
        <v>-0.0</v>
      </c>
      <c r="BPF45" s="5">
        <f>-'5. IRR'!BPG16</f>
        <v>-0.0</v>
      </c>
      <c r="BPG45" s="5">
        <f>-'5. IRR'!BPH16</f>
        <v>-0.0</v>
      </c>
      <c r="BPH45" s="5">
        <f>-'5. IRR'!BPI16</f>
        <v>-0.0</v>
      </c>
      <c r="BPI45" s="5">
        <f>-'5. IRR'!BPJ16</f>
        <v>-0.0</v>
      </c>
      <c r="BPJ45" s="5">
        <f>-'5. IRR'!BPK16</f>
        <v>-0.0</v>
      </c>
      <c r="BPK45" s="5">
        <f>-'5. IRR'!BPL16</f>
        <v>-0.0</v>
      </c>
      <c r="BPL45" s="5">
        <f>-'5. IRR'!BPM16</f>
        <v>-0.0</v>
      </c>
      <c r="BPM45" s="5">
        <f>-'5. IRR'!BPN16</f>
        <v>-0.0</v>
      </c>
      <c r="BPN45" s="5">
        <f>-'5. IRR'!BPO16</f>
        <v>-0.0</v>
      </c>
      <c r="BPO45" s="5">
        <f>-'5. IRR'!BPP16</f>
        <v>-0.0</v>
      </c>
      <c r="BPP45" s="5">
        <f>-'5. IRR'!BPQ16</f>
        <v>-0.0</v>
      </c>
      <c r="BPQ45" s="5">
        <f>-'5. IRR'!BPR16</f>
        <v>-0.0</v>
      </c>
      <c r="BPR45" s="5">
        <f>-'5. IRR'!BPS16</f>
        <v>-0.0</v>
      </c>
      <c r="BPS45" s="5">
        <f>-'5. IRR'!BPT16</f>
        <v>-0.0</v>
      </c>
      <c r="BPT45" s="5">
        <f>-'5. IRR'!BPU16</f>
        <v>-0.0</v>
      </c>
      <c r="BPU45" s="5">
        <f>-'5. IRR'!BPV16</f>
        <v>-0.0</v>
      </c>
      <c r="BPV45" s="5">
        <f>-'5. IRR'!BPW16</f>
        <v>-0.0</v>
      </c>
      <c r="BPW45" s="5">
        <f>-'5. IRR'!BPX16</f>
        <v>-0.0</v>
      </c>
      <c r="BPX45" s="5">
        <f>-'5. IRR'!BPY16</f>
        <v>-0.0</v>
      </c>
      <c r="BPY45" s="5">
        <f>-'5. IRR'!BPZ16</f>
        <v>-0.0</v>
      </c>
      <c r="BPZ45" s="5">
        <f>-'5. IRR'!BQA16</f>
        <v>-0.0</v>
      </c>
      <c r="BQA45" s="5">
        <f>-'5. IRR'!BQB16</f>
        <v>-0.0</v>
      </c>
      <c r="BQB45" s="5">
        <f>-'5. IRR'!BQC16</f>
        <v>-0.0</v>
      </c>
      <c r="BQC45" s="5">
        <f>-'5. IRR'!BQD16</f>
        <v>-0.0</v>
      </c>
      <c r="BQD45" s="5">
        <f>-'5. IRR'!BQE16</f>
        <v>-0.0</v>
      </c>
      <c r="BQE45" s="5">
        <f>-'5. IRR'!BQF16</f>
        <v>-0.0</v>
      </c>
      <c r="BQF45" s="5">
        <f>-'5. IRR'!BQG16</f>
        <v>-0.0</v>
      </c>
      <c r="BQG45" s="5">
        <f>-'5. IRR'!BQH16</f>
        <v>-0.0</v>
      </c>
      <c r="BQH45" s="5">
        <f>-'5. IRR'!BQI16</f>
        <v>-0.0</v>
      </c>
      <c r="BQI45" s="5">
        <f>-'5. IRR'!BQJ16</f>
        <v>-0.0</v>
      </c>
      <c r="BQJ45" s="5">
        <f>-'5. IRR'!BQK16</f>
        <v>-0.0</v>
      </c>
      <c r="BQK45" s="5">
        <f>-'5. IRR'!BQL16</f>
        <v>-0.0</v>
      </c>
      <c r="BQL45" s="5">
        <f>-'5. IRR'!BQM16</f>
        <v>-0.0</v>
      </c>
      <c r="BQM45" s="5">
        <f>-'5. IRR'!BQN16</f>
        <v>-0.0</v>
      </c>
      <c r="BQN45" s="5">
        <f>-'5. IRR'!BQO16</f>
        <v>-0.0</v>
      </c>
      <c r="BQO45" s="5">
        <f>-'5. IRR'!BQP16</f>
        <v>-0.0</v>
      </c>
      <c r="BQP45" s="5">
        <f>-'5. IRR'!BQQ16</f>
        <v>-0.0</v>
      </c>
      <c r="BQQ45" s="5">
        <f>-'5. IRR'!BQR16</f>
        <v>-0.0</v>
      </c>
      <c r="BQR45" s="5">
        <f>-'5. IRR'!BQS16</f>
        <v>-0.0</v>
      </c>
      <c r="BQS45" s="5">
        <f>-'5. IRR'!BQT16</f>
        <v>-0.0</v>
      </c>
      <c r="BQT45" s="5">
        <f>-'5. IRR'!BQU16</f>
        <v>-0.0</v>
      </c>
      <c r="BQU45" s="5">
        <f>-'5. IRR'!BQV16</f>
        <v>-0.0</v>
      </c>
      <c r="BQV45" s="5">
        <f>-'5. IRR'!BQW16</f>
        <v>-0.0</v>
      </c>
      <c r="BQW45" s="5">
        <f>-'5. IRR'!BQX16</f>
        <v>-0.0</v>
      </c>
      <c r="BQX45" s="5">
        <f>-'5. IRR'!BQY16</f>
        <v>-0.0</v>
      </c>
      <c r="BQY45" s="5">
        <f>-'5. IRR'!BQZ16</f>
        <v>-0.0</v>
      </c>
      <c r="BQZ45" s="5">
        <f>-'5. IRR'!BRA16</f>
        <v>-0.0</v>
      </c>
      <c r="BRA45" s="5">
        <f>-'5. IRR'!BRB16</f>
        <v>-0.0</v>
      </c>
      <c r="BRB45" s="5">
        <f>-'5. IRR'!BRC16</f>
        <v>-0.0</v>
      </c>
      <c r="BRC45" s="5">
        <f>-'5. IRR'!BRD16</f>
        <v>-0.0</v>
      </c>
      <c r="BRD45" s="5">
        <f>-'5. IRR'!BRE16</f>
        <v>-0.0</v>
      </c>
      <c r="BRE45" s="5">
        <f>-'5. IRR'!BRF16</f>
        <v>-0.0</v>
      </c>
      <c r="BRF45" s="5">
        <f>-'5. IRR'!BRG16</f>
        <v>-0.0</v>
      </c>
      <c r="BRG45" s="5">
        <f>-'5. IRR'!BRH16</f>
        <v>-0.0</v>
      </c>
      <c r="BRH45" s="5">
        <f>-'5. IRR'!BRI16</f>
        <v>-0.0</v>
      </c>
      <c r="BRI45" s="5">
        <f>-'5. IRR'!BRJ16</f>
        <v>-0.0</v>
      </c>
      <c r="BRJ45" s="5">
        <f>-'5. IRR'!BRK16</f>
        <v>-0.0</v>
      </c>
      <c r="BRK45" s="5">
        <f>-'5. IRR'!BRL16</f>
        <v>-0.0</v>
      </c>
      <c r="BRL45" s="5">
        <f>-'5. IRR'!BRM16</f>
        <v>-0.0</v>
      </c>
      <c r="BRM45" s="5">
        <f>-'5. IRR'!BRN16</f>
        <v>-0.0</v>
      </c>
      <c r="BRN45" s="5">
        <f>-'5. IRR'!BRO16</f>
        <v>-0.0</v>
      </c>
      <c r="BRO45" s="5">
        <f>-'5. IRR'!BRP16</f>
        <v>-0.0</v>
      </c>
      <c r="BRP45" s="5">
        <f>-'5. IRR'!BRQ16</f>
        <v>-0.0</v>
      </c>
      <c r="BRQ45" s="5">
        <f>-'5. IRR'!BRR16</f>
        <v>-0.0</v>
      </c>
      <c r="BRR45" s="5">
        <f>-'5. IRR'!BRS16</f>
        <v>-0.0</v>
      </c>
      <c r="BRS45" s="5">
        <f>-'5. IRR'!BRT16</f>
        <v>-0.0</v>
      </c>
      <c r="BRT45" s="5">
        <f>-'5. IRR'!BRU16</f>
        <v>-0.0</v>
      </c>
      <c r="BRU45" s="5">
        <f>-'5. IRR'!BRV16</f>
        <v>-0.0</v>
      </c>
      <c r="BRV45" s="5">
        <f>-'5. IRR'!BRW16</f>
        <v>-0.0</v>
      </c>
      <c r="BRW45" s="5">
        <f>-'5. IRR'!BRX16</f>
        <v>-0.0</v>
      </c>
      <c r="BRX45" s="5">
        <f>-'5. IRR'!BRY16</f>
        <v>-0.0</v>
      </c>
      <c r="BRY45" s="5">
        <f>-'5. IRR'!BRZ16</f>
        <v>-0.0</v>
      </c>
      <c r="BRZ45" s="5">
        <f>-'5. IRR'!BSA16</f>
        <v>-0.0</v>
      </c>
      <c r="BSA45" s="5">
        <f>-'5. IRR'!BSB16</f>
        <v>-0.0</v>
      </c>
      <c r="BSB45" s="5">
        <f>-'5. IRR'!BSC16</f>
        <v>-0.0</v>
      </c>
      <c r="BSC45" s="5">
        <f>-'5. IRR'!BSD16</f>
        <v>-0.0</v>
      </c>
      <c r="BSD45" s="5">
        <f>-'5. IRR'!BSE16</f>
        <v>-0.0</v>
      </c>
      <c r="BSE45" s="5">
        <f>-'5. IRR'!BSF16</f>
        <v>-0.0</v>
      </c>
      <c r="BSF45" s="5">
        <f>-'5. IRR'!BSG16</f>
        <v>-0.0</v>
      </c>
      <c r="BSG45" s="5">
        <f>-'5. IRR'!BSH16</f>
        <v>-0.0</v>
      </c>
      <c r="BSH45" s="5">
        <f>-'5. IRR'!BSI16</f>
        <v>-0.0</v>
      </c>
      <c r="BSI45" s="5">
        <f>-'5. IRR'!BSJ16</f>
        <v>-0.0</v>
      </c>
      <c r="BSJ45" s="5">
        <f>-'5. IRR'!BSK16</f>
        <v>-0.0</v>
      </c>
      <c r="BSK45" s="5">
        <f>-'5. IRR'!BSL16</f>
        <v>-0.0</v>
      </c>
      <c r="BSL45" s="5">
        <f>-'5. IRR'!BSM16</f>
        <v>-0.0</v>
      </c>
      <c r="BSM45" s="5">
        <f>-'5. IRR'!BSN16</f>
        <v>-0.0</v>
      </c>
      <c r="BSN45" s="5">
        <f>-'5. IRR'!BSO16</f>
        <v>-0.0</v>
      </c>
      <c r="BSO45" s="5">
        <f>-'5. IRR'!BSP16</f>
        <v>-0.0</v>
      </c>
      <c r="BSP45" s="5">
        <f>-'5. IRR'!BSQ16</f>
        <v>-0.0</v>
      </c>
      <c r="BSQ45" s="5">
        <f>-'5. IRR'!BSR16</f>
        <v>-0.0</v>
      </c>
      <c r="BSR45" s="5">
        <f>-'5. IRR'!BSS16</f>
        <v>-0.0</v>
      </c>
      <c r="BSS45" s="5">
        <f>-'5. IRR'!BST16</f>
        <v>-0.0</v>
      </c>
      <c r="BST45" s="5">
        <f>-'5. IRR'!BSU16</f>
        <v>-0.0</v>
      </c>
      <c r="BSU45" s="5">
        <f>-'5. IRR'!BSV16</f>
        <v>-0.0</v>
      </c>
      <c r="BSV45" s="5">
        <f>-'5. IRR'!BSW16</f>
        <v>-0.0</v>
      </c>
      <c r="BSW45" s="5">
        <f>-'5. IRR'!BSX16</f>
        <v>-0.0</v>
      </c>
      <c r="BSX45" s="5">
        <f>-'5. IRR'!BSY16</f>
        <v>-0.0</v>
      </c>
      <c r="BSY45" s="5">
        <f>-'5. IRR'!BSZ16</f>
        <v>-0.0</v>
      </c>
      <c r="BSZ45" s="5">
        <f>-'5. IRR'!BTA16</f>
        <v>-0.0</v>
      </c>
      <c r="BTA45" s="5">
        <f>-'5. IRR'!BTB16</f>
        <v>-0.0</v>
      </c>
      <c r="BTB45" s="5">
        <f>-'5. IRR'!BTC16</f>
        <v>-0.0</v>
      </c>
      <c r="BTC45" s="5">
        <f>-'5. IRR'!BTD16</f>
        <v>-0.0</v>
      </c>
      <c r="BTD45" s="5">
        <f>-'5. IRR'!BTE16</f>
        <v>-0.0</v>
      </c>
      <c r="BTE45" s="5">
        <f>-'5. IRR'!BTF16</f>
        <v>-0.0</v>
      </c>
      <c r="BTF45" s="5">
        <f>-'5. IRR'!BTG16</f>
        <v>-0.0</v>
      </c>
      <c r="BTG45" s="5">
        <f>-'5. IRR'!BTH16</f>
        <v>-0.0</v>
      </c>
      <c r="BTH45" s="5">
        <f>-'5. IRR'!BTI16</f>
        <v>-0.0</v>
      </c>
      <c r="BTI45" s="5">
        <f>-'5. IRR'!BTJ16</f>
        <v>-0.0</v>
      </c>
      <c r="BTJ45" s="5">
        <f>-'5. IRR'!BTK16</f>
        <v>-0.0</v>
      </c>
      <c r="BTK45" s="5">
        <f>-'5. IRR'!BTL16</f>
        <v>-0.0</v>
      </c>
      <c r="BTL45" s="5">
        <f>-'5. IRR'!BTM16</f>
        <v>-0.0</v>
      </c>
      <c r="BTM45" s="5">
        <f>-'5. IRR'!BTN16</f>
        <v>-0.0</v>
      </c>
      <c r="BTN45" s="5">
        <f>-'5. IRR'!BTO16</f>
        <v>-0.0</v>
      </c>
      <c r="BTO45" s="5">
        <f>-'5. IRR'!BTP16</f>
        <v>-0.0</v>
      </c>
      <c r="BTP45" s="5">
        <f>-'5. IRR'!BTQ16</f>
        <v>-0.0</v>
      </c>
      <c r="BTQ45" s="5">
        <f>-'5. IRR'!BTR16</f>
        <v>-0.0</v>
      </c>
      <c r="BTR45" s="5">
        <f>-'5. IRR'!BTS16</f>
        <v>-0.0</v>
      </c>
      <c r="BTS45" s="5">
        <f>-'5. IRR'!BTT16</f>
        <v>-0.0</v>
      </c>
      <c r="BTT45" s="5">
        <f>-'5. IRR'!BTU16</f>
        <v>-0.0</v>
      </c>
      <c r="BTU45" s="5">
        <f>-'5. IRR'!BTV16</f>
        <v>-0.0</v>
      </c>
      <c r="BTV45" s="5">
        <f>-'5. IRR'!BTW16</f>
        <v>-0.0</v>
      </c>
      <c r="BTW45" s="5">
        <f>-'5. IRR'!BTX16</f>
        <v>-0.0</v>
      </c>
      <c r="BTX45" s="5">
        <f>-'5. IRR'!BTY16</f>
        <v>-0.0</v>
      </c>
      <c r="BTY45" s="5">
        <f>-'5. IRR'!BTZ16</f>
        <v>-0.0</v>
      </c>
      <c r="BTZ45" s="5">
        <f>-'5. IRR'!BUA16</f>
        <v>-0.0</v>
      </c>
      <c r="BUA45" s="5">
        <f>-'5. IRR'!BUB16</f>
        <v>-0.0</v>
      </c>
      <c r="BUB45" s="5">
        <f>-'5. IRR'!BUC16</f>
        <v>-0.0</v>
      </c>
      <c r="BUC45" s="5">
        <f>-'5. IRR'!BUD16</f>
        <v>-0.0</v>
      </c>
      <c r="BUD45" s="5">
        <f>-'5. IRR'!BUE16</f>
        <v>-0.0</v>
      </c>
      <c r="BUE45" s="5">
        <f>-'5. IRR'!BUF16</f>
        <v>-0.0</v>
      </c>
      <c r="BUF45" s="5">
        <f>-'5. IRR'!BUG16</f>
        <v>-0.0</v>
      </c>
      <c r="BUG45" s="5">
        <f>-'5. IRR'!BUH16</f>
        <v>-0.0</v>
      </c>
      <c r="BUH45" s="5">
        <f>-'5. IRR'!BUI16</f>
        <v>-0.0</v>
      </c>
      <c r="BUI45" s="5">
        <f>-'5. IRR'!BUJ16</f>
        <v>-0.0</v>
      </c>
      <c r="BUJ45" s="5">
        <f>-'5. IRR'!BUK16</f>
        <v>-0.0</v>
      </c>
      <c r="BUK45" s="5">
        <f>-'5. IRR'!BUL16</f>
        <v>-0.0</v>
      </c>
      <c r="BUL45" s="5">
        <f>-'5. IRR'!BUM16</f>
        <v>-0.0</v>
      </c>
      <c r="BUM45" s="5">
        <f>-'5. IRR'!BUN16</f>
        <v>-0.0</v>
      </c>
      <c r="BUN45" s="5">
        <f>-'5. IRR'!BUO16</f>
        <v>-0.0</v>
      </c>
      <c r="BUO45" s="5">
        <f>-'5. IRR'!BUP16</f>
        <v>-0.0</v>
      </c>
      <c r="BUP45" s="5">
        <f>-'5. IRR'!BUQ16</f>
        <v>-0.0</v>
      </c>
      <c r="BUQ45" s="5">
        <f>-'5. IRR'!BUR16</f>
        <v>-0.0</v>
      </c>
      <c r="BUR45" s="5">
        <f>-'5. IRR'!BUS16</f>
        <v>-0.0</v>
      </c>
      <c r="BUS45" s="5">
        <f>-'5. IRR'!BUT16</f>
        <v>-0.0</v>
      </c>
      <c r="BUT45" s="5">
        <f>-'5. IRR'!BUU16</f>
        <v>-0.0</v>
      </c>
      <c r="BUU45" s="5">
        <f>-'5. IRR'!BUV16</f>
        <v>-0.0</v>
      </c>
      <c r="BUV45" s="5">
        <f>-'5. IRR'!BUW16</f>
        <v>-0.0</v>
      </c>
      <c r="BUW45" s="5">
        <f>-'5. IRR'!BUX16</f>
        <v>-0.0</v>
      </c>
      <c r="BUX45" s="5">
        <f>-'5. IRR'!BUY16</f>
        <v>-0.0</v>
      </c>
      <c r="BUY45" s="5">
        <f>-'5. IRR'!BUZ16</f>
        <v>-0.0</v>
      </c>
      <c r="BUZ45" s="5">
        <f>-'5. IRR'!BVA16</f>
        <v>-0.0</v>
      </c>
      <c r="BVA45" s="5">
        <f>-'5. IRR'!BVB16</f>
        <v>-0.0</v>
      </c>
      <c r="BVB45" s="5">
        <f>-'5. IRR'!BVC16</f>
        <v>-0.0</v>
      </c>
      <c r="BVC45" s="5">
        <f>-'5. IRR'!BVD16</f>
        <v>-0.0</v>
      </c>
      <c r="BVD45" s="5">
        <f>-'5. IRR'!BVE16</f>
        <v>-0.0</v>
      </c>
      <c r="BVE45" s="5">
        <f>-'5. IRR'!BVF16</f>
        <v>-0.0</v>
      </c>
      <c r="BVF45" s="5">
        <f>-'5. IRR'!BVG16</f>
        <v>-0.0</v>
      </c>
      <c r="BVG45" s="5">
        <f>-'5. IRR'!BVH16</f>
        <v>-0.0</v>
      </c>
      <c r="BVH45" s="5">
        <f>-'5. IRR'!BVI16</f>
        <v>-0.0</v>
      </c>
      <c r="BVI45" s="5">
        <f>-'5. IRR'!BVJ16</f>
        <v>-0.0</v>
      </c>
      <c r="BVJ45" s="5">
        <f>-'5. IRR'!BVK16</f>
        <v>-0.0</v>
      </c>
      <c r="BVK45" s="5">
        <f>-'5. IRR'!BVL16</f>
        <v>-0.0</v>
      </c>
      <c r="BVL45" s="5">
        <f>-'5. IRR'!BVM16</f>
        <v>-0.0</v>
      </c>
      <c r="BVM45" s="5">
        <f>-'5. IRR'!BVN16</f>
        <v>-0.0</v>
      </c>
      <c r="BVN45" s="5">
        <f>-'5. IRR'!BVO16</f>
        <v>-0.0</v>
      </c>
      <c r="BVO45" s="5">
        <f>-'5. IRR'!BVP16</f>
        <v>-0.0</v>
      </c>
      <c r="BVP45" s="5">
        <f>-'5. IRR'!BVQ16</f>
        <v>-0.0</v>
      </c>
      <c r="BVQ45" s="5">
        <f>-'5. IRR'!BVR16</f>
        <v>-0.0</v>
      </c>
      <c r="BVR45" s="5">
        <f>-'5. IRR'!BVS16</f>
        <v>-0.0</v>
      </c>
      <c r="BVS45" s="5">
        <f>-'5. IRR'!BVT16</f>
        <v>-0.0</v>
      </c>
      <c r="BVT45" s="5">
        <f>-'5. IRR'!BVU16</f>
        <v>-0.0</v>
      </c>
      <c r="BVU45" s="5">
        <f>-'5. IRR'!BVV16</f>
        <v>-0.0</v>
      </c>
      <c r="BVV45" s="5">
        <f>-'5. IRR'!BVW16</f>
        <v>-0.0</v>
      </c>
      <c r="BVW45" s="5">
        <f>-'5. IRR'!BVX16</f>
        <v>-0.0</v>
      </c>
      <c r="BVX45" s="5">
        <f>-'5. IRR'!BVY16</f>
        <v>-0.0</v>
      </c>
      <c r="BVY45" s="5">
        <f>-'5. IRR'!BVZ16</f>
        <v>-0.0</v>
      </c>
      <c r="BVZ45" s="5">
        <f>-'5. IRR'!BWA16</f>
        <v>-0.0</v>
      </c>
      <c r="BWA45" s="5">
        <f>-'5. IRR'!BWB16</f>
        <v>-0.0</v>
      </c>
      <c r="BWB45" s="5">
        <f>-'5. IRR'!BWC16</f>
        <v>-0.0</v>
      </c>
      <c r="BWC45" s="5">
        <f>-'5. IRR'!BWD16</f>
        <v>-0.0</v>
      </c>
      <c r="BWD45" s="5">
        <f>-'5. IRR'!BWE16</f>
        <v>-0.0</v>
      </c>
      <c r="BWE45" s="5">
        <f>-'5. IRR'!BWF16</f>
        <v>-0.0</v>
      </c>
      <c r="BWF45" s="5">
        <f>-'5. IRR'!BWG16</f>
        <v>-0.0</v>
      </c>
      <c r="BWG45" s="5">
        <f>-'5. IRR'!BWH16</f>
        <v>-0.0</v>
      </c>
      <c r="BWH45" s="5">
        <f>-'5. IRR'!BWI16</f>
        <v>-0.0</v>
      </c>
      <c r="BWI45" s="5">
        <f>-'5. IRR'!BWJ16</f>
        <v>-0.0</v>
      </c>
      <c r="BWJ45" s="5">
        <f>-'5. IRR'!BWK16</f>
        <v>-0.0</v>
      </c>
      <c r="BWK45" s="5">
        <f>-'5. IRR'!BWL16</f>
        <v>-0.0</v>
      </c>
      <c r="BWL45" s="5">
        <f>-'5. IRR'!BWM16</f>
        <v>-0.0</v>
      </c>
      <c r="BWM45" s="5">
        <f>-'5. IRR'!BWN16</f>
        <v>-0.0</v>
      </c>
      <c r="BWN45" s="5">
        <f>-'5. IRR'!BWO16</f>
        <v>-0.0</v>
      </c>
      <c r="BWO45" s="5">
        <f>-'5. IRR'!BWP16</f>
        <v>-0.0</v>
      </c>
      <c r="BWP45" s="5">
        <f>-'5. IRR'!BWQ16</f>
        <v>-0.0</v>
      </c>
      <c r="BWQ45" s="5">
        <f>-'5. IRR'!BWR16</f>
        <v>-0.0</v>
      </c>
      <c r="BWR45" s="5">
        <f>-'5. IRR'!BWS16</f>
        <v>-0.0</v>
      </c>
      <c r="BWS45" s="5">
        <f>-'5. IRR'!BWT16</f>
        <v>-0.0</v>
      </c>
      <c r="BWT45" s="5">
        <f>-'5. IRR'!BWU16</f>
        <v>-0.0</v>
      </c>
      <c r="BWU45" s="5">
        <f>-'5. IRR'!BWV16</f>
        <v>-0.0</v>
      </c>
      <c r="BWV45" s="5">
        <f>-'5. IRR'!BWW16</f>
        <v>-0.0</v>
      </c>
      <c r="BWW45" s="5">
        <f>-'5. IRR'!BWX16</f>
        <v>-0.0</v>
      </c>
      <c r="BWX45" s="5">
        <f>-'5. IRR'!BWY16</f>
        <v>-0.0</v>
      </c>
      <c r="BWY45" s="5">
        <f>-'5. IRR'!BWZ16</f>
        <v>-0.0</v>
      </c>
      <c r="BWZ45" s="5">
        <f>-'5. IRR'!BXA16</f>
        <v>-0.0</v>
      </c>
      <c r="BXA45" s="5">
        <f>-'5. IRR'!BXB16</f>
        <v>-0.0</v>
      </c>
      <c r="BXB45" s="5">
        <f>-'5. IRR'!BXC16</f>
        <v>-0.0</v>
      </c>
      <c r="BXC45" s="5">
        <f>-'5. IRR'!BXD16</f>
        <v>-0.0</v>
      </c>
      <c r="BXD45" s="5">
        <f>-'5. IRR'!BXE16</f>
        <v>-0.0</v>
      </c>
      <c r="BXE45" s="5">
        <f>-'5. IRR'!BXF16</f>
        <v>-0.0</v>
      </c>
      <c r="BXF45" s="5">
        <f>-'5. IRR'!BXG16</f>
        <v>-0.0</v>
      </c>
      <c r="BXG45" s="5">
        <f>-'5. IRR'!BXH16</f>
        <v>-0.0</v>
      </c>
      <c r="BXH45" s="5">
        <f>-'5. IRR'!BXI16</f>
        <v>-0.0</v>
      </c>
      <c r="BXI45" s="5">
        <f>-'5. IRR'!BXJ16</f>
        <v>-0.0</v>
      </c>
      <c r="BXJ45" s="5">
        <f>-'5. IRR'!BXK16</f>
        <v>-0.0</v>
      </c>
      <c r="BXK45" s="5">
        <f>-'5. IRR'!BXL16</f>
        <v>-0.0</v>
      </c>
      <c r="BXL45" s="5">
        <f>-'5. IRR'!BXM16</f>
        <v>-0.0</v>
      </c>
      <c r="BXM45" s="5">
        <f>-'5. IRR'!BXN16</f>
        <v>-0.0</v>
      </c>
      <c r="BXN45" s="5">
        <f>-'5. IRR'!BXO16</f>
        <v>-0.0</v>
      </c>
      <c r="BXO45" s="5">
        <f>-'5. IRR'!BXP16</f>
        <v>-0.0</v>
      </c>
      <c r="BXP45" s="5">
        <f>-'5. IRR'!BXQ16</f>
        <v>-0.0</v>
      </c>
      <c r="BXQ45" s="5">
        <f>-'5. IRR'!BXR16</f>
        <v>-0.0</v>
      </c>
      <c r="BXR45" s="5">
        <f>-'5. IRR'!BXS16</f>
        <v>-0.0</v>
      </c>
      <c r="BXS45" s="5">
        <f>-'5. IRR'!BXT16</f>
        <v>-0.0</v>
      </c>
      <c r="BXT45" s="5">
        <f>-'5. IRR'!BXU16</f>
        <v>-0.0</v>
      </c>
      <c r="BXU45" s="5">
        <f>-'5. IRR'!BXV16</f>
        <v>-0.0</v>
      </c>
      <c r="BXV45" s="5">
        <f>-'5. IRR'!BXW16</f>
        <v>-0.0</v>
      </c>
      <c r="BXW45" s="5">
        <f>-'5. IRR'!BXX16</f>
        <v>-0.0</v>
      </c>
      <c r="BXX45" s="5">
        <f>-'5. IRR'!BXY16</f>
        <v>-0.0</v>
      </c>
      <c r="BXY45" s="5">
        <f>-'5. IRR'!BXZ16</f>
        <v>-0.0</v>
      </c>
      <c r="BXZ45" s="5">
        <f>-'5. IRR'!BYA16</f>
        <v>-0.0</v>
      </c>
      <c r="BYA45" s="5">
        <f>-'5. IRR'!BYB16</f>
        <v>-0.0</v>
      </c>
      <c r="BYB45" s="5">
        <f>-'5. IRR'!BYC16</f>
        <v>-0.0</v>
      </c>
      <c r="BYC45" s="5">
        <f>-'5. IRR'!BYD16</f>
        <v>-0.0</v>
      </c>
      <c r="BYD45" s="5">
        <f>-'5. IRR'!BYE16</f>
        <v>-0.0</v>
      </c>
      <c r="BYE45" s="5">
        <f>-'5. IRR'!BYF16</f>
        <v>-0.0</v>
      </c>
      <c r="BYF45" s="5">
        <f>-'5. IRR'!BYG16</f>
        <v>-0.0</v>
      </c>
      <c r="BYG45" s="5">
        <f>-'5. IRR'!BYH16</f>
        <v>-0.0</v>
      </c>
      <c r="BYH45" s="5">
        <f>-'5. IRR'!BYI16</f>
        <v>-0.0</v>
      </c>
      <c r="BYI45" s="5">
        <f>-'5. IRR'!BYJ16</f>
        <v>-0.0</v>
      </c>
      <c r="BYJ45" s="5">
        <f>-'5. IRR'!BYK16</f>
        <v>-0.0</v>
      </c>
      <c r="BYK45" s="5">
        <f>-'5. IRR'!BYL16</f>
        <v>-0.0</v>
      </c>
      <c r="BYL45" s="5">
        <f>-'5. IRR'!BYM16</f>
        <v>-0.0</v>
      </c>
      <c r="BYM45" s="5">
        <f>-'5. IRR'!BYN16</f>
        <v>-0.0</v>
      </c>
      <c r="BYN45" s="5">
        <f>-'5. IRR'!BYO16</f>
        <v>-0.0</v>
      </c>
      <c r="BYO45" s="5">
        <f>-'5. IRR'!BYP16</f>
        <v>-0.0</v>
      </c>
      <c r="BYP45" s="5">
        <f>-'5. IRR'!BYQ16</f>
        <v>-0.0</v>
      </c>
      <c r="BYQ45" s="5">
        <f>-'5. IRR'!BYR16</f>
        <v>-0.0</v>
      </c>
      <c r="BYR45" s="5">
        <f>-'5. IRR'!BYS16</f>
        <v>-0.0</v>
      </c>
      <c r="BYS45" s="5">
        <f>-'5. IRR'!BYT16</f>
        <v>-0.0</v>
      </c>
      <c r="BYT45" s="5">
        <f>-'5. IRR'!BYU16</f>
        <v>-0.0</v>
      </c>
      <c r="BYU45" s="5">
        <f>-'5. IRR'!BYV16</f>
        <v>-0.0</v>
      </c>
      <c r="BYV45" s="5">
        <f>-'5. IRR'!BYW16</f>
        <v>-0.0</v>
      </c>
      <c r="BYW45" s="5">
        <f>-'5. IRR'!BYX16</f>
        <v>-0.0</v>
      </c>
      <c r="BYX45" s="5">
        <f>-'5. IRR'!BYY16</f>
        <v>-0.0</v>
      </c>
      <c r="BYY45" s="5">
        <f>-'5. IRR'!BYZ16</f>
        <v>-0.0</v>
      </c>
      <c r="BYZ45" s="5">
        <f>-'5. IRR'!BZA16</f>
        <v>-0.0</v>
      </c>
      <c r="BZA45" s="5">
        <f>-'5. IRR'!BZB16</f>
        <v>-0.0</v>
      </c>
      <c r="BZB45" s="5">
        <f>-'5. IRR'!BZC16</f>
        <v>-0.0</v>
      </c>
      <c r="BZC45" s="5">
        <f>-'5. IRR'!BZD16</f>
        <v>-0.0</v>
      </c>
      <c r="BZD45" s="5">
        <f>-'5. IRR'!BZE16</f>
        <v>-0.0</v>
      </c>
      <c r="BZE45" s="5">
        <f>-'5. IRR'!BZF16</f>
        <v>-0.0</v>
      </c>
      <c r="BZF45" s="5">
        <f>-'5. IRR'!BZG16</f>
        <v>-0.0</v>
      </c>
      <c r="BZG45" s="5">
        <f>-'5. IRR'!BZH16</f>
        <v>-0.0</v>
      </c>
      <c r="BZH45" s="5">
        <f>-'5. IRR'!BZI16</f>
        <v>-0.0</v>
      </c>
      <c r="BZI45" s="5">
        <f>-'5. IRR'!BZJ16</f>
        <v>-0.0</v>
      </c>
      <c r="BZJ45" s="5">
        <f>-'5. IRR'!BZK16</f>
        <v>-0.0</v>
      </c>
      <c r="BZK45" s="5">
        <f>-'5. IRR'!BZL16</f>
        <v>-0.0</v>
      </c>
      <c r="BZL45" s="5">
        <f>-'5. IRR'!BZM16</f>
        <v>-0.0</v>
      </c>
      <c r="BZM45" s="5">
        <f>-'5. IRR'!BZN16</f>
        <v>-0.0</v>
      </c>
      <c r="BZN45" s="5">
        <f>-'5. IRR'!BZO16</f>
        <v>-0.0</v>
      </c>
      <c r="BZO45" s="5">
        <f>-'5. IRR'!BZP16</f>
        <v>-0.0</v>
      </c>
      <c r="BZP45" s="5">
        <f>-'5. IRR'!BZQ16</f>
        <v>-0.0</v>
      </c>
      <c r="BZQ45" s="5">
        <f>-'5. IRR'!BZR16</f>
        <v>-0.0</v>
      </c>
      <c r="BZR45" s="5">
        <f>-'5. IRR'!BZS16</f>
        <v>-0.0</v>
      </c>
      <c r="BZS45" s="5">
        <f>-'5. IRR'!BZT16</f>
        <v>-0.0</v>
      </c>
      <c r="BZT45" s="5">
        <f>-'5. IRR'!BZU16</f>
        <v>-0.0</v>
      </c>
      <c r="BZU45" s="5">
        <f>-'5. IRR'!BZV16</f>
        <v>-0.0</v>
      </c>
      <c r="BZV45" s="5">
        <f>-'5. IRR'!BZW16</f>
        <v>-0.0</v>
      </c>
      <c r="BZW45" s="5">
        <f>-'5. IRR'!BZX16</f>
        <v>-0.0</v>
      </c>
      <c r="BZX45" s="5">
        <f>-'5. IRR'!BZY16</f>
        <v>-0.0</v>
      </c>
      <c r="BZY45" s="5">
        <f>-'5. IRR'!BZZ16</f>
        <v>-0.0</v>
      </c>
      <c r="BZZ45" s="5">
        <f>-'5. IRR'!CAA16</f>
        <v>-0.0</v>
      </c>
      <c r="CAA45" s="5">
        <f>-'5. IRR'!CAB16</f>
        <v>-0.0</v>
      </c>
      <c r="CAB45" s="5">
        <f>-'5. IRR'!CAC16</f>
        <v>-0.0</v>
      </c>
      <c r="CAC45" s="5">
        <f>-'5. IRR'!CAD16</f>
        <v>-0.0</v>
      </c>
      <c r="CAD45" s="5">
        <f>-'5. IRR'!CAE16</f>
        <v>-0.0</v>
      </c>
      <c r="CAE45" s="5">
        <f>-'5. IRR'!CAF16</f>
        <v>-0.0</v>
      </c>
      <c r="CAF45" s="5">
        <f>-'5. IRR'!CAG16</f>
        <v>-0.0</v>
      </c>
      <c r="CAG45" s="5">
        <f>-'5. IRR'!CAH16</f>
        <v>-0.0</v>
      </c>
      <c r="CAH45" s="5">
        <f>-'5. IRR'!CAI16</f>
        <v>-0.0</v>
      </c>
      <c r="CAI45" s="5">
        <f>-'5. IRR'!CAJ16</f>
        <v>-0.0</v>
      </c>
      <c r="CAJ45" s="5">
        <f>-'5. IRR'!CAK16</f>
        <v>-0.0</v>
      </c>
      <c r="CAK45" s="5">
        <f>-'5. IRR'!CAL16</f>
        <v>-0.0</v>
      </c>
      <c r="CAL45" s="5">
        <f>-'5. IRR'!CAM16</f>
        <v>-0.0</v>
      </c>
      <c r="CAM45" s="5">
        <f>-'5. IRR'!CAN16</f>
        <v>-0.0</v>
      </c>
      <c r="CAN45" s="5">
        <f>-'5. IRR'!CAO16</f>
        <v>-0.0</v>
      </c>
      <c r="CAO45" s="5">
        <f>-'5. IRR'!CAP16</f>
        <v>-0.0</v>
      </c>
      <c r="CAP45" s="5">
        <f>-'5. IRR'!CAQ16</f>
        <v>-0.0</v>
      </c>
      <c r="CAQ45" s="5">
        <f>-'5. IRR'!CAR16</f>
        <v>-0.0</v>
      </c>
      <c r="CAR45" s="5">
        <f>-'5. IRR'!CAS16</f>
        <v>-0.0</v>
      </c>
      <c r="CAS45" s="5">
        <f>-'5. IRR'!CAT16</f>
        <v>-0.0</v>
      </c>
      <c r="CAT45" s="5">
        <f>-'5. IRR'!CAU16</f>
        <v>-0.0</v>
      </c>
      <c r="CAU45" s="5">
        <f>-'5. IRR'!CAV16</f>
        <v>-0.0</v>
      </c>
      <c r="CAV45" s="5">
        <f>-'5. IRR'!CAW16</f>
        <v>-0.0</v>
      </c>
      <c r="CAW45" s="5">
        <f>-'5. IRR'!CAX16</f>
        <v>-0.0</v>
      </c>
      <c r="CAX45" s="5">
        <f>-'5. IRR'!CAY16</f>
        <v>-0.0</v>
      </c>
      <c r="CAY45" s="5">
        <f>-'5. IRR'!CAZ16</f>
        <v>-0.0</v>
      </c>
      <c r="CAZ45" s="5">
        <f>-'5. IRR'!CBA16</f>
        <v>-0.0</v>
      </c>
      <c r="CBA45" s="5">
        <f>-'5. IRR'!CBB16</f>
        <v>-0.0</v>
      </c>
      <c r="CBB45" s="5">
        <f>-'5. IRR'!CBC16</f>
        <v>-0.0</v>
      </c>
      <c r="CBC45" s="5">
        <f>-'5. IRR'!CBD16</f>
        <v>-0.0</v>
      </c>
      <c r="CBD45" s="5">
        <f>-'5. IRR'!CBE16</f>
        <v>-0.0</v>
      </c>
      <c r="CBE45" s="5">
        <f>-'5. IRR'!CBF16</f>
        <v>-0.0</v>
      </c>
      <c r="CBF45" s="5">
        <f>-'5. IRR'!CBG16</f>
        <v>-0.0</v>
      </c>
      <c r="CBG45" s="5">
        <f>-'5. IRR'!CBH16</f>
        <v>-0.0</v>
      </c>
      <c r="CBH45" s="5">
        <f>-'5. IRR'!CBI16</f>
        <v>-0.0</v>
      </c>
      <c r="CBI45" s="5">
        <f>-'5. IRR'!CBJ16</f>
        <v>-0.0</v>
      </c>
      <c r="CBJ45" s="5">
        <f>-'5. IRR'!CBK16</f>
        <v>-0.0</v>
      </c>
      <c r="CBK45" s="5">
        <f>-'5. IRR'!CBL16</f>
        <v>-0.0</v>
      </c>
      <c r="CBL45" s="5">
        <f>-'5. IRR'!CBM16</f>
        <v>-0.0</v>
      </c>
      <c r="CBM45" s="5">
        <f>-'5. IRR'!CBN16</f>
        <v>-0.0</v>
      </c>
      <c r="CBN45" s="5">
        <f>-'5. IRR'!CBO16</f>
        <v>-0.0</v>
      </c>
      <c r="CBO45" s="5">
        <f>-'5. IRR'!CBP16</f>
        <v>-0.0</v>
      </c>
      <c r="CBP45" s="5">
        <f>-'5. IRR'!CBQ16</f>
        <v>-0.0</v>
      </c>
      <c r="CBQ45" s="5">
        <f>-'5. IRR'!CBR16</f>
        <v>-0.0</v>
      </c>
      <c r="CBR45" s="5">
        <f>-'5. IRR'!CBS16</f>
        <v>-0.0</v>
      </c>
      <c r="CBS45" s="5">
        <f>-'5. IRR'!CBT16</f>
        <v>-0.0</v>
      </c>
      <c r="CBT45" s="5">
        <f>-'5. IRR'!CBU16</f>
        <v>-0.0</v>
      </c>
      <c r="CBU45" s="5">
        <f>-'5. IRR'!CBV16</f>
        <v>-0.0</v>
      </c>
      <c r="CBV45" s="5">
        <f>-'5. IRR'!CBW16</f>
        <v>-0.0</v>
      </c>
      <c r="CBW45" s="5">
        <f>-'5. IRR'!CBX16</f>
        <v>-0.0</v>
      </c>
      <c r="CBX45" s="5">
        <f>-'5. IRR'!CBY16</f>
        <v>-0.0</v>
      </c>
      <c r="CBY45" s="5">
        <f>-'5. IRR'!CBZ16</f>
        <v>-0.0</v>
      </c>
      <c r="CBZ45" s="5">
        <f>-'5. IRR'!CCA16</f>
        <v>-0.0</v>
      </c>
      <c r="CCA45" s="5">
        <f>-'5. IRR'!CCB16</f>
        <v>-0.0</v>
      </c>
      <c r="CCB45" s="5">
        <f>-'5. IRR'!CCC16</f>
        <v>-0.0</v>
      </c>
      <c r="CCC45" s="5">
        <f>-'5. IRR'!CCD16</f>
        <v>-0.0</v>
      </c>
      <c r="CCD45" s="5">
        <f>-'5. IRR'!CCE16</f>
        <v>-0.0</v>
      </c>
      <c r="CCE45" s="5">
        <f>-'5. IRR'!CCF16</f>
        <v>-0.0</v>
      </c>
      <c r="CCF45" s="5">
        <f>-'5. IRR'!CCG16</f>
        <v>-0.0</v>
      </c>
      <c r="CCG45" s="5">
        <f>-'5. IRR'!CCH16</f>
        <v>-0.0</v>
      </c>
      <c r="CCH45" s="5">
        <f>-'5. IRR'!CCI16</f>
        <v>-0.0</v>
      </c>
      <c r="CCI45" s="5">
        <f>-'5. IRR'!CCJ16</f>
        <v>-0.0</v>
      </c>
      <c r="CCJ45" s="5">
        <f>-'5. IRR'!CCK16</f>
        <v>-0.0</v>
      </c>
      <c r="CCK45" s="5">
        <f>-'5. IRR'!CCL16</f>
        <v>-0.0</v>
      </c>
      <c r="CCL45" s="5">
        <f>-'5. IRR'!CCM16</f>
        <v>-0.0</v>
      </c>
      <c r="CCM45" s="5">
        <f>-'5. IRR'!CCN16</f>
        <v>-0.0</v>
      </c>
      <c r="CCN45" s="5">
        <f>-'5. IRR'!CCO16</f>
        <v>-0.0</v>
      </c>
      <c r="CCO45" s="5">
        <f>-'5. IRR'!CCP16</f>
        <v>-0.0</v>
      </c>
      <c r="CCP45" s="5">
        <f>-'5. IRR'!CCQ16</f>
        <v>-0.0</v>
      </c>
      <c r="CCQ45" s="5">
        <f>-'5. IRR'!CCR16</f>
        <v>-0.0</v>
      </c>
      <c r="CCR45" s="5">
        <f>-'5. IRR'!CCS16</f>
        <v>-0.0</v>
      </c>
      <c r="CCS45" s="5">
        <f>-'5. IRR'!CCT16</f>
        <v>-0.0</v>
      </c>
      <c r="CCT45" s="5">
        <f>-'5. IRR'!CCU16</f>
        <v>-0.0</v>
      </c>
      <c r="CCU45" s="5">
        <f>-'5. IRR'!CCV16</f>
        <v>-0.0</v>
      </c>
      <c r="CCV45" s="5">
        <f>-'5. IRR'!CCW16</f>
        <v>-0.0</v>
      </c>
      <c r="CCW45" s="5">
        <f>-'5. IRR'!CCX16</f>
        <v>-0.0</v>
      </c>
      <c r="CCX45" s="5">
        <f>-'5. IRR'!CCY16</f>
        <v>-0.0</v>
      </c>
      <c r="CCY45" s="5">
        <f>-'5. IRR'!CCZ16</f>
        <v>-0.0</v>
      </c>
      <c r="CCZ45" s="5">
        <f>-'5. IRR'!CDA16</f>
        <v>-0.0</v>
      </c>
      <c r="CDA45" s="5">
        <f>-'5. IRR'!CDB16</f>
        <v>-0.0</v>
      </c>
      <c r="CDB45" s="5">
        <f>-'5. IRR'!CDC16</f>
        <v>-0.0</v>
      </c>
      <c r="CDC45" s="5">
        <f>-'5. IRR'!CDD16</f>
        <v>-0.0</v>
      </c>
      <c r="CDD45" s="5">
        <f>-'5. IRR'!CDE16</f>
        <v>-0.0</v>
      </c>
      <c r="CDE45" s="5">
        <f>-'5. IRR'!CDF16</f>
        <v>-0.0</v>
      </c>
      <c r="CDF45" s="5">
        <f>-'5. IRR'!CDG16</f>
        <v>-0.0</v>
      </c>
      <c r="CDG45" s="5">
        <f>-'5. IRR'!CDH16</f>
        <v>-0.0</v>
      </c>
      <c r="CDH45" s="5">
        <f>-'5. IRR'!CDI16</f>
        <v>-0.0</v>
      </c>
      <c r="CDI45" s="5">
        <f>-'5. IRR'!CDJ16</f>
        <v>-0.0</v>
      </c>
      <c r="CDJ45" s="5">
        <f>-'5. IRR'!CDK16</f>
        <v>-0.0</v>
      </c>
      <c r="CDK45" s="5">
        <f>-'5. IRR'!CDL16</f>
        <v>-0.0</v>
      </c>
      <c r="CDL45" s="5">
        <f>-'5. IRR'!CDM16</f>
        <v>-0.0</v>
      </c>
      <c r="CDM45" s="5">
        <f>-'5. IRR'!CDN16</f>
        <v>-0.0</v>
      </c>
      <c r="CDN45" s="5">
        <f>-'5. IRR'!CDO16</f>
        <v>-0.0</v>
      </c>
      <c r="CDO45" s="5">
        <f>-'5. IRR'!CDP16</f>
        <v>-0.0</v>
      </c>
      <c r="CDP45" s="5">
        <f>-'5. IRR'!CDQ16</f>
        <v>-0.0</v>
      </c>
      <c r="CDQ45" s="5">
        <f>-'5. IRR'!CDR16</f>
        <v>-0.0</v>
      </c>
      <c r="CDR45" s="5">
        <f>-'5. IRR'!CDS16</f>
        <v>-0.0</v>
      </c>
      <c r="CDS45" s="5">
        <f>-'5. IRR'!CDT16</f>
        <v>-0.0</v>
      </c>
      <c r="CDT45" s="5">
        <f>-'5. IRR'!CDU16</f>
        <v>-0.0</v>
      </c>
      <c r="CDU45" s="5">
        <f>-'5. IRR'!CDV16</f>
        <v>-0.0</v>
      </c>
      <c r="CDV45" s="5">
        <f>-'5. IRR'!CDW16</f>
        <v>-0.0</v>
      </c>
      <c r="CDW45" s="5">
        <f>-'5. IRR'!CDX16</f>
        <v>-0.0</v>
      </c>
      <c r="CDX45" s="5">
        <f>-'5. IRR'!CDY16</f>
        <v>-0.0</v>
      </c>
      <c r="CDY45" s="5">
        <f>-'5. IRR'!CDZ16</f>
        <v>-0.0</v>
      </c>
      <c r="CDZ45" s="5">
        <f>-'5. IRR'!CEA16</f>
        <v>-0.0</v>
      </c>
      <c r="CEA45" s="5">
        <f>-'5. IRR'!CEB16</f>
        <v>-0.0</v>
      </c>
      <c r="CEB45" s="5">
        <f>-'5. IRR'!CEC16</f>
        <v>-0.0</v>
      </c>
      <c r="CEC45" s="5">
        <f>-'5. IRR'!CED16</f>
        <v>-0.0</v>
      </c>
      <c r="CED45" s="5">
        <f>-'5. IRR'!CEE16</f>
        <v>-0.0</v>
      </c>
      <c r="CEE45" s="5">
        <f>-'5. IRR'!CEF16</f>
        <v>-0.0</v>
      </c>
      <c r="CEF45" s="5">
        <f>-'5. IRR'!CEG16</f>
        <v>-0.0</v>
      </c>
      <c r="CEG45" s="5">
        <f>-'5. IRR'!CEH16</f>
        <v>-0.0</v>
      </c>
      <c r="CEH45" s="5">
        <f>-'5. IRR'!CEI16</f>
        <v>-0.0</v>
      </c>
      <c r="CEI45" s="5">
        <f>-'5. IRR'!CEJ16</f>
        <v>-0.0</v>
      </c>
      <c r="CEJ45" s="5">
        <f>-'5. IRR'!CEK16</f>
        <v>-0.0</v>
      </c>
      <c r="CEK45" s="5">
        <f>-'5. IRR'!CEL16</f>
        <v>-0.0</v>
      </c>
      <c r="CEL45" s="5">
        <f>-'5. IRR'!CEM16</f>
        <v>-0.0</v>
      </c>
      <c r="CEM45" s="5">
        <f>-'5. IRR'!CEN16</f>
        <v>-0.0</v>
      </c>
      <c r="CEN45" s="5">
        <f>-'5. IRR'!CEO16</f>
        <v>-0.0</v>
      </c>
      <c r="CEO45" s="5">
        <f>-'5. IRR'!CEP16</f>
        <v>-0.0</v>
      </c>
      <c r="CEP45" s="5">
        <f>-'5. IRR'!CEQ16</f>
        <v>-0.0</v>
      </c>
      <c r="CEQ45" s="5">
        <f>-'5. IRR'!CER16</f>
        <v>-0.0</v>
      </c>
      <c r="CER45" s="5">
        <f>-'5. IRR'!CES16</f>
        <v>-0.0</v>
      </c>
      <c r="CES45" s="5">
        <f>-'5. IRR'!CET16</f>
        <v>-0.0</v>
      </c>
      <c r="CET45" s="5">
        <f>-'5. IRR'!CEU16</f>
        <v>-0.0</v>
      </c>
      <c r="CEU45" s="5">
        <f>-'5. IRR'!CEV16</f>
        <v>-0.0</v>
      </c>
      <c r="CEV45" s="5">
        <f>-'5. IRR'!CEW16</f>
        <v>-0.0</v>
      </c>
      <c r="CEW45" s="5">
        <f>-'5. IRR'!CEX16</f>
        <v>-0.0</v>
      </c>
      <c r="CEX45" s="5">
        <f>-'5. IRR'!CEY16</f>
        <v>-0.0</v>
      </c>
      <c r="CEY45" s="5">
        <f>-'5. IRR'!CEZ16</f>
        <v>-0.0</v>
      </c>
      <c r="CEZ45" s="5">
        <f>-'5. IRR'!CFA16</f>
        <v>-0.0</v>
      </c>
      <c r="CFA45" s="5">
        <f>-'5. IRR'!CFB16</f>
        <v>-0.0</v>
      </c>
      <c r="CFB45" s="5">
        <f>-'5. IRR'!CFC16</f>
        <v>-0.0</v>
      </c>
      <c r="CFC45" s="5">
        <f>-'5. IRR'!CFD16</f>
        <v>-0.0</v>
      </c>
      <c r="CFD45" s="5">
        <f>-'5. IRR'!CFE16</f>
        <v>-0.0</v>
      </c>
      <c r="CFE45" s="5">
        <f>-'5. IRR'!CFF16</f>
        <v>-0.0</v>
      </c>
      <c r="CFF45" s="5">
        <f>-'5. IRR'!CFG16</f>
        <v>-0.0</v>
      </c>
      <c r="CFG45" s="5">
        <f>-'5. IRR'!CFH16</f>
        <v>-0.0</v>
      </c>
      <c r="CFH45" s="5">
        <f>-'5. IRR'!CFI16</f>
        <v>-0.0</v>
      </c>
      <c r="CFI45" s="5">
        <f>-'5. IRR'!CFJ16</f>
        <v>-0.0</v>
      </c>
      <c r="CFJ45" s="5">
        <f>-'5. IRR'!CFK16</f>
        <v>-0.0</v>
      </c>
      <c r="CFK45" s="5">
        <f>-'5. IRR'!CFL16</f>
        <v>-0.0</v>
      </c>
      <c r="CFL45" s="5">
        <f>-'5. IRR'!CFM16</f>
        <v>-0.0</v>
      </c>
      <c r="CFM45" s="5">
        <f>-'5. IRR'!CFN16</f>
        <v>-0.0</v>
      </c>
      <c r="CFN45" s="5">
        <f>-'5. IRR'!CFO16</f>
        <v>-0.0</v>
      </c>
      <c r="CFO45" s="5">
        <f>-'5. IRR'!CFP16</f>
        <v>-0.0</v>
      </c>
      <c r="CFP45" s="5">
        <f>-'5. IRR'!CFQ16</f>
        <v>-0.0</v>
      </c>
      <c r="CFQ45" s="5">
        <f>-'5. IRR'!CFR16</f>
        <v>-0.0</v>
      </c>
      <c r="CFR45" s="5">
        <f>-'5. IRR'!CFS16</f>
        <v>-0.0</v>
      </c>
      <c r="CFS45" s="5">
        <f>-'5. IRR'!CFT16</f>
        <v>-0.0</v>
      </c>
      <c r="CFT45" s="5">
        <f>-'5. IRR'!CFU16</f>
        <v>-0.0</v>
      </c>
      <c r="CFU45" s="5">
        <f>-'5. IRR'!CFV16</f>
        <v>-0.0</v>
      </c>
      <c r="CFV45" s="5">
        <f>-'5. IRR'!CFW16</f>
        <v>-0.0</v>
      </c>
      <c r="CFW45" s="5">
        <f>-'5. IRR'!CFX16</f>
        <v>-0.0</v>
      </c>
      <c r="CFX45" s="5">
        <f>-'5. IRR'!CFY16</f>
        <v>-0.0</v>
      </c>
      <c r="CFY45" s="5">
        <f>-'5. IRR'!CFZ16</f>
        <v>-0.0</v>
      </c>
      <c r="CFZ45" s="5">
        <f>-'5. IRR'!CGA16</f>
        <v>-0.0</v>
      </c>
      <c r="CGA45" s="5">
        <f>-'5. IRR'!CGB16</f>
        <v>-0.0</v>
      </c>
      <c r="CGB45" s="5">
        <f>-'5. IRR'!CGC16</f>
        <v>-0.0</v>
      </c>
      <c r="CGC45" s="5">
        <f>-'5. IRR'!CGD16</f>
        <v>-0.0</v>
      </c>
      <c r="CGD45" s="5">
        <f>-'5. IRR'!CGE16</f>
        <v>-0.0</v>
      </c>
      <c r="CGE45" s="5">
        <f>-'5. IRR'!CGF16</f>
        <v>-0.0</v>
      </c>
      <c r="CGF45" s="5">
        <f>-'5. IRR'!CGG16</f>
        <v>-0.0</v>
      </c>
      <c r="CGG45" s="5">
        <f>-'5. IRR'!CGH16</f>
        <v>-0.0</v>
      </c>
      <c r="CGH45" s="5">
        <f>-'5. IRR'!CGI16</f>
        <v>-0.0</v>
      </c>
      <c r="CGI45" s="5">
        <f>-'5. IRR'!CGJ16</f>
        <v>-0.0</v>
      </c>
      <c r="CGJ45" s="5">
        <f>-'5. IRR'!CGK16</f>
        <v>-0.0</v>
      </c>
      <c r="CGK45" s="5">
        <f>-'5. IRR'!CGL16</f>
        <v>-0.0</v>
      </c>
      <c r="CGL45" s="5">
        <f>-'5. IRR'!CGM16</f>
        <v>-0.0</v>
      </c>
      <c r="CGM45" s="5">
        <f>-'5. IRR'!CGN16</f>
        <v>-0.0</v>
      </c>
      <c r="CGN45" s="5">
        <f>-'5. IRR'!CGO16</f>
        <v>-0.0</v>
      </c>
      <c r="CGO45" s="5">
        <f>-'5. IRR'!CGP16</f>
        <v>-0.0</v>
      </c>
      <c r="CGP45" s="5">
        <f>-'5. IRR'!CGQ16</f>
        <v>-0.0</v>
      </c>
      <c r="CGQ45" s="5">
        <f>-'5. IRR'!CGR16</f>
        <v>-0.0</v>
      </c>
      <c r="CGR45" s="5">
        <f>-'5. IRR'!CGS16</f>
        <v>-0.0</v>
      </c>
      <c r="CGS45" s="5">
        <f>-'5. IRR'!CGT16</f>
        <v>-0.0</v>
      </c>
      <c r="CGT45" s="5">
        <f>-'5. IRR'!CGU16</f>
        <v>-0.0</v>
      </c>
      <c r="CGU45" s="5">
        <f>-'5. IRR'!CGV16</f>
        <v>-0.0</v>
      </c>
      <c r="CGV45" s="5">
        <f>-'5. IRR'!CGW16</f>
        <v>-0.0</v>
      </c>
      <c r="CGW45" s="5">
        <f>-'5. IRR'!CGX16</f>
        <v>-0.0</v>
      </c>
      <c r="CGX45" s="5">
        <f>-'5. IRR'!CGY16</f>
        <v>-0.0</v>
      </c>
      <c r="CGY45" s="5">
        <f>-'5. IRR'!CGZ16</f>
        <v>-0.0</v>
      </c>
      <c r="CGZ45" s="5">
        <f>-'5. IRR'!CHA16</f>
        <v>-0.0</v>
      </c>
      <c r="CHA45" s="5">
        <f>-'5. IRR'!CHB16</f>
        <v>-0.0</v>
      </c>
      <c r="CHB45" s="5">
        <f>-'5. IRR'!CHC16</f>
        <v>-0.0</v>
      </c>
      <c r="CHC45" s="5">
        <f>-'5. IRR'!CHD16</f>
        <v>-0.0</v>
      </c>
      <c r="CHD45" s="5">
        <f>-'5. IRR'!CHE16</f>
        <v>-0.0</v>
      </c>
      <c r="CHE45" s="5">
        <f>-'5. IRR'!CHF16</f>
        <v>-0.0</v>
      </c>
      <c r="CHF45" s="5">
        <f>-'5. IRR'!CHG16</f>
        <v>-0.0</v>
      </c>
      <c r="CHG45" s="5">
        <f>-'5. IRR'!CHH16</f>
        <v>-0.0</v>
      </c>
      <c r="CHH45" s="5">
        <f>-'5. IRR'!CHI16</f>
        <v>-0.0</v>
      </c>
      <c r="CHI45" s="5">
        <f>-'5. IRR'!CHJ16</f>
        <v>-0.0</v>
      </c>
      <c r="CHJ45" s="5">
        <f>-'5. IRR'!CHK16</f>
        <v>-0.0</v>
      </c>
      <c r="CHK45" s="5">
        <f>-'5. IRR'!CHL16</f>
        <v>-0.0</v>
      </c>
      <c r="CHL45" s="5">
        <f>-'5. IRR'!CHM16</f>
        <v>-0.0</v>
      </c>
      <c r="CHM45" s="5">
        <f>-'5. IRR'!CHN16</f>
        <v>-0.0</v>
      </c>
      <c r="CHN45" s="5">
        <f>-'5. IRR'!CHO16</f>
        <v>-0.0</v>
      </c>
      <c r="CHO45" s="5">
        <f>-'5. IRR'!CHP16</f>
        <v>-0.0</v>
      </c>
      <c r="CHP45" s="5">
        <f>-'5. IRR'!CHQ16</f>
        <v>-0.0</v>
      </c>
      <c r="CHQ45" s="5">
        <f>-'5. IRR'!CHR16</f>
        <v>-0.0</v>
      </c>
      <c r="CHR45" s="5">
        <f>-'5. IRR'!CHS16</f>
        <v>-0.0</v>
      </c>
      <c r="CHS45" s="5">
        <f>-'5. IRR'!CHT16</f>
        <v>-0.0</v>
      </c>
      <c r="CHT45" s="5">
        <f>-'5. IRR'!CHU16</f>
        <v>-0.0</v>
      </c>
      <c r="CHU45" s="5">
        <f>-'5. IRR'!CHV16</f>
        <v>-0.0</v>
      </c>
      <c r="CHV45" s="5">
        <f>-'5. IRR'!CHW16</f>
        <v>-0.0</v>
      </c>
      <c r="CHW45" s="5">
        <f>-'5. IRR'!CHX16</f>
        <v>-0.0</v>
      </c>
      <c r="CHX45" s="5">
        <f>-'5. IRR'!CHY16</f>
        <v>-0.0</v>
      </c>
      <c r="CHY45" s="5">
        <f>-'5. IRR'!CHZ16</f>
        <v>-0.0</v>
      </c>
      <c r="CHZ45" s="5">
        <f>-'5. IRR'!CIA16</f>
        <v>-0.0</v>
      </c>
      <c r="CIA45" s="5">
        <f>-'5. IRR'!CIB16</f>
        <v>-0.0</v>
      </c>
      <c r="CIB45" s="5">
        <f>-'5. IRR'!CIC16</f>
        <v>-0.0</v>
      </c>
      <c r="CIC45" s="5">
        <f>-'5. IRR'!CID16</f>
        <v>-0.0</v>
      </c>
      <c r="CID45" s="5">
        <f>-'5. IRR'!CIE16</f>
        <v>-0.0</v>
      </c>
      <c r="CIE45" s="5">
        <f>-'5. IRR'!CIF16</f>
        <v>-0.0</v>
      </c>
      <c r="CIF45" s="5">
        <f>-'5. IRR'!CIG16</f>
        <v>-0.0</v>
      </c>
      <c r="CIG45" s="5">
        <f>-'5. IRR'!CIH16</f>
        <v>-0.0</v>
      </c>
      <c r="CIH45" s="5">
        <f>-'5. IRR'!CII16</f>
        <v>-0.0</v>
      </c>
      <c r="CII45" s="5">
        <f>-'5. IRR'!CIJ16</f>
        <v>-0.0</v>
      </c>
      <c r="CIJ45" s="5">
        <f>-'5. IRR'!CIK16</f>
        <v>-0.0</v>
      </c>
      <c r="CIK45" s="5">
        <f>-'5. IRR'!CIL16</f>
        <v>-0.0</v>
      </c>
      <c r="CIL45" s="5">
        <f>-'5. IRR'!CIM16</f>
        <v>-0.0</v>
      </c>
      <c r="CIM45" s="5">
        <f>-'5. IRR'!CIN16</f>
        <v>-0.0</v>
      </c>
      <c r="CIN45" s="5">
        <f>-'5. IRR'!CIO16</f>
        <v>-0.0</v>
      </c>
      <c r="CIO45" s="5">
        <f>-'5. IRR'!CIP16</f>
        <v>-0.0</v>
      </c>
      <c r="CIP45" s="5">
        <f>-'5. IRR'!CIQ16</f>
        <v>-0.0</v>
      </c>
      <c r="CIQ45" s="5">
        <f>-'5. IRR'!CIR16</f>
        <v>-0.0</v>
      </c>
      <c r="CIR45" s="5">
        <f>-'5. IRR'!CIS16</f>
        <v>-0.0</v>
      </c>
      <c r="CIS45" s="5">
        <f>-'5. IRR'!CIT16</f>
        <v>-0.0</v>
      </c>
      <c r="CIT45" s="5">
        <f>-'5. IRR'!CIU16</f>
        <v>-0.0</v>
      </c>
      <c r="CIU45" s="5">
        <f>-'5. IRR'!CIV16</f>
        <v>-0.0</v>
      </c>
      <c r="CIV45" s="5">
        <f>-'5. IRR'!CIW16</f>
        <v>-0.0</v>
      </c>
      <c r="CIW45" s="5">
        <f>-'5. IRR'!CIX16</f>
        <v>-0.0</v>
      </c>
      <c r="CIX45" s="5">
        <f>-'5. IRR'!CIY16</f>
        <v>-0.0</v>
      </c>
      <c r="CIY45" s="5">
        <f>-'5. IRR'!CIZ16</f>
        <v>-0.0</v>
      </c>
      <c r="CIZ45" s="5">
        <f>-'5. IRR'!CJA16</f>
        <v>-0.0</v>
      </c>
      <c r="CJA45" s="5">
        <f>-'5. IRR'!CJB16</f>
        <v>-0.0</v>
      </c>
      <c r="CJB45" s="5">
        <f>-'5. IRR'!CJC16</f>
        <v>-0.0</v>
      </c>
      <c r="CJC45" s="5">
        <f>-'5. IRR'!CJD16</f>
        <v>-0.0</v>
      </c>
      <c r="CJD45" s="5">
        <f>-'5. IRR'!CJE16</f>
        <v>-0.0</v>
      </c>
      <c r="CJE45" s="5">
        <f>-'5. IRR'!CJF16</f>
        <v>-0.0</v>
      </c>
      <c r="CJF45" s="5">
        <f>-'5. IRR'!CJG16</f>
        <v>-0.0</v>
      </c>
      <c r="CJG45" s="5">
        <f>-'5. IRR'!CJH16</f>
        <v>-0.0</v>
      </c>
      <c r="CJH45" s="5">
        <f>-'5. IRR'!CJI16</f>
        <v>-0.0</v>
      </c>
      <c r="CJI45" s="5">
        <f>-'5. IRR'!CJJ16</f>
        <v>-0.0</v>
      </c>
      <c r="CJJ45" s="5">
        <f>-'5. IRR'!CJK16</f>
        <v>-0.0</v>
      </c>
      <c r="CJK45" s="5">
        <f>-'5. IRR'!CJL16</f>
        <v>-0.0</v>
      </c>
      <c r="CJL45" s="5">
        <f>-'5. IRR'!CJM16</f>
        <v>-0.0</v>
      </c>
      <c r="CJM45" s="5">
        <f>-'5. IRR'!CJN16</f>
        <v>-0.0</v>
      </c>
      <c r="CJN45" s="5">
        <f>-'5. IRR'!CJO16</f>
        <v>-0.0</v>
      </c>
      <c r="CJO45" s="5">
        <f>-'5. IRR'!CJP16</f>
        <v>-0.0</v>
      </c>
      <c r="CJP45" s="5">
        <f>-'5. IRR'!CJQ16</f>
        <v>-0.0</v>
      </c>
      <c r="CJQ45" s="5">
        <f>-'5. IRR'!CJR16</f>
        <v>-0.0</v>
      </c>
      <c r="CJR45" s="5">
        <f>-'5. IRR'!CJS16</f>
        <v>-0.0</v>
      </c>
      <c r="CJS45" s="5">
        <f>-'5. IRR'!CJT16</f>
        <v>-0.0</v>
      </c>
      <c r="CJT45" s="5">
        <f>-'5. IRR'!CJU16</f>
        <v>-0.0</v>
      </c>
      <c r="CJU45" s="5">
        <f>-'5. IRR'!CJV16</f>
        <v>-0.0</v>
      </c>
      <c r="CJV45" s="5">
        <f>-'5. IRR'!CJW16</f>
        <v>-0.0</v>
      </c>
      <c r="CJW45" s="5">
        <f>-'5. IRR'!CJX16</f>
        <v>-0.0</v>
      </c>
      <c r="CJX45" s="5">
        <f>-'5. IRR'!CJY16</f>
        <v>-0.0</v>
      </c>
      <c r="CJY45" s="5">
        <f>-'5. IRR'!CJZ16</f>
        <v>-0.0</v>
      </c>
      <c r="CJZ45" s="5">
        <f>-'5. IRR'!CKA16</f>
        <v>-0.0</v>
      </c>
      <c r="CKA45" s="5">
        <f>-'5. IRR'!CKB16</f>
        <v>-0.0</v>
      </c>
      <c r="CKB45" s="5">
        <f>-'5. IRR'!CKC16</f>
        <v>-0.0</v>
      </c>
      <c r="CKC45" s="5">
        <f>-'5. IRR'!CKD16</f>
        <v>-0.0</v>
      </c>
      <c r="CKD45" s="5">
        <f>-'5. IRR'!CKE16</f>
        <v>-0.0</v>
      </c>
      <c r="CKE45" s="5">
        <f>-'5. IRR'!CKF16</f>
        <v>-0.0</v>
      </c>
      <c r="CKF45" s="5">
        <f>-'5. IRR'!CKG16</f>
        <v>-0.0</v>
      </c>
      <c r="CKG45" s="5">
        <f>-'5. IRR'!CKH16</f>
        <v>-0.0</v>
      </c>
      <c r="CKH45" s="5">
        <f>-'5. IRR'!CKI16</f>
        <v>-0.0</v>
      </c>
      <c r="CKI45" s="5">
        <f>-'5. IRR'!CKJ16</f>
        <v>-0.0</v>
      </c>
      <c r="CKJ45" s="5">
        <f>-'5. IRR'!CKK16</f>
        <v>-0.0</v>
      </c>
      <c r="CKK45" s="5">
        <f>-'5. IRR'!CKL16</f>
        <v>-0.0</v>
      </c>
      <c r="CKL45" s="5">
        <f>-'5. IRR'!CKM16</f>
        <v>-0.0</v>
      </c>
      <c r="CKM45" s="5">
        <f>-'5. IRR'!CKN16</f>
        <v>-0.0</v>
      </c>
      <c r="CKN45" s="5">
        <f>-'5. IRR'!CKO16</f>
        <v>-0.0</v>
      </c>
      <c r="CKO45" s="5">
        <f>-'5. IRR'!CKP16</f>
        <v>-0.0</v>
      </c>
      <c r="CKP45" s="5">
        <f>-'5. IRR'!CKQ16</f>
        <v>-0.0</v>
      </c>
      <c r="CKQ45" s="5">
        <f>-'5. IRR'!CKR16</f>
        <v>-0.0</v>
      </c>
      <c r="CKR45" s="5">
        <f>-'5. IRR'!CKS16</f>
        <v>-0.0</v>
      </c>
      <c r="CKS45" s="5">
        <f>-'5. IRR'!CKT16</f>
        <v>-0.0</v>
      </c>
      <c r="CKT45" s="5">
        <f>-'5. IRR'!CKU16</f>
        <v>-0.0</v>
      </c>
      <c r="CKU45" s="5">
        <f>-'5. IRR'!CKV16</f>
        <v>-0.0</v>
      </c>
      <c r="CKV45" s="5">
        <f>-'5. IRR'!CKW16</f>
        <v>-0.0</v>
      </c>
      <c r="CKW45" s="5">
        <f>-'5. IRR'!CKX16</f>
        <v>-0.0</v>
      </c>
      <c r="CKX45" s="5">
        <f>-'5. IRR'!CKY16</f>
        <v>-0.0</v>
      </c>
      <c r="CKY45" s="5">
        <f>-'5. IRR'!CKZ16</f>
        <v>-0.0</v>
      </c>
      <c r="CKZ45" s="5">
        <f>-'5. IRR'!CLA16</f>
        <v>-0.0</v>
      </c>
      <c r="CLA45" s="5">
        <f>-'5. IRR'!CLB16</f>
        <v>-0.0</v>
      </c>
      <c r="CLB45" s="5">
        <f>-'5. IRR'!CLC16</f>
        <v>-0.0</v>
      </c>
      <c r="CLC45" s="5">
        <f>-'5. IRR'!CLD16</f>
        <v>-0.0</v>
      </c>
      <c r="CLD45" s="5">
        <f>-'5. IRR'!CLE16</f>
        <v>-0.0</v>
      </c>
      <c r="CLE45" s="5">
        <f>-'5. IRR'!CLF16</f>
        <v>-0.0</v>
      </c>
      <c r="CLF45" s="5">
        <f>-'5. IRR'!CLG16</f>
        <v>-0.0</v>
      </c>
      <c r="CLG45" s="5">
        <f>-'5. IRR'!CLH16</f>
        <v>-0.0</v>
      </c>
      <c r="CLH45" s="5">
        <f>-'5. IRR'!CLI16</f>
        <v>-0.0</v>
      </c>
      <c r="CLI45" s="5">
        <f>-'5. IRR'!CLJ16</f>
        <v>-0.0</v>
      </c>
      <c r="CLJ45" s="5">
        <f>-'5. IRR'!CLK16</f>
        <v>-0.0</v>
      </c>
      <c r="CLK45" s="5">
        <f>-'5. IRR'!CLL16</f>
        <v>-0.0</v>
      </c>
      <c r="CLL45" s="5">
        <f>-'5. IRR'!CLM16</f>
        <v>-0.0</v>
      </c>
      <c r="CLM45" s="5">
        <f>-'5. IRR'!CLN16</f>
        <v>-0.0</v>
      </c>
      <c r="CLN45" s="5">
        <f>-'5. IRR'!CLO16</f>
        <v>-0.0</v>
      </c>
      <c r="CLO45" s="5">
        <f>-'5. IRR'!CLP16</f>
        <v>-0.0</v>
      </c>
      <c r="CLP45" s="5">
        <f>-'5. IRR'!CLQ16</f>
        <v>-0.0</v>
      </c>
      <c r="CLQ45" s="5">
        <f>-'5. IRR'!CLR16</f>
        <v>-0.0</v>
      </c>
      <c r="CLR45" s="5">
        <f>-'5. IRR'!CLS16</f>
        <v>-0.0</v>
      </c>
      <c r="CLS45" s="5">
        <f>-'5. IRR'!CLT16</f>
        <v>-0.0</v>
      </c>
      <c r="CLT45" s="5">
        <f>-'5. IRR'!CLU16</f>
        <v>-0.0</v>
      </c>
      <c r="CLU45" s="5">
        <f>-'5. IRR'!CLV16</f>
        <v>-0.0</v>
      </c>
      <c r="CLV45" s="5">
        <f>-'5. IRR'!CLW16</f>
        <v>-0.0</v>
      </c>
      <c r="CLW45" s="5">
        <f>-'5. IRR'!CLX16</f>
        <v>-0.0</v>
      </c>
      <c r="CLX45" s="5">
        <f>-'5. IRR'!CLY16</f>
        <v>-0.0</v>
      </c>
      <c r="CLY45" s="5">
        <f>-'5. IRR'!CLZ16</f>
        <v>-0.0</v>
      </c>
      <c r="CLZ45" s="5">
        <f>-'5. IRR'!CMA16</f>
        <v>-0.0</v>
      </c>
      <c r="CMA45" s="5">
        <f>-'5. IRR'!CMB16</f>
        <v>-0.0</v>
      </c>
      <c r="CMB45" s="5">
        <f>-'5. IRR'!CMC16</f>
        <v>-0.0</v>
      </c>
      <c r="CMC45" s="5">
        <f>-'5. IRR'!CMD16</f>
        <v>-0.0</v>
      </c>
      <c r="CMD45" s="5">
        <f>-'5. IRR'!CME16</f>
        <v>-0.0</v>
      </c>
      <c r="CME45" s="5">
        <f>-'5. IRR'!CMF16</f>
        <v>-0.0</v>
      </c>
      <c r="CMF45" s="5">
        <f>-'5. IRR'!CMG16</f>
        <v>-0.0</v>
      </c>
      <c r="CMG45" s="5">
        <f>-'5. IRR'!CMH16</f>
        <v>-0.0</v>
      </c>
      <c r="CMH45" s="5">
        <f>-'5. IRR'!CMI16</f>
        <v>-0.0</v>
      </c>
      <c r="CMI45" s="5">
        <f>-'5. IRR'!CMJ16</f>
        <v>-0.0</v>
      </c>
      <c r="CMJ45" s="5">
        <f>-'5. IRR'!CMK16</f>
        <v>-0.0</v>
      </c>
      <c r="CMK45" s="5">
        <f>-'5. IRR'!CML16</f>
        <v>-0.0</v>
      </c>
      <c r="CML45" s="5">
        <f>-'5. IRR'!CMM16</f>
        <v>-0.0</v>
      </c>
      <c r="CMM45" s="5">
        <f>-'5. IRR'!CMN16</f>
        <v>-0.0</v>
      </c>
      <c r="CMN45" s="5">
        <f>-'5. IRR'!CMO16</f>
        <v>-0.0</v>
      </c>
      <c r="CMO45" s="5">
        <f>-'5. IRR'!CMP16</f>
        <v>-0.0</v>
      </c>
      <c r="CMP45" s="5">
        <f>-'5. IRR'!CMQ16</f>
        <v>-0.0</v>
      </c>
      <c r="CMQ45" s="5">
        <f>-'5. IRR'!CMR16</f>
        <v>-0.0</v>
      </c>
      <c r="CMR45" s="5">
        <f>-'5. IRR'!CMS16</f>
        <v>-0.0</v>
      </c>
      <c r="CMS45" s="5">
        <f>-'5. IRR'!CMT16</f>
        <v>-0.0</v>
      </c>
      <c r="CMT45" s="5">
        <f>-'5. IRR'!CMU16</f>
        <v>-0.0</v>
      </c>
      <c r="CMU45" s="5">
        <f>-'5. IRR'!CMV16</f>
        <v>-0.0</v>
      </c>
      <c r="CMV45" s="5">
        <f>-'5. IRR'!CMW16</f>
        <v>-0.0</v>
      </c>
      <c r="CMW45" s="5">
        <f>-'5. IRR'!CMX16</f>
        <v>-0.0</v>
      </c>
      <c r="CMX45" s="5">
        <f>-'5. IRR'!CMY16</f>
        <v>-0.0</v>
      </c>
      <c r="CMY45" s="5">
        <f>-'5. IRR'!CMZ16</f>
        <v>-0.0</v>
      </c>
      <c r="CMZ45" s="5">
        <f>-'5. IRR'!CNA16</f>
        <v>-0.0</v>
      </c>
      <c r="CNA45" s="5">
        <f>-'5. IRR'!CNB16</f>
        <v>-0.0</v>
      </c>
      <c r="CNB45" s="5">
        <f>-'5. IRR'!CNC16</f>
        <v>-0.0</v>
      </c>
      <c r="CNC45" s="5">
        <f>-'5. IRR'!CND16</f>
        <v>-0.0</v>
      </c>
      <c r="CND45" s="5">
        <f>-'5. IRR'!CNE16</f>
        <v>-0.0</v>
      </c>
      <c r="CNE45" s="5">
        <f>-'5. IRR'!CNF16</f>
        <v>-0.0</v>
      </c>
      <c r="CNF45" s="5">
        <f>-'5. IRR'!CNG16</f>
        <v>-0.0</v>
      </c>
      <c r="CNG45" s="5">
        <f>-'5. IRR'!CNH16</f>
        <v>-0.0</v>
      </c>
      <c r="CNH45" s="5">
        <f>-'5. IRR'!CNI16</f>
        <v>-0.0</v>
      </c>
      <c r="CNI45" s="5">
        <f>-'5. IRR'!CNJ16</f>
        <v>-0.0</v>
      </c>
      <c r="CNJ45" s="5">
        <f>-'5. IRR'!CNK16</f>
        <v>-0.0</v>
      </c>
      <c r="CNK45" s="5">
        <f>-'5. IRR'!CNL16</f>
        <v>-0.0</v>
      </c>
      <c r="CNL45" s="5">
        <f>-'5. IRR'!CNM16</f>
        <v>-0.0</v>
      </c>
      <c r="CNM45" s="5">
        <f>-'5. IRR'!CNN16</f>
        <v>-0.0</v>
      </c>
      <c r="CNN45" s="5">
        <f>-'5. IRR'!CNO16</f>
        <v>-0.0</v>
      </c>
      <c r="CNO45" s="5">
        <f>-'5. IRR'!CNP16</f>
        <v>-0.0</v>
      </c>
      <c r="CNP45" s="5">
        <f>-'5. IRR'!CNQ16</f>
        <v>-0.0</v>
      </c>
      <c r="CNQ45" s="5">
        <f>-'5. IRR'!CNR16</f>
        <v>-0.0</v>
      </c>
      <c r="CNR45" s="5">
        <f>-'5. IRR'!CNS16</f>
        <v>-0.0</v>
      </c>
      <c r="CNS45" s="5">
        <f>-'5. IRR'!CNT16</f>
        <v>-0.0</v>
      </c>
      <c r="CNT45" s="5">
        <f>-'5. IRR'!CNU16</f>
        <v>-0.0</v>
      </c>
      <c r="CNU45" s="5">
        <f>-'5. IRR'!CNV16</f>
        <v>-0.0</v>
      </c>
      <c r="CNV45" s="5">
        <f>-'5. IRR'!CNW16</f>
        <v>-0.0</v>
      </c>
      <c r="CNW45" s="5">
        <f>-'5. IRR'!CNX16</f>
        <v>-0.0</v>
      </c>
      <c r="CNX45" s="5">
        <f>-'5. IRR'!CNY16</f>
        <v>-0.0</v>
      </c>
      <c r="CNY45" s="5">
        <f>-'5. IRR'!CNZ16</f>
        <v>-0.0</v>
      </c>
      <c r="CNZ45" s="5">
        <f>-'5. IRR'!COA16</f>
        <v>-0.0</v>
      </c>
      <c r="COA45" s="5">
        <f>-'5. IRR'!COB16</f>
        <v>-0.0</v>
      </c>
      <c r="COB45" s="5">
        <f>-'5. IRR'!COC16</f>
        <v>-0.0</v>
      </c>
      <c r="COC45" s="5">
        <f>-'5. IRR'!COD16</f>
        <v>-0.0</v>
      </c>
      <c r="COD45" s="5">
        <f>-'5. IRR'!COE16</f>
        <v>-0.0</v>
      </c>
      <c r="COE45" s="5">
        <f>-'5. IRR'!COF16</f>
        <v>-0.0</v>
      </c>
      <c r="COF45" s="5">
        <f>-'5. IRR'!COG16</f>
        <v>-0.0</v>
      </c>
      <c r="COG45" s="5">
        <f>-'5. IRR'!COH16</f>
        <v>-0.0</v>
      </c>
      <c r="COH45" s="5">
        <f>-'5. IRR'!COI16</f>
        <v>-0.0</v>
      </c>
      <c r="COI45" s="5">
        <f>-'5. IRR'!COJ16</f>
        <v>-0.0</v>
      </c>
      <c r="COJ45" s="5">
        <f>-'5. IRR'!COK16</f>
        <v>-0.0</v>
      </c>
      <c r="COK45" s="5">
        <f>-'5. IRR'!COL16</f>
        <v>-0.0</v>
      </c>
      <c r="COL45" s="5">
        <f>-'5. IRR'!COM16</f>
        <v>-0.0</v>
      </c>
      <c r="COM45" s="5">
        <f>-'5. IRR'!CON16</f>
        <v>-0.0</v>
      </c>
      <c r="CON45" s="5">
        <f>-'5. IRR'!COO16</f>
        <v>-0.0</v>
      </c>
      <c r="COO45" s="5">
        <f>-'5. IRR'!COP16</f>
        <v>-0.0</v>
      </c>
      <c r="COP45" s="5">
        <f>-'5. IRR'!COQ16</f>
        <v>-0.0</v>
      </c>
      <c r="COQ45" s="5">
        <f>-'5. IRR'!COR16</f>
        <v>-0.0</v>
      </c>
      <c r="COR45" s="5">
        <f>-'5. IRR'!COS16</f>
        <v>-0.0</v>
      </c>
      <c r="COS45" s="5">
        <f>-'5. IRR'!COT16</f>
        <v>-0.0</v>
      </c>
      <c r="COT45" s="5">
        <f>-'5. IRR'!COU16</f>
        <v>-0.0</v>
      </c>
      <c r="COU45" s="5">
        <f>-'5. IRR'!COV16</f>
        <v>-0.0</v>
      </c>
      <c r="COV45" s="5">
        <f>-'5. IRR'!COW16</f>
        <v>-0.0</v>
      </c>
      <c r="COW45" s="5">
        <f>-'5. IRR'!COX16</f>
        <v>-0.0</v>
      </c>
      <c r="COX45" s="5">
        <f>-'5. IRR'!COY16</f>
        <v>-0.0</v>
      </c>
      <c r="COY45" s="5">
        <f>-'5. IRR'!COZ16</f>
        <v>-0.0</v>
      </c>
      <c r="COZ45" s="5">
        <f>-'5. IRR'!CPA16</f>
        <v>-0.0</v>
      </c>
      <c r="CPA45" s="5">
        <f>-'5. IRR'!CPB16</f>
        <v>-0.0</v>
      </c>
      <c r="CPB45" s="5">
        <f>-'5. IRR'!CPC16</f>
        <v>-0.0</v>
      </c>
      <c r="CPC45" s="5">
        <f>-'5. IRR'!CPD16</f>
        <v>-0.0</v>
      </c>
      <c r="CPD45" s="5">
        <f>-'5. IRR'!CPE16</f>
        <v>-0.0</v>
      </c>
      <c r="CPE45" s="5">
        <f>-'5. IRR'!CPF16</f>
        <v>-0.0</v>
      </c>
      <c r="CPF45" s="5">
        <f>-'5. IRR'!CPG16</f>
        <v>-0.0</v>
      </c>
      <c r="CPG45" s="5">
        <f>-'5. IRR'!CPH16</f>
        <v>-0.0</v>
      </c>
      <c r="CPH45" s="5">
        <f>-'5. IRR'!CPI16</f>
        <v>-0.0</v>
      </c>
      <c r="CPI45" s="5">
        <f>-'5. IRR'!CPJ16</f>
        <v>-0.0</v>
      </c>
      <c r="CPJ45" s="5">
        <f>-'5. IRR'!CPK16</f>
        <v>-0.0</v>
      </c>
      <c r="CPK45" s="5">
        <f>-'5. IRR'!CPL16</f>
        <v>-0.0</v>
      </c>
      <c r="CPL45" s="5">
        <f>-'5. IRR'!CPM16</f>
        <v>-0.0</v>
      </c>
      <c r="CPM45" s="5">
        <f>-'5. IRR'!CPN16</f>
        <v>-0.0</v>
      </c>
      <c r="CPN45" s="5">
        <f>-'5. IRR'!CPO16</f>
        <v>-0.0</v>
      </c>
      <c r="CPO45" s="5">
        <f>-'5. IRR'!CPP16</f>
        <v>-0.0</v>
      </c>
      <c r="CPP45" s="5">
        <f>-'5. IRR'!CPQ16</f>
        <v>-0.0</v>
      </c>
      <c r="CPQ45" s="5">
        <f>-'5. IRR'!CPR16</f>
        <v>-0.0</v>
      </c>
      <c r="CPR45" s="5">
        <f>-'5. IRR'!CPS16</f>
        <v>-0.0</v>
      </c>
      <c r="CPS45" s="5">
        <f>-'5. IRR'!CPT16</f>
        <v>-0.0</v>
      </c>
      <c r="CPT45" s="5">
        <f>-'5. IRR'!CPU16</f>
        <v>-0.0</v>
      </c>
      <c r="CPU45" s="5">
        <f>-'5. IRR'!CPV16</f>
        <v>-0.0</v>
      </c>
      <c r="CPV45" s="5">
        <f>-'5. IRR'!CPW16</f>
        <v>-0.0</v>
      </c>
      <c r="CPW45" s="5">
        <f>-'5. IRR'!CPX16</f>
        <v>-0.0</v>
      </c>
      <c r="CPX45" s="5">
        <f>-'5. IRR'!CPY16</f>
        <v>-0.0</v>
      </c>
      <c r="CPY45" s="5">
        <f>-'5. IRR'!CPZ16</f>
        <v>-0.0</v>
      </c>
      <c r="CPZ45" s="5">
        <f>-'5. IRR'!CQA16</f>
        <v>-0.0</v>
      </c>
      <c r="CQA45" s="5">
        <f>-'5. IRR'!CQB16</f>
        <v>-0.0</v>
      </c>
      <c r="CQB45" s="5">
        <f>-'5. IRR'!CQC16</f>
        <v>-0.0</v>
      </c>
      <c r="CQC45" s="5">
        <f>-'5. IRR'!CQD16</f>
        <v>-0.0</v>
      </c>
      <c r="CQD45" s="5">
        <f>-'5. IRR'!CQE16</f>
        <v>-0.0</v>
      </c>
      <c r="CQE45" s="5">
        <f>-'5. IRR'!CQF16</f>
        <v>-0.0</v>
      </c>
      <c r="CQF45" s="5">
        <f>-'5. IRR'!CQG16</f>
        <v>-0.0</v>
      </c>
      <c r="CQG45" s="5">
        <f>-'5. IRR'!CQH16</f>
        <v>-0.0</v>
      </c>
      <c r="CQH45" s="5">
        <f>-'5. IRR'!CQI16</f>
        <v>-0.0</v>
      </c>
      <c r="CQI45" s="5">
        <f>-'5. IRR'!CQJ16</f>
        <v>-0.0</v>
      </c>
      <c r="CQJ45" s="5">
        <f>-'5. IRR'!CQK16</f>
        <v>-0.0</v>
      </c>
      <c r="CQK45" s="5">
        <f>-'5. IRR'!CQL16</f>
        <v>-0.0</v>
      </c>
      <c r="CQL45" s="5">
        <f>-'5. IRR'!CQM16</f>
        <v>-0.0</v>
      </c>
      <c r="CQM45" s="5">
        <f>-'5. IRR'!CQN16</f>
        <v>-0.0</v>
      </c>
      <c r="CQN45" s="5">
        <f>-'5. IRR'!CQO16</f>
        <v>-0.0</v>
      </c>
      <c r="CQO45" s="5">
        <f>-'5. IRR'!CQP16</f>
        <v>-0.0</v>
      </c>
      <c r="CQP45" s="5">
        <f>-'5. IRR'!CQQ16</f>
        <v>-0.0</v>
      </c>
      <c r="CQQ45" s="5">
        <f>-'5. IRR'!CQR16</f>
        <v>-0.0</v>
      </c>
      <c r="CQR45" s="5">
        <f>-'5. IRR'!CQS16</f>
        <v>-0.0</v>
      </c>
      <c r="CQS45" s="5">
        <f>-'5. IRR'!CQT16</f>
        <v>-0.0</v>
      </c>
      <c r="CQT45" s="5">
        <f>-'5. IRR'!CQU16</f>
        <v>-0.0</v>
      </c>
      <c r="CQU45" s="5">
        <f>-'5. IRR'!CQV16</f>
        <v>-0.0</v>
      </c>
      <c r="CQV45" s="5">
        <f>-'5. IRR'!CQW16</f>
        <v>-0.0</v>
      </c>
      <c r="CQW45" s="5">
        <f>-'5. IRR'!CQX16</f>
        <v>-0.0</v>
      </c>
      <c r="CQX45" s="5">
        <f>-'5. IRR'!CQY16</f>
        <v>-0.0</v>
      </c>
      <c r="CQY45" s="5">
        <f>-'5. IRR'!CQZ16</f>
        <v>-0.0</v>
      </c>
      <c r="CQZ45" s="5">
        <f>-'5. IRR'!CRA16</f>
        <v>-0.0</v>
      </c>
      <c r="CRA45" s="5">
        <f>-'5. IRR'!CRB16</f>
        <v>-0.0</v>
      </c>
      <c r="CRB45" s="5">
        <f>-'5. IRR'!CRC16</f>
        <v>-0.0</v>
      </c>
      <c r="CRC45" s="5">
        <f>-'5. IRR'!CRD16</f>
        <v>-0.0</v>
      </c>
      <c r="CRD45" s="5">
        <f>-'5. IRR'!CRE16</f>
        <v>-0.0</v>
      </c>
      <c r="CRE45" s="5">
        <f>-'5. IRR'!CRF16</f>
        <v>-0.0</v>
      </c>
      <c r="CRF45" s="5">
        <f>-'5. IRR'!CRG16</f>
        <v>-0.0</v>
      </c>
      <c r="CRG45" s="5">
        <f>-'5. IRR'!CRH16</f>
        <v>-0.0</v>
      </c>
      <c r="CRH45" s="5">
        <f>-'5. IRR'!CRI16</f>
        <v>-0.0</v>
      </c>
      <c r="CRI45" s="5">
        <f>-'5. IRR'!CRJ16</f>
        <v>-0.0</v>
      </c>
      <c r="CRJ45" s="5">
        <f>-'5. IRR'!CRK16</f>
        <v>-0.0</v>
      </c>
      <c r="CRK45" s="5">
        <f>-'5. IRR'!CRL16</f>
        <v>-0.0</v>
      </c>
      <c r="CRL45" s="5">
        <f>-'5. IRR'!CRM16</f>
        <v>-0.0</v>
      </c>
      <c r="CRM45" s="5">
        <f>-'5. IRR'!CRN16</f>
        <v>-0.0</v>
      </c>
      <c r="CRN45" s="5">
        <f>-'5. IRR'!CRO16</f>
        <v>-0.0</v>
      </c>
      <c r="CRO45" s="5">
        <f>-'5. IRR'!CRP16</f>
        <v>-0.0</v>
      </c>
      <c r="CRP45" s="5">
        <f>-'5. IRR'!CRQ16</f>
        <v>-0.0</v>
      </c>
      <c r="CRQ45" s="5">
        <f>-'5. IRR'!CRR16</f>
        <v>-0.0</v>
      </c>
      <c r="CRR45" s="5">
        <f>-'5. IRR'!CRS16</f>
        <v>-0.0</v>
      </c>
      <c r="CRS45" s="5">
        <f>-'5. IRR'!CRT16</f>
        <v>-0.0</v>
      </c>
      <c r="CRT45" s="5">
        <f>-'5. IRR'!CRU16</f>
        <v>-0.0</v>
      </c>
      <c r="CRU45" s="5">
        <f>-'5. IRR'!CRV16</f>
        <v>-0.0</v>
      </c>
      <c r="CRV45" s="5">
        <f>-'5. IRR'!CRW16</f>
        <v>-0.0</v>
      </c>
      <c r="CRW45" s="5">
        <f>-'5. IRR'!CRX16</f>
        <v>-0.0</v>
      </c>
      <c r="CRX45" s="5">
        <f>-'5. IRR'!CRY16</f>
        <v>-0.0</v>
      </c>
      <c r="CRY45" s="5">
        <f>-'5. IRR'!CRZ16</f>
        <v>-0.0</v>
      </c>
      <c r="CRZ45" s="5">
        <f>-'5. IRR'!CSA16</f>
        <v>-0.0</v>
      </c>
      <c r="CSA45" s="5">
        <f>-'5. IRR'!CSB16</f>
        <v>-0.0</v>
      </c>
      <c r="CSB45" s="5">
        <f>-'5. IRR'!CSC16</f>
        <v>-0.0</v>
      </c>
      <c r="CSC45" s="5">
        <f>-'5. IRR'!CSD16</f>
        <v>-0.0</v>
      </c>
      <c r="CSD45" s="5">
        <f>-'5. IRR'!CSE16</f>
        <v>-0.0</v>
      </c>
      <c r="CSE45" s="5">
        <f>-'5. IRR'!CSF16</f>
        <v>-0.0</v>
      </c>
      <c r="CSF45" s="5">
        <f>-'5. IRR'!CSG16</f>
        <v>-0.0</v>
      </c>
      <c r="CSG45" s="5">
        <f>-'5. IRR'!CSH16</f>
        <v>-0.0</v>
      </c>
      <c r="CSH45" s="5">
        <f>-'5. IRR'!CSI16</f>
        <v>-0.0</v>
      </c>
      <c r="CSI45" s="5">
        <f>-'5. IRR'!CSJ16</f>
        <v>-0.0</v>
      </c>
      <c r="CSJ45" s="5">
        <f>-'5. IRR'!CSK16</f>
        <v>-0.0</v>
      </c>
      <c r="CSK45" s="5">
        <f>-'5. IRR'!CSL16</f>
        <v>-0.0</v>
      </c>
      <c r="CSL45" s="5">
        <f>-'5. IRR'!CSM16</f>
        <v>-0.0</v>
      </c>
      <c r="CSM45" s="5">
        <f>-'5. IRR'!CSN16</f>
        <v>-0.0</v>
      </c>
      <c r="CSN45" s="5">
        <f>-'5. IRR'!CSO16</f>
        <v>-0.0</v>
      </c>
      <c r="CSO45" s="5">
        <f>-'5. IRR'!CSP16</f>
        <v>-0.0</v>
      </c>
      <c r="CSP45" s="5">
        <f>-'5. IRR'!CSQ16</f>
        <v>-0.0</v>
      </c>
      <c r="CSQ45" s="5">
        <f>-'5. IRR'!CSR16</f>
        <v>-0.0</v>
      </c>
      <c r="CSR45" s="5">
        <f>-'5. IRR'!CSS16</f>
        <v>-0.0</v>
      </c>
      <c r="CSS45" s="5">
        <f>-'5. IRR'!CST16</f>
        <v>-0.0</v>
      </c>
      <c r="CST45" s="5">
        <f>-'5. IRR'!CSU16</f>
        <v>-0.0</v>
      </c>
      <c r="CSU45" s="5">
        <f>-'5. IRR'!CSV16</f>
        <v>-0.0</v>
      </c>
      <c r="CSV45" s="5">
        <f>-'5. IRR'!CSW16</f>
        <v>-0.0</v>
      </c>
      <c r="CSW45" s="5">
        <f>-'5. IRR'!CSX16</f>
        <v>-0.0</v>
      </c>
      <c r="CSX45" s="5">
        <f>-'5. IRR'!CSY16</f>
        <v>-0.0</v>
      </c>
      <c r="CSY45" s="5">
        <f>-'5. IRR'!CSZ16</f>
        <v>-0.0</v>
      </c>
      <c r="CSZ45" s="5">
        <f>-'5. IRR'!CTA16</f>
        <v>-0.0</v>
      </c>
      <c r="CTA45" s="5">
        <f>-'5. IRR'!CTB16</f>
        <v>-0.0</v>
      </c>
      <c r="CTB45" s="5">
        <f>-'5. IRR'!CTC16</f>
        <v>-0.0</v>
      </c>
      <c r="CTC45" s="5">
        <f>-'5. IRR'!CTD16</f>
        <v>-0.0</v>
      </c>
      <c r="CTD45" s="5">
        <f>-'5. IRR'!CTE16</f>
        <v>-0.0</v>
      </c>
      <c r="CTE45" s="5">
        <f>-'5. IRR'!CTF16</f>
        <v>-0.0</v>
      </c>
      <c r="CTF45" s="5">
        <f>-'5. IRR'!CTG16</f>
        <v>-0.0</v>
      </c>
      <c r="CTG45" s="5">
        <f>-'5. IRR'!CTH16</f>
        <v>-0.0</v>
      </c>
      <c r="CTH45" s="5">
        <f>-'5. IRR'!CTI16</f>
        <v>-0.0</v>
      </c>
      <c r="CTI45" s="5">
        <f>-'5. IRR'!CTJ16</f>
        <v>-0.0</v>
      </c>
      <c r="CTJ45" s="5">
        <f>-'5. IRR'!CTK16</f>
        <v>-0.0</v>
      </c>
      <c r="CTK45" s="5">
        <f>-'5. IRR'!CTL16</f>
        <v>-0.0</v>
      </c>
      <c r="CTL45" s="5">
        <f>-'5. IRR'!CTM16</f>
        <v>-0.0</v>
      </c>
      <c r="CTM45" s="5">
        <f>-'5. IRR'!CTN16</f>
        <v>-0.0</v>
      </c>
      <c r="CTN45" s="5">
        <f>-'5. IRR'!CTO16</f>
        <v>-0.0</v>
      </c>
      <c r="CTO45" s="5">
        <f>-'5. IRR'!CTP16</f>
        <v>-0.0</v>
      </c>
      <c r="CTP45" s="5">
        <f>-'5. IRR'!CTQ16</f>
        <v>-0.0</v>
      </c>
      <c r="CTQ45" s="5">
        <f>-'5. IRR'!CTR16</f>
        <v>-0.0</v>
      </c>
      <c r="CTR45" s="5">
        <f>-'5. IRR'!CTS16</f>
        <v>-0.0</v>
      </c>
      <c r="CTS45" s="5">
        <f>-'5. IRR'!CTT16</f>
        <v>-0.0</v>
      </c>
      <c r="CTT45" s="5">
        <f>-'5. IRR'!CTU16</f>
        <v>-0.0</v>
      </c>
      <c r="CTU45" s="5">
        <f>-'5. IRR'!CTV16</f>
        <v>-0.0</v>
      </c>
      <c r="CTV45" s="5">
        <f>-'5. IRR'!CTW16</f>
        <v>-0.0</v>
      </c>
      <c r="CTW45" s="5">
        <f>-'5. IRR'!CTX16</f>
        <v>-0.0</v>
      </c>
      <c r="CTX45" s="5">
        <f>-'5. IRR'!CTY16</f>
        <v>-0.0</v>
      </c>
      <c r="CTY45" s="5">
        <f>-'5. IRR'!CTZ16</f>
        <v>-0.0</v>
      </c>
      <c r="CTZ45" s="5">
        <f>-'5. IRR'!CUA16</f>
        <v>-0.0</v>
      </c>
      <c r="CUA45" s="5">
        <f>-'5. IRR'!CUB16</f>
        <v>-0.0</v>
      </c>
      <c r="CUB45" s="5">
        <f>-'5. IRR'!CUC16</f>
        <v>-0.0</v>
      </c>
      <c r="CUC45" s="5">
        <f>-'5. IRR'!CUD16</f>
        <v>-0.0</v>
      </c>
      <c r="CUD45" s="5">
        <f>-'5. IRR'!CUE16</f>
        <v>-0.0</v>
      </c>
      <c r="CUE45" s="5">
        <f>-'5. IRR'!CUF16</f>
        <v>-0.0</v>
      </c>
      <c r="CUF45" s="5">
        <f>-'5. IRR'!CUG16</f>
        <v>-0.0</v>
      </c>
      <c r="CUG45" s="5">
        <f>-'5. IRR'!CUH16</f>
        <v>-0.0</v>
      </c>
      <c r="CUH45" s="5">
        <f>-'5. IRR'!CUI16</f>
        <v>-0.0</v>
      </c>
      <c r="CUI45" s="5">
        <f>-'5. IRR'!CUJ16</f>
        <v>-0.0</v>
      </c>
      <c r="CUJ45" s="5">
        <f>-'5. IRR'!CUK16</f>
        <v>-0.0</v>
      </c>
      <c r="CUK45" s="5">
        <f>-'5. IRR'!CUL16</f>
        <v>-0.0</v>
      </c>
      <c r="CUL45" s="5">
        <f>-'5. IRR'!CUM16</f>
        <v>-0.0</v>
      </c>
      <c r="CUM45" s="5">
        <f>-'5. IRR'!CUN16</f>
        <v>-0.0</v>
      </c>
      <c r="CUN45" s="5">
        <f>-'5. IRR'!CUO16</f>
        <v>-0.0</v>
      </c>
      <c r="CUO45" s="5">
        <f>-'5. IRR'!CUP16</f>
        <v>-0.0</v>
      </c>
      <c r="CUP45" s="5">
        <f>-'5. IRR'!CUQ16</f>
        <v>-0.0</v>
      </c>
      <c r="CUQ45" s="5">
        <f>-'5. IRR'!CUR16</f>
        <v>-0.0</v>
      </c>
      <c r="CUR45" s="5">
        <f>-'5. IRR'!CUS16</f>
        <v>-0.0</v>
      </c>
      <c r="CUS45" s="5">
        <f>-'5. IRR'!CUT16</f>
        <v>-0.0</v>
      </c>
      <c r="CUT45" s="5">
        <f>-'5. IRR'!CUU16</f>
        <v>-0.0</v>
      </c>
      <c r="CUU45" s="5">
        <f>-'5. IRR'!CUV16</f>
        <v>-0.0</v>
      </c>
      <c r="CUV45" s="5">
        <f>-'5. IRR'!CUW16</f>
        <v>-0.0</v>
      </c>
      <c r="CUW45" s="5">
        <f>-'5. IRR'!CUX16</f>
        <v>-0.0</v>
      </c>
      <c r="CUX45" s="5">
        <f>-'5. IRR'!CUY16</f>
        <v>-0.0</v>
      </c>
      <c r="CUY45" s="5">
        <f>-'5. IRR'!CUZ16</f>
        <v>-0.0</v>
      </c>
      <c r="CUZ45" s="5">
        <f>-'5. IRR'!CVA16</f>
        <v>-0.0</v>
      </c>
      <c r="CVA45" s="5">
        <f>-'5. IRR'!CVB16</f>
        <v>-0.0</v>
      </c>
      <c r="CVB45" s="5">
        <f>-'5. IRR'!CVC16</f>
        <v>-0.0</v>
      </c>
      <c r="CVC45" s="5">
        <f>-'5. IRR'!CVD16</f>
        <v>-0.0</v>
      </c>
      <c r="CVD45" s="5">
        <f>-'5. IRR'!CVE16</f>
        <v>-0.0</v>
      </c>
      <c r="CVE45" s="5">
        <f>-'5. IRR'!CVF16</f>
        <v>-0.0</v>
      </c>
      <c r="CVF45" s="5">
        <f>-'5. IRR'!CVG16</f>
        <v>-0.0</v>
      </c>
      <c r="CVG45" s="5">
        <f>-'5. IRR'!CVH16</f>
        <v>-0.0</v>
      </c>
      <c r="CVH45" s="5">
        <f>-'5. IRR'!CVI16</f>
        <v>-0.0</v>
      </c>
      <c r="CVI45" s="5">
        <f>-'5. IRR'!CVJ16</f>
        <v>-0.0</v>
      </c>
      <c r="CVJ45" s="5">
        <f>-'5. IRR'!CVK16</f>
        <v>-0.0</v>
      </c>
      <c r="CVK45" s="5">
        <f>-'5. IRR'!CVL16</f>
        <v>-0.0</v>
      </c>
      <c r="CVL45" s="5">
        <f>-'5. IRR'!CVM16</f>
        <v>-0.0</v>
      </c>
      <c r="CVM45" s="5">
        <f>-'5. IRR'!CVN16</f>
        <v>-0.0</v>
      </c>
      <c r="CVN45" s="5">
        <f>-'5. IRR'!CVO16</f>
        <v>-0.0</v>
      </c>
      <c r="CVO45" s="5">
        <f>-'5. IRR'!CVP16</f>
        <v>-0.0</v>
      </c>
      <c r="CVP45" s="5">
        <f>-'5. IRR'!CVQ16</f>
        <v>-0.0</v>
      </c>
      <c r="CVQ45" s="5">
        <f>-'5. IRR'!CVR16</f>
        <v>-0.0</v>
      </c>
      <c r="CVR45" s="5">
        <f>-'5. IRR'!CVS16</f>
        <v>-0.0</v>
      </c>
      <c r="CVS45" s="5">
        <f>-'5. IRR'!CVT16</f>
        <v>-0.0</v>
      </c>
      <c r="CVT45" s="5">
        <f>-'5. IRR'!CVU16</f>
        <v>-0.0</v>
      </c>
      <c r="CVU45" s="5">
        <f>-'5. IRR'!CVV16</f>
        <v>-0.0</v>
      </c>
      <c r="CVV45" s="5">
        <f>-'5. IRR'!CVW16</f>
        <v>-0.0</v>
      </c>
      <c r="CVW45" s="5">
        <f>-'5. IRR'!CVX16</f>
        <v>-0.0</v>
      </c>
      <c r="CVX45" s="5">
        <f>-'5. IRR'!CVY16</f>
        <v>-0.0</v>
      </c>
      <c r="CVY45" s="5">
        <f>-'5. IRR'!CVZ16</f>
        <v>-0.0</v>
      </c>
      <c r="CVZ45" s="5">
        <f>-'5. IRR'!CWA16</f>
        <v>-0.0</v>
      </c>
      <c r="CWA45" s="5">
        <f>-'5. IRR'!CWB16</f>
        <v>-0.0</v>
      </c>
      <c r="CWB45" s="5">
        <f>-'5. IRR'!CWC16</f>
        <v>-0.0</v>
      </c>
      <c r="CWC45" s="5">
        <f>-'5. IRR'!CWD16</f>
        <v>-0.0</v>
      </c>
      <c r="CWD45" s="5">
        <f>-'5. IRR'!CWE16</f>
        <v>-0.0</v>
      </c>
      <c r="CWE45" s="5">
        <f>-'5. IRR'!CWF16</f>
        <v>-0.0</v>
      </c>
      <c r="CWF45" s="5">
        <f>-'5. IRR'!CWG16</f>
        <v>-0.0</v>
      </c>
      <c r="CWG45" s="5">
        <f>-'5. IRR'!CWH16</f>
        <v>-0.0</v>
      </c>
      <c r="CWH45" s="5">
        <f>-'5. IRR'!CWI16</f>
        <v>-0.0</v>
      </c>
      <c r="CWI45" s="5">
        <f>-'5. IRR'!CWJ16</f>
        <v>-0.0</v>
      </c>
      <c r="CWJ45" s="5">
        <f>-'5. IRR'!CWK16</f>
        <v>-0.0</v>
      </c>
      <c r="CWK45" s="5">
        <f>-'5. IRR'!CWL16</f>
        <v>-0.0</v>
      </c>
      <c r="CWL45" s="5">
        <f>-'5. IRR'!CWM16</f>
        <v>-0.0</v>
      </c>
      <c r="CWM45" s="5">
        <f>-'5. IRR'!CWN16</f>
        <v>-0.0</v>
      </c>
      <c r="CWN45" s="5">
        <f>-'5. IRR'!CWO16</f>
        <v>-0.0</v>
      </c>
      <c r="CWO45" s="5">
        <f>-'5. IRR'!CWP16</f>
        <v>-0.0</v>
      </c>
      <c r="CWP45" s="5">
        <f>-'5. IRR'!CWQ16</f>
        <v>-0.0</v>
      </c>
      <c r="CWQ45" s="5">
        <f>-'5. IRR'!CWR16</f>
        <v>-0.0</v>
      </c>
      <c r="CWR45" s="5">
        <f>-'5. IRR'!CWS16</f>
        <v>-0.0</v>
      </c>
      <c r="CWS45" s="5">
        <f>-'5. IRR'!CWT16</f>
        <v>-0.0</v>
      </c>
      <c r="CWT45" s="5">
        <f>-'5. IRR'!CWU16</f>
        <v>-0.0</v>
      </c>
      <c r="CWU45" s="5">
        <f>-'5. IRR'!CWV16</f>
        <v>-0.0</v>
      </c>
      <c r="CWV45" s="5">
        <f>-'5. IRR'!CWW16</f>
        <v>-0.0</v>
      </c>
      <c r="CWW45" s="5">
        <f>-'5. IRR'!CWX16</f>
        <v>-0.0</v>
      </c>
      <c r="CWX45" s="5">
        <f>-'5. IRR'!CWY16</f>
        <v>-0.0</v>
      </c>
      <c r="CWY45" s="5">
        <f>-'5. IRR'!CWZ16</f>
        <v>-0.0</v>
      </c>
      <c r="CWZ45" s="5">
        <f>-'5. IRR'!CXA16</f>
        <v>-0.0</v>
      </c>
      <c r="CXA45" s="5">
        <f>-'5. IRR'!CXB16</f>
        <v>-0.0</v>
      </c>
      <c r="CXB45" s="5">
        <f>-'5. IRR'!CXC16</f>
        <v>-0.0</v>
      </c>
      <c r="CXC45" s="5">
        <f>-'5. IRR'!CXD16</f>
        <v>-0.0</v>
      </c>
      <c r="CXD45" s="5">
        <f>-'5. IRR'!CXE16</f>
        <v>-0.0</v>
      </c>
      <c r="CXE45" s="5">
        <f>-'5. IRR'!CXF16</f>
        <v>-0.0</v>
      </c>
      <c r="CXF45" s="5">
        <f>-'5. IRR'!CXG16</f>
        <v>-0.0</v>
      </c>
      <c r="CXG45" s="5">
        <f>-'5. IRR'!CXH16</f>
        <v>-0.0</v>
      </c>
      <c r="CXH45" s="5">
        <f>-'5. IRR'!CXI16</f>
        <v>-0.0</v>
      </c>
      <c r="CXI45" s="5">
        <f>-'5. IRR'!CXJ16</f>
        <v>-0.0</v>
      </c>
      <c r="CXJ45" s="5">
        <f>-'5. IRR'!CXK16</f>
        <v>-0.0</v>
      </c>
      <c r="CXK45" s="5">
        <f>-'5. IRR'!CXL16</f>
        <v>-0.0</v>
      </c>
      <c r="CXL45" s="5">
        <f>-'5. IRR'!CXM16</f>
        <v>-0.0</v>
      </c>
      <c r="CXM45" s="5">
        <f>-'5. IRR'!CXN16</f>
        <v>-0.0</v>
      </c>
      <c r="CXN45" s="5">
        <f>-'5. IRR'!CXO16</f>
        <v>-0.0</v>
      </c>
      <c r="CXO45" s="5">
        <f>-'5. IRR'!CXP16</f>
        <v>-0.0</v>
      </c>
      <c r="CXP45" s="5">
        <f>-'5. IRR'!CXQ16</f>
        <v>-0.0</v>
      </c>
      <c r="CXQ45" s="5">
        <f>-'5. IRR'!CXR16</f>
        <v>-0.0</v>
      </c>
      <c r="CXR45" s="5">
        <f>-'5. IRR'!CXS16</f>
        <v>-0.0</v>
      </c>
      <c r="CXS45" s="5">
        <f>-'5. IRR'!CXT16</f>
        <v>-0.0</v>
      </c>
      <c r="CXT45" s="5">
        <f>-'5. IRR'!CXU16</f>
        <v>-0.0</v>
      </c>
      <c r="CXU45" s="5">
        <f>-'5. IRR'!CXV16</f>
        <v>-0.0</v>
      </c>
      <c r="CXV45" s="5">
        <f>-'5. IRR'!CXW16</f>
        <v>-0.0</v>
      </c>
      <c r="CXW45" s="5">
        <f>-'5. IRR'!CXX16</f>
        <v>-0.0</v>
      </c>
      <c r="CXX45" s="5">
        <f>-'5. IRR'!CXY16</f>
        <v>-0.0</v>
      </c>
      <c r="CXY45" s="5">
        <f>-'5. IRR'!CXZ16</f>
        <v>-0.0</v>
      </c>
      <c r="CXZ45" s="5">
        <f>-'5. IRR'!CYA16</f>
        <v>-0.0</v>
      </c>
      <c r="CYA45" s="5">
        <f>-'5. IRR'!CYB16</f>
        <v>-0.0</v>
      </c>
      <c r="CYB45" s="5">
        <f>-'5. IRR'!CYC16</f>
        <v>-0.0</v>
      </c>
      <c r="CYC45" s="5">
        <f>-'5. IRR'!CYD16</f>
        <v>-0.0</v>
      </c>
      <c r="CYD45" s="5">
        <f>-'5. IRR'!CYE16</f>
        <v>-0.0</v>
      </c>
      <c r="CYE45" s="5">
        <f>-'5. IRR'!CYF16</f>
        <v>-0.0</v>
      </c>
      <c r="CYF45" s="5">
        <f>-'5. IRR'!CYG16</f>
        <v>-0.0</v>
      </c>
      <c r="CYG45" s="5">
        <f>-'5. IRR'!CYH16</f>
        <v>-0.0</v>
      </c>
      <c r="CYH45" s="5">
        <f>-'5. IRR'!CYI16</f>
        <v>-0.0</v>
      </c>
      <c r="CYI45" s="5">
        <f>-'5. IRR'!CYJ16</f>
        <v>-0.0</v>
      </c>
      <c r="CYJ45" s="5">
        <f>-'5. IRR'!CYK16</f>
        <v>-0.0</v>
      </c>
      <c r="CYK45" s="5">
        <f>-'5. IRR'!CYL16</f>
        <v>-0.0</v>
      </c>
      <c r="CYL45" s="5">
        <f>-'5. IRR'!CYM16</f>
        <v>-0.0</v>
      </c>
      <c r="CYM45" s="5">
        <f>-'5. IRR'!CYN16</f>
        <v>-0.0</v>
      </c>
      <c r="CYN45" s="5">
        <f>-'5. IRR'!CYO16</f>
        <v>-0.0</v>
      </c>
      <c r="CYO45" s="5">
        <f>-'5. IRR'!CYP16</f>
        <v>-0.0</v>
      </c>
      <c r="CYP45" s="5">
        <f>-'5. IRR'!CYQ16</f>
        <v>-0.0</v>
      </c>
      <c r="CYQ45" s="5">
        <f>-'5. IRR'!CYR16</f>
        <v>-0.0</v>
      </c>
      <c r="CYR45" s="5">
        <f>-'5. IRR'!CYS16</f>
        <v>-0.0</v>
      </c>
      <c r="CYS45" s="5">
        <f>-'5. IRR'!CYT16</f>
        <v>-0.0</v>
      </c>
      <c r="CYT45" s="5">
        <f>-'5. IRR'!CYU16</f>
        <v>-0.0</v>
      </c>
      <c r="CYU45" s="5">
        <f>-'5. IRR'!CYV16</f>
        <v>-0.0</v>
      </c>
      <c r="CYV45" s="5">
        <f>-'5. IRR'!CYW16</f>
        <v>-0.0</v>
      </c>
      <c r="CYW45" s="5">
        <f>-'5. IRR'!CYX16</f>
        <v>-0.0</v>
      </c>
      <c r="CYX45" s="5">
        <f>-'5. IRR'!CYY16</f>
        <v>-0.0</v>
      </c>
      <c r="CYY45" s="5">
        <f>-'5. IRR'!CYZ16</f>
        <v>-0.0</v>
      </c>
      <c r="CYZ45" s="5">
        <f>-'5. IRR'!CZA16</f>
        <v>-0.0</v>
      </c>
      <c r="CZA45" s="5">
        <f>-'5. IRR'!CZB16</f>
        <v>-0.0</v>
      </c>
      <c r="CZB45" s="5">
        <f>-'5. IRR'!CZC16</f>
        <v>-0.0</v>
      </c>
      <c r="CZC45" s="5">
        <f>-'5. IRR'!CZD16</f>
        <v>-0.0</v>
      </c>
      <c r="CZD45" s="5">
        <f>-'5. IRR'!CZE16</f>
        <v>-0.0</v>
      </c>
      <c r="CZE45" s="5">
        <f>-'5. IRR'!CZF16</f>
        <v>-0.0</v>
      </c>
      <c r="CZF45" s="5">
        <f>-'5. IRR'!CZG16</f>
        <v>-0.0</v>
      </c>
      <c r="CZG45" s="5">
        <f>-'5. IRR'!CZH16</f>
        <v>-0.0</v>
      </c>
      <c r="CZH45" s="5">
        <f>-'5. IRR'!CZI16</f>
        <v>-0.0</v>
      </c>
      <c r="CZI45" s="5">
        <f>-'5. IRR'!CZJ16</f>
        <v>-0.0</v>
      </c>
      <c r="CZJ45" s="5">
        <f>-'5. IRR'!CZK16</f>
        <v>-0.0</v>
      </c>
      <c r="CZK45" s="5">
        <f>-'5. IRR'!CZL16</f>
        <v>-0.0</v>
      </c>
      <c r="CZL45" s="5">
        <f>-'5. IRR'!CZM16</f>
        <v>-0.0</v>
      </c>
      <c r="CZM45" s="5">
        <f>-'5. IRR'!CZN16</f>
        <v>-0.0</v>
      </c>
      <c r="CZN45" s="5">
        <f>-'5. IRR'!CZO16</f>
        <v>-0.0</v>
      </c>
      <c r="CZO45" s="5">
        <f>-'5. IRR'!CZP16</f>
        <v>-0.0</v>
      </c>
      <c r="CZP45" s="5">
        <f>-'5. IRR'!CZQ16</f>
        <v>-0.0</v>
      </c>
      <c r="CZQ45" s="5">
        <f>-'5. IRR'!CZR16</f>
        <v>-0.0</v>
      </c>
      <c r="CZR45" s="5">
        <f>-'5. IRR'!CZS16</f>
        <v>-0.0</v>
      </c>
      <c r="CZS45" s="5">
        <f>-'5. IRR'!CZT16</f>
        <v>-0.0</v>
      </c>
      <c r="CZT45" s="5">
        <f>-'5. IRR'!CZU16</f>
        <v>-0.0</v>
      </c>
      <c r="CZU45" s="5">
        <f>-'5. IRR'!CZV16</f>
        <v>-0.0</v>
      </c>
      <c r="CZV45" s="5">
        <f>-'5. IRR'!CZW16</f>
        <v>-0.0</v>
      </c>
      <c r="CZW45" s="5">
        <f>-'5. IRR'!CZX16</f>
        <v>-0.0</v>
      </c>
      <c r="CZX45" s="5">
        <f>-'5. IRR'!CZY16</f>
        <v>-0.0</v>
      </c>
      <c r="CZY45" s="5">
        <f>-'5. IRR'!CZZ16</f>
        <v>-0.0</v>
      </c>
      <c r="CZZ45" s="5">
        <f>-'5. IRR'!DAA16</f>
        <v>-0.0</v>
      </c>
      <c r="DAA45" s="5">
        <f>-'5. IRR'!DAB16</f>
        <v>-0.0</v>
      </c>
      <c r="DAB45" s="5">
        <f>-'5. IRR'!DAC16</f>
        <v>-0.0</v>
      </c>
      <c r="DAC45" s="5">
        <f>-'5. IRR'!DAD16</f>
        <v>-0.0</v>
      </c>
      <c r="DAD45" s="5">
        <f>-'5. IRR'!DAE16</f>
        <v>-0.0</v>
      </c>
      <c r="DAE45" s="5">
        <f>-'5. IRR'!DAF16</f>
        <v>-0.0</v>
      </c>
      <c r="DAF45" s="5">
        <f>-'5. IRR'!DAG16</f>
        <v>-0.0</v>
      </c>
      <c r="DAG45" s="5">
        <f>-'5. IRR'!DAH16</f>
        <v>-0.0</v>
      </c>
      <c r="DAH45" s="5">
        <f>-'5. IRR'!DAI16</f>
        <v>-0.0</v>
      </c>
      <c r="DAI45" s="5">
        <f>-'5. IRR'!DAJ16</f>
        <v>-0.0</v>
      </c>
      <c r="DAJ45" s="5">
        <f>-'5. IRR'!DAK16</f>
        <v>-0.0</v>
      </c>
      <c r="DAK45" s="5">
        <f>-'5. IRR'!DAL16</f>
        <v>-0.0</v>
      </c>
      <c r="DAL45" s="5">
        <f>-'5. IRR'!DAM16</f>
        <v>-0.0</v>
      </c>
      <c r="DAM45" s="5">
        <f>-'5. IRR'!DAN16</f>
        <v>-0.0</v>
      </c>
      <c r="DAN45" s="5">
        <f>-'5. IRR'!DAO16</f>
        <v>-0.0</v>
      </c>
      <c r="DAO45" s="5">
        <f>-'5. IRR'!DAP16</f>
        <v>-0.0</v>
      </c>
      <c r="DAP45" s="5">
        <f>-'5. IRR'!DAQ16</f>
        <v>-0.0</v>
      </c>
      <c r="DAQ45" s="5">
        <f>-'5. IRR'!DAR16</f>
        <v>-0.0</v>
      </c>
      <c r="DAR45" s="5">
        <f>-'5. IRR'!DAS16</f>
        <v>-0.0</v>
      </c>
      <c r="DAS45" s="5">
        <f>-'5. IRR'!DAT16</f>
        <v>-0.0</v>
      </c>
      <c r="DAT45" s="5">
        <f>-'5. IRR'!DAU16</f>
        <v>-0.0</v>
      </c>
      <c r="DAU45" s="5">
        <f>-'5. IRR'!DAV16</f>
        <v>-0.0</v>
      </c>
      <c r="DAV45" s="5">
        <f>-'5. IRR'!DAW16</f>
        <v>-0.0</v>
      </c>
      <c r="DAW45" s="5">
        <f>-'5. IRR'!DAX16</f>
        <v>-0.0</v>
      </c>
      <c r="DAX45" s="5">
        <f>-'5. IRR'!DAY16</f>
        <v>-0.0</v>
      </c>
      <c r="DAY45" s="5">
        <f>-'5. IRR'!DAZ16</f>
        <v>-0.0</v>
      </c>
      <c r="DAZ45" s="5">
        <f>-'5. IRR'!DBA16</f>
        <v>-0.0</v>
      </c>
      <c r="DBA45" s="5">
        <f>-'5. IRR'!DBB16</f>
        <v>-0.0</v>
      </c>
      <c r="DBB45" s="5">
        <f>-'5. IRR'!DBC16</f>
        <v>-0.0</v>
      </c>
      <c r="DBC45" s="5">
        <f>-'5. IRR'!DBD16</f>
        <v>-0.0</v>
      </c>
      <c r="DBD45" s="5">
        <f>-'5. IRR'!DBE16</f>
        <v>-0.0</v>
      </c>
      <c r="DBE45" s="5">
        <f>-'5. IRR'!DBF16</f>
        <v>-0.0</v>
      </c>
      <c r="DBF45" s="5">
        <f>-'5. IRR'!DBG16</f>
        <v>-0.0</v>
      </c>
      <c r="DBG45" s="5">
        <f>-'5. IRR'!DBH16</f>
        <v>-0.0</v>
      </c>
      <c r="DBH45" s="5">
        <f>-'5. IRR'!DBI16</f>
        <v>-0.0</v>
      </c>
      <c r="DBI45" s="5">
        <f>-'5. IRR'!DBJ16</f>
        <v>-0.0</v>
      </c>
      <c r="DBJ45" s="5">
        <f>-'5. IRR'!DBK16</f>
        <v>-0.0</v>
      </c>
      <c r="DBK45" s="5">
        <f>-'5. IRR'!DBL16</f>
        <v>-0.0</v>
      </c>
      <c r="DBL45" s="5">
        <f>-'5. IRR'!DBM16</f>
        <v>-0.0</v>
      </c>
      <c r="DBM45" s="5">
        <f>-'5. IRR'!DBN16</f>
        <v>-0.0</v>
      </c>
      <c r="DBN45" s="5">
        <f>-'5. IRR'!DBO16</f>
        <v>-0.0</v>
      </c>
      <c r="DBO45" s="5">
        <f>-'5. IRR'!DBP16</f>
        <v>-0.0</v>
      </c>
      <c r="DBP45" s="5">
        <f>-'5. IRR'!DBQ16</f>
        <v>-0.0</v>
      </c>
      <c r="DBQ45" s="5">
        <f>-'5. IRR'!DBR16</f>
        <v>-0.0</v>
      </c>
      <c r="DBR45" s="5">
        <f>-'5. IRR'!DBS16</f>
        <v>-0.0</v>
      </c>
      <c r="DBS45" s="5">
        <f>-'5. IRR'!DBT16</f>
        <v>-0.0</v>
      </c>
      <c r="DBT45" s="5">
        <f>-'5. IRR'!DBU16</f>
        <v>-0.0</v>
      </c>
      <c r="DBU45" s="5">
        <f>-'5. IRR'!DBV16</f>
        <v>-0.0</v>
      </c>
      <c r="DBV45" s="5">
        <f>-'5. IRR'!DBW16</f>
        <v>-0.0</v>
      </c>
      <c r="DBW45" s="5">
        <f>-'5. IRR'!DBX16</f>
        <v>-0.0</v>
      </c>
      <c r="DBX45" s="5">
        <f>-'5. IRR'!DBY16</f>
        <v>-0.0</v>
      </c>
      <c r="DBY45" s="5">
        <f>-'5. IRR'!DBZ16</f>
        <v>-0.0</v>
      </c>
      <c r="DBZ45" s="5">
        <f>-'5. IRR'!DCA16</f>
        <v>-0.0</v>
      </c>
      <c r="DCA45" s="5">
        <f>-'5. IRR'!DCB16</f>
        <v>-0.0</v>
      </c>
      <c r="DCB45" s="5">
        <f>-'5. IRR'!DCC16</f>
        <v>-0.0</v>
      </c>
      <c r="DCC45" s="5">
        <f>-'5. IRR'!DCD16</f>
        <v>-0.0</v>
      </c>
      <c r="DCD45" s="5">
        <f>-'5. IRR'!DCE16</f>
        <v>-0.0</v>
      </c>
      <c r="DCE45" s="5">
        <f>-'5. IRR'!DCF16</f>
        <v>-0.0</v>
      </c>
      <c r="DCF45" s="5">
        <f>-'5. IRR'!DCG16</f>
        <v>-0.0</v>
      </c>
      <c r="DCG45" s="5">
        <f>-'5. IRR'!DCH16</f>
        <v>-0.0</v>
      </c>
      <c r="DCH45" s="5">
        <f>-'5. IRR'!DCI16</f>
        <v>-0.0</v>
      </c>
      <c r="DCI45" s="5">
        <f>-'5. IRR'!DCJ16</f>
        <v>-0.0</v>
      </c>
      <c r="DCJ45" s="5">
        <f>-'5. IRR'!DCK16</f>
        <v>-0.0</v>
      </c>
      <c r="DCK45" s="5">
        <f>-'5. IRR'!DCL16</f>
        <v>-0.0</v>
      </c>
      <c r="DCL45" s="5">
        <f>-'5. IRR'!DCM16</f>
        <v>-0.0</v>
      </c>
      <c r="DCM45" s="5">
        <f>-'5. IRR'!DCN16</f>
        <v>-0.0</v>
      </c>
      <c r="DCN45" s="5">
        <f>-'5. IRR'!DCO16</f>
        <v>-0.0</v>
      </c>
      <c r="DCO45" s="5">
        <f>-'5. IRR'!DCP16</f>
        <v>-0.0</v>
      </c>
      <c r="DCP45" s="5">
        <f>-'5. IRR'!DCQ16</f>
        <v>-0.0</v>
      </c>
      <c r="DCQ45" s="5">
        <f>-'5. IRR'!DCR16</f>
        <v>-0.0</v>
      </c>
      <c r="DCR45" s="5">
        <f>-'5. IRR'!DCS16</f>
        <v>-0.0</v>
      </c>
      <c r="DCS45" s="5">
        <f>-'5. IRR'!DCT16</f>
        <v>-0.0</v>
      </c>
      <c r="DCT45" s="5">
        <f>-'5. IRR'!DCU16</f>
        <v>-0.0</v>
      </c>
      <c r="DCU45" s="5">
        <f>-'5. IRR'!DCV16</f>
        <v>-0.0</v>
      </c>
      <c r="DCV45" s="5">
        <f>-'5. IRR'!DCW16</f>
        <v>-0.0</v>
      </c>
      <c r="DCW45" s="5">
        <f>-'5. IRR'!DCX16</f>
        <v>-0.0</v>
      </c>
      <c r="DCX45" s="5">
        <f>-'5. IRR'!DCY16</f>
        <v>-0.0</v>
      </c>
      <c r="DCY45" s="5">
        <f>-'5. IRR'!DCZ16</f>
        <v>-0.0</v>
      </c>
      <c r="DCZ45" s="5">
        <f>-'5. IRR'!DDA16</f>
        <v>-0.0</v>
      </c>
      <c r="DDA45" s="5">
        <f>-'5. IRR'!DDB16</f>
        <v>-0.0</v>
      </c>
      <c r="DDB45" s="5">
        <f>-'5. IRR'!DDC16</f>
        <v>-0.0</v>
      </c>
      <c r="DDC45" s="5">
        <f>-'5. IRR'!DDD16</f>
        <v>-0.0</v>
      </c>
      <c r="DDD45" s="5">
        <f>-'5. IRR'!DDE16</f>
        <v>-0.0</v>
      </c>
      <c r="DDE45" s="5">
        <f>-'5. IRR'!DDF16</f>
        <v>-0.0</v>
      </c>
      <c r="DDF45" s="5">
        <f>-'5. IRR'!DDG16</f>
        <v>-0.0</v>
      </c>
      <c r="DDG45" s="5">
        <f>-'5. IRR'!DDH16</f>
        <v>-0.0</v>
      </c>
      <c r="DDH45" s="5">
        <f>-'5. IRR'!DDI16</f>
        <v>-0.0</v>
      </c>
      <c r="DDI45" s="5">
        <f>-'5. IRR'!DDJ16</f>
        <v>-0.0</v>
      </c>
      <c r="DDJ45" s="5">
        <f>-'5. IRR'!DDK16</f>
        <v>-0.0</v>
      </c>
      <c r="DDK45" s="5">
        <f>-'5. IRR'!DDL16</f>
        <v>-0.0</v>
      </c>
      <c r="DDL45" s="5">
        <f>-'5. IRR'!DDM16</f>
        <v>-0.0</v>
      </c>
      <c r="DDM45" s="5">
        <f>-'5. IRR'!DDN16</f>
        <v>-0.0</v>
      </c>
      <c r="DDN45" s="5">
        <f>-'5. IRR'!DDO16</f>
        <v>-0.0</v>
      </c>
      <c r="DDO45" s="5">
        <f>-'5. IRR'!DDP16</f>
        <v>-0.0</v>
      </c>
      <c r="DDP45" s="5">
        <f>-'5. IRR'!DDQ16</f>
        <v>-0.0</v>
      </c>
      <c r="DDQ45" s="5">
        <f>-'5. IRR'!DDR16</f>
        <v>-0.0</v>
      </c>
      <c r="DDR45" s="5">
        <f>-'5. IRR'!DDS16</f>
        <v>-0.0</v>
      </c>
      <c r="DDS45" s="5">
        <f>-'5. IRR'!DDT16</f>
        <v>-0.0</v>
      </c>
      <c r="DDT45" s="5">
        <f>-'5. IRR'!DDU16</f>
        <v>-0.0</v>
      </c>
      <c r="DDU45" s="5">
        <f>-'5. IRR'!DDV16</f>
        <v>-0.0</v>
      </c>
      <c r="DDV45" s="5">
        <f>-'5. IRR'!DDW16</f>
        <v>-0.0</v>
      </c>
      <c r="DDW45" s="5">
        <f>-'5. IRR'!DDX16</f>
        <v>-0.0</v>
      </c>
      <c r="DDX45" s="5">
        <f>-'5. IRR'!DDY16</f>
        <v>-0.0</v>
      </c>
      <c r="DDY45" s="5">
        <f>-'5. IRR'!DDZ16</f>
        <v>-0.0</v>
      </c>
      <c r="DDZ45" s="5">
        <f>-'5. IRR'!DEA16</f>
        <v>-0.0</v>
      </c>
      <c r="DEA45" s="5">
        <f>-'5. IRR'!DEB16</f>
        <v>-0.0</v>
      </c>
      <c r="DEB45" s="5">
        <f>-'5. IRR'!DEC16</f>
        <v>-0.0</v>
      </c>
      <c r="DEC45" s="5">
        <f>-'5. IRR'!DED16</f>
        <v>-0.0</v>
      </c>
      <c r="DED45" s="5">
        <f>-'5. IRR'!DEE16</f>
        <v>-0.0</v>
      </c>
      <c r="DEE45" s="5">
        <f>-'5. IRR'!DEF16</f>
        <v>-0.0</v>
      </c>
      <c r="DEF45" s="5">
        <f>-'5. IRR'!DEG16</f>
        <v>-0.0</v>
      </c>
      <c r="DEG45" s="5">
        <f>-'5. IRR'!DEH16</f>
        <v>-0.0</v>
      </c>
      <c r="DEH45" s="5">
        <f>-'5. IRR'!DEI16</f>
        <v>-0.0</v>
      </c>
      <c r="DEI45" s="5">
        <f>-'5. IRR'!DEJ16</f>
        <v>-0.0</v>
      </c>
      <c r="DEJ45" s="5">
        <f>-'5. IRR'!DEK16</f>
        <v>-0.0</v>
      </c>
      <c r="DEK45" s="5">
        <f>-'5. IRR'!DEL16</f>
        <v>-0.0</v>
      </c>
      <c r="DEL45" s="5">
        <f>-'5. IRR'!DEM16</f>
        <v>-0.0</v>
      </c>
      <c r="DEM45" s="5">
        <f>-'5. IRR'!DEN16</f>
        <v>-0.0</v>
      </c>
      <c r="DEN45" s="5">
        <f>-'5. IRR'!DEO16</f>
        <v>-0.0</v>
      </c>
      <c r="DEO45" s="5">
        <f>-'5. IRR'!DEP16</f>
        <v>-0.0</v>
      </c>
      <c r="DEP45" s="5">
        <f>-'5. IRR'!DEQ16</f>
        <v>-0.0</v>
      </c>
      <c r="DEQ45" s="5">
        <f>-'5. IRR'!DER16</f>
        <v>-0.0</v>
      </c>
      <c r="DER45" s="5">
        <f>-'5. IRR'!DES16</f>
        <v>-0.0</v>
      </c>
      <c r="DES45" s="5">
        <f>-'5. IRR'!DET16</f>
        <v>-0.0</v>
      </c>
      <c r="DET45" s="5">
        <f>-'5. IRR'!DEU16</f>
        <v>-0.0</v>
      </c>
      <c r="DEU45" s="5">
        <f>-'5. IRR'!DEV16</f>
        <v>-0.0</v>
      </c>
      <c r="DEV45" s="5">
        <f>-'5. IRR'!DEW16</f>
        <v>-0.0</v>
      </c>
      <c r="DEW45" s="5">
        <f>-'5. IRR'!DEX16</f>
        <v>-0.0</v>
      </c>
      <c r="DEX45" s="5">
        <f>-'5. IRR'!DEY16</f>
        <v>-0.0</v>
      </c>
      <c r="DEY45" s="5">
        <f>-'5. IRR'!DEZ16</f>
        <v>-0.0</v>
      </c>
      <c r="DEZ45" s="5">
        <f>-'5. IRR'!DFA16</f>
        <v>-0.0</v>
      </c>
      <c r="DFA45" s="5">
        <f>-'5. IRR'!DFB16</f>
        <v>-0.0</v>
      </c>
      <c r="DFB45" s="5">
        <f>-'5. IRR'!DFC16</f>
        <v>-0.0</v>
      </c>
      <c r="DFC45" s="5">
        <f>-'5. IRR'!DFD16</f>
        <v>-0.0</v>
      </c>
      <c r="DFD45" s="5">
        <f>-'5. IRR'!DFE16</f>
        <v>-0.0</v>
      </c>
      <c r="DFE45" s="5">
        <f>-'5. IRR'!DFF16</f>
        <v>-0.0</v>
      </c>
      <c r="DFF45" s="5">
        <f>-'5. IRR'!DFG16</f>
        <v>-0.0</v>
      </c>
      <c r="DFG45" s="5">
        <f>-'5. IRR'!DFH16</f>
        <v>-0.0</v>
      </c>
      <c r="DFH45" s="5">
        <f>-'5. IRR'!DFI16</f>
        <v>-0.0</v>
      </c>
      <c r="DFI45" s="5">
        <f>-'5. IRR'!DFJ16</f>
        <v>-0.0</v>
      </c>
      <c r="DFJ45" s="5">
        <f>-'5. IRR'!DFK16</f>
        <v>-0.0</v>
      </c>
      <c r="DFK45" s="5">
        <f>-'5. IRR'!DFL16</f>
        <v>-0.0</v>
      </c>
      <c r="DFL45" s="5">
        <f>-'5. IRR'!DFM16</f>
        <v>-0.0</v>
      </c>
      <c r="DFM45" s="5">
        <f>-'5. IRR'!DFN16</f>
        <v>-0.0</v>
      </c>
      <c r="DFN45" s="5">
        <f>-'5. IRR'!DFO16</f>
        <v>-0.0</v>
      </c>
      <c r="DFO45" s="5">
        <f>-'5. IRR'!DFP16</f>
        <v>-0.0</v>
      </c>
      <c r="DFP45" s="5">
        <f>-'5. IRR'!DFQ16</f>
        <v>-0.0</v>
      </c>
      <c r="DFQ45" s="5">
        <f>-'5. IRR'!DFR16</f>
        <v>-0.0</v>
      </c>
      <c r="DFR45" s="5">
        <f>-'5. IRR'!DFS16</f>
        <v>-0.0</v>
      </c>
      <c r="DFS45" s="5">
        <f>-'5. IRR'!DFT16</f>
        <v>-0.0</v>
      </c>
      <c r="DFT45" s="5">
        <f>-'5. IRR'!DFU16</f>
        <v>-0.0</v>
      </c>
      <c r="DFU45" s="5">
        <f>-'5. IRR'!DFV16</f>
        <v>-0.0</v>
      </c>
      <c r="DFV45" s="5">
        <f>-'5. IRR'!DFW16</f>
        <v>-0.0</v>
      </c>
      <c r="DFW45" s="5">
        <f>-'5. IRR'!DFX16</f>
        <v>-0.0</v>
      </c>
      <c r="DFX45" s="5">
        <f>-'5. IRR'!DFY16</f>
        <v>-0.0</v>
      </c>
      <c r="DFY45" s="5">
        <f>-'5. IRR'!DFZ16</f>
        <v>-0.0</v>
      </c>
      <c r="DFZ45" s="5">
        <f>-'5. IRR'!DGA16</f>
        <v>-0.0</v>
      </c>
      <c r="DGA45" s="5">
        <f>-'5. IRR'!DGB16</f>
        <v>-0.0</v>
      </c>
      <c r="DGB45" s="5">
        <f>-'5. IRR'!DGC16</f>
        <v>-0.0</v>
      </c>
      <c r="DGC45" s="5">
        <f>-'5. IRR'!DGD16</f>
        <v>-0.0</v>
      </c>
      <c r="DGD45" s="5">
        <f>-'5. IRR'!DGE16</f>
        <v>-0.0</v>
      </c>
      <c r="DGE45" s="5">
        <f>-'5. IRR'!DGF16</f>
        <v>-0.0</v>
      </c>
      <c r="DGF45" s="5">
        <f>-'5. IRR'!DGG16</f>
        <v>-0.0</v>
      </c>
      <c r="DGG45" s="5">
        <f>-'5. IRR'!DGH16</f>
        <v>-0.0</v>
      </c>
      <c r="DGH45" s="5">
        <f>-'5. IRR'!DGI16</f>
        <v>-0.0</v>
      </c>
      <c r="DGI45" s="5">
        <f>-'5. IRR'!DGJ16</f>
        <v>-0.0</v>
      </c>
      <c r="DGJ45" s="5">
        <f>-'5. IRR'!DGK16</f>
        <v>-0.0</v>
      </c>
      <c r="DGK45" s="5">
        <f>-'5. IRR'!DGL16</f>
        <v>-0.0</v>
      </c>
      <c r="DGL45" s="5">
        <f>-'5. IRR'!DGM16</f>
        <v>-0.0</v>
      </c>
      <c r="DGM45" s="5">
        <f>-'5. IRR'!DGN16</f>
        <v>-0.0</v>
      </c>
      <c r="DGN45" s="5">
        <f>-'5. IRR'!DGO16</f>
        <v>-0.0</v>
      </c>
      <c r="DGO45" s="5">
        <f>-'5. IRR'!DGP16</f>
        <v>-0.0</v>
      </c>
      <c r="DGP45" s="5">
        <f>-'5. IRR'!DGQ16</f>
        <v>-0.0</v>
      </c>
      <c r="DGQ45" s="5">
        <f>-'5. IRR'!DGR16</f>
        <v>-0.0</v>
      </c>
      <c r="DGR45" s="5">
        <f>-'5. IRR'!DGS16</f>
        <v>-0.0</v>
      </c>
      <c r="DGS45" s="5">
        <f>-'5. IRR'!DGT16</f>
        <v>-0.0</v>
      </c>
      <c r="DGT45" s="5">
        <f>-'5. IRR'!DGU16</f>
        <v>-0.0</v>
      </c>
      <c r="DGU45" s="5">
        <f>-'5. IRR'!DGV16</f>
        <v>-0.0</v>
      </c>
      <c r="DGV45" s="5">
        <f>-'5. IRR'!DGW16</f>
        <v>-0.0</v>
      </c>
      <c r="DGW45" s="5">
        <f>-'5. IRR'!DGX16</f>
        <v>-0.0</v>
      </c>
      <c r="DGX45" s="5">
        <f>-'5. IRR'!DGY16</f>
        <v>-0.0</v>
      </c>
      <c r="DGY45" s="5">
        <f>-'5. IRR'!DGZ16</f>
        <v>-0.0</v>
      </c>
      <c r="DGZ45" s="5">
        <f>-'5. IRR'!DHA16</f>
        <v>-0.0</v>
      </c>
      <c r="DHA45" s="5">
        <f>-'5. IRR'!DHB16</f>
        <v>-0.0</v>
      </c>
      <c r="DHB45" s="5">
        <f>-'5. IRR'!DHC16</f>
        <v>-0.0</v>
      </c>
      <c r="DHC45" s="5">
        <f>-'5. IRR'!DHD16</f>
        <v>-0.0</v>
      </c>
      <c r="DHD45" s="5">
        <f>-'5. IRR'!DHE16</f>
        <v>-0.0</v>
      </c>
      <c r="DHE45" s="5">
        <f>-'5. IRR'!DHF16</f>
        <v>-0.0</v>
      </c>
      <c r="DHF45" s="5">
        <f>-'5. IRR'!DHG16</f>
        <v>-0.0</v>
      </c>
      <c r="DHG45" s="5">
        <f>-'5. IRR'!DHH16</f>
        <v>-0.0</v>
      </c>
      <c r="DHH45" s="5">
        <f>-'5. IRR'!DHI16</f>
        <v>-0.0</v>
      </c>
      <c r="DHI45" s="5">
        <f>-'5. IRR'!DHJ16</f>
        <v>-0.0</v>
      </c>
      <c r="DHJ45" s="5">
        <f>-'5. IRR'!DHK16</f>
        <v>-0.0</v>
      </c>
      <c r="DHK45" s="5">
        <f>-'5. IRR'!DHL16</f>
        <v>-0.0</v>
      </c>
      <c r="DHL45" s="5">
        <f>-'5. IRR'!DHM16</f>
        <v>-0.0</v>
      </c>
      <c r="DHM45" s="5">
        <f>-'5. IRR'!DHN16</f>
        <v>-0.0</v>
      </c>
      <c r="DHN45" s="5">
        <f>-'5. IRR'!DHO16</f>
        <v>-0.0</v>
      </c>
      <c r="DHO45" s="5">
        <f>-'5. IRR'!DHP16</f>
        <v>-0.0</v>
      </c>
      <c r="DHP45" s="5">
        <f>-'5. IRR'!DHQ16</f>
        <v>-0.0</v>
      </c>
      <c r="DHQ45" s="5">
        <f>-'5. IRR'!DHR16</f>
        <v>-0.0</v>
      </c>
      <c r="DHR45" s="5">
        <f>-'5. IRR'!DHS16</f>
        <v>-0.0</v>
      </c>
      <c r="DHS45" s="5">
        <f>-'5. IRR'!DHT16</f>
        <v>-0.0</v>
      </c>
      <c r="DHT45" s="5">
        <f>-'5. IRR'!DHU16</f>
        <v>-0.0</v>
      </c>
      <c r="DHU45" s="5">
        <f>-'5. IRR'!DHV16</f>
        <v>-0.0</v>
      </c>
      <c r="DHV45" s="5">
        <f>-'5. IRR'!DHW16</f>
        <v>-0.0</v>
      </c>
      <c r="DHW45" s="5">
        <f>-'5. IRR'!DHX16</f>
        <v>-0.0</v>
      </c>
      <c r="DHX45" s="5">
        <f>-'5. IRR'!DHY16</f>
        <v>-0.0</v>
      </c>
      <c r="DHY45" s="5">
        <f>-'5. IRR'!DHZ16</f>
        <v>-0.0</v>
      </c>
      <c r="DHZ45" s="5">
        <f>-'5. IRR'!DIA16</f>
        <v>-0.0</v>
      </c>
      <c r="DIA45" s="5">
        <f>-'5. IRR'!DIB16</f>
        <v>-0.0</v>
      </c>
      <c r="DIB45" s="5">
        <f>-'5. IRR'!DIC16</f>
        <v>-0.0</v>
      </c>
      <c r="DIC45" s="5">
        <f>-'5. IRR'!DID16</f>
        <v>-0.0</v>
      </c>
      <c r="DID45" s="5">
        <f>-'5. IRR'!DIE16</f>
        <v>-0.0</v>
      </c>
      <c r="DIE45" s="5">
        <f>-'5. IRR'!DIF16</f>
        <v>-0.0</v>
      </c>
      <c r="DIF45" s="5">
        <f>-'5. IRR'!DIG16</f>
        <v>-0.0</v>
      </c>
      <c r="DIG45" s="5">
        <f>-'5. IRR'!DIH16</f>
        <v>-0.0</v>
      </c>
      <c r="DIH45" s="5">
        <f>-'5. IRR'!DII16</f>
        <v>-0.0</v>
      </c>
      <c r="DII45" s="5">
        <f>-'5. IRR'!DIJ16</f>
        <v>-0.0</v>
      </c>
      <c r="DIJ45" s="5">
        <f>-'5. IRR'!DIK16</f>
        <v>-0.0</v>
      </c>
      <c r="DIK45" s="5">
        <f>-'5. IRR'!DIL16</f>
        <v>-0.0</v>
      </c>
      <c r="DIL45" s="5">
        <f>-'5. IRR'!DIM16</f>
        <v>-0.0</v>
      </c>
      <c r="DIM45" s="5">
        <f>-'5. IRR'!DIN16</f>
        <v>-0.0</v>
      </c>
      <c r="DIN45" s="5">
        <f>-'5. IRR'!DIO16</f>
        <v>-0.0</v>
      </c>
      <c r="DIO45" s="5">
        <f>-'5. IRR'!DIP16</f>
        <v>-0.0</v>
      </c>
      <c r="DIP45" s="5">
        <f>-'5. IRR'!DIQ16</f>
        <v>-0.0</v>
      </c>
      <c r="DIQ45" s="5">
        <f>-'5. IRR'!DIR16</f>
        <v>-0.0</v>
      </c>
      <c r="DIR45" s="5">
        <f>-'5. IRR'!DIS16</f>
        <v>-0.0</v>
      </c>
      <c r="DIS45" s="5">
        <f>-'5. IRR'!DIT16</f>
        <v>-0.0</v>
      </c>
      <c r="DIT45" s="5">
        <f>-'5. IRR'!DIU16</f>
        <v>-0.0</v>
      </c>
      <c r="DIU45" s="5">
        <f>-'5. IRR'!DIV16</f>
        <v>-0.0</v>
      </c>
      <c r="DIV45" s="5">
        <f>-'5. IRR'!DIW16</f>
        <v>-0.0</v>
      </c>
      <c r="DIW45" s="5">
        <f>-'5. IRR'!DIX16</f>
        <v>-0.0</v>
      </c>
      <c r="DIX45" s="5">
        <f>-'5. IRR'!DIY16</f>
        <v>-0.0</v>
      </c>
      <c r="DIY45" s="5">
        <f>-'5. IRR'!DIZ16</f>
        <v>-0.0</v>
      </c>
      <c r="DIZ45" s="5">
        <f>-'5. IRR'!DJA16</f>
        <v>-0.0</v>
      </c>
      <c r="DJA45" s="5">
        <f>-'5. IRR'!DJB16</f>
        <v>-0.0</v>
      </c>
      <c r="DJB45" s="5">
        <f>-'5. IRR'!DJC16</f>
        <v>-0.0</v>
      </c>
      <c r="DJC45" s="5">
        <f>-'5. IRR'!DJD16</f>
        <v>-0.0</v>
      </c>
      <c r="DJD45" s="5">
        <f>-'5. IRR'!DJE16</f>
        <v>-0.0</v>
      </c>
      <c r="DJE45" s="5">
        <f>-'5. IRR'!DJF16</f>
        <v>-0.0</v>
      </c>
      <c r="DJF45" s="5">
        <f>-'5. IRR'!DJG16</f>
        <v>-0.0</v>
      </c>
      <c r="DJG45" s="5">
        <f>-'5. IRR'!DJH16</f>
        <v>-0.0</v>
      </c>
      <c r="DJH45" s="5">
        <f>-'5. IRR'!DJI16</f>
        <v>-0.0</v>
      </c>
      <c r="DJI45" s="5">
        <f>-'5. IRR'!DJJ16</f>
        <v>-0.0</v>
      </c>
      <c r="DJJ45" s="5">
        <f>-'5. IRR'!DJK16</f>
        <v>-0.0</v>
      </c>
      <c r="DJK45" s="5">
        <f>-'5. IRR'!DJL16</f>
        <v>-0.0</v>
      </c>
      <c r="DJL45" s="5">
        <f>-'5. IRR'!DJM16</f>
        <v>-0.0</v>
      </c>
      <c r="DJM45" s="5">
        <f>-'5. IRR'!DJN16</f>
        <v>-0.0</v>
      </c>
      <c r="DJN45" s="5">
        <f>-'5. IRR'!DJO16</f>
        <v>-0.0</v>
      </c>
      <c r="DJO45" s="5">
        <f>-'5. IRR'!DJP16</f>
        <v>-0.0</v>
      </c>
      <c r="DJP45" s="5">
        <f>-'5. IRR'!DJQ16</f>
        <v>-0.0</v>
      </c>
      <c r="DJQ45" s="5">
        <f>-'5. IRR'!DJR16</f>
        <v>-0.0</v>
      </c>
      <c r="DJR45" s="5">
        <f>-'5. IRR'!DJS16</f>
        <v>-0.0</v>
      </c>
      <c r="DJS45" s="5">
        <f>-'5. IRR'!DJT16</f>
        <v>-0.0</v>
      </c>
      <c r="DJT45" s="5">
        <f>-'5. IRR'!DJU16</f>
        <v>-0.0</v>
      </c>
      <c r="DJU45" s="5">
        <f>-'5. IRR'!DJV16</f>
        <v>-0.0</v>
      </c>
      <c r="DJV45" s="5">
        <f>-'5. IRR'!DJW16</f>
        <v>-0.0</v>
      </c>
      <c r="DJW45" s="5">
        <f>-'5. IRR'!DJX16</f>
        <v>-0.0</v>
      </c>
      <c r="DJX45" s="5">
        <f>-'5. IRR'!DJY16</f>
        <v>-0.0</v>
      </c>
      <c r="DJY45" s="5">
        <f>-'5. IRR'!DJZ16</f>
        <v>-0.0</v>
      </c>
      <c r="DJZ45" s="5">
        <f>-'5. IRR'!DKA16</f>
        <v>-0.0</v>
      </c>
      <c r="DKA45" s="5">
        <f>-'5. IRR'!DKB16</f>
        <v>-0.0</v>
      </c>
      <c r="DKB45" s="5">
        <f>-'5. IRR'!DKC16</f>
        <v>-0.0</v>
      </c>
      <c r="DKC45" s="5">
        <f>-'5. IRR'!DKD16</f>
        <v>-0.0</v>
      </c>
      <c r="DKD45" s="5">
        <f>-'5. IRR'!DKE16</f>
        <v>-0.0</v>
      </c>
      <c r="DKE45" s="5">
        <f>-'5. IRR'!DKF16</f>
        <v>-0.0</v>
      </c>
      <c r="DKF45" s="5">
        <f>-'5. IRR'!DKG16</f>
        <v>-0.0</v>
      </c>
      <c r="DKG45" s="5">
        <f>-'5. IRR'!DKH16</f>
        <v>-0.0</v>
      </c>
      <c r="DKH45" s="5">
        <f>-'5. IRR'!DKI16</f>
        <v>-0.0</v>
      </c>
      <c r="DKI45" s="5">
        <f>-'5. IRR'!DKJ16</f>
        <v>-0.0</v>
      </c>
      <c r="DKJ45" s="5">
        <f>-'5. IRR'!DKK16</f>
        <v>-0.0</v>
      </c>
      <c r="DKK45" s="5">
        <f>-'5. IRR'!DKL16</f>
        <v>-0.0</v>
      </c>
      <c r="DKL45" s="5">
        <f>-'5. IRR'!DKM16</f>
        <v>-0.0</v>
      </c>
      <c r="DKM45" s="5">
        <f>-'5. IRR'!DKN16</f>
        <v>-0.0</v>
      </c>
      <c r="DKN45" s="5">
        <f>-'5. IRR'!DKO16</f>
        <v>-0.0</v>
      </c>
      <c r="DKO45" s="5">
        <f>-'5. IRR'!DKP16</f>
        <v>-0.0</v>
      </c>
      <c r="DKP45" s="5">
        <f>-'5. IRR'!DKQ16</f>
        <v>-0.0</v>
      </c>
      <c r="DKQ45" s="5">
        <f>-'5. IRR'!DKR16</f>
        <v>-0.0</v>
      </c>
      <c r="DKR45" s="5">
        <f>-'5. IRR'!DKS16</f>
        <v>-0.0</v>
      </c>
      <c r="DKS45" s="5">
        <f>-'5. IRR'!DKT16</f>
        <v>-0.0</v>
      </c>
      <c r="DKT45" s="5">
        <f>-'5. IRR'!DKU16</f>
        <v>-0.0</v>
      </c>
      <c r="DKU45" s="5">
        <f>-'5. IRR'!DKV16</f>
        <v>-0.0</v>
      </c>
      <c r="DKV45" s="5">
        <f>-'5. IRR'!DKW16</f>
        <v>-0.0</v>
      </c>
      <c r="DKW45" s="5">
        <f>-'5. IRR'!DKX16</f>
        <v>-0.0</v>
      </c>
      <c r="DKX45" s="5">
        <f>-'5. IRR'!DKY16</f>
        <v>-0.0</v>
      </c>
      <c r="DKY45" s="5">
        <f>-'5. IRR'!DKZ16</f>
        <v>-0.0</v>
      </c>
      <c r="DKZ45" s="5">
        <f>-'5. IRR'!DLA16</f>
        <v>-0.0</v>
      </c>
      <c r="DLA45" s="5">
        <f>-'5. IRR'!DLB16</f>
        <v>-0.0</v>
      </c>
      <c r="DLB45" s="5">
        <f>-'5. IRR'!DLC16</f>
        <v>-0.0</v>
      </c>
      <c r="DLC45" s="5">
        <f>-'5. IRR'!DLD16</f>
        <v>-0.0</v>
      </c>
      <c r="DLD45" s="5">
        <f>-'5. IRR'!DLE16</f>
        <v>-0.0</v>
      </c>
      <c r="DLE45" s="5">
        <f>-'5. IRR'!DLF16</f>
        <v>-0.0</v>
      </c>
      <c r="DLF45" s="5">
        <f>-'5. IRR'!DLG16</f>
        <v>-0.0</v>
      </c>
      <c r="DLG45" s="5">
        <f>-'5. IRR'!DLH16</f>
        <v>-0.0</v>
      </c>
      <c r="DLH45" s="5">
        <f>-'5. IRR'!DLI16</f>
        <v>-0.0</v>
      </c>
      <c r="DLI45" s="5">
        <f>-'5. IRR'!DLJ16</f>
        <v>-0.0</v>
      </c>
      <c r="DLJ45" s="5">
        <f>-'5. IRR'!DLK16</f>
        <v>-0.0</v>
      </c>
      <c r="DLK45" s="5">
        <f>-'5. IRR'!DLL16</f>
        <v>-0.0</v>
      </c>
      <c r="DLL45" s="5">
        <f>-'5. IRR'!DLM16</f>
        <v>-0.0</v>
      </c>
      <c r="DLM45" s="5">
        <f>-'5. IRR'!DLN16</f>
        <v>-0.0</v>
      </c>
      <c r="DLN45" s="5">
        <f>-'5. IRR'!DLO16</f>
        <v>-0.0</v>
      </c>
      <c r="DLO45" s="5">
        <f>-'5. IRR'!DLP16</f>
        <v>-0.0</v>
      </c>
      <c r="DLP45" s="5">
        <f>-'5. IRR'!DLQ16</f>
        <v>-0.0</v>
      </c>
      <c r="DLQ45" s="5">
        <f>-'5. IRR'!DLR16</f>
        <v>-0.0</v>
      </c>
      <c r="DLR45" s="5">
        <f>-'5. IRR'!DLS16</f>
        <v>-0.0</v>
      </c>
      <c r="DLS45" s="5">
        <f>-'5. IRR'!DLT16</f>
        <v>-0.0</v>
      </c>
      <c r="DLT45" s="5">
        <f>-'5. IRR'!DLU16</f>
        <v>-0.0</v>
      </c>
      <c r="DLU45" s="5">
        <f>-'5. IRR'!DLV16</f>
        <v>-0.0</v>
      </c>
      <c r="DLV45" s="5">
        <f>-'5. IRR'!DLW16</f>
        <v>-0.0</v>
      </c>
      <c r="DLW45" s="5">
        <f>-'5. IRR'!DLX16</f>
        <v>-0.0</v>
      </c>
      <c r="DLX45" s="5">
        <f>-'5. IRR'!DLY16</f>
        <v>-0.0</v>
      </c>
      <c r="DLY45" s="5">
        <f>-'5. IRR'!DLZ16</f>
        <v>-0.0</v>
      </c>
      <c r="DLZ45" s="5">
        <f>-'5. IRR'!DMA16</f>
        <v>-0.0</v>
      </c>
      <c r="DMA45" s="5">
        <f>-'5. IRR'!DMB16</f>
        <v>-0.0</v>
      </c>
      <c r="DMB45" s="5">
        <f>-'5. IRR'!DMC16</f>
        <v>-0.0</v>
      </c>
      <c r="DMC45" s="5">
        <f>-'5. IRR'!DMD16</f>
        <v>-0.0</v>
      </c>
      <c r="DMD45" s="5">
        <f>-'5. IRR'!DME16</f>
        <v>-0.0</v>
      </c>
      <c r="DME45" s="5">
        <f>-'5. IRR'!DMF16</f>
        <v>-0.0</v>
      </c>
      <c r="DMF45" s="5">
        <f>-'5. IRR'!DMG16</f>
        <v>-0.0</v>
      </c>
      <c r="DMG45" s="5">
        <f>-'5. IRR'!DMH16</f>
        <v>-0.0</v>
      </c>
      <c r="DMH45" s="5">
        <f>-'5. IRR'!DMI16</f>
        <v>-0.0</v>
      </c>
      <c r="DMI45" s="5">
        <f>-'5. IRR'!DMJ16</f>
        <v>-0.0</v>
      </c>
      <c r="DMJ45" s="5">
        <f>-'5. IRR'!DMK16</f>
        <v>-0.0</v>
      </c>
      <c r="DMK45" s="5">
        <f>-'5. IRR'!DML16</f>
        <v>-0.0</v>
      </c>
      <c r="DML45" s="5">
        <f>-'5. IRR'!DMM16</f>
        <v>-0.0</v>
      </c>
      <c r="DMM45" s="5">
        <f>-'5. IRR'!DMN16</f>
        <v>-0.0</v>
      </c>
      <c r="DMN45" s="5">
        <f>-'5. IRR'!DMO16</f>
        <v>-0.0</v>
      </c>
      <c r="DMO45" s="5">
        <f>-'5. IRR'!DMP16</f>
        <v>-0.0</v>
      </c>
      <c r="DMP45" s="5">
        <f>-'5. IRR'!DMQ16</f>
        <v>-0.0</v>
      </c>
      <c r="DMQ45" s="5">
        <f>-'5. IRR'!DMR16</f>
        <v>-0.0</v>
      </c>
      <c r="DMR45" s="5">
        <f>-'5. IRR'!DMS16</f>
        <v>-0.0</v>
      </c>
      <c r="DMS45" s="5">
        <f>-'5. IRR'!DMT16</f>
        <v>-0.0</v>
      </c>
      <c r="DMT45" s="5">
        <f>-'5. IRR'!DMU16</f>
        <v>-0.0</v>
      </c>
      <c r="DMU45" s="5">
        <f>-'5. IRR'!DMV16</f>
        <v>-0.0</v>
      </c>
      <c r="DMV45" s="5">
        <f>-'5. IRR'!DMW16</f>
        <v>-0.0</v>
      </c>
      <c r="DMW45" s="5">
        <f>-'5. IRR'!DMX16</f>
        <v>-0.0</v>
      </c>
      <c r="DMX45" s="5">
        <f>-'5. IRR'!DMY16</f>
        <v>-0.0</v>
      </c>
      <c r="DMY45" s="5">
        <f>-'5. IRR'!DMZ16</f>
        <v>-0.0</v>
      </c>
      <c r="DMZ45" s="5">
        <f>-'5. IRR'!DNA16</f>
        <v>-0.0</v>
      </c>
      <c r="DNA45" s="5">
        <f>-'5. IRR'!DNB16</f>
        <v>-0.0</v>
      </c>
      <c r="DNB45" s="5">
        <f>-'5. IRR'!DNC16</f>
        <v>-0.0</v>
      </c>
      <c r="DNC45" s="5">
        <f>-'5. IRR'!DND16</f>
        <v>-0.0</v>
      </c>
      <c r="DND45" s="5">
        <f>-'5. IRR'!DNE16</f>
        <v>-0.0</v>
      </c>
      <c r="DNE45" s="5">
        <f>-'5. IRR'!DNF16</f>
        <v>-0.0</v>
      </c>
      <c r="DNF45" s="5">
        <f>-'5. IRR'!DNG16</f>
        <v>-0.0</v>
      </c>
      <c r="DNG45" s="5">
        <f>-'5. IRR'!DNH16</f>
        <v>-0.0</v>
      </c>
      <c r="DNH45" s="5">
        <f>-'5. IRR'!DNI16</f>
        <v>-0.0</v>
      </c>
      <c r="DNI45" s="5">
        <f>-'5. IRR'!DNJ16</f>
        <v>-0.0</v>
      </c>
      <c r="DNJ45" s="5">
        <f>-'5. IRR'!DNK16</f>
        <v>-0.0</v>
      </c>
      <c r="DNK45" s="5">
        <f>-'5. IRR'!DNL16</f>
        <v>-0.0</v>
      </c>
      <c r="DNL45" s="5">
        <f>-'5. IRR'!DNM16</f>
        <v>-0.0</v>
      </c>
      <c r="DNM45" s="5">
        <f>-'5. IRR'!DNN16</f>
        <v>-0.0</v>
      </c>
      <c r="DNN45" s="5">
        <f>-'5. IRR'!DNO16</f>
        <v>-0.0</v>
      </c>
      <c r="DNO45" s="5">
        <f>-'5. IRR'!DNP16</f>
        <v>-0.0</v>
      </c>
      <c r="DNP45" s="5">
        <f>-'5. IRR'!DNQ16</f>
        <v>-0.0</v>
      </c>
      <c r="DNQ45" s="5">
        <f>-'5. IRR'!DNR16</f>
        <v>-0.0</v>
      </c>
      <c r="DNR45" s="5">
        <f>-'5. IRR'!DNS16</f>
        <v>-0.0</v>
      </c>
      <c r="DNS45" s="5">
        <f>-'5. IRR'!DNT16</f>
        <v>-0.0</v>
      </c>
      <c r="DNT45" s="5">
        <f>-'5. IRR'!DNU16</f>
        <v>-0.0</v>
      </c>
      <c r="DNU45" s="5">
        <f>-'5. IRR'!DNV16</f>
        <v>-0.0</v>
      </c>
      <c r="DNV45" s="5">
        <f>-'5. IRR'!DNW16</f>
        <v>-0.0</v>
      </c>
      <c r="DNW45" s="5">
        <f>-'5. IRR'!DNX16</f>
        <v>-0.0</v>
      </c>
      <c r="DNX45" s="5">
        <f>-'5. IRR'!DNY16</f>
        <v>-0.0</v>
      </c>
      <c r="DNY45" s="5">
        <f>-'5. IRR'!DNZ16</f>
        <v>-0.0</v>
      </c>
      <c r="DNZ45" s="5">
        <f>-'5. IRR'!DOA16</f>
        <v>-0.0</v>
      </c>
      <c r="DOA45" s="5">
        <f>-'5. IRR'!DOB16</f>
        <v>-0.0</v>
      </c>
      <c r="DOB45" s="5">
        <f>-'5. IRR'!DOC16</f>
        <v>-0.0</v>
      </c>
      <c r="DOC45" s="5">
        <f>-'5. IRR'!DOD16</f>
        <v>-0.0</v>
      </c>
      <c r="DOD45" s="5">
        <f>-'5. IRR'!DOE16</f>
        <v>-0.0</v>
      </c>
      <c r="DOE45" s="5">
        <f>-'5. IRR'!DOF16</f>
        <v>-0.0</v>
      </c>
      <c r="DOF45" s="5">
        <f>-'5. IRR'!DOG16</f>
        <v>-0.0</v>
      </c>
      <c r="DOG45" s="5">
        <f>-'5. IRR'!DOH16</f>
        <v>-0.0</v>
      </c>
      <c r="DOH45" s="5">
        <f>-'5. IRR'!DOI16</f>
        <v>-0.0</v>
      </c>
      <c r="DOI45" s="5">
        <f>-'5. IRR'!DOJ16</f>
        <v>-0.0</v>
      </c>
      <c r="DOJ45" s="5">
        <f>-'5. IRR'!DOK16</f>
        <v>-0.0</v>
      </c>
      <c r="DOK45" s="5">
        <f>-'5. IRR'!DOL16</f>
        <v>-0.0</v>
      </c>
      <c r="DOL45" s="5">
        <f>-'5. IRR'!DOM16</f>
        <v>-0.0</v>
      </c>
      <c r="DOM45" s="5">
        <f>-'5. IRR'!DON16</f>
        <v>-0.0</v>
      </c>
      <c r="DON45" s="5">
        <f>-'5. IRR'!DOO16</f>
        <v>-0.0</v>
      </c>
      <c r="DOO45" s="5">
        <f>-'5. IRR'!DOP16</f>
        <v>-0.0</v>
      </c>
      <c r="DOP45" s="5">
        <f>-'5. IRR'!DOQ16</f>
        <v>-0.0</v>
      </c>
      <c r="DOQ45" s="5">
        <f>-'5. IRR'!DOR16</f>
        <v>-0.0</v>
      </c>
      <c r="DOR45" s="5">
        <f>-'5. IRR'!DOS16</f>
        <v>-0.0</v>
      </c>
      <c r="DOS45" s="5">
        <f>-'5. IRR'!DOT16</f>
        <v>-0.0</v>
      </c>
      <c r="DOT45" s="5">
        <f>-'5. IRR'!DOU16</f>
        <v>-0.0</v>
      </c>
      <c r="DOU45" s="5">
        <f>-'5. IRR'!DOV16</f>
        <v>-0.0</v>
      </c>
      <c r="DOV45" s="5">
        <f>-'5. IRR'!DOW16</f>
        <v>-0.0</v>
      </c>
      <c r="DOW45" s="5">
        <f>-'5. IRR'!DOX16</f>
        <v>-0.0</v>
      </c>
      <c r="DOX45" s="5">
        <f>-'5. IRR'!DOY16</f>
        <v>-0.0</v>
      </c>
      <c r="DOY45" s="5">
        <f>-'5. IRR'!DOZ16</f>
        <v>-0.0</v>
      </c>
      <c r="DOZ45" s="5">
        <f>-'5. IRR'!DPA16</f>
        <v>-0.0</v>
      </c>
      <c r="DPA45" s="5">
        <f>-'5. IRR'!DPB16</f>
        <v>-0.0</v>
      </c>
      <c r="DPB45" s="5">
        <f>-'5. IRR'!DPC16</f>
        <v>-0.0</v>
      </c>
      <c r="DPC45" s="5">
        <f>-'5. IRR'!DPD16</f>
        <v>-0.0</v>
      </c>
      <c r="DPD45" s="5">
        <f>-'5. IRR'!DPE16</f>
        <v>-0.0</v>
      </c>
      <c r="DPE45" s="5">
        <f>-'5. IRR'!DPF16</f>
        <v>-0.0</v>
      </c>
      <c r="DPF45" s="5">
        <f>-'5. IRR'!DPG16</f>
        <v>-0.0</v>
      </c>
      <c r="DPG45" s="5">
        <f>-'5. IRR'!DPH16</f>
        <v>-0.0</v>
      </c>
      <c r="DPH45" s="5">
        <f>-'5. IRR'!DPI16</f>
        <v>-0.0</v>
      </c>
      <c r="DPI45" s="5">
        <f>-'5. IRR'!DPJ16</f>
        <v>-0.0</v>
      </c>
      <c r="DPJ45" s="5">
        <f>-'5. IRR'!DPK16</f>
        <v>-0.0</v>
      </c>
      <c r="DPK45" s="5">
        <f>-'5. IRR'!DPL16</f>
        <v>-0.0</v>
      </c>
      <c r="DPL45" s="5">
        <f>-'5. IRR'!DPM16</f>
        <v>-0.0</v>
      </c>
      <c r="DPM45" s="5">
        <f>-'5. IRR'!DPN16</f>
        <v>-0.0</v>
      </c>
      <c r="DPN45" s="5">
        <f>-'5. IRR'!DPO16</f>
        <v>-0.0</v>
      </c>
      <c r="DPO45" s="5">
        <f>-'5. IRR'!DPP16</f>
        <v>-0.0</v>
      </c>
      <c r="DPP45" s="5">
        <f>-'5. IRR'!DPQ16</f>
        <v>-0.0</v>
      </c>
      <c r="DPQ45" s="5">
        <f>-'5. IRR'!DPR16</f>
        <v>-0.0</v>
      </c>
      <c r="DPR45" s="5">
        <f>-'5. IRR'!DPS16</f>
        <v>-0.0</v>
      </c>
      <c r="DPS45" s="5">
        <f>-'5. IRR'!DPT16</f>
        <v>-0.0</v>
      </c>
      <c r="DPT45" s="5">
        <f>-'5. IRR'!DPU16</f>
        <v>-0.0</v>
      </c>
      <c r="DPU45" s="5">
        <f>-'5. IRR'!DPV16</f>
        <v>-0.0</v>
      </c>
      <c r="DPV45" s="5">
        <f>-'5. IRR'!DPW16</f>
        <v>-0.0</v>
      </c>
      <c r="DPW45" s="5">
        <f>-'5. IRR'!DPX16</f>
        <v>-0.0</v>
      </c>
      <c r="DPX45" s="5">
        <f>-'5. IRR'!DPY16</f>
        <v>-0.0</v>
      </c>
      <c r="DPY45" s="5">
        <f>-'5. IRR'!DPZ16</f>
        <v>-0.0</v>
      </c>
      <c r="DPZ45" s="5">
        <f>-'5. IRR'!DQA16</f>
        <v>-0.0</v>
      </c>
      <c r="DQA45" s="5">
        <f>-'5. IRR'!DQB16</f>
        <v>-0.0</v>
      </c>
      <c r="DQB45" s="5">
        <f>-'5. IRR'!DQC16</f>
        <v>-0.0</v>
      </c>
      <c r="DQC45" s="5">
        <f>-'5. IRR'!DQD16</f>
        <v>-0.0</v>
      </c>
      <c r="DQD45" s="5">
        <f>-'5. IRR'!DQE16</f>
        <v>-0.0</v>
      </c>
      <c r="DQE45" s="5">
        <f>-'5. IRR'!DQF16</f>
        <v>-0.0</v>
      </c>
      <c r="DQF45" s="5">
        <f>-'5. IRR'!DQG16</f>
        <v>-0.0</v>
      </c>
      <c r="DQG45" s="5">
        <f>-'5. IRR'!DQH16</f>
        <v>-0.0</v>
      </c>
      <c r="DQH45" s="5">
        <f>-'5. IRR'!DQI16</f>
        <v>-0.0</v>
      </c>
      <c r="DQI45" s="5">
        <f>-'5. IRR'!DQJ16</f>
        <v>-0.0</v>
      </c>
      <c r="DQJ45" s="5">
        <f>-'5. IRR'!DQK16</f>
        <v>-0.0</v>
      </c>
      <c r="DQK45" s="5">
        <f>-'5. IRR'!DQL16</f>
        <v>-0.0</v>
      </c>
      <c r="DQL45" s="5">
        <f>-'5. IRR'!DQM16</f>
        <v>-0.0</v>
      </c>
      <c r="DQM45" s="5">
        <f>-'5. IRR'!DQN16</f>
        <v>-0.0</v>
      </c>
      <c r="DQN45" s="5">
        <f>-'5. IRR'!DQO16</f>
        <v>-0.0</v>
      </c>
      <c r="DQO45" s="5">
        <f>-'5. IRR'!DQP16</f>
        <v>-0.0</v>
      </c>
      <c r="DQP45" s="5">
        <f>-'5. IRR'!DQQ16</f>
        <v>-0.0</v>
      </c>
      <c r="DQQ45" s="5">
        <f>-'5. IRR'!DQR16</f>
        <v>-0.0</v>
      </c>
      <c r="DQR45" s="5">
        <f>-'5. IRR'!DQS16</f>
        <v>-0.0</v>
      </c>
      <c r="DQS45" s="5">
        <f>-'5. IRR'!DQT16</f>
        <v>-0.0</v>
      </c>
      <c r="DQT45" s="5">
        <f>-'5. IRR'!DQU16</f>
        <v>-0.0</v>
      </c>
      <c r="DQU45" s="5">
        <f>-'5. IRR'!DQV16</f>
        <v>-0.0</v>
      </c>
      <c r="DQV45" s="5">
        <f>-'5. IRR'!DQW16</f>
        <v>-0.0</v>
      </c>
      <c r="DQW45" s="5">
        <f>-'5. IRR'!DQX16</f>
        <v>-0.0</v>
      </c>
      <c r="DQX45" s="5">
        <f>-'5. IRR'!DQY16</f>
        <v>-0.0</v>
      </c>
      <c r="DQY45" s="5">
        <f>-'5. IRR'!DQZ16</f>
        <v>-0.0</v>
      </c>
      <c r="DQZ45" s="5">
        <f>-'5. IRR'!DRA16</f>
        <v>-0.0</v>
      </c>
      <c r="DRA45" s="5">
        <f>-'5. IRR'!DRB16</f>
        <v>-0.0</v>
      </c>
      <c r="DRB45" s="5">
        <f>-'5. IRR'!DRC16</f>
        <v>-0.0</v>
      </c>
      <c r="DRC45" s="5">
        <f>-'5. IRR'!DRD16</f>
        <v>-0.0</v>
      </c>
      <c r="DRD45" s="5">
        <f>-'5. IRR'!DRE16</f>
        <v>-0.0</v>
      </c>
      <c r="DRE45" s="5">
        <f>-'5. IRR'!DRF16</f>
        <v>-0.0</v>
      </c>
      <c r="DRF45" s="5">
        <f>-'5. IRR'!DRG16</f>
        <v>-0.0</v>
      </c>
      <c r="DRG45" s="5">
        <f>-'5. IRR'!DRH16</f>
        <v>-0.0</v>
      </c>
      <c r="DRH45" s="5">
        <f>-'5. IRR'!DRI16</f>
        <v>-0.0</v>
      </c>
      <c r="DRI45" s="5">
        <f>-'5. IRR'!DRJ16</f>
        <v>-0.0</v>
      </c>
      <c r="DRJ45" s="5">
        <f>-'5. IRR'!DRK16</f>
        <v>-0.0</v>
      </c>
      <c r="DRK45" s="5">
        <f>-'5. IRR'!DRL16</f>
        <v>-0.0</v>
      </c>
      <c r="DRL45" s="5">
        <f>-'5. IRR'!DRM16</f>
        <v>-0.0</v>
      </c>
      <c r="DRM45" s="5">
        <f>-'5. IRR'!DRN16</f>
        <v>-0.0</v>
      </c>
      <c r="DRN45" s="5">
        <f>-'5. IRR'!DRO16</f>
        <v>-0.0</v>
      </c>
      <c r="DRO45" s="5">
        <f>-'5. IRR'!DRP16</f>
        <v>-0.0</v>
      </c>
      <c r="DRP45" s="5">
        <f>-'5. IRR'!DRQ16</f>
        <v>-0.0</v>
      </c>
      <c r="DRQ45" s="5">
        <f>-'5. IRR'!DRR16</f>
        <v>-0.0</v>
      </c>
      <c r="DRR45" s="5">
        <f>-'5. IRR'!DRS16</f>
        <v>-0.0</v>
      </c>
      <c r="DRS45" s="5">
        <f>-'5. IRR'!DRT16</f>
        <v>-0.0</v>
      </c>
      <c r="DRT45" s="5">
        <f>-'5. IRR'!DRU16</f>
        <v>-0.0</v>
      </c>
      <c r="DRU45" s="5">
        <f>-'5. IRR'!DRV16</f>
        <v>-0.0</v>
      </c>
      <c r="DRV45" s="5">
        <f>-'5. IRR'!DRW16</f>
        <v>-0.0</v>
      </c>
      <c r="DRW45" s="5">
        <f>-'5. IRR'!DRX16</f>
        <v>-0.0</v>
      </c>
      <c r="DRX45" s="5">
        <f>-'5. IRR'!DRY16</f>
        <v>-0.0</v>
      </c>
      <c r="DRY45" s="5">
        <f>-'5. IRR'!DRZ16</f>
        <v>-0.0</v>
      </c>
      <c r="DRZ45" s="5">
        <f>-'5. IRR'!DSA16</f>
        <v>-0.0</v>
      </c>
      <c r="DSA45" s="5">
        <f>-'5. IRR'!DSB16</f>
        <v>-0.0</v>
      </c>
      <c r="DSB45" s="5">
        <f>-'5. IRR'!DSC16</f>
        <v>-0.0</v>
      </c>
      <c r="DSC45" s="5">
        <f>-'5. IRR'!DSD16</f>
        <v>-0.0</v>
      </c>
      <c r="DSD45" s="5">
        <f>-'5. IRR'!DSE16</f>
        <v>-0.0</v>
      </c>
      <c r="DSE45" s="5">
        <f>-'5. IRR'!DSF16</f>
        <v>-0.0</v>
      </c>
      <c r="DSF45" s="5">
        <f>-'5. IRR'!DSG16</f>
        <v>-0.0</v>
      </c>
      <c r="DSG45" s="5">
        <f>-'5. IRR'!DSH16</f>
        <v>-0.0</v>
      </c>
      <c r="DSH45" s="5">
        <f>-'5. IRR'!DSI16</f>
        <v>-0.0</v>
      </c>
      <c r="DSI45" s="5">
        <f>-'5. IRR'!DSJ16</f>
        <v>-0.0</v>
      </c>
      <c r="DSJ45" s="5">
        <f>-'5. IRR'!DSK16</f>
        <v>-0.0</v>
      </c>
      <c r="DSK45" s="5">
        <f>-'5. IRR'!DSL16</f>
        <v>-0.0</v>
      </c>
      <c r="DSL45" s="5">
        <f>-'5. IRR'!DSM16</f>
        <v>-0.0</v>
      </c>
      <c r="DSM45" s="5">
        <f>-'5. IRR'!DSN16</f>
        <v>-0.0</v>
      </c>
      <c r="DSN45" s="5">
        <f>-'5. IRR'!DSO16</f>
        <v>-0.0</v>
      </c>
      <c r="DSO45" s="5">
        <f>-'5. IRR'!DSP16</f>
        <v>-0.0</v>
      </c>
      <c r="DSP45" s="5">
        <f>-'5. IRR'!DSQ16</f>
        <v>-0.0</v>
      </c>
      <c r="DSQ45" s="5">
        <f>-'5. IRR'!DSR16</f>
        <v>-0.0</v>
      </c>
      <c r="DSR45" s="5">
        <f>-'5. IRR'!DSS16</f>
        <v>-0.0</v>
      </c>
      <c r="DSS45" s="5">
        <f>-'5. IRR'!DST16</f>
        <v>-0.0</v>
      </c>
      <c r="DST45" s="5">
        <f>-'5. IRR'!DSU16</f>
        <v>-0.0</v>
      </c>
      <c r="DSU45" s="5">
        <f>-'5. IRR'!DSV16</f>
        <v>-0.0</v>
      </c>
      <c r="DSV45" s="5">
        <f>-'5. IRR'!DSW16</f>
        <v>-0.0</v>
      </c>
      <c r="DSW45" s="5">
        <f>-'5. IRR'!DSX16</f>
        <v>-0.0</v>
      </c>
      <c r="DSX45" s="5">
        <f>-'5. IRR'!DSY16</f>
        <v>-0.0</v>
      </c>
      <c r="DSY45" s="5">
        <f>-'5. IRR'!DSZ16</f>
        <v>-0.0</v>
      </c>
      <c r="DSZ45" s="5">
        <f>-'5. IRR'!DTA16</f>
        <v>-0.0</v>
      </c>
      <c r="DTA45" s="5">
        <f>-'5. IRR'!DTB16</f>
        <v>-0.0</v>
      </c>
      <c r="DTB45" s="5">
        <f>-'5. IRR'!DTC16</f>
        <v>-0.0</v>
      </c>
      <c r="DTC45" s="5">
        <f>-'5. IRR'!DTD16</f>
        <v>-0.0</v>
      </c>
      <c r="DTD45" s="5">
        <f>-'5. IRR'!DTE16</f>
        <v>-0.0</v>
      </c>
      <c r="DTE45" s="5">
        <f>-'5. IRR'!DTF16</f>
        <v>-0.0</v>
      </c>
      <c r="DTF45" s="5">
        <f>-'5. IRR'!DTG16</f>
        <v>-0.0</v>
      </c>
      <c r="DTG45" s="5">
        <f>-'5. IRR'!DTH16</f>
        <v>-0.0</v>
      </c>
      <c r="DTH45" s="5">
        <f>-'5. IRR'!DTI16</f>
        <v>-0.0</v>
      </c>
      <c r="DTI45" s="5">
        <f>-'5. IRR'!DTJ16</f>
        <v>-0.0</v>
      </c>
      <c r="DTJ45" s="5">
        <f>-'5. IRR'!DTK16</f>
        <v>-0.0</v>
      </c>
      <c r="DTK45" s="5">
        <f>-'5. IRR'!DTL16</f>
        <v>-0.0</v>
      </c>
      <c r="DTL45" s="5">
        <f>-'5. IRR'!DTM16</f>
        <v>-0.0</v>
      </c>
      <c r="DTM45" s="5">
        <f>-'5. IRR'!DTN16</f>
        <v>-0.0</v>
      </c>
      <c r="DTN45" s="5">
        <f>-'5. IRR'!DTO16</f>
        <v>-0.0</v>
      </c>
      <c r="DTO45" s="5">
        <f>-'5. IRR'!DTP16</f>
        <v>-0.0</v>
      </c>
      <c r="DTP45" s="5">
        <f>-'5. IRR'!DTQ16</f>
        <v>-0.0</v>
      </c>
      <c r="DTQ45" s="5">
        <f>-'5. IRR'!DTR16</f>
        <v>-0.0</v>
      </c>
      <c r="DTR45" s="5">
        <f>-'5. IRR'!DTS16</f>
        <v>-0.0</v>
      </c>
      <c r="DTS45" s="5">
        <f>-'5. IRR'!DTT16</f>
        <v>-0.0</v>
      </c>
      <c r="DTT45" s="5">
        <f>-'5. IRR'!DTU16</f>
        <v>-0.0</v>
      </c>
      <c r="DTU45" s="5">
        <f>-'5. IRR'!DTV16</f>
        <v>-0.0</v>
      </c>
      <c r="DTV45" s="5">
        <f>-'5. IRR'!DTW16</f>
        <v>-0.0</v>
      </c>
      <c r="DTW45" s="5">
        <f>-'5. IRR'!DTX16</f>
        <v>-0.0</v>
      </c>
      <c r="DTX45" s="5">
        <f>-'5. IRR'!DTY16</f>
        <v>-0.0</v>
      </c>
      <c r="DTY45" s="5">
        <f>-'5. IRR'!DTZ16</f>
        <v>-0.0</v>
      </c>
      <c r="DTZ45" s="5">
        <f>-'5. IRR'!DUA16</f>
        <v>-0.0</v>
      </c>
      <c r="DUA45" s="5">
        <f>-'5. IRR'!DUB16</f>
        <v>-0.0</v>
      </c>
      <c r="DUB45" s="5">
        <f>-'5. IRR'!DUC16</f>
        <v>-0.0</v>
      </c>
      <c r="DUC45" s="5">
        <f>-'5. IRR'!DUD16</f>
        <v>-0.0</v>
      </c>
      <c r="DUD45" s="5">
        <f>-'5. IRR'!DUE16</f>
        <v>-0.0</v>
      </c>
      <c r="DUE45" s="5">
        <f>-'5. IRR'!DUF16</f>
        <v>-0.0</v>
      </c>
      <c r="DUF45" s="5">
        <f>-'5. IRR'!DUG16</f>
        <v>-0.0</v>
      </c>
      <c r="DUG45" s="5">
        <f>-'5. IRR'!DUH16</f>
        <v>-0.0</v>
      </c>
      <c r="DUH45" s="5">
        <f>-'5. IRR'!DUI16</f>
        <v>-0.0</v>
      </c>
      <c r="DUI45" s="5">
        <f>-'5. IRR'!DUJ16</f>
        <v>-0.0</v>
      </c>
      <c r="DUJ45" s="5">
        <f>-'5. IRR'!DUK16</f>
        <v>-0.0</v>
      </c>
      <c r="DUK45" s="5">
        <f>-'5. IRR'!DUL16</f>
        <v>-0.0</v>
      </c>
      <c r="DUL45" s="5">
        <f>-'5. IRR'!DUM16</f>
        <v>-0.0</v>
      </c>
      <c r="DUM45" s="5">
        <f>-'5. IRR'!DUN16</f>
        <v>-0.0</v>
      </c>
      <c r="DUN45" s="5">
        <f>-'5. IRR'!DUO16</f>
        <v>-0.0</v>
      </c>
      <c r="DUO45" s="5">
        <f>-'5. IRR'!DUP16</f>
        <v>-0.0</v>
      </c>
      <c r="DUP45" s="5">
        <f>-'5. IRR'!DUQ16</f>
        <v>-0.0</v>
      </c>
      <c r="DUQ45" s="5">
        <f>-'5. IRR'!DUR16</f>
        <v>-0.0</v>
      </c>
      <c r="DUR45" s="5">
        <f>-'5. IRR'!DUS16</f>
        <v>-0.0</v>
      </c>
      <c r="DUS45" s="5">
        <f>-'5. IRR'!DUT16</f>
        <v>-0.0</v>
      </c>
      <c r="DUT45" s="5">
        <f>-'5. IRR'!DUU16</f>
        <v>-0.0</v>
      </c>
      <c r="DUU45" s="5">
        <f>-'5. IRR'!DUV16</f>
        <v>-0.0</v>
      </c>
      <c r="DUV45" s="5">
        <f>-'5. IRR'!DUW16</f>
        <v>-0.0</v>
      </c>
      <c r="DUW45" s="5">
        <f>-'5. IRR'!DUX16</f>
        <v>-0.0</v>
      </c>
      <c r="DUX45" s="5">
        <f>-'5. IRR'!DUY16</f>
        <v>-0.0</v>
      </c>
      <c r="DUY45" s="5">
        <f>-'5. IRR'!DUZ16</f>
        <v>-0.0</v>
      </c>
      <c r="DUZ45" s="5">
        <f>-'5. IRR'!DVA16</f>
        <v>-0.0</v>
      </c>
      <c r="DVA45" s="5">
        <f>-'5. IRR'!DVB16</f>
        <v>-0.0</v>
      </c>
      <c r="DVB45" s="5">
        <f>-'5. IRR'!DVC16</f>
        <v>-0.0</v>
      </c>
      <c r="DVC45" s="5">
        <f>-'5. IRR'!DVD16</f>
        <v>-0.0</v>
      </c>
      <c r="DVD45" s="5">
        <f>-'5. IRR'!DVE16</f>
        <v>-0.0</v>
      </c>
      <c r="DVE45" s="5">
        <f>-'5. IRR'!DVF16</f>
        <v>-0.0</v>
      </c>
      <c r="DVF45" s="5">
        <f>-'5. IRR'!DVG16</f>
        <v>-0.0</v>
      </c>
      <c r="DVG45" s="5">
        <f>-'5. IRR'!DVH16</f>
        <v>-0.0</v>
      </c>
      <c r="DVH45" s="5">
        <f>-'5. IRR'!DVI16</f>
        <v>-0.0</v>
      </c>
      <c r="DVI45" s="5">
        <f>-'5. IRR'!DVJ16</f>
        <v>-0.0</v>
      </c>
      <c r="DVJ45" s="5">
        <f>-'5. IRR'!DVK16</f>
        <v>-0.0</v>
      </c>
      <c r="DVK45" s="5">
        <f>-'5. IRR'!DVL16</f>
        <v>-0.0</v>
      </c>
      <c r="DVL45" s="5">
        <f>-'5. IRR'!DVM16</f>
        <v>-0.0</v>
      </c>
      <c r="DVM45" s="5">
        <f>-'5. IRR'!DVN16</f>
        <v>-0.0</v>
      </c>
      <c r="DVN45" s="5">
        <f>-'5. IRR'!DVO16</f>
        <v>-0.0</v>
      </c>
      <c r="DVO45" s="5">
        <f>-'5. IRR'!DVP16</f>
        <v>-0.0</v>
      </c>
      <c r="DVP45" s="5">
        <f>-'5. IRR'!DVQ16</f>
        <v>-0.0</v>
      </c>
      <c r="DVQ45" s="5">
        <f>-'5. IRR'!DVR16</f>
        <v>-0.0</v>
      </c>
      <c r="DVR45" s="5">
        <f>-'5. IRR'!DVS16</f>
        <v>-0.0</v>
      </c>
      <c r="DVS45" s="5">
        <f>-'5. IRR'!DVT16</f>
        <v>-0.0</v>
      </c>
      <c r="DVT45" s="5">
        <f>-'5. IRR'!DVU16</f>
        <v>-0.0</v>
      </c>
      <c r="DVU45" s="5">
        <f>-'5. IRR'!DVV16</f>
        <v>-0.0</v>
      </c>
      <c r="DVV45" s="5">
        <f>-'5. IRR'!DVW16</f>
        <v>-0.0</v>
      </c>
      <c r="DVW45" s="5">
        <f>-'5. IRR'!DVX16</f>
        <v>-0.0</v>
      </c>
      <c r="DVX45" s="5">
        <f>-'5. IRR'!DVY16</f>
        <v>-0.0</v>
      </c>
      <c r="DVY45" s="5">
        <f>-'5. IRR'!DVZ16</f>
        <v>-0.0</v>
      </c>
      <c r="DVZ45" s="5">
        <f>-'5. IRR'!DWA16</f>
        <v>-0.0</v>
      </c>
      <c r="DWA45" s="5">
        <f>-'5. IRR'!DWB16</f>
        <v>-0.0</v>
      </c>
      <c r="DWB45" s="5">
        <f>-'5. IRR'!DWC16</f>
        <v>-0.0</v>
      </c>
      <c r="DWC45" s="5">
        <f>-'5. IRR'!DWD16</f>
        <v>-0.0</v>
      </c>
      <c r="DWD45" s="5">
        <f>-'5. IRR'!DWE16</f>
        <v>-0.0</v>
      </c>
      <c r="DWE45" s="5">
        <f>-'5. IRR'!DWF16</f>
        <v>-0.0</v>
      </c>
      <c r="DWF45" s="5">
        <f>-'5. IRR'!DWG16</f>
        <v>-0.0</v>
      </c>
      <c r="DWG45" s="5">
        <f>-'5. IRR'!DWH16</f>
        <v>-0.0</v>
      </c>
      <c r="DWH45" s="5">
        <f>-'5. IRR'!DWI16</f>
        <v>-0.0</v>
      </c>
      <c r="DWI45" s="5">
        <f>-'5. IRR'!DWJ16</f>
        <v>-0.0</v>
      </c>
      <c r="DWJ45" s="5">
        <f>-'5. IRR'!DWK16</f>
        <v>-0.0</v>
      </c>
      <c r="DWK45" s="5">
        <f>-'5. IRR'!DWL16</f>
        <v>-0.0</v>
      </c>
      <c r="DWL45" s="5">
        <f>-'5. IRR'!DWM16</f>
        <v>-0.0</v>
      </c>
      <c r="DWM45" s="5">
        <f>-'5. IRR'!DWN16</f>
        <v>-0.0</v>
      </c>
      <c r="DWN45" s="5">
        <f>-'5. IRR'!DWO16</f>
        <v>-0.0</v>
      </c>
      <c r="DWO45" s="5">
        <f>-'5. IRR'!DWP16</f>
        <v>-0.0</v>
      </c>
      <c r="DWP45" s="5">
        <f>-'5. IRR'!DWQ16</f>
        <v>-0.0</v>
      </c>
      <c r="DWQ45" s="5">
        <f>-'5. IRR'!DWR16</f>
        <v>-0.0</v>
      </c>
      <c r="DWR45" s="5">
        <f>-'5. IRR'!DWS16</f>
        <v>-0.0</v>
      </c>
      <c r="DWS45" s="5">
        <f>-'5. IRR'!DWT16</f>
        <v>-0.0</v>
      </c>
      <c r="DWT45" s="5">
        <f>-'5. IRR'!DWU16</f>
        <v>-0.0</v>
      </c>
      <c r="DWU45" s="5">
        <f>-'5. IRR'!DWV16</f>
        <v>-0.0</v>
      </c>
      <c r="DWV45" s="5">
        <f>-'5. IRR'!DWW16</f>
        <v>-0.0</v>
      </c>
      <c r="DWW45" s="5">
        <f>-'5. IRR'!DWX16</f>
        <v>-0.0</v>
      </c>
      <c r="DWX45" s="5">
        <f>-'5. IRR'!DWY16</f>
        <v>-0.0</v>
      </c>
      <c r="DWY45" s="5">
        <f>-'5. IRR'!DWZ16</f>
        <v>-0.0</v>
      </c>
      <c r="DWZ45" s="5">
        <f>-'5. IRR'!DXA16</f>
        <v>-0.0</v>
      </c>
      <c r="DXA45" s="5">
        <f>-'5. IRR'!DXB16</f>
        <v>-0.0</v>
      </c>
      <c r="DXB45" s="5">
        <f>-'5. IRR'!DXC16</f>
        <v>-0.0</v>
      </c>
      <c r="DXC45" s="5">
        <f>-'5. IRR'!DXD16</f>
        <v>-0.0</v>
      </c>
      <c r="DXD45" s="5">
        <f>-'5. IRR'!DXE16</f>
        <v>-0.0</v>
      </c>
      <c r="DXE45" s="5">
        <f>-'5. IRR'!DXF16</f>
        <v>-0.0</v>
      </c>
      <c r="DXF45" s="5">
        <f>-'5. IRR'!DXG16</f>
        <v>-0.0</v>
      </c>
      <c r="DXG45" s="5">
        <f>-'5. IRR'!DXH16</f>
        <v>-0.0</v>
      </c>
      <c r="DXH45" s="5">
        <f>-'5. IRR'!DXI16</f>
        <v>-0.0</v>
      </c>
      <c r="DXI45" s="5">
        <f>-'5. IRR'!DXJ16</f>
        <v>-0.0</v>
      </c>
      <c r="DXJ45" s="5">
        <f>-'5. IRR'!DXK16</f>
        <v>-0.0</v>
      </c>
      <c r="DXK45" s="5">
        <f>-'5. IRR'!DXL16</f>
        <v>-0.0</v>
      </c>
      <c r="DXL45" s="5">
        <f>-'5. IRR'!DXM16</f>
        <v>-0.0</v>
      </c>
      <c r="DXM45" s="5">
        <f>-'5. IRR'!DXN16</f>
        <v>-0.0</v>
      </c>
      <c r="DXN45" s="5">
        <f>-'5. IRR'!DXO16</f>
        <v>-0.0</v>
      </c>
      <c r="DXO45" s="5">
        <f>-'5. IRR'!DXP16</f>
        <v>-0.0</v>
      </c>
      <c r="DXP45" s="5">
        <f>-'5. IRR'!DXQ16</f>
        <v>-0.0</v>
      </c>
      <c r="DXQ45" s="5">
        <f>-'5. IRR'!DXR16</f>
        <v>-0.0</v>
      </c>
      <c r="DXR45" s="5">
        <f>-'5. IRR'!DXS16</f>
        <v>-0.0</v>
      </c>
      <c r="DXS45" s="5">
        <f>-'5. IRR'!DXT16</f>
        <v>-0.0</v>
      </c>
      <c r="DXT45" s="5">
        <f>-'5. IRR'!DXU16</f>
        <v>-0.0</v>
      </c>
      <c r="DXU45" s="5">
        <f>-'5. IRR'!DXV16</f>
        <v>-0.0</v>
      </c>
      <c r="DXV45" s="5">
        <f>-'5. IRR'!DXW16</f>
        <v>-0.0</v>
      </c>
      <c r="DXW45" s="5">
        <f>-'5. IRR'!DXX16</f>
        <v>-0.0</v>
      </c>
      <c r="DXX45" s="5">
        <f>-'5. IRR'!DXY16</f>
        <v>-0.0</v>
      </c>
      <c r="DXY45" s="5">
        <f>-'5. IRR'!DXZ16</f>
        <v>-0.0</v>
      </c>
      <c r="DXZ45" s="5">
        <f>-'5. IRR'!DYA16</f>
        <v>-0.0</v>
      </c>
      <c r="DYA45" s="5">
        <f>-'5. IRR'!DYB16</f>
        <v>-0.0</v>
      </c>
      <c r="DYB45" s="5">
        <f>-'5. IRR'!DYC16</f>
        <v>-0.0</v>
      </c>
      <c r="DYC45" s="5">
        <f>-'5. IRR'!DYD16</f>
        <v>-0.0</v>
      </c>
      <c r="DYD45" s="5">
        <f>-'5. IRR'!DYE16</f>
        <v>-0.0</v>
      </c>
      <c r="DYE45" s="5">
        <f>-'5. IRR'!DYF16</f>
        <v>-0.0</v>
      </c>
      <c r="DYF45" s="5">
        <f>-'5. IRR'!DYG16</f>
        <v>-0.0</v>
      </c>
      <c r="DYG45" s="5">
        <f>-'5. IRR'!DYH16</f>
        <v>-0.0</v>
      </c>
      <c r="DYH45" s="5">
        <f>-'5. IRR'!DYI16</f>
        <v>-0.0</v>
      </c>
      <c r="DYI45" s="5">
        <f>-'5. IRR'!DYJ16</f>
        <v>-0.0</v>
      </c>
      <c r="DYJ45" s="5">
        <f>-'5. IRR'!DYK16</f>
        <v>-0.0</v>
      </c>
      <c r="DYK45" s="5">
        <f>-'5. IRR'!DYL16</f>
        <v>-0.0</v>
      </c>
      <c r="DYL45" s="5">
        <f>-'5. IRR'!DYM16</f>
        <v>-0.0</v>
      </c>
      <c r="DYM45" s="5">
        <f>-'5. IRR'!DYN16</f>
        <v>-0.0</v>
      </c>
      <c r="DYN45" s="5">
        <f>-'5. IRR'!DYO16</f>
        <v>-0.0</v>
      </c>
      <c r="DYO45" s="5">
        <f>-'5. IRR'!DYP16</f>
        <v>-0.0</v>
      </c>
      <c r="DYP45" s="5">
        <f>-'5. IRR'!DYQ16</f>
        <v>-0.0</v>
      </c>
      <c r="DYQ45" s="5">
        <f>-'5. IRR'!DYR16</f>
        <v>-0.0</v>
      </c>
      <c r="DYR45" s="5">
        <f>-'5. IRR'!DYS16</f>
        <v>-0.0</v>
      </c>
      <c r="DYS45" s="5">
        <f>-'5. IRR'!DYT16</f>
        <v>-0.0</v>
      </c>
      <c r="DYT45" s="5">
        <f>-'5. IRR'!DYU16</f>
        <v>-0.0</v>
      </c>
      <c r="DYU45" s="5">
        <f>-'5. IRR'!DYV16</f>
        <v>-0.0</v>
      </c>
      <c r="DYV45" s="5">
        <f>-'5. IRR'!DYW16</f>
        <v>-0.0</v>
      </c>
      <c r="DYW45" s="5">
        <f>-'5. IRR'!DYX16</f>
        <v>-0.0</v>
      </c>
      <c r="DYX45" s="5">
        <f>-'5. IRR'!DYY16</f>
        <v>-0.0</v>
      </c>
      <c r="DYY45" s="5">
        <f>-'5. IRR'!DYZ16</f>
        <v>-0.0</v>
      </c>
      <c r="DYZ45" s="5">
        <f>-'5. IRR'!DZA16</f>
        <v>-0.0</v>
      </c>
      <c r="DZA45" s="5">
        <f>-'5. IRR'!DZB16</f>
        <v>-0.0</v>
      </c>
      <c r="DZB45" s="5">
        <f>-'5. IRR'!DZC16</f>
        <v>-0.0</v>
      </c>
      <c r="DZC45" s="5">
        <f>-'5. IRR'!DZD16</f>
        <v>-0.0</v>
      </c>
      <c r="DZD45" s="5">
        <f>-'5. IRR'!DZE16</f>
        <v>-0.0</v>
      </c>
      <c r="DZE45" s="5">
        <f>-'5. IRR'!DZF16</f>
        <v>-0.0</v>
      </c>
      <c r="DZF45" s="5">
        <f>-'5. IRR'!DZG16</f>
        <v>-0.0</v>
      </c>
      <c r="DZG45" s="5">
        <f>-'5. IRR'!DZH16</f>
        <v>-0.0</v>
      </c>
      <c r="DZH45" s="5">
        <f>-'5. IRR'!DZI16</f>
        <v>-0.0</v>
      </c>
      <c r="DZI45" s="5">
        <f>-'5. IRR'!DZJ16</f>
        <v>-0.0</v>
      </c>
      <c r="DZJ45" s="5">
        <f>-'5. IRR'!DZK16</f>
        <v>-0.0</v>
      </c>
      <c r="DZK45" s="5">
        <f>-'5. IRR'!DZL16</f>
        <v>-0.0</v>
      </c>
      <c r="DZL45" s="5">
        <f>-'5. IRR'!DZM16</f>
        <v>-0.0</v>
      </c>
      <c r="DZM45" s="5">
        <f>-'5. IRR'!DZN16</f>
        <v>-0.0</v>
      </c>
      <c r="DZN45" s="5">
        <f>-'5. IRR'!DZO16</f>
        <v>-0.0</v>
      </c>
      <c r="DZO45" s="5">
        <f>-'5. IRR'!DZP16</f>
        <v>-0.0</v>
      </c>
      <c r="DZP45" s="5">
        <f>-'5. IRR'!DZQ16</f>
        <v>-0.0</v>
      </c>
      <c r="DZQ45" s="5">
        <f>-'5. IRR'!DZR16</f>
        <v>-0.0</v>
      </c>
      <c r="DZR45" s="5">
        <f>-'5. IRR'!DZS16</f>
        <v>-0.0</v>
      </c>
      <c r="DZS45" s="5">
        <f>-'5. IRR'!DZT16</f>
        <v>-0.0</v>
      </c>
      <c r="DZT45" s="5">
        <f>-'5. IRR'!DZU16</f>
        <v>-0.0</v>
      </c>
      <c r="DZU45" s="5">
        <f>-'5. IRR'!DZV16</f>
        <v>-0.0</v>
      </c>
      <c r="DZV45" s="5">
        <f>-'5. IRR'!DZW16</f>
        <v>-0.0</v>
      </c>
      <c r="DZW45" s="5">
        <f>-'5. IRR'!DZX16</f>
        <v>-0.0</v>
      </c>
      <c r="DZX45" s="5">
        <f>-'5. IRR'!DZY16</f>
        <v>-0.0</v>
      </c>
      <c r="DZY45" s="5">
        <f>-'5. IRR'!DZZ16</f>
        <v>-0.0</v>
      </c>
      <c r="DZZ45" s="5">
        <f>-'5. IRR'!EAA16</f>
        <v>-0.0</v>
      </c>
      <c r="EAA45" s="5">
        <f>-'5. IRR'!EAB16</f>
        <v>-0.0</v>
      </c>
      <c r="EAB45" s="5">
        <f>-'5. IRR'!EAC16</f>
        <v>-0.0</v>
      </c>
      <c r="EAC45" s="5">
        <f>-'5. IRR'!EAD16</f>
        <v>-0.0</v>
      </c>
      <c r="EAD45" s="5">
        <f>-'5. IRR'!EAE16</f>
        <v>-0.0</v>
      </c>
      <c r="EAE45" s="5">
        <f>-'5. IRR'!EAF16</f>
        <v>-0.0</v>
      </c>
      <c r="EAF45" s="5">
        <f>-'5. IRR'!EAG16</f>
        <v>-0.0</v>
      </c>
      <c r="EAG45" s="5">
        <f>-'5. IRR'!EAH16</f>
        <v>-0.0</v>
      </c>
      <c r="EAH45" s="5">
        <f>-'5. IRR'!EAI16</f>
        <v>-0.0</v>
      </c>
      <c r="EAI45" s="5">
        <f>-'5. IRR'!EAJ16</f>
        <v>-0.0</v>
      </c>
      <c r="EAJ45" s="5">
        <f>-'5. IRR'!EAK16</f>
        <v>-0.0</v>
      </c>
      <c r="EAK45" s="5">
        <f>-'5. IRR'!EAL16</f>
        <v>-0.0</v>
      </c>
      <c r="EAL45" s="5">
        <f>-'5. IRR'!EAM16</f>
        <v>-0.0</v>
      </c>
      <c r="EAM45" s="5">
        <f>-'5. IRR'!EAN16</f>
        <v>-0.0</v>
      </c>
      <c r="EAN45" s="5">
        <f>-'5. IRR'!EAO16</f>
        <v>-0.0</v>
      </c>
      <c r="EAO45" s="5">
        <f>-'5. IRR'!EAP16</f>
        <v>-0.0</v>
      </c>
      <c r="EAP45" s="5">
        <f>-'5. IRR'!EAQ16</f>
        <v>-0.0</v>
      </c>
      <c r="EAQ45" s="5">
        <f>-'5. IRR'!EAR16</f>
        <v>-0.0</v>
      </c>
      <c r="EAR45" s="5">
        <f>-'5. IRR'!EAS16</f>
        <v>-0.0</v>
      </c>
      <c r="EAS45" s="5">
        <f>-'5. IRR'!EAT16</f>
        <v>-0.0</v>
      </c>
      <c r="EAT45" s="5">
        <f>-'5. IRR'!EAU16</f>
        <v>-0.0</v>
      </c>
      <c r="EAU45" s="5">
        <f>-'5. IRR'!EAV16</f>
        <v>-0.0</v>
      </c>
      <c r="EAV45" s="5">
        <f>-'5. IRR'!EAW16</f>
        <v>-0.0</v>
      </c>
      <c r="EAW45" s="5">
        <f>-'5. IRR'!EAX16</f>
        <v>-0.0</v>
      </c>
      <c r="EAX45" s="5">
        <f>-'5. IRR'!EAY16</f>
        <v>-0.0</v>
      </c>
      <c r="EAY45" s="5">
        <f>-'5. IRR'!EAZ16</f>
        <v>-0.0</v>
      </c>
      <c r="EAZ45" s="5">
        <f>-'5. IRR'!EBA16</f>
        <v>-0.0</v>
      </c>
      <c r="EBA45" s="5">
        <f>-'5. IRR'!EBB16</f>
        <v>-0.0</v>
      </c>
      <c r="EBB45" s="5">
        <f>-'5. IRR'!EBC16</f>
        <v>-0.0</v>
      </c>
      <c r="EBC45" s="5">
        <f>-'5. IRR'!EBD16</f>
        <v>-0.0</v>
      </c>
      <c r="EBD45" s="5">
        <f>-'5. IRR'!EBE16</f>
        <v>-0.0</v>
      </c>
      <c r="EBE45" s="5">
        <f>-'5. IRR'!EBF16</f>
        <v>-0.0</v>
      </c>
      <c r="EBF45" s="5">
        <f>-'5. IRR'!EBG16</f>
        <v>-0.0</v>
      </c>
      <c r="EBG45" s="5">
        <f>-'5. IRR'!EBH16</f>
        <v>-0.0</v>
      </c>
      <c r="EBH45" s="5">
        <f>-'5. IRR'!EBI16</f>
        <v>-0.0</v>
      </c>
      <c r="EBI45" s="5">
        <f>-'5. IRR'!EBJ16</f>
        <v>-0.0</v>
      </c>
      <c r="EBJ45" s="5">
        <f>-'5. IRR'!EBK16</f>
        <v>-0.0</v>
      </c>
      <c r="EBK45" s="5">
        <f>-'5. IRR'!EBL16</f>
        <v>-0.0</v>
      </c>
      <c r="EBL45" s="5">
        <f>-'5. IRR'!EBM16</f>
        <v>-0.0</v>
      </c>
      <c r="EBM45" s="5">
        <f>-'5. IRR'!EBN16</f>
        <v>-0.0</v>
      </c>
      <c r="EBN45" s="5">
        <f>-'5. IRR'!EBO16</f>
        <v>-0.0</v>
      </c>
      <c r="EBO45" s="5">
        <f>-'5. IRR'!EBP16</f>
        <v>-0.0</v>
      </c>
      <c r="EBP45" s="5">
        <f>-'5. IRR'!EBQ16</f>
        <v>-0.0</v>
      </c>
      <c r="EBQ45" s="5">
        <f>-'5. IRR'!EBR16</f>
        <v>-0.0</v>
      </c>
      <c r="EBR45" s="5">
        <f>-'5. IRR'!EBS16</f>
        <v>-0.0</v>
      </c>
      <c r="EBS45" s="5">
        <f>-'5. IRR'!EBT16</f>
        <v>-0.0</v>
      </c>
      <c r="EBT45" s="5">
        <f>-'5. IRR'!EBU16</f>
        <v>-0.0</v>
      </c>
      <c r="EBU45" s="5">
        <f>-'5. IRR'!EBV16</f>
        <v>-0.0</v>
      </c>
      <c r="EBV45" s="5">
        <f>-'5. IRR'!EBW16</f>
        <v>-0.0</v>
      </c>
      <c r="EBW45" s="5">
        <f>-'5. IRR'!EBX16</f>
        <v>-0.0</v>
      </c>
      <c r="EBX45" s="5">
        <f>-'5. IRR'!EBY16</f>
        <v>-0.0</v>
      </c>
      <c r="EBY45" s="5">
        <f>-'5. IRR'!EBZ16</f>
        <v>-0.0</v>
      </c>
      <c r="EBZ45" s="5">
        <f>-'5. IRR'!ECA16</f>
        <v>-0.0</v>
      </c>
      <c r="ECA45" s="5">
        <f>-'5. IRR'!ECB16</f>
        <v>-0.0</v>
      </c>
      <c r="ECB45" s="5">
        <f>-'5. IRR'!ECC16</f>
        <v>-0.0</v>
      </c>
      <c r="ECC45" s="5">
        <f>-'5. IRR'!ECD16</f>
        <v>-0.0</v>
      </c>
      <c r="ECD45" s="5">
        <f>-'5. IRR'!ECE16</f>
        <v>-0.0</v>
      </c>
      <c r="ECE45" s="5">
        <f>-'5. IRR'!ECF16</f>
        <v>-0.0</v>
      </c>
      <c r="ECF45" s="5">
        <f>-'5. IRR'!ECG16</f>
        <v>-0.0</v>
      </c>
      <c r="ECG45" s="5">
        <f>-'5. IRR'!ECH16</f>
        <v>-0.0</v>
      </c>
      <c r="ECH45" s="5">
        <f>-'5. IRR'!ECI16</f>
        <v>-0.0</v>
      </c>
      <c r="ECI45" s="5">
        <f>-'5. IRR'!ECJ16</f>
        <v>-0.0</v>
      </c>
      <c r="ECJ45" s="5">
        <f>-'5. IRR'!ECK16</f>
        <v>-0.0</v>
      </c>
      <c r="ECK45" s="5">
        <f>-'5. IRR'!ECL16</f>
        <v>-0.0</v>
      </c>
      <c r="ECL45" s="5">
        <f>-'5. IRR'!ECM16</f>
        <v>-0.0</v>
      </c>
      <c r="ECM45" s="5">
        <f>-'5. IRR'!ECN16</f>
        <v>-0.0</v>
      </c>
      <c r="ECN45" s="5">
        <f>-'5. IRR'!ECO16</f>
        <v>-0.0</v>
      </c>
      <c r="ECO45" s="5">
        <f>-'5. IRR'!ECP16</f>
        <v>-0.0</v>
      </c>
      <c r="ECP45" s="5">
        <f>-'5. IRR'!ECQ16</f>
        <v>-0.0</v>
      </c>
      <c r="ECQ45" s="5">
        <f>-'5. IRR'!ECR16</f>
        <v>-0.0</v>
      </c>
      <c r="ECR45" s="5">
        <f>-'5. IRR'!ECS16</f>
        <v>-0.0</v>
      </c>
      <c r="ECS45" s="5">
        <f>-'5. IRR'!ECT16</f>
        <v>-0.0</v>
      </c>
      <c r="ECT45" s="5">
        <f>-'5. IRR'!ECU16</f>
        <v>-0.0</v>
      </c>
      <c r="ECU45" s="5">
        <f>-'5. IRR'!ECV16</f>
        <v>-0.0</v>
      </c>
      <c r="ECV45" s="5">
        <f>-'5. IRR'!ECW16</f>
        <v>-0.0</v>
      </c>
      <c r="ECW45" s="5">
        <f>-'5. IRR'!ECX16</f>
        <v>-0.0</v>
      </c>
      <c r="ECX45" s="5">
        <f>-'5. IRR'!ECY16</f>
        <v>-0.0</v>
      </c>
      <c r="ECY45" s="5">
        <f>-'5. IRR'!ECZ16</f>
        <v>-0.0</v>
      </c>
      <c r="ECZ45" s="5">
        <f>-'5. IRR'!EDA16</f>
        <v>-0.0</v>
      </c>
      <c r="EDA45" s="5">
        <f>-'5. IRR'!EDB16</f>
        <v>-0.0</v>
      </c>
      <c r="EDB45" s="5">
        <f>-'5. IRR'!EDC16</f>
        <v>-0.0</v>
      </c>
      <c r="EDC45" s="5">
        <f>-'5. IRR'!EDD16</f>
        <v>-0.0</v>
      </c>
      <c r="EDD45" s="5">
        <f>-'5. IRR'!EDE16</f>
        <v>-0.0</v>
      </c>
      <c r="EDE45" s="5">
        <f>-'5. IRR'!EDF16</f>
        <v>-0.0</v>
      </c>
      <c r="EDF45" s="5">
        <f>-'5. IRR'!EDG16</f>
        <v>-0.0</v>
      </c>
      <c r="EDG45" s="5">
        <f>-'5. IRR'!EDH16</f>
        <v>-0.0</v>
      </c>
      <c r="EDH45" s="5">
        <f>-'5. IRR'!EDI16</f>
        <v>-0.0</v>
      </c>
      <c r="EDI45" s="5">
        <f>-'5. IRR'!EDJ16</f>
        <v>-0.0</v>
      </c>
      <c r="EDJ45" s="5">
        <f>-'5. IRR'!EDK16</f>
        <v>-0.0</v>
      </c>
      <c r="EDK45" s="5">
        <f>-'5. IRR'!EDL16</f>
        <v>-0.0</v>
      </c>
      <c r="EDL45" s="5">
        <f>-'5. IRR'!EDM16</f>
        <v>-0.0</v>
      </c>
      <c r="EDM45" s="5">
        <f>-'5. IRR'!EDN16</f>
        <v>-0.0</v>
      </c>
      <c r="EDN45" s="5">
        <f>-'5. IRR'!EDO16</f>
        <v>-0.0</v>
      </c>
      <c r="EDO45" s="5">
        <f>-'5. IRR'!EDP16</f>
        <v>-0.0</v>
      </c>
      <c r="EDP45" s="5">
        <f>-'5. IRR'!EDQ16</f>
        <v>-0.0</v>
      </c>
      <c r="EDQ45" s="5">
        <f>-'5. IRR'!EDR16</f>
        <v>-0.0</v>
      </c>
      <c r="EDR45" s="5">
        <f>-'5. IRR'!EDS16</f>
        <v>-0.0</v>
      </c>
      <c r="EDS45" s="5">
        <f>-'5. IRR'!EDT16</f>
        <v>-0.0</v>
      </c>
      <c r="EDT45" s="5">
        <f>-'5. IRR'!EDU16</f>
        <v>-0.0</v>
      </c>
      <c r="EDU45" s="5">
        <f>-'5. IRR'!EDV16</f>
        <v>-0.0</v>
      </c>
      <c r="EDV45" s="5">
        <f>-'5. IRR'!EDW16</f>
        <v>-0.0</v>
      </c>
      <c r="EDW45" s="5">
        <f>-'5. IRR'!EDX16</f>
        <v>-0.0</v>
      </c>
      <c r="EDX45" s="5">
        <f>-'5. IRR'!EDY16</f>
        <v>-0.0</v>
      </c>
      <c r="EDY45" s="5">
        <f>-'5. IRR'!EDZ16</f>
        <v>-0.0</v>
      </c>
      <c r="EDZ45" s="5">
        <f>-'5. IRR'!EEA16</f>
        <v>-0.0</v>
      </c>
      <c r="EEA45" s="5">
        <f>-'5. IRR'!EEB16</f>
        <v>-0.0</v>
      </c>
      <c r="EEB45" s="5">
        <f>-'5. IRR'!EEC16</f>
        <v>-0.0</v>
      </c>
      <c r="EEC45" s="5">
        <f>-'5. IRR'!EED16</f>
        <v>-0.0</v>
      </c>
      <c r="EED45" s="5">
        <f>-'5. IRR'!EEE16</f>
        <v>-0.0</v>
      </c>
      <c r="EEE45" s="5">
        <f>-'5. IRR'!EEF16</f>
        <v>-0.0</v>
      </c>
      <c r="EEF45" s="5">
        <f>-'5. IRR'!EEG16</f>
        <v>-0.0</v>
      </c>
      <c r="EEG45" s="5">
        <f>-'5. IRR'!EEH16</f>
        <v>-0.0</v>
      </c>
      <c r="EEH45" s="5">
        <f>-'5. IRR'!EEI16</f>
        <v>-0.0</v>
      </c>
      <c r="EEI45" s="5">
        <f>-'5. IRR'!EEJ16</f>
        <v>-0.0</v>
      </c>
      <c r="EEJ45" s="5">
        <f>-'5. IRR'!EEK16</f>
        <v>-0.0</v>
      </c>
      <c r="EEK45" s="5">
        <f>-'5. IRR'!EEL16</f>
        <v>-0.0</v>
      </c>
      <c r="EEL45" s="5">
        <f>-'5. IRR'!EEM16</f>
        <v>-0.0</v>
      </c>
      <c r="EEM45" s="5">
        <f>-'5. IRR'!EEN16</f>
        <v>-0.0</v>
      </c>
      <c r="EEN45" s="5">
        <f>-'5. IRR'!EEO16</f>
        <v>-0.0</v>
      </c>
      <c r="EEO45" s="5">
        <f>-'5. IRR'!EEP16</f>
        <v>-0.0</v>
      </c>
      <c r="EEP45" s="5">
        <f>-'5. IRR'!EEQ16</f>
        <v>-0.0</v>
      </c>
      <c r="EEQ45" s="5">
        <f>-'5. IRR'!EER16</f>
        <v>-0.0</v>
      </c>
      <c r="EER45" s="5">
        <f>-'5. IRR'!EES16</f>
        <v>-0.0</v>
      </c>
      <c r="EES45" s="5">
        <f>-'5. IRR'!EET16</f>
        <v>-0.0</v>
      </c>
      <c r="EET45" s="5">
        <f>-'5. IRR'!EEU16</f>
        <v>-0.0</v>
      </c>
      <c r="EEU45" s="5">
        <f>-'5. IRR'!EEV16</f>
        <v>-0.0</v>
      </c>
      <c r="EEV45" s="5">
        <f>-'5. IRR'!EEW16</f>
        <v>-0.0</v>
      </c>
      <c r="EEW45" s="5">
        <f>-'5. IRR'!EEX16</f>
        <v>-0.0</v>
      </c>
      <c r="EEX45" s="5">
        <f>-'5. IRR'!EEY16</f>
        <v>-0.0</v>
      </c>
      <c r="EEY45" s="5">
        <f>-'5. IRR'!EEZ16</f>
        <v>-0.0</v>
      </c>
      <c r="EEZ45" s="5">
        <f>-'5. IRR'!EFA16</f>
        <v>-0.0</v>
      </c>
      <c r="EFA45" s="5">
        <f>-'5. IRR'!EFB16</f>
        <v>-0.0</v>
      </c>
      <c r="EFB45" s="5">
        <f>-'5. IRR'!EFC16</f>
        <v>-0.0</v>
      </c>
      <c r="EFC45" s="5">
        <f>-'5. IRR'!EFD16</f>
        <v>-0.0</v>
      </c>
      <c r="EFD45" s="5">
        <f>-'5. IRR'!EFE16</f>
        <v>-0.0</v>
      </c>
      <c r="EFE45" s="5">
        <f>-'5. IRR'!EFF16</f>
        <v>-0.0</v>
      </c>
      <c r="EFF45" s="5">
        <f>-'5. IRR'!EFG16</f>
        <v>-0.0</v>
      </c>
      <c r="EFG45" s="5">
        <f>-'5. IRR'!EFH16</f>
        <v>-0.0</v>
      </c>
      <c r="EFH45" s="5">
        <f>-'5. IRR'!EFI16</f>
        <v>-0.0</v>
      </c>
      <c r="EFI45" s="5">
        <f>-'5. IRR'!EFJ16</f>
        <v>-0.0</v>
      </c>
      <c r="EFJ45" s="5">
        <f>-'5. IRR'!EFK16</f>
        <v>-0.0</v>
      </c>
      <c r="EFK45" s="5">
        <f>-'5. IRR'!EFL16</f>
        <v>-0.0</v>
      </c>
      <c r="EFL45" s="5">
        <f>-'5. IRR'!EFM16</f>
        <v>-0.0</v>
      </c>
      <c r="EFM45" s="5">
        <f>-'5. IRR'!EFN16</f>
        <v>-0.0</v>
      </c>
      <c r="EFN45" s="5">
        <f>-'5. IRR'!EFO16</f>
        <v>-0.0</v>
      </c>
      <c r="EFO45" s="5">
        <f>-'5. IRR'!EFP16</f>
        <v>-0.0</v>
      </c>
      <c r="EFP45" s="5">
        <f>-'5. IRR'!EFQ16</f>
        <v>-0.0</v>
      </c>
      <c r="EFQ45" s="5">
        <f>-'5. IRR'!EFR16</f>
        <v>-0.0</v>
      </c>
      <c r="EFR45" s="5">
        <f>-'5. IRR'!EFS16</f>
        <v>-0.0</v>
      </c>
      <c r="EFS45" s="5">
        <f>-'5. IRR'!EFT16</f>
        <v>-0.0</v>
      </c>
      <c r="EFT45" s="5">
        <f>-'5. IRR'!EFU16</f>
        <v>-0.0</v>
      </c>
      <c r="EFU45" s="5">
        <f>-'5. IRR'!EFV16</f>
        <v>-0.0</v>
      </c>
      <c r="EFV45" s="5">
        <f>-'5. IRR'!EFW16</f>
        <v>-0.0</v>
      </c>
      <c r="EFW45" s="5">
        <f>-'5. IRR'!EFX16</f>
        <v>-0.0</v>
      </c>
      <c r="EFX45" s="5">
        <f>-'5. IRR'!EFY16</f>
        <v>-0.0</v>
      </c>
      <c r="EFY45" s="5">
        <f>-'5. IRR'!EFZ16</f>
        <v>-0.0</v>
      </c>
      <c r="EFZ45" s="5">
        <f>-'5. IRR'!EGA16</f>
        <v>-0.0</v>
      </c>
      <c r="EGA45" s="5">
        <f>-'5. IRR'!EGB16</f>
        <v>-0.0</v>
      </c>
      <c r="EGB45" s="5">
        <f>-'5. IRR'!EGC16</f>
        <v>-0.0</v>
      </c>
      <c r="EGC45" s="5">
        <f>-'5. IRR'!EGD16</f>
        <v>-0.0</v>
      </c>
      <c r="EGD45" s="5">
        <f>-'5. IRR'!EGE16</f>
        <v>-0.0</v>
      </c>
      <c r="EGE45" s="5">
        <f>-'5. IRR'!EGF16</f>
        <v>-0.0</v>
      </c>
      <c r="EGF45" s="5">
        <f>-'5. IRR'!EGG16</f>
        <v>-0.0</v>
      </c>
      <c r="EGG45" s="5">
        <f>-'5. IRR'!EGH16</f>
        <v>-0.0</v>
      </c>
      <c r="EGH45" s="5">
        <f>-'5. IRR'!EGI16</f>
        <v>-0.0</v>
      </c>
      <c r="EGI45" s="5">
        <f>-'5. IRR'!EGJ16</f>
        <v>-0.0</v>
      </c>
      <c r="EGJ45" s="5">
        <f>-'5. IRR'!EGK16</f>
        <v>-0.0</v>
      </c>
      <c r="EGK45" s="5">
        <f>-'5. IRR'!EGL16</f>
        <v>-0.0</v>
      </c>
      <c r="EGL45" s="5">
        <f>-'5. IRR'!EGM16</f>
        <v>-0.0</v>
      </c>
      <c r="EGM45" s="5">
        <f>-'5. IRR'!EGN16</f>
        <v>-0.0</v>
      </c>
      <c r="EGN45" s="5">
        <f>-'5. IRR'!EGO16</f>
        <v>-0.0</v>
      </c>
      <c r="EGO45" s="5">
        <f>-'5. IRR'!EGP16</f>
        <v>-0.0</v>
      </c>
      <c r="EGP45" s="5">
        <f>-'5. IRR'!EGQ16</f>
        <v>-0.0</v>
      </c>
      <c r="EGQ45" s="5">
        <f>-'5. IRR'!EGR16</f>
        <v>-0.0</v>
      </c>
      <c r="EGR45" s="5">
        <f>-'5. IRR'!EGS16</f>
        <v>-0.0</v>
      </c>
      <c r="EGS45" s="5">
        <f>-'5. IRR'!EGT16</f>
        <v>-0.0</v>
      </c>
      <c r="EGT45" s="5">
        <f>-'5. IRR'!EGU16</f>
        <v>-0.0</v>
      </c>
      <c r="EGU45" s="5">
        <f>-'5. IRR'!EGV16</f>
        <v>-0.0</v>
      </c>
      <c r="EGV45" s="5">
        <f>-'5. IRR'!EGW16</f>
        <v>-0.0</v>
      </c>
      <c r="EGW45" s="5">
        <f>-'5. IRR'!EGX16</f>
        <v>-0.0</v>
      </c>
      <c r="EGX45" s="5">
        <f>-'5. IRR'!EGY16</f>
        <v>-0.0</v>
      </c>
      <c r="EGY45" s="5">
        <f>-'5. IRR'!EGZ16</f>
        <v>-0.0</v>
      </c>
      <c r="EGZ45" s="5">
        <f>-'5. IRR'!EHA16</f>
        <v>-0.0</v>
      </c>
      <c r="EHA45" s="5">
        <f>-'5. IRR'!EHB16</f>
        <v>-0.0</v>
      </c>
      <c r="EHB45" s="5">
        <f>-'5. IRR'!EHC16</f>
        <v>-0.0</v>
      </c>
      <c r="EHC45" s="5">
        <f>-'5. IRR'!EHD16</f>
        <v>-0.0</v>
      </c>
      <c r="EHD45" s="5">
        <f>-'5. IRR'!EHE16</f>
        <v>-0.0</v>
      </c>
      <c r="EHE45" s="5">
        <f>-'5. IRR'!EHF16</f>
        <v>-0.0</v>
      </c>
      <c r="EHF45" s="5">
        <f>-'5. IRR'!EHG16</f>
        <v>-0.0</v>
      </c>
      <c r="EHG45" s="5">
        <f>-'5. IRR'!EHH16</f>
        <v>-0.0</v>
      </c>
      <c r="EHH45" s="5">
        <f>-'5. IRR'!EHI16</f>
        <v>-0.0</v>
      </c>
      <c r="EHI45" s="5">
        <f>-'5. IRR'!EHJ16</f>
        <v>-0.0</v>
      </c>
      <c r="EHJ45" s="5">
        <f>-'5. IRR'!EHK16</f>
        <v>-0.0</v>
      </c>
      <c r="EHK45" s="5">
        <f>-'5. IRR'!EHL16</f>
        <v>-0.0</v>
      </c>
      <c r="EHL45" s="5">
        <f>-'5. IRR'!EHM16</f>
        <v>-0.0</v>
      </c>
      <c r="EHM45" s="5">
        <f>-'5. IRR'!EHN16</f>
        <v>-0.0</v>
      </c>
      <c r="EHN45" s="5">
        <f>-'5. IRR'!EHO16</f>
        <v>-0.0</v>
      </c>
      <c r="EHO45" s="5">
        <f>-'5. IRR'!EHP16</f>
        <v>-0.0</v>
      </c>
      <c r="EHP45" s="5">
        <f>-'5. IRR'!EHQ16</f>
        <v>-0.0</v>
      </c>
      <c r="EHQ45" s="5">
        <f>-'5. IRR'!EHR16</f>
        <v>-0.0</v>
      </c>
      <c r="EHR45" s="5">
        <f>-'5. IRR'!EHS16</f>
        <v>-0.0</v>
      </c>
      <c r="EHS45" s="5">
        <f>-'5. IRR'!EHT16</f>
        <v>-0.0</v>
      </c>
      <c r="EHT45" s="5">
        <f>-'5. IRR'!EHU16</f>
        <v>-0.0</v>
      </c>
      <c r="EHU45" s="5">
        <f>-'5. IRR'!EHV16</f>
        <v>-0.0</v>
      </c>
      <c r="EHV45" s="5">
        <f>-'5. IRR'!EHW16</f>
        <v>-0.0</v>
      </c>
      <c r="EHW45" s="5">
        <f>-'5. IRR'!EHX16</f>
        <v>-0.0</v>
      </c>
      <c r="EHX45" s="5">
        <f>-'5. IRR'!EHY16</f>
        <v>-0.0</v>
      </c>
      <c r="EHY45" s="5">
        <f>-'5. IRR'!EHZ16</f>
        <v>-0.0</v>
      </c>
      <c r="EHZ45" s="5">
        <f>-'5. IRR'!EIA16</f>
        <v>-0.0</v>
      </c>
      <c r="EIA45" s="5">
        <f>-'5. IRR'!EIB16</f>
        <v>-0.0</v>
      </c>
      <c r="EIB45" s="5">
        <f>-'5. IRR'!EIC16</f>
        <v>-0.0</v>
      </c>
      <c r="EIC45" s="5">
        <f>-'5. IRR'!EID16</f>
        <v>-0.0</v>
      </c>
      <c r="EID45" s="5">
        <f>-'5. IRR'!EIE16</f>
        <v>-0.0</v>
      </c>
      <c r="EIE45" s="5">
        <f>-'5. IRR'!EIF16</f>
        <v>-0.0</v>
      </c>
      <c r="EIF45" s="5">
        <f>-'5. IRR'!EIG16</f>
        <v>-0.0</v>
      </c>
      <c r="EIG45" s="5">
        <f>-'5. IRR'!EIH16</f>
        <v>-0.0</v>
      </c>
      <c r="EIH45" s="5">
        <f>-'5. IRR'!EII16</f>
        <v>-0.0</v>
      </c>
      <c r="EII45" s="5">
        <f>-'5. IRR'!EIJ16</f>
        <v>-0.0</v>
      </c>
      <c r="EIJ45" s="5">
        <f>-'5. IRR'!EIK16</f>
        <v>-0.0</v>
      </c>
      <c r="EIK45" s="5">
        <f>-'5. IRR'!EIL16</f>
        <v>-0.0</v>
      </c>
      <c r="EIL45" s="5">
        <f>-'5. IRR'!EIM16</f>
        <v>-0.0</v>
      </c>
      <c r="EIM45" s="5">
        <f>-'5. IRR'!EIN16</f>
        <v>-0.0</v>
      </c>
      <c r="EIN45" s="5">
        <f>-'5. IRR'!EIO16</f>
        <v>-0.0</v>
      </c>
      <c r="EIO45" s="5">
        <f>-'5. IRR'!EIP16</f>
        <v>-0.0</v>
      </c>
      <c r="EIP45" s="5">
        <f>-'5. IRR'!EIQ16</f>
        <v>-0.0</v>
      </c>
      <c r="EIQ45" s="5">
        <f>-'5. IRR'!EIR16</f>
        <v>-0.0</v>
      </c>
      <c r="EIR45" s="5">
        <f>-'5. IRR'!EIS16</f>
        <v>-0.0</v>
      </c>
      <c r="EIS45" s="5">
        <f>-'5. IRR'!EIT16</f>
        <v>-0.0</v>
      </c>
      <c r="EIT45" s="5">
        <f>-'5. IRR'!EIU16</f>
        <v>-0.0</v>
      </c>
      <c r="EIU45" s="5">
        <f>-'5. IRR'!EIV16</f>
        <v>-0.0</v>
      </c>
      <c r="EIV45" s="5">
        <f>-'5. IRR'!EIW16</f>
        <v>-0.0</v>
      </c>
      <c r="EIW45" s="5">
        <f>-'5. IRR'!EIX16</f>
        <v>-0.0</v>
      </c>
      <c r="EIX45" s="5">
        <f>-'5. IRR'!EIY16</f>
        <v>-0.0</v>
      </c>
      <c r="EIY45" s="5">
        <f>-'5. IRR'!EIZ16</f>
        <v>-0.0</v>
      </c>
      <c r="EIZ45" s="5">
        <f>-'5. IRR'!EJA16</f>
        <v>-0.0</v>
      </c>
      <c r="EJA45" s="5">
        <f>-'5. IRR'!EJB16</f>
        <v>-0.0</v>
      </c>
      <c r="EJB45" s="5">
        <f>-'5. IRR'!EJC16</f>
        <v>-0.0</v>
      </c>
      <c r="EJC45" s="5">
        <f>-'5. IRR'!EJD16</f>
        <v>-0.0</v>
      </c>
      <c r="EJD45" s="5">
        <f>-'5. IRR'!EJE16</f>
        <v>-0.0</v>
      </c>
      <c r="EJE45" s="5">
        <f>-'5. IRR'!EJF16</f>
        <v>-0.0</v>
      </c>
      <c r="EJF45" s="5">
        <f>-'5. IRR'!EJG16</f>
        <v>-0.0</v>
      </c>
      <c r="EJG45" s="5">
        <f>-'5. IRR'!EJH16</f>
        <v>-0.0</v>
      </c>
      <c r="EJH45" s="5">
        <f>-'5. IRR'!EJI16</f>
        <v>-0.0</v>
      </c>
      <c r="EJI45" s="5">
        <f>-'5. IRR'!EJJ16</f>
        <v>-0.0</v>
      </c>
      <c r="EJJ45" s="5">
        <f>-'5. IRR'!EJK16</f>
        <v>-0.0</v>
      </c>
      <c r="EJK45" s="5">
        <f>-'5. IRR'!EJL16</f>
        <v>-0.0</v>
      </c>
      <c r="EJL45" s="5">
        <f>-'5. IRR'!EJM16</f>
        <v>-0.0</v>
      </c>
      <c r="EJM45" s="5">
        <f>-'5. IRR'!EJN16</f>
        <v>-0.0</v>
      </c>
      <c r="EJN45" s="5">
        <f>-'5. IRR'!EJO16</f>
        <v>-0.0</v>
      </c>
      <c r="EJO45" s="5">
        <f>-'5. IRR'!EJP16</f>
        <v>-0.0</v>
      </c>
      <c r="EJP45" s="5">
        <f>-'5. IRR'!EJQ16</f>
        <v>-0.0</v>
      </c>
      <c r="EJQ45" s="5">
        <f>-'5. IRR'!EJR16</f>
        <v>-0.0</v>
      </c>
      <c r="EJR45" s="5">
        <f>-'5. IRR'!EJS16</f>
        <v>-0.0</v>
      </c>
      <c r="EJS45" s="5">
        <f>-'5. IRR'!EJT16</f>
        <v>-0.0</v>
      </c>
      <c r="EJT45" s="5">
        <f>-'5. IRR'!EJU16</f>
        <v>-0.0</v>
      </c>
      <c r="EJU45" s="5">
        <f>-'5. IRR'!EJV16</f>
        <v>-0.0</v>
      </c>
      <c r="EJV45" s="5">
        <f>-'5. IRR'!EJW16</f>
        <v>-0.0</v>
      </c>
      <c r="EJW45" s="5">
        <f>-'5. IRR'!EJX16</f>
        <v>-0.0</v>
      </c>
      <c r="EJX45" s="5">
        <f>-'5. IRR'!EJY16</f>
        <v>-0.0</v>
      </c>
      <c r="EJY45" s="5">
        <f>-'5. IRR'!EJZ16</f>
        <v>-0.0</v>
      </c>
      <c r="EJZ45" s="5">
        <f>-'5. IRR'!EKA16</f>
        <v>-0.0</v>
      </c>
      <c r="EKA45" s="5">
        <f>-'5. IRR'!EKB16</f>
        <v>-0.0</v>
      </c>
      <c r="EKB45" s="5">
        <f>-'5. IRR'!EKC16</f>
        <v>-0.0</v>
      </c>
      <c r="EKC45" s="5">
        <f>-'5. IRR'!EKD16</f>
        <v>-0.0</v>
      </c>
      <c r="EKD45" s="5">
        <f>-'5. IRR'!EKE16</f>
        <v>-0.0</v>
      </c>
      <c r="EKE45" s="5">
        <f>-'5. IRR'!EKF16</f>
        <v>-0.0</v>
      </c>
      <c r="EKF45" s="5">
        <f>-'5. IRR'!EKG16</f>
        <v>-0.0</v>
      </c>
      <c r="EKG45" s="5">
        <f>-'5. IRR'!EKH16</f>
        <v>-0.0</v>
      </c>
      <c r="EKH45" s="5">
        <f>-'5. IRR'!EKI16</f>
        <v>-0.0</v>
      </c>
      <c r="EKI45" s="5">
        <f>-'5. IRR'!EKJ16</f>
        <v>-0.0</v>
      </c>
      <c r="EKJ45" s="5">
        <f>-'5. IRR'!EKK16</f>
        <v>-0.0</v>
      </c>
      <c r="EKK45" s="5">
        <f>-'5. IRR'!EKL16</f>
        <v>-0.0</v>
      </c>
      <c r="EKL45" s="5">
        <f>-'5. IRR'!EKM16</f>
        <v>-0.0</v>
      </c>
      <c r="EKM45" s="5">
        <f>-'5. IRR'!EKN16</f>
        <v>-0.0</v>
      </c>
      <c r="EKN45" s="5">
        <f>-'5. IRR'!EKO16</f>
        <v>-0.0</v>
      </c>
      <c r="EKO45" s="5">
        <f>-'5. IRR'!EKP16</f>
        <v>-0.0</v>
      </c>
      <c r="EKP45" s="5">
        <f>-'5. IRR'!EKQ16</f>
        <v>-0.0</v>
      </c>
      <c r="EKQ45" s="5">
        <f>-'5. IRR'!EKR16</f>
        <v>-0.0</v>
      </c>
      <c r="EKR45" s="5">
        <f>-'5. IRR'!EKS16</f>
        <v>-0.0</v>
      </c>
      <c r="EKS45" s="5">
        <f>-'5. IRR'!EKT16</f>
        <v>-0.0</v>
      </c>
      <c r="EKT45" s="5">
        <f>-'5. IRR'!EKU16</f>
        <v>-0.0</v>
      </c>
      <c r="EKU45" s="5">
        <f>-'5. IRR'!EKV16</f>
        <v>-0.0</v>
      </c>
      <c r="EKV45" s="5">
        <f>-'5. IRR'!EKW16</f>
        <v>-0.0</v>
      </c>
      <c r="EKW45" s="5">
        <f>-'5. IRR'!EKX16</f>
        <v>-0.0</v>
      </c>
      <c r="EKX45" s="5">
        <f>-'5. IRR'!EKY16</f>
        <v>-0.0</v>
      </c>
      <c r="EKY45" s="5">
        <f>-'5. IRR'!EKZ16</f>
        <v>-0.0</v>
      </c>
      <c r="EKZ45" s="5">
        <f>-'5. IRR'!ELA16</f>
        <v>-0.0</v>
      </c>
      <c r="ELA45" s="5">
        <f>-'5. IRR'!ELB16</f>
        <v>-0.0</v>
      </c>
      <c r="ELB45" s="5">
        <f>-'5. IRR'!ELC16</f>
        <v>-0.0</v>
      </c>
      <c r="ELC45" s="5">
        <f>-'5. IRR'!ELD16</f>
        <v>-0.0</v>
      </c>
      <c r="ELD45" s="5">
        <f>-'5. IRR'!ELE16</f>
        <v>-0.0</v>
      </c>
      <c r="ELE45" s="5">
        <f>-'5. IRR'!ELF16</f>
        <v>-0.0</v>
      </c>
      <c r="ELF45" s="5">
        <f>-'5. IRR'!ELG16</f>
        <v>-0.0</v>
      </c>
      <c r="ELG45" s="5">
        <f>-'5. IRR'!ELH16</f>
        <v>-0.0</v>
      </c>
      <c r="ELH45" s="5">
        <f>-'5. IRR'!ELI16</f>
        <v>-0.0</v>
      </c>
      <c r="ELI45" s="5">
        <f>-'5. IRR'!ELJ16</f>
        <v>-0.0</v>
      </c>
      <c r="ELJ45" s="5">
        <f>-'5. IRR'!ELK16</f>
        <v>-0.0</v>
      </c>
      <c r="ELK45" s="5">
        <f>-'5. IRR'!ELL16</f>
        <v>-0.0</v>
      </c>
      <c r="ELL45" s="5">
        <f>-'5. IRR'!ELM16</f>
        <v>-0.0</v>
      </c>
      <c r="ELM45" s="5">
        <f>-'5. IRR'!ELN16</f>
        <v>-0.0</v>
      </c>
      <c r="ELN45" s="5">
        <f>-'5. IRR'!ELO16</f>
        <v>-0.0</v>
      </c>
      <c r="ELO45" s="5">
        <f>-'5. IRR'!ELP16</f>
        <v>-0.0</v>
      </c>
      <c r="ELP45" s="5">
        <f>-'5. IRR'!ELQ16</f>
        <v>-0.0</v>
      </c>
      <c r="ELQ45" s="5">
        <f>-'5. IRR'!ELR16</f>
        <v>-0.0</v>
      </c>
      <c r="ELR45" s="5">
        <f>-'5. IRR'!ELS16</f>
        <v>-0.0</v>
      </c>
      <c r="ELS45" s="5">
        <f>-'5. IRR'!ELT16</f>
        <v>-0.0</v>
      </c>
      <c r="ELT45" s="5">
        <f>-'5. IRR'!ELU16</f>
        <v>-0.0</v>
      </c>
      <c r="ELU45" s="5">
        <f>-'5. IRR'!ELV16</f>
        <v>-0.0</v>
      </c>
      <c r="ELV45" s="5">
        <f>-'5. IRR'!ELW16</f>
        <v>-0.0</v>
      </c>
      <c r="ELW45" s="5">
        <f>-'5. IRR'!ELX16</f>
        <v>-0.0</v>
      </c>
      <c r="ELX45" s="5">
        <f>-'5. IRR'!ELY16</f>
        <v>-0.0</v>
      </c>
      <c r="ELY45" s="5">
        <f>-'5. IRR'!ELZ16</f>
        <v>-0.0</v>
      </c>
      <c r="ELZ45" s="5">
        <f>-'5. IRR'!EMA16</f>
        <v>-0.0</v>
      </c>
      <c r="EMA45" s="5">
        <f>-'5. IRR'!EMB16</f>
        <v>-0.0</v>
      </c>
      <c r="EMB45" s="5">
        <f>-'5. IRR'!EMC16</f>
        <v>-0.0</v>
      </c>
      <c r="EMC45" s="5">
        <f>-'5. IRR'!EMD16</f>
        <v>-0.0</v>
      </c>
      <c r="EMD45" s="5">
        <f>-'5. IRR'!EME16</f>
        <v>-0.0</v>
      </c>
      <c r="EME45" s="5">
        <f>-'5. IRR'!EMF16</f>
        <v>-0.0</v>
      </c>
      <c r="EMF45" s="5">
        <f>-'5. IRR'!EMG16</f>
        <v>-0.0</v>
      </c>
      <c r="EMG45" s="5">
        <f>-'5. IRR'!EMH16</f>
        <v>-0.0</v>
      </c>
      <c r="EMH45" s="5">
        <f>-'5. IRR'!EMI16</f>
        <v>-0.0</v>
      </c>
      <c r="EMI45" s="5">
        <f>-'5. IRR'!EMJ16</f>
        <v>-0.0</v>
      </c>
      <c r="EMJ45" s="5">
        <f>-'5. IRR'!EMK16</f>
        <v>-0.0</v>
      </c>
      <c r="EMK45" s="5">
        <f>-'5. IRR'!EML16</f>
        <v>-0.0</v>
      </c>
      <c r="EML45" s="5">
        <f>-'5. IRR'!EMM16</f>
        <v>-0.0</v>
      </c>
      <c r="EMM45" s="5">
        <f>-'5. IRR'!EMN16</f>
        <v>-0.0</v>
      </c>
      <c r="EMN45" s="5">
        <f>-'5. IRR'!EMO16</f>
        <v>-0.0</v>
      </c>
      <c r="EMO45" s="5">
        <f>-'5. IRR'!EMP16</f>
        <v>-0.0</v>
      </c>
      <c r="EMP45" s="5">
        <f>-'5. IRR'!EMQ16</f>
        <v>-0.0</v>
      </c>
      <c r="EMQ45" s="5">
        <f>-'5. IRR'!EMR16</f>
        <v>-0.0</v>
      </c>
      <c r="EMR45" s="5">
        <f>-'5. IRR'!EMS16</f>
        <v>-0.0</v>
      </c>
      <c r="EMS45" s="5">
        <f>-'5. IRR'!EMT16</f>
        <v>-0.0</v>
      </c>
      <c r="EMT45" s="5">
        <f>-'5. IRR'!EMU16</f>
        <v>-0.0</v>
      </c>
      <c r="EMU45" s="5">
        <f>-'5. IRR'!EMV16</f>
        <v>-0.0</v>
      </c>
      <c r="EMV45" s="5">
        <f>-'5. IRR'!EMW16</f>
        <v>-0.0</v>
      </c>
      <c r="EMW45" s="5">
        <f>-'5. IRR'!EMX16</f>
        <v>-0.0</v>
      </c>
      <c r="EMX45" s="5">
        <f>-'5. IRR'!EMY16</f>
        <v>-0.0</v>
      </c>
      <c r="EMY45" s="5">
        <f>-'5. IRR'!EMZ16</f>
        <v>-0.0</v>
      </c>
      <c r="EMZ45" s="5">
        <f>-'5. IRR'!ENA16</f>
        <v>-0.0</v>
      </c>
      <c r="ENA45" s="5">
        <f>-'5. IRR'!ENB16</f>
        <v>-0.0</v>
      </c>
      <c r="ENB45" s="5">
        <f>-'5. IRR'!ENC16</f>
        <v>-0.0</v>
      </c>
      <c r="ENC45" s="5">
        <f>-'5. IRR'!END16</f>
        <v>-0.0</v>
      </c>
      <c r="END45" s="5">
        <f>-'5. IRR'!ENE16</f>
        <v>-0.0</v>
      </c>
      <c r="ENE45" s="5">
        <f>-'5. IRR'!ENF16</f>
        <v>-0.0</v>
      </c>
      <c r="ENF45" s="5">
        <f>-'5. IRR'!ENG16</f>
        <v>-0.0</v>
      </c>
      <c r="ENG45" s="5">
        <f>-'5. IRR'!ENH16</f>
        <v>-0.0</v>
      </c>
      <c r="ENH45" s="5">
        <f>-'5. IRR'!ENI16</f>
        <v>-0.0</v>
      </c>
      <c r="ENI45" s="5">
        <f>-'5. IRR'!ENJ16</f>
        <v>-0.0</v>
      </c>
      <c r="ENJ45" s="5">
        <f>-'5. IRR'!ENK16</f>
        <v>-0.0</v>
      </c>
      <c r="ENK45" s="5">
        <f>-'5. IRR'!ENL16</f>
        <v>-0.0</v>
      </c>
      <c r="ENL45" s="5">
        <f>-'5. IRR'!ENM16</f>
        <v>-0.0</v>
      </c>
      <c r="ENM45" s="5">
        <f>-'5. IRR'!ENN16</f>
        <v>-0.0</v>
      </c>
      <c r="ENN45" s="5">
        <f>-'5. IRR'!ENO16</f>
        <v>-0.0</v>
      </c>
      <c r="ENO45" s="5">
        <f>-'5. IRR'!ENP16</f>
        <v>-0.0</v>
      </c>
      <c r="ENP45" s="5">
        <f>-'5. IRR'!ENQ16</f>
        <v>-0.0</v>
      </c>
      <c r="ENQ45" s="5">
        <f>-'5. IRR'!ENR16</f>
        <v>-0.0</v>
      </c>
      <c r="ENR45" s="5">
        <f>-'5. IRR'!ENS16</f>
        <v>-0.0</v>
      </c>
      <c r="ENS45" s="5">
        <f>-'5. IRR'!ENT16</f>
        <v>-0.0</v>
      </c>
      <c r="ENT45" s="5">
        <f>-'5. IRR'!ENU16</f>
        <v>-0.0</v>
      </c>
      <c r="ENU45" s="5">
        <f>-'5. IRR'!ENV16</f>
        <v>-0.0</v>
      </c>
      <c r="ENV45" s="5">
        <f>-'5. IRR'!ENW16</f>
        <v>-0.0</v>
      </c>
      <c r="ENW45" s="5">
        <f>-'5. IRR'!ENX16</f>
        <v>-0.0</v>
      </c>
      <c r="ENX45" s="5">
        <f>-'5. IRR'!ENY16</f>
        <v>-0.0</v>
      </c>
      <c r="ENY45" s="5">
        <f>-'5. IRR'!ENZ16</f>
        <v>-0.0</v>
      </c>
      <c r="ENZ45" s="5">
        <f>-'5. IRR'!EOA16</f>
        <v>-0.0</v>
      </c>
      <c r="EOA45" s="5">
        <f>-'5. IRR'!EOB16</f>
        <v>-0.0</v>
      </c>
      <c r="EOB45" s="5">
        <f>-'5. IRR'!EOC16</f>
        <v>-0.0</v>
      </c>
      <c r="EOC45" s="5">
        <f>-'5. IRR'!EOD16</f>
        <v>-0.0</v>
      </c>
      <c r="EOD45" s="5">
        <f>-'5. IRR'!EOE16</f>
        <v>-0.0</v>
      </c>
      <c r="EOE45" s="5">
        <f>-'5. IRR'!EOF16</f>
        <v>-0.0</v>
      </c>
      <c r="EOF45" s="5">
        <f>-'5. IRR'!EOG16</f>
        <v>-0.0</v>
      </c>
      <c r="EOG45" s="5">
        <f>-'5. IRR'!EOH16</f>
        <v>-0.0</v>
      </c>
      <c r="EOH45" s="5">
        <f>-'5. IRR'!EOI16</f>
        <v>-0.0</v>
      </c>
      <c r="EOI45" s="5">
        <f>-'5. IRR'!EOJ16</f>
        <v>-0.0</v>
      </c>
      <c r="EOJ45" s="5">
        <f>-'5. IRR'!EOK16</f>
        <v>-0.0</v>
      </c>
      <c r="EOK45" s="5">
        <f>-'5. IRR'!EOL16</f>
        <v>-0.0</v>
      </c>
      <c r="EOL45" s="5">
        <f>-'5. IRR'!EOM16</f>
        <v>-0.0</v>
      </c>
      <c r="EOM45" s="5">
        <f>-'5. IRR'!EON16</f>
        <v>-0.0</v>
      </c>
      <c r="EON45" s="5">
        <f>-'5. IRR'!EOO16</f>
        <v>-0.0</v>
      </c>
      <c r="EOO45" s="5">
        <f>-'5. IRR'!EOP16</f>
        <v>-0.0</v>
      </c>
      <c r="EOP45" s="5">
        <f>-'5. IRR'!EOQ16</f>
        <v>-0.0</v>
      </c>
      <c r="EOQ45" s="5">
        <f>-'5. IRR'!EOR16</f>
        <v>-0.0</v>
      </c>
      <c r="EOR45" s="5">
        <f>-'5. IRR'!EOS16</f>
        <v>-0.0</v>
      </c>
      <c r="EOS45" s="5">
        <f>-'5. IRR'!EOT16</f>
        <v>-0.0</v>
      </c>
      <c r="EOT45" s="5">
        <f>-'5. IRR'!EOU16</f>
        <v>-0.0</v>
      </c>
      <c r="EOU45" s="5">
        <f>-'5. IRR'!EOV16</f>
        <v>-0.0</v>
      </c>
      <c r="EOV45" s="5">
        <f>-'5. IRR'!EOW16</f>
        <v>-0.0</v>
      </c>
      <c r="EOW45" s="5">
        <f>-'5. IRR'!EOX16</f>
        <v>-0.0</v>
      </c>
      <c r="EOX45" s="5">
        <f>-'5. IRR'!EOY16</f>
        <v>-0.0</v>
      </c>
      <c r="EOY45" s="5">
        <f>-'5. IRR'!EOZ16</f>
        <v>-0.0</v>
      </c>
      <c r="EOZ45" s="5">
        <f>-'5. IRR'!EPA16</f>
        <v>-0.0</v>
      </c>
      <c r="EPA45" s="5">
        <f>-'5. IRR'!EPB16</f>
        <v>-0.0</v>
      </c>
      <c r="EPB45" s="5">
        <f>-'5. IRR'!EPC16</f>
        <v>-0.0</v>
      </c>
      <c r="EPC45" s="5">
        <f>-'5. IRR'!EPD16</f>
        <v>-0.0</v>
      </c>
      <c r="EPD45" s="5">
        <f>-'5. IRR'!EPE16</f>
        <v>-0.0</v>
      </c>
      <c r="EPE45" s="5">
        <f>-'5. IRR'!EPF16</f>
        <v>-0.0</v>
      </c>
      <c r="EPF45" s="5">
        <f>-'5. IRR'!EPG16</f>
        <v>-0.0</v>
      </c>
      <c r="EPG45" s="5">
        <f>-'5. IRR'!EPH16</f>
        <v>-0.0</v>
      </c>
      <c r="EPH45" s="5">
        <f>-'5. IRR'!EPI16</f>
        <v>-0.0</v>
      </c>
      <c r="EPI45" s="5">
        <f>-'5. IRR'!EPJ16</f>
        <v>-0.0</v>
      </c>
      <c r="EPJ45" s="5">
        <f>-'5. IRR'!EPK16</f>
        <v>-0.0</v>
      </c>
      <c r="EPK45" s="5">
        <f>-'5. IRR'!EPL16</f>
        <v>-0.0</v>
      </c>
      <c r="EPL45" s="5">
        <f>-'5. IRR'!EPM16</f>
        <v>-0.0</v>
      </c>
      <c r="EPM45" s="5">
        <f>-'5. IRR'!EPN16</f>
        <v>-0.0</v>
      </c>
      <c r="EPN45" s="5">
        <f>-'5. IRR'!EPO16</f>
        <v>-0.0</v>
      </c>
      <c r="EPO45" s="5">
        <f>-'5. IRR'!EPP16</f>
        <v>-0.0</v>
      </c>
      <c r="EPP45" s="5">
        <f>-'5. IRR'!EPQ16</f>
        <v>-0.0</v>
      </c>
      <c r="EPQ45" s="5">
        <f>-'5. IRR'!EPR16</f>
        <v>-0.0</v>
      </c>
      <c r="EPR45" s="5">
        <f>-'5. IRR'!EPS16</f>
        <v>-0.0</v>
      </c>
      <c r="EPS45" s="5">
        <f>-'5. IRR'!EPT16</f>
        <v>-0.0</v>
      </c>
      <c r="EPT45" s="5">
        <f>-'5. IRR'!EPU16</f>
        <v>-0.0</v>
      </c>
      <c r="EPU45" s="5">
        <f>-'5. IRR'!EPV16</f>
        <v>-0.0</v>
      </c>
      <c r="EPV45" s="5">
        <f>-'5. IRR'!EPW16</f>
        <v>-0.0</v>
      </c>
      <c r="EPW45" s="5">
        <f>-'5. IRR'!EPX16</f>
        <v>-0.0</v>
      </c>
      <c r="EPX45" s="5">
        <f>-'5. IRR'!EPY16</f>
        <v>-0.0</v>
      </c>
      <c r="EPY45" s="5">
        <f>-'5. IRR'!EPZ16</f>
        <v>-0.0</v>
      </c>
      <c r="EPZ45" s="5">
        <f>-'5. IRR'!EQA16</f>
        <v>-0.0</v>
      </c>
      <c r="EQA45" s="5">
        <f>-'5. IRR'!EQB16</f>
        <v>-0.0</v>
      </c>
      <c r="EQB45" s="5">
        <f>-'5. IRR'!EQC16</f>
        <v>-0.0</v>
      </c>
      <c r="EQC45" s="5">
        <f>-'5. IRR'!EQD16</f>
        <v>-0.0</v>
      </c>
      <c r="EQD45" s="5">
        <f>-'5. IRR'!EQE16</f>
        <v>-0.0</v>
      </c>
      <c r="EQE45" s="5">
        <f>-'5. IRR'!EQF16</f>
        <v>-0.0</v>
      </c>
      <c r="EQF45" s="5">
        <f>-'5. IRR'!EQG16</f>
        <v>-0.0</v>
      </c>
      <c r="EQG45" s="5">
        <f>-'5. IRR'!EQH16</f>
        <v>-0.0</v>
      </c>
      <c r="EQH45" s="5">
        <f>-'5. IRR'!EQI16</f>
        <v>-0.0</v>
      </c>
      <c r="EQI45" s="5">
        <f>-'5. IRR'!EQJ16</f>
        <v>-0.0</v>
      </c>
      <c r="EQJ45" s="5">
        <f>-'5. IRR'!EQK16</f>
        <v>-0.0</v>
      </c>
      <c r="EQK45" s="5">
        <f>-'5. IRR'!EQL16</f>
        <v>-0.0</v>
      </c>
      <c r="EQL45" s="5">
        <f>-'5. IRR'!EQM16</f>
        <v>-0.0</v>
      </c>
      <c r="EQM45" s="5">
        <f>-'5. IRR'!EQN16</f>
        <v>-0.0</v>
      </c>
      <c r="EQN45" s="5">
        <f>-'5. IRR'!EQO16</f>
        <v>-0.0</v>
      </c>
      <c r="EQO45" s="5">
        <f>-'5. IRR'!EQP16</f>
        <v>-0.0</v>
      </c>
      <c r="EQP45" s="5">
        <f>-'5. IRR'!EQQ16</f>
        <v>-0.0</v>
      </c>
      <c r="EQQ45" s="5">
        <f>-'5. IRR'!EQR16</f>
        <v>-0.0</v>
      </c>
      <c r="EQR45" s="5">
        <f>-'5. IRR'!EQS16</f>
        <v>-0.0</v>
      </c>
      <c r="EQS45" s="5">
        <f>-'5. IRR'!EQT16</f>
        <v>-0.0</v>
      </c>
      <c r="EQT45" s="5">
        <f>-'5. IRR'!EQU16</f>
        <v>-0.0</v>
      </c>
      <c r="EQU45" s="5">
        <f>-'5. IRR'!EQV16</f>
        <v>-0.0</v>
      </c>
      <c r="EQV45" s="5">
        <f>-'5. IRR'!EQW16</f>
        <v>-0.0</v>
      </c>
      <c r="EQW45" s="5">
        <f>-'5. IRR'!EQX16</f>
        <v>-0.0</v>
      </c>
      <c r="EQX45" s="5">
        <f>-'5. IRR'!EQY16</f>
        <v>-0.0</v>
      </c>
      <c r="EQY45" s="5">
        <f>-'5. IRR'!EQZ16</f>
        <v>-0.0</v>
      </c>
      <c r="EQZ45" s="5">
        <f>-'5. IRR'!ERA16</f>
        <v>-0.0</v>
      </c>
      <c r="ERA45" s="5">
        <f>-'5. IRR'!ERB16</f>
        <v>-0.0</v>
      </c>
      <c r="ERB45" s="5">
        <f>-'5. IRR'!ERC16</f>
        <v>-0.0</v>
      </c>
      <c r="ERC45" s="5">
        <f>-'5. IRR'!ERD16</f>
        <v>-0.0</v>
      </c>
      <c r="ERD45" s="5">
        <f>-'5. IRR'!ERE16</f>
        <v>-0.0</v>
      </c>
      <c r="ERE45" s="5">
        <f>-'5. IRR'!ERF16</f>
        <v>-0.0</v>
      </c>
      <c r="ERF45" s="5">
        <f>-'5. IRR'!ERG16</f>
        <v>-0.0</v>
      </c>
      <c r="ERG45" s="5">
        <f>-'5. IRR'!ERH16</f>
        <v>-0.0</v>
      </c>
      <c r="ERH45" s="5">
        <f>-'5. IRR'!ERI16</f>
        <v>-0.0</v>
      </c>
      <c r="ERI45" s="5">
        <f>-'5. IRR'!ERJ16</f>
        <v>-0.0</v>
      </c>
      <c r="ERJ45" s="5">
        <f>-'5. IRR'!ERK16</f>
        <v>-0.0</v>
      </c>
      <c r="ERK45" s="5">
        <f>-'5. IRR'!ERL16</f>
        <v>-0.0</v>
      </c>
      <c r="ERL45" s="5">
        <f>-'5. IRR'!ERM16</f>
        <v>-0.0</v>
      </c>
      <c r="ERM45" s="5">
        <f>-'5. IRR'!ERN16</f>
        <v>-0.0</v>
      </c>
      <c r="ERN45" s="5">
        <f>-'5. IRR'!ERO16</f>
        <v>-0.0</v>
      </c>
      <c r="ERO45" s="5">
        <f>-'5. IRR'!ERP16</f>
        <v>-0.0</v>
      </c>
      <c r="ERP45" s="5">
        <f>-'5. IRR'!ERQ16</f>
        <v>-0.0</v>
      </c>
      <c r="ERQ45" s="5">
        <f>-'5. IRR'!ERR16</f>
        <v>-0.0</v>
      </c>
      <c r="ERR45" s="5">
        <f>-'5. IRR'!ERS16</f>
        <v>-0.0</v>
      </c>
      <c r="ERS45" s="5">
        <f>-'5. IRR'!ERT16</f>
        <v>-0.0</v>
      </c>
      <c r="ERT45" s="5">
        <f>-'5. IRR'!ERU16</f>
        <v>-0.0</v>
      </c>
      <c r="ERU45" s="5">
        <f>-'5. IRR'!ERV16</f>
        <v>-0.0</v>
      </c>
      <c r="ERV45" s="5">
        <f>-'5. IRR'!ERW16</f>
        <v>-0.0</v>
      </c>
      <c r="ERW45" s="5">
        <f>-'5. IRR'!ERX16</f>
        <v>-0.0</v>
      </c>
      <c r="ERX45" s="5">
        <f>-'5. IRR'!ERY16</f>
        <v>-0.0</v>
      </c>
      <c r="ERY45" s="5">
        <f>-'5. IRR'!ERZ16</f>
        <v>-0.0</v>
      </c>
      <c r="ERZ45" s="5">
        <f>-'5. IRR'!ESA16</f>
        <v>-0.0</v>
      </c>
      <c r="ESA45" s="5">
        <f>-'5. IRR'!ESB16</f>
        <v>-0.0</v>
      </c>
      <c r="ESB45" s="5">
        <f>-'5. IRR'!ESC16</f>
        <v>-0.0</v>
      </c>
      <c r="ESC45" s="5">
        <f>-'5. IRR'!ESD16</f>
        <v>-0.0</v>
      </c>
      <c r="ESD45" s="5">
        <f>-'5. IRR'!ESE16</f>
        <v>-0.0</v>
      </c>
      <c r="ESE45" s="5">
        <f>-'5. IRR'!ESF16</f>
        <v>-0.0</v>
      </c>
      <c r="ESF45" s="5">
        <f>-'5. IRR'!ESG16</f>
        <v>-0.0</v>
      </c>
      <c r="ESG45" s="5">
        <f>-'5. IRR'!ESH16</f>
        <v>-0.0</v>
      </c>
      <c r="ESH45" s="5">
        <f>-'5. IRR'!ESI16</f>
        <v>-0.0</v>
      </c>
      <c r="ESI45" s="5">
        <f>-'5. IRR'!ESJ16</f>
        <v>-0.0</v>
      </c>
      <c r="ESJ45" s="5">
        <f>-'5. IRR'!ESK16</f>
        <v>-0.0</v>
      </c>
      <c r="ESK45" s="5">
        <f>-'5. IRR'!ESL16</f>
        <v>-0.0</v>
      </c>
      <c r="ESL45" s="5">
        <f>-'5. IRR'!ESM16</f>
        <v>-0.0</v>
      </c>
      <c r="ESM45" s="5">
        <f>-'5. IRR'!ESN16</f>
        <v>-0.0</v>
      </c>
      <c r="ESN45" s="5">
        <f>-'5. IRR'!ESO16</f>
        <v>-0.0</v>
      </c>
      <c r="ESO45" s="5">
        <f>-'5. IRR'!ESP16</f>
        <v>-0.0</v>
      </c>
      <c r="ESP45" s="5">
        <f>-'5. IRR'!ESQ16</f>
        <v>-0.0</v>
      </c>
      <c r="ESQ45" s="5">
        <f>-'5. IRR'!ESR16</f>
        <v>-0.0</v>
      </c>
      <c r="ESR45" s="5">
        <f>-'5. IRR'!ESS16</f>
        <v>-0.0</v>
      </c>
      <c r="ESS45" s="5">
        <f>-'5. IRR'!EST16</f>
        <v>-0.0</v>
      </c>
      <c r="EST45" s="5">
        <f>-'5. IRR'!ESU16</f>
        <v>-0.0</v>
      </c>
      <c r="ESU45" s="5">
        <f>-'5. IRR'!ESV16</f>
        <v>-0.0</v>
      </c>
      <c r="ESV45" s="5">
        <f>-'5. IRR'!ESW16</f>
        <v>-0.0</v>
      </c>
      <c r="ESW45" s="5">
        <f>-'5. IRR'!ESX16</f>
        <v>-0.0</v>
      </c>
      <c r="ESX45" s="5">
        <f>-'5. IRR'!ESY16</f>
        <v>-0.0</v>
      </c>
      <c r="ESY45" s="5">
        <f>-'5. IRR'!ESZ16</f>
        <v>-0.0</v>
      </c>
      <c r="ESZ45" s="5">
        <f>-'5. IRR'!ETA16</f>
        <v>-0.0</v>
      </c>
      <c r="ETA45" s="5">
        <f>-'5. IRR'!ETB16</f>
        <v>-0.0</v>
      </c>
      <c r="ETB45" s="5">
        <f>-'5. IRR'!ETC16</f>
        <v>-0.0</v>
      </c>
      <c r="ETC45" s="5">
        <f>-'5. IRR'!ETD16</f>
        <v>-0.0</v>
      </c>
      <c r="ETD45" s="5">
        <f>-'5. IRR'!ETE16</f>
        <v>-0.0</v>
      </c>
      <c r="ETE45" s="5">
        <f>-'5. IRR'!ETF16</f>
        <v>-0.0</v>
      </c>
      <c r="ETF45" s="5">
        <f>-'5. IRR'!ETG16</f>
        <v>-0.0</v>
      </c>
      <c r="ETG45" s="5">
        <f>-'5. IRR'!ETH16</f>
        <v>-0.0</v>
      </c>
      <c r="ETH45" s="5">
        <f>-'5. IRR'!ETI16</f>
        <v>-0.0</v>
      </c>
      <c r="ETI45" s="5">
        <f>-'5. IRR'!ETJ16</f>
        <v>-0.0</v>
      </c>
      <c r="ETJ45" s="5">
        <f>-'5. IRR'!ETK16</f>
        <v>-0.0</v>
      </c>
      <c r="ETK45" s="5">
        <f>-'5. IRR'!ETL16</f>
        <v>-0.0</v>
      </c>
      <c r="ETL45" s="5">
        <f>-'5. IRR'!ETM16</f>
        <v>-0.0</v>
      </c>
      <c r="ETM45" s="5">
        <f>-'5. IRR'!ETN16</f>
        <v>-0.0</v>
      </c>
      <c r="ETN45" s="5">
        <f>-'5. IRR'!ETO16</f>
        <v>-0.0</v>
      </c>
      <c r="ETO45" s="5">
        <f>-'5. IRR'!ETP16</f>
        <v>-0.0</v>
      </c>
      <c r="ETP45" s="5">
        <f>-'5. IRR'!ETQ16</f>
        <v>-0.0</v>
      </c>
      <c r="ETQ45" s="5">
        <f>-'5. IRR'!ETR16</f>
        <v>-0.0</v>
      </c>
      <c r="ETR45" s="5">
        <f>-'5. IRR'!ETS16</f>
        <v>-0.0</v>
      </c>
      <c r="ETS45" s="5">
        <f>-'5. IRR'!ETT16</f>
        <v>-0.0</v>
      </c>
      <c r="ETT45" s="5">
        <f>-'5. IRR'!ETU16</f>
        <v>-0.0</v>
      </c>
      <c r="ETU45" s="5">
        <f>-'5. IRR'!ETV16</f>
        <v>-0.0</v>
      </c>
      <c r="ETV45" s="5">
        <f>-'5. IRR'!ETW16</f>
        <v>-0.0</v>
      </c>
      <c r="ETW45" s="5">
        <f>-'5. IRR'!ETX16</f>
        <v>-0.0</v>
      </c>
      <c r="ETX45" s="5">
        <f>-'5. IRR'!ETY16</f>
        <v>-0.0</v>
      </c>
      <c r="ETY45" s="5">
        <f>-'5. IRR'!ETZ16</f>
        <v>-0.0</v>
      </c>
      <c r="ETZ45" s="5">
        <f>-'5. IRR'!EUA16</f>
        <v>-0.0</v>
      </c>
      <c r="EUA45" s="5">
        <f>-'5. IRR'!EUB16</f>
        <v>-0.0</v>
      </c>
      <c r="EUB45" s="5">
        <f>-'5. IRR'!EUC16</f>
        <v>-0.0</v>
      </c>
      <c r="EUC45" s="5">
        <f>-'5. IRR'!EUD16</f>
        <v>-0.0</v>
      </c>
      <c r="EUD45" s="5">
        <f>-'5. IRR'!EUE16</f>
        <v>-0.0</v>
      </c>
      <c r="EUE45" s="5">
        <f>-'5. IRR'!EUF16</f>
        <v>-0.0</v>
      </c>
      <c r="EUF45" s="5">
        <f>-'5. IRR'!EUG16</f>
        <v>-0.0</v>
      </c>
      <c r="EUG45" s="5">
        <f>-'5. IRR'!EUH16</f>
        <v>-0.0</v>
      </c>
      <c r="EUH45" s="5">
        <f>-'5. IRR'!EUI16</f>
        <v>-0.0</v>
      </c>
      <c r="EUI45" s="5">
        <f>-'5. IRR'!EUJ16</f>
        <v>-0.0</v>
      </c>
      <c r="EUJ45" s="5">
        <f>-'5. IRR'!EUK16</f>
        <v>-0.0</v>
      </c>
      <c r="EUK45" s="5">
        <f>-'5. IRR'!EUL16</f>
        <v>-0.0</v>
      </c>
      <c r="EUL45" s="5">
        <f>-'5. IRR'!EUM16</f>
        <v>-0.0</v>
      </c>
      <c r="EUM45" s="5">
        <f>-'5. IRR'!EUN16</f>
        <v>-0.0</v>
      </c>
      <c r="EUN45" s="5">
        <f>-'5. IRR'!EUO16</f>
        <v>-0.0</v>
      </c>
      <c r="EUO45" s="5">
        <f>-'5. IRR'!EUP16</f>
        <v>-0.0</v>
      </c>
      <c r="EUP45" s="5">
        <f>-'5. IRR'!EUQ16</f>
        <v>-0.0</v>
      </c>
      <c r="EUQ45" s="5">
        <f>-'5. IRR'!EUR16</f>
        <v>-0.0</v>
      </c>
      <c r="EUR45" s="5">
        <f>-'5. IRR'!EUS16</f>
        <v>-0.0</v>
      </c>
      <c r="EUS45" s="5">
        <f>-'5. IRR'!EUT16</f>
        <v>-0.0</v>
      </c>
      <c r="EUT45" s="5">
        <f>-'5. IRR'!EUU16</f>
        <v>-0.0</v>
      </c>
      <c r="EUU45" s="5">
        <f>-'5. IRR'!EUV16</f>
        <v>-0.0</v>
      </c>
      <c r="EUV45" s="5">
        <f>-'5. IRR'!EUW16</f>
        <v>-0.0</v>
      </c>
      <c r="EUW45" s="5">
        <f>-'5. IRR'!EUX16</f>
        <v>-0.0</v>
      </c>
      <c r="EUX45" s="5">
        <f>-'5. IRR'!EUY16</f>
        <v>-0.0</v>
      </c>
      <c r="EUY45" s="5">
        <f>-'5. IRR'!EUZ16</f>
        <v>-0.0</v>
      </c>
      <c r="EUZ45" s="5">
        <f>-'5. IRR'!EVA16</f>
        <v>-0.0</v>
      </c>
      <c r="EVA45" s="5">
        <f>-'5. IRR'!EVB16</f>
        <v>-0.0</v>
      </c>
      <c r="EVB45" s="5">
        <f>-'5. IRR'!EVC16</f>
        <v>-0.0</v>
      </c>
      <c r="EVC45" s="5">
        <f>-'5. IRR'!EVD16</f>
        <v>-0.0</v>
      </c>
      <c r="EVD45" s="5">
        <f>-'5. IRR'!EVE16</f>
        <v>-0.0</v>
      </c>
      <c r="EVE45" s="5">
        <f>-'5. IRR'!EVF16</f>
        <v>-0.0</v>
      </c>
      <c r="EVF45" s="5">
        <f>-'5. IRR'!EVG16</f>
        <v>-0.0</v>
      </c>
      <c r="EVG45" s="5">
        <f>-'5. IRR'!EVH16</f>
        <v>-0.0</v>
      </c>
      <c r="EVH45" s="5">
        <f>-'5. IRR'!EVI16</f>
        <v>-0.0</v>
      </c>
      <c r="EVI45" s="5">
        <f>-'5. IRR'!EVJ16</f>
        <v>-0.0</v>
      </c>
      <c r="EVJ45" s="5">
        <f>-'5. IRR'!EVK16</f>
        <v>-0.0</v>
      </c>
      <c r="EVK45" s="5">
        <f>-'5. IRR'!EVL16</f>
        <v>-0.0</v>
      </c>
      <c r="EVL45" s="5">
        <f>-'5. IRR'!EVM16</f>
        <v>-0.0</v>
      </c>
      <c r="EVM45" s="5">
        <f>-'5. IRR'!EVN16</f>
        <v>-0.0</v>
      </c>
      <c r="EVN45" s="5">
        <f>-'5. IRR'!EVO16</f>
        <v>-0.0</v>
      </c>
      <c r="EVO45" s="5">
        <f>-'5. IRR'!EVP16</f>
        <v>-0.0</v>
      </c>
      <c r="EVP45" s="5">
        <f>-'5. IRR'!EVQ16</f>
        <v>-0.0</v>
      </c>
      <c r="EVQ45" s="5">
        <f>-'5. IRR'!EVR16</f>
        <v>-0.0</v>
      </c>
      <c r="EVR45" s="5">
        <f>-'5. IRR'!EVS16</f>
        <v>-0.0</v>
      </c>
      <c r="EVS45" s="5">
        <f>-'5. IRR'!EVT16</f>
        <v>-0.0</v>
      </c>
      <c r="EVT45" s="5">
        <f>-'5. IRR'!EVU16</f>
        <v>-0.0</v>
      </c>
      <c r="EVU45" s="5">
        <f>-'5. IRR'!EVV16</f>
        <v>-0.0</v>
      </c>
      <c r="EVV45" s="5">
        <f>-'5. IRR'!EVW16</f>
        <v>-0.0</v>
      </c>
      <c r="EVW45" s="5">
        <f>-'5. IRR'!EVX16</f>
        <v>-0.0</v>
      </c>
      <c r="EVX45" s="5">
        <f>-'5. IRR'!EVY16</f>
        <v>-0.0</v>
      </c>
      <c r="EVY45" s="5">
        <f>-'5. IRR'!EVZ16</f>
        <v>-0.0</v>
      </c>
      <c r="EVZ45" s="5">
        <f>-'5. IRR'!EWA16</f>
        <v>-0.0</v>
      </c>
      <c r="EWA45" s="5">
        <f>-'5. IRR'!EWB16</f>
        <v>-0.0</v>
      </c>
      <c r="EWB45" s="5">
        <f>-'5. IRR'!EWC16</f>
        <v>-0.0</v>
      </c>
      <c r="EWC45" s="5">
        <f>-'5. IRR'!EWD16</f>
        <v>-0.0</v>
      </c>
      <c r="EWD45" s="5">
        <f>-'5. IRR'!EWE16</f>
        <v>-0.0</v>
      </c>
      <c r="EWE45" s="5">
        <f>-'5. IRR'!EWF16</f>
        <v>-0.0</v>
      </c>
      <c r="EWF45" s="5">
        <f>-'5. IRR'!EWG16</f>
        <v>-0.0</v>
      </c>
      <c r="EWG45" s="5">
        <f>-'5. IRR'!EWH16</f>
        <v>-0.0</v>
      </c>
      <c r="EWH45" s="5">
        <f>-'5. IRR'!EWI16</f>
        <v>-0.0</v>
      </c>
      <c r="EWI45" s="5">
        <f>-'5. IRR'!EWJ16</f>
        <v>-0.0</v>
      </c>
      <c r="EWJ45" s="5">
        <f>-'5. IRR'!EWK16</f>
        <v>-0.0</v>
      </c>
      <c r="EWK45" s="5">
        <f>-'5. IRR'!EWL16</f>
        <v>-0.0</v>
      </c>
      <c r="EWL45" s="5">
        <f>-'5. IRR'!EWM16</f>
        <v>-0.0</v>
      </c>
      <c r="EWM45" s="5">
        <f>-'5. IRR'!EWN16</f>
        <v>-0.0</v>
      </c>
      <c r="EWN45" s="5">
        <f>-'5. IRR'!EWO16</f>
        <v>-0.0</v>
      </c>
      <c r="EWO45" s="5">
        <f>-'5. IRR'!EWP16</f>
        <v>-0.0</v>
      </c>
      <c r="EWP45" s="5">
        <f>-'5. IRR'!EWQ16</f>
        <v>-0.0</v>
      </c>
      <c r="EWQ45" s="5">
        <f>-'5. IRR'!EWR16</f>
        <v>-0.0</v>
      </c>
      <c r="EWR45" s="5">
        <f>-'5. IRR'!EWS16</f>
        <v>-0.0</v>
      </c>
      <c r="EWS45" s="5">
        <f>-'5. IRR'!EWT16</f>
        <v>-0.0</v>
      </c>
      <c r="EWT45" s="5">
        <f>-'5. IRR'!EWU16</f>
        <v>-0.0</v>
      </c>
      <c r="EWU45" s="5">
        <f>-'5. IRR'!EWV16</f>
        <v>-0.0</v>
      </c>
      <c r="EWV45" s="5">
        <f>-'5. IRR'!EWW16</f>
        <v>-0.0</v>
      </c>
      <c r="EWW45" s="5">
        <f>-'5. IRR'!EWX16</f>
        <v>-0.0</v>
      </c>
      <c r="EWX45" s="5">
        <f>-'5. IRR'!EWY16</f>
        <v>-0.0</v>
      </c>
      <c r="EWY45" s="5">
        <f>-'5. IRR'!EWZ16</f>
        <v>-0.0</v>
      </c>
      <c r="EWZ45" s="5">
        <f>-'5. IRR'!EXA16</f>
        <v>-0.0</v>
      </c>
      <c r="EXA45" s="5">
        <f>-'5. IRR'!EXB16</f>
        <v>-0.0</v>
      </c>
      <c r="EXB45" s="5">
        <f>-'5. IRR'!EXC16</f>
        <v>-0.0</v>
      </c>
      <c r="EXC45" s="5">
        <f>-'5. IRR'!EXD16</f>
        <v>-0.0</v>
      </c>
      <c r="EXD45" s="5">
        <f>-'5. IRR'!EXE16</f>
        <v>-0.0</v>
      </c>
      <c r="EXE45" s="5">
        <f>-'5. IRR'!EXF16</f>
        <v>-0.0</v>
      </c>
      <c r="EXF45" s="5">
        <f>-'5. IRR'!EXG16</f>
        <v>-0.0</v>
      </c>
      <c r="EXG45" s="5">
        <f>-'5. IRR'!EXH16</f>
        <v>-0.0</v>
      </c>
      <c r="EXH45" s="5">
        <f>-'5. IRR'!EXI16</f>
        <v>-0.0</v>
      </c>
      <c r="EXI45" s="5">
        <f>-'5. IRR'!EXJ16</f>
        <v>-0.0</v>
      </c>
      <c r="EXJ45" s="5">
        <f>-'5. IRR'!EXK16</f>
        <v>-0.0</v>
      </c>
      <c r="EXK45" s="5">
        <f>-'5. IRR'!EXL16</f>
        <v>-0.0</v>
      </c>
      <c r="EXL45" s="5">
        <f>-'5. IRR'!EXM16</f>
        <v>-0.0</v>
      </c>
      <c r="EXM45" s="5">
        <f>-'5. IRR'!EXN16</f>
        <v>-0.0</v>
      </c>
      <c r="EXN45" s="5">
        <f>-'5. IRR'!EXO16</f>
        <v>-0.0</v>
      </c>
      <c r="EXO45" s="5">
        <f>-'5. IRR'!EXP16</f>
        <v>-0.0</v>
      </c>
      <c r="EXP45" s="5">
        <f>-'5. IRR'!EXQ16</f>
        <v>-0.0</v>
      </c>
      <c r="EXQ45" s="5">
        <f>-'5. IRR'!EXR16</f>
        <v>-0.0</v>
      </c>
      <c r="EXR45" s="5">
        <f>-'5. IRR'!EXS16</f>
        <v>-0.0</v>
      </c>
      <c r="EXS45" s="5">
        <f>-'5. IRR'!EXT16</f>
        <v>-0.0</v>
      </c>
      <c r="EXT45" s="5">
        <f>-'5. IRR'!EXU16</f>
        <v>-0.0</v>
      </c>
      <c r="EXU45" s="5">
        <f>-'5. IRR'!EXV16</f>
        <v>-0.0</v>
      </c>
      <c r="EXV45" s="5">
        <f>-'5. IRR'!EXW16</f>
        <v>-0.0</v>
      </c>
      <c r="EXW45" s="5">
        <f>-'5. IRR'!EXX16</f>
        <v>-0.0</v>
      </c>
      <c r="EXX45" s="5">
        <f>-'5. IRR'!EXY16</f>
        <v>-0.0</v>
      </c>
      <c r="EXY45" s="5">
        <f>-'5. IRR'!EXZ16</f>
        <v>-0.0</v>
      </c>
      <c r="EXZ45" s="5">
        <f>-'5. IRR'!EYA16</f>
        <v>-0.0</v>
      </c>
      <c r="EYA45" s="5">
        <f>-'5. IRR'!EYB16</f>
        <v>-0.0</v>
      </c>
      <c r="EYB45" s="5">
        <f>-'5. IRR'!EYC16</f>
        <v>-0.0</v>
      </c>
      <c r="EYC45" s="5">
        <f>-'5. IRR'!EYD16</f>
        <v>-0.0</v>
      </c>
      <c r="EYD45" s="5">
        <f>-'5. IRR'!EYE16</f>
        <v>-0.0</v>
      </c>
      <c r="EYE45" s="5">
        <f>-'5. IRR'!EYF16</f>
        <v>-0.0</v>
      </c>
      <c r="EYF45" s="5">
        <f>-'5. IRR'!EYG16</f>
        <v>-0.0</v>
      </c>
      <c r="EYG45" s="5">
        <f>-'5. IRR'!EYH16</f>
        <v>-0.0</v>
      </c>
      <c r="EYH45" s="5">
        <f>-'5. IRR'!EYI16</f>
        <v>-0.0</v>
      </c>
      <c r="EYI45" s="5">
        <f>-'5. IRR'!EYJ16</f>
        <v>-0.0</v>
      </c>
      <c r="EYJ45" s="5">
        <f>-'5. IRR'!EYK16</f>
        <v>-0.0</v>
      </c>
      <c r="EYK45" s="5">
        <f>-'5. IRR'!EYL16</f>
        <v>-0.0</v>
      </c>
      <c r="EYL45" s="5">
        <f>-'5. IRR'!EYM16</f>
        <v>-0.0</v>
      </c>
      <c r="EYM45" s="5">
        <f>-'5. IRR'!EYN16</f>
        <v>-0.0</v>
      </c>
      <c r="EYN45" s="5">
        <f>-'5. IRR'!EYO16</f>
        <v>-0.0</v>
      </c>
      <c r="EYO45" s="5">
        <f>-'5. IRR'!EYP16</f>
        <v>-0.0</v>
      </c>
      <c r="EYP45" s="5">
        <f>-'5. IRR'!EYQ16</f>
        <v>-0.0</v>
      </c>
      <c r="EYQ45" s="5">
        <f>-'5. IRR'!EYR16</f>
        <v>-0.0</v>
      </c>
      <c r="EYR45" s="5">
        <f>-'5. IRR'!EYS16</f>
        <v>-0.0</v>
      </c>
      <c r="EYS45" s="5">
        <f>-'5. IRR'!EYT16</f>
        <v>-0.0</v>
      </c>
      <c r="EYT45" s="5">
        <f>-'5. IRR'!EYU16</f>
        <v>-0.0</v>
      </c>
      <c r="EYU45" s="5">
        <f>-'5. IRR'!EYV16</f>
        <v>-0.0</v>
      </c>
      <c r="EYV45" s="5">
        <f>-'5. IRR'!EYW16</f>
        <v>-0.0</v>
      </c>
      <c r="EYW45" s="5">
        <f>-'5. IRR'!EYX16</f>
        <v>-0.0</v>
      </c>
      <c r="EYX45" s="5">
        <f>-'5. IRR'!EYY16</f>
        <v>-0.0</v>
      </c>
      <c r="EYY45" s="5">
        <f>-'5. IRR'!EYZ16</f>
        <v>-0.0</v>
      </c>
      <c r="EYZ45" s="5">
        <f>-'5. IRR'!EZA16</f>
        <v>-0.0</v>
      </c>
      <c r="EZA45" s="5">
        <f>-'5. IRR'!EZB16</f>
        <v>-0.0</v>
      </c>
      <c r="EZB45" s="5">
        <f>-'5. IRR'!EZC16</f>
        <v>-0.0</v>
      </c>
      <c r="EZC45" s="5">
        <f>-'5. IRR'!EZD16</f>
        <v>-0.0</v>
      </c>
      <c r="EZD45" s="5">
        <f>-'5. IRR'!EZE16</f>
        <v>-0.0</v>
      </c>
      <c r="EZE45" s="5">
        <f>-'5. IRR'!EZF16</f>
        <v>-0.0</v>
      </c>
      <c r="EZF45" s="5">
        <f>-'5. IRR'!EZG16</f>
        <v>-0.0</v>
      </c>
      <c r="EZG45" s="5">
        <f>-'5. IRR'!EZH16</f>
        <v>-0.0</v>
      </c>
      <c r="EZH45" s="5">
        <f>-'5. IRR'!EZI16</f>
        <v>-0.0</v>
      </c>
      <c r="EZI45" s="5">
        <f>-'5. IRR'!EZJ16</f>
        <v>-0.0</v>
      </c>
      <c r="EZJ45" s="5">
        <f>-'5. IRR'!EZK16</f>
        <v>-0.0</v>
      </c>
      <c r="EZK45" s="5">
        <f>-'5. IRR'!EZL16</f>
        <v>-0.0</v>
      </c>
      <c r="EZL45" s="5">
        <f>-'5. IRR'!EZM16</f>
        <v>-0.0</v>
      </c>
      <c r="EZM45" s="5">
        <f>-'5. IRR'!EZN16</f>
        <v>-0.0</v>
      </c>
      <c r="EZN45" s="5">
        <f>-'5. IRR'!EZO16</f>
        <v>-0.0</v>
      </c>
      <c r="EZO45" s="5">
        <f>-'5. IRR'!EZP16</f>
        <v>-0.0</v>
      </c>
      <c r="EZP45" s="5">
        <f>-'5. IRR'!EZQ16</f>
        <v>-0.0</v>
      </c>
      <c r="EZQ45" s="5">
        <f>-'5. IRR'!EZR16</f>
        <v>-0.0</v>
      </c>
      <c r="EZR45" s="5">
        <f>-'5. IRR'!EZS16</f>
        <v>-0.0</v>
      </c>
      <c r="EZS45" s="5">
        <f>-'5. IRR'!EZT16</f>
        <v>-0.0</v>
      </c>
      <c r="EZT45" s="5">
        <f>-'5. IRR'!EZU16</f>
        <v>-0.0</v>
      </c>
      <c r="EZU45" s="5">
        <f>-'5. IRR'!EZV16</f>
        <v>-0.0</v>
      </c>
      <c r="EZV45" s="5">
        <f>-'5. IRR'!EZW16</f>
        <v>-0.0</v>
      </c>
      <c r="EZW45" s="5">
        <f>-'5. IRR'!EZX16</f>
        <v>-0.0</v>
      </c>
      <c r="EZX45" s="5">
        <f>-'5. IRR'!EZY16</f>
        <v>-0.0</v>
      </c>
      <c r="EZY45" s="5">
        <f>-'5. IRR'!EZZ16</f>
        <v>-0.0</v>
      </c>
      <c r="EZZ45" s="5">
        <f>-'5. IRR'!FAA16</f>
        <v>-0.0</v>
      </c>
      <c r="FAA45" s="5">
        <f>-'5. IRR'!FAB16</f>
        <v>-0.0</v>
      </c>
      <c r="FAB45" s="5">
        <f>-'5. IRR'!FAC16</f>
        <v>-0.0</v>
      </c>
      <c r="FAC45" s="5">
        <f>-'5. IRR'!FAD16</f>
        <v>-0.0</v>
      </c>
      <c r="FAD45" s="5">
        <f>-'5. IRR'!FAE16</f>
        <v>-0.0</v>
      </c>
      <c r="FAE45" s="5">
        <f>-'5. IRR'!FAF16</f>
        <v>-0.0</v>
      </c>
      <c r="FAF45" s="5">
        <f>-'5. IRR'!FAG16</f>
        <v>-0.0</v>
      </c>
      <c r="FAG45" s="5">
        <f>-'5. IRR'!FAH16</f>
        <v>-0.0</v>
      </c>
      <c r="FAH45" s="5">
        <f>-'5. IRR'!FAI16</f>
        <v>-0.0</v>
      </c>
      <c r="FAI45" s="5">
        <f>-'5. IRR'!FAJ16</f>
        <v>-0.0</v>
      </c>
      <c r="FAJ45" s="5">
        <f>-'5. IRR'!FAK16</f>
        <v>-0.0</v>
      </c>
      <c r="FAK45" s="5">
        <f>-'5. IRR'!FAL16</f>
        <v>-0.0</v>
      </c>
      <c r="FAL45" s="5">
        <f>-'5. IRR'!FAM16</f>
        <v>-0.0</v>
      </c>
      <c r="FAM45" s="5">
        <f>-'5. IRR'!FAN16</f>
        <v>-0.0</v>
      </c>
      <c r="FAN45" s="5">
        <f>-'5. IRR'!FAO16</f>
        <v>-0.0</v>
      </c>
      <c r="FAO45" s="5">
        <f>-'5. IRR'!FAP16</f>
        <v>-0.0</v>
      </c>
      <c r="FAP45" s="5">
        <f>-'5. IRR'!FAQ16</f>
        <v>-0.0</v>
      </c>
      <c r="FAQ45" s="5">
        <f>-'5. IRR'!FAR16</f>
        <v>-0.0</v>
      </c>
      <c r="FAR45" s="5">
        <f>-'5. IRR'!FAS16</f>
        <v>-0.0</v>
      </c>
      <c r="FAS45" s="5">
        <f>-'5. IRR'!FAT16</f>
        <v>-0.0</v>
      </c>
      <c r="FAT45" s="5">
        <f>-'5. IRR'!FAU16</f>
        <v>-0.0</v>
      </c>
      <c r="FAU45" s="5">
        <f>-'5. IRR'!FAV16</f>
        <v>-0.0</v>
      </c>
      <c r="FAV45" s="5">
        <f>-'5. IRR'!FAW16</f>
        <v>-0.0</v>
      </c>
      <c r="FAW45" s="5">
        <f>-'5. IRR'!FAX16</f>
        <v>-0.0</v>
      </c>
      <c r="FAX45" s="5">
        <f>-'5. IRR'!FAY16</f>
        <v>-0.0</v>
      </c>
      <c r="FAY45" s="5">
        <f>-'5. IRR'!FAZ16</f>
        <v>-0.0</v>
      </c>
      <c r="FAZ45" s="5">
        <f>-'5. IRR'!FBA16</f>
        <v>-0.0</v>
      </c>
      <c r="FBA45" s="5">
        <f>-'5. IRR'!FBB16</f>
        <v>-0.0</v>
      </c>
      <c r="FBB45" s="5">
        <f>-'5. IRR'!FBC16</f>
        <v>-0.0</v>
      </c>
      <c r="FBC45" s="5">
        <f>-'5. IRR'!FBD16</f>
        <v>-0.0</v>
      </c>
      <c r="FBD45" s="5">
        <f>-'5. IRR'!FBE16</f>
        <v>-0.0</v>
      </c>
      <c r="FBE45" s="5">
        <f>-'5. IRR'!FBF16</f>
        <v>-0.0</v>
      </c>
      <c r="FBF45" s="5">
        <f>-'5. IRR'!FBG16</f>
        <v>-0.0</v>
      </c>
      <c r="FBG45" s="5">
        <f>-'5. IRR'!FBH16</f>
        <v>-0.0</v>
      </c>
      <c r="FBH45" s="5">
        <f>-'5. IRR'!FBI16</f>
        <v>-0.0</v>
      </c>
      <c r="FBI45" s="5">
        <f>-'5. IRR'!FBJ16</f>
        <v>-0.0</v>
      </c>
      <c r="FBJ45" s="5">
        <f>-'5. IRR'!FBK16</f>
        <v>-0.0</v>
      </c>
      <c r="FBK45" s="5">
        <f>-'5. IRR'!FBL16</f>
        <v>-0.0</v>
      </c>
      <c r="FBL45" s="5">
        <f>-'5. IRR'!FBM16</f>
        <v>-0.0</v>
      </c>
      <c r="FBM45" s="5">
        <f>-'5. IRR'!FBN16</f>
        <v>-0.0</v>
      </c>
      <c r="FBN45" s="5">
        <f>-'5. IRR'!FBO16</f>
        <v>-0.0</v>
      </c>
      <c r="FBO45" s="5">
        <f>-'5. IRR'!FBP16</f>
        <v>-0.0</v>
      </c>
      <c r="FBP45" s="5">
        <f>-'5. IRR'!FBQ16</f>
        <v>-0.0</v>
      </c>
      <c r="FBQ45" s="5">
        <f>-'5. IRR'!FBR16</f>
        <v>-0.0</v>
      </c>
      <c r="FBR45" s="5">
        <f>-'5. IRR'!FBS16</f>
        <v>-0.0</v>
      </c>
      <c r="FBS45" s="5">
        <f>-'5. IRR'!FBT16</f>
        <v>-0.0</v>
      </c>
      <c r="FBT45" s="5">
        <f>-'5. IRR'!FBU16</f>
        <v>-0.0</v>
      </c>
      <c r="FBU45" s="5">
        <f>-'5. IRR'!FBV16</f>
        <v>-0.0</v>
      </c>
      <c r="FBV45" s="5">
        <f>-'5. IRR'!FBW16</f>
        <v>-0.0</v>
      </c>
      <c r="FBW45" s="5">
        <f>-'5. IRR'!FBX16</f>
        <v>-0.0</v>
      </c>
      <c r="FBX45" s="5">
        <f>-'5. IRR'!FBY16</f>
        <v>-0.0</v>
      </c>
      <c r="FBY45" s="5">
        <f>-'5. IRR'!FBZ16</f>
        <v>-0.0</v>
      </c>
      <c r="FBZ45" s="5">
        <f>-'5. IRR'!FCA16</f>
        <v>-0.0</v>
      </c>
      <c r="FCA45" s="5">
        <f>-'5. IRR'!FCB16</f>
        <v>-0.0</v>
      </c>
      <c r="FCB45" s="5">
        <f>-'5. IRR'!FCC16</f>
        <v>-0.0</v>
      </c>
      <c r="FCC45" s="5">
        <f>-'5. IRR'!FCD16</f>
        <v>-0.0</v>
      </c>
      <c r="FCD45" s="5">
        <f>-'5. IRR'!FCE16</f>
        <v>-0.0</v>
      </c>
      <c r="FCE45" s="5">
        <f>-'5. IRR'!FCF16</f>
        <v>-0.0</v>
      </c>
      <c r="FCF45" s="5">
        <f>-'5. IRR'!FCG16</f>
        <v>-0.0</v>
      </c>
      <c r="FCG45" s="5">
        <f>-'5. IRR'!FCH16</f>
        <v>-0.0</v>
      </c>
      <c r="FCH45" s="5">
        <f>-'5. IRR'!FCI16</f>
        <v>-0.0</v>
      </c>
      <c r="FCI45" s="5">
        <f>-'5. IRR'!FCJ16</f>
        <v>-0.0</v>
      </c>
      <c r="FCJ45" s="5">
        <f>-'5. IRR'!FCK16</f>
        <v>-0.0</v>
      </c>
      <c r="FCK45" s="5">
        <f>-'5. IRR'!FCL16</f>
        <v>-0.0</v>
      </c>
      <c r="FCL45" s="5">
        <f>-'5. IRR'!FCM16</f>
        <v>-0.0</v>
      </c>
      <c r="FCM45" s="5">
        <f>-'5. IRR'!FCN16</f>
        <v>-0.0</v>
      </c>
      <c r="FCN45" s="5">
        <f>-'5. IRR'!FCO16</f>
        <v>-0.0</v>
      </c>
      <c r="FCO45" s="5">
        <f>-'5. IRR'!FCP16</f>
        <v>-0.0</v>
      </c>
      <c r="FCP45" s="5">
        <f>-'5. IRR'!FCQ16</f>
        <v>-0.0</v>
      </c>
      <c r="FCQ45" s="5">
        <f>-'5. IRR'!FCR16</f>
        <v>-0.0</v>
      </c>
      <c r="FCR45" s="5">
        <f>-'5. IRR'!FCS16</f>
        <v>-0.0</v>
      </c>
      <c r="FCS45" s="5">
        <f>-'5. IRR'!FCT16</f>
        <v>-0.0</v>
      </c>
      <c r="FCT45" s="5">
        <f>-'5. IRR'!FCU16</f>
        <v>-0.0</v>
      </c>
      <c r="FCU45" s="5">
        <f>-'5. IRR'!FCV16</f>
        <v>-0.0</v>
      </c>
      <c r="FCV45" s="5">
        <f>-'5. IRR'!FCW16</f>
        <v>-0.0</v>
      </c>
      <c r="FCW45" s="5">
        <f>-'5. IRR'!FCX16</f>
        <v>-0.0</v>
      </c>
      <c r="FCX45" s="5">
        <f>-'5. IRR'!FCY16</f>
        <v>-0.0</v>
      </c>
      <c r="FCY45" s="5">
        <f>-'5. IRR'!FCZ16</f>
        <v>-0.0</v>
      </c>
      <c r="FCZ45" s="5">
        <f>-'5. IRR'!FDA16</f>
        <v>-0.0</v>
      </c>
      <c r="FDA45" s="5">
        <f>-'5. IRR'!FDB16</f>
        <v>-0.0</v>
      </c>
      <c r="FDB45" s="5">
        <f>-'5. IRR'!FDC16</f>
        <v>-0.0</v>
      </c>
      <c r="FDC45" s="5">
        <f>-'5. IRR'!FDD16</f>
        <v>-0.0</v>
      </c>
      <c r="FDD45" s="5">
        <f>-'5. IRR'!FDE16</f>
        <v>-0.0</v>
      </c>
      <c r="FDE45" s="5">
        <f>-'5. IRR'!FDF16</f>
        <v>-0.0</v>
      </c>
      <c r="FDF45" s="5">
        <f>-'5. IRR'!FDG16</f>
        <v>-0.0</v>
      </c>
      <c r="FDG45" s="5">
        <f>-'5. IRR'!FDH16</f>
        <v>-0.0</v>
      </c>
      <c r="FDH45" s="5">
        <f>-'5. IRR'!FDI16</f>
        <v>-0.0</v>
      </c>
      <c r="FDI45" s="5">
        <f>-'5. IRR'!FDJ16</f>
        <v>-0.0</v>
      </c>
      <c r="FDJ45" s="5">
        <f>-'5. IRR'!FDK16</f>
        <v>-0.0</v>
      </c>
      <c r="FDK45" s="5">
        <f>-'5. IRR'!FDL16</f>
        <v>-0.0</v>
      </c>
      <c r="FDL45" s="5">
        <f>-'5. IRR'!FDM16</f>
        <v>-0.0</v>
      </c>
      <c r="FDM45" s="5">
        <f>-'5. IRR'!FDN16</f>
        <v>-0.0</v>
      </c>
      <c r="FDN45" s="5">
        <f>-'5. IRR'!FDO16</f>
        <v>-0.0</v>
      </c>
      <c r="FDO45" s="5">
        <f>-'5. IRR'!FDP16</f>
        <v>-0.0</v>
      </c>
      <c r="FDP45" s="5">
        <f>-'5. IRR'!FDQ16</f>
        <v>-0.0</v>
      </c>
      <c r="FDQ45" s="5">
        <f>-'5. IRR'!FDR16</f>
        <v>-0.0</v>
      </c>
      <c r="FDR45" s="5">
        <f>-'5. IRR'!FDS16</f>
        <v>-0.0</v>
      </c>
      <c r="FDS45" s="5">
        <f>-'5. IRR'!FDT16</f>
        <v>-0.0</v>
      </c>
      <c r="FDT45" s="5">
        <f>-'5. IRR'!FDU16</f>
        <v>-0.0</v>
      </c>
      <c r="FDU45" s="5">
        <f>-'5. IRR'!FDV16</f>
        <v>-0.0</v>
      </c>
      <c r="FDV45" s="5">
        <f>-'5. IRR'!FDW16</f>
        <v>-0.0</v>
      </c>
      <c r="FDW45" s="5">
        <f>-'5. IRR'!FDX16</f>
        <v>-0.0</v>
      </c>
      <c r="FDX45" s="5">
        <f>-'5. IRR'!FDY16</f>
        <v>-0.0</v>
      </c>
      <c r="FDY45" s="5">
        <f>-'5. IRR'!FDZ16</f>
        <v>-0.0</v>
      </c>
      <c r="FDZ45" s="5">
        <f>-'5. IRR'!FEA16</f>
        <v>-0.0</v>
      </c>
      <c r="FEA45" s="5">
        <f>-'5. IRR'!FEB16</f>
        <v>-0.0</v>
      </c>
      <c r="FEB45" s="5">
        <f>-'5. IRR'!FEC16</f>
        <v>-0.0</v>
      </c>
      <c r="FEC45" s="5">
        <f>-'5. IRR'!FED16</f>
        <v>-0.0</v>
      </c>
      <c r="FED45" s="5">
        <f>-'5. IRR'!FEE16</f>
        <v>-0.0</v>
      </c>
      <c r="FEE45" s="5">
        <f>-'5. IRR'!FEF16</f>
        <v>-0.0</v>
      </c>
      <c r="FEF45" s="5">
        <f>-'5. IRR'!FEG16</f>
        <v>-0.0</v>
      </c>
      <c r="FEG45" s="5">
        <f>-'5. IRR'!FEH16</f>
        <v>-0.0</v>
      </c>
      <c r="FEH45" s="5">
        <f>-'5. IRR'!FEI16</f>
        <v>-0.0</v>
      </c>
      <c r="FEI45" s="5">
        <f>-'5. IRR'!FEJ16</f>
        <v>-0.0</v>
      </c>
      <c r="FEJ45" s="5">
        <f>-'5. IRR'!FEK16</f>
        <v>-0.0</v>
      </c>
      <c r="FEK45" s="5">
        <f>-'5. IRR'!FEL16</f>
        <v>-0.0</v>
      </c>
      <c r="FEL45" s="5">
        <f>-'5. IRR'!FEM16</f>
        <v>-0.0</v>
      </c>
      <c r="FEM45" s="5">
        <f>-'5. IRR'!FEN16</f>
        <v>-0.0</v>
      </c>
      <c r="FEN45" s="5">
        <f>-'5. IRR'!FEO16</f>
        <v>-0.0</v>
      </c>
      <c r="FEO45" s="5">
        <f>-'5. IRR'!FEP16</f>
        <v>-0.0</v>
      </c>
      <c r="FEP45" s="5">
        <f>-'5. IRR'!FEQ16</f>
        <v>-0.0</v>
      </c>
      <c r="FEQ45" s="5">
        <f>-'5. IRR'!FER16</f>
        <v>-0.0</v>
      </c>
      <c r="FER45" s="5">
        <f>-'5. IRR'!FES16</f>
        <v>-0.0</v>
      </c>
      <c r="FES45" s="5">
        <f>-'5. IRR'!FET16</f>
        <v>-0.0</v>
      </c>
      <c r="FET45" s="5">
        <f>-'5. IRR'!FEU16</f>
        <v>-0.0</v>
      </c>
      <c r="FEU45" s="5">
        <f>-'5. IRR'!FEV16</f>
        <v>-0.0</v>
      </c>
      <c r="FEV45" s="5">
        <f>-'5. IRR'!FEW16</f>
        <v>-0.0</v>
      </c>
      <c r="FEW45" s="5">
        <f>-'5. IRR'!FEX16</f>
        <v>-0.0</v>
      </c>
      <c r="FEX45" s="5">
        <f>-'5. IRR'!FEY16</f>
        <v>-0.0</v>
      </c>
      <c r="FEY45" s="5">
        <f>-'5. IRR'!FEZ16</f>
        <v>-0.0</v>
      </c>
      <c r="FEZ45" s="5">
        <f>-'5. IRR'!FFA16</f>
        <v>-0.0</v>
      </c>
      <c r="FFA45" s="5">
        <f>-'5. IRR'!FFB16</f>
        <v>-0.0</v>
      </c>
      <c r="FFB45" s="5">
        <f>-'5. IRR'!FFC16</f>
        <v>-0.0</v>
      </c>
      <c r="FFC45" s="5">
        <f>-'5. IRR'!FFD16</f>
        <v>-0.0</v>
      </c>
      <c r="FFD45" s="5">
        <f>-'5. IRR'!FFE16</f>
        <v>-0.0</v>
      </c>
      <c r="FFE45" s="5">
        <f>-'5. IRR'!FFF16</f>
        <v>-0.0</v>
      </c>
      <c r="FFF45" s="5">
        <f>-'5. IRR'!FFG16</f>
        <v>-0.0</v>
      </c>
      <c r="FFG45" s="5">
        <f>-'5. IRR'!FFH16</f>
        <v>-0.0</v>
      </c>
      <c r="FFH45" s="5">
        <f>-'5. IRR'!FFI16</f>
        <v>-0.0</v>
      </c>
      <c r="FFI45" s="5">
        <f>-'5. IRR'!FFJ16</f>
        <v>-0.0</v>
      </c>
      <c r="FFJ45" s="5">
        <f>-'5. IRR'!FFK16</f>
        <v>-0.0</v>
      </c>
      <c r="FFK45" s="5">
        <f>-'5. IRR'!FFL16</f>
        <v>-0.0</v>
      </c>
      <c r="FFL45" s="5">
        <f>-'5. IRR'!FFM16</f>
        <v>-0.0</v>
      </c>
      <c r="FFM45" s="5">
        <f>-'5. IRR'!FFN16</f>
        <v>-0.0</v>
      </c>
      <c r="FFN45" s="5">
        <f>-'5. IRR'!FFO16</f>
        <v>-0.0</v>
      </c>
      <c r="FFO45" s="5">
        <f>-'5. IRR'!FFP16</f>
        <v>-0.0</v>
      </c>
      <c r="FFP45" s="5">
        <f>-'5. IRR'!FFQ16</f>
        <v>-0.0</v>
      </c>
      <c r="FFQ45" s="5">
        <f>-'5. IRR'!FFR16</f>
        <v>-0.0</v>
      </c>
      <c r="FFR45" s="5">
        <f>-'5. IRR'!FFS16</f>
        <v>-0.0</v>
      </c>
      <c r="FFS45" s="5">
        <f>-'5. IRR'!FFT16</f>
        <v>-0.0</v>
      </c>
      <c r="FFT45" s="5">
        <f>-'5. IRR'!FFU16</f>
        <v>-0.0</v>
      </c>
      <c r="FFU45" s="5">
        <f>-'5. IRR'!FFV16</f>
        <v>-0.0</v>
      </c>
      <c r="FFV45" s="5">
        <f>-'5. IRR'!FFW16</f>
        <v>-0.0</v>
      </c>
      <c r="FFW45" s="5">
        <f>-'5. IRR'!FFX16</f>
        <v>-0.0</v>
      </c>
      <c r="FFX45" s="5">
        <f>-'5. IRR'!FFY16</f>
        <v>-0.0</v>
      </c>
      <c r="FFY45" s="5">
        <f>-'5. IRR'!FFZ16</f>
        <v>-0.0</v>
      </c>
      <c r="FFZ45" s="5">
        <f>-'5. IRR'!FGA16</f>
        <v>-0.0</v>
      </c>
      <c r="FGA45" s="5">
        <f>-'5. IRR'!FGB16</f>
        <v>-0.0</v>
      </c>
      <c r="FGB45" s="5">
        <f>-'5. IRR'!FGC16</f>
        <v>-0.0</v>
      </c>
      <c r="FGC45" s="5">
        <f>-'5. IRR'!FGD16</f>
        <v>-0.0</v>
      </c>
      <c r="FGD45" s="5">
        <f>-'5. IRR'!FGE16</f>
        <v>-0.0</v>
      </c>
      <c r="FGE45" s="5">
        <f>-'5. IRR'!FGF16</f>
        <v>-0.0</v>
      </c>
      <c r="FGF45" s="5">
        <f>-'5. IRR'!FGG16</f>
        <v>-0.0</v>
      </c>
      <c r="FGG45" s="5">
        <f>-'5. IRR'!FGH16</f>
        <v>-0.0</v>
      </c>
      <c r="FGH45" s="5">
        <f>-'5. IRR'!FGI16</f>
        <v>-0.0</v>
      </c>
      <c r="FGI45" s="5">
        <f>-'5. IRR'!FGJ16</f>
        <v>-0.0</v>
      </c>
      <c r="FGJ45" s="5">
        <f>-'5. IRR'!FGK16</f>
        <v>-0.0</v>
      </c>
      <c r="FGK45" s="5">
        <f>-'5. IRR'!FGL16</f>
        <v>-0.0</v>
      </c>
      <c r="FGL45" s="5">
        <f>-'5. IRR'!FGM16</f>
        <v>-0.0</v>
      </c>
      <c r="FGM45" s="5">
        <f>-'5. IRR'!FGN16</f>
        <v>-0.0</v>
      </c>
      <c r="FGN45" s="5">
        <f>-'5. IRR'!FGO16</f>
        <v>-0.0</v>
      </c>
      <c r="FGO45" s="5">
        <f>-'5. IRR'!FGP16</f>
        <v>-0.0</v>
      </c>
      <c r="FGP45" s="5">
        <f>-'5. IRR'!FGQ16</f>
        <v>-0.0</v>
      </c>
      <c r="FGQ45" s="5">
        <f>-'5. IRR'!FGR16</f>
        <v>-0.0</v>
      </c>
      <c r="FGR45" s="5">
        <f>-'5. IRR'!FGS16</f>
        <v>-0.0</v>
      </c>
      <c r="FGS45" s="5">
        <f>-'5. IRR'!FGT16</f>
        <v>-0.0</v>
      </c>
      <c r="FGT45" s="5">
        <f>-'5. IRR'!FGU16</f>
        <v>-0.0</v>
      </c>
      <c r="FGU45" s="5">
        <f>-'5. IRR'!FGV16</f>
        <v>-0.0</v>
      </c>
      <c r="FGV45" s="5">
        <f>-'5. IRR'!FGW16</f>
        <v>-0.0</v>
      </c>
      <c r="FGW45" s="5">
        <f>-'5. IRR'!FGX16</f>
        <v>-0.0</v>
      </c>
      <c r="FGX45" s="5">
        <f>-'5. IRR'!FGY16</f>
        <v>-0.0</v>
      </c>
      <c r="FGY45" s="5">
        <f>-'5. IRR'!FGZ16</f>
        <v>-0.0</v>
      </c>
      <c r="FGZ45" s="5">
        <f>-'5. IRR'!FHA16</f>
        <v>-0.0</v>
      </c>
      <c r="FHA45" s="5">
        <f>-'5. IRR'!FHB16</f>
        <v>-0.0</v>
      </c>
      <c r="FHB45" s="5">
        <f>-'5. IRR'!FHC16</f>
        <v>-0.0</v>
      </c>
      <c r="FHC45" s="5">
        <f>-'5. IRR'!FHD16</f>
        <v>-0.0</v>
      </c>
      <c r="FHD45" s="5">
        <f>-'5. IRR'!FHE16</f>
        <v>-0.0</v>
      </c>
      <c r="FHE45" s="5">
        <f>-'5. IRR'!FHF16</f>
        <v>-0.0</v>
      </c>
      <c r="FHF45" s="5">
        <f>-'5. IRR'!FHG16</f>
        <v>-0.0</v>
      </c>
      <c r="FHG45" s="5">
        <f>-'5. IRR'!FHH16</f>
        <v>-0.0</v>
      </c>
      <c r="FHH45" s="5">
        <f>-'5. IRR'!FHI16</f>
        <v>-0.0</v>
      </c>
      <c r="FHI45" s="5">
        <f>-'5. IRR'!FHJ16</f>
        <v>-0.0</v>
      </c>
      <c r="FHJ45" s="5">
        <f>-'5. IRR'!FHK16</f>
        <v>-0.0</v>
      </c>
      <c r="FHK45" s="5">
        <f>-'5. IRR'!FHL16</f>
        <v>-0.0</v>
      </c>
      <c r="FHL45" s="5">
        <f>-'5. IRR'!FHM16</f>
        <v>-0.0</v>
      </c>
      <c r="FHM45" s="5">
        <f>-'5. IRR'!FHN16</f>
        <v>-0.0</v>
      </c>
      <c r="FHN45" s="5">
        <f>-'5. IRR'!FHO16</f>
        <v>-0.0</v>
      </c>
      <c r="FHO45" s="5">
        <f>-'5. IRR'!FHP16</f>
        <v>-0.0</v>
      </c>
      <c r="FHP45" s="5">
        <f>-'5. IRR'!FHQ16</f>
        <v>-0.0</v>
      </c>
      <c r="FHQ45" s="5">
        <f>-'5. IRR'!FHR16</f>
        <v>-0.0</v>
      </c>
      <c r="FHR45" s="5">
        <f>-'5. IRR'!FHS16</f>
        <v>-0.0</v>
      </c>
      <c r="FHS45" s="5">
        <f>-'5. IRR'!FHT16</f>
        <v>-0.0</v>
      </c>
      <c r="FHT45" s="5">
        <f>-'5. IRR'!FHU16</f>
        <v>-0.0</v>
      </c>
      <c r="FHU45" s="5">
        <f>-'5. IRR'!FHV16</f>
        <v>-0.0</v>
      </c>
      <c r="FHV45" s="5">
        <f>-'5. IRR'!FHW16</f>
        <v>-0.0</v>
      </c>
      <c r="FHW45" s="5">
        <f>-'5. IRR'!FHX16</f>
        <v>-0.0</v>
      </c>
      <c r="FHX45" s="5">
        <f>-'5. IRR'!FHY16</f>
        <v>-0.0</v>
      </c>
      <c r="FHY45" s="5">
        <f>-'5. IRR'!FHZ16</f>
        <v>-0.0</v>
      </c>
      <c r="FHZ45" s="5">
        <f>-'5. IRR'!FIA16</f>
        <v>-0.0</v>
      </c>
      <c r="FIA45" s="5">
        <f>-'5. IRR'!FIB16</f>
        <v>-0.0</v>
      </c>
      <c r="FIB45" s="5">
        <f>-'5. IRR'!FIC16</f>
        <v>-0.0</v>
      </c>
      <c r="FIC45" s="5">
        <f>-'5. IRR'!FID16</f>
        <v>-0.0</v>
      </c>
      <c r="FID45" s="5">
        <f>-'5. IRR'!FIE16</f>
        <v>-0.0</v>
      </c>
      <c r="FIE45" s="5">
        <f>-'5. IRR'!FIF16</f>
        <v>-0.0</v>
      </c>
      <c r="FIF45" s="5">
        <f>-'5. IRR'!FIG16</f>
        <v>-0.0</v>
      </c>
      <c r="FIG45" s="5">
        <f>-'5. IRR'!FIH16</f>
        <v>-0.0</v>
      </c>
      <c r="FIH45" s="5">
        <f>-'5. IRR'!FII16</f>
        <v>-0.0</v>
      </c>
      <c r="FII45" s="5">
        <f>-'5. IRR'!FIJ16</f>
        <v>-0.0</v>
      </c>
      <c r="FIJ45" s="5">
        <f>-'5. IRR'!FIK16</f>
        <v>-0.0</v>
      </c>
      <c r="FIK45" s="5">
        <f>-'5. IRR'!FIL16</f>
        <v>-0.0</v>
      </c>
      <c r="FIL45" s="5">
        <f>-'5. IRR'!FIM16</f>
        <v>-0.0</v>
      </c>
      <c r="FIM45" s="5">
        <f>-'5. IRR'!FIN16</f>
        <v>-0.0</v>
      </c>
      <c r="FIN45" s="5">
        <f>-'5. IRR'!FIO16</f>
        <v>-0.0</v>
      </c>
      <c r="FIO45" s="5">
        <f>-'5. IRR'!FIP16</f>
        <v>-0.0</v>
      </c>
      <c r="FIP45" s="5">
        <f>-'5. IRR'!FIQ16</f>
        <v>-0.0</v>
      </c>
      <c r="FIQ45" s="5">
        <f>-'5. IRR'!FIR16</f>
        <v>-0.0</v>
      </c>
      <c r="FIR45" s="5">
        <f>-'5. IRR'!FIS16</f>
        <v>-0.0</v>
      </c>
      <c r="FIS45" s="5">
        <f>-'5. IRR'!FIT16</f>
        <v>-0.0</v>
      </c>
      <c r="FIT45" s="5">
        <f>-'5. IRR'!FIU16</f>
        <v>-0.0</v>
      </c>
      <c r="FIU45" s="5">
        <f>-'5. IRR'!FIV16</f>
        <v>-0.0</v>
      </c>
      <c r="FIV45" s="5">
        <f>-'5. IRR'!FIW16</f>
        <v>-0.0</v>
      </c>
      <c r="FIW45" s="5">
        <f>-'5. IRR'!FIX16</f>
        <v>-0.0</v>
      </c>
      <c r="FIX45" s="5">
        <f>-'5. IRR'!FIY16</f>
        <v>-0.0</v>
      </c>
      <c r="FIY45" s="5">
        <f>-'5. IRR'!FIZ16</f>
        <v>-0.0</v>
      </c>
      <c r="FIZ45" s="5">
        <f>-'5. IRR'!FJA16</f>
        <v>-0.0</v>
      </c>
      <c r="FJA45" s="5">
        <f>-'5. IRR'!FJB16</f>
        <v>-0.0</v>
      </c>
      <c r="FJB45" s="5">
        <f>-'5. IRR'!FJC16</f>
        <v>-0.0</v>
      </c>
      <c r="FJC45" s="5">
        <f>-'5. IRR'!FJD16</f>
        <v>-0.0</v>
      </c>
      <c r="FJD45" s="5">
        <f>-'5. IRR'!FJE16</f>
        <v>-0.0</v>
      </c>
      <c r="FJE45" s="5">
        <f>-'5. IRR'!FJF16</f>
        <v>-0.0</v>
      </c>
      <c r="FJF45" s="5">
        <f>-'5. IRR'!FJG16</f>
        <v>-0.0</v>
      </c>
      <c r="FJG45" s="5">
        <f>-'5. IRR'!FJH16</f>
        <v>-0.0</v>
      </c>
      <c r="FJH45" s="5">
        <f>-'5. IRR'!FJI16</f>
        <v>-0.0</v>
      </c>
      <c r="FJI45" s="5">
        <f>-'5. IRR'!FJJ16</f>
        <v>-0.0</v>
      </c>
      <c r="FJJ45" s="5">
        <f>-'5. IRR'!FJK16</f>
        <v>-0.0</v>
      </c>
      <c r="FJK45" s="5">
        <f>-'5. IRR'!FJL16</f>
        <v>-0.0</v>
      </c>
      <c r="FJL45" s="5">
        <f>-'5. IRR'!FJM16</f>
        <v>-0.0</v>
      </c>
      <c r="FJM45" s="5">
        <f>-'5. IRR'!FJN16</f>
        <v>-0.0</v>
      </c>
      <c r="FJN45" s="5">
        <f>-'5. IRR'!FJO16</f>
        <v>-0.0</v>
      </c>
      <c r="FJO45" s="5">
        <f>-'5. IRR'!FJP16</f>
        <v>-0.0</v>
      </c>
      <c r="FJP45" s="5">
        <f>-'5. IRR'!FJQ16</f>
        <v>-0.0</v>
      </c>
      <c r="FJQ45" s="5">
        <f>-'5. IRR'!FJR16</f>
        <v>-0.0</v>
      </c>
      <c r="FJR45" s="5">
        <f>-'5. IRR'!FJS16</f>
        <v>-0.0</v>
      </c>
      <c r="FJS45" s="5">
        <f>-'5. IRR'!FJT16</f>
        <v>-0.0</v>
      </c>
      <c r="FJT45" s="5">
        <f>-'5. IRR'!FJU16</f>
        <v>-0.0</v>
      </c>
      <c r="FJU45" s="5">
        <f>-'5. IRR'!FJV16</f>
        <v>-0.0</v>
      </c>
      <c r="FJV45" s="5">
        <f>-'5. IRR'!FJW16</f>
        <v>-0.0</v>
      </c>
      <c r="FJW45" s="5">
        <f>-'5. IRR'!FJX16</f>
        <v>-0.0</v>
      </c>
      <c r="FJX45" s="5">
        <f>-'5. IRR'!FJY16</f>
        <v>-0.0</v>
      </c>
      <c r="FJY45" s="5">
        <f>-'5. IRR'!FJZ16</f>
        <v>-0.0</v>
      </c>
      <c r="FJZ45" s="5">
        <f>-'5. IRR'!FKA16</f>
        <v>-0.0</v>
      </c>
      <c r="FKA45" s="5">
        <f>-'5. IRR'!FKB16</f>
        <v>-0.0</v>
      </c>
      <c r="FKB45" s="5">
        <f>-'5. IRR'!FKC16</f>
        <v>-0.0</v>
      </c>
      <c r="FKC45" s="5">
        <f>-'5. IRR'!FKD16</f>
        <v>-0.0</v>
      </c>
      <c r="FKD45" s="5">
        <f>-'5. IRR'!FKE16</f>
        <v>-0.0</v>
      </c>
      <c r="FKE45" s="5">
        <f>-'5. IRR'!FKF16</f>
        <v>-0.0</v>
      </c>
      <c r="FKF45" s="5">
        <f>-'5. IRR'!FKG16</f>
        <v>-0.0</v>
      </c>
      <c r="FKG45" s="5">
        <f>-'5. IRR'!FKH16</f>
        <v>-0.0</v>
      </c>
      <c r="FKH45" s="5">
        <f>-'5. IRR'!FKI16</f>
        <v>-0.0</v>
      </c>
      <c r="FKI45" s="5">
        <f>-'5. IRR'!FKJ16</f>
        <v>-0.0</v>
      </c>
      <c r="FKJ45" s="5">
        <f>-'5. IRR'!FKK16</f>
        <v>-0.0</v>
      </c>
      <c r="FKK45" s="5">
        <f>-'5. IRR'!FKL16</f>
        <v>-0.0</v>
      </c>
      <c r="FKL45" s="5">
        <f>-'5. IRR'!FKM16</f>
        <v>-0.0</v>
      </c>
      <c r="FKM45" s="5">
        <f>-'5. IRR'!FKN16</f>
        <v>-0.0</v>
      </c>
      <c r="FKN45" s="5">
        <f>-'5. IRR'!FKO16</f>
        <v>-0.0</v>
      </c>
      <c r="FKO45" s="5">
        <f>-'5. IRR'!FKP16</f>
        <v>-0.0</v>
      </c>
      <c r="FKP45" s="5">
        <f>-'5. IRR'!FKQ16</f>
        <v>-0.0</v>
      </c>
      <c r="FKQ45" s="5">
        <f>-'5. IRR'!FKR16</f>
        <v>-0.0</v>
      </c>
      <c r="FKR45" s="5">
        <f>-'5. IRR'!FKS16</f>
        <v>-0.0</v>
      </c>
      <c r="FKS45" s="5">
        <f>-'5. IRR'!FKT16</f>
        <v>-0.0</v>
      </c>
      <c r="FKT45" s="5">
        <f>-'5. IRR'!FKU16</f>
        <v>-0.0</v>
      </c>
      <c r="FKU45" s="5">
        <f>-'5. IRR'!FKV16</f>
        <v>-0.0</v>
      </c>
      <c r="FKV45" s="5">
        <f>-'5. IRR'!FKW16</f>
        <v>-0.0</v>
      </c>
      <c r="FKW45" s="5">
        <f>-'5. IRR'!FKX16</f>
        <v>-0.0</v>
      </c>
      <c r="FKX45" s="5">
        <f>-'5. IRR'!FKY16</f>
        <v>-0.0</v>
      </c>
      <c r="FKY45" s="5">
        <f>-'5. IRR'!FKZ16</f>
        <v>-0.0</v>
      </c>
      <c r="FKZ45" s="5">
        <f>-'5. IRR'!FLA16</f>
        <v>-0.0</v>
      </c>
      <c r="FLA45" s="5">
        <f>-'5. IRR'!FLB16</f>
        <v>-0.0</v>
      </c>
      <c r="FLB45" s="5">
        <f>-'5. IRR'!FLC16</f>
        <v>-0.0</v>
      </c>
      <c r="FLC45" s="5">
        <f>-'5. IRR'!FLD16</f>
        <v>-0.0</v>
      </c>
      <c r="FLD45" s="5">
        <f>-'5. IRR'!FLE16</f>
        <v>-0.0</v>
      </c>
      <c r="FLE45" s="5">
        <f>-'5. IRR'!FLF16</f>
        <v>-0.0</v>
      </c>
      <c r="FLF45" s="5">
        <f>-'5. IRR'!FLG16</f>
        <v>-0.0</v>
      </c>
      <c r="FLG45" s="5">
        <f>-'5. IRR'!FLH16</f>
        <v>-0.0</v>
      </c>
      <c r="FLH45" s="5">
        <f>-'5. IRR'!FLI16</f>
        <v>-0.0</v>
      </c>
      <c r="FLI45" s="5">
        <f>-'5. IRR'!FLJ16</f>
        <v>-0.0</v>
      </c>
      <c r="FLJ45" s="5">
        <f>-'5. IRR'!FLK16</f>
        <v>-0.0</v>
      </c>
      <c r="FLK45" s="5">
        <f>-'5. IRR'!FLL16</f>
        <v>-0.0</v>
      </c>
      <c r="FLL45" s="5">
        <f>-'5. IRR'!FLM16</f>
        <v>-0.0</v>
      </c>
      <c r="FLM45" s="5">
        <f>-'5. IRR'!FLN16</f>
        <v>-0.0</v>
      </c>
      <c r="FLN45" s="5">
        <f>-'5. IRR'!FLO16</f>
        <v>-0.0</v>
      </c>
      <c r="FLO45" s="5">
        <f>-'5. IRR'!FLP16</f>
        <v>-0.0</v>
      </c>
      <c r="FLP45" s="5">
        <f>-'5. IRR'!FLQ16</f>
        <v>-0.0</v>
      </c>
      <c r="FLQ45" s="5">
        <f>-'5. IRR'!FLR16</f>
        <v>-0.0</v>
      </c>
      <c r="FLR45" s="5">
        <f>-'5. IRR'!FLS16</f>
        <v>-0.0</v>
      </c>
      <c r="FLS45" s="5">
        <f>-'5. IRR'!FLT16</f>
        <v>-0.0</v>
      </c>
      <c r="FLT45" s="5">
        <f>-'5. IRR'!FLU16</f>
        <v>-0.0</v>
      </c>
      <c r="FLU45" s="5">
        <f>-'5. IRR'!FLV16</f>
        <v>-0.0</v>
      </c>
      <c r="FLV45" s="5">
        <f>-'5. IRR'!FLW16</f>
        <v>-0.0</v>
      </c>
      <c r="FLW45" s="5">
        <f>-'5. IRR'!FLX16</f>
        <v>-0.0</v>
      </c>
      <c r="FLX45" s="5">
        <f>-'5. IRR'!FLY16</f>
        <v>-0.0</v>
      </c>
      <c r="FLY45" s="5">
        <f>-'5. IRR'!FLZ16</f>
        <v>-0.0</v>
      </c>
      <c r="FLZ45" s="5">
        <f>-'5. IRR'!FMA16</f>
        <v>-0.0</v>
      </c>
      <c r="FMA45" s="5">
        <f>-'5. IRR'!FMB16</f>
        <v>-0.0</v>
      </c>
      <c r="FMB45" s="5">
        <f>-'5. IRR'!FMC16</f>
        <v>-0.0</v>
      </c>
      <c r="FMC45" s="5">
        <f>-'5. IRR'!FMD16</f>
        <v>-0.0</v>
      </c>
      <c r="FMD45" s="5">
        <f>-'5. IRR'!FME16</f>
        <v>-0.0</v>
      </c>
      <c r="FME45" s="5">
        <f>-'5. IRR'!FMF16</f>
        <v>-0.0</v>
      </c>
      <c r="FMF45" s="5">
        <f>-'5. IRR'!FMG16</f>
        <v>-0.0</v>
      </c>
      <c r="FMG45" s="5">
        <f>-'5. IRR'!FMH16</f>
        <v>-0.0</v>
      </c>
      <c r="FMH45" s="5">
        <f>-'5. IRR'!FMI16</f>
        <v>-0.0</v>
      </c>
      <c r="FMI45" s="5">
        <f>-'5. IRR'!FMJ16</f>
        <v>-0.0</v>
      </c>
      <c r="FMJ45" s="5">
        <f>-'5. IRR'!FMK16</f>
        <v>-0.0</v>
      </c>
      <c r="FMK45" s="5">
        <f>-'5. IRR'!FML16</f>
        <v>-0.0</v>
      </c>
      <c r="FML45" s="5">
        <f>-'5. IRR'!FMM16</f>
        <v>-0.0</v>
      </c>
      <c r="FMM45" s="5">
        <f>-'5. IRR'!FMN16</f>
        <v>-0.0</v>
      </c>
      <c r="FMN45" s="5">
        <f>-'5. IRR'!FMO16</f>
        <v>-0.0</v>
      </c>
      <c r="FMO45" s="5">
        <f>-'5. IRR'!FMP16</f>
        <v>-0.0</v>
      </c>
      <c r="FMP45" s="5">
        <f>-'5. IRR'!FMQ16</f>
        <v>-0.0</v>
      </c>
      <c r="FMQ45" s="5">
        <f>-'5. IRR'!FMR16</f>
        <v>-0.0</v>
      </c>
      <c r="FMR45" s="5">
        <f>-'5. IRR'!FMS16</f>
        <v>-0.0</v>
      </c>
      <c r="FMS45" s="5">
        <f>-'5. IRR'!FMT16</f>
        <v>-0.0</v>
      </c>
      <c r="FMT45" s="5">
        <f>-'5. IRR'!FMU16</f>
        <v>-0.0</v>
      </c>
      <c r="FMU45" s="5">
        <f>-'5. IRR'!FMV16</f>
        <v>-0.0</v>
      </c>
      <c r="FMV45" s="5">
        <f>-'5. IRR'!FMW16</f>
        <v>-0.0</v>
      </c>
      <c r="FMW45" s="5">
        <f>-'5. IRR'!FMX16</f>
        <v>-0.0</v>
      </c>
      <c r="FMX45" s="5">
        <f>-'5. IRR'!FMY16</f>
        <v>-0.0</v>
      </c>
      <c r="FMY45" s="5">
        <f>-'5. IRR'!FMZ16</f>
        <v>-0.0</v>
      </c>
      <c r="FMZ45" s="5">
        <f>-'5. IRR'!FNA16</f>
        <v>-0.0</v>
      </c>
      <c r="FNA45" s="5">
        <f>-'5. IRR'!FNB16</f>
        <v>-0.0</v>
      </c>
      <c r="FNB45" s="5">
        <f>-'5. IRR'!FNC16</f>
        <v>-0.0</v>
      </c>
      <c r="FNC45" s="5">
        <f>-'5. IRR'!FND16</f>
        <v>-0.0</v>
      </c>
      <c r="FND45" s="5">
        <f>-'5. IRR'!FNE16</f>
        <v>-0.0</v>
      </c>
      <c r="FNE45" s="5">
        <f>-'5. IRR'!FNF16</f>
        <v>-0.0</v>
      </c>
      <c r="FNF45" s="5">
        <f>-'5. IRR'!FNG16</f>
        <v>-0.0</v>
      </c>
      <c r="FNG45" s="5">
        <f>-'5. IRR'!FNH16</f>
        <v>-0.0</v>
      </c>
      <c r="FNH45" s="5">
        <f>-'5. IRR'!FNI16</f>
        <v>-0.0</v>
      </c>
      <c r="FNI45" s="5">
        <f>-'5. IRR'!FNJ16</f>
        <v>-0.0</v>
      </c>
      <c r="FNJ45" s="5">
        <f>-'5. IRR'!FNK16</f>
        <v>-0.0</v>
      </c>
      <c r="FNK45" s="5">
        <f>-'5. IRR'!FNL16</f>
        <v>-0.0</v>
      </c>
      <c r="FNL45" s="5">
        <f>-'5. IRR'!FNM16</f>
        <v>-0.0</v>
      </c>
      <c r="FNM45" s="5">
        <f>-'5. IRR'!FNN16</f>
        <v>-0.0</v>
      </c>
      <c r="FNN45" s="5">
        <f>-'5. IRR'!FNO16</f>
        <v>-0.0</v>
      </c>
      <c r="FNO45" s="5">
        <f>-'5. IRR'!FNP16</f>
        <v>-0.0</v>
      </c>
      <c r="FNP45" s="5">
        <f>-'5. IRR'!FNQ16</f>
        <v>-0.0</v>
      </c>
      <c r="FNQ45" s="5">
        <f>-'5. IRR'!FNR16</f>
        <v>-0.0</v>
      </c>
      <c r="FNR45" s="5">
        <f>-'5. IRR'!FNS16</f>
        <v>-0.0</v>
      </c>
      <c r="FNS45" s="5">
        <f>-'5. IRR'!FNT16</f>
        <v>-0.0</v>
      </c>
      <c r="FNT45" s="5">
        <f>-'5. IRR'!FNU16</f>
        <v>-0.0</v>
      </c>
      <c r="FNU45" s="5">
        <f>-'5. IRR'!FNV16</f>
        <v>-0.0</v>
      </c>
      <c r="FNV45" s="5">
        <f>-'5. IRR'!FNW16</f>
        <v>-0.0</v>
      </c>
      <c r="FNW45" s="5">
        <f>-'5. IRR'!FNX16</f>
        <v>-0.0</v>
      </c>
      <c r="FNX45" s="5">
        <f>-'5. IRR'!FNY16</f>
        <v>-0.0</v>
      </c>
      <c r="FNY45" s="5">
        <f>-'5. IRR'!FNZ16</f>
        <v>-0.0</v>
      </c>
      <c r="FNZ45" s="5">
        <f>-'5. IRR'!FOA16</f>
        <v>-0.0</v>
      </c>
      <c r="FOA45" s="5">
        <f>-'5. IRR'!FOB16</f>
        <v>-0.0</v>
      </c>
      <c r="FOB45" s="5">
        <f>-'5. IRR'!FOC16</f>
        <v>-0.0</v>
      </c>
      <c r="FOC45" s="5">
        <f>-'5. IRR'!FOD16</f>
        <v>-0.0</v>
      </c>
      <c r="FOD45" s="5">
        <f>-'5. IRR'!FOE16</f>
        <v>-0.0</v>
      </c>
      <c r="FOE45" s="5">
        <f>-'5. IRR'!FOF16</f>
        <v>-0.0</v>
      </c>
      <c r="FOF45" s="5">
        <f>-'5. IRR'!FOG16</f>
        <v>-0.0</v>
      </c>
      <c r="FOG45" s="5">
        <f>-'5. IRR'!FOH16</f>
        <v>-0.0</v>
      </c>
      <c r="FOH45" s="5">
        <f>-'5. IRR'!FOI16</f>
        <v>-0.0</v>
      </c>
      <c r="FOI45" s="5">
        <f>-'5. IRR'!FOJ16</f>
        <v>-0.0</v>
      </c>
      <c r="FOJ45" s="5">
        <f>-'5. IRR'!FOK16</f>
        <v>-0.0</v>
      </c>
      <c r="FOK45" s="5">
        <f>-'5. IRR'!FOL16</f>
        <v>-0.0</v>
      </c>
      <c r="FOL45" s="5">
        <f>-'5. IRR'!FOM16</f>
        <v>-0.0</v>
      </c>
      <c r="FOM45" s="5">
        <f>-'5. IRR'!FON16</f>
        <v>-0.0</v>
      </c>
      <c r="FON45" s="5">
        <f>-'5. IRR'!FOO16</f>
        <v>-0.0</v>
      </c>
      <c r="FOO45" s="5">
        <f>-'5. IRR'!FOP16</f>
        <v>-0.0</v>
      </c>
      <c r="FOP45" s="5">
        <f>-'5. IRR'!FOQ16</f>
        <v>-0.0</v>
      </c>
      <c r="FOQ45" s="5">
        <f>-'5. IRR'!FOR16</f>
        <v>-0.0</v>
      </c>
      <c r="FOR45" s="5">
        <f>-'5. IRR'!FOS16</f>
        <v>-0.0</v>
      </c>
      <c r="FOS45" s="5">
        <f>-'5. IRR'!FOT16</f>
        <v>-0.0</v>
      </c>
      <c r="FOT45" s="5">
        <f>-'5. IRR'!FOU16</f>
        <v>-0.0</v>
      </c>
      <c r="FOU45" s="5">
        <f>-'5. IRR'!FOV16</f>
        <v>-0.0</v>
      </c>
      <c r="FOV45" s="5">
        <f>-'5. IRR'!FOW16</f>
        <v>-0.0</v>
      </c>
      <c r="FOW45" s="5">
        <f>-'5. IRR'!FOX16</f>
        <v>-0.0</v>
      </c>
      <c r="FOX45" s="5">
        <f>-'5. IRR'!FOY16</f>
        <v>-0.0</v>
      </c>
      <c r="FOY45" s="5">
        <f>-'5. IRR'!FOZ16</f>
        <v>-0.0</v>
      </c>
      <c r="FOZ45" s="5">
        <f>-'5. IRR'!FPA16</f>
        <v>-0.0</v>
      </c>
      <c r="FPA45" s="5">
        <f>-'5. IRR'!FPB16</f>
        <v>-0.0</v>
      </c>
      <c r="FPB45" s="5">
        <f>-'5. IRR'!FPC16</f>
        <v>-0.0</v>
      </c>
      <c r="FPC45" s="5">
        <f>-'5. IRR'!FPD16</f>
        <v>-0.0</v>
      </c>
      <c r="FPD45" s="5">
        <f>-'5. IRR'!FPE16</f>
        <v>-0.0</v>
      </c>
      <c r="FPE45" s="5">
        <f>-'5. IRR'!FPF16</f>
        <v>-0.0</v>
      </c>
      <c r="FPF45" s="5">
        <f>-'5. IRR'!FPG16</f>
        <v>-0.0</v>
      </c>
      <c r="FPG45" s="5">
        <f>-'5. IRR'!FPH16</f>
        <v>-0.0</v>
      </c>
      <c r="FPH45" s="5">
        <f>-'5. IRR'!FPI16</f>
        <v>-0.0</v>
      </c>
      <c r="FPI45" s="5">
        <f>-'5. IRR'!FPJ16</f>
        <v>-0.0</v>
      </c>
      <c r="FPJ45" s="5">
        <f>-'5. IRR'!FPK16</f>
        <v>-0.0</v>
      </c>
      <c r="FPK45" s="5">
        <f>-'5. IRR'!FPL16</f>
        <v>-0.0</v>
      </c>
      <c r="FPL45" s="5">
        <f>-'5. IRR'!FPM16</f>
        <v>-0.0</v>
      </c>
      <c r="FPM45" s="5">
        <f>-'5. IRR'!FPN16</f>
        <v>-0.0</v>
      </c>
      <c r="FPN45" s="5">
        <f>-'5. IRR'!FPO16</f>
        <v>-0.0</v>
      </c>
      <c r="FPO45" s="5">
        <f>-'5. IRR'!FPP16</f>
        <v>-0.0</v>
      </c>
      <c r="FPP45" s="5">
        <f>-'5. IRR'!FPQ16</f>
        <v>-0.0</v>
      </c>
      <c r="FPQ45" s="5">
        <f>-'5. IRR'!FPR16</f>
        <v>-0.0</v>
      </c>
      <c r="FPR45" s="5">
        <f>-'5. IRR'!FPS16</f>
        <v>-0.0</v>
      </c>
      <c r="FPS45" s="5">
        <f>-'5. IRR'!FPT16</f>
        <v>-0.0</v>
      </c>
      <c r="FPT45" s="5">
        <f>-'5. IRR'!FPU16</f>
        <v>-0.0</v>
      </c>
      <c r="FPU45" s="5">
        <f>-'5. IRR'!FPV16</f>
        <v>-0.0</v>
      </c>
      <c r="FPV45" s="5">
        <f>-'5. IRR'!FPW16</f>
        <v>-0.0</v>
      </c>
      <c r="FPW45" s="5">
        <f>-'5. IRR'!FPX16</f>
        <v>-0.0</v>
      </c>
      <c r="FPX45" s="5">
        <f>-'5. IRR'!FPY16</f>
        <v>-0.0</v>
      </c>
      <c r="FPY45" s="5">
        <f>-'5. IRR'!FPZ16</f>
        <v>-0.0</v>
      </c>
      <c r="FPZ45" s="5">
        <f>-'5. IRR'!FQA16</f>
        <v>-0.0</v>
      </c>
      <c r="FQA45" s="5">
        <f>-'5. IRR'!FQB16</f>
        <v>-0.0</v>
      </c>
      <c r="FQB45" s="5">
        <f>-'5. IRR'!FQC16</f>
        <v>-0.0</v>
      </c>
      <c r="FQC45" s="5">
        <f>-'5. IRR'!FQD16</f>
        <v>-0.0</v>
      </c>
      <c r="FQD45" s="5">
        <f>-'5. IRR'!FQE16</f>
        <v>-0.0</v>
      </c>
      <c r="FQE45" s="5">
        <f>-'5. IRR'!FQF16</f>
        <v>-0.0</v>
      </c>
      <c r="FQF45" s="5">
        <f>-'5. IRR'!FQG16</f>
        <v>-0.0</v>
      </c>
      <c r="FQG45" s="5">
        <f>-'5. IRR'!FQH16</f>
        <v>-0.0</v>
      </c>
      <c r="FQH45" s="5">
        <f>-'5. IRR'!FQI16</f>
        <v>-0.0</v>
      </c>
      <c r="FQI45" s="5">
        <f>-'5. IRR'!FQJ16</f>
        <v>-0.0</v>
      </c>
      <c r="FQJ45" s="5">
        <f>-'5. IRR'!FQK16</f>
        <v>-0.0</v>
      </c>
      <c r="FQK45" s="5">
        <f>-'5. IRR'!FQL16</f>
        <v>-0.0</v>
      </c>
      <c r="FQL45" s="5">
        <f>-'5. IRR'!FQM16</f>
        <v>-0.0</v>
      </c>
      <c r="FQM45" s="5">
        <f>-'5. IRR'!FQN16</f>
        <v>-0.0</v>
      </c>
      <c r="FQN45" s="5">
        <f>-'5. IRR'!FQO16</f>
        <v>-0.0</v>
      </c>
      <c r="FQO45" s="5">
        <f>-'5. IRR'!FQP16</f>
        <v>-0.0</v>
      </c>
      <c r="FQP45" s="5">
        <f>-'5. IRR'!FQQ16</f>
        <v>-0.0</v>
      </c>
      <c r="FQQ45" s="5">
        <f>-'5. IRR'!FQR16</f>
        <v>-0.0</v>
      </c>
      <c r="FQR45" s="5">
        <f>-'5. IRR'!FQS16</f>
        <v>-0.0</v>
      </c>
      <c r="FQS45" s="5">
        <f>-'5. IRR'!FQT16</f>
        <v>-0.0</v>
      </c>
      <c r="FQT45" s="5">
        <f>-'5. IRR'!FQU16</f>
        <v>-0.0</v>
      </c>
      <c r="FQU45" s="5">
        <f>-'5. IRR'!FQV16</f>
        <v>-0.0</v>
      </c>
      <c r="FQV45" s="5">
        <f>-'5. IRR'!FQW16</f>
        <v>-0.0</v>
      </c>
      <c r="FQW45" s="5">
        <f>-'5. IRR'!FQX16</f>
        <v>-0.0</v>
      </c>
      <c r="FQX45" s="5">
        <f>-'5. IRR'!FQY16</f>
        <v>-0.0</v>
      </c>
      <c r="FQY45" s="5">
        <f>-'5. IRR'!FQZ16</f>
        <v>-0.0</v>
      </c>
      <c r="FQZ45" s="5">
        <f>-'5. IRR'!FRA16</f>
        <v>-0.0</v>
      </c>
      <c r="FRA45" s="5">
        <f>-'5. IRR'!FRB16</f>
        <v>-0.0</v>
      </c>
      <c r="FRB45" s="5">
        <f>-'5. IRR'!FRC16</f>
        <v>-0.0</v>
      </c>
      <c r="FRC45" s="5">
        <f>-'5. IRR'!FRD16</f>
        <v>-0.0</v>
      </c>
      <c r="FRD45" s="5">
        <f>-'5. IRR'!FRE16</f>
        <v>-0.0</v>
      </c>
      <c r="FRE45" s="5">
        <f>-'5. IRR'!FRF16</f>
        <v>-0.0</v>
      </c>
      <c r="FRF45" s="5">
        <f>-'5. IRR'!FRG16</f>
        <v>-0.0</v>
      </c>
      <c r="FRG45" s="5">
        <f>-'5. IRR'!FRH16</f>
        <v>-0.0</v>
      </c>
      <c r="FRH45" s="5">
        <f>-'5. IRR'!FRI16</f>
        <v>-0.0</v>
      </c>
      <c r="FRI45" s="5">
        <f>-'5. IRR'!FRJ16</f>
        <v>-0.0</v>
      </c>
      <c r="FRJ45" s="5">
        <f>-'5. IRR'!FRK16</f>
        <v>-0.0</v>
      </c>
      <c r="FRK45" s="5">
        <f>-'5. IRR'!FRL16</f>
        <v>-0.0</v>
      </c>
      <c r="FRL45" s="5">
        <f>-'5. IRR'!FRM16</f>
        <v>-0.0</v>
      </c>
      <c r="FRM45" s="5">
        <f>-'5. IRR'!FRN16</f>
        <v>-0.0</v>
      </c>
      <c r="FRN45" s="5">
        <f>-'5. IRR'!FRO16</f>
        <v>-0.0</v>
      </c>
      <c r="FRO45" s="5">
        <f>-'5. IRR'!FRP16</f>
        <v>-0.0</v>
      </c>
      <c r="FRP45" s="5">
        <f>-'5. IRR'!FRQ16</f>
        <v>-0.0</v>
      </c>
      <c r="FRQ45" s="5">
        <f>-'5. IRR'!FRR16</f>
        <v>-0.0</v>
      </c>
      <c r="FRR45" s="5">
        <f>-'5. IRR'!FRS16</f>
        <v>-0.0</v>
      </c>
      <c r="FRS45" s="5">
        <f>-'5. IRR'!FRT16</f>
        <v>-0.0</v>
      </c>
      <c r="FRT45" s="5">
        <f>-'5. IRR'!FRU16</f>
        <v>-0.0</v>
      </c>
      <c r="FRU45" s="5">
        <f>-'5. IRR'!FRV16</f>
        <v>-0.0</v>
      </c>
      <c r="FRV45" s="5">
        <f>-'5. IRR'!FRW16</f>
        <v>-0.0</v>
      </c>
      <c r="FRW45" s="5">
        <f>-'5. IRR'!FRX16</f>
        <v>-0.0</v>
      </c>
      <c r="FRX45" s="5">
        <f>-'5. IRR'!FRY16</f>
        <v>-0.0</v>
      </c>
      <c r="FRY45" s="5">
        <f>-'5. IRR'!FRZ16</f>
        <v>-0.0</v>
      </c>
      <c r="FRZ45" s="5">
        <f>-'5. IRR'!FSA16</f>
        <v>-0.0</v>
      </c>
      <c r="FSA45" s="5">
        <f>-'5. IRR'!FSB16</f>
        <v>-0.0</v>
      </c>
      <c r="FSB45" s="5">
        <f>-'5. IRR'!FSC16</f>
        <v>-0.0</v>
      </c>
      <c r="FSC45" s="5">
        <f>-'5. IRR'!FSD16</f>
        <v>-0.0</v>
      </c>
      <c r="FSD45" s="5">
        <f>-'5. IRR'!FSE16</f>
        <v>-0.0</v>
      </c>
      <c r="FSE45" s="5">
        <f>-'5. IRR'!FSF16</f>
        <v>-0.0</v>
      </c>
      <c r="FSF45" s="5">
        <f>-'5. IRR'!FSG16</f>
        <v>-0.0</v>
      </c>
      <c r="FSG45" s="5">
        <f>-'5. IRR'!FSH16</f>
        <v>-0.0</v>
      </c>
      <c r="FSH45" s="5">
        <f>-'5. IRR'!FSI16</f>
        <v>-0.0</v>
      </c>
      <c r="FSI45" s="5">
        <f>-'5. IRR'!FSJ16</f>
        <v>-0.0</v>
      </c>
      <c r="FSJ45" s="5">
        <f>-'5. IRR'!FSK16</f>
        <v>-0.0</v>
      </c>
      <c r="FSK45" s="5">
        <f>-'5. IRR'!FSL16</f>
        <v>-0.0</v>
      </c>
      <c r="FSL45" s="5">
        <f>-'5. IRR'!FSM16</f>
        <v>-0.0</v>
      </c>
      <c r="FSM45" s="5">
        <f>-'5. IRR'!FSN16</f>
        <v>-0.0</v>
      </c>
      <c r="FSN45" s="5">
        <f>-'5. IRR'!FSO16</f>
        <v>-0.0</v>
      </c>
      <c r="FSO45" s="5">
        <f>-'5. IRR'!FSP16</f>
        <v>-0.0</v>
      </c>
      <c r="FSP45" s="5">
        <f>-'5. IRR'!FSQ16</f>
        <v>-0.0</v>
      </c>
      <c r="FSQ45" s="5">
        <f>-'5. IRR'!FSR16</f>
        <v>-0.0</v>
      </c>
      <c r="FSR45" s="5">
        <f>-'5. IRR'!FSS16</f>
        <v>-0.0</v>
      </c>
      <c r="FSS45" s="5">
        <f>-'5. IRR'!FST16</f>
        <v>-0.0</v>
      </c>
      <c r="FST45" s="5">
        <f>-'5. IRR'!FSU16</f>
        <v>-0.0</v>
      </c>
      <c r="FSU45" s="5">
        <f>-'5. IRR'!FSV16</f>
        <v>-0.0</v>
      </c>
      <c r="FSV45" s="5">
        <f>-'5. IRR'!FSW16</f>
        <v>-0.0</v>
      </c>
      <c r="FSW45" s="5">
        <f>-'5. IRR'!FSX16</f>
        <v>-0.0</v>
      </c>
      <c r="FSX45" s="5">
        <f>-'5. IRR'!FSY16</f>
        <v>-0.0</v>
      </c>
      <c r="FSY45" s="5">
        <f>-'5. IRR'!FSZ16</f>
        <v>-0.0</v>
      </c>
      <c r="FSZ45" s="5">
        <f>-'5. IRR'!FTA16</f>
        <v>-0.0</v>
      </c>
      <c r="FTA45" s="5">
        <f>-'5. IRR'!FTB16</f>
        <v>-0.0</v>
      </c>
      <c r="FTB45" s="5">
        <f>-'5. IRR'!FTC16</f>
        <v>-0.0</v>
      </c>
      <c r="FTC45" s="5">
        <f>-'5. IRR'!FTD16</f>
        <v>-0.0</v>
      </c>
      <c r="FTD45" s="5">
        <f>-'5. IRR'!FTE16</f>
        <v>-0.0</v>
      </c>
      <c r="FTE45" s="5">
        <f>-'5. IRR'!FTF16</f>
        <v>-0.0</v>
      </c>
      <c r="FTF45" s="5">
        <f>-'5. IRR'!FTG16</f>
        <v>-0.0</v>
      </c>
      <c r="FTG45" s="5">
        <f>-'5. IRR'!FTH16</f>
        <v>-0.0</v>
      </c>
      <c r="FTH45" s="5">
        <f>-'5. IRR'!FTI16</f>
        <v>-0.0</v>
      </c>
      <c r="FTI45" s="5">
        <f>-'5. IRR'!FTJ16</f>
        <v>-0.0</v>
      </c>
      <c r="FTJ45" s="5">
        <f>-'5. IRR'!FTK16</f>
        <v>-0.0</v>
      </c>
      <c r="FTK45" s="5">
        <f>-'5. IRR'!FTL16</f>
        <v>-0.0</v>
      </c>
      <c r="FTL45" s="5">
        <f>-'5. IRR'!FTM16</f>
        <v>-0.0</v>
      </c>
      <c r="FTM45" s="5">
        <f>-'5. IRR'!FTN16</f>
        <v>-0.0</v>
      </c>
      <c r="FTN45" s="5">
        <f>-'5. IRR'!FTO16</f>
        <v>-0.0</v>
      </c>
      <c r="FTO45" s="5">
        <f>-'5. IRR'!FTP16</f>
        <v>-0.0</v>
      </c>
      <c r="FTP45" s="5">
        <f>-'5. IRR'!FTQ16</f>
        <v>-0.0</v>
      </c>
      <c r="FTQ45" s="5">
        <f>-'5. IRR'!FTR16</f>
        <v>-0.0</v>
      </c>
      <c r="FTR45" s="5">
        <f>-'5. IRR'!FTS16</f>
        <v>-0.0</v>
      </c>
      <c r="FTS45" s="5">
        <f>-'5. IRR'!FTT16</f>
        <v>-0.0</v>
      </c>
      <c r="FTT45" s="5">
        <f>-'5. IRR'!FTU16</f>
        <v>-0.0</v>
      </c>
      <c r="FTU45" s="5">
        <f>-'5. IRR'!FTV16</f>
        <v>-0.0</v>
      </c>
      <c r="FTV45" s="5">
        <f>-'5. IRR'!FTW16</f>
        <v>-0.0</v>
      </c>
      <c r="FTW45" s="5">
        <f>-'5. IRR'!FTX16</f>
        <v>-0.0</v>
      </c>
      <c r="FTX45" s="5">
        <f>-'5. IRR'!FTY16</f>
        <v>-0.0</v>
      </c>
      <c r="FTY45" s="5">
        <f>-'5. IRR'!FTZ16</f>
        <v>-0.0</v>
      </c>
      <c r="FTZ45" s="5">
        <f>-'5. IRR'!FUA16</f>
        <v>-0.0</v>
      </c>
      <c r="FUA45" s="5">
        <f>-'5. IRR'!FUB16</f>
        <v>-0.0</v>
      </c>
      <c r="FUB45" s="5">
        <f>-'5. IRR'!FUC16</f>
        <v>-0.0</v>
      </c>
      <c r="FUC45" s="5">
        <f>-'5. IRR'!FUD16</f>
        <v>-0.0</v>
      </c>
      <c r="FUD45" s="5">
        <f>-'5. IRR'!FUE16</f>
        <v>-0.0</v>
      </c>
      <c r="FUE45" s="5">
        <f>-'5. IRR'!FUF16</f>
        <v>-0.0</v>
      </c>
      <c r="FUF45" s="5">
        <f>-'5. IRR'!FUG16</f>
        <v>-0.0</v>
      </c>
      <c r="FUG45" s="5">
        <f>-'5. IRR'!FUH16</f>
        <v>-0.0</v>
      </c>
      <c r="FUH45" s="5">
        <f>-'5. IRR'!FUI16</f>
        <v>-0.0</v>
      </c>
      <c r="FUI45" s="5">
        <f>-'5. IRR'!FUJ16</f>
        <v>-0.0</v>
      </c>
      <c r="FUJ45" s="5">
        <f>-'5. IRR'!FUK16</f>
        <v>-0.0</v>
      </c>
      <c r="FUK45" s="5">
        <f>-'5. IRR'!FUL16</f>
        <v>-0.0</v>
      </c>
      <c r="FUL45" s="5">
        <f>-'5. IRR'!FUM16</f>
        <v>-0.0</v>
      </c>
      <c r="FUM45" s="5">
        <f>-'5. IRR'!FUN16</f>
        <v>-0.0</v>
      </c>
      <c r="FUN45" s="5">
        <f>-'5. IRR'!FUO16</f>
        <v>-0.0</v>
      </c>
      <c r="FUO45" s="5">
        <f>-'5. IRR'!FUP16</f>
        <v>-0.0</v>
      </c>
      <c r="FUP45" s="5">
        <f>-'5. IRR'!FUQ16</f>
        <v>-0.0</v>
      </c>
      <c r="FUQ45" s="5">
        <f>-'5. IRR'!FUR16</f>
        <v>-0.0</v>
      </c>
      <c r="FUR45" s="5">
        <f>-'5. IRR'!FUS16</f>
        <v>-0.0</v>
      </c>
      <c r="FUS45" s="5">
        <f>-'5. IRR'!FUT16</f>
        <v>-0.0</v>
      </c>
      <c r="FUT45" s="5">
        <f>-'5. IRR'!FUU16</f>
        <v>-0.0</v>
      </c>
      <c r="FUU45" s="5">
        <f>-'5. IRR'!FUV16</f>
        <v>-0.0</v>
      </c>
      <c r="FUV45" s="5">
        <f>-'5. IRR'!FUW16</f>
        <v>-0.0</v>
      </c>
      <c r="FUW45" s="5">
        <f>-'5. IRR'!FUX16</f>
        <v>-0.0</v>
      </c>
      <c r="FUX45" s="5">
        <f>-'5. IRR'!FUY16</f>
        <v>-0.0</v>
      </c>
      <c r="FUY45" s="5">
        <f>-'5. IRR'!FUZ16</f>
        <v>-0.0</v>
      </c>
      <c r="FUZ45" s="5">
        <f>-'5. IRR'!FVA16</f>
        <v>-0.0</v>
      </c>
      <c r="FVA45" s="5">
        <f>-'5. IRR'!FVB16</f>
        <v>-0.0</v>
      </c>
      <c r="FVB45" s="5">
        <f>-'5. IRR'!FVC16</f>
        <v>-0.0</v>
      </c>
      <c r="FVC45" s="5">
        <f>-'5. IRR'!FVD16</f>
        <v>-0.0</v>
      </c>
      <c r="FVD45" s="5">
        <f>-'5. IRR'!FVE16</f>
        <v>-0.0</v>
      </c>
      <c r="FVE45" s="5">
        <f>-'5. IRR'!FVF16</f>
        <v>-0.0</v>
      </c>
      <c r="FVF45" s="5">
        <f>-'5. IRR'!FVG16</f>
        <v>-0.0</v>
      </c>
      <c r="FVG45" s="5">
        <f>-'5. IRR'!FVH16</f>
        <v>-0.0</v>
      </c>
      <c r="FVH45" s="5">
        <f>-'5. IRR'!FVI16</f>
        <v>-0.0</v>
      </c>
      <c r="FVI45" s="5">
        <f>-'5. IRR'!FVJ16</f>
        <v>-0.0</v>
      </c>
      <c r="FVJ45" s="5">
        <f>-'5. IRR'!FVK16</f>
        <v>-0.0</v>
      </c>
      <c r="FVK45" s="5">
        <f>-'5. IRR'!FVL16</f>
        <v>-0.0</v>
      </c>
      <c r="FVL45" s="5">
        <f>-'5. IRR'!FVM16</f>
        <v>-0.0</v>
      </c>
      <c r="FVM45" s="5">
        <f>-'5. IRR'!FVN16</f>
        <v>-0.0</v>
      </c>
      <c r="FVN45" s="5">
        <f>-'5. IRR'!FVO16</f>
        <v>-0.0</v>
      </c>
      <c r="FVO45" s="5">
        <f>-'5. IRR'!FVP16</f>
        <v>-0.0</v>
      </c>
      <c r="FVP45" s="5">
        <f>-'5. IRR'!FVQ16</f>
        <v>-0.0</v>
      </c>
      <c r="FVQ45" s="5">
        <f>-'5. IRR'!FVR16</f>
        <v>-0.0</v>
      </c>
      <c r="FVR45" s="5">
        <f>-'5. IRR'!FVS16</f>
        <v>-0.0</v>
      </c>
      <c r="FVS45" s="5">
        <f>-'5. IRR'!FVT16</f>
        <v>-0.0</v>
      </c>
      <c r="FVT45" s="5">
        <f>-'5. IRR'!FVU16</f>
        <v>-0.0</v>
      </c>
      <c r="FVU45" s="5">
        <f>-'5. IRR'!FVV16</f>
        <v>-0.0</v>
      </c>
      <c r="FVV45" s="5">
        <f>-'5. IRR'!FVW16</f>
        <v>-0.0</v>
      </c>
      <c r="FVW45" s="5">
        <f>-'5. IRR'!FVX16</f>
        <v>-0.0</v>
      </c>
      <c r="FVX45" s="5">
        <f>-'5. IRR'!FVY16</f>
        <v>-0.0</v>
      </c>
      <c r="FVY45" s="5">
        <f>-'5. IRR'!FVZ16</f>
        <v>-0.0</v>
      </c>
      <c r="FVZ45" s="5">
        <f>-'5. IRR'!FWA16</f>
        <v>-0.0</v>
      </c>
      <c r="FWA45" s="5">
        <f>-'5. IRR'!FWB16</f>
        <v>-0.0</v>
      </c>
      <c r="FWB45" s="5">
        <f>-'5. IRR'!FWC16</f>
        <v>-0.0</v>
      </c>
      <c r="FWC45" s="5">
        <f>-'5. IRR'!FWD16</f>
        <v>-0.0</v>
      </c>
      <c r="FWD45" s="5">
        <f>-'5. IRR'!FWE16</f>
        <v>-0.0</v>
      </c>
      <c r="FWE45" s="5">
        <f>-'5. IRR'!FWF16</f>
        <v>-0.0</v>
      </c>
      <c r="FWF45" s="5">
        <f>-'5. IRR'!FWG16</f>
        <v>-0.0</v>
      </c>
      <c r="FWG45" s="5">
        <f>-'5. IRR'!FWH16</f>
        <v>-0.0</v>
      </c>
      <c r="FWH45" s="5">
        <f>-'5. IRR'!FWI16</f>
        <v>-0.0</v>
      </c>
      <c r="FWI45" s="5">
        <f>-'5. IRR'!FWJ16</f>
        <v>-0.0</v>
      </c>
      <c r="FWJ45" s="5">
        <f>-'5. IRR'!FWK16</f>
        <v>-0.0</v>
      </c>
      <c r="FWK45" s="5">
        <f>-'5. IRR'!FWL16</f>
        <v>-0.0</v>
      </c>
      <c r="FWL45" s="5">
        <f>-'5. IRR'!FWM16</f>
        <v>-0.0</v>
      </c>
      <c r="FWM45" s="5">
        <f>-'5. IRR'!FWN16</f>
        <v>-0.0</v>
      </c>
      <c r="FWN45" s="5">
        <f>-'5. IRR'!FWO16</f>
        <v>-0.0</v>
      </c>
      <c r="FWO45" s="5">
        <f>-'5. IRR'!FWP16</f>
        <v>-0.0</v>
      </c>
      <c r="FWP45" s="5">
        <f>-'5. IRR'!FWQ16</f>
        <v>-0.0</v>
      </c>
      <c r="FWQ45" s="5">
        <f>-'5. IRR'!FWR16</f>
        <v>-0.0</v>
      </c>
      <c r="FWR45" s="5">
        <f>-'5. IRR'!FWS16</f>
        <v>-0.0</v>
      </c>
      <c r="FWS45" s="5">
        <f>-'5. IRR'!FWT16</f>
        <v>-0.0</v>
      </c>
      <c r="FWT45" s="5">
        <f>-'5. IRR'!FWU16</f>
        <v>-0.0</v>
      </c>
      <c r="FWU45" s="5">
        <f>-'5. IRR'!FWV16</f>
        <v>-0.0</v>
      </c>
      <c r="FWV45" s="5">
        <f>-'5. IRR'!FWW16</f>
        <v>-0.0</v>
      </c>
      <c r="FWW45" s="5">
        <f>-'5. IRR'!FWX16</f>
        <v>-0.0</v>
      </c>
      <c r="FWX45" s="5">
        <f>-'5. IRR'!FWY16</f>
        <v>-0.0</v>
      </c>
      <c r="FWY45" s="5">
        <f>-'5. IRR'!FWZ16</f>
        <v>-0.0</v>
      </c>
      <c r="FWZ45" s="5">
        <f>-'5. IRR'!FXA16</f>
        <v>-0.0</v>
      </c>
      <c r="FXA45" s="5">
        <f>-'5. IRR'!FXB16</f>
        <v>-0.0</v>
      </c>
      <c r="FXB45" s="5">
        <f>-'5. IRR'!FXC16</f>
        <v>-0.0</v>
      </c>
      <c r="FXC45" s="5">
        <f>-'5. IRR'!FXD16</f>
        <v>-0.0</v>
      </c>
      <c r="FXD45" s="5">
        <f>-'5. IRR'!FXE16</f>
        <v>-0.0</v>
      </c>
      <c r="FXE45" s="5">
        <f>-'5. IRR'!FXF16</f>
        <v>-0.0</v>
      </c>
      <c r="FXF45" s="5">
        <f>-'5. IRR'!FXG16</f>
        <v>-0.0</v>
      </c>
      <c r="FXG45" s="5">
        <f>-'5. IRR'!FXH16</f>
        <v>-0.0</v>
      </c>
      <c r="FXH45" s="5">
        <f>-'5. IRR'!FXI16</f>
        <v>-0.0</v>
      </c>
      <c r="FXI45" s="5">
        <f>-'5. IRR'!FXJ16</f>
        <v>-0.0</v>
      </c>
      <c r="FXJ45" s="5">
        <f>-'5. IRR'!FXK16</f>
        <v>-0.0</v>
      </c>
      <c r="FXK45" s="5">
        <f>-'5. IRR'!FXL16</f>
        <v>-0.0</v>
      </c>
      <c r="FXL45" s="5">
        <f>-'5. IRR'!FXM16</f>
        <v>-0.0</v>
      </c>
      <c r="FXM45" s="5">
        <f>-'5. IRR'!FXN16</f>
        <v>-0.0</v>
      </c>
      <c r="FXN45" s="5">
        <f>-'5. IRR'!FXO16</f>
        <v>-0.0</v>
      </c>
      <c r="FXO45" s="5">
        <f>-'5. IRR'!FXP16</f>
        <v>-0.0</v>
      </c>
      <c r="FXP45" s="5">
        <f>-'5. IRR'!FXQ16</f>
        <v>-0.0</v>
      </c>
      <c r="FXQ45" s="5">
        <f>-'5. IRR'!FXR16</f>
        <v>-0.0</v>
      </c>
      <c r="FXR45" s="5">
        <f>-'5. IRR'!FXS16</f>
        <v>-0.0</v>
      </c>
      <c r="FXS45" s="5">
        <f>-'5. IRR'!FXT16</f>
        <v>-0.0</v>
      </c>
      <c r="FXT45" s="5">
        <f>-'5. IRR'!FXU16</f>
        <v>-0.0</v>
      </c>
      <c r="FXU45" s="5">
        <f>-'5. IRR'!FXV16</f>
        <v>-0.0</v>
      </c>
      <c r="FXV45" s="5">
        <f>-'5. IRR'!FXW16</f>
        <v>-0.0</v>
      </c>
      <c r="FXW45" s="5">
        <f>-'5. IRR'!FXX16</f>
        <v>-0.0</v>
      </c>
      <c r="FXX45" s="5">
        <f>-'5. IRR'!FXY16</f>
        <v>-0.0</v>
      </c>
      <c r="FXY45" s="5">
        <f>-'5. IRR'!FXZ16</f>
        <v>-0.0</v>
      </c>
      <c r="FXZ45" s="5">
        <f>-'5. IRR'!FYA16</f>
        <v>-0.0</v>
      </c>
      <c r="FYA45" s="5">
        <f>-'5. IRR'!FYB16</f>
        <v>-0.0</v>
      </c>
      <c r="FYB45" s="5">
        <f>-'5. IRR'!FYC16</f>
        <v>-0.0</v>
      </c>
      <c r="FYC45" s="5">
        <f>-'5. IRR'!FYD16</f>
        <v>-0.0</v>
      </c>
      <c r="FYD45" s="5">
        <f>-'5. IRR'!FYE16</f>
        <v>-0.0</v>
      </c>
      <c r="FYE45" s="5">
        <f>-'5. IRR'!FYF16</f>
        <v>-0.0</v>
      </c>
      <c r="FYF45" s="5">
        <f>-'5. IRR'!FYG16</f>
        <v>-0.0</v>
      </c>
      <c r="FYG45" s="5">
        <f>-'5. IRR'!FYH16</f>
        <v>-0.0</v>
      </c>
      <c r="FYH45" s="5">
        <f>-'5. IRR'!FYI16</f>
        <v>-0.0</v>
      </c>
      <c r="FYI45" s="5">
        <f>-'5. IRR'!FYJ16</f>
        <v>-0.0</v>
      </c>
      <c r="FYJ45" s="5">
        <f>-'5. IRR'!FYK16</f>
        <v>-0.0</v>
      </c>
      <c r="FYK45" s="5">
        <f>-'5. IRR'!FYL16</f>
        <v>-0.0</v>
      </c>
      <c r="FYL45" s="5">
        <f>-'5. IRR'!FYM16</f>
        <v>-0.0</v>
      </c>
      <c r="FYM45" s="5">
        <f>-'5. IRR'!FYN16</f>
        <v>-0.0</v>
      </c>
      <c r="FYN45" s="5">
        <f>-'5. IRR'!FYO16</f>
        <v>-0.0</v>
      </c>
      <c r="FYO45" s="5">
        <f>-'5. IRR'!FYP16</f>
        <v>-0.0</v>
      </c>
      <c r="FYP45" s="5">
        <f>-'5. IRR'!FYQ16</f>
        <v>-0.0</v>
      </c>
      <c r="FYQ45" s="5">
        <f>-'5. IRR'!FYR16</f>
        <v>-0.0</v>
      </c>
      <c r="FYR45" s="5">
        <f>-'5. IRR'!FYS16</f>
        <v>-0.0</v>
      </c>
      <c r="FYS45" s="5">
        <f>-'5. IRR'!FYT16</f>
        <v>-0.0</v>
      </c>
      <c r="FYT45" s="5">
        <f>-'5. IRR'!FYU16</f>
        <v>-0.0</v>
      </c>
      <c r="FYU45" s="5">
        <f>-'5. IRR'!FYV16</f>
        <v>-0.0</v>
      </c>
      <c r="FYV45" s="5">
        <f>-'5. IRR'!FYW16</f>
        <v>-0.0</v>
      </c>
      <c r="FYW45" s="5">
        <f>-'5. IRR'!FYX16</f>
        <v>-0.0</v>
      </c>
      <c r="FYX45" s="5">
        <f>-'5. IRR'!FYY16</f>
        <v>-0.0</v>
      </c>
      <c r="FYY45" s="5">
        <f>-'5. IRR'!FYZ16</f>
        <v>-0.0</v>
      </c>
      <c r="FYZ45" s="5">
        <f>-'5. IRR'!FZA16</f>
        <v>-0.0</v>
      </c>
      <c r="FZA45" s="5">
        <f>-'5. IRR'!FZB16</f>
        <v>-0.0</v>
      </c>
      <c r="FZB45" s="5">
        <f>-'5. IRR'!FZC16</f>
        <v>-0.0</v>
      </c>
      <c r="FZC45" s="5">
        <f>-'5. IRR'!FZD16</f>
        <v>-0.0</v>
      </c>
      <c r="FZD45" s="5">
        <f>-'5. IRR'!FZE16</f>
        <v>-0.0</v>
      </c>
      <c r="FZE45" s="5">
        <f>-'5. IRR'!FZF16</f>
        <v>-0.0</v>
      </c>
      <c r="FZF45" s="5">
        <f>-'5. IRR'!FZG16</f>
        <v>-0.0</v>
      </c>
      <c r="FZG45" s="5">
        <f>-'5. IRR'!FZH16</f>
        <v>-0.0</v>
      </c>
      <c r="FZH45" s="5">
        <f>-'5. IRR'!FZI16</f>
        <v>-0.0</v>
      </c>
      <c r="FZI45" s="5">
        <f>-'5. IRR'!FZJ16</f>
        <v>-0.0</v>
      </c>
      <c r="FZJ45" s="5">
        <f>-'5. IRR'!FZK16</f>
        <v>-0.0</v>
      </c>
      <c r="FZK45" s="5">
        <f>-'5. IRR'!FZL16</f>
        <v>-0.0</v>
      </c>
      <c r="FZL45" s="5">
        <f>-'5. IRR'!FZM16</f>
        <v>-0.0</v>
      </c>
      <c r="FZM45" s="5">
        <f>-'5. IRR'!FZN16</f>
        <v>-0.0</v>
      </c>
      <c r="FZN45" s="5">
        <f>-'5. IRR'!FZO16</f>
        <v>-0.0</v>
      </c>
      <c r="FZO45" s="5">
        <f>-'5. IRR'!FZP16</f>
        <v>-0.0</v>
      </c>
      <c r="FZP45" s="5">
        <f>-'5. IRR'!FZQ16</f>
        <v>-0.0</v>
      </c>
      <c r="FZQ45" s="5">
        <f>-'5. IRR'!FZR16</f>
        <v>-0.0</v>
      </c>
      <c r="FZR45" s="5">
        <f>-'5. IRR'!FZS16</f>
        <v>-0.0</v>
      </c>
      <c r="FZS45" s="5">
        <f>-'5. IRR'!FZT16</f>
        <v>-0.0</v>
      </c>
      <c r="FZT45" s="5">
        <f>-'5. IRR'!FZU16</f>
        <v>-0.0</v>
      </c>
      <c r="FZU45" s="5">
        <f>-'5. IRR'!FZV16</f>
        <v>-0.0</v>
      </c>
      <c r="FZV45" s="5">
        <f>-'5. IRR'!FZW16</f>
        <v>-0.0</v>
      </c>
      <c r="FZW45" s="5">
        <f>-'5. IRR'!FZX16</f>
        <v>-0.0</v>
      </c>
      <c r="FZX45" s="5">
        <f>-'5. IRR'!FZY16</f>
        <v>-0.0</v>
      </c>
      <c r="FZY45" s="5">
        <f>-'5. IRR'!FZZ16</f>
        <v>-0.0</v>
      </c>
      <c r="FZZ45" s="5">
        <f>-'5. IRR'!GAA16</f>
        <v>-0.0</v>
      </c>
      <c r="GAA45" s="5">
        <f>-'5. IRR'!GAB16</f>
        <v>-0.0</v>
      </c>
      <c r="GAB45" s="5">
        <f>-'5. IRR'!GAC16</f>
        <v>-0.0</v>
      </c>
      <c r="GAC45" s="5">
        <f>-'5. IRR'!GAD16</f>
        <v>-0.0</v>
      </c>
      <c r="GAD45" s="5">
        <f>-'5. IRR'!GAE16</f>
        <v>-0.0</v>
      </c>
      <c r="GAE45" s="5">
        <f>-'5. IRR'!GAF16</f>
        <v>-0.0</v>
      </c>
      <c r="GAF45" s="5">
        <f>-'5. IRR'!GAG16</f>
        <v>-0.0</v>
      </c>
      <c r="GAG45" s="5">
        <f>-'5. IRR'!GAH16</f>
        <v>-0.0</v>
      </c>
      <c r="GAH45" s="5">
        <f>-'5. IRR'!GAI16</f>
        <v>-0.0</v>
      </c>
      <c r="GAI45" s="5">
        <f>-'5. IRR'!GAJ16</f>
        <v>-0.0</v>
      </c>
      <c r="GAJ45" s="5">
        <f>-'5. IRR'!GAK16</f>
        <v>-0.0</v>
      </c>
      <c r="GAK45" s="5">
        <f>-'5. IRR'!GAL16</f>
        <v>-0.0</v>
      </c>
      <c r="GAL45" s="5">
        <f>-'5. IRR'!GAM16</f>
        <v>-0.0</v>
      </c>
      <c r="GAM45" s="5">
        <f>-'5. IRR'!GAN16</f>
        <v>-0.0</v>
      </c>
      <c r="GAN45" s="5">
        <f>-'5. IRR'!GAO16</f>
        <v>-0.0</v>
      </c>
      <c r="GAO45" s="5">
        <f>-'5. IRR'!GAP16</f>
        <v>-0.0</v>
      </c>
      <c r="GAP45" s="5">
        <f>-'5. IRR'!GAQ16</f>
        <v>-0.0</v>
      </c>
      <c r="GAQ45" s="5">
        <f>-'5. IRR'!GAR16</f>
        <v>-0.0</v>
      </c>
      <c r="GAR45" s="5">
        <f>-'5. IRR'!GAS16</f>
        <v>-0.0</v>
      </c>
      <c r="GAS45" s="5">
        <f>-'5. IRR'!GAT16</f>
        <v>-0.0</v>
      </c>
      <c r="GAT45" s="5">
        <f>-'5. IRR'!GAU16</f>
        <v>-0.0</v>
      </c>
      <c r="GAU45" s="5">
        <f>-'5. IRR'!GAV16</f>
        <v>-0.0</v>
      </c>
      <c r="GAV45" s="5">
        <f>-'5. IRR'!GAW16</f>
        <v>-0.0</v>
      </c>
      <c r="GAW45" s="5">
        <f>-'5. IRR'!GAX16</f>
        <v>-0.0</v>
      </c>
      <c r="GAX45" s="5">
        <f>-'5. IRR'!GAY16</f>
        <v>-0.0</v>
      </c>
      <c r="GAY45" s="5">
        <f>-'5. IRR'!GAZ16</f>
        <v>-0.0</v>
      </c>
      <c r="GAZ45" s="5">
        <f>-'5. IRR'!GBA16</f>
        <v>-0.0</v>
      </c>
      <c r="GBA45" s="5">
        <f>-'5. IRR'!GBB16</f>
        <v>-0.0</v>
      </c>
      <c r="GBB45" s="5">
        <f>-'5. IRR'!GBC16</f>
        <v>-0.0</v>
      </c>
      <c r="GBC45" s="5">
        <f>-'5. IRR'!GBD16</f>
        <v>-0.0</v>
      </c>
      <c r="GBD45" s="5">
        <f>-'5. IRR'!GBE16</f>
        <v>-0.0</v>
      </c>
      <c r="GBE45" s="5">
        <f>-'5. IRR'!GBF16</f>
        <v>-0.0</v>
      </c>
      <c r="GBF45" s="5">
        <f>-'5. IRR'!GBG16</f>
        <v>-0.0</v>
      </c>
      <c r="GBG45" s="5">
        <f>-'5. IRR'!GBH16</f>
        <v>-0.0</v>
      </c>
      <c r="GBH45" s="5">
        <f>-'5. IRR'!GBI16</f>
        <v>-0.0</v>
      </c>
      <c r="GBI45" s="5">
        <f>-'5. IRR'!GBJ16</f>
        <v>-0.0</v>
      </c>
      <c r="GBJ45" s="5">
        <f>-'5. IRR'!GBK16</f>
        <v>-0.0</v>
      </c>
      <c r="GBK45" s="5">
        <f>-'5. IRR'!GBL16</f>
        <v>-0.0</v>
      </c>
      <c r="GBL45" s="5">
        <f>-'5. IRR'!GBM16</f>
        <v>-0.0</v>
      </c>
      <c r="GBM45" s="5">
        <f>-'5. IRR'!GBN16</f>
        <v>-0.0</v>
      </c>
      <c r="GBN45" s="5">
        <f>-'5. IRR'!GBO16</f>
        <v>-0.0</v>
      </c>
      <c r="GBO45" s="5">
        <f>-'5. IRR'!GBP16</f>
        <v>-0.0</v>
      </c>
      <c r="GBP45" s="5">
        <f>-'5. IRR'!GBQ16</f>
        <v>-0.0</v>
      </c>
      <c r="GBQ45" s="5">
        <f>-'5. IRR'!GBR16</f>
        <v>-0.0</v>
      </c>
      <c r="GBR45" s="5">
        <f>-'5. IRR'!GBS16</f>
        <v>-0.0</v>
      </c>
      <c r="GBS45" s="5">
        <f>-'5. IRR'!GBT16</f>
        <v>-0.0</v>
      </c>
      <c r="GBT45" s="5">
        <f>-'5. IRR'!GBU16</f>
        <v>-0.0</v>
      </c>
      <c r="GBU45" s="5">
        <f>-'5. IRR'!GBV16</f>
        <v>-0.0</v>
      </c>
      <c r="GBV45" s="5">
        <f>-'5. IRR'!GBW16</f>
        <v>-0.0</v>
      </c>
      <c r="GBW45" s="5">
        <f>-'5. IRR'!GBX16</f>
        <v>-0.0</v>
      </c>
      <c r="GBX45" s="5">
        <f>-'5. IRR'!GBY16</f>
        <v>-0.0</v>
      </c>
      <c r="GBY45" s="5">
        <f>-'5. IRR'!GBZ16</f>
        <v>-0.0</v>
      </c>
      <c r="GBZ45" s="5">
        <f>-'5. IRR'!GCA16</f>
        <v>-0.0</v>
      </c>
      <c r="GCA45" s="5">
        <f>-'5. IRR'!GCB16</f>
        <v>-0.0</v>
      </c>
      <c r="GCB45" s="5">
        <f>-'5. IRR'!GCC16</f>
        <v>-0.0</v>
      </c>
      <c r="GCC45" s="5">
        <f>-'5. IRR'!GCD16</f>
        <v>-0.0</v>
      </c>
      <c r="GCD45" s="5">
        <f>-'5. IRR'!GCE16</f>
        <v>-0.0</v>
      </c>
      <c r="GCE45" s="5">
        <f>-'5. IRR'!GCF16</f>
        <v>-0.0</v>
      </c>
      <c r="GCF45" s="5">
        <f>-'5. IRR'!GCG16</f>
        <v>-0.0</v>
      </c>
      <c r="GCG45" s="5">
        <f>-'5. IRR'!GCH16</f>
        <v>-0.0</v>
      </c>
      <c r="GCH45" s="5">
        <f>-'5. IRR'!GCI16</f>
        <v>-0.0</v>
      </c>
      <c r="GCI45" s="5">
        <f>-'5. IRR'!GCJ16</f>
        <v>-0.0</v>
      </c>
      <c r="GCJ45" s="5">
        <f>-'5. IRR'!GCK16</f>
        <v>-0.0</v>
      </c>
      <c r="GCK45" s="5">
        <f>-'5. IRR'!GCL16</f>
        <v>-0.0</v>
      </c>
      <c r="GCL45" s="5">
        <f>-'5. IRR'!GCM16</f>
        <v>-0.0</v>
      </c>
      <c r="GCM45" s="5">
        <f>-'5. IRR'!GCN16</f>
        <v>-0.0</v>
      </c>
      <c r="GCN45" s="5">
        <f>-'5. IRR'!GCO16</f>
        <v>-0.0</v>
      </c>
      <c r="GCO45" s="5">
        <f>-'5. IRR'!GCP16</f>
        <v>-0.0</v>
      </c>
      <c r="GCP45" s="5">
        <f>-'5. IRR'!GCQ16</f>
        <v>-0.0</v>
      </c>
      <c r="GCQ45" s="5">
        <f>-'5. IRR'!GCR16</f>
        <v>-0.0</v>
      </c>
      <c r="GCR45" s="5">
        <f>-'5. IRR'!GCS16</f>
        <v>-0.0</v>
      </c>
      <c r="GCS45" s="5">
        <f>-'5. IRR'!GCT16</f>
        <v>-0.0</v>
      </c>
      <c r="GCT45" s="5">
        <f>-'5. IRR'!GCU16</f>
        <v>-0.0</v>
      </c>
      <c r="GCU45" s="5">
        <f>-'5. IRR'!GCV16</f>
        <v>-0.0</v>
      </c>
      <c r="GCV45" s="5">
        <f>-'5. IRR'!GCW16</f>
        <v>-0.0</v>
      </c>
      <c r="GCW45" s="5">
        <f>-'5. IRR'!GCX16</f>
        <v>-0.0</v>
      </c>
      <c r="GCX45" s="5">
        <f>-'5. IRR'!GCY16</f>
        <v>-0.0</v>
      </c>
      <c r="GCY45" s="5">
        <f>-'5. IRR'!GCZ16</f>
        <v>-0.0</v>
      </c>
      <c r="GCZ45" s="5">
        <f>-'5. IRR'!GDA16</f>
        <v>-0.0</v>
      </c>
      <c r="GDA45" s="5">
        <f>-'5. IRR'!GDB16</f>
        <v>-0.0</v>
      </c>
      <c r="GDB45" s="5">
        <f>-'5. IRR'!GDC16</f>
        <v>-0.0</v>
      </c>
      <c r="GDC45" s="5">
        <f>-'5. IRR'!GDD16</f>
        <v>-0.0</v>
      </c>
      <c r="GDD45" s="5">
        <f>-'5. IRR'!GDE16</f>
        <v>-0.0</v>
      </c>
      <c r="GDE45" s="5">
        <f>-'5. IRR'!GDF16</f>
        <v>-0.0</v>
      </c>
      <c r="GDF45" s="5">
        <f>-'5. IRR'!GDG16</f>
        <v>-0.0</v>
      </c>
      <c r="GDG45" s="5">
        <f>-'5. IRR'!GDH16</f>
        <v>-0.0</v>
      </c>
      <c r="GDH45" s="5">
        <f>-'5. IRR'!GDI16</f>
        <v>-0.0</v>
      </c>
      <c r="GDI45" s="5">
        <f>-'5. IRR'!GDJ16</f>
        <v>-0.0</v>
      </c>
      <c r="GDJ45" s="5">
        <f>-'5. IRR'!GDK16</f>
        <v>-0.0</v>
      </c>
      <c r="GDK45" s="5">
        <f>-'5. IRR'!GDL16</f>
        <v>-0.0</v>
      </c>
      <c r="GDL45" s="5">
        <f>-'5. IRR'!GDM16</f>
        <v>-0.0</v>
      </c>
      <c r="GDM45" s="5">
        <f>-'5. IRR'!GDN16</f>
        <v>-0.0</v>
      </c>
      <c r="GDN45" s="5">
        <f>-'5. IRR'!GDO16</f>
        <v>-0.0</v>
      </c>
      <c r="GDO45" s="5">
        <f>-'5. IRR'!GDP16</f>
        <v>-0.0</v>
      </c>
      <c r="GDP45" s="5">
        <f>-'5. IRR'!GDQ16</f>
        <v>-0.0</v>
      </c>
      <c r="GDQ45" s="5">
        <f>-'5. IRR'!GDR16</f>
        <v>-0.0</v>
      </c>
      <c r="GDR45" s="5">
        <f>-'5. IRR'!GDS16</f>
        <v>-0.0</v>
      </c>
      <c r="GDS45" s="5">
        <f>-'5. IRR'!GDT16</f>
        <v>-0.0</v>
      </c>
      <c r="GDT45" s="5">
        <f>-'5. IRR'!GDU16</f>
        <v>-0.0</v>
      </c>
      <c r="GDU45" s="5">
        <f>-'5. IRR'!GDV16</f>
        <v>-0.0</v>
      </c>
      <c r="GDV45" s="5">
        <f>-'5. IRR'!GDW16</f>
        <v>-0.0</v>
      </c>
      <c r="GDW45" s="5">
        <f>-'5. IRR'!GDX16</f>
        <v>-0.0</v>
      </c>
      <c r="GDX45" s="5">
        <f>-'5. IRR'!GDY16</f>
        <v>-0.0</v>
      </c>
      <c r="GDY45" s="5">
        <f>-'5. IRR'!GDZ16</f>
        <v>-0.0</v>
      </c>
      <c r="GDZ45" s="5">
        <f>-'5. IRR'!GEA16</f>
        <v>-0.0</v>
      </c>
      <c r="GEA45" s="5">
        <f>-'5. IRR'!GEB16</f>
        <v>-0.0</v>
      </c>
      <c r="GEB45" s="5">
        <f>-'5. IRR'!GEC16</f>
        <v>-0.0</v>
      </c>
      <c r="GEC45" s="5">
        <f>-'5. IRR'!GED16</f>
        <v>-0.0</v>
      </c>
      <c r="GED45" s="5">
        <f>-'5. IRR'!GEE16</f>
        <v>-0.0</v>
      </c>
      <c r="GEE45" s="5">
        <f>-'5. IRR'!GEF16</f>
        <v>-0.0</v>
      </c>
      <c r="GEF45" s="5">
        <f>-'5. IRR'!GEG16</f>
        <v>-0.0</v>
      </c>
      <c r="GEG45" s="5">
        <f>-'5. IRR'!GEH16</f>
        <v>-0.0</v>
      </c>
      <c r="GEH45" s="5">
        <f>-'5. IRR'!GEI16</f>
        <v>-0.0</v>
      </c>
      <c r="GEI45" s="5">
        <f>-'5. IRR'!GEJ16</f>
        <v>-0.0</v>
      </c>
      <c r="GEJ45" s="5">
        <f>-'5. IRR'!GEK16</f>
        <v>-0.0</v>
      </c>
      <c r="GEK45" s="5">
        <f>-'5. IRR'!GEL16</f>
        <v>-0.0</v>
      </c>
      <c r="GEL45" s="5">
        <f>-'5. IRR'!GEM16</f>
        <v>-0.0</v>
      </c>
      <c r="GEM45" s="5">
        <f>-'5. IRR'!GEN16</f>
        <v>-0.0</v>
      </c>
      <c r="GEN45" s="5">
        <f>-'5. IRR'!GEO16</f>
        <v>-0.0</v>
      </c>
      <c r="GEO45" s="5">
        <f>-'5. IRR'!GEP16</f>
        <v>-0.0</v>
      </c>
      <c r="GEP45" s="5">
        <f>-'5. IRR'!GEQ16</f>
        <v>-0.0</v>
      </c>
      <c r="GEQ45" s="5">
        <f>-'5. IRR'!GER16</f>
        <v>-0.0</v>
      </c>
      <c r="GER45" s="5">
        <f>-'5. IRR'!GES16</f>
        <v>-0.0</v>
      </c>
      <c r="GES45" s="5">
        <f>-'5. IRR'!GET16</f>
        <v>-0.0</v>
      </c>
      <c r="GET45" s="5">
        <f>-'5. IRR'!GEU16</f>
        <v>-0.0</v>
      </c>
      <c r="GEU45" s="5">
        <f>-'5. IRR'!GEV16</f>
        <v>-0.0</v>
      </c>
      <c r="GEV45" s="5">
        <f>-'5. IRR'!GEW16</f>
        <v>-0.0</v>
      </c>
      <c r="GEW45" s="5">
        <f>-'5. IRR'!GEX16</f>
        <v>-0.0</v>
      </c>
      <c r="GEX45" s="5">
        <f>-'5. IRR'!GEY16</f>
        <v>-0.0</v>
      </c>
      <c r="GEY45" s="5">
        <f>-'5. IRR'!GEZ16</f>
        <v>-0.0</v>
      </c>
      <c r="GEZ45" s="5">
        <f>-'5. IRR'!GFA16</f>
        <v>-0.0</v>
      </c>
      <c r="GFA45" s="5">
        <f>-'5. IRR'!GFB16</f>
        <v>-0.0</v>
      </c>
      <c r="GFB45" s="5">
        <f>-'5. IRR'!GFC16</f>
        <v>-0.0</v>
      </c>
      <c r="GFC45" s="5">
        <f>-'5. IRR'!GFD16</f>
        <v>-0.0</v>
      </c>
      <c r="GFD45" s="5">
        <f>-'5. IRR'!GFE16</f>
        <v>-0.0</v>
      </c>
      <c r="GFE45" s="5">
        <f>-'5. IRR'!GFF16</f>
        <v>-0.0</v>
      </c>
      <c r="GFF45" s="5">
        <f>-'5. IRR'!GFG16</f>
        <v>-0.0</v>
      </c>
      <c r="GFG45" s="5">
        <f>-'5. IRR'!GFH16</f>
        <v>-0.0</v>
      </c>
      <c r="GFH45" s="5">
        <f>-'5. IRR'!GFI16</f>
        <v>-0.0</v>
      </c>
      <c r="GFI45" s="5">
        <f>-'5. IRR'!GFJ16</f>
        <v>-0.0</v>
      </c>
      <c r="GFJ45" s="5">
        <f>-'5. IRR'!GFK16</f>
        <v>-0.0</v>
      </c>
      <c r="GFK45" s="5">
        <f>-'5. IRR'!GFL16</f>
        <v>-0.0</v>
      </c>
      <c r="GFL45" s="5">
        <f>-'5. IRR'!GFM16</f>
        <v>-0.0</v>
      </c>
      <c r="GFM45" s="5">
        <f>-'5. IRR'!GFN16</f>
        <v>-0.0</v>
      </c>
      <c r="GFN45" s="5">
        <f>-'5. IRR'!GFO16</f>
        <v>-0.0</v>
      </c>
      <c r="GFO45" s="5">
        <f>-'5. IRR'!GFP16</f>
        <v>-0.0</v>
      </c>
      <c r="GFP45" s="5">
        <f>-'5. IRR'!GFQ16</f>
        <v>-0.0</v>
      </c>
      <c r="GFQ45" s="5">
        <f>-'5. IRR'!GFR16</f>
        <v>-0.0</v>
      </c>
      <c r="GFR45" s="5">
        <f>-'5. IRR'!GFS16</f>
        <v>-0.0</v>
      </c>
      <c r="GFS45" s="5">
        <f>-'5. IRR'!GFT16</f>
        <v>-0.0</v>
      </c>
      <c r="GFT45" s="5">
        <f>-'5. IRR'!GFU16</f>
        <v>-0.0</v>
      </c>
      <c r="GFU45" s="5">
        <f>-'5. IRR'!GFV16</f>
        <v>-0.0</v>
      </c>
      <c r="GFV45" s="5">
        <f>-'5. IRR'!GFW16</f>
        <v>-0.0</v>
      </c>
      <c r="GFW45" s="5">
        <f>-'5. IRR'!GFX16</f>
        <v>-0.0</v>
      </c>
      <c r="GFX45" s="5">
        <f>-'5. IRR'!GFY16</f>
        <v>-0.0</v>
      </c>
      <c r="GFY45" s="5">
        <f>-'5. IRR'!GFZ16</f>
        <v>-0.0</v>
      </c>
      <c r="GFZ45" s="5">
        <f>-'5. IRR'!GGA16</f>
        <v>-0.0</v>
      </c>
      <c r="GGA45" s="5">
        <f>-'5. IRR'!GGB16</f>
        <v>-0.0</v>
      </c>
      <c r="GGB45" s="5">
        <f>-'5. IRR'!GGC16</f>
        <v>-0.0</v>
      </c>
      <c r="GGC45" s="5">
        <f>-'5. IRR'!GGD16</f>
        <v>-0.0</v>
      </c>
      <c r="GGD45" s="5">
        <f>-'5. IRR'!GGE16</f>
        <v>-0.0</v>
      </c>
      <c r="GGE45" s="5">
        <f>-'5. IRR'!GGF16</f>
        <v>-0.0</v>
      </c>
      <c r="GGF45" s="5">
        <f>-'5. IRR'!GGG16</f>
        <v>-0.0</v>
      </c>
      <c r="GGG45" s="5">
        <f>-'5. IRR'!GGH16</f>
        <v>-0.0</v>
      </c>
      <c r="GGH45" s="5">
        <f>-'5. IRR'!GGI16</f>
        <v>-0.0</v>
      </c>
      <c r="GGI45" s="5">
        <f>-'5. IRR'!GGJ16</f>
        <v>-0.0</v>
      </c>
      <c r="GGJ45" s="5">
        <f>-'5. IRR'!GGK16</f>
        <v>-0.0</v>
      </c>
      <c r="GGK45" s="5">
        <f>-'5. IRR'!GGL16</f>
        <v>-0.0</v>
      </c>
      <c r="GGL45" s="5">
        <f>-'5. IRR'!GGM16</f>
        <v>-0.0</v>
      </c>
      <c r="GGM45" s="5">
        <f>-'5. IRR'!GGN16</f>
        <v>-0.0</v>
      </c>
      <c r="GGN45" s="5">
        <f>-'5. IRR'!GGO16</f>
        <v>-0.0</v>
      </c>
      <c r="GGO45" s="5">
        <f>-'5. IRR'!GGP16</f>
        <v>-0.0</v>
      </c>
      <c r="GGP45" s="5">
        <f>-'5. IRR'!GGQ16</f>
        <v>-0.0</v>
      </c>
      <c r="GGQ45" s="5">
        <f>-'5. IRR'!GGR16</f>
        <v>-0.0</v>
      </c>
      <c r="GGR45" s="5">
        <f>-'5. IRR'!GGS16</f>
        <v>-0.0</v>
      </c>
      <c r="GGS45" s="5">
        <f>-'5. IRR'!GGT16</f>
        <v>-0.0</v>
      </c>
      <c r="GGT45" s="5">
        <f>-'5. IRR'!GGU16</f>
        <v>-0.0</v>
      </c>
      <c r="GGU45" s="5">
        <f>-'5. IRR'!GGV16</f>
        <v>-0.0</v>
      </c>
      <c r="GGV45" s="5">
        <f>-'5. IRR'!GGW16</f>
        <v>-0.0</v>
      </c>
      <c r="GGW45" s="5">
        <f>-'5. IRR'!GGX16</f>
        <v>-0.0</v>
      </c>
      <c r="GGX45" s="5">
        <f>-'5. IRR'!GGY16</f>
        <v>-0.0</v>
      </c>
      <c r="GGY45" s="5">
        <f>-'5. IRR'!GGZ16</f>
        <v>-0.0</v>
      </c>
      <c r="GGZ45" s="5">
        <f>-'5. IRR'!GHA16</f>
        <v>-0.0</v>
      </c>
      <c r="GHA45" s="5">
        <f>-'5. IRR'!GHB16</f>
        <v>-0.0</v>
      </c>
      <c r="GHB45" s="5">
        <f>-'5. IRR'!GHC16</f>
        <v>-0.0</v>
      </c>
      <c r="GHC45" s="5">
        <f>-'5. IRR'!GHD16</f>
        <v>-0.0</v>
      </c>
      <c r="GHD45" s="5">
        <f>-'5. IRR'!GHE16</f>
        <v>-0.0</v>
      </c>
      <c r="GHE45" s="5">
        <f>-'5. IRR'!GHF16</f>
        <v>-0.0</v>
      </c>
      <c r="GHF45" s="5">
        <f>-'5. IRR'!GHG16</f>
        <v>-0.0</v>
      </c>
      <c r="GHG45" s="5">
        <f>-'5. IRR'!GHH16</f>
        <v>-0.0</v>
      </c>
      <c r="GHH45" s="5">
        <f>-'5. IRR'!GHI16</f>
        <v>-0.0</v>
      </c>
      <c r="GHI45" s="5">
        <f>-'5. IRR'!GHJ16</f>
        <v>-0.0</v>
      </c>
      <c r="GHJ45" s="5">
        <f>-'5. IRR'!GHK16</f>
        <v>-0.0</v>
      </c>
      <c r="GHK45" s="5">
        <f>-'5. IRR'!GHL16</f>
        <v>-0.0</v>
      </c>
      <c r="GHL45" s="5">
        <f>-'5. IRR'!GHM16</f>
        <v>-0.0</v>
      </c>
      <c r="GHM45" s="5">
        <f>-'5. IRR'!GHN16</f>
        <v>-0.0</v>
      </c>
      <c r="GHN45" s="5">
        <f>-'5. IRR'!GHO16</f>
        <v>-0.0</v>
      </c>
      <c r="GHO45" s="5">
        <f>-'5. IRR'!GHP16</f>
        <v>-0.0</v>
      </c>
      <c r="GHP45" s="5">
        <f>-'5. IRR'!GHQ16</f>
        <v>-0.0</v>
      </c>
      <c r="GHQ45" s="5">
        <f>-'5. IRR'!GHR16</f>
        <v>-0.0</v>
      </c>
      <c r="GHR45" s="5">
        <f>-'5. IRR'!GHS16</f>
        <v>-0.0</v>
      </c>
      <c r="GHS45" s="5">
        <f>-'5. IRR'!GHT16</f>
        <v>-0.0</v>
      </c>
      <c r="GHT45" s="5">
        <f>-'5. IRR'!GHU16</f>
        <v>-0.0</v>
      </c>
      <c r="GHU45" s="5">
        <f>-'5. IRR'!GHV16</f>
        <v>-0.0</v>
      </c>
      <c r="GHV45" s="5">
        <f>-'5. IRR'!GHW16</f>
        <v>-0.0</v>
      </c>
      <c r="GHW45" s="5">
        <f>-'5. IRR'!GHX16</f>
        <v>-0.0</v>
      </c>
      <c r="GHX45" s="5">
        <f>-'5. IRR'!GHY16</f>
        <v>-0.0</v>
      </c>
      <c r="GHY45" s="5">
        <f>-'5. IRR'!GHZ16</f>
        <v>-0.0</v>
      </c>
      <c r="GHZ45" s="5">
        <f>-'5. IRR'!GIA16</f>
        <v>-0.0</v>
      </c>
      <c r="GIA45" s="5">
        <f>-'5. IRR'!GIB16</f>
        <v>-0.0</v>
      </c>
      <c r="GIB45" s="5">
        <f>-'5. IRR'!GIC16</f>
        <v>-0.0</v>
      </c>
      <c r="GIC45" s="5">
        <f>-'5. IRR'!GID16</f>
        <v>-0.0</v>
      </c>
      <c r="GID45" s="5">
        <f>-'5. IRR'!GIE16</f>
        <v>-0.0</v>
      </c>
      <c r="GIE45" s="5">
        <f>-'5. IRR'!GIF16</f>
        <v>-0.0</v>
      </c>
      <c r="GIF45" s="5">
        <f>-'5. IRR'!GIG16</f>
        <v>-0.0</v>
      </c>
      <c r="GIG45" s="5">
        <f>-'5. IRR'!GIH16</f>
        <v>-0.0</v>
      </c>
      <c r="GIH45" s="5">
        <f>-'5. IRR'!GII16</f>
        <v>-0.0</v>
      </c>
      <c r="GII45" s="5">
        <f>-'5. IRR'!GIJ16</f>
        <v>-0.0</v>
      </c>
      <c r="GIJ45" s="5">
        <f>-'5. IRR'!GIK16</f>
        <v>-0.0</v>
      </c>
      <c r="GIK45" s="5">
        <f>-'5. IRR'!GIL16</f>
        <v>-0.0</v>
      </c>
      <c r="GIL45" s="5">
        <f>-'5. IRR'!GIM16</f>
        <v>-0.0</v>
      </c>
      <c r="GIM45" s="5">
        <f>-'5. IRR'!GIN16</f>
        <v>-0.0</v>
      </c>
      <c r="GIN45" s="5">
        <f>-'5. IRR'!GIO16</f>
        <v>-0.0</v>
      </c>
      <c r="GIO45" s="5">
        <f>-'5. IRR'!GIP16</f>
        <v>-0.0</v>
      </c>
      <c r="GIP45" s="5">
        <f>-'5. IRR'!GIQ16</f>
        <v>-0.0</v>
      </c>
      <c r="GIQ45" s="5">
        <f>-'5. IRR'!GIR16</f>
        <v>-0.0</v>
      </c>
      <c r="GIR45" s="5">
        <f>-'5. IRR'!GIS16</f>
        <v>-0.0</v>
      </c>
      <c r="GIS45" s="5">
        <f>-'5. IRR'!GIT16</f>
        <v>-0.0</v>
      </c>
      <c r="GIT45" s="5">
        <f>-'5. IRR'!GIU16</f>
        <v>-0.0</v>
      </c>
      <c r="GIU45" s="5">
        <f>-'5. IRR'!GIV16</f>
        <v>-0.0</v>
      </c>
      <c r="GIV45" s="5">
        <f>-'5. IRR'!GIW16</f>
        <v>-0.0</v>
      </c>
      <c r="GIW45" s="5">
        <f>-'5. IRR'!GIX16</f>
        <v>-0.0</v>
      </c>
      <c r="GIX45" s="5">
        <f>-'5. IRR'!GIY16</f>
        <v>-0.0</v>
      </c>
      <c r="GIY45" s="5">
        <f>-'5. IRR'!GIZ16</f>
        <v>-0.0</v>
      </c>
      <c r="GIZ45" s="5">
        <f>-'5. IRR'!GJA16</f>
        <v>-0.0</v>
      </c>
      <c r="GJA45" s="5">
        <f>-'5. IRR'!GJB16</f>
        <v>-0.0</v>
      </c>
      <c r="GJB45" s="5">
        <f>-'5. IRR'!GJC16</f>
        <v>-0.0</v>
      </c>
      <c r="GJC45" s="5">
        <f>-'5. IRR'!GJD16</f>
        <v>-0.0</v>
      </c>
      <c r="GJD45" s="5">
        <f>-'5. IRR'!GJE16</f>
        <v>-0.0</v>
      </c>
      <c r="GJE45" s="5">
        <f>-'5. IRR'!GJF16</f>
        <v>-0.0</v>
      </c>
      <c r="GJF45" s="5">
        <f>-'5. IRR'!GJG16</f>
        <v>-0.0</v>
      </c>
      <c r="GJG45" s="5">
        <f>-'5. IRR'!GJH16</f>
        <v>-0.0</v>
      </c>
      <c r="GJH45" s="5">
        <f>-'5. IRR'!GJI16</f>
        <v>-0.0</v>
      </c>
      <c r="GJI45" s="5">
        <f>-'5. IRR'!GJJ16</f>
        <v>-0.0</v>
      </c>
      <c r="GJJ45" s="5">
        <f>-'5. IRR'!GJK16</f>
        <v>-0.0</v>
      </c>
      <c r="GJK45" s="5">
        <f>-'5. IRR'!GJL16</f>
        <v>-0.0</v>
      </c>
      <c r="GJL45" s="5">
        <f>-'5. IRR'!GJM16</f>
        <v>-0.0</v>
      </c>
      <c r="GJM45" s="5">
        <f>-'5. IRR'!GJN16</f>
        <v>-0.0</v>
      </c>
      <c r="GJN45" s="5">
        <f>-'5. IRR'!GJO16</f>
        <v>-0.0</v>
      </c>
      <c r="GJO45" s="5">
        <f>-'5. IRR'!GJP16</f>
        <v>-0.0</v>
      </c>
      <c r="GJP45" s="5">
        <f>-'5. IRR'!GJQ16</f>
        <v>-0.0</v>
      </c>
      <c r="GJQ45" s="5">
        <f>-'5. IRR'!GJR16</f>
        <v>-0.0</v>
      </c>
      <c r="GJR45" s="5">
        <f>-'5. IRR'!GJS16</f>
        <v>-0.0</v>
      </c>
      <c r="GJS45" s="5">
        <f>-'5. IRR'!GJT16</f>
        <v>-0.0</v>
      </c>
      <c r="GJT45" s="5">
        <f>-'5. IRR'!GJU16</f>
        <v>-0.0</v>
      </c>
      <c r="GJU45" s="5">
        <f>-'5. IRR'!GJV16</f>
        <v>-0.0</v>
      </c>
      <c r="GJV45" s="5">
        <f>-'5. IRR'!GJW16</f>
        <v>-0.0</v>
      </c>
      <c r="GJW45" s="5">
        <f>-'5. IRR'!GJX16</f>
        <v>-0.0</v>
      </c>
      <c r="GJX45" s="5">
        <f>-'5. IRR'!GJY16</f>
        <v>-0.0</v>
      </c>
      <c r="GJY45" s="5">
        <f>-'5. IRR'!GJZ16</f>
        <v>-0.0</v>
      </c>
      <c r="GJZ45" s="5">
        <f>-'5. IRR'!GKA16</f>
        <v>-0.0</v>
      </c>
      <c r="GKA45" s="5">
        <f>-'5. IRR'!GKB16</f>
        <v>-0.0</v>
      </c>
      <c r="GKB45" s="5">
        <f>-'5. IRR'!GKC16</f>
        <v>-0.0</v>
      </c>
      <c r="GKC45" s="5">
        <f>-'5. IRR'!GKD16</f>
        <v>-0.0</v>
      </c>
      <c r="GKD45" s="5">
        <f>-'5. IRR'!GKE16</f>
        <v>-0.0</v>
      </c>
      <c r="GKE45" s="5">
        <f>-'5. IRR'!GKF16</f>
        <v>-0.0</v>
      </c>
      <c r="GKF45" s="5">
        <f>-'5. IRR'!GKG16</f>
        <v>-0.0</v>
      </c>
      <c r="GKG45" s="5">
        <f>-'5. IRR'!GKH16</f>
        <v>-0.0</v>
      </c>
      <c r="GKH45" s="5">
        <f>-'5. IRR'!GKI16</f>
        <v>-0.0</v>
      </c>
      <c r="GKI45" s="5">
        <f>-'5. IRR'!GKJ16</f>
        <v>-0.0</v>
      </c>
      <c r="GKJ45" s="5">
        <f>-'5. IRR'!GKK16</f>
        <v>-0.0</v>
      </c>
      <c r="GKK45" s="5">
        <f>-'5. IRR'!GKL16</f>
        <v>-0.0</v>
      </c>
      <c r="GKL45" s="5">
        <f>-'5. IRR'!GKM16</f>
        <v>-0.0</v>
      </c>
      <c r="GKM45" s="5">
        <f>-'5. IRR'!GKN16</f>
        <v>-0.0</v>
      </c>
      <c r="GKN45" s="5">
        <f>-'5. IRR'!GKO16</f>
        <v>-0.0</v>
      </c>
      <c r="GKO45" s="5">
        <f>-'5. IRR'!GKP16</f>
        <v>-0.0</v>
      </c>
      <c r="GKP45" s="5">
        <f>-'5. IRR'!GKQ16</f>
        <v>-0.0</v>
      </c>
      <c r="GKQ45" s="5">
        <f>-'5. IRR'!GKR16</f>
        <v>-0.0</v>
      </c>
      <c r="GKR45" s="5">
        <f>-'5. IRR'!GKS16</f>
        <v>-0.0</v>
      </c>
      <c r="GKS45" s="5">
        <f>-'5. IRR'!GKT16</f>
        <v>-0.0</v>
      </c>
      <c r="GKT45" s="5">
        <f>-'5. IRR'!GKU16</f>
        <v>-0.0</v>
      </c>
      <c r="GKU45" s="5">
        <f>-'5. IRR'!GKV16</f>
        <v>-0.0</v>
      </c>
      <c r="GKV45" s="5">
        <f>-'5. IRR'!GKW16</f>
        <v>-0.0</v>
      </c>
      <c r="GKW45" s="5">
        <f>-'5. IRR'!GKX16</f>
        <v>-0.0</v>
      </c>
      <c r="GKX45" s="5">
        <f>-'5. IRR'!GKY16</f>
        <v>-0.0</v>
      </c>
      <c r="GKY45" s="5">
        <f>-'5. IRR'!GKZ16</f>
        <v>-0.0</v>
      </c>
      <c r="GKZ45" s="5">
        <f>-'5. IRR'!GLA16</f>
        <v>-0.0</v>
      </c>
      <c r="GLA45" s="5">
        <f>-'5. IRR'!GLB16</f>
        <v>-0.0</v>
      </c>
      <c r="GLB45" s="5">
        <f>-'5. IRR'!GLC16</f>
        <v>-0.0</v>
      </c>
      <c r="GLC45" s="5">
        <f>-'5. IRR'!GLD16</f>
        <v>-0.0</v>
      </c>
      <c r="GLD45" s="5">
        <f>-'5. IRR'!GLE16</f>
        <v>-0.0</v>
      </c>
      <c r="GLE45" s="5">
        <f>-'5. IRR'!GLF16</f>
        <v>-0.0</v>
      </c>
      <c r="GLF45" s="5">
        <f>-'5. IRR'!GLG16</f>
        <v>-0.0</v>
      </c>
      <c r="GLG45" s="5">
        <f>-'5. IRR'!GLH16</f>
        <v>-0.0</v>
      </c>
      <c r="GLH45" s="5">
        <f>-'5. IRR'!GLI16</f>
        <v>-0.0</v>
      </c>
      <c r="GLI45" s="5">
        <f>-'5. IRR'!GLJ16</f>
        <v>-0.0</v>
      </c>
      <c r="GLJ45" s="5">
        <f>-'5. IRR'!GLK16</f>
        <v>-0.0</v>
      </c>
      <c r="GLK45" s="5">
        <f>-'5. IRR'!GLL16</f>
        <v>-0.0</v>
      </c>
      <c r="GLL45" s="5">
        <f>-'5. IRR'!GLM16</f>
        <v>-0.0</v>
      </c>
      <c r="GLM45" s="5">
        <f>-'5. IRR'!GLN16</f>
        <v>-0.0</v>
      </c>
      <c r="GLN45" s="5">
        <f>-'5. IRR'!GLO16</f>
        <v>-0.0</v>
      </c>
      <c r="GLO45" s="5">
        <f>-'5. IRR'!GLP16</f>
        <v>-0.0</v>
      </c>
      <c r="GLP45" s="5">
        <f>-'5. IRR'!GLQ16</f>
        <v>-0.0</v>
      </c>
      <c r="GLQ45" s="5">
        <f>-'5. IRR'!GLR16</f>
        <v>-0.0</v>
      </c>
      <c r="GLR45" s="5">
        <f>-'5. IRR'!GLS16</f>
        <v>-0.0</v>
      </c>
      <c r="GLS45" s="5">
        <f>-'5. IRR'!GLT16</f>
        <v>-0.0</v>
      </c>
      <c r="GLT45" s="5">
        <f>-'5. IRR'!GLU16</f>
        <v>-0.0</v>
      </c>
      <c r="GLU45" s="5">
        <f>-'5. IRR'!GLV16</f>
        <v>-0.0</v>
      </c>
      <c r="GLV45" s="5">
        <f>-'5. IRR'!GLW16</f>
        <v>-0.0</v>
      </c>
      <c r="GLW45" s="5">
        <f>-'5. IRR'!GLX16</f>
        <v>-0.0</v>
      </c>
      <c r="GLX45" s="5">
        <f>-'5. IRR'!GLY16</f>
        <v>-0.0</v>
      </c>
      <c r="GLY45" s="5">
        <f>-'5. IRR'!GLZ16</f>
        <v>-0.0</v>
      </c>
      <c r="GLZ45" s="5">
        <f>-'5. IRR'!GMA16</f>
        <v>-0.0</v>
      </c>
      <c r="GMA45" s="5">
        <f>-'5. IRR'!GMB16</f>
        <v>-0.0</v>
      </c>
      <c r="GMB45" s="5">
        <f>-'5. IRR'!GMC16</f>
        <v>-0.0</v>
      </c>
      <c r="GMC45" s="5">
        <f>-'5. IRR'!GMD16</f>
        <v>-0.0</v>
      </c>
      <c r="GMD45" s="5">
        <f>-'5. IRR'!GME16</f>
        <v>-0.0</v>
      </c>
      <c r="GME45" s="5">
        <f>-'5. IRR'!GMF16</f>
        <v>-0.0</v>
      </c>
      <c r="GMF45" s="5">
        <f>-'5. IRR'!GMG16</f>
        <v>-0.0</v>
      </c>
      <c r="GMG45" s="5">
        <f>-'5. IRR'!GMH16</f>
        <v>-0.0</v>
      </c>
      <c r="GMH45" s="5">
        <f>-'5. IRR'!GMI16</f>
        <v>-0.0</v>
      </c>
      <c r="GMI45" s="5">
        <f>-'5. IRR'!GMJ16</f>
        <v>-0.0</v>
      </c>
      <c r="GMJ45" s="5">
        <f>-'5. IRR'!GMK16</f>
        <v>-0.0</v>
      </c>
      <c r="GMK45" s="5">
        <f>-'5. IRR'!GML16</f>
        <v>-0.0</v>
      </c>
      <c r="GML45" s="5">
        <f>-'5. IRR'!GMM16</f>
        <v>-0.0</v>
      </c>
      <c r="GMM45" s="5">
        <f>-'5. IRR'!GMN16</f>
        <v>-0.0</v>
      </c>
      <c r="GMN45" s="5">
        <f>-'5. IRR'!GMO16</f>
        <v>-0.0</v>
      </c>
      <c r="GMO45" s="5">
        <f>-'5. IRR'!GMP16</f>
        <v>-0.0</v>
      </c>
      <c r="GMP45" s="5">
        <f>-'5. IRR'!GMQ16</f>
        <v>-0.0</v>
      </c>
      <c r="GMQ45" s="5">
        <f>-'5. IRR'!GMR16</f>
        <v>-0.0</v>
      </c>
      <c r="GMR45" s="5">
        <f>-'5. IRR'!GMS16</f>
        <v>-0.0</v>
      </c>
      <c r="GMS45" s="5">
        <f>-'5. IRR'!GMT16</f>
        <v>-0.0</v>
      </c>
      <c r="GMT45" s="5">
        <f>-'5. IRR'!GMU16</f>
        <v>-0.0</v>
      </c>
      <c r="GMU45" s="5">
        <f>-'5. IRR'!GMV16</f>
        <v>-0.0</v>
      </c>
      <c r="GMV45" s="5">
        <f>-'5. IRR'!GMW16</f>
        <v>-0.0</v>
      </c>
      <c r="GMW45" s="5">
        <f>-'5. IRR'!GMX16</f>
        <v>-0.0</v>
      </c>
      <c r="GMX45" s="5">
        <f>-'5. IRR'!GMY16</f>
        <v>-0.0</v>
      </c>
      <c r="GMY45" s="5">
        <f>-'5. IRR'!GMZ16</f>
        <v>-0.0</v>
      </c>
      <c r="GMZ45" s="5">
        <f>-'5. IRR'!GNA16</f>
        <v>-0.0</v>
      </c>
      <c r="GNA45" s="5">
        <f>-'5. IRR'!GNB16</f>
        <v>-0.0</v>
      </c>
      <c r="GNB45" s="5">
        <f>-'5. IRR'!GNC16</f>
        <v>-0.0</v>
      </c>
      <c r="GNC45" s="5">
        <f>-'5. IRR'!GND16</f>
        <v>-0.0</v>
      </c>
      <c r="GND45" s="5">
        <f>-'5. IRR'!GNE16</f>
        <v>-0.0</v>
      </c>
      <c r="GNE45" s="5">
        <f>-'5. IRR'!GNF16</f>
        <v>-0.0</v>
      </c>
      <c r="GNF45" s="5">
        <f>-'5. IRR'!GNG16</f>
        <v>-0.0</v>
      </c>
      <c r="GNG45" s="5">
        <f>-'5. IRR'!GNH16</f>
        <v>-0.0</v>
      </c>
      <c r="GNH45" s="5">
        <f>-'5. IRR'!GNI16</f>
        <v>-0.0</v>
      </c>
      <c r="GNI45" s="5">
        <f>-'5. IRR'!GNJ16</f>
        <v>-0.0</v>
      </c>
      <c r="GNJ45" s="5">
        <f>-'5. IRR'!GNK16</f>
        <v>-0.0</v>
      </c>
      <c r="GNK45" s="5">
        <f>-'5. IRR'!GNL16</f>
        <v>-0.0</v>
      </c>
      <c r="GNL45" s="5">
        <f>-'5. IRR'!GNM16</f>
        <v>-0.0</v>
      </c>
      <c r="GNM45" s="5">
        <f>-'5. IRR'!GNN16</f>
        <v>-0.0</v>
      </c>
      <c r="GNN45" s="5">
        <f>-'5. IRR'!GNO16</f>
        <v>-0.0</v>
      </c>
      <c r="GNO45" s="5">
        <f>-'5. IRR'!GNP16</f>
        <v>-0.0</v>
      </c>
      <c r="GNP45" s="5">
        <f>-'5. IRR'!GNQ16</f>
        <v>-0.0</v>
      </c>
      <c r="GNQ45" s="5">
        <f>-'5. IRR'!GNR16</f>
        <v>-0.0</v>
      </c>
      <c r="GNR45" s="5">
        <f>-'5. IRR'!GNS16</f>
        <v>-0.0</v>
      </c>
      <c r="GNS45" s="5">
        <f>-'5. IRR'!GNT16</f>
        <v>-0.0</v>
      </c>
      <c r="GNT45" s="5">
        <f>-'5. IRR'!GNU16</f>
        <v>-0.0</v>
      </c>
      <c r="GNU45" s="5">
        <f>-'5. IRR'!GNV16</f>
        <v>-0.0</v>
      </c>
      <c r="GNV45" s="5">
        <f>-'5. IRR'!GNW16</f>
        <v>-0.0</v>
      </c>
      <c r="GNW45" s="5">
        <f>-'5. IRR'!GNX16</f>
        <v>-0.0</v>
      </c>
      <c r="GNX45" s="5">
        <f>-'5. IRR'!GNY16</f>
        <v>-0.0</v>
      </c>
      <c r="GNY45" s="5">
        <f>-'5. IRR'!GNZ16</f>
        <v>-0.0</v>
      </c>
      <c r="GNZ45" s="5">
        <f>-'5. IRR'!GOA16</f>
        <v>-0.0</v>
      </c>
      <c r="GOA45" s="5">
        <f>-'5. IRR'!GOB16</f>
        <v>-0.0</v>
      </c>
      <c r="GOB45" s="5">
        <f>-'5. IRR'!GOC16</f>
        <v>-0.0</v>
      </c>
      <c r="GOC45" s="5">
        <f>-'5. IRR'!GOD16</f>
        <v>-0.0</v>
      </c>
      <c r="GOD45" s="5">
        <f>-'5. IRR'!GOE16</f>
        <v>-0.0</v>
      </c>
      <c r="GOE45" s="5">
        <f>-'5. IRR'!GOF16</f>
        <v>-0.0</v>
      </c>
      <c r="GOF45" s="5">
        <f>-'5. IRR'!GOG16</f>
        <v>-0.0</v>
      </c>
      <c r="GOG45" s="5">
        <f>-'5. IRR'!GOH16</f>
        <v>-0.0</v>
      </c>
      <c r="GOH45" s="5">
        <f>-'5. IRR'!GOI16</f>
        <v>-0.0</v>
      </c>
      <c r="GOI45" s="5">
        <f>-'5. IRR'!GOJ16</f>
        <v>-0.0</v>
      </c>
      <c r="GOJ45" s="5">
        <f>-'5. IRR'!GOK16</f>
        <v>-0.0</v>
      </c>
      <c r="GOK45" s="5">
        <f>-'5. IRR'!GOL16</f>
        <v>-0.0</v>
      </c>
      <c r="GOL45" s="5">
        <f>-'5. IRR'!GOM16</f>
        <v>-0.0</v>
      </c>
      <c r="GOM45" s="5">
        <f>-'5. IRR'!GON16</f>
        <v>-0.0</v>
      </c>
      <c r="GON45" s="5">
        <f>-'5. IRR'!GOO16</f>
        <v>-0.0</v>
      </c>
      <c r="GOO45" s="5">
        <f>-'5. IRR'!GOP16</f>
        <v>-0.0</v>
      </c>
      <c r="GOP45" s="5">
        <f>-'5. IRR'!GOQ16</f>
        <v>-0.0</v>
      </c>
      <c r="GOQ45" s="5">
        <f>-'5. IRR'!GOR16</f>
        <v>-0.0</v>
      </c>
      <c r="GOR45" s="5">
        <f>-'5. IRR'!GOS16</f>
        <v>-0.0</v>
      </c>
      <c r="GOS45" s="5">
        <f>-'5. IRR'!GOT16</f>
        <v>-0.0</v>
      </c>
      <c r="GOT45" s="5">
        <f>-'5. IRR'!GOU16</f>
        <v>-0.0</v>
      </c>
      <c r="GOU45" s="5">
        <f>-'5. IRR'!GOV16</f>
        <v>-0.0</v>
      </c>
      <c r="GOV45" s="5">
        <f>-'5. IRR'!GOW16</f>
        <v>-0.0</v>
      </c>
      <c r="GOW45" s="5">
        <f>-'5. IRR'!GOX16</f>
        <v>-0.0</v>
      </c>
      <c r="GOX45" s="5">
        <f>-'5. IRR'!GOY16</f>
        <v>-0.0</v>
      </c>
      <c r="GOY45" s="5">
        <f>-'5. IRR'!GOZ16</f>
        <v>-0.0</v>
      </c>
      <c r="GOZ45" s="5">
        <f>-'5. IRR'!GPA16</f>
        <v>-0.0</v>
      </c>
      <c r="GPA45" s="5">
        <f>-'5. IRR'!GPB16</f>
        <v>-0.0</v>
      </c>
      <c r="GPB45" s="5">
        <f>-'5. IRR'!GPC16</f>
        <v>-0.0</v>
      </c>
      <c r="GPC45" s="5">
        <f>-'5. IRR'!GPD16</f>
        <v>-0.0</v>
      </c>
      <c r="GPD45" s="5">
        <f>-'5. IRR'!GPE16</f>
        <v>-0.0</v>
      </c>
      <c r="GPE45" s="5">
        <f>-'5. IRR'!GPF16</f>
        <v>-0.0</v>
      </c>
      <c r="GPF45" s="5">
        <f>-'5. IRR'!GPG16</f>
        <v>-0.0</v>
      </c>
      <c r="GPG45" s="5">
        <f>-'5. IRR'!GPH16</f>
        <v>-0.0</v>
      </c>
      <c r="GPH45" s="5">
        <f>-'5. IRR'!GPI16</f>
        <v>-0.0</v>
      </c>
      <c r="GPI45" s="5">
        <f>-'5. IRR'!GPJ16</f>
        <v>-0.0</v>
      </c>
      <c r="GPJ45" s="5">
        <f>-'5. IRR'!GPK16</f>
        <v>-0.0</v>
      </c>
      <c r="GPK45" s="5">
        <f>-'5. IRR'!GPL16</f>
        <v>-0.0</v>
      </c>
      <c r="GPL45" s="5">
        <f>-'5. IRR'!GPM16</f>
        <v>-0.0</v>
      </c>
      <c r="GPM45" s="5">
        <f>-'5. IRR'!GPN16</f>
        <v>-0.0</v>
      </c>
      <c r="GPN45" s="5">
        <f>-'5. IRR'!GPO16</f>
        <v>-0.0</v>
      </c>
      <c r="GPO45" s="5">
        <f>-'5. IRR'!GPP16</f>
        <v>-0.0</v>
      </c>
      <c r="GPP45" s="5">
        <f>-'5. IRR'!GPQ16</f>
        <v>-0.0</v>
      </c>
      <c r="GPQ45" s="5">
        <f>-'5. IRR'!GPR16</f>
        <v>-0.0</v>
      </c>
      <c r="GPR45" s="5">
        <f>-'5. IRR'!GPS16</f>
        <v>-0.0</v>
      </c>
      <c r="GPS45" s="5">
        <f>-'5. IRR'!GPT16</f>
        <v>-0.0</v>
      </c>
      <c r="GPT45" s="5">
        <f>-'5. IRR'!GPU16</f>
        <v>-0.0</v>
      </c>
      <c r="GPU45" s="5">
        <f>-'5. IRR'!GPV16</f>
        <v>-0.0</v>
      </c>
      <c r="GPV45" s="5">
        <f>-'5. IRR'!GPW16</f>
        <v>-0.0</v>
      </c>
      <c r="GPW45" s="5">
        <f>-'5. IRR'!GPX16</f>
        <v>-0.0</v>
      </c>
      <c r="GPX45" s="5">
        <f>-'5. IRR'!GPY16</f>
        <v>-0.0</v>
      </c>
      <c r="GPY45" s="5">
        <f>-'5. IRR'!GPZ16</f>
        <v>-0.0</v>
      </c>
      <c r="GPZ45" s="5">
        <f>-'5. IRR'!GQA16</f>
        <v>-0.0</v>
      </c>
      <c r="GQA45" s="5">
        <f>-'5. IRR'!GQB16</f>
        <v>-0.0</v>
      </c>
      <c r="GQB45" s="5">
        <f>-'5. IRR'!GQC16</f>
        <v>-0.0</v>
      </c>
      <c r="GQC45" s="5">
        <f>-'5. IRR'!GQD16</f>
        <v>-0.0</v>
      </c>
      <c r="GQD45" s="5">
        <f>-'5. IRR'!GQE16</f>
        <v>-0.0</v>
      </c>
      <c r="GQE45" s="5">
        <f>-'5. IRR'!GQF16</f>
        <v>-0.0</v>
      </c>
      <c r="GQF45" s="5">
        <f>-'5. IRR'!GQG16</f>
        <v>-0.0</v>
      </c>
      <c r="GQG45" s="5">
        <f>-'5. IRR'!GQH16</f>
        <v>-0.0</v>
      </c>
      <c r="GQH45" s="5">
        <f>-'5. IRR'!GQI16</f>
        <v>-0.0</v>
      </c>
      <c r="GQI45" s="5">
        <f>-'5. IRR'!GQJ16</f>
        <v>-0.0</v>
      </c>
      <c r="GQJ45" s="5">
        <f>-'5. IRR'!GQK16</f>
        <v>-0.0</v>
      </c>
      <c r="GQK45" s="5">
        <f>-'5. IRR'!GQL16</f>
        <v>-0.0</v>
      </c>
      <c r="GQL45" s="5">
        <f>-'5. IRR'!GQM16</f>
        <v>-0.0</v>
      </c>
      <c r="GQM45" s="5">
        <f>-'5. IRR'!GQN16</f>
        <v>-0.0</v>
      </c>
      <c r="GQN45" s="5">
        <f>-'5. IRR'!GQO16</f>
        <v>-0.0</v>
      </c>
      <c r="GQO45" s="5">
        <f>-'5. IRR'!GQP16</f>
        <v>-0.0</v>
      </c>
      <c r="GQP45" s="5">
        <f>-'5. IRR'!GQQ16</f>
        <v>-0.0</v>
      </c>
      <c r="GQQ45" s="5">
        <f>-'5. IRR'!GQR16</f>
        <v>-0.0</v>
      </c>
      <c r="GQR45" s="5">
        <f>-'5. IRR'!GQS16</f>
        <v>-0.0</v>
      </c>
      <c r="GQS45" s="5">
        <f>-'5. IRR'!GQT16</f>
        <v>-0.0</v>
      </c>
      <c r="GQT45" s="5">
        <f>-'5. IRR'!GQU16</f>
        <v>-0.0</v>
      </c>
      <c r="GQU45" s="5">
        <f>-'5. IRR'!GQV16</f>
        <v>-0.0</v>
      </c>
      <c r="GQV45" s="5">
        <f>-'5. IRR'!GQW16</f>
        <v>-0.0</v>
      </c>
      <c r="GQW45" s="5">
        <f>-'5. IRR'!GQX16</f>
        <v>-0.0</v>
      </c>
      <c r="GQX45" s="5">
        <f>-'5. IRR'!GQY16</f>
        <v>-0.0</v>
      </c>
      <c r="GQY45" s="5">
        <f>-'5. IRR'!GQZ16</f>
        <v>-0.0</v>
      </c>
      <c r="GQZ45" s="5">
        <f>-'5. IRR'!GRA16</f>
        <v>-0.0</v>
      </c>
      <c r="GRA45" s="5">
        <f>-'5. IRR'!GRB16</f>
        <v>-0.0</v>
      </c>
      <c r="GRB45" s="5">
        <f>-'5. IRR'!GRC16</f>
        <v>-0.0</v>
      </c>
      <c r="GRC45" s="5">
        <f>-'5. IRR'!GRD16</f>
        <v>-0.0</v>
      </c>
      <c r="GRD45" s="5">
        <f>-'5. IRR'!GRE16</f>
        <v>-0.0</v>
      </c>
      <c r="GRE45" s="5">
        <f>-'5. IRR'!GRF16</f>
        <v>-0.0</v>
      </c>
      <c r="GRF45" s="5">
        <f>-'5. IRR'!GRG16</f>
        <v>-0.0</v>
      </c>
      <c r="GRG45" s="5">
        <f>-'5. IRR'!GRH16</f>
        <v>-0.0</v>
      </c>
      <c r="GRH45" s="5">
        <f>-'5. IRR'!GRI16</f>
        <v>-0.0</v>
      </c>
      <c r="GRI45" s="5">
        <f>-'5. IRR'!GRJ16</f>
        <v>-0.0</v>
      </c>
      <c r="GRJ45" s="5">
        <f>-'5. IRR'!GRK16</f>
        <v>-0.0</v>
      </c>
      <c r="GRK45" s="5">
        <f>-'5. IRR'!GRL16</f>
        <v>-0.0</v>
      </c>
      <c r="GRL45" s="5">
        <f>-'5. IRR'!GRM16</f>
        <v>-0.0</v>
      </c>
      <c r="GRM45" s="5">
        <f>-'5. IRR'!GRN16</f>
        <v>-0.0</v>
      </c>
      <c r="GRN45" s="5">
        <f>-'5. IRR'!GRO16</f>
        <v>-0.0</v>
      </c>
      <c r="GRO45" s="5">
        <f>-'5. IRR'!GRP16</f>
        <v>-0.0</v>
      </c>
      <c r="GRP45" s="5">
        <f>-'5. IRR'!GRQ16</f>
        <v>-0.0</v>
      </c>
      <c r="GRQ45" s="5">
        <f>-'5. IRR'!GRR16</f>
        <v>-0.0</v>
      </c>
      <c r="GRR45" s="5">
        <f>-'5. IRR'!GRS16</f>
        <v>-0.0</v>
      </c>
      <c r="GRS45" s="5">
        <f>-'5. IRR'!GRT16</f>
        <v>-0.0</v>
      </c>
      <c r="GRT45" s="5">
        <f>-'5. IRR'!GRU16</f>
        <v>-0.0</v>
      </c>
      <c r="GRU45" s="5">
        <f>-'5. IRR'!GRV16</f>
        <v>-0.0</v>
      </c>
      <c r="GRV45" s="5">
        <f>-'5. IRR'!GRW16</f>
        <v>-0.0</v>
      </c>
      <c r="GRW45" s="5">
        <f>-'5. IRR'!GRX16</f>
        <v>-0.0</v>
      </c>
      <c r="GRX45" s="5">
        <f>-'5. IRR'!GRY16</f>
        <v>-0.0</v>
      </c>
      <c r="GRY45" s="5">
        <f>-'5. IRR'!GRZ16</f>
        <v>-0.0</v>
      </c>
      <c r="GRZ45" s="5">
        <f>-'5. IRR'!GSA16</f>
        <v>-0.0</v>
      </c>
      <c r="GSA45" s="5">
        <f>-'5. IRR'!GSB16</f>
        <v>-0.0</v>
      </c>
      <c r="GSB45" s="5">
        <f>-'5. IRR'!GSC16</f>
        <v>-0.0</v>
      </c>
      <c r="GSC45" s="5">
        <f>-'5. IRR'!GSD16</f>
        <v>-0.0</v>
      </c>
      <c r="GSD45" s="5">
        <f>-'5. IRR'!GSE16</f>
        <v>-0.0</v>
      </c>
      <c r="GSE45" s="5">
        <f>-'5. IRR'!GSF16</f>
        <v>-0.0</v>
      </c>
      <c r="GSF45" s="5">
        <f>-'5. IRR'!GSG16</f>
        <v>-0.0</v>
      </c>
      <c r="GSG45" s="5">
        <f>-'5. IRR'!GSH16</f>
        <v>-0.0</v>
      </c>
      <c r="GSH45" s="5">
        <f>-'5. IRR'!GSI16</f>
        <v>-0.0</v>
      </c>
      <c r="GSI45" s="5">
        <f>-'5. IRR'!GSJ16</f>
        <v>-0.0</v>
      </c>
      <c r="GSJ45" s="5">
        <f>-'5. IRR'!GSK16</f>
        <v>-0.0</v>
      </c>
      <c r="GSK45" s="5">
        <f>-'5. IRR'!GSL16</f>
        <v>-0.0</v>
      </c>
      <c r="GSL45" s="5">
        <f>-'5. IRR'!GSM16</f>
        <v>-0.0</v>
      </c>
      <c r="GSM45" s="5">
        <f>-'5. IRR'!GSN16</f>
        <v>-0.0</v>
      </c>
      <c r="GSN45" s="5">
        <f>-'5. IRR'!GSO16</f>
        <v>-0.0</v>
      </c>
      <c r="GSO45" s="5">
        <f>-'5. IRR'!GSP16</f>
        <v>-0.0</v>
      </c>
      <c r="GSP45" s="5">
        <f>-'5. IRR'!GSQ16</f>
        <v>-0.0</v>
      </c>
      <c r="GSQ45" s="5">
        <f>-'5. IRR'!GSR16</f>
        <v>-0.0</v>
      </c>
      <c r="GSR45" s="5">
        <f>-'5. IRR'!GSS16</f>
        <v>-0.0</v>
      </c>
      <c r="GSS45" s="5">
        <f>-'5. IRR'!GST16</f>
        <v>-0.0</v>
      </c>
      <c r="GST45" s="5">
        <f>-'5. IRR'!GSU16</f>
        <v>-0.0</v>
      </c>
      <c r="GSU45" s="5">
        <f>-'5. IRR'!GSV16</f>
        <v>-0.0</v>
      </c>
      <c r="GSV45" s="5">
        <f>-'5. IRR'!GSW16</f>
        <v>-0.0</v>
      </c>
      <c r="GSW45" s="5">
        <f>-'5. IRR'!GSX16</f>
        <v>-0.0</v>
      </c>
      <c r="GSX45" s="5">
        <f>-'5. IRR'!GSY16</f>
        <v>-0.0</v>
      </c>
      <c r="GSY45" s="5">
        <f>-'5. IRR'!GSZ16</f>
        <v>-0.0</v>
      </c>
      <c r="GSZ45" s="5">
        <f>-'5. IRR'!GTA16</f>
        <v>-0.0</v>
      </c>
      <c r="GTA45" s="5">
        <f>-'5. IRR'!GTB16</f>
        <v>-0.0</v>
      </c>
      <c r="GTB45" s="5">
        <f>-'5. IRR'!GTC16</f>
        <v>-0.0</v>
      </c>
      <c r="GTC45" s="5">
        <f>-'5. IRR'!GTD16</f>
        <v>-0.0</v>
      </c>
      <c r="GTD45" s="5">
        <f>-'5. IRR'!GTE16</f>
        <v>-0.0</v>
      </c>
      <c r="GTE45" s="5">
        <f>-'5. IRR'!GTF16</f>
        <v>-0.0</v>
      </c>
      <c r="GTF45" s="5">
        <f>-'5. IRR'!GTG16</f>
        <v>-0.0</v>
      </c>
      <c r="GTG45" s="5">
        <f>-'5. IRR'!GTH16</f>
        <v>-0.0</v>
      </c>
      <c r="GTH45" s="5">
        <f>-'5. IRR'!GTI16</f>
        <v>-0.0</v>
      </c>
      <c r="GTI45" s="5">
        <f>-'5. IRR'!GTJ16</f>
        <v>-0.0</v>
      </c>
      <c r="GTJ45" s="5">
        <f>-'5. IRR'!GTK16</f>
        <v>-0.0</v>
      </c>
      <c r="GTK45" s="5">
        <f>-'5. IRR'!GTL16</f>
        <v>-0.0</v>
      </c>
      <c r="GTL45" s="5">
        <f>-'5. IRR'!GTM16</f>
        <v>-0.0</v>
      </c>
      <c r="GTM45" s="5">
        <f>-'5. IRR'!GTN16</f>
        <v>-0.0</v>
      </c>
      <c r="GTN45" s="5">
        <f>-'5. IRR'!GTO16</f>
        <v>-0.0</v>
      </c>
      <c r="GTO45" s="5">
        <f>-'5. IRR'!GTP16</f>
        <v>-0.0</v>
      </c>
      <c r="GTP45" s="5">
        <f>-'5. IRR'!GTQ16</f>
        <v>-0.0</v>
      </c>
      <c r="GTQ45" s="5">
        <f>-'5. IRR'!GTR16</f>
        <v>-0.0</v>
      </c>
      <c r="GTR45" s="5">
        <f>-'5. IRR'!GTS16</f>
        <v>-0.0</v>
      </c>
      <c r="GTS45" s="5">
        <f>-'5. IRR'!GTT16</f>
        <v>-0.0</v>
      </c>
      <c r="GTT45" s="5">
        <f>-'5. IRR'!GTU16</f>
        <v>-0.0</v>
      </c>
      <c r="GTU45" s="5">
        <f>-'5. IRR'!GTV16</f>
        <v>-0.0</v>
      </c>
      <c r="GTV45" s="5">
        <f>-'5. IRR'!GTW16</f>
        <v>-0.0</v>
      </c>
      <c r="GTW45" s="5">
        <f>-'5. IRR'!GTX16</f>
        <v>-0.0</v>
      </c>
      <c r="GTX45" s="5">
        <f>-'5. IRR'!GTY16</f>
        <v>-0.0</v>
      </c>
      <c r="GTY45" s="5">
        <f>-'5. IRR'!GTZ16</f>
        <v>-0.0</v>
      </c>
      <c r="GTZ45" s="5">
        <f>-'5. IRR'!GUA16</f>
        <v>-0.0</v>
      </c>
      <c r="GUA45" s="5">
        <f>-'5. IRR'!GUB16</f>
        <v>-0.0</v>
      </c>
      <c r="GUB45" s="5">
        <f>-'5. IRR'!GUC16</f>
        <v>-0.0</v>
      </c>
      <c r="GUC45" s="5">
        <f>-'5. IRR'!GUD16</f>
        <v>-0.0</v>
      </c>
      <c r="GUD45" s="5">
        <f>-'5. IRR'!GUE16</f>
        <v>-0.0</v>
      </c>
      <c r="GUE45" s="5">
        <f>-'5. IRR'!GUF16</f>
        <v>-0.0</v>
      </c>
      <c r="GUF45" s="5">
        <f>-'5. IRR'!GUG16</f>
        <v>-0.0</v>
      </c>
      <c r="GUG45" s="5">
        <f>-'5. IRR'!GUH16</f>
        <v>-0.0</v>
      </c>
      <c r="GUH45" s="5">
        <f>-'5. IRR'!GUI16</f>
        <v>-0.0</v>
      </c>
      <c r="GUI45" s="5">
        <f>-'5. IRR'!GUJ16</f>
        <v>-0.0</v>
      </c>
      <c r="GUJ45" s="5">
        <f>-'5. IRR'!GUK16</f>
        <v>-0.0</v>
      </c>
      <c r="GUK45" s="5">
        <f>-'5. IRR'!GUL16</f>
        <v>-0.0</v>
      </c>
      <c r="GUL45" s="5">
        <f>-'5. IRR'!GUM16</f>
        <v>-0.0</v>
      </c>
      <c r="GUM45" s="5">
        <f>-'5. IRR'!GUN16</f>
        <v>-0.0</v>
      </c>
      <c r="GUN45" s="5">
        <f>-'5. IRR'!GUO16</f>
        <v>-0.0</v>
      </c>
      <c r="GUO45" s="5">
        <f>-'5. IRR'!GUP16</f>
        <v>-0.0</v>
      </c>
      <c r="GUP45" s="5">
        <f>-'5. IRR'!GUQ16</f>
        <v>-0.0</v>
      </c>
      <c r="GUQ45" s="5">
        <f>-'5. IRR'!GUR16</f>
        <v>-0.0</v>
      </c>
      <c r="GUR45" s="5">
        <f>-'5. IRR'!GUS16</f>
        <v>-0.0</v>
      </c>
      <c r="GUS45" s="5">
        <f>-'5. IRR'!GUT16</f>
        <v>-0.0</v>
      </c>
      <c r="GUT45" s="5">
        <f>-'5. IRR'!GUU16</f>
        <v>-0.0</v>
      </c>
      <c r="GUU45" s="5">
        <f>-'5. IRR'!GUV16</f>
        <v>-0.0</v>
      </c>
      <c r="GUV45" s="5">
        <f>-'5. IRR'!GUW16</f>
        <v>-0.0</v>
      </c>
      <c r="GUW45" s="5">
        <f>-'5. IRR'!GUX16</f>
        <v>-0.0</v>
      </c>
      <c r="GUX45" s="5">
        <f>-'5. IRR'!GUY16</f>
        <v>-0.0</v>
      </c>
      <c r="GUY45" s="5">
        <f>-'5. IRR'!GUZ16</f>
        <v>-0.0</v>
      </c>
      <c r="GUZ45" s="5">
        <f>-'5. IRR'!GVA16</f>
        <v>-0.0</v>
      </c>
      <c r="GVA45" s="5">
        <f>-'5. IRR'!GVB16</f>
        <v>-0.0</v>
      </c>
      <c r="GVB45" s="5">
        <f>-'5. IRR'!GVC16</f>
        <v>-0.0</v>
      </c>
      <c r="GVC45" s="5">
        <f>-'5. IRR'!GVD16</f>
        <v>-0.0</v>
      </c>
      <c r="GVD45" s="5">
        <f>-'5. IRR'!GVE16</f>
        <v>-0.0</v>
      </c>
      <c r="GVE45" s="5">
        <f>-'5. IRR'!GVF16</f>
        <v>-0.0</v>
      </c>
      <c r="GVF45" s="5">
        <f>-'5. IRR'!GVG16</f>
        <v>-0.0</v>
      </c>
      <c r="GVG45" s="5">
        <f>-'5. IRR'!GVH16</f>
        <v>-0.0</v>
      </c>
      <c r="GVH45" s="5">
        <f>-'5. IRR'!GVI16</f>
        <v>-0.0</v>
      </c>
      <c r="GVI45" s="5">
        <f>-'5. IRR'!GVJ16</f>
        <v>-0.0</v>
      </c>
      <c r="GVJ45" s="5">
        <f>-'5. IRR'!GVK16</f>
        <v>-0.0</v>
      </c>
      <c r="GVK45" s="5">
        <f>-'5. IRR'!GVL16</f>
        <v>-0.0</v>
      </c>
      <c r="GVL45" s="5">
        <f>-'5. IRR'!GVM16</f>
        <v>-0.0</v>
      </c>
      <c r="GVM45" s="5">
        <f>-'5. IRR'!GVN16</f>
        <v>-0.0</v>
      </c>
      <c r="GVN45" s="5">
        <f>-'5. IRR'!GVO16</f>
        <v>-0.0</v>
      </c>
      <c r="GVO45" s="5">
        <f>-'5. IRR'!GVP16</f>
        <v>-0.0</v>
      </c>
      <c r="GVP45" s="5">
        <f>-'5. IRR'!GVQ16</f>
        <v>-0.0</v>
      </c>
      <c r="GVQ45" s="5">
        <f>-'5. IRR'!GVR16</f>
        <v>-0.0</v>
      </c>
      <c r="GVR45" s="5">
        <f>-'5. IRR'!GVS16</f>
        <v>-0.0</v>
      </c>
      <c r="GVS45" s="5">
        <f>-'5. IRR'!GVT16</f>
        <v>-0.0</v>
      </c>
      <c r="GVT45" s="5">
        <f>-'5. IRR'!GVU16</f>
        <v>-0.0</v>
      </c>
      <c r="GVU45" s="5">
        <f>-'5. IRR'!GVV16</f>
        <v>-0.0</v>
      </c>
      <c r="GVV45" s="5">
        <f>-'5. IRR'!GVW16</f>
        <v>-0.0</v>
      </c>
      <c r="GVW45" s="5">
        <f>-'5. IRR'!GVX16</f>
        <v>-0.0</v>
      </c>
      <c r="GVX45" s="5">
        <f>-'5. IRR'!GVY16</f>
        <v>-0.0</v>
      </c>
      <c r="GVY45" s="5">
        <f>-'5. IRR'!GVZ16</f>
        <v>-0.0</v>
      </c>
      <c r="GVZ45" s="5">
        <f>-'5. IRR'!GWA16</f>
        <v>-0.0</v>
      </c>
      <c r="GWA45" s="5">
        <f>-'5. IRR'!GWB16</f>
        <v>-0.0</v>
      </c>
      <c r="GWB45" s="5">
        <f>-'5. IRR'!GWC16</f>
        <v>-0.0</v>
      </c>
      <c r="GWC45" s="5">
        <f>-'5. IRR'!GWD16</f>
        <v>-0.0</v>
      </c>
      <c r="GWD45" s="5">
        <f>-'5. IRR'!GWE16</f>
        <v>-0.0</v>
      </c>
      <c r="GWE45" s="5">
        <f>-'5. IRR'!GWF16</f>
        <v>-0.0</v>
      </c>
      <c r="GWF45" s="5">
        <f>-'5. IRR'!GWG16</f>
        <v>-0.0</v>
      </c>
      <c r="GWG45" s="5">
        <f>-'5. IRR'!GWH16</f>
        <v>-0.0</v>
      </c>
      <c r="GWH45" s="5">
        <f>-'5. IRR'!GWI16</f>
        <v>-0.0</v>
      </c>
      <c r="GWI45" s="5">
        <f>-'5. IRR'!GWJ16</f>
        <v>-0.0</v>
      </c>
      <c r="GWJ45" s="5">
        <f>-'5. IRR'!GWK16</f>
        <v>-0.0</v>
      </c>
      <c r="GWK45" s="5">
        <f>-'5. IRR'!GWL16</f>
        <v>-0.0</v>
      </c>
      <c r="GWL45" s="5">
        <f>-'5. IRR'!GWM16</f>
        <v>-0.0</v>
      </c>
      <c r="GWM45" s="5">
        <f>-'5. IRR'!GWN16</f>
        <v>-0.0</v>
      </c>
      <c r="GWN45" s="5">
        <f>-'5. IRR'!GWO16</f>
        <v>-0.0</v>
      </c>
      <c r="GWO45" s="5">
        <f>-'5. IRR'!GWP16</f>
        <v>-0.0</v>
      </c>
      <c r="GWP45" s="5">
        <f>-'5. IRR'!GWQ16</f>
        <v>-0.0</v>
      </c>
      <c r="GWQ45" s="5">
        <f>-'5. IRR'!GWR16</f>
        <v>-0.0</v>
      </c>
      <c r="GWR45" s="5">
        <f>-'5. IRR'!GWS16</f>
        <v>-0.0</v>
      </c>
      <c r="GWS45" s="5">
        <f>-'5. IRR'!GWT16</f>
        <v>-0.0</v>
      </c>
      <c r="GWT45" s="5">
        <f>-'5. IRR'!GWU16</f>
        <v>-0.0</v>
      </c>
      <c r="GWU45" s="5">
        <f>-'5. IRR'!GWV16</f>
        <v>-0.0</v>
      </c>
      <c r="GWV45" s="5">
        <f>-'5. IRR'!GWW16</f>
        <v>-0.0</v>
      </c>
      <c r="GWW45" s="5">
        <f>-'5. IRR'!GWX16</f>
        <v>-0.0</v>
      </c>
      <c r="GWX45" s="5">
        <f>-'5. IRR'!GWY16</f>
        <v>-0.0</v>
      </c>
      <c r="GWY45" s="5">
        <f>-'5. IRR'!GWZ16</f>
        <v>-0.0</v>
      </c>
      <c r="GWZ45" s="5">
        <f>-'5. IRR'!GXA16</f>
        <v>-0.0</v>
      </c>
      <c r="GXA45" s="5">
        <f>-'5. IRR'!GXB16</f>
        <v>-0.0</v>
      </c>
      <c r="GXB45" s="5">
        <f>-'5. IRR'!GXC16</f>
        <v>-0.0</v>
      </c>
      <c r="GXC45" s="5">
        <f>-'5. IRR'!GXD16</f>
        <v>-0.0</v>
      </c>
      <c r="GXD45" s="5">
        <f>-'5. IRR'!GXE16</f>
        <v>-0.0</v>
      </c>
      <c r="GXE45" s="5">
        <f>-'5. IRR'!GXF16</f>
        <v>-0.0</v>
      </c>
      <c r="GXF45" s="5">
        <f>-'5. IRR'!GXG16</f>
        <v>-0.0</v>
      </c>
      <c r="GXG45" s="5">
        <f>-'5. IRR'!GXH16</f>
        <v>-0.0</v>
      </c>
      <c r="GXH45" s="5">
        <f>-'5. IRR'!GXI16</f>
        <v>-0.0</v>
      </c>
      <c r="GXI45" s="5">
        <f>-'5. IRR'!GXJ16</f>
        <v>-0.0</v>
      </c>
      <c r="GXJ45" s="5">
        <f>-'5. IRR'!GXK16</f>
        <v>-0.0</v>
      </c>
      <c r="GXK45" s="5">
        <f>-'5. IRR'!GXL16</f>
        <v>-0.0</v>
      </c>
      <c r="GXL45" s="5">
        <f>-'5. IRR'!GXM16</f>
        <v>-0.0</v>
      </c>
      <c r="GXM45" s="5">
        <f>-'5. IRR'!GXN16</f>
        <v>-0.0</v>
      </c>
      <c r="GXN45" s="5">
        <f>-'5. IRR'!GXO16</f>
        <v>-0.0</v>
      </c>
      <c r="GXO45" s="5">
        <f>-'5. IRR'!GXP16</f>
        <v>-0.0</v>
      </c>
      <c r="GXP45" s="5">
        <f>-'5. IRR'!GXQ16</f>
        <v>-0.0</v>
      </c>
      <c r="GXQ45" s="5">
        <f>-'5. IRR'!GXR16</f>
        <v>-0.0</v>
      </c>
      <c r="GXR45" s="5">
        <f>-'5. IRR'!GXS16</f>
        <v>-0.0</v>
      </c>
      <c r="GXS45" s="5">
        <f>-'5. IRR'!GXT16</f>
        <v>-0.0</v>
      </c>
      <c r="GXT45" s="5">
        <f>-'5. IRR'!GXU16</f>
        <v>-0.0</v>
      </c>
      <c r="GXU45" s="5">
        <f>-'5. IRR'!GXV16</f>
        <v>-0.0</v>
      </c>
      <c r="GXV45" s="5">
        <f>-'5. IRR'!GXW16</f>
        <v>-0.0</v>
      </c>
      <c r="GXW45" s="5">
        <f>-'5. IRR'!GXX16</f>
        <v>-0.0</v>
      </c>
      <c r="GXX45" s="5">
        <f>-'5. IRR'!GXY16</f>
        <v>-0.0</v>
      </c>
      <c r="GXY45" s="5">
        <f>-'5. IRR'!GXZ16</f>
        <v>-0.0</v>
      </c>
      <c r="GXZ45" s="5">
        <f>-'5. IRR'!GYA16</f>
        <v>-0.0</v>
      </c>
      <c r="GYA45" s="5">
        <f>-'5. IRR'!GYB16</f>
        <v>-0.0</v>
      </c>
      <c r="GYB45" s="5">
        <f>-'5. IRR'!GYC16</f>
        <v>-0.0</v>
      </c>
      <c r="GYC45" s="5">
        <f>-'5. IRR'!GYD16</f>
        <v>-0.0</v>
      </c>
      <c r="GYD45" s="5">
        <f>-'5. IRR'!GYE16</f>
        <v>-0.0</v>
      </c>
      <c r="GYE45" s="5">
        <f>-'5. IRR'!GYF16</f>
        <v>-0.0</v>
      </c>
      <c r="GYF45" s="5">
        <f>-'5. IRR'!GYG16</f>
        <v>-0.0</v>
      </c>
      <c r="GYG45" s="5">
        <f>-'5. IRR'!GYH16</f>
        <v>-0.0</v>
      </c>
      <c r="GYH45" s="5">
        <f>-'5. IRR'!GYI16</f>
        <v>-0.0</v>
      </c>
      <c r="GYI45" s="5">
        <f>-'5. IRR'!GYJ16</f>
        <v>-0.0</v>
      </c>
      <c r="GYJ45" s="5">
        <f>-'5. IRR'!GYK16</f>
        <v>-0.0</v>
      </c>
      <c r="GYK45" s="5">
        <f>-'5. IRR'!GYL16</f>
        <v>-0.0</v>
      </c>
      <c r="GYL45" s="5">
        <f>-'5. IRR'!GYM16</f>
        <v>-0.0</v>
      </c>
      <c r="GYM45" s="5">
        <f>-'5. IRR'!GYN16</f>
        <v>-0.0</v>
      </c>
      <c r="GYN45" s="5">
        <f>-'5. IRR'!GYO16</f>
        <v>-0.0</v>
      </c>
      <c r="GYO45" s="5">
        <f>-'5. IRR'!GYP16</f>
        <v>-0.0</v>
      </c>
      <c r="GYP45" s="5">
        <f>-'5. IRR'!GYQ16</f>
        <v>-0.0</v>
      </c>
      <c r="GYQ45" s="5">
        <f>-'5. IRR'!GYR16</f>
        <v>-0.0</v>
      </c>
      <c r="GYR45" s="5">
        <f>-'5. IRR'!GYS16</f>
        <v>-0.0</v>
      </c>
      <c r="GYS45" s="5">
        <f>-'5. IRR'!GYT16</f>
        <v>-0.0</v>
      </c>
      <c r="GYT45" s="5">
        <f>-'5. IRR'!GYU16</f>
        <v>-0.0</v>
      </c>
      <c r="GYU45" s="5">
        <f>-'5. IRR'!GYV16</f>
        <v>-0.0</v>
      </c>
      <c r="GYV45" s="5">
        <f>-'5. IRR'!GYW16</f>
        <v>-0.0</v>
      </c>
      <c r="GYW45" s="5">
        <f>-'5. IRR'!GYX16</f>
        <v>-0.0</v>
      </c>
      <c r="GYX45" s="5">
        <f>-'5. IRR'!GYY16</f>
        <v>-0.0</v>
      </c>
      <c r="GYY45" s="5">
        <f>-'5. IRR'!GYZ16</f>
        <v>-0.0</v>
      </c>
      <c r="GYZ45" s="5">
        <f>-'5. IRR'!GZA16</f>
        <v>-0.0</v>
      </c>
      <c r="GZA45" s="5">
        <f>-'5. IRR'!GZB16</f>
        <v>-0.0</v>
      </c>
      <c r="GZB45" s="5">
        <f>-'5. IRR'!GZC16</f>
        <v>-0.0</v>
      </c>
      <c r="GZC45" s="5">
        <f>-'5. IRR'!GZD16</f>
        <v>-0.0</v>
      </c>
      <c r="GZD45" s="5">
        <f>-'5. IRR'!GZE16</f>
        <v>-0.0</v>
      </c>
      <c r="GZE45" s="5">
        <f>-'5. IRR'!GZF16</f>
        <v>-0.0</v>
      </c>
      <c r="GZF45" s="5">
        <f>-'5. IRR'!GZG16</f>
        <v>-0.0</v>
      </c>
      <c r="GZG45" s="5">
        <f>-'5. IRR'!GZH16</f>
        <v>-0.0</v>
      </c>
      <c r="GZH45" s="5">
        <f>-'5. IRR'!GZI16</f>
        <v>-0.0</v>
      </c>
      <c r="GZI45" s="5">
        <f>-'5. IRR'!GZJ16</f>
        <v>-0.0</v>
      </c>
      <c r="GZJ45" s="5">
        <f>-'5. IRR'!GZK16</f>
        <v>-0.0</v>
      </c>
      <c r="GZK45" s="5">
        <f>-'5. IRR'!GZL16</f>
        <v>-0.0</v>
      </c>
      <c r="GZL45" s="5">
        <f>-'5. IRR'!GZM16</f>
        <v>-0.0</v>
      </c>
      <c r="GZM45" s="5">
        <f>-'5. IRR'!GZN16</f>
        <v>-0.0</v>
      </c>
      <c r="GZN45" s="5">
        <f>-'5. IRR'!GZO16</f>
        <v>-0.0</v>
      </c>
      <c r="GZO45" s="5">
        <f>-'5. IRR'!GZP16</f>
        <v>-0.0</v>
      </c>
      <c r="GZP45" s="5">
        <f>-'5. IRR'!GZQ16</f>
        <v>-0.0</v>
      </c>
      <c r="GZQ45" s="5">
        <f>-'5. IRR'!GZR16</f>
        <v>-0.0</v>
      </c>
      <c r="GZR45" s="5">
        <f>-'5. IRR'!GZS16</f>
        <v>-0.0</v>
      </c>
      <c r="GZS45" s="5">
        <f>-'5. IRR'!GZT16</f>
        <v>-0.0</v>
      </c>
      <c r="GZT45" s="5">
        <f>-'5. IRR'!GZU16</f>
        <v>-0.0</v>
      </c>
      <c r="GZU45" s="5">
        <f>-'5. IRR'!GZV16</f>
        <v>-0.0</v>
      </c>
      <c r="GZV45" s="5">
        <f>-'5. IRR'!GZW16</f>
        <v>-0.0</v>
      </c>
      <c r="GZW45" s="5">
        <f>-'5. IRR'!GZX16</f>
        <v>-0.0</v>
      </c>
      <c r="GZX45" s="5">
        <f>-'5. IRR'!GZY16</f>
        <v>-0.0</v>
      </c>
      <c r="GZY45" s="5">
        <f>-'5. IRR'!GZZ16</f>
        <v>-0.0</v>
      </c>
      <c r="GZZ45" s="5">
        <f>-'5. IRR'!HAA16</f>
        <v>-0.0</v>
      </c>
      <c r="HAA45" s="5">
        <f>-'5. IRR'!HAB16</f>
        <v>-0.0</v>
      </c>
      <c r="HAB45" s="5">
        <f>-'5. IRR'!HAC16</f>
        <v>-0.0</v>
      </c>
      <c r="HAC45" s="5">
        <f>-'5. IRR'!HAD16</f>
        <v>-0.0</v>
      </c>
      <c r="HAD45" s="5">
        <f>-'5. IRR'!HAE16</f>
        <v>-0.0</v>
      </c>
      <c r="HAE45" s="5">
        <f>-'5. IRR'!HAF16</f>
        <v>-0.0</v>
      </c>
      <c r="HAF45" s="5">
        <f>-'5. IRR'!HAG16</f>
        <v>-0.0</v>
      </c>
      <c r="HAG45" s="5">
        <f>-'5. IRR'!HAH16</f>
        <v>-0.0</v>
      </c>
      <c r="HAH45" s="5">
        <f>-'5. IRR'!HAI16</f>
        <v>-0.0</v>
      </c>
      <c r="HAI45" s="5">
        <f>-'5. IRR'!HAJ16</f>
        <v>-0.0</v>
      </c>
      <c r="HAJ45" s="5">
        <f>-'5. IRR'!HAK16</f>
        <v>-0.0</v>
      </c>
      <c r="HAK45" s="5">
        <f>-'5. IRR'!HAL16</f>
        <v>-0.0</v>
      </c>
      <c r="HAL45" s="5">
        <f>-'5. IRR'!HAM16</f>
        <v>-0.0</v>
      </c>
      <c r="HAM45" s="5">
        <f>-'5. IRR'!HAN16</f>
        <v>-0.0</v>
      </c>
      <c r="HAN45" s="5">
        <f>-'5. IRR'!HAO16</f>
        <v>-0.0</v>
      </c>
      <c r="HAO45" s="5">
        <f>-'5. IRR'!HAP16</f>
        <v>-0.0</v>
      </c>
      <c r="HAP45" s="5">
        <f>-'5. IRR'!HAQ16</f>
        <v>-0.0</v>
      </c>
      <c r="HAQ45" s="5">
        <f>-'5. IRR'!HAR16</f>
        <v>-0.0</v>
      </c>
      <c r="HAR45" s="5">
        <f>-'5. IRR'!HAS16</f>
        <v>-0.0</v>
      </c>
      <c r="HAS45" s="5">
        <f>-'5. IRR'!HAT16</f>
        <v>-0.0</v>
      </c>
      <c r="HAT45" s="5">
        <f>-'5. IRR'!HAU16</f>
        <v>-0.0</v>
      </c>
      <c r="HAU45" s="5">
        <f>-'5. IRR'!HAV16</f>
        <v>-0.0</v>
      </c>
      <c r="HAV45" s="5">
        <f>-'5. IRR'!HAW16</f>
        <v>-0.0</v>
      </c>
      <c r="HAW45" s="5">
        <f>-'5. IRR'!HAX16</f>
        <v>-0.0</v>
      </c>
      <c r="HAX45" s="5">
        <f>-'5. IRR'!HAY16</f>
        <v>-0.0</v>
      </c>
      <c r="HAY45" s="5">
        <f>-'5. IRR'!HAZ16</f>
        <v>-0.0</v>
      </c>
      <c r="HAZ45" s="5">
        <f>-'5. IRR'!HBA16</f>
        <v>-0.0</v>
      </c>
      <c r="HBA45" s="5">
        <f>-'5. IRR'!HBB16</f>
        <v>-0.0</v>
      </c>
      <c r="HBB45" s="5">
        <f>-'5. IRR'!HBC16</f>
        <v>-0.0</v>
      </c>
      <c r="HBC45" s="5">
        <f>-'5. IRR'!HBD16</f>
        <v>-0.0</v>
      </c>
      <c r="HBD45" s="5">
        <f>-'5. IRR'!HBE16</f>
        <v>-0.0</v>
      </c>
      <c r="HBE45" s="5">
        <f>-'5. IRR'!HBF16</f>
        <v>-0.0</v>
      </c>
      <c r="HBF45" s="5">
        <f>-'5. IRR'!HBG16</f>
        <v>-0.0</v>
      </c>
      <c r="HBG45" s="5">
        <f>-'5. IRR'!HBH16</f>
        <v>-0.0</v>
      </c>
      <c r="HBH45" s="5">
        <f>-'5. IRR'!HBI16</f>
        <v>-0.0</v>
      </c>
      <c r="HBI45" s="5">
        <f>-'5. IRR'!HBJ16</f>
        <v>-0.0</v>
      </c>
      <c r="HBJ45" s="5">
        <f>-'5. IRR'!HBK16</f>
        <v>-0.0</v>
      </c>
      <c r="HBK45" s="5">
        <f>-'5. IRR'!HBL16</f>
        <v>-0.0</v>
      </c>
      <c r="HBL45" s="5">
        <f>-'5. IRR'!HBM16</f>
        <v>-0.0</v>
      </c>
      <c r="HBM45" s="5">
        <f>-'5. IRR'!HBN16</f>
        <v>-0.0</v>
      </c>
      <c r="HBN45" s="5">
        <f>-'5. IRR'!HBO16</f>
        <v>-0.0</v>
      </c>
      <c r="HBO45" s="5">
        <f>-'5. IRR'!HBP16</f>
        <v>-0.0</v>
      </c>
      <c r="HBP45" s="5">
        <f>-'5. IRR'!HBQ16</f>
        <v>-0.0</v>
      </c>
      <c r="HBQ45" s="5">
        <f>-'5. IRR'!HBR16</f>
        <v>-0.0</v>
      </c>
      <c r="HBR45" s="5">
        <f>-'5. IRR'!HBS16</f>
        <v>-0.0</v>
      </c>
      <c r="HBS45" s="5">
        <f>-'5. IRR'!HBT16</f>
        <v>-0.0</v>
      </c>
      <c r="HBT45" s="5">
        <f>-'5. IRR'!HBU16</f>
        <v>-0.0</v>
      </c>
      <c r="HBU45" s="5">
        <f>-'5. IRR'!HBV16</f>
        <v>-0.0</v>
      </c>
      <c r="HBV45" s="5">
        <f>-'5. IRR'!HBW16</f>
        <v>-0.0</v>
      </c>
      <c r="HBW45" s="5">
        <f>-'5. IRR'!HBX16</f>
        <v>-0.0</v>
      </c>
      <c r="HBX45" s="5">
        <f>-'5. IRR'!HBY16</f>
        <v>-0.0</v>
      </c>
      <c r="HBY45" s="5">
        <f>-'5. IRR'!HBZ16</f>
        <v>-0.0</v>
      </c>
      <c r="HBZ45" s="5">
        <f>-'5. IRR'!HCA16</f>
        <v>-0.0</v>
      </c>
      <c r="HCA45" s="5">
        <f>-'5. IRR'!HCB16</f>
        <v>-0.0</v>
      </c>
      <c r="HCB45" s="5">
        <f>-'5. IRR'!HCC16</f>
        <v>-0.0</v>
      </c>
      <c r="HCC45" s="5">
        <f>-'5. IRR'!HCD16</f>
        <v>-0.0</v>
      </c>
      <c r="HCD45" s="5">
        <f>-'5. IRR'!HCE16</f>
        <v>-0.0</v>
      </c>
      <c r="HCE45" s="5">
        <f>-'5. IRR'!HCF16</f>
        <v>-0.0</v>
      </c>
      <c r="HCF45" s="5">
        <f>-'5. IRR'!HCG16</f>
        <v>-0.0</v>
      </c>
      <c r="HCG45" s="5">
        <f>-'5. IRR'!HCH16</f>
        <v>-0.0</v>
      </c>
      <c r="HCH45" s="5">
        <f>-'5. IRR'!HCI16</f>
        <v>-0.0</v>
      </c>
      <c r="HCI45" s="5">
        <f>-'5. IRR'!HCJ16</f>
        <v>-0.0</v>
      </c>
      <c r="HCJ45" s="5">
        <f>-'5. IRR'!HCK16</f>
        <v>-0.0</v>
      </c>
      <c r="HCK45" s="5">
        <f>-'5. IRR'!HCL16</f>
        <v>-0.0</v>
      </c>
      <c r="HCL45" s="5">
        <f>-'5. IRR'!HCM16</f>
        <v>-0.0</v>
      </c>
      <c r="HCM45" s="5">
        <f>-'5. IRR'!HCN16</f>
        <v>-0.0</v>
      </c>
      <c r="HCN45" s="5">
        <f>-'5. IRR'!HCO16</f>
        <v>-0.0</v>
      </c>
      <c r="HCO45" s="5">
        <f>-'5. IRR'!HCP16</f>
        <v>-0.0</v>
      </c>
      <c r="HCP45" s="5">
        <f>-'5. IRR'!HCQ16</f>
        <v>-0.0</v>
      </c>
      <c r="HCQ45" s="5">
        <f>-'5. IRR'!HCR16</f>
        <v>-0.0</v>
      </c>
      <c r="HCR45" s="5">
        <f>-'5. IRR'!HCS16</f>
        <v>-0.0</v>
      </c>
      <c r="HCS45" s="5">
        <f>-'5. IRR'!HCT16</f>
        <v>-0.0</v>
      </c>
      <c r="HCT45" s="5">
        <f>-'5. IRR'!HCU16</f>
        <v>-0.0</v>
      </c>
      <c r="HCU45" s="5">
        <f>-'5. IRR'!HCV16</f>
        <v>-0.0</v>
      </c>
      <c r="HCV45" s="5">
        <f>-'5. IRR'!HCW16</f>
        <v>-0.0</v>
      </c>
      <c r="HCW45" s="5">
        <f>-'5. IRR'!HCX16</f>
        <v>-0.0</v>
      </c>
      <c r="HCX45" s="5">
        <f>-'5. IRR'!HCY16</f>
        <v>-0.0</v>
      </c>
      <c r="HCY45" s="5">
        <f>-'5. IRR'!HCZ16</f>
        <v>-0.0</v>
      </c>
      <c r="HCZ45" s="5">
        <f>-'5. IRR'!HDA16</f>
        <v>-0.0</v>
      </c>
      <c r="HDA45" s="5">
        <f>-'5. IRR'!HDB16</f>
        <v>-0.0</v>
      </c>
      <c r="HDB45" s="5">
        <f>-'5. IRR'!HDC16</f>
        <v>-0.0</v>
      </c>
      <c r="HDC45" s="5">
        <f>-'5. IRR'!HDD16</f>
        <v>-0.0</v>
      </c>
      <c r="HDD45" s="5">
        <f>-'5. IRR'!HDE16</f>
        <v>-0.0</v>
      </c>
      <c r="HDE45" s="5">
        <f>-'5. IRR'!HDF16</f>
        <v>-0.0</v>
      </c>
      <c r="HDF45" s="5">
        <f>-'5. IRR'!HDG16</f>
        <v>-0.0</v>
      </c>
      <c r="HDG45" s="5">
        <f>-'5. IRR'!HDH16</f>
        <v>-0.0</v>
      </c>
      <c r="HDH45" s="5">
        <f>-'5. IRR'!HDI16</f>
        <v>-0.0</v>
      </c>
      <c r="HDI45" s="5">
        <f>-'5. IRR'!HDJ16</f>
        <v>-0.0</v>
      </c>
      <c r="HDJ45" s="5">
        <f>-'5. IRR'!HDK16</f>
        <v>-0.0</v>
      </c>
      <c r="HDK45" s="5">
        <f>-'5. IRR'!HDL16</f>
        <v>-0.0</v>
      </c>
      <c r="HDL45" s="5">
        <f>-'5. IRR'!HDM16</f>
        <v>-0.0</v>
      </c>
      <c r="HDM45" s="5">
        <f>-'5. IRR'!HDN16</f>
        <v>-0.0</v>
      </c>
      <c r="HDN45" s="5">
        <f>-'5. IRR'!HDO16</f>
        <v>-0.0</v>
      </c>
      <c r="HDO45" s="5">
        <f>-'5. IRR'!HDP16</f>
        <v>-0.0</v>
      </c>
      <c r="HDP45" s="5">
        <f>-'5. IRR'!HDQ16</f>
        <v>-0.0</v>
      </c>
      <c r="HDQ45" s="5">
        <f>-'5. IRR'!HDR16</f>
        <v>-0.0</v>
      </c>
      <c r="HDR45" s="5">
        <f>-'5. IRR'!HDS16</f>
        <v>-0.0</v>
      </c>
      <c r="HDS45" s="5">
        <f>-'5. IRR'!HDT16</f>
        <v>-0.0</v>
      </c>
      <c r="HDT45" s="5">
        <f>-'5. IRR'!HDU16</f>
        <v>-0.0</v>
      </c>
      <c r="HDU45" s="5">
        <f>-'5. IRR'!HDV16</f>
        <v>-0.0</v>
      </c>
      <c r="HDV45" s="5">
        <f>-'5. IRR'!HDW16</f>
        <v>-0.0</v>
      </c>
      <c r="HDW45" s="5">
        <f>-'5. IRR'!HDX16</f>
        <v>-0.0</v>
      </c>
      <c r="HDX45" s="5">
        <f>-'5. IRR'!HDY16</f>
        <v>-0.0</v>
      </c>
      <c r="HDY45" s="5">
        <f>-'5. IRR'!HDZ16</f>
        <v>-0.0</v>
      </c>
      <c r="HDZ45" s="5">
        <f>-'5. IRR'!HEA16</f>
        <v>-0.0</v>
      </c>
      <c r="HEA45" s="5">
        <f>-'5. IRR'!HEB16</f>
        <v>-0.0</v>
      </c>
      <c r="HEB45" s="5">
        <f>-'5. IRR'!HEC16</f>
        <v>-0.0</v>
      </c>
      <c r="HEC45" s="5">
        <f>-'5. IRR'!HED16</f>
        <v>-0.0</v>
      </c>
      <c r="HED45" s="5">
        <f>-'5. IRR'!HEE16</f>
        <v>-0.0</v>
      </c>
      <c r="HEE45" s="5">
        <f>-'5. IRR'!HEF16</f>
        <v>-0.0</v>
      </c>
      <c r="HEF45" s="5">
        <f>-'5. IRR'!HEG16</f>
        <v>-0.0</v>
      </c>
      <c r="HEG45" s="5">
        <f>-'5. IRR'!HEH16</f>
        <v>-0.0</v>
      </c>
      <c r="HEH45" s="5">
        <f>-'5. IRR'!HEI16</f>
        <v>-0.0</v>
      </c>
      <c r="HEI45" s="5">
        <f>-'5. IRR'!HEJ16</f>
        <v>-0.0</v>
      </c>
      <c r="HEJ45" s="5">
        <f>-'5. IRR'!HEK16</f>
        <v>-0.0</v>
      </c>
      <c r="HEK45" s="5">
        <f>-'5. IRR'!HEL16</f>
        <v>-0.0</v>
      </c>
      <c r="HEL45" s="5">
        <f>-'5. IRR'!HEM16</f>
        <v>-0.0</v>
      </c>
      <c r="HEM45" s="5">
        <f>-'5. IRR'!HEN16</f>
        <v>-0.0</v>
      </c>
      <c r="HEN45" s="5">
        <f>-'5. IRR'!HEO16</f>
        <v>-0.0</v>
      </c>
      <c r="HEO45" s="5">
        <f>-'5. IRR'!HEP16</f>
        <v>-0.0</v>
      </c>
      <c r="HEP45" s="5">
        <f>-'5. IRR'!HEQ16</f>
        <v>-0.0</v>
      </c>
      <c r="HEQ45" s="5">
        <f>-'5. IRR'!HER16</f>
        <v>-0.0</v>
      </c>
      <c r="HER45" s="5">
        <f>-'5. IRR'!HES16</f>
        <v>-0.0</v>
      </c>
      <c r="HES45" s="5">
        <f>-'5. IRR'!HET16</f>
        <v>-0.0</v>
      </c>
      <c r="HET45" s="5">
        <f>-'5. IRR'!HEU16</f>
        <v>-0.0</v>
      </c>
      <c r="HEU45" s="5">
        <f>-'5. IRR'!HEV16</f>
        <v>-0.0</v>
      </c>
      <c r="HEV45" s="5">
        <f>-'5. IRR'!HEW16</f>
        <v>-0.0</v>
      </c>
      <c r="HEW45" s="5">
        <f>-'5. IRR'!HEX16</f>
        <v>-0.0</v>
      </c>
      <c r="HEX45" s="5">
        <f>-'5. IRR'!HEY16</f>
        <v>-0.0</v>
      </c>
      <c r="HEY45" s="5">
        <f>-'5. IRR'!HEZ16</f>
        <v>-0.0</v>
      </c>
      <c r="HEZ45" s="5">
        <f>-'5. IRR'!HFA16</f>
        <v>-0.0</v>
      </c>
      <c r="HFA45" s="5">
        <f>-'5. IRR'!HFB16</f>
        <v>-0.0</v>
      </c>
      <c r="HFB45" s="5">
        <f>-'5. IRR'!HFC16</f>
        <v>-0.0</v>
      </c>
      <c r="HFC45" s="5">
        <f>-'5. IRR'!HFD16</f>
        <v>-0.0</v>
      </c>
      <c r="HFD45" s="5">
        <f>-'5. IRR'!HFE16</f>
        <v>-0.0</v>
      </c>
      <c r="HFE45" s="5">
        <f>-'5. IRR'!HFF16</f>
        <v>-0.0</v>
      </c>
      <c r="HFF45" s="5">
        <f>-'5. IRR'!HFG16</f>
        <v>-0.0</v>
      </c>
      <c r="HFG45" s="5">
        <f>-'5. IRR'!HFH16</f>
        <v>-0.0</v>
      </c>
      <c r="HFH45" s="5">
        <f>-'5. IRR'!HFI16</f>
        <v>-0.0</v>
      </c>
      <c r="HFI45" s="5">
        <f>-'5. IRR'!HFJ16</f>
        <v>-0.0</v>
      </c>
      <c r="HFJ45" s="5">
        <f>-'5. IRR'!HFK16</f>
        <v>-0.0</v>
      </c>
      <c r="HFK45" s="5">
        <f>-'5. IRR'!HFL16</f>
        <v>-0.0</v>
      </c>
      <c r="HFL45" s="5">
        <f>-'5. IRR'!HFM16</f>
        <v>-0.0</v>
      </c>
      <c r="HFM45" s="5">
        <f>-'5. IRR'!HFN16</f>
        <v>-0.0</v>
      </c>
      <c r="HFN45" s="5">
        <f>-'5. IRR'!HFO16</f>
        <v>-0.0</v>
      </c>
      <c r="HFO45" s="5">
        <f>-'5. IRR'!HFP16</f>
        <v>-0.0</v>
      </c>
      <c r="HFP45" s="5">
        <f>-'5. IRR'!HFQ16</f>
        <v>-0.0</v>
      </c>
      <c r="HFQ45" s="5">
        <f>-'5. IRR'!HFR16</f>
        <v>-0.0</v>
      </c>
      <c r="HFR45" s="5">
        <f>-'5. IRR'!HFS16</f>
        <v>-0.0</v>
      </c>
      <c r="HFS45" s="5">
        <f>-'5. IRR'!HFT16</f>
        <v>-0.0</v>
      </c>
      <c r="HFT45" s="5">
        <f>-'5. IRR'!HFU16</f>
        <v>-0.0</v>
      </c>
      <c r="HFU45" s="5">
        <f>-'5. IRR'!HFV16</f>
        <v>-0.0</v>
      </c>
      <c r="HFV45" s="5">
        <f>-'5. IRR'!HFW16</f>
        <v>-0.0</v>
      </c>
      <c r="HFW45" s="5">
        <f>-'5. IRR'!HFX16</f>
        <v>-0.0</v>
      </c>
      <c r="HFX45" s="5">
        <f>-'5. IRR'!HFY16</f>
        <v>-0.0</v>
      </c>
      <c r="HFY45" s="5">
        <f>-'5. IRR'!HFZ16</f>
        <v>-0.0</v>
      </c>
      <c r="HFZ45" s="5">
        <f>-'5. IRR'!HGA16</f>
        <v>-0.0</v>
      </c>
      <c r="HGA45" s="5">
        <f>-'5. IRR'!HGB16</f>
        <v>-0.0</v>
      </c>
      <c r="HGB45" s="5">
        <f>-'5. IRR'!HGC16</f>
        <v>-0.0</v>
      </c>
      <c r="HGC45" s="5">
        <f>-'5. IRR'!HGD16</f>
        <v>-0.0</v>
      </c>
      <c r="HGD45" s="5">
        <f>-'5. IRR'!HGE16</f>
        <v>-0.0</v>
      </c>
      <c r="HGE45" s="5">
        <f>-'5. IRR'!HGF16</f>
        <v>-0.0</v>
      </c>
      <c r="HGF45" s="5">
        <f>-'5. IRR'!HGG16</f>
        <v>-0.0</v>
      </c>
      <c r="HGG45" s="5">
        <f>-'5. IRR'!HGH16</f>
        <v>-0.0</v>
      </c>
      <c r="HGH45" s="5">
        <f>-'5. IRR'!HGI16</f>
        <v>-0.0</v>
      </c>
      <c r="HGI45" s="5">
        <f>-'5. IRR'!HGJ16</f>
        <v>-0.0</v>
      </c>
      <c r="HGJ45" s="5">
        <f>-'5. IRR'!HGK16</f>
        <v>-0.0</v>
      </c>
      <c r="HGK45" s="5">
        <f>-'5. IRR'!HGL16</f>
        <v>-0.0</v>
      </c>
      <c r="HGL45" s="5">
        <f>-'5. IRR'!HGM16</f>
        <v>-0.0</v>
      </c>
      <c r="HGM45" s="5">
        <f>-'5. IRR'!HGN16</f>
        <v>-0.0</v>
      </c>
      <c r="HGN45" s="5">
        <f>-'5. IRR'!HGO16</f>
        <v>-0.0</v>
      </c>
      <c r="HGO45" s="5">
        <f>-'5. IRR'!HGP16</f>
        <v>-0.0</v>
      </c>
      <c r="HGP45" s="5">
        <f>-'5. IRR'!HGQ16</f>
        <v>-0.0</v>
      </c>
      <c r="HGQ45" s="5">
        <f>-'5. IRR'!HGR16</f>
        <v>-0.0</v>
      </c>
      <c r="HGR45" s="5">
        <f>-'5. IRR'!HGS16</f>
        <v>-0.0</v>
      </c>
      <c r="HGS45" s="5">
        <f>-'5. IRR'!HGT16</f>
        <v>-0.0</v>
      </c>
      <c r="HGT45" s="5">
        <f>-'5. IRR'!HGU16</f>
        <v>-0.0</v>
      </c>
      <c r="HGU45" s="5">
        <f>-'5. IRR'!HGV16</f>
        <v>-0.0</v>
      </c>
      <c r="HGV45" s="5">
        <f>-'5. IRR'!HGW16</f>
        <v>-0.0</v>
      </c>
      <c r="HGW45" s="5">
        <f>-'5. IRR'!HGX16</f>
        <v>-0.0</v>
      </c>
      <c r="HGX45" s="5">
        <f>-'5. IRR'!HGY16</f>
        <v>-0.0</v>
      </c>
      <c r="HGY45" s="5">
        <f>-'5. IRR'!HGZ16</f>
        <v>-0.0</v>
      </c>
      <c r="HGZ45" s="5">
        <f>-'5. IRR'!HHA16</f>
        <v>-0.0</v>
      </c>
      <c r="HHA45" s="5">
        <f>-'5. IRR'!HHB16</f>
        <v>-0.0</v>
      </c>
      <c r="HHB45" s="5">
        <f>-'5. IRR'!HHC16</f>
        <v>-0.0</v>
      </c>
      <c r="HHC45" s="5">
        <f>-'5. IRR'!HHD16</f>
        <v>-0.0</v>
      </c>
      <c r="HHD45" s="5">
        <f>-'5. IRR'!HHE16</f>
        <v>-0.0</v>
      </c>
      <c r="HHE45" s="5">
        <f>-'5. IRR'!HHF16</f>
        <v>-0.0</v>
      </c>
      <c r="HHF45" s="5">
        <f>-'5. IRR'!HHG16</f>
        <v>-0.0</v>
      </c>
      <c r="HHG45" s="5">
        <f>-'5. IRR'!HHH16</f>
        <v>-0.0</v>
      </c>
      <c r="HHH45" s="5">
        <f>-'5. IRR'!HHI16</f>
        <v>-0.0</v>
      </c>
      <c r="HHI45" s="5">
        <f>-'5. IRR'!HHJ16</f>
        <v>-0.0</v>
      </c>
      <c r="HHJ45" s="5">
        <f>-'5. IRR'!HHK16</f>
        <v>-0.0</v>
      </c>
      <c r="HHK45" s="5">
        <f>-'5. IRR'!HHL16</f>
        <v>-0.0</v>
      </c>
      <c r="HHL45" s="5">
        <f>-'5. IRR'!HHM16</f>
        <v>-0.0</v>
      </c>
      <c r="HHM45" s="5">
        <f>-'5. IRR'!HHN16</f>
        <v>-0.0</v>
      </c>
      <c r="HHN45" s="5">
        <f>-'5. IRR'!HHO16</f>
        <v>-0.0</v>
      </c>
      <c r="HHO45" s="5">
        <f>-'5. IRR'!HHP16</f>
        <v>-0.0</v>
      </c>
      <c r="HHP45" s="5">
        <f>-'5. IRR'!HHQ16</f>
        <v>-0.0</v>
      </c>
      <c r="HHQ45" s="5">
        <f>-'5. IRR'!HHR16</f>
        <v>-0.0</v>
      </c>
      <c r="HHR45" s="5">
        <f>-'5. IRR'!HHS16</f>
        <v>-0.0</v>
      </c>
      <c r="HHS45" s="5">
        <f>-'5. IRR'!HHT16</f>
        <v>-0.0</v>
      </c>
      <c r="HHT45" s="5">
        <f>-'5. IRR'!HHU16</f>
        <v>-0.0</v>
      </c>
      <c r="HHU45" s="5">
        <f>-'5. IRR'!HHV16</f>
        <v>-0.0</v>
      </c>
      <c r="HHV45" s="5">
        <f>-'5. IRR'!HHW16</f>
        <v>-0.0</v>
      </c>
      <c r="HHW45" s="5">
        <f>-'5. IRR'!HHX16</f>
        <v>-0.0</v>
      </c>
      <c r="HHX45" s="5">
        <f>-'5. IRR'!HHY16</f>
        <v>-0.0</v>
      </c>
      <c r="HHY45" s="5">
        <f>-'5. IRR'!HHZ16</f>
        <v>-0.0</v>
      </c>
      <c r="HHZ45" s="5">
        <f>-'5. IRR'!HIA16</f>
        <v>-0.0</v>
      </c>
      <c r="HIA45" s="5">
        <f>-'5. IRR'!HIB16</f>
        <v>-0.0</v>
      </c>
      <c r="HIB45" s="5">
        <f>-'5. IRR'!HIC16</f>
        <v>-0.0</v>
      </c>
      <c r="HIC45" s="5">
        <f>-'5. IRR'!HID16</f>
        <v>-0.0</v>
      </c>
      <c r="HID45" s="5">
        <f>-'5. IRR'!HIE16</f>
        <v>-0.0</v>
      </c>
      <c r="HIE45" s="5">
        <f>-'5. IRR'!HIF16</f>
        <v>-0.0</v>
      </c>
      <c r="HIF45" s="5">
        <f>-'5. IRR'!HIG16</f>
        <v>-0.0</v>
      </c>
      <c r="HIG45" s="5">
        <f>-'5. IRR'!HIH16</f>
        <v>-0.0</v>
      </c>
      <c r="HIH45" s="5">
        <f>-'5. IRR'!HII16</f>
        <v>-0.0</v>
      </c>
      <c r="HII45" s="5">
        <f>-'5. IRR'!HIJ16</f>
        <v>-0.0</v>
      </c>
      <c r="HIJ45" s="5">
        <f>-'5. IRR'!HIK16</f>
        <v>-0.0</v>
      </c>
      <c r="HIK45" s="5">
        <f>-'5. IRR'!HIL16</f>
        <v>-0.0</v>
      </c>
      <c r="HIL45" s="5">
        <f>-'5. IRR'!HIM16</f>
        <v>-0.0</v>
      </c>
      <c r="HIM45" s="5">
        <f>-'5. IRR'!HIN16</f>
        <v>-0.0</v>
      </c>
      <c r="HIN45" s="5">
        <f>-'5. IRR'!HIO16</f>
        <v>-0.0</v>
      </c>
      <c r="HIO45" s="5">
        <f>-'5. IRR'!HIP16</f>
        <v>-0.0</v>
      </c>
      <c r="HIP45" s="5">
        <f>-'5. IRR'!HIQ16</f>
        <v>-0.0</v>
      </c>
      <c r="HIQ45" s="5">
        <f>-'5. IRR'!HIR16</f>
        <v>-0.0</v>
      </c>
      <c r="HIR45" s="5">
        <f>-'5. IRR'!HIS16</f>
        <v>-0.0</v>
      </c>
      <c r="HIS45" s="5">
        <f>-'5. IRR'!HIT16</f>
        <v>-0.0</v>
      </c>
      <c r="HIT45" s="5">
        <f>-'5. IRR'!HIU16</f>
        <v>-0.0</v>
      </c>
      <c r="HIU45" s="5">
        <f>-'5. IRR'!HIV16</f>
        <v>-0.0</v>
      </c>
      <c r="HIV45" s="5">
        <f>-'5. IRR'!HIW16</f>
        <v>-0.0</v>
      </c>
      <c r="HIW45" s="5">
        <f>-'5. IRR'!HIX16</f>
        <v>-0.0</v>
      </c>
      <c r="HIX45" s="5">
        <f>-'5. IRR'!HIY16</f>
        <v>-0.0</v>
      </c>
      <c r="HIY45" s="5">
        <f>-'5. IRR'!HIZ16</f>
        <v>-0.0</v>
      </c>
      <c r="HIZ45" s="5">
        <f>-'5. IRR'!HJA16</f>
        <v>-0.0</v>
      </c>
      <c r="HJA45" s="5">
        <f>-'5. IRR'!HJB16</f>
        <v>-0.0</v>
      </c>
      <c r="HJB45" s="5">
        <f>-'5. IRR'!HJC16</f>
        <v>-0.0</v>
      </c>
      <c r="HJC45" s="5">
        <f>-'5. IRR'!HJD16</f>
        <v>-0.0</v>
      </c>
      <c r="HJD45" s="5">
        <f>-'5. IRR'!HJE16</f>
        <v>-0.0</v>
      </c>
      <c r="HJE45" s="5">
        <f>-'5. IRR'!HJF16</f>
        <v>-0.0</v>
      </c>
      <c r="HJF45" s="5">
        <f>-'5. IRR'!HJG16</f>
        <v>-0.0</v>
      </c>
      <c r="HJG45" s="5">
        <f>-'5. IRR'!HJH16</f>
        <v>-0.0</v>
      </c>
      <c r="HJH45" s="5">
        <f>-'5. IRR'!HJI16</f>
        <v>-0.0</v>
      </c>
      <c r="HJI45" s="5">
        <f>-'5. IRR'!HJJ16</f>
        <v>-0.0</v>
      </c>
      <c r="HJJ45" s="5">
        <f>-'5. IRR'!HJK16</f>
        <v>-0.0</v>
      </c>
      <c r="HJK45" s="5">
        <f>-'5. IRR'!HJL16</f>
        <v>-0.0</v>
      </c>
      <c r="HJL45" s="5">
        <f>-'5. IRR'!HJM16</f>
        <v>-0.0</v>
      </c>
      <c r="HJM45" s="5">
        <f>-'5. IRR'!HJN16</f>
        <v>-0.0</v>
      </c>
      <c r="HJN45" s="5">
        <f>-'5. IRR'!HJO16</f>
        <v>-0.0</v>
      </c>
      <c r="HJO45" s="5">
        <f>-'5. IRR'!HJP16</f>
        <v>-0.0</v>
      </c>
      <c r="HJP45" s="5">
        <f>-'5. IRR'!HJQ16</f>
        <v>-0.0</v>
      </c>
      <c r="HJQ45" s="5">
        <f>-'5. IRR'!HJR16</f>
        <v>-0.0</v>
      </c>
      <c r="HJR45" s="5">
        <f>-'5. IRR'!HJS16</f>
        <v>-0.0</v>
      </c>
      <c r="HJS45" s="5">
        <f>-'5. IRR'!HJT16</f>
        <v>-0.0</v>
      </c>
      <c r="HJT45" s="5">
        <f>-'5. IRR'!HJU16</f>
        <v>-0.0</v>
      </c>
      <c r="HJU45" s="5">
        <f>-'5. IRR'!HJV16</f>
        <v>-0.0</v>
      </c>
      <c r="HJV45" s="5">
        <f>-'5. IRR'!HJW16</f>
        <v>-0.0</v>
      </c>
      <c r="HJW45" s="5">
        <f>-'5. IRR'!HJX16</f>
        <v>-0.0</v>
      </c>
      <c r="HJX45" s="5">
        <f>-'5. IRR'!HJY16</f>
        <v>-0.0</v>
      </c>
      <c r="HJY45" s="5">
        <f>-'5. IRR'!HJZ16</f>
        <v>-0.0</v>
      </c>
      <c r="HJZ45" s="5">
        <f>-'5. IRR'!HKA16</f>
        <v>-0.0</v>
      </c>
      <c r="HKA45" s="5">
        <f>-'5. IRR'!HKB16</f>
        <v>-0.0</v>
      </c>
      <c r="HKB45" s="5">
        <f>-'5. IRR'!HKC16</f>
        <v>-0.0</v>
      </c>
      <c r="HKC45" s="5">
        <f>-'5. IRR'!HKD16</f>
        <v>-0.0</v>
      </c>
      <c r="HKD45" s="5">
        <f>-'5. IRR'!HKE16</f>
        <v>-0.0</v>
      </c>
      <c r="HKE45" s="5">
        <f>-'5. IRR'!HKF16</f>
        <v>-0.0</v>
      </c>
      <c r="HKF45" s="5">
        <f>-'5. IRR'!HKG16</f>
        <v>-0.0</v>
      </c>
      <c r="HKG45" s="5">
        <f>-'5. IRR'!HKH16</f>
        <v>-0.0</v>
      </c>
      <c r="HKH45" s="5">
        <f>-'5. IRR'!HKI16</f>
        <v>-0.0</v>
      </c>
      <c r="HKI45" s="5">
        <f>-'5. IRR'!HKJ16</f>
        <v>-0.0</v>
      </c>
      <c r="HKJ45" s="5">
        <f>-'5. IRR'!HKK16</f>
        <v>-0.0</v>
      </c>
      <c r="HKK45" s="5">
        <f>-'5. IRR'!HKL16</f>
        <v>-0.0</v>
      </c>
      <c r="HKL45" s="5">
        <f>-'5. IRR'!HKM16</f>
        <v>-0.0</v>
      </c>
      <c r="HKM45" s="5">
        <f>-'5. IRR'!HKN16</f>
        <v>-0.0</v>
      </c>
      <c r="HKN45" s="5">
        <f>-'5. IRR'!HKO16</f>
        <v>-0.0</v>
      </c>
      <c r="HKO45" s="5">
        <f>-'5. IRR'!HKP16</f>
        <v>-0.0</v>
      </c>
      <c r="HKP45" s="5">
        <f>-'5. IRR'!HKQ16</f>
        <v>-0.0</v>
      </c>
      <c r="HKQ45" s="5">
        <f>-'5. IRR'!HKR16</f>
        <v>-0.0</v>
      </c>
      <c r="HKR45" s="5">
        <f>-'5. IRR'!HKS16</f>
        <v>-0.0</v>
      </c>
      <c r="HKS45" s="5">
        <f>-'5. IRR'!HKT16</f>
        <v>-0.0</v>
      </c>
      <c r="HKT45" s="5">
        <f>-'5. IRR'!HKU16</f>
        <v>-0.0</v>
      </c>
      <c r="HKU45" s="5">
        <f>-'5. IRR'!HKV16</f>
        <v>-0.0</v>
      </c>
      <c r="HKV45" s="5">
        <f>-'5. IRR'!HKW16</f>
        <v>-0.0</v>
      </c>
      <c r="HKW45" s="5">
        <f>-'5. IRR'!HKX16</f>
        <v>-0.0</v>
      </c>
      <c r="HKX45" s="5">
        <f>-'5. IRR'!HKY16</f>
        <v>-0.0</v>
      </c>
      <c r="HKY45" s="5">
        <f>-'5. IRR'!HKZ16</f>
        <v>-0.0</v>
      </c>
      <c r="HKZ45" s="5">
        <f>-'5. IRR'!HLA16</f>
        <v>-0.0</v>
      </c>
      <c r="HLA45" s="5">
        <f>-'5. IRR'!HLB16</f>
        <v>-0.0</v>
      </c>
      <c r="HLB45" s="5">
        <f>-'5. IRR'!HLC16</f>
        <v>-0.0</v>
      </c>
      <c r="HLC45" s="5">
        <f>-'5. IRR'!HLD16</f>
        <v>-0.0</v>
      </c>
      <c r="HLD45" s="5">
        <f>-'5. IRR'!HLE16</f>
        <v>-0.0</v>
      </c>
      <c r="HLE45" s="5">
        <f>-'5. IRR'!HLF16</f>
        <v>-0.0</v>
      </c>
      <c r="HLF45" s="5">
        <f>-'5. IRR'!HLG16</f>
        <v>-0.0</v>
      </c>
      <c r="HLG45" s="5">
        <f>-'5. IRR'!HLH16</f>
        <v>-0.0</v>
      </c>
      <c r="HLH45" s="5">
        <f>-'5. IRR'!HLI16</f>
        <v>-0.0</v>
      </c>
      <c r="HLI45" s="5">
        <f>-'5. IRR'!HLJ16</f>
        <v>-0.0</v>
      </c>
      <c r="HLJ45" s="5">
        <f>-'5. IRR'!HLK16</f>
        <v>-0.0</v>
      </c>
      <c r="HLK45" s="5">
        <f>-'5. IRR'!HLL16</f>
        <v>-0.0</v>
      </c>
      <c r="HLL45" s="5">
        <f>-'5. IRR'!HLM16</f>
        <v>-0.0</v>
      </c>
      <c r="HLM45" s="5">
        <f>-'5. IRR'!HLN16</f>
        <v>-0.0</v>
      </c>
      <c r="HLN45" s="5">
        <f>-'5. IRR'!HLO16</f>
        <v>-0.0</v>
      </c>
      <c r="HLO45" s="5">
        <f>-'5. IRR'!HLP16</f>
        <v>-0.0</v>
      </c>
      <c r="HLP45" s="5">
        <f>-'5. IRR'!HLQ16</f>
        <v>-0.0</v>
      </c>
      <c r="HLQ45" s="5">
        <f>-'5. IRR'!HLR16</f>
        <v>-0.0</v>
      </c>
      <c r="HLR45" s="5">
        <f>-'5. IRR'!HLS16</f>
        <v>-0.0</v>
      </c>
      <c r="HLS45" s="5">
        <f>-'5. IRR'!HLT16</f>
        <v>-0.0</v>
      </c>
      <c r="HLT45" s="5">
        <f>-'5. IRR'!HLU16</f>
        <v>-0.0</v>
      </c>
      <c r="HLU45" s="5">
        <f>-'5. IRR'!HLV16</f>
        <v>-0.0</v>
      </c>
      <c r="HLV45" s="5">
        <f>-'5. IRR'!HLW16</f>
        <v>-0.0</v>
      </c>
      <c r="HLW45" s="5">
        <f>-'5. IRR'!HLX16</f>
        <v>-0.0</v>
      </c>
      <c r="HLX45" s="5">
        <f>-'5. IRR'!HLY16</f>
        <v>-0.0</v>
      </c>
      <c r="HLY45" s="5">
        <f>-'5. IRR'!HLZ16</f>
        <v>-0.0</v>
      </c>
      <c r="HLZ45" s="5">
        <f>-'5. IRR'!HMA16</f>
        <v>-0.0</v>
      </c>
      <c r="HMA45" s="5">
        <f>-'5. IRR'!HMB16</f>
        <v>-0.0</v>
      </c>
      <c r="HMB45" s="5">
        <f>-'5. IRR'!HMC16</f>
        <v>-0.0</v>
      </c>
      <c r="HMC45" s="5">
        <f>-'5. IRR'!HMD16</f>
        <v>-0.0</v>
      </c>
      <c r="HMD45" s="5">
        <f>-'5. IRR'!HME16</f>
        <v>-0.0</v>
      </c>
      <c r="HME45" s="5">
        <f>-'5. IRR'!HMF16</f>
        <v>-0.0</v>
      </c>
      <c r="HMF45" s="5">
        <f>-'5. IRR'!HMG16</f>
        <v>-0.0</v>
      </c>
      <c r="HMG45" s="5">
        <f>-'5. IRR'!HMH16</f>
        <v>-0.0</v>
      </c>
      <c r="HMH45" s="5">
        <f>-'5. IRR'!HMI16</f>
        <v>-0.0</v>
      </c>
      <c r="HMI45" s="5">
        <f>-'5. IRR'!HMJ16</f>
        <v>-0.0</v>
      </c>
      <c r="HMJ45" s="5">
        <f>-'5. IRR'!HMK16</f>
        <v>-0.0</v>
      </c>
      <c r="HMK45" s="5">
        <f>-'5. IRR'!HML16</f>
        <v>-0.0</v>
      </c>
      <c r="HML45" s="5">
        <f>-'5. IRR'!HMM16</f>
        <v>-0.0</v>
      </c>
      <c r="HMM45" s="5">
        <f>-'5. IRR'!HMN16</f>
        <v>-0.0</v>
      </c>
      <c r="HMN45" s="5">
        <f>-'5. IRR'!HMO16</f>
        <v>-0.0</v>
      </c>
      <c r="HMO45" s="5">
        <f>-'5. IRR'!HMP16</f>
        <v>-0.0</v>
      </c>
      <c r="HMP45" s="5">
        <f>-'5. IRR'!HMQ16</f>
        <v>-0.0</v>
      </c>
      <c r="HMQ45" s="5">
        <f>-'5. IRR'!HMR16</f>
        <v>-0.0</v>
      </c>
      <c r="HMR45" s="5">
        <f>-'5. IRR'!HMS16</f>
        <v>-0.0</v>
      </c>
      <c r="HMS45" s="5">
        <f>-'5. IRR'!HMT16</f>
        <v>-0.0</v>
      </c>
      <c r="HMT45" s="5">
        <f>-'5. IRR'!HMU16</f>
        <v>-0.0</v>
      </c>
      <c r="HMU45" s="5">
        <f>-'5. IRR'!HMV16</f>
        <v>-0.0</v>
      </c>
      <c r="HMV45" s="5">
        <f>-'5. IRR'!HMW16</f>
        <v>-0.0</v>
      </c>
      <c r="HMW45" s="5">
        <f>-'5. IRR'!HMX16</f>
        <v>-0.0</v>
      </c>
      <c r="HMX45" s="5">
        <f>-'5. IRR'!HMY16</f>
        <v>-0.0</v>
      </c>
      <c r="HMY45" s="5">
        <f>-'5. IRR'!HMZ16</f>
        <v>-0.0</v>
      </c>
      <c r="HMZ45" s="5">
        <f>-'5. IRR'!HNA16</f>
        <v>-0.0</v>
      </c>
      <c r="HNA45" s="5">
        <f>-'5. IRR'!HNB16</f>
        <v>-0.0</v>
      </c>
      <c r="HNB45" s="5">
        <f>-'5. IRR'!HNC16</f>
        <v>-0.0</v>
      </c>
      <c r="HNC45" s="5">
        <f>-'5. IRR'!HND16</f>
        <v>-0.0</v>
      </c>
      <c r="HND45" s="5">
        <f>-'5. IRR'!HNE16</f>
        <v>-0.0</v>
      </c>
      <c r="HNE45" s="5">
        <f>-'5. IRR'!HNF16</f>
        <v>-0.0</v>
      </c>
      <c r="HNF45" s="5">
        <f>-'5. IRR'!HNG16</f>
        <v>-0.0</v>
      </c>
      <c r="HNG45" s="5">
        <f>-'5. IRR'!HNH16</f>
        <v>-0.0</v>
      </c>
      <c r="HNH45" s="5">
        <f>-'5. IRR'!HNI16</f>
        <v>-0.0</v>
      </c>
      <c r="HNI45" s="5">
        <f>-'5. IRR'!HNJ16</f>
        <v>-0.0</v>
      </c>
      <c r="HNJ45" s="5">
        <f>-'5. IRR'!HNK16</f>
        <v>-0.0</v>
      </c>
      <c r="HNK45" s="5">
        <f>-'5. IRR'!HNL16</f>
        <v>-0.0</v>
      </c>
      <c r="HNL45" s="5">
        <f>-'5. IRR'!HNM16</f>
        <v>-0.0</v>
      </c>
      <c r="HNM45" s="5">
        <f>-'5. IRR'!HNN16</f>
        <v>-0.0</v>
      </c>
      <c r="HNN45" s="5">
        <f>-'5. IRR'!HNO16</f>
        <v>-0.0</v>
      </c>
      <c r="HNO45" s="5">
        <f>-'5. IRR'!HNP16</f>
        <v>-0.0</v>
      </c>
      <c r="HNP45" s="5">
        <f>-'5. IRR'!HNQ16</f>
        <v>-0.0</v>
      </c>
      <c r="HNQ45" s="5">
        <f>-'5. IRR'!HNR16</f>
        <v>-0.0</v>
      </c>
      <c r="HNR45" s="5">
        <f>-'5. IRR'!HNS16</f>
        <v>-0.0</v>
      </c>
      <c r="HNS45" s="5">
        <f>-'5. IRR'!HNT16</f>
        <v>-0.0</v>
      </c>
      <c r="HNT45" s="5">
        <f>-'5. IRR'!HNU16</f>
        <v>-0.0</v>
      </c>
      <c r="HNU45" s="5">
        <f>-'5. IRR'!HNV16</f>
        <v>-0.0</v>
      </c>
      <c r="HNV45" s="5">
        <f>-'5. IRR'!HNW16</f>
        <v>-0.0</v>
      </c>
      <c r="HNW45" s="5">
        <f>-'5. IRR'!HNX16</f>
        <v>-0.0</v>
      </c>
      <c r="HNX45" s="5">
        <f>-'5. IRR'!HNY16</f>
        <v>-0.0</v>
      </c>
      <c r="HNY45" s="5">
        <f>-'5. IRR'!HNZ16</f>
        <v>-0.0</v>
      </c>
      <c r="HNZ45" s="5">
        <f>-'5. IRR'!HOA16</f>
        <v>-0.0</v>
      </c>
      <c r="HOA45" s="5">
        <f>-'5. IRR'!HOB16</f>
        <v>-0.0</v>
      </c>
      <c r="HOB45" s="5">
        <f>-'5. IRR'!HOC16</f>
        <v>-0.0</v>
      </c>
      <c r="HOC45" s="5">
        <f>-'5. IRR'!HOD16</f>
        <v>-0.0</v>
      </c>
      <c r="HOD45" s="5">
        <f>-'5. IRR'!HOE16</f>
        <v>-0.0</v>
      </c>
      <c r="HOE45" s="5">
        <f>-'5. IRR'!HOF16</f>
        <v>-0.0</v>
      </c>
      <c r="HOF45" s="5">
        <f>-'5. IRR'!HOG16</f>
        <v>-0.0</v>
      </c>
      <c r="HOG45" s="5">
        <f>-'5. IRR'!HOH16</f>
        <v>-0.0</v>
      </c>
      <c r="HOH45" s="5">
        <f>-'5. IRR'!HOI16</f>
        <v>-0.0</v>
      </c>
      <c r="HOI45" s="5">
        <f>-'5. IRR'!HOJ16</f>
        <v>-0.0</v>
      </c>
      <c r="HOJ45" s="5">
        <f>-'5. IRR'!HOK16</f>
        <v>-0.0</v>
      </c>
      <c r="HOK45" s="5">
        <f>-'5. IRR'!HOL16</f>
        <v>-0.0</v>
      </c>
      <c r="HOL45" s="5">
        <f>-'5. IRR'!HOM16</f>
        <v>-0.0</v>
      </c>
      <c r="HOM45" s="5">
        <f>-'5. IRR'!HON16</f>
        <v>-0.0</v>
      </c>
      <c r="HON45" s="5">
        <f>-'5. IRR'!HOO16</f>
        <v>-0.0</v>
      </c>
      <c r="HOO45" s="5">
        <f>-'5. IRR'!HOP16</f>
        <v>-0.0</v>
      </c>
      <c r="HOP45" s="5">
        <f>-'5. IRR'!HOQ16</f>
        <v>-0.0</v>
      </c>
      <c r="HOQ45" s="5">
        <f>-'5. IRR'!HOR16</f>
        <v>-0.0</v>
      </c>
      <c r="HOR45" s="5">
        <f>-'5. IRR'!HOS16</f>
        <v>-0.0</v>
      </c>
      <c r="HOS45" s="5">
        <f>-'5. IRR'!HOT16</f>
        <v>-0.0</v>
      </c>
      <c r="HOT45" s="5">
        <f>-'5. IRR'!HOU16</f>
        <v>-0.0</v>
      </c>
      <c r="HOU45" s="5">
        <f>-'5. IRR'!HOV16</f>
        <v>-0.0</v>
      </c>
      <c r="HOV45" s="5">
        <f>-'5. IRR'!HOW16</f>
        <v>-0.0</v>
      </c>
      <c r="HOW45" s="5">
        <f>-'5. IRR'!HOX16</f>
        <v>-0.0</v>
      </c>
      <c r="HOX45" s="5">
        <f>-'5. IRR'!HOY16</f>
        <v>-0.0</v>
      </c>
      <c r="HOY45" s="5">
        <f>-'5. IRR'!HOZ16</f>
        <v>-0.0</v>
      </c>
      <c r="HOZ45" s="5">
        <f>-'5. IRR'!HPA16</f>
        <v>-0.0</v>
      </c>
      <c r="HPA45" s="5">
        <f>-'5. IRR'!HPB16</f>
        <v>-0.0</v>
      </c>
      <c r="HPB45" s="5">
        <f>-'5. IRR'!HPC16</f>
        <v>-0.0</v>
      </c>
      <c r="HPC45" s="5">
        <f>-'5. IRR'!HPD16</f>
        <v>-0.0</v>
      </c>
      <c r="HPD45" s="5">
        <f>-'5. IRR'!HPE16</f>
        <v>-0.0</v>
      </c>
      <c r="HPE45" s="5">
        <f>-'5. IRR'!HPF16</f>
        <v>-0.0</v>
      </c>
      <c r="HPF45" s="5">
        <f>-'5. IRR'!HPG16</f>
        <v>-0.0</v>
      </c>
      <c r="HPG45" s="5">
        <f>-'5. IRR'!HPH16</f>
        <v>-0.0</v>
      </c>
      <c r="HPH45" s="5">
        <f>-'5. IRR'!HPI16</f>
        <v>-0.0</v>
      </c>
      <c r="HPI45" s="5">
        <f>-'5. IRR'!HPJ16</f>
        <v>-0.0</v>
      </c>
      <c r="HPJ45" s="5">
        <f>-'5. IRR'!HPK16</f>
        <v>-0.0</v>
      </c>
      <c r="HPK45" s="5">
        <f>-'5. IRR'!HPL16</f>
        <v>-0.0</v>
      </c>
      <c r="HPL45" s="5">
        <f>-'5. IRR'!HPM16</f>
        <v>-0.0</v>
      </c>
      <c r="HPM45" s="5">
        <f>-'5. IRR'!HPN16</f>
        <v>-0.0</v>
      </c>
      <c r="HPN45" s="5">
        <f>-'5. IRR'!HPO16</f>
        <v>-0.0</v>
      </c>
      <c r="HPO45" s="5">
        <f>-'5. IRR'!HPP16</f>
        <v>-0.0</v>
      </c>
      <c r="HPP45" s="5">
        <f>-'5. IRR'!HPQ16</f>
        <v>-0.0</v>
      </c>
      <c r="HPQ45" s="5">
        <f>-'5. IRR'!HPR16</f>
        <v>-0.0</v>
      </c>
      <c r="HPR45" s="5">
        <f>-'5. IRR'!HPS16</f>
        <v>-0.0</v>
      </c>
      <c r="HPS45" s="5">
        <f>-'5. IRR'!HPT16</f>
        <v>-0.0</v>
      </c>
      <c r="HPT45" s="5">
        <f>-'5. IRR'!HPU16</f>
        <v>-0.0</v>
      </c>
      <c r="HPU45" s="5">
        <f>-'5. IRR'!HPV16</f>
        <v>-0.0</v>
      </c>
      <c r="HPV45" s="5">
        <f>-'5. IRR'!HPW16</f>
        <v>-0.0</v>
      </c>
      <c r="HPW45" s="5">
        <f>-'5. IRR'!HPX16</f>
        <v>-0.0</v>
      </c>
      <c r="HPX45" s="5">
        <f>-'5. IRR'!HPY16</f>
        <v>-0.0</v>
      </c>
      <c r="HPY45" s="5">
        <f>-'5. IRR'!HPZ16</f>
        <v>-0.0</v>
      </c>
      <c r="HPZ45" s="5">
        <f>-'5. IRR'!HQA16</f>
        <v>-0.0</v>
      </c>
      <c r="HQA45" s="5">
        <f>-'5. IRR'!HQB16</f>
        <v>-0.0</v>
      </c>
      <c r="HQB45" s="5">
        <f>-'5. IRR'!HQC16</f>
        <v>-0.0</v>
      </c>
      <c r="HQC45" s="5">
        <f>-'5. IRR'!HQD16</f>
        <v>-0.0</v>
      </c>
      <c r="HQD45" s="5">
        <f>-'5. IRR'!HQE16</f>
        <v>-0.0</v>
      </c>
      <c r="HQE45" s="5">
        <f>-'5. IRR'!HQF16</f>
        <v>-0.0</v>
      </c>
      <c r="HQF45" s="5">
        <f>-'5. IRR'!HQG16</f>
        <v>-0.0</v>
      </c>
      <c r="HQG45" s="5">
        <f>-'5. IRR'!HQH16</f>
        <v>-0.0</v>
      </c>
      <c r="HQH45" s="5">
        <f>-'5. IRR'!HQI16</f>
        <v>-0.0</v>
      </c>
      <c r="HQI45" s="5">
        <f>-'5. IRR'!HQJ16</f>
        <v>-0.0</v>
      </c>
      <c r="HQJ45" s="5">
        <f>-'5. IRR'!HQK16</f>
        <v>-0.0</v>
      </c>
      <c r="HQK45" s="5">
        <f>-'5. IRR'!HQL16</f>
        <v>-0.0</v>
      </c>
      <c r="HQL45" s="5">
        <f>-'5. IRR'!HQM16</f>
        <v>-0.0</v>
      </c>
      <c r="HQM45" s="5">
        <f>-'5. IRR'!HQN16</f>
        <v>-0.0</v>
      </c>
      <c r="HQN45" s="5">
        <f>-'5. IRR'!HQO16</f>
        <v>-0.0</v>
      </c>
      <c r="HQO45" s="5">
        <f>-'5. IRR'!HQP16</f>
        <v>-0.0</v>
      </c>
      <c r="HQP45" s="5">
        <f>-'5. IRR'!HQQ16</f>
        <v>-0.0</v>
      </c>
      <c r="HQQ45" s="5">
        <f>-'5. IRR'!HQR16</f>
        <v>-0.0</v>
      </c>
      <c r="HQR45" s="5">
        <f>-'5. IRR'!HQS16</f>
        <v>-0.0</v>
      </c>
      <c r="HQS45" s="5">
        <f>-'5. IRR'!HQT16</f>
        <v>-0.0</v>
      </c>
      <c r="HQT45" s="5">
        <f>-'5. IRR'!HQU16</f>
        <v>-0.0</v>
      </c>
      <c r="HQU45" s="5">
        <f>-'5. IRR'!HQV16</f>
        <v>-0.0</v>
      </c>
      <c r="HQV45" s="5">
        <f>-'5. IRR'!HQW16</f>
        <v>-0.0</v>
      </c>
      <c r="HQW45" s="5">
        <f>-'5. IRR'!HQX16</f>
        <v>-0.0</v>
      </c>
      <c r="HQX45" s="5">
        <f>-'5. IRR'!HQY16</f>
        <v>-0.0</v>
      </c>
      <c r="HQY45" s="5">
        <f>-'5. IRR'!HQZ16</f>
        <v>-0.0</v>
      </c>
      <c r="HQZ45" s="5">
        <f>-'5. IRR'!HRA16</f>
        <v>-0.0</v>
      </c>
      <c r="HRA45" s="5">
        <f>-'5. IRR'!HRB16</f>
        <v>-0.0</v>
      </c>
      <c r="HRB45" s="5">
        <f>-'5. IRR'!HRC16</f>
        <v>-0.0</v>
      </c>
      <c r="HRC45" s="5">
        <f>-'5. IRR'!HRD16</f>
        <v>-0.0</v>
      </c>
      <c r="HRD45" s="5">
        <f>-'5. IRR'!HRE16</f>
        <v>-0.0</v>
      </c>
      <c r="HRE45" s="5">
        <f>-'5. IRR'!HRF16</f>
        <v>-0.0</v>
      </c>
      <c r="HRF45" s="5">
        <f>-'5. IRR'!HRG16</f>
        <v>-0.0</v>
      </c>
      <c r="HRG45" s="5">
        <f>-'5. IRR'!HRH16</f>
        <v>-0.0</v>
      </c>
      <c r="HRH45" s="5">
        <f>-'5. IRR'!HRI16</f>
        <v>-0.0</v>
      </c>
      <c r="HRI45" s="5">
        <f>-'5. IRR'!HRJ16</f>
        <v>-0.0</v>
      </c>
      <c r="HRJ45" s="5">
        <f>-'5. IRR'!HRK16</f>
        <v>-0.0</v>
      </c>
      <c r="HRK45" s="5">
        <f>-'5. IRR'!HRL16</f>
        <v>-0.0</v>
      </c>
      <c r="HRL45" s="5">
        <f>-'5. IRR'!HRM16</f>
        <v>-0.0</v>
      </c>
      <c r="HRM45" s="5">
        <f>-'5. IRR'!HRN16</f>
        <v>-0.0</v>
      </c>
      <c r="HRN45" s="5">
        <f>-'5. IRR'!HRO16</f>
        <v>-0.0</v>
      </c>
      <c r="HRO45" s="5">
        <f>-'5. IRR'!HRP16</f>
        <v>-0.0</v>
      </c>
      <c r="HRP45" s="5">
        <f>-'5. IRR'!HRQ16</f>
        <v>-0.0</v>
      </c>
      <c r="HRQ45" s="5">
        <f>-'5. IRR'!HRR16</f>
        <v>-0.0</v>
      </c>
      <c r="HRR45" s="5">
        <f>-'5. IRR'!HRS16</f>
        <v>-0.0</v>
      </c>
      <c r="HRS45" s="5">
        <f>-'5. IRR'!HRT16</f>
        <v>-0.0</v>
      </c>
      <c r="HRT45" s="5">
        <f>-'5. IRR'!HRU16</f>
        <v>-0.0</v>
      </c>
      <c r="HRU45" s="5">
        <f>-'5. IRR'!HRV16</f>
        <v>-0.0</v>
      </c>
      <c r="HRV45" s="5">
        <f>-'5. IRR'!HRW16</f>
        <v>-0.0</v>
      </c>
      <c r="HRW45" s="5">
        <f>-'5. IRR'!HRX16</f>
        <v>-0.0</v>
      </c>
      <c r="HRX45" s="5">
        <f>-'5. IRR'!HRY16</f>
        <v>-0.0</v>
      </c>
      <c r="HRY45" s="5">
        <f>-'5. IRR'!HRZ16</f>
        <v>-0.0</v>
      </c>
      <c r="HRZ45" s="5">
        <f>-'5. IRR'!HSA16</f>
        <v>-0.0</v>
      </c>
      <c r="HSA45" s="5">
        <f>-'5. IRR'!HSB16</f>
        <v>-0.0</v>
      </c>
      <c r="HSB45" s="5">
        <f>-'5. IRR'!HSC16</f>
        <v>-0.0</v>
      </c>
      <c r="HSC45" s="5">
        <f>-'5. IRR'!HSD16</f>
        <v>-0.0</v>
      </c>
      <c r="HSD45" s="5">
        <f>-'5. IRR'!HSE16</f>
        <v>-0.0</v>
      </c>
      <c r="HSE45" s="5">
        <f>-'5. IRR'!HSF16</f>
        <v>-0.0</v>
      </c>
      <c r="HSF45" s="5">
        <f>-'5. IRR'!HSG16</f>
        <v>-0.0</v>
      </c>
      <c r="HSG45" s="5">
        <f>-'5. IRR'!HSH16</f>
        <v>-0.0</v>
      </c>
      <c r="HSH45" s="5">
        <f>-'5. IRR'!HSI16</f>
        <v>-0.0</v>
      </c>
      <c r="HSI45" s="5">
        <f>-'5. IRR'!HSJ16</f>
        <v>-0.0</v>
      </c>
      <c r="HSJ45" s="5">
        <f>-'5. IRR'!HSK16</f>
        <v>-0.0</v>
      </c>
      <c r="HSK45" s="5">
        <f>-'5. IRR'!HSL16</f>
        <v>-0.0</v>
      </c>
      <c r="HSL45" s="5">
        <f>-'5. IRR'!HSM16</f>
        <v>-0.0</v>
      </c>
      <c r="HSM45" s="5">
        <f>-'5. IRR'!HSN16</f>
        <v>-0.0</v>
      </c>
      <c r="HSN45" s="5">
        <f>-'5. IRR'!HSO16</f>
        <v>-0.0</v>
      </c>
      <c r="HSO45" s="5">
        <f>-'5. IRR'!HSP16</f>
        <v>-0.0</v>
      </c>
      <c r="HSP45" s="5">
        <f>-'5. IRR'!HSQ16</f>
        <v>-0.0</v>
      </c>
      <c r="HSQ45" s="5">
        <f>-'5. IRR'!HSR16</f>
        <v>-0.0</v>
      </c>
      <c r="HSR45" s="5">
        <f>-'5. IRR'!HSS16</f>
        <v>-0.0</v>
      </c>
      <c r="HSS45" s="5">
        <f>-'5. IRR'!HST16</f>
        <v>-0.0</v>
      </c>
      <c r="HST45" s="5">
        <f>-'5. IRR'!HSU16</f>
        <v>-0.0</v>
      </c>
      <c r="HSU45" s="5">
        <f>-'5. IRR'!HSV16</f>
        <v>-0.0</v>
      </c>
      <c r="HSV45" s="5">
        <f>-'5. IRR'!HSW16</f>
        <v>-0.0</v>
      </c>
      <c r="HSW45" s="5">
        <f>-'5. IRR'!HSX16</f>
        <v>-0.0</v>
      </c>
      <c r="HSX45" s="5">
        <f>-'5. IRR'!HSY16</f>
        <v>-0.0</v>
      </c>
      <c r="HSY45" s="5">
        <f>-'5. IRR'!HSZ16</f>
        <v>-0.0</v>
      </c>
      <c r="HSZ45" s="5">
        <f>-'5. IRR'!HTA16</f>
        <v>-0.0</v>
      </c>
      <c r="HTA45" s="5">
        <f>-'5. IRR'!HTB16</f>
        <v>-0.0</v>
      </c>
      <c r="HTB45" s="5">
        <f>-'5. IRR'!HTC16</f>
        <v>-0.0</v>
      </c>
      <c r="HTC45" s="5">
        <f>-'5. IRR'!HTD16</f>
        <v>-0.0</v>
      </c>
      <c r="HTD45" s="5">
        <f>-'5. IRR'!HTE16</f>
        <v>-0.0</v>
      </c>
      <c r="HTE45" s="5">
        <f>-'5. IRR'!HTF16</f>
        <v>-0.0</v>
      </c>
      <c r="HTF45" s="5">
        <f>-'5. IRR'!HTG16</f>
        <v>-0.0</v>
      </c>
      <c r="HTG45" s="5">
        <f>-'5. IRR'!HTH16</f>
        <v>-0.0</v>
      </c>
      <c r="HTH45" s="5">
        <f>-'5. IRR'!HTI16</f>
        <v>-0.0</v>
      </c>
      <c r="HTI45" s="5">
        <f>-'5. IRR'!HTJ16</f>
        <v>-0.0</v>
      </c>
      <c r="HTJ45" s="5">
        <f>-'5. IRR'!HTK16</f>
        <v>-0.0</v>
      </c>
      <c r="HTK45" s="5">
        <f>-'5. IRR'!HTL16</f>
        <v>-0.0</v>
      </c>
      <c r="HTL45" s="5">
        <f>-'5. IRR'!HTM16</f>
        <v>-0.0</v>
      </c>
      <c r="HTM45" s="5">
        <f>-'5. IRR'!HTN16</f>
        <v>-0.0</v>
      </c>
      <c r="HTN45" s="5">
        <f>-'5. IRR'!HTO16</f>
        <v>-0.0</v>
      </c>
      <c r="HTO45" s="5">
        <f>-'5. IRR'!HTP16</f>
        <v>-0.0</v>
      </c>
      <c r="HTP45" s="5">
        <f>-'5. IRR'!HTQ16</f>
        <v>-0.0</v>
      </c>
      <c r="HTQ45" s="5">
        <f>-'5. IRR'!HTR16</f>
        <v>-0.0</v>
      </c>
      <c r="HTR45" s="5">
        <f>-'5. IRR'!HTS16</f>
        <v>-0.0</v>
      </c>
      <c r="HTS45" s="5">
        <f>-'5. IRR'!HTT16</f>
        <v>-0.0</v>
      </c>
      <c r="HTT45" s="5">
        <f>-'5. IRR'!HTU16</f>
        <v>-0.0</v>
      </c>
      <c r="HTU45" s="5">
        <f>-'5. IRR'!HTV16</f>
        <v>-0.0</v>
      </c>
      <c r="HTV45" s="5">
        <f>-'5. IRR'!HTW16</f>
        <v>-0.0</v>
      </c>
      <c r="HTW45" s="5">
        <f>-'5. IRR'!HTX16</f>
        <v>-0.0</v>
      </c>
      <c r="HTX45" s="5">
        <f>-'5. IRR'!HTY16</f>
        <v>-0.0</v>
      </c>
      <c r="HTY45" s="5">
        <f>-'5. IRR'!HTZ16</f>
        <v>-0.0</v>
      </c>
      <c r="HTZ45" s="5">
        <f>-'5. IRR'!HUA16</f>
        <v>-0.0</v>
      </c>
      <c r="HUA45" s="5">
        <f>-'5. IRR'!HUB16</f>
        <v>-0.0</v>
      </c>
      <c r="HUB45" s="5">
        <f>-'5. IRR'!HUC16</f>
        <v>-0.0</v>
      </c>
      <c r="HUC45" s="5">
        <f>-'5. IRR'!HUD16</f>
        <v>-0.0</v>
      </c>
      <c r="HUD45" s="5">
        <f>-'5. IRR'!HUE16</f>
        <v>-0.0</v>
      </c>
      <c r="HUE45" s="5">
        <f>-'5. IRR'!HUF16</f>
        <v>-0.0</v>
      </c>
      <c r="HUF45" s="5">
        <f>-'5. IRR'!HUG16</f>
        <v>-0.0</v>
      </c>
      <c r="HUG45" s="5">
        <f>-'5. IRR'!HUH16</f>
        <v>-0.0</v>
      </c>
      <c r="HUH45" s="5">
        <f>-'5. IRR'!HUI16</f>
        <v>-0.0</v>
      </c>
      <c r="HUI45" s="5">
        <f>-'5. IRR'!HUJ16</f>
        <v>-0.0</v>
      </c>
      <c r="HUJ45" s="5">
        <f>-'5. IRR'!HUK16</f>
        <v>-0.0</v>
      </c>
      <c r="HUK45" s="5">
        <f>-'5. IRR'!HUL16</f>
        <v>-0.0</v>
      </c>
      <c r="HUL45" s="5">
        <f>-'5. IRR'!HUM16</f>
        <v>-0.0</v>
      </c>
      <c r="HUM45" s="5">
        <f>-'5. IRR'!HUN16</f>
        <v>-0.0</v>
      </c>
      <c r="HUN45" s="5">
        <f>-'5. IRR'!HUO16</f>
        <v>-0.0</v>
      </c>
      <c r="HUO45" s="5">
        <f>-'5. IRR'!HUP16</f>
        <v>-0.0</v>
      </c>
      <c r="HUP45" s="5">
        <f>-'5. IRR'!HUQ16</f>
        <v>-0.0</v>
      </c>
      <c r="HUQ45" s="5">
        <f>-'5. IRR'!HUR16</f>
        <v>-0.0</v>
      </c>
      <c r="HUR45" s="5">
        <f>-'5. IRR'!HUS16</f>
        <v>-0.0</v>
      </c>
      <c r="HUS45" s="5">
        <f>-'5. IRR'!HUT16</f>
        <v>-0.0</v>
      </c>
      <c r="HUT45" s="5">
        <f>-'5. IRR'!HUU16</f>
        <v>-0.0</v>
      </c>
      <c r="HUU45" s="5">
        <f>-'5. IRR'!HUV16</f>
        <v>-0.0</v>
      </c>
      <c r="HUV45" s="5">
        <f>-'5. IRR'!HUW16</f>
        <v>-0.0</v>
      </c>
      <c r="HUW45" s="5">
        <f>-'5. IRR'!HUX16</f>
        <v>-0.0</v>
      </c>
      <c r="HUX45" s="5">
        <f>-'5. IRR'!HUY16</f>
        <v>-0.0</v>
      </c>
      <c r="HUY45" s="5">
        <f>-'5. IRR'!HUZ16</f>
        <v>-0.0</v>
      </c>
      <c r="HUZ45" s="5">
        <f>-'5. IRR'!HVA16</f>
        <v>-0.0</v>
      </c>
      <c r="HVA45" s="5">
        <f>-'5. IRR'!HVB16</f>
        <v>-0.0</v>
      </c>
      <c r="HVB45" s="5">
        <f>-'5. IRR'!HVC16</f>
        <v>-0.0</v>
      </c>
      <c r="HVC45" s="5">
        <f>-'5. IRR'!HVD16</f>
        <v>-0.0</v>
      </c>
      <c r="HVD45" s="5">
        <f>-'5. IRR'!HVE16</f>
        <v>-0.0</v>
      </c>
      <c r="HVE45" s="5">
        <f>-'5. IRR'!HVF16</f>
        <v>-0.0</v>
      </c>
      <c r="HVF45" s="5">
        <f>-'5. IRR'!HVG16</f>
        <v>-0.0</v>
      </c>
      <c r="HVG45" s="5">
        <f>-'5. IRR'!HVH16</f>
        <v>-0.0</v>
      </c>
      <c r="HVH45" s="5">
        <f>-'5. IRR'!HVI16</f>
        <v>-0.0</v>
      </c>
      <c r="HVI45" s="5">
        <f>-'5. IRR'!HVJ16</f>
        <v>-0.0</v>
      </c>
      <c r="HVJ45" s="5">
        <f>-'5. IRR'!HVK16</f>
        <v>-0.0</v>
      </c>
      <c r="HVK45" s="5">
        <f>-'5. IRR'!HVL16</f>
        <v>-0.0</v>
      </c>
      <c r="HVL45" s="5">
        <f>-'5. IRR'!HVM16</f>
        <v>-0.0</v>
      </c>
      <c r="HVM45" s="5">
        <f>-'5. IRR'!HVN16</f>
        <v>-0.0</v>
      </c>
      <c r="HVN45" s="5">
        <f>-'5. IRR'!HVO16</f>
        <v>-0.0</v>
      </c>
      <c r="HVO45" s="5">
        <f>-'5. IRR'!HVP16</f>
        <v>-0.0</v>
      </c>
      <c r="HVP45" s="5">
        <f>-'5. IRR'!HVQ16</f>
        <v>-0.0</v>
      </c>
      <c r="HVQ45" s="5">
        <f>-'5. IRR'!HVR16</f>
        <v>-0.0</v>
      </c>
      <c r="HVR45" s="5">
        <f>-'5. IRR'!HVS16</f>
        <v>-0.0</v>
      </c>
      <c r="HVS45" s="5">
        <f>-'5. IRR'!HVT16</f>
        <v>-0.0</v>
      </c>
      <c r="HVT45" s="5">
        <f>-'5. IRR'!HVU16</f>
        <v>-0.0</v>
      </c>
      <c r="HVU45" s="5">
        <f>-'5. IRR'!HVV16</f>
        <v>-0.0</v>
      </c>
      <c r="HVV45" s="5">
        <f>-'5. IRR'!HVW16</f>
        <v>-0.0</v>
      </c>
      <c r="HVW45" s="5">
        <f>-'5. IRR'!HVX16</f>
        <v>-0.0</v>
      </c>
      <c r="HVX45" s="5">
        <f>-'5. IRR'!HVY16</f>
        <v>-0.0</v>
      </c>
      <c r="HVY45" s="5">
        <f>-'5. IRR'!HVZ16</f>
        <v>-0.0</v>
      </c>
      <c r="HVZ45" s="5">
        <f>-'5. IRR'!HWA16</f>
        <v>-0.0</v>
      </c>
      <c r="HWA45" s="5">
        <f>-'5. IRR'!HWB16</f>
        <v>-0.0</v>
      </c>
      <c r="HWB45" s="5">
        <f>-'5. IRR'!HWC16</f>
        <v>-0.0</v>
      </c>
      <c r="HWC45" s="5">
        <f>-'5. IRR'!HWD16</f>
        <v>-0.0</v>
      </c>
      <c r="HWD45" s="5">
        <f>-'5. IRR'!HWE16</f>
        <v>-0.0</v>
      </c>
      <c r="HWE45" s="5">
        <f>-'5. IRR'!HWF16</f>
        <v>-0.0</v>
      </c>
      <c r="HWF45" s="5">
        <f>-'5. IRR'!HWG16</f>
        <v>-0.0</v>
      </c>
      <c r="HWG45" s="5">
        <f>-'5. IRR'!HWH16</f>
        <v>-0.0</v>
      </c>
      <c r="HWH45" s="5">
        <f>-'5. IRR'!HWI16</f>
        <v>-0.0</v>
      </c>
      <c r="HWI45" s="5">
        <f>-'5. IRR'!HWJ16</f>
        <v>-0.0</v>
      </c>
      <c r="HWJ45" s="5">
        <f>-'5. IRR'!HWK16</f>
        <v>-0.0</v>
      </c>
      <c r="HWK45" s="5">
        <f>-'5. IRR'!HWL16</f>
        <v>-0.0</v>
      </c>
      <c r="HWL45" s="5">
        <f>-'5. IRR'!HWM16</f>
        <v>-0.0</v>
      </c>
      <c r="HWM45" s="5">
        <f>-'5. IRR'!HWN16</f>
        <v>-0.0</v>
      </c>
      <c r="HWN45" s="5">
        <f>-'5. IRR'!HWO16</f>
        <v>-0.0</v>
      </c>
      <c r="HWO45" s="5">
        <f>-'5. IRR'!HWP16</f>
        <v>-0.0</v>
      </c>
      <c r="HWP45" s="5">
        <f>-'5. IRR'!HWQ16</f>
        <v>-0.0</v>
      </c>
      <c r="HWQ45" s="5">
        <f>-'5. IRR'!HWR16</f>
        <v>-0.0</v>
      </c>
      <c r="HWR45" s="5">
        <f>-'5. IRR'!HWS16</f>
        <v>-0.0</v>
      </c>
      <c r="HWS45" s="5">
        <f>-'5. IRR'!HWT16</f>
        <v>-0.0</v>
      </c>
      <c r="HWT45" s="5">
        <f>-'5. IRR'!HWU16</f>
        <v>-0.0</v>
      </c>
      <c r="HWU45" s="5">
        <f>-'5. IRR'!HWV16</f>
        <v>-0.0</v>
      </c>
      <c r="HWV45" s="5">
        <f>-'5. IRR'!HWW16</f>
        <v>-0.0</v>
      </c>
      <c r="HWW45" s="5">
        <f>-'5. IRR'!HWX16</f>
        <v>-0.0</v>
      </c>
      <c r="HWX45" s="5">
        <f>-'5. IRR'!HWY16</f>
        <v>-0.0</v>
      </c>
      <c r="HWY45" s="5">
        <f>-'5. IRR'!HWZ16</f>
        <v>-0.0</v>
      </c>
      <c r="HWZ45" s="5">
        <f>-'5. IRR'!HXA16</f>
        <v>-0.0</v>
      </c>
      <c r="HXA45" s="5">
        <f>-'5. IRR'!HXB16</f>
        <v>-0.0</v>
      </c>
      <c r="HXB45" s="5">
        <f>-'5. IRR'!HXC16</f>
        <v>-0.0</v>
      </c>
      <c r="HXC45" s="5">
        <f>-'5. IRR'!HXD16</f>
        <v>-0.0</v>
      </c>
      <c r="HXD45" s="5">
        <f>-'5. IRR'!HXE16</f>
        <v>-0.0</v>
      </c>
      <c r="HXE45" s="5">
        <f>-'5. IRR'!HXF16</f>
        <v>-0.0</v>
      </c>
      <c r="HXF45" s="5">
        <f>-'5. IRR'!HXG16</f>
        <v>-0.0</v>
      </c>
      <c r="HXG45" s="5">
        <f>-'5. IRR'!HXH16</f>
        <v>-0.0</v>
      </c>
      <c r="HXH45" s="5">
        <f>-'5. IRR'!HXI16</f>
        <v>-0.0</v>
      </c>
      <c r="HXI45" s="5">
        <f>-'5. IRR'!HXJ16</f>
        <v>-0.0</v>
      </c>
      <c r="HXJ45" s="5">
        <f>-'5. IRR'!HXK16</f>
        <v>-0.0</v>
      </c>
      <c r="HXK45" s="5">
        <f>-'5. IRR'!HXL16</f>
        <v>-0.0</v>
      </c>
      <c r="HXL45" s="5">
        <f>-'5. IRR'!HXM16</f>
        <v>-0.0</v>
      </c>
      <c r="HXM45" s="5">
        <f>-'5. IRR'!HXN16</f>
        <v>-0.0</v>
      </c>
      <c r="HXN45" s="5">
        <f>-'5. IRR'!HXO16</f>
        <v>-0.0</v>
      </c>
      <c r="HXO45" s="5">
        <f>-'5. IRR'!HXP16</f>
        <v>-0.0</v>
      </c>
      <c r="HXP45" s="5">
        <f>-'5. IRR'!HXQ16</f>
        <v>-0.0</v>
      </c>
      <c r="HXQ45" s="5">
        <f>-'5. IRR'!HXR16</f>
        <v>-0.0</v>
      </c>
      <c r="HXR45" s="5">
        <f>-'5. IRR'!HXS16</f>
        <v>-0.0</v>
      </c>
      <c r="HXS45" s="5">
        <f>-'5. IRR'!HXT16</f>
        <v>-0.0</v>
      </c>
      <c r="HXT45" s="5">
        <f>-'5. IRR'!HXU16</f>
        <v>-0.0</v>
      </c>
      <c r="HXU45" s="5">
        <f>-'5. IRR'!HXV16</f>
        <v>-0.0</v>
      </c>
      <c r="HXV45" s="5">
        <f>-'5. IRR'!HXW16</f>
        <v>-0.0</v>
      </c>
      <c r="HXW45" s="5">
        <f>-'5. IRR'!HXX16</f>
        <v>-0.0</v>
      </c>
      <c r="HXX45" s="5">
        <f>-'5. IRR'!HXY16</f>
        <v>-0.0</v>
      </c>
      <c r="HXY45" s="5">
        <f>-'5. IRR'!HXZ16</f>
        <v>-0.0</v>
      </c>
      <c r="HXZ45" s="5">
        <f>-'5. IRR'!HYA16</f>
        <v>-0.0</v>
      </c>
      <c r="HYA45" s="5">
        <f>-'5. IRR'!HYB16</f>
        <v>-0.0</v>
      </c>
      <c r="HYB45" s="5">
        <f>-'5. IRR'!HYC16</f>
        <v>-0.0</v>
      </c>
      <c r="HYC45" s="5">
        <f>-'5. IRR'!HYD16</f>
        <v>-0.0</v>
      </c>
      <c r="HYD45" s="5">
        <f>-'5. IRR'!HYE16</f>
        <v>-0.0</v>
      </c>
      <c r="HYE45" s="5">
        <f>-'5. IRR'!HYF16</f>
        <v>-0.0</v>
      </c>
      <c r="HYF45" s="5">
        <f>-'5. IRR'!HYG16</f>
        <v>-0.0</v>
      </c>
      <c r="HYG45" s="5">
        <f>-'5. IRR'!HYH16</f>
        <v>-0.0</v>
      </c>
      <c r="HYH45" s="5">
        <f>-'5. IRR'!HYI16</f>
        <v>-0.0</v>
      </c>
      <c r="HYI45" s="5">
        <f>-'5. IRR'!HYJ16</f>
        <v>-0.0</v>
      </c>
      <c r="HYJ45" s="5">
        <f>-'5. IRR'!HYK16</f>
        <v>-0.0</v>
      </c>
      <c r="HYK45" s="5">
        <f>-'5. IRR'!HYL16</f>
        <v>-0.0</v>
      </c>
      <c r="HYL45" s="5">
        <f>-'5. IRR'!HYM16</f>
        <v>-0.0</v>
      </c>
      <c r="HYM45" s="5">
        <f>-'5. IRR'!HYN16</f>
        <v>-0.0</v>
      </c>
      <c r="HYN45" s="5">
        <f>-'5. IRR'!HYO16</f>
        <v>-0.0</v>
      </c>
      <c r="HYO45" s="5">
        <f>-'5. IRR'!HYP16</f>
        <v>-0.0</v>
      </c>
      <c r="HYP45" s="5">
        <f>-'5. IRR'!HYQ16</f>
        <v>-0.0</v>
      </c>
      <c r="HYQ45" s="5">
        <f>-'5. IRR'!HYR16</f>
        <v>-0.0</v>
      </c>
      <c r="HYR45" s="5">
        <f>-'5. IRR'!HYS16</f>
        <v>-0.0</v>
      </c>
      <c r="HYS45" s="5">
        <f>-'5. IRR'!HYT16</f>
        <v>-0.0</v>
      </c>
      <c r="HYT45" s="5">
        <f>-'5. IRR'!HYU16</f>
        <v>-0.0</v>
      </c>
      <c r="HYU45" s="5">
        <f>-'5. IRR'!HYV16</f>
        <v>-0.0</v>
      </c>
      <c r="HYV45" s="5">
        <f>-'5. IRR'!HYW16</f>
        <v>-0.0</v>
      </c>
      <c r="HYW45" s="5">
        <f>-'5. IRR'!HYX16</f>
        <v>-0.0</v>
      </c>
      <c r="HYX45" s="5">
        <f>-'5. IRR'!HYY16</f>
        <v>-0.0</v>
      </c>
      <c r="HYY45" s="5">
        <f>-'5. IRR'!HYZ16</f>
        <v>-0.0</v>
      </c>
      <c r="HYZ45" s="5">
        <f>-'5. IRR'!HZA16</f>
        <v>-0.0</v>
      </c>
      <c r="HZA45" s="5">
        <f>-'5. IRR'!HZB16</f>
        <v>-0.0</v>
      </c>
      <c r="HZB45" s="5">
        <f>-'5. IRR'!HZC16</f>
        <v>-0.0</v>
      </c>
      <c r="HZC45" s="5">
        <f>-'5. IRR'!HZD16</f>
        <v>-0.0</v>
      </c>
      <c r="HZD45" s="5">
        <f>-'5. IRR'!HZE16</f>
        <v>-0.0</v>
      </c>
      <c r="HZE45" s="5">
        <f>-'5. IRR'!HZF16</f>
        <v>-0.0</v>
      </c>
      <c r="HZF45" s="5">
        <f>-'5. IRR'!HZG16</f>
        <v>-0.0</v>
      </c>
      <c r="HZG45" s="5">
        <f>-'5. IRR'!HZH16</f>
        <v>-0.0</v>
      </c>
      <c r="HZH45" s="5">
        <f>-'5. IRR'!HZI16</f>
        <v>-0.0</v>
      </c>
      <c r="HZI45" s="5">
        <f>-'5. IRR'!HZJ16</f>
        <v>-0.0</v>
      </c>
      <c r="HZJ45" s="5">
        <f>-'5. IRR'!HZK16</f>
        <v>-0.0</v>
      </c>
      <c r="HZK45" s="5">
        <f>-'5. IRR'!HZL16</f>
        <v>-0.0</v>
      </c>
      <c r="HZL45" s="5">
        <f>-'5. IRR'!HZM16</f>
        <v>-0.0</v>
      </c>
      <c r="HZM45" s="5">
        <f>-'5. IRR'!HZN16</f>
        <v>-0.0</v>
      </c>
      <c r="HZN45" s="5">
        <f>-'5. IRR'!HZO16</f>
        <v>-0.0</v>
      </c>
      <c r="HZO45" s="5">
        <f>-'5. IRR'!HZP16</f>
        <v>-0.0</v>
      </c>
      <c r="HZP45" s="5">
        <f>-'5. IRR'!HZQ16</f>
        <v>-0.0</v>
      </c>
      <c r="HZQ45" s="5">
        <f>-'5. IRR'!HZR16</f>
        <v>-0.0</v>
      </c>
      <c r="HZR45" s="5">
        <f>-'5. IRR'!HZS16</f>
        <v>-0.0</v>
      </c>
      <c r="HZS45" s="5">
        <f>-'5. IRR'!HZT16</f>
        <v>-0.0</v>
      </c>
      <c r="HZT45" s="5">
        <f>-'5. IRR'!HZU16</f>
        <v>-0.0</v>
      </c>
      <c r="HZU45" s="5">
        <f>-'5. IRR'!HZV16</f>
        <v>-0.0</v>
      </c>
      <c r="HZV45" s="5">
        <f>-'5. IRR'!HZW16</f>
        <v>-0.0</v>
      </c>
      <c r="HZW45" s="5">
        <f>-'5. IRR'!HZX16</f>
        <v>-0.0</v>
      </c>
      <c r="HZX45" s="5">
        <f>-'5. IRR'!HZY16</f>
        <v>-0.0</v>
      </c>
      <c r="HZY45" s="5">
        <f>-'5. IRR'!HZZ16</f>
        <v>-0.0</v>
      </c>
      <c r="HZZ45" s="5">
        <f>-'5. IRR'!IAA16</f>
        <v>-0.0</v>
      </c>
      <c r="IAA45" s="5">
        <f>-'5. IRR'!IAB16</f>
        <v>-0.0</v>
      </c>
      <c r="IAB45" s="5">
        <f>-'5. IRR'!IAC16</f>
        <v>-0.0</v>
      </c>
      <c r="IAC45" s="5">
        <f>-'5. IRR'!IAD16</f>
        <v>-0.0</v>
      </c>
      <c r="IAD45" s="5">
        <f>-'5. IRR'!IAE16</f>
        <v>-0.0</v>
      </c>
      <c r="IAE45" s="5">
        <f>-'5. IRR'!IAF16</f>
        <v>-0.0</v>
      </c>
      <c r="IAF45" s="5">
        <f>-'5. IRR'!IAG16</f>
        <v>-0.0</v>
      </c>
      <c r="IAG45" s="5">
        <f>-'5. IRR'!IAH16</f>
        <v>-0.0</v>
      </c>
      <c r="IAH45" s="5">
        <f>-'5. IRR'!IAI16</f>
        <v>-0.0</v>
      </c>
      <c r="IAI45" s="5">
        <f>-'5. IRR'!IAJ16</f>
        <v>-0.0</v>
      </c>
      <c r="IAJ45" s="5">
        <f>-'5. IRR'!IAK16</f>
        <v>-0.0</v>
      </c>
      <c r="IAK45" s="5">
        <f>-'5. IRR'!IAL16</f>
        <v>-0.0</v>
      </c>
      <c r="IAL45" s="5">
        <f>-'5. IRR'!IAM16</f>
        <v>-0.0</v>
      </c>
      <c r="IAM45" s="5">
        <f>-'5. IRR'!IAN16</f>
        <v>-0.0</v>
      </c>
      <c r="IAN45" s="5">
        <f>-'5. IRR'!IAO16</f>
        <v>-0.0</v>
      </c>
      <c r="IAO45" s="5">
        <f>-'5. IRR'!IAP16</f>
        <v>-0.0</v>
      </c>
      <c r="IAP45" s="5">
        <f>-'5. IRR'!IAQ16</f>
        <v>-0.0</v>
      </c>
      <c r="IAQ45" s="5">
        <f>-'5. IRR'!IAR16</f>
        <v>-0.0</v>
      </c>
      <c r="IAR45" s="5">
        <f>-'5. IRR'!IAS16</f>
        <v>-0.0</v>
      </c>
      <c r="IAS45" s="5">
        <f>-'5. IRR'!IAT16</f>
        <v>-0.0</v>
      </c>
      <c r="IAT45" s="5">
        <f>-'5. IRR'!IAU16</f>
        <v>-0.0</v>
      </c>
      <c r="IAU45" s="5">
        <f>-'5. IRR'!IAV16</f>
        <v>-0.0</v>
      </c>
      <c r="IAV45" s="5">
        <f>-'5. IRR'!IAW16</f>
        <v>-0.0</v>
      </c>
      <c r="IAW45" s="5">
        <f>-'5. IRR'!IAX16</f>
        <v>-0.0</v>
      </c>
      <c r="IAX45" s="5">
        <f>-'5. IRR'!IAY16</f>
        <v>-0.0</v>
      </c>
      <c r="IAY45" s="5">
        <f>-'5. IRR'!IAZ16</f>
        <v>-0.0</v>
      </c>
      <c r="IAZ45" s="5">
        <f>-'5. IRR'!IBA16</f>
        <v>-0.0</v>
      </c>
      <c r="IBA45" s="5">
        <f>-'5. IRR'!IBB16</f>
        <v>-0.0</v>
      </c>
      <c r="IBB45" s="5">
        <f>-'5. IRR'!IBC16</f>
        <v>-0.0</v>
      </c>
      <c r="IBC45" s="5">
        <f>-'5. IRR'!IBD16</f>
        <v>-0.0</v>
      </c>
      <c r="IBD45" s="5">
        <f>-'5. IRR'!IBE16</f>
        <v>-0.0</v>
      </c>
      <c r="IBE45" s="5">
        <f>-'5. IRR'!IBF16</f>
        <v>-0.0</v>
      </c>
      <c r="IBF45" s="5">
        <f>-'5. IRR'!IBG16</f>
        <v>-0.0</v>
      </c>
      <c r="IBG45" s="5">
        <f>-'5. IRR'!IBH16</f>
        <v>-0.0</v>
      </c>
      <c r="IBH45" s="5">
        <f>-'5. IRR'!IBI16</f>
        <v>-0.0</v>
      </c>
      <c r="IBI45" s="5">
        <f>-'5. IRR'!IBJ16</f>
        <v>-0.0</v>
      </c>
      <c r="IBJ45" s="5">
        <f>-'5. IRR'!IBK16</f>
        <v>-0.0</v>
      </c>
      <c r="IBK45" s="5">
        <f>-'5. IRR'!IBL16</f>
        <v>-0.0</v>
      </c>
      <c r="IBL45" s="5">
        <f>-'5. IRR'!IBM16</f>
        <v>-0.0</v>
      </c>
      <c r="IBM45" s="5">
        <f>-'5. IRR'!IBN16</f>
        <v>-0.0</v>
      </c>
      <c r="IBN45" s="5">
        <f>-'5. IRR'!IBO16</f>
        <v>-0.0</v>
      </c>
      <c r="IBO45" s="5">
        <f>-'5. IRR'!IBP16</f>
        <v>-0.0</v>
      </c>
      <c r="IBP45" s="5">
        <f>-'5. IRR'!IBQ16</f>
        <v>-0.0</v>
      </c>
      <c r="IBQ45" s="5">
        <f>-'5. IRR'!IBR16</f>
        <v>-0.0</v>
      </c>
      <c r="IBR45" s="5">
        <f>-'5. IRR'!IBS16</f>
        <v>-0.0</v>
      </c>
      <c r="IBS45" s="5">
        <f>-'5. IRR'!IBT16</f>
        <v>-0.0</v>
      </c>
      <c r="IBT45" s="5">
        <f>-'5. IRR'!IBU16</f>
        <v>-0.0</v>
      </c>
      <c r="IBU45" s="5">
        <f>-'5. IRR'!IBV16</f>
        <v>-0.0</v>
      </c>
      <c r="IBV45" s="5">
        <f>-'5. IRR'!IBW16</f>
        <v>-0.0</v>
      </c>
      <c r="IBW45" s="5">
        <f>-'5. IRR'!IBX16</f>
        <v>-0.0</v>
      </c>
      <c r="IBX45" s="5">
        <f>-'5. IRR'!IBY16</f>
        <v>-0.0</v>
      </c>
      <c r="IBY45" s="5">
        <f>-'5. IRR'!IBZ16</f>
        <v>-0.0</v>
      </c>
      <c r="IBZ45" s="5">
        <f>-'5. IRR'!ICA16</f>
        <v>-0.0</v>
      </c>
      <c r="ICA45" s="5">
        <f>-'5. IRR'!ICB16</f>
        <v>-0.0</v>
      </c>
      <c r="ICB45" s="5">
        <f>-'5. IRR'!ICC16</f>
        <v>-0.0</v>
      </c>
      <c r="ICC45" s="5">
        <f>-'5. IRR'!ICD16</f>
        <v>-0.0</v>
      </c>
      <c r="ICD45" s="5">
        <f>-'5. IRR'!ICE16</f>
        <v>-0.0</v>
      </c>
      <c r="ICE45" s="5">
        <f>-'5. IRR'!ICF16</f>
        <v>-0.0</v>
      </c>
      <c r="ICF45" s="5">
        <f>-'5. IRR'!ICG16</f>
        <v>-0.0</v>
      </c>
      <c r="ICG45" s="5">
        <f>-'5. IRR'!ICH16</f>
        <v>-0.0</v>
      </c>
      <c r="ICH45" s="5">
        <f>-'5. IRR'!ICI16</f>
        <v>-0.0</v>
      </c>
      <c r="ICI45" s="5">
        <f>-'5. IRR'!ICJ16</f>
        <v>-0.0</v>
      </c>
      <c r="ICJ45" s="5">
        <f>-'5. IRR'!ICK16</f>
        <v>-0.0</v>
      </c>
      <c r="ICK45" s="5">
        <f>-'5. IRR'!ICL16</f>
        <v>-0.0</v>
      </c>
      <c r="ICL45" s="5">
        <f>-'5. IRR'!ICM16</f>
        <v>-0.0</v>
      </c>
      <c r="ICM45" s="5">
        <f>-'5. IRR'!ICN16</f>
        <v>-0.0</v>
      </c>
      <c r="ICN45" s="5">
        <f>-'5. IRR'!ICO16</f>
        <v>-0.0</v>
      </c>
      <c r="ICO45" s="5">
        <f>-'5. IRR'!ICP16</f>
        <v>-0.0</v>
      </c>
      <c r="ICP45" s="5">
        <f>-'5. IRR'!ICQ16</f>
        <v>-0.0</v>
      </c>
      <c r="ICQ45" s="5">
        <f>-'5. IRR'!ICR16</f>
        <v>-0.0</v>
      </c>
      <c r="ICR45" s="5">
        <f>-'5. IRR'!ICS16</f>
        <v>-0.0</v>
      </c>
      <c r="ICS45" s="5">
        <f>-'5. IRR'!ICT16</f>
        <v>-0.0</v>
      </c>
      <c r="ICT45" s="5">
        <f>-'5. IRR'!ICU16</f>
        <v>-0.0</v>
      </c>
      <c r="ICU45" s="5">
        <f>-'5. IRR'!ICV16</f>
        <v>-0.0</v>
      </c>
      <c r="ICV45" s="5">
        <f>-'5. IRR'!ICW16</f>
        <v>-0.0</v>
      </c>
      <c r="ICW45" s="5">
        <f>-'5. IRR'!ICX16</f>
        <v>-0.0</v>
      </c>
      <c r="ICX45" s="5">
        <f>-'5. IRR'!ICY16</f>
        <v>-0.0</v>
      </c>
      <c r="ICY45" s="5">
        <f>-'5. IRR'!ICZ16</f>
        <v>-0.0</v>
      </c>
      <c r="ICZ45" s="5">
        <f>-'5. IRR'!IDA16</f>
        <v>-0.0</v>
      </c>
      <c r="IDA45" s="5">
        <f>-'5. IRR'!IDB16</f>
        <v>-0.0</v>
      </c>
      <c r="IDB45" s="5">
        <f>-'5. IRR'!IDC16</f>
        <v>-0.0</v>
      </c>
      <c r="IDC45" s="5">
        <f>-'5. IRR'!IDD16</f>
        <v>-0.0</v>
      </c>
      <c r="IDD45" s="5">
        <f>-'5. IRR'!IDE16</f>
        <v>-0.0</v>
      </c>
      <c r="IDE45" s="5">
        <f>-'5. IRR'!IDF16</f>
        <v>-0.0</v>
      </c>
      <c r="IDF45" s="5">
        <f>-'5. IRR'!IDG16</f>
        <v>-0.0</v>
      </c>
      <c r="IDG45" s="5">
        <f>-'5. IRR'!IDH16</f>
        <v>-0.0</v>
      </c>
      <c r="IDH45" s="5">
        <f>-'5. IRR'!IDI16</f>
        <v>-0.0</v>
      </c>
      <c r="IDI45" s="5">
        <f>-'5. IRR'!IDJ16</f>
        <v>-0.0</v>
      </c>
      <c r="IDJ45" s="5">
        <f>-'5. IRR'!IDK16</f>
        <v>-0.0</v>
      </c>
      <c r="IDK45" s="5">
        <f>-'5. IRR'!IDL16</f>
        <v>-0.0</v>
      </c>
      <c r="IDL45" s="5">
        <f>-'5. IRR'!IDM16</f>
        <v>-0.0</v>
      </c>
      <c r="IDM45" s="5">
        <f>-'5. IRR'!IDN16</f>
        <v>-0.0</v>
      </c>
      <c r="IDN45" s="5">
        <f>-'5. IRR'!IDO16</f>
        <v>-0.0</v>
      </c>
      <c r="IDO45" s="5">
        <f>-'5. IRR'!IDP16</f>
        <v>-0.0</v>
      </c>
      <c r="IDP45" s="5">
        <f>-'5. IRR'!IDQ16</f>
        <v>-0.0</v>
      </c>
      <c r="IDQ45" s="5">
        <f>-'5. IRR'!IDR16</f>
        <v>-0.0</v>
      </c>
      <c r="IDR45" s="5">
        <f>-'5. IRR'!IDS16</f>
        <v>-0.0</v>
      </c>
      <c r="IDS45" s="5">
        <f>-'5. IRR'!IDT16</f>
        <v>-0.0</v>
      </c>
      <c r="IDT45" s="5">
        <f>-'5. IRR'!IDU16</f>
        <v>-0.0</v>
      </c>
      <c r="IDU45" s="5">
        <f>-'5. IRR'!IDV16</f>
        <v>-0.0</v>
      </c>
      <c r="IDV45" s="5">
        <f>-'5. IRR'!IDW16</f>
        <v>-0.0</v>
      </c>
      <c r="IDW45" s="5">
        <f>-'5. IRR'!IDX16</f>
        <v>-0.0</v>
      </c>
      <c r="IDX45" s="5">
        <f>-'5. IRR'!IDY16</f>
        <v>-0.0</v>
      </c>
      <c r="IDY45" s="5">
        <f>-'5. IRR'!IDZ16</f>
        <v>-0.0</v>
      </c>
      <c r="IDZ45" s="5">
        <f>-'5. IRR'!IEA16</f>
        <v>-0.0</v>
      </c>
      <c r="IEA45" s="5">
        <f>-'5. IRR'!IEB16</f>
        <v>-0.0</v>
      </c>
      <c r="IEB45" s="5">
        <f>-'5. IRR'!IEC16</f>
        <v>-0.0</v>
      </c>
      <c r="IEC45" s="5">
        <f>-'5. IRR'!IED16</f>
        <v>-0.0</v>
      </c>
      <c r="IED45" s="5">
        <f>-'5. IRR'!IEE16</f>
        <v>-0.0</v>
      </c>
      <c r="IEE45" s="5">
        <f>-'5. IRR'!IEF16</f>
        <v>-0.0</v>
      </c>
      <c r="IEF45" s="5">
        <f>-'5. IRR'!IEG16</f>
        <v>-0.0</v>
      </c>
      <c r="IEG45" s="5">
        <f>-'5. IRR'!IEH16</f>
        <v>-0.0</v>
      </c>
      <c r="IEH45" s="5">
        <f>-'5. IRR'!IEI16</f>
        <v>-0.0</v>
      </c>
      <c r="IEI45" s="5">
        <f>-'5. IRR'!IEJ16</f>
        <v>-0.0</v>
      </c>
      <c r="IEJ45" s="5">
        <f>-'5. IRR'!IEK16</f>
        <v>-0.0</v>
      </c>
      <c r="IEK45" s="5">
        <f>-'5. IRR'!IEL16</f>
        <v>-0.0</v>
      </c>
      <c r="IEL45" s="5">
        <f>-'5. IRR'!IEM16</f>
        <v>-0.0</v>
      </c>
      <c r="IEM45" s="5">
        <f>-'5. IRR'!IEN16</f>
        <v>-0.0</v>
      </c>
      <c r="IEN45" s="5">
        <f>-'5. IRR'!IEO16</f>
        <v>-0.0</v>
      </c>
      <c r="IEO45" s="5">
        <f>-'5. IRR'!IEP16</f>
        <v>-0.0</v>
      </c>
      <c r="IEP45" s="5">
        <f>-'5. IRR'!IEQ16</f>
        <v>-0.0</v>
      </c>
      <c r="IEQ45" s="5">
        <f>-'5. IRR'!IER16</f>
        <v>-0.0</v>
      </c>
      <c r="IER45" s="5">
        <f>-'5. IRR'!IES16</f>
        <v>-0.0</v>
      </c>
      <c r="IES45" s="5">
        <f>-'5. IRR'!IET16</f>
        <v>-0.0</v>
      </c>
      <c r="IET45" s="5">
        <f>-'5. IRR'!IEU16</f>
        <v>-0.0</v>
      </c>
      <c r="IEU45" s="5">
        <f>-'5. IRR'!IEV16</f>
        <v>-0.0</v>
      </c>
      <c r="IEV45" s="5">
        <f>-'5. IRR'!IEW16</f>
        <v>-0.0</v>
      </c>
      <c r="IEW45" s="5">
        <f>-'5. IRR'!IEX16</f>
        <v>-0.0</v>
      </c>
      <c r="IEX45" s="5">
        <f>-'5. IRR'!IEY16</f>
        <v>-0.0</v>
      </c>
      <c r="IEY45" s="5">
        <f>-'5. IRR'!IEZ16</f>
        <v>-0.0</v>
      </c>
      <c r="IEZ45" s="5">
        <f>-'5. IRR'!IFA16</f>
        <v>-0.0</v>
      </c>
      <c r="IFA45" s="5">
        <f>-'5. IRR'!IFB16</f>
        <v>-0.0</v>
      </c>
      <c r="IFB45" s="5">
        <f>-'5. IRR'!IFC16</f>
        <v>-0.0</v>
      </c>
      <c r="IFC45" s="5">
        <f>-'5. IRR'!IFD16</f>
        <v>-0.0</v>
      </c>
      <c r="IFD45" s="5">
        <f>-'5. IRR'!IFE16</f>
        <v>-0.0</v>
      </c>
      <c r="IFE45" s="5">
        <f>-'5. IRR'!IFF16</f>
        <v>-0.0</v>
      </c>
      <c r="IFF45" s="5">
        <f>-'5. IRR'!IFG16</f>
        <v>-0.0</v>
      </c>
      <c r="IFG45" s="5">
        <f>-'5. IRR'!IFH16</f>
        <v>-0.0</v>
      </c>
      <c r="IFH45" s="5">
        <f>-'5. IRR'!IFI16</f>
        <v>-0.0</v>
      </c>
      <c r="IFI45" s="5">
        <f>-'5. IRR'!IFJ16</f>
        <v>-0.0</v>
      </c>
      <c r="IFJ45" s="5">
        <f>-'5. IRR'!IFK16</f>
        <v>-0.0</v>
      </c>
      <c r="IFK45" s="5">
        <f>-'5. IRR'!IFL16</f>
        <v>-0.0</v>
      </c>
      <c r="IFL45" s="5">
        <f>-'5. IRR'!IFM16</f>
        <v>-0.0</v>
      </c>
      <c r="IFM45" s="5">
        <f>-'5. IRR'!IFN16</f>
        <v>-0.0</v>
      </c>
      <c r="IFN45" s="5">
        <f>-'5. IRR'!IFO16</f>
        <v>-0.0</v>
      </c>
      <c r="IFO45" s="5">
        <f>-'5. IRR'!IFP16</f>
        <v>-0.0</v>
      </c>
      <c r="IFP45" s="5">
        <f>-'5. IRR'!IFQ16</f>
        <v>-0.0</v>
      </c>
      <c r="IFQ45" s="5">
        <f>-'5. IRR'!IFR16</f>
        <v>-0.0</v>
      </c>
      <c r="IFR45" s="5">
        <f>-'5. IRR'!IFS16</f>
        <v>-0.0</v>
      </c>
      <c r="IFS45" s="5">
        <f>-'5. IRR'!IFT16</f>
        <v>-0.0</v>
      </c>
      <c r="IFT45" s="5">
        <f>-'5. IRR'!IFU16</f>
        <v>-0.0</v>
      </c>
      <c r="IFU45" s="5">
        <f>-'5. IRR'!IFV16</f>
        <v>-0.0</v>
      </c>
      <c r="IFV45" s="5">
        <f>-'5. IRR'!IFW16</f>
        <v>-0.0</v>
      </c>
      <c r="IFW45" s="5">
        <f>-'5. IRR'!IFX16</f>
        <v>-0.0</v>
      </c>
      <c r="IFX45" s="5">
        <f>-'5. IRR'!IFY16</f>
        <v>-0.0</v>
      </c>
      <c r="IFY45" s="5">
        <f>-'5. IRR'!IFZ16</f>
        <v>-0.0</v>
      </c>
      <c r="IFZ45" s="5">
        <f>-'5. IRR'!IGA16</f>
        <v>-0.0</v>
      </c>
      <c r="IGA45" s="5">
        <f>-'5. IRR'!IGB16</f>
        <v>-0.0</v>
      </c>
      <c r="IGB45" s="5">
        <f>-'5. IRR'!IGC16</f>
        <v>-0.0</v>
      </c>
      <c r="IGC45" s="5">
        <f>-'5. IRR'!IGD16</f>
        <v>-0.0</v>
      </c>
      <c r="IGD45" s="5">
        <f>-'5. IRR'!IGE16</f>
        <v>-0.0</v>
      </c>
      <c r="IGE45" s="5">
        <f>-'5. IRR'!IGF16</f>
        <v>-0.0</v>
      </c>
      <c r="IGF45" s="5">
        <f>-'5. IRR'!IGG16</f>
        <v>-0.0</v>
      </c>
      <c r="IGG45" s="5">
        <f>-'5. IRR'!IGH16</f>
        <v>-0.0</v>
      </c>
      <c r="IGH45" s="5">
        <f>-'5. IRR'!IGI16</f>
        <v>-0.0</v>
      </c>
      <c r="IGI45" s="5">
        <f>-'5. IRR'!IGJ16</f>
        <v>-0.0</v>
      </c>
      <c r="IGJ45" s="5">
        <f>-'5. IRR'!IGK16</f>
        <v>-0.0</v>
      </c>
      <c r="IGK45" s="5">
        <f>-'5. IRR'!IGL16</f>
        <v>-0.0</v>
      </c>
      <c r="IGL45" s="5">
        <f>-'5. IRR'!IGM16</f>
        <v>-0.0</v>
      </c>
      <c r="IGM45" s="5">
        <f>-'5. IRR'!IGN16</f>
        <v>-0.0</v>
      </c>
      <c r="IGN45" s="5">
        <f>-'5. IRR'!IGO16</f>
        <v>-0.0</v>
      </c>
      <c r="IGO45" s="5">
        <f>-'5. IRR'!IGP16</f>
        <v>-0.0</v>
      </c>
      <c r="IGP45" s="5">
        <f>-'5. IRR'!IGQ16</f>
        <v>-0.0</v>
      </c>
      <c r="IGQ45" s="5">
        <f>-'5. IRR'!IGR16</f>
        <v>-0.0</v>
      </c>
      <c r="IGR45" s="5">
        <f>-'5. IRR'!IGS16</f>
        <v>-0.0</v>
      </c>
      <c r="IGS45" s="5">
        <f>-'5. IRR'!IGT16</f>
        <v>-0.0</v>
      </c>
      <c r="IGT45" s="5">
        <f>-'5. IRR'!IGU16</f>
        <v>-0.0</v>
      </c>
      <c r="IGU45" s="5">
        <f>-'5. IRR'!IGV16</f>
        <v>-0.0</v>
      </c>
      <c r="IGV45" s="5">
        <f>-'5. IRR'!IGW16</f>
        <v>-0.0</v>
      </c>
      <c r="IGW45" s="5">
        <f>-'5. IRR'!IGX16</f>
        <v>-0.0</v>
      </c>
      <c r="IGX45" s="5">
        <f>-'5. IRR'!IGY16</f>
        <v>-0.0</v>
      </c>
      <c r="IGY45" s="5">
        <f>-'5. IRR'!IGZ16</f>
        <v>-0.0</v>
      </c>
      <c r="IGZ45" s="5">
        <f>-'5. IRR'!IHA16</f>
        <v>-0.0</v>
      </c>
      <c r="IHA45" s="5">
        <f>-'5. IRR'!IHB16</f>
        <v>-0.0</v>
      </c>
      <c r="IHB45" s="5">
        <f>-'5. IRR'!IHC16</f>
        <v>-0.0</v>
      </c>
      <c r="IHC45" s="5">
        <f>-'5. IRR'!IHD16</f>
        <v>-0.0</v>
      </c>
      <c r="IHD45" s="5">
        <f>-'5. IRR'!IHE16</f>
        <v>-0.0</v>
      </c>
      <c r="IHE45" s="5">
        <f>-'5. IRR'!IHF16</f>
        <v>-0.0</v>
      </c>
      <c r="IHF45" s="5">
        <f>-'5. IRR'!IHG16</f>
        <v>-0.0</v>
      </c>
      <c r="IHG45" s="5">
        <f>-'5. IRR'!IHH16</f>
        <v>-0.0</v>
      </c>
      <c r="IHH45" s="5">
        <f>-'5. IRR'!IHI16</f>
        <v>-0.0</v>
      </c>
      <c r="IHI45" s="5">
        <f>-'5. IRR'!IHJ16</f>
        <v>-0.0</v>
      </c>
      <c r="IHJ45" s="5">
        <f>-'5. IRR'!IHK16</f>
        <v>-0.0</v>
      </c>
      <c r="IHK45" s="5">
        <f>-'5. IRR'!IHL16</f>
        <v>-0.0</v>
      </c>
      <c r="IHL45" s="5">
        <f>-'5. IRR'!IHM16</f>
        <v>-0.0</v>
      </c>
      <c r="IHM45" s="5">
        <f>-'5. IRR'!IHN16</f>
        <v>-0.0</v>
      </c>
      <c r="IHN45" s="5">
        <f>-'5. IRR'!IHO16</f>
        <v>-0.0</v>
      </c>
      <c r="IHO45" s="5">
        <f>-'5. IRR'!IHP16</f>
        <v>-0.0</v>
      </c>
      <c r="IHP45" s="5">
        <f>-'5. IRR'!IHQ16</f>
        <v>-0.0</v>
      </c>
      <c r="IHQ45" s="5">
        <f>-'5. IRR'!IHR16</f>
        <v>-0.0</v>
      </c>
      <c r="IHR45" s="5">
        <f>-'5. IRR'!IHS16</f>
        <v>-0.0</v>
      </c>
      <c r="IHS45" s="5">
        <f>-'5. IRR'!IHT16</f>
        <v>-0.0</v>
      </c>
      <c r="IHT45" s="5">
        <f>-'5. IRR'!IHU16</f>
        <v>-0.0</v>
      </c>
      <c r="IHU45" s="5">
        <f>-'5. IRR'!IHV16</f>
        <v>-0.0</v>
      </c>
      <c r="IHV45" s="5">
        <f>-'5. IRR'!IHW16</f>
        <v>-0.0</v>
      </c>
      <c r="IHW45" s="5">
        <f>-'5. IRR'!IHX16</f>
        <v>-0.0</v>
      </c>
      <c r="IHX45" s="5">
        <f>-'5. IRR'!IHY16</f>
        <v>-0.0</v>
      </c>
      <c r="IHY45" s="5">
        <f>-'5. IRR'!IHZ16</f>
        <v>-0.0</v>
      </c>
      <c r="IHZ45" s="5">
        <f>-'5. IRR'!IIA16</f>
        <v>-0.0</v>
      </c>
      <c r="IIA45" s="5">
        <f>-'5. IRR'!IIB16</f>
        <v>-0.0</v>
      </c>
      <c r="IIB45" s="5">
        <f>-'5. IRR'!IIC16</f>
        <v>-0.0</v>
      </c>
      <c r="IIC45" s="5">
        <f>-'5. IRR'!IID16</f>
        <v>-0.0</v>
      </c>
      <c r="IID45" s="5">
        <f>-'5. IRR'!IIE16</f>
        <v>-0.0</v>
      </c>
      <c r="IIE45" s="5">
        <f>-'5. IRR'!IIF16</f>
        <v>-0.0</v>
      </c>
      <c r="IIF45" s="5">
        <f>-'5. IRR'!IIG16</f>
        <v>-0.0</v>
      </c>
      <c r="IIG45" s="5">
        <f>-'5. IRR'!IIH16</f>
        <v>-0.0</v>
      </c>
      <c r="IIH45" s="5">
        <f>-'5. IRR'!III16</f>
        <v>-0.0</v>
      </c>
      <c r="III45" s="5">
        <f>-'5. IRR'!IIJ16</f>
        <v>-0.0</v>
      </c>
      <c r="IIJ45" s="5">
        <f>-'5. IRR'!IIK16</f>
        <v>-0.0</v>
      </c>
      <c r="IIK45" s="5">
        <f>-'5. IRR'!IIL16</f>
        <v>-0.0</v>
      </c>
      <c r="IIL45" s="5">
        <f>-'5. IRR'!IIM16</f>
        <v>-0.0</v>
      </c>
      <c r="IIM45" s="5">
        <f>-'5. IRR'!IIN16</f>
        <v>-0.0</v>
      </c>
      <c r="IIN45" s="5">
        <f>-'5. IRR'!IIO16</f>
        <v>-0.0</v>
      </c>
      <c r="IIO45" s="5">
        <f>-'5. IRR'!IIP16</f>
        <v>-0.0</v>
      </c>
      <c r="IIP45" s="5">
        <f>-'5. IRR'!IIQ16</f>
        <v>-0.0</v>
      </c>
      <c r="IIQ45" s="5">
        <f>-'5. IRR'!IIR16</f>
        <v>-0.0</v>
      </c>
      <c r="IIR45" s="5">
        <f>-'5. IRR'!IIS16</f>
        <v>-0.0</v>
      </c>
      <c r="IIS45" s="5">
        <f>-'5. IRR'!IIT16</f>
        <v>-0.0</v>
      </c>
      <c r="IIT45" s="5">
        <f>-'5. IRR'!IIU16</f>
        <v>-0.0</v>
      </c>
      <c r="IIU45" s="5">
        <f>-'5. IRR'!IIV16</f>
        <v>-0.0</v>
      </c>
      <c r="IIV45" s="5">
        <f>-'5. IRR'!IIW16</f>
        <v>-0.0</v>
      </c>
      <c r="IIW45" s="5">
        <f>-'5. IRR'!IIX16</f>
        <v>-0.0</v>
      </c>
      <c r="IIX45" s="5">
        <f>-'5. IRR'!IIY16</f>
        <v>-0.0</v>
      </c>
      <c r="IIY45" s="5">
        <f>-'5. IRR'!IIZ16</f>
        <v>-0.0</v>
      </c>
      <c r="IIZ45" s="5">
        <f>-'5. IRR'!IJA16</f>
        <v>-0.0</v>
      </c>
      <c r="IJA45" s="5">
        <f>-'5. IRR'!IJB16</f>
        <v>-0.0</v>
      </c>
      <c r="IJB45" s="5">
        <f>-'5. IRR'!IJC16</f>
        <v>-0.0</v>
      </c>
      <c r="IJC45" s="5">
        <f>-'5. IRR'!IJD16</f>
        <v>-0.0</v>
      </c>
      <c r="IJD45" s="5">
        <f>-'5. IRR'!IJE16</f>
        <v>-0.0</v>
      </c>
      <c r="IJE45" s="5">
        <f>-'5. IRR'!IJF16</f>
        <v>-0.0</v>
      </c>
      <c r="IJF45" s="5">
        <f>-'5. IRR'!IJG16</f>
        <v>-0.0</v>
      </c>
      <c r="IJG45" s="5">
        <f>-'5. IRR'!IJH16</f>
        <v>-0.0</v>
      </c>
      <c r="IJH45" s="5">
        <f>-'5. IRR'!IJI16</f>
        <v>-0.0</v>
      </c>
      <c r="IJI45" s="5">
        <f>-'5. IRR'!IJJ16</f>
        <v>-0.0</v>
      </c>
      <c r="IJJ45" s="5">
        <f>-'5. IRR'!IJK16</f>
        <v>-0.0</v>
      </c>
      <c r="IJK45" s="5">
        <f>-'5. IRR'!IJL16</f>
        <v>-0.0</v>
      </c>
      <c r="IJL45" s="5">
        <f>-'5. IRR'!IJM16</f>
        <v>-0.0</v>
      </c>
      <c r="IJM45" s="5">
        <f>-'5. IRR'!IJN16</f>
        <v>-0.0</v>
      </c>
      <c r="IJN45" s="5">
        <f>-'5. IRR'!IJO16</f>
        <v>-0.0</v>
      </c>
      <c r="IJO45" s="5">
        <f>-'5. IRR'!IJP16</f>
        <v>-0.0</v>
      </c>
      <c r="IJP45" s="5">
        <f>-'5. IRR'!IJQ16</f>
        <v>-0.0</v>
      </c>
      <c r="IJQ45" s="5">
        <f>-'5. IRR'!IJR16</f>
        <v>-0.0</v>
      </c>
      <c r="IJR45" s="5">
        <f>-'5. IRR'!IJS16</f>
        <v>-0.0</v>
      </c>
      <c r="IJS45" s="5">
        <f>-'5. IRR'!IJT16</f>
        <v>-0.0</v>
      </c>
      <c r="IJT45" s="5">
        <f>-'5. IRR'!IJU16</f>
        <v>-0.0</v>
      </c>
      <c r="IJU45" s="5">
        <f>-'5. IRR'!IJV16</f>
        <v>-0.0</v>
      </c>
      <c r="IJV45" s="5">
        <f>-'5. IRR'!IJW16</f>
        <v>-0.0</v>
      </c>
      <c r="IJW45" s="5">
        <f>-'5. IRR'!IJX16</f>
        <v>-0.0</v>
      </c>
      <c r="IJX45" s="5">
        <f>-'5. IRR'!IJY16</f>
        <v>-0.0</v>
      </c>
      <c r="IJY45" s="5">
        <f>-'5. IRR'!IJZ16</f>
        <v>-0.0</v>
      </c>
      <c r="IJZ45" s="5">
        <f>-'5. IRR'!IKA16</f>
        <v>-0.0</v>
      </c>
      <c r="IKA45" s="5">
        <f>-'5. IRR'!IKB16</f>
        <v>-0.0</v>
      </c>
      <c r="IKB45" s="5">
        <f>-'5. IRR'!IKC16</f>
        <v>-0.0</v>
      </c>
      <c r="IKC45" s="5">
        <f>-'5. IRR'!IKD16</f>
        <v>-0.0</v>
      </c>
      <c r="IKD45" s="5">
        <f>-'5. IRR'!IKE16</f>
        <v>-0.0</v>
      </c>
      <c r="IKE45" s="5">
        <f>-'5. IRR'!IKF16</f>
        <v>-0.0</v>
      </c>
      <c r="IKF45" s="5">
        <f>-'5. IRR'!IKG16</f>
        <v>-0.0</v>
      </c>
      <c r="IKG45" s="5">
        <f>-'5. IRR'!IKH16</f>
        <v>-0.0</v>
      </c>
      <c r="IKH45" s="5">
        <f>-'5. IRR'!IKI16</f>
        <v>-0.0</v>
      </c>
      <c r="IKI45" s="5">
        <f>-'5. IRR'!IKJ16</f>
        <v>-0.0</v>
      </c>
      <c r="IKJ45" s="5">
        <f>-'5. IRR'!IKK16</f>
        <v>-0.0</v>
      </c>
      <c r="IKK45" s="5">
        <f>-'5. IRR'!IKL16</f>
        <v>-0.0</v>
      </c>
      <c r="IKL45" s="5">
        <f>-'5. IRR'!IKM16</f>
        <v>-0.0</v>
      </c>
      <c r="IKM45" s="5">
        <f>-'5. IRR'!IKN16</f>
        <v>-0.0</v>
      </c>
      <c r="IKN45" s="5">
        <f>-'5. IRR'!IKO16</f>
        <v>-0.0</v>
      </c>
      <c r="IKO45" s="5">
        <f>-'5. IRR'!IKP16</f>
        <v>-0.0</v>
      </c>
      <c r="IKP45" s="5">
        <f>-'5. IRR'!IKQ16</f>
        <v>-0.0</v>
      </c>
      <c r="IKQ45" s="5">
        <f>-'5. IRR'!IKR16</f>
        <v>-0.0</v>
      </c>
      <c r="IKR45" s="5">
        <f>-'5. IRR'!IKS16</f>
        <v>-0.0</v>
      </c>
      <c r="IKS45" s="5">
        <f>-'5. IRR'!IKT16</f>
        <v>-0.0</v>
      </c>
      <c r="IKT45" s="5">
        <f>-'5. IRR'!IKU16</f>
        <v>-0.0</v>
      </c>
      <c r="IKU45" s="5">
        <f>-'5. IRR'!IKV16</f>
        <v>-0.0</v>
      </c>
      <c r="IKV45" s="5">
        <f>-'5. IRR'!IKW16</f>
        <v>-0.0</v>
      </c>
      <c r="IKW45" s="5">
        <f>-'5. IRR'!IKX16</f>
        <v>-0.0</v>
      </c>
      <c r="IKX45" s="5">
        <f>-'5. IRR'!IKY16</f>
        <v>-0.0</v>
      </c>
      <c r="IKY45" s="5">
        <f>-'5. IRR'!IKZ16</f>
        <v>-0.0</v>
      </c>
      <c r="IKZ45" s="5">
        <f>-'5. IRR'!ILA16</f>
        <v>-0.0</v>
      </c>
      <c r="ILA45" s="5">
        <f>-'5. IRR'!ILB16</f>
        <v>-0.0</v>
      </c>
      <c r="ILB45" s="5">
        <f>-'5. IRR'!ILC16</f>
        <v>-0.0</v>
      </c>
      <c r="ILC45" s="5">
        <f>-'5. IRR'!ILD16</f>
        <v>-0.0</v>
      </c>
      <c r="ILD45" s="5">
        <f>-'5. IRR'!ILE16</f>
        <v>-0.0</v>
      </c>
      <c r="ILE45" s="5">
        <f>-'5. IRR'!ILF16</f>
        <v>-0.0</v>
      </c>
      <c r="ILF45" s="5">
        <f>-'5. IRR'!ILG16</f>
        <v>-0.0</v>
      </c>
      <c r="ILG45" s="5">
        <f>-'5. IRR'!ILH16</f>
        <v>-0.0</v>
      </c>
      <c r="ILH45" s="5">
        <f>-'5. IRR'!ILI16</f>
        <v>-0.0</v>
      </c>
      <c r="ILI45" s="5">
        <f>-'5. IRR'!ILJ16</f>
        <v>-0.0</v>
      </c>
      <c r="ILJ45" s="5">
        <f>-'5. IRR'!ILK16</f>
        <v>-0.0</v>
      </c>
      <c r="ILK45" s="5">
        <f>-'5. IRR'!ILL16</f>
        <v>-0.0</v>
      </c>
      <c r="ILL45" s="5">
        <f>-'5. IRR'!ILM16</f>
        <v>-0.0</v>
      </c>
      <c r="ILM45" s="5">
        <f>-'5. IRR'!ILN16</f>
        <v>-0.0</v>
      </c>
      <c r="ILN45" s="5">
        <f>-'5. IRR'!ILO16</f>
        <v>-0.0</v>
      </c>
      <c r="ILO45" s="5">
        <f>-'5. IRR'!ILP16</f>
        <v>-0.0</v>
      </c>
      <c r="ILP45" s="5">
        <f>-'5. IRR'!ILQ16</f>
        <v>-0.0</v>
      </c>
      <c r="ILQ45" s="5">
        <f>-'5. IRR'!ILR16</f>
        <v>-0.0</v>
      </c>
      <c r="ILR45" s="5">
        <f>-'5. IRR'!ILS16</f>
        <v>-0.0</v>
      </c>
      <c r="ILS45" s="5">
        <f>-'5. IRR'!ILT16</f>
        <v>-0.0</v>
      </c>
      <c r="ILT45" s="5">
        <f>-'5. IRR'!ILU16</f>
        <v>-0.0</v>
      </c>
      <c r="ILU45" s="5">
        <f>-'5. IRR'!ILV16</f>
        <v>-0.0</v>
      </c>
      <c r="ILV45" s="5">
        <f>-'5. IRR'!ILW16</f>
        <v>-0.0</v>
      </c>
      <c r="ILW45" s="5">
        <f>-'5. IRR'!ILX16</f>
        <v>-0.0</v>
      </c>
      <c r="ILX45" s="5">
        <f>-'5. IRR'!ILY16</f>
        <v>-0.0</v>
      </c>
      <c r="ILY45" s="5">
        <f>-'5. IRR'!ILZ16</f>
        <v>-0.0</v>
      </c>
      <c r="ILZ45" s="5">
        <f>-'5. IRR'!IMA16</f>
        <v>-0.0</v>
      </c>
      <c r="IMA45" s="5">
        <f>-'5. IRR'!IMB16</f>
        <v>-0.0</v>
      </c>
      <c r="IMB45" s="5">
        <f>-'5. IRR'!IMC16</f>
        <v>-0.0</v>
      </c>
      <c r="IMC45" s="5">
        <f>-'5. IRR'!IMD16</f>
        <v>-0.0</v>
      </c>
      <c r="IMD45" s="5">
        <f>-'5. IRR'!IME16</f>
        <v>-0.0</v>
      </c>
      <c r="IME45" s="5">
        <f>-'5. IRR'!IMF16</f>
        <v>-0.0</v>
      </c>
      <c r="IMF45" s="5">
        <f>-'5. IRR'!IMG16</f>
        <v>-0.0</v>
      </c>
      <c r="IMG45" s="5">
        <f>-'5. IRR'!IMH16</f>
        <v>-0.0</v>
      </c>
      <c r="IMH45" s="5">
        <f>-'5. IRR'!IMI16</f>
        <v>-0.0</v>
      </c>
      <c r="IMI45" s="5">
        <f>-'5. IRR'!IMJ16</f>
        <v>-0.0</v>
      </c>
      <c r="IMJ45" s="5">
        <f>-'5. IRR'!IMK16</f>
        <v>-0.0</v>
      </c>
      <c r="IMK45" s="5">
        <f>-'5. IRR'!IML16</f>
        <v>-0.0</v>
      </c>
      <c r="IML45" s="5">
        <f>-'5. IRR'!IMM16</f>
        <v>-0.0</v>
      </c>
      <c r="IMM45" s="5">
        <f>-'5. IRR'!IMN16</f>
        <v>-0.0</v>
      </c>
      <c r="IMN45" s="5">
        <f>-'5. IRR'!IMO16</f>
        <v>-0.0</v>
      </c>
      <c r="IMO45" s="5">
        <f>-'5. IRR'!IMP16</f>
        <v>-0.0</v>
      </c>
      <c r="IMP45" s="5">
        <f>-'5. IRR'!IMQ16</f>
        <v>-0.0</v>
      </c>
      <c r="IMQ45" s="5">
        <f>-'5. IRR'!IMR16</f>
        <v>-0.0</v>
      </c>
      <c r="IMR45" s="5">
        <f>-'5. IRR'!IMS16</f>
        <v>-0.0</v>
      </c>
      <c r="IMS45" s="5">
        <f>-'5. IRR'!IMT16</f>
        <v>-0.0</v>
      </c>
      <c r="IMT45" s="5">
        <f>-'5. IRR'!IMU16</f>
        <v>-0.0</v>
      </c>
      <c r="IMU45" s="5">
        <f>-'5. IRR'!IMV16</f>
        <v>-0.0</v>
      </c>
      <c r="IMV45" s="5">
        <f>-'5. IRR'!IMW16</f>
        <v>-0.0</v>
      </c>
      <c r="IMW45" s="5">
        <f>-'5. IRR'!IMX16</f>
        <v>-0.0</v>
      </c>
      <c r="IMX45" s="5">
        <f>-'5. IRR'!IMY16</f>
        <v>-0.0</v>
      </c>
      <c r="IMY45" s="5">
        <f>-'5. IRR'!IMZ16</f>
        <v>-0.0</v>
      </c>
      <c r="IMZ45" s="5">
        <f>-'5. IRR'!INA16</f>
        <v>-0.0</v>
      </c>
      <c r="INA45" s="5">
        <f>-'5. IRR'!INB16</f>
        <v>-0.0</v>
      </c>
      <c r="INB45" s="5">
        <f>-'5. IRR'!INC16</f>
        <v>-0.0</v>
      </c>
      <c r="INC45" s="5">
        <f>-'5. IRR'!IND16</f>
        <v>-0.0</v>
      </c>
      <c r="IND45" s="5">
        <f>-'5. IRR'!INE16</f>
        <v>-0.0</v>
      </c>
      <c r="INE45" s="5">
        <f>-'5. IRR'!INF16</f>
        <v>-0.0</v>
      </c>
      <c r="INF45" s="5">
        <f>-'5. IRR'!ING16</f>
        <v>-0.0</v>
      </c>
      <c r="ING45" s="5">
        <f>-'5. IRR'!INH16</f>
        <v>-0.0</v>
      </c>
      <c r="INH45" s="5">
        <f>-'5. IRR'!INI16</f>
        <v>-0.0</v>
      </c>
      <c r="INI45" s="5">
        <f>-'5. IRR'!INJ16</f>
        <v>-0.0</v>
      </c>
      <c r="INJ45" s="5">
        <f>-'5. IRR'!INK16</f>
        <v>-0.0</v>
      </c>
      <c r="INK45" s="5">
        <f>-'5. IRR'!INL16</f>
        <v>-0.0</v>
      </c>
      <c r="INL45" s="5">
        <f>-'5. IRR'!INM16</f>
        <v>-0.0</v>
      </c>
      <c r="INM45" s="5">
        <f>-'5. IRR'!INN16</f>
        <v>-0.0</v>
      </c>
      <c r="INN45" s="5">
        <f>-'5. IRR'!INO16</f>
        <v>-0.0</v>
      </c>
      <c r="INO45" s="5">
        <f>-'5. IRR'!INP16</f>
        <v>-0.0</v>
      </c>
      <c r="INP45" s="5">
        <f>-'5. IRR'!INQ16</f>
        <v>-0.0</v>
      </c>
      <c r="INQ45" s="5">
        <f>-'5. IRR'!INR16</f>
        <v>-0.0</v>
      </c>
      <c r="INR45" s="5">
        <f>-'5. IRR'!INS16</f>
        <v>-0.0</v>
      </c>
      <c r="INS45" s="5">
        <f>-'5. IRR'!INT16</f>
        <v>-0.0</v>
      </c>
      <c r="INT45" s="5">
        <f>-'5. IRR'!INU16</f>
        <v>-0.0</v>
      </c>
      <c r="INU45" s="5">
        <f>-'5. IRR'!INV16</f>
        <v>-0.0</v>
      </c>
      <c r="INV45" s="5">
        <f>-'5. IRR'!INW16</f>
        <v>-0.0</v>
      </c>
      <c r="INW45" s="5">
        <f>-'5. IRR'!INX16</f>
        <v>-0.0</v>
      </c>
      <c r="INX45" s="5">
        <f>-'5. IRR'!INY16</f>
        <v>-0.0</v>
      </c>
      <c r="INY45" s="5">
        <f>-'5. IRR'!INZ16</f>
        <v>-0.0</v>
      </c>
      <c r="INZ45" s="5">
        <f>-'5. IRR'!IOA16</f>
        <v>-0.0</v>
      </c>
      <c r="IOA45" s="5">
        <f>-'5. IRR'!IOB16</f>
        <v>-0.0</v>
      </c>
      <c r="IOB45" s="5">
        <f>-'5. IRR'!IOC16</f>
        <v>-0.0</v>
      </c>
      <c r="IOC45" s="5">
        <f>-'5. IRR'!IOD16</f>
        <v>-0.0</v>
      </c>
      <c r="IOD45" s="5">
        <f>-'5. IRR'!IOE16</f>
        <v>-0.0</v>
      </c>
      <c r="IOE45" s="5">
        <f>-'5. IRR'!IOF16</f>
        <v>-0.0</v>
      </c>
      <c r="IOF45" s="5">
        <f>-'5. IRR'!IOG16</f>
        <v>-0.0</v>
      </c>
      <c r="IOG45" s="5">
        <f>-'5. IRR'!IOH16</f>
        <v>-0.0</v>
      </c>
      <c r="IOH45" s="5">
        <f>-'5. IRR'!IOI16</f>
        <v>-0.0</v>
      </c>
      <c r="IOI45" s="5">
        <f>-'5. IRR'!IOJ16</f>
        <v>-0.0</v>
      </c>
      <c r="IOJ45" s="5">
        <f>-'5. IRR'!IOK16</f>
        <v>-0.0</v>
      </c>
      <c r="IOK45" s="5">
        <f>-'5. IRR'!IOL16</f>
        <v>-0.0</v>
      </c>
      <c r="IOL45" s="5">
        <f>-'5. IRR'!IOM16</f>
        <v>-0.0</v>
      </c>
      <c r="IOM45" s="5">
        <f>-'5. IRR'!ION16</f>
        <v>-0.0</v>
      </c>
      <c r="ION45" s="5">
        <f>-'5. IRR'!IOO16</f>
        <v>-0.0</v>
      </c>
      <c r="IOO45" s="5">
        <f>-'5. IRR'!IOP16</f>
        <v>-0.0</v>
      </c>
      <c r="IOP45" s="5">
        <f>-'5. IRR'!IOQ16</f>
        <v>-0.0</v>
      </c>
      <c r="IOQ45" s="5">
        <f>-'5. IRR'!IOR16</f>
        <v>-0.0</v>
      </c>
      <c r="IOR45" s="5">
        <f>-'5. IRR'!IOS16</f>
        <v>-0.0</v>
      </c>
      <c r="IOS45" s="5">
        <f>-'5. IRR'!IOT16</f>
        <v>-0.0</v>
      </c>
      <c r="IOT45" s="5">
        <f>-'5. IRR'!IOU16</f>
        <v>-0.0</v>
      </c>
      <c r="IOU45" s="5">
        <f>-'5. IRR'!IOV16</f>
        <v>-0.0</v>
      </c>
      <c r="IOV45" s="5">
        <f>-'5. IRR'!IOW16</f>
        <v>-0.0</v>
      </c>
      <c r="IOW45" s="5">
        <f>-'5. IRR'!IOX16</f>
        <v>-0.0</v>
      </c>
      <c r="IOX45" s="5">
        <f>-'5. IRR'!IOY16</f>
        <v>-0.0</v>
      </c>
      <c r="IOY45" s="5">
        <f>-'5. IRR'!IOZ16</f>
        <v>-0.0</v>
      </c>
      <c r="IOZ45" s="5">
        <f>-'5. IRR'!IPA16</f>
        <v>-0.0</v>
      </c>
      <c r="IPA45" s="5">
        <f>-'5. IRR'!IPB16</f>
        <v>-0.0</v>
      </c>
      <c r="IPB45" s="5">
        <f>-'5. IRR'!IPC16</f>
        <v>-0.0</v>
      </c>
      <c r="IPC45" s="5">
        <f>-'5. IRR'!IPD16</f>
        <v>-0.0</v>
      </c>
      <c r="IPD45" s="5">
        <f>-'5. IRR'!IPE16</f>
        <v>-0.0</v>
      </c>
      <c r="IPE45" s="5">
        <f>-'5. IRR'!IPF16</f>
        <v>-0.0</v>
      </c>
      <c r="IPF45" s="5">
        <f>-'5. IRR'!IPG16</f>
        <v>-0.0</v>
      </c>
      <c r="IPG45" s="5">
        <f>-'5. IRR'!IPH16</f>
        <v>-0.0</v>
      </c>
      <c r="IPH45" s="5">
        <f>-'5. IRR'!IPI16</f>
        <v>-0.0</v>
      </c>
      <c r="IPI45" s="5">
        <f>-'5. IRR'!IPJ16</f>
        <v>-0.0</v>
      </c>
      <c r="IPJ45" s="5">
        <f>-'5. IRR'!IPK16</f>
        <v>-0.0</v>
      </c>
      <c r="IPK45" s="5">
        <f>-'5. IRR'!IPL16</f>
        <v>-0.0</v>
      </c>
      <c r="IPL45" s="5">
        <f>-'5. IRR'!IPM16</f>
        <v>-0.0</v>
      </c>
      <c r="IPM45" s="5">
        <f>-'5. IRR'!IPN16</f>
        <v>-0.0</v>
      </c>
      <c r="IPN45" s="5">
        <f>-'5. IRR'!IPO16</f>
        <v>-0.0</v>
      </c>
      <c r="IPO45" s="5">
        <f>-'5. IRR'!IPP16</f>
        <v>-0.0</v>
      </c>
      <c r="IPP45" s="5">
        <f>-'5. IRR'!IPQ16</f>
        <v>-0.0</v>
      </c>
      <c r="IPQ45" s="5">
        <f>-'5. IRR'!IPR16</f>
        <v>-0.0</v>
      </c>
      <c r="IPR45" s="5">
        <f>-'5. IRR'!IPS16</f>
        <v>-0.0</v>
      </c>
      <c r="IPS45" s="5">
        <f>-'5. IRR'!IPT16</f>
        <v>-0.0</v>
      </c>
      <c r="IPT45" s="5">
        <f>-'5. IRR'!IPU16</f>
        <v>-0.0</v>
      </c>
      <c r="IPU45" s="5">
        <f>-'5. IRR'!IPV16</f>
        <v>-0.0</v>
      </c>
      <c r="IPV45" s="5">
        <f>-'5. IRR'!IPW16</f>
        <v>-0.0</v>
      </c>
      <c r="IPW45" s="5">
        <f>-'5. IRR'!IPX16</f>
        <v>-0.0</v>
      </c>
      <c r="IPX45" s="5">
        <f>-'5. IRR'!IPY16</f>
        <v>-0.0</v>
      </c>
      <c r="IPY45" s="5">
        <f>-'5. IRR'!IPZ16</f>
        <v>-0.0</v>
      </c>
      <c r="IPZ45" s="5">
        <f>-'5. IRR'!IQA16</f>
        <v>-0.0</v>
      </c>
      <c r="IQA45" s="5">
        <f>-'5. IRR'!IQB16</f>
        <v>-0.0</v>
      </c>
      <c r="IQB45" s="5">
        <f>-'5. IRR'!IQC16</f>
        <v>-0.0</v>
      </c>
      <c r="IQC45" s="5">
        <f>-'5. IRR'!IQD16</f>
        <v>-0.0</v>
      </c>
      <c r="IQD45" s="5">
        <f>-'5. IRR'!IQE16</f>
        <v>-0.0</v>
      </c>
      <c r="IQE45" s="5">
        <f>-'5. IRR'!IQF16</f>
        <v>-0.0</v>
      </c>
      <c r="IQF45" s="5">
        <f>-'5. IRR'!IQG16</f>
        <v>-0.0</v>
      </c>
      <c r="IQG45" s="5">
        <f>-'5. IRR'!IQH16</f>
        <v>-0.0</v>
      </c>
      <c r="IQH45" s="5">
        <f>-'5. IRR'!IQI16</f>
        <v>-0.0</v>
      </c>
      <c r="IQI45" s="5">
        <f>-'5. IRR'!IQJ16</f>
        <v>-0.0</v>
      </c>
      <c r="IQJ45" s="5">
        <f>-'5. IRR'!IQK16</f>
        <v>-0.0</v>
      </c>
      <c r="IQK45" s="5">
        <f>-'5. IRR'!IQL16</f>
        <v>-0.0</v>
      </c>
      <c r="IQL45" s="5">
        <f>-'5. IRR'!IQM16</f>
        <v>-0.0</v>
      </c>
      <c r="IQM45" s="5">
        <f>-'5. IRR'!IQN16</f>
        <v>-0.0</v>
      </c>
      <c r="IQN45" s="5">
        <f>-'5. IRR'!IQO16</f>
        <v>-0.0</v>
      </c>
      <c r="IQO45" s="5">
        <f>-'5. IRR'!IQP16</f>
        <v>-0.0</v>
      </c>
      <c r="IQP45" s="5">
        <f>-'5. IRR'!IQQ16</f>
        <v>-0.0</v>
      </c>
      <c r="IQQ45" s="5">
        <f>-'5. IRR'!IQR16</f>
        <v>-0.0</v>
      </c>
      <c r="IQR45" s="5">
        <f>-'5. IRR'!IQS16</f>
        <v>-0.0</v>
      </c>
      <c r="IQS45" s="5">
        <f>-'5. IRR'!IQT16</f>
        <v>-0.0</v>
      </c>
      <c r="IQT45" s="5">
        <f>-'5. IRR'!IQU16</f>
        <v>-0.0</v>
      </c>
      <c r="IQU45" s="5">
        <f>-'5. IRR'!IQV16</f>
        <v>-0.0</v>
      </c>
      <c r="IQV45" s="5">
        <f>-'5. IRR'!IQW16</f>
        <v>-0.0</v>
      </c>
      <c r="IQW45" s="5">
        <f>-'5. IRR'!IQX16</f>
        <v>-0.0</v>
      </c>
      <c r="IQX45" s="5">
        <f>-'5. IRR'!IQY16</f>
        <v>-0.0</v>
      </c>
      <c r="IQY45" s="5">
        <f>-'5. IRR'!IQZ16</f>
        <v>-0.0</v>
      </c>
      <c r="IQZ45" s="5">
        <f>-'5. IRR'!IRA16</f>
        <v>-0.0</v>
      </c>
      <c r="IRA45" s="5">
        <f>-'5. IRR'!IRB16</f>
        <v>-0.0</v>
      </c>
      <c r="IRB45" s="5">
        <f>-'5. IRR'!IRC16</f>
        <v>-0.0</v>
      </c>
      <c r="IRC45" s="5">
        <f>-'5. IRR'!IRD16</f>
        <v>-0.0</v>
      </c>
      <c r="IRD45" s="5">
        <f>-'5. IRR'!IRE16</f>
        <v>-0.0</v>
      </c>
      <c r="IRE45" s="5">
        <f>-'5. IRR'!IRF16</f>
        <v>-0.0</v>
      </c>
      <c r="IRF45" s="5">
        <f>-'5. IRR'!IRG16</f>
        <v>-0.0</v>
      </c>
      <c r="IRG45" s="5">
        <f>-'5. IRR'!IRH16</f>
        <v>-0.0</v>
      </c>
      <c r="IRH45" s="5">
        <f>-'5. IRR'!IRI16</f>
        <v>-0.0</v>
      </c>
      <c r="IRI45" s="5">
        <f>-'5. IRR'!IRJ16</f>
        <v>-0.0</v>
      </c>
      <c r="IRJ45" s="5">
        <f>-'5. IRR'!IRK16</f>
        <v>-0.0</v>
      </c>
      <c r="IRK45" s="5">
        <f>-'5. IRR'!IRL16</f>
        <v>-0.0</v>
      </c>
      <c r="IRL45" s="5">
        <f>-'5. IRR'!IRM16</f>
        <v>-0.0</v>
      </c>
      <c r="IRM45" s="5">
        <f>-'5. IRR'!IRN16</f>
        <v>-0.0</v>
      </c>
      <c r="IRN45" s="5">
        <f>-'5. IRR'!IRO16</f>
        <v>-0.0</v>
      </c>
      <c r="IRO45" s="5">
        <f>-'5. IRR'!IRP16</f>
        <v>-0.0</v>
      </c>
      <c r="IRP45" s="5">
        <f>-'5. IRR'!IRQ16</f>
        <v>-0.0</v>
      </c>
      <c r="IRQ45" s="5">
        <f>-'5. IRR'!IRR16</f>
        <v>-0.0</v>
      </c>
      <c r="IRR45" s="5">
        <f>-'5. IRR'!IRS16</f>
        <v>-0.0</v>
      </c>
      <c r="IRS45" s="5">
        <f>-'5. IRR'!IRT16</f>
        <v>-0.0</v>
      </c>
      <c r="IRT45" s="5">
        <f>-'5. IRR'!IRU16</f>
        <v>-0.0</v>
      </c>
      <c r="IRU45" s="5">
        <f>-'5. IRR'!IRV16</f>
        <v>-0.0</v>
      </c>
      <c r="IRV45" s="5">
        <f>-'5. IRR'!IRW16</f>
        <v>-0.0</v>
      </c>
      <c r="IRW45" s="5">
        <f>-'5. IRR'!IRX16</f>
        <v>-0.0</v>
      </c>
      <c r="IRX45" s="5">
        <f>-'5. IRR'!IRY16</f>
        <v>-0.0</v>
      </c>
      <c r="IRY45" s="5">
        <f>-'5. IRR'!IRZ16</f>
        <v>-0.0</v>
      </c>
      <c r="IRZ45" s="5">
        <f>-'5. IRR'!ISA16</f>
        <v>-0.0</v>
      </c>
      <c r="ISA45" s="5">
        <f>-'5. IRR'!ISB16</f>
        <v>-0.0</v>
      </c>
      <c r="ISB45" s="5">
        <f>-'5. IRR'!ISC16</f>
        <v>-0.0</v>
      </c>
      <c r="ISC45" s="5">
        <f>-'5. IRR'!ISD16</f>
        <v>-0.0</v>
      </c>
      <c r="ISD45" s="5">
        <f>-'5. IRR'!ISE16</f>
        <v>-0.0</v>
      </c>
      <c r="ISE45" s="5">
        <f>-'5. IRR'!ISF16</f>
        <v>-0.0</v>
      </c>
      <c r="ISF45" s="5">
        <f>-'5. IRR'!ISG16</f>
        <v>-0.0</v>
      </c>
      <c r="ISG45" s="5">
        <f>-'5. IRR'!ISH16</f>
        <v>-0.0</v>
      </c>
      <c r="ISH45" s="5">
        <f>-'5. IRR'!ISI16</f>
        <v>-0.0</v>
      </c>
      <c r="ISI45" s="5">
        <f>-'5. IRR'!ISJ16</f>
        <v>-0.0</v>
      </c>
      <c r="ISJ45" s="5">
        <f>-'5. IRR'!ISK16</f>
        <v>-0.0</v>
      </c>
      <c r="ISK45" s="5">
        <f>-'5. IRR'!ISL16</f>
        <v>-0.0</v>
      </c>
      <c r="ISL45" s="5">
        <f>-'5. IRR'!ISM16</f>
        <v>-0.0</v>
      </c>
      <c r="ISM45" s="5">
        <f>-'5. IRR'!ISN16</f>
        <v>-0.0</v>
      </c>
      <c r="ISN45" s="5">
        <f>-'5. IRR'!ISO16</f>
        <v>-0.0</v>
      </c>
      <c r="ISO45" s="5">
        <f>-'5. IRR'!ISP16</f>
        <v>-0.0</v>
      </c>
      <c r="ISP45" s="5">
        <f>-'5. IRR'!ISQ16</f>
        <v>-0.0</v>
      </c>
      <c r="ISQ45" s="5">
        <f>-'5. IRR'!ISR16</f>
        <v>-0.0</v>
      </c>
      <c r="ISR45" s="5">
        <f>-'5. IRR'!ISS16</f>
        <v>-0.0</v>
      </c>
      <c r="ISS45" s="5">
        <f>-'5. IRR'!IST16</f>
        <v>-0.0</v>
      </c>
      <c r="IST45" s="5">
        <f>-'5. IRR'!ISU16</f>
        <v>-0.0</v>
      </c>
      <c r="ISU45" s="5">
        <f>-'5. IRR'!ISV16</f>
        <v>-0.0</v>
      </c>
      <c r="ISV45" s="5">
        <f>-'5. IRR'!ISW16</f>
        <v>-0.0</v>
      </c>
      <c r="ISW45" s="5">
        <f>-'5. IRR'!ISX16</f>
        <v>-0.0</v>
      </c>
      <c r="ISX45" s="5">
        <f>-'5. IRR'!ISY16</f>
        <v>-0.0</v>
      </c>
      <c r="ISY45" s="5">
        <f>-'5. IRR'!ISZ16</f>
        <v>-0.0</v>
      </c>
      <c r="ISZ45" s="5">
        <f>-'5. IRR'!ITA16</f>
        <v>-0.0</v>
      </c>
      <c r="ITA45" s="5">
        <f>-'5. IRR'!ITB16</f>
        <v>-0.0</v>
      </c>
      <c r="ITB45" s="5">
        <f>-'5. IRR'!ITC16</f>
        <v>-0.0</v>
      </c>
      <c r="ITC45" s="5">
        <f>-'5. IRR'!ITD16</f>
        <v>-0.0</v>
      </c>
      <c r="ITD45" s="5">
        <f>-'5. IRR'!ITE16</f>
        <v>-0.0</v>
      </c>
      <c r="ITE45" s="5">
        <f>-'5. IRR'!ITF16</f>
        <v>-0.0</v>
      </c>
      <c r="ITF45" s="5">
        <f>-'5. IRR'!ITG16</f>
        <v>-0.0</v>
      </c>
      <c r="ITG45" s="5">
        <f>-'5. IRR'!ITH16</f>
        <v>-0.0</v>
      </c>
      <c r="ITH45" s="5">
        <f>-'5. IRR'!ITI16</f>
        <v>-0.0</v>
      </c>
      <c r="ITI45" s="5">
        <f>-'5. IRR'!ITJ16</f>
        <v>-0.0</v>
      </c>
      <c r="ITJ45" s="5">
        <f>-'5. IRR'!ITK16</f>
        <v>-0.0</v>
      </c>
      <c r="ITK45" s="5">
        <f>-'5. IRR'!ITL16</f>
        <v>-0.0</v>
      </c>
      <c r="ITL45" s="5">
        <f>-'5. IRR'!ITM16</f>
        <v>-0.0</v>
      </c>
      <c r="ITM45" s="5">
        <f>-'5. IRR'!ITN16</f>
        <v>-0.0</v>
      </c>
      <c r="ITN45" s="5">
        <f>-'5. IRR'!ITO16</f>
        <v>-0.0</v>
      </c>
      <c r="ITO45" s="5">
        <f>-'5. IRR'!ITP16</f>
        <v>-0.0</v>
      </c>
      <c r="ITP45" s="5">
        <f>-'5. IRR'!ITQ16</f>
        <v>-0.0</v>
      </c>
      <c r="ITQ45" s="5">
        <f>-'5. IRR'!ITR16</f>
        <v>-0.0</v>
      </c>
      <c r="ITR45" s="5">
        <f>-'5. IRR'!ITS16</f>
        <v>-0.0</v>
      </c>
      <c r="ITS45" s="5">
        <f>-'5. IRR'!ITT16</f>
        <v>-0.0</v>
      </c>
      <c r="ITT45" s="5">
        <f>-'5. IRR'!ITU16</f>
        <v>-0.0</v>
      </c>
      <c r="ITU45" s="5">
        <f>-'5. IRR'!ITV16</f>
        <v>-0.0</v>
      </c>
      <c r="ITV45" s="5">
        <f>-'5. IRR'!ITW16</f>
        <v>-0.0</v>
      </c>
      <c r="ITW45" s="5">
        <f>-'5. IRR'!ITX16</f>
        <v>-0.0</v>
      </c>
      <c r="ITX45" s="5">
        <f>-'5. IRR'!ITY16</f>
        <v>-0.0</v>
      </c>
      <c r="ITY45" s="5">
        <f>-'5. IRR'!ITZ16</f>
        <v>-0.0</v>
      </c>
      <c r="ITZ45" s="5">
        <f>-'5. IRR'!IUA16</f>
        <v>-0.0</v>
      </c>
      <c r="IUA45" s="5">
        <f>-'5. IRR'!IUB16</f>
        <v>-0.0</v>
      </c>
      <c r="IUB45" s="5">
        <f>-'5. IRR'!IUC16</f>
        <v>-0.0</v>
      </c>
      <c r="IUC45" s="5">
        <f>-'5. IRR'!IUD16</f>
        <v>-0.0</v>
      </c>
      <c r="IUD45" s="5">
        <f>-'5. IRR'!IUE16</f>
        <v>-0.0</v>
      </c>
      <c r="IUE45" s="5">
        <f>-'5. IRR'!IUF16</f>
        <v>-0.0</v>
      </c>
      <c r="IUF45" s="5">
        <f>-'5. IRR'!IUG16</f>
        <v>-0.0</v>
      </c>
      <c r="IUG45" s="5">
        <f>-'5. IRR'!IUH16</f>
        <v>-0.0</v>
      </c>
      <c r="IUH45" s="5">
        <f>-'5. IRR'!IUI16</f>
        <v>-0.0</v>
      </c>
      <c r="IUI45" s="5">
        <f>-'5. IRR'!IUJ16</f>
        <v>-0.0</v>
      </c>
      <c r="IUJ45" s="5">
        <f>-'5. IRR'!IUK16</f>
        <v>-0.0</v>
      </c>
      <c r="IUK45" s="5">
        <f>-'5. IRR'!IUL16</f>
        <v>-0.0</v>
      </c>
      <c r="IUL45" s="5">
        <f>-'5. IRR'!IUM16</f>
        <v>-0.0</v>
      </c>
      <c r="IUM45" s="5">
        <f>-'5. IRR'!IUN16</f>
        <v>-0.0</v>
      </c>
      <c r="IUN45" s="5">
        <f>-'5. IRR'!IUO16</f>
        <v>-0.0</v>
      </c>
      <c r="IUO45" s="5">
        <f>-'5. IRR'!IUP16</f>
        <v>-0.0</v>
      </c>
      <c r="IUP45" s="5">
        <f>-'5. IRR'!IUQ16</f>
        <v>-0.0</v>
      </c>
      <c r="IUQ45" s="5">
        <f>-'5. IRR'!IUR16</f>
        <v>-0.0</v>
      </c>
      <c r="IUR45" s="5">
        <f>-'5. IRR'!IUS16</f>
        <v>-0.0</v>
      </c>
      <c r="IUS45" s="5">
        <f>-'5. IRR'!IUT16</f>
        <v>-0.0</v>
      </c>
      <c r="IUT45" s="5">
        <f>-'5. IRR'!IUU16</f>
        <v>-0.0</v>
      </c>
      <c r="IUU45" s="5">
        <f>-'5. IRR'!IUV16</f>
        <v>-0.0</v>
      </c>
      <c r="IUV45" s="5">
        <f>-'5. IRR'!IUW16</f>
        <v>-0.0</v>
      </c>
      <c r="IUW45" s="5">
        <f>-'5. IRR'!IUX16</f>
        <v>-0.0</v>
      </c>
      <c r="IUX45" s="5">
        <f>-'5. IRR'!IUY16</f>
        <v>-0.0</v>
      </c>
      <c r="IUY45" s="5">
        <f>-'5. IRR'!IUZ16</f>
        <v>-0.0</v>
      </c>
      <c r="IUZ45" s="5">
        <f>-'5. IRR'!IVA16</f>
        <v>-0.0</v>
      </c>
      <c r="IVA45" s="5">
        <f>-'5. IRR'!IVB16</f>
        <v>-0.0</v>
      </c>
      <c r="IVB45" s="5">
        <f>-'5. IRR'!IVC16</f>
        <v>-0.0</v>
      </c>
      <c r="IVC45" s="5">
        <f>-'5. IRR'!IVD16</f>
        <v>-0.0</v>
      </c>
      <c r="IVD45" s="5">
        <f>-'5. IRR'!IVE16</f>
        <v>-0.0</v>
      </c>
      <c r="IVE45" s="5">
        <f>-'5. IRR'!IVF16</f>
        <v>-0.0</v>
      </c>
      <c r="IVF45" s="5">
        <f>-'5. IRR'!IVG16</f>
        <v>-0.0</v>
      </c>
      <c r="IVG45" s="5">
        <f>-'5. IRR'!IVH16</f>
        <v>-0.0</v>
      </c>
      <c r="IVH45" s="5">
        <f>-'5. IRR'!IVI16</f>
        <v>-0.0</v>
      </c>
      <c r="IVI45" s="5">
        <f>-'5. IRR'!IVJ16</f>
        <v>-0.0</v>
      </c>
      <c r="IVJ45" s="5">
        <f>-'5. IRR'!IVK16</f>
        <v>-0.0</v>
      </c>
      <c r="IVK45" s="5">
        <f>-'5. IRR'!IVL16</f>
        <v>-0.0</v>
      </c>
      <c r="IVL45" s="5">
        <f>-'5. IRR'!IVM16</f>
        <v>-0.0</v>
      </c>
      <c r="IVM45" s="5">
        <f>-'5. IRR'!IVN16</f>
        <v>-0.0</v>
      </c>
      <c r="IVN45" s="5">
        <f>-'5. IRR'!IVO16</f>
        <v>-0.0</v>
      </c>
      <c r="IVO45" s="5">
        <f>-'5. IRR'!IVP16</f>
        <v>-0.0</v>
      </c>
      <c r="IVP45" s="5">
        <f>-'5. IRR'!IVQ16</f>
        <v>-0.0</v>
      </c>
      <c r="IVQ45" s="5">
        <f>-'5. IRR'!IVR16</f>
        <v>-0.0</v>
      </c>
      <c r="IVR45" s="5">
        <f>-'5. IRR'!IVS16</f>
        <v>-0.0</v>
      </c>
      <c r="IVS45" s="5">
        <f>-'5. IRR'!IVT16</f>
        <v>-0.0</v>
      </c>
      <c r="IVT45" s="5">
        <f>-'5. IRR'!IVU16</f>
        <v>-0.0</v>
      </c>
      <c r="IVU45" s="5">
        <f>-'5. IRR'!IVV16</f>
        <v>-0.0</v>
      </c>
      <c r="IVV45" s="5">
        <f>-'5. IRR'!IVW16</f>
        <v>-0.0</v>
      </c>
      <c r="IVW45" s="5">
        <f>-'5. IRR'!IVX16</f>
        <v>-0.0</v>
      </c>
      <c r="IVX45" s="5">
        <f>-'5. IRR'!IVY16</f>
        <v>-0.0</v>
      </c>
      <c r="IVY45" s="5">
        <f>-'5. IRR'!IVZ16</f>
        <v>-0.0</v>
      </c>
      <c r="IVZ45" s="5">
        <f>-'5. IRR'!IWA16</f>
        <v>-0.0</v>
      </c>
      <c r="IWA45" s="5">
        <f>-'5. IRR'!IWB16</f>
        <v>-0.0</v>
      </c>
      <c r="IWB45" s="5">
        <f>-'5. IRR'!IWC16</f>
        <v>-0.0</v>
      </c>
      <c r="IWC45" s="5">
        <f>-'5. IRR'!IWD16</f>
        <v>-0.0</v>
      </c>
      <c r="IWD45" s="5">
        <f>-'5. IRR'!IWE16</f>
        <v>-0.0</v>
      </c>
      <c r="IWE45" s="5">
        <f>-'5. IRR'!IWF16</f>
        <v>-0.0</v>
      </c>
      <c r="IWF45" s="5">
        <f>-'5. IRR'!IWG16</f>
        <v>-0.0</v>
      </c>
      <c r="IWG45" s="5">
        <f>-'5. IRR'!IWH16</f>
        <v>-0.0</v>
      </c>
      <c r="IWH45" s="5">
        <f>-'5. IRR'!IWI16</f>
        <v>-0.0</v>
      </c>
      <c r="IWI45" s="5">
        <f>-'5. IRR'!IWJ16</f>
        <v>-0.0</v>
      </c>
      <c r="IWJ45" s="5">
        <f>-'5. IRR'!IWK16</f>
        <v>-0.0</v>
      </c>
      <c r="IWK45" s="5">
        <f>-'5. IRR'!IWL16</f>
        <v>-0.0</v>
      </c>
      <c r="IWL45" s="5">
        <f>-'5. IRR'!IWM16</f>
        <v>-0.0</v>
      </c>
      <c r="IWM45" s="5">
        <f>-'5. IRR'!IWN16</f>
        <v>-0.0</v>
      </c>
      <c r="IWN45" s="5">
        <f>-'5. IRR'!IWO16</f>
        <v>-0.0</v>
      </c>
      <c r="IWO45" s="5">
        <f>-'5. IRR'!IWP16</f>
        <v>-0.0</v>
      </c>
      <c r="IWP45" s="5">
        <f>-'5. IRR'!IWQ16</f>
        <v>-0.0</v>
      </c>
      <c r="IWQ45" s="5">
        <f>-'5. IRR'!IWR16</f>
        <v>-0.0</v>
      </c>
      <c r="IWR45" s="5">
        <f>-'5. IRR'!IWS16</f>
        <v>-0.0</v>
      </c>
      <c r="IWS45" s="5">
        <f>-'5. IRR'!IWT16</f>
        <v>-0.0</v>
      </c>
      <c r="IWT45" s="5">
        <f>-'5. IRR'!IWU16</f>
        <v>-0.0</v>
      </c>
      <c r="IWU45" s="5">
        <f>-'5. IRR'!IWV16</f>
        <v>-0.0</v>
      </c>
      <c r="IWV45" s="5">
        <f>-'5. IRR'!IWW16</f>
        <v>-0.0</v>
      </c>
      <c r="IWW45" s="5">
        <f>-'5. IRR'!IWX16</f>
        <v>-0.0</v>
      </c>
      <c r="IWX45" s="5">
        <f>-'5. IRR'!IWY16</f>
        <v>-0.0</v>
      </c>
      <c r="IWY45" s="5">
        <f>-'5. IRR'!IWZ16</f>
        <v>-0.0</v>
      </c>
      <c r="IWZ45" s="5">
        <f>-'5. IRR'!IXA16</f>
        <v>-0.0</v>
      </c>
      <c r="IXA45" s="5">
        <f>-'5. IRR'!IXB16</f>
        <v>-0.0</v>
      </c>
      <c r="IXB45" s="5">
        <f>-'5. IRR'!IXC16</f>
        <v>-0.0</v>
      </c>
      <c r="IXC45" s="5">
        <f>-'5. IRR'!IXD16</f>
        <v>-0.0</v>
      </c>
      <c r="IXD45" s="5">
        <f>-'5. IRR'!IXE16</f>
        <v>-0.0</v>
      </c>
      <c r="IXE45" s="5">
        <f>-'5. IRR'!IXF16</f>
        <v>-0.0</v>
      </c>
      <c r="IXF45" s="5">
        <f>-'5. IRR'!IXG16</f>
        <v>-0.0</v>
      </c>
      <c r="IXG45" s="5">
        <f>-'5. IRR'!IXH16</f>
        <v>-0.0</v>
      </c>
      <c r="IXH45" s="5">
        <f>-'5. IRR'!IXI16</f>
        <v>-0.0</v>
      </c>
      <c r="IXI45" s="5">
        <f>-'5. IRR'!IXJ16</f>
        <v>-0.0</v>
      </c>
      <c r="IXJ45" s="5">
        <f>-'5. IRR'!IXK16</f>
        <v>-0.0</v>
      </c>
      <c r="IXK45" s="5">
        <f>-'5. IRR'!IXL16</f>
        <v>-0.0</v>
      </c>
      <c r="IXL45" s="5">
        <f>-'5. IRR'!IXM16</f>
        <v>-0.0</v>
      </c>
      <c r="IXM45" s="5">
        <f>-'5. IRR'!IXN16</f>
        <v>-0.0</v>
      </c>
      <c r="IXN45" s="5">
        <f>-'5. IRR'!IXO16</f>
        <v>-0.0</v>
      </c>
      <c r="IXO45" s="5">
        <f>-'5. IRR'!IXP16</f>
        <v>-0.0</v>
      </c>
      <c r="IXP45" s="5">
        <f>-'5. IRR'!IXQ16</f>
        <v>-0.0</v>
      </c>
      <c r="IXQ45" s="5">
        <f>-'5. IRR'!IXR16</f>
        <v>-0.0</v>
      </c>
      <c r="IXR45" s="5">
        <f>-'5. IRR'!IXS16</f>
        <v>-0.0</v>
      </c>
      <c r="IXS45" s="5">
        <f>-'5. IRR'!IXT16</f>
        <v>-0.0</v>
      </c>
      <c r="IXT45" s="5">
        <f>-'5. IRR'!IXU16</f>
        <v>-0.0</v>
      </c>
      <c r="IXU45" s="5">
        <f>-'5. IRR'!IXV16</f>
        <v>-0.0</v>
      </c>
      <c r="IXV45" s="5">
        <f>-'5. IRR'!IXW16</f>
        <v>-0.0</v>
      </c>
      <c r="IXW45" s="5">
        <f>-'5. IRR'!IXX16</f>
        <v>-0.0</v>
      </c>
      <c r="IXX45" s="5">
        <f>-'5. IRR'!IXY16</f>
        <v>-0.0</v>
      </c>
      <c r="IXY45" s="5">
        <f>-'5. IRR'!IXZ16</f>
        <v>-0.0</v>
      </c>
      <c r="IXZ45" s="5">
        <f>-'5. IRR'!IYA16</f>
        <v>-0.0</v>
      </c>
      <c r="IYA45" s="5">
        <f>-'5. IRR'!IYB16</f>
        <v>-0.0</v>
      </c>
      <c r="IYB45" s="5">
        <f>-'5. IRR'!IYC16</f>
        <v>-0.0</v>
      </c>
      <c r="IYC45" s="5">
        <f>-'5. IRR'!IYD16</f>
        <v>-0.0</v>
      </c>
      <c r="IYD45" s="5">
        <f>-'5. IRR'!IYE16</f>
        <v>-0.0</v>
      </c>
      <c r="IYE45" s="5">
        <f>-'5. IRR'!IYF16</f>
        <v>-0.0</v>
      </c>
      <c r="IYF45" s="5">
        <f>-'5. IRR'!IYG16</f>
        <v>-0.0</v>
      </c>
      <c r="IYG45" s="5">
        <f>-'5. IRR'!IYH16</f>
        <v>-0.0</v>
      </c>
      <c r="IYH45" s="5">
        <f>-'5. IRR'!IYI16</f>
        <v>-0.0</v>
      </c>
      <c r="IYI45" s="5">
        <f>-'5. IRR'!IYJ16</f>
        <v>-0.0</v>
      </c>
      <c r="IYJ45" s="5">
        <f>-'5. IRR'!IYK16</f>
        <v>-0.0</v>
      </c>
      <c r="IYK45" s="5">
        <f>-'5. IRR'!IYL16</f>
        <v>-0.0</v>
      </c>
      <c r="IYL45" s="5">
        <f>-'5. IRR'!IYM16</f>
        <v>-0.0</v>
      </c>
      <c r="IYM45" s="5">
        <f>-'5. IRR'!IYN16</f>
        <v>-0.0</v>
      </c>
      <c r="IYN45" s="5">
        <f>-'5. IRR'!IYO16</f>
        <v>-0.0</v>
      </c>
      <c r="IYO45" s="5">
        <f>-'5. IRR'!IYP16</f>
        <v>-0.0</v>
      </c>
      <c r="IYP45" s="5">
        <f>-'5. IRR'!IYQ16</f>
        <v>-0.0</v>
      </c>
      <c r="IYQ45" s="5">
        <f>-'5. IRR'!IYR16</f>
        <v>-0.0</v>
      </c>
      <c r="IYR45" s="5">
        <f>-'5. IRR'!IYS16</f>
        <v>-0.0</v>
      </c>
      <c r="IYS45" s="5">
        <f>-'5. IRR'!IYT16</f>
        <v>-0.0</v>
      </c>
      <c r="IYT45" s="5">
        <f>-'5. IRR'!IYU16</f>
        <v>-0.0</v>
      </c>
      <c r="IYU45" s="5">
        <f>-'5. IRR'!IYV16</f>
        <v>-0.0</v>
      </c>
      <c r="IYV45" s="5">
        <f>-'5. IRR'!IYW16</f>
        <v>-0.0</v>
      </c>
      <c r="IYW45" s="5">
        <f>-'5. IRR'!IYX16</f>
        <v>-0.0</v>
      </c>
      <c r="IYX45" s="5">
        <f>-'5. IRR'!IYY16</f>
        <v>-0.0</v>
      </c>
      <c r="IYY45" s="5">
        <f>-'5. IRR'!IYZ16</f>
        <v>-0.0</v>
      </c>
      <c r="IYZ45" s="5">
        <f>-'5. IRR'!IZA16</f>
        <v>-0.0</v>
      </c>
      <c r="IZA45" s="5">
        <f>-'5. IRR'!IZB16</f>
        <v>-0.0</v>
      </c>
      <c r="IZB45" s="5">
        <f>-'5. IRR'!IZC16</f>
        <v>-0.0</v>
      </c>
      <c r="IZC45" s="5">
        <f>-'5. IRR'!IZD16</f>
        <v>-0.0</v>
      </c>
      <c r="IZD45" s="5">
        <f>-'5. IRR'!IZE16</f>
        <v>-0.0</v>
      </c>
      <c r="IZE45" s="5">
        <f>-'5. IRR'!IZF16</f>
        <v>-0.0</v>
      </c>
      <c r="IZF45" s="5">
        <f>-'5. IRR'!IZG16</f>
        <v>-0.0</v>
      </c>
      <c r="IZG45" s="5">
        <f>-'5. IRR'!IZH16</f>
        <v>-0.0</v>
      </c>
      <c r="IZH45" s="5">
        <f>-'5. IRR'!IZI16</f>
        <v>-0.0</v>
      </c>
      <c r="IZI45" s="5">
        <f>-'5. IRR'!IZJ16</f>
        <v>-0.0</v>
      </c>
      <c r="IZJ45" s="5">
        <f>-'5. IRR'!IZK16</f>
        <v>-0.0</v>
      </c>
      <c r="IZK45" s="5">
        <f>-'5. IRR'!IZL16</f>
        <v>-0.0</v>
      </c>
      <c r="IZL45" s="5">
        <f>-'5. IRR'!IZM16</f>
        <v>-0.0</v>
      </c>
      <c r="IZM45" s="5">
        <f>-'5. IRR'!IZN16</f>
        <v>-0.0</v>
      </c>
      <c r="IZN45" s="5">
        <f>-'5. IRR'!IZO16</f>
        <v>-0.0</v>
      </c>
      <c r="IZO45" s="5">
        <f>-'5. IRR'!IZP16</f>
        <v>-0.0</v>
      </c>
      <c r="IZP45" s="5">
        <f>-'5. IRR'!IZQ16</f>
        <v>-0.0</v>
      </c>
      <c r="IZQ45" s="5">
        <f>-'5. IRR'!IZR16</f>
        <v>-0.0</v>
      </c>
      <c r="IZR45" s="5">
        <f>-'5. IRR'!IZS16</f>
        <v>-0.0</v>
      </c>
      <c r="IZS45" s="5">
        <f>-'5. IRR'!IZT16</f>
        <v>-0.0</v>
      </c>
      <c r="IZT45" s="5">
        <f>-'5. IRR'!IZU16</f>
        <v>-0.0</v>
      </c>
      <c r="IZU45" s="5">
        <f>-'5. IRR'!IZV16</f>
        <v>-0.0</v>
      </c>
      <c r="IZV45" s="5">
        <f>-'5. IRR'!IZW16</f>
        <v>-0.0</v>
      </c>
      <c r="IZW45" s="5">
        <f>-'5. IRR'!IZX16</f>
        <v>-0.0</v>
      </c>
      <c r="IZX45" s="5">
        <f>-'5. IRR'!IZY16</f>
        <v>-0.0</v>
      </c>
      <c r="IZY45" s="5">
        <f>-'5. IRR'!IZZ16</f>
        <v>-0.0</v>
      </c>
      <c r="IZZ45" s="5">
        <f>-'5. IRR'!JAA16</f>
        <v>-0.0</v>
      </c>
      <c r="JAA45" s="5">
        <f>-'5. IRR'!JAB16</f>
        <v>-0.0</v>
      </c>
      <c r="JAB45" s="5">
        <f>-'5. IRR'!JAC16</f>
        <v>-0.0</v>
      </c>
      <c r="JAC45" s="5">
        <f>-'5. IRR'!JAD16</f>
        <v>-0.0</v>
      </c>
      <c r="JAD45" s="5">
        <f>-'5. IRR'!JAE16</f>
        <v>-0.0</v>
      </c>
      <c r="JAE45" s="5">
        <f>-'5. IRR'!JAF16</f>
        <v>-0.0</v>
      </c>
      <c r="JAF45" s="5">
        <f>-'5. IRR'!JAG16</f>
        <v>-0.0</v>
      </c>
      <c r="JAG45" s="5">
        <f>-'5. IRR'!JAH16</f>
        <v>-0.0</v>
      </c>
      <c r="JAH45" s="5">
        <f>-'5. IRR'!JAI16</f>
        <v>-0.0</v>
      </c>
      <c r="JAI45" s="5">
        <f>-'5. IRR'!JAJ16</f>
        <v>-0.0</v>
      </c>
      <c r="JAJ45" s="5">
        <f>-'5. IRR'!JAK16</f>
        <v>-0.0</v>
      </c>
      <c r="JAK45" s="5">
        <f>-'5. IRR'!JAL16</f>
        <v>-0.0</v>
      </c>
      <c r="JAL45" s="5">
        <f>-'5. IRR'!JAM16</f>
        <v>-0.0</v>
      </c>
      <c r="JAM45" s="5">
        <f>-'5. IRR'!JAN16</f>
        <v>-0.0</v>
      </c>
      <c r="JAN45" s="5">
        <f>-'5. IRR'!JAO16</f>
        <v>-0.0</v>
      </c>
      <c r="JAO45" s="5">
        <f>-'5. IRR'!JAP16</f>
        <v>-0.0</v>
      </c>
      <c r="JAP45" s="5">
        <f>-'5. IRR'!JAQ16</f>
        <v>-0.0</v>
      </c>
      <c r="JAQ45" s="5">
        <f>-'5. IRR'!JAR16</f>
        <v>-0.0</v>
      </c>
      <c r="JAR45" s="5">
        <f>-'5. IRR'!JAS16</f>
        <v>-0.0</v>
      </c>
      <c r="JAS45" s="5">
        <f>-'5. IRR'!JAT16</f>
        <v>-0.0</v>
      </c>
      <c r="JAT45" s="5">
        <f>-'5. IRR'!JAU16</f>
        <v>-0.0</v>
      </c>
      <c r="JAU45" s="5">
        <f>-'5. IRR'!JAV16</f>
        <v>-0.0</v>
      </c>
      <c r="JAV45" s="5">
        <f>-'5. IRR'!JAW16</f>
        <v>-0.0</v>
      </c>
      <c r="JAW45" s="5">
        <f>-'5. IRR'!JAX16</f>
        <v>-0.0</v>
      </c>
      <c r="JAX45" s="5">
        <f>-'5. IRR'!JAY16</f>
        <v>-0.0</v>
      </c>
      <c r="JAY45" s="5">
        <f>-'5. IRR'!JAZ16</f>
        <v>-0.0</v>
      </c>
      <c r="JAZ45" s="5">
        <f>-'5. IRR'!JBA16</f>
        <v>-0.0</v>
      </c>
      <c r="JBA45" s="5">
        <f>-'5. IRR'!JBB16</f>
        <v>-0.0</v>
      </c>
      <c r="JBB45" s="5">
        <f>-'5. IRR'!JBC16</f>
        <v>-0.0</v>
      </c>
      <c r="JBC45" s="5">
        <f>-'5. IRR'!JBD16</f>
        <v>-0.0</v>
      </c>
      <c r="JBD45" s="5">
        <f>-'5. IRR'!JBE16</f>
        <v>-0.0</v>
      </c>
      <c r="JBE45" s="5">
        <f>-'5. IRR'!JBF16</f>
        <v>-0.0</v>
      </c>
      <c r="JBF45" s="5">
        <f>-'5. IRR'!JBG16</f>
        <v>-0.0</v>
      </c>
      <c r="JBG45" s="5">
        <f>-'5. IRR'!JBH16</f>
        <v>-0.0</v>
      </c>
      <c r="JBH45" s="5">
        <f>-'5. IRR'!JBI16</f>
        <v>-0.0</v>
      </c>
      <c r="JBI45" s="5">
        <f>-'5. IRR'!JBJ16</f>
        <v>-0.0</v>
      </c>
      <c r="JBJ45" s="5">
        <f>-'5. IRR'!JBK16</f>
        <v>-0.0</v>
      </c>
      <c r="JBK45" s="5">
        <f>-'5. IRR'!JBL16</f>
        <v>-0.0</v>
      </c>
      <c r="JBL45" s="5">
        <f>-'5. IRR'!JBM16</f>
        <v>-0.0</v>
      </c>
      <c r="JBM45" s="5">
        <f>-'5. IRR'!JBN16</f>
        <v>-0.0</v>
      </c>
      <c r="JBN45" s="5">
        <f>-'5. IRR'!JBO16</f>
        <v>-0.0</v>
      </c>
      <c r="JBO45" s="5">
        <f>-'5. IRR'!JBP16</f>
        <v>-0.0</v>
      </c>
      <c r="JBP45" s="5">
        <f>-'5. IRR'!JBQ16</f>
        <v>-0.0</v>
      </c>
      <c r="JBQ45" s="5">
        <f>-'5. IRR'!JBR16</f>
        <v>-0.0</v>
      </c>
      <c r="JBR45" s="5">
        <f>-'5. IRR'!JBS16</f>
        <v>-0.0</v>
      </c>
      <c r="JBS45" s="5">
        <f>-'5. IRR'!JBT16</f>
        <v>-0.0</v>
      </c>
      <c r="JBT45" s="5">
        <f>-'5. IRR'!JBU16</f>
        <v>-0.0</v>
      </c>
      <c r="JBU45" s="5">
        <f>-'5. IRR'!JBV16</f>
        <v>-0.0</v>
      </c>
      <c r="JBV45" s="5">
        <f>-'5. IRR'!JBW16</f>
        <v>-0.0</v>
      </c>
      <c r="JBW45" s="5">
        <f>-'5. IRR'!JBX16</f>
        <v>-0.0</v>
      </c>
      <c r="JBX45" s="5">
        <f>-'5. IRR'!JBY16</f>
        <v>-0.0</v>
      </c>
      <c r="JBY45" s="5">
        <f>-'5. IRR'!JBZ16</f>
        <v>-0.0</v>
      </c>
      <c r="JBZ45" s="5">
        <f>-'5. IRR'!JCA16</f>
        <v>-0.0</v>
      </c>
      <c r="JCA45" s="5">
        <f>-'5. IRR'!JCB16</f>
        <v>-0.0</v>
      </c>
      <c r="JCB45" s="5">
        <f>-'5. IRR'!JCC16</f>
        <v>-0.0</v>
      </c>
      <c r="JCC45" s="5">
        <f>-'5. IRR'!JCD16</f>
        <v>-0.0</v>
      </c>
      <c r="JCD45" s="5">
        <f>-'5. IRR'!JCE16</f>
        <v>-0.0</v>
      </c>
      <c r="JCE45" s="5">
        <f>-'5. IRR'!JCF16</f>
        <v>-0.0</v>
      </c>
      <c r="JCF45" s="5">
        <f>-'5. IRR'!JCG16</f>
        <v>-0.0</v>
      </c>
      <c r="JCG45" s="5">
        <f>-'5. IRR'!JCH16</f>
        <v>-0.0</v>
      </c>
      <c r="JCH45" s="5">
        <f>-'5. IRR'!JCI16</f>
        <v>-0.0</v>
      </c>
      <c r="JCI45" s="5">
        <f>-'5. IRR'!JCJ16</f>
        <v>-0.0</v>
      </c>
      <c r="JCJ45" s="5">
        <f>-'5. IRR'!JCK16</f>
        <v>-0.0</v>
      </c>
      <c r="JCK45" s="5">
        <f>-'5. IRR'!JCL16</f>
        <v>-0.0</v>
      </c>
      <c r="JCL45" s="5">
        <f>-'5. IRR'!JCM16</f>
        <v>-0.0</v>
      </c>
      <c r="JCM45" s="5">
        <f>-'5. IRR'!JCN16</f>
        <v>-0.0</v>
      </c>
      <c r="JCN45" s="5">
        <f>-'5. IRR'!JCO16</f>
        <v>-0.0</v>
      </c>
      <c r="JCO45" s="5">
        <f>-'5. IRR'!JCP16</f>
        <v>-0.0</v>
      </c>
      <c r="JCP45" s="5">
        <f>-'5. IRR'!JCQ16</f>
        <v>-0.0</v>
      </c>
      <c r="JCQ45" s="5">
        <f>-'5. IRR'!JCR16</f>
        <v>-0.0</v>
      </c>
      <c r="JCR45" s="5">
        <f>-'5. IRR'!JCS16</f>
        <v>-0.0</v>
      </c>
      <c r="JCS45" s="5">
        <f>-'5. IRR'!JCT16</f>
        <v>-0.0</v>
      </c>
      <c r="JCT45" s="5">
        <f>-'5. IRR'!JCU16</f>
        <v>-0.0</v>
      </c>
      <c r="JCU45" s="5">
        <f>-'5. IRR'!JCV16</f>
        <v>-0.0</v>
      </c>
      <c r="JCV45" s="5">
        <f>-'5. IRR'!JCW16</f>
        <v>-0.0</v>
      </c>
      <c r="JCW45" s="5">
        <f>-'5. IRR'!JCX16</f>
        <v>-0.0</v>
      </c>
      <c r="JCX45" s="5">
        <f>-'5. IRR'!JCY16</f>
        <v>-0.0</v>
      </c>
      <c r="JCY45" s="5">
        <f>-'5. IRR'!JCZ16</f>
        <v>-0.0</v>
      </c>
      <c r="JCZ45" s="5">
        <f>-'5. IRR'!JDA16</f>
        <v>-0.0</v>
      </c>
      <c r="JDA45" s="5">
        <f>-'5. IRR'!JDB16</f>
        <v>-0.0</v>
      </c>
      <c r="JDB45" s="5">
        <f>-'5. IRR'!JDC16</f>
        <v>-0.0</v>
      </c>
      <c r="JDC45" s="5">
        <f>-'5. IRR'!JDD16</f>
        <v>-0.0</v>
      </c>
      <c r="JDD45" s="5">
        <f>-'5. IRR'!JDE16</f>
        <v>-0.0</v>
      </c>
      <c r="JDE45" s="5">
        <f>-'5. IRR'!JDF16</f>
        <v>-0.0</v>
      </c>
      <c r="JDF45" s="5">
        <f>-'5. IRR'!JDG16</f>
        <v>-0.0</v>
      </c>
      <c r="JDG45" s="5">
        <f>-'5. IRR'!JDH16</f>
        <v>-0.0</v>
      </c>
      <c r="JDH45" s="5">
        <f>-'5. IRR'!JDI16</f>
        <v>-0.0</v>
      </c>
      <c r="JDI45" s="5">
        <f>-'5. IRR'!JDJ16</f>
        <v>-0.0</v>
      </c>
      <c r="JDJ45" s="5">
        <f>-'5. IRR'!JDK16</f>
        <v>-0.0</v>
      </c>
      <c r="JDK45" s="5">
        <f>-'5. IRR'!JDL16</f>
        <v>-0.0</v>
      </c>
      <c r="JDL45" s="5">
        <f>-'5. IRR'!JDM16</f>
        <v>-0.0</v>
      </c>
      <c r="JDM45" s="5">
        <f>-'5. IRR'!JDN16</f>
        <v>-0.0</v>
      </c>
      <c r="JDN45" s="5">
        <f>-'5. IRR'!JDO16</f>
        <v>-0.0</v>
      </c>
      <c r="JDO45" s="5">
        <f>-'5. IRR'!JDP16</f>
        <v>-0.0</v>
      </c>
      <c r="JDP45" s="5">
        <f>-'5. IRR'!JDQ16</f>
        <v>-0.0</v>
      </c>
      <c r="JDQ45" s="5">
        <f>-'5. IRR'!JDR16</f>
        <v>-0.0</v>
      </c>
      <c r="JDR45" s="5">
        <f>-'5. IRR'!JDS16</f>
        <v>-0.0</v>
      </c>
      <c r="JDS45" s="5">
        <f>-'5. IRR'!JDT16</f>
        <v>-0.0</v>
      </c>
      <c r="JDT45" s="5">
        <f>-'5. IRR'!JDU16</f>
        <v>-0.0</v>
      </c>
      <c r="JDU45" s="5">
        <f>-'5. IRR'!JDV16</f>
        <v>-0.0</v>
      </c>
      <c r="JDV45" s="5">
        <f>-'5. IRR'!JDW16</f>
        <v>-0.0</v>
      </c>
      <c r="JDW45" s="5">
        <f>-'5. IRR'!JDX16</f>
        <v>-0.0</v>
      </c>
      <c r="JDX45" s="5">
        <f>-'5. IRR'!JDY16</f>
        <v>-0.0</v>
      </c>
      <c r="JDY45" s="5">
        <f>-'5. IRR'!JDZ16</f>
        <v>-0.0</v>
      </c>
      <c r="JDZ45" s="5">
        <f>-'5. IRR'!JEA16</f>
        <v>-0.0</v>
      </c>
      <c r="JEA45" s="5">
        <f>-'5. IRR'!JEB16</f>
        <v>-0.0</v>
      </c>
      <c r="JEB45" s="5">
        <f>-'5. IRR'!JEC16</f>
        <v>-0.0</v>
      </c>
      <c r="JEC45" s="5">
        <f>-'5. IRR'!JED16</f>
        <v>-0.0</v>
      </c>
      <c r="JED45" s="5">
        <f>-'5. IRR'!JEE16</f>
        <v>-0.0</v>
      </c>
      <c r="JEE45" s="5">
        <f>-'5. IRR'!JEF16</f>
        <v>-0.0</v>
      </c>
      <c r="JEF45" s="5">
        <f>-'5. IRR'!JEG16</f>
        <v>-0.0</v>
      </c>
      <c r="JEG45" s="5">
        <f>-'5. IRR'!JEH16</f>
        <v>-0.0</v>
      </c>
      <c r="JEH45" s="5">
        <f>-'5. IRR'!JEI16</f>
        <v>-0.0</v>
      </c>
      <c r="JEI45" s="5">
        <f>-'5. IRR'!JEJ16</f>
        <v>-0.0</v>
      </c>
      <c r="JEJ45" s="5">
        <f>-'5. IRR'!JEK16</f>
        <v>-0.0</v>
      </c>
      <c r="JEK45" s="5">
        <f>-'5. IRR'!JEL16</f>
        <v>-0.0</v>
      </c>
      <c r="JEL45" s="5">
        <f>-'5. IRR'!JEM16</f>
        <v>-0.0</v>
      </c>
      <c r="JEM45" s="5">
        <f>-'5. IRR'!JEN16</f>
        <v>-0.0</v>
      </c>
      <c r="JEN45" s="5">
        <f>-'5. IRR'!JEO16</f>
        <v>-0.0</v>
      </c>
      <c r="JEO45" s="5">
        <f>-'5. IRR'!JEP16</f>
        <v>-0.0</v>
      </c>
      <c r="JEP45" s="5">
        <f>-'5. IRR'!JEQ16</f>
        <v>-0.0</v>
      </c>
      <c r="JEQ45" s="5">
        <f>-'5. IRR'!JER16</f>
        <v>-0.0</v>
      </c>
      <c r="JER45" s="5">
        <f>-'5. IRR'!JES16</f>
        <v>-0.0</v>
      </c>
      <c r="JES45" s="5">
        <f>-'5. IRR'!JET16</f>
        <v>-0.0</v>
      </c>
      <c r="JET45" s="5">
        <f>-'5. IRR'!JEU16</f>
        <v>-0.0</v>
      </c>
      <c r="JEU45" s="5">
        <f>-'5. IRR'!JEV16</f>
        <v>-0.0</v>
      </c>
      <c r="JEV45" s="5">
        <f>-'5. IRR'!JEW16</f>
        <v>-0.0</v>
      </c>
      <c r="JEW45" s="5">
        <f>-'5. IRR'!JEX16</f>
        <v>-0.0</v>
      </c>
      <c r="JEX45" s="5">
        <f>-'5. IRR'!JEY16</f>
        <v>-0.0</v>
      </c>
      <c r="JEY45" s="5">
        <f>-'5. IRR'!JEZ16</f>
        <v>-0.0</v>
      </c>
      <c r="JEZ45" s="5">
        <f>-'5. IRR'!JFA16</f>
        <v>-0.0</v>
      </c>
      <c r="JFA45" s="5">
        <f>-'5. IRR'!JFB16</f>
        <v>-0.0</v>
      </c>
      <c r="JFB45" s="5">
        <f>-'5. IRR'!JFC16</f>
        <v>-0.0</v>
      </c>
      <c r="JFC45" s="5">
        <f>-'5. IRR'!JFD16</f>
        <v>-0.0</v>
      </c>
      <c r="JFD45" s="5">
        <f>-'5. IRR'!JFE16</f>
        <v>-0.0</v>
      </c>
      <c r="JFE45" s="5">
        <f>-'5. IRR'!JFF16</f>
        <v>-0.0</v>
      </c>
      <c r="JFF45" s="5">
        <f>-'5. IRR'!JFG16</f>
        <v>-0.0</v>
      </c>
      <c r="JFG45" s="5">
        <f>-'5. IRR'!JFH16</f>
        <v>-0.0</v>
      </c>
      <c r="JFH45" s="5">
        <f>-'5. IRR'!JFI16</f>
        <v>-0.0</v>
      </c>
      <c r="JFI45" s="5">
        <f>-'5. IRR'!JFJ16</f>
        <v>-0.0</v>
      </c>
      <c r="JFJ45" s="5">
        <f>-'5. IRR'!JFK16</f>
        <v>-0.0</v>
      </c>
      <c r="JFK45" s="5">
        <f>-'5. IRR'!JFL16</f>
        <v>-0.0</v>
      </c>
      <c r="JFL45" s="5">
        <f>-'5. IRR'!JFM16</f>
        <v>-0.0</v>
      </c>
      <c r="JFM45" s="5">
        <f>-'5. IRR'!JFN16</f>
        <v>-0.0</v>
      </c>
      <c r="JFN45" s="5">
        <f>-'5. IRR'!JFO16</f>
        <v>-0.0</v>
      </c>
      <c r="JFO45" s="5">
        <f>-'5. IRR'!JFP16</f>
        <v>-0.0</v>
      </c>
      <c r="JFP45" s="5">
        <f>-'5. IRR'!JFQ16</f>
        <v>-0.0</v>
      </c>
      <c r="JFQ45" s="5">
        <f>-'5. IRR'!JFR16</f>
        <v>-0.0</v>
      </c>
      <c r="JFR45" s="5">
        <f>-'5. IRR'!JFS16</f>
        <v>-0.0</v>
      </c>
      <c r="JFS45" s="5">
        <f>-'5. IRR'!JFT16</f>
        <v>-0.0</v>
      </c>
      <c r="JFT45" s="5">
        <f>-'5. IRR'!JFU16</f>
        <v>-0.0</v>
      </c>
      <c r="JFU45" s="5">
        <f>-'5. IRR'!JFV16</f>
        <v>-0.0</v>
      </c>
      <c r="JFV45" s="5">
        <f>-'5. IRR'!JFW16</f>
        <v>-0.0</v>
      </c>
      <c r="JFW45" s="5">
        <f>-'5. IRR'!JFX16</f>
        <v>-0.0</v>
      </c>
      <c r="JFX45" s="5">
        <f>-'5. IRR'!JFY16</f>
        <v>-0.0</v>
      </c>
      <c r="JFY45" s="5">
        <f>-'5. IRR'!JFZ16</f>
        <v>-0.0</v>
      </c>
      <c r="JFZ45" s="5">
        <f>-'5. IRR'!JGA16</f>
        <v>-0.0</v>
      </c>
      <c r="JGA45" s="5">
        <f>-'5. IRR'!JGB16</f>
        <v>-0.0</v>
      </c>
      <c r="JGB45" s="5">
        <f>-'5. IRR'!JGC16</f>
        <v>-0.0</v>
      </c>
      <c r="JGC45" s="5">
        <f>-'5. IRR'!JGD16</f>
        <v>-0.0</v>
      </c>
      <c r="JGD45" s="5">
        <f>-'5. IRR'!JGE16</f>
        <v>-0.0</v>
      </c>
      <c r="JGE45" s="5">
        <f>-'5. IRR'!JGF16</f>
        <v>-0.0</v>
      </c>
      <c r="JGF45" s="5">
        <f>-'5. IRR'!JGG16</f>
        <v>-0.0</v>
      </c>
      <c r="JGG45" s="5">
        <f>-'5. IRR'!JGH16</f>
        <v>-0.0</v>
      </c>
      <c r="JGH45" s="5">
        <f>-'5. IRR'!JGI16</f>
        <v>-0.0</v>
      </c>
      <c r="JGI45" s="5">
        <f>-'5. IRR'!JGJ16</f>
        <v>-0.0</v>
      </c>
      <c r="JGJ45" s="5">
        <f>-'5. IRR'!JGK16</f>
        <v>-0.0</v>
      </c>
      <c r="JGK45" s="5">
        <f>-'5. IRR'!JGL16</f>
        <v>-0.0</v>
      </c>
      <c r="JGL45" s="5">
        <f>-'5. IRR'!JGM16</f>
        <v>-0.0</v>
      </c>
      <c r="JGM45" s="5">
        <f>-'5. IRR'!JGN16</f>
        <v>-0.0</v>
      </c>
      <c r="JGN45" s="5">
        <f>-'5. IRR'!JGO16</f>
        <v>-0.0</v>
      </c>
      <c r="JGO45" s="5">
        <f>-'5. IRR'!JGP16</f>
        <v>-0.0</v>
      </c>
      <c r="JGP45" s="5">
        <f>-'5. IRR'!JGQ16</f>
        <v>-0.0</v>
      </c>
      <c r="JGQ45" s="5">
        <f>-'5. IRR'!JGR16</f>
        <v>-0.0</v>
      </c>
      <c r="JGR45" s="5">
        <f>-'5. IRR'!JGS16</f>
        <v>-0.0</v>
      </c>
      <c r="JGS45" s="5">
        <f>-'5. IRR'!JGT16</f>
        <v>-0.0</v>
      </c>
      <c r="JGT45" s="5">
        <f>-'5. IRR'!JGU16</f>
        <v>-0.0</v>
      </c>
      <c r="JGU45" s="5">
        <f>-'5. IRR'!JGV16</f>
        <v>-0.0</v>
      </c>
      <c r="JGV45" s="5">
        <f>-'5. IRR'!JGW16</f>
        <v>-0.0</v>
      </c>
      <c r="JGW45" s="5">
        <f>-'5. IRR'!JGX16</f>
        <v>-0.0</v>
      </c>
      <c r="JGX45" s="5">
        <f>-'5. IRR'!JGY16</f>
        <v>-0.0</v>
      </c>
      <c r="JGY45" s="5">
        <f>-'5. IRR'!JGZ16</f>
        <v>-0.0</v>
      </c>
      <c r="JGZ45" s="5">
        <f>-'5. IRR'!JHA16</f>
        <v>-0.0</v>
      </c>
      <c r="JHA45" s="5">
        <f>-'5. IRR'!JHB16</f>
        <v>-0.0</v>
      </c>
      <c r="JHB45" s="5">
        <f>-'5. IRR'!JHC16</f>
        <v>-0.0</v>
      </c>
      <c r="JHC45" s="5">
        <f>-'5. IRR'!JHD16</f>
        <v>-0.0</v>
      </c>
      <c r="JHD45" s="5">
        <f>-'5. IRR'!JHE16</f>
        <v>-0.0</v>
      </c>
      <c r="JHE45" s="5">
        <f>-'5. IRR'!JHF16</f>
        <v>-0.0</v>
      </c>
      <c r="JHF45" s="5">
        <f>-'5. IRR'!JHG16</f>
        <v>-0.0</v>
      </c>
      <c r="JHG45" s="5">
        <f>-'5. IRR'!JHH16</f>
        <v>-0.0</v>
      </c>
      <c r="JHH45" s="5">
        <f>-'5. IRR'!JHI16</f>
        <v>-0.0</v>
      </c>
      <c r="JHI45" s="5">
        <f>-'5. IRR'!JHJ16</f>
        <v>-0.0</v>
      </c>
      <c r="JHJ45" s="5">
        <f>-'5. IRR'!JHK16</f>
        <v>-0.0</v>
      </c>
      <c r="JHK45" s="5">
        <f>-'5. IRR'!JHL16</f>
        <v>-0.0</v>
      </c>
      <c r="JHL45" s="5">
        <f>-'5. IRR'!JHM16</f>
        <v>-0.0</v>
      </c>
      <c r="JHM45" s="5">
        <f>-'5. IRR'!JHN16</f>
        <v>-0.0</v>
      </c>
      <c r="JHN45" s="5">
        <f>-'5. IRR'!JHO16</f>
        <v>-0.0</v>
      </c>
      <c r="JHO45" s="5">
        <f>-'5. IRR'!JHP16</f>
        <v>-0.0</v>
      </c>
      <c r="JHP45" s="5">
        <f>-'5. IRR'!JHQ16</f>
        <v>-0.0</v>
      </c>
      <c r="JHQ45" s="5">
        <f>-'5. IRR'!JHR16</f>
        <v>-0.0</v>
      </c>
      <c r="JHR45" s="5">
        <f>-'5. IRR'!JHS16</f>
        <v>-0.0</v>
      </c>
      <c r="JHS45" s="5">
        <f>-'5. IRR'!JHT16</f>
        <v>-0.0</v>
      </c>
      <c r="JHT45" s="5">
        <f>-'5. IRR'!JHU16</f>
        <v>-0.0</v>
      </c>
      <c r="JHU45" s="5">
        <f>-'5. IRR'!JHV16</f>
        <v>-0.0</v>
      </c>
      <c r="JHV45" s="5">
        <f>-'5. IRR'!JHW16</f>
        <v>-0.0</v>
      </c>
      <c r="JHW45" s="5">
        <f>-'5. IRR'!JHX16</f>
        <v>-0.0</v>
      </c>
      <c r="JHX45" s="5">
        <f>-'5. IRR'!JHY16</f>
        <v>-0.0</v>
      </c>
      <c r="JHY45" s="5">
        <f>-'5. IRR'!JHZ16</f>
        <v>-0.0</v>
      </c>
      <c r="JHZ45" s="5">
        <f>-'5. IRR'!JIA16</f>
        <v>-0.0</v>
      </c>
      <c r="JIA45" s="5">
        <f>-'5. IRR'!JIB16</f>
        <v>-0.0</v>
      </c>
      <c r="JIB45" s="5">
        <f>-'5. IRR'!JIC16</f>
        <v>-0.0</v>
      </c>
      <c r="JIC45" s="5">
        <f>-'5. IRR'!JID16</f>
        <v>-0.0</v>
      </c>
      <c r="JID45" s="5">
        <f>-'5. IRR'!JIE16</f>
        <v>-0.0</v>
      </c>
      <c r="JIE45" s="5">
        <f>-'5. IRR'!JIF16</f>
        <v>-0.0</v>
      </c>
      <c r="JIF45" s="5">
        <f>-'5. IRR'!JIG16</f>
        <v>-0.0</v>
      </c>
      <c r="JIG45" s="5">
        <f>-'5. IRR'!JIH16</f>
        <v>-0.0</v>
      </c>
      <c r="JIH45" s="5">
        <f>-'5. IRR'!JII16</f>
        <v>-0.0</v>
      </c>
      <c r="JII45" s="5">
        <f>-'5. IRR'!JIJ16</f>
        <v>-0.0</v>
      </c>
      <c r="JIJ45" s="5">
        <f>-'5. IRR'!JIK16</f>
        <v>-0.0</v>
      </c>
      <c r="JIK45" s="5">
        <f>-'5. IRR'!JIL16</f>
        <v>-0.0</v>
      </c>
      <c r="JIL45" s="5">
        <f>-'5. IRR'!JIM16</f>
        <v>-0.0</v>
      </c>
      <c r="JIM45" s="5">
        <f>-'5. IRR'!JIN16</f>
        <v>-0.0</v>
      </c>
      <c r="JIN45" s="5">
        <f>-'5. IRR'!JIO16</f>
        <v>-0.0</v>
      </c>
      <c r="JIO45" s="5">
        <f>-'5. IRR'!JIP16</f>
        <v>-0.0</v>
      </c>
      <c r="JIP45" s="5">
        <f>-'5. IRR'!JIQ16</f>
        <v>-0.0</v>
      </c>
      <c r="JIQ45" s="5">
        <f>-'5. IRR'!JIR16</f>
        <v>-0.0</v>
      </c>
      <c r="JIR45" s="5">
        <f>-'5. IRR'!JIS16</f>
        <v>-0.0</v>
      </c>
      <c r="JIS45" s="5">
        <f>-'5. IRR'!JIT16</f>
        <v>-0.0</v>
      </c>
      <c r="JIT45" s="5">
        <f>-'5. IRR'!JIU16</f>
        <v>-0.0</v>
      </c>
      <c r="JIU45" s="5">
        <f>-'5. IRR'!JIV16</f>
        <v>-0.0</v>
      </c>
      <c r="JIV45" s="5">
        <f>-'5. IRR'!JIW16</f>
        <v>-0.0</v>
      </c>
      <c r="JIW45" s="5">
        <f>-'5. IRR'!JIX16</f>
        <v>-0.0</v>
      </c>
      <c r="JIX45" s="5">
        <f>-'5. IRR'!JIY16</f>
        <v>-0.0</v>
      </c>
      <c r="JIY45" s="5">
        <f>-'5. IRR'!JIZ16</f>
        <v>-0.0</v>
      </c>
      <c r="JIZ45" s="5">
        <f>-'5. IRR'!JJA16</f>
        <v>-0.0</v>
      </c>
      <c r="JJA45" s="5">
        <f>-'5. IRR'!JJB16</f>
        <v>-0.0</v>
      </c>
      <c r="JJB45" s="5">
        <f>-'5. IRR'!JJC16</f>
        <v>-0.0</v>
      </c>
      <c r="JJC45" s="5">
        <f>-'5. IRR'!JJD16</f>
        <v>-0.0</v>
      </c>
      <c r="JJD45" s="5">
        <f>-'5. IRR'!JJE16</f>
        <v>-0.0</v>
      </c>
      <c r="JJE45" s="5">
        <f>-'5. IRR'!JJF16</f>
        <v>-0.0</v>
      </c>
      <c r="JJF45" s="5">
        <f>-'5. IRR'!JJG16</f>
        <v>-0.0</v>
      </c>
      <c r="JJG45" s="5">
        <f>-'5. IRR'!JJH16</f>
        <v>-0.0</v>
      </c>
      <c r="JJH45" s="5">
        <f>-'5. IRR'!JJI16</f>
        <v>-0.0</v>
      </c>
      <c r="JJI45" s="5">
        <f>-'5. IRR'!JJJ16</f>
        <v>-0.0</v>
      </c>
      <c r="JJJ45" s="5">
        <f>-'5. IRR'!JJK16</f>
        <v>-0.0</v>
      </c>
      <c r="JJK45" s="5">
        <f>-'5. IRR'!JJL16</f>
        <v>-0.0</v>
      </c>
      <c r="JJL45" s="5">
        <f>-'5. IRR'!JJM16</f>
        <v>-0.0</v>
      </c>
      <c r="JJM45" s="5">
        <f>-'5. IRR'!JJN16</f>
        <v>-0.0</v>
      </c>
      <c r="JJN45" s="5">
        <f>-'5. IRR'!JJO16</f>
        <v>-0.0</v>
      </c>
      <c r="JJO45" s="5">
        <f>-'5. IRR'!JJP16</f>
        <v>-0.0</v>
      </c>
      <c r="JJP45" s="5">
        <f>-'5. IRR'!JJQ16</f>
        <v>-0.0</v>
      </c>
      <c r="JJQ45" s="5">
        <f>-'5. IRR'!JJR16</f>
        <v>-0.0</v>
      </c>
      <c r="JJR45" s="5">
        <f>-'5. IRR'!JJS16</f>
        <v>-0.0</v>
      </c>
      <c r="JJS45" s="5">
        <f>-'5. IRR'!JJT16</f>
        <v>-0.0</v>
      </c>
      <c r="JJT45" s="5">
        <f>-'5. IRR'!JJU16</f>
        <v>-0.0</v>
      </c>
      <c r="JJU45" s="5">
        <f>-'5. IRR'!JJV16</f>
        <v>-0.0</v>
      </c>
      <c r="JJV45" s="5">
        <f>-'5. IRR'!JJW16</f>
        <v>-0.0</v>
      </c>
      <c r="JJW45" s="5">
        <f>-'5. IRR'!JJX16</f>
        <v>-0.0</v>
      </c>
      <c r="JJX45" s="5">
        <f>-'5. IRR'!JJY16</f>
        <v>-0.0</v>
      </c>
      <c r="JJY45" s="5">
        <f>-'5. IRR'!JJZ16</f>
        <v>-0.0</v>
      </c>
      <c r="JJZ45" s="5">
        <f>-'5. IRR'!JKA16</f>
        <v>-0.0</v>
      </c>
      <c r="JKA45" s="5">
        <f>-'5. IRR'!JKB16</f>
        <v>-0.0</v>
      </c>
      <c r="JKB45" s="5">
        <f>-'5. IRR'!JKC16</f>
        <v>-0.0</v>
      </c>
      <c r="JKC45" s="5">
        <f>-'5. IRR'!JKD16</f>
        <v>-0.0</v>
      </c>
      <c r="JKD45" s="5">
        <f>-'5. IRR'!JKE16</f>
        <v>-0.0</v>
      </c>
      <c r="JKE45" s="5">
        <f>-'5. IRR'!JKF16</f>
        <v>-0.0</v>
      </c>
      <c r="JKF45" s="5">
        <f>-'5. IRR'!JKG16</f>
        <v>-0.0</v>
      </c>
      <c r="JKG45" s="5">
        <f>-'5. IRR'!JKH16</f>
        <v>-0.0</v>
      </c>
      <c r="JKH45" s="5">
        <f>-'5. IRR'!JKI16</f>
        <v>-0.0</v>
      </c>
      <c r="JKI45" s="5">
        <f>-'5. IRR'!JKJ16</f>
        <v>-0.0</v>
      </c>
      <c r="JKJ45" s="5">
        <f>-'5. IRR'!JKK16</f>
        <v>-0.0</v>
      </c>
      <c r="JKK45" s="5">
        <f>-'5. IRR'!JKL16</f>
        <v>-0.0</v>
      </c>
      <c r="JKL45" s="5">
        <f>-'5. IRR'!JKM16</f>
        <v>-0.0</v>
      </c>
      <c r="JKM45" s="5">
        <f>-'5. IRR'!JKN16</f>
        <v>-0.0</v>
      </c>
      <c r="JKN45" s="5">
        <f>-'5. IRR'!JKO16</f>
        <v>-0.0</v>
      </c>
      <c r="JKO45" s="5">
        <f>-'5. IRR'!JKP16</f>
        <v>-0.0</v>
      </c>
      <c r="JKP45" s="5">
        <f>-'5. IRR'!JKQ16</f>
        <v>-0.0</v>
      </c>
      <c r="JKQ45" s="5">
        <f>-'5. IRR'!JKR16</f>
        <v>-0.0</v>
      </c>
      <c r="JKR45" s="5">
        <f>-'5. IRR'!JKS16</f>
        <v>-0.0</v>
      </c>
      <c r="JKS45" s="5">
        <f>-'5. IRR'!JKT16</f>
        <v>-0.0</v>
      </c>
      <c r="JKT45" s="5">
        <f>-'5. IRR'!JKU16</f>
        <v>-0.0</v>
      </c>
      <c r="JKU45" s="5">
        <f>-'5. IRR'!JKV16</f>
        <v>-0.0</v>
      </c>
      <c r="JKV45" s="5">
        <f>-'5. IRR'!JKW16</f>
        <v>-0.0</v>
      </c>
      <c r="JKW45" s="5">
        <f>-'5. IRR'!JKX16</f>
        <v>-0.0</v>
      </c>
      <c r="JKX45" s="5">
        <f>-'5. IRR'!JKY16</f>
        <v>-0.0</v>
      </c>
      <c r="JKY45" s="5">
        <f>-'5. IRR'!JKZ16</f>
        <v>-0.0</v>
      </c>
      <c r="JKZ45" s="5">
        <f>-'5. IRR'!JLA16</f>
        <v>-0.0</v>
      </c>
      <c r="JLA45" s="5">
        <f>-'5. IRR'!JLB16</f>
        <v>-0.0</v>
      </c>
      <c r="JLB45" s="5">
        <f>-'5. IRR'!JLC16</f>
        <v>-0.0</v>
      </c>
      <c r="JLC45" s="5">
        <f>-'5. IRR'!JLD16</f>
        <v>-0.0</v>
      </c>
      <c r="JLD45" s="5">
        <f>-'5. IRR'!JLE16</f>
        <v>-0.0</v>
      </c>
      <c r="JLE45" s="5">
        <f>-'5. IRR'!JLF16</f>
        <v>-0.0</v>
      </c>
      <c r="JLF45" s="5">
        <f>-'5. IRR'!JLG16</f>
        <v>-0.0</v>
      </c>
      <c r="JLG45" s="5">
        <f>-'5. IRR'!JLH16</f>
        <v>-0.0</v>
      </c>
      <c r="JLH45" s="5">
        <f>-'5. IRR'!JLI16</f>
        <v>-0.0</v>
      </c>
      <c r="JLI45" s="5">
        <f>-'5. IRR'!JLJ16</f>
        <v>-0.0</v>
      </c>
      <c r="JLJ45" s="5">
        <f>-'5. IRR'!JLK16</f>
        <v>-0.0</v>
      </c>
      <c r="JLK45" s="5">
        <f>-'5. IRR'!JLL16</f>
        <v>-0.0</v>
      </c>
      <c r="JLL45" s="5">
        <f>-'5. IRR'!JLM16</f>
        <v>-0.0</v>
      </c>
      <c r="JLM45" s="5">
        <f>-'5. IRR'!JLN16</f>
        <v>-0.0</v>
      </c>
      <c r="JLN45" s="5">
        <f>-'5. IRR'!JLO16</f>
        <v>-0.0</v>
      </c>
      <c r="JLO45" s="5">
        <f>-'5. IRR'!JLP16</f>
        <v>-0.0</v>
      </c>
      <c r="JLP45" s="5">
        <f>-'5. IRR'!JLQ16</f>
        <v>-0.0</v>
      </c>
      <c r="JLQ45" s="5">
        <f>-'5. IRR'!JLR16</f>
        <v>-0.0</v>
      </c>
      <c r="JLR45" s="5">
        <f>-'5. IRR'!JLS16</f>
        <v>-0.0</v>
      </c>
      <c r="JLS45" s="5">
        <f>-'5. IRR'!JLT16</f>
        <v>-0.0</v>
      </c>
      <c r="JLT45" s="5">
        <f>-'5. IRR'!JLU16</f>
        <v>-0.0</v>
      </c>
      <c r="JLU45" s="5">
        <f>-'5. IRR'!JLV16</f>
        <v>-0.0</v>
      </c>
      <c r="JLV45" s="5">
        <f>-'5. IRR'!JLW16</f>
        <v>-0.0</v>
      </c>
      <c r="JLW45" s="5">
        <f>-'5. IRR'!JLX16</f>
        <v>-0.0</v>
      </c>
      <c r="JLX45" s="5">
        <f>-'5. IRR'!JLY16</f>
        <v>-0.0</v>
      </c>
      <c r="JLY45" s="5">
        <f>-'5. IRR'!JLZ16</f>
        <v>-0.0</v>
      </c>
      <c r="JLZ45" s="5">
        <f>-'5. IRR'!JMA16</f>
        <v>-0.0</v>
      </c>
      <c r="JMA45" s="5">
        <f>-'5. IRR'!JMB16</f>
        <v>-0.0</v>
      </c>
      <c r="JMB45" s="5">
        <f>-'5. IRR'!JMC16</f>
        <v>-0.0</v>
      </c>
      <c r="JMC45" s="5">
        <f>-'5. IRR'!JMD16</f>
        <v>-0.0</v>
      </c>
      <c r="JMD45" s="5">
        <f>-'5. IRR'!JME16</f>
        <v>-0.0</v>
      </c>
      <c r="JME45" s="5">
        <f>-'5. IRR'!JMF16</f>
        <v>-0.0</v>
      </c>
      <c r="JMF45" s="5">
        <f>-'5. IRR'!JMG16</f>
        <v>-0.0</v>
      </c>
      <c r="JMG45" s="5">
        <f>-'5. IRR'!JMH16</f>
        <v>-0.0</v>
      </c>
      <c r="JMH45" s="5">
        <f>-'5. IRR'!JMI16</f>
        <v>-0.0</v>
      </c>
      <c r="JMI45" s="5">
        <f>-'5. IRR'!JMJ16</f>
        <v>-0.0</v>
      </c>
      <c r="JMJ45" s="5">
        <f>-'5. IRR'!JMK16</f>
        <v>-0.0</v>
      </c>
      <c r="JMK45" s="5">
        <f>-'5. IRR'!JML16</f>
        <v>-0.0</v>
      </c>
      <c r="JML45" s="5">
        <f>-'5. IRR'!JMM16</f>
        <v>-0.0</v>
      </c>
      <c r="JMM45" s="5">
        <f>-'5. IRR'!JMN16</f>
        <v>-0.0</v>
      </c>
      <c r="JMN45" s="5">
        <f>-'5. IRR'!JMO16</f>
        <v>-0.0</v>
      </c>
      <c r="JMO45" s="5">
        <f>-'5. IRR'!JMP16</f>
        <v>-0.0</v>
      </c>
      <c r="JMP45" s="5">
        <f>-'5. IRR'!JMQ16</f>
        <v>-0.0</v>
      </c>
      <c r="JMQ45" s="5">
        <f>-'5. IRR'!JMR16</f>
        <v>-0.0</v>
      </c>
      <c r="JMR45" s="5">
        <f>-'5. IRR'!JMS16</f>
        <v>-0.0</v>
      </c>
      <c r="JMS45" s="5">
        <f>-'5. IRR'!JMT16</f>
        <v>-0.0</v>
      </c>
      <c r="JMT45" s="5">
        <f>-'5. IRR'!JMU16</f>
        <v>-0.0</v>
      </c>
      <c r="JMU45" s="5">
        <f>-'5. IRR'!JMV16</f>
        <v>-0.0</v>
      </c>
      <c r="JMV45" s="5">
        <f>-'5. IRR'!JMW16</f>
        <v>-0.0</v>
      </c>
      <c r="JMW45" s="5">
        <f>-'5. IRR'!JMX16</f>
        <v>-0.0</v>
      </c>
      <c r="JMX45" s="5">
        <f>-'5. IRR'!JMY16</f>
        <v>-0.0</v>
      </c>
      <c r="JMY45" s="5">
        <f>-'5. IRR'!JMZ16</f>
        <v>-0.0</v>
      </c>
      <c r="JMZ45" s="5">
        <f>-'5. IRR'!JNA16</f>
        <v>-0.0</v>
      </c>
      <c r="JNA45" s="5">
        <f>-'5. IRR'!JNB16</f>
        <v>-0.0</v>
      </c>
      <c r="JNB45" s="5">
        <f>-'5. IRR'!JNC16</f>
        <v>-0.0</v>
      </c>
      <c r="JNC45" s="5">
        <f>-'5. IRR'!JND16</f>
        <v>-0.0</v>
      </c>
      <c r="JND45" s="5">
        <f>-'5. IRR'!JNE16</f>
        <v>-0.0</v>
      </c>
      <c r="JNE45" s="5">
        <f>-'5. IRR'!JNF16</f>
        <v>-0.0</v>
      </c>
      <c r="JNF45" s="5">
        <f>-'5. IRR'!JNG16</f>
        <v>-0.0</v>
      </c>
      <c r="JNG45" s="5">
        <f>-'5. IRR'!JNH16</f>
        <v>-0.0</v>
      </c>
      <c r="JNH45" s="5">
        <f>-'5. IRR'!JNI16</f>
        <v>-0.0</v>
      </c>
      <c r="JNI45" s="5">
        <f>-'5. IRR'!JNJ16</f>
        <v>-0.0</v>
      </c>
      <c r="JNJ45" s="5">
        <f>-'5. IRR'!JNK16</f>
        <v>-0.0</v>
      </c>
      <c r="JNK45" s="5">
        <f>-'5. IRR'!JNL16</f>
        <v>-0.0</v>
      </c>
      <c r="JNL45" s="5">
        <f>-'5. IRR'!JNM16</f>
        <v>-0.0</v>
      </c>
      <c r="JNM45" s="5">
        <f>-'5. IRR'!JNN16</f>
        <v>-0.0</v>
      </c>
      <c r="JNN45" s="5">
        <f>-'5. IRR'!JNO16</f>
        <v>-0.0</v>
      </c>
      <c r="JNO45" s="5">
        <f>-'5. IRR'!JNP16</f>
        <v>-0.0</v>
      </c>
      <c r="JNP45" s="5">
        <f>-'5. IRR'!JNQ16</f>
        <v>-0.0</v>
      </c>
      <c r="JNQ45" s="5">
        <f>-'5. IRR'!JNR16</f>
        <v>-0.0</v>
      </c>
      <c r="JNR45" s="5">
        <f>-'5. IRR'!JNS16</f>
        <v>-0.0</v>
      </c>
      <c r="JNS45" s="5">
        <f>-'5. IRR'!JNT16</f>
        <v>-0.0</v>
      </c>
      <c r="JNT45" s="5">
        <f>-'5. IRR'!JNU16</f>
        <v>-0.0</v>
      </c>
      <c r="JNU45" s="5">
        <f>-'5. IRR'!JNV16</f>
        <v>-0.0</v>
      </c>
      <c r="JNV45" s="5">
        <f>-'5. IRR'!JNW16</f>
        <v>-0.0</v>
      </c>
      <c r="JNW45" s="5">
        <f>-'5. IRR'!JNX16</f>
        <v>-0.0</v>
      </c>
      <c r="JNX45" s="5">
        <f>-'5. IRR'!JNY16</f>
        <v>-0.0</v>
      </c>
      <c r="JNY45" s="5">
        <f>-'5. IRR'!JNZ16</f>
        <v>-0.0</v>
      </c>
      <c r="JNZ45" s="5">
        <f>-'5. IRR'!JOA16</f>
        <v>-0.0</v>
      </c>
      <c r="JOA45" s="5">
        <f>-'5. IRR'!JOB16</f>
        <v>-0.0</v>
      </c>
      <c r="JOB45" s="5">
        <f>-'5. IRR'!JOC16</f>
        <v>-0.0</v>
      </c>
      <c r="JOC45" s="5">
        <f>-'5. IRR'!JOD16</f>
        <v>-0.0</v>
      </c>
      <c r="JOD45" s="5">
        <f>-'5. IRR'!JOE16</f>
        <v>-0.0</v>
      </c>
      <c r="JOE45" s="5">
        <f>-'5. IRR'!JOF16</f>
        <v>-0.0</v>
      </c>
      <c r="JOF45" s="5">
        <f>-'5. IRR'!JOG16</f>
        <v>-0.0</v>
      </c>
      <c r="JOG45" s="5">
        <f>-'5. IRR'!JOH16</f>
        <v>-0.0</v>
      </c>
      <c r="JOH45" s="5">
        <f>-'5. IRR'!JOI16</f>
        <v>-0.0</v>
      </c>
      <c r="JOI45" s="5">
        <f>-'5. IRR'!JOJ16</f>
        <v>-0.0</v>
      </c>
      <c r="JOJ45" s="5">
        <f>-'5. IRR'!JOK16</f>
        <v>-0.0</v>
      </c>
      <c r="JOK45" s="5">
        <f>-'5. IRR'!JOL16</f>
        <v>-0.0</v>
      </c>
      <c r="JOL45" s="5">
        <f>-'5. IRR'!JOM16</f>
        <v>-0.0</v>
      </c>
      <c r="JOM45" s="5">
        <f>-'5. IRR'!JON16</f>
        <v>-0.0</v>
      </c>
      <c r="JON45" s="5">
        <f>-'5. IRR'!JOO16</f>
        <v>-0.0</v>
      </c>
      <c r="JOO45" s="5">
        <f>-'5. IRR'!JOP16</f>
        <v>-0.0</v>
      </c>
      <c r="JOP45" s="5">
        <f>-'5. IRR'!JOQ16</f>
        <v>-0.0</v>
      </c>
      <c r="JOQ45" s="5">
        <f>-'5. IRR'!JOR16</f>
        <v>-0.0</v>
      </c>
      <c r="JOR45" s="5">
        <f>-'5. IRR'!JOS16</f>
        <v>-0.0</v>
      </c>
      <c r="JOS45" s="5">
        <f>-'5. IRR'!JOT16</f>
        <v>-0.0</v>
      </c>
      <c r="JOT45" s="5">
        <f>-'5. IRR'!JOU16</f>
        <v>-0.0</v>
      </c>
      <c r="JOU45" s="5">
        <f>-'5. IRR'!JOV16</f>
        <v>-0.0</v>
      </c>
      <c r="JOV45" s="5">
        <f>-'5. IRR'!JOW16</f>
        <v>-0.0</v>
      </c>
      <c r="JOW45" s="5">
        <f>-'5. IRR'!JOX16</f>
        <v>-0.0</v>
      </c>
      <c r="JOX45" s="5">
        <f>-'5. IRR'!JOY16</f>
        <v>-0.0</v>
      </c>
      <c r="JOY45" s="5">
        <f>-'5. IRR'!JOZ16</f>
        <v>-0.0</v>
      </c>
      <c r="JOZ45" s="5">
        <f>-'5. IRR'!JPA16</f>
        <v>-0.0</v>
      </c>
      <c r="JPA45" s="5">
        <f>-'5. IRR'!JPB16</f>
        <v>-0.0</v>
      </c>
      <c r="JPB45" s="5">
        <f>-'5. IRR'!JPC16</f>
        <v>-0.0</v>
      </c>
      <c r="JPC45" s="5">
        <f>-'5. IRR'!JPD16</f>
        <v>-0.0</v>
      </c>
      <c r="JPD45" s="5">
        <f>-'5. IRR'!JPE16</f>
        <v>-0.0</v>
      </c>
      <c r="JPE45" s="5">
        <f>-'5. IRR'!JPF16</f>
        <v>-0.0</v>
      </c>
      <c r="JPF45" s="5">
        <f>-'5. IRR'!JPG16</f>
        <v>-0.0</v>
      </c>
      <c r="JPG45" s="5">
        <f>-'5. IRR'!JPH16</f>
        <v>-0.0</v>
      </c>
      <c r="JPH45" s="5">
        <f>-'5. IRR'!JPI16</f>
        <v>-0.0</v>
      </c>
      <c r="JPI45" s="5">
        <f>-'5. IRR'!JPJ16</f>
        <v>-0.0</v>
      </c>
      <c r="JPJ45" s="5">
        <f>-'5. IRR'!JPK16</f>
        <v>-0.0</v>
      </c>
      <c r="JPK45" s="5">
        <f>-'5. IRR'!JPL16</f>
        <v>-0.0</v>
      </c>
      <c r="JPL45" s="5">
        <f>-'5. IRR'!JPM16</f>
        <v>-0.0</v>
      </c>
      <c r="JPM45" s="5">
        <f>-'5. IRR'!JPN16</f>
        <v>-0.0</v>
      </c>
      <c r="JPN45" s="5">
        <f>-'5. IRR'!JPO16</f>
        <v>-0.0</v>
      </c>
      <c r="JPO45" s="5">
        <f>-'5. IRR'!JPP16</f>
        <v>-0.0</v>
      </c>
      <c r="JPP45" s="5">
        <f>-'5. IRR'!JPQ16</f>
        <v>-0.0</v>
      </c>
      <c r="JPQ45" s="5">
        <f>-'5. IRR'!JPR16</f>
        <v>-0.0</v>
      </c>
      <c r="JPR45" s="5">
        <f>-'5. IRR'!JPS16</f>
        <v>-0.0</v>
      </c>
      <c r="JPS45" s="5">
        <f>-'5. IRR'!JPT16</f>
        <v>-0.0</v>
      </c>
      <c r="JPT45" s="5">
        <f>-'5. IRR'!JPU16</f>
        <v>-0.0</v>
      </c>
      <c r="JPU45" s="5">
        <f>-'5. IRR'!JPV16</f>
        <v>-0.0</v>
      </c>
      <c r="JPV45" s="5">
        <f>-'5. IRR'!JPW16</f>
        <v>-0.0</v>
      </c>
      <c r="JPW45" s="5">
        <f>-'5. IRR'!JPX16</f>
        <v>-0.0</v>
      </c>
      <c r="JPX45" s="5">
        <f>-'5. IRR'!JPY16</f>
        <v>-0.0</v>
      </c>
      <c r="JPY45" s="5">
        <f>-'5. IRR'!JPZ16</f>
        <v>-0.0</v>
      </c>
      <c r="JPZ45" s="5">
        <f>-'5. IRR'!JQA16</f>
        <v>-0.0</v>
      </c>
      <c r="JQA45" s="5">
        <f>-'5. IRR'!JQB16</f>
        <v>-0.0</v>
      </c>
      <c r="JQB45" s="5">
        <f>-'5. IRR'!JQC16</f>
        <v>-0.0</v>
      </c>
      <c r="JQC45" s="5">
        <f>-'5. IRR'!JQD16</f>
        <v>-0.0</v>
      </c>
      <c r="JQD45" s="5">
        <f>-'5. IRR'!JQE16</f>
        <v>-0.0</v>
      </c>
      <c r="JQE45" s="5">
        <f>-'5. IRR'!JQF16</f>
        <v>-0.0</v>
      </c>
      <c r="JQF45" s="5">
        <f>-'5. IRR'!JQG16</f>
        <v>-0.0</v>
      </c>
      <c r="JQG45" s="5">
        <f>-'5. IRR'!JQH16</f>
        <v>-0.0</v>
      </c>
      <c r="JQH45" s="5">
        <f>-'5. IRR'!JQI16</f>
        <v>-0.0</v>
      </c>
      <c r="JQI45" s="5">
        <f>-'5. IRR'!JQJ16</f>
        <v>-0.0</v>
      </c>
      <c r="JQJ45" s="5">
        <f>-'5. IRR'!JQK16</f>
        <v>-0.0</v>
      </c>
      <c r="JQK45" s="5">
        <f>-'5. IRR'!JQL16</f>
        <v>-0.0</v>
      </c>
      <c r="JQL45" s="5">
        <f>-'5. IRR'!JQM16</f>
        <v>-0.0</v>
      </c>
      <c r="JQM45" s="5">
        <f>-'5. IRR'!JQN16</f>
        <v>-0.0</v>
      </c>
      <c r="JQN45" s="5">
        <f>-'5. IRR'!JQO16</f>
        <v>-0.0</v>
      </c>
      <c r="JQO45" s="5">
        <f>-'5. IRR'!JQP16</f>
        <v>-0.0</v>
      </c>
      <c r="JQP45" s="5">
        <f>-'5. IRR'!JQQ16</f>
        <v>-0.0</v>
      </c>
      <c r="JQQ45" s="5">
        <f>-'5. IRR'!JQR16</f>
        <v>-0.0</v>
      </c>
      <c r="JQR45" s="5">
        <f>-'5. IRR'!JQS16</f>
        <v>-0.0</v>
      </c>
      <c r="JQS45" s="5">
        <f>-'5. IRR'!JQT16</f>
        <v>-0.0</v>
      </c>
      <c r="JQT45" s="5">
        <f>-'5. IRR'!JQU16</f>
        <v>-0.0</v>
      </c>
      <c r="JQU45" s="5">
        <f>-'5. IRR'!JQV16</f>
        <v>-0.0</v>
      </c>
      <c r="JQV45" s="5">
        <f>-'5. IRR'!JQW16</f>
        <v>-0.0</v>
      </c>
      <c r="JQW45" s="5">
        <f>-'5. IRR'!JQX16</f>
        <v>-0.0</v>
      </c>
      <c r="JQX45" s="5">
        <f>-'5. IRR'!JQY16</f>
        <v>-0.0</v>
      </c>
      <c r="JQY45" s="5">
        <f>-'5. IRR'!JQZ16</f>
        <v>-0.0</v>
      </c>
      <c r="JQZ45" s="5">
        <f>-'5. IRR'!JRA16</f>
        <v>-0.0</v>
      </c>
      <c r="JRA45" s="5">
        <f>-'5. IRR'!JRB16</f>
        <v>-0.0</v>
      </c>
      <c r="JRB45" s="5">
        <f>-'5. IRR'!JRC16</f>
        <v>-0.0</v>
      </c>
      <c r="JRC45" s="5">
        <f>-'5. IRR'!JRD16</f>
        <v>-0.0</v>
      </c>
      <c r="JRD45" s="5">
        <f>-'5. IRR'!JRE16</f>
        <v>-0.0</v>
      </c>
      <c r="JRE45" s="5">
        <f>-'5. IRR'!JRF16</f>
        <v>-0.0</v>
      </c>
      <c r="JRF45" s="5">
        <f>-'5. IRR'!JRG16</f>
        <v>-0.0</v>
      </c>
      <c r="JRG45" s="5">
        <f>-'5. IRR'!JRH16</f>
        <v>-0.0</v>
      </c>
      <c r="JRH45" s="5">
        <f>-'5. IRR'!JRI16</f>
        <v>-0.0</v>
      </c>
      <c r="JRI45" s="5">
        <f>-'5. IRR'!JRJ16</f>
        <v>-0.0</v>
      </c>
      <c r="JRJ45" s="5">
        <f>-'5. IRR'!JRK16</f>
        <v>-0.0</v>
      </c>
      <c r="JRK45" s="5">
        <f>-'5. IRR'!JRL16</f>
        <v>-0.0</v>
      </c>
      <c r="JRL45" s="5">
        <f>-'5. IRR'!JRM16</f>
        <v>-0.0</v>
      </c>
      <c r="JRM45" s="5">
        <f>-'5. IRR'!JRN16</f>
        <v>-0.0</v>
      </c>
      <c r="JRN45" s="5">
        <f>-'5. IRR'!JRO16</f>
        <v>-0.0</v>
      </c>
      <c r="JRO45" s="5">
        <f>-'5. IRR'!JRP16</f>
        <v>-0.0</v>
      </c>
      <c r="JRP45" s="5">
        <f>-'5. IRR'!JRQ16</f>
        <v>-0.0</v>
      </c>
      <c r="JRQ45" s="5">
        <f>-'5. IRR'!JRR16</f>
        <v>-0.0</v>
      </c>
      <c r="JRR45" s="5">
        <f>-'5. IRR'!JRS16</f>
        <v>-0.0</v>
      </c>
      <c r="JRS45" s="5">
        <f>-'5. IRR'!JRT16</f>
        <v>-0.0</v>
      </c>
      <c r="JRT45" s="5">
        <f>-'5. IRR'!JRU16</f>
        <v>-0.0</v>
      </c>
      <c r="JRU45" s="5">
        <f>-'5. IRR'!JRV16</f>
        <v>-0.0</v>
      </c>
      <c r="JRV45" s="5">
        <f>-'5. IRR'!JRW16</f>
        <v>-0.0</v>
      </c>
      <c r="JRW45" s="5">
        <f>-'5. IRR'!JRX16</f>
        <v>-0.0</v>
      </c>
      <c r="JRX45" s="5">
        <f>-'5. IRR'!JRY16</f>
        <v>-0.0</v>
      </c>
      <c r="JRY45" s="5">
        <f>-'5. IRR'!JRZ16</f>
        <v>-0.0</v>
      </c>
      <c r="JRZ45" s="5">
        <f>-'5. IRR'!JSA16</f>
        <v>-0.0</v>
      </c>
      <c r="JSA45" s="5">
        <f>-'5. IRR'!JSB16</f>
        <v>-0.0</v>
      </c>
      <c r="JSB45" s="5">
        <f>-'5. IRR'!JSC16</f>
        <v>-0.0</v>
      </c>
      <c r="JSC45" s="5">
        <f>-'5. IRR'!JSD16</f>
        <v>-0.0</v>
      </c>
      <c r="JSD45" s="5">
        <f>-'5. IRR'!JSE16</f>
        <v>-0.0</v>
      </c>
      <c r="JSE45" s="5">
        <f>-'5. IRR'!JSF16</f>
        <v>-0.0</v>
      </c>
      <c r="JSF45" s="5">
        <f>-'5. IRR'!JSG16</f>
        <v>-0.0</v>
      </c>
      <c r="JSG45" s="5">
        <f>-'5. IRR'!JSH16</f>
        <v>-0.0</v>
      </c>
      <c r="JSH45" s="5">
        <f>-'5. IRR'!JSI16</f>
        <v>-0.0</v>
      </c>
      <c r="JSI45" s="5">
        <f>-'5. IRR'!JSJ16</f>
        <v>-0.0</v>
      </c>
      <c r="JSJ45" s="5">
        <f>-'5. IRR'!JSK16</f>
        <v>-0.0</v>
      </c>
      <c r="JSK45" s="5">
        <f>-'5. IRR'!JSL16</f>
        <v>-0.0</v>
      </c>
      <c r="JSL45" s="5">
        <f>-'5. IRR'!JSM16</f>
        <v>-0.0</v>
      </c>
      <c r="JSM45" s="5">
        <f>-'5. IRR'!JSN16</f>
        <v>-0.0</v>
      </c>
      <c r="JSN45" s="5">
        <f>-'5. IRR'!JSO16</f>
        <v>-0.0</v>
      </c>
      <c r="JSO45" s="5">
        <f>-'5. IRR'!JSP16</f>
        <v>-0.0</v>
      </c>
      <c r="JSP45" s="5">
        <f>-'5. IRR'!JSQ16</f>
        <v>-0.0</v>
      </c>
      <c r="JSQ45" s="5">
        <f>-'5. IRR'!JSR16</f>
        <v>-0.0</v>
      </c>
      <c r="JSR45" s="5">
        <f>-'5. IRR'!JSS16</f>
        <v>-0.0</v>
      </c>
      <c r="JSS45" s="5">
        <f>-'5. IRR'!JST16</f>
        <v>-0.0</v>
      </c>
      <c r="JST45" s="5">
        <f>-'5. IRR'!JSU16</f>
        <v>-0.0</v>
      </c>
      <c r="JSU45" s="5">
        <f>-'5. IRR'!JSV16</f>
        <v>-0.0</v>
      </c>
      <c r="JSV45" s="5">
        <f>-'5. IRR'!JSW16</f>
        <v>-0.0</v>
      </c>
      <c r="JSW45" s="5">
        <f>-'5. IRR'!JSX16</f>
        <v>-0.0</v>
      </c>
      <c r="JSX45" s="5">
        <f>-'5. IRR'!JSY16</f>
        <v>-0.0</v>
      </c>
      <c r="JSY45" s="5">
        <f>-'5. IRR'!JSZ16</f>
        <v>-0.0</v>
      </c>
      <c r="JSZ45" s="5">
        <f>-'5. IRR'!JTA16</f>
        <v>-0.0</v>
      </c>
      <c r="JTA45" s="5">
        <f>-'5. IRR'!JTB16</f>
        <v>-0.0</v>
      </c>
      <c r="JTB45" s="5">
        <f>-'5. IRR'!JTC16</f>
        <v>-0.0</v>
      </c>
      <c r="JTC45" s="5">
        <f>-'5. IRR'!JTD16</f>
        <v>-0.0</v>
      </c>
      <c r="JTD45" s="5">
        <f>-'5. IRR'!JTE16</f>
        <v>-0.0</v>
      </c>
      <c r="JTE45" s="5">
        <f>-'5. IRR'!JTF16</f>
        <v>-0.0</v>
      </c>
      <c r="JTF45" s="5">
        <f>-'5. IRR'!JTG16</f>
        <v>-0.0</v>
      </c>
      <c r="JTG45" s="5">
        <f>-'5. IRR'!JTH16</f>
        <v>-0.0</v>
      </c>
      <c r="JTH45" s="5">
        <f>-'5. IRR'!JTI16</f>
        <v>-0.0</v>
      </c>
      <c r="JTI45" s="5">
        <f>-'5. IRR'!JTJ16</f>
        <v>-0.0</v>
      </c>
      <c r="JTJ45" s="5">
        <f>-'5. IRR'!JTK16</f>
        <v>-0.0</v>
      </c>
      <c r="JTK45" s="5">
        <f>-'5. IRR'!JTL16</f>
        <v>-0.0</v>
      </c>
      <c r="JTL45" s="5">
        <f>-'5. IRR'!JTM16</f>
        <v>-0.0</v>
      </c>
      <c r="JTM45" s="5">
        <f>-'5. IRR'!JTN16</f>
        <v>-0.0</v>
      </c>
      <c r="JTN45" s="5">
        <f>-'5. IRR'!JTO16</f>
        <v>-0.0</v>
      </c>
      <c r="JTO45" s="5">
        <f>-'5. IRR'!JTP16</f>
        <v>-0.0</v>
      </c>
      <c r="JTP45" s="5">
        <f>-'5. IRR'!JTQ16</f>
        <v>-0.0</v>
      </c>
      <c r="JTQ45" s="5">
        <f>-'5. IRR'!JTR16</f>
        <v>-0.0</v>
      </c>
      <c r="JTR45" s="5">
        <f>-'5. IRR'!JTS16</f>
        <v>-0.0</v>
      </c>
      <c r="JTS45" s="5">
        <f>-'5. IRR'!JTT16</f>
        <v>-0.0</v>
      </c>
      <c r="JTT45" s="5">
        <f>-'5. IRR'!JTU16</f>
        <v>-0.0</v>
      </c>
      <c r="JTU45" s="5">
        <f>-'5. IRR'!JTV16</f>
        <v>-0.0</v>
      </c>
      <c r="JTV45" s="5">
        <f>-'5. IRR'!JTW16</f>
        <v>-0.0</v>
      </c>
      <c r="JTW45" s="5">
        <f>-'5. IRR'!JTX16</f>
        <v>-0.0</v>
      </c>
      <c r="JTX45" s="5">
        <f>-'5. IRR'!JTY16</f>
        <v>-0.0</v>
      </c>
      <c r="JTY45" s="5">
        <f>-'5. IRR'!JTZ16</f>
        <v>-0.0</v>
      </c>
      <c r="JTZ45" s="5">
        <f>-'5. IRR'!JUA16</f>
        <v>-0.0</v>
      </c>
      <c r="JUA45" s="5">
        <f>-'5. IRR'!JUB16</f>
        <v>-0.0</v>
      </c>
      <c r="JUB45" s="5">
        <f>-'5. IRR'!JUC16</f>
        <v>-0.0</v>
      </c>
      <c r="JUC45" s="5">
        <f>-'5. IRR'!JUD16</f>
        <v>-0.0</v>
      </c>
      <c r="JUD45" s="5">
        <f>-'5. IRR'!JUE16</f>
        <v>-0.0</v>
      </c>
      <c r="JUE45" s="5">
        <f>-'5. IRR'!JUF16</f>
        <v>-0.0</v>
      </c>
      <c r="JUF45" s="5">
        <f>-'5. IRR'!JUG16</f>
        <v>-0.0</v>
      </c>
      <c r="JUG45" s="5">
        <f>-'5. IRR'!JUH16</f>
        <v>-0.0</v>
      </c>
      <c r="JUH45" s="5">
        <f>-'5. IRR'!JUI16</f>
        <v>-0.0</v>
      </c>
      <c r="JUI45" s="5">
        <f>-'5. IRR'!JUJ16</f>
        <v>-0.0</v>
      </c>
      <c r="JUJ45" s="5">
        <f>-'5. IRR'!JUK16</f>
        <v>-0.0</v>
      </c>
      <c r="JUK45" s="5">
        <f>-'5. IRR'!JUL16</f>
        <v>-0.0</v>
      </c>
      <c r="JUL45" s="5">
        <f>-'5. IRR'!JUM16</f>
        <v>-0.0</v>
      </c>
      <c r="JUM45" s="5">
        <f>-'5. IRR'!JUN16</f>
        <v>-0.0</v>
      </c>
      <c r="JUN45" s="5">
        <f>-'5. IRR'!JUO16</f>
        <v>-0.0</v>
      </c>
      <c r="JUO45" s="5">
        <f>-'5. IRR'!JUP16</f>
        <v>-0.0</v>
      </c>
      <c r="JUP45" s="5">
        <f>-'5. IRR'!JUQ16</f>
        <v>-0.0</v>
      </c>
      <c r="JUQ45" s="5">
        <f>-'5. IRR'!JUR16</f>
        <v>-0.0</v>
      </c>
      <c r="JUR45" s="5">
        <f>-'5. IRR'!JUS16</f>
        <v>-0.0</v>
      </c>
      <c r="JUS45" s="5">
        <f>-'5. IRR'!JUT16</f>
        <v>-0.0</v>
      </c>
      <c r="JUT45" s="5">
        <f>-'5. IRR'!JUU16</f>
        <v>-0.0</v>
      </c>
      <c r="JUU45" s="5">
        <f>-'5. IRR'!JUV16</f>
        <v>-0.0</v>
      </c>
      <c r="JUV45" s="5">
        <f>-'5. IRR'!JUW16</f>
        <v>-0.0</v>
      </c>
      <c r="JUW45" s="5">
        <f>-'5. IRR'!JUX16</f>
        <v>-0.0</v>
      </c>
      <c r="JUX45" s="5">
        <f>-'5. IRR'!JUY16</f>
        <v>-0.0</v>
      </c>
      <c r="JUY45" s="5">
        <f>-'5. IRR'!JUZ16</f>
        <v>-0.0</v>
      </c>
      <c r="JUZ45" s="5">
        <f>-'5. IRR'!JVA16</f>
        <v>-0.0</v>
      </c>
      <c r="JVA45" s="5">
        <f>-'5. IRR'!JVB16</f>
        <v>-0.0</v>
      </c>
      <c r="JVB45" s="5">
        <f>-'5. IRR'!JVC16</f>
        <v>-0.0</v>
      </c>
      <c r="JVC45" s="5">
        <f>-'5. IRR'!JVD16</f>
        <v>-0.0</v>
      </c>
      <c r="JVD45" s="5">
        <f>-'5. IRR'!JVE16</f>
        <v>-0.0</v>
      </c>
      <c r="JVE45" s="5">
        <f>-'5. IRR'!JVF16</f>
        <v>-0.0</v>
      </c>
      <c r="JVF45" s="5">
        <f>-'5. IRR'!JVG16</f>
        <v>-0.0</v>
      </c>
      <c r="JVG45" s="5">
        <f>-'5. IRR'!JVH16</f>
        <v>-0.0</v>
      </c>
      <c r="JVH45" s="5">
        <f>-'5. IRR'!JVI16</f>
        <v>-0.0</v>
      </c>
      <c r="JVI45" s="5">
        <f>-'5. IRR'!JVJ16</f>
        <v>-0.0</v>
      </c>
      <c r="JVJ45" s="5">
        <f>-'5. IRR'!JVK16</f>
        <v>-0.0</v>
      </c>
      <c r="JVK45" s="5">
        <f>-'5. IRR'!JVL16</f>
        <v>-0.0</v>
      </c>
      <c r="JVL45" s="5">
        <f>-'5. IRR'!JVM16</f>
        <v>-0.0</v>
      </c>
      <c r="JVM45" s="5">
        <f>-'5. IRR'!JVN16</f>
        <v>-0.0</v>
      </c>
      <c r="JVN45" s="5">
        <f>-'5. IRR'!JVO16</f>
        <v>-0.0</v>
      </c>
      <c r="JVO45" s="5">
        <f>-'5. IRR'!JVP16</f>
        <v>-0.0</v>
      </c>
      <c r="JVP45" s="5">
        <f>-'5. IRR'!JVQ16</f>
        <v>-0.0</v>
      </c>
      <c r="JVQ45" s="5">
        <f>-'5. IRR'!JVR16</f>
        <v>-0.0</v>
      </c>
      <c r="JVR45" s="5">
        <f>-'5. IRR'!JVS16</f>
        <v>-0.0</v>
      </c>
      <c r="JVS45" s="5">
        <f>-'5. IRR'!JVT16</f>
        <v>-0.0</v>
      </c>
      <c r="JVT45" s="5">
        <f>-'5. IRR'!JVU16</f>
        <v>-0.0</v>
      </c>
      <c r="JVU45" s="5">
        <f>-'5. IRR'!JVV16</f>
        <v>-0.0</v>
      </c>
      <c r="JVV45" s="5">
        <f>-'5. IRR'!JVW16</f>
        <v>-0.0</v>
      </c>
      <c r="JVW45" s="5">
        <f>-'5. IRR'!JVX16</f>
        <v>-0.0</v>
      </c>
      <c r="JVX45" s="5">
        <f>-'5. IRR'!JVY16</f>
        <v>-0.0</v>
      </c>
      <c r="JVY45" s="5">
        <f>-'5. IRR'!JVZ16</f>
        <v>-0.0</v>
      </c>
      <c r="JVZ45" s="5">
        <f>-'5. IRR'!JWA16</f>
        <v>-0.0</v>
      </c>
      <c r="JWA45" s="5">
        <f>-'5. IRR'!JWB16</f>
        <v>-0.0</v>
      </c>
      <c r="JWB45" s="5">
        <f>-'5. IRR'!JWC16</f>
        <v>-0.0</v>
      </c>
      <c r="JWC45" s="5">
        <f>-'5. IRR'!JWD16</f>
        <v>-0.0</v>
      </c>
      <c r="JWD45" s="5">
        <f>-'5. IRR'!JWE16</f>
        <v>-0.0</v>
      </c>
      <c r="JWE45" s="5">
        <f>-'5. IRR'!JWF16</f>
        <v>-0.0</v>
      </c>
      <c r="JWF45" s="5">
        <f>-'5. IRR'!JWG16</f>
        <v>-0.0</v>
      </c>
      <c r="JWG45" s="5">
        <f>-'5. IRR'!JWH16</f>
        <v>-0.0</v>
      </c>
      <c r="JWH45" s="5">
        <f>-'5. IRR'!JWI16</f>
        <v>-0.0</v>
      </c>
      <c r="JWI45" s="5">
        <f>-'5. IRR'!JWJ16</f>
        <v>-0.0</v>
      </c>
      <c r="JWJ45" s="5">
        <f>-'5. IRR'!JWK16</f>
        <v>-0.0</v>
      </c>
      <c r="JWK45" s="5">
        <f>-'5. IRR'!JWL16</f>
        <v>-0.0</v>
      </c>
      <c r="JWL45" s="5">
        <f>-'5. IRR'!JWM16</f>
        <v>-0.0</v>
      </c>
      <c r="JWM45" s="5">
        <f>-'5. IRR'!JWN16</f>
        <v>-0.0</v>
      </c>
      <c r="JWN45" s="5">
        <f>-'5. IRR'!JWO16</f>
        <v>-0.0</v>
      </c>
      <c r="JWO45" s="5">
        <f>-'5. IRR'!JWP16</f>
        <v>-0.0</v>
      </c>
      <c r="JWP45" s="5">
        <f>-'5. IRR'!JWQ16</f>
        <v>-0.0</v>
      </c>
      <c r="JWQ45" s="5">
        <f>-'5. IRR'!JWR16</f>
        <v>-0.0</v>
      </c>
      <c r="JWR45" s="5">
        <f>-'5. IRR'!JWS16</f>
        <v>-0.0</v>
      </c>
      <c r="JWS45" s="5">
        <f>-'5. IRR'!JWT16</f>
        <v>-0.0</v>
      </c>
      <c r="JWT45" s="5">
        <f>-'5. IRR'!JWU16</f>
        <v>-0.0</v>
      </c>
      <c r="JWU45" s="5">
        <f>-'5. IRR'!JWV16</f>
        <v>-0.0</v>
      </c>
      <c r="JWV45" s="5">
        <f>-'5. IRR'!JWW16</f>
        <v>-0.0</v>
      </c>
      <c r="JWW45" s="5">
        <f>-'5. IRR'!JWX16</f>
        <v>-0.0</v>
      </c>
      <c r="JWX45" s="5">
        <f>-'5. IRR'!JWY16</f>
        <v>-0.0</v>
      </c>
      <c r="JWY45" s="5">
        <f>-'5. IRR'!JWZ16</f>
        <v>-0.0</v>
      </c>
      <c r="JWZ45" s="5">
        <f>-'5. IRR'!JXA16</f>
        <v>-0.0</v>
      </c>
      <c r="JXA45" s="5">
        <f>-'5. IRR'!JXB16</f>
        <v>-0.0</v>
      </c>
      <c r="JXB45" s="5">
        <f>-'5. IRR'!JXC16</f>
        <v>-0.0</v>
      </c>
      <c r="JXC45" s="5">
        <f>-'5. IRR'!JXD16</f>
        <v>-0.0</v>
      </c>
      <c r="JXD45" s="5">
        <f>-'5. IRR'!JXE16</f>
        <v>-0.0</v>
      </c>
      <c r="JXE45" s="5">
        <f>-'5. IRR'!JXF16</f>
        <v>-0.0</v>
      </c>
      <c r="JXF45" s="5">
        <f>-'5. IRR'!JXG16</f>
        <v>-0.0</v>
      </c>
      <c r="JXG45" s="5">
        <f>-'5. IRR'!JXH16</f>
        <v>-0.0</v>
      </c>
      <c r="JXH45" s="5">
        <f>-'5. IRR'!JXI16</f>
        <v>-0.0</v>
      </c>
      <c r="JXI45" s="5">
        <f>-'5. IRR'!JXJ16</f>
        <v>-0.0</v>
      </c>
      <c r="JXJ45" s="5">
        <f>-'5. IRR'!JXK16</f>
        <v>-0.0</v>
      </c>
      <c r="JXK45" s="5">
        <f>-'5. IRR'!JXL16</f>
        <v>-0.0</v>
      </c>
      <c r="JXL45" s="5">
        <f>-'5. IRR'!JXM16</f>
        <v>-0.0</v>
      </c>
      <c r="JXM45" s="5">
        <f>-'5. IRR'!JXN16</f>
        <v>-0.0</v>
      </c>
      <c r="JXN45" s="5">
        <f>-'5. IRR'!JXO16</f>
        <v>-0.0</v>
      </c>
      <c r="JXO45" s="5">
        <f>-'5. IRR'!JXP16</f>
        <v>-0.0</v>
      </c>
      <c r="JXP45" s="5">
        <f>-'5. IRR'!JXQ16</f>
        <v>-0.0</v>
      </c>
      <c r="JXQ45" s="5">
        <f>-'5. IRR'!JXR16</f>
        <v>-0.0</v>
      </c>
      <c r="JXR45" s="5">
        <f>-'5. IRR'!JXS16</f>
        <v>-0.0</v>
      </c>
      <c r="JXS45" s="5">
        <f>-'5. IRR'!JXT16</f>
        <v>-0.0</v>
      </c>
      <c r="JXT45" s="5">
        <f>-'5. IRR'!JXU16</f>
        <v>-0.0</v>
      </c>
      <c r="JXU45" s="5">
        <f>-'5. IRR'!JXV16</f>
        <v>-0.0</v>
      </c>
      <c r="JXV45" s="5">
        <f>-'5. IRR'!JXW16</f>
        <v>-0.0</v>
      </c>
      <c r="JXW45" s="5">
        <f>-'5. IRR'!JXX16</f>
        <v>-0.0</v>
      </c>
      <c r="JXX45" s="5">
        <f>-'5. IRR'!JXY16</f>
        <v>-0.0</v>
      </c>
      <c r="JXY45" s="5">
        <f>-'5. IRR'!JXZ16</f>
        <v>-0.0</v>
      </c>
      <c r="JXZ45" s="5">
        <f>-'5. IRR'!JYA16</f>
        <v>-0.0</v>
      </c>
      <c r="JYA45" s="5">
        <f>-'5. IRR'!JYB16</f>
        <v>-0.0</v>
      </c>
      <c r="JYB45" s="5">
        <f>-'5. IRR'!JYC16</f>
        <v>-0.0</v>
      </c>
      <c r="JYC45" s="5">
        <f>-'5. IRR'!JYD16</f>
        <v>-0.0</v>
      </c>
      <c r="JYD45" s="5">
        <f>-'5. IRR'!JYE16</f>
        <v>-0.0</v>
      </c>
      <c r="JYE45" s="5">
        <f>-'5. IRR'!JYF16</f>
        <v>-0.0</v>
      </c>
      <c r="JYF45" s="5">
        <f>-'5. IRR'!JYG16</f>
        <v>-0.0</v>
      </c>
      <c r="JYG45" s="5">
        <f>-'5. IRR'!JYH16</f>
        <v>-0.0</v>
      </c>
      <c r="JYH45" s="5">
        <f>-'5. IRR'!JYI16</f>
        <v>-0.0</v>
      </c>
      <c r="JYI45" s="5">
        <f>-'5. IRR'!JYJ16</f>
        <v>-0.0</v>
      </c>
      <c r="JYJ45" s="5">
        <f>-'5. IRR'!JYK16</f>
        <v>-0.0</v>
      </c>
      <c r="JYK45" s="5">
        <f>-'5. IRR'!JYL16</f>
        <v>-0.0</v>
      </c>
      <c r="JYL45" s="5">
        <f>-'5. IRR'!JYM16</f>
        <v>-0.0</v>
      </c>
      <c r="JYM45" s="5">
        <f>-'5. IRR'!JYN16</f>
        <v>-0.0</v>
      </c>
      <c r="JYN45" s="5">
        <f>-'5. IRR'!JYO16</f>
        <v>-0.0</v>
      </c>
      <c r="JYO45" s="5">
        <f>-'5. IRR'!JYP16</f>
        <v>-0.0</v>
      </c>
      <c r="JYP45" s="5">
        <f>-'5. IRR'!JYQ16</f>
        <v>-0.0</v>
      </c>
      <c r="JYQ45" s="5">
        <f>-'5. IRR'!JYR16</f>
        <v>-0.0</v>
      </c>
      <c r="JYR45" s="5">
        <f>-'5. IRR'!JYS16</f>
        <v>-0.0</v>
      </c>
      <c r="JYS45" s="5">
        <f>-'5. IRR'!JYT16</f>
        <v>-0.0</v>
      </c>
      <c r="JYT45" s="5">
        <f>-'5. IRR'!JYU16</f>
        <v>-0.0</v>
      </c>
      <c r="JYU45" s="5">
        <f>-'5. IRR'!JYV16</f>
        <v>-0.0</v>
      </c>
      <c r="JYV45" s="5">
        <f>-'5. IRR'!JYW16</f>
        <v>-0.0</v>
      </c>
      <c r="JYW45" s="5">
        <f>-'5. IRR'!JYX16</f>
        <v>-0.0</v>
      </c>
      <c r="JYX45" s="5">
        <f>-'5. IRR'!JYY16</f>
        <v>-0.0</v>
      </c>
      <c r="JYY45" s="5">
        <f>-'5. IRR'!JYZ16</f>
        <v>-0.0</v>
      </c>
      <c r="JYZ45" s="5">
        <f>-'5. IRR'!JZA16</f>
        <v>-0.0</v>
      </c>
      <c r="JZA45" s="5">
        <f>-'5. IRR'!JZB16</f>
        <v>-0.0</v>
      </c>
      <c r="JZB45" s="5">
        <f>-'5. IRR'!JZC16</f>
        <v>-0.0</v>
      </c>
      <c r="JZC45" s="5">
        <f>-'5. IRR'!JZD16</f>
        <v>-0.0</v>
      </c>
      <c r="JZD45" s="5">
        <f>-'5. IRR'!JZE16</f>
        <v>-0.0</v>
      </c>
      <c r="JZE45" s="5">
        <f>-'5. IRR'!JZF16</f>
        <v>-0.0</v>
      </c>
      <c r="JZF45" s="5">
        <f>-'5. IRR'!JZG16</f>
        <v>-0.0</v>
      </c>
      <c r="JZG45" s="5">
        <f>-'5. IRR'!JZH16</f>
        <v>-0.0</v>
      </c>
      <c r="JZH45" s="5">
        <f>-'5. IRR'!JZI16</f>
        <v>-0.0</v>
      </c>
      <c r="JZI45" s="5">
        <f>-'5. IRR'!JZJ16</f>
        <v>-0.0</v>
      </c>
      <c r="JZJ45" s="5">
        <f>-'5. IRR'!JZK16</f>
        <v>-0.0</v>
      </c>
      <c r="JZK45" s="5">
        <f>-'5. IRR'!JZL16</f>
        <v>-0.0</v>
      </c>
      <c r="JZL45" s="5">
        <f>-'5. IRR'!JZM16</f>
        <v>-0.0</v>
      </c>
      <c r="JZM45" s="5">
        <f>-'5. IRR'!JZN16</f>
        <v>-0.0</v>
      </c>
      <c r="JZN45" s="5">
        <f>-'5. IRR'!JZO16</f>
        <v>-0.0</v>
      </c>
      <c r="JZO45" s="5">
        <f>-'5. IRR'!JZP16</f>
        <v>-0.0</v>
      </c>
      <c r="JZP45" s="5">
        <f>-'5. IRR'!JZQ16</f>
        <v>-0.0</v>
      </c>
      <c r="JZQ45" s="5">
        <f>-'5. IRR'!JZR16</f>
        <v>-0.0</v>
      </c>
      <c r="JZR45" s="5">
        <f>-'5. IRR'!JZS16</f>
        <v>-0.0</v>
      </c>
      <c r="JZS45" s="5">
        <f>-'5. IRR'!JZT16</f>
        <v>-0.0</v>
      </c>
      <c r="JZT45" s="5">
        <f>-'5. IRR'!JZU16</f>
        <v>-0.0</v>
      </c>
      <c r="JZU45" s="5">
        <f>-'5. IRR'!JZV16</f>
        <v>-0.0</v>
      </c>
      <c r="JZV45" s="5">
        <f>-'5. IRR'!JZW16</f>
        <v>-0.0</v>
      </c>
      <c r="JZW45" s="5">
        <f>-'5. IRR'!JZX16</f>
        <v>-0.0</v>
      </c>
      <c r="JZX45" s="5">
        <f>-'5. IRR'!JZY16</f>
        <v>-0.0</v>
      </c>
      <c r="JZY45" s="5">
        <f>-'5. IRR'!JZZ16</f>
        <v>-0.0</v>
      </c>
      <c r="JZZ45" s="5">
        <f>-'5. IRR'!KAA16</f>
        <v>-0.0</v>
      </c>
      <c r="KAA45" s="5">
        <f>-'5. IRR'!KAB16</f>
        <v>-0.0</v>
      </c>
      <c r="KAB45" s="5">
        <f>-'5. IRR'!KAC16</f>
        <v>-0.0</v>
      </c>
      <c r="KAC45" s="5">
        <f>-'5. IRR'!KAD16</f>
        <v>-0.0</v>
      </c>
      <c r="KAD45" s="5">
        <f>-'5. IRR'!KAE16</f>
        <v>-0.0</v>
      </c>
      <c r="KAE45" s="5">
        <f>-'5. IRR'!KAF16</f>
        <v>-0.0</v>
      </c>
      <c r="KAF45" s="5">
        <f>-'5. IRR'!KAG16</f>
        <v>-0.0</v>
      </c>
      <c r="KAG45" s="5">
        <f>-'5. IRR'!KAH16</f>
        <v>-0.0</v>
      </c>
      <c r="KAH45" s="5">
        <f>-'5. IRR'!KAI16</f>
        <v>-0.0</v>
      </c>
      <c r="KAI45" s="5">
        <f>-'5. IRR'!KAJ16</f>
        <v>-0.0</v>
      </c>
      <c r="KAJ45" s="5">
        <f>-'5. IRR'!KAK16</f>
        <v>-0.0</v>
      </c>
      <c r="KAK45" s="5">
        <f>-'5. IRR'!KAL16</f>
        <v>-0.0</v>
      </c>
      <c r="KAL45" s="5">
        <f>-'5. IRR'!KAM16</f>
        <v>-0.0</v>
      </c>
      <c r="KAM45" s="5">
        <f>-'5. IRR'!KAN16</f>
        <v>-0.0</v>
      </c>
      <c r="KAN45" s="5">
        <f>-'5. IRR'!KAO16</f>
        <v>-0.0</v>
      </c>
      <c r="KAO45" s="5">
        <f>-'5. IRR'!KAP16</f>
        <v>-0.0</v>
      </c>
      <c r="KAP45" s="5">
        <f>-'5. IRR'!KAQ16</f>
        <v>-0.0</v>
      </c>
      <c r="KAQ45" s="5">
        <f>-'5. IRR'!KAR16</f>
        <v>-0.0</v>
      </c>
      <c r="KAR45" s="5">
        <f>-'5. IRR'!KAS16</f>
        <v>-0.0</v>
      </c>
      <c r="KAS45" s="5">
        <f>-'5. IRR'!KAT16</f>
        <v>-0.0</v>
      </c>
      <c r="KAT45" s="5">
        <f>-'5. IRR'!KAU16</f>
        <v>-0.0</v>
      </c>
      <c r="KAU45" s="5">
        <f>-'5. IRR'!KAV16</f>
        <v>-0.0</v>
      </c>
      <c r="KAV45" s="5">
        <f>-'5. IRR'!KAW16</f>
        <v>-0.0</v>
      </c>
      <c r="KAW45" s="5">
        <f>-'5. IRR'!KAX16</f>
        <v>-0.0</v>
      </c>
      <c r="KAX45" s="5">
        <f>-'5. IRR'!KAY16</f>
        <v>-0.0</v>
      </c>
      <c r="KAY45" s="5">
        <f>-'5. IRR'!KAZ16</f>
        <v>-0.0</v>
      </c>
      <c r="KAZ45" s="5">
        <f>-'5. IRR'!KBA16</f>
        <v>-0.0</v>
      </c>
      <c r="KBA45" s="5">
        <f>-'5. IRR'!KBB16</f>
        <v>-0.0</v>
      </c>
      <c r="KBB45" s="5">
        <f>-'5. IRR'!KBC16</f>
        <v>-0.0</v>
      </c>
      <c r="KBC45" s="5">
        <f>-'5. IRR'!KBD16</f>
        <v>-0.0</v>
      </c>
      <c r="KBD45" s="5">
        <f>-'5. IRR'!KBE16</f>
        <v>-0.0</v>
      </c>
      <c r="KBE45" s="5">
        <f>-'5. IRR'!KBF16</f>
        <v>-0.0</v>
      </c>
      <c r="KBF45" s="5">
        <f>-'5. IRR'!KBG16</f>
        <v>-0.0</v>
      </c>
      <c r="KBG45" s="5">
        <f>-'5. IRR'!KBH16</f>
        <v>-0.0</v>
      </c>
      <c r="KBH45" s="5">
        <f>-'5. IRR'!KBI16</f>
        <v>-0.0</v>
      </c>
      <c r="KBI45" s="5">
        <f>-'5. IRR'!KBJ16</f>
        <v>-0.0</v>
      </c>
      <c r="KBJ45" s="5">
        <f>-'5. IRR'!KBK16</f>
        <v>-0.0</v>
      </c>
      <c r="KBK45" s="5">
        <f>-'5. IRR'!KBL16</f>
        <v>-0.0</v>
      </c>
      <c r="KBL45" s="5">
        <f>-'5. IRR'!KBM16</f>
        <v>-0.0</v>
      </c>
      <c r="KBM45" s="5">
        <f>-'5. IRR'!KBN16</f>
        <v>-0.0</v>
      </c>
      <c r="KBN45" s="5">
        <f>-'5. IRR'!KBO16</f>
        <v>-0.0</v>
      </c>
      <c r="KBO45" s="5">
        <f>-'5. IRR'!KBP16</f>
        <v>-0.0</v>
      </c>
      <c r="KBP45" s="5">
        <f>-'5. IRR'!KBQ16</f>
        <v>-0.0</v>
      </c>
      <c r="KBQ45" s="5">
        <f>-'5. IRR'!KBR16</f>
        <v>-0.0</v>
      </c>
      <c r="KBR45" s="5">
        <f>-'5. IRR'!KBS16</f>
        <v>-0.0</v>
      </c>
      <c r="KBS45" s="5">
        <f>-'5. IRR'!KBT16</f>
        <v>-0.0</v>
      </c>
      <c r="KBT45" s="5">
        <f>-'5. IRR'!KBU16</f>
        <v>-0.0</v>
      </c>
      <c r="KBU45" s="5">
        <f>-'5. IRR'!KBV16</f>
        <v>-0.0</v>
      </c>
      <c r="KBV45" s="5">
        <f>-'5. IRR'!KBW16</f>
        <v>-0.0</v>
      </c>
      <c r="KBW45" s="5">
        <f>-'5. IRR'!KBX16</f>
        <v>-0.0</v>
      </c>
      <c r="KBX45" s="5">
        <f>-'5. IRR'!KBY16</f>
        <v>-0.0</v>
      </c>
      <c r="KBY45" s="5">
        <f>-'5. IRR'!KBZ16</f>
        <v>-0.0</v>
      </c>
      <c r="KBZ45" s="5">
        <f>-'5. IRR'!KCA16</f>
        <v>-0.0</v>
      </c>
      <c r="KCA45" s="5">
        <f>-'5. IRR'!KCB16</f>
        <v>-0.0</v>
      </c>
      <c r="KCB45" s="5">
        <f>-'5. IRR'!KCC16</f>
        <v>-0.0</v>
      </c>
      <c r="KCC45" s="5">
        <f>-'5. IRR'!KCD16</f>
        <v>-0.0</v>
      </c>
      <c r="KCD45" s="5">
        <f>-'5. IRR'!KCE16</f>
        <v>-0.0</v>
      </c>
      <c r="KCE45" s="5">
        <f>-'5. IRR'!KCF16</f>
        <v>-0.0</v>
      </c>
      <c r="KCF45" s="5">
        <f>-'5. IRR'!KCG16</f>
        <v>-0.0</v>
      </c>
      <c r="KCG45" s="5">
        <f>-'5. IRR'!KCH16</f>
        <v>-0.0</v>
      </c>
      <c r="KCH45" s="5">
        <f>-'5. IRR'!KCI16</f>
        <v>-0.0</v>
      </c>
      <c r="KCI45" s="5">
        <f>-'5. IRR'!KCJ16</f>
        <v>-0.0</v>
      </c>
      <c r="KCJ45" s="5">
        <f>-'5. IRR'!KCK16</f>
        <v>-0.0</v>
      </c>
      <c r="KCK45" s="5">
        <f>-'5. IRR'!KCL16</f>
        <v>-0.0</v>
      </c>
      <c r="KCL45" s="5">
        <f>-'5. IRR'!KCM16</f>
        <v>-0.0</v>
      </c>
      <c r="KCM45" s="5">
        <f>-'5. IRR'!KCN16</f>
        <v>-0.0</v>
      </c>
      <c r="KCN45" s="5">
        <f>-'5. IRR'!KCO16</f>
        <v>-0.0</v>
      </c>
      <c r="KCO45" s="5">
        <f>-'5. IRR'!KCP16</f>
        <v>-0.0</v>
      </c>
      <c r="KCP45" s="5">
        <f>-'5. IRR'!KCQ16</f>
        <v>-0.0</v>
      </c>
      <c r="KCQ45" s="5">
        <f>-'5. IRR'!KCR16</f>
        <v>-0.0</v>
      </c>
      <c r="KCR45" s="5">
        <f>-'5. IRR'!KCS16</f>
        <v>-0.0</v>
      </c>
      <c r="KCS45" s="5">
        <f>-'5. IRR'!KCT16</f>
        <v>-0.0</v>
      </c>
      <c r="KCT45" s="5">
        <f>-'5. IRR'!KCU16</f>
        <v>-0.0</v>
      </c>
      <c r="KCU45" s="5">
        <f>-'5. IRR'!KCV16</f>
        <v>-0.0</v>
      </c>
      <c r="KCV45" s="5">
        <f>-'5. IRR'!KCW16</f>
        <v>-0.0</v>
      </c>
      <c r="KCW45" s="5">
        <f>-'5. IRR'!KCX16</f>
        <v>-0.0</v>
      </c>
      <c r="KCX45" s="5">
        <f>-'5. IRR'!KCY16</f>
        <v>-0.0</v>
      </c>
      <c r="KCY45" s="5">
        <f>-'5. IRR'!KCZ16</f>
        <v>-0.0</v>
      </c>
      <c r="KCZ45" s="5">
        <f>-'5. IRR'!KDA16</f>
        <v>-0.0</v>
      </c>
      <c r="KDA45" s="5">
        <f>-'5. IRR'!KDB16</f>
        <v>-0.0</v>
      </c>
      <c r="KDB45" s="5">
        <f>-'5. IRR'!KDC16</f>
        <v>-0.0</v>
      </c>
      <c r="KDC45" s="5">
        <f>-'5. IRR'!KDD16</f>
        <v>-0.0</v>
      </c>
      <c r="KDD45" s="5">
        <f>-'5. IRR'!KDE16</f>
        <v>-0.0</v>
      </c>
      <c r="KDE45" s="5">
        <f>-'5. IRR'!KDF16</f>
        <v>-0.0</v>
      </c>
      <c r="KDF45" s="5">
        <f>-'5. IRR'!KDG16</f>
        <v>-0.0</v>
      </c>
      <c r="KDG45" s="5">
        <f>-'5. IRR'!KDH16</f>
        <v>-0.0</v>
      </c>
      <c r="KDH45" s="5">
        <f>-'5. IRR'!KDI16</f>
        <v>-0.0</v>
      </c>
      <c r="KDI45" s="5">
        <f>-'5. IRR'!KDJ16</f>
        <v>-0.0</v>
      </c>
      <c r="KDJ45" s="5">
        <f>-'5. IRR'!KDK16</f>
        <v>-0.0</v>
      </c>
      <c r="KDK45" s="5">
        <f>-'5. IRR'!KDL16</f>
        <v>-0.0</v>
      </c>
      <c r="KDL45" s="5">
        <f>-'5. IRR'!KDM16</f>
        <v>-0.0</v>
      </c>
      <c r="KDM45" s="5">
        <f>-'5. IRR'!KDN16</f>
        <v>-0.0</v>
      </c>
      <c r="KDN45" s="5">
        <f>-'5. IRR'!KDO16</f>
        <v>-0.0</v>
      </c>
      <c r="KDO45" s="5">
        <f>-'5. IRR'!KDP16</f>
        <v>-0.0</v>
      </c>
      <c r="KDP45" s="5">
        <f>-'5. IRR'!KDQ16</f>
        <v>-0.0</v>
      </c>
      <c r="KDQ45" s="5">
        <f>-'5. IRR'!KDR16</f>
        <v>-0.0</v>
      </c>
      <c r="KDR45" s="5">
        <f>-'5. IRR'!KDS16</f>
        <v>-0.0</v>
      </c>
      <c r="KDS45" s="5">
        <f>-'5. IRR'!KDT16</f>
        <v>-0.0</v>
      </c>
      <c r="KDT45" s="5">
        <f>-'5. IRR'!KDU16</f>
        <v>-0.0</v>
      </c>
      <c r="KDU45" s="5">
        <f>-'5. IRR'!KDV16</f>
        <v>-0.0</v>
      </c>
      <c r="KDV45" s="5">
        <f>-'5. IRR'!KDW16</f>
        <v>-0.0</v>
      </c>
      <c r="KDW45" s="5">
        <f>-'5. IRR'!KDX16</f>
        <v>-0.0</v>
      </c>
      <c r="KDX45" s="5">
        <f>-'5. IRR'!KDY16</f>
        <v>-0.0</v>
      </c>
      <c r="KDY45" s="5">
        <f>-'5. IRR'!KDZ16</f>
        <v>-0.0</v>
      </c>
      <c r="KDZ45" s="5">
        <f>-'5. IRR'!KEA16</f>
        <v>-0.0</v>
      </c>
      <c r="KEA45" s="5">
        <f>-'5. IRR'!KEB16</f>
        <v>-0.0</v>
      </c>
      <c r="KEB45" s="5">
        <f>-'5. IRR'!KEC16</f>
        <v>-0.0</v>
      </c>
      <c r="KEC45" s="5">
        <f>-'5. IRR'!KED16</f>
        <v>-0.0</v>
      </c>
      <c r="KED45" s="5">
        <f>-'5. IRR'!KEE16</f>
        <v>-0.0</v>
      </c>
      <c r="KEE45" s="5">
        <f>-'5. IRR'!KEF16</f>
        <v>-0.0</v>
      </c>
      <c r="KEF45" s="5">
        <f>-'5. IRR'!KEG16</f>
        <v>-0.0</v>
      </c>
      <c r="KEG45" s="5">
        <f>-'5. IRR'!KEH16</f>
        <v>-0.0</v>
      </c>
      <c r="KEH45" s="5">
        <f>-'5. IRR'!KEI16</f>
        <v>-0.0</v>
      </c>
      <c r="KEI45" s="5">
        <f>-'5. IRR'!KEJ16</f>
        <v>-0.0</v>
      </c>
      <c r="KEJ45" s="5">
        <f>-'5. IRR'!KEK16</f>
        <v>-0.0</v>
      </c>
      <c r="KEK45" s="5">
        <f>-'5. IRR'!KEL16</f>
        <v>-0.0</v>
      </c>
      <c r="KEL45" s="5">
        <f>-'5. IRR'!KEM16</f>
        <v>-0.0</v>
      </c>
      <c r="KEM45" s="5">
        <f>-'5. IRR'!KEN16</f>
        <v>-0.0</v>
      </c>
      <c r="KEN45" s="5">
        <f>-'5. IRR'!KEO16</f>
        <v>-0.0</v>
      </c>
      <c r="KEO45" s="5">
        <f>-'5. IRR'!KEP16</f>
        <v>-0.0</v>
      </c>
      <c r="KEP45" s="5">
        <f>-'5. IRR'!KEQ16</f>
        <v>-0.0</v>
      </c>
      <c r="KEQ45" s="5">
        <f>-'5. IRR'!KER16</f>
        <v>-0.0</v>
      </c>
      <c r="KER45" s="5">
        <f>-'5. IRR'!KES16</f>
        <v>-0.0</v>
      </c>
      <c r="KES45" s="5">
        <f>-'5. IRR'!KET16</f>
        <v>-0.0</v>
      </c>
      <c r="KET45" s="5">
        <f>-'5. IRR'!KEU16</f>
        <v>-0.0</v>
      </c>
      <c r="KEU45" s="5">
        <f>-'5. IRR'!KEV16</f>
        <v>-0.0</v>
      </c>
      <c r="KEV45" s="5">
        <f>-'5. IRR'!KEW16</f>
        <v>-0.0</v>
      </c>
      <c r="KEW45" s="5">
        <f>-'5. IRR'!KEX16</f>
        <v>-0.0</v>
      </c>
      <c r="KEX45" s="5">
        <f>-'5. IRR'!KEY16</f>
        <v>-0.0</v>
      </c>
      <c r="KEY45" s="5">
        <f>-'5. IRR'!KEZ16</f>
        <v>-0.0</v>
      </c>
      <c r="KEZ45" s="5">
        <f>-'5. IRR'!KFA16</f>
        <v>-0.0</v>
      </c>
      <c r="KFA45" s="5">
        <f>-'5. IRR'!KFB16</f>
        <v>-0.0</v>
      </c>
      <c r="KFB45" s="5">
        <f>-'5. IRR'!KFC16</f>
        <v>-0.0</v>
      </c>
      <c r="KFC45" s="5">
        <f>-'5. IRR'!KFD16</f>
        <v>-0.0</v>
      </c>
      <c r="KFD45" s="5">
        <f>-'5. IRR'!KFE16</f>
        <v>-0.0</v>
      </c>
      <c r="KFE45" s="5">
        <f>-'5. IRR'!KFF16</f>
        <v>-0.0</v>
      </c>
      <c r="KFF45" s="5">
        <f>-'5. IRR'!KFG16</f>
        <v>-0.0</v>
      </c>
      <c r="KFG45" s="5">
        <f>-'5. IRR'!KFH16</f>
        <v>-0.0</v>
      </c>
      <c r="KFH45" s="5">
        <f>-'5. IRR'!KFI16</f>
        <v>-0.0</v>
      </c>
      <c r="KFI45" s="5">
        <f>-'5. IRR'!KFJ16</f>
        <v>-0.0</v>
      </c>
      <c r="KFJ45" s="5">
        <f>-'5. IRR'!KFK16</f>
        <v>-0.0</v>
      </c>
      <c r="KFK45" s="5">
        <f>-'5. IRR'!KFL16</f>
        <v>-0.0</v>
      </c>
      <c r="KFL45" s="5">
        <f>-'5. IRR'!KFM16</f>
        <v>-0.0</v>
      </c>
      <c r="KFM45" s="5">
        <f>-'5. IRR'!KFN16</f>
        <v>-0.0</v>
      </c>
      <c r="KFN45" s="5">
        <f>-'5. IRR'!KFO16</f>
        <v>-0.0</v>
      </c>
      <c r="KFO45" s="5">
        <f>-'5. IRR'!KFP16</f>
        <v>-0.0</v>
      </c>
      <c r="KFP45" s="5">
        <f>-'5. IRR'!KFQ16</f>
        <v>-0.0</v>
      </c>
      <c r="KFQ45" s="5">
        <f>-'5. IRR'!KFR16</f>
        <v>-0.0</v>
      </c>
      <c r="KFR45" s="5">
        <f>-'5. IRR'!KFS16</f>
        <v>-0.0</v>
      </c>
      <c r="KFS45" s="5">
        <f>-'5. IRR'!KFT16</f>
        <v>-0.0</v>
      </c>
      <c r="KFT45" s="5">
        <f>-'5. IRR'!KFU16</f>
        <v>-0.0</v>
      </c>
      <c r="KFU45" s="5">
        <f>-'5. IRR'!KFV16</f>
        <v>-0.0</v>
      </c>
      <c r="KFV45" s="5">
        <f>-'5. IRR'!KFW16</f>
        <v>-0.0</v>
      </c>
      <c r="KFW45" s="5">
        <f>-'5. IRR'!KFX16</f>
        <v>-0.0</v>
      </c>
      <c r="KFX45" s="5">
        <f>-'5. IRR'!KFY16</f>
        <v>-0.0</v>
      </c>
      <c r="KFY45" s="5">
        <f>-'5. IRR'!KFZ16</f>
        <v>-0.0</v>
      </c>
      <c r="KFZ45" s="5">
        <f>-'5. IRR'!KGA16</f>
        <v>-0.0</v>
      </c>
      <c r="KGA45" s="5">
        <f>-'5. IRR'!KGB16</f>
        <v>-0.0</v>
      </c>
      <c r="KGB45" s="5">
        <f>-'5. IRR'!KGC16</f>
        <v>-0.0</v>
      </c>
      <c r="KGC45" s="5">
        <f>-'5. IRR'!KGD16</f>
        <v>-0.0</v>
      </c>
      <c r="KGD45" s="5">
        <f>-'5. IRR'!KGE16</f>
        <v>-0.0</v>
      </c>
      <c r="KGE45" s="5">
        <f>-'5. IRR'!KGF16</f>
        <v>-0.0</v>
      </c>
      <c r="KGF45" s="5">
        <f>-'5. IRR'!KGG16</f>
        <v>-0.0</v>
      </c>
      <c r="KGG45" s="5">
        <f>-'5. IRR'!KGH16</f>
        <v>-0.0</v>
      </c>
      <c r="KGH45" s="5">
        <f>-'5. IRR'!KGI16</f>
        <v>-0.0</v>
      </c>
      <c r="KGI45" s="5">
        <f>-'5. IRR'!KGJ16</f>
        <v>-0.0</v>
      </c>
      <c r="KGJ45" s="5">
        <f>-'5. IRR'!KGK16</f>
        <v>-0.0</v>
      </c>
      <c r="KGK45" s="5">
        <f>-'5. IRR'!KGL16</f>
        <v>-0.0</v>
      </c>
      <c r="KGL45" s="5">
        <f>-'5. IRR'!KGM16</f>
        <v>-0.0</v>
      </c>
      <c r="KGM45" s="5">
        <f>-'5. IRR'!KGN16</f>
        <v>-0.0</v>
      </c>
      <c r="KGN45" s="5">
        <f>-'5. IRR'!KGO16</f>
        <v>-0.0</v>
      </c>
      <c r="KGO45" s="5">
        <f>-'5. IRR'!KGP16</f>
        <v>-0.0</v>
      </c>
      <c r="KGP45" s="5">
        <f>-'5. IRR'!KGQ16</f>
        <v>-0.0</v>
      </c>
      <c r="KGQ45" s="5">
        <f>-'5. IRR'!KGR16</f>
        <v>-0.0</v>
      </c>
      <c r="KGR45" s="5">
        <f>-'5. IRR'!KGS16</f>
        <v>-0.0</v>
      </c>
      <c r="KGS45" s="5">
        <f>-'5. IRR'!KGT16</f>
        <v>-0.0</v>
      </c>
      <c r="KGT45" s="5">
        <f>-'5. IRR'!KGU16</f>
        <v>-0.0</v>
      </c>
      <c r="KGU45" s="5">
        <f>-'5. IRR'!KGV16</f>
        <v>-0.0</v>
      </c>
      <c r="KGV45" s="5">
        <f>-'5. IRR'!KGW16</f>
        <v>-0.0</v>
      </c>
      <c r="KGW45" s="5">
        <f>-'5. IRR'!KGX16</f>
        <v>-0.0</v>
      </c>
      <c r="KGX45" s="5">
        <f>-'5. IRR'!KGY16</f>
        <v>-0.0</v>
      </c>
      <c r="KGY45" s="5">
        <f>-'5. IRR'!KGZ16</f>
        <v>-0.0</v>
      </c>
      <c r="KGZ45" s="5">
        <f>-'5. IRR'!KHA16</f>
        <v>-0.0</v>
      </c>
      <c r="KHA45" s="5">
        <f>-'5. IRR'!KHB16</f>
        <v>-0.0</v>
      </c>
      <c r="KHB45" s="5">
        <f>-'5. IRR'!KHC16</f>
        <v>-0.0</v>
      </c>
      <c r="KHC45" s="5">
        <f>-'5. IRR'!KHD16</f>
        <v>-0.0</v>
      </c>
      <c r="KHD45" s="5">
        <f>-'5. IRR'!KHE16</f>
        <v>-0.0</v>
      </c>
      <c r="KHE45" s="5">
        <f>-'5. IRR'!KHF16</f>
        <v>-0.0</v>
      </c>
      <c r="KHF45" s="5">
        <f>-'5. IRR'!KHG16</f>
        <v>-0.0</v>
      </c>
      <c r="KHG45" s="5">
        <f>-'5. IRR'!KHH16</f>
        <v>-0.0</v>
      </c>
      <c r="KHH45" s="5">
        <f>-'5. IRR'!KHI16</f>
        <v>-0.0</v>
      </c>
      <c r="KHI45" s="5">
        <f>-'5. IRR'!KHJ16</f>
        <v>-0.0</v>
      </c>
      <c r="KHJ45" s="5">
        <f>-'5. IRR'!KHK16</f>
        <v>-0.0</v>
      </c>
      <c r="KHK45" s="5">
        <f>-'5. IRR'!KHL16</f>
        <v>-0.0</v>
      </c>
      <c r="KHL45" s="5">
        <f>-'5. IRR'!KHM16</f>
        <v>-0.0</v>
      </c>
      <c r="KHM45" s="5">
        <f>-'5. IRR'!KHN16</f>
        <v>-0.0</v>
      </c>
      <c r="KHN45" s="5">
        <f>-'5. IRR'!KHO16</f>
        <v>-0.0</v>
      </c>
      <c r="KHO45" s="5">
        <f>-'5. IRR'!KHP16</f>
        <v>-0.0</v>
      </c>
      <c r="KHP45" s="5">
        <f>-'5. IRR'!KHQ16</f>
        <v>-0.0</v>
      </c>
      <c r="KHQ45" s="5">
        <f>-'5. IRR'!KHR16</f>
        <v>-0.0</v>
      </c>
      <c r="KHR45" s="5">
        <f>-'5. IRR'!KHS16</f>
        <v>-0.0</v>
      </c>
      <c r="KHS45" s="5">
        <f>-'5. IRR'!KHT16</f>
        <v>-0.0</v>
      </c>
      <c r="KHT45" s="5">
        <f>-'5. IRR'!KHU16</f>
        <v>-0.0</v>
      </c>
      <c r="KHU45" s="5">
        <f>-'5. IRR'!KHV16</f>
        <v>-0.0</v>
      </c>
      <c r="KHV45" s="5">
        <f>-'5. IRR'!KHW16</f>
        <v>-0.0</v>
      </c>
      <c r="KHW45" s="5">
        <f>-'5. IRR'!KHX16</f>
        <v>-0.0</v>
      </c>
      <c r="KHX45" s="5">
        <f>-'5. IRR'!KHY16</f>
        <v>-0.0</v>
      </c>
      <c r="KHY45" s="5">
        <f>-'5. IRR'!KHZ16</f>
        <v>-0.0</v>
      </c>
      <c r="KHZ45" s="5">
        <f>-'5. IRR'!KIA16</f>
        <v>-0.0</v>
      </c>
      <c r="KIA45" s="5">
        <f>-'5. IRR'!KIB16</f>
        <v>-0.0</v>
      </c>
      <c r="KIB45" s="5">
        <f>-'5. IRR'!KIC16</f>
        <v>-0.0</v>
      </c>
      <c r="KIC45" s="5">
        <f>-'5. IRR'!KID16</f>
        <v>-0.0</v>
      </c>
      <c r="KID45" s="5">
        <f>-'5. IRR'!KIE16</f>
        <v>-0.0</v>
      </c>
      <c r="KIE45" s="5">
        <f>-'5. IRR'!KIF16</f>
        <v>-0.0</v>
      </c>
      <c r="KIF45" s="5">
        <f>-'5. IRR'!KIG16</f>
        <v>-0.0</v>
      </c>
      <c r="KIG45" s="5">
        <f>-'5. IRR'!KIH16</f>
        <v>-0.0</v>
      </c>
      <c r="KIH45" s="5">
        <f>-'5. IRR'!KII16</f>
        <v>-0.0</v>
      </c>
      <c r="KII45" s="5">
        <f>-'5. IRR'!KIJ16</f>
        <v>-0.0</v>
      </c>
      <c r="KIJ45" s="5">
        <f>-'5. IRR'!KIK16</f>
        <v>-0.0</v>
      </c>
      <c r="KIK45" s="5">
        <f>-'5. IRR'!KIL16</f>
        <v>-0.0</v>
      </c>
      <c r="KIL45" s="5">
        <f>-'5. IRR'!KIM16</f>
        <v>-0.0</v>
      </c>
      <c r="KIM45" s="5">
        <f>-'5. IRR'!KIN16</f>
        <v>-0.0</v>
      </c>
      <c r="KIN45" s="5">
        <f>-'5. IRR'!KIO16</f>
        <v>-0.0</v>
      </c>
      <c r="KIO45" s="5">
        <f>-'5. IRR'!KIP16</f>
        <v>-0.0</v>
      </c>
      <c r="KIP45" s="5">
        <f>-'5. IRR'!KIQ16</f>
        <v>-0.0</v>
      </c>
      <c r="KIQ45" s="5">
        <f>-'5. IRR'!KIR16</f>
        <v>-0.0</v>
      </c>
      <c r="KIR45" s="5">
        <f>-'5. IRR'!KIS16</f>
        <v>-0.0</v>
      </c>
      <c r="KIS45" s="5">
        <f>-'5. IRR'!KIT16</f>
        <v>-0.0</v>
      </c>
      <c r="KIT45" s="5">
        <f>-'5. IRR'!KIU16</f>
        <v>-0.0</v>
      </c>
      <c r="KIU45" s="5">
        <f>-'5. IRR'!KIV16</f>
        <v>-0.0</v>
      </c>
      <c r="KIV45" s="5">
        <f>-'5. IRR'!KIW16</f>
        <v>-0.0</v>
      </c>
      <c r="KIW45" s="5">
        <f>-'5. IRR'!KIX16</f>
        <v>-0.0</v>
      </c>
      <c r="KIX45" s="5">
        <f>-'5. IRR'!KIY16</f>
        <v>-0.0</v>
      </c>
      <c r="KIY45" s="5">
        <f>-'5. IRR'!KIZ16</f>
        <v>-0.0</v>
      </c>
      <c r="KIZ45" s="5">
        <f>-'5. IRR'!KJA16</f>
        <v>-0.0</v>
      </c>
      <c r="KJA45" s="5">
        <f>-'5. IRR'!KJB16</f>
        <v>-0.0</v>
      </c>
      <c r="KJB45" s="5">
        <f>-'5. IRR'!KJC16</f>
        <v>-0.0</v>
      </c>
      <c r="KJC45" s="5">
        <f>-'5. IRR'!KJD16</f>
        <v>-0.0</v>
      </c>
      <c r="KJD45" s="5">
        <f>-'5. IRR'!KJE16</f>
        <v>-0.0</v>
      </c>
      <c r="KJE45" s="5">
        <f>-'5. IRR'!KJF16</f>
        <v>-0.0</v>
      </c>
      <c r="KJF45" s="5">
        <f>-'5. IRR'!KJG16</f>
        <v>-0.0</v>
      </c>
      <c r="KJG45" s="5">
        <f>-'5. IRR'!KJH16</f>
        <v>-0.0</v>
      </c>
      <c r="KJH45" s="5">
        <f>-'5. IRR'!KJI16</f>
        <v>-0.0</v>
      </c>
      <c r="KJI45" s="5">
        <f>-'5. IRR'!KJJ16</f>
        <v>-0.0</v>
      </c>
      <c r="KJJ45" s="5">
        <f>-'5. IRR'!KJK16</f>
        <v>-0.0</v>
      </c>
      <c r="KJK45" s="5">
        <f>-'5. IRR'!KJL16</f>
        <v>-0.0</v>
      </c>
      <c r="KJL45" s="5">
        <f>-'5. IRR'!KJM16</f>
        <v>-0.0</v>
      </c>
      <c r="KJM45" s="5">
        <f>-'5. IRR'!KJN16</f>
        <v>-0.0</v>
      </c>
      <c r="KJN45" s="5">
        <f>-'5. IRR'!KJO16</f>
        <v>-0.0</v>
      </c>
      <c r="KJO45" s="5">
        <f>-'5. IRR'!KJP16</f>
        <v>-0.0</v>
      </c>
      <c r="KJP45" s="5">
        <f>-'5. IRR'!KJQ16</f>
        <v>-0.0</v>
      </c>
      <c r="KJQ45" s="5">
        <f>-'5. IRR'!KJR16</f>
        <v>-0.0</v>
      </c>
      <c r="KJR45" s="5">
        <f>-'5. IRR'!KJS16</f>
        <v>-0.0</v>
      </c>
      <c r="KJS45" s="5">
        <f>-'5. IRR'!KJT16</f>
        <v>-0.0</v>
      </c>
      <c r="KJT45" s="5">
        <f>-'5. IRR'!KJU16</f>
        <v>-0.0</v>
      </c>
      <c r="KJU45" s="5">
        <f>-'5. IRR'!KJV16</f>
        <v>-0.0</v>
      </c>
      <c r="KJV45" s="5">
        <f>-'5. IRR'!KJW16</f>
        <v>-0.0</v>
      </c>
      <c r="KJW45" s="5">
        <f>-'5. IRR'!KJX16</f>
        <v>-0.0</v>
      </c>
      <c r="KJX45" s="5">
        <f>-'5. IRR'!KJY16</f>
        <v>-0.0</v>
      </c>
      <c r="KJY45" s="5">
        <f>-'5. IRR'!KJZ16</f>
        <v>-0.0</v>
      </c>
      <c r="KJZ45" s="5">
        <f>-'5. IRR'!KKA16</f>
        <v>-0.0</v>
      </c>
      <c r="KKA45" s="5">
        <f>-'5. IRR'!KKB16</f>
        <v>-0.0</v>
      </c>
      <c r="KKB45" s="5">
        <f>-'5. IRR'!KKC16</f>
        <v>-0.0</v>
      </c>
      <c r="KKC45" s="5">
        <f>-'5. IRR'!KKD16</f>
        <v>-0.0</v>
      </c>
      <c r="KKD45" s="5">
        <f>-'5. IRR'!KKE16</f>
        <v>-0.0</v>
      </c>
      <c r="KKE45" s="5">
        <f>-'5. IRR'!KKF16</f>
        <v>-0.0</v>
      </c>
      <c r="KKF45" s="5">
        <f>-'5. IRR'!KKG16</f>
        <v>-0.0</v>
      </c>
      <c r="KKG45" s="5">
        <f>-'5. IRR'!KKH16</f>
        <v>-0.0</v>
      </c>
      <c r="KKH45" s="5">
        <f>-'5. IRR'!KKI16</f>
        <v>-0.0</v>
      </c>
      <c r="KKI45" s="5">
        <f>-'5. IRR'!KKJ16</f>
        <v>-0.0</v>
      </c>
      <c r="KKJ45" s="5">
        <f>-'5. IRR'!KKK16</f>
        <v>-0.0</v>
      </c>
      <c r="KKK45" s="5">
        <f>-'5. IRR'!KKL16</f>
        <v>-0.0</v>
      </c>
      <c r="KKL45" s="5">
        <f>-'5. IRR'!KKM16</f>
        <v>-0.0</v>
      </c>
      <c r="KKM45" s="5">
        <f>-'5. IRR'!KKN16</f>
        <v>-0.0</v>
      </c>
      <c r="KKN45" s="5">
        <f>-'5. IRR'!KKO16</f>
        <v>-0.0</v>
      </c>
      <c r="KKO45" s="5">
        <f>-'5. IRR'!KKP16</f>
        <v>-0.0</v>
      </c>
      <c r="KKP45" s="5">
        <f>-'5. IRR'!KKQ16</f>
        <v>-0.0</v>
      </c>
      <c r="KKQ45" s="5">
        <f>-'5. IRR'!KKR16</f>
        <v>-0.0</v>
      </c>
      <c r="KKR45" s="5">
        <f>-'5. IRR'!KKS16</f>
        <v>-0.0</v>
      </c>
      <c r="KKS45" s="5">
        <f>-'5. IRR'!KKT16</f>
        <v>-0.0</v>
      </c>
      <c r="KKT45" s="5">
        <f>-'5. IRR'!KKU16</f>
        <v>-0.0</v>
      </c>
      <c r="KKU45" s="5">
        <f>-'5. IRR'!KKV16</f>
        <v>-0.0</v>
      </c>
      <c r="KKV45" s="5">
        <f>-'5. IRR'!KKW16</f>
        <v>-0.0</v>
      </c>
      <c r="KKW45" s="5">
        <f>-'5. IRR'!KKX16</f>
        <v>-0.0</v>
      </c>
      <c r="KKX45" s="5">
        <f>-'5. IRR'!KKY16</f>
        <v>-0.0</v>
      </c>
      <c r="KKY45" s="5">
        <f>-'5. IRR'!KKZ16</f>
        <v>-0.0</v>
      </c>
      <c r="KKZ45" s="5">
        <f>-'5. IRR'!KLA16</f>
        <v>-0.0</v>
      </c>
      <c r="KLA45" s="5">
        <f>-'5. IRR'!KLB16</f>
        <v>-0.0</v>
      </c>
      <c r="KLB45" s="5">
        <f>-'5. IRR'!KLC16</f>
        <v>-0.0</v>
      </c>
      <c r="KLC45" s="5">
        <f>-'5. IRR'!KLD16</f>
        <v>-0.0</v>
      </c>
      <c r="KLD45" s="5">
        <f>-'5. IRR'!KLE16</f>
        <v>-0.0</v>
      </c>
      <c r="KLE45" s="5">
        <f>-'5. IRR'!KLF16</f>
        <v>-0.0</v>
      </c>
      <c r="KLF45" s="5">
        <f>-'5. IRR'!KLG16</f>
        <v>-0.0</v>
      </c>
      <c r="KLG45" s="5">
        <f>-'5. IRR'!KLH16</f>
        <v>-0.0</v>
      </c>
      <c r="KLH45" s="5">
        <f>-'5. IRR'!KLI16</f>
        <v>-0.0</v>
      </c>
      <c r="KLI45" s="5">
        <f>-'5. IRR'!KLJ16</f>
        <v>-0.0</v>
      </c>
      <c r="KLJ45" s="5">
        <f>-'5. IRR'!KLK16</f>
        <v>-0.0</v>
      </c>
      <c r="KLK45" s="5">
        <f>-'5. IRR'!KLL16</f>
        <v>-0.0</v>
      </c>
      <c r="KLL45" s="5">
        <f>-'5. IRR'!KLM16</f>
        <v>-0.0</v>
      </c>
      <c r="KLM45" s="5">
        <f>-'5. IRR'!KLN16</f>
        <v>-0.0</v>
      </c>
      <c r="KLN45" s="5">
        <f>-'5. IRR'!KLO16</f>
        <v>-0.0</v>
      </c>
      <c r="KLO45" s="5">
        <f>-'5. IRR'!KLP16</f>
        <v>-0.0</v>
      </c>
      <c r="KLP45" s="5">
        <f>-'5. IRR'!KLQ16</f>
        <v>-0.0</v>
      </c>
      <c r="KLQ45" s="5">
        <f>-'5. IRR'!KLR16</f>
        <v>-0.0</v>
      </c>
      <c r="KLR45" s="5">
        <f>-'5. IRR'!KLS16</f>
        <v>-0.0</v>
      </c>
      <c r="KLS45" s="5">
        <f>-'5. IRR'!KLT16</f>
        <v>-0.0</v>
      </c>
      <c r="KLT45" s="5">
        <f>-'5. IRR'!KLU16</f>
        <v>-0.0</v>
      </c>
      <c r="KLU45" s="5">
        <f>-'5. IRR'!KLV16</f>
        <v>-0.0</v>
      </c>
      <c r="KLV45" s="5">
        <f>-'5. IRR'!KLW16</f>
        <v>-0.0</v>
      </c>
      <c r="KLW45" s="5">
        <f>-'5. IRR'!KLX16</f>
        <v>-0.0</v>
      </c>
      <c r="KLX45" s="5">
        <f>-'5. IRR'!KLY16</f>
        <v>-0.0</v>
      </c>
      <c r="KLY45" s="5">
        <f>-'5. IRR'!KLZ16</f>
        <v>-0.0</v>
      </c>
      <c r="KLZ45" s="5">
        <f>-'5. IRR'!KMA16</f>
        <v>-0.0</v>
      </c>
      <c r="KMA45" s="5">
        <f>-'5. IRR'!KMB16</f>
        <v>-0.0</v>
      </c>
      <c r="KMB45" s="5">
        <f>-'5. IRR'!KMC16</f>
        <v>-0.0</v>
      </c>
      <c r="KMC45" s="5">
        <f>-'5. IRR'!KMD16</f>
        <v>-0.0</v>
      </c>
      <c r="KMD45" s="5">
        <f>-'5. IRR'!KME16</f>
        <v>-0.0</v>
      </c>
      <c r="KME45" s="5">
        <f>-'5. IRR'!KMF16</f>
        <v>-0.0</v>
      </c>
      <c r="KMF45" s="5">
        <f>-'5. IRR'!KMG16</f>
        <v>-0.0</v>
      </c>
      <c r="KMG45" s="5">
        <f>-'5. IRR'!KMH16</f>
        <v>-0.0</v>
      </c>
      <c r="KMH45" s="5">
        <f>-'5. IRR'!KMI16</f>
        <v>-0.0</v>
      </c>
      <c r="KMI45" s="5">
        <f>-'5. IRR'!KMJ16</f>
        <v>-0.0</v>
      </c>
      <c r="KMJ45" s="5">
        <f>-'5. IRR'!KMK16</f>
        <v>-0.0</v>
      </c>
      <c r="KMK45" s="5">
        <f>-'5. IRR'!KML16</f>
        <v>-0.0</v>
      </c>
      <c r="KML45" s="5">
        <f>-'5. IRR'!KMM16</f>
        <v>-0.0</v>
      </c>
      <c r="KMM45" s="5">
        <f>-'5. IRR'!KMN16</f>
        <v>-0.0</v>
      </c>
      <c r="KMN45" s="5">
        <f>-'5. IRR'!KMO16</f>
        <v>-0.0</v>
      </c>
      <c r="KMO45" s="5">
        <f>-'5. IRR'!KMP16</f>
        <v>-0.0</v>
      </c>
      <c r="KMP45" s="5">
        <f>-'5. IRR'!KMQ16</f>
        <v>-0.0</v>
      </c>
      <c r="KMQ45" s="5">
        <f>-'5. IRR'!KMR16</f>
        <v>-0.0</v>
      </c>
      <c r="KMR45" s="5">
        <f>-'5. IRR'!KMS16</f>
        <v>-0.0</v>
      </c>
      <c r="KMS45" s="5">
        <f>-'5. IRR'!KMT16</f>
        <v>-0.0</v>
      </c>
      <c r="KMT45" s="5">
        <f>-'5. IRR'!KMU16</f>
        <v>-0.0</v>
      </c>
      <c r="KMU45" s="5">
        <f>-'5. IRR'!KMV16</f>
        <v>-0.0</v>
      </c>
      <c r="KMV45" s="5">
        <f>-'5. IRR'!KMW16</f>
        <v>-0.0</v>
      </c>
      <c r="KMW45" s="5">
        <f>-'5. IRR'!KMX16</f>
        <v>-0.0</v>
      </c>
      <c r="KMX45" s="5">
        <f>-'5. IRR'!KMY16</f>
        <v>-0.0</v>
      </c>
      <c r="KMY45" s="5">
        <f>-'5. IRR'!KMZ16</f>
        <v>-0.0</v>
      </c>
      <c r="KMZ45" s="5">
        <f>-'5. IRR'!KNA16</f>
        <v>-0.0</v>
      </c>
      <c r="KNA45" s="5">
        <f>-'5. IRR'!KNB16</f>
        <v>-0.0</v>
      </c>
      <c r="KNB45" s="5">
        <f>-'5. IRR'!KNC16</f>
        <v>-0.0</v>
      </c>
      <c r="KNC45" s="5">
        <f>-'5. IRR'!KND16</f>
        <v>-0.0</v>
      </c>
      <c r="KND45" s="5">
        <f>-'5. IRR'!KNE16</f>
        <v>-0.0</v>
      </c>
      <c r="KNE45" s="5">
        <f>-'5. IRR'!KNF16</f>
        <v>-0.0</v>
      </c>
      <c r="KNF45" s="5">
        <f>-'5. IRR'!KNG16</f>
        <v>-0.0</v>
      </c>
      <c r="KNG45" s="5">
        <f>-'5. IRR'!KNH16</f>
        <v>-0.0</v>
      </c>
      <c r="KNH45" s="5">
        <f>-'5. IRR'!KNI16</f>
        <v>-0.0</v>
      </c>
      <c r="KNI45" s="5">
        <f>-'5. IRR'!KNJ16</f>
        <v>-0.0</v>
      </c>
      <c r="KNJ45" s="5">
        <f>-'5. IRR'!KNK16</f>
        <v>-0.0</v>
      </c>
      <c r="KNK45" s="5">
        <f>-'5. IRR'!KNL16</f>
        <v>-0.0</v>
      </c>
      <c r="KNL45" s="5">
        <f>-'5. IRR'!KNM16</f>
        <v>-0.0</v>
      </c>
      <c r="KNM45" s="5">
        <f>-'5. IRR'!KNN16</f>
        <v>-0.0</v>
      </c>
      <c r="KNN45" s="5">
        <f>-'5. IRR'!KNO16</f>
        <v>-0.0</v>
      </c>
      <c r="KNO45" s="5">
        <f>-'5. IRR'!KNP16</f>
        <v>-0.0</v>
      </c>
      <c r="KNP45" s="5">
        <f>-'5. IRR'!KNQ16</f>
        <v>-0.0</v>
      </c>
      <c r="KNQ45" s="5">
        <f>-'5. IRR'!KNR16</f>
        <v>-0.0</v>
      </c>
      <c r="KNR45" s="5">
        <f>-'5. IRR'!KNS16</f>
        <v>-0.0</v>
      </c>
      <c r="KNS45" s="5">
        <f>-'5. IRR'!KNT16</f>
        <v>-0.0</v>
      </c>
      <c r="KNT45" s="5">
        <f>-'5. IRR'!KNU16</f>
        <v>-0.0</v>
      </c>
      <c r="KNU45" s="5">
        <f>-'5. IRR'!KNV16</f>
        <v>-0.0</v>
      </c>
      <c r="KNV45" s="5">
        <f>-'5. IRR'!KNW16</f>
        <v>-0.0</v>
      </c>
      <c r="KNW45" s="5">
        <f>-'5. IRR'!KNX16</f>
        <v>-0.0</v>
      </c>
      <c r="KNX45" s="5">
        <f>-'5. IRR'!KNY16</f>
        <v>-0.0</v>
      </c>
      <c r="KNY45" s="5">
        <f>-'5. IRR'!KNZ16</f>
        <v>-0.0</v>
      </c>
      <c r="KNZ45" s="5">
        <f>-'5. IRR'!KOA16</f>
        <v>-0.0</v>
      </c>
      <c r="KOA45" s="5">
        <f>-'5. IRR'!KOB16</f>
        <v>-0.0</v>
      </c>
      <c r="KOB45" s="5">
        <f>-'5. IRR'!KOC16</f>
        <v>-0.0</v>
      </c>
      <c r="KOC45" s="5">
        <f>-'5. IRR'!KOD16</f>
        <v>-0.0</v>
      </c>
      <c r="KOD45" s="5">
        <f>-'5. IRR'!KOE16</f>
        <v>-0.0</v>
      </c>
      <c r="KOE45" s="5">
        <f>-'5. IRR'!KOF16</f>
        <v>-0.0</v>
      </c>
      <c r="KOF45" s="5">
        <f>-'5. IRR'!KOG16</f>
        <v>-0.0</v>
      </c>
      <c r="KOG45" s="5">
        <f>-'5. IRR'!KOH16</f>
        <v>-0.0</v>
      </c>
      <c r="KOH45" s="5">
        <f>-'5. IRR'!KOI16</f>
        <v>-0.0</v>
      </c>
      <c r="KOI45" s="5">
        <f>-'5. IRR'!KOJ16</f>
        <v>-0.0</v>
      </c>
      <c r="KOJ45" s="5">
        <f>-'5. IRR'!KOK16</f>
        <v>-0.0</v>
      </c>
      <c r="KOK45" s="5">
        <f>-'5. IRR'!KOL16</f>
        <v>-0.0</v>
      </c>
      <c r="KOL45" s="5">
        <f>-'5. IRR'!KOM16</f>
        <v>-0.0</v>
      </c>
      <c r="KOM45" s="5">
        <f>-'5. IRR'!KON16</f>
        <v>-0.0</v>
      </c>
      <c r="KON45" s="5">
        <f>-'5. IRR'!KOO16</f>
        <v>-0.0</v>
      </c>
      <c r="KOO45" s="5">
        <f>-'5. IRR'!KOP16</f>
        <v>-0.0</v>
      </c>
      <c r="KOP45" s="5">
        <f>-'5. IRR'!KOQ16</f>
        <v>-0.0</v>
      </c>
      <c r="KOQ45" s="5">
        <f>-'5. IRR'!KOR16</f>
        <v>-0.0</v>
      </c>
      <c r="KOR45" s="5">
        <f>-'5. IRR'!KOS16</f>
        <v>-0.0</v>
      </c>
      <c r="KOS45" s="5">
        <f>-'5. IRR'!KOT16</f>
        <v>-0.0</v>
      </c>
      <c r="KOT45" s="5">
        <f>-'5. IRR'!KOU16</f>
        <v>-0.0</v>
      </c>
      <c r="KOU45" s="5">
        <f>-'5. IRR'!KOV16</f>
        <v>-0.0</v>
      </c>
      <c r="KOV45" s="5">
        <f>-'5. IRR'!KOW16</f>
        <v>-0.0</v>
      </c>
      <c r="KOW45" s="5">
        <f>-'5. IRR'!KOX16</f>
        <v>-0.0</v>
      </c>
      <c r="KOX45" s="5">
        <f>-'5. IRR'!KOY16</f>
        <v>-0.0</v>
      </c>
      <c r="KOY45" s="5">
        <f>-'5. IRR'!KOZ16</f>
        <v>-0.0</v>
      </c>
      <c r="KOZ45" s="5">
        <f>-'5. IRR'!KPA16</f>
        <v>-0.0</v>
      </c>
      <c r="KPA45" s="5">
        <f>-'5. IRR'!KPB16</f>
        <v>-0.0</v>
      </c>
      <c r="KPB45" s="5">
        <f>-'5. IRR'!KPC16</f>
        <v>-0.0</v>
      </c>
      <c r="KPC45" s="5">
        <f>-'5. IRR'!KPD16</f>
        <v>-0.0</v>
      </c>
      <c r="KPD45" s="5">
        <f>-'5. IRR'!KPE16</f>
        <v>-0.0</v>
      </c>
      <c r="KPE45" s="5">
        <f>-'5. IRR'!KPF16</f>
        <v>-0.0</v>
      </c>
      <c r="KPF45" s="5">
        <f>-'5. IRR'!KPG16</f>
        <v>-0.0</v>
      </c>
      <c r="KPG45" s="5">
        <f>-'5. IRR'!KPH16</f>
        <v>-0.0</v>
      </c>
      <c r="KPH45" s="5">
        <f>-'5. IRR'!KPI16</f>
        <v>-0.0</v>
      </c>
      <c r="KPI45" s="5">
        <f>-'5. IRR'!KPJ16</f>
        <v>-0.0</v>
      </c>
      <c r="KPJ45" s="5">
        <f>-'5. IRR'!KPK16</f>
        <v>-0.0</v>
      </c>
      <c r="KPK45" s="5">
        <f>-'5. IRR'!KPL16</f>
        <v>-0.0</v>
      </c>
      <c r="KPL45" s="5">
        <f>-'5. IRR'!KPM16</f>
        <v>-0.0</v>
      </c>
      <c r="KPM45" s="5">
        <f>-'5. IRR'!KPN16</f>
        <v>-0.0</v>
      </c>
      <c r="KPN45" s="5">
        <f>-'5. IRR'!KPO16</f>
        <v>-0.0</v>
      </c>
      <c r="KPO45" s="5">
        <f>-'5. IRR'!KPP16</f>
        <v>-0.0</v>
      </c>
      <c r="KPP45" s="5">
        <f>-'5. IRR'!KPQ16</f>
        <v>-0.0</v>
      </c>
      <c r="KPQ45" s="5">
        <f>-'5. IRR'!KPR16</f>
        <v>-0.0</v>
      </c>
      <c r="KPR45" s="5">
        <f>-'5. IRR'!KPS16</f>
        <v>-0.0</v>
      </c>
      <c r="KPS45" s="5">
        <f>-'5. IRR'!KPT16</f>
        <v>-0.0</v>
      </c>
      <c r="KPT45" s="5">
        <f>-'5. IRR'!KPU16</f>
        <v>-0.0</v>
      </c>
      <c r="KPU45" s="5">
        <f>-'5. IRR'!KPV16</f>
        <v>-0.0</v>
      </c>
      <c r="KPV45" s="5">
        <f>-'5. IRR'!KPW16</f>
        <v>-0.0</v>
      </c>
      <c r="KPW45" s="5">
        <f>-'5. IRR'!KPX16</f>
        <v>-0.0</v>
      </c>
      <c r="KPX45" s="5">
        <f>-'5. IRR'!KPY16</f>
        <v>-0.0</v>
      </c>
      <c r="KPY45" s="5">
        <f>-'5. IRR'!KPZ16</f>
        <v>-0.0</v>
      </c>
      <c r="KPZ45" s="5">
        <f>-'5. IRR'!KQA16</f>
        <v>-0.0</v>
      </c>
      <c r="KQA45" s="5">
        <f>-'5. IRR'!KQB16</f>
        <v>-0.0</v>
      </c>
      <c r="KQB45" s="5">
        <f>-'5. IRR'!KQC16</f>
        <v>-0.0</v>
      </c>
      <c r="KQC45" s="5">
        <f>-'5. IRR'!KQD16</f>
        <v>-0.0</v>
      </c>
      <c r="KQD45" s="5">
        <f>-'5. IRR'!KQE16</f>
        <v>-0.0</v>
      </c>
      <c r="KQE45" s="5">
        <f>-'5. IRR'!KQF16</f>
        <v>-0.0</v>
      </c>
      <c r="KQF45" s="5">
        <f>-'5. IRR'!KQG16</f>
        <v>-0.0</v>
      </c>
      <c r="KQG45" s="5">
        <f>-'5. IRR'!KQH16</f>
        <v>-0.0</v>
      </c>
      <c r="KQH45" s="5">
        <f>-'5. IRR'!KQI16</f>
        <v>-0.0</v>
      </c>
      <c r="KQI45" s="5">
        <f>-'5. IRR'!KQJ16</f>
        <v>-0.0</v>
      </c>
      <c r="KQJ45" s="5">
        <f>-'5. IRR'!KQK16</f>
        <v>-0.0</v>
      </c>
      <c r="KQK45" s="5">
        <f>-'5. IRR'!KQL16</f>
        <v>-0.0</v>
      </c>
      <c r="KQL45" s="5">
        <f>-'5. IRR'!KQM16</f>
        <v>-0.0</v>
      </c>
      <c r="KQM45" s="5">
        <f>-'5. IRR'!KQN16</f>
        <v>-0.0</v>
      </c>
      <c r="KQN45" s="5">
        <f>-'5. IRR'!KQO16</f>
        <v>-0.0</v>
      </c>
      <c r="KQO45" s="5">
        <f>-'5. IRR'!KQP16</f>
        <v>-0.0</v>
      </c>
      <c r="KQP45" s="5">
        <f>-'5. IRR'!KQQ16</f>
        <v>-0.0</v>
      </c>
      <c r="KQQ45" s="5">
        <f>-'5. IRR'!KQR16</f>
        <v>-0.0</v>
      </c>
      <c r="KQR45" s="5">
        <f>-'5. IRR'!KQS16</f>
        <v>-0.0</v>
      </c>
      <c r="KQS45" s="5">
        <f>-'5. IRR'!KQT16</f>
        <v>-0.0</v>
      </c>
      <c r="KQT45" s="5">
        <f>-'5. IRR'!KQU16</f>
        <v>-0.0</v>
      </c>
      <c r="KQU45" s="5">
        <f>-'5. IRR'!KQV16</f>
        <v>-0.0</v>
      </c>
      <c r="KQV45" s="5">
        <f>-'5. IRR'!KQW16</f>
        <v>-0.0</v>
      </c>
      <c r="KQW45" s="5">
        <f>-'5. IRR'!KQX16</f>
        <v>-0.0</v>
      </c>
      <c r="KQX45" s="5">
        <f>-'5. IRR'!KQY16</f>
        <v>-0.0</v>
      </c>
      <c r="KQY45" s="5">
        <f>-'5. IRR'!KQZ16</f>
        <v>-0.0</v>
      </c>
      <c r="KQZ45" s="5">
        <f>-'5. IRR'!KRA16</f>
        <v>-0.0</v>
      </c>
      <c r="KRA45" s="5">
        <f>-'5. IRR'!KRB16</f>
        <v>-0.0</v>
      </c>
      <c r="KRB45" s="5">
        <f>-'5. IRR'!KRC16</f>
        <v>-0.0</v>
      </c>
      <c r="KRC45" s="5">
        <f>-'5. IRR'!KRD16</f>
        <v>-0.0</v>
      </c>
      <c r="KRD45" s="5">
        <f>-'5. IRR'!KRE16</f>
        <v>-0.0</v>
      </c>
      <c r="KRE45" s="5">
        <f>-'5. IRR'!KRF16</f>
        <v>-0.0</v>
      </c>
      <c r="KRF45" s="5">
        <f>-'5. IRR'!KRG16</f>
        <v>-0.0</v>
      </c>
      <c r="KRG45" s="5">
        <f>-'5. IRR'!KRH16</f>
        <v>-0.0</v>
      </c>
      <c r="KRH45" s="5">
        <f>-'5. IRR'!KRI16</f>
        <v>-0.0</v>
      </c>
      <c r="KRI45" s="5">
        <f>-'5. IRR'!KRJ16</f>
        <v>-0.0</v>
      </c>
      <c r="KRJ45" s="5">
        <f>-'5. IRR'!KRK16</f>
        <v>-0.0</v>
      </c>
      <c r="KRK45" s="5">
        <f>-'5. IRR'!KRL16</f>
        <v>-0.0</v>
      </c>
      <c r="KRL45" s="5">
        <f>-'5. IRR'!KRM16</f>
        <v>-0.0</v>
      </c>
      <c r="KRM45" s="5">
        <f>-'5. IRR'!KRN16</f>
        <v>-0.0</v>
      </c>
      <c r="KRN45" s="5">
        <f>-'5. IRR'!KRO16</f>
        <v>-0.0</v>
      </c>
      <c r="KRO45" s="5">
        <f>-'5. IRR'!KRP16</f>
        <v>-0.0</v>
      </c>
      <c r="KRP45" s="5">
        <f>-'5. IRR'!KRQ16</f>
        <v>-0.0</v>
      </c>
      <c r="KRQ45" s="5">
        <f>-'5. IRR'!KRR16</f>
        <v>-0.0</v>
      </c>
      <c r="KRR45" s="5">
        <f>-'5. IRR'!KRS16</f>
        <v>-0.0</v>
      </c>
      <c r="KRS45" s="5">
        <f>-'5. IRR'!KRT16</f>
        <v>-0.0</v>
      </c>
      <c r="KRT45" s="5">
        <f>-'5. IRR'!KRU16</f>
        <v>-0.0</v>
      </c>
      <c r="KRU45" s="5">
        <f>-'5. IRR'!KRV16</f>
        <v>-0.0</v>
      </c>
      <c r="KRV45" s="5">
        <f>-'5. IRR'!KRW16</f>
        <v>-0.0</v>
      </c>
      <c r="KRW45" s="5">
        <f>-'5. IRR'!KRX16</f>
        <v>-0.0</v>
      </c>
      <c r="KRX45" s="5">
        <f>-'5. IRR'!KRY16</f>
        <v>-0.0</v>
      </c>
      <c r="KRY45" s="5">
        <f>-'5. IRR'!KRZ16</f>
        <v>-0.0</v>
      </c>
      <c r="KRZ45" s="5">
        <f>-'5. IRR'!KSA16</f>
        <v>-0.0</v>
      </c>
      <c r="KSA45" s="5">
        <f>-'5. IRR'!KSB16</f>
        <v>-0.0</v>
      </c>
      <c r="KSB45" s="5">
        <f>-'5. IRR'!KSC16</f>
        <v>-0.0</v>
      </c>
      <c r="KSC45" s="5">
        <f>-'5. IRR'!KSD16</f>
        <v>-0.0</v>
      </c>
      <c r="KSD45" s="5">
        <f>-'5. IRR'!KSE16</f>
        <v>-0.0</v>
      </c>
      <c r="KSE45" s="5">
        <f>-'5. IRR'!KSF16</f>
        <v>-0.0</v>
      </c>
      <c r="KSF45" s="5">
        <f>-'5. IRR'!KSG16</f>
        <v>-0.0</v>
      </c>
      <c r="KSG45" s="5">
        <f>-'5. IRR'!KSH16</f>
        <v>-0.0</v>
      </c>
      <c r="KSH45" s="5">
        <f>-'5. IRR'!KSI16</f>
        <v>-0.0</v>
      </c>
      <c r="KSI45" s="5">
        <f>-'5. IRR'!KSJ16</f>
        <v>-0.0</v>
      </c>
      <c r="KSJ45" s="5">
        <f>-'5. IRR'!KSK16</f>
        <v>-0.0</v>
      </c>
      <c r="KSK45" s="5">
        <f>-'5. IRR'!KSL16</f>
        <v>-0.0</v>
      </c>
      <c r="KSL45" s="5">
        <f>-'5. IRR'!KSM16</f>
        <v>-0.0</v>
      </c>
      <c r="KSM45" s="5">
        <f>-'5. IRR'!KSN16</f>
        <v>-0.0</v>
      </c>
      <c r="KSN45" s="5">
        <f>-'5. IRR'!KSO16</f>
        <v>-0.0</v>
      </c>
      <c r="KSO45" s="5">
        <f>-'5. IRR'!KSP16</f>
        <v>-0.0</v>
      </c>
      <c r="KSP45" s="5">
        <f>-'5. IRR'!KSQ16</f>
        <v>-0.0</v>
      </c>
      <c r="KSQ45" s="5">
        <f>-'5. IRR'!KSR16</f>
        <v>-0.0</v>
      </c>
      <c r="KSR45" s="5">
        <f>-'5. IRR'!KSS16</f>
        <v>-0.0</v>
      </c>
      <c r="KSS45" s="5">
        <f>-'5. IRR'!KST16</f>
        <v>-0.0</v>
      </c>
      <c r="KST45" s="5">
        <f>-'5. IRR'!KSU16</f>
        <v>-0.0</v>
      </c>
      <c r="KSU45" s="5">
        <f>-'5. IRR'!KSV16</f>
        <v>-0.0</v>
      </c>
      <c r="KSV45" s="5">
        <f>-'5. IRR'!KSW16</f>
        <v>-0.0</v>
      </c>
      <c r="KSW45" s="5">
        <f>-'5. IRR'!KSX16</f>
        <v>-0.0</v>
      </c>
      <c r="KSX45" s="5">
        <f>-'5. IRR'!KSY16</f>
        <v>-0.0</v>
      </c>
      <c r="KSY45" s="5">
        <f>-'5. IRR'!KSZ16</f>
        <v>-0.0</v>
      </c>
      <c r="KSZ45" s="5">
        <f>-'5. IRR'!KTA16</f>
        <v>-0.0</v>
      </c>
      <c r="KTA45" s="5">
        <f>-'5. IRR'!KTB16</f>
        <v>-0.0</v>
      </c>
      <c r="KTB45" s="5">
        <f>-'5. IRR'!KTC16</f>
        <v>-0.0</v>
      </c>
      <c r="KTC45" s="5">
        <f>-'5. IRR'!KTD16</f>
        <v>-0.0</v>
      </c>
      <c r="KTD45" s="5">
        <f>-'5. IRR'!KTE16</f>
        <v>-0.0</v>
      </c>
      <c r="KTE45" s="5">
        <f>-'5. IRR'!KTF16</f>
        <v>-0.0</v>
      </c>
      <c r="KTF45" s="5">
        <f>-'5. IRR'!KTG16</f>
        <v>-0.0</v>
      </c>
      <c r="KTG45" s="5">
        <f>-'5. IRR'!KTH16</f>
        <v>-0.0</v>
      </c>
      <c r="KTH45" s="5">
        <f>-'5. IRR'!KTI16</f>
        <v>-0.0</v>
      </c>
      <c r="KTI45" s="5">
        <f>-'5. IRR'!KTJ16</f>
        <v>-0.0</v>
      </c>
      <c r="KTJ45" s="5">
        <f>-'5. IRR'!KTK16</f>
        <v>-0.0</v>
      </c>
      <c r="KTK45" s="5">
        <f>-'5. IRR'!KTL16</f>
        <v>-0.0</v>
      </c>
      <c r="KTL45" s="5">
        <f>-'5. IRR'!KTM16</f>
        <v>-0.0</v>
      </c>
      <c r="KTM45" s="5">
        <f>-'5. IRR'!KTN16</f>
        <v>-0.0</v>
      </c>
      <c r="KTN45" s="5">
        <f>-'5. IRR'!KTO16</f>
        <v>-0.0</v>
      </c>
      <c r="KTO45" s="5">
        <f>-'5. IRR'!KTP16</f>
        <v>-0.0</v>
      </c>
      <c r="KTP45" s="5">
        <f>-'5. IRR'!KTQ16</f>
        <v>-0.0</v>
      </c>
      <c r="KTQ45" s="5">
        <f>-'5. IRR'!KTR16</f>
        <v>-0.0</v>
      </c>
      <c r="KTR45" s="5">
        <f>-'5. IRR'!KTS16</f>
        <v>-0.0</v>
      </c>
      <c r="KTS45" s="5">
        <f>-'5. IRR'!KTT16</f>
        <v>-0.0</v>
      </c>
      <c r="KTT45" s="5">
        <f>-'5. IRR'!KTU16</f>
        <v>-0.0</v>
      </c>
      <c r="KTU45" s="5">
        <f>-'5. IRR'!KTV16</f>
        <v>-0.0</v>
      </c>
      <c r="KTV45" s="5">
        <f>-'5. IRR'!KTW16</f>
        <v>-0.0</v>
      </c>
      <c r="KTW45" s="5">
        <f>-'5. IRR'!KTX16</f>
        <v>-0.0</v>
      </c>
      <c r="KTX45" s="5">
        <f>-'5. IRR'!KTY16</f>
        <v>-0.0</v>
      </c>
      <c r="KTY45" s="5">
        <f>-'5. IRR'!KTZ16</f>
        <v>-0.0</v>
      </c>
      <c r="KTZ45" s="5">
        <f>-'5. IRR'!KUA16</f>
        <v>-0.0</v>
      </c>
      <c r="KUA45" s="5">
        <f>-'5. IRR'!KUB16</f>
        <v>-0.0</v>
      </c>
      <c r="KUB45" s="5">
        <f>-'5. IRR'!KUC16</f>
        <v>-0.0</v>
      </c>
      <c r="KUC45" s="5">
        <f>-'5. IRR'!KUD16</f>
        <v>-0.0</v>
      </c>
      <c r="KUD45" s="5">
        <f>-'5. IRR'!KUE16</f>
        <v>-0.0</v>
      </c>
      <c r="KUE45" s="5">
        <f>-'5. IRR'!KUF16</f>
        <v>-0.0</v>
      </c>
      <c r="KUF45" s="5">
        <f>-'5. IRR'!KUG16</f>
        <v>-0.0</v>
      </c>
      <c r="KUG45" s="5">
        <f>-'5. IRR'!KUH16</f>
        <v>-0.0</v>
      </c>
      <c r="KUH45" s="5">
        <f>-'5. IRR'!KUI16</f>
        <v>-0.0</v>
      </c>
      <c r="KUI45" s="5">
        <f>-'5. IRR'!KUJ16</f>
        <v>-0.0</v>
      </c>
      <c r="KUJ45" s="5">
        <f>-'5. IRR'!KUK16</f>
        <v>-0.0</v>
      </c>
      <c r="KUK45" s="5">
        <f>-'5. IRR'!KUL16</f>
        <v>-0.0</v>
      </c>
      <c r="KUL45" s="5">
        <f>-'5. IRR'!KUM16</f>
        <v>-0.0</v>
      </c>
      <c r="KUM45" s="5">
        <f>-'5. IRR'!KUN16</f>
        <v>-0.0</v>
      </c>
      <c r="KUN45" s="5">
        <f>-'5. IRR'!KUO16</f>
        <v>-0.0</v>
      </c>
      <c r="KUO45" s="5">
        <f>-'5. IRR'!KUP16</f>
        <v>-0.0</v>
      </c>
      <c r="KUP45" s="5">
        <f>-'5. IRR'!KUQ16</f>
        <v>-0.0</v>
      </c>
      <c r="KUQ45" s="5">
        <f>-'5. IRR'!KUR16</f>
        <v>-0.0</v>
      </c>
      <c r="KUR45" s="5">
        <f>-'5. IRR'!KUS16</f>
        <v>-0.0</v>
      </c>
      <c r="KUS45" s="5">
        <f>-'5. IRR'!KUT16</f>
        <v>-0.0</v>
      </c>
      <c r="KUT45" s="5">
        <f>-'5. IRR'!KUU16</f>
        <v>-0.0</v>
      </c>
      <c r="KUU45" s="5">
        <f>-'5. IRR'!KUV16</f>
        <v>-0.0</v>
      </c>
      <c r="KUV45" s="5">
        <f>-'5. IRR'!KUW16</f>
        <v>-0.0</v>
      </c>
      <c r="KUW45" s="5">
        <f>-'5. IRR'!KUX16</f>
        <v>-0.0</v>
      </c>
      <c r="KUX45" s="5">
        <f>-'5. IRR'!KUY16</f>
        <v>-0.0</v>
      </c>
      <c r="KUY45" s="5">
        <f>-'5. IRR'!KUZ16</f>
        <v>-0.0</v>
      </c>
      <c r="KUZ45" s="5">
        <f>-'5. IRR'!KVA16</f>
        <v>-0.0</v>
      </c>
      <c r="KVA45" s="5">
        <f>-'5. IRR'!KVB16</f>
        <v>-0.0</v>
      </c>
      <c r="KVB45" s="5">
        <f>-'5. IRR'!KVC16</f>
        <v>-0.0</v>
      </c>
      <c r="KVC45" s="5">
        <f>-'5. IRR'!KVD16</f>
        <v>-0.0</v>
      </c>
      <c r="KVD45" s="5">
        <f>-'5. IRR'!KVE16</f>
        <v>-0.0</v>
      </c>
      <c r="KVE45" s="5">
        <f>-'5. IRR'!KVF16</f>
        <v>-0.0</v>
      </c>
      <c r="KVF45" s="5">
        <f>-'5. IRR'!KVG16</f>
        <v>-0.0</v>
      </c>
      <c r="KVG45" s="5">
        <f>-'5. IRR'!KVH16</f>
        <v>-0.0</v>
      </c>
      <c r="KVH45" s="5">
        <f>-'5. IRR'!KVI16</f>
        <v>-0.0</v>
      </c>
      <c r="KVI45" s="5">
        <f>-'5. IRR'!KVJ16</f>
        <v>-0.0</v>
      </c>
      <c r="KVJ45" s="5">
        <f>-'5. IRR'!KVK16</f>
        <v>-0.0</v>
      </c>
      <c r="KVK45" s="5">
        <f>-'5. IRR'!KVL16</f>
        <v>-0.0</v>
      </c>
      <c r="KVL45" s="5">
        <f>-'5. IRR'!KVM16</f>
        <v>-0.0</v>
      </c>
      <c r="KVM45" s="5">
        <f>-'5. IRR'!KVN16</f>
        <v>-0.0</v>
      </c>
      <c r="KVN45" s="5">
        <f>-'5. IRR'!KVO16</f>
        <v>-0.0</v>
      </c>
      <c r="KVO45" s="5">
        <f>-'5. IRR'!KVP16</f>
        <v>-0.0</v>
      </c>
      <c r="KVP45" s="5">
        <f>-'5. IRR'!KVQ16</f>
        <v>-0.0</v>
      </c>
      <c r="KVQ45" s="5">
        <f>-'5. IRR'!KVR16</f>
        <v>-0.0</v>
      </c>
      <c r="KVR45" s="5">
        <f>-'5. IRR'!KVS16</f>
        <v>-0.0</v>
      </c>
      <c r="KVS45" s="5">
        <f>-'5. IRR'!KVT16</f>
        <v>-0.0</v>
      </c>
      <c r="KVT45" s="5">
        <f>-'5. IRR'!KVU16</f>
        <v>-0.0</v>
      </c>
      <c r="KVU45" s="5">
        <f>-'5. IRR'!KVV16</f>
        <v>-0.0</v>
      </c>
      <c r="KVV45" s="5">
        <f>-'5. IRR'!KVW16</f>
        <v>-0.0</v>
      </c>
      <c r="KVW45" s="5">
        <f>-'5. IRR'!KVX16</f>
        <v>-0.0</v>
      </c>
      <c r="KVX45" s="5">
        <f>-'5. IRR'!KVY16</f>
        <v>-0.0</v>
      </c>
      <c r="KVY45" s="5">
        <f>-'5. IRR'!KVZ16</f>
        <v>-0.0</v>
      </c>
      <c r="KVZ45" s="5">
        <f>-'5. IRR'!KWA16</f>
        <v>-0.0</v>
      </c>
      <c r="KWA45" s="5">
        <f>-'5. IRR'!KWB16</f>
        <v>-0.0</v>
      </c>
      <c r="KWB45" s="5">
        <f>-'5. IRR'!KWC16</f>
        <v>-0.0</v>
      </c>
      <c r="KWC45" s="5">
        <f>-'5. IRR'!KWD16</f>
        <v>-0.0</v>
      </c>
      <c r="KWD45" s="5">
        <f>-'5. IRR'!KWE16</f>
        <v>-0.0</v>
      </c>
      <c r="KWE45" s="5">
        <f>-'5. IRR'!KWF16</f>
        <v>-0.0</v>
      </c>
      <c r="KWF45" s="5">
        <f>-'5. IRR'!KWG16</f>
        <v>-0.0</v>
      </c>
      <c r="KWG45" s="5">
        <f>-'5. IRR'!KWH16</f>
        <v>-0.0</v>
      </c>
      <c r="KWH45" s="5">
        <f>-'5. IRR'!KWI16</f>
        <v>-0.0</v>
      </c>
      <c r="KWI45" s="5">
        <f>-'5. IRR'!KWJ16</f>
        <v>-0.0</v>
      </c>
      <c r="KWJ45" s="5">
        <f>-'5. IRR'!KWK16</f>
        <v>-0.0</v>
      </c>
      <c r="KWK45" s="5">
        <f>-'5. IRR'!KWL16</f>
        <v>-0.0</v>
      </c>
      <c r="KWL45" s="5">
        <f>-'5. IRR'!KWM16</f>
        <v>-0.0</v>
      </c>
      <c r="KWM45" s="5">
        <f>-'5. IRR'!KWN16</f>
        <v>-0.0</v>
      </c>
      <c r="KWN45" s="5">
        <f>-'5. IRR'!KWO16</f>
        <v>-0.0</v>
      </c>
      <c r="KWO45" s="5">
        <f>-'5. IRR'!KWP16</f>
        <v>-0.0</v>
      </c>
      <c r="KWP45" s="5">
        <f>-'5. IRR'!KWQ16</f>
        <v>-0.0</v>
      </c>
      <c r="KWQ45" s="5">
        <f>-'5. IRR'!KWR16</f>
        <v>-0.0</v>
      </c>
      <c r="KWR45" s="5">
        <f>-'5. IRR'!KWS16</f>
        <v>-0.0</v>
      </c>
      <c r="KWS45" s="5">
        <f>-'5. IRR'!KWT16</f>
        <v>-0.0</v>
      </c>
      <c r="KWT45" s="5">
        <f>-'5. IRR'!KWU16</f>
        <v>-0.0</v>
      </c>
      <c r="KWU45" s="5">
        <f>-'5. IRR'!KWV16</f>
        <v>-0.0</v>
      </c>
      <c r="KWV45" s="5">
        <f>-'5. IRR'!KWW16</f>
        <v>-0.0</v>
      </c>
      <c r="KWW45" s="5">
        <f>-'5. IRR'!KWX16</f>
        <v>-0.0</v>
      </c>
      <c r="KWX45" s="5">
        <f>-'5. IRR'!KWY16</f>
        <v>-0.0</v>
      </c>
      <c r="KWY45" s="5">
        <f>-'5. IRR'!KWZ16</f>
        <v>-0.0</v>
      </c>
      <c r="KWZ45" s="5">
        <f>-'5. IRR'!KXA16</f>
        <v>-0.0</v>
      </c>
      <c r="KXA45" s="5">
        <f>-'5. IRR'!KXB16</f>
        <v>-0.0</v>
      </c>
      <c r="KXB45" s="5">
        <f>-'5. IRR'!KXC16</f>
        <v>-0.0</v>
      </c>
      <c r="KXC45" s="5">
        <f>-'5. IRR'!KXD16</f>
        <v>-0.0</v>
      </c>
      <c r="KXD45" s="5">
        <f>-'5. IRR'!KXE16</f>
        <v>-0.0</v>
      </c>
      <c r="KXE45" s="5">
        <f>-'5. IRR'!KXF16</f>
        <v>-0.0</v>
      </c>
      <c r="KXF45" s="5">
        <f>-'5. IRR'!KXG16</f>
        <v>-0.0</v>
      </c>
      <c r="KXG45" s="5">
        <f>-'5. IRR'!KXH16</f>
        <v>-0.0</v>
      </c>
      <c r="KXH45" s="5">
        <f>-'5. IRR'!KXI16</f>
        <v>-0.0</v>
      </c>
      <c r="KXI45" s="5">
        <f>-'5. IRR'!KXJ16</f>
        <v>-0.0</v>
      </c>
      <c r="KXJ45" s="5">
        <f>-'5. IRR'!KXK16</f>
        <v>-0.0</v>
      </c>
      <c r="KXK45" s="5">
        <f>-'5. IRR'!KXL16</f>
        <v>-0.0</v>
      </c>
      <c r="KXL45" s="5">
        <f>-'5. IRR'!KXM16</f>
        <v>-0.0</v>
      </c>
      <c r="KXM45" s="5">
        <f>-'5. IRR'!KXN16</f>
        <v>-0.0</v>
      </c>
      <c r="KXN45" s="5">
        <f>-'5. IRR'!KXO16</f>
        <v>-0.0</v>
      </c>
      <c r="KXO45" s="5">
        <f>-'5. IRR'!KXP16</f>
        <v>-0.0</v>
      </c>
      <c r="KXP45" s="5">
        <f>-'5. IRR'!KXQ16</f>
        <v>-0.0</v>
      </c>
      <c r="KXQ45" s="5">
        <f>-'5. IRR'!KXR16</f>
        <v>-0.0</v>
      </c>
      <c r="KXR45" s="5">
        <f>-'5. IRR'!KXS16</f>
        <v>-0.0</v>
      </c>
      <c r="KXS45" s="5">
        <f>-'5. IRR'!KXT16</f>
        <v>-0.0</v>
      </c>
      <c r="KXT45" s="5">
        <f>-'5. IRR'!KXU16</f>
        <v>-0.0</v>
      </c>
      <c r="KXU45" s="5">
        <f>-'5. IRR'!KXV16</f>
        <v>-0.0</v>
      </c>
      <c r="KXV45" s="5">
        <f>-'5. IRR'!KXW16</f>
        <v>-0.0</v>
      </c>
      <c r="KXW45" s="5">
        <f>-'5. IRR'!KXX16</f>
        <v>-0.0</v>
      </c>
      <c r="KXX45" s="5">
        <f>-'5. IRR'!KXY16</f>
        <v>-0.0</v>
      </c>
      <c r="KXY45" s="5">
        <f>-'5. IRR'!KXZ16</f>
        <v>-0.0</v>
      </c>
      <c r="KXZ45" s="5">
        <f>-'5. IRR'!KYA16</f>
        <v>-0.0</v>
      </c>
      <c r="KYA45" s="5">
        <f>-'5. IRR'!KYB16</f>
        <v>-0.0</v>
      </c>
      <c r="KYB45" s="5">
        <f>-'5. IRR'!KYC16</f>
        <v>-0.0</v>
      </c>
      <c r="KYC45" s="5">
        <f>-'5. IRR'!KYD16</f>
        <v>-0.0</v>
      </c>
      <c r="KYD45" s="5">
        <f>-'5. IRR'!KYE16</f>
        <v>-0.0</v>
      </c>
      <c r="KYE45" s="5">
        <f>-'5. IRR'!KYF16</f>
        <v>-0.0</v>
      </c>
      <c r="KYF45" s="5">
        <f>-'5. IRR'!KYG16</f>
        <v>-0.0</v>
      </c>
      <c r="KYG45" s="5">
        <f>-'5. IRR'!KYH16</f>
        <v>-0.0</v>
      </c>
      <c r="KYH45" s="5">
        <f>-'5. IRR'!KYI16</f>
        <v>-0.0</v>
      </c>
      <c r="KYI45" s="5">
        <f>-'5. IRR'!KYJ16</f>
        <v>-0.0</v>
      </c>
      <c r="KYJ45" s="5">
        <f>-'5. IRR'!KYK16</f>
        <v>-0.0</v>
      </c>
      <c r="KYK45" s="5">
        <f>-'5. IRR'!KYL16</f>
        <v>-0.0</v>
      </c>
      <c r="KYL45" s="5">
        <f>-'5. IRR'!KYM16</f>
        <v>-0.0</v>
      </c>
      <c r="KYM45" s="5">
        <f>-'5. IRR'!KYN16</f>
        <v>-0.0</v>
      </c>
      <c r="KYN45" s="5">
        <f>-'5. IRR'!KYO16</f>
        <v>-0.0</v>
      </c>
      <c r="KYO45" s="5">
        <f>-'5. IRR'!KYP16</f>
        <v>-0.0</v>
      </c>
      <c r="KYP45" s="5">
        <f>-'5. IRR'!KYQ16</f>
        <v>-0.0</v>
      </c>
      <c r="KYQ45" s="5">
        <f>-'5. IRR'!KYR16</f>
        <v>-0.0</v>
      </c>
      <c r="KYR45" s="5">
        <f>-'5. IRR'!KYS16</f>
        <v>-0.0</v>
      </c>
      <c r="KYS45" s="5">
        <f>-'5. IRR'!KYT16</f>
        <v>-0.0</v>
      </c>
      <c r="KYT45" s="5">
        <f>-'5. IRR'!KYU16</f>
        <v>-0.0</v>
      </c>
      <c r="KYU45" s="5">
        <f>-'5. IRR'!KYV16</f>
        <v>-0.0</v>
      </c>
      <c r="KYV45" s="5">
        <f>-'5. IRR'!KYW16</f>
        <v>-0.0</v>
      </c>
      <c r="KYW45" s="5">
        <f>-'5. IRR'!KYX16</f>
        <v>-0.0</v>
      </c>
      <c r="KYX45" s="5">
        <f>-'5. IRR'!KYY16</f>
        <v>-0.0</v>
      </c>
      <c r="KYY45" s="5">
        <f>-'5. IRR'!KYZ16</f>
        <v>-0.0</v>
      </c>
      <c r="KYZ45" s="5">
        <f>-'5. IRR'!KZA16</f>
        <v>-0.0</v>
      </c>
      <c r="KZA45" s="5">
        <f>-'5. IRR'!KZB16</f>
        <v>-0.0</v>
      </c>
      <c r="KZB45" s="5">
        <f>-'5. IRR'!KZC16</f>
        <v>-0.0</v>
      </c>
      <c r="KZC45" s="5">
        <f>-'5. IRR'!KZD16</f>
        <v>-0.0</v>
      </c>
      <c r="KZD45" s="5">
        <f>-'5. IRR'!KZE16</f>
        <v>-0.0</v>
      </c>
      <c r="KZE45" s="5">
        <f>-'5. IRR'!KZF16</f>
        <v>-0.0</v>
      </c>
      <c r="KZF45" s="5">
        <f>-'5. IRR'!KZG16</f>
        <v>-0.0</v>
      </c>
      <c r="KZG45" s="5">
        <f>-'5. IRR'!KZH16</f>
        <v>-0.0</v>
      </c>
      <c r="KZH45" s="5">
        <f>-'5. IRR'!KZI16</f>
        <v>-0.0</v>
      </c>
      <c r="KZI45" s="5">
        <f>-'5. IRR'!KZJ16</f>
        <v>-0.0</v>
      </c>
      <c r="KZJ45" s="5">
        <f>-'5. IRR'!KZK16</f>
        <v>-0.0</v>
      </c>
      <c r="KZK45" s="5">
        <f>-'5. IRR'!KZL16</f>
        <v>-0.0</v>
      </c>
      <c r="KZL45" s="5">
        <f>-'5. IRR'!KZM16</f>
        <v>-0.0</v>
      </c>
      <c r="KZM45" s="5">
        <f>-'5. IRR'!KZN16</f>
        <v>-0.0</v>
      </c>
      <c r="KZN45" s="5">
        <f>-'5. IRR'!KZO16</f>
        <v>-0.0</v>
      </c>
      <c r="KZO45" s="5">
        <f>-'5. IRR'!KZP16</f>
        <v>-0.0</v>
      </c>
      <c r="KZP45" s="5">
        <f>-'5. IRR'!KZQ16</f>
        <v>-0.0</v>
      </c>
      <c r="KZQ45" s="5">
        <f>-'5. IRR'!KZR16</f>
        <v>-0.0</v>
      </c>
      <c r="KZR45" s="5">
        <f>-'5. IRR'!KZS16</f>
        <v>-0.0</v>
      </c>
      <c r="KZS45" s="5">
        <f>-'5. IRR'!KZT16</f>
        <v>-0.0</v>
      </c>
      <c r="KZT45" s="5">
        <f>-'5. IRR'!KZU16</f>
        <v>-0.0</v>
      </c>
      <c r="KZU45" s="5">
        <f>-'5. IRR'!KZV16</f>
        <v>-0.0</v>
      </c>
      <c r="KZV45" s="5">
        <f>-'5. IRR'!KZW16</f>
        <v>-0.0</v>
      </c>
      <c r="KZW45" s="5">
        <f>-'5. IRR'!KZX16</f>
        <v>-0.0</v>
      </c>
      <c r="KZX45" s="5">
        <f>-'5. IRR'!KZY16</f>
        <v>-0.0</v>
      </c>
      <c r="KZY45" s="5">
        <f>-'5. IRR'!KZZ16</f>
        <v>-0.0</v>
      </c>
      <c r="KZZ45" s="5">
        <f>-'5. IRR'!LAA16</f>
        <v>-0.0</v>
      </c>
      <c r="LAA45" s="5">
        <f>-'5. IRR'!LAB16</f>
        <v>-0.0</v>
      </c>
      <c r="LAB45" s="5">
        <f>-'5. IRR'!LAC16</f>
        <v>-0.0</v>
      </c>
      <c r="LAC45" s="5">
        <f>-'5. IRR'!LAD16</f>
        <v>-0.0</v>
      </c>
      <c r="LAD45" s="5">
        <f>-'5. IRR'!LAE16</f>
        <v>-0.0</v>
      </c>
      <c r="LAE45" s="5">
        <f>-'5. IRR'!LAF16</f>
        <v>-0.0</v>
      </c>
      <c r="LAF45" s="5">
        <f>-'5. IRR'!LAG16</f>
        <v>-0.0</v>
      </c>
      <c r="LAG45" s="5">
        <f>-'5. IRR'!LAH16</f>
        <v>-0.0</v>
      </c>
      <c r="LAH45" s="5">
        <f>-'5. IRR'!LAI16</f>
        <v>-0.0</v>
      </c>
      <c r="LAI45" s="5">
        <f>-'5. IRR'!LAJ16</f>
        <v>-0.0</v>
      </c>
      <c r="LAJ45" s="5">
        <f>-'5. IRR'!LAK16</f>
        <v>-0.0</v>
      </c>
      <c r="LAK45" s="5">
        <f>-'5. IRR'!LAL16</f>
        <v>-0.0</v>
      </c>
      <c r="LAL45" s="5">
        <f>-'5. IRR'!LAM16</f>
        <v>-0.0</v>
      </c>
      <c r="LAM45" s="5">
        <f>-'5. IRR'!LAN16</f>
        <v>-0.0</v>
      </c>
      <c r="LAN45" s="5">
        <f>-'5. IRR'!LAO16</f>
        <v>-0.0</v>
      </c>
      <c r="LAO45" s="5">
        <f>-'5. IRR'!LAP16</f>
        <v>-0.0</v>
      </c>
      <c r="LAP45" s="5">
        <f>-'5. IRR'!LAQ16</f>
        <v>-0.0</v>
      </c>
      <c r="LAQ45" s="5">
        <f>-'5. IRR'!LAR16</f>
        <v>-0.0</v>
      </c>
      <c r="LAR45" s="5">
        <f>-'5. IRR'!LAS16</f>
        <v>-0.0</v>
      </c>
      <c r="LAS45" s="5">
        <f>-'5. IRR'!LAT16</f>
        <v>-0.0</v>
      </c>
      <c r="LAT45" s="5">
        <f>-'5. IRR'!LAU16</f>
        <v>-0.0</v>
      </c>
      <c r="LAU45" s="5">
        <f>-'5. IRR'!LAV16</f>
        <v>-0.0</v>
      </c>
      <c r="LAV45" s="5">
        <f>-'5. IRR'!LAW16</f>
        <v>-0.0</v>
      </c>
      <c r="LAW45" s="5">
        <f>-'5. IRR'!LAX16</f>
        <v>-0.0</v>
      </c>
      <c r="LAX45" s="5">
        <f>-'5. IRR'!LAY16</f>
        <v>-0.0</v>
      </c>
      <c r="LAY45" s="5">
        <f>-'5. IRR'!LAZ16</f>
        <v>-0.0</v>
      </c>
      <c r="LAZ45" s="5">
        <f>-'5. IRR'!LBA16</f>
        <v>-0.0</v>
      </c>
      <c r="LBA45" s="5">
        <f>-'5. IRR'!LBB16</f>
        <v>-0.0</v>
      </c>
      <c r="LBB45" s="5">
        <f>-'5. IRR'!LBC16</f>
        <v>-0.0</v>
      </c>
      <c r="LBC45" s="5">
        <f>-'5. IRR'!LBD16</f>
        <v>-0.0</v>
      </c>
      <c r="LBD45" s="5">
        <f>-'5. IRR'!LBE16</f>
        <v>-0.0</v>
      </c>
      <c r="LBE45" s="5">
        <f>-'5. IRR'!LBF16</f>
        <v>-0.0</v>
      </c>
      <c r="LBF45" s="5">
        <f>-'5. IRR'!LBG16</f>
        <v>-0.0</v>
      </c>
      <c r="LBG45" s="5">
        <f>-'5. IRR'!LBH16</f>
        <v>-0.0</v>
      </c>
      <c r="LBH45" s="5">
        <f>-'5. IRR'!LBI16</f>
        <v>-0.0</v>
      </c>
      <c r="LBI45" s="5">
        <f>-'5. IRR'!LBJ16</f>
        <v>-0.0</v>
      </c>
      <c r="LBJ45" s="5">
        <f>-'5. IRR'!LBK16</f>
        <v>-0.0</v>
      </c>
      <c r="LBK45" s="5">
        <f>-'5. IRR'!LBL16</f>
        <v>-0.0</v>
      </c>
      <c r="LBL45" s="5">
        <f>-'5. IRR'!LBM16</f>
        <v>-0.0</v>
      </c>
      <c r="LBM45" s="5">
        <f>-'5. IRR'!LBN16</f>
        <v>-0.0</v>
      </c>
      <c r="LBN45" s="5">
        <f>-'5. IRR'!LBO16</f>
        <v>-0.0</v>
      </c>
      <c r="LBO45" s="5">
        <f>-'5. IRR'!LBP16</f>
        <v>-0.0</v>
      </c>
      <c r="LBP45" s="5">
        <f>-'5. IRR'!LBQ16</f>
        <v>-0.0</v>
      </c>
      <c r="LBQ45" s="5">
        <f>-'5. IRR'!LBR16</f>
        <v>-0.0</v>
      </c>
      <c r="LBR45" s="5">
        <f>-'5. IRR'!LBS16</f>
        <v>-0.0</v>
      </c>
      <c r="LBS45" s="5">
        <f>-'5. IRR'!LBT16</f>
        <v>-0.0</v>
      </c>
      <c r="LBT45" s="5">
        <f>-'5. IRR'!LBU16</f>
        <v>-0.0</v>
      </c>
      <c r="LBU45" s="5">
        <f>-'5. IRR'!LBV16</f>
        <v>-0.0</v>
      </c>
      <c r="LBV45" s="5">
        <f>-'5. IRR'!LBW16</f>
        <v>-0.0</v>
      </c>
      <c r="LBW45" s="5">
        <f>-'5. IRR'!LBX16</f>
        <v>-0.0</v>
      </c>
      <c r="LBX45" s="5">
        <f>-'5. IRR'!LBY16</f>
        <v>-0.0</v>
      </c>
      <c r="LBY45" s="5">
        <f>-'5. IRR'!LBZ16</f>
        <v>-0.0</v>
      </c>
      <c r="LBZ45" s="5">
        <f>-'5. IRR'!LCA16</f>
        <v>-0.0</v>
      </c>
      <c r="LCA45" s="5">
        <f>-'5. IRR'!LCB16</f>
        <v>-0.0</v>
      </c>
      <c r="LCB45" s="5">
        <f>-'5. IRR'!LCC16</f>
        <v>-0.0</v>
      </c>
      <c r="LCC45" s="5">
        <f>-'5. IRR'!LCD16</f>
        <v>-0.0</v>
      </c>
      <c r="LCD45" s="5">
        <f>-'5. IRR'!LCE16</f>
        <v>-0.0</v>
      </c>
      <c r="LCE45" s="5">
        <f>-'5. IRR'!LCF16</f>
        <v>-0.0</v>
      </c>
      <c r="LCF45" s="5">
        <f>-'5. IRR'!LCG16</f>
        <v>-0.0</v>
      </c>
      <c r="LCG45" s="5">
        <f>-'5. IRR'!LCH16</f>
        <v>-0.0</v>
      </c>
      <c r="LCH45" s="5">
        <f>-'5. IRR'!LCI16</f>
        <v>-0.0</v>
      </c>
      <c r="LCI45" s="5">
        <f>-'5. IRR'!LCJ16</f>
        <v>-0.0</v>
      </c>
      <c r="LCJ45" s="5">
        <f>-'5. IRR'!LCK16</f>
        <v>-0.0</v>
      </c>
      <c r="LCK45" s="5">
        <f>-'5. IRR'!LCL16</f>
        <v>-0.0</v>
      </c>
      <c r="LCL45" s="5">
        <f>-'5. IRR'!LCM16</f>
        <v>-0.0</v>
      </c>
      <c r="LCM45" s="5">
        <f>-'5. IRR'!LCN16</f>
        <v>-0.0</v>
      </c>
      <c r="LCN45" s="5">
        <f>-'5. IRR'!LCO16</f>
        <v>-0.0</v>
      </c>
      <c r="LCO45" s="5">
        <f>-'5. IRR'!LCP16</f>
        <v>-0.0</v>
      </c>
      <c r="LCP45" s="5">
        <f>-'5. IRR'!LCQ16</f>
        <v>-0.0</v>
      </c>
      <c r="LCQ45" s="5">
        <f>-'5. IRR'!LCR16</f>
        <v>-0.0</v>
      </c>
      <c r="LCR45" s="5">
        <f>-'5. IRR'!LCS16</f>
        <v>-0.0</v>
      </c>
      <c r="LCS45" s="5">
        <f>-'5. IRR'!LCT16</f>
        <v>-0.0</v>
      </c>
      <c r="LCT45" s="5">
        <f>-'5. IRR'!LCU16</f>
        <v>-0.0</v>
      </c>
      <c r="LCU45" s="5">
        <f>-'5. IRR'!LCV16</f>
        <v>-0.0</v>
      </c>
      <c r="LCV45" s="5">
        <f>-'5. IRR'!LCW16</f>
        <v>-0.0</v>
      </c>
      <c r="LCW45" s="5">
        <f>-'5. IRR'!LCX16</f>
        <v>-0.0</v>
      </c>
      <c r="LCX45" s="5">
        <f>-'5. IRR'!LCY16</f>
        <v>-0.0</v>
      </c>
      <c r="LCY45" s="5">
        <f>-'5. IRR'!LCZ16</f>
        <v>-0.0</v>
      </c>
      <c r="LCZ45" s="5">
        <f>-'5. IRR'!LDA16</f>
        <v>-0.0</v>
      </c>
      <c r="LDA45" s="5">
        <f>-'5. IRR'!LDB16</f>
        <v>-0.0</v>
      </c>
      <c r="LDB45" s="5">
        <f>-'5. IRR'!LDC16</f>
        <v>-0.0</v>
      </c>
      <c r="LDC45" s="5">
        <f>-'5. IRR'!LDD16</f>
        <v>-0.0</v>
      </c>
      <c r="LDD45" s="5">
        <f>-'5. IRR'!LDE16</f>
        <v>-0.0</v>
      </c>
      <c r="LDE45" s="5">
        <f>-'5. IRR'!LDF16</f>
        <v>-0.0</v>
      </c>
      <c r="LDF45" s="5">
        <f>-'5. IRR'!LDG16</f>
        <v>-0.0</v>
      </c>
      <c r="LDG45" s="5">
        <f>-'5. IRR'!LDH16</f>
        <v>-0.0</v>
      </c>
      <c r="LDH45" s="5">
        <f>-'5. IRR'!LDI16</f>
        <v>-0.0</v>
      </c>
      <c r="LDI45" s="5">
        <f>-'5. IRR'!LDJ16</f>
        <v>-0.0</v>
      </c>
      <c r="LDJ45" s="5">
        <f>-'5. IRR'!LDK16</f>
        <v>-0.0</v>
      </c>
      <c r="LDK45" s="5">
        <f>-'5. IRR'!LDL16</f>
        <v>-0.0</v>
      </c>
      <c r="LDL45" s="5">
        <f>-'5. IRR'!LDM16</f>
        <v>-0.0</v>
      </c>
      <c r="LDM45" s="5">
        <f>-'5. IRR'!LDN16</f>
        <v>-0.0</v>
      </c>
      <c r="LDN45" s="5">
        <f>-'5. IRR'!LDO16</f>
        <v>-0.0</v>
      </c>
      <c r="LDO45" s="5">
        <f>-'5. IRR'!LDP16</f>
        <v>-0.0</v>
      </c>
      <c r="LDP45" s="5">
        <f>-'5. IRR'!LDQ16</f>
        <v>-0.0</v>
      </c>
      <c r="LDQ45" s="5">
        <f>-'5. IRR'!LDR16</f>
        <v>-0.0</v>
      </c>
      <c r="LDR45" s="5">
        <f>-'5. IRR'!LDS16</f>
        <v>-0.0</v>
      </c>
      <c r="LDS45" s="5">
        <f>-'5. IRR'!LDT16</f>
        <v>-0.0</v>
      </c>
      <c r="LDT45" s="5">
        <f>-'5. IRR'!LDU16</f>
        <v>-0.0</v>
      </c>
      <c r="LDU45" s="5">
        <f>-'5. IRR'!LDV16</f>
        <v>-0.0</v>
      </c>
      <c r="LDV45" s="5">
        <f>-'5. IRR'!LDW16</f>
        <v>-0.0</v>
      </c>
      <c r="LDW45" s="5">
        <f>-'5. IRR'!LDX16</f>
        <v>-0.0</v>
      </c>
      <c r="LDX45" s="5">
        <f>-'5. IRR'!LDY16</f>
        <v>-0.0</v>
      </c>
      <c r="LDY45" s="5">
        <f>-'5. IRR'!LDZ16</f>
        <v>-0.0</v>
      </c>
      <c r="LDZ45" s="5">
        <f>-'5. IRR'!LEA16</f>
        <v>-0.0</v>
      </c>
      <c r="LEA45" s="5">
        <f>-'5. IRR'!LEB16</f>
        <v>-0.0</v>
      </c>
      <c r="LEB45" s="5">
        <f>-'5. IRR'!LEC16</f>
        <v>-0.0</v>
      </c>
      <c r="LEC45" s="5">
        <f>-'5. IRR'!LED16</f>
        <v>-0.0</v>
      </c>
      <c r="LED45" s="5">
        <f>-'5. IRR'!LEE16</f>
        <v>-0.0</v>
      </c>
      <c r="LEE45" s="5">
        <f>-'5. IRR'!LEF16</f>
        <v>-0.0</v>
      </c>
      <c r="LEF45" s="5">
        <f>-'5. IRR'!LEG16</f>
        <v>-0.0</v>
      </c>
      <c r="LEG45" s="5">
        <f>-'5. IRR'!LEH16</f>
        <v>-0.0</v>
      </c>
      <c r="LEH45" s="5">
        <f>-'5. IRR'!LEI16</f>
        <v>-0.0</v>
      </c>
      <c r="LEI45" s="5">
        <f>-'5. IRR'!LEJ16</f>
        <v>-0.0</v>
      </c>
      <c r="LEJ45" s="5">
        <f>-'5. IRR'!LEK16</f>
        <v>-0.0</v>
      </c>
      <c r="LEK45" s="5">
        <f>-'5. IRR'!LEL16</f>
        <v>-0.0</v>
      </c>
      <c r="LEL45" s="5">
        <f>-'5. IRR'!LEM16</f>
        <v>-0.0</v>
      </c>
      <c r="LEM45" s="5">
        <f>-'5. IRR'!LEN16</f>
        <v>-0.0</v>
      </c>
      <c r="LEN45" s="5">
        <f>-'5. IRR'!LEO16</f>
        <v>-0.0</v>
      </c>
      <c r="LEO45" s="5">
        <f>-'5. IRR'!LEP16</f>
        <v>-0.0</v>
      </c>
      <c r="LEP45" s="5">
        <f>-'5. IRR'!LEQ16</f>
        <v>-0.0</v>
      </c>
      <c r="LEQ45" s="5">
        <f>-'5. IRR'!LER16</f>
        <v>-0.0</v>
      </c>
      <c r="LER45" s="5">
        <f>-'5. IRR'!LES16</f>
        <v>-0.0</v>
      </c>
      <c r="LES45" s="5">
        <f>-'5. IRR'!LET16</f>
        <v>-0.0</v>
      </c>
      <c r="LET45" s="5">
        <f>-'5. IRR'!LEU16</f>
        <v>-0.0</v>
      </c>
      <c r="LEU45" s="5">
        <f>-'5. IRR'!LEV16</f>
        <v>-0.0</v>
      </c>
      <c r="LEV45" s="5">
        <f>-'5. IRR'!LEW16</f>
        <v>-0.0</v>
      </c>
      <c r="LEW45" s="5">
        <f>-'5. IRR'!LEX16</f>
        <v>-0.0</v>
      </c>
      <c r="LEX45" s="5">
        <f>-'5. IRR'!LEY16</f>
        <v>-0.0</v>
      </c>
      <c r="LEY45" s="5">
        <f>-'5. IRR'!LEZ16</f>
        <v>-0.0</v>
      </c>
      <c r="LEZ45" s="5">
        <f>-'5. IRR'!LFA16</f>
        <v>-0.0</v>
      </c>
      <c r="LFA45" s="5">
        <f>-'5. IRR'!LFB16</f>
        <v>-0.0</v>
      </c>
      <c r="LFB45" s="5">
        <f>-'5. IRR'!LFC16</f>
        <v>-0.0</v>
      </c>
      <c r="LFC45" s="5">
        <f>-'5. IRR'!LFD16</f>
        <v>-0.0</v>
      </c>
      <c r="LFD45" s="5">
        <f>-'5. IRR'!LFE16</f>
        <v>-0.0</v>
      </c>
      <c r="LFE45" s="5">
        <f>-'5. IRR'!LFF16</f>
        <v>-0.0</v>
      </c>
      <c r="LFF45" s="5">
        <f>-'5. IRR'!LFG16</f>
        <v>-0.0</v>
      </c>
      <c r="LFG45" s="5">
        <f>-'5. IRR'!LFH16</f>
        <v>-0.0</v>
      </c>
      <c r="LFH45" s="5">
        <f>-'5. IRR'!LFI16</f>
        <v>-0.0</v>
      </c>
      <c r="LFI45" s="5">
        <f>-'5. IRR'!LFJ16</f>
        <v>-0.0</v>
      </c>
      <c r="LFJ45" s="5">
        <f>-'5. IRR'!LFK16</f>
        <v>-0.0</v>
      </c>
      <c r="LFK45" s="5">
        <f>-'5. IRR'!LFL16</f>
        <v>-0.0</v>
      </c>
      <c r="LFL45" s="5">
        <f>-'5. IRR'!LFM16</f>
        <v>-0.0</v>
      </c>
      <c r="LFM45" s="5">
        <f>-'5. IRR'!LFN16</f>
        <v>-0.0</v>
      </c>
      <c r="LFN45" s="5">
        <f>-'5. IRR'!LFO16</f>
        <v>-0.0</v>
      </c>
      <c r="LFO45" s="5">
        <f>-'5. IRR'!LFP16</f>
        <v>-0.0</v>
      </c>
      <c r="LFP45" s="5">
        <f>-'5. IRR'!LFQ16</f>
        <v>-0.0</v>
      </c>
      <c r="LFQ45" s="5">
        <f>-'5. IRR'!LFR16</f>
        <v>-0.0</v>
      </c>
      <c r="LFR45" s="5">
        <f>-'5. IRR'!LFS16</f>
        <v>-0.0</v>
      </c>
      <c r="LFS45" s="5">
        <f>-'5. IRR'!LFT16</f>
        <v>-0.0</v>
      </c>
      <c r="LFT45" s="5">
        <f>-'5. IRR'!LFU16</f>
        <v>-0.0</v>
      </c>
      <c r="LFU45" s="5">
        <f>-'5. IRR'!LFV16</f>
        <v>-0.0</v>
      </c>
      <c r="LFV45" s="5">
        <f>-'5. IRR'!LFW16</f>
        <v>-0.0</v>
      </c>
      <c r="LFW45" s="5">
        <f>-'5. IRR'!LFX16</f>
        <v>-0.0</v>
      </c>
      <c r="LFX45" s="5">
        <f>-'5. IRR'!LFY16</f>
        <v>-0.0</v>
      </c>
      <c r="LFY45" s="5">
        <f>-'5. IRR'!LFZ16</f>
        <v>-0.0</v>
      </c>
      <c r="LFZ45" s="5">
        <f>-'5. IRR'!LGA16</f>
        <v>-0.0</v>
      </c>
      <c r="LGA45" s="5">
        <f>-'5. IRR'!LGB16</f>
        <v>-0.0</v>
      </c>
      <c r="LGB45" s="5">
        <f>-'5. IRR'!LGC16</f>
        <v>-0.0</v>
      </c>
      <c r="LGC45" s="5">
        <f>-'5. IRR'!LGD16</f>
        <v>-0.0</v>
      </c>
      <c r="LGD45" s="5">
        <f>-'5. IRR'!LGE16</f>
        <v>-0.0</v>
      </c>
      <c r="LGE45" s="5">
        <f>-'5. IRR'!LGF16</f>
        <v>-0.0</v>
      </c>
      <c r="LGF45" s="5">
        <f>-'5. IRR'!LGG16</f>
        <v>-0.0</v>
      </c>
      <c r="LGG45" s="5">
        <f>-'5. IRR'!LGH16</f>
        <v>-0.0</v>
      </c>
      <c r="LGH45" s="5">
        <f>-'5. IRR'!LGI16</f>
        <v>-0.0</v>
      </c>
      <c r="LGI45" s="5">
        <f>-'5. IRR'!LGJ16</f>
        <v>-0.0</v>
      </c>
      <c r="LGJ45" s="5">
        <f>-'5. IRR'!LGK16</f>
        <v>-0.0</v>
      </c>
      <c r="LGK45" s="5">
        <f>-'5. IRR'!LGL16</f>
        <v>-0.0</v>
      </c>
      <c r="LGL45" s="5">
        <f>-'5. IRR'!LGM16</f>
        <v>-0.0</v>
      </c>
      <c r="LGM45" s="5">
        <f>-'5. IRR'!LGN16</f>
        <v>-0.0</v>
      </c>
      <c r="LGN45" s="5">
        <f>-'5. IRR'!LGO16</f>
        <v>-0.0</v>
      </c>
      <c r="LGO45" s="5">
        <f>-'5. IRR'!LGP16</f>
        <v>-0.0</v>
      </c>
      <c r="LGP45" s="5">
        <f>-'5. IRR'!LGQ16</f>
        <v>-0.0</v>
      </c>
      <c r="LGQ45" s="5">
        <f>-'5. IRR'!LGR16</f>
        <v>-0.0</v>
      </c>
      <c r="LGR45" s="5">
        <f>-'5. IRR'!LGS16</f>
        <v>-0.0</v>
      </c>
      <c r="LGS45" s="5">
        <f>-'5. IRR'!LGT16</f>
        <v>-0.0</v>
      </c>
      <c r="LGT45" s="5">
        <f>-'5. IRR'!LGU16</f>
        <v>-0.0</v>
      </c>
      <c r="LGU45" s="5">
        <f>-'5. IRR'!LGV16</f>
        <v>-0.0</v>
      </c>
      <c r="LGV45" s="5">
        <f>-'5. IRR'!LGW16</f>
        <v>-0.0</v>
      </c>
      <c r="LGW45" s="5">
        <f>-'5. IRR'!LGX16</f>
        <v>-0.0</v>
      </c>
      <c r="LGX45" s="5">
        <f>-'5. IRR'!LGY16</f>
        <v>-0.0</v>
      </c>
      <c r="LGY45" s="5">
        <f>-'5. IRR'!LGZ16</f>
        <v>-0.0</v>
      </c>
      <c r="LGZ45" s="5">
        <f>-'5. IRR'!LHA16</f>
        <v>-0.0</v>
      </c>
      <c r="LHA45" s="5">
        <f>-'5. IRR'!LHB16</f>
        <v>-0.0</v>
      </c>
      <c r="LHB45" s="5">
        <f>-'5. IRR'!LHC16</f>
        <v>-0.0</v>
      </c>
      <c r="LHC45" s="5">
        <f>-'5. IRR'!LHD16</f>
        <v>-0.0</v>
      </c>
      <c r="LHD45" s="5">
        <f>-'5. IRR'!LHE16</f>
        <v>-0.0</v>
      </c>
      <c r="LHE45" s="5">
        <f>-'5. IRR'!LHF16</f>
        <v>-0.0</v>
      </c>
      <c r="LHF45" s="5">
        <f>-'5. IRR'!LHG16</f>
        <v>-0.0</v>
      </c>
      <c r="LHG45" s="5">
        <f>-'5. IRR'!LHH16</f>
        <v>-0.0</v>
      </c>
      <c r="LHH45" s="5">
        <f>-'5. IRR'!LHI16</f>
        <v>-0.0</v>
      </c>
      <c r="LHI45" s="5">
        <f>-'5. IRR'!LHJ16</f>
        <v>-0.0</v>
      </c>
      <c r="LHJ45" s="5">
        <f>-'5. IRR'!LHK16</f>
        <v>-0.0</v>
      </c>
      <c r="LHK45" s="5">
        <f>-'5. IRR'!LHL16</f>
        <v>-0.0</v>
      </c>
      <c r="LHL45" s="5">
        <f>-'5. IRR'!LHM16</f>
        <v>-0.0</v>
      </c>
      <c r="LHM45" s="5">
        <f>-'5. IRR'!LHN16</f>
        <v>-0.0</v>
      </c>
      <c r="LHN45" s="5">
        <f>-'5. IRR'!LHO16</f>
        <v>-0.0</v>
      </c>
      <c r="LHO45" s="5">
        <f>-'5. IRR'!LHP16</f>
        <v>-0.0</v>
      </c>
      <c r="LHP45" s="5">
        <f>-'5. IRR'!LHQ16</f>
        <v>-0.0</v>
      </c>
      <c r="LHQ45" s="5">
        <f>-'5. IRR'!LHR16</f>
        <v>-0.0</v>
      </c>
      <c r="LHR45" s="5">
        <f>-'5. IRR'!LHS16</f>
        <v>-0.0</v>
      </c>
      <c r="LHS45" s="5">
        <f>-'5. IRR'!LHT16</f>
        <v>-0.0</v>
      </c>
      <c r="LHT45" s="5">
        <f>-'5. IRR'!LHU16</f>
        <v>-0.0</v>
      </c>
      <c r="LHU45" s="5">
        <f>-'5. IRR'!LHV16</f>
        <v>-0.0</v>
      </c>
      <c r="LHV45" s="5">
        <f>-'5. IRR'!LHW16</f>
        <v>-0.0</v>
      </c>
      <c r="LHW45" s="5">
        <f>-'5. IRR'!LHX16</f>
        <v>-0.0</v>
      </c>
      <c r="LHX45" s="5">
        <f>-'5. IRR'!LHY16</f>
        <v>-0.0</v>
      </c>
      <c r="LHY45" s="5">
        <f>-'5. IRR'!LHZ16</f>
        <v>-0.0</v>
      </c>
      <c r="LHZ45" s="5">
        <f>-'5. IRR'!LIA16</f>
        <v>-0.0</v>
      </c>
      <c r="LIA45" s="5">
        <f>-'5. IRR'!LIB16</f>
        <v>-0.0</v>
      </c>
      <c r="LIB45" s="5">
        <f>-'5. IRR'!LIC16</f>
        <v>-0.0</v>
      </c>
      <c r="LIC45" s="5">
        <f>-'5. IRR'!LID16</f>
        <v>-0.0</v>
      </c>
      <c r="LID45" s="5">
        <f>-'5. IRR'!LIE16</f>
        <v>-0.0</v>
      </c>
      <c r="LIE45" s="5">
        <f>-'5. IRR'!LIF16</f>
        <v>-0.0</v>
      </c>
      <c r="LIF45" s="5">
        <f>-'5. IRR'!LIG16</f>
        <v>-0.0</v>
      </c>
      <c r="LIG45" s="5">
        <f>-'5. IRR'!LIH16</f>
        <v>-0.0</v>
      </c>
      <c r="LIH45" s="5">
        <f>-'5. IRR'!LII16</f>
        <v>-0.0</v>
      </c>
      <c r="LII45" s="5">
        <f>-'5. IRR'!LIJ16</f>
        <v>-0.0</v>
      </c>
      <c r="LIJ45" s="5">
        <f>-'5. IRR'!LIK16</f>
        <v>-0.0</v>
      </c>
      <c r="LIK45" s="5">
        <f>-'5. IRR'!LIL16</f>
        <v>-0.0</v>
      </c>
      <c r="LIL45" s="5">
        <f>-'5. IRR'!LIM16</f>
        <v>-0.0</v>
      </c>
      <c r="LIM45" s="5">
        <f>-'5. IRR'!LIN16</f>
        <v>-0.0</v>
      </c>
      <c r="LIN45" s="5">
        <f>-'5. IRR'!LIO16</f>
        <v>-0.0</v>
      </c>
      <c r="LIO45" s="5">
        <f>-'5. IRR'!LIP16</f>
        <v>-0.0</v>
      </c>
      <c r="LIP45" s="5">
        <f>-'5. IRR'!LIQ16</f>
        <v>-0.0</v>
      </c>
      <c r="LIQ45" s="5">
        <f>-'5. IRR'!LIR16</f>
        <v>-0.0</v>
      </c>
      <c r="LIR45" s="5">
        <f>-'5. IRR'!LIS16</f>
        <v>-0.0</v>
      </c>
      <c r="LIS45" s="5">
        <f>-'5. IRR'!LIT16</f>
        <v>-0.0</v>
      </c>
      <c r="LIT45" s="5">
        <f>-'5. IRR'!LIU16</f>
        <v>-0.0</v>
      </c>
      <c r="LIU45" s="5">
        <f>-'5. IRR'!LIV16</f>
        <v>-0.0</v>
      </c>
      <c r="LIV45" s="5">
        <f>-'5. IRR'!LIW16</f>
        <v>-0.0</v>
      </c>
      <c r="LIW45" s="5">
        <f>-'5. IRR'!LIX16</f>
        <v>-0.0</v>
      </c>
      <c r="LIX45" s="5">
        <f>-'5. IRR'!LIY16</f>
        <v>-0.0</v>
      </c>
      <c r="LIY45" s="5">
        <f>-'5. IRR'!LIZ16</f>
        <v>-0.0</v>
      </c>
      <c r="LIZ45" s="5">
        <f>-'5. IRR'!LJA16</f>
        <v>-0.0</v>
      </c>
      <c r="LJA45" s="5">
        <f>-'5. IRR'!LJB16</f>
        <v>-0.0</v>
      </c>
      <c r="LJB45" s="5">
        <f>-'5. IRR'!LJC16</f>
        <v>-0.0</v>
      </c>
      <c r="LJC45" s="5">
        <f>-'5. IRR'!LJD16</f>
        <v>-0.0</v>
      </c>
      <c r="LJD45" s="5">
        <f>-'5. IRR'!LJE16</f>
        <v>-0.0</v>
      </c>
      <c r="LJE45" s="5">
        <f>-'5. IRR'!LJF16</f>
        <v>-0.0</v>
      </c>
      <c r="LJF45" s="5">
        <f>-'5. IRR'!LJG16</f>
        <v>-0.0</v>
      </c>
      <c r="LJG45" s="5">
        <f>-'5. IRR'!LJH16</f>
        <v>-0.0</v>
      </c>
      <c r="LJH45" s="5">
        <f>-'5. IRR'!LJI16</f>
        <v>-0.0</v>
      </c>
      <c r="LJI45" s="5">
        <f>-'5. IRR'!LJJ16</f>
        <v>-0.0</v>
      </c>
      <c r="LJJ45" s="5">
        <f>-'5. IRR'!LJK16</f>
        <v>-0.0</v>
      </c>
      <c r="LJK45" s="5">
        <f>-'5. IRR'!LJL16</f>
        <v>-0.0</v>
      </c>
      <c r="LJL45" s="5">
        <f>-'5. IRR'!LJM16</f>
        <v>-0.0</v>
      </c>
      <c r="LJM45" s="5">
        <f>-'5. IRR'!LJN16</f>
        <v>-0.0</v>
      </c>
      <c r="LJN45" s="5">
        <f>-'5. IRR'!LJO16</f>
        <v>-0.0</v>
      </c>
      <c r="LJO45" s="5">
        <f>-'5. IRR'!LJP16</f>
        <v>-0.0</v>
      </c>
      <c r="LJP45" s="5">
        <f>-'5. IRR'!LJQ16</f>
        <v>-0.0</v>
      </c>
      <c r="LJQ45" s="5">
        <f>-'5. IRR'!LJR16</f>
        <v>-0.0</v>
      </c>
      <c r="LJR45" s="5">
        <f>-'5. IRR'!LJS16</f>
        <v>-0.0</v>
      </c>
      <c r="LJS45" s="5">
        <f>-'5. IRR'!LJT16</f>
        <v>-0.0</v>
      </c>
      <c r="LJT45" s="5">
        <f>-'5. IRR'!LJU16</f>
        <v>-0.0</v>
      </c>
      <c r="LJU45" s="5">
        <f>-'5. IRR'!LJV16</f>
        <v>-0.0</v>
      </c>
      <c r="LJV45" s="5">
        <f>-'5. IRR'!LJW16</f>
        <v>-0.0</v>
      </c>
      <c r="LJW45" s="5">
        <f>-'5. IRR'!LJX16</f>
        <v>-0.0</v>
      </c>
      <c r="LJX45" s="5">
        <f>-'5. IRR'!LJY16</f>
        <v>-0.0</v>
      </c>
      <c r="LJY45" s="5">
        <f>-'5. IRR'!LJZ16</f>
        <v>-0.0</v>
      </c>
      <c r="LJZ45" s="5">
        <f>-'5. IRR'!LKA16</f>
        <v>-0.0</v>
      </c>
      <c r="LKA45" s="5">
        <f>-'5. IRR'!LKB16</f>
        <v>-0.0</v>
      </c>
      <c r="LKB45" s="5">
        <f>-'5. IRR'!LKC16</f>
        <v>-0.0</v>
      </c>
      <c r="LKC45" s="5">
        <f>-'5. IRR'!LKD16</f>
        <v>-0.0</v>
      </c>
      <c r="LKD45" s="5">
        <f>-'5. IRR'!LKE16</f>
        <v>-0.0</v>
      </c>
      <c r="LKE45" s="5">
        <f>-'5. IRR'!LKF16</f>
        <v>-0.0</v>
      </c>
      <c r="LKF45" s="5">
        <f>-'5. IRR'!LKG16</f>
        <v>-0.0</v>
      </c>
      <c r="LKG45" s="5">
        <f>-'5. IRR'!LKH16</f>
        <v>-0.0</v>
      </c>
      <c r="LKH45" s="5">
        <f>-'5. IRR'!LKI16</f>
        <v>-0.0</v>
      </c>
      <c r="LKI45" s="5">
        <f>-'5. IRR'!LKJ16</f>
        <v>-0.0</v>
      </c>
      <c r="LKJ45" s="5">
        <f>-'5. IRR'!LKK16</f>
        <v>-0.0</v>
      </c>
      <c r="LKK45" s="5">
        <f>-'5. IRR'!LKL16</f>
        <v>-0.0</v>
      </c>
      <c r="LKL45" s="5">
        <f>-'5. IRR'!LKM16</f>
        <v>-0.0</v>
      </c>
      <c r="LKM45" s="5">
        <f>-'5. IRR'!LKN16</f>
        <v>-0.0</v>
      </c>
      <c r="LKN45" s="5">
        <f>-'5. IRR'!LKO16</f>
        <v>-0.0</v>
      </c>
      <c r="LKO45" s="5">
        <f>-'5. IRR'!LKP16</f>
        <v>-0.0</v>
      </c>
      <c r="LKP45" s="5">
        <f>-'5. IRR'!LKQ16</f>
        <v>-0.0</v>
      </c>
      <c r="LKQ45" s="5">
        <f>-'5. IRR'!LKR16</f>
        <v>-0.0</v>
      </c>
      <c r="LKR45" s="5">
        <f>-'5. IRR'!LKS16</f>
        <v>-0.0</v>
      </c>
      <c r="LKS45" s="5">
        <f>-'5. IRR'!LKT16</f>
        <v>-0.0</v>
      </c>
      <c r="LKT45" s="5">
        <f>-'5. IRR'!LKU16</f>
        <v>-0.0</v>
      </c>
      <c r="LKU45" s="5">
        <f>-'5. IRR'!LKV16</f>
        <v>-0.0</v>
      </c>
      <c r="LKV45" s="5">
        <f>-'5. IRR'!LKW16</f>
        <v>-0.0</v>
      </c>
      <c r="LKW45" s="5">
        <f>-'5. IRR'!LKX16</f>
        <v>-0.0</v>
      </c>
      <c r="LKX45" s="5">
        <f>-'5. IRR'!LKY16</f>
        <v>-0.0</v>
      </c>
      <c r="LKY45" s="5">
        <f>-'5. IRR'!LKZ16</f>
        <v>-0.0</v>
      </c>
      <c r="LKZ45" s="5">
        <f>-'5. IRR'!LLA16</f>
        <v>-0.0</v>
      </c>
      <c r="LLA45" s="5">
        <f>-'5. IRR'!LLB16</f>
        <v>-0.0</v>
      </c>
      <c r="LLB45" s="5">
        <f>-'5. IRR'!LLC16</f>
        <v>-0.0</v>
      </c>
      <c r="LLC45" s="5">
        <f>-'5. IRR'!LLD16</f>
        <v>-0.0</v>
      </c>
      <c r="LLD45" s="5">
        <f>-'5. IRR'!LLE16</f>
        <v>-0.0</v>
      </c>
      <c r="LLE45" s="5">
        <f>-'5. IRR'!LLF16</f>
        <v>-0.0</v>
      </c>
      <c r="LLF45" s="5">
        <f>-'5. IRR'!LLG16</f>
        <v>-0.0</v>
      </c>
      <c r="LLG45" s="5">
        <f>-'5. IRR'!LLH16</f>
        <v>-0.0</v>
      </c>
      <c r="LLH45" s="5">
        <f>-'5. IRR'!LLI16</f>
        <v>-0.0</v>
      </c>
      <c r="LLI45" s="5">
        <f>-'5. IRR'!LLJ16</f>
        <v>-0.0</v>
      </c>
      <c r="LLJ45" s="5">
        <f>-'5. IRR'!LLK16</f>
        <v>-0.0</v>
      </c>
      <c r="LLK45" s="5">
        <f>-'5. IRR'!LLL16</f>
        <v>-0.0</v>
      </c>
      <c r="LLL45" s="5">
        <f>-'5. IRR'!LLM16</f>
        <v>-0.0</v>
      </c>
      <c r="LLM45" s="5">
        <f>-'5. IRR'!LLN16</f>
        <v>-0.0</v>
      </c>
      <c r="LLN45" s="5">
        <f>-'5. IRR'!LLO16</f>
        <v>-0.0</v>
      </c>
      <c r="LLO45" s="5">
        <f>-'5. IRR'!LLP16</f>
        <v>-0.0</v>
      </c>
      <c r="LLP45" s="5">
        <f>-'5. IRR'!LLQ16</f>
        <v>-0.0</v>
      </c>
      <c r="LLQ45" s="5">
        <f>-'5. IRR'!LLR16</f>
        <v>-0.0</v>
      </c>
      <c r="LLR45" s="5">
        <f>-'5. IRR'!LLS16</f>
        <v>-0.0</v>
      </c>
      <c r="LLS45" s="5">
        <f>-'5. IRR'!LLT16</f>
        <v>-0.0</v>
      </c>
      <c r="LLT45" s="5">
        <f>-'5. IRR'!LLU16</f>
        <v>-0.0</v>
      </c>
      <c r="LLU45" s="5">
        <f>-'5. IRR'!LLV16</f>
        <v>-0.0</v>
      </c>
      <c r="LLV45" s="5">
        <f>-'5. IRR'!LLW16</f>
        <v>-0.0</v>
      </c>
      <c r="LLW45" s="5">
        <f>-'5. IRR'!LLX16</f>
        <v>-0.0</v>
      </c>
      <c r="LLX45" s="5">
        <f>-'5. IRR'!LLY16</f>
        <v>-0.0</v>
      </c>
      <c r="LLY45" s="5">
        <f>-'5. IRR'!LLZ16</f>
        <v>-0.0</v>
      </c>
      <c r="LLZ45" s="5">
        <f>-'5. IRR'!LMA16</f>
        <v>-0.0</v>
      </c>
      <c r="LMA45" s="5">
        <f>-'5. IRR'!LMB16</f>
        <v>-0.0</v>
      </c>
      <c r="LMB45" s="5">
        <f>-'5. IRR'!LMC16</f>
        <v>-0.0</v>
      </c>
      <c r="LMC45" s="5">
        <f>-'5. IRR'!LMD16</f>
        <v>-0.0</v>
      </c>
      <c r="LMD45" s="5">
        <f>-'5. IRR'!LME16</f>
        <v>-0.0</v>
      </c>
      <c r="LME45" s="5">
        <f>-'5. IRR'!LMF16</f>
        <v>-0.0</v>
      </c>
      <c r="LMF45" s="5">
        <f>-'5. IRR'!LMG16</f>
        <v>-0.0</v>
      </c>
      <c r="LMG45" s="5">
        <f>-'5. IRR'!LMH16</f>
        <v>-0.0</v>
      </c>
      <c r="LMH45" s="5">
        <f>-'5. IRR'!LMI16</f>
        <v>-0.0</v>
      </c>
      <c r="LMI45" s="5">
        <f>-'5. IRR'!LMJ16</f>
        <v>-0.0</v>
      </c>
      <c r="LMJ45" s="5">
        <f>-'5. IRR'!LMK16</f>
        <v>-0.0</v>
      </c>
      <c r="LMK45" s="5">
        <f>-'5. IRR'!LML16</f>
        <v>-0.0</v>
      </c>
      <c r="LML45" s="5">
        <f>-'5. IRR'!LMM16</f>
        <v>-0.0</v>
      </c>
      <c r="LMM45" s="5">
        <f>-'5. IRR'!LMN16</f>
        <v>-0.0</v>
      </c>
      <c r="LMN45" s="5">
        <f>-'5. IRR'!LMO16</f>
        <v>-0.0</v>
      </c>
      <c r="LMO45" s="5">
        <f>-'5. IRR'!LMP16</f>
        <v>-0.0</v>
      </c>
      <c r="LMP45" s="5">
        <f>-'5. IRR'!LMQ16</f>
        <v>-0.0</v>
      </c>
      <c r="LMQ45" s="5">
        <f>-'5. IRR'!LMR16</f>
        <v>-0.0</v>
      </c>
      <c r="LMR45" s="5">
        <f>-'5. IRR'!LMS16</f>
        <v>-0.0</v>
      </c>
      <c r="LMS45" s="5">
        <f>-'5. IRR'!LMT16</f>
        <v>-0.0</v>
      </c>
      <c r="LMT45" s="5">
        <f>-'5. IRR'!LMU16</f>
        <v>-0.0</v>
      </c>
      <c r="LMU45" s="5">
        <f>-'5. IRR'!LMV16</f>
        <v>-0.0</v>
      </c>
      <c r="LMV45" s="5">
        <f>-'5. IRR'!LMW16</f>
        <v>-0.0</v>
      </c>
      <c r="LMW45" s="5">
        <f>-'5. IRR'!LMX16</f>
        <v>-0.0</v>
      </c>
      <c r="LMX45" s="5">
        <f>-'5. IRR'!LMY16</f>
        <v>-0.0</v>
      </c>
      <c r="LMY45" s="5">
        <f>-'5. IRR'!LMZ16</f>
        <v>-0.0</v>
      </c>
      <c r="LMZ45" s="5">
        <f>-'5. IRR'!LNA16</f>
        <v>-0.0</v>
      </c>
      <c r="LNA45" s="5">
        <f>-'5. IRR'!LNB16</f>
        <v>-0.0</v>
      </c>
      <c r="LNB45" s="5">
        <f>-'5. IRR'!LNC16</f>
        <v>-0.0</v>
      </c>
      <c r="LNC45" s="5">
        <f>-'5. IRR'!LND16</f>
        <v>-0.0</v>
      </c>
      <c r="LND45" s="5">
        <f>-'5. IRR'!LNE16</f>
        <v>-0.0</v>
      </c>
      <c r="LNE45" s="5">
        <f>-'5. IRR'!LNF16</f>
        <v>-0.0</v>
      </c>
      <c r="LNF45" s="5">
        <f>-'5. IRR'!LNG16</f>
        <v>-0.0</v>
      </c>
      <c r="LNG45" s="5">
        <f>-'5. IRR'!LNH16</f>
        <v>-0.0</v>
      </c>
      <c r="LNH45" s="5">
        <f>-'5. IRR'!LNI16</f>
        <v>-0.0</v>
      </c>
      <c r="LNI45" s="5">
        <f>-'5. IRR'!LNJ16</f>
        <v>-0.0</v>
      </c>
      <c r="LNJ45" s="5">
        <f>-'5. IRR'!LNK16</f>
        <v>-0.0</v>
      </c>
      <c r="LNK45" s="5">
        <f>-'5. IRR'!LNL16</f>
        <v>-0.0</v>
      </c>
      <c r="LNL45" s="5">
        <f>-'5. IRR'!LNM16</f>
        <v>-0.0</v>
      </c>
      <c r="LNM45" s="5">
        <f>-'5. IRR'!LNN16</f>
        <v>-0.0</v>
      </c>
      <c r="LNN45" s="5">
        <f>-'5. IRR'!LNO16</f>
        <v>-0.0</v>
      </c>
      <c r="LNO45" s="5">
        <f>-'5. IRR'!LNP16</f>
        <v>-0.0</v>
      </c>
      <c r="LNP45" s="5">
        <f>-'5. IRR'!LNQ16</f>
        <v>-0.0</v>
      </c>
      <c r="LNQ45" s="5">
        <f>-'5. IRR'!LNR16</f>
        <v>-0.0</v>
      </c>
      <c r="LNR45" s="5">
        <f>-'5. IRR'!LNS16</f>
        <v>-0.0</v>
      </c>
      <c r="LNS45" s="5">
        <f>-'5. IRR'!LNT16</f>
        <v>-0.0</v>
      </c>
      <c r="LNT45" s="5">
        <f>-'5. IRR'!LNU16</f>
        <v>-0.0</v>
      </c>
      <c r="LNU45" s="5">
        <f>-'5. IRR'!LNV16</f>
        <v>-0.0</v>
      </c>
      <c r="LNV45" s="5">
        <f>-'5. IRR'!LNW16</f>
        <v>-0.0</v>
      </c>
      <c r="LNW45" s="5">
        <f>-'5. IRR'!LNX16</f>
        <v>-0.0</v>
      </c>
      <c r="LNX45" s="5">
        <f>-'5. IRR'!LNY16</f>
        <v>-0.0</v>
      </c>
      <c r="LNY45" s="5">
        <f>-'5. IRR'!LNZ16</f>
        <v>-0.0</v>
      </c>
      <c r="LNZ45" s="5">
        <f>-'5. IRR'!LOA16</f>
        <v>-0.0</v>
      </c>
      <c r="LOA45" s="5">
        <f>-'5. IRR'!LOB16</f>
        <v>-0.0</v>
      </c>
      <c r="LOB45" s="5">
        <f>-'5. IRR'!LOC16</f>
        <v>-0.0</v>
      </c>
      <c r="LOC45" s="5">
        <f>-'5. IRR'!LOD16</f>
        <v>-0.0</v>
      </c>
      <c r="LOD45" s="5">
        <f>-'5. IRR'!LOE16</f>
        <v>-0.0</v>
      </c>
      <c r="LOE45" s="5">
        <f>-'5. IRR'!LOF16</f>
        <v>-0.0</v>
      </c>
      <c r="LOF45" s="5">
        <f>-'5. IRR'!LOG16</f>
        <v>-0.0</v>
      </c>
      <c r="LOG45" s="5">
        <f>-'5. IRR'!LOH16</f>
        <v>-0.0</v>
      </c>
      <c r="LOH45" s="5">
        <f>-'5. IRR'!LOI16</f>
        <v>-0.0</v>
      </c>
      <c r="LOI45" s="5">
        <f>-'5. IRR'!LOJ16</f>
        <v>-0.0</v>
      </c>
      <c r="LOJ45" s="5">
        <f>-'5. IRR'!LOK16</f>
        <v>-0.0</v>
      </c>
      <c r="LOK45" s="5">
        <f>-'5. IRR'!LOL16</f>
        <v>-0.0</v>
      </c>
      <c r="LOL45" s="5">
        <f>-'5. IRR'!LOM16</f>
        <v>-0.0</v>
      </c>
      <c r="LOM45" s="5">
        <f>-'5. IRR'!LON16</f>
        <v>-0.0</v>
      </c>
      <c r="LON45" s="5">
        <f>-'5. IRR'!LOO16</f>
        <v>-0.0</v>
      </c>
      <c r="LOO45" s="5">
        <f>-'5. IRR'!LOP16</f>
        <v>-0.0</v>
      </c>
      <c r="LOP45" s="5">
        <f>-'5. IRR'!LOQ16</f>
        <v>-0.0</v>
      </c>
      <c r="LOQ45" s="5">
        <f>-'5. IRR'!LOR16</f>
        <v>-0.0</v>
      </c>
      <c r="LOR45" s="5">
        <f>-'5. IRR'!LOS16</f>
        <v>-0.0</v>
      </c>
      <c r="LOS45" s="5">
        <f>-'5. IRR'!LOT16</f>
        <v>-0.0</v>
      </c>
      <c r="LOT45" s="5">
        <f>-'5. IRR'!LOU16</f>
        <v>-0.0</v>
      </c>
      <c r="LOU45" s="5">
        <f>-'5. IRR'!LOV16</f>
        <v>-0.0</v>
      </c>
      <c r="LOV45" s="5">
        <f>-'5. IRR'!LOW16</f>
        <v>-0.0</v>
      </c>
      <c r="LOW45" s="5">
        <f>-'5. IRR'!LOX16</f>
        <v>-0.0</v>
      </c>
      <c r="LOX45" s="5">
        <f>-'5. IRR'!LOY16</f>
        <v>-0.0</v>
      </c>
      <c r="LOY45" s="5">
        <f>-'5. IRR'!LOZ16</f>
        <v>-0.0</v>
      </c>
      <c r="LOZ45" s="5">
        <f>-'5. IRR'!LPA16</f>
        <v>-0.0</v>
      </c>
      <c r="LPA45" s="5">
        <f>-'5. IRR'!LPB16</f>
        <v>-0.0</v>
      </c>
      <c r="LPB45" s="5">
        <f>-'5. IRR'!LPC16</f>
        <v>-0.0</v>
      </c>
      <c r="LPC45" s="5">
        <f>-'5. IRR'!LPD16</f>
        <v>-0.0</v>
      </c>
      <c r="LPD45" s="5">
        <f>-'5. IRR'!LPE16</f>
        <v>-0.0</v>
      </c>
      <c r="LPE45" s="5">
        <f>-'5. IRR'!LPF16</f>
        <v>-0.0</v>
      </c>
      <c r="LPF45" s="5">
        <f>-'5. IRR'!LPG16</f>
        <v>-0.0</v>
      </c>
      <c r="LPG45" s="5">
        <f>-'5. IRR'!LPH16</f>
        <v>-0.0</v>
      </c>
      <c r="LPH45" s="5">
        <f>-'5. IRR'!LPI16</f>
        <v>-0.0</v>
      </c>
      <c r="LPI45" s="5">
        <f>-'5. IRR'!LPJ16</f>
        <v>-0.0</v>
      </c>
      <c r="LPJ45" s="5">
        <f>-'5. IRR'!LPK16</f>
        <v>-0.0</v>
      </c>
      <c r="LPK45" s="5">
        <f>-'5. IRR'!LPL16</f>
        <v>-0.0</v>
      </c>
      <c r="LPL45" s="5">
        <f>-'5. IRR'!LPM16</f>
        <v>-0.0</v>
      </c>
      <c r="LPM45" s="5">
        <f>-'5. IRR'!LPN16</f>
        <v>-0.0</v>
      </c>
      <c r="LPN45" s="5">
        <f>-'5. IRR'!LPO16</f>
        <v>-0.0</v>
      </c>
      <c r="LPO45" s="5">
        <f>-'5. IRR'!LPP16</f>
        <v>-0.0</v>
      </c>
      <c r="LPP45" s="5">
        <f>-'5. IRR'!LPQ16</f>
        <v>-0.0</v>
      </c>
      <c r="LPQ45" s="5">
        <f>-'5. IRR'!LPR16</f>
        <v>-0.0</v>
      </c>
      <c r="LPR45" s="5">
        <f>-'5. IRR'!LPS16</f>
        <v>-0.0</v>
      </c>
      <c r="LPS45" s="5">
        <f>-'5. IRR'!LPT16</f>
        <v>-0.0</v>
      </c>
      <c r="LPT45" s="5">
        <f>-'5. IRR'!LPU16</f>
        <v>-0.0</v>
      </c>
      <c r="LPU45" s="5">
        <f>-'5. IRR'!LPV16</f>
        <v>-0.0</v>
      </c>
      <c r="LPV45" s="5">
        <f>-'5. IRR'!LPW16</f>
        <v>-0.0</v>
      </c>
      <c r="LPW45" s="5">
        <f>-'5. IRR'!LPX16</f>
        <v>-0.0</v>
      </c>
      <c r="LPX45" s="5">
        <f>-'5. IRR'!LPY16</f>
        <v>-0.0</v>
      </c>
      <c r="LPY45" s="5">
        <f>-'5. IRR'!LPZ16</f>
        <v>-0.0</v>
      </c>
      <c r="LPZ45" s="5">
        <f>-'5. IRR'!LQA16</f>
        <v>-0.0</v>
      </c>
      <c r="LQA45" s="5">
        <f>-'5. IRR'!LQB16</f>
        <v>-0.0</v>
      </c>
      <c r="LQB45" s="5">
        <f>-'5. IRR'!LQC16</f>
        <v>-0.0</v>
      </c>
      <c r="LQC45" s="5">
        <f>-'5. IRR'!LQD16</f>
        <v>-0.0</v>
      </c>
      <c r="LQD45" s="5">
        <f>-'5. IRR'!LQE16</f>
        <v>-0.0</v>
      </c>
      <c r="LQE45" s="5">
        <f>-'5. IRR'!LQF16</f>
        <v>-0.0</v>
      </c>
      <c r="LQF45" s="5">
        <f>-'5. IRR'!LQG16</f>
        <v>-0.0</v>
      </c>
      <c r="LQG45" s="5">
        <f>-'5. IRR'!LQH16</f>
        <v>-0.0</v>
      </c>
      <c r="LQH45" s="5">
        <f>-'5. IRR'!LQI16</f>
        <v>-0.0</v>
      </c>
      <c r="LQI45" s="5">
        <f>-'5. IRR'!LQJ16</f>
        <v>-0.0</v>
      </c>
      <c r="LQJ45" s="5">
        <f>-'5. IRR'!LQK16</f>
        <v>-0.0</v>
      </c>
      <c r="LQK45" s="5">
        <f>-'5. IRR'!LQL16</f>
        <v>-0.0</v>
      </c>
      <c r="LQL45" s="5">
        <f>-'5. IRR'!LQM16</f>
        <v>-0.0</v>
      </c>
      <c r="LQM45" s="5">
        <f>-'5. IRR'!LQN16</f>
        <v>-0.0</v>
      </c>
      <c r="LQN45" s="5">
        <f>-'5. IRR'!LQO16</f>
        <v>-0.0</v>
      </c>
      <c r="LQO45" s="5">
        <f>-'5. IRR'!LQP16</f>
        <v>-0.0</v>
      </c>
      <c r="LQP45" s="5">
        <f>-'5. IRR'!LQQ16</f>
        <v>-0.0</v>
      </c>
      <c r="LQQ45" s="5">
        <f>-'5. IRR'!LQR16</f>
        <v>-0.0</v>
      </c>
      <c r="LQR45" s="5">
        <f>-'5. IRR'!LQS16</f>
        <v>-0.0</v>
      </c>
      <c r="LQS45" s="5">
        <f>-'5. IRR'!LQT16</f>
        <v>-0.0</v>
      </c>
      <c r="LQT45" s="5">
        <f>-'5. IRR'!LQU16</f>
        <v>-0.0</v>
      </c>
      <c r="LQU45" s="5">
        <f>-'5. IRR'!LQV16</f>
        <v>-0.0</v>
      </c>
      <c r="LQV45" s="5">
        <f>-'5. IRR'!LQW16</f>
        <v>-0.0</v>
      </c>
      <c r="LQW45" s="5">
        <f>-'5. IRR'!LQX16</f>
        <v>-0.0</v>
      </c>
      <c r="LQX45" s="5">
        <f>-'5. IRR'!LQY16</f>
        <v>-0.0</v>
      </c>
      <c r="LQY45" s="5">
        <f>-'5. IRR'!LQZ16</f>
        <v>-0.0</v>
      </c>
      <c r="LQZ45" s="5">
        <f>-'5. IRR'!LRA16</f>
        <v>-0.0</v>
      </c>
      <c r="LRA45" s="5">
        <f>-'5. IRR'!LRB16</f>
        <v>-0.0</v>
      </c>
      <c r="LRB45" s="5">
        <f>-'5. IRR'!LRC16</f>
        <v>-0.0</v>
      </c>
      <c r="LRC45" s="5">
        <f>-'5. IRR'!LRD16</f>
        <v>-0.0</v>
      </c>
      <c r="LRD45" s="5">
        <f>-'5. IRR'!LRE16</f>
        <v>-0.0</v>
      </c>
      <c r="LRE45" s="5">
        <f>-'5. IRR'!LRF16</f>
        <v>-0.0</v>
      </c>
      <c r="LRF45" s="5">
        <f>-'5. IRR'!LRG16</f>
        <v>-0.0</v>
      </c>
      <c r="LRG45" s="5">
        <f>-'5. IRR'!LRH16</f>
        <v>-0.0</v>
      </c>
      <c r="LRH45" s="5">
        <f>-'5. IRR'!LRI16</f>
        <v>-0.0</v>
      </c>
      <c r="LRI45" s="5">
        <f>-'5. IRR'!LRJ16</f>
        <v>-0.0</v>
      </c>
      <c r="LRJ45" s="5">
        <f>-'5. IRR'!LRK16</f>
        <v>-0.0</v>
      </c>
      <c r="LRK45" s="5">
        <f>-'5. IRR'!LRL16</f>
        <v>-0.0</v>
      </c>
      <c r="LRL45" s="5">
        <f>-'5. IRR'!LRM16</f>
        <v>-0.0</v>
      </c>
      <c r="LRM45" s="5">
        <f>-'5. IRR'!LRN16</f>
        <v>-0.0</v>
      </c>
      <c r="LRN45" s="5">
        <f>-'5. IRR'!LRO16</f>
        <v>-0.0</v>
      </c>
      <c r="LRO45" s="5">
        <f>-'5. IRR'!LRP16</f>
        <v>-0.0</v>
      </c>
      <c r="LRP45" s="5">
        <f>-'5. IRR'!LRQ16</f>
        <v>-0.0</v>
      </c>
      <c r="LRQ45" s="5">
        <f>-'5. IRR'!LRR16</f>
        <v>-0.0</v>
      </c>
      <c r="LRR45" s="5">
        <f>-'5. IRR'!LRS16</f>
        <v>-0.0</v>
      </c>
      <c r="LRS45" s="5">
        <f>-'5. IRR'!LRT16</f>
        <v>-0.0</v>
      </c>
      <c r="LRT45" s="5">
        <f>-'5. IRR'!LRU16</f>
        <v>-0.0</v>
      </c>
      <c r="LRU45" s="5">
        <f>-'5. IRR'!LRV16</f>
        <v>-0.0</v>
      </c>
      <c r="LRV45" s="5">
        <f>-'5. IRR'!LRW16</f>
        <v>-0.0</v>
      </c>
      <c r="LRW45" s="5">
        <f>-'5. IRR'!LRX16</f>
        <v>-0.0</v>
      </c>
      <c r="LRX45" s="5">
        <f>-'5. IRR'!LRY16</f>
        <v>-0.0</v>
      </c>
      <c r="LRY45" s="5">
        <f>-'5. IRR'!LRZ16</f>
        <v>-0.0</v>
      </c>
      <c r="LRZ45" s="5">
        <f>-'5. IRR'!LSA16</f>
        <v>-0.0</v>
      </c>
      <c r="LSA45" s="5">
        <f>-'5. IRR'!LSB16</f>
        <v>-0.0</v>
      </c>
      <c r="LSB45" s="5">
        <f>-'5. IRR'!LSC16</f>
        <v>-0.0</v>
      </c>
      <c r="LSC45" s="5">
        <f>-'5. IRR'!LSD16</f>
        <v>-0.0</v>
      </c>
      <c r="LSD45" s="5">
        <f>-'5. IRR'!LSE16</f>
        <v>-0.0</v>
      </c>
      <c r="LSE45" s="5">
        <f>-'5. IRR'!LSF16</f>
        <v>-0.0</v>
      </c>
      <c r="LSF45" s="5">
        <f>-'5. IRR'!LSG16</f>
        <v>-0.0</v>
      </c>
      <c r="LSG45" s="5">
        <f>-'5. IRR'!LSH16</f>
        <v>-0.0</v>
      </c>
      <c r="LSH45" s="5">
        <f>-'5. IRR'!LSI16</f>
        <v>-0.0</v>
      </c>
      <c r="LSI45" s="5">
        <f>-'5. IRR'!LSJ16</f>
        <v>-0.0</v>
      </c>
      <c r="LSJ45" s="5">
        <f>-'5. IRR'!LSK16</f>
        <v>-0.0</v>
      </c>
      <c r="LSK45" s="5">
        <f>-'5. IRR'!LSL16</f>
        <v>-0.0</v>
      </c>
      <c r="LSL45" s="5">
        <f>-'5. IRR'!LSM16</f>
        <v>-0.0</v>
      </c>
      <c r="LSM45" s="5">
        <f>-'5. IRR'!LSN16</f>
        <v>-0.0</v>
      </c>
      <c r="LSN45" s="5">
        <f>-'5. IRR'!LSO16</f>
        <v>-0.0</v>
      </c>
      <c r="LSO45" s="5">
        <f>-'5. IRR'!LSP16</f>
        <v>-0.0</v>
      </c>
      <c r="LSP45" s="5">
        <f>-'5. IRR'!LSQ16</f>
        <v>-0.0</v>
      </c>
      <c r="LSQ45" s="5">
        <f>-'5. IRR'!LSR16</f>
        <v>-0.0</v>
      </c>
      <c r="LSR45" s="5">
        <f>-'5. IRR'!LSS16</f>
        <v>-0.0</v>
      </c>
      <c r="LSS45" s="5">
        <f>-'5. IRR'!LST16</f>
        <v>-0.0</v>
      </c>
      <c r="LST45" s="5">
        <f>-'5. IRR'!LSU16</f>
        <v>-0.0</v>
      </c>
      <c r="LSU45" s="5">
        <f>-'5. IRR'!LSV16</f>
        <v>-0.0</v>
      </c>
      <c r="LSV45" s="5">
        <f>-'5. IRR'!LSW16</f>
        <v>-0.0</v>
      </c>
      <c r="LSW45" s="5">
        <f>-'5. IRR'!LSX16</f>
        <v>-0.0</v>
      </c>
      <c r="LSX45" s="5">
        <f>-'5. IRR'!LSY16</f>
        <v>-0.0</v>
      </c>
      <c r="LSY45" s="5">
        <f>-'5. IRR'!LSZ16</f>
        <v>-0.0</v>
      </c>
      <c r="LSZ45" s="5">
        <f>-'5. IRR'!LTA16</f>
        <v>-0.0</v>
      </c>
      <c r="LTA45" s="5">
        <f>-'5. IRR'!LTB16</f>
        <v>-0.0</v>
      </c>
      <c r="LTB45" s="5">
        <f>-'5. IRR'!LTC16</f>
        <v>-0.0</v>
      </c>
      <c r="LTC45" s="5">
        <f>-'5. IRR'!LTD16</f>
        <v>-0.0</v>
      </c>
      <c r="LTD45" s="5">
        <f>-'5. IRR'!LTE16</f>
        <v>-0.0</v>
      </c>
      <c r="LTE45" s="5">
        <f>-'5. IRR'!LTF16</f>
        <v>-0.0</v>
      </c>
      <c r="LTF45" s="5">
        <f>-'5. IRR'!LTG16</f>
        <v>-0.0</v>
      </c>
      <c r="LTG45" s="5">
        <f>-'5. IRR'!LTH16</f>
        <v>-0.0</v>
      </c>
      <c r="LTH45" s="5">
        <f>-'5. IRR'!LTI16</f>
        <v>-0.0</v>
      </c>
      <c r="LTI45" s="5">
        <f>-'5. IRR'!LTJ16</f>
        <v>-0.0</v>
      </c>
      <c r="LTJ45" s="5">
        <f>-'5. IRR'!LTK16</f>
        <v>-0.0</v>
      </c>
      <c r="LTK45" s="5">
        <f>-'5. IRR'!LTL16</f>
        <v>-0.0</v>
      </c>
      <c r="LTL45" s="5">
        <f>-'5. IRR'!LTM16</f>
        <v>-0.0</v>
      </c>
      <c r="LTM45" s="5">
        <f>-'5. IRR'!LTN16</f>
        <v>-0.0</v>
      </c>
      <c r="LTN45" s="5">
        <f>-'5. IRR'!LTO16</f>
        <v>-0.0</v>
      </c>
      <c r="LTO45" s="5">
        <f>-'5. IRR'!LTP16</f>
        <v>-0.0</v>
      </c>
      <c r="LTP45" s="5">
        <f>-'5. IRR'!LTQ16</f>
        <v>-0.0</v>
      </c>
      <c r="LTQ45" s="5">
        <f>-'5. IRR'!LTR16</f>
        <v>-0.0</v>
      </c>
      <c r="LTR45" s="5">
        <f>-'5. IRR'!LTS16</f>
        <v>-0.0</v>
      </c>
      <c r="LTS45" s="5">
        <f>-'5. IRR'!LTT16</f>
        <v>-0.0</v>
      </c>
      <c r="LTT45" s="5">
        <f>-'5. IRR'!LTU16</f>
        <v>-0.0</v>
      </c>
      <c r="LTU45" s="5">
        <f>-'5. IRR'!LTV16</f>
        <v>-0.0</v>
      </c>
      <c r="LTV45" s="5">
        <f>-'5. IRR'!LTW16</f>
        <v>-0.0</v>
      </c>
      <c r="LTW45" s="5">
        <f>-'5. IRR'!LTX16</f>
        <v>-0.0</v>
      </c>
      <c r="LTX45" s="5">
        <f>-'5. IRR'!LTY16</f>
        <v>-0.0</v>
      </c>
      <c r="LTY45" s="5">
        <f>-'5. IRR'!LTZ16</f>
        <v>-0.0</v>
      </c>
      <c r="LTZ45" s="5">
        <f>-'5. IRR'!LUA16</f>
        <v>-0.0</v>
      </c>
      <c r="LUA45" s="5">
        <f>-'5. IRR'!LUB16</f>
        <v>-0.0</v>
      </c>
      <c r="LUB45" s="5">
        <f>-'5. IRR'!LUC16</f>
        <v>-0.0</v>
      </c>
      <c r="LUC45" s="5">
        <f>-'5. IRR'!LUD16</f>
        <v>-0.0</v>
      </c>
      <c r="LUD45" s="5">
        <f>-'5. IRR'!LUE16</f>
        <v>-0.0</v>
      </c>
      <c r="LUE45" s="5">
        <f>-'5. IRR'!LUF16</f>
        <v>-0.0</v>
      </c>
      <c r="LUF45" s="5">
        <f>-'5. IRR'!LUG16</f>
        <v>-0.0</v>
      </c>
      <c r="LUG45" s="5">
        <f>-'5. IRR'!LUH16</f>
        <v>-0.0</v>
      </c>
      <c r="LUH45" s="5">
        <f>-'5. IRR'!LUI16</f>
        <v>-0.0</v>
      </c>
      <c r="LUI45" s="5">
        <f>-'5. IRR'!LUJ16</f>
        <v>-0.0</v>
      </c>
      <c r="LUJ45" s="5">
        <f>-'5. IRR'!LUK16</f>
        <v>-0.0</v>
      </c>
      <c r="LUK45" s="5">
        <f>-'5. IRR'!LUL16</f>
        <v>-0.0</v>
      </c>
      <c r="LUL45" s="5">
        <f>-'5. IRR'!LUM16</f>
        <v>-0.0</v>
      </c>
      <c r="LUM45" s="5">
        <f>-'5. IRR'!LUN16</f>
        <v>-0.0</v>
      </c>
      <c r="LUN45" s="5">
        <f>-'5. IRR'!LUO16</f>
        <v>-0.0</v>
      </c>
      <c r="LUO45" s="5">
        <f>-'5. IRR'!LUP16</f>
        <v>-0.0</v>
      </c>
      <c r="LUP45" s="5">
        <f>-'5. IRR'!LUQ16</f>
        <v>-0.0</v>
      </c>
      <c r="LUQ45" s="5">
        <f>-'5. IRR'!LUR16</f>
        <v>-0.0</v>
      </c>
      <c r="LUR45" s="5">
        <f>-'5. IRR'!LUS16</f>
        <v>-0.0</v>
      </c>
      <c r="LUS45" s="5">
        <f>-'5. IRR'!LUT16</f>
        <v>-0.0</v>
      </c>
      <c r="LUT45" s="5">
        <f>-'5. IRR'!LUU16</f>
        <v>-0.0</v>
      </c>
      <c r="LUU45" s="5">
        <f>-'5. IRR'!LUV16</f>
        <v>-0.0</v>
      </c>
      <c r="LUV45" s="5">
        <f>-'5. IRR'!LUW16</f>
        <v>-0.0</v>
      </c>
      <c r="LUW45" s="5">
        <f>-'5. IRR'!LUX16</f>
        <v>-0.0</v>
      </c>
      <c r="LUX45" s="5">
        <f>-'5. IRR'!LUY16</f>
        <v>-0.0</v>
      </c>
      <c r="LUY45" s="5">
        <f>-'5. IRR'!LUZ16</f>
        <v>-0.0</v>
      </c>
      <c r="LUZ45" s="5">
        <f>-'5. IRR'!LVA16</f>
        <v>-0.0</v>
      </c>
      <c r="LVA45" s="5">
        <f>-'5. IRR'!LVB16</f>
        <v>-0.0</v>
      </c>
      <c r="LVB45" s="5">
        <f>-'5. IRR'!LVC16</f>
        <v>-0.0</v>
      </c>
      <c r="LVC45" s="5">
        <f>-'5. IRR'!LVD16</f>
        <v>-0.0</v>
      </c>
      <c r="LVD45" s="5">
        <f>-'5. IRR'!LVE16</f>
        <v>-0.0</v>
      </c>
      <c r="LVE45" s="5">
        <f>-'5. IRR'!LVF16</f>
        <v>-0.0</v>
      </c>
      <c r="LVF45" s="5">
        <f>-'5. IRR'!LVG16</f>
        <v>-0.0</v>
      </c>
      <c r="LVG45" s="5">
        <f>-'5. IRR'!LVH16</f>
        <v>-0.0</v>
      </c>
      <c r="LVH45" s="5">
        <f>-'5. IRR'!LVI16</f>
        <v>-0.0</v>
      </c>
      <c r="LVI45" s="5">
        <f>-'5. IRR'!LVJ16</f>
        <v>-0.0</v>
      </c>
      <c r="LVJ45" s="5">
        <f>-'5. IRR'!LVK16</f>
        <v>-0.0</v>
      </c>
      <c r="LVK45" s="5">
        <f>-'5. IRR'!LVL16</f>
        <v>-0.0</v>
      </c>
      <c r="LVL45" s="5">
        <f>-'5. IRR'!LVM16</f>
        <v>-0.0</v>
      </c>
      <c r="LVM45" s="5">
        <f>-'5. IRR'!LVN16</f>
        <v>-0.0</v>
      </c>
      <c r="LVN45" s="5">
        <f>-'5. IRR'!LVO16</f>
        <v>-0.0</v>
      </c>
      <c r="LVO45" s="5">
        <f>-'5. IRR'!LVP16</f>
        <v>-0.0</v>
      </c>
      <c r="LVP45" s="5">
        <f>-'5. IRR'!LVQ16</f>
        <v>-0.0</v>
      </c>
      <c r="LVQ45" s="5">
        <f>-'5. IRR'!LVR16</f>
        <v>-0.0</v>
      </c>
      <c r="LVR45" s="5">
        <f>-'5. IRR'!LVS16</f>
        <v>-0.0</v>
      </c>
      <c r="LVS45" s="5">
        <f>-'5. IRR'!LVT16</f>
        <v>-0.0</v>
      </c>
      <c r="LVT45" s="5">
        <f>-'5. IRR'!LVU16</f>
        <v>-0.0</v>
      </c>
      <c r="LVU45" s="5">
        <f>-'5. IRR'!LVV16</f>
        <v>-0.0</v>
      </c>
      <c r="LVV45" s="5">
        <f>-'5. IRR'!LVW16</f>
        <v>-0.0</v>
      </c>
      <c r="LVW45" s="5">
        <f>-'5. IRR'!LVX16</f>
        <v>-0.0</v>
      </c>
      <c r="LVX45" s="5">
        <f>-'5. IRR'!LVY16</f>
        <v>-0.0</v>
      </c>
      <c r="LVY45" s="5">
        <f>-'5. IRR'!LVZ16</f>
        <v>-0.0</v>
      </c>
      <c r="LVZ45" s="5">
        <f>-'5. IRR'!LWA16</f>
        <v>-0.0</v>
      </c>
      <c r="LWA45" s="5">
        <f>-'5. IRR'!LWB16</f>
        <v>-0.0</v>
      </c>
      <c r="LWB45" s="5">
        <f>-'5. IRR'!LWC16</f>
        <v>-0.0</v>
      </c>
      <c r="LWC45" s="5">
        <f>-'5. IRR'!LWD16</f>
        <v>-0.0</v>
      </c>
      <c r="LWD45" s="5">
        <f>-'5. IRR'!LWE16</f>
        <v>-0.0</v>
      </c>
      <c r="LWE45" s="5">
        <f>-'5. IRR'!LWF16</f>
        <v>-0.0</v>
      </c>
      <c r="LWF45" s="5">
        <f>-'5. IRR'!LWG16</f>
        <v>-0.0</v>
      </c>
      <c r="LWG45" s="5">
        <f>-'5. IRR'!LWH16</f>
        <v>-0.0</v>
      </c>
      <c r="LWH45" s="5">
        <f>-'5. IRR'!LWI16</f>
        <v>-0.0</v>
      </c>
      <c r="LWI45" s="5">
        <f>-'5. IRR'!LWJ16</f>
        <v>-0.0</v>
      </c>
      <c r="LWJ45" s="5">
        <f>-'5. IRR'!LWK16</f>
        <v>-0.0</v>
      </c>
      <c r="LWK45" s="5">
        <f>-'5. IRR'!LWL16</f>
        <v>-0.0</v>
      </c>
      <c r="LWL45" s="5">
        <f>-'5. IRR'!LWM16</f>
        <v>-0.0</v>
      </c>
      <c r="LWM45" s="5">
        <f>-'5. IRR'!LWN16</f>
        <v>-0.0</v>
      </c>
      <c r="LWN45" s="5">
        <f>-'5. IRR'!LWO16</f>
        <v>-0.0</v>
      </c>
      <c r="LWO45" s="5">
        <f>-'5. IRR'!LWP16</f>
        <v>-0.0</v>
      </c>
      <c r="LWP45" s="5">
        <f>-'5. IRR'!LWQ16</f>
        <v>-0.0</v>
      </c>
      <c r="LWQ45" s="5">
        <f>-'5. IRR'!LWR16</f>
        <v>-0.0</v>
      </c>
      <c r="LWR45" s="5">
        <f>-'5. IRR'!LWS16</f>
        <v>-0.0</v>
      </c>
      <c r="LWS45" s="5">
        <f>-'5. IRR'!LWT16</f>
        <v>-0.0</v>
      </c>
      <c r="LWT45" s="5">
        <f>-'5. IRR'!LWU16</f>
        <v>-0.0</v>
      </c>
      <c r="LWU45" s="5">
        <f>-'5. IRR'!LWV16</f>
        <v>-0.0</v>
      </c>
      <c r="LWV45" s="5">
        <f>-'5. IRR'!LWW16</f>
        <v>-0.0</v>
      </c>
      <c r="LWW45" s="5">
        <f>-'5. IRR'!LWX16</f>
        <v>-0.0</v>
      </c>
      <c r="LWX45" s="5">
        <f>-'5. IRR'!LWY16</f>
        <v>-0.0</v>
      </c>
      <c r="LWY45" s="5">
        <f>-'5. IRR'!LWZ16</f>
        <v>-0.0</v>
      </c>
      <c r="LWZ45" s="5">
        <f>-'5. IRR'!LXA16</f>
        <v>-0.0</v>
      </c>
      <c r="LXA45" s="5">
        <f>-'5. IRR'!LXB16</f>
        <v>-0.0</v>
      </c>
      <c r="LXB45" s="5">
        <f>-'5. IRR'!LXC16</f>
        <v>-0.0</v>
      </c>
      <c r="LXC45" s="5">
        <f>-'5. IRR'!LXD16</f>
        <v>-0.0</v>
      </c>
      <c r="LXD45" s="5">
        <f>-'5. IRR'!LXE16</f>
        <v>-0.0</v>
      </c>
      <c r="LXE45" s="5">
        <f>-'5. IRR'!LXF16</f>
        <v>-0.0</v>
      </c>
      <c r="LXF45" s="5">
        <f>-'5. IRR'!LXG16</f>
        <v>-0.0</v>
      </c>
      <c r="LXG45" s="5">
        <f>-'5. IRR'!LXH16</f>
        <v>-0.0</v>
      </c>
      <c r="LXH45" s="5">
        <f>-'5. IRR'!LXI16</f>
        <v>-0.0</v>
      </c>
      <c r="LXI45" s="5">
        <f>-'5. IRR'!LXJ16</f>
        <v>-0.0</v>
      </c>
      <c r="LXJ45" s="5">
        <f>-'5. IRR'!LXK16</f>
        <v>-0.0</v>
      </c>
      <c r="LXK45" s="5">
        <f>-'5. IRR'!LXL16</f>
        <v>-0.0</v>
      </c>
      <c r="LXL45" s="5">
        <f>-'5. IRR'!LXM16</f>
        <v>-0.0</v>
      </c>
      <c r="LXM45" s="5">
        <f>-'5. IRR'!LXN16</f>
        <v>-0.0</v>
      </c>
      <c r="LXN45" s="5">
        <f>-'5. IRR'!LXO16</f>
        <v>-0.0</v>
      </c>
      <c r="LXO45" s="5">
        <f>-'5. IRR'!LXP16</f>
        <v>-0.0</v>
      </c>
      <c r="LXP45" s="5">
        <f>-'5. IRR'!LXQ16</f>
        <v>-0.0</v>
      </c>
      <c r="LXQ45" s="5">
        <f>-'5. IRR'!LXR16</f>
        <v>-0.0</v>
      </c>
      <c r="LXR45" s="5">
        <f>-'5. IRR'!LXS16</f>
        <v>-0.0</v>
      </c>
      <c r="LXS45" s="5">
        <f>-'5. IRR'!LXT16</f>
        <v>-0.0</v>
      </c>
      <c r="LXT45" s="5">
        <f>-'5. IRR'!LXU16</f>
        <v>-0.0</v>
      </c>
      <c r="LXU45" s="5">
        <f>-'5. IRR'!LXV16</f>
        <v>-0.0</v>
      </c>
      <c r="LXV45" s="5">
        <f>-'5. IRR'!LXW16</f>
        <v>-0.0</v>
      </c>
      <c r="LXW45" s="5">
        <f>-'5. IRR'!LXX16</f>
        <v>-0.0</v>
      </c>
      <c r="LXX45" s="5">
        <f>-'5. IRR'!LXY16</f>
        <v>-0.0</v>
      </c>
      <c r="LXY45" s="5">
        <f>-'5. IRR'!LXZ16</f>
        <v>-0.0</v>
      </c>
      <c r="LXZ45" s="5">
        <f>-'5. IRR'!LYA16</f>
        <v>-0.0</v>
      </c>
      <c r="LYA45" s="5">
        <f>-'5. IRR'!LYB16</f>
        <v>-0.0</v>
      </c>
      <c r="LYB45" s="5">
        <f>-'5. IRR'!LYC16</f>
        <v>-0.0</v>
      </c>
      <c r="LYC45" s="5">
        <f>-'5. IRR'!LYD16</f>
        <v>-0.0</v>
      </c>
      <c r="LYD45" s="5">
        <f>-'5. IRR'!LYE16</f>
        <v>-0.0</v>
      </c>
      <c r="LYE45" s="5">
        <f>-'5. IRR'!LYF16</f>
        <v>-0.0</v>
      </c>
      <c r="LYF45" s="5">
        <f>-'5. IRR'!LYG16</f>
        <v>-0.0</v>
      </c>
      <c r="LYG45" s="5">
        <f>-'5. IRR'!LYH16</f>
        <v>-0.0</v>
      </c>
      <c r="LYH45" s="5">
        <f>-'5. IRR'!LYI16</f>
        <v>-0.0</v>
      </c>
      <c r="LYI45" s="5">
        <f>-'5. IRR'!LYJ16</f>
        <v>-0.0</v>
      </c>
      <c r="LYJ45" s="5">
        <f>-'5. IRR'!LYK16</f>
        <v>-0.0</v>
      </c>
      <c r="LYK45" s="5">
        <f>-'5. IRR'!LYL16</f>
        <v>-0.0</v>
      </c>
      <c r="LYL45" s="5">
        <f>-'5. IRR'!LYM16</f>
        <v>-0.0</v>
      </c>
      <c r="LYM45" s="5">
        <f>-'5. IRR'!LYN16</f>
        <v>-0.0</v>
      </c>
      <c r="LYN45" s="5">
        <f>-'5. IRR'!LYO16</f>
        <v>-0.0</v>
      </c>
      <c r="LYO45" s="5">
        <f>-'5. IRR'!LYP16</f>
        <v>-0.0</v>
      </c>
      <c r="LYP45" s="5">
        <f>-'5. IRR'!LYQ16</f>
        <v>-0.0</v>
      </c>
      <c r="LYQ45" s="5">
        <f>-'5. IRR'!LYR16</f>
        <v>-0.0</v>
      </c>
      <c r="LYR45" s="5">
        <f>-'5. IRR'!LYS16</f>
        <v>-0.0</v>
      </c>
      <c r="LYS45" s="5">
        <f>-'5. IRR'!LYT16</f>
        <v>-0.0</v>
      </c>
      <c r="LYT45" s="5">
        <f>-'5. IRR'!LYU16</f>
        <v>-0.0</v>
      </c>
      <c r="LYU45" s="5">
        <f>-'5. IRR'!LYV16</f>
        <v>-0.0</v>
      </c>
      <c r="LYV45" s="5">
        <f>-'5. IRR'!LYW16</f>
        <v>-0.0</v>
      </c>
      <c r="LYW45" s="5">
        <f>-'5. IRR'!LYX16</f>
        <v>-0.0</v>
      </c>
      <c r="LYX45" s="5">
        <f>-'5. IRR'!LYY16</f>
        <v>-0.0</v>
      </c>
      <c r="LYY45" s="5">
        <f>-'5. IRR'!LYZ16</f>
        <v>-0.0</v>
      </c>
      <c r="LYZ45" s="5">
        <f>-'5. IRR'!LZA16</f>
        <v>-0.0</v>
      </c>
      <c r="LZA45" s="5">
        <f>-'5. IRR'!LZB16</f>
        <v>-0.0</v>
      </c>
      <c r="LZB45" s="5">
        <f>-'5. IRR'!LZC16</f>
        <v>-0.0</v>
      </c>
      <c r="LZC45" s="5">
        <f>-'5. IRR'!LZD16</f>
        <v>-0.0</v>
      </c>
      <c r="LZD45" s="5">
        <f>-'5. IRR'!LZE16</f>
        <v>-0.0</v>
      </c>
      <c r="LZE45" s="5">
        <f>-'5. IRR'!LZF16</f>
        <v>-0.0</v>
      </c>
      <c r="LZF45" s="5">
        <f>-'5. IRR'!LZG16</f>
        <v>-0.0</v>
      </c>
      <c r="LZG45" s="5">
        <f>-'5. IRR'!LZH16</f>
        <v>-0.0</v>
      </c>
      <c r="LZH45" s="5">
        <f>-'5. IRR'!LZI16</f>
        <v>-0.0</v>
      </c>
      <c r="LZI45" s="5">
        <f>-'5. IRR'!LZJ16</f>
        <v>-0.0</v>
      </c>
      <c r="LZJ45" s="5">
        <f>-'5. IRR'!LZK16</f>
        <v>-0.0</v>
      </c>
      <c r="LZK45" s="5">
        <f>-'5. IRR'!LZL16</f>
        <v>-0.0</v>
      </c>
      <c r="LZL45" s="5">
        <f>-'5. IRR'!LZM16</f>
        <v>-0.0</v>
      </c>
      <c r="LZM45" s="5">
        <f>-'5. IRR'!LZN16</f>
        <v>-0.0</v>
      </c>
      <c r="LZN45" s="5">
        <f>-'5. IRR'!LZO16</f>
        <v>-0.0</v>
      </c>
      <c r="LZO45" s="5">
        <f>-'5. IRR'!LZP16</f>
        <v>-0.0</v>
      </c>
      <c r="LZP45" s="5">
        <f>-'5. IRR'!LZQ16</f>
        <v>-0.0</v>
      </c>
      <c r="LZQ45" s="5">
        <f>-'5. IRR'!LZR16</f>
        <v>-0.0</v>
      </c>
      <c r="LZR45" s="5">
        <f>-'5. IRR'!LZS16</f>
        <v>-0.0</v>
      </c>
      <c r="LZS45" s="5">
        <f>-'5. IRR'!LZT16</f>
        <v>-0.0</v>
      </c>
      <c r="LZT45" s="5">
        <f>-'5. IRR'!LZU16</f>
        <v>-0.0</v>
      </c>
      <c r="LZU45" s="5">
        <f>-'5. IRR'!LZV16</f>
        <v>-0.0</v>
      </c>
      <c r="LZV45" s="5">
        <f>-'5. IRR'!LZW16</f>
        <v>-0.0</v>
      </c>
      <c r="LZW45" s="5">
        <f>-'5. IRR'!LZX16</f>
        <v>-0.0</v>
      </c>
      <c r="LZX45" s="5">
        <f>-'5. IRR'!LZY16</f>
        <v>-0.0</v>
      </c>
      <c r="LZY45" s="5">
        <f>-'5. IRR'!LZZ16</f>
        <v>-0.0</v>
      </c>
      <c r="LZZ45" s="5">
        <f>-'5. IRR'!MAA16</f>
        <v>-0.0</v>
      </c>
      <c r="MAA45" s="5">
        <f>-'5. IRR'!MAB16</f>
        <v>-0.0</v>
      </c>
      <c r="MAB45" s="5">
        <f>-'5. IRR'!MAC16</f>
        <v>-0.0</v>
      </c>
      <c r="MAC45" s="5">
        <f>-'5. IRR'!MAD16</f>
        <v>-0.0</v>
      </c>
      <c r="MAD45" s="5">
        <f>-'5. IRR'!MAE16</f>
        <v>-0.0</v>
      </c>
      <c r="MAE45" s="5">
        <f>-'5. IRR'!MAF16</f>
        <v>-0.0</v>
      </c>
      <c r="MAF45" s="5">
        <f>-'5. IRR'!MAG16</f>
        <v>-0.0</v>
      </c>
      <c r="MAG45" s="5">
        <f>-'5. IRR'!MAH16</f>
        <v>-0.0</v>
      </c>
      <c r="MAH45" s="5">
        <f>-'5. IRR'!MAI16</f>
        <v>-0.0</v>
      </c>
      <c r="MAI45" s="5">
        <f>-'5. IRR'!MAJ16</f>
        <v>-0.0</v>
      </c>
      <c r="MAJ45" s="5">
        <f>-'5. IRR'!MAK16</f>
        <v>-0.0</v>
      </c>
      <c r="MAK45" s="5">
        <f>-'5. IRR'!MAL16</f>
        <v>-0.0</v>
      </c>
      <c r="MAL45" s="5">
        <f>-'5. IRR'!MAM16</f>
        <v>-0.0</v>
      </c>
      <c r="MAM45" s="5">
        <f>-'5. IRR'!MAN16</f>
        <v>-0.0</v>
      </c>
      <c r="MAN45" s="5">
        <f>-'5. IRR'!MAO16</f>
        <v>-0.0</v>
      </c>
      <c r="MAO45" s="5">
        <f>-'5. IRR'!MAP16</f>
        <v>-0.0</v>
      </c>
      <c r="MAP45" s="5">
        <f>-'5. IRR'!MAQ16</f>
        <v>-0.0</v>
      </c>
      <c r="MAQ45" s="5">
        <f>-'5. IRR'!MAR16</f>
        <v>-0.0</v>
      </c>
      <c r="MAR45" s="5">
        <f>-'5. IRR'!MAS16</f>
        <v>-0.0</v>
      </c>
      <c r="MAS45" s="5">
        <f>-'5. IRR'!MAT16</f>
        <v>-0.0</v>
      </c>
      <c r="MAT45" s="5">
        <f>-'5. IRR'!MAU16</f>
        <v>-0.0</v>
      </c>
      <c r="MAU45" s="5">
        <f>-'5. IRR'!MAV16</f>
        <v>-0.0</v>
      </c>
      <c r="MAV45" s="5">
        <f>-'5. IRR'!MAW16</f>
        <v>-0.0</v>
      </c>
      <c r="MAW45" s="5">
        <f>-'5. IRR'!MAX16</f>
        <v>-0.0</v>
      </c>
      <c r="MAX45" s="5">
        <f>-'5. IRR'!MAY16</f>
        <v>-0.0</v>
      </c>
      <c r="MAY45" s="5">
        <f>-'5. IRR'!MAZ16</f>
        <v>-0.0</v>
      </c>
      <c r="MAZ45" s="5">
        <f>-'5. IRR'!MBA16</f>
        <v>-0.0</v>
      </c>
      <c r="MBA45" s="5">
        <f>-'5. IRR'!MBB16</f>
        <v>-0.0</v>
      </c>
      <c r="MBB45" s="5">
        <f>-'5. IRR'!MBC16</f>
        <v>-0.0</v>
      </c>
      <c r="MBC45" s="5">
        <f>-'5. IRR'!MBD16</f>
        <v>-0.0</v>
      </c>
      <c r="MBD45" s="5">
        <f>-'5. IRR'!MBE16</f>
        <v>-0.0</v>
      </c>
      <c r="MBE45" s="5">
        <f>-'5. IRR'!MBF16</f>
        <v>-0.0</v>
      </c>
      <c r="MBF45" s="5">
        <f>-'5. IRR'!MBG16</f>
        <v>-0.0</v>
      </c>
      <c r="MBG45" s="5">
        <f>-'5. IRR'!MBH16</f>
        <v>-0.0</v>
      </c>
      <c r="MBH45" s="5">
        <f>-'5. IRR'!MBI16</f>
        <v>-0.0</v>
      </c>
      <c r="MBI45" s="5">
        <f>-'5. IRR'!MBJ16</f>
        <v>-0.0</v>
      </c>
      <c r="MBJ45" s="5">
        <f>-'5. IRR'!MBK16</f>
        <v>-0.0</v>
      </c>
      <c r="MBK45" s="5">
        <f>-'5. IRR'!MBL16</f>
        <v>-0.0</v>
      </c>
      <c r="MBL45" s="5">
        <f>-'5. IRR'!MBM16</f>
        <v>-0.0</v>
      </c>
      <c r="MBM45" s="5">
        <f>-'5. IRR'!MBN16</f>
        <v>-0.0</v>
      </c>
      <c r="MBN45" s="5">
        <f>-'5. IRR'!MBO16</f>
        <v>-0.0</v>
      </c>
      <c r="MBO45" s="5">
        <f>-'5. IRR'!MBP16</f>
        <v>-0.0</v>
      </c>
      <c r="MBP45" s="5">
        <f>-'5. IRR'!MBQ16</f>
        <v>-0.0</v>
      </c>
      <c r="MBQ45" s="5">
        <f>-'5. IRR'!MBR16</f>
        <v>-0.0</v>
      </c>
      <c r="MBR45" s="5">
        <f>-'5. IRR'!MBS16</f>
        <v>-0.0</v>
      </c>
      <c r="MBS45" s="5">
        <f>-'5. IRR'!MBT16</f>
        <v>-0.0</v>
      </c>
      <c r="MBT45" s="5">
        <f>-'5. IRR'!MBU16</f>
        <v>-0.0</v>
      </c>
      <c r="MBU45" s="5">
        <f>-'5. IRR'!MBV16</f>
        <v>-0.0</v>
      </c>
      <c r="MBV45" s="5">
        <f>-'5. IRR'!MBW16</f>
        <v>-0.0</v>
      </c>
      <c r="MBW45" s="5">
        <f>-'5. IRR'!MBX16</f>
        <v>-0.0</v>
      </c>
      <c r="MBX45" s="5">
        <f>-'5. IRR'!MBY16</f>
        <v>-0.0</v>
      </c>
      <c r="MBY45" s="5">
        <f>-'5. IRR'!MBZ16</f>
        <v>-0.0</v>
      </c>
      <c r="MBZ45" s="5">
        <f>-'5. IRR'!MCA16</f>
        <v>-0.0</v>
      </c>
      <c r="MCA45" s="5">
        <f>-'5. IRR'!MCB16</f>
        <v>-0.0</v>
      </c>
      <c r="MCB45" s="5">
        <f>-'5. IRR'!MCC16</f>
        <v>-0.0</v>
      </c>
      <c r="MCC45" s="5">
        <f>-'5. IRR'!MCD16</f>
        <v>-0.0</v>
      </c>
      <c r="MCD45" s="5">
        <f>-'5. IRR'!MCE16</f>
        <v>-0.0</v>
      </c>
      <c r="MCE45" s="5">
        <f>-'5. IRR'!MCF16</f>
        <v>-0.0</v>
      </c>
      <c r="MCF45" s="5">
        <f>-'5. IRR'!MCG16</f>
        <v>-0.0</v>
      </c>
      <c r="MCG45" s="5">
        <f>-'5. IRR'!MCH16</f>
        <v>-0.0</v>
      </c>
      <c r="MCH45" s="5">
        <f>-'5. IRR'!MCI16</f>
        <v>-0.0</v>
      </c>
      <c r="MCI45" s="5">
        <f>-'5. IRR'!MCJ16</f>
        <v>-0.0</v>
      </c>
      <c r="MCJ45" s="5">
        <f>-'5. IRR'!MCK16</f>
        <v>-0.0</v>
      </c>
      <c r="MCK45" s="5">
        <f>-'5. IRR'!MCL16</f>
        <v>-0.0</v>
      </c>
      <c r="MCL45" s="5">
        <f>-'5. IRR'!MCM16</f>
        <v>-0.0</v>
      </c>
      <c r="MCM45" s="5">
        <f>-'5. IRR'!MCN16</f>
        <v>-0.0</v>
      </c>
      <c r="MCN45" s="5">
        <f>-'5. IRR'!MCO16</f>
        <v>-0.0</v>
      </c>
      <c r="MCO45" s="5">
        <f>-'5. IRR'!MCP16</f>
        <v>-0.0</v>
      </c>
      <c r="MCP45" s="5">
        <f>-'5. IRR'!MCQ16</f>
        <v>-0.0</v>
      </c>
      <c r="MCQ45" s="5">
        <f>-'5. IRR'!MCR16</f>
        <v>-0.0</v>
      </c>
      <c r="MCR45" s="5">
        <f>-'5. IRR'!MCS16</f>
        <v>-0.0</v>
      </c>
      <c r="MCS45" s="5">
        <f>-'5. IRR'!MCT16</f>
        <v>-0.0</v>
      </c>
      <c r="MCT45" s="5">
        <f>-'5. IRR'!MCU16</f>
        <v>-0.0</v>
      </c>
      <c r="MCU45" s="5">
        <f>-'5. IRR'!MCV16</f>
        <v>-0.0</v>
      </c>
      <c r="MCV45" s="5">
        <f>-'5. IRR'!MCW16</f>
        <v>-0.0</v>
      </c>
      <c r="MCW45" s="5">
        <f>-'5. IRR'!MCX16</f>
        <v>-0.0</v>
      </c>
      <c r="MCX45" s="5">
        <f>-'5. IRR'!MCY16</f>
        <v>-0.0</v>
      </c>
      <c r="MCY45" s="5">
        <f>-'5. IRR'!MCZ16</f>
        <v>-0.0</v>
      </c>
      <c r="MCZ45" s="5">
        <f>-'5. IRR'!MDA16</f>
        <v>-0.0</v>
      </c>
      <c r="MDA45" s="5">
        <f>-'5. IRR'!MDB16</f>
        <v>-0.0</v>
      </c>
      <c r="MDB45" s="5">
        <f>-'5. IRR'!MDC16</f>
        <v>-0.0</v>
      </c>
      <c r="MDC45" s="5">
        <f>-'5. IRR'!MDD16</f>
        <v>-0.0</v>
      </c>
      <c r="MDD45" s="5">
        <f>-'5. IRR'!MDE16</f>
        <v>-0.0</v>
      </c>
      <c r="MDE45" s="5">
        <f>-'5. IRR'!MDF16</f>
        <v>-0.0</v>
      </c>
      <c r="MDF45" s="5">
        <f>-'5. IRR'!MDG16</f>
        <v>-0.0</v>
      </c>
      <c r="MDG45" s="5">
        <f>-'5. IRR'!MDH16</f>
        <v>-0.0</v>
      </c>
      <c r="MDH45" s="5">
        <f>-'5. IRR'!MDI16</f>
        <v>-0.0</v>
      </c>
      <c r="MDI45" s="5">
        <f>-'5. IRR'!MDJ16</f>
        <v>-0.0</v>
      </c>
      <c r="MDJ45" s="5">
        <f>-'5. IRR'!MDK16</f>
        <v>-0.0</v>
      </c>
      <c r="MDK45" s="5">
        <f>-'5. IRR'!MDL16</f>
        <v>-0.0</v>
      </c>
      <c r="MDL45" s="5">
        <f>-'5. IRR'!MDM16</f>
        <v>-0.0</v>
      </c>
      <c r="MDM45" s="5">
        <f>-'5. IRR'!MDN16</f>
        <v>-0.0</v>
      </c>
      <c r="MDN45" s="5">
        <f>-'5. IRR'!MDO16</f>
        <v>-0.0</v>
      </c>
      <c r="MDO45" s="5">
        <f>-'5. IRR'!MDP16</f>
        <v>-0.0</v>
      </c>
      <c r="MDP45" s="5">
        <f>-'5. IRR'!MDQ16</f>
        <v>-0.0</v>
      </c>
      <c r="MDQ45" s="5">
        <f>-'5. IRR'!MDR16</f>
        <v>-0.0</v>
      </c>
      <c r="MDR45" s="5">
        <f>-'5. IRR'!MDS16</f>
        <v>-0.0</v>
      </c>
      <c r="MDS45" s="5">
        <f>-'5. IRR'!MDT16</f>
        <v>-0.0</v>
      </c>
      <c r="MDT45" s="5">
        <f>-'5. IRR'!MDU16</f>
        <v>-0.0</v>
      </c>
      <c r="MDU45" s="5">
        <f>-'5. IRR'!MDV16</f>
        <v>-0.0</v>
      </c>
      <c r="MDV45" s="5">
        <f>-'5. IRR'!MDW16</f>
        <v>-0.0</v>
      </c>
      <c r="MDW45" s="5">
        <f>-'5. IRR'!MDX16</f>
        <v>-0.0</v>
      </c>
      <c r="MDX45" s="5">
        <f>-'5. IRR'!MDY16</f>
        <v>-0.0</v>
      </c>
      <c r="MDY45" s="5">
        <f>-'5. IRR'!MDZ16</f>
        <v>-0.0</v>
      </c>
      <c r="MDZ45" s="5">
        <f>-'5. IRR'!MEA16</f>
        <v>-0.0</v>
      </c>
      <c r="MEA45" s="5">
        <f>-'5. IRR'!MEB16</f>
        <v>-0.0</v>
      </c>
      <c r="MEB45" s="5">
        <f>-'5. IRR'!MEC16</f>
        <v>-0.0</v>
      </c>
      <c r="MEC45" s="5">
        <f>-'5. IRR'!MED16</f>
        <v>-0.0</v>
      </c>
      <c r="MED45" s="5">
        <f>-'5. IRR'!MEE16</f>
        <v>-0.0</v>
      </c>
      <c r="MEE45" s="5">
        <f>-'5. IRR'!MEF16</f>
        <v>-0.0</v>
      </c>
      <c r="MEF45" s="5">
        <f>-'5. IRR'!MEG16</f>
        <v>-0.0</v>
      </c>
      <c r="MEG45" s="5">
        <f>-'5. IRR'!MEH16</f>
        <v>-0.0</v>
      </c>
      <c r="MEH45" s="5">
        <f>-'5. IRR'!MEI16</f>
        <v>-0.0</v>
      </c>
      <c r="MEI45" s="5">
        <f>-'5. IRR'!MEJ16</f>
        <v>-0.0</v>
      </c>
      <c r="MEJ45" s="5">
        <f>-'5. IRR'!MEK16</f>
        <v>-0.0</v>
      </c>
      <c r="MEK45" s="5">
        <f>-'5. IRR'!MEL16</f>
        <v>-0.0</v>
      </c>
      <c r="MEL45" s="5">
        <f>-'5. IRR'!MEM16</f>
        <v>-0.0</v>
      </c>
      <c r="MEM45" s="5">
        <f>-'5. IRR'!MEN16</f>
        <v>-0.0</v>
      </c>
      <c r="MEN45" s="5">
        <f>-'5. IRR'!MEO16</f>
        <v>-0.0</v>
      </c>
      <c r="MEO45" s="5">
        <f>-'5. IRR'!MEP16</f>
        <v>-0.0</v>
      </c>
      <c r="MEP45" s="5">
        <f>-'5. IRR'!MEQ16</f>
        <v>-0.0</v>
      </c>
      <c r="MEQ45" s="5">
        <f>-'5. IRR'!MER16</f>
        <v>-0.0</v>
      </c>
      <c r="MER45" s="5">
        <f>-'5. IRR'!MES16</f>
        <v>-0.0</v>
      </c>
      <c r="MES45" s="5">
        <f>-'5. IRR'!MET16</f>
        <v>-0.0</v>
      </c>
      <c r="MET45" s="5">
        <f>-'5. IRR'!MEU16</f>
        <v>-0.0</v>
      </c>
      <c r="MEU45" s="5">
        <f>-'5. IRR'!MEV16</f>
        <v>-0.0</v>
      </c>
      <c r="MEV45" s="5">
        <f>-'5. IRR'!MEW16</f>
        <v>-0.0</v>
      </c>
      <c r="MEW45" s="5">
        <f>-'5. IRR'!MEX16</f>
        <v>-0.0</v>
      </c>
      <c r="MEX45" s="5">
        <f>-'5. IRR'!MEY16</f>
        <v>-0.0</v>
      </c>
      <c r="MEY45" s="5">
        <f>-'5. IRR'!MEZ16</f>
        <v>-0.0</v>
      </c>
      <c r="MEZ45" s="5">
        <f>-'5. IRR'!MFA16</f>
        <v>-0.0</v>
      </c>
      <c r="MFA45" s="5">
        <f>-'5. IRR'!MFB16</f>
        <v>-0.0</v>
      </c>
      <c r="MFB45" s="5">
        <f>-'5. IRR'!MFC16</f>
        <v>-0.0</v>
      </c>
      <c r="MFC45" s="5">
        <f>-'5. IRR'!MFD16</f>
        <v>-0.0</v>
      </c>
      <c r="MFD45" s="5">
        <f>-'5. IRR'!MFE16</f>
        <v>-0.0</v>
      </c>
      <c r="MFE45" s="5">
        <f>-'5. IRR'!MFF16</f>
        <v>-0.0</v>
      </c>
      <c r="MFF45" s="5">
        <f>-'5. IRR'!MFG16</f>
        <v>-0.0</v>
      </c>
      <c r="MFG45" s="5">
        <f>-'5. IRR'!MFH16</f>
        <v>-0.0</v>
      </c>
      <c r="MFH45" s="5">
        <f>-'5. IRR'!MFI16</f>
        <v>-0.0</v>
      </c>
      <c r="MFI45" s="5">
        <f>-'5. IRR'!MFJ16</f>
        <v>-0.0</v>
      </c>
      <c r="MFJ45" s="5">
        <f>-'5. IRR'!MFK16</f>
        <v>-0.0</v>
      </c>
      <c r="MFK45" s="5">
        <f>-'5. IRR'!MFL16</f>
        <v>-0.0</v>
      </c>
      <c r="MFL45" s="5">
        <f>-'5. IRR'!MFM16</f>
        <v>-0.0</v>
      </c>
      <c r="MFM45" s="5">
        <f>-'5. IRR'!MFN16</f>
        <v>-0.0</v>
      </c>
      <c r="MFN45" s="5">
        <f>-'5. IRR'!MFO16</f>
        <v>-0.0</v>
      </c>
      <c r="MFO45" s="5">
        <f>-'5. IRR'!MFP16</f>
        <v>-0.0</v>
      </c>
      <c r="MFP45" s="5">
        <f>-'5. IRR'!MFQ16</f>
        <v>-0.0</v>
      </c>
      <c r="MFQ45" s="5">
        <f>-'5. IRR'!MFR16</f>
        <v>-0.0</v>
      </c>
      <c r="MFR45" s="5">
        <f>-'5. IRR'!MFS16</f>
        <v>-0.0</v>
      </c>
      <c r="MFS45" s="5">
        <f>-'5. IRR'!MFT16</f>
        <v>-0.0</v>
      </c>
      <c r="MFT45" s="5">
        <f>-'5. IRR'!MFU16</f>
        <v>-0.0</v>
      </c>
      <c r="MFU45" s="5">
        <f>-'5. IRR'!MFV16</f>
        <v>-0.0</v>
      </c>
      <c r="MFV45" s="5">
        <f>-'5. IRR'!MFW16</f>
        <v>-0.0</v>
      </c>
      <c r="MFW45" s="5">
        <f>-'5. IRR'!MFX16</f>
        <v>-0.0</v>
      </c>
      <c r="MFX45" s="5">
        <f>-'5. IRR'!MFY16</f>
        <v>-0.0</v>
      </c>
      <c r="MFY45" s="5">
        <f>-'5. IRR'!MFZ16</f>
        <v>-0.0</v>
      </c>
      <c r="MFZ45" s="5">
        <f>-'5. IRR'!MGA16</f>
        <v>-0.0</v>
      </c>
      <c r="MGA45" s="5">
        <f>-'5. IRR'!MGB16</f>
        <v>-0.0</v>
      </c>
      <c r="MGB45" s="5">
        <f>-'5. IRR'!MGC16</f>
        <v>-0.0</v>
      </c>
      <c r="MGC45" s="5">
        <f>-'5. IRR'!MGD16</f>
        <v>-0.0</v>
      </c>
      <c r="MGD45" s="5">
        <f>-'5. IRR'!MGE16</f>
        <v>-0.0</v>
      </c>
      <c r="MGE45" s="5">
        <f>-'5. IRR'!MGF16</f>
        <v>-0.0</v>
      </c>
      <c r="MGF45" s="5">
        <f>-'5. IRR'!MGG16</f>
        <v>-0.0</v>
      </c>
      <c r="MGG45" s="5">
        <f>-'5. IRR'!MGH16</f>
        <v>-0.0</v>
      </c>
      <c r="MGH45" s="5">
        <f>-'5. IRR'!MGI16</f>
        <v>-0.0</v>
      </c>
      <c r="MGI45" s="5">
        <f>-'5. IRR'!MGJ16</f>
        <v>-0.0</v>
      </c>
      <c r="MGJ45" s="5">
        <f>-'5. IRR'!MGK16</f>
        <v>-0.0</v>
      </c>
      <c r="MGK45" s="5">
        <f>-'5. IRR'!MGL16</f>
        <v>-0.0</v>
      </c>
      <c r="MGL45" s="5">
        <f>-'5. IRR'!MGM16</f>
        <v>-0.0</v>
      </c>
      <c r="MGM45" s="5">
        <f>-'5. IRR'!MGN16</f>
        <v>-0.0</v>
      </c>
      <c r="MGN45" s="5">
        <f>-'5. IRR'!MGO16</f>
        <v>-0.0</v>
      </c>
      <c r="MGO45" s="5">
        <f>-'5. IRR'!MGP16</f>
        <v>-0.0</v>
      </c>
      <c r="MGP45" s="5">
        <f>-'5. IRR'!MGQ16</f>
        <v>-0.0</v>
      </c>
      <c r="MGQ45" s="5">
        <f>-'5. IRR'!MGR16</f>
        <v>-0.0</v>
      </c>
      <c r="MGR45" s="5">
        <f>-'5. IRR'!MGS16</f>
        <v>-0.0</v>
      </c>
      <c r="MGS45" s="5">
        <f>-'5. IRR'!MGT16</f>
        <v>-0.0</v>
      </c>
      <c r="MGT45" s="5">
        <f>-'5. IRR'!MGU16</f>
        <v>-0.0</v>
      </c>
      <c r="MGU45" s="5">
        <f>-'5. IRR'!MGV16</f>
        <v>-0.0</v>
      </c>
      <c r="MGV45" s="5">
        <f>-'5. IRR'!MGW16</f>
        <v>-0.0</v>
      </c>
      <c r="MGW45" s="5">
        <f>-'5. IRR'!MGX16</f>
        <v>-0.0</v>
      </c>
      <c r="MGX45" s="5">
        <f>-'5. IRR'!MGY16</f>
        <v>-0.0</v>
      </c>
      <c r="MGY45" s="5">
        <f>-'5. IRR'!MGZ16</f>
        <v>-0.0</v>
      </c>
      <c r="MGZ45" s="5">
        <f>-'5. IRR'!MHA16</f>
        <v>-0.0</v>
      </c>
      <c r="MHA45" s="5">
        <f>-'5. IRR'!MHB16</f>
        <v>-0.0</v>
      </c>
      <c r="MHB45" s="5">
        <f>-'5. IRR'!MHC16</f>
        <v>-0.0</v>
      </c>
      <c r="MHC45" s="5">
        <f>-'5. IRR'!MHD16</f>
        <v>-0.0</v>
      </c>
      <c r="MHD45" s="5">
        <f>-'5. IRR'!MHE16</f>
        <v>-0.0</v>
      </c>
      <c r="MHE45" s="5">
        <f>-'5. IRR'!MHF16</f>
        <v>-0.0</v>
      </c>
      <c r="MHF45" s="5">
        <f>-'5. IRR'!MHG16</f>
        <v>-0.0</v>
      </c>
      <c r="MHG45" s="5">
        <f>-'5. IRR'!MHH16</f>
        <v>-0.0</v>
      </c>
      <c r="MHH45" s="5">
        <f>-'5. IRR'!MHI16</f>
        <v>-0.0</v>
      </c>
      <c r="MHI45" s="5">
        <f>-'5. IRR'!MHJ16</f>
        <v>-0.0</v>
      </c>
      <c r="MHJ45" s="5">
        <f>-'5. IRR'!MHK16</f>
        <v>-0.0</v>
      </c>
      <c r="MHK45" s="5">
        <f>-'5. IRR'!MHL16</f>
        <v>-0.0</v>
      </c>
      <c r="MHL45" s="5">
        <f>-'5. IRR'!MHM16</f>
        <v>-0.0</v>
      </c>
      <c r="MHM45" s="5">
        <f>-'5. IRR'!MHN16</f>
        <v>-0.0</v>
      </c>
      <c r="MHN45" s="5">
        <f>-'5. IRR'!MHO16</f>
        <v>-0.0</v>
      </c>
      <c r="MHO45" s="5">
        <f>-'5. IRR'!MHP16</f>
        <v>-0.0</v>
      </c>
      <c r="MHP45" s="5">
        <f>-'5. IRR'!MHQ16</f>
        <v>-0.0</v>
      </c>
      <c r="MHQ45" s="5">
        <f>-'5. IRR'!MHR16</f>
        <v>-0.0</v>
      </c>
      <c r="MHR45" s="5">
        <f>-'5. IRR'!MHS16</f>
        <v>-0.0</v>
      </c>
      <c r="MHS45" s="5">
        <f>-'5. IRR'!MHT16</f>
        <v>-0.0</v>
      </c>
      <c r="MHT45" s="5">
        <f>-'5. IRR'!MHU16</f>
        <v>-0.0</v>
      </c>
      <c r="MHU45" s="5">
        <f>-'5. IRR'!MHV16</f>
        <v>-0.0</v>
      </c>
      <c r="MHV45" s="5">
        <f>-'5. IRR'!MHW16</f>
        <v>-0.0</v>
      </c>
      <c r="MHW45" s="5">
        <f>-'5. IRR'!MHX16</f>
        <v>-0.0</v>
      </c>
      <c r="MHX45" s="5">
        <f>-'5. IRR'!MHY16</f>
        <v>-0.0</v>
      </c>
      <c r="MHY45" s="5">
        <f>-'5. IRR'!MHZ16</f>
        <v>-0.0</v>
      </c>
      <c r="MHZ45" s="5">
        <f>-'5. IRR'!MIA16</f>
        <v>-0.0</v>
      </c>
      <c r="MIA45" s="5">
        <f>-'5. IRR'!MIB16</f>
        <v>-0.0</v>
      </c>
      <c r="MIB45" s="5">
        <f>-'5. IRR'!MIC16</f>
        <v>-0.0</v>
      </c>
      <c r="MIC45" s="5">
        <f>-'5. IRR'!MID16</f>
        <v>-0.0</v>
      </c>
      <c r="MID45" s="5">
        <f>-'5. IRR'!MIE16</f>
        <v>-0.0</v>
      </c>
      <c r="MIE45" s="5">
        <f>-'5. IRR'!MIF16</f>
        <v>-0.0</v>
      </c>
      <c r="MIF45" s="5">
        <f>-'5. IRR'!MIG16</f>
        <v>-0.0</v>
      </c>
      <c r="MIG45" s="5">
        <f>-'5. IRR'!MIH16</f>
        <v>-0.0</v>
      </c>
      <c r="MIH45" s="5">
        <f>-'5. IRR'!MII16</f>
        <v>-0.0</v>
      </c>
      <c r="MII45" s="5">
        <f>-'5. IRR'!MIJ16</f>
        <v>-0.0</v>
      </c>
      <c r="MIJ45" s="5">
        <f>-'5. IRR'!MIK16</f>
        <v>-0.0</v>
      </c>
      <c r="MIK45" s="5">
        <f>-'5. IRR'!MIL16</f>
        <v>-0.0</v>
      </c>
      <c r="MIL45" s="5">
        <f>-'5. IRR'!MIM16</f>
        <v>-0.0</v>
      </c>
      <c r="MIM45" s="5">
        <f>-'5. IRR'!MIN16</f>
        <v>-0.0</v>
      </c>
      <c r="MIN45" s="5">
        <f>-'5. IRR'!MIO16</f>
        <v>-0.0</v>
      </c>
      <c r="MIO45" s="5">
        <f>-'5. IRR'!MIP16</f>
        <v>-0.0</v>
      </c>
      <c r="MIP45" s="5">
        <f>-'5. IRR'!MIQ16</f>
        <v>-0.0</v>
      </c>
      <c r="MIQ45" s="5">
        <f>-'5. IRR'!MIR16</f>
        <v>-0.0</v>
      </c>
      <c r="MIR45" s="5">
        <f>-'5. IRR'!MIS16</f>
        <v>-0.0</v>
      </c>
      <c r="MIS45" s="5">
        <f>-'5. IRR'!MIT16</f>
        <v>-0.0</v>
      </c>
      <c r="MIT45" s="5">
        <f>-'5. IRR'!MIU16</f>
        <v>-0.0</v>
      </c>
      <c r="MIU45" s="5">
        <f>-'5. IRR'!MIV16</f>
        <v>-0.0</v>
      </c>
      <c r="MIV45" s="5">
        <f>-'5. IRR'!MIW16</f>
        <v>-0.0</v>
      </c>
      <c r="MIW45" s="5">
        <f>-'5. IRR'!MIX16</f>
        <v>-0.0</v>
      </c>
      <c r="MIX45" s="5">
        <f>-'5. IRR'!MIY16</f>
        <v>-0.0</v>
      </c>
      <c r="MIY45" s="5">
        <f>-'5. IRR'!MIZ16</f>
        <v>-0.0</v>
      </c>
      <c r="MIZ45" s="5">
        <f>-'5. IRR'!MJA16</f>
        <v>-0.0</v>
      </c>
      <c r="MJA45" s="5">
        <f>-'5. IRR'!MJB16</f>
        <v>-0.0</v>
      </c>
      <c r="MJB45" s="5">
        <f>-'5. IRR'!MJC16</f>
        <v>-0.0</v>
      </c>
      <c r="MJC45" s="5">
        <f>-'5. IRR'!MJD16</f>
        <v>-0.0</v>
      </c>
      <c r="MJD45" s="5">
        <f>-'5. IRR'!MJE16</f>
        <v>-0.0</v>
      </c>
      <c r="MJE45" s="5">
        <f>-'5. IRR'!MJF16</f>
        <v>-0.0</v>
      </c>
      <c r="MJF45" s="5">
        <f>-'5. IRR'!MJG16</f>
        <v>-0.0</v>
      </c>
      <c r="MJG45" s="5">
        <f>-'5. IRR'!MJH16</f>
        <v>-0.0</v>
      </c>
      <c r="MJH45" s="5">
        <f>-'5. IRR'!MJI16</f>
        <v>-0.0</v>
      </c>
      <c r="MJI45" s="5">
        <f>-'5. IRR'!MJJ16</f>
        <v>-0.0</v>
      </c>
      <c r="MJJ45" s="5">
        <f>-'5. IRR'!MJK16</f>
        <v>-0.0</v>
      </c>
      <c r="MJK45" s="5">
        <f>-'5. IRR'!MJL16</f>
        <v>-0.0</v>
      </c>
      <c r="MJL45" s="5">
        <f>-'5. IRR'!MJM16</f>
        <v>-0.0</v>
      </c>
      <c r="MJM45" s="5">
        <f>-'5. IRR'!MJN16</f>
        <v>-0.0</v>
      </c>
      <c r="MJN45" s="5">
        <f>-'5. IRR'!MJO16</f>
        <v>-0.0</v>
      </c>
      <c r="MJO45" s="5">
        <f>-'5. IRR'!MJP16</f>
        <v>-0.0</v>
      </c>
      <c r="MJP45" s="5">
        <f>-'5. IRR'!MJQ16</f>
        <v>-0.0</v>
      </c>
      <c r="MJQ45" s="5">
        <f>-'5. IRR'!MJR16</f>
        <v>-0.0</v>
      </c>
      <c r="MJR45" s="5">
        <f>-'5. IRR'!MJS16</f>
        <v>-0.0</v>
      </c>
      <c r="MJS45" s="5">
        <f>-'5. IRR'!MJT16</f>
        <v>-0.0</v>
      </c>
      <c r="MJT45" s="5">
        <f>-'5. IRR'!MJU16</f>
        <v>-0.0</v>
      </c>
      <c r="MJU45" s="5">
        <f>-'5. IRR'!MJV16</f>
        <v>-0.0</v>
      </c>
      <c r="MJV45" s="5">
        <f>-'5. IRR'!MJW16</f>
        <v>-0.0</v>
      </c>
      <c r="MJW45" s="5">
        <f>-'5. IRR'!MJX16</f>
        <v>-0.0</v>
      </c>
      <c r="MJX45" s="5">
        <f>-'5. IRR'!MJY16</f>
        <v>-0.0</v>
      </c>
      <c r="MJY45" s="5">
        <f>-'5. IRR'!MJZ16</f>
        <v>-0.0</v>
      </c>
      <c r="MJZ45" s="5">
        <f>-'5. IRR'!MKA16</f>
        <v>-0.0</v>
      </c>
      <c r="MKA45" s="5">
        <f>-'5. IRR'!MKB16</f>
        <v>-0.0</v>
      </c>
      <c r="MKB45" s="5">
        <f>-'5. IRR'!MKC16</f>
        <v>-0.0</v>
      </c>
      <c r="MKC45" s="5">
        <f>-'5. IRR'!MKD16</f>
        <v>-0.0</v>
      </c>
      <c r="MKD45" s="5">
        <f>-'5. IRR'!MKE16</f>
        <v>-0.0</v>
      </c>
      <c r="MKE45" s="5">
        <f>-'5. IRR'!MKF16</f>
        <v>-0.0</v>
      </c>
      <c r="MKF45" s="5">
        <f>-'5. IRR'!MKG16</f>
        <v>-0.0</v>
      </c>
      <c r="MKG45" s="5">
        <f>-'5. IRR'!MKH16</f>
        <v>-0.0</v>
      </c>
      <c r="MKH45" s="5">
        <f>-'5. IRR'!MKI16</f>
        <v>-0.0</v>
      </c>
      <c r="MKI45" s="5">
        <f>-'5. IRR'!MKJ16</f>
        <v>-0.0</v>
      </c>
      <c r="MKJ45" s="5">
        <f>-'5. IRR'!MKK16</f>
        <v>-0.0</v>
      </c>
      <c r="MKK45" s="5">
        <f>-'5. IRR'!MKL16</f>
        <v>-0.0</v>
      </c>
      <c r="MKL45" s="5">
        <f>-'5. IRR'!MKM16</f>
        <v>-0.0</v>
      </c>
      <c r="MKM45" s="5">
        <f>-'5. IRR'!MKN16</f>
        <v>-0.0</v>
      </c>
      <c r="MKN45" s="5">
        <f>-'5. IRR'!MKO16</f>
        <v>-0.0</v>
      </c>
      <c r="MKO45" s="5">
        <f>-'5. IRR'!MKP16</f>
        <v>-0.0</v>
      </c>
      <c r="MKP45" s="5">
        <f>-'5. IRR'!MKQ16</f>
        <v>-0.0</v>
      </c>
      <c r="MKQ45" s="5">
        <f>-'5. IRR'!MKR16</f>
        <v>-0.0</v>
      </c>
      <c r="MKR45" s="5">
        <f>-'5. IRR'!MKS16</f>
        <v>-0.0</v>
      </c>
      <c r="MKS45" s="5">
        <f>-'5. IRR'!MKT16</f>
        <v>-0.0</v>
      </c>
      <c r="MKT45" s="5">
        <f>-'5. IRR'!MKU16</f>
        <v>-0.0</v>
      </c>
      <c r="MKU45" s="5">
        <f>-'5. IRR'!MKV16</f>
        <v>-0.0</v>
      </c>
      <c r="MKV45" s="5">
        <f>-'5. IRR'!MKW16</f>
        <v>-0.0</v>
      </c>
      <c r="MKW45" s="5">
        <f>-'5. IRR'!MKX16</f>
        <v>-0.0</v>
      </c>
      <c r="MKX45" s="5">
        <f>-'5. IRR'!MKY16</f>
        <v>-0.0</v>
      </c>
      <c r="MKY45" s="5">
        <f>-'5. IRR'!MKZ16</f>
        <v>-0.0</v>
      </c>
      <c r="MKZ45" s="5">
        <f>-'5. IRR'!MLA16</f>
        <v>-0.0</v>
      </c>
      <c r="MLA45" s="5">
        <f>-'5. IRR'!MLB16</f>
        <v>-0.0</v>
      </c>
      <c r="MLB45" s="5">
        <f>-'5. IRR'!MLC16</f>
        <v>-0.0</v>
      </c>
      <c r="MLC45" s="5">
        <f>-'5. IRR'!MLD16</f>
        <v>-0.0</v>
      </c>
      <c r="MLD45" s="5">
        <f>-'5. IRR'!MLE16</f>
        <v>-0.0</v>
      </c>
      <c r="MLE45" s="5">
        <f>-'5. IRR'!MLF16</f>
        <v>-0.0</v>
      </c>
      <c r="MLF45" s="5">
        <f>-'5. IRR'!MLG16</f>
        <v>-0.0</v>
      </c>
      <c r="MLG45" s="5">
        <f>-'5. IRR'!MLH16</f>
        <v>-0.0</v>
      </c>
      <c r="MLH45" s="5">
        <f>-'5. IRR'!MLI16</f>
        <v>-0.0</v>
      </c>
      <c r="MLI45" s="5">
        <f>-'5. IRR'!MLJ16</f>
        <v>-0.0</v>
      </c>
      <c r="MLJ45" s="5">
        <f>-'5. IRR'!MLK16</f>
        <v>-0.0</v>
      </c>
      <c r="MLK45" s="5">
        <f>-'5. IRR'!MLL16</f>
        <v>-0.0</v>
      </c>
      <c r="MLL45" s="5">
        <f>-'5. IRR'!MLM16</f>
        <v>-0.0</v>
      </c>
      <c r="MLM45" s="5">
        <f>-'5. IRR'!MLN16</f>
        <v>-0.0</v>
      </c>
      <c r="MLN45" s="5">
        <f>-'5. IRR'!MLO16</f>
        <v>-0.0</v>
      </c>
      <c r="MLO45" s="5">
        <f>-'5. IRR'!MLP16</f>
        <v>-0.0</v>
      </c>
      <c r="MLP45" s="5">
        <f>-'5. IRR'!MLQ16</f>
        <v>-0.0</v>
      </c>
      <c r="MLQ45" s="5">
        <f>-'5. IRR'!MLR16</f>
        <v>-0.0</v>
      </c>
      <c r="MLR45" s="5">
        <f>-'5. IRR'!MLS16</f>
        <v>-0.0</v>
      </c>
      <c r="MLS45" s="5">
        <f>-'5. IRR'!MLT16</f>
        <v>-0.0</v>
      </c>
      <c r="MLT45" s="5">
        <f>-'5. IRR'!MLU16</f>
        <v>-0.0</v>
      </c>
      <c r="MLU45" s="5">
        <f>-'5. IRR'!MLV16</f>
        <v>-0.0</v>
      </c>
      <c r="MLV45" s="5">
        <f>-'5. IRR'!MLW16</f>
        <v>-0.0</v>
      </c>
      <c r="MLW45" s="5">
        <f>-'5. IRR'!MLX16</f>
        <v>-0.0</v>
      </c>
      <c r="MLX45" s="5">
        <f>-'5. IRR'!MLY16</f>
        <v>-0.0</v>
      </c>
      <c r="MLY45" s="5">
        <f>-'5. IRR'!MLZ16</f>
        <v>-0.0</v>
      </c>
      <c r="MLZ45" s="5">
        <f>-'5. IRR'!MMA16</f>
        <v>-0.0</v>
      </c>
      <c r="MMA45" s="5">
        <f>-'5. IRR'!MMB16</f>
        <v>-0.0</v>
      </c>
      <c r="MMB45" s="5">
        <f>-'5. IRR'!MMC16</f>
        <v>-0.0</v>
      </c>
      <c r="MMC45" s="5">
        <f>-'5. IRR'!MMD16</f>
        <v>-0.0</v>
      </c>
      <c r="MMD45" s="5">
        <f>-'5. IRR'!MME16</f>
        <v>-0.0</v>
      </c>
      <c r="MME45" s="5">
        <f>-'5. IRR'!MMF16</f>
        <v>-0.0</v>
      </c>
      <c r="MMF45" s="5">
        <f>-'5. IRR'!MMG16</f>
        <v>-0.0</v>
      </c>
      <c r="MMG45" s="5">
        <f>-'5. IRR'!MMH16</f>
        <v>-0.0</v>
      </c>
      <c r="MMH45" s="5">
        <f>-'5. IRR'!MMI16</f>
        <v>-0.0</v>
      </c>
      <c r="MMI45" s="5">
        <f>-'5. IRR'!MMJ16</f>
        <v>-0.0</v>
      </c>
      <c r="MMJ45" s="5">
        <f>-'5. IRR'!MMK16</f>
        <v>-0.0</v>
      </c>
      <c r="MMK45" s="5">
        <f>-'5. IRR'!MML16</f>
        <v>-0.0</v>
      </c>
      <c r="MML45" s="5">
        <f>-'5. IRR'!MMM16</f>
        <v>-0.0</v>
      </c>
      <c r="MMM45" s="5">
        <f>-'5. IRR'!MMN16</f>
        <v>-0.0</v>
      </c>
      <c r="MMN45" s="5">
        <f>-'5. IRR'!MMO16</f>
        <v>-0.0</v>
      </c>
      <c r="MMO45" s="5">
        <f>-'5. IRR'!MMP16</f>
        <v>-0.0</v>
      </c>
      <c r="MMP45" s="5">
        <f>-'5. IRR'!MMQ16</f>
        <v>-0.0</v>
      </c>
      <c r="MMQ45" s="5">
        <f>-'5. IRR'!MMR16</f>
        <v>-0.0</v>
      </c>
      <c r="MMR45" s="5">
        <f>-'5. IRR'!MMS16</f>
        <v>-0.0</v>
      </c>
      <c r="MMS45" s="5">
        <f>-'5. IRR'!MMT16</f>
        <v>-0.0</v>
      </c>
      <c r="MMT45" s="5">
        <f>-'5. IRR'!MMU16</f>
        <v>-0.0</v>
      </c>
      <c r="MMU45" s="5">
        <f>-'5. IRR'!MMV16</f>
        <v>-0.0</v>
      </c>
      <c r="MMV45" s="5">
        <f>-'5. IRR'!MMW16</f>
        <v>-0.0</v>
      </c>
      <c r="MMW45" s="5">
        <f>-'5. IRR'!MMX16</f>
        <v>-0.0</v>
      </c>
      <c r="MMX45" s="5">
        <f>-'5. IRR'!MMY16</f>
        <v>-0.0</v>
      </c>
      <c r="MMY45" s="5">
        <f>-'5. IRR'!MMZ16</f>
        <v>-0.0</v>
      </c>
      <c r="MMZ45" s="5">
        <f>-'5. IRR'!MNA16</f>
        <v>-0.0</v>
      </c>
      <c r="MNA45" s="5">
        <f>-'5. IRR'!MNB16</f>
        <v>-0.0</v>
      </c>
      <c r="MNB45" s="5">
        <f>-'5. IRR'!MNC16</f>
        <v>-0.0</v>
      </c>
      <c r="MNC45" s="5">
        <f>-'5. IRR'!MND16</f>
        <v>-0.0</v>
      </c>
      <c r="MND45" s="5">
        <f>-'5. IRR'!MNE16</f>
        <v>-0.0</v>
      </c>
      <c r="MNE45" s="5">
        <f>-'5. IRR'!MNF16</f>
        <v>-0.0</v>
      </c>
      <c r="MNF45" s="5">
        <f>-'5. IRR'!MNG16</f>
        <v>-0.0</v>
      </c>
      <c r="MNG45" s="5">
        <f>-'5. IRR'!MNH16</f>
        <v>-0.0</v>
      </c>
      <c r="MNH45" s="5">
        <f>-'5. IRR'!MNI16</f>
        <v>-0.0</v>
      </c>
      <c r="MNI45" s="5">
        <f>-'5. IRR'!MNJ16</f>
        <v>-0.0</v>
      </c>
      <c r="MNJ45" s="5">
        <f>-'5. IRR'!MNK16</f>
        <v>-0.0</v>
      </c>
      <c r="MNK45" s="5">
        <f>-'5. IRR'!MNL16</f>
        <v>-0.0</v>
      </c>
      <c r="MNL45" s="5">
        <f>-'5. IRR'!MNM16</f>
        <v>-0.0</v>
      </c>
      <c r="MNM45" s="5">
        <f>-'5. IRR'!MNN16</f>
        <v>-0.0</v>
      </c>
      <c r="MNN45" s="5">
        <f>-'5. IRR'!MNO16</f>
        <v>-0.0</v>
      </c>
      <c r="MNO45" s="5">
        <f>-'5. IRR'!MNP16</f>
        <v>-0.0</v>
      </c>
      <c r="MNP45" s="5">
        <f>-'5. IRR'!MNQ16</f>
        <v>-0.0</v>
      </c>
      <c r="MNQ45" s="5">
        <f>-'5. IRR'!MNR16</f>
        <v>-0.0</v>
      </c>
      <c r="MNR45" s="5">
        <f>-'5. IRR'!MNS16</f>
        <v>-0.0</v>
      </c>
      <c r="MNS45" s="5">
        <f>-'5. IRR'!MNT16</f>
        <v>-0.0</v>
      </c>
      <c r="MNT45" s="5">
        <f>-'5. IRR'!MNU16</f>
        <v>-0.0</v>
      </c>
      <c r="MNU45" s="5">
        <f>-'5. IRR'!MNV16</f>
        <v>-0.0</v>
      </c>
      <c r="MNV45" s="5">
        <f>-'5. IRR'!MNW16</f>
        <v>-0.0</v>
      </c>
      <c r="MNW45" s="5">
        <f>-'5. IRR'!MNX16</f>
        <v>-0.0</v>
      </c>
      <c r="MNX45" s="5">
        <f>-'5. IRR'!MNY16</f>
        <v>-0.0</v>
      </c>
      <c r="MNY45" s="5">
        <f>-'5. IRR'!MNZ16</f>
        <v>-0.0</v>
      </c>
      <c r="MNZ45" s="5">
        <f>-'5. IRR'!MOA16</f>
        <v>-0.0</v>
      </c>
      <c r="MOA45" s="5">
        <f>-'5. IRR'!MOB16</f>
        <v>-0.0</v>
      </c>
      <c r="MOB45" s="5">
        <f>-'5. IRR'!MOC16</f>
        <v>-0.0</v>
      </c>
      <c r="MOC45" s="5">
        <f>-'5. IRR'!MOD16</f>
        <v>-0.0</v>
      </c>
      <c r="MOD45" s="5">
        <f>-'5. IRR'!MOE16</f>
        <v>-0.0</v>
      </c>
      <c r="MOE45" s="5">
        <f>-'5. IRR'!MOF16</f>
        <v>-0.0</v>
      </c>
      <c r="MOF45" s="5">
        <f>-'5. IRR'!MOG16</f>
        <v>-0.0</v>
      </c>
      <c r="MOG45" s="5">
        <f>-'5. IRR'!MOH16</f>
        <v>-0.0</v>
      </c>
      <c r="MOH45" s="5">
        <f>-'5. IRR'!MOI16</f>
        <v>-0.0</v>
      </c>
      <c r="MOI45" s="5">
        <f>-'5. IRR'!MOJ16</f>
        <v>-0.0</v>
      </c>
      <c r="MOJ45" s="5">
        <f>-'5. IRR'!MOK16</f>
        <v>-0.0</v>
      </c>
      <c r="MOK45" s="5">
        <f>-'5. IRR'!MOL16</f>
        <v>-0.0</v>
      </c>
      <c r="MOL45" s="5">
        <f>-'5. IRR'!MOM16</f>
        <v>-0.0</v>
      </c>
      <c r="MOM45" s="5">
        <f>-'5. IRR'!MON16</f>
        <v>-0.0</v>
      </c>
      <c r="MON45" s="5">
        <f>-'5. IRR'!MOO16</f>
        <v>-0.0</v>
      </c>
      <c r="MOO45" s="5">
        <f>-'5. IRR'!MOP16</f>
        <v>-0.0</v>
      </c>
      <c r="MOP45" s="5">
        <f>-'5. IRR'!MOQ16</f>
        <v>-0.0</v>
      </c>
      <c r="MOQ45" s="5">
        <f>-'5. IRR'!MOR16</f>
        <v>-0.0</v>
      </c>
      <c r="MOR45" s="5">
        <f>-'5. IRR'!MOS16</f>
        <v>-0.0</v>
      </c>
      <c r="MOS45" s="5">
        <f>-'5. IRR'!MOT16</f>
        <v>-0.0</v>
      </c>
      <c r="MOT45" s="5">
        <f>-'5. IRR'!MOU16</f>
        <v>-0.0</v>
      </c>
      <c r="MOU45" s="5">
        <f>-'5. IRR'!MOV16</f>
        <v>-0.0</v>
      </c>
      <c r="MOV45" s="5">
        <f>-'5. IRR'!MOW16</f>
        <v>-0.0</v>
      </c>
      <c r="MOW45" s="5">
        <f>-'5. IRR'!MOX16</f>
        <v>-0.0</v>
      </c>
      <c r="MOX45" s="5">
        <f>-'5. IRR'!MOY16</f>
        <v>-0.0</v>
      </c>
      <c r="MOY45" s="5">
        <f>-'5. IRR'!MOZ16</f>
        <v>-0.0</v>
      </c>
      <c r="MOZ45" s="5">
        <f>-'5. IRR'!MPA16</f>
        <v>-0.0</v>
      </c>
      <c r="MPA45" s="5">
        <f>-'5. IRR'!MPB16</f>
        <v>-0.0</v>
      </c>
      <c r="MPB45" s="5">
        <f>-'5. IRR'!MPC16</f>
        <v>-0.0</v>
      </c>
      <c r="MPC45" s="5">
        <f>-'5. IRR'!MPD16</f>
        <v>-0.0</v>
      </c>
      <c r="MPD45" s="5">
        <f>-'5. IRR'!MPE16</f>
        <v>-0.0</v>
      </c>
      <c r="MPE45" s="5">
        <f>-'5. IRR'!MPF16</f>
        <v>-0.0</v>
      </c>
      <c r="MPF45" s="5">
        <f>-'5. IRR'!MPG16</f>
        <v>-0.0</v>
      </c>
      <c r="MPG45" s="5">
        <f>-'5. IRR'!MPH16</f>
        <v>-0.0</v>
      </c>
      <c r="MPH45" s="5">
        <f>-'5. IRR'!MPI16</f>
        <v>-0.0</v>
      </c>
      <c r="MPI45" s="5">
        <f>-'5. IRR'!MPJ16</f>
        <v>-0.0</v>
      </c>
      <c r="MPJ45" s="5">
        <f>-'5. IRR'!MPK16</f>
        <v>-0.0</v>
      </c>
      <c r="MPK45" s="5">
        <f>-'5. IRR'!MPL16</f>
        <v>-0.0</v>
      </c>
      <c r="MPL45" s="5">
        <f>-'5. IRR'!MPM16</f>
        <v>-0.0</v>
      </c>
      <c r="MPM45" s="5">
        <f>-'5. IRR'!MPN16</f>
        <v>-0.0</v>
      </c>
      <c r="MPN45" s="5">
        <f>-'5. IRR'!MPO16</f>
        <v>-0.0</v>
      </c>
      <c r="MPO45" s="5">
        <f>-'5. IRR'!MPP16</f>
        <v>-0.0</v>
      </c>
      <c r="MPP45" s="5">
        <f>-'5. IRR'!MPQ16</f>
        <v>-0.0</v>
      </c>
      <c r="MPQ45" s="5">
        <f>-'5. IRR'!MPR16</f>
        <v>-0.0</v>
      </c>
      <c r="MPR45" s="5">
        <f>-'5. IRR'!MPS16</f>
        <v>-0.0</v>
      </c>
      <c r="MPS45" s="5">
        <f>-'5. IRR'!MPT16</f>
        <v>-0.0</v>
      </c>
      <c r="MPT45" s="5">
        <f>-'5. IRR'!MPU16</f>
        <v>-0.0</v>
      </c>
      <c r="MPU45" s="5">
        <f>-'5. IRR'!MPV16</f>
        <v>-0.0</v>
      </c>
      <c r="MPV45" s="5">
        <f>-'5. IRR'!MPW16</f>
        <v>-0.0</v>
      </c>
      <c r="MPW45" s="5">
        <f>-'5. IRR'!MPX16</f>
        <v>-0.0</v>
      </c>
      <c r="MPX45" s="5">
        <f>-'5. IRR'!MPY16</f>
        <v>-0.0</v>
      </c>
      <c r="MPY45" s="5">
        <f>-'5. IRR'!MPZ16</f>
        <v>-0.0</v>
      </c>
      <c r="MPZ45" s="5">
        <f>-'5. IRR'!MQA16</f>
        <v>-0.0</v>
      </c>
      <c r="MQA45" s="5">
        <f>-'5. IRR'!MQB16</f>
        <v>-0.0</v>
      </c>
      <c r="MQB45" s="5">
        <f>-'5. IRR'!MQC16</f>
        <v>-0.0</v>
      </c>
      <c r="MQC45" s="5">
        <f>-'5. IRR'!MQD16</f>
        <v>-0.0</v>
      </c>
      <c r="MQD45" s="5">
        <f>-'5. IRR'!MQE16</f>
        <v>-0.0</v>
      </c>
      <c r="MQE45" s="5">
        <f>-'5. IRR'!MQF16</f>
        <v>-0.0</v>
      </c>
      <c r="MQF45" s="5">
        <f>-'5. IRR'!MQG16</f>
        <v>-0.0</v>
      </c>
      <c r="MQG45" s="5">
        <f>-'5. IRR'!MQH16</f>
        <v>-0.0</v>
      </c>
      <c r="MQH45" s="5">
        <f>-'5. IRR'!MQI16</f>
        <v>-0.0</v>
      </c>
      <c r="MQI45" s="5">
        <f>-'5. IRR'!MQJ16</f>
        <v>-0.0</v>
      </c>
      <c r="MQJ45" s="5">
        <f>-'5. IRR'!MQK16</f>
        <v>-0.0</v>
      </c>
      <c r="MQK45" s="5">
        <f>-'5. IRR'!MQL16</f>
        <v>-0.0</v>
      </c>
      <c r="MQL45" s="5">
        <f>-'5. IRR'!MQM16</f>
        <v>-0.0</v>
      </c>
      <c r="MQM45" s="5">
        <f>-'5. IRR'!MQN16</f>
        <v>-0.0</v>
      </c>
      <c r="MQN45" s="5">
        <f>-'5. IRR'!MQO16</f>
        <v>-0.0</v>
      </c>
      <c r="MQO45" s="5">
        <f>-'5. IRR'!MQP16</f>
        <v>-0.0</v>
      </c>
      <c r="MQP45" s="5">
        <f>-'5. IRR'!MQQ16</f>
        <v>-0.0</v>
      </c>
      <c r="MQQ45" s="5">
        <f>-'5. IRR'!MQR16</f>
        <v>-0.0</v>
      </c>
      <c r="MQR45" s="5">
        <f>-'5. IRR'!MQS16</f>
        <v>-0.0</v>
      </c>
      <c r="MQS45" s="5">
        <f>-'5. IRR'!MQT16</f>
        <v>-0.0</v>
      </c>
      <c r="MQT45" s="5">
        <f>-'5. IRR'!MQU16</f>
        <v>-0.0</v>
      </c>
      <c r="MQU45" s="5">
        <f>-'5. IRR'!MQV16</f>
        <v>-0.0</v>
      </c>
      <c r="MQV45" s="5">
        <f>-'5. IRR'!MQW16</f>
        <v>-0.0</v>
      </c>
      <c r="MQW45" s="5">
        <f>-'5. IRR'!MQX16</f>
        <v>-0.0</v>
      </c>
      <c r="MQX45" s="5">
        <f>-'5. IRR'!MQY16</f>
        <v>-0.0</v>
      </c>
      <c r="MQY45" s="5">
        <f>-'5. IRR'!MQZ16</f>
        <v>-0.0</v>
      </c>
      <c r="MQZ45" s="5">
        <f>-'5. IRR'!MRA16</f>
        <v>-0.0</v>
      </c>
      <c r="MRA45" s="5">
        <f>-'5. IRR'!MRB16</f>
        <v>-0.0</v>
      </c>
      <c r="MRB45" s="5">
        <f>-'5. IRR'!MRC16</f>
        <v>-0.0</v>
      </c>
      <c r="MRC45" s="5">
        <f>-'5. IRR'!MRD16</f>
        <v>-0.0</v>
      </c>
      <c r="MRD45" s="5">
        <f>-'5. IRR'!MRE16</f>
        <v>-0.0</v>
      </c>
      <c r="MRE45" s="5">
        <f>-'5. IRR'!MRF16</f>
        <v>-0.0</v>
      </c>
      <c r="MRF45" s="5">
        <f>-'5. IRR'!MRG16</f>
        <v>-0.0</v>
      </c>
      <c r="MRG45" s="5">
        <f>-'5. IRR'!MRH16</f>
        <v>-0.0</v>
      </c>
      <c r="MRH45" s="5">
        <f>-'5. IRR'!MRI16</f>
        <v>-0.0</v>
      </c>
      <c r="MRI45" s="5">
        <f>-'5. IRR'!MRJ16</f>
        <v>-0.0</v>
      </c>
      <c r="MRJ45" s="5">
        <f>-'5. IRR'!MRK16</f>
        <v>-0.0</v>
      </c>
      <c r="MRK45" s="5">
        <f>-'5. IRR'!MRL16</f>
        <v>-0.0</v>
      </c>
      <c r="MRL45" s="5">
        <f>-'5. IRR'!MRM16</f>
        <v>-0.0</v>
      </c>
      <c r="MRM45" s="5">
        <f>-'5. IRR'!MRN16</f>
        <v>-0.0</v>
      </c>
      <c r="MRN45" s="5">
        <f>-'5. IRR'!MRO16</f>
        <v>-0.0</v>
      </c>
      <c r="MRO45" s="5">
        <f>-'5. IRR'!MRP16</f>
        <v>-0.0</v>
      </c>
      <c r="MRP45" s="5">
        <f>-'5. IRR'!MRQ16</f>
        <v>-0.0</v>
      </c>
      <c r="MRQ45" s="5">
        <f>-'5. IRR'!MRR16</f>
        <v>-0.0</v>
      </c>
      <c r="MRR45" s="5">
        <f>-'5. IRR'!MRS16</f>
        <v>-0.0</v>
      </c>
      <c r="MRS45" s="5">
        <f>-'5. IRR'!MRT16</f>
        <v>-0.0</v>
      </c>
      <c r="MRT45" s="5">
        <f>-'5. IRR'!MRU16</f>
        <v>-0.0</v>
      </c>
      <c r="MRU45" s="5">
        <f>-'5. IRR'!MRV16</f>
        <v>-0.0</v>
      </c>
      <c r="MRV45" s="5">
        <f>-'5. IRR'!MRW16</f>
        <v>-0.0</v>
      </c>
      <c r="MRW45" s="5">
        <f>-'5. IRR'!MRX16</f>
        <v>-0.0</v>
      </c>
      <c r="MRX45" s="5">
        <f>-'5. IRR'!MRY16</f>
        <v>-0.0</v>
      </c>
      <c r="MRY45" s="5">
        <f>-'5. IRR'!MRZ16</f>
        <v>-0.0</v>
      </c>
      <c r="MRZ45" s="5">
        <f>-'5. IRR'!MSA16</f>
        <v>-0.0</v>
      </c>
      <c r="MSA45" s="5">
        <f>-'5. IRR'!MSB16</f>
        <v>-0.0</v>
      </c>
      <c r="MSB45" s="5">
        <f>-'5. IRR'!MSC16</f>
        <v>-0.0</v>
      </c>
      <c r="MSC45" s="5">
        <f>-'5. IRR'!MSD16</f>
        <v>-0.0</v>
      </c>
      <c r="MSD45" s="5">
        <f>-'5. IRR'!MSE16</f>
        <v>-0.0</v>
      </c>
      <c r="MSE45" s="5">
        <f>-'5. IRR'!MSF16</f>
        <v>-0.0</v>
      </c>
      <c r="MSF45" s="5">
        <f>-'5. IRR'!MSG16</f>
        <v>-0.0</v>
      </c>
      <c r="MSG45" s="5">
        <f>-'5. IRR'!MSH16</f>
        <v>-0.0</v>
      </c>
      <c r="MSH45" s="5">
        <f>-'5. IRR'!MSI16</f>
        <v>-0.0</v>
      </c>
      <c r="MSI45" s="5">
        <f>-'5. IRR'!MSJ16</f>
        <v>-0.0</v>
      </c>
      <c r="MSJ45" s="5">
        <f>-'5. IRR'!MSK16</f>
        <v>-0.0</v>
      </c>
      <c r="MSK45" s="5">
        <f>-'5. IRR'!MSL16</f>
        <v>-0.0</v>
      </c>
      <c r="MSL45" s="5">
        <f>-'5. IRR'!MSM16</f>
        <v>-0.0</v>
      </c>
      <c r="MSM45" s="5">
        <f>-'5. IRR'!MSN16</f>
        <v>-0.0</v>
      </c>
      <c r="MSN45" s="5">
        <f>-'5. IRR'!MSO16</f>
        <v>-0.0</v>
      </c>
      <c r="MSO45" s="5">
        <f>-'5. IRR'!MSP16</f>
        <v>-0.0</v>
      </c>
      <c r="MSP45" s="5">
        <f>-'5. IRR'!MSQ16</f>
        <v>-0.0</v>
      </c>
      <c r="MSQ45" s="5">
        <f>-'5. IRR'!MSR16</f>
        <v>-0.0</v>
      </c>
      <c r="MSR45" s="5">
        <f>-'5. IRR'!MSS16</f>
        <v>-0.0</v>
      </c>
      <c r="MSS45" s="5">
        <f>-'5. IRR'!MST16</f>
        <v>-0.0</v>
      </c>
      <c r="MST45" s="5">
        <f>-'5. IRR'!MSU16</f>
        <v>-0.0</v>
      </c>
      <c r="MSU45" s="5">
        <f>-'5. IRR'!MSV16</f>
        <v>-0.0</v>
      </c>
      <c r="MSV45" s="5">
        <f>-'5. IRR'!MSW16</f>
        <v>-0.0</v>
      </c>
      <c r="MSW45" s="5">
        <f>-'5. IRR'!MSX16</f>
        <v>-0.0</v>
      </c>
      <c r="MSX45" s="5">
        <f>-'5. IRR'!MSY16</f>
        <v>-0.0</v>
      </c>
      <c r="MSY45" s="5">
        <f>-'5. IRR'!MSZ16</f>
        <v>-0.0</v>
      </c>
      <c r="MSZ45" s="5">
        <f>-'5. IRR'!MTA16</f>
        <v>-0.0</v>
      </c>
      <c r="MTA45" s="5">
        <f>-'5. IRR'!MTB16</f>
        <v>-0.0</v>
      </c>
      <c r="MTB45" s="5">
        <f>-'5. IRR'!MTC16</f>
        <v>-0.0</v>
      </c>
      <c r="MTC45" s="5">
        <f>-'5. IRR'!MTD16</f>
        <v>-0.0</v>
      </c>
      <c r="MTD45" s="5">
        <f>-'5. IRR'!MTE16</f>
        <v>-0.0</v>
      </c>
      <c r="MTE45" s="5">
        <f>-'5. IRR'!MTF16</f>
        <v>-0.0</v>
      </c>
      <c r="MTF45" s="5">
        <f>-'5. IRR'!MTG16</f>
        <v>-0.0</v>
      </c>
      <c r="MTG45" s="5">
        <f>-'5. IRR'!MTH16</f>
        <v>-0.0</v>
      </c>
      <c r="MTH45" s="5">
        <f>-'5. IRR'!MTI16</f>
        <v>-0.0</v>
      </c>
      <c r="MTI45" s="5">
        <f>-'5. IRR'!MTJ16</f>
        <v>-0.0</v>
      </c>
      <c r="MTJ45" s="5">
        <f>-'5. IRR'!MTK16</f>
        <v>-0.0</v>
      </c>
      <c r="MTK45" s="5">
        <f>-'5. IRR'!MTL16</f>
        <v>-0.0</v>
      </c>
      <c r="MTL45" s="5">
        <f>-'5. IRR'!MTM16</f>
        <v>-0.0</v>
      </c>
      <c r="MTM45" s="5">
        <f>-'5. IRR'!MTN16</f>
        <v>-0.0</v>
      </c>
      <c r="MTN45" s="5">
        <f>-'5. IRR'!MTO16</f>
        <v>-0.0</v>
      </c>
      <c r="MTO45" s="5">
        <f>-'5. IRR'!MTP16</f>
        <v>-0.0</v>
      </c>
      <c r="MTP45" s="5">
        <f>-'5. IRR'!MTQ16</f>
        <v>-0.0</v>
      </c>
      <c r="MTQ45" s="5">
        <f>-'5. IRR'!MTR16</f>
        <v>-0.0</v>
      </c>
      <c r="MTR45" s="5">
        <f>-'5. IRR'!MTS16</f>
        <v>-0.0</v>
      </c>
      <c r="MTS45" s="5">
        <f>-'5. IRR'!MTT16</f>
        <v>-0.0</v>
      </c>
      <c r="MTT45" s="5">
        <f>-'5. IRR'!MTU16</f>
        <v>-0.0</v>
      </c>
      <c r="MTU45" s="5">
        <f>-'5. IRR'!MTV16</f>
        <v>-0.0</v>
      </c>
      <c r="MTV45" s="5">
        <f>-'5. IRR'!MTW16</f>
        <v>-0.0</v>
      </c>
      <c r="MTW45" s="5">
        <f>-'5. IRR'!MTX16</f>
        <v>-0.0</v>
      </c>
      <c r="MTX45" s="5">
        <f>-'5. IRR'!MTY16</f>
        <v>-0.0</v>
      </c>
      <c r="MTY45" s="5">
        <f>-'5. IRR'!MTZ16</f>
        <v>-0.0</v>
      </c>
      <c r="MTZ45" s="5">
        <f>-'5. IRR'!MUA16</f>
        <v>-0.0</v>
      </c>
      <c r="MUA45" s="5">
        <f>-'5. IRR'!MUB16</f>
        <v>-0.0</v>
      </c>
      <c r="MUB45" s="5">
        <f>-'5. IRR'!MUC16</f>
        <v>-0.0</v>
      </c>
      <c r="MUC45" s="5">
        <f>-'5. IRR'!MUD16</f>
        <v>-0.0</v>
      </c>
      <c r="MUD45" s="5">
        <f>-'5. IRR'!MUE16</f>
        <v>-0.0</v>
      </c>
      <c r="MUE45" s="5">
        <f>-'5. IRR'!MUF16</f>
        <v>-0.0</v>
      </c>
      <c r="MUF45" s="5">
        <f>-'5. IRR'!MUG16</f>
        <v>-0.0</v>
      </c>
      <c r="MUG45" s="5">
        <f>-'5. IRR'!MUH16</f>
        <v>-0.0</v>
      </c>
      <c r="MUH45" s="5">
        <f>-'5. IRR'!MUI16</f>
        <v>-0.0</v>
      </c>
      <c r="MUI45" s="5">
        <f>-'5. IRR'!MUJ16</f>
        <v>-0.0</v>
      </c>
      <c r="MUJ45" s="5">
        <f>-'5. IRR'!MUK16</f>
        <v>-0.0</v>
      </c>
      <c r="MUK45" s="5">
        <f>-'5. IRR'!MUL16</f>
        <v>-0.0</v>
      </c>
      <c r="MUL45" s="5">
        <f>-'5. IRR'!MUM16</f>
        <v>-0.0</v>
      </c>
      <c r="MUM45" s="5">
        <f>-'5. IRR'!MUN16</f>
        <v>-0.0</v>
      </c>
      <c r="MUN45" s="5">
        <f>-'5. IRR'!MUO16</f>
        <v>-0.0</v>
      </c>
      <c r="MUO45" s="5">
        <f>-'5. IRR'!MUP16</f>
        <v>-0.0</v>
      </c>
      <c r="MUP45" s="5">
        <f>-'5. IRR'!MUQ16</f>
        <v>-0.0</v>
      </c>
      <c r="MUQ45" s="5">
        <f>-'5. IRR'!MUR16</f>
        <v>-0.0</v>
      </c>
      <c r="MUR45" s="5">
        <f>-'5. IRR'!MUS16</f>
        <v>-0.0</v>
      </c>
      <c r="MUS45" s="5">
        <f>-'5. IRR'!MUT16</f>
        <v>-0.0</v>
      </c>
      <c r="MUT45" s="5">
        <f>-'5. IRR'!MUU16</f>
        <v>-0.0</v>
      </c>
      <c r="MUU45" s="5">
        <f>-'5. IRR'!MUV16</f>
        <v>-0.0</v>
      </c>
      <c r="MUV45" s="5">
        <f>-'5. IRR'!MUW16</f>
        <v>-0.0</v>
      </c>
      <c r="MUW45" s="5">
        <f>-'5. IRR'!MUX16</f>
        <v>-0.0</v>
      </c>
      <c r="MUX45" s="5">
        <f>-'5. IRR'!MUY16</f>
        <v>-0.0</v>
      </c>
      <c r="MUY45" s="5">
        <f>-'5. IRR'!MUZ16</f>
        <v>-0.0</v>
      </c>
      <c r="MUZ45" s="5">
        <f>-'5. IRR'!MVA16</f>
        <v>-0.0</v>
      </c>
      <c r="MVA45" s="5">
        <f>-'5. IRR'!MVB16</f>
        <v>-0.0</v>
      </c>
      <c r="MVB45" s="5">
        <f>-'5. IRR'!MVC16</f>
        <v>-0.0</v>
      </c>
      <c r="MVC45" s="5">
        <f>-'5. IRR'!MVD16</f>
        <v>-0.0</v>
      </c>
      <c r="MVD45" s="5">
        <f>-'5. IRR'!MVE16</f>
        <v>-0.0</v>
      </c>
      <c r="MVE45" s="5">
        <f>-'5. IRR'!MVF16</f>
        <v>-0.0</v>
      </c>
      <c r="MVF45" s="5">
        <f>-'5. IRR'!MVG16</f>
        <v>-0.0</v>
      </c>
      <c r="MVG45" s="5">
        <f>-'5. IRR'!MVH16</f>
        <v>-0.0</v>
      </c>
      <c r="MVH45" s="5">
        <f>-'5. IRR'!MVI16</f>
        <v>-0.0</v>
      </c>
      <c r="MVI45" s="5">
        <f>-'5. IRR'!MVJ16</f>
        <v>-0.0</v>
      </c>
      <c r="MVJ45" s="5">
        <f>-'5. IRR'!MVK16</f>
        <v>-0.0</v>
      </c>
      <c r="MVK45" s="5">
        <f>-'5. IRR'!MVL16</f>
        <v>-0.0</v>
      </c>
      <c r="MVL45" s="5">
        <f>-'5. IRR'!MVM16</f>
        <v>-0.0</v>
      </c>
      <c r="MVM45" s="5">
        <f>-'5. IRR'!MVN16</f>
        <v>-0.0</v>
      </c>
      <c r="MVN45" s="5">
        <f>-'5. IRR'!MVO16</f>
        <v>-0.0</v>
      </c>
      <c r="MVO45" s="5">
        <f>-'5. IRR'!MVP16</f>
        <v>-0.0</v>
      </c>
      <c r="MVP45" s="5">
        <f>-'5. IRR'!MVQ16</f>
        <v>-0.0</v>
      </c>
      <c r="MVQ45" s="5">
        <f>-'5. IRR'!MVR16</f>
        <v>-0.0</v>
      </c>
      <c r="MVR45" s="5">
        <f>-'5. IRR'!MVS16</f>
        <v>-0.0</v>
      </c>
      <c r="MVS45" s="5">
        <f>-'5. IRR'!MVT16</f>
        <v>-0.0</v>
      </c>
      <c r="MVT45" s="5">
        <f>-'5. IRR'!MVU16</f>
        <v>-0.0</v>
      </c>
      <c r="MVU45" s="5">
        <f>-'5. IRR'!MVV16</f>
        <v>-0.0</v>
      </c>
      <c r="MVV45" s="5">
        <f>-'5. IRR'!MVW16</f>
        <v>-0.0</v>
      </c>
      <c r="MVW45" s="5">
        <f>-'5. IRR'!MVX16</f>
        <v>-0.0</v>
      </c>
      <c r="MVX45" s="5">
        <f>-'5. IRR'!MVY16</f>
        <v>-0.0</v>
      </c>
      <c r="MVY45" s="5">
        <f>-'5. IRR'!MVZ16</f>
        <v>-0.0</v>
      </c>
      <c r="MVZ45" s="5">
        <f>-'5. IRR'!MWA16</f>
        <v>-0.0</v>
      </c>
      <c r="MWA45" s="5">
        <f>-'5. IRR'!MWB16</f>
        <v>-0.0</v>
      </c>
      <c r="MWB45" s="5">
        <f>-'5. IRR'!MWC16</f>
        <v>-0.0</v>
      </c>
      <c r="MWC45" s="5">
        <f>-'5. IRR'!MWD16</f>
        <v>-0.0</v>
      </c>
      <c r="MWD45" s="5">
        <f>-'5. IRR'!MWE16</f>
        <v>-0.0</v>
      </c>
      <c r="MWE45" s="5">
        <f>-'5. IRR'!MWF16</f>
        <v>-0.0</v>
      </c>
      <c r="MWF45" s="5">
        <f>-'5. IRR'!MWG16</f>
        <v>-0.0</v>
      </c>
      <c r="MWG45" s="5">
        <f>-'5. IRR'!MWH16</f>
        <v>-0.0</v>
      </c>
      <c r="MWH45" s="5">
        <f>-'5. IRR'!MWI16</f>
        <v>-0.0</v>
      </c>
      <c r="MWI45" s="5">
        <f>-'5. IRR'!MWJ16</f>
        <v>-0.0</v>
      </c>
      <c r="MWJ45" s="5">
        <f>-'5. IRR'!MWK16</f>
        <v>-0.0</v>
      </c>
      <c r="MWK45" s="5">
        <f>-'5. IRR'!MWL16</f>
        <v>-0.0</v>
      </c>
      <c r="MWL45" s="5">
        <f>-'5. IRR'!MWM16</f>
        <v>-0.0</v>
      </c>
      <c r="MWM45" s="5">
        <f>-'5. IRR'!MWN16</f>
        <v>-0.0</v>
      </c>
      <c r="MWN45" s="5">
        <f>-'5. IRR'!MWO16</f>
        <v>-0.0</v>
      </c>
      <c r="MWO45" s="5">
        <f>-'5. IRR'!MWP16</f>
        <v>-0.0</v>
      </c>
      <c r="MWP45" s="5">
        <f>-'5. IRR'!MWQ16</f>
        <v>-0.0</v>
      </c>
      <c r="MWQ45" s="5">
        <f>-'5. IRR'!MWR16</f>
        <v>-0.0</v>
      </c>
      <c r="MWR45" s="5">
        <f>-'5. IRR'!MWS16</f>
        <v>-0.0</v>
      </c>
      <c r="MWS45" s="5">
        <f>-'5. IRR'!MWT16</f>
        <v>-0.0</v>
      </c>
      <c r="MWT45" s="5">
        <f>-'5. IRR'!MWU16</f>
        <v>-0.0</v>
      </c>
      <c r="MWU45" s="5">
        <f>-'5. IRR'!MWV16</f>
        <v>-0.0</v>
      </c>
      <c r="MWV45" s="5">
        <f>-'5. IRR'!MWW16</f>
        <v>-0.0</v>
      </c>
      <c r="MWW45" s="5">
        <f>-'5. IRR'!MWX16</f>
        <v>-0.0</v>
      </c>
      <c r="MWX45" s="5">
        <f>-'5. IRR'!MWY16</f>
        <v>-0.0</v>
      </c>
      <c r="MWY45" s="5">
        <f>-'5. IRR'!MWZ16</f>
        <v>-0.0</v>
      </c>
      <c r="MWZ45" s="5">
        <f>-'5. IRR'!MXA16</f>
        <v>-0.0</v>
      </c>
      <c r="MXA45" s="5">
        <f>-'5. IRR'!MXB16</f>
        <v>-0.0</v>
      </c>
      <c r="MXB45" s="5">
        <f>-'5. IRR'!MXC16</f>
        <v>-0.0</v>
      </c>
      <c r="MXC45" s="5">
        <f>-'5. IRR'!MXD16</f>
        <v>-0.0</v>
      </c>
      <c r="MXD45" s="5">
        <f>-'5. IRR'!MXE16</f>
        <v>-0.0</v>
      </c>
      <c r="MXE45" s="5">
        <f>-'5. IRR'!MXF16</f>
        <v>-0.0</v>
      </c>
      <c r="MXF45" s="5">
        <f>-'5. IRR'!MXG16</f>
        <v>-0.0</v>
      </c>
      <c r="MXG45" s="5">
        <f>-'5. IRR'!MXH16</f>
        <v>-0.0</v>
      </c>
      <c r="MXH45" s="5">
        <f>-'5. IRR'!MXI16</f>
        <v>-0.0</v>
      </c>
      <c r="MXI45" s="5">
        <f>-'5. IRR'!MXJ16</f>
        <v>-0.0</v>
      </c>
      <c r="MXJ45" s="5">
        <f>-'5. IRR'!MXK16</f>
        <v>-0.0</v>
      </c>
      <c r="MXK45" s="5">
        <f>-'5. IRR'!MXL16</f>
        <v>-0.0</v>
      </c>
      <c r="MXL45" s="5">
        <f>-'5. IRR'!MXM16</f>
        <v>-0.0</v>
      </c>
      <c r="MXM45" s="5">
        <f>-'5. IRR'!MXN16</f>
        <v>-0.0</v>
      </c>
      <c r="MXN45" s="5">
        <f>-'5. IRR'!MXO16</f>
        <v>-0.0</v>
      </c>
      <c r="MXO45" s="5">
        <f>-'5. IRR'!MXP16</f>
        <v>-0.0</v>
      </c>
      <c r="MXP45" s="5">
        <f>-'5. IRR'!MXQ16</f>
        <v>-0.0</v>
      </c>
      <c r="MXQ45" s="5">
        <f>-'5. IRR'!MXR16</f>
        <v>-0.0</v>
      </c>
      <c r="MXR45" s="5">
        <f>-'5. IRR'!MXS16</f>
        <v>-0.0</v>
      </c>
      <c r="MXS45" s="5">
        <f>-'5. IRR'!MXT16</f>
        <v>-0.0</v>
      </c>
      <c r="MXT45" s="5">
        <f>-'5. IRR'!MXU16</f>
        <v>-0.0</v>
      </c>
      <c r="MXU45" s="5">
        <f>-'5. IRR'!MXV16</f>
        <v>-0.0</v>
      </c>
      <c r="MXV45" s="5">
        <f>-'5. IRR'!MXW16</f>
        <v>-0.0</v>
      </c>
      <c r="MXW45" s="5">
        <f>-'5. IRR'!MXX16</f>
        <v>-0.0</v>
      </c>
      <c r="MXX45" s="5">
        <f>-'5. IRR'!MXY16</f>
        <v>-0.0</v>
      </c>
      <c r="MXY45" s="5">
        <f>-'5. IRR'!MXZ16</f>
        <v>-0.0</v>
      </c>
      <c r="MXZ45" s="5">
        <f>-'5. IRR'!MYA16</f>
        <v>-0.0</v>
      </c>
      <c r="MYA45" s="5">
        <f>-'5. IRR'!MYB16</f>
        <v>-0.0</v>
      </c>
      <c r="MYB45" s="5">
        <f>-'5. IRR'!MYC16</f>
        <v>-0.0</v>
      </c>
      <c r="MYC45" s="5">
        <f>-'5. IRR'!MYD16</f>
        <v>-0.0</v>
      </c>
      <c r="MYD45" s="5">
        <f>-'5. IRR'!MYE16</f>
        <v>-0.0</v>
      </c>
      <c r="MYE45" s="5">
        <f>-'5. IRR'!MYF16</f>
        <v>-0.0</v>
      </c>
      <c r="MYF45" s="5">
        <f>-'5. IRR'!MYG16</f>
        <v>-0.0</v>
      </c>
      <c r="MYG45" s="5">
        <f>-'5. IRR'!MYH16</f>
        <v>-0.0</v>
      </c>
      <c r="MYH45" s="5">
        <f>-'5. IRR'!MYI16</f>
        <v>-0.0</v>
      </c>
      <c r="MYI45" s="5">
        <f>-'5. IRR'!MYJ16</f>
        <v>-0.0</v>
      </c>
      <c r="MYJ45" s="5">
        <f>-'5. IRR'!MYK16</f>
        <v>-0.0</v>
      </c>
      <c r="MYK45" s="5">
        <f>-'5. IRR'!MYL16</f>
        <v>-0.0</v>
      </c>
      <c r="MYL45" s="5">
        <f>-'5. IRR'!MYM16</f>
        <v>-0.0</v>
      </c>
      <c r="MYM45" s="5">
        <f>-'5. IRR'!MYN16</f>
        <v>-0.0</v>
      </c>
      <c r="MYN45" s="5">
        <f>-'5. IRR'!MYO16</f>
        <v>-0.0</v>
      </c>
      <c r="MYO45" s="5">
        <f>-'5. IRR'!MYP16</f>
        <v>-0.0</v>
      </c>
      <c r="MYP45" s="5">
        <f>-'5. IRR'!MYQ16</f>
        <v>-0.0</v>
      </c>
      <c r="MYQ45" s="5">
        <f>-'5. IRR'!MYR16</f>
        <v>-0.0</v>
      </c>
      <c r="MYR45" s="5">
        <f>-'5. IRR'!MYS16</f>
        <v>-0.0</v>
      </c>
      <c r="MYS45" s="5">
        <f>-'5. IRR'!MYT16</f>
        <v>-0.0</v>
      </c>
      <c r="MYT45" s="5">
        <f>-'5. IRR'!MYU16</f>
        <v>-0.0</v>
      </c>
      <c r="MYU45" s="5">
        <f>-'5. IRR'!MYV16</f>
        <v>-0.0</v>
      </c>
      <c r="MYV45" s="5">
        <f>-'5. IRR'!MYW16</f>
        <v>-0.0</v>
      </c>
      <c r="MYW45" s="5">
        <f>-'5. IRR'!MYX16</f>
        <v>-0.0</v>
      </c>
      <c r="MYX45" s="5">
        <f>-'5. IRR'!MYY16</f>
        <v>-0.0</v>
      </c>
      <c r="MYY45" s="5">
        <f>-'5. IRR'!MYZ16</f>
        <v>-0.0</v>
      </c>
      <c r="MYZ45" s="5">
        <f>-'5. IRR'!MZA16</f>
        <v>-0.0</v>
      </c>
      <c r="MZA45" s="5">
        <f>-'5. IRR'!MZB16</f>
        <v>-0.0</v>
      </c>
      <c r="MZB45" s="5">
        <f>-'5. IRR'!MZC16</f>
        <v>-0.0</v>
      </c>
      <c r="MZC45" s="5">
        <f>-'5. IRR'!MZD16</f>
        <v>-0.0</v>
      </c>
      <c r="MZD45" s="5">
        <f>-'5. IRR'!MZE16</f>
        <v>-0.0</v>
      </c>
      <c r="MZE45" s="5">
        <f>-'5. IRR'!MZF16</f>
        <v>-0.0</v>
      </c>
      <c r="MZF45" s="5">
        <f>-'5. IRR'!MZG16</f>
        <v>-0.0</v>
      </c>
      <c r="MZG45" s="5">
        <f>-'5. IRR'!MZH16</f>
        <v>-0.0</v>
      </c>
      <c r="MZH45" s="5">
        <f>-'5. IRR'!MZI16</f>
        <v>-0.0</v>
      </c>
      <c r="MZI45" s="5">
        <f>-'5. IRR'!MZJ16</f>
        <v>-0.0</v>
      </c>
      <c r="MZJ45" s="5">
        <f>-'5. IRR'!MZK16</f>
        <v>-0.0</v>
      </c>
      <c r="MZK45" s="5">
        <f>-'5. IRR'!MZL16</f>
        <v>-0.0</v>
      </c>
      <c r="MZL45" s="5">
        <f>-'5. IRR'!MZM16</f>
        <v>-0.0</v>
      </c>
      <c r="MZM45" s="5">
        <f>-'5. IRR'!MZN16</f>
        <v>-0.0</v>
      </c>
      <c r="MZN45" s="5">
        <f>-'5. IRR'!MZO16</f>
        <v>-0.0</v>
      </c>
      <c r="MZO45" s="5">
        <f>-'5. IRR'!MZP16</f>
        <v>-0.0</v>
      </c>
      <c r="MZP45" s="5">
        <f>-'5. IRR'!MZQ16</f>
        <v>-0.0</v>
      </c>
      <c r="MZQ45" s="5">
        <f>-'5. IRR'!MZR16</f>
        <v>-0.0</v>
      </c>
      <c r="MZR45" s="5">
        <f>-'5. IRR'!MZS16</f>
        <v>-0.0</v>
      </c>
      <c r="MZS45" s="5">
        <f>-'5. IRR'!MZT16</f>
        <v>-0.0</v>
      </c>
      <c r="MZT45" s="5">
        <f>-'5. IRR'!MZU16</f>
        <v>-0.0</v>
      </c>
      <c r="MZU45" s="5">
        <f>-'5. IRR'!MZV16</f>
        <v>-0.0</v>
      </c>
      <c r="MZV45" s="5">
        <f>-'5. IRR'!MZW16</f>
        <v>-0.0</v>
      </c>
      <c r="MZW45" s="5">
        <f>-'5. IRR'!MZX16</f>
        <v>-0.0</v>
      </c>
      <c r="MZX45" s="5">
        <f>-'5. IRR'!MZY16</f>
        <v>-0.0</v>
      </c>
      <c r="MZY45" s="5">
        <f>-'5. IRR'!MZZ16</f>
        <v>-0.0</v>
      </c>
      <c r="MZZ45" s="5">
        <f>-'5. IRR'!NAA16</f>
        <v>-0.0</v>
      </c>
      <c r="NAA45" s="5">
        <f>-'5. IRR'!NAB16</f>
        <v>-0.0</v>
      </c>
      <c r="NAB45" s="5">
        <f>-'5. IRR'!NAC16</f>
        <v>-0.0</v>
      </c>
      <c r="NAC45" s="5">
        <f>-'5. IRR'!NAD16</f>
        <v>-0.0</v>
      </c>
      <c r="NAD45" s="5">
        <f>-'5. IRR'!NAE16</f>
        <v>-0.0</v>
      </c>
      <c r="NAE45" s="5">
        <f>-'5. IRR'!NAF16</f>
        <v>-0.0</v>
      </c>
      <c r="NAF45" s="5">
        <f>-'5. IRR'!NAG16</f>
        <v>-0.0</v>
      </c>
      <c r="NAG45" s="5">
        <f>-'5. IRR'!NAH16</f>
        <v>-0.0</v>
      </c>
      <c r="NAH45" s="5">
        <f>-'5. IRR'!NAI16</f>
        <v>-0.0</v>
      </c>
      <c r="NAI45" s="5">
        <f>-'5. IRR'!NAJ16</f>
        <v>-0.0</v>
      </c>
      <c r="NAJ45" s="5">
        <f>-'5. IRR'!NAK16</f>
        <v>-0.0</v>
      </c>
      <c r="NAK45" s="5">
        <f>-'5. IRR'!NAL16</f>
        <v>-0.0</v>
      </c>
      <c r="NAL45" s="5">
        <f>-'5. IRR'!NAM16</f>
        <v>-0.0</v>
      </c>
      <c r="NAM45" s="5">
        <f>-'5. IRR'!NAN16</f>
        <v>-0.0</v>
      </c>
      <c r="NAN45" s="5">
        <f>-'5. IRR'!NAO16</f>
        <v>-0.0</v>
      </c>
      <c r="NAO45" s="5">
        <f>-'5. IRR'!NAP16</f>
        <v>-0.0</v>
      </c>
      <c r="NAP45" s="5">
        <f>-'5. IRR'!NAQ16</f>
        <v>-0.0</v>
      </c>
      <c r="NAQ45" s="5">
        <f>-'5. IRR'!NAR16</f>
        <v>-0.0</v>
      </c>
      <c r="NAR45" s="5">
        <f>-'5. IRR'!NAS16</f>
        <v>-0.0</v>
      </c>
      <c r="NAS45" s="5">
        <f>-'5. IRR'!NAT16</f>
        <v>-0.0</v>
      </c>
      <c r="NAT45" s="5">
        <f>-'5. IRR'!NAU16</f>
        <v>-0.0</v>
      </c>
      <c r="NAU45" s="5">
        <f>-'5. IRR'!NAV16</f>
        <v>-0.0</v>
      </c>
      <c r="NAV45" s="5">
        <f>-'5. IRR'!NAW16</f>
        <v>-0.0</v>
      </c>
      <c r="NAW45" s="5">
        <f>-'5. IRR'!NAX16</f>
        <v>-0.0</v>
      </c>
      <c r="NAX45" s="5">
        <f>-'5. IRR'!NAY16</f>
        <v>-0.0</v>
      </c>
      <c r="NAY45" s="5">
        <f>-'5. IRR'!NAZ16</f>
        <v>-0.0</v>
      </c>
      <c r="NAZ45" s="5">
        <f>-'5. IRR'!NBA16</f>
        <v>-0.0</v>
      </c>
      <c r="NBA45" s="5">
        <f>-'5. IRR'!NBB16</f>
        <v>-0.0</v>
      </c>
      <c r="NBB45" s="5">
        <f>-'5. IRR'!NBC16</f>
        <v>-0.0</v>
      </c>
      <c r="NBC45" s="5">
        <f>-'5. IRR'!NBD16</f>
        <v>-0.0</v>
      </c>
      <c r="NBD45" s="5">
        <f>-'5. IRR'!NBE16</f>
        <v>-0.0</v>
      </c>
      <c r="NBE45" s="5">
        <f>-'5. IRR'!NBF16</f>
        <v>-0.0</v>
      </c>
      <c r="NBF45" s="5">
        <f>-'5. IRR'!NBG16</f>
        <v>-0.0</v>
      </c>
      <c r="NBG45" s="5">
        <f>-'5. IRR'!NBH16</f>
        <v>-0.0</v>
      </c>
      <c r="NBH45" s="5">
        <f>-'5. IRR'!NBI16</f>
        <v>-0.0</v>
      </c>
      <c r="NBI45" s="5">
        <f>-'5. IRR'!NBJ16</f>
        <v>-0.0</v>
      </c>
      <c r="NBJ45" s="5">
        <f>-'5. IRR'!NBK16</f>
        <v>-0.0</v>
      </c>
      <c r="NBK45" s="5">
        <f>-'5. IRR'!NBL16</f>
        <v>-0.0</v>
      </c>
      <c r="NBL45" s="5">
        <f>-'5. IRR'!NBM16</f>
        <v>-0.0</v>
      </c>
      <c r="NBM45" s="5">
        <f>-'5. IRR'!NBN16</f>
        <v>-0.0</v>
      </c>
      <c r="NBN45" s="5">
        <f>-'5. IRR'!NBO16</f>
        <v>-0.0</v>
      </c>
      <c r="NBO45" s="5">
        <f>-'5. IRR'!NBP16</f>
        <v>-0.0</v>
      </c>
      <c r="NBP45" s="5">
        <f>-'5. IRR'!NBQ16</f>
        <v>-0.0</v>
      </c>
      <c r="NBQ45" s="5">
        <f>-'5. IRR'!NBR16</f>
        <v>-0.0</v>
      </c>
      <c r="NBR45" s="5">
        <f>-'5. IRR'!NBS16</f>
        <v>-0.0</v>
      </c>
      <c r="NBS45" s="5">
        <f>-'5. IRR'!NBT16</f>
        <v>-0.0</v>
      </c>
      <c r="NBT45" s="5">
        <f>-'5. IRR'!NBU16</f>
        <v>-0.0</v>
      </c>
      <c r="NBU45" s="5">
        <f>-'5. IRR'!NBV16</f>
        <v>-0.0</v>
      </c>
      <c r="NBV45" s="5">
        <f>-'5. IRR'!NBW16</f>
        <v>-0.0</v>
      </c>
      <c r="NBW45" s="5">
        <f>-'5. IRR'!NBX16</f>
        <v>-0.0</v>
      </c>
      <c r="NBX45" s="5">
        <f>-'5. IRR'!NBY16</f>
        <v>-0.0</v>
      </c>
      <c r="NBY45" s="5">
        <f>-'5. IRR'!NBZ16</f>
        <v>-0.0</v>
      </c>
      <c r="NBZ45" s="5">
        <f>-'5. IRR'!NCA16</f>
        <v>-0.0</v>
      </c>
      <c r="NCA45" s="5">
        <f>-'5. IRR'!NCB16</f>
        <v>-0.0</v>
      </c>
      <c r="NCB45" s="5">
        <f>-'5. IRR'!NCC16</f>
        <v>-0.0</v>
      </c>
      <c r="NCC45" s="5">
        <f>-'5. IRR'!NCD16</f>
        <v>-0.0</v>
      </c>
      <c r="NCD45" s="5">
        <f>-'5. IRR'!NCE16</f>
        <v>-0.0</v>
      </c>
      <c r="NCE45" s="5">
        <f>-'5. IRR'!NCF16</f>
        <v>-0.0</v>
      </c>
      <c r="NCF45" s="5">
        <f>-'5. IRR'!NCG16</f>
        <v>-0.0</v>
      </c>
      <c r="NCG45" s="5">
        <f>-'5. IRR'!NCH16</f>
        <v>-0.0</v>
      </c>
      <c r="NCH45" s="5">
        <f>-'5. IRR'!NCI16</f>
        <v>-0.0</v>
      </c>
      <c r="NCI45" s="5">
        <f>-'5. IRR'!NCJ16</f>
        <v>-0.0</v>
      </c>
      <c r="NCJ45" s="5">
        <f>-'5. IRR'!NCK16</f>
        <v>-0.0</v>
      </c>
      <c r="NCK45" s="5">
        <f>-'5. IRR'!NCL16</f>
        <v>-0.0</v>
      </c>
      <c r="NCL45" s="5">
        <f>-'5. IRR'!NCM16</f>
        <v>-0.0</v>
      </c>
      <c r="NCM45" s="5">
        <f>-'5. IRR'!NCN16</f>
        <v>-0.0</v>
      </c>
      <c r="NCN45" s="5">
        <f>-'5. IRR'!NCO16</f>
        <v>-0.0</v>
      </c>
      <c r="NCO45" s="5">
        <f>-'5. IRR'!NCP16</f>
        <v>-0.0</v>
      </c>
      <c r="NCP45" s="5">
        <f>-'5. IRR'!NCQ16</f>
        <v>-0.0</v>
      </c>
      <c r="NCQ45" s="5">
        <f>-'5. IRR'!NCR16</f>
        <v>-0.0</v>
      </c>
      <c r="NCR45" s="5">
        <f>-'5. IRR'!NCS16</f>
        <v>-0.0</v>
      </c>
      <c r="NCS45" s="5">
        <f>-'5. IRR'!NCT16</f>
        <v>-0.0</v>
      </c>
      <c r="NCT45" s="5">
        <f>-'5. IRR'!NCU16</f>
        <v>-0.0</v>
      </c>
      <c r="NCU45" s="5">
        <f>-'5. IRR'!NCV16</f>
        <v>-0.0</v>
      </c>
      <c r="NCV45" s="5">
        <f>-'5. IRR'!NCW16</f>
        <v>-0.0</v>
      </c>
      <c r="NCW45" s="5">
        <f>-'5. IRR'!NCX16</f>
        <v>-0.0</v>
      </c>
      <c r="NCX45" s="5">
        <f>-'5. IRR'!NCY16</f>
        <v>-0.0</v>
      </c>
      <c r="NCY45" s="5">
        <f>-'5. IRR'!NCZ16</f>
        <v>-0.0</v>
      </c>
      <c r="NCZ45" s="5">
        <f>-'5. IRR'!NDA16</f>
        <v>-0.0</v>
      </c>
      <c r="NDA45" s="5">
        <f>-'5. IRR'!NDB16</f>
        <v>-0.0</v>
      </c>
      <c r="NDB45" s="5">
        <f>-'5. IRR'!NDC16</f>
        <v>-0.0</v>
      </c>
      <c r="NDC45" s="5">
        <f>-'5. IRR'!NDD16</f>
        <v>-0.0</v>
      </c>
      <c r="NDD45" s="5">
        <f>-'5. IRR'!NDE16</f>
        <v>-0.0</v>
      </c>
      <c r="NDE45" s="5">
        <f>-'5. IRR'!NDF16</f>
        <v>-0.0</v>
      </c>
      <c r="NDF45" s="5">
        <f>-'5. IRR'!NDG16</f>
        <v>-0.0</v>
      </c>
      <c r="NDG45" s="5">
        <f>-'5. IRR'!NDH16</f>
        <v>-0.0</v>
      </c>
      <c r="NDH45" s="5">
        <f>-'5. IRR'!NDI16</f>
        <v>-0.0</v>
      </c>
      <c r="NDI45" s="5">
        <f>-'5. IRR'!NDJ16</f>
        <v>-0.0</v>
      </c>
      <c r="NDJ45" s="5">
        <f>-'5. IRR'!NDK16</f>
        <v>-0.0</v>
      </c>
      <c r="NDK45" s="5">
        <f>-'5. IRR'!NDL16</f>
        <v>-0.0</v>
      </c>
      <c r="NDL45" s="5">
        <f>-'5. IRR'!NDM16</f>
        <v>-0.0</v>
      </c>
      <c r="NDM45" s="5">
        <f>-'5. IRR'!NDN16</f>
        <v>-0.0</v>
      </c>
      <c r="NDN45" s="5">
        <f>-'5. IRR'!NDO16</f>
        <v>-0.0</v>
      </c>
      <c r="NDO45" s="5">
        <f>-'5. IRR'!NDP16</f>
        <v>-0.0</v>
      </c>
      <c r="NDP45" s="5">
        <f>-'5. IRR'!NDQ16</f>
        <v>-0.0</v>
      </c>
      <c r="NDQ45" s="5">
        <f>-'5. IRR'!NDR16</f>
        <v>-0.0</v>
      </c>
      <c r="NDR45" s="5">
        <f>-'5. IRR'!NDS16</f>
        <v>-0.0</v>
      </c>
      <c r="NDS45" s="5">
        <f>-'5. IRR'!NDT16</f>
        <v>-0.0</v>
      </c>
      <c r="NDT45" s="5">
        <f>-'5. IRR'!NDU16</f>
        <v>-0.0</v>
      </c>
      <c r="NDU45" s="5">
        <f>-'5. IRR'!NDV16</f>
        <v>-0.0</v>
      </c>
      <c r="NDV45" s="5">
        <f>-'5. IRR'!NDW16</f>
        <v>-0.0</v>
      </c>
      <c r="NDW45" s="5">
        <f>-'5. IRR'!NDX16</f>
        <v>-0.0</v>
      </c>
      <c r="NDX45" s="5">
        <f>-'5. IRR'!NDY16</f>
        <v>-0.0</v>
      </c>
      <c r="NDY45" s="5">
        <f>-'5. IRR'!NDZ16</f>
        <v>-0.0</v>
      </c>
      <c r="NDZ45" s="5">
        <f>-'5. IRR'!NEA16</f>
        <v>-0.0</v>
      </c>
      <c r="NEA45" s="5">
        <f>-'5. IRR'!NEB16</f>
        <v>-0.0</v>
      </c>
      <c r="NEB45" s="5">
        <f>-'5. IRR'!NEC16</f>
        <v>-0.0</v>
      </c>
      <c r="NEC45" s="5">
        <f>-'5. IRR'!NED16</f>
        <v>-0.0</v>
      </c>
      <c r="NED45" s="5">
        <f>-'5. IRR'!NEE16</f>
        <v>-0.0</v>
      </c>
      <c r="NEE45" s="5">
        <f>-'5. IRR'!NEF16</f>
        <v>-0.0</v>
      </c>
      <c r="NEF45" s="5">
        <f>-'5. IRR'!NEG16</f>
        <v>-0.0</v>
      </c>
      <c r="NEG45" s="5">
        <f>-'5. IRR'!NEH16</f>
        <v>-0.0</v>
      </c>
      <c r="NEH45" s="5">
        <f>-'5. IRR'!NEI16</f>
        <v>-0.0</v>
      </c>
      <c r="NEI45" s="5">
        <f>-'5. IRR'!NEJ16</f>
        <v>-0.0</v>
      </c>
      <c r="NEJ45" s="5">
        <f>-'5. IRR'!NEK16</f>
        <v>-0.0</v>
      </c>
      <c r="NEK45" s="5">
        <f>-'5. IRR'!NEL16</f>
        <v>-0.0</v>
      </c>
      <c r="NEL45" s="5">
        <f>-'5. IRR'!NEM16</f>
        <v>-0.0</v>
      </c>
      <c r="NEM45" s="5">
        <f>-'5. IRR'!NEN16</f>
        <v>-0.0</v>
      </c>
      <c r="NEN45" s="5">
        <f>-'5. IRR'!NEO16</f>
        <v>-0.0</v>
      </c>
      <c r="NEO45" s="5">
        <f>-'5. IRR'!NEP16</f>
        <v>-0.0</v>
      </c>
      <c r="NEP45" s="5">
        <f>-'5. IRR'!NEQ16</f>
        <v>-0.0</v>
      </c>
      <c r="NEQ45" s="5">
        <f>-'5. IRR'!NER16</f>
        <v>-0.0</v>
      </c>
      <c r="NER45" s="5">
        <f>-'5. IRR'!NES16</f>
        <v>-0.0</v>
      </c>
      <c r="NES45" s="5">
        <f>-'5. IRR'!NET16</f>
        <v>-0.0</v>
      </c>
      <c r="NET45" s="5">
        <f>-'5. IRR'!NEU16</f>
        <v>-0.0</v>
      </c>
      <c r="NEU45" s="5">
        <f>-'5. IRR'!NEV16</f>
        <v>-0.0</v>
      </c>
      <c r="NEV45" s="5">
        <f>-'5. IRR'!NEW16</f>
        <v>-0.0</v>
      </c>
      <c r="NEW45" s="5">
        <f>-'5. IRR'!NEX16</f>
        <v>-0.0</v>
      </c>
      <c r="NEX45" s="5">
        <f>-'5. IRR'!NEY16</f>
        <v>-0.0</v>
      </c>
      <c r="NEY45" s="5">
        <f>-'5. IRR'!NEZ16</f>
        <v>-0.0</v>
      </c>
      <c r="NEZ45" s="5">
        <f>-'5. IRR'!NFA16</f>
        <v>-0.0</v>
      </c>
      <c r="NFA45" s="5">
        <f>-'5. IRR'!NFB16</f>
        <v>-0.0</v>
      </c>
      <c r="NFB45" s="5">
        <f>-'5. IRR'!NFC16</f>
        <v>-0.0</v>
      </c>
      <c r="NFC45" s="5">
        <f>-'5. IRR'!NFD16</f>
        <v>-0.0</v>
      </c>
      <c r="NFD45" s="5">
        <f>-'5. IRR'!NFE16</f>
        <v>-0.0</v>
      </c>
      <c r="NFE45" s="5">
        <f>-'5. IRR'!NFF16</f>
        <v>-0.0</v>
      </c>
      <c r="NFF45" s="5">
        <f>-'5. IRR'!NFG16</f>
        <v>-0.0</v>
      </c>
      <c r="NFG45" s="5">
        <f>-'5. IRR'!NFH16</f>
        <v>-0.0</v>
      </c>
      <c r="NFH45" s="5">
        <f>-'5. IRR'!NFI16</f>
        <v>-0.0</v>
      </c>
      <c r="NFI45" s="5">
        <f>-'5. IRR'!NFJ16</f>
        <v>-0.0</v>
      </c>
      <c r="NFJ45" s="5">
        <f>-'5. IRR'!NFK16</f>
        <v>-0.0</v>
      </c>
      <c r="NFK45" s="5">
        <f>-'5. IRR'!NFL16</f>
        <v>-0.0</v>
      </c>
      <c r="NFL45" s="5">
        <f>-'5. IRR'!NFM16</f>
        <v>-0.0</v>
      </c>
      <c r="NFM45" s="5">
        <f>-'5. IRR'!NFN16</f>
        <v>-0.0</v>
      </c>
      <c r="NFN45" s="5">
        <f>-'5. IRR'!NFO16</f>
        <v>-0.0</v>
      </c>
      <c r="NFO45" s="5">
        <f>-'5. IRR'!NFP16</f>
        <v>-0.0</v>
      </c>
      <c r="NFP45" s="5">
        <f>-'5. IRR'!NFQ16</f>
        <v>-0.0</v>
      </c>
      <c r="NFQ45" s="5">
        <f>-'5. IRR'!NFR16</f>
        <v>-0.0</v>
      </c>
      <c r="NFR45" s="5">
        <f>-'5. IRR'!NFS16</f>
        <v>-0.0</v>
      </c>
      <c r="NFS45" s="5">
        <f>-'5. IRR'!NFT16</f>
        <v>-0.0</v>
      </c>
      <c r="NFT45" s="5">
        <f>-'5. IRR'!NFU16</f>
        <v>-0.0</v>
      </c>
      <c r="NFU45" s="5">
        <f>-'5. IRR'!NFV16</f>
        <v>-0.0</v>
      </c>
      <c r="NFV45" s="5">
        <f>-'5. IRR'!NFW16</f>
        <v>-0.0</v>
      </c>
      <c r="NFW45" s="5">
        <f>-'5. IRR'!NFX16</f>
        <v>-0.0</v>
      </c>
      <c r="NFX45" s="5">
        <f>-'5. IRR'!NFY16</f>
        <v>-0.0</v>
      </c>
      <c r="NFY45" s="5">
        <f>-'5. IRR'!NFZ16</f>
        <v>-0.0</v>
      </c>
      <c r="NFZ45" s="5">
        <f>-'5. IRR'!NGA16</f>
        <v>-0.0</v>
      </c>
      <c r="NGA45" s="5">
        <f>-'5. IRR'!NGB16</f>
        <v>-0.0</v>
      </c>
      <c r="NGB45" s="5">
        <f>-'5. IRR'!NGC16</f>
        <v>-0.0</v>
      </c>
      <c r="NGC45" s="5">
        <f>-'5. IRR'!NGD16</f>
        <v>-0.0</v>
      </c>
      <c r="NGD45" s="5">
        <f>-'5. IRR'!NGE16</f>
        <v>-0.0</v>
      </c>
      <c r="NGE45" s="5">
        <f>-'5. IRR'!NGF16</f>
        <v>-0.0</v>
      </c>
      <c r="NGF45" s="5">
        <f>-'5. IRR'!NGG16</f>
        <v>-0.0</v>
      </c>
      <c r="NGG45" s="5">
        <f>-'5. IRR'!NGH16</f>
        <v>-0.0</v>
      </c>
      <c r="NGH45" s="5">
        <f>-'5. IRR'!NGI16</f>
        <v>-0.0</v>
      </c>
      <c r="NGI45" s="5">
        <f>-'5. IRR'!NGJ16</f>
        <v>-0.0</v>
      </c>
      <c r="NGJ45" s="5">
        <f>-'5. IRR'!NGK16</f>
        <v>-0.0</v>
      </c>
      <c r="NGK45" s="5">
        <f>-'5. IRR'!NGL16</f>
        <v>-0.0</v>
      </c>
      <c r="NGL45" s="5">
        <f>-'5. IRR'!NGM16</f>
        <v>-0.0</v>
      </c>
      <c r="NGM45" s="5">
        <f>-'5. IRR'!NGN16</f>
        <v>-0.0</v>
      </c>
      <c r="NGN45" s="5">
        <f>-'5. IRR'!NGO16</f>
        <v>-0.0</v>
      </c>
      <c r="NGO45" s="5">
        <f>-'5. IRR'!NGP16</f>
        <v>-0.0</v>
      </c>
      <c r="NGP45" s="5">
        <f>-'5. IRR'!NGQ16</f>
        <v>-0.0</v>
      </c>
      <c r="NGQ45" s="5">
        <f>-'5. IRR'!NGR16</f>
        <v>-0.0</v>
      </c>
      <c r="NGR45" s="5">
        <f>-'5. IRR'!NGS16</f>
        <v>-0.0</v>
      </c>
      <c r="NGS45" s="5">
        <f>-'5. IRR'!NGT16</f>
        <v>-0.0</v>
      </c>
      <c r="NGT45" s="5">
        <f>-'5. IRR'!NGU16</f>
        <v>-0.0</v>
      </c>
      <c r="NGU45" s="5">
        <f>-'5. IRR'!NGV16</f>
        <v>-0.0</v>
      </c>
      <c r="NGV45" s="5">
        <f>-'5. IRR'!NGW16</f>
        <v>-0.0</v>
      </c>
      <c r="NGW45" s="5">
        <f>-'5. IRR'!NGX16</f>
        <v>-0.0</v>
      </c>
      <c r="NGX45" s="5">
        <f>-'5. IRR'!NGY16</f>
        <v>-0.0</v>
      </c>
      <c r="NGY45" s="5">
        <f>-'5. IRR'!NGZ16</f>
        <v>-0.0</v>
      </c>
      <c r="NGZ45" s="5">
        <f>-'5. IRR'!NHA16</f>
        <v>-0.0</v>
      </c>
      <c r="NHA45" s="5">
        <f>-'5. IRR'!NHB16</f>
        <v>-0.0</v>
      </c>
      <c r="NHB45" s="5">
        <f>-'5. IRR'!NHC16</f>
        <v>-0.0</v>
      </c>
      <c r="NHC45" s="5">
        <f>-'5. IRR'!NHD16</f>
        <v>-0.0</v>
      </c>
      <c r="NHD45" s="5">
        <f>-'5. IRR'!NHE16</f>
        <v>-0.0</v>
      </c>
      <c r="NHE45" s="5">
        <f>-'5. IRR'!NHF16</f>
        <v>-0.0</v>
      </c>
      <c r="NHF45" s="5">
        <f>-'5. IRR'!NHG16</f>
        <v>-0.0</v>
      </c>
      <c r="NHG45" s="5">
        <f>-'5. IRR'!NHH16</f>
        <v>-0.0</v>
      </c>
      <c r="NHH45" s="5">
        <f>-'5. IRR'!NHI16</f>
        <v>-0.0</v>
      </c>
      <c r="NHI45" s="5">
        <f>-'5. IRR'!NHJ16</f>
        <v>-0.0</v>
      </c>
      <c r="NHJ45" s="5">
        <f>-'5. IRR'!NHK16</f>
        <v>-0.0</v>
      </c>
      <c r="NHK45" s="5">
        <f>-'5. IRR'!NHL16</f>
        <v>-0.0</v>
      </c>
      <c r="NHL45" s="5">
        <f>-'5. IRR'!NHM16</f>
        <v>-0.0</v>
      </c>
      <c r="NHM45" s="5">
        <f>-'5. IRR'!NHN16</f>
        <v>-0.0</v>
      </c>
      <c r="NHN45" s="5">
        <f>-'5. IRR'!NHO16</f>
        <v>-0.0</v>
      </c>
      <c r="NHO45" s="5">
        <f>-'5. IRR'!NHP16</f>
        <v>-0.0</v>
      </c>
      <c r="NHP45" s="5">
        <f>-'5. IRR'!NHQ16</f>
        <v>-0.0</v>
      </c>
      <c r="NHQ45" s="5">
        <f>-'5. IRR'!NHR16</f>
        <v>-0.0</v>
      </c>
      <c r="NHR45" s="5">
        <f>-'5. IRR'!NHS16</f>
        <v>-0.0</v>
      </c>
      <c r="NHS45" s="5">
        <f>-'5. IRR'!NHT16</f>
        <v>-0.0</v>
      </c>
      <c r="NHT45" s="5">
        <f>-'5. IRR'!NHU16</f>
        <v>-0.0</v>
      </c>
      <c r="NHU45" s="5">
        <f>-'5. IRR'!NHV16</f>
        <v>-0.0</v>
      </c>
      <c r="NHV45" s="5">
        <f>-'5. IRR'!NHW16</f>
        <v>-0.0</v>
      </c>
      <c r="NHW45" s="5">
        <f>-'5. IRR'!NHX16</f>
        <v>-0.0</v>
      </c>
      <c r="NHX45" s="5">
        <f>-'5. IRR'!NHY16</f>
        <v>-0.0</v>
      </c>
      <c r="NHY45" s="5">
        <f>-'5. IRR'!NHZ16</f>
        <v>-0.0</v>
      </c>
      <c r="NHZ45" s="5">
        <f>-'5. IRR'!NIA16</f>
        <v>-0.0</v>
      </c>
      <c r="NIA45" s="5">
        <f>-'5. IRR'!NIB16</f>
        <v>-0.0</v>
      </c>
      <c r="NIB45" s="5">
        <f>-'5. IRR'!NIC16</f>
        <v>-0.0</v>
      </c>
      <c r="NIC45" s="5">
        <f>-'5. IRR'!NID16</f>
        <v>-0.0</v>
      </c>
      <c r="NID45" s="5">
        <f>-'5. IRR'!NIE16</f>
        <v>-0.0</v>
      </c>
      <c r="NIE45" s="5">
        <f>-'5. IRR'!NIF16</f>
        <v>-0.0</v>
      </c>
      <c r="NIF45" s="5">
        <f>-'5. IRR'!NIG16</f>
        <v>-0.0</v>
      </c>
      <c r="NIG45" s="5">
        <f>-'5. IRR'!NIH16</f>
        <v>-0.0</v>
      </c>
      <c r="NIH45" s="5">
        <f>-'5. IRR'!NII16</f>
        <v>-0.0</v>
      </c>
      <c r="NII45" s="5">
        <f>-'5. IRR'!NIJ16</f>
        <v>-0.0</v>
      </c>
      <c r="NIJ45" s="5">
        <f>-'5. IRR'!NIK16</f>
        <v>-0.0</v>
      </c>
      <c r="NIK45" s="5">
        <f>-'5. IRR'!NIL16</f>
        <v>-0.0</v>
      </c>
      <c r="NIL45" s="5">
        <f>-'5. IRR'!NIM16</f>
        <v>-0.0</v>
      </c>
      <c r="NIM45" s="5">
        <f>-'5. IRR'!NIN16</f>
        <v>-0.0</v>
      </c>
      <c r="NIN45" s="5">
        <f>-'5. IRR'!NIO16</f>
        <v>-0.0</v>
      </c>
      <c r="NIO45" s="5">
        <f>-'5. IRR'!NIP16</f>
        <v>-0.0</v>
      </c>
      <c r="NIP45" s="5">
        <f>-'5. IRR'!NIQ16</f>
        <v>-0.0</v>
      </c>
      <c r="NIQ45" s="5">
        <f>-'5. IRR'!NIR16</f>
        <v>-0.0</v>
      </c>
      <c r="NIR45" s="5">
        <f>-'5. IRR'!NIS16</f>
        <v>-0.0</v>
      </c>
      <c r="NIS45" s="5">
        <f>-'5. IRR'!NIT16</f>
        <v>-0.0</v>
      </c>
      <c r="NIT45" s="5">
        <f>-'5. IRR'!NIU16</f>
        <v>-0.0</v>
      </c>
      <c r="NIU45" s="5">
        <f>-'5. IRR'!NIV16</f>
        <v>-0.0</v>
      </c>
      <c r="NIV45" s="5">
        <f>-'5. IRR'!NIW16</f>
        <v>-0.0</v>
      </c>
      <c r="NIW45" s="5">
        <f>-'5. IRR'!NIX16</f>
        <v>-0.0</v>
      </c>
      <c r="NIX45" s="5">
        <f>-'5. IRR'!NIY16</f>
        <v>-0.0</v>
      </c>
      <c r="NIY45" s="5">
        <f>-'5. IRR'!NIZ16</f>
        <v>-0.0</v>
      </c>
      <c r="NIZ45" s="5">
        <f>-'5. IRR'!NJA16</f>
        <v>-0.0</v>
      </c>
      <c r="NJA45" s="5">
        <f>-'5. IRR'!NJB16</f>
        <v>-0.0</v>
      </c>
      <c r="NJB45" s="5">
        <f>-'5. IRR'!NJC16</f>
        <v>-0.0</v>
      </c>
      <c r="NJC45" s="5">
        <f>-'5. IRR'!NJD16</f>
        <v>-0.0</v>
      </c>
      <c r="NJD45" s="5">
        <f>-'5. IRR'!NJE16</f>
        <v>-0.0</v>
      </c>
      <c r="NJE45" s="5">
        <f>-'5. IRR'!NJF16</f>
        <v>-0.0</v>
      </c>
      <c r="NJF45" s="5">
        <f>-'5. IRR'!NJG16</f>
        <v>-0.0</v>
      </c>
      <c r="NJG45" s="5">
        <f>-'5. IRR'!NJH16</f>
        <v>-0.0</v>
      </c>
      <c r="NJH45" s="5">
        <f>-'5. IRR'!NJI16</f>
        <v>-0.0</v>
      </c>
      <c r="NJI45" s="5">
        <f>-'5. IRR'!NJJ16</f>
        <v>-0.0</v>
      </c>
      <c r="NJJ45" s="5">
        <f>-'5. IRR'!NJK16</f>
        <v>-0.0</v>
      </c>
      <c r="NJK45" s="5">
        <f>-'5. IRR'!NJL16</f>
        <v>-0.0</v>
      </c>
      <c r="NJL45" s="5">
        <f>-'5. IRR'!NJM16</f>
        <v>-0.0</v>
      </c>
      <c r="NJM45" s="5">
        <f>-'5. IRR'!NJN16</f>
        <v>-0.0</v>
      </c>
      <c r="NJN45" s="5">
        <f>-'5. IRR'!NJO16</f>
        <v>-0.0</v>
      </c>
      <c r="NJO45" s="5">
        <f>-'5. IRR'!NJP16</f>
        <v>-0.0</v>
      </c>
      <c r="NJP45" s="5">
        <f>-'5. IRR'!NJQ16</f>
        <v>-0.0</v>
      </c>
      <c r="NJQ45" s="5">
        <f>-'5. IRR'!NJR16</f>
        <v>-0.0</v>
      </c>
      <c r="NJR45" s="5">
        <f>-'5. IRR'!NJS16</f>
        <v>-0.0</v>
      </c>
      <c r="NJS45" s="5">
        <f>-'5. IRR'!NJT16</f>
        <v>-0.0</v>
      </c>
      <c r="NJT45" s="5">
        <f>-'5. IRR'!NJU16</f>
        <v>-0.0</v>
      </c>
      <c r="NJU45" s="5">
        <f>-'5. IRR'!NJV16</f>
        <v>-0.0</v>
      </c>
      <c r="NJV45" s="5">
        <f>-'5. IRR'!NJW16</f>
        <v>-0.0</v>
      </c>
      <c r="NJW45" s="5">
        <f>-'5. IRR'!NJX16</f>
        <v>-0.0</v>
      </c>
      <c r="NJX45" s="5">
        <f>-'5. IRR'!NJY16</f>
        <v>-0.0</v>
      </c>
      <c r="NJY45" s="5">
        <f>-'5. IRR'!NJZ16</f>
        <v>-0.0</v>
      </c>
      <c r="NJZ45" s="5">
        <f>-'5. IRR'!NKA16</f>
        <v>-0.0</v>
      </c>
      <c r="NKA45" s="5">
        <f>-'5. IRR'!NKB16</f>
        <v>-0.0</v>
      </c>
      <c r="NKB45" s="5">
        <f>-'5. IRR'!NKC16</f>
        <v>-0.0</v>
      </c>
      <c r="NKC45" s="5">
        <f>-'5. IRR'!NKD16</f>
        <v>-0.0</v>
      </c>
      <c r="NKD45" s="5">
        <f>-'5. IRR'!NKE16</f>
        <v>-0.0</v>
      </c>
      <c r="NKE45" s="5">
        <f>-'5. IRR'!NKF16</f>
        <v>-0.0</v>
      </c>
      <c r="NKF45" s="5">
        <f>-'5. IRR'!NKG16</f>
        <v>-0.0</v>
      </c>
      <c r="NKG45" s="5">
        <f>-'5. IRR'!NKH16</f>
        <v>-0.0</v>
      </c>
      <c r="NKH45" s="5">
        <f>-'5. IRR'!NKI16</f>
        <v>-0.0</v>
      </c>
      <c r="NKI45" s="5">
        <f>-'5. IRR'!NKJ16</f>
        <v>-0.0</v>
      </c>
      <c r="NKJ45" s="5">
        <f>-'5. IRR'!NKK16</f>
        <v>-0.0</v>
      </c>
      <c r="NKK45" s="5">
        <f>-'5. IRR'!NKL16</f>
        <v>-0.0</v>
      </c>
      <c r="NKL45" s="5">
        <f>-'5. IRR'!NKM16</f>
        <v>-0.0</v>
      </c>
      <c r="NKM45" s="5">
        <f>-'5. IRR'!NKN16</f>
        <v>-0.0</v>
      </c>
      <c r="NKN45" s="5">
        <f>-'5. IRR'!NKO16</f>
        <v>-0.0</v>
      </c>
      <c r="NKO45" s="5">
        <f>-'5. IRR'!NKP16</f>
        <v>-0.0</v>
      </c>
      <c r="NKP45" s="5">
        <f>-'5. IRR'!NKQ16</f>
        <v>-0.0</v>
      </c>
      <c r="NKQ45" s="5">
        <f>-'5. IRR'!NKR16</f>
        <v>-0.0</v>
      </c>
      <c r="NKR45" s="5">
        <f>-'5. IRR'!NKS16</f>
        <v>-0.0</v>
      </c>
      <c r="NKS45" s="5">
        <f>-'5. IRR'!NKT16</f>
        <v>-0.0</v>
      </c>
      <c r="NKT45" s="5">
        <f>-'5. IRR'!NKU16</f>
        <v>-0.0</v>
      </c>
      <c r="NKU45" s="5">
        <f>-'5. IRR'!NKV16</f>
        <v>-0.0</v>
      </c>
      <c r="NKV45" s="5">
        <f>-'5. IRR'!NKW16</f>
        <v>-0.0</v>
      </c>
      <c r="NKW45" s="5">
        <f>-'5. IRR'!NKX16</f>
        <v>-0.0</v>
      </c>
      <c r="NKX45" s="5">
        <f>-'5. IRR'!NKY16</f>
        <v>-0.0</v>
      </c>
      <c r="NKY45" s="5">
        <f>-'5. IRR'!NKZ16</f>
        <v>-0.0</v>
      </c>
      <c r="NKZ45" s="5">
        <f>-'5. IRR'!NLA16</f>
        <v>-0.0</v>
      </c>
      <c r="NLA45" s="5">
        <f>-'5. IRR'!NLB16</f>
        <v>-0.0</v>
      </c>
      <c r="NLB45" s="5">
        <f>-'5. IRR'!NLC16</f>
        <v>-0.0</v>
      </c>
      <c r="NLC45" s="5">
        <f>-'5. IRR'!NLD16</f>
        <v>-0.0</v>
      </c>
      <c r="NLD45" s="5">
        <f>-'5. IRR'!NLE16</f>
        <v>-0.0</v>
      </c>
      <c r="NLE45" s="5">
        <f>-'5. IRR'!NLF16</f>
        <v>-0.0</v>
      </c>
      <c r="NLF45" s="5">
        <f>-'5. IRR'!NLG16</f>
        <v>-0.0</v>
      </c>
      <c r="NLG45" s="5">
        <f>-'5. IRR'!NLH16</f>
        <v>-0.0</v>
      </c>
      <c r="NLH45" s="5">
        <f>-'5. IRR'!NLI16</f>
        <v>-0.0</v>
      </c>
      <c r="NLI45" s="5">
        <f>-'5. IRR'!NLJ16</f>
        <v>-0.0</v>
      </c>
      <c r="NLJ45" s="5">
        <f>-'5. IRR'!NLK16</f>
        <v>-0.0</v>
      </c>
      <c r="NLK45" s="5">
        <f>-'5. IRR'!NLL16</f>
        <v>-0.0</v>
      </c>
      <c r="NLL45" s="5">
        <f>-'5. IRR'!NLM16</f>
        <v>-0.0</v>
      </c>
      <c r="NLM45" s="5">
        <f>-'5. IRR'!NLN16</f>
        <v>-0.0</v>
      </c>
      <c r="NLN45" s="5">
        <f>-'5. IRR'!NLO16</f>
        <v>-0.0</v>
      </c>
      <c r="NLO45" s="5">
        <f>-'5. IRR'!NLP16</f>
        <v>-0.0</v>
      </c>
      <c r="NLP45" s="5">
        <f>-'5. IRR'!NLQ16</f>
        <v>-0.0</v>
      </c>
      <c r="NLQ45" s="5">
        <f>-'5. IRR'!NLR16</f>
        <v>-0.0</v>
      </c>
      <c r="NLR45" s="5">
        <f>-'5. IRR'!NLS16</f>
        <v>-0.0</v>
      </c>
      <c r="NLS45" s="5">
        <f>-'5. IRR'!NLT16</f>
        <v>-0.0</v>
      </c>
      <c r="NLT45" s="5">
        <f>-'5. IRR'!NLU16</f>
        <v>-0.0</v>
      </c>
      <c r="NLU45" s="5">
        <f>-'5. IRR'!NLV16</f>
        <v>-0.0</v>
      </c>
      <c r="NLV45" s="5">
        <f>-'5. IRR'!NLW16</f>
        <v>-0.0</v>
      </c>
      <c r="NLW45" s="5">
        <f>-'5. IRR'!NLX16</f>
        <v>-0.0</v>
      </c>
      <c r="NLX45" s="5">
        <f>-'5. IRR'!NLY16</f>
        <v>-0.0</v>
      </c>
      <c r="NLY45" s="5">
        <f>-'5. IRR'!NLZ16</f>
        <v>-0.0</v>
      </c>
      <c r="NLZ45" s="5">
        <f>-'5. IRR'!NMA16</f>
        <v>-0.0</v>
      </c>
      <c r="NMA45" s="5">
        <f>-'5. IRR'!NMB16</f>
        <v>-0.0</v>
      </c>
      <c r="NMB45" s="5">
        <f>-'5. IRR'!NMC16</f>
        <v>-0.0</v>
      </c>
      <c r="NMC45" s="5">
        <f>-'5. IRR'!NMD16</f>
        <v>-0.0</v>
      </c>
      <c r="NMD45" s="5">
        <f>-'5. IRR'!NME16</f>
        <v>-0.0</v>
      </c>
      <c r="NME45" s="5">
        <f>-'5. IRR'!NMF16</f>
        <v>-0.0</v>
      </c>
      <c r="NMF45" s="5">
        <f>-'5. IRR'!NMG16</f>
        <v>-0.0</v>
      </c>
      <c r="NMG45" s="5">
        <f>-'5. IRR'!NMH16</f>
        <v>-0.0</v>
      </c>
      <c r="NMH45" s="5">
        <f>-'5. IRR'!NMI16</f>
        <v>-0.0</v>
      </c>
      <c r="NMI45" s="5">
        <f>-'5. IRR'!NMJ16</f>
        <v>-0.0</v>
      </c>
      <c r="NMJ45" s="5">
        <f>-'5. IRR'!NMK16</f>
        <v>-0.0</v>
      </c>
      <c r="NMK45" s="5">
        <f>-'5. IRR'!NML16</f>
        <v>-0.0</v>
      </c>
      <c r="NML45" s="5">
        <f>-'5. IRR'!NMM16</f>
        <v>-0.0</v>
      </c>
      <c r="NMM45" s="5">
        <f>-'5. IRR'!NMN16</f>
        <v>-0.0</v>
      </c>
      <c r="NMN45" s="5">
        <f>-'5. IRR'!NMO16</f>
        <v>-0.0</v>
      </c>
      <c r="NMO45" s="5">
        <f>-'5. IRR'!NMP16</f>
        <v>-0.0</v>
      </c>
      <c r="NMP45" s="5">
        <f>-'5. IRR'!NMQ16</f>
        <v>-0.0</v>
      </c>
      <c r="NMQ45" s="5">
        <f>-'5. IRR'!NMR16</f>
        <v>-0.0</v>
      </c>
      <c r="NMR45" s="5">
        <f>-'5. IRR'!NMS16</f>
        <v>-0.0</v>
      </c>
      <c r="NMS45" s="5">
        <f>-'5. IRR'!NMT16</f>
        <v>-0.0</v>
      </c>
      <c r="NMT45" s="5">
        <f>-'5. IRR'!NMU16</f>
        <v>-0.0</v>
      </c>
      <c r="NMU45" s="5">
        <f>-'5. IRR'!NMV16</f>
        <v>-0.0</v>
      </c>
      <c r="NMV45" s="5">
        <f>-'5. IRR'!NMW16</f>
        <v>-0.0</v>
      </c>
      <c r="NMW45" s="5">
        <f>-'5. IRR'!NMX16</f>
        <v>-0.0</v>
      </c>
      <c r="NMX45" s="5">
        <f>-'5. IRR'!NMY16</f>
        <v>-0.0</v>
      </c>
      <c r="NMY45" s="5">
        <f>-'5. IRR'!NMZ16</f>
        <v>-0.0</v>
      </c>
      <c r="NMZ45" s="5">
        <f>-'5. IRR'!NNA16</f>
        <v>-0.0</v>
      </c>
      <c r="NNA45" s="5">
        <f>-'5. IRR'!NNB16</f>
        <v>-0.0</v>
      </c>
      <c r="NNB45" s="5">
        <f>-'5. IRR'!NNC16</f>
        <v>-0.0</v>
      </c>
      <c r="NNC45" s="5">
        <f>-'5. IRR'!NND16</f>
        <v>-0.0</v>
      </c>
      <c r="NND45" s="5">
        <f>-'5. IRR'!NNE16</f>
        <v>-0.0</v>
      </c>
      <c r="NNE45" s="5">
        <f>-'5. IRR'!NNF16</f>
        <v>-0.0</v>
      </c>
      <c r="NNF45" s="5">
        <f>-'5. IRR'!NNG16</f>
        <v>-0.0</v>
      </c>
      <c r="NNG45" s="5">
        <f>-'5. IRR'!NNH16</f>
        <v>-0.0</v>
      </c>
      <c r="NNH45" s="5">
        <f>-'5. IRR'!NNI16</f>
        <v>-0.0</v>
      </c>
      <c r="NNI45" s="5">
        <f>-'5. IRR'!NNJ16</f>
        <v>-0.0</v>
      </c>
      <c r="NNJ45" s="5">
        <f>-'5. IRR'!NNK16</f>
        <v>-0.0</v>
      </c>
      <c r="NNK45" s="5">
        <f>-'5. IRR'!NNL16</f>
        <v>-0.0</v>
      </c>
      <c r="NNL45" s="5">
        <f>-'5. IRR'!NNM16</f>
        <v>-0.0</v>
      </c>
      <c r="NNM45" s="5">
        <f>-'5. IRR'!NNN16</f>
        <v>-0.0</v>
      </c>
      <c r="NNN45" s="5">
        <f>-'5. IRR'!NNO16</f>
        <v>-0.0</v>
      </c>
      <c r="NNO45" s="5">
        <f>-'5. IRR'!NNP16</f>
        <v>-0.0</v>
      </c>
      <c r="NNP45" s="5">
        <f>-'5. IRR'!NNQ16</f>
        <v>-0.0</v>
      </c>
      <c r="NNQ45" s="5">
        <f>-'5. IRR'!NNR16</f>
        <v>-0.0</v>
      </c>
      <c r="NNR45" s="5">
        <f>-'5. IRR'!NNS16</f>
        <v>-0.0</v>
      </c>
      <c r="NNS45" s="5">
        <f>-'5. IRR'!NNT16</f>
        <v>-0.0</v>
      </c>
      <c r="NNT45" s="5">
        <f>-'5. IRR'!NNU16</f>
        <v>-0.0</v>
      </c>
      <c r="NNU45" s="5">
        <f>-'5. IRR'!NNV16</f>
        <v>-0.0</v>
      </c>
      <c r="NNV45" s="5">
        <f>-'5. IRR'!NNW16</f>
        <v>-0.0</v>
      </c>
      <c r="NNW45" s="5">
        <f>-'5. IRR'!NNX16</f>
        <v>-0.0</v>
      </c>
      <c r="NNX45" s="5">
        <f>-'5. IRR'!NNY16</f>
        <v>-0.0</v>
      </c>
      <c r="NNY45" s="5">
        <f>-'5. IRR'!NNZ16</f>
        <v>-0.0</v>
      </c>
      <c r="NNZ45" s="5">
        <f>-'5. IRR'!NOA16</f>
        <v>-0.0</v>
      </c>
      <c r="NOA45" s="5">
        <f>-'5. IRR'!NOB16</f>
        <v>-0.0</v>
      </c>
      <c r="NOB45" s="5">
        <f>-'5. IRR'!NOC16</f>
        <v>-0.0</v>
      </c>
      <c r="NOC45" s="5">
        <f>-'5. IRR'!NOD16</f>
        <v>-0.0</v>
      </c>
      <c r="NOD45" s="5">
        <f>-'5. IRR'!NOE16</f>
        <v>-0.0</v>
      </c>
      <c r="NOE45" s="5">
        <f>-'5. IRR'!NOF16</f>
        <v>-0.0</v>
      </c>
      <c r="NOF45" s="5">
        <f>-'5. IRR'!NOG16</f>
        <v>-0.0</v>
      </c>
      <c r="NOG45" s="5">
        <f>-'5. IRR'!NOH16</f>
        <v>-0.0</v>
      </c>
      <c r="NOH45" s="5">
        <f>-'5. IRR'!NOI16</f>
        <v>-0.0</v>
      </c>
      <c r="NOI45" s="5">
        <f>-'5. IRR'!NOJ16</f>
        <v>-0.0</v>
      </c>
      <c r="NOJ45" s="5">
        <f>-'5. IRR'!NOK16</f>
        <v>-0.0</v>
      </c>
      <c r="NOK45" s="5">
        <f>-'5. IRR'!NOL16</f>
        <v>-0.0</v>
      </c>
      <c r="NOL45" s="5">
        <f>-'5. IRR'!NOM16</f>
        <v>-0.0</v>
      </c>
      <c r="NOM45" s="5">
        <f>-'5. IRR'!NON16</f>
        <v>-0.0</v>
      </c>
      <c r="NON45" s="5">
        <f>-'5. IRR'!NOO16</f>
        <v>-0.0</v>
      </c>
      <c r="NOO45" s="5">
        <f>-'5. IRR'!NOP16</f>
        <v>-0.0</v>
      </c>
      <c r="NOP45" s="5">
        <f>-'5. IRR'!NOQ16</f>
        <v>-0.0</v>
      </c>
      <c r="NOQ45" s="5">
        <f>-'5. IRR'!NOR16</f>
        <v>-0.0</v>
      </c>
      <c r="NOR45" s="5">
        <f>-'5. IRR'!NOS16</f>
        <v>-0.0</v>
      </c>
      <c r="NOS45" s="5">
        <f>-'5. IRR'!NOT16</f>
        <v>-0.0</v>
      </c>
      <c r="NOT45" s="5">
        <f>-'5. IRR'!NOU16</f>
        <v>-0.0</v>
      </c>
      <c r="NOU45" s="5">
        <f>-'5. IRR'!NOV16</f>
        <v>-0.0</v>
      </c>
      <c r="NOV45" s="5">
        <f>-'5. IRR'!NOW16</f>
        <v>-0.0</v>
      </c>
      <c r="NOW45" s="5">
        <f>-'5. IRR'!NOX16</f>
        <v>-0.0</v>
      </c>
      <c r="NOX45" s="5">
        <f>-'5. IRR'!NOY16</f>
        <v>-0.0</v>
      </c>
      <c r="NOY45" s="5">
        <f>-'5. IRR'!NOZ16</f>
        <v>-0.0</v>
      </c>
      <c r="NOZ45" s="5">
        <f>-'5. IRR'!NPA16</f>
        <v>-0.0</v>
      </c>
      <c r="NPA45" s="5">
        <f>-'5. IRR'!NPB16</f>
        <v>-0.0</v>
      </c>
      <c r="NPB45" s="5">
        <f>-'5. IRR'!NPC16</f>
        <v>-0.0</v>
      </c>
      <c r="NPC45" s="5">
        <f>-'5. IRR'!NPD16</f>
        <v>-0.0</v>
      </c>
      <c r="NPD45" s="5">
        <f>-'5. IRR'!NPE16</f>
        <v>-0.0</v>
      </c>
      <c r="NPE45" s="5">
        <f>-'5. IRR'!NPF16</f>
        <v>-0.0</v>
      </c>
      <c r="NPF45" s="5">
        <f>-'5. IRR'!NPG16</f>
        <v>-0.0</v>
      </c>
      <c r="NPG45" s="5">
        <f>-'5. IRR'!NPH16</f>
        <v>-0.0</v>
      </c>
      <c r="NPH45" s="5">
        <f>-'5. IRR'!NPI16</f>
        <v>-0.0</v>
      </c>
      <c r="NPI45" s="5">
        <f>-'5. IRR'!NPJ16</f>
        <v>-0.0</v>
      </c>
      <c r="NPJ45" s="5">
        <f>-'5. IRR'!NPK16</f>
        <v>-0.0</v>
      </c>
      <c r="NPK45" s="5">
        <f>-'5. IRR'!NPL16</f>
        <v>-0.0</v>
      </c>
      <c r="NPL45" s="5">
        <f>-'5. IRR'!NPM16</f>
        <v>-0.0</v>
      </c>
      <c r="NPM45" s="5">
        <f>-'5. IRR'!NPN16</f>
        <v>-0.0</v>
      </c>
      <c r="NPN45" s="5">
        <f>-'5. IRR'!NPO16</f>
        <v>-0.0</v>
      </c>
      <c r="NPO45" s="5">
        <f>-'5. IRR'!NPP16</f>
        <v>-0.0</v>
      </c>
      <c r="NPP45" s="5">
        <f>-'5. IRR'!NPQ16</f>
        <v>-0.0</v>
      </c>
      <c r="NPQ45" s="5">
        <f>-'5. IRR'!NPR16</f>
        <v>-0.0</v>
      </c>
      <c r="NPR45" s="5">
        <f>-'5. IRR'!NPS16</f>
        <v>-0.0</v>
      </c>
      <c r="NPS45" s="5">
        <f>-'5. IRR'!NPT16</f>
        <v>-0.0</v>
      </c>
      <c r="NPT45" s="5">
        <f>-'5. IRR'!NPU16</f>
        <v>-0.0</v>
      </c>
      <c r="NPU45" s="5">
        <f>-'5. IRR'!NPV16</f>
        <v>-0.0</v>
      </c>
      <c r="NPV45" s="5">
        <f>-'5. IRR'!NPW16</f>
        <v>-0.0</v>
      </c>
      <c r="NPW45" s="5">
        <f>-'5. IRR'!NPX16</f>
        <v>-0.0</v>
      </c>
      <c r="NPX45" s="5">
        <f>-'5. IRR'!NPY16</f>
        <v>-0.0</v>
      </c>
      <c r="NPY45" s="5">
        <f>-'5. IRR'!NPZ16</f>
        <v>-0.0</v>
      </c>
      <c r="NPZ45" s="5">
        <f>-'5. IRR'!NQA16</f>
        <v>-0.0</v>
      </c>
      <c r="NQA45" s="5">
        <f>-'5. IRR'!NQB16</f>
        <v>-0.0</v>
      </c>
      <c r="NQB45" s="5">
        <f>-'5. IRR'!NQC16</f>
        <v>-0.0</v>
      </c>
      <c r="NQC45" s="5">
        <f>-'5. IRR'!NQD16</f>
        <v>-0.0</v>
      </c>
      <c r="NQD45" s="5">
        <f>-'5. IRR'!NQE16</f>
        <v>-0.0</v>
      </c>
      <c r="NQE45" s="5">
        <f>-'5. IRR'!NQF16</f>
        <v>-0.0</v>
      </c>
      <c r="NQF45" s="5">
        <f>-'5. IRR'!NQG16</f>
        <v>-0.0</v>
      </c>
      <c r="NQG45" s="5">
        <f>-'5. IRR'!NQH16</f>
        <v>-0.0</v>
      </c>
      <c r="NQH45" s="5">
        <f>-'5. IRR'!NQI16</f>
        <v>-0.0</v>
      </c>
      <c r="NQI45" s="5">
        <f>-'5. IRR'!NQJ16</f>
        <v>-0.0</v>
      </c>
      <c r="NQJ45" s="5">
        <f>-'5. IRR'!NQK16</f>
        <v>-0.0</v>
      </c>
      <c r="NQK45" s="5">
        <f>-'5. IRR'!NQL16</f>
        <v>-0.0</v>
      </c>
      <c r="NQL45" s="5">
        <f>-'5. IRR'!NQM16</f>
        <v>-0.0</v>
      </c>
      <c r="NQM45" s="5">
        <f>-'5. IRR'!NQN16</f>
        <v>-0.0</v>
      </c>
      <c r="NQN45" s="5">
        <f>-'5. IRR'!NQO16</f>
        <v>-0.0</v>
      </c>
      <c r="NQO45" s="5">
        <f>-'5. IRR'!NQP16</f>
        <v>-0.0</v>
      </c>
      <c r="NQP45" s="5">
        <f>-'5. IRR'!NQQ16</f>
        <v>-0.0</v>
      </c>
      <c r="NQQ45" s="5">
        <f>-'5. IRR'!NQR16</f>
        <v>-0.0</v>
      </c>
      <c r="NQR45" s="5">
        <f>-'5. IRR'!NQS16</f>
        <v>-0.0</v>
      </c>
      <c r="NQS45" s="5">
        <f>-'5. IRR'!NQT16</f>
        <v>-0.0</v>
      </c>
      <c r="NQT45" s="5">
        <f>-'5. IRR'!NQU16</f>
        <v>-0.0</v>
      </c>
      <c r="NQU45" s="5">
        <f>-'5. IRR'!NQV16</f>
        <v>-0.0</v>
      </c>
      <c r="NQV45" s="5">
        <f>-'5. IRR'!NQW16</f>
        <v>-0.0</v>
      </c>
      <c r="NQW45" s="5">
        <f>-'5. IRR'!NQX16</f>
        <v>-0.0</v>
      </c>
      <c r="NQX45" s="5">
        <f>-'5. IRR'!NQY16</f>
        <v>-0.0</v>
      </c>
      <c r="NQY45" s="5">
        <f>-'5. IRR'!NQZ16</f>
        <v>-0.0</v>
      </c>
      <c r="NQZ45" s="5">
        <f>-'5. IRR'!NRA16</f>
        <v>-0.0</v>
      </c>
      <c r="NRA45" s="5">
        <f>-'5. IRR'!NRB16</f>
        <v>-0.0</v>
      </c>
      <c r="NRB45" s="5">
        <f>-'5. IRR'!NRC16</f>
        <v>-0.0</v>
      </c>
      <c r="NRC45" s="5">
        <f>-'5. IRR'!NRD16</f>
        <v>-0.0</v>
      </c>
      <c r="NRD45" s="5">
        <f>-'5. IRR'!NRE16</f>
        <v>-0.0</v>
      </c>
      <c r="NRE45" s="5">
        <f>-'5. IRR'!NRF16</f>
        <v>-0.0</v>
      </c>
      <c r="NRF45" s="5">
        <f>-'5. IRR'!NRG16</f>
        <v>-0.0</v>
      </c>
      <c r="NRG45" s="5">
        <f>-'5. IRR'!NRH16</f>
        <v>-0.0</v>
      </c>
      <c r="NRH45" s="5">
        <f>-'5. IRR'!NRI16</f>
        <v>-0.0</v>
      </c>
      <c r="NRI45" s="5">
        <f>-'5. IRR'!NRJ16</f>
        <v>-0.0</v>
      </c>
      <c r="NRJ45" s="5">
        <f>-'5. IRR'!NRK16</f>
        <v>-0.0</v>
      </c>
      <c r="NRK45" s="5">
        <f>-'5. IRR'!NRL16</f>
        <v>-0.0</v>
      </c>
      <c r="NRL45" s="5">
        <f>-'5. IRR'!NRM16</f>
        <v>-0.0</v>
      </c>
      <c r="NRM45" s="5">
        <f>-'5. IRR'!NRN16</f>
        <v>-0.0</v>
      </c>
      <c r="NRN45" s="5">
        <f>-'5. IRR'!NRO16</f>
        <v>-0.0</v>
      </c>
      <c r="NRO45" s="5">
        <f>-'5. IRR'!NRP16</f>
        <v>-0.0</v>
      </c>
      <c r="NRP45" s="5">
        <f>-'5. IRR'!NRQ16</f>
        <v>-0.0</v>
      </c>
      <c r="NRQ45" s="5">
        <f>-'5. IRR'!NRR16</f>
        <v>-0.0</v>
      </c>
      <c r="NRR45" s="5">
        <f>-'5. IRR'!NRS16</f>
        <v>-0.0</v>
      </c>
      <c r="NRS45" s="5">
        <f>-'5. IRR'!NRT16</f>
        <v>-0.0</v>
      </c>
      <c r="NRT45" s="5">
        <f>-'5. IRR'!NRU16</f>
        <v>-0.0</v>
      </c>
      <c r="NRU45" s="5">
        <f>-'5. IRR'!NRV16</f>
        <v>-0.0</v>
      </c>
      <c r="NRV45" s="5">
        <f>-'5. IRR'!NRW16</f>
        <v>-0.0</v>
      </c>
      <c r="NRW45" s="5">
        <f>-'5. IRR'!NRX16</f>
        <v>-0.0</v>
      </c>
      <c r="NRX45" s="5">
        <f>-'5. IRR'!NRY16</f>
        <v>-0.0</v>
      </c>
      <c r="NRY45" s="5">
        <f>-'5. IRR'!NRZ16</f>
        <v>-0.0</v>
      </c>
      <c r="NRZ45" s="5">
        <f>-'5. IRR'!NSA16</f>
        <v>-0.0</v>
      </c>
      <c r="NSA45" s="5">
        <f>-'5. IRR'!NSB16</f>
        <v>-0.0</v>
      </c>
      <c r="NSB45" s="5">
        <f>-'5. IRR'!NSC16</f>
        <v>-0.0</v>
      </c>
      <c r="NSC45" s="5">
        <f>-'5. IRR'!NSD16</f>
        <v>-0.0</v>
      </c>
      <c r="NSD45" s="5">
        <f>-'5. IRR'!NSE16</f>
        <v>-0.0</v>
      </c>
      <c r="NSE45" s="5">
        <f>-'5. IRR'!NSF16</f>
        <v>-0.0</v>
      </c>
      <c r="NSF45" s="5">
        <f>-'5. IRR'!NSG16</f>
        <v>-0.0</v>
      </c>
      <c r="NSG45" s="5">
        <f>-'5. IRR'!NSH16</f>
        <v>-0.0</v>
      </c>
      <c r="NSH45" s="5">
        <f>-'5. IRR'!NSI16</f>
        <v>-0.0</v>
      </c>
      <c r="NSI45" s="5">
        <f>-'5. IRR'!NSJ16</f>
        <v>-0.0</v>
      </c>
      <c r="NSJ45" s="5">
        <f>-'5. IRR'!NSK16</f>
        <v>-0.0</v>
      </c>
      <c r="NSK45" s="5">
        <f>-'5. IRR'!NSL16</f>
        <v>-0.0</v>
      </c>
      <c r="NSL45" s="5">
        <f>-'5. IRR'!NSM16</f>
        <v>-0.0</v>
      </c>
      <c r="NSM45" s="5">
        <f>-'5. IRR'!NSN16</f>
        <v>-0.0</v>
      </c>
      <c r="NSN45" s="5">
        <f>-'5. IRR'!NSO16</f>
        <v>-0.0</v>
      </c>
      <c r="NSO45" s="5">
        <f>-'5. IRR'!NSP16</f>
        <v>-0.0</v>
      </c>
      <c r="NSP45" s="5">
        <f>-'5. IRR'!NSQ16</f>
        <v>-0.0</v>
      </c>
      <c r="NSQ45" s="5">
        <f>-'5. IRR'!NSR16</f>
        <v>-0.0</v>
      </c>
      <c r="NSR45" s="5">
        <f>-'5. IRR'!NSS16</f>
        <v>-0.0</v>
      </c>
      <c r="NSS45" s="5">
        <f>-'5. IRR'!NST16</f>
        <v>-0.0</v>
      </c>
      <c r="NST45" s="5">
        <f>-'5. IRR'!NSU16</f>
        <v>-0.0</v>
      </c>
      <c r="NSU45" s="5">
        <f>-'5. IRR'!NSV16</f>
        <v>-0.0</v>
      </c>
      <c r="NSV45" s="5">
        <f>-'5. IRR'!NSW16</f>
        <v>-0.0</v>
      </c>
      <c r="NSW45" s="5">
        <f>-'5. IRR'!NSX16</f>
        <v>-0.0</v>
      </c>
      <c r="NSX45" s="5">
        <f>-'5. IRR'!NSY16</f>
        <v>-0.0</v>
      </c>
      <c r="NSY45" s="5">
        <f>-'5. IRR'!NSZ16</f>
        <v>-0.0</v>
      </c>
      <c r="NSZ45" s="5">
        <f>-'5. IRR'!NTA16</f>
        <v>-0.0</v>
      </c>
      <c r="NTA45" s="5">
        <f>-'5. IRR'!NTB16</f>
        <v>-0.0</v>
      </c>
      <c r="NTB45" s="5">
        <f>-'5. IRR'!NTC16</f>
        <v>-0.0</v>
      </c>
      <c r="NTC45" s="5">
        <f>-'5. IRR'!NTD16</f>
        <v>-0.0</v>
      </c>
      <c r="NTD45" s="5">
        <f>-'5. IRR'!NTE16</f>
        <v>-0.0</v>
      </c>
      <c r="NTE45" s="5">
        <f>-'5. IRR'!NTF16</f>
        <v>-0.0</v>
      </c>
      <c r="NTF45" s="5">
        <f>-'5. IRR'!NTG16</f>
        <v>-0.0</v>
      </c>
      <c r="NTG45" s="5">
        <f>-'5. IRR'!NTH16</f>
        <v>-0.0</v>
      </c>
      <c r="NTH45" s="5">
        <f>-'5. IRR'!NTI16</f>
        <v>-0.0</v>
      </c>
      <c r="NTI45" s="5">
        <f>-'5. IRR'!NTJ16</f>
        <v>-0.0</v>
      </c>
      <c r="NTJ45" s="5">
        <f>-'5. IRR'!NTK16</f>
        <v>-0.0</v>
      </c>
      <c r="NTK45" s="5">
        <f>-'5. IRR'!NTL16</f>
        <v>-0.0</v>
      </c>
      <c r="NTL45" s="5">
        <f>-'5. IRR'!NTM16</f>
        <v>-0.0</v>
      </c>
      <c r="NTM45" s="5">
        <f>-'5. IRR'!NTN16</f>
        <v>-0.0</v>
      </c>
      <c r="NTN45" s="5">
        <f>-'5. IRR'!NTO16</f>
        <v>-0.0</v>
      </c>
      <c r="NTO45" s="5">
        <f>-'5. IRR'!NTP16</f>
        <v>-0.0</v>
      </c>
      <c r="NTP45" s="5">
        <f>-'5. IRR'!NTQ16</f>
        <v>-0.0</v>
      </c>
      <c r="NTQ45" s="5">
        <f>-'5. IRR'!NTR16</f>
        <v>-0.0</v>
      </c>
      <c r="NTR45" s="5">
        <f>-'5. IRR'!NTS16</f>
        <v>-0.0</v>
      </c>
      <c r="NTS45" s="5">
        <f>-'5. IRR'!NTT16</f>
        <v>-0.0</v>
      </c>
      <c r="NTT45" s="5">
        <f>-'5. IRR'!NTU16</f>
        <v>-0.0</v>
      </c>
      <c r="NTU45" s="5">
        <f>-'5. IRR'!NTV16</f>
        <v>-0.0</v>
      </c>
      <c r="NTV45" s="5">
        <f>-'5. IRR'!NTW16</f>
        <v>-0.0</v>
      </c>
      <c r="NTW45" s="5">
        <f>-'5. IRR'!NTX16</f>
        <v>-0.0</v>
      </c>
      <c r="NTX45" s="5">
        <f>-'5. IRR'!NTY16</f>
        <v>-0.0</v>
      </c>
      <c r="NTY45" s="5">
        <f>-'5. IRR'!NTZ16</f>
        <v>-0.0</v>
      </c>
      <c r="NTZ45" s="5">
        <f>-'5. IRR'!NUA16</f>
        <v>-0.0</v>
      </c>
      <c r="NUA45" s="5">
        <f>-'5. IRR'!NUB16</f>
        <v>-0.0</v>
      </c>
      <c r="NUB45" s="5">
        <f>-'5. IRR'!NUC16</f>
        <v>-0.0</v>
      </c>
      <c r="NUC45" s="5">
        <f>-'5. IRR'!NUD16</f>
        <v>-0.0</v>
      </c>
      <c r="NUD45" s="5">
        <f>-'5. IRR'!NUE16</f>
        <v>-0.0</v>
      </c>
      <c r="NUE45" s="5">
        <f>-'5. IRR'!NUF16</f>
        <v>-0.0</v>
      </c>
      <c r="NUF45" s="5">
        <f>-'5. IRR'!NUG16</f>
        <v>-0.0</v>
      </c>
      <c r="NUG45" s="5">
        <f>-'5. IRR'!NUH16</f>
        <v>-0.0</v>
      </c>
      <c r="NUH45" s="5">
        <f>-'5. IRR'!NUI16</f>
        <v>-0.0</v>
      </c>
      <c r="NUI45" s="5">
        <f>-'5. IRR'!NUJ16</f>
        <v>-0.0</v>
      </c>
      <c r="NUJ45" s="5">
        <f>-'5. IRR'!NUK16</f>
        <v>-0.0</v>
      </c>
      <c r="NUK45" s="5">
        <f>-'5. IRR'!NUL16</f>
        <v>-0.0</v>
      </c>
      <c r="NUL45" s="5">
        <f>-'5. IRR'!NUM16</f>
        <v>-0.0</v>
      </c>
      <c r="NUM45" s="5">
        <f>-'5. IRR'!NUN16</f>
        <v>-0.0</v>
      </c>
      <c r="NUN45" s="5">
        <f>-'5. IRR'!NUO16</f>
        <v>-0.0</v>
      </c>
      <c r="NUO45" s="5">
        <f>-'5. IRR'!NUP16</f>
        <v>-0.0</v>
      </c>
      <c r="NUP45" s="5">
        <f>-'5. IRR'!NUQ16</f>
        <v>-0.0</v>
      </c>
      <c r="NUQ45" s="5">
        <f>-'5. IRR'!NUR16</f>
        <v>-0.0</v>
      </c>
      <c r="NUR45" s="5">
        <f>-'5. IRR'!NUS16</f>
        <v>-0.0</v>
      </c>
      <c r="NUS45" s="5">
        <f>-'5. IRR'!NUT16</f>
        <v>-0.0</v>
      </c>
      <c r="NUT45" s="5">
        <f>-'5. IRR'!NUU16</f>
        <v>-0.0</v>
      </c>
      <c r="NUU45" s="5">
        <f>-'5. IRR'!NUV16</f>
        <v>-0.0</v>
      </c>
      <c r="NUV45" s="5">
        <f>-'5. IRR'!NUW16</f>
        <v>-0.0</v>
      </c>
      <c r="NUW45" s="5">
        <f>-'5. IRR'!NUX16</f>
        <v>-0.0</v>
      </c>
      <c r="NUX45" s="5">
        <f>-'5. IRR'!NUY16</f>
        <v>-0.0</v>
      </c>
      <c r="NUY45" s="5">
        <f>-'5. IRR'!NUZ16</f>
        <v>-0.0</v>
      </c>
      <c r="NUZ45" s="5">
        <f>-'5. IRR'!NVA16</f>
        <v>-0.0</v>
      </c>
      <c r="NVA45" s="5">
        <f>-'5. IRR'!NVB16</f>
        <v>-0.0</v>
      </c>
      <c r="NVB45" s="5">
        <f>-'5. IRR'!NVC16</f>
        <v>-0.0</v>
      </c>
      <c r="NVC45" s="5">
        <f>-'5. IRR'!NVD16</f>
        <v>-0.0</v>
      </c>
      <c r="NVD45" s="5">
        <f>-'5. IRR'!NVE16</f>
        <v>-0.0</v>
      </c>
      <c r="NVE45" s="5">
        <f>-'5. IRR'!NVF16</f>
        <v>-0.0</v>
      </c>
      <c r="NVF45" s="5">
        <f>-'5. IRR'!NVG16</f>
        <v>-0.0</v>
      </c>
      <c r="NVG45" s="5">
        <f>-'5. IRR'!NVH16</f>
        <v>-0.0</v>
      </c>
      <c r="NVH45" s="5">
        <f>-'5. IRR'!NVI16</f>
        <v>-0.0</v>
      </c>
      <c r="NVI45" s="5">
        <f>-'5. IRR'!NVJ16</f>
        <v>-0.0</v>
      </c>
      <c r="NVJ45" s="5">
        <f>-'5. IRR'!NVK16</f>
        <v>-0.0</v>
      </c>
      <c r="NVK45" s="5">
        <f>-'5. IRR'!NVL16</f>
        <v>-0.0</v>
      </c>
      <c r="NVL45" s="5">
        <f>-'5. IRR'!NVM16</f>
        <v>-0.0</v>
      </c>
      <c r="NVM45" s="5">
        <f>-'5. IRR'!NVN16</f>
        <v>-0.0</v>
      </c>
      <c r="NVN45" s="5">
        <f>-'5. IRR'!NVO16</f>
        <v>-0.0</v>
      </c>
      <c r="NVO45" s="5">
        <f>-'5. IRR'!NVP16</f>
        <v>-0.0</v>
      </c>
      <c r="NVP45" s="5">
        <f>-'5. IRR'!NVQ16</f>
        <v>-0.0</v>
      </c>
      <c r="NVQ45" s="5">
        <f>-'5. IRR'!NVR16</f>
        <v>-0.0</v>
      </c>
      <c r="NVR45" s="5">
        <f>-'5. IRR'!NVS16</f>
        <v>-0.0</v>
      </c>
      <c r="NVS45" s="5">
        <f>-'5. IRR'!NVT16</f>
        <v>-0.0</v>
      </c>
      <c r="NVT45" s="5">
        <f>-'5. IRR'!NVU16</f>
        <v>-0.0</v>
      </c>
      <c r="NVU45" s="5">
        <f>-'5. IRR'!NVV16</f>
        <v>-0.0</v>
      </c>
      <c r="NVV45" s="5">
        <f>-'5. IRR'!NVW16</f>
        <v>-0.0</v>
      </c>
      <c r="NVW45" s="5">
        <f>-'5. IRR'!NVX16</f>
        <v>-0.0</v>
      </c>
      <c r="NVX45" s="5">
        <f>-'5. IRR'!NVY16</f>
        <v>-0.0</v>
      </c>
      <c r="NVY45" s="5">
        <f>-'5. IRR'!NVZ16</f>
        <v>-0.0</v>
      </c>
      <c r="NVZ45" s="5">
        <f>-'5. IRR'!NWA16</f>
        <v>-0.0</v>
      </c>
      <c r="NWA45" s="5">
        <f>-'5. IRR'!NWB16</f>
        <v>-0.0</v>
      </c>
      <c r="NWB45" s="5">
        <f>-'5. IRR'!NWC16</f>
        <v>-0.0</v>
      </c>
      <c r="NWC45" s="5">
        <f>-'5. IRR'!NWD16</f>
        <v>-0.0</v>
      </c>
      <c r="NWD45" s="5">
        <f>-'5. IRR'!NWE16</f>
        <v>-0.0</v>
      </c>
      <c r="NWE45" s="5">
        <f>-'5. IRR'!NWF16</f>
        <v>-0.0</v>
      </c>
      <c r="NWF45" s="5">
        <f>-'5. IRR'!NWG16</f>
        <v>-0.0</v>
      </c>
      <c r="NWG45" s="5">
        <f>-'5. IRR'!NWH16</f>
        <v>-0.0</v>
      </c>
      <c r="NWH45" s="5">
        <f>-'5. IRR'!NWI16</f>
        <v>-0.0</v>
      </c>
      <c r="NWI45" s="5">
        <f>-'5. IRR'!NWJ16</f>
        <v>-0.0</v>
      </c>
      <c r="NWJ45" s="5">
        <f>-'5. IRR'!NWK16</f>
        <v>-0.0</v>
      </c>
      <c r="NWK45" s="5">
        <f>-'5. IRR'!NWL16</f>
        <v>-0.0</v>
      </c>
      <c r="NWL45" s="5">
        <f>-'5. IRR'!NWM16</f>
        <v>-0.0</v>
      </c>
      <c r="NWM45" s="5">
        <f>-'5. IRR'!NWN16</f>
        <v>-0.0</v>
      </c>
      <c r="NWN45" s="5">
        <f>-'5. IRR'!NWO16</f>
        <v>-0.0</v>
      </c>
      <c r="NWO45" s="5">
        <f>-'5. IRR'!NWP16</f>
        <v>-0.0</v>
      </c>
      <c r="NWP45" s="5">
        <f>-'5. IRR'!NWQ16</f>
        <v>-0.0</v>
      </c>
      <c r="NWQ45" s="5">
        <f>-'5. IRR'!NWR16</f>
        <v>-0.0</v>
      </c>
      <c r="NWR45" s="5">
        <f>-'5. IRR'!NWS16</f>
        <v>-0.0</v>
      </c>
      <c r="NWS45" s="5">
        <f>-'5. IRR'!NWT16</f>
        <v>-0.0</v>
      </c>
      <c r="NWT45" s="5">
        <f>-'5. IRR'!NWU16</f>
        <v>-0.0</v>
      </c>
      <c r="NWU45" s="5">
        <f>-'5. IRR'!NWV16</f>
        <v>-0.0</v>
      </c>
      <c r="NWV45" s="5">
        <f>-'5. IRR'!NWW16</f>
        <v>-0.0</v>
      </c>
      <c r="NWW45" s="5">
        <f>-'5. IRR'!NWX16</f>
        <v>-0.0</v>
      </c>
      <c r="NWX45" s="5">
        <f>-'5. IRR'!NWY16</f>
        <v>-0.0</v>
      </c>
      <c r="NWY45" s="5">
        <f>-'5. IRR'!NWZ16</f>
        <v>-0.0</v>
      </c>
      <c r="NWZ45" s="5">
        <f>-'5. IRR'!NXA16</f>
        <v>-0.0</v>
      </c>
      <c r="NXA45" s="5">
        <f>-'5. IRR'!NXB16</f>
        <v>-0.0</v>
      </c>
      <c r="NXB45" s="5">
        <f>-'5. IRR'!NXC16</f>
        <v>-0.0</v>
      </c>
      <c r="NXC45" s="5">
        <f>-'5. IRR'!NXD16</f>
        <v>-0.0</v>
      </c>
      <c r="NXD45" s="5">
        <f>-'5. IRR'!NXE16</f>
        <v>-0.0</v>
      </c>
      <c r="NXE45" s="5">
        <f>-'5. IRR'!NXF16</f>
        <v>-0.0</v>
      </c>
      <c r="NXF45" s="5">
        <f>-'5. IRR'!NXG16</f>
        <v>-0.0</v>
      </c>
      <c r="NXG45" s="5">
        <f>-'5. IRR'!NXH16</f>
        <v>-0.0</v>
      </c>
      <c r="NXH45" s="5">
        <f>-'5. IRR'!NXI16</f>
        <v>-0.0</v>
      </c>
      <c r="NXI45" s="5">
        <f>-'5. IRR'!NXJ16</f>
        <v>-0.0</v>
      </c>
      <c r="NXJ45" s="5">
        <f>-'5. IRR'!NXK16</f>
        <v>-0.0</v>
      </c>
      <c r="NXK45" s="5">
        <f>-'5. IRR'!NXL16</f>
        <v>-0.0</v>
      </c>
      <c r="NXL45" s="5">
        <f>-'5. IRR'!NXM16</f>
        <v>-0.0</v>
      </c>
      <c r="NXM45" s="5">
        <f>-'5. IRR'!NXN16</f>
        <v>-0.0</v>
      </c>
      <c r="NXN45" s="5">
        <f>-'5. IRR'!NXO16</f>
        <v>-0.0</v>
      </c>
      <c r="NXO45" s="5">
        <f>-'5. IRR'!NXP16</f>
        <v>-0.0</v>
      </c>
      <c r="NXP45" s="5">
        <f>-'5. IRR'!NXQ16</f>
        <v>-0.0</v>
      </c>
      <c r="NXQ45" s="5">
        <f>-'5. IRR'!NXR16</f>
        <v>-0.0</v>
      </c>
      <c r="NXR45" s="5">
        <f>-'5. IRR'!NXS16</f>
        <v>-0.0</v>
      </c>
      <c r="NXS45" s="5">
        <f>-'5. IRR'!NXT16</f>
        <v>-0.0</v>
      </c>
      <c r="NXT45" s="5">
        <f>-'5. IRR'!NXU16</f>
        <v>-0.0</v>
      </c>
      <c r="NXU45" s="5">
        <f>-'5. IRR'!NXV16</f>
        <v>-0.0</v>
      </c>
      <c r="NXV45" s="5">
        <f>-'5. IRR'!NXW16</f>
        <v>-0.0</v>
      </c>
      <c r="NXW45" s="5">
        <f>-'5. IRR'!NXX16</f>
        <v>-0.0</v>
      </c>
      <c r="NXX45" s="5">
        <f>-'5. IRR'!NXY16</f>
        <v>-0.0</v>
      </c>
      <c r="NXY45" s="5">
        <f>-'5. IRR'!NXZ16</f>
        <v>-0.0</v>
      </c>
      <c r="NXZ45" s="5">
        <f>-'5. IRR'!NYA16</f>
        <v>-0.0</v>
      </c>
      <c r="NYA45" s="5">
        <f>-'5. IRR'!NYB16</f>
        <v>-0.0</v>
      </c>
      <c r="NYB45" s="5">
        <f>-'5. IRR'!NYC16</f>
        <v>-0.0</v>
      </c>
      <c r="NYC45" s="5">
        <f>-'5. IRR'!NYD16</f>
        <v>-0.0</v>
      </c>
      <c r="NYD45" s="5">
        <f>-'5. IRR'!NYE16</f>
        <v>-0.0</v>
      </c>
      <c r="NYE45" s="5">
        <f>-'5. IRR'!NYF16</f>
        <v>-0.0</v>
      </c>
      <c r="NYF45" s="5">
        <f>-'5. IRR'!NYG16</f>
        <v>-0.0</v>
      </c>
      <c r="NYG45" s="5">
        <f>-'5. IRR'!NYH16</f>
        <v>-0.0</v>
      </c>
      <c r="NYH45" s="5">
        <f>-'5. IRR'!NYI16</f>
        <v>-0.0</v>
      </c>
      <c r="NYI45" s="5">
        <f>-'5. IRR'!NYJ16</f>
        <v>-0.0</v>
      </c>
      <c r="NYJ45" s="5">
        <f>-'5. IRR'!NYK16</f>
        <v>-0.0</v>
      </c>
      <c r="NYK45" s="5">
        <f>-'5. IRR'!NYL16</f>
        <v>-0.0</v>
      </c>
      <c r="NYL45" s="5">
        <f>-'5. IRR'!NYM16</f>
        <v>-0.0</v>
      </c>
      <c r="NYM45" s="5">
        <f>-'5. IRR'!NYN16</f>
        <v>-0.0</v>
      </c>
      <c r="NYN45" s="5">
        <f>-'5. IRR'!NYO16</f>
        <v>-0.0</v>
      </c>
      <c r="NYO45" s="5">
        <f>-'5. IRR'!NYP16</f>
        <v>-0.0</v>
      </c>
      <c r="NYP45" s="5">
        <f>-'5. IRR'!NYQ16</f>
        <v>-0.0</v>
      </c>
      <c r="NYQ45" s="5">
        <f>-'5. IRR'!NYR16</f>
        <v>-0.0</v>
      </c>
      <c r="NYR45" s="5">
        <f>-'5. IRR'!NYS16</f>
        <v>-0.0</v>
      </c>
      <c r="NYS45" s="5">
        <f>-'5. IRR'!NYT16</f>
        <v>-0.0</v>
      </c>
      <c r="NYT45" s="5">
        <f>-'5. IRR'!NYU16</f>
        <v>-0.0</v>
      </c>
      <c r="NYU45" s="5">
        <f>-'5. IRR'!NYV16</f>
        <v>-0.0</v>
      </c>
      <c r="NYV45" s="5">
        <f>-'5. IRR'!NYW16</f>
        <v>-0.0</v>
      </c>
      <c r="NYW45" s="5">
        <f>-'5. IRR'!NYX16</f>
        <v>-0.0</v>
      </c>
      <c r="NYX45" s="5">
        <f>-'5. IRR'!NYY16</f>
        <v>-0.0</v>
      </c>
      <c r="NYY45" s="5">
        <f>-'5. IRR'!NYZ16</f>
        <v>-0.0</v>
      </c>
      <c r="NYZ45" s="5">
        <f>-'5. IRR'!NZA16</f>
        <v>-0.0</v>
      </c>
      <c r="NZA45" s="5">
        <f>-'5. IRR'!NZB16</f>
        <v>-0.0</v>
      </c>
      <c r="NZB45" s="5">
        <f>-'5. IRR'!NZC16</f>
        <v>-0.0</v>
      </c>
      <c r="NZC45" s="5">
        <f>-'5. IRR'!NZD16</f>
        <v>-0.0</v>
      </c>
      <c r="NZD45" s="5">
        <f>-'5. IRR'!NZE16</f>
        <v>-0.0</v>
      </c>
      <c r="NZE45" s="5">
        <f>-'5. IRR'!NZF16</f>
        <v>-0.0</v>
      </c>
      <c r="NZF45" s="5">
        <f>-'5. IRR'!NZG16</f>
        <v>-0.0</v>
      </c>
      <c r="NZG45" s="5">
        <f>-'5. IRR'!NZH16</f>
        <v>-0.0</v>
      </c>
      <c r="NZH45" s="5">
        <f>-'5. IRR'!NZI16</f>
        <v>-0.0</v>
      </c>
      <c r="NZI45" s="5">
        <f>-'5. IRR'!NZJ16</f>
        <v>-0.0</v>
      </c>
      <c r="NZJ45" s="5">
        <f>-'5. IRR'!NZK16</f>
        <v>-0.0</v>
      </c>
      <c r="NZK45" s="5">
        <f>-'5. IRR'!NZL16</f>
        <v>-0.0</v>
      </c>
      <c r="NZL45" s="5">
        <f>-'5. IRR'!NZM16</f>
        <v>-0.0</v>
      </c>
      <c r="NZM45" s="5">
        <f>-'5. IRR'!NZN16</f>
        <v>-0.0</v>
      </c>
      <c r="NZN45" s="5">
        <f>-'5. IRR'!NZO16</f>
        <v>-0.0</v>
      </c>
      <c r="NZO45" s="5">
        <f>-'5. IRR'!NZP16</f>
        <v>-0.0</v>
      </c>
      <c r="NZP45" s="5">
        <f>-'5. IRR'!NZQ16</f>
        <v>-0.0</v>
      </c>
      <c r="NZQ45" s="5">
        <f>-'5. IRR'!NZR16</f>
        <v>-0.0</v>
      </c>
      <c r="NZR45" s="5">
        <f>-'5. IRR'!NZS16</f>
        <v>-0.0</v>
      </c>
      <c r="NZS45" s="5">
        <f>-'5. IRR'!NZT16</f>
        <v>-0.0</v>
      </c>
      <c r="NZT45" s="5">
        <f>-'5. IRR'!NZU16</f>
        <v>-0.0</v>
      </c>
      <c r="NZU45" s="5">
        <f>-'5. IRR'!NZV16</f>
        <v>-0.0</v>
      </c>
      <c r="NZV45" s="5">
        <f>-'5. IRR'!NZW16</f>
        <v>-0.0</v>
      </c>
      <c r="NZW45" s="5">
        <f>-'5. IRR'!NZX16</f>
        <v>-0.0</v>
      </c>
      <c r="NZX45" s="5">
        <f>-'5. IRR'!NZY16</f>
        <v>-0.0</v>
      </c>
      <c r="NZY45" s="5">
        <f>-'5. IRR'!NZZ16</f>
        <v>-0.0</v>
      </c>
      <c r="NZZ45" s="5">
        <f>-'5. IRR'!OAA16</f>
        <v>-0.0</v>
      </c>
      <c r="OAA45" s="5">
        <f>-'5. IRR'!OAB16</f>
        <v>-0.0</v>
      </c>
      <c r="OAB45" s="5">
        <f>-'5. IRR'!OAC16</f>
        <v>-0.0</v>
      </c>
      <c r="OAC45" s="5">
        <f>-'5. IRR'!OAD16</f>
        <v>-0.0</v>
      </c>
      <c r="OAD45" s="5">
        <f>-'5. IRR'!OAE16</f>
        <v>-0.0</v>
      </c>
      <c r="OAE45" s="5">
        <f>-'5. IRR'!OAF16</f>
        <v>-0.0</v>
      </c>
      <c r="OAF45" s="5">
        <f>-'5. IRR'!OAG16</f>
        <v>-0.0</v>
      </c>
      <c r="OAG45" s="5">
        <f>-'5. IRR'!OAH16</f>
        <v>-0.0</v>
      </c>
      <c r="OAH45" s="5">
        <f>-'5. IRR'!OAI16</f>
        <v>-0.0</v>
      </c>
      <c r="OAI45" s="5">
        <f>-'5. IRR'!OAJ16</f>
        <v>-0.0</v>
      </c>
      <c r="OAJ45" s="5">
        <f>-'5. IRR'!OAK16</f>
        <v>-0.0</v>
      </c>
      <c r="OAK45" s="5">
        <f>-'5. IRR'!OAL16</f>
        <v>-0.0</v>
      </c>
      <c r="OAL45" s="5">
        <f>-'5. IRR'!OAM16</f>
        <v>-0.0</v>
      </c>
      <c r="OAM45" s="5">
        <f>-'5. IRR'!OAN16</f>
        <v>-0.0</v>
      </c>
      <c r="OAN45" s="5">
        <f>-'5. IRR'!OAO16</f>
        <v>-0.0</v>
      </c>
      <c r="OAO45" s="5">
        <f>-'5. IRR'!OAP16</f>
        <v>-0.0</v>
      </c>
      <c r="OAP45" s="5">
        <f>-'5. IRR'!OAQ16</f>
        <v>-0.0</v>
      </c>
      <c r="OAQ45" s="5">
        <f>-'5. IRR'!OAR16</f>
        <v>-0.0</v>
      </c>
      <c r="OAR45" s="5">
        <f>-'5. IRR'!OAS16</f>
        <v>-0.0</v>
      </c>
      <c r="OAS45" s="5">
        <f>-'5. IRR'!OAT16</f>
        <v>-0.0</v>
      </c>
      <c r="OAT45" s="5">
        <f>-'5. IRR'!OAU16</f>
        <v>-0.0</v>
      </c>
      <c r="OAU45" s="5">
        <f>-'5. IRR'!OAV16</f>
        <v>-0.0</v>
      </c>
      <c r="OAV45" s="5">
        <f>-'5. IRR'!OAW16</f>
        <v>-0.0</v>
      </c>
      <c r="OAW45" s="5">
        <f>-'5. IRR'!OAX16</f>
        <v>-0.0</v>
      </c>
      <c r="OAX45" s="5">
        <f>-'5. IRR'!OAY16</f>
        <v>-0.0</v>
      </c>
      <c r="OAY45" s="5">
        <f>-'5. IRR'!OAZ16</f>
        <v>-0.0</v>
      </c>
      <c r="OAZ45" s="5">
        <f>-'5. IRR'!OBA16</f>
        <v>-0.0</v>
      </c>
      <c r="OBA45" s="5">
        <f>-'5. IRR'!OBB16</f>
        <v>-0.0</v>
      </c>
      <c r="OBB45" s="5">
        <f>-'5. IRR'!OBC16</f>
        <v>-0.0</v>
      </c>
      <c r="OBC45" s="5">
        <f>-'5. IRR'!OBD16</f>
        <v>-0.0</v>
      </c>
      <c r="OBD45" s="5">
        <f>-'5. IRR'!OBE16</f>
        <v>-0.0</v>
      </c>
      <c r="OBE45" s="5">
        <f>-'5. IRR'!OBF16</f>
        <v>-0.0</v>
      </c>
      <c r="OBF45" s="5">
        <f>-'5. IRR'!OBG16</f>
        <v>-0.0</v>
      </c>
      <c r="OBG45" s="5">
        <f>-'5. IRR'!OBH16</f>
        <v>-0.0</v>
      </c>
      <c r="OBH45" s="5">
        <f>-'5. IRR'!OBI16</f>
        <v>-0.0</v>
      </c>
      <c r="OBI45" s="5">
        <f>-'5. IRR'!OBJ16</f>
        <v>-0.0</v>
      </c>
      <c r="OBJ45" s="5">
        <f>-'5. IRR'!OBK16</f>
        <v>-0.0</v>
      </c>
      <c r="OBK45" s="5">
        <f>-'5. IRR'!OBL16</f>
        <v>-0.0</v>
      </c>
      <c r="OBL45" s="5">
        <f>-'5. IRR'!OBM16</f>
        <v>-0.0</v>
      </c>
      <c r="OBM45" s="5">
        <f>-'5. IRR'!OBN16</f>
        <v>-0.0</v>
      </c>
      <c r="OBN45" s="5">
        <f>-'5. IRR'!OBO16</f>
        <v>-0.0</v>
      </c>
      <c r="OBO45" s="5">
        <f>-'5. IRR'!OBP16</f>
        <v>-0.0</v>
      </c>
      <c r="OBP45" s="5">
        <f>-'5. IRR'!OBQ16</f>
        <v>-0.0</v>
      </c>
      <c r="OBQ45" s="5">
        <f>-'5. IRR'!OBR16</f>
        <v>-0.0</v>
      </c>
      <c r="OBR45" s="5">
        <f>-'5. IRR'!OBS16</f>
        <v>-0.0</v>
      </c>
      <c r="OBS45" s="5">
        <f>-'5. IRR'!OBT16</f>
        <v>-0.0</v>
      </c>
      <c r="OBT45" s="5">
        <f>-'5. IRR'!OBU16</f>
        <v>-0.0</v>
      </c>
      <c r="OBU45" s="5">
        <f>-'5. IRR'!OBV16</f>
        <v>-0.0</v>
      </c>
      <c r="OBV45" s="5">
        <f>-'5. IRR'!OBW16</f>
        <v>-0.0</v>
      </c>
      <c r="OBW45" s="5">
        <f>-'5. IRR'!OBX16</f>
        <v>-0.0</v>
      </c>
      <c r="OBX45" s="5">
        <f>-'5. IRR'!OBY16</f>
        <v>-0.0</v>
      </c>
      <c r="OBY45" s="5">
        <f>-'5. IRR'!OBZ16</f>
        <v>-0.0</v>
      </c>
      <c r="OBZ45" s="5">
        <f>-'5. IRR'!OCA16</f>
        <v>-0.0</v>
      </c>
      <c r="OCA45" s="5">
        <f>-'5. IRR'!OCB16</f>
        <v>-0.0</v>
      </c>
      <c r="OCB45" s="5">
        <f>-'5. IRR'!OCC16</f>
        <v>-0.0</v>
      </c>
      <c r="OCC45" s="5">
        <f>-'5. IRR'!OCD16</f>
        <v>-0.0</v>
      </c>
      <c r="OCD45" s="5">
        <f>-'5. IRR'!OCE16</f>
        <v>-0.0</v>
      </c>
      <c r="OCE45" s="5">
        <f>-'5. IRR'!OCF16</f>
        <v>-0.0</v>
      </c>
      <c r="OCF45" s="5">
        <f>-'5. IRR'!OCG16</f>
        <v>-0.0</v>
      </c>
      <c r="OCG45" s="5">
        <f>-'5. IRR'!OCH16</f>
        <v>-0.0</v>
      </c>
      <c r="OCH45" s="5">
        <f>-'5. IRR'!OCI16</f>
        <v>-0.0</v>
      </c>
      <c r="OCI45" s="5">
        <f>-'5. IRR'!OCJ16</f>
        <v>-0.0</v>
      </c>
      <c r="OCJ45" s="5">
        <f>-'5. IRR'!OCK16</f>
        <v>-0.0</v>
      </c>
      <c r="OCK45" s="5">
        <f>-'5. IRR'!OCL16</f>
        <v>-0.0</v>
      </c>
      <c r="OCL45" s="5">
        <f>-'5. IRR'!OCM16</f>
        <v>-0.0</v>
      </c>
      <c r="OCM45" s="5">
        <f>-'5. IRR'!OCN16</f>
        <v>-0.0</v>
      </c>
      <c r="OCN45" s="5">
        <f>-'5. IRR'!OCO16</f>
        <v>-0.0</v>
      </c>
      <c r="OCO45" s="5">
        <f>-'5. IRR'!OCP16</f>
        <v>-0.0</v>
      </c>
      <c r="OCP45" s="5">
        <f>-'5. IRR'!OCQ16</f>
        <v>-0.0</v>
      </c>
      <c r="OCQ45" s="5">
        <f>-'5. IRR'!OCR16</f>
        <v>-0.0</v>
      </c>
      <c r="OCR45" s="5">
        <f>-'5. IRR'!OCS16</f>
        <v>-0.0</v>
      </c>
      <c r="OCS45" s="5">
        <f>-'5. IRR'!OCT16</f>
        <v>-0.0</v>
      </c>
      <c r="OCT45" s="5">
        <f>-'5. IRR'!OCU16</f>
        <v>-0.0</v>
      </c>
      <c r="OCU45" s="5">
        <f>-'5. IRR'!OCV16</f>
        <v>-0.0</v>
      </c>
      <c r="OCV45" s="5">
        <f>-'5. IRR'!OCW16</f>
        <v>-0.0</v>
      </c>
      <c r="OCW45" s="5">
        <f>-'5. IRR'!OCX16</f>
        <v>-0.0</v>
      </c>
      <c r="OCX45" s="5">
        <f>-'5. IRR'!OCY16</f>
        <v>-0.0</v>
      </c>
      <c r="OCY45" s="5">
        <f>-'5. IRR'!OCZ16</f>
        <v>-0.0</v>
      </c>
      <c r="OCZ45" s="5">
        <f>-'5. IRR'!ODA16</f>
        <v>-0.0</v>
      </c>
      <c r="ODA45" s="5">
        <f>-'5. IRR'!ODB16</f>
        <v>-0.0</v>
      </c>
      <c r="ODB45" s="5">
        <f>-'5. IRR'!ODC16</f>
        <v>-0.0</v>
      </c>
      <c r="ODC45" s="5">
        <f>-'5. IRR'!ODD16</f>
        <v>-0.0</v>
      </c>
      <c r="ODD45" s="5">
        <f>-'5. IRR'!ODE16</f>
        <v>-0.0</v>
      </c>
      <c r="ODE45" s="5">
        <f>-'5. IRR'!ODF16</f>
        <v>-0.0</v>
      </c>
      <c r="ODF45" s="5">
        <f>-'5. IRR'!ODG16</f>
        <v>-0.0</v>
      </c>
      <c r="ODG45" s="5">
        <f>-'5. IRR'!ODH16</f>
        <v>-0.0</v>
      </c>
      <c r="ODH45" s="5">
        <f>-'5. IRR'!ODI16</f>
        <v>-0.0</v>
      </c>
      <c r="ODI45" s="5">
        <f>-'5. IRR'!ODJ16</f>
        <v>-0.0</v>
      </c>
      <c r="ODJ45" s="5">
        <f>-'5. IRR'!ODK16</f>
        <v>-0.0</v>
      </c>
      <c r="ODK45" s="5">
        <f>-'5. IRR'!ODL16</f>
        <v>-0.0</v>
      </c>
      <c r="ODL45" s="5">
        <f>-'5. IRR'!ODM16</f>
        <v>-0.0</v>
      </c>
      <c r="ODM45" s="5">
        <f>-'5. IRR'!ODN16</f>
        <v>-0.0</v>
      </c>
      <c r="ODN45" s="5">
        <f>-'5. IRR'!ODO16</f>
        <v>-0.0</v>
      </c>
      <c r="ODO45" s="5">
        <f>-'5. IRR'!ODP16</f>
        <v>-0.0</v>
      </c>
      <c r="ODP45" s="5">
        <f>-'5. IRR'!ODQ16</f>
        <v>-0.0</v>
      </c>
      <c r="ODQ45" s="5">
        <f>-'5. IRR'!ODR16</f>
        <v>-0.0</v>
      </c>
      <c r="ODR45" s="5">
        <f>-'5. IRR'!ODS16</f>
        <v>-0.0</v>
      </c>
      <c r="ODS45" s="5">
        <f>-'5. IRR'!ODT16</f>
        <v>-0.0</v>
      </c>
      <c r="ODT45" s="5">
        <f>-'5. IRR'!ODU16</f>
        <v>-0.0</v>
      </c>
      <c r="ODU45" s="5">
        <f>-'5. IRR'!ODV16</f>
        <v>-0.0</v>
      </c>
      <c r="ODV45" s="5">
        <f>-'5. IRR'!ODW16</f>
        <v>-0.0</v>
      </c>
      <c r="ODW45" s="5">
        <f>-'5. IRR'!ODX16</f>
        <v>-0.0</v>
      </c>
      <c r="ODX45" s="5">
        <f>-'5. IRR'!ODY16</f>
        <v>-0.0</v>
      </c>
      <c r="ODY45" s="5">
        <f>-'5. IRR'!ODZ16</f>
        <v>-0.0</v>
      </c>
      <c r="ODZ45" s="5">
        <f>-'5. IRR'!OEA16</f>
        <v>-0.0</v>
      </c>
      <c r="OEA45" s="5">
        <f>-'5. IRR'!OEB16</f>
        <v>-0.0</v>
      </c>
      <c r="OEB45" s="5">
        <f>-'5. IRR'!OEC16</f>
        <v>-0.0</v>
      </c>
      <c r="OEC45" s="5">
        <f>-'5. IRR'!OED16</f>
        <v>-0.0</v>
      </c>
      <c r="OED45" s="5">
        <f>-'5. IRR'!OEE16</f>
        <v>-0.0</v>
      </c>
      <c r="OEE45" s="5">
        <f>-'5. IRR'!OEF16</f>
        <v>-0.0</v>
      </c>
      <c r="OEF45" s="5">
        <f>-'5. IRR'!OEG16</f>
        <v>-0.0</v>
      </c>
      <c r="OEG45" s="5">
        <f>-'5. IRR'!OEH16</f>
        <v>-0.0</v>
      </c>
      <c r="OEH45" s="5">
        <f>-'5. IRR'!OEI16</f>
        <v>-0.0</v>
      </c>
      <c r="OEI45" s="5">
        <f>-'5. IRR'!OEJ16</f>
        <v>-0.0</v>
      </c>
      <c r="OEJ45" s="5">
        <f>-'5. IRR'!OEK16</f>
        <v>-0.0</v>
      </c>
      <c r="OEK45" s="5">
        <f>-'5. IRR'!OEL16</f>
        <v>-0.0</v>
      </c>
      <c r="OEL45" s="5">
        <f>-'5. IRR'!OEM16</f>
        <v>-0.0</v>
      </c>
      <c r="OEM45" s="5">
        <f>-'5. IRR'!OEN16</f>
        <v>-0.0</v>
      </c>
      <c r="OEN45" s="5">
        <f>-'5. IRR'!OEO16</f>
        <v>-0.0</v>
      </c>
      <c r="OEO45" s="5">
        <f>-'5. IRR'!OEP16</f>
        <v>-0.0</v>
      </c>
      <c r="OEP45" s="5">
        <f>-'5. IRR'!OEQ16</f>
        <v>-0.0</v>
      </c>
      <c r="OEQ45" s="5">
        <f>-'5. IRR'!OER16</f>
        <v>-0.0</v>
      </c>
      <c r="OER45" s="5">
        <f>-'5. IRR'!OES16</f>
        <v>-0.0</v>
      </c>
      <c r="OES45" s="5">
        <f>-'5. IRR'!OET16</f>
        <v>-0.0</v>
      </c>
      <c r="OET45" s="5">
        <f>-'5. IRR'!OEU16</f>
        <v>-0.0</v>
      </c>
      <c r="OEU45" s="5">
        <f>-'5. IRR'!OEV16</f>
        <v>-0.0</v>
      </c>
      <c r="OEV45" s="5">
        <f>-'5. IRR'!OEW16</f>
        <v>-0.0</v>
      </c>
      <c r="OEW45" s="5">
        <f>-'5. IRR'!OEX16</f>
        <v>-0.0</v>
      </c>
      <c r="OEX45" s="5">
        <f>-'5. IRR'!OEY16</f>
        <v>-0.0</v>
      </c>
      <c r="OEY45" s="5">
        <f>-'5. IRR'!OEZ16</f>
        <v>-0.0</v>
      </c>
      <c r="OEZ45" s="5">
        <f>-'5. IRR'!OFA16</f>
        <v>-0.0</v>
      </c>
      <c r="OFA45" s="5">
        <f>-'5. IRR'!OFB16</f>
        <v>-0.0</v>
      </c>
      <c r="OFB45" s="5">
        <f>-'5. IRR'!OFC16</f>
        <v>-0.0</v>
      </c>
      <c r="OFC45" s="5">
        <f>-'5. IRR'!OFD16</f>
        <v>-0.0</v>
      </c>
      <c r="OFD45" s="5">
        <f>-'5. IRR'!OFE16</f>
        <v>-0.0</v>
      </c>
      <c r="OFE45" s="5">
        <f>-'5. IRR'!OFF16</f>
        <v>-0.0</v>
      </c>
      <c r="OFF45" s="5">
        <f>-'5. IRR'!OFG16</f>
        <v>-0.0</v>
      </c>
      <c r="OFG45" s="5">
        <f>-'5. IRR'!OFH16</f>
        <v>-0.0</v>
      </c>
      <c r="OFH45" s="5">
        <f>-'5. IRR'!OFI16</f>
        <v>-0.0</v>
      </c>
      <c r="OFI45" s="5">
        <f>-'5. IRR'!OFJ16</f>
        <v>-0.0</v>
      </c>
      <c r="OFJ45" s="5">
        <f>-'5. IRR'!OFK16</f>
        <v>-0.0</v>
      </c>
      <c r="OFK45" s="5">
        <f>-'5. IRR'!OFL16</f>
        <v>-0.0</v>
      </c>
      <c r="OFL45" s="5">
        <f>-'5. IRR'!OFM16</f>
        <v>-0.0</v>
      </c>
      <c r="OFM45" s="5">
        <f>-'5. IRR'!OFN16</f>
        <v>-0.0</v>
      </c>
      <c r="OFN45" s="5">
        <f>-'5. IRR'!OFO16</f>
        <v>-0.0</v>
      </c>
      <c r="OFO45" s="5">
        <f>-'5. IRR'!OFP16</f>
        <v>-0.0</v>
      </c>
      <c r="OFP45" s="5">
        <f>-'5. IRR'!OFQ16</f>
        <v>-0.0</v>
      </c>
      <c r="OFQ45" s="5">
        <f>-'5. IRR'!OFR16</f>
        <v>-0.0</v>
      </c>
      <c r="OFR45" s="5">
        <f>-'5. IRR'!OFS16</f>
        <v>-0.0</v>
      </c>
      <c r="OFS45" s="5">
        <f>-'5. IRR'!OFT16</f>
        <v>-0.0</v>
      </c>
      <c r="OFT45" s="5">
        <f>-'5. IRR'!OFU16</f>
        <v>-0.0</v>
      </c>
      <c r="OFU45" s="5">
        <f>-'5. IRR'!OFV16</f>
        <v>-0.0</v>
      </c>
      <c r="OFV45" s="5">
        <f>-'5. IRR'!OFW16</f>
        <v>-0.0</v>
      </c>
      <c r="OFW45" s="5">
        <f>-'5. IRR'!OFX16</f>
        <v>-0.0</v>
      </c>
      <c r="OFX45" s="5">
        <f>-'5. IRR'!OFY16</f>
        <v>-0.0</v>
      </c>
      <c r="OFY45" s="5">
        <f>-'5. IRR'!OFZ16</f>
        <v>-0.0</v>
      </c>
      <c r="OFZ45" s="5">
        <f>-'5. IRR'!OGA16</f>
        <v>-0.0</v>
      </c>
      <c r="OGA45" s="5">
        <f>-'5. IRR'!OGB16</f>
        <v>-0.0</v>
      </c>
      <c r="OGB45" s="5">
        <f>-'5. IRR'!OGC16</f>
        <v>-0.0</v>
      </c>
      <c r="OGC45" s="5">
        <f>-'5. IRR'!OGD16</f>
        <v>-0.0</v>
      </c>
      <c r="OGD45" s="5">
        <f>-'5. IRR'!OGE16</f>
        <v>-0.0</v>
      </c>
      <c r="OGE45" s="5">
        <f>-'5. IRR'!OGF16</f>
        <v>-0.0</v>
      </c>
      <c r="OGF45" s="5">
        <f>-'5. IRR'!OGG16</f>
        <v>-0.0</v>
      </c>
      <c r="OGG45" s="5">
        <f>-'5. IRR'!OGH16</f>
        <v>-0.0</v>
      </c>
      <c r="OGH45" s="5">
        <f>-'5. IRR'!OGI16</f>
        <v>-0.0</v>
      </c>
      <c r="OGI45" s="5">
        <f>-'5. IRR'!OGJ16</f>
        <v>-0.0</v>
      </c>
      <c r="OGJ45" s="5">
        <f>-'5. IRR'!OGK16</f>
        <v>-0.0</v>
      </c>
      <c r="OGK45" s="5">
        <f>-'5. IRR'!OGL16</f>
        <v>-0.0</v>
      </c>
      <c r="OGL45" s="5">
        <f>-'5. IRR'!OGM16</f>
        <v>-0.0</v>
      </c>
      <c r="OGM45" s="5">
        <f>-'5. IRR'!OGN16</f>
        <v>-0.0</v>
      </c>
      <c r="OGN45" s="5">
        <f>-'5. IRR'!OGO16</f>
        <v>-0.0</v>
      </c>
      <c r="OGO45" s="5">
        <f>-'5. IRR'!OGP16</f>
        <v>-0.0</v>
      </c>
      <c r="OGP45" s="5">
        <f>-'5. IRR'!OGQ16</f>
        <v>-0.0</v>
      </c>
      <c r="OGQ45" s="5">
        <f>-'5. IRR'!OGR16</f>
        <v>-0.0</v>
      </c>
      <c r="OGR45" s="5">
        <f>-'5. IRR'!OGS16</f>
        <v>-0.0</v>
      </c>
      <c r="OGS45" s="5">
        <f>-'5. IRR'!OGT16</f>
        <v>-0.0</v>
      </c>
      <c r="OGT45" s="5">
        <f>-'5. IRR'!OGU16</f>
        <v>-0.0</v>
      </c>
      <c r="OGU45" s="5">
        <f>-'5. IRR'!OGV16</f>
        <v>-0.0</v>
      </c>
      <c r="OGV45" s="5">
        <f>-'5. IRR'!OGW16</f>
        <v>-0.0</v>
      </c>
      <c r="OGW45" s="5">
        <f>-'5. IRR'!OGX16</f>
        <v>-0.0</v>
      </c>
      <c r="OGX45" s="5">
        <f>-'5. IRR'!OGY16</f>
        <v>-0.0</v>
      </c>
      <c r="OGY45" s="5">
        <f>-'5. IRR'!OGZ16</f>
        <v>-0.0</v>
      </c>
      <c r="OGZ45" s="5">
        <f>-'5. IRR'!OHA16</f>
        <v>-0.0</v>
      </c>
      <c r="OHA45" s="5">
        <f>-'5. IRR'!OHB16</f>
        <v>-0.0</v>
      </c>
      <c r="OHB45" s="5">
        <f>-'5. IRR'!OHC16</f>
        <v>-0.0</v>
      </c>
      <c r="OHC45" s="5">
        <f>-'5. IRR'!OHD16</f>
        <v>-0.0</v>
      </c>
      <c r="OHD45" s="5">
        <f>-'5. IRR'!OHE16</f>
        <v>-0.0</v>
      </c>
      <c r="OHE45" s="5">
        <f>-'5. IRR'!OHF16</f>
        <v>-0.0</v>
      </c>
      <c r="OHF45" s="5">
        <f>-'5. IRR'!OHG16</f>
        <v>-0.0</v>
      </c>
      <c r="OHG45" s="5">
        <f>-'5. IRR'!OHH16</f>
        <v>-0.0</v>
      </c>
      <c r="OHH45" s="5">
        <f>-'5. IRR'!OHI16</f>
        <v>-0.0</v>
      </c>
      <c r="OHI45" s="5">
        <f>-'5. IRR'!OHJ16</f>
        <v>-0.0</v>
      </c>
      <c r="OHJ45" s="5">
        <f>-'5. IRR'!OHK16</f>
        <v>-0.0</v>
      </c>
      <c r="OHK45" s="5">
        <f>-'5. IRR'!OHL16</f>
        <v>-0.0</v>
      </c>
      <c r="OHL45" s="5">
        <f>-'5. IRR'!OHM16</f>
        <v>-0.0</v>
      </c>
      <c r="OHM45" s="5">
        <f>-'5. IRR'!OHN16</f>
        <v>-0.0</v>
      </c>
      <c r="OHN45" s="5">
        <f>-'5. IRR'!OHO16</f>
        <v>-0.0</v>
      </c>
      <c r="OHO45" s="5">
        <f>-'5. IRR'!OHP16</f>
        <v>-0.0</v>
      </c>
      <c r="OHP45" s="5">
        <f>-'5. IRR'!OHQ16</f>
        <v>-0.0</v>
      </c>
      <c r="OHQ45" s="5">
        <f>-'5. IRR'!OHR16</f>
        <v>-0.0</v>
      </c>
      <c r="OHR45" s="5">
        <f>-'5. IRR'!OHS16</f>
        <v>-0.0</v>
      </c>
      <c r="OHS45" s="5">
        <f>-'5. IRR'!OHT16</f>
        <v>-0.0</v>
      </c>
      <c r="OHT45" s="5">
        <f>-'5. IRR'!OHU16</f>
        <v>-0.0</v>
      </c>
      <c r="OHU45" s="5">
        <f>-'5. IRR'!OHV16</f>
        <v>-0.0</v>
      </c>
      <c r="OHV45" s="5">
        <f>-'5. IRR'!OHW16</f>
        <v>-0.0</v>
      </c>
      <c r="OHW45" s="5">
        <f>-'5. IRR'!OHX16</f>
        <v>-0.0</v>
      </c>
      <c r="OHX45" s="5">
        <f>-'5. IRR'!OHY16</f>
        <v>-0.0</v>
      </c>
      <c r="OHY45" s="5">
        <f>-'5. IRR'!OHZ16</f>
        <v>-0.0</v>
      </c>
      <c r="OHZ45" s="5">
        <f>-'5. IRR'!OIA16</f>
        <v>-0.0</v>
      </c>
      <c r="OIA45" s="5">
        <f>-'5. IRR'!OIB16</f>
        <v>-0.0</v>
      </c>
      <c r="OIB45" s="5">
        <f>-'5. IRR'!OIC16</f>
        <v>-0.0</v>
      </c>
      <c r="OIC45" s="5">
        <f>-'5. IRR'!OID16</f>
        <v>-0.0</v>
      </c>
      <c r="OID45" s="5">
        <f>-'5. IRR'!OIE16</f>
        <v>-0.0</v>
      </c>
      <c r="OIE45" s="5">
        <f>-'5. IRR'!OIF16</f>
        <v>-0.0</v>
      </c>
      <c r="OIF45" s="5">
        <f>-'5. IRR'!OIG16</f>
        <v>-0.0</v>
      </c>
      <c r="OIG45" s="5">
        <f>-'5. IRR'!OIH16</f>
        <v>-0.0</v>
      </c>
      <c r="OIH45" s="5">
        <f>-'5. IRR'!OII16</f>
        <v>-0.0</v>
      </c>
      <c r="OII45" s="5">
        <f>-'5. IRR'!OIJ16</f>
        <v>-0.0</v>
      </c>
      <c r="OIJ45" s="5">
        <f>-'5. IRR'!OIK16</f>
        <v>-0.0</v>
      </c>
      <c r="OIK45" s="5">
        <f>-'5. IRR'!OIL16</f>
        <v>-0.0</v>
      </c>
      <c r="OIL45" s="5">
        <f>-'5. IRR'!OIM16</f>
        <v>-0.0</v>
      </c>
      <c r="OIM45" s="5">
        <f>-'5. IRR'!OIN16</f>
        <v>-0.0</v>
      </c>
      <c r="OIN45" s="5">
        <f>-'5. IRR'!OIO16</f>
        <v>-0.0</v>
      </c>
      <c r="OIO45" s="5">
        <f>-'5. IRR'!OIP16</f>
        <v>-0.0</v>
      </c>
      <c r="OIP45" s="5">
        <f>-'5. IRR'!OIQ16</f>
        <v>-0.0</v>
      </c>
      <c r="OIQ45" s="5">
        <f>-'5. IRR'!OIR16</f>
        <v>-0.0</v>
      </c>
      <c r="OIR45" s="5">
        <f>-'5. IRR'!OIS16</f>
        <v>-0.0</v>
      </c>
      <c r="OIS45" s="5">
        <f>-'5. IRR'!OIT16</f>
        <v>-0.0</v>
      </c>
      <c r="OIT45" s="5">
        <f>-'5. IRR'!OIU16</f>
        <v>-0.0</v>
      </c>
      <c r="OIU45" s="5">
        <f>-'5. IRR'!OIV16</f>
        <v>-0.0</v>
      </c>
      <c r="OIV45" s="5">
        <f>-'5. IRR'!OIW16</f>
        <v>-0.0</v>
      </c>
      <c r="OIW45" s="5">
        <f>-'5. IRR'!OIX16</f>
        <v>-0.0</v>
      </c>
      <c r="OIX45" s="5">
        <f>-'5. IRR'!OIY16</f>
        <v>-0.0</v>
      </c>
      <c r="OIY45" s="5">
        <f>-'5. IRR'!OIZ16</f>
        <v>-0.0</v>
      </c>
      <c r="OIZ45" s="5">
        <f>-'5. IRR'!OJA16</f>
        <v>-0.0</v>
      </c>
      <c r="OJA45" s="5">
        <f>-'5. IRR'!OJB16</f>
        <v>-0.0</v>
      </c>
      <c r="OJB45" s="5">
        <f>-'5. IRR'!OJC16</f>
        <v>-0.0</v>
      </c>
      <c r="OJC45" s="5">
        <f>-'5. IRR'!OJD16</f>
        <v>-0.0</v>
      </c>
      <c r="OJD45" s="5">
        <f>-'5. IRR'!OJE16</f>
        <v>-0.0</v>
      </c>
      <c r="OJE45" s="5">
        <f>-'5. IRR'!OJF16</f>
        <v>-0.0</v>
      </c>
      <c r="OJF45" s="5">
        <f>-'5. IRR'!OJG16</f>
        <v>-0.0</v>
      </c>
      <c r="OJG45" s="5">
        <f>-'5. IRR'!OJH16</f>
        <v>-0.0</v>
      </c>
      <c r="OJH45" s="5">
        <f>-'5. IRR'!OJI16</f>
        <v>-0.0</v>
      </c>
      <c r="OJI45" s="5">
        <f>-'5. IRR'!OJJ16</f>
        <v>-0.0</v>
      </c>
      <c r="OJJ45" s="5">
        <f>-'5. IRR'!OJK16</f>
        <v>-0.0</v>
      </c>
      <c r="OJK45" s="5">
        <f>-'5. IRR'!OJL16</f>
        <v>-0.0</v>
      </c>
      <c r="OJL45" s="5">
        <f>-'5. IRR'!OJM16</f>
        <v>-0.0</v>
      </c>
      <c r="OJM45" s="5">
        <f>-'5. IRR'!OJN16</f>
        <v>-0.0</v>
      </c>
      <c r="OJN45" s="5">
        <f>-'5. IRR'!OJO16</f>
        <v>-0.0</v>
      </c>
      <c r="OJO45" s="5">
        <f>-'5. IRR'!OJP16</f>
        <v>-0.0</v>
      </c>
      <c r="OJP45" s="5">
        <f>-'5. IRR'!OJQ16</f>
        <v>-0.0</v>
      </c>
      <c r="OJQ45" s="5">
        <f>-'5. IRR'!OJR16</f>
        <v>-0.0</v>
      </c>
      <c r="OJR45" s="5">
        <f>-'5. IRR'!OJS16</f>
        <v>-0.0</v>
      </c>
      <c r="OJS45" s="5">
        <f>-'5. IRR'!OJT16</f>
        <v>-0.0</v>
      </c>
      <c r="OJT45" s="5">
        <f>-'5. IRR'!OJU16</f>
        <v>-0.0</v>
      </c>
      <c r="OJU45" s="5">
        <f>-'5. IRR'!OJV16</f>
        <v>-0.0</v>
      </c>
      <c r="OJV45" s="5">
        <f>-'5. IRR'!OJW16</f>
        <v>-0.0</v>
      </c>
      <c r="OJW45" s="5">
        <f>-'5. IRR'!OJX16</f>
        <v>-0.0</v>
      </c>
      <c r="OJX45" s="5">
        <f>-'5. IRR'!OJY16</f>
        <v>-0.0</v>
      </c>
      <c r="OJY45" s="5">
        <f>-'5. IRR'!OJZ16</f>
        <v>-0.0</v>
      </c>
      <c r="OJZ45" s="5">
        <f>-'5. IRR'!OKA16</f>
        <v>-0.0</v>
      </c>
      <c r="OKA45" s="5">
        <f>-'5. IRR'!OKB16</f>
        <v>-0.0</v>
      </c>
      <c r="OKB45" s="5">
        <f>-'5. IRR'!OKC16</f>
        <v>-0.0</v>
      </c>
      <c r="OKC45" s="5">
        <f>-'5. IRR'!OKD16</f>
        <v>-0.0</v>
      </c>
      <c r="OKD45" s="5">
        <f>-'5. IRR'!OKE16</f>
        <v>-0.0</v>
      </c>
      <c r="OKE45" s="5">
        <f>-'5. IRR'!OKF16</f>
        <v>-0.0</v>
      </c>
      <c r="OKF45" s="5">
        <f>-'5. IRR'!OKG16</f>
        <v>-0.0</v>
      </c>
      <c r="OKG45" s="5">
        <f>-'5. IRR'!OKH16</f>
        <v>-0.0</v>
      </c>
      <c r="OKH45" s="5">
        <f>-'5. IRR'!OKI16</f>
        <v>-0.0</v>
      </c>
      <c r="OKI45" s="5">
        <f>-'5. IRR'!OKJ16</f>
        <v>-0.0</v>
      </c>
      <c r="OKJ45" s="5">
        <f>-'5. IRR'!OKK16</f>
        <v>-0.0</v>
      </c>
      <c r="OKK45" s="5">
        <f>-'5. IRR'!OKL16</f>
        <v>-0.0</v>
      </c>
      <c r="OKL45" s="5">
        <f>-'5. IRR'!OKM16</f>
        <v>-0.0</v>
      </c>
      <c r="OKM45" s="5">
        <f>-'5. IRR'!OKN16</f>
        <v>-0.0</v>
      </c>
      <c r="OKN45" s="5">
        <f>-'5. IRR'!OKO16</f>
        <v>-0.0</v>
      </c>
      <c r="OKO45" s="5">
        <f>-'5. IRR'!OKP16</f>
        <v>-0.0</v>
      </c>
      <c r="OKP45" s="5">
        <f>-'5. IRR'!OKQ16</f>
        <v>-0.0</v>
      </c>
      <c r="OKQ45" s="5">
        <f>-'5. IRR'!OKR16</f>
        <v>-0.0</v>
      </c>
      <c r="OKR45" s="5">
        <f>-'5. IRR'!OKS16</f>
        <v>-0.0</v>
      </c>
      <c r="OKS45" s="5">
        <f>-'5. IRR'!OKT16</f>
        <v>-0.0</v>
      </c>
      <c r="OKT45" s="5">
        <f>-'5. IRR'!OKU16</f>
        <v>-0.0</v>
      </c>
      <c r="OKU45" s="5">
        <f>-'5. IRR'!OKV16</f>
        <v>-0.0</v>
      </c>
      <c r="OKV45" s="5">
        <f>-'5. IRR'!OKW16</f>
        <v>-0.0</v>
      </c>
      <c r="OKW45" s="5">
        <f>-'5. IRR'!OKX16</f>
        <v>-0.0</v>
      </c>
      <c r="OKX45" s="5">
        <f>-'5. IRR'!OKY16</f>
        <v>-0.0</v>
      </c>
      <c r="OKY45" s="5">
        <f>-'5. IRR'!OKZ16</f>
        <v>-0.0</v>
      </c>
      <c r="OKZ45" s="5">
        <f>-'5. IRR'!OLA16</f>
        <v>-0.0</v>
      </c>
      <c r="OLA45" s="5">
        <f>-'5. IRR'!OLB16</f>
        <v>-0.0</v>
      </c>
      <c r="OLB45" s="5">
        <f>-'5. IRR'!OLC16</f>
        <v>-0.0</v>
      </c>
      <c r="OLC45" s="5">
        <f>-'5. IRR'!OLD16</f>
        <v>-0.0</v>
      </c>
      <c r="OLD45" s="5">
        <f>-'5. IRR'!OLE16</f>
        <v>-0.0</v>
      </c>
      <c r="OLE45" s="5">
        <f>-'5. IRR'!OLF16</f>
        <v>-0.0</v>
      </c>
      <c r="OLF45" s="5">
        <f>-'5. IRR'!OLG16</f>
        <v>-0.0</v>
      </c>
      <c r="OLG45" s="5">
        <f>-'5. IRR'!OLH16</f>
        <v>-0.0</v>
      </c>
      <c r="OLH45" s="5">
        <f>-'5. IRR'!OLI16</f>
        <v>-0.0</v>
      </c>
      <c r="OLI45" s="5">
        <f>-'5. IRR'!OLJ16</f>
        <v>-0.0</v>
      </c>
      <c r="OLJ45" s="5">
        <f>-'5. IRR'!OLK16</f>
        <v>-0.0</v>
      </c>
      <c r="OLK45" s="5">
        <f>-'5. IRR'!OLL16</f>
        <v>-0.0</v>
      </c>
      <c r="OLL45" s="5">
        <f>-'5. IRR'!OLM16</f>
        <v>-0.0</v>
      </c>
      <c r="OLM45" s="5">
        <f>-'5. IRR'!OLN16</f>
        <v>-0.0</v>
      </c>
      <c r="OLN45" s="5">
        <f>-'5. IRR'!OLO16</f>
        <v>-0.0</v>
      </c>
      <c r="OLO45" s="5">
        <f>-'5. IRR'!OLP16</f>
        <v>-0.0</v>
      </c>
      <c r="OLP45" s="5">
        <f>-'5. IRR'!OLQ16</f>
        <v>-0.0</v>
      </c>
      <c r="OLQ45" s="5">
        <f>-'5. IRR'!OLR16</f>
        <v>-0.0</v>
      </c>
      <c r="OLR45" s="5">
        <f>-'5. IRR'!OLS16</f>
        <v>-0.0</v>
      </c>
      <c r="OLS45" s="5">
        <f>-'5. IRR'!OLT16</f>
        <v>-0.0</v>
      </c>
      <c r="OLT45" s="5">
        <f>-'5. IRR'!OLU16</f>
        <v>-0.0</v>
      </c>
      <c r="OLU45" s="5">
        <f>-'5. IRR'!OLV16</f>
        <v>-0.0</v>
      </c>
      <c r="OLV45" s="5">
        <f>-'5. IRR'!OLW16</f>
        <v>-0.0</v>
      </c>
      <c r="OLW45" s="5">
        <f>-'5. IRR'!OLX16</f>
        <v>-0.0</v>
      </c>
      <c r="OLX45" s="5">
        <f>-'5. IRR'!OLY16</f>
        <v>-0.0</v>
      </c>
      <c r="OLY45" s="5">
        <f>-'5. IRR'!OLZ16</f>
        <v>-0.0</v>
      </c>
      <c r="OLZ45" s="5">
        <f>-'5. IRR'!OMA16</f>
        <v>-0.0</v>
      </c>
      <c r="OMA45" s="5">
        <f>-'5. IRR'!OMB16</f>
        <v>-0.0</v>
      </c>
      <c r="OMB45" s="5">
        <f>-'5. IRR'!OMC16</f>
        <v>-0.0</v>
      </c>
      <c r="OMC45" s="5">
        <f>-'5. IRR'!OMD16</f>
        <v>-0.0</v>
      </c>
      <c r="OMD45" s="5">
        <f>-'5. IRR'!OME16</f>
        <v>-0.0</v>
      </c>
      <c r="OME45" s="5">
        <f>-'5. IRR'!OMF16</f>
        <v>-0.0</v>
      </c>
      <c r="OMF45" s="5">
        <f>-'5. IRR'!OMG16</f>
        <v>-0.0</v>
      </c>
      <c r="OMG45" s="5">
        <f>-'5. IRR'!OMH16</f>
        <v>-0.0</v>
      </c>
      <c r="OMH45" s="5">
        <f>-'5. IRR'!OMI16</f>
        <v>-0.0</v>
      </c>
      <c r="OMI45" s="5">
        <f>-'5. IRR'!OMJ16</f>
        <v>-0.0</v>
      </c>
      <c r="OMJ45" s="5">
        <f>-'5. IRR'!OMK16</f>
        <v>-0.0</v>
      </c>
      <c r="OMK45" s="5">
        <f>-'5. IRR'!OML16</f>
        <v>-0.0</v>
      </c>
      <c r="OML45" s="5">
        <f>-'5. IRR'!OMM16</f>
        <v>-0.0</v>
      </c>
      <c r="OMM45" s="5">
        <f>-'5. IRR'!OMN16</f>
        <v>-0.0</v>
      </c>
      <c r="OMN45" s="5">
        <f>-'5. IRR'!OMO16</f>
        <v>-0.0</v>
      </c>
      <c r="OMO45" s="5">
        <f>-'5. IRR'!OMP16</f>
        <v>-0.0</v>
      </c>
      <c r="OMP45" s="5">
        <f>-'5. IRR'!OMQ16</f>
        <v>-0.0</v>
      </c>
      <c r="OMQ45" s="5">
        <f>-'5. IRR'!OMR16</f>
        <v>-0.0</v>
      </c>
      <c r="OMR45" s="5">
        <f>-'5. IRR'!OMS16</f>
        <v>-0.0</v>
      </c>
      <c r="OMS45" s="5">
        <f>-'5. IRR'!OMT16</f>
        <v>-0.0</v>
      </c>
      <c r="OMT45" s="5">
        <f>-'5. IRR'!OMU16</f>
        <v>-0.0</v>
      </c>
      <c r="OMU45" s="5">
        <f>-'5. IRR'!OMV16</f>
        <v>-0.0</v>
      </c>
      <c r="OMV45" s="5">
        <f>-'5. IRR'!OMW16</f>
        <v>-0.0</v>
      </c>
      <c r="OMW45" s="5">
        <f>-'5. IRR'!OMX16</f>
        <v>-0.0</v>
      </c>
      <c r="OMX45" s="5">
        <f>-'5. IRR'!OMY16</f>
        <v>-0.0</v>
      </c>
      <c r="OMY45" s="5">
        <f>-'5. IRR'!OMZ16</f>
        <v>-0.0</v>
      </c>
      <c r="OMZ45" s="5">
        <f>-'5. IRR'!ONA16</f>
        <v>-0.0</v>
      </c>
      <c r="ONA45" s="5">
        <f>-'5. IRR'!ONB16</f>
        <v>-0.0</v>
      </c>
      <c r="ONB45" s="5">
        <f>-'5. IRR'!ONC16</f>
        <v>-0.0</v>
      </c>
      <c r="ONC45" s="5">
        <f>-'5. IRR'!OND16</f>
        <v>-0.0</v>
      </c>
      <c r="OND45" s="5">
        <f>-'5. IRR'!ONE16</f>
        <v>-0.0</v>
      </c>
      <c r="ONE45" s="5">
        <f>-'5. IRR'!ONF16</f>
        <v>-0.0</v>
      </c>
      <c r="ONF45" s="5">
        <f>-'5. IRR'!ONG16</f>
        <v>-0.0</v>
      </c>
      <c r="ONG45" s="5">
        <f>-'5. IRR'!ONH16</f>
        <v>-0.0</v>
      </c>
      <c r="ONH45" s="5">
        <f>-'5. IRR'!ONI16</f>
        <v>-0.0</v>
      </c>
      <c r="ONI45" s="5">
        <f>-'5. IRR'!ONJ16</f>
        <v>-0.0</v>
      </c>
      <c r="ONJ45" s="5">
        <f>-'5. IRR'!ONK16</f>
        <v>-0.0</v>
      </c>
      <c r="ONK45" s="5">
        <f>-'5. IRR'!ONL16</f>
        <v>-0.0</v>
      </c>
      <c r="ONL45" s="5">
        <f>-'5. IRR'!ONM16</f>
        <v>-0.0</v>
      </c>
      <c r="ONM45" s="5">
        <f>-'5. IRR'!ONN16</f>
        <v>-0.0</v>
      </c>
      <c r="ONN45" s="5">
        <f>-'5. IRR'!ONO16</f>
        <v>-0.0</v>
      </c>
      <c r="ONO45" s="5">
        <f>-'5. IRR'!ONP16</f>
        <v>-0.0</v>
      </c>
      <c r="ONP45" s="5">
        <f>-'5. IRR'!ONQ16</f>
        <v>-0.0</v>
      </c>
      <c r="ONQ45" s="5">
        <f>-'5. IRR'!ONR16</f>
        <v>-0.0</v>
      </c>
      <c r="ONR45" s="5">
        <f>-'5. IRR'!ONS16</f>
        <v>-0.0</v>
      </c>
      <c r="ONS45" s="5">
        <f>-'5. IRR'!ONT16</f>
        <v>-0.0</v>
      </c>
      <c r="ONT45" s="5">
        <f>-'5. IRR'!ONU16</f>
        <v>-0.0</v>
      </c>
      <c r="ONU45" s="5">
        <f>-'5. IRR'!ONV16</f>
        <v>-0.0</v>
      </c>
      <c r="ONV45" s="5">
        <f>-'5. IRR'!ONW16</f>
        <v>-0.0</v>
      </c>
      <c r="ONW45" s="5">
        <f>-'5. IRR'!ONX16</f>
        <v>-0.0</v>
      </c>
      <c r="ONX45" s="5">
        <f>-'5. IRR'!ONY16</f>
        <v>-0.0</v>
      </c>
      <c r="ONY45" s="5">
        <f>-'5. IRR'!ONZ16</f>
        <v>-0.0</v>
      </c>
      <c r="ONZ45" s="5">
        <f>-'5. IRR'!OOA16</f>
        <v>-0.0</v>
      </c>
      <c r="OOA45" s="5">
        <f>-'5. IRR'!OOB16</f>
        <v>-0.0</v>
      </c>
      <c r="OOB45" s="5">
        <f>-'5. IRR'!OOC16</f>
        <v>-0.0</v>
      </c>
      <c r="OOC45" s="5">
        <f>-'5. IRR'!OOD16</f>
        <v>-0.0</v>
      </c>
      <c r="OOD45" s="5">
        <f>-'5. IRR'!OOE16</f>
        <v>-0.0</v>
      </c>
      <c r="OOE45" s="5">
        <f>-'5. IRR'!OOF16</f>
        <v>-0.0</v>
      </c>
      <c r="OOF45" s="5">
        <f>-'5. IRR'!OOG16</f>
        <v>-0.0</v>
      </c>
      <c r="OOG45" s="5">
        <f>-'5. IRR'!OOH16</f>
        <v>-0.0</v>
      </c>
      <c r="OOH45" s="5">
        <f>-'5. IRR'!OOI16</f>
        <v>-0.0</v>
      </c>
      <c r="OOI45" s="5">
        <f>-'5. IRR'!OOJ16</f>
        <v>-0.0</v>
      </c>
      <c r="OOJ45" s="5">
        <f>-'5. IRR'!OOK16</f>
        <v>-0.0</v>
      </c>
      <c r="OOK45" s="5">
        <f>-'5. IRR'!OOL16</f>
        <v>-0.0</v>
      </c>
      <c r="OOL45" s="5">
        <f>-'5. IRR'!OOM16</f>
        <v>-0.0</v>
      </c>
      <c r="OOM45" s="5">
        <f>-'5. IRR'!OON16</f>
        <v>-0.0</v>
      </c>
      <c r="OON45" s="5">
        <f>-'5. IRR'!OOO16</f>
        <v>-0.0</v>
      </c>
      <c r="OOO45" s="5">
        <f>-'5. IRR'!OOP16</f>
        <v>-0.0</v>
      </c>
      <c r="OOP45" s="5">
        <f>-'5. IRR'!OOQ16</f>
        <v>-0.0</v>
      </c>
      <c r="OOQ45" s="5">
        <f>-'5. IRR'!OOR16</f>
        <v>-0.0</v>
      </c>
      <c r="OOR45" s="5">
        <f>-'5. IRR'!OOS16</f>
        <v>-0.0</v>
      </c>
      <c r="OOS45" s="5">
        <f>-'5. IRR'!OOT16</f>
        <v>-0.0</v>
      </c>
      <c r="OOT45" s="5">
        <f>-'5. IRR'!OOU16</f>
        <v>-0.0</v>
      </c>
      <c r="OOU45" s="5">
        <f>-'5. IRR'!OOV16</f>
        <v>-0.0</v>
      </c>
      <c r="OOV45" s="5">
        <f>-'5. IRR'!OOW16</f>
        <v>-0.0</v>
      </c>
      <c r="OOW45" s="5">
        <f>-'5. IRR'!OOX16</f>
        <v>-0.0</v>
      </c>
      <c r="OOX45" s="5">
        <f>-'5. IRR'!OOY16</f>
        <v>-0.0</v>
      </c>
      <c r="OOY45" s="5">
        <f>-'5. IRR'!OOZ16</f>
        <v>-0.0</v>
      </c>
      <c r="OOZ45" s="5">
        <f>-'5. IRR'!OPA16</f>
        <v>-0.0</v>
      </c>
      <c r="OPA45" s="5">
        <f>-'5. IRR'!OPB16</f>
        <v>-0.0</v>
      </c>
      <c r="OPB45" s="5">
        <f>-'5. IRR'!OPC16</f>
        <v>-0.0</v>
      </c>
      <c r="OPC45" s="5">
        <f>-'5. IRR'!OPD16</f>
        <v>-0.0</v>
      </c>
      <c r="OPD45" s="5">
        <f>-'5. IRR'!OPE16</f>
        <v>-0.0</v>
      </c>
      <c r="OPE45" s="5">
        <f>-'5. IRR'!OPF16</f>
        <v>-0.0</v>
      </c>
      <c r="OPF45" s="5">
        <f>-'5. IRR'!OPG16</f>
        <v>-0.0</v>
      </c>
      <c r="OPG45" s="5">
        <f>-'5. IRR'!OPH16</f>
        <v>-0.0</v>
      </c>
      <c r="OPH45" s="5">
        <f>-'5. IRR'!OPI16</f>
        <v>-0.0</v>
      </c>
      <c r="OPI45" s="5">
        <f>-'5. IRR'!OPJ16</f>
        <v>-0.0</v>
      </c>
      <c r="OPJ45" s="5">
        <f>-'5. IRR'!OPK16</f>
        <v>-0.0</v>
      </c>
      <c r="OPK45" s="5">
        <f>-'5. IRR'!OPL16</f>
        <v>-0.0</v>
      </c>
      <c r="OPL45" s="5">
        <f>-'5. IRR'!OPM16</f>
        <v>-0.0</v>
      </c>
      <c r="OPM45" s="5">
        <f>-'5. IRR'!OPN16</f>
        <v>-0.0</v>
      </c>
      <c r="OPN45" s="5">
        <f>-'5. IRR'!OPO16</f>
        <v>-0.0</v>
      </c>
      <c r="OPO45" s="5">
        <f>-'5. IRR'!OPP16</f>
        <v>-0.0</v>
      </c>
      <c r="OPP45" s="5">
        <f>-'5. IRR'!OPQ16</f>
        <v>-0.0</v>
      </c>
      <c r="OPQ45" s="5">
        <f>-'5. IRR'!OPR16</f>
        <v>-0.0</v>
      </c>
      <c r="OPR45" s="5">
        <f>-'5. IRR'!OPS16</f>
        <v>-0.0</v>
      </c>
      <c r="OPS45" s="5">
        <f>-'5. IRR'!OPT16</f>
        <v>-0.0</v>
      </c>
      <c r="OPT45" s="5">
        <f>-'5. IRR'!OPU16</f>
        <v>-0.0</v>
      </c>
      <c r="OPU45" s="5">
        <f>-'5. IRR'!OPV16</f>
        <v>-0.0</v>
      </c>
      <c r="OPV45" s="5">
        <f>-'5. IRR'!OPW16</f>
        <v>-0.0</v>
      </c>
      <c r="OPW45" s="5">
        <f>-'5. IRR'!OPX16</f>
        <v>-0.0</v>
      </c>
      <c r="OPX45" s="5">
        <f>-'5. IRR'!OPY16</f>
        <v>-0.0</v>
      </c>
      <c r="OPY45" s="5">
        <f>-'5. IRR'!OPZ16</f>
        <v>-0.0</v>
      </c>
      <c r="OPZ45" s="5">
        <f>-'5. IRR'!OQA16</f>
        <v>-0.0</v>
      </c>
      <c r="OQA45" s="5">
        <f>-'5. IRR'!OQB16</f>
        <v>-0.0</v>
      </c>
      <c r="OQB45" s="5">
        <f>-'5. IRR'!OQC16</f>
        <v>-0.0</v>
      </c>
      <c r="OQC45" s="5">
        <f>-'5. IRR'!OQD16</f>
        <v>-0.0</v>
      </c>
      <c r="OQD45" s="5">
        <f>-'5. IRR'!OQE16</f>
        <v>-0.0</v>
      </c>
      <c r="OQE45" s="5">
        <f>-'5. IRR'!OQF16</f>
        <v>-0.0</v>
      </c>
      <c r="OQF45" s="5">
        <f>-'5. IRR'!OQG16</f>
        <v>-0.0</v>
      </c>
      <c r="OQG45" s="5">
        <f>-'5. IRR'!OQH16</f>
        <v>-0.0</v>
      </c>
      <c r="OQH45" s="5">
        <f>-'5. IRR'!OQI16</f>
        <v>-0.0</v>
      </c>
      <c r="OQI45" s="5">
        <f>-'5. IRR'!OQJ16</f>
        <v>-0.0</v>
      </c>
      <c r="OQJ45" s="5">
        <f>-'5. IRR'!OQK16</f>
        <v>-0.0</v>
      </c>
      <c r="OQK45" s="5">
        <f>-'5. IRR'!OQL16</f>
        <v>-0.0</v>
      </c>
      <c r="OQL45" s="5">
        <f>-'5. IRR'!OQM16</f>
        <v>-0.0</v>
      </c>
      <c r="OQM45" s="5">
        <f>-'5. IRR'!OQN16</f>
        <v>-0.0</v>
      </c>
      <c r="OQN45" s="5">
        <f>-'5. IRR'!OQO16</f>
        <v>-0.0</v>
      </c>
      <c r="OQO45" s="5">
        <f>-'5. IRR'!OQP16</f>
        <v>-0.0</v>
      </c>
      <c r="OQP45" s="5">
        <f>-'5. IRR'!OQQ16</f>
        <v>-0.0</v>
      </c>
      <c r="OQQ45" s="5">
        <f>-'5. IRR'!OQR16</f>
        <v>-0.0</v>
      </c>
      <c r="OQR45" s="5">
        <f>-'5. IRR'!OQS16</f>
        <v>-0.0</v>
      </c>
      <c r="OQS45" s="5">
        <f>-'5. IRR'!OQT16</f>
        <v>-0.0</v>
      </c>
      <c r="OQT45" s="5">
        <f>-'5. IRR'!OQU16</f>
        <v>-0.0</v>
      </c>
      <c r="OQU45" s="5">
        <f>-'5. IRR'!OQV16</f>
        <v>-0.0</v>
      </c>
      <c r="OQV45" s="5">
        <f>-'5. IRR'!OQW16</f>
        <v>-0.0</v>
      </c>
      <c r="OQW45" s="5">
        <f>-'5. IRR'!OQX16</f>
        <v>-0.0</v>
      </c>
      <c r="OQX45" s="5">
        <f>-'5. IRR'!OQY16</f>
        <v>-0.0</v>
      </c>
      <c r="OQY45" s="5">
        <f>-'5. IRR'!OQZ16</f>
        <v>-0.0</v>
      </c>
      <c r="OQZ45" s="5">
        <f>-'5. IRR'!ORA16</f>
        <v>-0.0</v>
      </c>
      <c r="ORA45" s="5">
        <f>-'5. IRR'!ORB16</f>
        <v>-0.0</v>
      </c>
      <c r="ORB45" s="5">
        <f>-'5. IRR'!ORC16</f>
        <v>-0.0</v>
      </c>
      <c r="ORC45" s="5">
        <f>-'5. IRR'!ORD16</f>
        <v>-0.0</v>
      </c>
      <c r="ORD45" s="5">
        <f>-'5. IRR'!ORE16</f>
        <v>-0.0</v>
      </c>
      <c r="ORE45" s="5">
        <f>-'5. IRR'!ORF16</f>
        <v>-0.0</v>
      </c>
      <c r="ORF45" s="5">
        <f>-'5. IRR'!ORG16</f>
        <v>-0.0</v>
      </c>
      <c r="ORG45" s="5">
        <f>-'5. IRR'!ORH16</f>
        <v>-0.0</v>
      </c>
      <c r="ORH45" s="5">
        <f>-'5. IRR'!ORI16</f>
        <v>-0.0</v>
      </c>
      <c r="ORI45" s="5">
        <f>-'5. IRR'!ORJ16</f>
        <v>-0.0</v>
      </c>
      <c r="ORJ45" s="5">
        <f>-'5. IRR'!ORK16</f>
        <v>-0.0</v>
      </c>
      <c r="ORK45" s="5">
        <f>-'5. IRR'!ORL16</f>
        <v>-0.0</v>
      </c>
      <c r="ORL45" s="5">
        <f>-'5. IRR'!ORM16</f>
        <v>-0.0</v>
      </c>
      <c r="ORM45" s="5">
        <f>-'5. IRR'!ORN16</f>
        <v>-0.0</v>
      </c>
      <c r="ORN45" s="5">
        <f>-'5. IRR'!ORO16</f>
        <v>-0.0</v>
      </c>
      <c r="ORO45" s="5">
        <f>-'5. IRR'!ORP16</f>
        <v>-0.0</v>
      </c>
      <c r="ORP45" s="5">
        <f>-'5. IRR'!ORQ16</f>
        <v>-0.0</v>
      </c>
      <c r="ORQ45" s="5">
        <f>-'5. IRR'!ORR16</f>
        <v>-0.0</v>
      </c>
      <c r="ORR45" s="5">
        <f>-'5. IRR'!ORS16</f>
        <v>-0.0</v>
      </c>
      <c r="ORS45" s="5">
        <f>-'5. IRR'!ORT16</f>
        <v>-0.0</v>
      </c>
      <c r="ORT45" s="5">
        <f>-'5. IRR'!ORU16</f>
        <v>-0.0</v>
      </c>
      <c r="ORU45" s="5">
        <f>-'5. IRR'!ORV16</f>
        <v>-0.0</v>
      </c>
      <c r="ORV45" s="5">
        <f>-'5. IRR'!ORW16</f>
        <v>-0.0</v>
      </c>
      <c r="ORW45" s="5">
        <f>-'5. IRR'!ORX16</f>
        <v>-0.0</v>
      </c>
      <c r="ORX45" s="5">
        <f>-'5. IRR'!ORY16</f>
        <v>-0.0</v>
      </c>
      <c r="ORY45" s="5">
        <f>-'5. IRR'!ORZ16</f>
        <v>-0.0</v>
      </c>
      <c r="ORZ45" s="5">
        <f>-'5. IRR'!OSA16</f>
        <v>-0.0</v>
      </c>
      <c r="OSA45" s="5">
        <f>-'5. IRR'!OSB16</f>
        <v>-0.0</v>
      </c>
      <c r="OSB45" s="5">
        <f>-'5. IRR'!OSC16</f>
        <v>-0.0</v>
      </c>
      <c r="OSC45" s="5">
        <f>-'5. IRR'!OSD16</f>
        <v>-0.0</v>
      </c>
      <c r="OSD45" s="5">
        <f>-'5. IRR'!OSE16</f>
        <v>-0.0</v>
      </c>
      <c r="OSE45" s="5">
        <f>-'5. IRR'!OSF16</f>
        <v>-0.0</v>
      </c>
      <c r="OSF45" s="5">
        <f>-'5. IRR'!OSG16</f>
        <v>-0.0</v>
      </c>
      <c r="OSG45" s="5">
        <f>-'5. IRR'!OSH16</f>
        <v>-0.0</v>
      </c>
      <c r="OSH45" s="5">
        <f>-'5. IRR'!OSI16</f>
        <v>-0.0</v>
      </c>
      <c r="OSI45" s="5">
        <f>-'5. IRR'!OSJ16</f>
        <v>-0.0</v>
      </c>
      <c r="OSJ45" s="5">
        <f>-'5. IRR'!OSK16</f>
        <v>-0.0</v>
      </c>
      <c r="OSK45" s="5">
        <f>-'5. IRR'!OSL16</f>
        <v>-0.0</v>
      </c>
      <c r="OSL45" s="5">
        <f>-'5. IRR'!OSM16</f>
        <v>-0.0</v>
      </c>
      <c r="OSM45" s="5">
        <f>-'5. IRR'!OSN16</f>
        <v>-0.0</v>
      </c>
      <c r="OSN45" s="5">
        <f>-'5. IRR'!OSO16</f>
        <v>-0.0</v>
      </c>
      <c r="OSO45" s="5">
        <f>-'5. IRR'!OSP16</f>
        <v>-0.0</v>
      </c>
      <c r="OSP45" s="5">
        <f>-'5. IRR'!OSQ16</f>
        <v>-0.0</v>
      </c>
      <c r="OSQ45" s="5">
        <f>-'5. IRR'!OSR16</f>
        <v>-0.0</v>
      </c>
      <c r="OSR45" s="5">
        <f>-'5. IRR'!OSS16</f>
        <v>-0.0</v>
      </c>
      <c r="OSS45" s="5">
        <f>-'5. IRR'!OST16</f>
        <v>-0.0</v>
      </c>
      <c r="OST45" s="5">
        <f>-'5. IRR'!OSU16</f>
        <v>-0.0</v>
      </c>
      <c r="OSU45" s="5">
        <f>-'5. IRR'!OSV16</f>
        <v>-0.0</v>
      </c>
      <c r="OSV45" s="5">
        <f>-'5. IRR'!OSW16</f>
        <v>-0.0</v>
      </c>
      <c r="OSW45" s="5">
        <f>-'5. IRR'!OSX16</f>
        <v>-0.0</v>
      </c>
      <c r="OSX45" s="5">
        <f>-'5. IRR'!OSY16</f>
        <v>-0.0</v>
      </c>
      <c r="OSY45" s="5">
        <f>-'5. IRR'!OSZ16</f>
        <v>-0.0</v>
      </c>
      <c r="OSZ45" s="5">
        <f>-'5. IRR'!OTA16</f>
        <v>-0.0</v>
      </c>
      <c r="OTA45" s="5">
        <f>-'5. IRR'!OTB16</f>
        <v>-0.0</v>
      </c>
      <c r="OTB45" s="5">
        <f>-'5. IRR'!OTC16</f>
        <v>-0.0</v>
      </c>
      <c r="OTC45" s="5">
        <f>-'5. IRR'!OTD16</f>
        <v>-0.0</v>
      </c>
      <c r="OTD45" s="5">
        <f>-'5. IRR'!OTE16</f>
        <v>-0.0</v>
      </c>
      <c r="OTE45" s="5">
        <f>-'5. IRR'!OTF16</f>
        <v>-0.0</v>
      </c>
      <c r="OTF45" s="5">
        <f>-'5. IRR'!OTG16</f>
        <v>-0.0</v>
      </c>
      <c r="OTG45" s="5">
        <f>-'5. IRR'!OTH16</f>
        <v>-0.0</v>
      </c>
      <c r="OTH45" s="5">
        <f>-'5. IRR'!OTI16</f>
        <v>-0.0</v>
      </c>
      <c r="OTI45" s="5">
        <f>-'5. IRR'!OTJ16</f>
        <v>-0.0</v>
      </c>
      <c r="OTJ45" s="5">
        <f>-'5. IRR'!OTK16</f>
        <v>-0.0</v>
      </c>
      <c r="OTK45" s="5">
        <f>-'5. IRR'!OTL16</f>
        <v>-0.0</v>
      </c>
      <c r="OTL45" s="5">
        <f>-'5. IRR'!OTM16</f>
        <v>-0.0</v>
      </c>
      <c r="OTM45" s="5">
        <f>-'5. IRR'!OTN16</f>
        <v>-0.0</v>
      </c>
      <c r="OTN45" s="5">
        <f>-'5. IRR'!OTO16</f>
        <v>-0.0</v>
      </c>
      <c r="OTO45" s="5">
        <f>-'5. IRR'!OTP16</f>
        <v>-0.0</v>
      </c>
      <c r="OTP45" s="5">
        <f>-'5. IRR'!OTQ16</f>
        <v>-0.0</v>
      </c>
      <c r="OTQ45" s="5">
        <f>-'5. IRR'!OTR16</f>
        <v>-0.0</v>
      </c>
      <c r="OTR45" s="5">
        <f>-'5. IRR'!OTS16</f>
        <v>-0.0</v>
      </c>
      <c r="OTS45" s="5">
        <f>-'5. IRR'!OTT16</f>
        <v>-0.0</v>
      </c>
      <c r="OTT45" s="5">
        <f>-'5. IRR'!OTU16</f>
        <v>-0.0</v>
      </c>
      <c r="OTU45" s="5">
        <f>-'5. IRR'!OTV16</f>
        <v>-0.0</v>
      </c>
      <c r="OTV45" s="5">
        <f>-'5. IRR'!OTW16</f>
        <v>-0.0</v>
      </c>
      <c r="OTW45" s="5">
        <f>-'5. IRR'!OTX16</f>
        <v>-0.0</v>
      </c>
      <c r="OTX45" s="5">
        <f>-'5. IRR'!OTY16</f>
        <v>-0.0</v>
      </c>
      <c r="OTY45" s="5">
        <f>-'5. IRR'!OTZ16</f>
        <v>-0.0</v>
      </c>
      <c r="OTZ45" s="5">
        <f>-'5. IRR'!OUA16</f>
        <v>-0.0</v>
      </c>
      <c r="OUA45" s="5">
        <f>-'5. IRR'!OUB16</f>
        <v>-0.0</v>
      </c>
      <c r="OUB45" s="5">
        <f>-'5. IRR'!OUC16</f>
        <v>-0.0</v>
      </c>
      <c r="OUC45" s="5">
        <f>-'5. IRR'!OUD16</f>
        <v>-0.0</v>
      </c>
      <c r="OUD45" s="5">
        <f>-'5. IRR'!OUE16</f>
        <v>-0.0</v>
      </c>
      <c r="OUE45" s="5">
        <f>-'5. IRR'!OUF16</f>
        <v>-0.0</v>
      </c>
      <c r="OUF45" s="5">
        <f>-'5. IRR'!OUG16</f>
        <v>-0.0</v>
      </c>
      <c r="OUG45" s="5">
        <f>-'5. IRR'!OUH16</f>
        <v>-0.0</v>
      </c>
      <c r="OUH45" s="5">
        <f>-'5. IRR'!OUI16</f>
        <v>-0.0</v>
      </c>
      <c r="OUI45" s="5">
        <f>-'5. IRR'!OUJ16</f>
        <v>-0.0</v>
      </c>
      <c r="OUJ45" s="5">
        <f>-'5. IRR'!OUK16</f>
        <v>-0.0</v>
      </c>
      <c r="OUK45" s="5">
        <f>-'5. IRR'!OUL16</f>
        <v>-0.0</v>
      </c>
      <c r="OUL45" s="5">
        <f>-'5. IRR'!OUM16</f>
        <v>-0.0</v>
      </c>
      <c r="OUM45" s="5">
        <f>-'5. IRR'!OUN16</f>
        <v>-0.0</v>
      </c>
      <c r="OUN45" s="5">
        <f>-'5. IRR'!OUO16</f>
        <v>-0.0</v>
      </c>
      <c r="OUO45" s="5">
        <f>-'5. IRR'!OUP16</f>
        <v>-0.0</v>
      </c>
      <c r="OUP45" s="5">
        <f>-'5. IRR'!OUQ16</f>
        <v>-0.0</v>
      </c>
      <c r="OUQ45" s="5">
        <f>-'5. IRR'!OUR16</f>
        <v>-0.0</v>
      </c>
      <c r="OUR45" s="5">
        <f>-'5. IRR'!OUS16</f>
        <v>-0.0</v>
      </c>
      <c r="OUS45" s="5">
        <f>-'5. IRR'!OUT16</f>
        <v>-0.0</v>
      </c>
      <c r="OUT45" s="5">
        <f>-'5. IRR'!OUU16</f>
        <v>-0.0</v>
      </c>
      <c r="OUU45" s="5">
        <f>-'5. IRR'!OUV16</f>
        <v>-0.0</v>
      </c>
      <c r="OUV45" s="5">
        <f>-'5. IRR'!OUW16</f>
        <v>-0.0</v>
      </c>
      <c r="OUW45" s="5">
        <f>-'5. IRR'!OUX16</f>
        <v>-0.0</v>
      </c>
      <c r="OUX45" s="5">
        <f>-'5. IRR'!OUY16</f>
        <v>-0.0</v>
      </c>
      <c r="OUY45" s="5">
        <f>-'5. IRR'!OUZ16</f>
        <v>-0.0</v>
      </c>
      <c r="OUZ45" s="5">
        <f>-'5. IRR'!OVA16</f>
        <v>-0.0</v>
      </c>
      <c r="OVA45" s="5">
        <f>-'5. IRR'!OVB16</f>
        <v>-0.0</v>
      </c>
      <c r="OVB45" s="5">
        <f>-'5. IRR'!OVC16</f>
        <v>-0.0</v>
      </c>
      <c r="OVC45" s="5">
        <f>-'5. IRR'!OVD16</f>
        <v>-0.0</v>
      </c>
      <c r="OVD45" s="5">
        <f>-'5. IRR'!OVE16</f>
        <v>-0.0</v>
      </c>
      <c r="OVE45" s="5">
        <f>-'5. IRR'!OVF16</f>
        <v>-0.0</v>
      </c>
      <c r="OVF45" s="5">
        <f>-'5. IRR'!OVG16</f>
        <v>-0.0</v>
      </c>
      <c r="OVG45" s="5">
        <f>-'5. IRR'!OVH16</f>
        <v>-0.0</v>
      </c>
      <c r="OVH45" s="5">
        <f>-'5. IRR'!OVI16</f>
        <v>-0.0</v>
      </c>
      <c r="OVI45" s="5">
        <f>-'5. IRR'!OVJ16</f>
        <v>-0.0</v>
      </c>
      <c r="OVJ45" s="5">
        <f>-'5. IRR'!OVK16</f>
        <v>-0.0</v>
      </c>
      <c r="OVK45" s="5">
        <f>-'5. IRR'!OVL16</f>
        <v>-0.0</v>
      </c>
      <c r="OVL45" s="5">
        <f>-'5. IRR'!OVM16</f>
        <v>-0.0</v>
      </c>
      <c r="OVM45" s="5">
        <f>-'5. IRR'!OVN16</f>
        <v>-0.0</v>
      </c>
      <c r="OVN45" s="5">
        <f>-'5. IRR'!OVO16</f>
        <v>-0.0</v>
      </c>
      <c r="OVO45" s="5">
        <f>-'5. IRR'!OVP16</f>
        <v>-0.0</v>
      </c>
      <c r="OVP45" s="5">
        <f>-'5. IRR'!OVQ16</f>
        <v>-0.0</v>
      </c>
      <c r="OVQ45" s="5">
        <f>-'5. IRR'!OVR16</f>
        <v>-0.0</v>
      </c>
      <c r="OVR45" s="5">
        <f>-'5. IRR'!OVS16</f>
        <v>-0.0</v>
      </c>
      <c r="OVS45" s="5">
        <f>-'5. IRR'!OVT16</f>
        <v>-0.0</v>
      </c>
      <c r="OVT45" s="5">
        <f>-'5. IRR'!OVU16</f>
        <v>-0.0</v>
      </c>
      <c r="OVU45" s="5">
        <f>-'5. IRR'!OVV16</f>
        <v>-0.0</v>
      </c>
      <c r="OVV45" s="5">
        <f>-'5. IRR'!OVW16</f>
        <v>-0.0</v>
      </c>
      <c r="OVW45" s="5">
        <f>-'5. IRR'!OVX16</f>
        <v>-0.0</v>
      </c>
      <c r="OVX45" s="5">
        <f>-'5. IRR'!OVY16</f>
        <v>-0.0</v>
      </c>
      <c r="OVY45" s="5">
        <f>-'5. IRR'!OVZ16</f>
        <v>-0.0</v>
      </c>
      <c r="OVZ45" s="5">
        <f>-'5. IRR'!OWA16</f>
        <v>-0.0</v>
      </c>
      <c r="OWA45" s="5">
        <f>-'5. IRR'!OWB16</f>
        <v>-0.0</v>
      </c>
      <c r="OWB45" s="5">
        <f>-'5. IRR'!OWC16</f>
        <v>-0.0</v>
      </c>
      <c r="OWC45" s="5">
        <f>-'5. IRR'!OWD16</f>
        <v>-0.0</v>
      </c>
      <c r="OWD45" s="5">
        <f>-'5. IRR'!OWE16</f>
        <v>-0.0</v>
      </c>
      <c r="OWE45" s="5">
        <f>-'5. IRR'!OWF16</f>
        <v>-0.0</v>
      </c>
      <c r="OWF45" s="5">
        <f>-'5. IRR'!OWG16</f>
        <v>-0.0</v>
      </c>
      <c r="OWG45" s="5">
        <f>-'5. IRR'!OWH16</f>
        <v>-0.0</v>
      </c>
      <c r="OWH45" s="5">
        <f>-'5. IRR'!OWI16</f>
        <v>-0.0</v>
      </c>
      <c r="OWI45" s="5">
        <f>-'5. IRR'!OWJ16</f>
        <v>-0.0</v>
      </c>
      <c r="OWJ45" s="5">
        <f>-'5. IRR'!OWK16</f>
        <v>-0.0</v>
      </c>
      <c r="OWK45" s="5">
        <f>-'5. IRR'!OWL16</f>
        <v>-0.0</v>
      </c>
      <c r="OWL45" s="5">
        <f>-'5. IRR'!OWM16</f>
        <v>-0.0</v>
      </c>
      <c r="OWM45" s="5">
        <f>-'5. IRR'!OWN16</f>
        <v>-0.0</v>
      </c>
      <c r="OWN45" s="5">
        <f>-'5. IRR'!OWO16</f>
        <v>-0.0</v>
      </c>
      <c r="OWO45" s="5">
        <f>-'5. IRR'!OWP16</f>
        <v>-0.0</v>
      </c>
      <c r="OWP45" s="5">
        <f>-'5. IRR'!OWQ16</f>
        <v>-0.0</v>
      </c>
      <c r="OWQ45" s="5">
        <f>-'5. IRR'!OWR16</f>
        <v>-0.0</v>
      </c>
      <c r="OWR45" s="5">
        <f>-'5. IRR'!OWS16</f>
        <v>-0.0</v>
      </c>
      <c r="OWS45" s="5">
        <f>-'5. IRR'!OWT16</f>
        <v>-0.0</v>
      </c>
      <c r="OWT45" s="5">
        <f>-'5. IRR'!OWU16</f>
        <v>-0.0</v>
      </c>
      <c r="OWU45" s="5">
        <f>-'5. IRR'!OWV16</f>
        <v>-0.0</v>
      </c>
      <c r="OWV45" s="5">
        <f>-'5. IRR'!OWW16</f>
        <v>-0.0</v>
      </c>
      <c r="OWW45" s="5">
        <f>-'5. IRR'!OWX16</f>
        <v>-0.0</v>
      </c>
      <c r="OWX45" s="5">
        <f>-'5. IRR'!OWY16</f>
        <v>-0.0</v>
      </c>
      <c r="OWY45" s="5">
        <f>-'5. IRR'!OWZ16</f>
        <v>-0.0</v>
      </c>
      <c r="OWZ45" s="5">
        <f>-'5. IRR'!OXA16</f>
        <v>-0.0</v>
      </c>
      <c r="OXA45" s="5">
        <f>-'5. IRR'!OXB16</f>
        <v>-0.0</v>
      </c>
      <c r="OXB45" s="5">
        <f>-'5. IRR'!OXC16</f>
        <v>-0.0</v>
      </c>
      <c r="OXC45" s="5">
        <f>-'5. IRR'!OXD16</f>
        <v>-0.0</v>
      </c>
      <c r="OXD45" s="5">
        <f>-'5. IRR'!OXE16</f>
        <v>-0.0</v>
      </c>
      <c r="OXE45" s="5">
        <f>-'5. IRR'!OXF16</f>
        <v>-0.0</v>
      </c>
      <c r="OXF45" s="5">
        <f>-'5. IRR'!OXG16</f>
        <v>-0.0</v>
      </c>
      <c r="OXG45" s="5">
        <f>-'5. IRR'!OXH16</f>
        <v>-0.0</v>
      </c>
      <c r="OXH45" s="5">
        <f>-'5. IRR'!OXI16</f>
        <v>-0.0</v>
      </c>
      <c r="OXI45" s="5">
        <f>-'5. IRR'!OXJ16</f>
        <v>-0.0</v>
      </c>
      <c r="OXJ45" s="5">
        <f>-'5. IRR'!OXK16</f>
        <v>-0.0</v>
      </c>
      <c r="OXK45" s="5">
        <f>-'5. IRR'!OXL16</f>
        <v>-0.0</v>
      </c>
      <c r="OXL45" s="5">
        <f>-'5. IRR'!OXM16</f>
        <v>-0.0</v>
      </c>
      <c r="OXM45" s="5">
        <f>-'5. IRR'!OXN16</f>
        <v>-0.0</v>
      </c>
      <c r="OXN45" s="5">
        <f>-'5. IRR'!OXO16</f>
        <v>-0.0</v>
      </c>
      <c r="OXO45" s="5">
        <f>-'5. IRR'!OXP16</f>
        <v>-0.0</v>
      </c>
      <c r="OXP45" s="5">
        <f>-'5. IRR'!OXQ16</f>
        <v>-0.0</v>
      </c>
      <c r="OXQ45" s="5">
        <f>-'5. IRR'!OXR16</f>
        <v>-0.0</v>
      </c>
      <c r="OXR45" s="5">
        <f>-'5. IRR'!OXS16</f>
        <v>-0.0</v>
      </c>
      <c r="OXS45" s="5">
        <f>-'5. IRR'!OXT16</f>
        <v>-0.0</v>
      </c>
      <c r="OXT45" s="5">
        <f>-'5. IRR'!OXU16</f>
        <v>-0.0</v>
      </c>
      <c r="OXU45" s="5">
        <f>-'5. IRR'!OXV16</f>
        <v>-0.0</v>
      </c>
      <c r="OXV45" s="5">
        <f>-'5. IRR'!OXW16</f>
        <v>-0.0</v>
      </c>
      <c r="OXW45" s="5">
        <f>-'5. IRR'!OXX16</f>
        <v>-0.0</v>
      </c>
      <c r="OXX45" s="5">
        <f>-'5. IRR'!OXY16</f>
        <v>-0.0</v>
      </c>
      <c r="OXY45" s="5">
        <f>-'5. IRR'!OXZ16</f>
        <v>-0.0</v>
      </c>
      <c r="OXZ45" s="5">
        <f>-'5. IRR'!OYA16</f>
        <v>-0.0</v>
      </c>
      <c r="OYA45" s="5">
        <f>-'5. IRR'!OYB16</f>
        <v>-0.0</v>
      </c>
      <c r="OYB45" s="5">
        <f>-'5. IRR'!OYC16</f>
        <v>-0.0</v>
      </c>
      <c r="OYC45" s="5">
        <f>-'5. IRR'!OYD16</f>
        <v>-0.0</v>
      </c>
      <c r="OYD45" s="5">
        <f>-'5. IRR'!OYE16</f>
        <v>-0.0</v>
      </c>
      <c r="OYE45" s="5">
        <f>-'5. IRR'!OYF16</f>
        <v>-0.0</v>
      </c>
      <c r="OYF45" s="5">
        <f>-'5. IRR'!OYG16</f>
        <v>-0.0</v>
      </c>
      <c r="OYG45" s="5">
        <f>-'5. IRR'!OYH16</f>
        <v>-0.0</v>
      </c>
      <c r="OYH45" s="5">
        <f>-'5. IRR'!OYI16</f>
        <v>-0.0</v>
      </c>
      <c r="OYI45" s="5">
        <f>-'5. IRR'!OYJ16</f>
        <v>-0.0</v>
      </c>
      <c r="OYJ45" s="5">
        <f>-'5. IRR'!OYK16</f>
        <v>-0.0</v>
      </c>
      <c r="OYK45" s="5">
        <f>-'5. IRR'!OYL16</f>
        <v>-0.0</v>
      </c>
      <c r="OYL45" s="5">
        <f>-'5. IRR'!OYM16</f>
        <v>-0.0</v>
      </c>
      <c r="OYM45" s="5">
        <f>-'5. IRR'!OYN16</f>
        <v>-0.0</v>
      </c>
      <c r="OYN45" s="5">
        <f>-'5. IRR'!OYO16</f>
        <v>-0.0</v>
      </c>
      <c r="OYO45" s="5">
        <f>-'5. IRR'!OYP16</f>
        <v>-0.0</v>
      </c>
      <c r="OYP45" s="5">
        <f>-'5. IRR'!OYQ16</f>
        <v>-0.0</v>
      </c>
      <c r="OYQ45" s="5">
        <f>-'5. IRR'!OYR16</f>
        <v>-0.0</v>
      </c>
      <c r="OYR45" s="5">
        <f>-'5. IRR'!OYS16</f>
        <v>-0.0</v>
      </c>
      <c r="OYS45" s="5">
        <f>-'5. IRR'!OYT16</f>
        <v>-0.0</v>
      </c>
      <c r="OYT45" s="5">
        <f>-'5. IRR'!OYU16</f>
        <v>-0.0</v>
      </c>
      <c r="OYU45" s="5">
        <f>-'5. IRR'!OYV16</f>
        <v>-0.0</v>
      </c>
      <c r="OYV45" s="5">
        <f>-'5. IRR'!OYW16</f>
        <v>-0.0</v>
      </c>
      <c r="OYW45" s="5">
        <f>-'5. IRR'!OYX16</f>
        <v>-0.0</v>
      </c>
      <c r="OYX45" s="5">
        <f>-'5. IRR'!OYY16</f>
        <v>-0.0</v>
      </c>
      <c r="OYY45" s="5">
        <f>-'5. IRR'!OYZ16</f>
        <v>-0.0</v>
      </c>
      <c r="OYZ45" s="5">
        <f>-'5. IRR'!OZA16</f>
        <v>-0.0</v>
      </c>
      <c r="OZA45" s="5">
        <f>-'5. IRR'!OZB16</f>
        <v>-0.0</v>
      </c>
      <c r="OZB45" s="5">
        <f>-'5. IRR'!OZC16</f>
        <v>-0.0</v>
      </c>
      <c r="OZC45" s="5">
        <f>-'5. IRR'!OZD16</f>
        <v>-0.0</v>
      </c>
      <c r="OZD45" s="5">
        <f>-'5. IRR'!OZE16</f>
        <v>-0.0</v>
      </c>
      <c r="OZE45" s="5">
        <f>-'5. IRR'!OZF16</f>
        <v>-0.0</v>
      </c>
      <c r="OZF45" s="5">
        <f>-'5. IRR'!OZG16</f>
        <v>-0.0</v>
      </c>
      <c r="OZG45" s="5">
        <f>-'5. IRR'!OZH16</f>
        <v>-0.0</v>
      </c>
      <c r="OZH45" s="5">
        <f>-'5. IRR'!OZI16</f>
        <v>-0.0</v>
      </c>
      <c r="OZI45" s="5">
        <f>-'5. IRR'!OZJ16</f>
        <v>-0.0</v>
      </c>
      <c r="OZJ45" s="5">
        <f>-'5. IRR'!OZK16</f>
        <v>-0.0</v>
      </c>
      <c r="OZK45" s="5">
        <f>-'5. IRR'!OZL16</f>
        <v>-0.0</v>
      </c>
      <c r="OZL45" s="5">
        <f>-'5. IRR'!OZM16</f>
        <v>-0.0</v>
      </c>
      <c r="OZM45" s="5">
        <f>-'5. IRR'!OZN16</f>
        <v>-0.0</v>
      </c>
      <c r="OZN45" s="5">
        <f>-'5. IRR'!OZO16</f>
        <v>-0.0</v>
      </c>
      <c r="OZO45" s="5">
        <f>-'5. IRR'!OZP16</f>
        <v>-0.0</v>
      </c>
      <c r="OZP45" s="5">
        <f>-'5. IRR'!OZQ16</f>
        <v>-0.0</v>
      </c>
      <c r="OZQ45" s="5">
        <f>-'5. IRR'!OZR16</f>
        <v>-0.0</v>
      </c>
      <c r="OZR45" s="5">
        <f>-'5. IRR'!OZS16</f>
        <v>-0.0</v>
      </c>
      <c r="OZS45" s="5">
        <f>-'5. IRR'!OZT16</f>
        <v>-0.0</v>
      </c>
      <c r="OZT45" s="5">
        <f>-'5. IRR'!OZU16</f>
        <v>-0.0</v>
      </c>
      <c r="OZU45" s="5">
        <f>-'5. IRR'!OZV16</f>
        <v>-0.0</v>
      </c>
      <c r="OZV45" s="5">
        <f>-'5. IRR'!OZW16</f>
        <v>-0.0</v>
      </c>
      <c r="OZW45" s="5">
        <f>-'5. IRR'!OZX16</f>
        <v>-0.0</v>
      </c>
      <c r="OZX45" s="5">
        <f>-'5. IRR'!OZY16</f>
        <v>-0.0</v>
      </c>
      <c r="OZY45" s="5">
        <f>-'5. IRR'!OZZ16</f>
        <v>-0.0</v>
      </c>
      <c r="OZZ45" s="5">
        <f>-'5. IRR'!PAA16</f>
        <v>-0.0</v>
      </c>
      <c r="PAA45" s="5">
        <f>-'5. IRR'!PAB16</f>
        <v>-0.0</v>
      </c>
      <c r="PAB45" s="5">
        <f>-'5. IRR'!PAC16</f>
        <v>-0.0</v>
      </c>
      <c r="PAC45" s="5">
        <f>-'5. IRR'!PAD16</f>
        <v>-0.0</v>
      </c>
      <c r="PAD45" s="5">
        <f>-'5. IRR'!PAE16</f>
        <v>-0.0</v>
      </c>
      <c r="PAE45" s="5">
        <f>-'5. IRR'!PAF16</f>
        <v>-0.0</v>
      </c>
      <c r="PAF45" s="5">
        <f>-'5. IRR'!PAG16</f>
        <v>-0.0</v>
      </c>
      <c r="PAG45" s="5">
        <f>-'5. IRR'!PAH16</f>
        <v>-0.0</v>
      </c>
      <c r="PAH45" s="5">
        <f>-'5. IRR'!PAI16</f>
        <v>-0.0</v>
      </c>
      <c r="PAI45" s="5">
        <f>-'5. IRR'!PAJ16</f>
        <v>-0.0</v>
      </c>
      <c r="PAJ45" s="5">
        <f>-'5. IRR'!PAK16</f>
        <v>-0.0</v>
      </c>
      <c r="PAK45" s="5">
        <f>-'5. IRR'!PAL16</f>
        <v>-0.0</v>
      </c>
      <c r="PAL45" s="5">
        <f>-'5. IRR'!PAM16</f>
        <v>-0.0</v>
      </c>
      <c r="PAM45" s="5">
        <f>-'5. IRR'!PAN16</f>
        <v>-0.0</v>
      </c>
      <c r="PAN45" s="5">
        <f>-'5. IRR'!PAO16</f>
        <v>-0.0</v>
      </c>
      <c r="PAO45" s="5">
        <f>-'5. IRR'!PAP16</f>
        <v>-0.0</v>
      </c>
      <c r="PAP45" s="5">
        <f>-'5. IRR'!PAQ16</f>
        <v>-0.0</v>
      </c>
      <c r="PAQ45" s="5">
        <f>-'5. IRR'!PAR16</f>
        <v>-0.0</v>
      </c>
      <c r="PAR45" s="5">
        <f>-'5. IRR'!PAS16</f>
        <v>-0.0</v>
      </c>
      <c r="PAS45" s="5">
        <f>-'5. IRR'!PAT16</f>
        <v>-0.0</v>
      </c>
      <c r="PAT45" s="5">
        <f>-'5. IRR'!PAU16</f>
        <v>-0.0</v>
      </c>
      <c r="PAU45" s="5">
        <f>-'5. IRR'!PAV16</f>
        <v>-0.0</v>
      </c>
      <c r="PAV45" s="5">
        <f>-'5. IRR'!PAW16</f>
        <v>-0.0</v>
      </c>
      <c r="PAW45" s="5">
        <f>-'5. IRR'!PAX16</f>
        <v>-0.0</v>
      </c>
      <c r="PAX45" s="5">
        <f>-'5. IRR'!PAY16</f>
        <v>-0.0</v>
      </c>
      <c r="PAY45" s="5">
        <f>-'5. IRR'!PAZ16</f>
        <v>-0.0</v>
      </c>
      <c r="PAZ45" s="5">
        <f>-'5. IRR'!PBA16</f>
        <v>-0.0</v>
      </c>
      <c r="PBA45" s="5">
        <f>-'5. IRR'!PBB16</f>
        <v>-0.0</v>
      </c>
      <c r="PBB45" s="5">
        <f>-'5. IRR'!PBC16</f>
        <v>-0.0</v>
      </c>
      <c r="PBC45" s="5">
        <f>-'5. IRR'!PBD16</f>
        <v>-0.0</v>
      </c>
      <c r="PBD45" s="5">
        <f>-'5. IRR'!PBE16</f>
        <v>-0.0</v>
      </c>
      <c r="PBE45" s="5">
        <f>-'5. IRR'!PBF16</f>
        <v>-0.0</v>
      </c>
      <c r="PBF45" s="5">
        <f>-'5. IRR'!PBG16</f>
        <v>-0.0</v>
      </c>
      <c r="PBG45" s="5">
        <f>-'5. IRR'!PBH16</f>
        <v>-0.0</v>
      </c>
      <c r="PBH45" s="5">
        <f>-'5. IRR'!PBI16</f>
        <v>-0.0</v>
      </c>
      <c r="PBI45" s="5">
        <f>-'5. IRR'!PBJ16</f>
        <v>-0.0</v>
      </c>
      <c r="PBJ45" s="5">
        <f>-'5. IRR'!PBK16</f>
        <v>-0.0</v>
      </c>
      <c r="PBK45" s="5">
        <f>-'5. IRR'!PBL16</f>
        <v>-0.0</v>
      </c>
      <c r="PBL45" s="5">
        <f>-'5. IRR'!PBM16</f>
        <v>-0.0</v>
      </c>
      <c r="PBM45" s="5">
        <f>-'5. IRR'!PBN16</f>
        <v>-0.0</v>
      </c>
      <c r="PBN45" s="5">
        <f>-'5. IRR'!PBO16</f>
        <v>-0.0</v>
      </c>
      <c r="PBO45" s="5">
        <f>-'5. IRR'!PBP16</f>
        <v>-0.0</v>
      </c>
      <c r="PBP45" s="5">
        <f>-'5. IRR'!PBQ16</f>
        <v>-0.0</v>
      </c>
      <c r="PBQ45" s="5">
        <f>-'5. IRR'!PBR16</f>
        <v>-0.0</v>
      </c>
      <c r="PBR45" s="5">
        <f>-'5. IRR'!PBS16</f>
        <v>-0.0</v>
      </c>
      <c r="PBS45" s="5">
        <f>-'5. IRR'!PBT16</f>
        <v>-0.0</v>
      </c>
      <c r="PBT45" s="5">
        <f>-'5. IRR'!PBU16</f>
        <v>-0.0</v>
      </c>
      <c r="PBU45" s="5">
        <f>-'5. IRR'!PBV16</f>
        <v>-0.0</v>
      </c>
      <c r="PBV45" s="5">
        <f>-'5. IRR'!PBW16</f>
        <v>-0.0</v>
      </c>
      <c r="PBW45" s="5">
        <f>-'5. IRR'!PBX16</f>
        <v>-0.0</v>
      </c>
      <c r="PBX45" s="5">
        <f>-'5. IRR'!PBY16</f>
        <v>-0.0</v>
      </c>
      <c r="PBY45" s="5">
        <f>-'5. IRR'!PBZ16</f>
        <v>-0.0</v>
      </c>
      <c r="PBZ45" s="5">
        <f>-'5. IRR'!PCA16</f>
        <v>-0.0</v>
      </c>
      <c r="PCA45" s="5">
        <f>-'5. IRR'!PCB16</f>
        <v>-0.0</v>
      </c>
      <c r="PCB45" s="5">
        <f>-'5. IRR'!PCC16</f>
        <v>-0.0</v>
      </c>
      <c r="PCC45" s="5">
        <f>-'5. IRR'!PCD16</f>
        <v>-0.0</v>
      </c>
      <c r="PCD45" s="5">
        <f>-'5. IRR'!PCE16</f>
        <v>-0.0</v>
      </c>
      <c r="PCE45" s="5">
        <f>-'5. IRR'!PCF16</f>
        <v>-0.0</v>
      </c>
      <c r="PCF45" s="5">
        <f>-'5. IRR'!PCG16</f>
        <v>-0.0</v>
      </c>
      <c r="PCG45" s="5">
        <f>-'5. IRR'!PCH16</f>
        <v>-0.0</v>
      </c>
      <c r="PCH45" s="5">
        <f>-'5. IRR'!PCI16</f>
        <v>-0.0</v>
      </c>
      <c r="PCI45" s="5">
        <f>-'5. IRR'!PCJ16</f>
        <v>-0.0</v>
      </c>
      <c r="PCJ45" s="5">
        <f>-'5. IRR'!PCK16</f>
        <v>-0.0</v>
      </c>
      <c r="PCK45" s="5">
        <f>-'5. IRR'!PCL16</f>
        <v>-0.0</v>
      </c>
      <c r="PCL45" s="5">
        <f>-'5. IRR'!PCM16</f>
        <v>-0.0</v>
      </c>
      <c r="PCM45" s="5">
        <f>-'5. IRR'!PCN16</f>
        <v>-0.0</v>
      </c>
      <c r="PCN45" s="5">
        <f>-'5. IRR'!PCO16</f>
        <v>-0.0</v>
      </c>
      <c r="PCO45" s="5">
        <f>-'5. IRR'!PCP16</f>
        <v>-0.0</v>
      </c>
      <c r="PCP45" s="5">
        <f>-'5. IRR'!PCQ16</f>
        <v>-0.0</v>
      </c>
      <c r="PCQ45" s="5">
        <f>-'5. IRR'!PCR16</f>
        <v>-0.0</v>
      </c>
      <c r="PCR45" s="5">
        <f>-'5. IRR'!PCS16</f>
        <v>-0.0</v>
      </c>
      <c r="PCS45" s="5">
        <f>-'5. IRR'!PCT16</f>
        <v>-0.0</v>
      </c>
      <c r="PCT45" s="5">
        <f>-'5. IRR'!PCU16</f>
        <v>-0.0</v>
      </c>
      <c r="PCU45" s="5">
        <f>-'5. IRR'!PCV16</f>
        <v>-0.0</v>
      </c>
      <c r="PCV45" s="5">
        <f>-'5. IRR'!PCW16</f>
        <v>-0.0</v>
      </c>
      <c r="PCW45" s="5">
        <f>-'5. IRR'!PCX16</f>
        <v>-0.0</v>
      </c>
      <c r="PCX45" s="5">
        <f>-'5. IRR'!PCY16</f>
        <v>-0.0</v>
      </c>
      <c r="PCY45" s="5">
        <f>-'5. IRR'!PCZ16</f>
        <v>-0.0</v>
      </c>
      <c r="PCZ45" s="5">
        <f>-'5. IRR'!PDA16</f>
        <v>-0.0</v>
      </c>
      <c r="PDA45" s="5">
        <f>-'5. IRR'!PDB16</f>
        <v>-0.0</v>
      </c>
      <c r="PDB45" s="5">
        <f>-'5. IRR'!PDC16</f>
        <v>-0.0</v>
      </c>
      <c r="PDC45" s="5">
        <f>-'5. IRR'!PDD16</f>
        <v>-0.0</v>
      </c>
      <c r="PDD45" s="5">
        <f>-'5. IRR'!PDE16</f>
        <v>-0.0</v>
      </c>
      <c r="PDE45" s="5">
        <f>-'5. IRR'!PDF16</f>
        <v>-0.0</v>
      </c>
      <c r="PDF45" s="5">
        <f>-'5. IRR'!PDG16</f>
        <v>-0.0</v>
      </c>
      <c r="PDG45" s="5">
        <f>-'5. IRR'!PDH16</f>
        <v>-0.0</v>
      </c>
      <c r="PDH45" s="5">
        <f>-'5. IRR'!PDI16</f>
        <v>-0.0</v>
      </c>
      <c r="PDI45" s="5">
        <f>-'5. IRR'!PDJ16</f>
        <v>-0.0</v>
      </c>
      <c r="PDJ45" s="5">
        <f>-'5. IRR'!PDK16</f>
        <v>-0.0</v>
      </c>
      <c r="PDK45" s="5">
        <f>-'5. IRR'!PDL16</f>
        <v>-0.0</v>
      </c>
      <c r="PDL45" s="5">
        <f>-'5. IRR'!PDM16</f>
        <v>-0.0</v>
      </c>
      <c r="PDM45" s="5">
        <f>-'5. IRR'!PDN16</f>
        <v>-0.0</v>
      </c>
      <c r="PDN45" s="5">
        <f>-'5. IRR'!PDO16</f>
        <v>-0.0</v>
      </c>
      <c r="PDO45" s="5">
        <f>-'5. IRR'!PDP16</f>
        <v>-0.0</v>
      </c>
      <c r="PDP45" s="5">
        <f>-'5. IRR'!PDQ16</f>
        <v>-0.0</v>
      </c>
      <c r="PDQ45" s="5">
        <f>-'5. IRR'!PDR16</f>
        <v>-0.0</v>
      </c>
      <c r="PDR45" s="5">
        <f>-'5. IRR'!PDS16</f>
        <v>-0.0</v>
      </c>
      <c r="PDS45" s="5">
        <f>-'5. IRR'!PDT16</f>
        <v>-0.0</v>
      </c>
      <c r="PDT45" s="5">
        <f>-'5. IRR'!PDU16</f>
        <v>-0.0</v>
      </c>
      <c r="PDU45" s="5">
        <f>-'5. IRR'!PDV16</f>
        <v>-0.0</v>
      </c>
      <c r="PDV45" s="5">
        <f>-'5. IRR'!PDW16</f>
        <v>-0.0</v>
      </c>
      <c r="PDW45" s="5">
        <f>-'5. IRR'!PDX16</f>
        <v>-0.0</v>
      </c>
      <c r="PDX45" s="5">
        <f>-'5. IRR'!PDY16</f>
        <v>-0.0</v>
      </c>
      <c r="PDY45" s="5">
        <f>-'5. IRR'!PDZ16</f>
        <v>-0.0</v>
      </c>
      <c r="PDZ45" s="5">
        <f>-'5. IRR'!PEA16</f>
        <v>-0.0</v>
      </c>
      <c r="PEA45" s="5">
        <f>-'5. IRR'!PEB16</f>
        <v>-0.0</v>
      </c>
      <c r="PEB45" s="5">
        <f>-'5. IRR'!PEC16</f>
        <v>-0.0</v>
      </c>
      <c r="PEC45" s="5">
        <f>-'5. IRR'!PED16</f>
        <v>-0.0</v>
      </c>
      <c r="PED45" s="5">
        <f>-'5. IRR'!PEE16</f>
        <v>-0.0</v>
      </c>
      <c r="PEE45" s="5">
        <f>-'5. IRR'!PEF16</f>
        <v>-0.0</v>
      </c>
      <c r="PEF45" s="5">
        <f>-'5. IRR'!PEG16</f>
        <v>-0.0</v>
      </c>
      <c r="PEG45" s="5">
        <f>-'5. IRR'!PEH16</f>
        <v>-0.0</v>
      </c>
      <c r="PEH45" s="5">
        <f>-'5. IRR'!PEI16</f>
        <v>-0.0</v>
      </c>
      <c r="PEI45" s="5">
        <f>-'5. IRR'!PEJ16</f>
        <v>-0.0</v>
      </c>
      <c r="PEJ45" s="5">
        <f>-'5. IRR'!PEK16</f>
        <v>-0.0</v>
      </c>
      <c r="PEK45" s="5">
        <f>-'5. IRR'!PEL16</f>
        <v>-0.0</v>
      </c>
      <c r="PEL45" s="5">
        <f>-'5. IRR'!PEM16</f>
        <v>-0.0</v>
      </c>
      <c r="PEM45" s="5">
        <f>-'5. IRR'!PEN16</f>
        <v>-0.0</v>
      </c>
      <c r="PEN45" s="5">
        <f>-'5. IRR'!PEO16</f>
        <v>-0.0</v>
      </c>
      <c r="PEO45" s="5">
        <f>-'5. IRR'!PEP16</f>
        <v>-0.0</v>
      </c>
      <c r="PEP45" s="5">
        <f>-'5. IRR'!PEQ16</f>
        <v>-0.0</v>
      </c>
      <c r="PEQ45" s="5">
        <f>-'5. IRR'!PER16</f>
        <v>-0.0</v>
      </c>
      <c r="PER45" s="5">
        <f>-'5. IRR'!PES16</f>
        <v>-0.0</v>
      </c>
      <c r="PES45" s="5">
        <f>-'5. IRR'!PET16</f>
        <v>-0.0</v>
      </c>
      <c r="PET45" s="5">
        <f>-'5. IRR'!PEU16</f>
        <v>-0.0</v>
      </c>
      <c r="PEU45" s="5">
        <f>-'5. IRR'!PEV16</f>
        <v>-0.0</v>
      </c>
      <c r="PEV45" s="5">
        <f>-'5. IRR'!PEW16</f>
        <v>-0.0</v>
      </c>
      <c r="PEW45" s="5">
        <f>-'5. IRR'!PEX16</f>
        <v>-0.0</v>
      </c>
      <c r="PEX45" s="5">
        <f>-'5. IRR'!PEY16</f>
        <v>-0.0</v>
      </c>
      <c r="PEY45" s="5">
        <f>-'5. IRR'!PEZ16</f>
        <v>-0.0</v>
      </c>
      <c r="PEZ45" s="5">
        <f>-'5. IRR'!PFA16</f>
        <v>-0.0</v>
      </c>
      <c r="PFA45" s="5">
        <f>-'5. IRR'!PFB16</f>
        <v>-0.0</v>
      </c>
      <c r="PFB45" s="5">
        <f>-'5. IRR'!PFC16</f>
        <v>-0.0</v>
      </c>
      <c r="PFC45" s="5">
        <f>-'5. IRR'!PFD16</f>
        <v>-0.0</v>
      </c>
      <c r="PFD45" s="5">
        <f>-'5. IRR'!PFE16</f>
        <v>-0.0</v>
      </c>
      <c r="PFE45" s="5">
        <f>-'5. IRR'!PFF16</f>
        <v>-0.0</v>
      </c>
      <c r="PFF45" s="5">
        <f>-'5. IRR'!PFG16</f>
        <v>-0.0</v>
      </c>
      <c r="PFG45" s="5">
        <f>-'5. IRR'!PFH16</f>
        <v>-0.0</v>
      </c>
      <c r="PFH45" s="5">
        <f>-'5. IRR'!PFI16</f>
        <v>-0.0</v>
      </c>
      <c r="PFI45" s="5">
        <f>-'5. IRR'!PFJ16</f>
        <v>-0.0</v>
      </c>
      <c r="PFJ45" s="5">
        <f>-'5. IRR'!PFK16</f>
        <v>-0.0</v>
      </c>
      <c r="PFK45" s="5">
        <f>-'5. IRR'!PFL16</f>
        <v>-0.0</v>
      </c>
      <c r="PFL45" s="5">
        <f>-'5. IRR'!PFM16</f>
        <v>-0.0</v>
      </c>
      <c r="PFM45" s="5">
        <f>-'5. IRR'!PFN16</f>
        <v>-0.0</v>
      </c>
      <c r="PFN45" s="5">
        <f>-'5. IRR'!PFO16</f>
        <v>-0.0</v>
      </c>
      <c r="PFO45" s="5">
        <f>-'5. IRR'!PFP16</f>
        <v>-0.0</v>
      </c>
      <c r="PFP45" s="5">
        <f>-'5. IRR'!PFQ16</f>
        <v>-0.0</v>
      </c>
      <c r="PFQ45" s="5">
        <f>-'5. IRR'!PFR16</f>
        <v>-0.0</v>
      </c>
      <c r="PFR45" s="5">
        <f>-'5. IRR'!PFS16</f>
        <v>-0.0</v>
      </c>
      <c r="PFS45" s="5">
        <f>-'5. IRR'!PFT16</f>
        <v>-0.0</v>
      </c>
      <c r="PFT45" s="5">
        <f>-'5. IRR'!PFU16</f>
        <v>-0.0</v>
      </c>
      <c r="PFU45" s="5">
        <f>-'5. IRR'!PFV16</f>
        <v>-0.0</v>
      </c>
      <c r="PFV45" s="5">
        <f>-'5. IRR'!PFW16</f>
        <v>-0.0</v>
      </c>
      <c r="PFW45" s="5">
        <f>-'5. IRR'!PFX16</f>
        <v>-0.0</v>
      </c>
      <c r="PFX45" s="5">
        <f>-'5. IRR'!PFY16</f>
        <v>-0.0</v>
      </c>
      <c r="PFY45" s="5">
        <f>-'5. IRR'!PFZ16</f>
        <v>-0.0</v>
      </c>
      <c r="PFZ45" s="5">
        <f>-'5. IRR'!PGA16</f>
        <v>-0.0</v>
      </c>
      <c r="PGA45" s="5">
        <f>-'5. IRR'!PGB16</f>
        <v>-0.0</v>
      </c>
      <c r="PGB45" s="5">
        <f>-'5. IRR'!PGC16</f>
        <v>-0.0</v>
      </c>
      <c r="PGC45" s="5">
        <f>-'5. IRR'!PGD16</f>
        <v>-0.0</v>
      </c>
      <c r="PGD45" s="5">
        <f>-'5. IRR'!PGE16</f>
        <v>-0.0</v>
      </c>
      <c r="PGE45" s="5">
        <f>-'5. IRR'!PGF16</f>
        <v>-0.0</v>
      </c>
      <c r="PGF45" s="5">
        <f>-'5. IRR'!PGG16</f>
        <v>-0.0</v>
      </c>
      <c r="PGG45" s="5">
        <f>-'5. IRR'!PGH16</f>
        <v>-0.0</v>
      </c>
      <c r="PGH45" s="5">
        <f>-'5. IRR'!PGI16</f>
        <v>-0.0</v>
      </c>
      <c r="PGI45" s="5">
        <f>-'5. IRR'!PGJ16</f>
        <v>-0.0</v>
      </c>
      <c r="PGJ45" s="5">
        <f>-'5. IRR'!PGK16</f>
        <v>-0.0</v>
      </c>
      <c r="PGK45" s="5">
        <f>-'5. IRR'!PGL16</f>
        <v>-0.0</v>
      </c>
      <c r="PGL45" s="5">
        <f>-'5. IRR'!PGM16</f>
        <v>-0.0</v>
      </c>
      <c r="PGM45" s="5">
        <f>-'5. IRR'!PGN16</f>
        <v>-0.0</v>
      </c>
      <c r="PGN45" s="5">
        <f>-'5. IRR'!PGO16</f>
        <v>-0.0</v>
      </c>
      <c r="PGO45" s="5">
        <f>-'5. IRR'!PGP16</f>
        <v>-0.0</v>
      </c>
      <c r="PGP45" s="5">
        <f>-'5. IRR'!PGQ16</f>
        <v>-0.0</v>
      </c>
      <c r="PGQ45" s="5">
        <f>-'5. IRR'!PGR16</f>
        <v>-0.0</v>
      </c>
      <c r="PGR45" s="5">
        <f>-'5. IRR'!PGS16</f>
        <v>-0.0</v>
      </c>
      <c r="PGS45" s="5">
        <f>-'5. IRR'!PGT16</f>
        <v>-0.0</v>
      </c>
      <c r="PGT45" s="5">
        <f>-'5. IRR'!PGU16</f>
        <v>-0.0</v>
      </c>
      <c r="PGU45" s="5">
        <f>-'5. IRR'!PGV16</f>
        <v>-0.0</v>
      </c>
      <c r="PGV45" s="5">
        <f>-'5. IRR'!PGW16</f>
        <v>-0.0</v>
      </c>
      <c r="PGW45" s="5">
        <f>-'5. IRR'!PGX16</f>
        <v>-0.0</v>
      </c>
      <c r="PGX45" s="5">
        <f>-'5. IRR'!PGY16</f>
        <v>-0.0</v>
      </c>
      <c r="PGY45" s="5">
        <f>-'5. IRR'!PGZ16</f>
        <v>-0.0</v>
      </c>
      <c r="PGZ45" s="5">
        <f>-'5. IRR'!PHA16</f>
        <v>-0.0</v>
      </c>
      <c r="PHA45" s="5">
        <f>-'5. IRR'!PHB16</f>
        <v>-0.0</v>
      </c>
      <c r="PHB45" s="5">
        <f>-'5. IRR'!PHC16</f>
        <v>-0.0</v>
      </c>
      <c r="PHC45" s="5">
        <f>-'5. IRR'!PHD16</f>
        <v>-0.0</v>
      </c>
      <c r="PHD45" s="5">
        <f>-'5. IRR'!PHE16</f>
        <v>-0.0</v>
      </c>
      <c r="PHE45" s="5">
        <f>-'5. IRR'!PHF16</f>
        <v>-0.0</v>
      </c>
      <c r="PHF45" s="5">
        <f>-'5. IRR'!PHG16</f>
        <v>-0.0</v>
      </c>
      <c r="PHG45" s="5">
        <f>-'5. IRR'!PHH16</f>
        <v>-0.0</v>
      </c>
      <c r="PHH45" s="5">
        <f>-'5. IRR'!PHI16</f>
        <v>-0.0</v>
      </c>
      <c r="PHI45" s="5">
        <f>-'5. IRR'!PHJ16</f>
        <v>-0.0</v>
      </c>
      <c r="PHJ45" s="5">
        <f>-'5. IRR'!PHK16</f>
        <v>-0.0</v>
      </c>
      <c r="PHK45" s="5">
        <f>-'5. IRR'!PHL16</f>
        <v>-0.0</v>
      </c>
      <c r="PHL45" s="5">
        <f>-'5. IRR'!PHM16</f>
        <v>-0.0</v>
      </c>
      <c r="PHM45" s="5">
        <f>-'5. IRR'!PHN16</f>
        <v>-0.0</v>
      </c>
      <c r="PHN45" s="5">
        <f>-'5. IRR'!PHO16</f>
        <v>-0.0</v>
      </c>
      <c r="PHO45" s="5">
        <f>-'5. IRR'!PHP16</f>
        <v>-0.0</v>
      </c>
      <c r="PHP45" s="5">
        <f>-'5. IRR'!PHQ16</f>
        <v>-0.0</v>
      </c>
      <c r="PHQ45" s="5">
        <f>-'5. IRR'!PHR16</f>
        <v>-0.0</v>
      </c>
      <c r="PHR45" s="5">
        <f>-'5. IRR'!PHS16</f>
        <v>-0.0</v>
      </c>
      <c r="PHS45" s="5">
        <f>-'5. IRR'!PHT16</f>
        <v>-0.0</v>
      </c>
      <c r="PHT45" s="5">
        <f>-'5. IRR'!PHU16</f>
        <v>-0.0</v>
      </c>
      <c r="PHU45" s="5">
        <f>-'5. IRR'!PHV16</f>
        <v>-0.0</v>
      </c>
      <c r="PHV45" s="5">
        <f>-'5. IRR'!PHW16</f>
        <v>-0.0</v>
      </c>
      <c r="PHW45" s="5">
        <f>-'5. IRR'!PHX16</f>
        <v>-0.0</v>
      </c>
      <c r="PHX45" s="5">
        <f>-'5. IRR'!PHY16</f>
        <v>-0.0</v>
      </c>
      <c r="PHY45" s="5">
        <f>-'5. IRR'!PHZ16</f>
        <v>-0.0</v>
      </c>
      <c r="PHZ45" s="5">
        <f>-'5. IRR'!PIA16</f>
        <v>-0.0</v>
      </c>
      <c r="PIA45" s="5">
        <f>-'5. IRR'!PIB16</f>
        <v>-0.0</v>
      </c>
      <c r="PIB45" s="5">
        <f>-'5. IRR'!PIC16</f>
        <v>-0.0</v>
      </c>
      <c r="PIC45" s="5">
        <f>-'5. IRR'!PID16</f>
        <v>-0.0</v>
      </c>
      <c r="PID45" s="5">
        <f>-'5. IRR'!PIE16</f>
        <v>-0.0</v>
      </c>
      <c r="PIE45" s="5">
        <f>-'5. IRR'!PIF16</f>
        <v>-0.0</v>
      </c>
      <c r="PIF45" s="5">
        <f>-'5. IRR'!PIG16</f>
        <v>-0.0</v>
      </c>
      <c r="PIG45" s="5">
        <f>-'5. IRR'!PIH16</f>
        <v>-0.0</v>
      </c>
      <c r="PIH45" s="5">
        <f>-'5. IRR'!PII16</f>
        <v>-0.0</v>
      </c>
      <c r="PII45" s="5">
        <f>-'5. IRR'!PIJ16</f>
        <v>-0.0</v>
      </c>
      <c r="PIJ45" s="5">
        <f>-'5. IRR'!PIK16</f>
        <v>-0.0</v>
      </c>
      <c r="PIK45" s="5">
        <f>-'5. IRR'!PIL16</f>
        <v>-0.0</v>
      </c>
      <c r="PIL45" s="5">
        <f>-'5. IRR'!PIM16</f>
        <v>-0.0</v>
      </c>
      <c r="PIM45" s="5">
        <f>-'5. IRR'!PIN16</f>
        <v>-0.0</v>
      </c>
      <c r="PIN45" s="5">
        <f>-'5. IRR'!PIO16</f>
        <v>-0.0</v>
      </c>
      <c r="PIO45" s="5">
        <f>-'5. IRR'!PIP16</f>
        <v>-0.0</v>
      </c>
      <c r="PIP45" s="5">
        <f>-'5. IRR'!PIQ16</f>
        <v>-0.0</v>
      </c>
      <c r="PIQ45" s="5">
        <f>-'5. IRR'!PIR16</f>
        <v>-0.0</v>
      </c>
      <c r="PIR45" s="5">
        <f>-'5. IRR'!PIS16</f>
        <v>-0.0</v>
      </c>
      <c r="PIS45" s="5">
        <f>-'5. IRR'!PIT16</f>
        <v>-0.0</v>
      </c>
      <c r="PIT45" s="5">
        <f>-'5. IRR'!PIU16</f>
        <v>-0.0</v>
      </c>
      <c r="PIU45" s="5">
        <f>-'5. IRR'!PIV16</f>
        <v>-0.0</v>
      </c>
      <c r="PIV45" s="5">
        <f>-'5. IRR'!PIW16</f>
        <v>-0.0</v>
      </c>
      <c r="PIW45" s="5">
        <f>-'5. IRR'!PIX16</f>
        <v>-0.0</v>
      </c>
      <c r="PIX45" s="5">
        <f>-'5. IRR'!PIY16</f>
        <v>-0.0</v>
      </c>
      <c r="PIY45" s="5">
        <f>-'5. IRR'!PIZ16</f>
        <v>-0.0</v>
      </c>
      <c r="PIZ45" s="5">
        <f>-'5. IRR'!PJA16</f>
        <v>-0.0</v>
      </c>
      <c r="PJA45" s="5">
        <f>-'5. IRR'!PJB16</f>
        <v>-0.0</v>
      </c>
      <c r="PJB45" s="5">
        <f>-'5. IRR'!PJC16</f>
        <v>-0.0</v>
      </c>
      <c r="PJC45" s="5">
        <f>-'5. IRR'!PJD16</f>
        <v>-0.0</v>
      </c>
      <c r="PJD45" s="5">
        <f>-'5. IRR'!PJE16</f>
        <v>-0.0</v>
      </c>
      <c r="PJE45" s="5">
        <f>-'5. IRR'!PJF16</f>
        <v>-0.0</v>
      </c>
      <c r="PJF45" s="5">
        <f>-'5. IRR'!PJG16</f>
        <v>-0.0</v>
      </c>
      <c r="PJG45" s="5">
        <f>-'5. IRR'!PJH16</f>
        <v>-0.0</v>
      </c>
      <c r="PJH45" s="5">
        <f>-'5. IRR'!PJI16</f>
        <v>-0.0</v>
      </c>
      <c r="PJI45" s="5">
        <f>-'5. IRR'!PJJ16</f>
        <v>-0.0</v>
      </c>
      <c r="PJJ45" s="5">
        <f>-'5. IRR'!PJK16</f>
        <v>-0.0</v>
      </c>
      <c r="PJK45" s="5">
        <f>-'5. IRR'!PJL16</f>
        <v>-0.0</v>
      </c>
      <c r="PJL45" s="5">
        <f>-'5. IRR'!PJM16</f>
        <v>-0.0</v>
      </c>
      <c r="PJM45" s="5">
        <f>-'5. IRR'!PJN16</f>
        <v>-0.0</v>
      </c>
      <c r="PJN45" s="5">
        <f>-'5. IRR'!PJO16</f>
        <v>-0.0</v>
      </c>
      <c r="PJO45" s="5">
        <f>-'5. IRR'!PJP16</f>
        <v>-0.0</v>
      </c>
      <c r="PJP45" s="5">
        <f>-'5. IRR'!PJQ16</f>
        <v>-0.0</v>
      </c>
      <c r="PJQ45" s="5">
        <f>-'5. IRR'!PJR16</f>
        <v>-0.0</v>
      </c>
      <c r="PJR45" s="5">
        <f>-'5. IRR'!PJS16</f>
        <v>-0.0</v>
      </c>
      <c r="PJS45" s="5">
        <f>-'5. IRR'!PJT16</f>
        <v>-0.0</v>
      </c>
      <c r="PJT45" s="5">
        <f>-'5. IRR'!PJU16</f>
        <v>-0.0</v>
      </c>
      <c r="PJU45" s="5">
        <f>-'5. IRR'!PJV16</f>
        <v>-0.0</v>
      </c>
      <c r="PJV45" s="5">
        <f>-'5. IRR'!PJW16</f>
        <v>-0.0</v>
      </c>
      <c r="PJW45" s="5">
        <f>-'5. IRR'!PJX16</f>
        <v>-0.0</v>
      </c>
      <c r="PJX45" s="5">
        <f>-'5. IRR'!PJY16</f>
        <v>-0.0</v>
      </c>
      <c r="PJY45" s="5">
        <f>-'5. IRR'!PJZ16</f>
        <v>-0.0</v>
      </c>
      <c r="PJZ45" s="5">
        <f>-'5. IRR'!PKA16</f>
        <v>-0.0</v>
      </c>
      <c r="PKA45" s="5">
        <f>-'5. IRR'!PKB16</f>
        <v>-0.0</v>
      </c>
      <c r="PKB45" s="5">
        <f>-'5. IRR'!PKC16</f>
        <v>-0.0</v>
      </c>
      <c r="PKC45" s="5">
        <f>-'5. IRR'!PKD16</f>
        <v>-0.0</v>
      </c>
      <c r="PKD45" s="5">
        <f>-'5. IRR'!PKE16</f>
        <v>-0.0</v>
      </c>
      <c r="PKE45" s="5">
        <f>-'5. IRR'!PKF16</f>
        <v>-0.0</v>
      </c>
      <c r="PKF45" s="5">
        <f>-'5. IRR'!PKG16</f>
        <v>-0.0</v>
      </c>
      <c r="PKG45" s="5">
        <f>-'5. IRR'!PKH16</f>
        <v>-0.0</v>
      </c>
      <c r="PKH45" s="5">
        <f>-'5. IRR'!PKI16</f>
        <v>-0.0</v>
      </c>
      <c r="PKI45" s="5">
        <f>-'5. IRR'!PKJ16</f>
        <v>-0.0</v>
      </c>
      <c r="PKJ45" s="5">
        <f>-'5. IRR'!PKK16</f>
        <v>-0.0</v>
      </c>
      <c r="PKK45" s="5">
        <f>-'5. IRR'!PKL16</f>
        <v>-0.0</v>
      </c>
      <c r="PKL45" s="5">
        <f>-'5. IRR'!PKM16</f>
        <v>-0.0</v>
      </c>
      <c r="PKM45" s="5">
        <f>-'5. IRR'!PKN16</f>
        <v>-0.0</v>
      </c>
      <c r="PKN45" s="5">
        <f>-'5. IRR'!PKO16</f>
        <v>-0.0</v>
      </c>
      <c r="PKO45" s="5">
        <f>-'5. IRR'!PKP16</f>
        <v>-0.0</v>
      </c>
      <c r="PKP45" s="5">
        <f>-'5. IRR'!PKQ16</f>
        <v>-0.0</v>
      </c>
      <c r="PKQ45" s="5">
        <f>-'5. IRR'!PKR16</f>
        <v>-0.0</v>
      </c>
      <c r="PKR45" s="5">
        <f>-'5. IRR'!PKS16</f>
        <v>-0.0</v>
      </c>
      <c r="PKS45" s="5">
        <f>-'5. IRR'!PKT16</f>
        <v>-0.0</v>
      </c>
      <c r="PKT45" s="5">
        <f>-'5. IRR'!PKU16</f>
        <v>-0.0</v>
      </c>
      <c r="PKU45" s="5">
        <f>-'5. IRR'!PKV16</f>
        <v>-0.0</v>
      </c>
      <c r="PKV45" s="5">
        <f>-'5. IRR'!PKW16</f>
        <v>-0.0</v>
      </c>
      <c r="PKW45" s="5">
        <f>-'5. IRR'!PKX16</f>
        <v>-0.0</v>
      </c>
      <c r="PKX45" s="5">
        <f>-'5. IRR'!PKY16</f>
        <v>-0.0</v>
      </c>
      <c r="PKY45" s="5">
        <f>-'5. IRR'!PKZ16</f>
        <v>-0.0</v>
      </c>
      <c r="PKZ45" s="5">
        <f>-'5. IRR'!PLA16</f>
        <v>-0.0</v>
      </c>
      <c r="PLA45" s="5">
        <f>-'5. IRR'!PLB16</f>
        <v>-0.0</v>
      </c>
      <c r="PLB45" s="5">
        <f>-'5. IRR'!PLC16</f>
        <v>-0.0</v>
      </c>
      <c r="PLC45" s="5">
        <f>-'5. IRR'!PLD16</f>
        <v>-0.0</v>
      </c>
      <c r="PLD45" s="5">
        <f>-'5. IRR'!PLE16</f>
        <v>-0.0</v>
      </c>
      <c r="PLE45" s="5">
        <f>-'5. IRR'!PLF16</f>
        <v>-0.0</v>
      </c>
      <c r="PLF45" s="5">
        <f>-'5. IRR'!PLG16</f>
        <v>-0.0</v>
      </c>
      <c r="PLG45" s="5">
        <f>-'5. IRR'!PLH16</f>
        <v>-0.0</v>
      </c>
      <c r="PLH45" s="5">
        <f>-'5. IRR'!PLI16</f>
        <v>-0.0</v>
      </c>
      <c r="PLI45" s="5">
        <f>-'5. IRR'!PLJ16</f>
        <v>-0.0</v>
      </c>
      <c r="PLJ45" s="5">
        <f>-'5. IRR'!PLK16</f>
        <v>-0.0</v>
      </c>
      <c r="PLK45" s="5">
        <f>-'5. IRR'!PLL16</f>
        <v>-0.0</v>
      </c>
      <c r="PLL45" s="5">
        <f>-'5. IRR'!PLM16</f>
        <v>-0.0</v>
      </c>
      <c r="PLM45" s="5">
        <f>-'5. IRR'!PLN16</f>
        <v>-0.0</v>
      </c>
      <c r="PLN45" s="5">
        <f>-'5. IRR'!PLO16</f>
        <v>-0.0</v>
      </c>
      <c r="PLO45" s="5">
        <f>-'5. IRR'!PLP16</f>
        <v>-0.0</v>
      </c>
      <c r="PLP45" s="5">
        <f>-'5. IRR'!PLQ16</f>
        <v>-0.0</v>
      </c>
      <c r="PLQ45" s="5">
        <f>-'5. IRR'!PLR16</f>
        <v>-0.0</v>
      </c>
      <c r="PLR45" s="5">
        <f>-'5. IRR'!PLS16</f>
        <v>-0.0</v>
      </c>
      <c r="PLS45" s="5">
        <f>-'5. IRR'!PLT16</f>
        <v>-0.0</v>
      </c>
      <c r="PLT45" s="5">
        <f>-'5. IRR'!PLU16</f>
        <v>-0.0</v>
      </c>
      <c r="PLU45" s="5">
        <f>-'5. IRR'!PLV16</f>
        <v>-0.0</v>
      </c>
      <c r="PLV45" s="5">
        <f>-'5. IRR'!PLW16</f>
        <v>-0.0</v>
      </c>
      <c r="PLW45" s="5">
        <f>-'5. IRR'!PLX16</f>
        <v>-0.0</v>
      </c>
      <c r="PLX45" s="5">
        <f>-'5. IRR'!PLY16</f>
        <v>-0.0</v>
      </c>
      <c r="PLY45" s="5">
        <f>-'5. IRR'!PLZ16</f>
        <v>-0.0</v>
      </c>
      <c r="PLZ45" s="5">
        <f>-'5. IRR'!PMA16</f>
        <v>-0.0</v>
      </c>
      <c r="PMA45" s="5">
        <f>-'5. IRR'!PMB16</f>
        <v>-0.0</v>
      </c>
      <c r="PMB45" s="5">
        <f>-'5. IRR'!PMC16</f>
        <v>-0.0</v>
      </c>
      <c r="PMC45" s="5">
        <f>-'5. IRR'!PMD16</f>
        <v>-0.0</v>
      </c>
      <c r="PMD45" s="5">
        <f>-'5. IRR'!PME16</f>
        <v>-0.0</v>
      </c>
      <c r="PME45" s="5">
        <f>-'5. IRR'!PMF16</f>
        <v>-0.0</v>
      </c>
      <c r="PMF45" s="5">
        <f>-'5. IRR'!PMG16</f>
        <v>-0.0</v>
      </c>
      <c r="PMG45" s="5">
        <f>-'5. IRR'!PMH16</f>
        <v>-0.0</v>
      </c>
      <c r="PMH45" s="5">
        <f>-'5. IRR'!PMI16</f>
        <v>-0.0</v>
      </c>
      <c r="PMI45" s="5">
        <f>-'5. IRR'!PMJ16</f>
        <v>-0.0</v>
      </c>
      <c r="PMJ45" s="5">
        <f>-'5. IRR'!PMK16</f>
        <v>-0.0</v>
      </c>
      <c r="PMK45" s="5">
        <f>-'5. IRR'!PML16</f>
        <v>-0.0</v>
      </c>
      <c r="PML45" s="5">
        <f>-'5. IRR'!PMM16</f>
        <v>-0.0</v>
      </c>
      <c r="PMM45" s="5">
        <f>-'5. IRR'!PMN16</f>
        <v>-0.0</v>
      </c>
      <c r="PMN45" s="5">
        <f>-'5. IRR'!PMO16</f>
        <v>-0.0</v>
      </c>
      <c r="PMO45" s="5">
        <f>-'5. IRR'!PMP16</f>
        <v>-0.0</v>
      </c>
      <c r="PMP45" s="5">
        <f>-'5. IRR'!PMQ16</f>
        <v>-0.0</v>
      </c>
      <c r="PMQ45" s="5">
        <f>-'5. IRR'!PMR16</f>
        <v>-0.0</v>
      </c>
      <c r="PMR45" s="5">
        <f>-'5. IRR'!PMS16</f>
        <v>-0.0</v>
      </c>
      <c r="PMS45" s="5">
        <f>-'5. IRR'!PMT16</f>
        <v>-0.0</v>
      </c>
      <c r="PMT45" s="5">
        <f>-'5. IRR'!PMU16</f>
        <v>-0.0</v>
      </c>
      <c r="PMU45" s="5">
        <f>-'5. IRR'!PMV16</f>
        <v>-0.0</v>
      </c>
      <c r="PMV45" s="5">
        <f>-'5. IRR'!PMW16</f>
        <v>-0.0</v>
      </c>
      <c r="PMW45" s="5">
        <f>-'5. IRR'!PMX16</f>
        <v>-0.0</v>
      </c>
      <c r="PMX45" s="5">
        <f>-'5. IRR'!PMY16</f>
        <v>-0.0</v>
      </c>
      <c r="PMY45" s="5">
        <f>-'5. IRR'!PMZ16</f>
        <v>-0.0</v>
      </c>
      <c r="PMZ45" s="5">
        <f>-'5. IRR'!PNA16</f>
        <v>-0.0</v>
      </c>
      <c r="PNA45" s="5">
        <f>-'5. IRR'!PNB16</f>
        <v>-0.0</v>
      </c>
      <c r="PNB45" s="5">
        <f>-'5. IRR'!PNC16</f>
        <v>-0.0</v>
      </c>
      <c r="PNC45" s="5">
        <f>-'5. IRR'!PND16</f>
        <v>-0.0</v>
      </c>
      <c r="PND45" s="5">
        <f>-'5. IRR'!PNE16</f>
        <v>-0.0</v>
      </c>
      <c r="PNE45" s="5">
        <f>-'5. IRR'!PNF16</f>
        <v>-0.0</v>
      </c>
      <c r="PNF45" s="5">
        <f>-'5. IRR'!PNG16</f>
        <v>-0.0</v>
      </c>
      <c r="PNG45" s="5">
        <f>-'5. IRR'!PNH16</f>
        <v>-0.0</v>
      </c>
      <c r="PNH45" s="5">
        <f>-'5. IRR'!PNI16</f>
        <v>-0.0</v>
      </c>
      <c r="PNI45" s="5">
        <f>-'5. IRR'!PNJ16</f>
        <v>-0.0</v>
      </c>
      <c r="PNJ45" s="5">
        <f>-'5. IRR'!PNK16</f>
        <v>-0.0</v>
      </c>
      <c r="PNK45" s="5">
        <f>-'5. IRR'!PNL16</f>
        <v>-0.0</v>
      </c>
      <c r="PNL45" s="5">
        <f>-'5. IRR'!PNM16</f>
        <v>-0.0</v>
      </c>
      <c r="PNM45" s="5">
        <f>-'5. IRR'!PNN16</f>
        <v>-0.0</v>
      </c>
      <c r="PNN45" s="5">
        <f>-'5. IRR'!PNO16</f>
        <v>-0.0</v>
      </c>
      <c r="PNO45" s="5">
        <f>-'5. IRR'!PNP16</f>
        <v>-0.0</v>
      </c>
      <c r="PNP45" s="5">
        <f>-'5. IRR'!PNQ16</f>
        <v>-0.0</v>
      </c>
      <c r="PNQ45" s="5">
        <f>-'5. IRR'!PNR16</f>
        <v>-0.0</v>
      </c>
      <c r="PNR45" s="5">
        <f>-'5. IRR'!PNS16</f>
        <v>-0.0</v>
      </c>
      <c r="PNS45" s="5">
        <f>-'5. IRR'!PNT16</f>
        <v>-0.0</v>
      </c>
      <c r="PNT45" s="5">
        <f>-'5. IRR'!PNU16</f>
        <v>-0.0</v>
      </c>
      <c r="PNU45" s="5">
        <f>-'5. IRR'!PNV16</f>
        <v>-0.0</v>
      </c>
      <c r="PNV45" s="5">
        <f>-'5. IRR'!PNW16</f>
        <v>-0.0</v>
      </c>
      <c r="PNW45" s="5">
        <f>-'5. IRR'!PNX16</f>
        <v>-0.0</v>
      </c>
      <c r="PNX45" s="5">
        <f>-'5. IRR'!PNY16</f>
        <v>-0.0</v>
      </c>
      <c r="PNY45" s="5">
        <f>-'5. IRR'!PNZ16</f>
        <v>-0.0</v>
      </c>
      <c r="PNZ45" s="5">
        <f>-'5. IRR'!POA16</f>
        <v>-0.0</v>
      </c>
      <c r="POA45" s="5">
        <f>-'5. IRR'!POB16</f>
        <v>-0.0</v>
      </c>
      <c r="POB45" s="5">
        <f>-'5. IRR'!POC16</f>
        <v>-0.0</v>
      </c>
      <c r="POC45" s="5">
        <f>-'5. IRR'!POD16</f>
        <v>-0.0</v>
      </c>
      <c r="POD45" s="5">
        <f>-'5. IRR'!POE16</f>
        <v>-0.0</v>
      </c>
      <c r="POE45" s="5">
        <f>-'5. IRR'!POF16</f>
        <v>-0.0</v>
      </c>
      <c r="POF45" s="5">
        <f>-'5. IRR'!POG16</f>
        <v>-0.0</v>
      </c>
      <c r="POG45" s="5">
        <f>-'5. IRR'!POH16</f>
        <v>-0.0</v>
      </c>
      <c r="POH45" s="5">
        <f>-'5. IRR'!POI16</f>
        <v>-0.0</v>
      </c>
      <c r="POI45" s="5">
        <f>-'5. IRR'!POJ16</f>
        <v>-0.0</v>
      </c>
      <c r="POJ45" s="5">
        <f>-'5. IRR'!POK16</f>
        <v>-0.0</v>
      </c>
      <c r="POK45" s="5">
        <f>-'5. IRR'!POL16</f>
        <v>-0.0</v>
      </c>
      <c r="POL45" s="5">
        <f>-'5. IRR'!POM16</f>
        <v>-0.0</v>
      </c>
      <c r="POM45" s="5">
        <f>-'5. IRR'!PON16</f>
        <v>-0.0</v>
      </c>
      <c r="PON45" s="5">
        <f>-'5. IRR'!POO16</f>
        <v>-0.0</v>
      </c>
      <c r="POO45" s="5">
        <f>-'5. IRR'!POP16</f>
        <v>-0.0</v>
      </c>
      <c r="POP45" s="5">
        <f>-'5. IRR'!POQ16</f>
        <v>-0.0</v>
      </c>
      <c r="POQ45" s="5">
        <f>-'5. IRR'!POR16</f>
        <v>-0.0</v>
      </c>
      <c r="POR45" s="5">
        <f>-'5. IRR'!POS16</f>
        <v>-0.0</v>
      </c>
      <c r="POS45" s="5">
        <f>-'5. IRR'!POT16</f>
        <v>-0.0</v>
      </c>
      <c r="POT45" s="5">
        <f>-'5. IRR'!POU16</f>
        <v>-0.0</v>
      </c>
      <c r="POU45" s="5">
        <f>-'5. IRR'!POV16</f>
        <v>-0.0</v>
      </c>
      <c r="POV45" s="5">
        <f>-'5. IRR'!POW16</f>
        <v>-0.0</v>
      </c>
      <c r="POW45" s="5">
        <f>-'5. IRR'!POX16</f>
        <v>-0.0</v>
      </c>
      <c r="POX45" s="5">
        <f>-'5. IRR'!POY16</f>
        <v>-0.0</v>
      </c>
      <c r="POY45" s="5">
        <f>-'5. IRR'!POZ16</f>
        <v>-0.0</v>
      </c>
      <c r="POZ45" s="5">
        <f>-'5. IRR'!PPA16</f>
        <v>-0.0</v>
      </c>
      <c r="PPA45" s="5">
        <f>-'5. IRR'!PPB16</f>
        <v>-0.0</v>
      </c>
      <c r="PPB45" s="5">
        <f>-'5. IRR'!PPC16</f>
        <v>-0.0</v>
      </c>
      <c r="PPC45" s="5">
        <f>-'5. IRR'!PPD16</f>
        <v>-0.0</v>
      </c>
      <c r="PPD45" s="5">
        <f>-'5. IRR'!PPE16</f>
        <v>-0.0</v>
      </c>
      <c r="PPE45" s="5">
        <f>-'5. IRR'!PPF16</f>
        <v>-0.0</v>
      </c>
      <c r="PPF45" s="5">
        <f>-'5. IRR'!PPG16</f>
        <v>-0.0</v>
      </c>
      <c r="PPG45" s="5">
        <f>-'5. IRR'!PPH16</f>
        <v>-0.0</v>
      </c>
      <c r="PPH45" s="5">
        <f>-'5. IRR'!PPI16</f>
        <v>-0.0</v>
      </c>
      <c r="PPI45" s="5">
        <f>-'5. IRR'!PPJ16</f>
        <v>-0.0</v>
      </c>
      <c r="PPJ45" s="5">
        <f>-'5. IRR'!PPK16</f>
        <v>-0.0</v>
      </c>
      <c r="PPK45" s="5">
        <f>-'5. IRR'!PPL16</f>
        <v>-0.0</v>
      </c>
      <c r="PPL45" s="5">
        <f>-'5. IRR'!PPM16</f>
        <v>-0.0</v>
      </c>
      <c r="PPM45" s="5">
        <f>-'5. IRR'!PPN16</f>
        <v>-0.0</v>
      </c>
      <c r="PPN45" s="5">
        <f>-'5. IRR'!PPO16</f>
        <v>-0.0</v>
      </c>
      <c r="PPO45" s="5">
        <f>-'5. IRR'!PPP16</f>
        <v>-0.0</v>
      </c>
      <c r="PPP45" s="5">
        <f>-'5. IRR'!PPQ16</f>
        <v>-0.0</v>
      </c>
      <c r="PPQ45" s="5">
        <f>-'5. IRR'!PPR16</f>
        <v>-0.0</v>
      </c>
      <c r="PPR45" s="5">
        <f>-'5. IRR'!PPS16</f>
        <v>-0.0</v>
      </c>
      <c r="PPS45" s="5">
        <f>-'5. IRR'!PPT16</f>
        <v>-0.0</v>
      </c>
      <c r="PPT45" s="5">
        <f>-'5. IRR'!PPU16</f>
        <v>-0.0</v>
      </c>
      <c r="PPU45" s="5">
        <f>-'5. IRR'!PPV16</f>
        <v>-0.0</v>
      </c>
      <c r="PPV45" s="5">
        <f>-'5. IRR'!PPW16</f>
        <v>-0.0</v>
      </c>
      <c r="PPW45" s="5">
        <f>-'5. IRR'!PPX16</f>
        <v>-0.0</v>
      </c>
      <c r="PPX45" s="5">
        <f>-'5. IRR'!PPY16</f>
        <v>-0.0</v>
      </c>
      <c r="PPY45" s="5">
        <f>-'5. IRR'!PPZ16</f>
        <v>-0.0</v>
      </c>
      <c r="PPZ45" s="5">
        <f>-'5. IRR'!PQA16</f>
        <v>-0.0</v>
      </c>
      <c r="PQA45" s="5">
        <f>-'5. IRR'!PQB16</f>
        <v>-0.0</v>
      </c>
      <c r="PQB45" s="5">
        <f>-'5. IRR'!PQC16</f>
        <v>-0.0</v>
      </c>
      <c r="PQC45" s="5">
        <f>-'5. IRR'!PQD16</f>
        <v>-0.0</v>
      </c>
      <c r="PQD45" s="5">
        <f>-'5. IRR'!PQE16</f>
        <v>-0.0</v>
      </c>
      <c r="PQE45" s="5">
        <f>-'5. IRR'!PQF16</f>
        <v>-0.0</v>
      </c>
      <c r="PQF45" s="5">
        <f>-'5. IRR'!PQG16</f>
        <v>-0.0</v>
      </c>
      <c r="PQG45" s="5">
        <f>-'5. IRR'!PQH16</f>
        <v>-0.0</v>
      </c>
      <c r="PQH45" s="5">
        <f>-'5. IRR'!PQI16</f>
        <v>-0.0</v>
      </c>
      <c r="PQI45" s="5">
        <f>-'5. IRR'!PQJ16</f>
        <v>-0.0</v>
      </c>
      <c r="PQJ45" s="5">
        <f>-'5. IRR'!PQK16</f>
        <v>-0.0</v>
      </c>
      <c r="PQK45" s="5">
        <f>-'5. IRR'!PQL16</f>
        <v>-0.0</v>
      </c>
      <c r="PQL45" s="5">
        <f>-'5. IRR'!PQM16</f>
        <v>-0.0</v>
      </c>
      <c r="PQM45" s="5">
        <f>-'5. IRR'!PQN16</f>
        <v>-0.0</v>
      </c>
      <c r="PQN45" s="5">
        <f>-'5. IRR'!PQO16</f>
        <v>-0.0</v>
      </c>
      <c r="PQO45" s="5">
        <f>-'5. IRR'!PQP16</f>
        <v>-0.0</v>
      </c>
      <c r="PQP45" s="5">
        <f>-'5. IRR'!PQQ16</f>
        <v>-0.0</v>
      </c>
      <c r="PQQ45" s="5">
        <f>-'5. IRR'!PQR16</f>
        <v>-0.0</v>
      </c>
      <c r="PQR45" s="5">
        <f>-'5. IRR'!PQS16</f>
        <v>-0.0</v>
      </c>
      <c r="PQS45" s="5">
        <f>-'5. IRR'!PQT16</f>
        <v>-0.0</v>
      </c>
      <c r="PQT45" s="5">
        <f>-'5. IRR'!PQU16</f>
        <v>-0.0</v>
      </c>
      <c r="PQU45" s="5">
        <f>-'5. IRR'!PQV16</f>
        <v>-0.0</v>
      </c>
      <c r="PQV45" s="5">
        <f>-'5. IRR'!PQW16</f>
        <v>-0.0</v>
      </c>
      <c r="PQW45" s="5">
        <f>-'5. IRR'!PQX16</f>
        <v>-0.0</v>
      </c>
      <c r="PQX45" s="5">
        <f>-'5. IRR'!PQY16</f>
        <v>-0.0</v>
      </c>
      <c r="PQY45" s="5">
        <f>-'5. IRR'!PQZ16</f>
        <v>-0.0</v>
      </c>
      <c r="PQZ45" s="5">
        <f>-'5. IRR'!PRA16</f>
        <v>-0.0</v>
      </c>
      <c r="PRA45" s="5">
        <f>-'5. IRR'!PRB16</f>
        <v>-0.0</v>
      </c>
      <c r="PRB45" s="5">
        <f>-'5. IRR'!PRC16</f>
        <v>-0.0</v>
      </c>
      <c r="PRC45" s="5">
        <f>-'5. IRR'!PRD16</f>
        <v>-0.0</v>
      </c>
      <c r="PRD45" s="5">
        <f>-'5. IRR'!PRE16</f>
        <v>-0.0</v>
      </c>
      <c r="PRE45" s="5">
        <f>-'5. IRR'!PRF16</f>
        <v>-0.0</v>
      </c>
      <c r="PRF45" s="5">
        <f>-'5. IRR'!PRG16</f>
        <v>-0.0</v>
      </c>
      <c r="PRG45" s="5">
        <f>-'5. IRR'!PRH16</f>
        <v>-0.0</v>
      </c>
      <c r="PRH45" s="5">
        <f>-'5. IRR'!PRI16</f>
        <v>-0.0</v>
      </c>
      <c r="PRI45" s="5">
        <f>-'5. IRR'!PRJ16</f>
        <v>-0.0</v>
      </c>
      <c r="PRJ45" s="5">
        <f>-'5. IRR'!PRK16</f>
        <v>-0.0</v>
      </c>
      <c r="PRK45" s="5">
        <f>-'5. IRR'!PRL16</f>
        <v>-0.0</v>
      </c>
      <c r="PRL45" s="5">
        <f>-'5. IRR'!PRM16</f>
        <v>-0.0</v>
      </c>
      <c r="PRM45" s="5">
        <f>-'5. IRR'!PRN16</f>
        <v>-0.0</v>
      </c>
      <c r="PRN45" s="5">
        <f>-'5. IRR'!PRO16</f>
        <v>-0.0</v>
      </c>
      <c r="PRO45" s="5">
        <f>-'5. IRR'!PRP16</f>
        <v>-0.0</v>
      </c>
      <c r="PRP45" s="5">
        <f>-'5. IRR'!PRQ16</f>
        <v>-0.0</v>
      </c>
      <c r="PRQ45" s="5">
        <f>-'5. IRR'!PRR16</f>
        <v>-0.0</v>
      </c>
      <c r="PRR45" s="5">
        <f>-'5. IRR'!PRS16</f>
        <v>-0.0</v>
      </c>
      <c r="PRS45" s="5">
        <f>-'5. IRR'!PRT16</f>
        <v>-0.0</v>
      </c>
      <c r="PRT45" s="5">
        <f>-'5. IRR'!PRU16</f>
        <v>-0.0</v>
      </c>
      <c r="PRU45" s="5">
        <f>-'5. IRR'!PRV16</f>
        <v>-0.0</v>
      </c>
      <c r="PRV45" s="5">
        <f>-'5. IRR'!PRW16</f>
        <v>-0.0</v>
      </c>
      <c r="PRW45" s="5">
        <f>-'5. IRR'!PRX16</f>
        <v>-0.0</v>
      </c>
      <c r="PRX45" s="5">
        <f>-'5. IRR'!PRY16</f>
        <v>-0.0</v>
      </c>
      <c r="PRY45" s="5">
        <f>-'5. IRR'!PRZ16</f>
        <v>-0.0</v>
      </c>
      <c r="PRZ45" s="5">
        <f>-'5. IRR'!PSA16</f>
        <v>-0.0</v>
      </c>
      <c r="PSA45" s="5">
        <f>-'5. IRR'!PSB16</f>
        <v>-0.0</v>
      </c>
      <c r="PSB45" s="5">
        <f>-'5. IRR'!PSC16</f>
        <v>-0.0</v>
      </c>
      <c r="PSC45" s="5">
        <f>-'5. IRR'!PSD16</f>
        <v>-0.0</v>
      </c>
      <c r="PSD45" s="5">
        <f>-'5. IRR'!PSE16</f>
        <v>-0.0</v>
      </c>
      <c r="PSE45" s="5">
        <f>-'5. IRR'!PSF16</f>
        <v>-0.0</v>
      </c>
      <c r="PSF45" s="5">
        <f>-'5. IRR'!PSG16</f>
        <v>-0.0</v>
      </c>
      <c r="PSG45" s="5">
        <f>-'5. IRR'!PSH16</f>
        <v>-0.0</v>
      </c>
      <c r="PSH45" s="5">
        <f>-'5. IRR'!PSI16</f>
        <v>-0.0</v>
      </c>
      <c r="PSI45" s="5">
        <f>-'5. IRR'!PSJ16</f>
        <v>-0.0</v>
      </c>
      <c r="PSJ45" s="5">
        <f>-'5. IRR'!PSK16</f>
        <v>-0.0</v>
      </c>
      <c r="PSK45" s="5">
        <f>-'5. IRR'!PSL16</f>
        <v>-0.0</v>
      </c>
      <c r="PSL45" s="5">
        <f>-'5. IRR'!PSM16</f>
        <v>-0.0</v>
      </c>
      <c r="PSM45" s="5">
        <f>-'5. IRR'!PSN16</f>
        <v>-0.0</v>
      </c>
      <c r="PSN45" s="5">
        <f>-'5. IRR'!PSO16</f>
        <v>-0.0</v>
      </c>
      <c r="PSO45" s="5">
        <f>-'5. IRR'!PSP16</f>
        <v>-0.0</v>
      </c>
      <c r="PSP45" s="5">
        <f>-'5. IRR'!PSQ16</f>
        <v>-0.0</v>
      </c>
      <c r="PSQ45" s="5">
        <f>-'5. IRR'!PSR16</f>
        <v>-0.0</v>
      </c>
      <c r="PSR45" s="5">
        <f>-'5. IRR'!PSS16</f>
        <v>-0.0</v>
      </c>
      <c r="PSS45" s="5">
        <f>-'5. IRR'!PST16</f>
        <v>-0.0</v>
      </c>
      <c r="PST45" s="5">
        <f>-'5. IRR'!PSU16</f>
        <v>-0.0</v>
      </c>
      <c r="PSU45" s="5">
        <f>-'5. IRR'!PSV16</f>
        <v>-0.0</v>
      </c>
      <c r="PSV45" s="5">
        <f>-'5. IRR'!PSW16</f>
        <v>-0.0</v>
      </c>
      <c r="PSW45" s="5">
        <f>-'5. IRR'!PSX16</f>
        <v>-0.0</v>
      </c>
      <c r="PSX45" s="5">
        <f>-'5. IRR'!PSY16</f>
        <v>-0.0</v>
      </c>
      <c r="PSY45" s="5">
        <f>-'5. IRR'!PSZ16</f>
        <v>-0.0</v>
      </c>
      <c r="PSZ45" s="5">
        <f>-'5. IRR'!PTA16</f>
        <v>-0.0</v>
      </c>
      <c r="PTA45" s="5">
        <f>-'5. IRR'!PTB16</f>
        <v>-0.0</v>
      </c>
      <c r="PTB45" s="5">
        <f>-'5. IRR'!PTC16</f>
        <v>-0.0</v>
      </c>
      <c r="PTC45" s="5">
        <f>-'5. IRR'!PTD16</f>
        <v>-0.0</v>
      </c>
      <c r="PTD45" s="5">
        <f>-'5. IRR'!PTE16</f>
        <v>-0.0</v>
      </c>
      <c r="PTE45" s="5">
        <f>-'5. IRR'!PTF16</f>
        <v>-0.0</v>
      </c>
      <c r="PTF45" s="5">
        <f>-'5. IRR'!PTG16</f>
        <v>-0.0</v>
      </c>
      <c r="PTG45" s="5">
        <f>-'5. IRR'!PTH16</f>
        <v>-0.0</v>
      </c>
      <c r="PTH45" s="5">
        <f>-'5. IRR'!PTI16</f>
        <v>-0.0</v>
      </c>
      <c r="PTI45" s="5">
        <f>-'5. IRR'!PTJ16</f>
        <v>-0.0</v>
      </c>
      <c r="PTJ45" s="5">
        <f>-'5. IRR'!PTK16</f>
        <v>-0.0</v>
      </c>
      <c r="PTK45" s="5">
        <f>-'5. IRR'!PTL16</f>
        <v>-0.0</v>
      </c>
      <c r="PTL45" s="5">
        <f>-'5. IRR'!PTM16</f>
        <v>-0.0</v>
      </c>
      <c r="PTM45" s="5">
        <f>-'5. IRR'!PTN16</f>
        <v>-0.0</v>
      </c>
      <c r="PTN45" s="5">
        <f>-'5. IRR'!PTO16</f>
        <v>-0.0</v>
      </c>
      <c r="PTO45" s="5">
        <f>-'5. IRR'!PTP16</f>
        <v>-0.0</v>
      </c>
      <c r="PTP45" s="5">
        <f>-'5. IRR'!PTQ16</f>
        <v>-0.0</v>
      </c>
      <c r="PTQ45" s="5">
        <f>-'5. IRR'!PTR16</f>
        <v>-0.0</v>
      </c>
      <c r="PTR45" s="5">
        <f>-'5. IRR'!PTS16</f>
        <v>-0.0</v>
      </c>
      <c r="PTS45" s="5">
        <f>-'5. IRR'!PTT16</f>
        <v>-0.0</v>
      </c>
      <c r="PTT45" s="5">
        <f>-'5. IRR'!PTU16</f>
        <v>-0.0</v>
      </c>
      <c r="PTU45" s="5">
        <f>-'5. IRR'!PTV16</f>
        <v>-0.0</v>
      </c>
      <c r="PTV45" s="5">
        <f>-'5. IRR'!PTW16</f>
        <v>-0.0</v>
      </c>
      <c r="PTW45" s="5">
        <f>-'5. IRR'!PTX16</f>
        <v>-0.0</v>
      </c>
      <c r="PTX45" s="5">
        <f>-'5. IRR'!PTY16</f>
        <v>-0.0</v>
      </c>
      <c r="PTY45" s="5">
        <f>-'5. IRR'!PTZ16</f>
        <v>-0.0</v>
      </c>
      <c r="PTZ45" s="5">
        <f>-'5. IRR'!PUA16</f>
        <v>-0.0</v>
      </c>
      <c r="PUA45" s="5">
        <f>-'5. IRR'!PUB16</f>
        <v>-0.0</v>
      </c>
      <c r="PUB45" s="5">
        <f>-'5. IRR'!PUC16</f>
        <v>-0.0</v>
      </c>
      <c r="PUC45" s="5">
        <f>-'5. IRR'!PUD16</f>
        <v>-0.0</v>
      </c>
      <c r="PUD45" s="5">
        <f>-'5. IRR'!PUE16</f>
        <v>-0.0</v>
      </c>
      <c r="PUE45" s="5">
        <f>-'5. IRR'!PUF16</f>
        <v>-0.0</v>
      </c>
      <c r="PUF45" s="5">
        <f>-'5. IRR'!PUG16</f>
        <v>-0.0</v>
      </c>
      <c r="PUG45" s="5">
        <f>-'5. IRR'!PUH16</f>
        <v>-0.0</v>
      </c>
      <c r="PUH45" s="5">
        <f>-'5. IRR'!PUI16</f>
        <v>-0.0</v>
      </c>
      <c r="PUI45" s="5">
        <f>-'5. IRR'!PUJ16</f>
        <v>-0.0</v>
      </c>
      <c r="PUJ45" s="5">
        <f>-'5. IRR'!PUK16</f>
        <v>-0.0</v>
      </c>
      <c r="PUK45" s="5">
        <f>-'5. IRR'!PUL16</f>
        <v>-0.0</v>
      </c>
      <c r="PUL45" s="5">
        <f>-'5. IRR'!PUM16</f>
        <v>-0.0</v>
      </c>
      <c r="PUM45" s="5">
        <f>-'5. IRR'!PUN16</f>
        <v>-0.0</v>
      </c>
      <c r="PUN45" s="5">
        <f>-'5. IRR'!PUO16</f>
        <v>-0.0</v>
      </c>
      <c r="PUO45" s="5">
        <f>-'5. IRR'!PUP16</f>
        <v>-0.0</v>
      </c>
      <c r="PUP45" s="5">
        <f>-'5. IRR'!PUQ16</f>
        <v>-0.0</v>
      </c>
      <c r="PUQ45" s="5">
        <f>-'5. IRR'!PUR16</f>
        <v>-0.0</v>
      </c>
      <c r="PUR45" s="5">
        <f>-'5. IRR'!PUS16</f>
        <v>-0.0</v>
      </c>
      <c r="PUS45" s="5">
        <f>-'5. IRR'!PUT16</f>
        <v>-0.0</v>
      </c>
      <c r="PUT45" s="5">
        <f>-'5. IRR'!PUU16</f>
        <v>-0.0</v>
      </c>
      <c r="PUU45" s="5">
        <f>-'5. IRR'!PUV16</f>
        <v>-0.0</v>
      </c>
      <c r="PUV45" s="5">
        <f>-'5. IRR'!PUW16</f>
        <v>-0.0</v>
      </c>
      <c r="PUW45" s="5">
        <f>-'5. IRR'!PUX16</f>
        <v>-0.0</v>
      </c>
      <c r="PUX45" s="5">
        <f>-'5. IRR'!PUY16</f>
        <v>-0.0</v>
      </c>
      <c r="PUY45" s="5">
        <f>-'5. IRR'!PUZ16</f>
        <v>-0.0</v>
      </c>
      <c r="PUZ45" s="5">
        <f>-'5. IRR'!PVA16</f>
        <v>-0.0</v>
      </c>
      <c r="PVA45" s="5">
        <f>-'5. IRR'!PVB16</f>
        <v>-0.0</v>
      </c>
      <c r="PVB45" s="5">
        <f>-'5. IRR'!PVC16</f>
        <v>-0.0</v>
      </c>
      <c r="PVC45" s="5">
        <f>-'5. IRR'!PVD16</f>
        <v>-0.0</v>
      </c>
      <c r="PVD45" s="5">
        <f>-'5. IRR'!PVE16</f>
        <v>-0.0</v>
      </c>
      <c r="PVE45" s="5">
        <f>-'5. IRR'!PVF16</f>
        <v>-0.0</v>
      </c>
      <c r="PVF45" s="5">
        <f>-'5. IRR'!PVG16</f>
        <v>-0.0</v>
      </c>
      <c r="PVG45" s="5">
        <f>-'5. IRR'!PVH16</f>
        <v>-0.0</v>
      </c>
      <c r="PVH45" s="5">
        <f>-'5. IRR'!PVI16</f>
        <v>-0.0</v>
      </c>
      <c r="PVI45" s="5">
        <f>-'5. IRR'!PVJ16</f>
        <v>-0.0</v>
      </c>
      <c r="PVJ45" s="5">
        <f>-'5. IRR'!PVK16</f>
        <v>-0.0</v>
      </c>
      <c r="PVK45" s="5">
        <f>-'5. IRR'!PVL16</f>
        <v>-0.0</v>
      </c>
      <c r="PVL45" s="5">
        <f>-'5. IRR'!PVM16</f>
        <v>-0.0</v>
      </c>
      <c r="PVM45" s="5">
        <f>-'5. IRR'!PVN16</f>
        <v>-0.0</v>
      </c>
      <c r="PVN45" s="5">
        <f>-'5. IRR'!PVO16</f>
        <v>-0.0</v>
      </c>
      <c r="PVO45" s="5">
        <f>-'5. IRR'!PVP16</f>
        <v>-0.0</v>
      </c>
      <c r="PVP45" s="5">
        <f>-'5. IRR'!PVQ16</f>
        <v>-0.0</v>
      </c>
      <c r="PVQ45" s="5">
        <f>-'5. IRR'!PVR16</f>
        <v>-0.0</v>
      </c>
      <c r="PVR45" s="5">
        <f>-'5. IRR'!PVS16</f>
        <v>-0.0</v>
      </c>
      <c r="PVS45" s="5">
        <f>-'5. IRR'!PVT16</f>
        <v>-0.0</v>
      </c>
      <c r="PVT45" s="5">
        <f>-'5. IRR'!PVU16</f>
        <v>-0.0</v>
      </c>
      <c r="PVU45" s="5">
        <f>-'5. IRR'!PVV16</f>
        <v>-0.0</v>
      </c>
      <c r="PVV45" s="5">
        <f>-'5. IRR'!PVW16</f>
        <v>-0.0</v>
      </c>
      <c r="PVW45" s="5">
        <f>-'5. IRR'!PVX16</f>
        <v>-0.0</v>
      </c>
      <c r="PVX45" s="5">
        <f>-'5. IRR'!PVY16</f>
        <v>-0.0</v>
      </c>
      <c r="PVY45" s="5">
        <f>-'5. IRR'!PVZ16</f>
        <v>-0.0</v>
      </c>
      <c r="PVZ45" s="5">
        <f>-'5. IRR'!PWA16</f>
        <v>-0.0</v>
      </c>
      <c r="PWA45" s="5">
        <f>-'5. IRR'!PWB16</f>
        <v>-0.0</v>
      </c>
      <c r="PWB45" s="5">
        <f>-'5. IRR'!PWC16</f>
        <v>-0.0</v>
      </c>
      <c r="PWC45" s="5">
        <f>-'5. IRR'!PWD16</f>
        <v>-0.0</v>
      </c>
      <c r="PWD45" s="5">
        <f>-'5. IRR'!PWE16</f>
        <v>-0.0</v>
      </c>
      <c r="PWE45" s="5">
        <f>-'5. IRR'!PWF16</f>
        <v>-0.0</v>
      </c>
      <c r="PWF45" s="5">
        <f>-'5. IRR'!PWG16</f>
        <v>-0.0</v>
      </c>
      <c r="PWG45" s="5">
        <f>-'5. IRR'!PWH16</f>
        <v>-0.0</v>
      </c>
      <c r="PWH45" s="5">
        <f>-'5. IRR'!PWI16</f>
        <v>-0.0</v>
      </c>
      <c r="PWI45" s="5">
        <f>-'5. IRR'!PWJ16</f>
        <v>-0.0</v>
      </c>
      <c r="PWJ45" s="5">
        <f>-'5. IRR'!PWK16</f>
        <v>-0.0</v>
      </c>
      <c r="PWK45" s="5">
        <f>-'5. IRR'!PWL16</f>
        <v>-0.0</v>
      </c>
      <c r="PWL45" s="5">
        <f>-'5. IRR'!PWM16</f>
        <v>-0.0</v>
      </c>
      <c r="PWM45" s="5">
        <f>-'5. IRR'!PWN16</f>
        <v>-0.0</v>
      </c>
      <c r="PWN45" s="5">
        <f>-'5. IRR'!PWO16</f>
        <v>-0.0</v>
      </c>
      <c r="PWO45" s="5">
        <f>-'5. IRR'!PWP16</f>
        <v>-0.0</v>
      </c>
      <c r="PWP45" s="5">
        <f>-'5. IRR'!PWQ16</f>
        <v>-0.0</v>
      </c>
      <c r="PWQ45" s="5">
        <f>-'5. IRR'!PWR16</f>
        <v>-0.0</v>
      </c>
      <c r="PWR45" s="5">
        <f>-'5. IRR'!PWS16</f>
        <v>-0.0</v>
      </c>
      <c r="PWS45" s="5">
        <f>-'5. IRR'!PWT16</f>
        <v>-0.0</v>
      </c>
      <c r="PWT45" s="5">
        <f>-'5. IRR'!PWU16</f>
        <v>-0.0</v>
      </c>
      <c r="PWU45" s="5">
        <f>-'5. IRR'!PWV16</f>
        <v>-0.0</v>
      </c>
      <c r="PWV45" s="5">
        <f>-'5. IRR'!PWW16</f>
        <v>-0.0</v>
      </c>
      <c r="PWW45" s="5">
        <f>-'5. IRR'!PWX16</f>
        <v>-0.0</v>
      </c>
      <c r="PWX45" s="5">
        <f>-'5. IRR'!PWY16</f>
        <v>-0.0</v>
      </c>
      <c r="PWY45" s="5">
        <f>-'5. IRR'!PWZ16</f>
        <v>-0.0</v>
      </c>
      <c r="PWZ45" s="5">
        <f>-'5. IRR'!PXA16</f>
        <v>-0.0</v>
      </c>
      <c r="PXA45" s="5">
        <f>-'5. IRR'!PXB16</f>
        <v>-0.0</v>
      </c>
      <c r="PXB45" s="5">
        <f>-'5. IRR'!PXC16</f>
        <v>-0.0</v>
      </c>
      <c r="PXC45" s="5">
        <f>-'5. IRR'!PXD16</f>
        <v>-0.0</v>
      </c>
      <c r="PXD45" s="5">
        <f>-'5. IRR'!PXE16</f>
        <v>-0.0</v>
      </c>
      <c r="PXE45" s="5">
        <f>-'5. IRR'!PXF16</f>
        <v>-0.0</v>
      </c>
      <c r="PXF45" s="5">
        <f>-'5. IRR'!PXG16</f>
        <v>-0.0</v>
      </c>
      <c r="PXG45" s="5">
        <f>-'5. IRR'!PXH16</f>
        <v>-0.0</v>
      </c>
      <c r="PXH45" s="5">
        <f>-'5. IRR'!PXI16</f>
        <v>-0.0</v>
      </c>
      <c r="PXI45" s="5">
        <f>-'5. IRR'!PXJ16</f>
        <v>-0.0</v>
      </c>
      <c r="PXJ45" s="5">
        <f>-'5. IRR'!PXK16</f>
        <v>-0.0</v>
      </c>
      <c r="PXK45" s="5">
        <f>-'5. IRR'!PXL16</f>
        <v>-0.0</v>
      </c>
      <c r="PXL45" s="5">
        <f>-'5. IRR'!PXM16</f>
        <v>-0.0</v>
      </c>
      <c r="PXM45" s="5">
        <f>-'5. IRR'!PXN16</f>
        <v>-0.0</v>
      </c>
      <c r="PXN45" s="5">
        <f>-'5. IRR'!PXO16</f>
        <v>-0.0</v>
      </c>
      <c r="PXO45" s="5">
        <f>-'5. IRR'!PXP16</f>
        <v>-0.0</v>
      </c>
      <c r="PXP45" s="5">
        <f>-'5. IRR'!PXQ16</f>
        <v>-0.0</v>
      </c>
      <c r="PXQ45" s="5">
        <f>-'5. IRR'!PXR16</f>
        <v>-0.0</v>
      </c>
      <c r="PXR45" s="5">
        <f>-'5. IRR'!PXS16</f>
        <v>-0.0</v>
      </c>
      <c r="PXS45" s="5">
        <f>-'5. IRR'!PXT16</f>
        <v>-0.0</v>
      </c>
      <c r="PXT45" s="5">
        <f>-'5. IRR'!PXU16</f>
        <v>-0.0</v>
      </c>
      <c r="PXU45" s="5">
        <f>-'5. IRR'!PXV16</f>
        <v>-0.0</v>
      </c>
      <c r="PXV45" s="5">
        <f>-'5. IRR'!PXW16</f>
        <v>-0.0</v>
      </c>
      <c r="PXW45" s="5">
        <f>-'5. IRR'!PXX16</f>
        <v>-0.0</v>
      </c>
      <c r="PXX45" s="5">
        <f>-'5. IRR'!PXY16</f>
        <v>-0.0</v>
      </c>
      <c r="PXY45" s="5">
        <f>-'5. IRR'!PXZ16</f>
        <v>-0.0</v>
      </c>
      <c r="PXZ45" s="5">
        <f>-'5. IRR'!PYA16</f>
        <v>-0.0</v>
      </c>
      <c r="PYA45" s="5">
        <f>-'5. IRR'!PYB16</f>
        <v>-0.0</v>
      </c>
      <c r="PYB45" s="5">
        <f>-'5. IRR'!PYC16</f>
        <v>-0.0</v>
      </c>
      <c r="PYC45" s="5">
        <f>-'5. IRR'!PYD16</f>
        <v>-0.0</v>
      </c>
      <c r="PYD45" s="5">
        <f>-'5. IRR'!PYE16</f>
        <v>-0.0</v>
      </c>
      <c r="PYE45" s="5">
        <f>-'5. IRR'!PYF16</f>
        <v>-0.0</v>
      </c>
      <c r="PYF45" s="5">
        <f>-'5. IRR'!PYG16</f>
        <v>-0.0</v>
      </c>
      <c r="PYG45" s="5">
        <f>-'5. IRR'!PYH16</f>
        <v>-0.0</v>
      </c>
      <c r="PYH45" s="5">
        <f>-'5. IRR'!PYI16</f>
        <v>-0.0</v>
      </c>
      <c r="PYI45" s="5">
        <f>-'5. IRR'!PYJ16</f>
        <v>-0.0</v>
      </c>
      <c r="PYJ45" s="5">
        <f>-'5. IRR'!PYK16</f>
        <v>-0.0</v>
      </c>
      <c r="PYK45" s="5">
        <f>-'5. IRR'!PYL16</f>
        <v>-0.0</v>
      </c>
      <c r="PYL45" s="5">
        <f>-'5. IRR'!PYM16</f>
        <v>-0.0</v>
      </c>
      <c r="PYM45" s="5">
        <f>-'5. IRR'!PYN16</f>
        <v>-0.0</v>
      </c>
      <c r="PYN45" s="5">
        <f>-'5. IRR'!PYO16</f>
        <v>-0.0</v>
      </c>
      <c r="PYO45" s="5">
        <f>-'5. IRR'!PYP16</f>
        <v>-0.0</v>
      </c>
      <c r="PYP45" s="5">
        <f>-'5. IRR'!PYQ16</f>
        <v>-0.0</v>
      </c>
      <c r="PYQ45" s="5">
        <f>-'5. IRR'!PYR16</f>
        <v>-0.0</v>
      </c>
      <c r="PYR45" s="5">
        <f>-'5. IRR'!PYS16</f>
        <v>-0.0</v>
      </c>
      <c r="PYS45" s="5">
        <f>-'5. IRR'!PYT16</f>
        <v>-0.0</v>
      </c>
      <c r="PYT45" s="5">
        <f>-'5. IRR'!PYU16</f>
        <v>-0.0</v>
      </c>
      <c r="PYU45" s="5">
        <f>-'5. IRR'!PYV16</f>
        <v>-0.0</v>
      </c>
      <c r="PYV45" s="5">
        <f>-'5. IRR'!PYW16</f>
        <v>-0.0</v>
      </c>
      <c r="PYW45" s="5">
        <f>-'5. IRR'!PYX16</f>
        <v>-0.0</v>
      </c>
      <c r="PYX45" s="5">
        <f>-'5. IRR'!PYY16</f>
        <v>-0.0</v>
      </c>
      <c r="PYY45" s="5">
        <f>-'5. IRR'!PYZ16</f>
        <v>-0.0</v>
      </c>
      <c r="PYZ45" s="5">
        <f>-'5. IRR'!PZA16</f>
        <v>-0.0</v>
      </c>
      <c r="PZA45" s="5">
        <f>-'5. IRR'!PZB16</f>
        <v>-0.0</v>
      </c>
      <c r="PZB45" s="5">
        <f>-'5. IRR'!PZC16</f>
        <v>-0.0</v>
      </c>
      <c r="PZC45" s="5">
        <f>-'5. IRR'!PZD16</f>
        <v>-0.0</v>
      </c>
      <c r="PZD45" s="5">
        <f>-'5. IRR'!PZE16</f>
        <v>-0.0</v>
      </c>
      <c r="PZE45" s="5">
        <f>-'5. IRR'!PZF16</f>
        <v>-0.0</v>
      </c>
      <c r="PZF45" s="5">
        <f>-'5. IRR'!PZG16</f>
        <v>-0.0</v>
      </c>
      <c r="PZG45" s="5">
        <f>-'5. IRR'!PZH16</f>
        <v>-0.0</v>
      </c>
      <c r="PZH45" s="5">
        <f>-'5. IRR'!PZI16</f>
        <v>-0.0</v>
      </c>
      <c r="PZI45" s="5">
        <f>-'5. IRR'!PZJ16</f>
        <v>-0.0</v>
      </c>
      <c r="PZJ45" s="5">
        <f>-'5. IRR'!PZK16</f>
        <v>-0.0</v>
      </c>
      <c r="PZK45" s="5">
        <f>-'5. IRR'!PZL16</f>
        <v>-0.0</v>
      </c>
      <c r="PZL45" s="5">
        <f>-'5. IRR'!PZM16</f>
        <v>-0.0</v>
      </c>
      <c r="PZM45" s="5">
        <f>-'5. IRR'!PZN16</f>
        <v>-0.0</v>
      </c>
      <c r="PZN45" s="5">
        <f>-'5. IRR'!PZO16</f>
        <v>-0.0</v>
      </c>
      <c r="PZO45" s="5">
        <f>-'5. IRR'!PZP16</f>
        <v>-0.0</v>
      </c>
      <c r="PZP45" s="5">
        <f>-'5. IRR'!PZQ16</f>
        <v>-0.0</v>
      </c>
      <c r="PZQ45" s="5">
        <f>-'5. IRR'!PZR16</f>
        <v>-0.0</v>
      </c>
      <c r="PZR45" s="5">
        <f>-'5. IRR'!PZS16</f>
        <v>-0.0</v>
      </c>
      <c r="PZS45" s="5">
        <f>-'5. IRR'!PZT16</f>
        <v>-0.0</v>
      </c>
      <c r="PZT45" s="5">
        <f>-'5. IRR'!PZU16</f>
        <v>-0.0</v>
      </c>
      <c r="PZU45" s="5">
        <f>-'5. IRR'!PZV16</f>
        <v>-0.0</v>
      </c>
      <c r="PZV45" s="5">
        <f>-'5. IRR'!PZW16</f>
        <v>-0.0</v>
      </c>
      <c r="PZW45" s="5">
        <f>-'5. IRR'!PZX16</f>
        <v>-0.0</v>
      </c>
      <c r="PZX45" s="5">
        <f>-'5. IRR'!PZY16</f>
        <v>-0.0</v>
      </c>
      <c r="PZY45" s="5">
        <f>-'5. IRR'!PZZ16</f>
        <v>-0.0</v>
      </c>
      <c r="PZZ45" s="5">
        <f>-'5. IRR'!QAA16</f>
        <v>-0.0</v>
      </c>
      <c r="QAA45" s="5">
        <f>-'5. IRR'!QAB16</f>
        <v>-0.0</v>
      </c>
      <c r="QAB45" s="5">
        <f>-'5. IRR'!QAC16</f>
        <v>-0.0</v>
      </c>
      <c r="QAC45" s="5">
        <f>-'5. IRR'!QAD16</f>
        <v>-0.0</v>
      </c>
      <c r="QAD45" s="5">
        <f>-'5. IRR'!QAE16</f>
        <v>-0.0</v>
      </c>
      <c r="QAE45" s="5">
        <f>-'5. IRR'!QAF16</f>
        <v>-0.0</v>
      </c>
      <c r="QAF45" s="5">
        <f>-'5. IRR'!QAG16</f>
        <v>-0.0</v>
      </c>
      <c r="QAG45" s="5">
        <f>-'5. IRR'!QAH16</f>
        <v>-0.0</v>
      </c>
      <c r="QAH45" s="5">
        <f>-'5. IRR'!QAI16</f>
        <v>-0.0</v>
      </c>
      <c r="QAI45" s="5">
        <f>-'5. IRR'!QAJ16</f>
        <v>-0.0</v>
      </c>
      <c r="QAJ45" s="5">
        <f>-'5. IRR'!QAK16</f>
        <v>-0.0</v>
      </c>
      <c r="QAK45" s="5">
        <f>-'5. IRR'!QAL16</f>
        <v>-0.0</v>
      </c>
      <c r="QAL45" s="5">
        <f>-'5. IRR'!QAM16</f>
        <v>-0.0</v>
      </c>
      <c r="QAM45" s="5">
        <f>-'5. IRR'!QAN16</f>
        <v>-0.0</v>
      </c>
      <c r="QAN45" s="5">
        <f>-'5. IRR'!QAO16</f>
        <v>-0.0</v>
      </c>
      <c r="QAO45" s="5">
        <f>-'5. IRR'!QAP16</f>
        <v>-0.0</v>
      </c>
      <c r="QAP45" s="5">
        <f>-'5. IRR'!QAQ16</f>
        <v>-0.0</v>
      </c>
      <c r="QAQ45" s="5">
        <f>-'5. IRR'!QAR16</f>
        <v>-0.0</v>
      </c>
      <c r="QAR45" s="5">
        <f>-'5. IRR'!QAS16</f>
        <v>-0.0</v>
      </c>
      <c r="QAS45" s="5">
        <f>-'5. IRR'!QAT16</f>
        <v>-0.0</v>
      </c>
      <c r="QAT45" s="5">
        <f>-'5. IRR'!QAU16</f>
        <v>-0.0</v>
      </c>
      <c r="QAU45" s="5">
        <f>-'5. IRR'!QAV16</f>
        <v>-0.0</v>
      </c>
      <c r="QAV45" s="5">
        <f>-'5. IRR'!QAW16</f>
        <v>-0.0</v>
      </c>
      <c r="QAW45" s="5">
        <f>-'5. IRR'!QAX16</f>
        <v>-0.0</v>
      </c>
      <c r="QAX45" s="5">
        <f>-'5. IRR'!QAY16</f>
        <v>-0.0</v>
      </c>
      <c r="QAY45" s="5">
        <f>-'5. IRR'!QAZ16</f>
        <v>-0.0</v>
      </c>
      <c r="QAZ45" s="5">
        <f>-'5. IRR'!QBA16</f>
        <v>-0.0</v>
      </c>
      <c r="QBA45" s="5">
        <f>-'5. IRR'!QBB16</f>
        <v>-0.0</v>
      </c>
      <c r="QBB45" s="5">
        <f>-'5. IRR'!QBC16</f>
        <v>-0.0</v>
      </c>
      <c r="QBC45" s="5">
        <f>-'5. IRR'!QBD16</f>
        <v>-0.0</v>
      </c>
      <c r="QBD45" s="5">
        <f>-'5. IRR'!QBE16</f>
        <v>-0.0</v>
      </c>
      <c r="QBE45" s="5">
        <f>-'5. IRR'!QBF16</f>
        <v>-0.0</v>
      </c>
      <c r="QBF45" s="5">
        <f>-'5. IRR'!QBG16</f>
        <v>-0.0</v>
      </c>
      <c r="QBG45" s="5">
        <f>-'5. IRR'!QBH16</f>
        <v>-0.0</v>
      </c>
      <c r="QBH45" s="5">
        <f>-'5. IRR'!QBI16</f>
        <v>-0.0</v>
      </c>
      <c r="QBI45" s="5">
        <f>-'5. IRR'!QBJ16</f>
        <v>-0.0</v>
      </c>
      <c r="QBJ45" s="5">
        <f>-'5. IRR'!QBK16</f>
        <v>-0.0</v>
      </c>
      <c r="QBK45" s="5">
        <f>-'5. IRR'!QBL16</f>
        <v>-0.0</v>
      </c>
      <c r="QBL45" s="5">
        <f>-'5. IRR'!QBM16</f>
        <v>-0.0</v>
      </c>
      <c r="QBM45" s="5">
        <f>-'5. IRR'!QBN16</f>
        <v>-0.0</v>
      </c>
      <c r="QBN45" s="5">
        <f>-'5. IRR'!QBO16</f>
        <v>-0.0</v>
      </c>
      <c r="QBO45" s="5">
        <f>-'5. IRR'!QBP16</f>
        <v>-0.0</v>
      </c>
      <c r="QBP45" s="5">
        <f>-'5. IRR'!QBQ16</f>
        <v>-0.0</v>
      </c>
      <c r="QBQ45" s="5">
        <f>-'5. IRR'!QBR16</f>
        <v>-0.0</v>
      </c>
      <c r="QBR45" s="5">
        <f>-'5. IRR'!QBS16</f>
        <v>-0.0</v>
      </c>
      <c r="QBS45" s="5">
        <f>-'5. IRR'!QBT16</f>
        <v>-0.0</v>
      </c>
      <c r="QBT45" s="5">
        <f>-'5. IRR'!QBU16</f>
        <v>-0.0</v>
      </c>
      <c r="QBU45" s="5">
        <f>-'5. IRR'!QBV16</f>
        <v>-0.0</v>
      </c>
      <c r="QBV45" s="5">
        <f>-'5. IRR'!QBW16</f>
        <v>-0.0</v>
      </c>
      <c r="QBW45" s="5">
        <f>-'5. IRR'!QBX16</f>
        <v>-0.0</v>
      </c>
      <c r="QBX45" s="5">
        <f>-'5. IRR'!QBY16</f>
        <v>-0.0</v>
      </c>
      <c r="QBY45" s="5">
        <f>-'5. IRR'!QBZ16</f>
        <v>-0.0</v>
      </c>
      <c r="QBZ45" s="5">
        <f>-'5. IRR'!QCA16</f>
        <v>-0.0</v>
      </c>
      <c r="QCA45" s="5">
        <f>-'5. IRR'!QCB16</f>
        <v>-0.0</v>
      </c>
      <c r="QCB45" s="5">
        <f>-'5. IRR'!QCC16</f>
        <v>-0.0</v>
      </c>
      <c r="QCC45" s="5">
        <f>-'5. IRR'!QCD16</f>
        <v>-0.0</v>
      </c>
      <c r="QCD45" s="5">
        <f>-'5. IRR'!QCE16</f>
        <v>-0.0</v>
      </c>
      <c r="QCE45" s="5">
        <f>-'5. IRR'!QCF16</f>
        <v>-0.0</v>
      </c>
      <c r="QCF45" s="5">
        <f>-'5. IRR'!QCG16</f>
        <v>-0.0</v>
      </c>
      <c r="QCG45" s="5">
        <f>-'5. IRR'!QCH16</f>
        <v>-0.0</v>
      </c>
      <c r="QCH45" s="5">
        <f>-'5. IRR'!QCI16</f>
        <v>-0.0</v>
      </c>
      <c r="QCI45" s="5">
        <f>-'5. IRR'!QCJ16</f>
        <v>-0.0</v>
      </c>
      <c r="QCJ45" s="5">
        <f>-'5. IRR'!QCK16</f>
        <v>-0.0</v>
      </c>
      <c r="QCK45" s="5">
        <f>-'5. IRR'!QCL16</f>
        <v>-0.0</v>
      </c>
      <c r="QCL45" s="5">
        <f>-'5. IRR'!QCM16</f>
        <v>-0.0</v>
      </c>
      <c r="QCM45" s="5">
        <f>-'5. IRR'!QCN16</f>
        <v>-0.0</v>
      </c>
      <c r="QCN45" s="5">
        <f>-'5. IRR'!QCO16</f>
        <v>-0.0</v>
      </c>
      <c r="QCO45" s="5">
        <f>-'5. IRR'!QCP16</f>
        <v>-0.0</v>
      </c>
      <c r="QCP45" s="5">
        <f>-'5. IRR'!QCQ16</f>
        <v>-0.0</v>
      </c>
      <c r="QCQ45" s="5">
        <f>-'5. IRR'!QCR16</f>
        <v>-0.0</v>
      </c>
      <c r="QCR45" s="5">
        <f>-'5. IRR'!QCS16</f>
        <v>-0.0</v>
      </c>
      <c r="QCS45" s="5">
        <f>-'5. IRR'!QCT16</f>
        <v>-0.0</v>
      </c>
      <c r="QCT45" s="5">
        <f>-'5. IRR'!QCU16</f>
        <v>-0.0</v>
      </c>
      <c r="QCU45" s="5">
        <f>-'5. IRR'!QCV16</f>
        <v>-0.0</v>
      </c>
      <c r="QCV45" s="5">
        <f>-'5. IRR'!QCW16</f>
        <v>-0.0</v>
      </c>
      <c r="QCW45" s="5">
        <f>-'5. IRR'!QCX16</f>
        <v>-0.0</v>
      </c>
      <c r="QCX45" s="5">
        <f>-'5. IRR'!QCY16</f>
        <v>-0.0</v>
      </c>
      <c r="QCY45" s="5">
        <f>-'5. IRR'!QCZ16</f>
        <v>-0.0</v>
      </c>
      <c r="QCZ45" s="5">
        <f>-'5. IRR'!QDA16</f>
        <v>-0.0</v>
      </c>
      <c r="QDA45" s="5">
        <f>-'5. IRR'!QDB16</f>
        <v>-0.0</v>
      </c>
      <c r="QDB45" s="5">
        <f>-'5. IRR'!QDC16</f>
        <v>-0.0</v>
      </c>
      <c r="QDC45" s="5">
        <f>-'5. IRR'!QDD16</f>
        <v>-0.0</v>
      </c>
      <c r="QDD45" s="5">
        <f>-'5. IRR'!QDE16</f>
        <v>-0.0</v>
      </c>
      <c r="QDE45" s="5">
        <f>-'5. IRR'!QDF16</f>
        <v>-0.0</v>
      </c>
      <c r="QDF45" s="5">
        <f>-'5. IRR'!QDG16</f>
        <v>-0.0</v>
      </c>
      <c r="QDG45" s="5">
        <f>-'5. IRR'!QDH16</f>
        <v>-0.0</v>
      </c>
      <c r="QDH45" s="5">
        <f>-'5. IRR'!QDI16</f>
        <v>-0.0</v>
      </c>
      <c r="QDI45" s="5">
        <f>-'5. IRR'!QDJ16</f>
        <v>-0.0</v>
      </c>
      <c r="QDJ45" s="5">
        <f>-'5. IRR'!QDK16</f>
        <v>-0.0</v>
      </c>
      <c r="QDK45" s="5">
        <f>-'5. IRR'!QDL16</f>
        <v>-0.0</v>
      </c>
      <c r="QDL45" s="5">
        <f>-'5. IRR'!QDM16</f>
        <v>-0.0</v>
      </c>
      <c r="QDM45" s="5">
        <f>-'5. IRR'!QDN16</f>
        <v>-0.0</v>
      </c>
      <c r="QDN45" s="5">
        <f>-'5. IRR'!QDO16</f>
        <v>-0.0</v>
      </c>
      <c r="QDO45" s="5">
        <f>-'5. IRR'!QDP16</f>
        <v>-0.0</v>
      </c>
      <c r="QDP45" s="5">
        <f>-'5. IRR'!QDQ16</f>
        <v>-0.0</v>
      </c>
      <c r="QDQ45" s="5">
        <f>-'5. IRR'!QDR16</f>
        <v>-0.0</v>
      </c>
      <c r="QDR45" s="5">
        <f>-'5. IRR'!QDS16</f>
        <v>-0.0</v>
      </c>
      <c r="QDS45" s="5">
        <f>-'5. IRR'!QDT16</f>
        <v>-0.0</v>
      </c>
      <c r="QDT45" s="5">
        <f>-'5. IRR'!QDU16</f>
        <v>-0.0</v>
      </c>
      <c r="QDU45" s="5">
        <f>-'5. IRR'!QDV16</f>
        <v>-0.0</v>
      </c>
      <c r="QDV45" s="5">
        <f>-'5. IRR'!QDW16</f>
        <v>-0.0</v>
      </c>
      <c r="QDW45" s="5">
        <f>-'5. IRR'!QDX16</f>
        <v>-0.0</v>
      </c>
      <c r="QDX45" s="5">
        <f>-'5. IRR'!QDY16</f>
        <v>-0.0</v>
      </c>
      <c r="QDY45" s="5">
        <f>-'5. IRR'!QDZ16</f>
        <v>-0.0</v>
      </c>
      <c r="QDZ45" s="5">
        <f>-'5. IRR'!QEA16</f>
        <v>-0.0</v>
      </c>
      <c r="QEA45" s="5">
        <f>-'5. IRR'!QEB16</f>
        <v>-0.0</v>
      </c>
      <c r="QEB45" s="5">
        <f>-'5. IRR'!QEC16</f>
        <v>-0.0</v>
      </c>
      <c r="QEC45" s="5">
        <f>-'5. IRR'!QED16</f>
        <v>-0.0</v>
      </c>
      <c r="QED45" s="5">
        <f>-'5. IRR'!QEE16</f>
        <v>-0.0</v>
      </c>
      <c r="QEE45" s="5">
        <f>-'5. IRR'!QEF16</f>
        <v>-0.0</v>
      </c>
      <c r="QEF45" s="5">
        <f>-'5. IRR'!QEG16</f>
        <v>-0.0</v>
      </c>
      <c r="QEG45" s="5">
        <f>-'5. IRR'!QEH16</f>
        <v>-0.0</v>
      </c>
      <c r="QEH45" s="5">
        <f>-'5. IRR'!QEI16</f>
        <v>-0.0</v>
      </c>
      <c r="QEI45" s="5">
        <f>-'5. IRR'!QEJ16</f>
        <v>-0.0</v>
      </c>
      <c r="QEJ45" s="5">
        <f>-'5. IRR'!QEK16</f>
        <v>-0.0</v>
      </c>
      <c r="QEK45" s="5">
        <f>-'5. IRR'!QEL16</f>
        <v>-0.0</v>
      </c>
      <c r="QEL45" s="5">
        <f>-'5. IRR'!QEM16</f>
        <v>-0.0</v>
      </c>
      <c r="QEM45" s="5">
        <f>-'5. IRR'!QEN16</f>
        <v>-0.0</v>
      </c>
      <c r="QEN45" s="5">
        <f>-'5. IRR'!QEO16</f>
        <v>-0.0</v>
      </c>
      <c r="QEO45" s="5">
        <f>-'5. IRR'!QEP16</f>
        <v>-0.0</v>
      </c>
      <c r="QEP45" s="5">
        <f>-'5. IRR'!QEQ16</f>
        <v>-0.0</v>
      </c>
      <c r="QEQ45" s="5">
        <f>-'5. IRR'!QER16</f>
        <v>-0.0</v>
      </c>
      <c r="QER45" s="5">
        <f>-'5. IRR'!QES16</f>
        <v>-0.0</v>
      </c>
      <c r="QES45" s="5">
        <f>-'5. IRR'!QET16</f>
        <v>-0.0</v>
      </c>
      <c r="QET45" s="5">
        <f>-'5. IRR'!QEU16</f>
        <v>-0.0</v>
      </c>
      <c r="QEU45" s="5">
        <f>-'5. IRR'!QEV16</f>
        <v>-0.0</v>
      </c>
      <c r="QEV45" s="5">
        <f>-'5. IRR'!QEW16</f>
        <v>-0.0</v>
      </c>
      <c r="QEW45" s="5">
        <f>-'5. IRR'!QEX16</f>
        <v>-0.0</v>
      </c>
      <c r="QEX45" s="5">
        <f>-'5. IRR'!QEY16</f>
        <v>-0.0</v>
      </c>
      <c r="QEY45" s="5">
        <f>-'5. IRR'!QEZ16</f>
        <v>-0.0</v>
      </c>
      <c r="QEZ45" s="5">
        <f>-'5. IRR'!QFA16</f>
        <v>-0.0</v>
      </c>
      <c r="QFA45" s="5">
        <f>-'5. IRR'!QFB16</f>
        <v>-0.0</v>
      </c>
      <c r="QFB45" s="5">
        <f>-'5. IRR'!QFC16</f>
        <v>-0.0</v>
      </c>
      <c r="QFC45" s="5">
        <f>-'5. IRR'!QFD16</f>
        <v>-0.0</v>
      </c>
      <c r="QFD45" s="5">
        <f>-'5. IRR'!QFE16</f>
        <v>-0.0</v>
      </c>
      <c r="QFE45" s="5">
        <f>-'5. IRR'!QFF16</f>
        <v>-0.0</v>
      </c>
      <c r="QFF45" s="5">
        <f>-'5. IRR'!QFG16</f>
        <v>-0.0</v>
      </c>
      <c r="QFG45" s="5">
        <f>-'5. IRR'!QFH16</f>
        <v>-0.0</v>
      </c>
      <c r="QFH45" s="5">
        <f>-'5. IRR'!QFI16</f>
        <v>-0.0</v>
      </c>
      <c r="QFI45" s="5">
        <f>-'5. IRR'!QFJ16</f>
        <v>-0.0</v>
      </c>
      <c r="QFJ45" s="5">
        <f>-'5. IRR'!QFK16</f>
        <v>-0.0</v>
      </c>
      <c r="QFK45" s="5">
        <f>-'5. IRR'!QFL16</f>
        <v>-0.0</v>
      </c>
      <c r="QFL45" s="5">
        <f>-'5. IRR'!QFM16</f>
        <v>-0.0</v>
      </c>
      <c r="QFM45" s="5">
        <f>-'5. IRR'!QFN16</f>
        <v>-0.0</v>
      </c>
      <c r="QFN45" s="5">
        <f>-'5. IRR'!QFO16</f>
        <v>-0.0</v>
      </c>
      <c r="QFO45" s="5">
        <f>-'5. IRR'!QFP16</f>
        <v>-0.0</v>
      </c>
      <c r="QFP45" s="5">
        <f>-'5. IRR'!QFQ16</f>
        <v>-0.0</v>
      </c>
      <c r="QFQ45" s="5">
        <f>-'5. IRR'!QFR16</f>
        <v>-0.0</v>
      </c>
      <c r="QFR45" s="5">
        <f>-'5. IRR'!QFS16</f>
        <v>-0.0</v>
      </c>
      <c r="QFS45" s="5">
        <f>-'5. IRR'!QFT16</f>
        <v>-0.0</v>
      </c>
      <c r="QFT45" s="5">
        <f>-'5. IRR'!QFU16</f>
        <v>-0.0</v>
      </c>
      <c r="QFU45" s="5">
        <f>-'5. IRR'!QFV16</f>
        <v>-0.0</v>
      </c>
      <c r="QFV45" s="5">
        <f>-'5. IRR'!QFW16</f>
        <v>-0.0</v>
      </c>
      <c r="QFW45" s="5">
        <f>-'5. IRR'!QFX16</f>
        <v>-0.0</v>
      </c>
      <c r="QFX45" s="5">
        <f>-'5. IRR'!QFY16</f>
        <v>-0.0</v>
      </c>
      <c r="QFY45" s="5">
        <f>-'5. IRR'!QFZ16</f>
        <v>-0.0</v>
      </c>
      <c r="QFZ45" s="5">
        <f>-'5. IRR'!QGA16</f>
        <v>-0.0</v>
      </c>
      <c r="QGA45" s="5">
        <f>-'5. IRR'!QGB16</f>
        <v>-0.0</v>
      </c>
      <c r="QGB45" s="5">
        <f>-'5. IRR'!QGC16</f>
        <v>-0.0</v>
      </c>
      <c r="QGC45" s="5">
        <f>-'5. IRR'!QGD16</f>
        <v>-0.0</v>
      </c>
      <c r="QGD45" s="5">
        <f>-'5. IRR'!QGE16</f>
        <v>-0.0</v>
      </c>
      <c r="QGE45" s="5">
        <f>-'5. IRR'!QGF16</f>
        <v>-0.0</v>
      </c>
      <c r="QGF45" s="5">
        <f>-'5. IRR'!QGG16</f>
        <v>-0.0</v>
      </c>
      <c r="QGG45" s="5">
        <f>-'5. IRR'!QGH16</f>
        <v>-0.0</v>
      </c>
      <c r="QGH45" s="5">
        <f>-'5. IRR'!QGI16</f>
        <v>-0.0</v>
      </c>
      <c r="QGI45" s="5">
        <f>-'5. IRR'!QGJ16</f>
        <v>-0.0</v>
      </c>
      <c r="QGJ45" s="5">
        <f>-'5. IRR'!QGK16</f>
        <v>-0.0</v>
      </c>
      <c r="QGK45" s="5">
        <f>-'5. IRR'!QGL16</f>
        <v>-0.0</v>
      </c>
      <c r="QGL45" s="5">
        <f>-'5. IRR'!QGM16</f>
        <v>-0.0</v>
      </c>
      <c r="QGM45" s="5">
        <f>-'5. IRR'!QGN16</f>
        <v>-0.0</v>
      </c>
      <c r="QGN45" s="5">
        <f>-'5. IRR'!QGO16</f>
        <v>-0.0</v>
      </c>
      <c r="QGO45" s="5">
        <f>-'5. IRR'!QGP16</f>
        <v>-0.0</v>
      </c>
      <c r="QGP45" s="5">
        <f>-'5. IRR'!QGQ16</f>
        <v>-0.0</v>
      </c>
      <c r="QGQ45" s="5">
        <f>-'5. IRR'!QGR16</f>
        <v>-0.0</v>
      </c>
      <c r="QGR45" s="5">
        <f>-'5. IRR'!QGS16</f>
        <v>-0.0</v>
      </c>
      <c r="QGS45" s="5">
        <f>-'5. IRR'!QGT16</f>
        <v>-0.0</v>
      </c>
      <c r="QGT45" s="5">
        <f>-'5. IRR'!QGU16</f>
        <v>-0.0</v>
      </c>
      <c r="QGU45" s="5">
        <f>-'5. IRR'!QGV16</f>
        <v>-0.0</v>
      </c>
      <c r="QGV45" s="5">
        <f>-'5. IRR'!QGW16</f>
        <v>-0.0</v>
      </c>
      <c r="QGW45" s="5">
        <f>-'5. IRR'!QGX16</f>
        <v>-0.0</v>
      </c>
      <c r="QGX45" s="5">
        <f>-'5. IRR'!QGY16</f>
        <v>-0.0</v>
      </c>
      <c r="QGY45" s="5">
        <f>-'5. IRR'!QGZ16</f>
        <v>-0.0</v>
      </c>
      <c r="QGZ45" s="5">
        <f>-'5. IRR'!QHA16</f>
        <v>-0.0</v>
      </c>
      <c r="QHA45" s="5">
        <f>-'5. IRR'!QHB16</f>
        <v>-0.0</v>
      </c>
      <c r="QHB45" s="5">
        <f>-'5. IRR'!QHC16</f>
        <v>-0.0</v>
      </c>
      <c r="QHC45" s="5">
        <f>-'5. IRR'!QHD16</f>
        <v>-0.0</v>
      </c>
      <c r="QHD45" s="5">
        <f>-'5. IRR'!QHE16</f>
        <v>-0.0</v>
      </c>
      <c r="QHE45" s="5">
        <f>-'5. IRR'!QHF16</f>
        <v>-0.0</v>
      </c>
      <c r="QHF45" s="5">
        <f>-'5. IRR'!QHG16</f>
        <v>-0.0</v>
      </c>
      <c r="QHG45" s="5">
        <f>-'5. IRR'!QHH16</f>
        <v>-0.0</v>
      </c>
      <c r="QHH45" s="5">
        <f>-'5. IRR'!QHI16</f>
        <v>-0.0</v>
      </c>
      <c r="QHI45" s="5">
        <f>-'5. IRR'!QHJ16</f>
        <v>-0.0</v>
      </c>
      <c r="QHJ45" s="5">
        <f>-'5. IRR'!QHK16</f>
        <v>-0.0</v>
      </c>
      <c r="QHK45" s="5">
        <f>-'5. IRR'!QHL16</f>
        <v>-0.0</v>
      </c>
      <c r="QHL45" s="5">
        <f>-'5. IRR'!QHM16</f>
        <v>-0.0</v>
      </c>
      <c r="QHM45" s="5">
        <f>-'5. IRR'!QHN16</f>
        <v>-0.0</v>
      </c>
      <c r="QHN45" s="5">
        <f>-'5. IRR'!QHO16</f>
        <v>-0.0</v>
      </c>
      <c r="QHO45" s="5">
        <f>-'5. IRR'!QHP16</f>
        <v>-0.0</v>
      </c>
      <c r="QHP45" s="5">
        <f>-'5. IRR'!QHQ16</f>
        <v>-0.0</v>
      </c>
      <c r="QHQ45" s="5">
        <f>-'5. IRR'!QHR16</f>
        <v>-0.0</v>
      </c>
      <c r="QHR45" s="5">
        <f>-'5. IRR'!QHS16</f>
        <v>-0.0</v>
      </c>
      <c r="QHS45" s="5">
        <f>-'5. IRR'!QHT16</f>
        <v>-0.0</v>
      </c>
      <c r="QHT45" s="5">
        <f>-'5. IRR'!QHU16</f>
        <v>-0.0</v>
      </c>
      <c r="QHU45" s="5">
        <f>-'5. IRR'!QHV16</f>
        <v>-0.0</v>
      </c>
      <c r="QHV45" s="5">
        <f>-'5. IRR'!QHW16</f>
        <v>-0.0</v>
      </c>
      <c r="QHW45" s="5">
        <f>-'5. IRR'!QHX16</f>
        <v>-0.0</v>
      </c>
      <c r="QHX45" s="5">
        <f>-'5. IRR'!QHY16</f>
        <v>-0.0</v>
      </c>
      <c r="QHY45" s="5">
        <f>-'5. IRR'!QHZ16</f>
        <v>-0.0</v>
      </c>
      <c r="QHZ45" s="5">
        <f>-'5. IRR'!QIA16</f>
        <v>-0.0</v>
      </c>
      <c r="QIA45" s="5">
        <f>-'5. IRR'!QIB16</f>
        <v>-0.0</v>
      </c>
      <c r="QIB45" s="5">
        <f>-'5. IRR'!QIC16</f>
        <v>-0.0</v>
      </c>
      <c r="QIC45" s="5">
        <f>-'5. IRR'!QID16</f>
        <v>-0.0</v>
      </c>
      <c r="QID45" s="5">
        <f>-'5. IRR'!QIE16</f>
        <v>-0.0</v>
      </c>
      <c r="QIE45" s="5">
        <f>-'5. IRR'!QIF16</f>
        <v>-0.0</v>
      </c>
      <c r="QIF45" s="5">
        <f>-'5. IRR'!QIG16</f>
        <v>-0.0</v>
      </c>
      <c r="QIG45" s="5">
        <f>-'5. IRR'!QIH16</f>
        <v>-0.0</v>
      </c>
      <c r="QIH45" s="5">
        <f>-'5. IRR'!QII16</f>
        <v>-0.0</v>
      </c>
      <c r="QII45" s="5">
        <f>-'5. IRR'!QIJ16</f>
        <v>-0.0</v>
      </c>
      <c r="QIJ45" s="5">
        <f>-'5. IRR'!QIK16</f>
        <v>-0.0</v>
      </c>
      <c r="QIK45" s="5">
        <f>-'5. IRR'!QIL16</f>
        <v>-0.0</v>
      </c>
      <c r="QIL45" s="5">
        <f>-'5. IRR'!QIM16</f>
        <v>-0.0</v>
      </c>
      <c r="QIM45" s="5">
        <f>-'5. IRR'!QIN16</f>
        <v>-0.0</v>
      </c>
      <c r="QIN45" s="5">
        <f>-'5. IRR'!QIO16</f>
        <v>-0.0</v>
      </c>
      <c r="QIO45" s="5">
        <f>-'5. IRR'!QIP16</f>
        <v>-0.0</v>
      </c>
      <c r="QIP45" s="5">
        <f>-'5. IRR'!QIQ16</f>
        <v>-0.0</v>
      </c>
      <c r="QIQ45" s="5">
        <f>-'5. IRR'!QIR16</f>
        <v>-0.0</v>
      </c>
      <c r="QIR45" s="5">
        <f>-'5. IRR'!QIS16</f>
        <v>-0.0</v>
      </c>
      <c r="QIS45" s="5">
        <f>-'5. IRR'!QIT16</f>
        <v>-0.0</v>
      </c>
      <c r="QIT45" s="5">
        <f>-'5. IRR'!QIU16</f>
        <v>-0.0</v>
      </c>
      <c r="QIU45" s="5">
        <f>-'5. IRR'!QIV16</f>
        <v>-0.0</v>
      </c>
      <c r="QIV45" s="5">
        <f>-'5. IRR'!QIW16</f>
        <v>-0.0</v>
      </c>
      <c r="QIW45" s="5">
        <f>-'5. IRR'!QIX16</f>
        <v>-0.0</v>
      </c>
      <c r="QIX45" s="5">
        <f>-'5. IRR'!QIY16</f>
        <v>-0.0</v>
      </c>
      <c r="QIY45" s="5">
        <f>-'5. IRR'!QIZ16</f>
        <v>-0.0</v>
      </c>
      <c r="QIZ45" s="5">
        <f>-'5. IRR'!QJA16</f>
        <v>-0.0</v>
      </c>
      <c r="QJA45" s="5">
        <f>-'5. IRR'!QJB16</f>
        <v>-0.0</v>
      </c>
      <c r="QJB45" s="5">
        <f>-'5. IRR'!QJC16</f>
        <v>-0.0</v>
      </c>
      <c r="QJC45" s="5">
        <f>-'5. IRR'!QJD16</f>
        <v>-0.0</v>
      </c>
      <c r="QJD45" s="5">
        <f>-'5. IRR'!QJE16</f>
        <v>-0.0</v>
      </c>
      <c r="QJE45" s="5">
        <f>-'5. IRR'!QJF16</f>
        <v>-0.0</v>
      </c>
      <c r="QJF45" s="5">
        <f>-'5. IRR'!QJG16</f>
        <v>-0.0</v>
      </c>
      <c r="QJG45" s="5">
        <f>-'5. IRR'!QJH16</f>
        <v>-0.0</v>
      </c>
      <c r="QJH45" s="5">
        <f>-'5. IRR'!QJI16</f>
        <v>-0.0</v>
      </c>
      <c r="QJI45" s="5">
        <f>-'5. IRR'!QJJ16</f>
        <v>-0.0</v>
      </c>
      <c r="QJJ45" s="5">
        <f>-'5. IRR'!QJK16</f>
        <v>-0.0</v>
      </c>
      <c r="QJK45" s="5">
        <f>-'5. IRR'!QJL16</f>
        <v>-0.0</v>
      </c>
      <c r="QJL45" s="5">
        <f>-'5. IRR'!QJM16</f>
        <v>-0.0</v>
      </c>
      <c r="QJM45" s="5">
        <f>-'5. IRR'!QJN16</f>
        <v>-0.0</v>
      </c>
      <c r="QJN45" s="5">
        <f>-'5. IRR'!QJO16</f>
        <v>-0.0</v>
      </c>
      <c r="QJO45" s="5">
        <f>-'5. IRR'!QJP16</f>
        <v>-0.0</v>
      </c>
      <c r="QJP45" s="5">
        <f>-'5. IRR'!QJQ16</f>
        <v>-0.0</v>
      </c>
      <c r="QJQ45" s="5">
        <f>-'5. IRR'!QJR16</f>
        <v>-0.0</v>
      </c>
      <c r="QJR45" s="5">
        <f>-'5. IRR'!QJS16</f>
        <v>-0.0</v>
      </c>
      <c r="QJS45" s="5">
        <f>-'5. IRR'!QJT16</f>
        <v>-0.0</v>
      </c>
      <c r="QJT45" s="5">
        <f>-'5. IRR'!QJU16</f>
        <v>-0.0</v>
      </c>
      <c r="QJU45" s="5">
        <f>-'5. IRR'!QJV16</f>
        <v>-0.0</v>
      </c>
      <c r="QJV45" s="5">
        <f>-'5. IRR'!QJW16</f>
        <v>-0.0</v>
      </c>
      <c r="QJW45" s="5">
        <f>-'5. IRR'!QJX16</f>
        <v>-0.0</v>
      </c>
      <c r="QJX45" s="5">
        <f>-'5. IRR'!QJY16</f>
        <v>-0.0</v>
      </c>
      <c r="QJY45" s="5">
        <f>-'5. IRR'!QJZ16</f>
        <v>-0.0</v>
      </c>
      <c r="QJZ45" s="5">
        <f>-'5. IRR'!QKA16</f>
        <v>-0.0</v>
      </c>
      <c r="QKA45" s="5">
        <f>-'5. IRR'!QKB16</f>
        <v>-0.0</v>
      </c>
      <c r="QKB45" s="5">
        <f>-'5. IRR'!QKC16</f>
        <v>-0.0</v>
      </c>
      <c r="QKC45" s="5">
        <f>-'5. IRR'!QKD16</f>
        <v>-0.0</v>
      </c>
      <c r="QKD45" s="5">
        <f>-'5. IRR'!QKE16</f>
        <v>-0.0</v>
      </c>
      <c r="QKE45" s="5">
        <f>-'5. IRR'!QKF16</f>
        <v>-0.0</v>
      </c>
      <c r="QKF45" s="5">
        <f>-'5. IRR'!QKG16</f>
        <v>-0.0</v>
      </c>
      <c r="QKG45" s="5">
        <f>-'5. IRR'!QKH16</f>
        <v>-0.0</v>
      </c>
      <c r="QKH45" s="5">
        <f>-'5. IRR'!QKI16</f>
        <v>-0.0</v>
      </c>
      <c r="QKI45" s="5">
        <f>-'5. IRR'!QKJ16</f>
        <v>-0.0</v>
      </c>
      <c r="QKJ45" s="5">
        <f>-'5. IRR'!QKK16</f>
        <v>-0.0</v>
      </c>
      <c r="QKK45" s="5">
        <f>-'5. IRR'!QKL16</f>
        <v>-0.0</v>
      </c>
      <c r="QKL45" s="5">
        <f>-'5. IRR'!QKM16</f>
        <v>-0.0</v>
      </c>
      <c r="QKM45" s="5">
        <f>-'5. IRR'!QKN16</f>
        <v>-0.0</v>
      </c>
      <c r="QKN45" s="5">
        <f>-'5. IRR'!QKO16</f>
        <v>-0.0</v>
      </c>
      <c r="QKO45" s="5">
        <f>-'5. IRR'!QKP16</f>
        <v>-0.0</v>
      </c>
      <c r="QKP45" s="5">
        <f>-'5. IRR'!QKQ16</f>
        <v>-0.0</v>
      </c>
      <c r="QKQ45" s="5">
        <f>-'5. IRR'!QKR16</f>
        <v>-0.0</v>
      </c>
      <c r="QKR45" s="5">
        <f>-'5. IRR'!QKS16</f>
        <v>-0.0</v>
      </c>
      <c r="QKS45" s="5">
        <f>-'5. IRR'!QKT16</f>
        <v>-0.0</v>
      </c>
      <c r="QKT45" s="5">
        <f>-'5. IRR'!QKU16</f>
        <v>-0.0</v>
      </c>
      <c r="QKU45" s="5">
        <f>-'5. IRR'!QKV16</f>
        <v>-0.0</v>
      </c>
      <c r="QKV45" s="5">
        <f>-'5. IRR'!QKW16</f>
        <v>-0.0</v>
      </c>
      <c r="QKW45" s="5">
        <f>-'5. IRR'!QKX16</f>
        <v>-0.0</v>
      </c>
      <c r="QKX45" s="5">
        <f>-'5. IRR'!QKY16</f>
        <v>-0.0</v>
      </c>
      <c r="QKY45" s="5">
        <f>-'5. IRR'!QKZ16</f>
        <v>-0.0</v>
      </c>
      <c r="QKZ45" s="5">
        <f>-'5. IRR'!QLA16</f>
        <v>-0.0</v>
      </c>
      <c r="QLA45" s="5">
        <f>-'5. IRR'!QLB16</f>
        <v>-0.0</v>
      </c>
      <c r="QLB45" s="5">
        <f>-'5. IRR'!QLC16</f>
        <v>-0.0</v>
      </c>
      <c r="QLC45" s="5">
        <f>-'5. IRR'!QLD16</f>
        <v>-0.0</v>
      </c>
      <c r="QLD45" s="5">
        <f>-'5. IRR'!QLE16</f>
        <v>-0.0</v>
      </c>
      <c r="QLE45" s="5">
        <f>-'5. IRR'!QLF16</f>
        <v>-0.0</v>
      </c>
      <c r="QLF45" s="5">
        <f>-'5. IRR'!QLG16</f>
        <v>-0.0</v>
      </c>
      <c r="QLG45" s="5">
        <f>-'5. IRR'!QLH16</f>
        <v>-0.0</v>
      </c>
      <c r="QLH45" s="5">
        <f>-'5. IRR'!QLI16</f>
        <v>-0.0</v>
      </c>
      <c r="QLI45" s="5">
        <f>-'5. IRR'!QLJ16</f>
        <v>-0.0</v>
      </c>
      <c r="QLJ45" s="5">
        <f>-'5. IRR'!QLK16</f>
        <v>-0.0</v>
      </c>
      <c r="QLK45" s="5">
        <f>-'5. IRR'!QLL16</f>
        <v>-0.0</v>
      </c>
      <c r="QLL45" s="5">
        <f>-'5. IRR'!QLM16</f>
        <v>-0.0</v>
      </c>
      <c r="QLM45" s="5">
        <f>-'5. IRR'!QLN16</f>
        <v>-0.0</v>
      </c>
      <c r="QLN45" s="5">
        <f>-'5. IRR'!QLO16</f>
        <v>-0.0</v>
      </c>
      <c r="QLO45" s="5">
        <f>-'5. IRR'!QLP16</f>
        <v>-0.0</v>
      </c>
      <c r="QLP45" s="5">
        <f>-'5. IRR'!QLQ16</f>
        <v>-0.0</v>
      </c>
      <c r="QLQ45" s="5">
        <f>-'5. IRR'!QLR16</f>
        <v>-0.0</v>
      </c>
      <c r="QLR45" s="5">
        <f>-'5. IRR'!QLS16</f>
        <v>-0.0</v>
      </c>
      <c r="QLS45" s="5">
        <f>-'5. IRR'!QLT16</f>
        <v>-0.0</v>
      </c>
      <c r="QLT45" s="5">
        <f>-'5. IRR'!QLU16</f>
        <v>-0.0</v>
      </c>
      <c r="QLU45" s="5">
        <f>-'5. IRR'!QLV16</f>
        <v>-0.0</v>
      </c>
      <c r="QLV45" s="5">
        <f>-'5. IRR'!QLW16</f>
        <v>-0.0</v>
      </c>
      <c r="QLW45" s="5">
        <f>-'5. IRR'!QLX16</f>
        <v>-0.0</v>
      </c>
      <c r="QLX45" s="5">
        <f>-'5. IRR'!QLY16</f>
        <v>-0.0</v>
      </c>
      <c r="QLY45" s="5">
        <f>-'5. IRR'!QLZ16</f>
        <v>-0.0</v>
      </c>
      <c r="QLZ45" s="5">
        <f>-'5. IRR'!QMA16</f>
        <v>-0.0</v>
      </c>
      <c r="QMA45" s="5">
        <f>-'5. IRR'!QMB16</f>
        <v>-0.0</v>
      </c>
      <c r="QMB45" s="5">
        <f>-'5. IRR'!QMC16</f>
        <v>-0.0</v>
      </c>
      <c r="QMC45" s="5">
        <f>-'5. IRR'!QMD16</f>
        <v>-0.0</v>
      </c>
      <c r="QMD45" s="5">
        <f>-'5. IRR'!QME16</f>
        <v>-0.0</v>
      </c>
      <c r="QME45" s="5">
        <f>-'5. IRR'!QMF16</f>
        <v>-0.0</v>
      </c>
      <c r="QMF45" s="5">
        <f>-'5. IRR'!QMG16</f>
        <v>-0.0</v>
      </c>
      <c r="QMG45" s="5">
        <f>-'5. IRR'!QMH16</f>
        <v>-0.0</v>
      </c>
      <c r="QMH45" s="5">
        <f>-'5. IRR'!QMI16</f>
        <v>-0.0</v>
      </c>
      <c r="QMI45" s="5">
        <f>-'5. IRR'!QMJ16</f>
        <v>-0.0</v>
      </c>
      <c r="QMJ45" s="5">
        <f>-'5. IRR'!QMK16</f>
        <v>-0.0</v>
      </c>
      <c r="QMK45" s="5">
        <f>-'5. IRR'!QML16</f>
        <v>-0.0</v>
      </c>
      <c r="QML45" s="5">
        <f>-'5. IRR'!QMM16</f>
        <v>-0.0</v>
      </c>
      <c r="QMM45" s="5">
        <f>-'5. IRR'!QMN16</f>
        <v>-0.0</v>
      </c>
      <c r="QMN45" s="5">
        <f>-'5. IRR'!QMO16</f>
        <v>-0.0</v>
      </c>
      <c r="QMO45" s="5">
        <f>-'5. IRR'!QMP16</f>
        <v>-0.0</v>
      </c>
      <c r="QMP45" s="5">
        <f>-'5. IRR'!QMQ16</f>
        <v>-0.0</v>
      </c>
      <c r="QMQ45" s="5">
        <f>-'5. IRR'!QMR16</f>
        <v>-0.0</v>
      </c>
      <c r="QMR45" s="5">
        <f>-'5. IRR'!QMS16</f>
        <v>-0.0</v>
      </c>
      <c r="QMS45" s="5">
        <f>-'5. IRR'!QMT16</f>
        <v>-0.0</v>
      </c>
      <c r="QMT45" s="5">
        <f>-'5. IRR'!QMU16</f>
        <v>-0.0</v>
      </c>
      <c r="QMU45" s="5">
        <f>-'5. IRR'!QMV16</f>
        <v>-0.0</v>
      </c>
      <c r="QMV45" s="5">
        <f>-'5. IRR'!QMW16</f>
        <v>-0.0</v>
      </c>
      <c r="QMW45" s="5">
        <f>-'5. IRR'!QMX16</f>
        <v>-0.0</v>
      </c>
      <c r="QMX45" s="5">
        <f>-'5. IRR'!QMY16</f>
        <v>-0.0</v>
      </c>
      <c r="QMY45" s="5">
        <f>-'5. IRR'!QMZ16</f>
        <v>-0.0</v>
      </c>
      <c r="QMZ45" s="5">
        <f>-'5. IRR'!QNA16</f>
        <v>-0.0</v>
      </c>
      <c r="QNA45" s="5">
        <f>-'5. IRR'!QNB16</f>
        <v>-0.0</v>
      </c>
      <c r="QNB45" s="5">
        <f>-'5. IRR'!QNC16</f>
        <v>-0.0</v>
      </c>
      <c r="QNC45" s="5">
        <f>-'5. IRR'!QND16</f>
        <v>-0.0</v>
      </c>
      <c r="QND45" s="5">
        <f>-'5. IRR'!QNE16</f>
        <v>-0.0</v>
      </c>
      <c r="QNE45" s="5">
        <f>-'5. IRR'!QNF16</f>
        <v>-0.0</v>
      </c>
      <c r="QNF45" s="5">
        <f>-'5. IRR'!QNG16</f>
        <v>-0.0</v>
      </c>
      <c r="QNG45" s="5">
        <f>-'5. IRR'!QNH16</f>
        <v>-0.0</v>
      </c>
      <c r="QNH45" s="5">
        <f>-'5. IRR'!QNI16</f>
        <v>-0.0</v>
      </c>
      <c r="QNI45" s="5">
        <f>-'5. IRR'!QNJ16</f>
        <v>-0.0</v>
      </c>
      <c r="QNJ45" s="5">
        <f>-'5. IRR'!QNK16</f>
        <v>-0.0</v>
      </c>
      <c r="QNK45" s="5">
        <f>-'5. IRR'!QNL16</f>
        <v>-0.0</v>
      </c>
      <c r="QNL45" s="5">
        <f>-'5. IRR'!QNM16</f>
        <v>-0.0</v>
      </c>
      <c r="QNM45" s="5">
        <f>-'5. IRR'!QNN16</f>
        <v>-0.0</v>
      </c>
      <c r="QNN45" s="5">
        <f>-'5. IRR'!QNO16</f>
        <v>-0.0</v>
      </c>
      <c r="QNO45" s="5">
        <f>-'5. IRR'!QNP16</f>
        <v>-0.0</v>
      </c>
      <c r="QNP45" s="5">
        <f>-'5. IRR'!QNQ16</f>
        <v>-0.0</v>
      </c>
      <c r="QNQ45" s="5">
        <f>-'5. IRR'!QNR16</f>
        <v>-0.0</v>
      </c>
      <c r="QNR45" s="5">
        <f>-'5. IRR'!QNS16</f>
        <v>-0.0</v>
      </c>
      <c r="QNS45" s="5">
        <f>-'5. IRR'!QNT16</f>
        <v>-0.0</v>
      </c>
      <c r="QNT45" s="5">
        <f>-'5. IRR'!QNU16</f>
        <v>-0.0</v>
      </c>
      <c r="QNU45" s="5">
        <f>-'5. IRR'!QNV16</f>
        <v>-0.0</v>
      </c>
      <c r="QNV45" s="5">
        <f>-'5. IRR'!QNW16</f>
        <v>-0.0</v>
      </c>
      <c r="QNW45" s="5">
        <f>-'5. IRR'!QNX16</f>
        <v>-0.0</v>
      </c>
      <c r="QNX45" s="5">
        <f>-'5. IRR'!QNY16</f>
        <v>-0.0</v>
      </c>
      <c r="QNY45" s="5">
        <f>-'5. IRR'!QNZ16</f>
        <v>-0.0</v>
      </c>
      <c r="QNZ45" s="5">
        <f>-'5. IRR'!QOA16</f>
        <v>-0.0</v>
      </c>
      <c r="QOA45" s="5">
        <f>-'5. IRR'!QOB16</f>
        <v>-0.0</v>
      </c>
      <c r="QOB45" s="5">
        <f>-'5. IRR'!QOC16</f>
        <v>-0.0</v>
      </c>
      <c r="QOC45" s="5">
        <f>-'5. IRR'!QOD16</f>
        <v>-0.0</v>
      </c>
      <c r="QOD45" s="5">
        <f>-'5. IRR'!QOE16</f>
        <v>-0.0</v>
      </c>
      <c r="QOE45" s="5">
        <f>-'5. IRR'!QOF16</f>
        <v>-0.0</v>
      </c>
      <c r="QOF45" s="5">
        <f>-'5. IRR'!QOG16</f>
        <v>-0.0</v>
      </c>
      <c r="QOG45" s="5">
        <f>-'5. IRR'!QOH16</f>
        <v>-0.0</v>
      </c>
      <c r="QOH45" s="5">
        <f>-'5. IRR'!QOI16</f>
        <v>-0.0</v>
      </c>
      <c r="QOI45" s="5">
        <f>-'5. IRR'!QOJ16</f>
        <v>-0.0</v>
      </c>
      <c r="QOJ45" s="5">
        <f>-'5. IRR'!QOK16</f>
        <v>-0.0</v>
      </c>
      <c r="QOK45" s="5">
        <f>-'5. IRR'!QOL16</f>
        <v>-0.0</v>
      </c>
      <c r="QOL45" s="5">
        <f>-'5. IRR'!QOM16</f>
        <v>-0.0</v>
      </c>
      <c r="QOM45" s="5">
        <f>-'5. IRR'!QON16</f>
        <v>-0.0</v>
      </c>
      <c r="QON45" s="5">
        <f>-'5. IRR'!QOO16</f>
        <v>-0.0</v>
      </c>
      <c r="QOO45" s="5">
        <f>-'5. IRR'!QOP16</f>
        <v>-0.0</v>
      </c>
      <c r="QOP45" s="5">
        <f>-'5. IRR'!QOQ16</f>
        <v>-0.0</v>
      </c>
      <c r="QOQ45" s="5">
        <f>-'5. IRR'!QOR16</f>
        <v>-0.0</v>
      </c>
      <c r="QOR45" s="5">
        <f>-'5. IRR'!QOS16</f>
        <v>-0.0</v>
      </c>
      <c r="QOS45" s="5">
        <f>-'5. IRR'!QOT16</f>
        <v>-0.0</v>
      </c>
      <c r="QOT45" s="5">
        <f>-'5. IRR'!QOU16</f>
        <v>-0.0</v>
      </c>
      <c r="QOU45" s="5">
        <f>-'5. IRR'!QOV16</f>
        <v>-0.0</v>
      </c>
      <c r="QOV45" s="5">
        <f>-'5. IRR'!QOW16</f>
        <v>-0.0</v>
      </c>
      <c r="QOW45" s="5">
        <f>-'5. IRR'!QOX16</f>
        <v>-0.0</v>
      </c>
      <c r="QOX45" s="5">
        <f>-'5. IRR'!QOY16</f>
        <v>-0.0</v>
      </c>
      <c r="QOY45" s="5">
        <f>-'5. IRR'!QOZ16</f>
        <v>-0.0</v>
      </c>
      <c r="QOZ45" s="5">
        <f>-'5. IRR'!QPA16</f>
        <v>-0.0</v>
      </c>
      <c r="QPA45" s="5">
        <f>-'5. IRR'!QPB16</f>
        <v>-0.0</v>
      </c>
      <c r="QPB45" s="5">
        <f>-'5. IRR'!QPC16</f>
        <v>-0.0</v>
      </c>
      <c r="QPC45" s="5">
        <f>-'5. IRR'!QPD16</f>
        <v>-0.0</v>
      </c>
      <c r="QPD45" s="5">
        <f>-'5. IRR'!QPE16</f>
        <v>-0.0</v>
      </c>
      <c r="QPE45" s="5">
        <f>-'5. IRR'!QPF16</f>
        <v>-0.0</v>
      </c>
      <c r="QPF45" s="5">
        <f>-'5. IRR'!QPG16</f>
        <v>-0.0</v>
      </c>
      <c r="QPG45" s="5">
        <f>-'5. IRR'!QPH16</f>
        <v>-0.0</v>
      </c>
      <c r="QPH45" s="5">
        <f>-'5. IRR'!QPI16</f>
        <v>-0.0</v>
      </c>
      <c r="QPI45" s="5">
        <f>-'5. IRR'!QPJ16</f>
        <v>-0.0</v>
      </c>
      <c r="QPJ45" s="5">
        <f>-'5. IRR'!QPK16</f>
        <v>-0.0</v>
      </c>
      <c r="QPK45" s="5">
        <f>-'5. IRR'!QPL16</f>
        <v>-0.0</v>
      </c>
      <c r="QPL45" s="5">
        <f>-'5. IRR'!QPM16</f>
        <v>-0.0</v>
      </c>
      <c r="QPM45" s="5">
        <f>-'5. IRR'!QPN16</f>
        <v>-0.0</v>
      </c>
      <c r="QPN45" s="5">
        <f>-'5. IRR'!QPO16</f>
        <v>-0.0</v>
      </c>
      <c r="QPO45" s="5">
        <f>-'5. IRR'!QPP16</f>
        <v>-0.0</v>
      </c>
      <c r="QPP45" s="5">
        <f>-'5. IRR'!QPQ16</f>
        <v>-0.0</v>
      </c>
      <c r="QPQ45" s="5">
        <f>-'5. IRR'!QPR16</f>
        <v>-0.0</v>
      </c>
      <c r="QPR45" s="5">
        <f>-'5. IRR'!QPS16</f>
        <v>-0.0</v>
      </c>
      <c r="QPS45" s="5">
        <f>-'5. IRR'!QPT16</f>
        <v>-0.0</v>
      </c>
      <c r="QPT45" s="5">
        <f>-'5. IRR'!QPU16</f>
        <v>-0.0</v>
      </c>
      <c r="QPU45" s="5">
        <f>-'5. IRR'!QPV16</f>
        <v>-0.0</v>
      </c>
      <c r="QPV45" s="5">
        <f>-'5. IRR'!QPW16</f>
        <v>-0.0</v>
      </c>
      <c r="QPW45" s="5">
        <f>-'5. IRR'!QPX16</f>
        <v>-0.0</v>
      </c>
      <c r="QPX45" s="5">
        <f>-'5. IRR'!QPY16</f>
        <v>-0.0</v>
      </c>
      <c r="QPY45" s="5">
        <f>-'5. IRR'!QPZ16</f>
        <v>-0.0</v>
      </c>
      <c r="QPZ45" s="5">
        <f>-'5. IRR'!QQA16</f>
        <v>-0.0</v>
      </c>
      <c r="QQA45" s="5">
        <f>-'5. IRR'!QQB16</f>
        <v>-0.0</v>
      </c>
      <c r="QQB45" s="5">
        <f>-'5. IRR'!QQC16</f>
        <v>-0.0</v>
      </c>
      <c r="QQC45" s="5">
        <f>-'5. IRR'!QQD16</f>
        <v>-0.0</v>
      </c>
      <c r="QQD45" s="5">
        <f>-'5. IRR'!QQE16</f>
        <v>-0.0</v>
      </c>
      <c r="QQE45" s="5">
        <f>-'5. IRR'!QQF16</f>
        <v>-0.0</v>
      </c>
      <c r="QQF45" s="5">
        <f>-'5. IRR'!QQG16</f>
        <v>-0.0</v>
      </c>
      <c r="QQG45" s="5">
        <f>-'5. IRR'!QQH16</f>
        <v>-0.0</v>
      </c>
      <c r="QQH45" s="5">
        <f>-'5. IRR'!QQI16</f>
        <v>-0.0</v>
      </c>
      <c r="QQI45" s="5">
        <f>-'5. IRR'!QQJ16</f>
        <v>-0.0</v>
      </c>
      <c r="QQJ45" s="5">
        <f>-'5. IRR'!QQK16</f>
        <v>-0.0</v>
      </c>
      <c r="QQK45" s="5">
        <f>-'5. IRR'!QQL16</f>
        <v>-0.0</v>
      </c>
      <c r="QQL45" s="5">
        <f>-'5. IRR'!QQM16</f>
        <v>-0.0</v>
      </c>
      <c r="QQM45" s="5">
        <f>-'5. IRR'!QQN16</f>
        <v>-0.0</v>
      </c>
      <c r="QQN45" s="5">
        <f>-'5. IRR'!QQO16</f>
        <v>-0.0</v>
      </c>
      <c r="QQO45" s="5">
        <f>-'5. IRR'!QQP16</f>
        <v>-0.0</v>
      </c>
      <c r="QQP45" s="5">
        <f>-'5. IRR'!QQQ16</f>
        <v>-0.0</v>
      </c>
      <c r="QQQ45" s="5">
        <f>-'5. IRR'!QQR16</f>
        <v>-0.0</v>
      </c>
      <c r="QQR45" s="5">
        <f>-'5. IRR'!QQS16</f>
        <v>-0.0</v>
      </c>
      <c r="QQS45" s="5">
        <f>-'5. IRR'!QQT16</f>
        <v>-0.0</v>
      </c>
      <c r="QQT45" s="5">
        <f>-'5. IRR'!QQU16</f>
        <v>-0.0</v>
      </c>
      <c r="QQU45" s="5">
        <f>-'5. IRR'!QQV16</f>
        <v>-0.0</v>
      </c>
      <c r="QQV45" s="5">
        <f>-'5. IRR'!QQW16</f>
        <v>-0.0</v>
      </c>
      <c r="QQW45" s="5">
        <f>-'5. IRR'!QQX16</f>
        <v>-0.0</v>
      </c>
      <c r="QQX45" s="5">
        <f>-'5. IRR'!QQY16</f>
        <v>-0.0</v>
      </c>
      <c r="QQY45" s="5">
        <f>-'5. IRR'!QQZ16</f>
        <v>-0.0</v>
      </c>
      <c r="QQZ45" s="5">
        <f>-'5. IRR'!QRA16</f>
        <v>-0.0</v>
      </c>
      <c r="QRA45" s="5">
        <f>-'5. IRR'!QRB16</f>
        <v>-0.0</v>
      </c>
      <c r="QRB45" s="5">
        <f>-'5. IRR'!QRC16</f>
        <v>-0.0</v>
      </c>
      <c r="QRC45" s="5">
        <f>-'5. IRR'!QRD16</f>
        <v>-0.0</v>
      </c>
      <c r="QRD45" s="5">
        <f>-'5. IRR'!QRE16</f>
        <v>-0.0</v>
      </c>
      <c r="QRE45" s="5">
        <f>-'5. IRR'!QRF16</f>
        <v>-0.0</v>
      </c>
      <c r="QRF45" s="5">
        <f>-'5. IRR'!QRG16</f>
        <v>-0.0</v>
      </c>
      <c r="QRG45" s="5">
        <f>-'5. IRR'!QRH16</f>
        <v>-0.0</v>
      </c>
      <c r="QRH45" s="5">
        <f>-'5. IRR'!QRI16</f>
        <v>-0.0</v>
      </c>
      <c r="QRI45" s="5">
        <f>-'5. IRR'!QRJ16</f>
        <v>-0.0</v>
      </c>
      <c r="QRJ45" s="5">
        <f>-'5. IRR'!QRK16</f>
        <v>-0.0</v>
      </c>
      <c r="QRK45" s="5">
        <f>-'5. IRR'!QRL16</f>
        <v>-0.0</v>
      </c>
      <c r="QRL45" s="5">
        <f>-'5. IRR'!QRM16</f>
        <v>-0.0</v>
      </c>
      <c r="QRM45" s="5">
        <f>-'5. IRR'!QRN16</f>
        <v>-0.0</v>
      </c>
      <c r="QRN45" s="5">
        <f>-'5. IRR'!QRO16</f>
        <v>-0.0</v>
      </c>
      <c r="QRO45" s="5">
        <f>-'5. IRR'!QRP16</f>
        <v>-0.0</v>
      </c>
      <c r="QRP45" s="5">
        <f>-'5. IRR'!QRQ16</f>
        <v>-0.0</v>
      </c>
      <c r="QRQ45" s="5">
        <f>-'5. IRR'!QRR16</f>
        <v>-0.0</v>
      </c>
      <c r="QRR45" s="5">
        <f>-'5. IRR'!QRS16</f>
        <v>-0.0</v>
      </c>
      <c r="QRS45" s="5">
        <f>-'5. IRR'!QRT16</f>
        <v>-0.0</v>
      </c>
      <c r="QRT45" s="5">
        <f>-'5. IRR'!QRU16</f>
        <v>-0.0</v>
      </c>
      <c r="QRU45" s="5">
        <f>-'5. IRR'!QRV16</f>
        <v>-0.0</v>
      </c>
      <c r="QRV45" s="5">
        <f>-'5. IRR'!QRW16</f>
        <v>-0.0</v>
      </c>
      <c r="QRW45" s="5">
        <f>-'5. IRR'!QRX16</f>
        <v>-0.0</v>
      </c>
      <c r="QRX45" s="5">
        <f>-'5. IRR'!QRY16</f>
        <v>-0.0</v>
      </c>
      <c r="QRY45" s="5">
        <f>-'5. IRR'!QRZ16</f>
        <v>-0.0</v>
      </c>
      <c r="QRZ45" s="5">
        <f>-'5. IRR'!QSA16</f>
        <v>-0.0</v>
      </c>
      <c r="QSA45" s="5">
        <f>-'5. IRR'!QSB16</f>
        <v>-0.0</v>
      </c>
      <c r="QSB45" s="5">
        <f>-'5. IRR'!QSC16</f>
        <v>-0.0</v>
      </c>
      <c r="QSC45" s="5">
        <f>-'5. IRR'!QSD16</f>
        <v>-0.0</v>
      </c>
      <c r="QSD45" s="5">
        <f>-'5. IRR'!QSE16</f>
        <v>-0.0</v>
      </c>
      <c r="QSE45" s="5">
        <f>-'5. IRR'!QSF16</f>
        <v>-0.0</v>
      </c>
      <c r="QSF45" s="5">
        <f>-'5. IRR'!QSG16</f>
        <v>-0.0</v>
      </c>
      <c r="QSG45" s="5">
        <f>-'5. IRR'!QSH16</f>
        <v>-0.0</v>
      </c>
      <c r="QSH45" s="5">
        <f>-'5. IRR'!QSI16</f>
        <v>-0.0</v>
      </c>
      <c r="QSI45" s="5">
        <f>-'5. IRR'!QSJ16</f>
        <v>-0.0</v>
      </c>
      <c r="QSJ45" s="5">
        <f>-'5. IRR'!QSK16</f>
        <v>-0.0</v>
      </c>
      <c r="QSK45" s="5">
        <f>-'5. IRR'!QSL16</f>
        <v>-0.0</v>
      </c>
      <c r="QSL45" s="5">
        <f>-'5. IRR'!QSM16</f>
        <v>-0.0</v>
      </c>
      <c r="QSM45" s="5">
        <f>-'5. IRR'!QSN16</f>
        <v>-0.0</v>
      </c>
      <c r="QSN45" s="5">
        <f>-'5. IRR'!QSO16</f>
        <v>-0.0</v>
      </c>
      <c r="QSO45" s="5">
        <f>-'5. IRR'!QSP16</f>
        <v>-0.0</v>
      </c>
      <c r="QSP45" s="5">
        <f>-'5. IRR'!QSQ16</f>
        <v>-0.0</v>
      </c>
      <c r="QSQ45" s="5">
        <f>-'5. IRR'!QSR16</f>
        <v>-0.0</v>
      </c>
      <c r="QSR45" s="5">
        <f>-'5. IRR'!QSS16</f>
        <v>-0.0</v>
      </c>
      <c r="QSS45" s="5">
        <f>-'5. IRR'!QST16</f>
        <v>-0.0</v>
      </c>
      <c r="QST45" s="5">
        <f>-'5. IRR'!QSU16</f>
        <v>-0.0</v>
      </c>
      <c r="QSU45" s="5">
        <f>-'5. IRR'!QSV16</f>
        <v>-0.0</v>
      </c>
      <c r="QSV45" s="5">
        <f>-'5. IRR'!QSW16</f>
        <v>-0.0</v>
      </c>
      <c r="QSW45" s="5">
        <f>-'5. IRR'!QSX16</f>
        <v>-0.0</v>
      </c>
      <c r="QSX45" s="5">
        <f>-'5. IRR'!QSY16</f>
        <v>-0.0</v>
      </c>
      <c r="QSY45" s="5">
        <f>-'5. IRR'!QSZ16</f>
        <v>-0.0</v>
      </c>
      <c r="QSZ45" s="5">
        <f>-'5. IRR'!QTA16</f>
        <v>-0.0</v>
      </c>
      <c r="QTA45" s="5">
        <f>-'5. IRR'!QTB16</f>
        <v>-0.0</v>
      </c>
      <c r="QTB45" s="5">
        <f>-'5. IRR'!QTC16</f>
        <v>-0.0</v>
      </c>
      <c r="QTC45" s="5">
        <f>-'5. IRR'!QTD16</f>
        <v>-0.0</v>
      </c>
      <c r="QTD45" s="5">
        <f>-'5. IRR'!QTE16</f>
        <v>-0.0</v>
      </c>
      <c r="QTE45" s="5">
        <f>-'5. IRR'!QTF16</f>
        <v>-0.0</v>
      </c>
      <c r="QTF45" s="5">
        <f>-'5. IRR'!QTG16</f>
        <v>-0.0</v>
      </c>
      <c r="QTG45" s="5">
        <f>-'5. IRR'!QTH16</f>
        <v>-0.0</v>
      </c>
      <c r="QTH45" s="5">
        <f>-'5. IRR'!QTI16</f>
        <v>-0.0</v>
      </c>
      <c r="QTI45" s="5">
        <f>-'5. IRR'!QTJ16</f>
        <v>-0.0</v>
      </c>
      <c r="QTJ45" s="5">
        <f>-'5. IRR'!QTK16</f>
        <v>-0.0</v>
      </c>
      <c r="QTK45" s="5">
        <f>-'5. IRR'!QTL16</f>
        <v>-0.0</v>
      </c>
      <c r="QTL45" s="5">
        <f>-'5. IRR'!QTM16</f>
        <v>-0.0</v>
      </c>
      <c r="QTM45" s="5">
        <f>-'5. IRR'!QTN16</f>
        <v>-0.0</v>
      </c>
      <c r="QTN45" s="5">
        <f>-'5. IRR'!QTO16</f>
        <v>-0.0</v>
      </c>
      <c r="QTO45" s="5">
        <f>-'5. IRR'!QTP16</f>
        <v>-0.0</v>
      </c>
      <c r="QTP45" s="5">
        <f>-'5. IRR'!QTQ16</f>
        <v>-0.0</v>
      </c>
      <c r="QTQ45" s="5">
        <f>-'5. IRR'!QTR16</f>
        <v>-0.0</v>
      </c>
      <c r="QTR45" s="5">
        <f>-'5. IRR'!QTS16</f>
        <v>-0.0</v>
      </c>
      <c r="QTS45" s="5">
        <f>-'5. IRR'!QTT16</f>
        <v>-0.0</v>
      </c>
      <c r="QTT45" s="5">
        <f>-'5. IRR'!QTU16</f>
        <v>-0.0</v>
      </c>
      <c r="QTU45" s="5">
        <f>-'5. IRR'!QTV16</f>
        <v>-0.0</v>
      </c>
      <c r="QTV45" s="5">
        <f>-'5. IRR'!QTW16</f>
        <v>-0.0</v>
      </c>
      <c r="QTW45" s="5">
        <f>-'5. IRR'!QTX16</f>
        <v>-0.0</v>
      </c>
      <c r="QTX45" s="5">
        <f>-'5. IRR'!QTY16</f>
        <v>-0.0</v>
      </c>
      <c r="QTY45" s="5">
        <f>-'5. IRR'!QTZ16</f>
        <v>-0.0</v>
      </c>
      <c r="QTZ45" s="5">
        <f>-'5. IRR'!QUA16</f>
        <v>-0.0</v>
      </c>
      <c r="QUA45" s="5">
        <f>-'5. IRR'!QUB16</f>
        <v>-0.0</v>
      </c>
      <c r="QUB45" s="5">
        <f>-'5. IRR'!QUC16</f>
        <v>-0.0</v>
      </c>
      <c r="QUC45" s="5">
        <f>-'5. IRR'!QUD16</f>
        <v>-0.0</v>
      </c>
      <c r="QUD45" s="5">
        <f>-'5. IRR'!QUE16</f>
        <v>-0.0</v>
      </c>
      <c r="QUE45" s="5">
        <f>-'5. IRR'!QUF16</f>
        <v>-0.0</v>
      </c>
      <c r="QUF45" s="5">
        <f>-'5. IRR'!QUG16</f>
        <v>-0.0</v>
      </c>
      <c r="QUG45" s="5">
        <f>-'5. IRR'!QUH16</f>
        <v>-0.0</v>
      </c>
      <c r="QUH45" s="5">
        <f>-'5. IRR'!QUI16</f>
        <v>-0.0</v>
      </c>
      <c r="QUI45" s="5">
        <f>-'5. IRR'!QUJ16</f>
        <v>-0.0</v>
      </c>
      <c r="QUJ45" s="5">
        <f>-'5. IRR'!QUK16</f>
        <v>-0.0</v>
      </c>
      <c r="QUK45" s="5">
        <f>-'5. IRR'!QUL16</f>
        <v>-0.0</v>
      </c>
      <c r="QUL45" s="5">
        <f>-'5. IRR'!QUM16</f>
        <v>-0.0</v>
      </c>
      <c r="QUM45" s="5">
        <f>-'5. IRR'!QUN16</f>
        <v>-0.0</v>
      </c>
      <c r="QUN45" s="5">
        <f>-'5. IRR'!QUO16</f>
        <v>-0.0</v>
      </c>
      <c r="QUO45" s="5">
        <f>-'5. IRR'!QUP16</f>
        <v>-0.0</v>
      </c>
      <c r="QUP45" s="5">
        <f>-'5. IRR'!QUQ16</f>
        <v>-0.0</v>
      </c>
      <c r="QUQ45" s="5">
        <f>-'5. IRR'!QUR16</f>
        <v>-0.0</v>
      </c>
      <c r="QUR45" s="5">
        <f>-'5. IRR'!QUS16</f>
        <v>-0.0</v>
      </c>
      <c r="QUS45" s="5">
        <f>-'5. IRR'!QUT16</f>
        <v>-0.0</v>
      </c>
      <c r="QUT45" s="5">
        <f>-'5. IRR'!QUU16</f>
        <v>-0.0</v>
      </c>
      <c r="QUU45" s="5">
        <f>-'5. IRR'!QUV16</f>
        <v>-0.0</v>
      </c>
      <c r="QUV45" s="5">
        <f>-'5. IRR'!QUW16</f>
        <v>-0.0</v>
      </c>
      <c r="QUW45" s="5">
        <f>-'5. IRR'!QUX16</f>
        <v>-0.0</v>
      </c>
      <c r="QUX45" s="5">
        <f>-'5. IRR'!QUY16</f>
        <v>-0.0</v>
      </c>
      <c r="QUY45" s="5">
        <f>-'5. IRR'!QUZ16</f>
        <v>-0.0</v>
      </c>
      <c r="QUZ45" s="5">
        <f>-'5. IRR'!QVA16</f>
        <v>-0.0</v>
      </c>
      <c r="QVA45" s="5">
        <f>-'5. IRR'!QVB16</f>
        <v>-0.0</v>
      </c>
      <c r="QVB45" s="5">
        <f>-'5. IRR'!QVC16</f>
        <v>-0.0</v>
      </c>
      <c r="QVC45" s="5">
        <f>-'5. IRR'!QVD16</f>
        <v>-0.0</v>
      </c>
      <c r="QVD45" s="5">
        <f>-'5. IRR'!QVE16</f>
        <v>-0.0</v>
      </c>
      <c r="QVE45" s="5">
        <f>-'5. IRR'!QVF16</f>
        <v>-0.0</v>
      </c>
      <c r="QVF45" s="5">
        <f>-'5. IRR'!QVG16</f>
        <v>-0.0</v>
      </c>
      <c r="QVG45" s="5">
        <f>-'5. IRR'!QVH16</f>
        <v>-0.0</v>
      </c>
      <c r="QVH45" s="5">
        <f>-'5. IRR'!QVI16</f>
        <v>-0.0</v>
      </c>
      <c r="QVI45" s="5">
        <f>-'5. IRR'!QVJ16</f>
        <v>-0.0</v>
      </c>
      <c r="QVJ45" s="5">
        <f>-'5. IRR'!QVK16</f>
        <v>-0.0</v>
      </c>
      <c r="QVK45" s="5">
        <f>-'5. IRR'!QVL16</f>
        <v>-0.0</v>
      </c>
      <c r="QVL45" s="5">
        <f>-'5. IRR'!QVM16</f>
        <v>-0.0</v>
      </c>
      <c r="QVM45" s="5">
        <f>-'5. IRR'!QVN16</f>
        <v>-0.0</v>
      </c>
      <c r="QVN45" s="5">
        <f>-'5. IRR'!QVO16</f>
        <v>-0.0</v>
      </c>
      <c r="QVO45" s="5">
        <f>-'5. IRR'!QVP16</f>
        <v>-0.0</v>
      </c>
      <c r="QVP45" s="5">
        <f>-'5. IRR'!QVQ16</f>
        <v>-0.0</v>
      </c>
      <c r="QVQ45" s="5">
        <f>-'5. IRR'!QVR16</f>
        <v>-0.0</v>
      </c>
      <c r="QVR45" s="5">
        <f>-'5. IRR'!QVS16</f>
        <v>-0.0</v>
      </c>
      <c r="QVS45" s="5">
        <f>-'5. IRR'!QVT16</f>
        <v>-0.0</v>
      </c>
      <c r="QVT45" s="5">
        <f>-'5. IRR'!QVU16</f>
        <v>-0.0</v>
      </c>
      <c r="QVU45" s="5">
        <f>-'5. IRR'!QVV16</f>
        <v>-0.0</v>
      </c>
      <c r="QVV45" s="5">
        <f>-'5. IRR'!QVW16</f>
        <v>-0.0</v>
      </c>
      <c r="QVW45" s="5">
        <f>-'5. IRR'!QVX16</f>
        <v>-0.0</v>
      </c>
      <c r="QVX45" s="5">
        <f>-'5. IRR'!QVY16</f>
        <v>-0.0</v>
      </c>
      <c r="QVY45" s="5">
        <f>-'5. IRR'!QVZ16</f>
        <v>-0.0</v>
      </c>
      <c r="QVZ45" s="5">
        <f>-'5. IRR'!QWA16</f>
        <v>-0.0</v>
      </c>
      <c r="QWA45" s="5">
        <f>-'5. IRR'!QWB16</f>
        <v>-0.0</v>
      </c>
      <c r="QWB45" s="5">
        <f>-'5. IRR'!QWC16</f>
        <v>-0.0</v>
      </c>
      <c r="QWC45" s="5">
        <f>-'5. IRR'!QWD16</f>
        <v>-0.0</v>
      </c>
      <c r="QWD45" s="5">
        <f>-'5. IRR'!QWE16</f>
        <v>-0.0</v>
      </c>
      <c r="QWE45" s="5">
        <f>-'5. IRR'!QWF16</f>
        <v>-0.0</v>
      </c>
      <c r="QWF45" s="5">
        <f>-'5. IRR'!QWG16</f>
        <v>-0.0</v>
      </c>
      <c r="QWG45" s="5">
        <f>-'5. IRR'!QWH16</f>
        <v>-0.0</v>
      </c>
      <c r="QWH45" s="5">
        <f>-'5. IRR'!QWI16</f>
        <v>-0.0</v>
      </c>
      <c r="QWI45" s="5">
        <f>-'5. IRR'!QWJ16</f>
        <v>-0.0</v>
      </c>
      <c r="QWJ45" s="5">
        <f>-'5. IRR'!QWK16</f>
        <v>-0.0</v>
      </c>
      <c r="QWK45" s="5">
        <f>-'5. IRR'!QWL16</f>
        <v>-0.0</v>
      </c>
      <c r="QWL45" s="5">
        <f>-'5. IRR'!QWM16</f>
        <v>-0.0</v>
      </c>
      <c r="QWM45" s="5">
        <f>-'5. IRR'!QWN16</f>
        <v>-0.0</v>
      </c>
      <c r="QWN45" s="5">
        <f>-'5. IRR'!QWO16</f>
        <v>-0.0</v>
      </c>
      <c r="QWO45" s="5">
        <f>-'5. IRR'!QWP16</f>
        <v>-0.0</v>
      </c>
      <c r="QWP45" s="5">
        <f>-'5. IRR'!QWQ16</f>
        <v>-0.0</v>
      </c>
      <c r="QWQ45" s="5">
        <f>-'5. IRR'!QWR16</f>
        <v>-0.0</v>
      </c>
      <c r="QWR45" s="5">
        <f>-'5. IRR'!QWS16</f>
        <v>-0.0</v>
      </c>
      <c r="QWS45" s="5">
        <f>-'5. IRR'!QWT16</f>
        <v>-0.0</v>
      </c>
      <c r="QWT45" s="5">
        <f>-'5. IRR'!QWU16</f>
        <v>-0.0</v>
      </c>
      <c r="QWU45" s="5">
        <f>-'5. IRR'!QWV16</f>
        <v>-0.0</v>
      </c>
      <c r="QWV45" s="5">
        <f>-'5. IRR'!QWW16</f>
        <v>-0.0</v>
      </c>
      <c r="QWW45" s="5">
        <f>-'5. IRR'!QWX16</f>
        <v>-0.0</v>
      </c>
      <c r="QWX45" s="5">
        <f>-'5. IRR'!QWY16</f>
        <v>-0.0</v>
      </c>
      <c r="QWY45" s="5">
        <f>-'5. IRR'!QWZ16</f>
        <v>-0.0</v>
      </c>
      <c r="QWZ45" s="5">
        <f>-'5. IRR'!QXA16</f>
        <v>-0.0</v>
      </c>
      <c r="QXA45" s="5">
        <f>-'5. IRR'!QXB16</f>
        <v>-0.0</v>
      </c>
      <c r="QXB45" s="5">
        <f>-'5. IRR'!QXC16</f>
        <v>-0.0</v>
      </c>
      <c r="QXC45" s="5">
        <f>-'5. IRR'!QXD16</f>
        <v>-0.0</v>
      </c>
      <c r="QXD45" s="5">
        <f>-'5. IRR'!QXE16</f>
        <v>-0.0</v>
      </c>
      <c r="QXE45" s="5">
        <f>-'5. IRR'!QXF16</f>
        <v>-0.0</v>
      </c>
      <c r="QXF45" s="5">
        <f>-'5. IRR'!QXG16</f>
        <v>-0.0</v>
      </c>
      <c r="QXG45" s="5">
        <f>-'5. IRR'!QXH16</f>
        <v>-0.0</v>
      </c>
      <c r="QXH45" s="5">
        <f>-'5. IRR'!QXI16</f>
        <v>-0.0</v>
      </c>
      <c r="QXI45" s="5">
        <f>-'5. IRR'!QXJ16</f>
        <v>-0.0</v>
      </c>
      <c r="QXJ45" s="5">
        <f>-'5. IRR'!QXK16</f>
        <v>-0.0</v>
      </c>
      <c r="QXK45" s="5">
        <f>-'5. IRR'!QXL16</f>
        <v>-0.0</v>
      </c>
      <c r="QXL45" s="5">
        <f>-'5. IRR'!QXM16</f>
        <v>-0.0</v>
      </c>
      <c r="QXM45" s="5">
        <f>-'5. IRR'!QXN16</f>
        <v>-0.0</v>
      </c>
      <c r="QXN45" s="5">
        <f>-'5. IRR'!QXO16</f>
        <v>-0.0</v>
      </c>
      <c r="QXO45" s="5">
        <f>-'5. IRR'!QXP16</f>
        <v>-0.0</v>
      </c>
      <c r="QXP45" s="5">
        <f>-'5. IRR'!QXQ16</f>
        <v>-0.0</v>
      </c>
      <c r="QXQ45" s="5">
        <f>-'5. IRR'!QXR16</f>
        <v>-0.0</v>
      </c>
      <c r="QXR45" s="5">
        <f>-'5. IRR'!QXS16</f>
        <v>-0.0</v>
      </c>
      <c r="QXS45" s="5">
        <f>-'5. IRR'!QXT16</f>
        <v>-0.0</v>
      </c>
      <c r="QXT45" s="5">
        <f>-'5. IRR'!QXU16</f>
        <v>-0.0</v>
      </c>
      <c r="QXU45" s="5">
        <f>-'5. IRR'!QXV16</f>
        <v>-0.0</v>
      </c>
      <c r="QXV45" s="5">
        <f>-'5. IRR'!QXW16</f>
        <v>-0.0</v>
      </c>
      <c r="QXW45" s="5">
        <f>-'5. IRR'!QXX16</f>
        <v>-0.0</v>
      </c>
      <c r="QXX45" s="5">
        <f>-'5. IRR'!QXY16</f>
        <v>-0.0</v>
      </c>
      <c r="QXY45" s="5">
        <f>-'5. IRR'!QXZ16</f>
        <v>-0.0</v>
      </c>
      <c r="QXZ45" s="5">
        <f>-'5. IRR'!QYA16</f>
        <v>-0.0</v>
      </c>
      <c r="QYA45" s="5">
        <f>-'5. IRR'!QYB16</f>
        <v>-0.0</v>
      </c>
      <c r="QYB45" s="5">
        <f>-'5. IRR'!QYC16</f>
        <v>-0.0</v>
      </c>
      <c r="QYC45" s="5">
        <f>-'5. IRR'!QYD16</f>
        <v>-0.0</v>
      </c>
      <c r="QYD45" s="5">
        <f>-'5. IRR'!QYE16</f>
        <v>-0.0</v>
      </c>
      <c r="QYE45" s="5">
        <f>-'5. IRR'!QYF16</f>
        <v>-0.0</v>
      </c>
      <c r="QYF45" s="5">
        <f>-'5. IRR'!QYG16</f>
        <v>-0.0</v>
      </c>
      <c r="QYG45" s="5">
        <f>-'5. IRR'!QYH16</f>
        <v>-0.0</v>
      </c>
      <c r="QYH45" s="5">
        <f>-'5. IRR'!QYI16</f>
        <v>-0.0</v>
      </c>
      <c r="QYI45" s="5">
        <f>-'5. IRR'!QYJ16</f>
        <v>-0.0</v>
      </c>
      <c r="QYJ45" s="5">
        <f>-'5. IRR'!QYK16</f>
        <v>-0.0</v>
      </c>
      <c r="QYK45" s="5">
        <f>-'5. IRR'!QYL16</f>
        <v>-0.0</v>
      </c>
      <c r="QYL45" s="5">
        <f>-'5. IRR'!QYM16</f>
        <v>-0.0</v>
      </c>
      <c r="QYM45" s="5">
        <f>-'5. IRR'!QYN16</f>
        <v>-0.0</v>
      </c>
      <c r="QYN45" s="5">
        <f>-'5. IRR'!QYO16</f>
        <v>-0.0</v>
      </c>
      <c r="QYO45" s="5">
        <f>-'5. IRR'!QYP16</f>
        <v>-0.0</v>
      </c>
      <c r="QYP45" s="5">
        <f>-'5. IRR'!QYQ16</f>
        <v>-0.0</v>
      </c>
      <c r="QYQ45" s="5">
        <f>-'5. IRR'!QYR16</f>
        <v>-0.0</v>
      </c>
      <c r="QYR45" s="5">
        <f>-'5. IRR'!QYS16</f>
        <v>-0.0</v>
      </c>
      <c r="QYS45" s="5">
        <f>-'5. IRR'!QYT16</f>
        <v>-0.0</v>
      </c>
      <c r="QYT45" s="5">
        <f>-'5. IRR'!QYU16</f>
        <v>-0.0</v>
      </c>
      <c r="QYU45" s="5">
        <f>-'5. IRR'!QYV16</f>
        <v>-0.0</v>
      </c>
      <c r="QYV45" s="5">
        <f>-'5. IRR'!QYW16</f>
        <v>-0.0</v>
      </c>
      <c r="QYW45" s="5">
        <f>-'5. IRR'!QYX16</f>
        <v>-0.0</v>
      </c>
      <c r="QYX45" s="5">
        <f>-'5. IRR'!QYY16</f>
        <v>-0.0</v>
      </c>
      <c r="QYY45" s="5">
        <f>-'5. IRR'!QYZ16</f>
        <v>-0.0</v>
      </c>
      <c r="QYZ45" s="5">
        <f>-'5. IRR'!QZA16</f>
        <v>-0.0</v>
      </c>
      <c r="QZA45" s="5">
        <f>-'5. IRR'!QZB16</f>
        <v>-0.0</v>
      </c>
      <c r="QZB45" s="5">
        <f>-'5. IRR'!QZC16</f>
        <v>-0.0</v>
      </c>
      <c r="QZC45" s="5">
        <f>-'5. IRR'!QZD16</f>
        <v>-0.0</v>
      </c>
      <c r="QZD45" s="5">
        <f>-'5. IRR'!QZE16</f>
        <v>-0.0</v>
      </c>
      <c r="QZE45" s="5">
        <f>-'5. IRR'!QZF16</f>
        <v>-0.0</v>
      </c>
      <c r="QZF45" s="5">
        <f>-'5. IRR'!QZG16</f>
        <v>-0.0</v>
      </c>
      <c r="QZG45" s="5">
        <f>-'5. IRR'!QZH16</f>
        <v>-0.0</v>
      </c>
      <c r="QZH45" s="5">
        <f>-'5. IRR'!QZI16</f>
        <v>-0.0</v>
      </c>
      <c r="QZI45" s="5">
        <f>-'5. IRR'!QZJ16</f>
        <v>-0.0</v>
      </c>
      <c r="QZJ45" s="5">
        <f>-'5. IRR'!QZK16</f>
        <v>-0.0</v>
      </c>
      <c r="QZK45" s="5">
        <f>-'5. IRR'!QZL16</f>
        <v>-0.0</v>
      </c>
      <c r="QZL45" s="5">
        <f>-'5. IRR'!QZM16</f>
        <v>-0.0</v>
      </c>
      <c r="QZM45" s="5">
        <f>-'5. IRR'!QZN16</f>
        <v>-0.0</v>
      </c>
      <c r="QZN45" s="5">
        <f>-'5. IRR'!QZO16</f>
        <v>-0.0</v>
      </c>
      <c r="QZO45" s="5">
        <f>-'5. IRR'!QZP16</f>
        <v>-0.0</v>
      </c>
      <c r="QZP45" s="5">
        <f>-'5. IRR'!QZQ16</f>
        <v>-0.0</v>
      </c>
      <c r="QZQ45" s="5">
        <f>-'5. IRR'!QZR16</f>
        <v>-0.0</v>
      </c>
      <c r="QZR45" s="5">
        <f>-'5. IRR'!QZS16</f>
        <v>-0.0</v>
      </c>
      <c r="QZS45" s="5">
        <f>-'5. IRR'!QZT16</f>
        <v>-0.0</v>
      </c>
      <c r="QZT45" s="5">
        <f>-'5. IRR'!QZU16</f>
        <v>-0.0</v>
      </c>
      <c r="QZU45" s="5">
        <f>-'5. IRR'!QZV16</f>
        <v>-0.0</v>
      </c>
      <c r="QZV45" s="5">
        <f>-'5. IRR'!QZW16</f>
        <v>-0.0</v>
      </c>
      <c r="QZW45" s="5">
        <f>-'5. IRR'!QZX16</f>
        <v>-0.0</v>
      </c>
      <c r="QZX45" s="5">
        <f>-'5. IRR'!QZY16</f>
        <v>-0.0</v>
      </c>
      <c r="QZY45" s="5">
        <f>-'5. IRR'!QZZ16</f>
        <v>-0.0</v>
      </c>
      <c r="QZZ45" s="5">
        <f>-'5. IRR'!RAA16</f>
        <v>-0.0</v>
      </c>
      <c r="RAA45" s="5">
        <f>-'5. IRR'!RAB16</f>
        <v>-0.0</v>
      </c>
      <c r="RAB45" s="5">
        <f>-'5. IRR'!RAC16</f>
        <v>-0.0</v>
      </c>
      <c r="RAC45" s="5">
        <f>-'5. IRR'!RAD16</f>
        <v>-0.0</v>
      </c>
      <c r="RAD45" s="5">
        <f>-'5. IRR'!RAE16</f>
        <v>-0.0</v>
      </c>
      <c r="RAE45" s="5">
        <f>-'5. IRR'!RAF16</f>
        <v>-0.0</v>
      </c>
      <c r="RAF45" s="5">
        <f>-'5. IRR'!RAG16</f>
        <v>-0.0</v>
      </c>
      <c r="RAG45" s="5">
        <f>-'5. IRR'!RAH16</f>
        <v>-0.0</v>
      </c>
      <c r="RAH45" s="5">
        <f>-'5. IRR'!RAI16</f>
        <v>-0.0</v>
      </c>
      <c r="RAI45" s="5">
        <f>-'5. IRR'!RAJ16</f>
        <v>-0.0</v>
      </c>
      <c r="RAJ45" s="5">
        <f>-'5. IRR'!RAK16</f>
        <v>-0.0</v>
      </c>
      <c r="RAK45" s="5">
        <f>-'5. IRR'!RAL16</f>
        <v>-0.0</v>
      </c>
      <c r="RAL45" s="5">
        <f>-'5. IRR'!RAM16</f>
        <v>-0.0</v>
      </c>
      <c r="RAM45" s="5">
        <f>-'5. IRR'!RAN16</f>
        <v>-0.0</v>
      </c>
      <c r="RAN45" s="5">
        <f>-'5. IRR'!RAO16</f>
        <v>-0.0</v>
      </c>
      <c r="RAO45" s="5">
        <f>-'5. IRR'!RAP16</f>
        <v>-0.0</v>
      </c>
      <c r="RAP45" s="5">
        <f>-'5. IRR'!RAQ16</f>
        <v>-0.0</v>
      </c>
      <c r="RAQ45" s="5">
        <f>-'5. IRR'!RAR16</f>
        <v>-0.0</v>
      </c>
      <c r="RAR45" s="5">
        <f>-'5. IRR'!RAS16</f>
        <v>-0.0</v>
      </c>
      <c r="RAS45" s="5">
        <f>-'5. IRR'!RAT16</f>
        <v>-0.0</v>
      </c>
      <c r="RAT45" s="5">
        <f>-'5. IRR'!RAU16</f>
        <v>-0.0</v>
      </c>
      <c r="RAU45" s="5">
        <f>-'5. IRR'!RAV16</f>
        <v>-0.0</v>
      </c>
      <c r="RAV45" s="5">
        <f>-'5. IRR'!RAW16</f>
        <v>-0.0</v>
      </c>
      <c r="RAW45" s="5">
        <f>-'5. IRR'!RAX16</f>
        <v>-0.0</v>
      </c>
      <c r="RAX45" s="5">
        <f>-'5. IRR'!RAY16</f>
        <v>-0.0</v>
      </c>
      <c r="RAY45" s="5">
        <f>-'5. IRR'!RAZ16</f>
        <v>-0.0</v>
      </c>
      <c r="RAZ45" s="5">
        <f>-'5. IRR'!RBA16</f>
        <v>-0.0</v>
      </c>
      <c r="RBA45" s="5">
        <f>-'5. IRR'!RBB16</f>
        <v>-0.0</v>
      </c>
      <c r="RBB45" s="5">
        <f>-'5. IRR'!RBC16</f>
        <v>-0.0</v>
      </c>
      <c r="RBC45" s="5">
        <f>-'5. IRR'!RBD16</f>
        <v>-0.0</v>
      </c>
      <c r="RBD45" s="5">
        <f>-'5. IRR'!RBE16</f>
        <v>-0.0</v>
      </c>
      <c r="RBE45" s="5">
        <f>-'5. IRR'!RBF16</f>
        <v>-0.0</v>
      </c>
      <c r="RBF45" s="5">
        <f>-'5. IRR'!RBG16</f>
        <v>-0.0</v>
      </c>
      <c r="RBG45" s="5">
        <f>-'5. IRR'!RBH16</f>
        <v>-0.0</v>
      </c>
      <c r="RBH45" s="5">
        <f>-'5. IRR'!RBI16</f>
        <v>-0.0</v>
      </c>
      <c r="RBI45" s="5">
        <f>-'5. IRR'!RBJ16</f>
        <v>-0.0</v>
      </c>
      <c r="RBJ45" s="5">
        <f>-'5. IRR'!RBK16</f>
        <v>-0.0</v>
      </c>
      <c r="RBK45" s="5">
        <f>-'5. IRR'!RBL16</f>
        <v>-0.0</v>
      </c>
      <c r="RBL45" s="5">
        <f>-'5. IRR'!RBM16</f>
        <v>-0.0</v>
      </c>
      <c r="RBM45" s="5">
        <f>-'5. IRR'!RBN16</f>
        <v>-0.0</v>
      </c>
      <c r="RBN45" s="5">
        <f>-'5. IRR'!RBO16</f>
        <v>-0.0</v>
      </c>
      <c r="RBO45" s="5">
        <f>-'5. IRR'!RBP16</f>
        <v>-0.0</v>
      </c>
      <c r="RBP45" s="5">
        <f>-'5. IRR'!RBQ16</f>
        <v>-0.0</v>
      </c>
      <c r="RBQ45" s="5">
        <f>-'5. IRR'!RBR16</f>
        <v>-0.0</v>
      </c>
      <c r="RBR45" s="5">
        <f>-'5. IRR'!RBS16</f>
        <v>-0.0</v>
      </c>
      <c r="RBS45" s="5">
        <f>-'5. IRR'!RBT16</f>
        <v>-0.0</v>
      </c>
      <c r="RBT45" s="5">
        <f>-'5. IRR'!RBU16</f>
        <v>-0.0</v>
      </c>
      <c r="RBU45" s="5">
        <f>-'5. IRR'!RBV16</f>
        <v>-0.0</v>
      </c>
      <c r="RBV45" s="5">
        <f>-'5. IRR'!RBW16</f>
        <v>-0.0</v>
      </c>
      <c r="RBW45" s="5">
        <f>-'5. IRR'!RBX16</f>
        <v>-0.0</v>
      </c>
      <c r="RBX45" s="5">
        <f>-'5. IRR'!RBY16</f>
        <v>-0.0</v>
      </c>
      <c r="RBY45" s="5">
        <f>-'5. IRR'!RBZ16</f>
        <v>-0.0</v>
      </c>
      <c r="RBZ45" s="5">
        <f>-'5. IRR'!RCA16</f>
        <v>-0.0</v>
      </c>
      <c r="RCA45" s="5">
        <f>-'5. IRR'!RCB16</f>
        <v>-0.0</v>
      </c>
      <c r="RCB45" s="5">
        <f>-'5. IRR'!RCC16</f>
        <v>-0.0</v>
      </c>
      <c r="RCC45" s="5">
        <f>-'5. IRR'!RCD16</f>
        <v>-0.0</v>
      </c>
      <c r="RCD45" s="5">
        <f>-'5. IRR'!RCE16</f>
        <v>-0.0</v>
      </c>
      <c r="RCE45" s="5">
        <f>-'5. IRR'!RCF16</f>
        <v>-0.0</v>
      </c>
      <c r="RCF45" s="5">
        <f>-'5. IRR'!RCG16</f>
        <v>-0.0</v>
      </c>
      <c r="RCG45" s="5">
        <f>-'5. IRR'!RCH16</f>
        <v>-0.0</v>
      </c>
      <c r="RCH45" s="5">
        <f>-'5. IRR'!RCI16</f>
        <v>-0.0</v>
      </c>
      <c r="RCI45" s="5">
        <f>-'5. IRR'!RCJ16</f>
        <v>-0.0</v>
      </c>
      <c r="RCJ45" s="5">
        <f>-'5. IRR'!RCK16</f>
        <v>-0.0</v>
      </c>
      <c r="RCK45" s="5">
        <f>-'5. IRR'!RCL16</f>
        <v>-0.0</v>
      </c>
      <c r="RCL45" s="5">
        <f>-'5. IRR'!RCM16</f>
        <v>-0.0</v>
      </c>
      <c r="RCM45" s="5">
        <f>-'5. IRR'!RCN16</f>
        <v>-0.0</v>
      </c>
      <c r="RCN45" s="5">
        <f>-'5. IRR'!RCO16</f>
        <v>-0.0</v>
      </c>
      <c r="RCO45" s="5">
        <f>-'5. IRR'!RCP16</f>
        <v>-0.0</v>
      </c>
      <c r="RCP45" s="5">
        <f>-'5. IRR'!RCQ16</f>
        <v>-0.0</v>
      </c>
      <c r="RCQ45" s="5">
        <f>-'5. IRR'!RCR16</f>
        <v>-0.0</v>
      </c>
      <c r="RCR45" s="5">
        <f>-'5. IRR'!RCS16</f>
        <v>-0.0</v>
      </c>
      <c r="RCS45" s="5">
        <f>-'5. IRR'!RCT16</f>
        <v>-0.0</v>
      </c>
      <c r="RCT45" s="5">
        <f>-'5. IRR'!RCU16</f>
        <v>-0.0</v>
      </c>
      <c r="RCU45" s="5">
        <f>-'5. IRR'!RCV16</f>
        <v>-0.0</v>
      </c>
      <c r="RCV45" s="5">
        <f>-'5. IRR'!RCW16</f>
        <v>-0.0</v>
      </c>
      <c r="RCW45" s="5">
        <f>-'5. IRR'!RCX16</f>
        <v>-0.0</v>
      </c>
      <c r="RCX45" s="5">
        <f>-'5. IRR'!RCY16</f>
        <v>-0.0</v>
      </c>
      <c r="RCY45" s="5">
        <f>-'5. IRR'!RCZ16</f>
        <v>-0.0</v>
      </c>
      <c r="RCZ45" s="5">
        <f>-'5. IRR'!RDA16</f>
        <v>-0.0</v>
      </c>
      <c r="RDA45" s="5">
        <f>-'5. IRR'!RDB16</f>
        <v>-0.0</v>
      </c>
      <c r="RDB45" s="5">
        <f>-'5. IRR'!RDC16</f>
        <v>-0.0</v>
      </c>
      <c r="RDC45" s="5">
        <f>-'5. IRR'!RDD16</f>
        <v>-0.0</v>
      </c>
      <c r="RDD45" s="5">
        <f>-'5. IRR'!RDE16</f>
        <v>-0.0</v>
      </c>
      <c r="RDE45" s="5">
        <f>-'5. IRR'!RDF16</f>
        <v>-0.0</v>
      </c>
      <c r="RDF45" s="5">
        <f>-'5. IRR'!RDG16</f>
        <v>-0.0</v>
      </c>
      <c r="RDG45" s="5">
        <f>-'5. IRR'!RDH16</f>
        <v>-0.0</v>
      </c>
      <c r="RDH45" s="5">
        <f>-'5. IRR'!RDI16</f>
        <v>-0.0</v>
      </c>
      <c r="RDI45" s="5">
        <f>-'5. IRR'!RDJ16</f>
        <v>-0.0</v>
      </c>
      <c r="RDJ45" s="5">
        <f>-'5. IRR'!RDK16</f>
        <v>-0.0</v>
      </c>
      <c r="RDK45" s="5">
        <f>-'5. IRR'!RDL16</f>
        <v>-0.0</v>
      </c>
      <c r="RDL45" s="5">
        <f>-'5. IRR'!RDM16</f>
        <v>-0.0</v>
      </c>
      <c r="RDM45" s="5">
        <f>-'5. IRR'!RDN16</f>
        <v>-0.0</v>
      </c>
      <c r="RDN45" s="5">
        <f>-'5. IRR'!RDO16</f>
        <v>-0.0</v>
      </c>
      <c r="RDO45" s="5">
        <f>-'5. IRR'!RDP16</f>
        <v>-0.0</v>
      </c>
      <c r="RDP45" s="5">
        <f>-'5. IRR'!RDQ16</f>
        <v>-0.0</v>
      </c>
      <c r="RDQ45" s="5">
        <f>-'5. IRR'!RDR16</f>
        <v>-0.0</v>
      </c>
      <c r="RDR45" s="5">
        <f>-'5. IRR'!RDS16</f>
        <v>-0.0</v>
      </c>
      <c r="RDS45" s="5">
        <f>-'5. IRR'!RDT16</f>
        <v>-0.0</v>
      </c>
      <c r="RDT45" s="5">
        <f>-'5. IRR'!RDU16</f>
        <v>-0.0</v>
      </c>
      <c r="RDU45" s="5">
        <f>-'5. IRR'!RDV16</f>
        <v>-0.0</v>
      </c>
      <c r="RDV45" s="5">
        <f>-'5. IRR'!RDW16</f>
        <v>-0.0</v>
      </c>
      <c r="RDW45" s="5">
        <f>-'5. IRR'!RDX16</f>
        <v>-0.0</v>
      </c>
      <c r="RDX45" s="5">
        <f>-'5. IRR'!RDY16</f>
        <v>-0.0</v>
      </c>
      <c r="RDY45" s="5">
        <f>-'5. IRR'!RDZ16</f>
        <v>-0.0</v>
      </c>
      <c r="RDZ45" s="5">
        <f>-'5. IRR'!REA16</f>
        <v>-0.0</v>
      </c>
      <c r="REA45" s="5">
        <f>-'5. IRR'!REB16</f>
        <v>-0.0</v>
      </c>
      <c r="REB45" s="5">
        <f>-'5. IRR'!REC16</f>
        <v>-0.0</v>
      </c>
      <c r="REC45" s="5">
        <f>-'5. IRR'!RED16</f>
        <v>-0.0</v>
      </c>
      <c r="RED45" s="5">
        <f>-'5. IRR'!REE16</f>
        <v>-0.0</v>
      </c>
      <c r="REE45" s="5">
        <f>-'5. IRR'!REF16</f>
        <v>-0.0</v>
      </c>
      <c r="REF45" s="5">
        <f>-'5. IRR'!REG16</f>
        <v>-0.0</v>
      </c>
      <c r="REG45" s="5">
        <f>-'5. IRR'!REH16</f>
        <v>-0.0</v>
      </c>
      <c r="REH45" s="5">
        <f>-'5. IRR'!REI16</f>
        <v>-0.0</v>
      </c>
      <c r="REI45" s="5">
        <f>-'5. IRR'!REJ16</f>
        <v>-0.0</v>
      </c>
      <c r="REJ45" s="5">
        <f>-'5. IRR'!REK16</f>
        <v>-0.0</v>
      </c>
      <c r="REK45" s="5">
        <f>-'5. IRR'!REL16</f>
        <v>-0.0</v>
      </c>
      <c r="REL45" s="5">
        <f>-'5. IRR'!REM16</f>
        <v>-0.0</v>
      </c>
      <c r="REM45" s="5">
        <f>-'5. IRR'!REN16</f>
        <v>-0.0</v>
      </c>
      <c r="REN45" s="5">
        <f>-'5. IRR'!REO16</f>
        <v>-0.0</v>
      </c>
      <c r="REO45" s="5">
        <f>-'5. IRR'!REP16</f>
        <v>-0.0</v>
      </c>
      <c r="REP45" s="5">
        <f>-'5. IRR'!REQ16</f>
        <v>-0.0</v>
      </c>
      <c r="REQ45" s="5">
        <f>-'5. IRR'!RER16</f>
        <v>-0.0</v>
      </c>
      <c r="RER45" s="5">
        <f>-'5. IRR'!RES16</f>
        <v>-0.0</v>
      </c>
      <c r="RES45" s="5">
        <f>-'5. IRR'!RET16</f>
        <v>-0.0</v>
      </c>
      <c r="RET45" s="5">
        <f>-'5. IRR'!REU16</f>
        <v>-0.0</v>
      </c>
      <c r="REU45" s="5">
        <f>-'5. IRR'!REV16</f>
        <v>-0.0</v>
      </c>
      <c r="REV45" s="5">
        <f>-'5. IRR'!REW16</f>
        <v>-0.0</v>
      </c>
      <c r="REW45" s="5">
        <f>-'5. IRR'!REX16</f>
        <v>-0.0</v>
      </c>
      <c r="REX45" s="5">
        <f>-'5. IRR'!REY16</f>
        <v>-0.0</v>
      </c>
      <c r="REY45" s="5">
        <f>-'5. IRR'!REZ16</f>
        <v>-0.0</v>
      </c>
      <c r="REZ45" s="5">
        <f>-'5. IRR'!RFA16</f>
        <v>-0.0</v>
      </c>
      <c r="RFA45" s="5">
        <f>-'5. IRR'!RFB16</f>
        <v>-0.0</v>
      </c>
      <c r="RFB45" s="5">
        <f>-'5. IRR'!RFC16</f>
        <v>-0.0</v>
      </c>
      <c r="RFC45" s="5">
        <f>-'5. IRR'!RFD16</f>
        <v>-0.0</v>
      </c>
      <c r="RFD45" s="5">
        <f>-'5. IRR'!RFE16</f>
        <v>-0.0</v>
      </c>
      <c r="RFE45" s="5">
        <f>-'5. IRR'!RFF16</f>
        <v>-0.0</v>
      </c>
      <c r="RFF45" s="5">
        <f>-'5. IRR'!RFG16</f>
        <v>-0.0</v>
      </c>
      <c r="RFG45" s="5">
        <f>-'5. IRR'!RFH16</f>
        <v>-0.0</v>
      </c>
      <c r="RFH45" s="5">
        <f>-'5. IRR'!RFI16</f>
        <v>-0.0</v>
      </c>
      <c r="RFI45" s="5">
        <f>-'5. IRR'!RFJ16</f>
        <v>-0.0</v>
      </c>
      <c r="RFJ45" s="5">
        <f>-'5. IRR'!RFK16</f>
        <v>-0.0</v>
      </c>
      <c r="RFK45" s="5">
        <f>-'5. IRR'!RFL16</f>
        <v>-0.0</v>
      </c>
      <c r="RFL45" s="5">
        <f>-'5. IRR'!RFM16</f>
        <v>-0.0</v>
      </c>
      <c r="RFM45" s="5">
        <f>-'5. IRR'!RFN16</f>
        <v>-0.0</v>
      </c>
      <c r="RFN45" s="5">
        <f>-'5. IRR'!RFO16</f>
        <v>-0.0</v>
      </c>
      <c r="RFO45" s="5">
        <f>-'5. IRR'!RFP16</f>
        <v>-0.0</v>
      </c>
      <c r="RFP45" s="5">
        <f>-'5. IRR'!RFQ16</f>
        <v>-0.0</v>
      </c>
      <c r="RFQ45" s="5">
        <f>-'5. IRR'!RFR16</f>
        <v>-0.0</v>
      </c>
      <c r="RFR45" s="5">
        <f>-'5. IRR'!RFS16</f>
        <v>-0.0</v>
      </c>
      <c r="RFS45" s="5">
        <f>-'5. IRR'!RFT16</f>
        <v>-0.0</v>
      </c>
      <c r="RFT45" s="5">
        <f>-'5. IRR'!RFU16</f>
        <v>-0.0</v>
      </c>
      <c r="RFU45" s="5">
        <f>-'5. IRR'!RFV16</f>
        <v>-0.0</v>
      </c>
      <c r="RFV45" s="5">
        <f>-'5. IRR'!RFW16</f>
        <v>-0.0</v>
      </c>
      <c r="RFW45" s="5">
        <f>-'5. IRR'!RFX16</f>
        <v>-0.0</v>
      </c>
      <c r="RFX45" s="5">
        <f>-'5. IRR'!RFY16</f>
        <v>-0.0</v>
      </c>
      <c r="RFY45" s="5">
        <f>-'5. IRR'!RFZ16</f>
        <v>-0.0</v>
      </c>
      <c r="RFZ45" s="5">
        <f>-'5. IRR'!RGA16</f>
        <v>-0.0</v>
      </c>
      <c r="RGA45" s="5">
        <f>-'5. IRR'!RGB16</f>
        <v>-0.0</v>
      </c>
      <c r="RGB45" s="5">
        <f>-'5. IRR'!RGC16</f>
        <v>-0.0</v>
      </c>
      <c r="RGC45" s="5">
        <f>-'5. IRR'!RGD16</f>
        <v>-0.0</v>
      </c>
      <c r="RGD45" s="5">
        <f>-'5. IRR'!RGE16</f>
        <v>-0.0</v>
      </c>
      <c r="RGE45" s="5">
        <f>-'5. IRR'!RGF16</f>
        <v>-0.0</v>
      </c>
      <c r="RGF45" s="5">
        <f>-'5. IRR'!RGG16</f>
        <v>-0.0</v>
      </c>
      <c r="RGG45" s="5">
        <f>-'5. IRR'!RGH16</f>
        <v>-0.0</v>
      </c>
      <c r="RGH45" s="5">
        <f>-'5. IRR'!RGI16</f>
        <v>-0.0</v>
      </c>
      <c r="RGI45" s="5">
        <f>-'5. IRR'!RGJ16</f>
        <v>-0.0</v>
      </c>
      <c r="RGJ45" s="5">
        <f>-'5. IRR'!RGK16</f>
        <v>-0.0</v>
      </c>
      <c r="RGK45" s="5">
        <f>-'5. IRR'!RGL16</f>
        <v>-0.0</v>
      </c>
      <c r="RGL45" s="5">
        <f>-'5. IRR'!RGM16</f>
        <v>-0.0</v>
      </c>
      <c r="RGM45" s="5">
        <f>-'5. IRR'!RGN16</f>
        <v>-0.0</v>
      </c>
      <c r="RGN45" s="5">
        <f>-'5. IRR'!RGO16</f>
        <v>-0.0</v>
      </c>
      <c r="RGO45" s="5">
        <f>-'5. IRR'!RGP16</f>
        <v>-0.0</v>
      </c>
      <c r="RGP45" s="5">
        <f>-'5. IRR'!RGQ16</f>
        <v>-0.0</v>
      </c>
      <c r="RGQ45" s="5">
        <f>-'5. IRR'!RGR16</f>
        <v>-0.0</v>
      </c>
      <c r="RGR45" s="5">
        <f>-'5. IRR'!RGS16</f>
        <v>-0.0</v>
      </c>
      <c r="RGS45" s="5">
        <f>-'5. IRR'!RGT16</f>
        <v>-0.0</v>
      </c>
      <c r="RGT45" s="5">
        <f>-'5. IRR'!RGU16</f>
        <v>-0.0</v>
      </c>
      <c r="RGU45" s="5">
        <f>-'5. IRR'!RGV16</f>
        <v>-0.0</v>
      </c>
      <c r="RGV45" s="5">
        <f>-'5. IRR'!RGW16</f>
        <v>-0.0</v>
      </c>
      <c r="RGW45" s="5">
        <f>-'5. IRR'!RGX16</f>
        <v>-0.0</v>
      </c>
      <c r="RGX45" s="5">
        <f>-'5. IRR'!RGY16</f>
        <v>-0.0</v>
      </c>
      <c r="RGY45" s="5">
        <f>-'5. IRR'!RGZ16</f>
        <v>-0.0</v>
      </c>
      <c r="RGZ45" s="5">
        <f>-'5. IRR'!RHA16</f>
        <v>-0.0</v>
      </c>
      <c r="RHA45" s="5">
        <f>-'5. IRR'!RHB16</f>
        <v>-0.0</v>
      </c>
      <c r="RHB45" s="5">
        <f>-'5. IRR'!RHC16</f>
        <v>-0.0</v>
      </c>
      <c r="RHC45" s="5">
        <f>-'5. IRR'!RHD16</f>
        <v>-0.0</v>
      </c>
      <c r="RHD45" s="5">
        <f>-'5. IRR'!RHE16</f>
        <v>-0.0</v>
      </c>
      <c r="RHE45" s="5">
        <f>-'5. IRR'!RHF16</f>
        <v>-0.0</v>
      </c>
      <c r="RHF45" s="5">
        <f>-'5. IRR'!RHG16</f>
        <v>-0.0</v>
      </c>
      <c r="RHG45" s="5">
        <f>-'5. IRR'!RHH16</f>
        <v>-0.0</v>
      </c>
      <c r="RHH45" s="5">
        <f>-'5. IRR'!RHI16</f>
        <v>-0.0</v>
      </c>
      <c r="RHI45" s="5">
        <f>-'5. IRR'!RHJ16</f>
        <v>-0.0</v>
      </c>
      <c r="RHJ45" s="5">
        <f>-'5. IRR'!RHK16</f>
        <v>-0.0</v>
      </c>
      <c r="RHK45" s="5">
        <f>-'5. IRR'!RHL16</f>
        <v>-0.0</v>
      </c>
      <c r="RHL45" s="5">
        <f>-'5. IRR'!RHM16</f>
        <v>-0.0</v>
      </c>
      <c r="RHM45" s="5">
        <f>-'5. IRR'!RHN16</f>
        <v>-0.0</v>
      </c>
      <c r="RHN45" s="5">
        <f>-'5. IRR'!RHO16</f>
        <v>-0.0</v>
      </c>
      <c r="RHO45" s="5">
        <f>-'5. IRR'!RHP16</f>
        <v>-0.0</v>
      </c>
      <c r="RHP45" s="5">
        <f>-'5. IRR'!RHQ16</f>
        <v>-0.0</v>
      </c>
      <c r="RHQ45" s="5">
        <f>-'5. IRR'!RHR16</f>
        <v>-0.0</v>
      </c>
      <c r="RHR45" s="5">
        <f>-'5. IRR'!RHS16</f>
        <v>-0.0</v>
      </c>
      <c r="RHS45" s="5">
        <f>-'5. IRR'!RHT16</f>
        <v>-0.0</v>
      </c>
      <c r="RHT45" s="5">
        <f>-'5. IRR'!RHU16</f>
        <v>-0.0</v>
      </c>
      <c r="RHU45" s="5">
        <f>-'5. IRR'!RHV16</f>
        <v>-0.0</v>
      </c>
      <c r="RHV45" s="5">
        <f>-'5. IRR'!RHW16</f>
        <v>-0.0</v>
      </c>
      <c r="RHW45" s="5">
        <f>-'5. IRR'!RHX16</f>
        <v>-0.0</v>
      </c>
      <c r="RHX45" s="5">
        <f>-'5. IRR'!RHY16</f>
        <v>-0.0</v>
      </c>
      <c r="RHY45" s="5">
        <f>-'5. IRR'!RHZ16</f>
        <v>-0.0</v>
      </c>
      <c r="RHZ45" s="5">
        <f>-'5. IRR'!RIA16</f>
        <v>-0.0</v>
      </c>
      <c r="RIA45" s="5">
        <f>-'5. IRR'!RIB16</f>
        <v>-0.0</v>
      </c>
      <c r="RIB45" s="5">
        <f>-'5. IRR'!RIC16</f>
        <v>-0.0</v>
      </c>
      <c r="RIC45" s="5">
        <f>-'5. IRR'!RID16</f>
        <v>-0.0</v>
      </c>
      <c r="RID45" s="5">
        <f>-'5. IRR'!RIE16</f>
        <v>-0.0</v>
      </c>
      <c r="RIE45" s="5">
        <f>-'5. IRR'!RIF16</f>
        <v>-0.0</v>
      </c>
      <c r="RIF45" s="5">
        <f>-'5. IRR'!RIG16</f>
        <v>-0.0</v>
      </c>
      <c r="RIG45" s="5">
        <f>-'5. IRR'!RIH16</f>
        <v>-0.0</v>
      </c>
      <c r="RIH45" s="5">
        <f>-'5. IRR'!RII16</f>
        <v>-0.0</v>
      </c>
      <c r="RII45" s="5">
        <f>-'5. IRR'!RIJ16</f>
        <v>-0.0</v>
      </c>
      <c r="RIJ45" s="5">
        <f>-'5. IRR'!RIK16</f>
        <v>-0.0</v>
      </c>
      <c r="RIK45" s="5">
        <f>-'5. IRR'!RIL16</f>
        <v>-0.0</v>
      </c>
      <c r="RIL45" s="5">
        <f>-'5. IRR'!RIM16</f>
        <v>-0.0</v>
      </c>
      <c r="RIM45" s="5">
        <f>-'5. IRR'!RIN16</f>
        <v>-0.0</v>
      </c>
      <c r="RIN45" s="5">
        <f>-'5. IRR'!RIO16</f>
        <v>-0.0</v>
      </c>
      <c r="RIO45" s="5">
        <f>-'5. IRR'!RIP16</f>
        <v>-0.0</v>
      </c>
      <c r="RIP45" s="5">
        <f>-'5. IRR'!RIQ16</f>
        <v>-0.0</v>
      </c>
      <c r="RIQ45" s="5">
        <f>-'5. IRR'!RIR16</f>
        <v>-0.0</v>
      </c>
      <c r="RIR45" s="5">
        <f>-'5. IRR'!RIS16</f>
        <v>-0.0</v>
      </c>
      <c r="RIS45" s="5">
        <f>-'5. IRR'!RIT16</f>
        <v>-0.0</v>
      </c>
      <c r="RIT45" s="5">
        <f>-'5. IRR'!RIU16</f>
        <v>-0.0</v>
      </c>
      <c r="RIU45" s="5">
        <f>-'5. IRR'!RIV16</f>
        <v>-0.0</v>
      </c>
      <c r="RIV45" s="5">
        <f>-'5. IRR'!RIW16</f>
        <v>-0.0</v>
      </c>
      <c r="RIW45" s="5">
        <f>-'5. IRR'!RIX16</f>
        <v>-0.0</v>
      </c>
      <c r="RIX45" s="5">
        <f>-'5. IRR'!RIY16</f>
        <v>-0.0</v>
      </c>
      <c r="RIY45" s="5">
        <f>-'5. IRR'!RIZ16</f>
        <v>-0.0</v>
      </c>
      <c r="RIZ45" s="5">
        <f>-'5. IRR'!RJA16</f>
        <v>-0.0</v>
      </c>
      <c r="RJA45" s="5">
        <f>-'5. IRR'!RJB16</f>
        <v>-0.0</v>
      </c>
      <c r="RJB45" s="5">
        <f>-'5. IRR'!RJC16</f>
        <v>-0.0</v>
      </c>
      <c r="RJC45" s="5">
        <f>-'5. IRR'!RJD16</f>
        <v>-0.0</v>
      </c>
      <c r="RJD45" s="5">
        <f>-'5. IRR'!RJE16</f>
        <v>-0.0</v>
      </c>
      <c r="RJE45" s="5">
        <f>-'5. IRR'!RJF16</f>
        <v>-0.0</v>
      </c>
      <c r="RJF45" s="5">
        <f>-'5. IRR'!RJG16</f>
        <v>-0.0</v>
      </c>
      <c r="RJG45" s="5">
        <f>-'5. IRR'!RJH16</f>
        <v>-0.0</v>
      </c>
      <c r="RJH45" s="5">
        <f>-'5. IRR'!RJI16</f>
        <v>-0.0</v>
      </c>
      <c r="RJI45" s="5">
        <f>-'5. IRR'!RJJ16</f>
        <v>-0.0</v>
      </c>
      <c r="RJJ45" s="5">
        <f>-'5. IRR'!RJK16</f>
        <v>-0.0</v>
      </c>
      <c r="RJK45" s="5">
        <f>-'5. IRR'!RJL16</f>
        <v>-0.0</v>
      </c>
      <c r="RJL45" s="5">
        <f>-'5. IRR'!RJM16</f>
        <v>-0.0</v>
      </c>
      <c r="RJM45" s="5">
        <f>-'5. IRR'!RJN16</f>
        <v>-0.0</v>
      </c>
      <c r="RJN45" s="5">
        <f>-'5. IRR'!RJO16</f>
        <v>-0.0</v>
      </c>
      <c r="RJO45" s="5">
        <f>-'5. IRR'!RJP16</f>
        <v>-0.0</v>
      </c>
      <c r="RJP45" s="5">
        <f>-'5. IRR'!RJQ16</f>
        <v>-0.0</v>
      </c>
      <c r="RJQ45" s="5">
        <f>-'5. IRR'!RJR16</f>
        <v>-0.0</v>
      </c>
      <c r="RJR45" s="5">
        <f>-'5. IRR'!RJS16</f>
        <v>-0.0</v>
      </c>
      <c r="RJS45" s="5">
        <f>-'5. IRR'!RJT16</f>
        <v>-0.0</v>
      </c>
      <c r="RJT45" s="5">
        <f>-'5. IRR'!RJU16</f>
        <v>-0.0</v>
      </c>
      <c r="RJU45" s="5">
        <f>-'5. IRR'!RJV16</f>
        <v>-0.0</v>
      </c>
      <c r="RJV45" s="5">
        <f>-'5. IRR'!RJW16</f>
        <v>-0.0</v>
      </c>
      <c r="RJW45" s="5">
        <f>-'5. IRR'!RJX16</f>
        <v>-0.0</v>
      </c>
      <c r="RJX45" s="5">
        <f>-'5. IRR'!RJY16</f>
        <v>-0.0</v>
      </c>
      <c r="RJY45" s="5">
        <f>-'5. IRR'!RJZ16</f>
        <v>-0.0</v>
      </c>
      <c r="RJZ45" s="5">
        <f>-'5. IRR'!RKA16</f>
        <v>-0.0</v>
      </c>
      <c r="RKA45" s="5">
        <f>-'5. IRR'!RKB16</f>
        <v>-0.0</v>
      </c>
      <c r="RKB45" s="5">
        <f>-'5. IRR'!RKC16</f>
        <v>-0.0</v>
      </c>
      <c r="RKC45" s="5">
        <f>-'5. IRR'!RKD16</f>
        <v>-0.0</v>
      </c>
      <c r="RKD45" s="5">
        <f>-'5. IRR'!RKE16</f>
        <v>-0.0</v>
      </c>
      <c r="RKE45" s="5">
        <f>-'5. IRR'!RKF16</f>
        <v>-0.0</v>
      </c>
      <c r="RKF45" s="5">
        <f>-'5. IRR'!RKG16</f>
        <v>-0.0</v>
      </c>
      <c r="RKG45" s="5">
        <f>-'5. IRR'!RKH16</f>
        <v>-0.0</v>
      </c>
      <c r="RKH45" s="5">
        <f>-'5. IRR'!RKI16</f>
        <v>-0.0</v>
      </c>
      <c r="RKI45" s="5">
        <f>-'5. IRR'!RKJ16</f>
        <v>-0.0</v>
      </c>
      <c r="RKJ45" s="5">
        <f>-'5. IRR'!RKK16</f>
        <v>-0.0</v>
      </c>
      <c r="RKK45" s="5">
        <f>-'5. IRR'!RKL16</f>
        <v>-0.0</v>
      </c>
      <c r="RKL45" s="5">
        <f>-'5. IRR'!RKM16</f>
        <v>-0.0</v>
      </c>
      <c r="RKM45" s="5">
        <f>-'5. IRR'!RKN16</f>
        <v>-0.0</v>
      </c>
      <c r="RKN45" s="5">
        <f>-'5. IRR'!RKO16</f>
        <v>-0.0</v>
      </c>
      <c r="RKO45" s="5">
        <f>-'5. IRR'!RKP16</f>
        <v>-0.0</v>
      </c>
      <c r="RKP45" s="5">
        <f>-'5. IRR'!RKQ16</f>
        <v>-0.0</v>
      </c>
      <c r="RKQ45" s="5">
        <f>-'5. IRR'!RKR16</f>
        <v>-0.0</v>
      </c>
      <c r="RKR45" s="5">
        <f>-'5. IRR'!RKS16</f>
        <v>-0.0</v>
      </c>
      <c r="RKS45" s="5">
        <f>-'5. IRR'!RKT16</f>
        <v>-0.0</v>
      </c>
      <c r="RKT45" s="5">
        <f>-'5. IRR'!RKU16</f>
        <v>-0.0</v>
      </c>
      <c r="RKU45" s="5">
        <f>-'5. IRR'!RKV16</f>
        <v>-0.0</v>
      </c>
      <c r="RKV45" s="5">
        <f>-'5. IRR'!RKW16</f>
        <v>-0.0</v>
      </c>
      <c r="RKW45" s="5">
        <f>-'5. IRR'!RKX16</f>
        <v>-0.0</v>
      </c>
      <c r="RKX45" s="5">
        <f>-'5. IRR'!RKY16</f>
        <v>-0.0</v>
      </c>
      <c r="RKY45" s="5">
        <f>-'5. IRR'!RKZ16</f>
        <v>-0.0</v>
      </c>
      <c r="RKZ45" s="5">
        <f>-'5. IRR'!RLA16</f>
        <v>-0.0</v>
      </c>
      <c r="RLA45" s="5">
        <f>-'5. IRR'!RLB16</f>
        <v>-0.0</v>
      </c>
      <c r="RLB45" s="5">
        <f>-'5. IRR'!RLC16</f>
        <v>-0.0</v>
      </c>
      <c r="RLC45" s="5">
        <f>-'5. IRR'!RLD16</f>
        <v>-0.0</v>
      </c>
      <c r="RLD45" s="5">
        <f>-'5. IRR'!RLE16</f>
        <v>-0.0</v>
      </c>
      <c r="RLE45" s="5">
        <f>-'5. IRR'!RLF16</f>
        <v>-0.0</v>
      </c>
      <c r="RLF45" s="5">
        <f>-'5. IRR'!RLG16</f>
        <v>-0.0</v>
      </c>
      <c r="RLG45" s="5">
        <f>-'5. IRR'!RLH16</f>
        <v>-0.0</v>
      </c>
      <c r="RLH45" s="5">
        <f>-'5. IRR'!RLI16</f>
        <v>-0.0</v>
      </c>
      <c r="RLI45" s="5">
        <f>-'5. IRR'!RLJ16</f>
        <v>-0.0</v>
      </c>
      <c r="RLJ45" s="5">
        <f>-'5. IRR'!RLK16</f>
        <v>-0.0</v>
      </c>
      <c r="RLK45" s="5">
        <f>-'5. IRR'!RLL16</f>
        <v>-0.0</v>
      </c>
      <c r="RLL45" s="5">
        <f>-'5. IRR'!RLM16</f>
        <v>-0.0</v>
      </c>
      <c r="RLM45" s="5">
        <f>-'5. IRR'!RLN16</f>
        <v>-0.0</v>
      </c>
      <c r="RLN45" s="5">
        <f>-'5. IRR'!RLO16</f>
        <v>-0.0</v>
      </c>
      <c r="RLO45" s="5">
        <f>-'5. IRR'!RLP16</f>
        <v>-0.0</v>
      </c>
      <c r="RLP45" s="5">
        <f>-'5. IRR'!RLQ16</f>
        <v>-0.0</v>
      </c>
      <c r="RLQ45" s="5">
        <f>-'5. IRR'!RLR16</f>
        <v>-0.0</v>
      </c>
      <c r="RLR45" s="5">
        <f>-'5. IRR'!RLS16</f>
        <v>-0.0</v>
      </c>
      <c r="RLS45" s="5">
        <f>-'5. IRR'!RLT16</f>
        <v>-0.0</v>
      </c>
      <c r="RLT45" s="5">
        <f>-'5. IRR'!RLU16</f>
        <v>-0.0</v>
      </c>
      <c r="RLU45" s="5">
        <f>-'5. IRR'!RLV16</f>
        <v>-0.0</v>
      </c>
      <c r="RLV45" s="5">
        <f>-'5. IRR'!RLW16</f>
        <v>-0.0</v>
      </c>
      <c r="RLW45" s="5">
        <f>-'5. IRR'!RLX16</f>
        <v>-0.0</v>
      </c>
      <c r="RLX45" s="5">
        <f>-'5. IRR'!RLY16</f>
        <v>-0.0</v>
      </c>
      <c r="RLY45" s="5">
        <f>-'5. IRR'!RLZ16</f>
        <v>-0.0</v>
      </c>
      <c r="RLZ45" s="5">
        <f>-'5. IRR'!RMA16</f>
        <v>-0.0</v>
      </c>
      <c r="RMA45" s="5">
        <f>-'5. IRR'!RMB16</f>
        <v>-0.0</v>
      </c>
      <c r="RMB45" s="5">
        <f>-'5. IRR'!RMC16</f>
        <v>-0.0</v>
      </c>
      <c r="RMC45" s="5">
        <f>-'5. IRR'!RMD16</f>
        <v>-0.0</v>
      </c>
      <c r="RMD45" s="5">
        <f>-'5. IRR'!RME16</f>
        <v>-0.0</v>
      </c>
      <c r="RME45" s="5">
        <f>-'5. IRR'!RMF16</f>
        <v>-0.0</v>
      </c>
      <c r="RMF45" s="5">
        <f>-'5. IRR'!RMG16</f>
        <v>-0.0</v>
      </c>
      <c r="RMG45" s="5">
        <f>-'5. IRR'!RMH16</f>
        <v>-0.0</v>
      </c>
      <c r="RMH45" s="5">
        <f>-'5. IRR'!RMI16</f>
        <v>-0.0</v>
      </c>
      <c r="RMI45" s="5">
        <f>-'5. IRR'!RMJ16</f>
        <v>-0.0</v>
      </c>
      <c r="RMJ45" s="5">
        <f>-'5. IRR'!RMK16</f>
        <v>-0.0</v>
      </c>
      <c r="RMK45" s="5">
        <f>-'5. IRR'!RML16</f>
        <v>-0.0</v>
      </c>
      <c r="RML45" s="5">
        <f>-'5. IRR'!RMM16</f>
        <v>-0.0</v>
      </c>
      <c r="RMM45" s="5">
        <f>-'5. IRR'!RMN16</f>
        <v>-0.0</v>
      </c>
      <c r="RMN45" s="5">
        <f>-'5. IRR'!RMO16</f>
        <v>-0.0</v>
      </c>
      <c r="RMO45" s="5">
        <f>-'5. IRR'!RMP16</f>
        <v>-0.0</v>
      </c>
      <c r="RMP45" s="5">
        <f>-'5. IRR'!RMQ16</f>
        <v>-0.0</v>
      </c>
      <c r="RMQ45" s="5">
        <f>-'5. IRR'!RMR16</f>
        <v>-0.0</v>
      </c>
      <c r="RMR45" s="5">
        <f>-'5. IRR'!RMS16</f>
        <v>-0.0</v>
      </c>
      <c r="RMS45" s="5">
        <f>-'5. IRR'!RMT16</f>
        <v>-0.0</v>
      </c>
      <c r="RMT45" s="5">
        <f>-'5. IRR'!RMU16</f>
        <v>-0.0</v>
      </c>
      <c r="RMU45" s="5">
        <f>-'5. IRR'!RMV16</f>
        <v>-0.0</v>
      </c>
      <c r="RMV45" s="5">
        <f>-'5. IRR'!RMW16</f>
        <v>-0.0</v>
      </c>
      <c r="RMW45" s="5">
        <f>-'5. IRR'!RMX16</f>
        <v>-0.0</v>
      </c>
      <c r="RMX45" s="5">
        <f>-'5. IRR'!RMY16</f>
        <v>-0.0</v>
      </c>
      <c r="RMY45" s="5">
        <f>-'5. IRR'!RMZ16</f>
        <v>-0.0</v>
      </c>
      <c r="RMZ45" s="5">
        <f>-'5. IRR'!RNA16</f>
        <v>-0.0</v>
      </c>
      <c r="RNA45" s="5">
        <f>-'5. IRR'!RNB16</f>
        <v>-0.0</v>
      </c>
      <c r="RNB45" s="5">
        <f>-'5. IRR'!RNC16</f>
        <v>-0.0</v>
      </c>
      <c r="RNC45" s="5">
        <f>-'5. IRR'!RND16</f>
        <v>-0.0</v>
      </c>
      <c r="RND45" s="5">
        <f>-'5. IRR'!RNE16</f>
        <v>-0.0</v>
      </c>
      <c r="RNE45" s="5">
        <f>-'5. IRR'!RNF16</f>
        <v>-0.0</v>
      </c>
      <c r="RNF45" s="5">
        <f>-'5. IRR'!RNG16</f>
        <v>-0.0</v>
      </c>
      <c r="RNG45" s="5">
        <f>-'5. IRR'!RNH16</f>
        <v>-0.0</v>
      </c>
      <c r="RNH45" s="5">
        <f>-'5. IRR'!RNI16</f>
        <v>-0.0</v>
      </c>
      <c r="RNI45" s="5">
        <f>-'5. IRR'!RNJ16</f>
        <v>-0.0</v>
      </c>
      <c r="RNJ45" s="5">
        <f>-'5. IRR'!RNK16</f>
        <v>-0.0</v>
      </c>
      <c r="RNK45" s="5">
        <f>-'5. IRR'!RNL16</f>
        <v>-0.0</v>
      </c>
      <c r="RNL45" s="5">
        <f>-'5. IRR'!RNM16</f>
        <v>-0.0</v>
      </c>
      <c r="RNM45" s="5">
        <f>-'5. IRR'!RNN16</f>
        <v>-0.0</v>
      </c>
      <c r="RNN45" s="5">
        <f>-'5. IRR'!RNO16</f>
        <v>-0.0</v>
      </c>
      <c r="RNO45" s="5">
        <f>-'5. IRR'!RNP16</f>
        <v>-0.0</v>
      </c>
      <c r="RNP45" s="5">
        <f>-'5. IRR'!RNQ16</f>
        <v>-0.0</v>
      </c>
      <c r="RNQ45" s="5">
        <f>-'5. IRR'!RNR16</f>
        <v>-0.0</v>
      </c>
      <c r="RNR45" s="5">
        <f>-'5. IRR'!RNS16</f>
        <v>-0.0</v>
      </c>
      <c r="RNS45" s="5">
        <f>-'5. IRR'!RNT16</f>
        <v>-0.0</v>
      </c>
      <c r="RNT45" s="5">
        <f>-'5. IRR'!RNU16</f>
        <v>-0.0</v>
      </c>
      <c r="RNU45" s="5">
        <f>-'5. IRR'!RNV16</f>
        <v>-0.0</v>
      </c>
      <c r="RNV45" s="5">
        <f>-'5. IRR'!RNW16</f>
        <v>-0.0</v>
      </c>
      <c r="RNW45" s="5">
        <f>-'5. IRR'!RNX16</f>
        <v>-0.0</v>
      </c>
      <c r="RNX45" s="5">
        <f>-'5. IRR'!RNY16</f>
        <v>-0.0</v>
      </c>
      <c r="RNY45" s="5">
        <f>-'5. IRR'!RNZ16</f>
        <v>-0.0</v>
      </c>
      <c r="RNZ45" s="5">
        <f>-'5. IRR'!ROA16</f>
        <v>-0.0</v>
      </c>
      <c r="ROA45" s="5">
        <f>-'5. IRR'!ROB16</f>
        <v>-0.0</v>
      </c>
      <c r="ROB45" s="5">
        <f>-'5. IRR'!ROC16</f>
        <v>-0.0</v>
      </c>
      <c r="ROC45" s="5">
        <f>-'5. IRR'!ROD16</f>
        <v>-0.0</v>
      </c>
      <c r="ROD45" s="5">
        <f>-'5. IRR'!ROE16</f>
        <v>-0.0</v>
      </c>
      <c r="ROE45" s="5">
        <f>-'5. IRR'!ROF16</f>
        <v>-0.0</v>
      </c>
      <c r="ROF45" s="5">
        <f>-'5. IRR'!ROG16</f>
        <v>-0.0</v>
      </c>
      <c r="ROG45" s="5">
        <f>-'5. IRR'!ROH16</f>
        <v>-0.0</v>
      </c>
      <c r="ROH45" s="5">
        <f>-'5. IRR'!ROI16</f>
        <v>-0.0</v>
      </c>
      <c r="ROI45" s="5">
        <f>-'5. IRR'!ROJ16</f>
        <v>-0.0</v>
      </c>
      <c r="ROJ45" s="5">
        <f>-'5. IRR'!ROK16</f>
        <v>-0.0</v>
      </c>
      <c r="ROK45" s="5">
        <f>-'5. IRR'!ROL16</f>
        <v>-0.0</v>
      </c>
      <c r="ROL45" s="5">
        <f>-'5. IRR'!ROM16</f>
        <v>-0.0</v>
      </c>
      <c r="ROM45" s="5">
        <f>-'5. IRR'!RON16</f>
        <v>-0.0</v>
      </c>
      <c r="RON45" s="5">
        <f>-'5. IRR'!ROO16</f>
        <v>-0.0</v>
      </c>
      <c r="ROO45" s="5">
        <f>-'5. IRR'!ROP16</f>
        <v>-0.0</v>
      </c>
      <c r="ROP45" s="5">
        <f>-'5. IRR'!ROQ16</f>
        <v>-0.0</v>
      </c>
      <c r="ROQ45" s="5">
        <f>-'5. IRR'!ROR16</f>
        <v>-0.0</v>
      </c>
      <c r="ROR45" s="5">
        <f>-'5. IRR'!ROS16</f>
        <v>-0.0</v>
      </c>
      <c r="ROS45" s="5">
        <f>-'5. IRR'!ROT16</f>
        <v>-0.0</v>
      </c>
      <c r="ROT45" s="5">
        <f>-'5. IRR'!ROU16</f>
        <v>-0.0</v>
      </c>
      <c r="ROU45" s="5">
        <f>-'5. IRR'!ROV16</f>
        <v>-0.0</v>
      </c>
      <c r="ROV45" s="5">
        <f>-'5. IRR'!ROW16</f>
        <v>-0.0</v>
      </c>
      <c r="ROW45" s="5">
        <f>-'5. IRR'!ROX16</f>
        <v>-0.0</v>
      </c>
      <c r="ROX45" s="5">
        <f>-'5. IRR'!ROY16</f>
        <v>-0.0</v>
      </c>
      <c r="ROY45" s="5">
        <f>-'5. IRR'!ROZ16</f>
        <v>-0.0</v>
      </c>
      <c r="ROZ45" s="5">
        <f>-'5. IRR'!RPA16</f>
        <v>-0.0</v>
      </c>
      <c r="RPA45" s="5">
        <f>-'5. IRR'!RPB16</f>
        <v>-0.0</v>
      </c>
      <c r="RPB45" s="5">
        <f>-'5. IRR'!RPC16</f>
        <v>-0.0</v>
      </c>
      <c r="RPC45" s="5">
        <f>-'5. IRR'!RPD16</f>
        <v>-0.0</v>
      </c>
      <c r="RPD45" s="5">
        <f>-'5. IRR'!RPE16</f>
        <v>-0.0</v>
      </c>
      <c r="RPE45" s="5">
        <f>-'5. IRR'!RPF16</f>
        <v>-0.0</v>
      </c>
      <c r="RPF45" s="5">
        <f>-'5. IRR'!RPG16</f>
        <v>-0.0</v>
      </c>
      <c r="RPG45" s="5">
        <f>-'5. IRR'!RPH16</f>
        <v>-0.0</v>
      </c>
      <c r="RPH45" s="5">
        <f>-'5. IRR'!RPI16</f>
        <v>-0.0</v>
      </c>
      <c r="RPI45" s="5">
        <f>-'5. IRR'!RPJ16</f>
        <v>-0.0</v>
      </c>
      <c r="RPJ45" s="5">
        <f>-'5. IRR'!RPK16</f>
        <v>-0.0</v>
      </c>
      <c r="RPK45" s="5">
        <f>-'5. IRR'!RPL16</f>
        <v>-0.0</v>
      </c>
      <c r="RPL45" s="5">
        <f>-'5. IRR'!RPM16</f>
        <v>-0.0</v>
      </c>
      <c r="RPM45" s="5">
        <f>-'5. IRR'!RPN16</f>
        <v>-0.0</v>
      </c>
      <c r="RPN45" s="5">
        <f>-'5. IRR'!RPO16</f>
        <v>-0.0</v>
      </c>
      <c r="RPO45" s="5">
        <f>-'5. IRR'!RPP16</f>
        <v>-0.0</v>
      </c>
      <c r="RPP45" s="5">
        <f>-'5. IRR'!RPQ16</f>
        <v>-0.0</v>
      </c>
      <c r="RPQ45" s="5">
        <f>-'5. IRR'!RPR16</f>
        <v>-0.0</v>
      </c>
      <c r="RPR45" s="5">
        <f>-'5. IRR'!RPS16</f>
        <v>-0.0</v>
      </c>
      <c r="RPS45" s="5">
        <f>-'5. IRR'!RPT16</f>
        <v>-0.0</v>
      </c>
      <c r="RPT45" s="5">
        <f>-'5. IRR'!RPU16</f>
        <v>-0.0</v>
      </c>
      <c r="RPU45" s="5">
        <f>-'5. IRR'!RPV16</f>
        <v>-0.0</v>
      </c>
      <c r="RPV45" s="5">
        <f>-'5. IRR'!RPW16</f>
        <v>-0.0</v>
      </c>
      <c r="RPW45" s="5">
        <f>-'5. IRR'!RPX16</f>
        <v>-0.0</v>
      </c>
      <c r="RPX45" s="5">
        <f>-'5. IRR'!RPY16</f>
        <v>-0.0</v>
      </c>
      <c r="RPY45" s="5">
        <f>-'5. IRR'!RPZ16</f>
        <v>-0.0</v>
      </c>
      <c r="RPZ45" s="5">
        <f>-'5. IRR'!RQA16</f>
        <v>-0.0</v>
      </c>
      <c r="RQA45" s="5">
        <f>-'5. IRR'!RQB16</f>
        <v>-0.0</v>
      </c>
      <c r="RQB45" s="5">
        <f>-'5. IRR'!RQC16</f>
        <v>-0.0</v>
      </c>
      <c r="RQC45" s="5">
        <f>-'5. IRR'!RQD16</f>
        <v>-0.0</v>
      </c>
      <c r="RQD45" s="5">
        <f>-'5. IRR'!RQE16</f>
        <v>-0.0</v>
      </c>
      <c r="RQE45" s="5">
        <f>-'5. IRR'!RQF16</f>
        <v>-0.0</v>
      </c>
      <c r="RQF45" s="5">
        <f>-'5. IRR'!RQG16</f>
        <v>-0.0</v>
      </c>
      <c r="RQG45" s="5">
        <f>-'5. IRR'!RQH16</f>
        <v>-0.0</v>
      </c>
      <c r="RQH45" s="5">
        <f>-'5. IRR'!RQI16</f>
        <v>-0.0</v>
      </c>
      <c r="RQI45" s="5">
        <f>-'5. IRR'!RQJ16</f>
        <v>-0.0</v>
      </c>
      <c r="RQJ45" s="5">
        <f>-'5. IRR'!RQK16</f>
        <v>-0.0</v>
      </c>
      <c r="RQK45" s="5">
        <f>-'5. IRR'!RQL16</f>
        <v>-0.0</v>
      </c>
      <c r="RQL45" s="5">
        <f>-'5. IRR'!RQM16</f>
        <v>-0.0</v>
      </c>
      <c r="RQM45" s="5">
        <f>-'5. IRR'!RQN16</f>
        <v>-0.0</v>
      </c>
      <c r="RQN45" s="5">
        <f>-'5. IRR'!RQO16</f>
        <v>-0.0</v>
      </c>
      <c r="RQO45" s="5">
        <f>-'5. IRR'!RQP16</f>
        <v>-0.0</v>
      </c>
      <c r="RQP45" s="5">
        <f>-'5. IRR'!RQQ16</f>
        <v>-0.0</v>
      </c>
      <c r="RQQ45" s="5">
        <f>-'5. IRR'!RQR16</f>
        <v>-0.0</v>
      </c>
      <c r="RQR45" s="5">
        <f>-'5. IRR'!RQS16</f>
        <v>-0.0</v>
      </c>
      <c r="RQS45" s="5">
        <f>-'5. IRR'!RQT16</f>
        <v>-0.0</v>
      </c>
      <c r="RQT45" s="5">
        <f>-'5. IRR'!RQU16</f>
        <v>-0.0</v>
      </c>
      <c r="RQU45" s="5">
        <f>-'5. IRR'!RQV16</f>
        <v>-0.0</v>
      </c>
      <c r="RQV45" s="5">
        <f>-'5. IRR'!RQW16</f>
        <v>-0.0</v>
      </c>
      <c r="RQW45" s="5">
        <f>-'5. IRR'!RQX16</f>
        <v>-0.0</v>
      </c>
      <c r="RQX45" s="5">
        <f>-'5. IRR'!RQY16</f>
        <v>-0.0</v>
      </c>
      <c r="RQY45" s="5">
        <f>-'5. IRR'!RQZ16</f>
        <v>-0.0</v>
      </c>
      <c r="RQZ45" s="5">
        <f>-'5. IRR'!RRA16</f>
        <v>-0.0</v>
      </c>
      <c r="RRA45" s="5">
        <f>-'5. IRR'!RRB16</f>
        <v>-0.0</v>
      </c>
      <c r="RRB45" s="5">
        <f>-'5. IRR'!RRC16</f>
        <v>-0.0</v>
      </c>
      <c r="RRC45" s="5">
        <f>-'5. IRR'!RRD16</f>
        <v>-0.0</v>
      </c>
      <c r="RRD45" s="5">
        <f>-'5. IRR'!RRE16</f>
        <v>-0.0</v>
      </c>
      <c r="RRE45" s="5">
        <f>-'5. IRR'!RRF16</f>
        <v>-0.0</v>
      </c>
      <c r="RRF45" s="5">
        <f>-'5. IRR'!RRG16</f>
        <v>-0.0</v>
      </c>
      <c r="RRG45" s="5">
        <f>-'5. IRR'!RRH16</f>
        <v>-0.0</v>
      </c>
      <c r="RRH45" s="5">
        <f>-'5. IRR'!RRI16</f>
        <v>-0.0</v>
      </c>
      <c r="RRI45" s="5">
        <f>-'5. IRR'!RRJ16</f>
        <v>-0.0</v>
      </c>
      <c r="RRJ45" s="5">
        <f>-'5. IRR'!RRK16</f>
        <v>-0.0</v>
      </c>
      <c r="RRK45" s="5">
        <f>-'5. IRR'!RRL16</f>
        <v>-0.0</v>
      </c>
      <c r="RRL45" s="5">
        <f>-'5. IRR'!RRM16</f>
        <v>-0.0</v>
      </c>
      <c r="RRM45" s="5">
        <f>-'5. IRR'!RRN16</f>
        <v>-0.0</v>
      </c>
      <c r="RRN45" s="5">
        <f>-'5. IRR'!RRO16</f>
        <v>-0.0</v>
      </c>
      <c r="RRO45" s="5">
        <f>-'5. IRR'!RRP16</f>
        <v>-0.0</v>
      </c>
      <c r="RRP45" s="5">
        <f>-'5. IRR'!RRQ16</f>
        <v>-0.0</v>
      </c>
      <c r="RRQ45" s="5">
        <f>-'5. IRR'!RRR16</f>
        <v>-0.0</v>
      </c>
      <c r="RRR45" s="5">
        <f>-'5. IRR'!RRS16</f>
        <v>-0.0</v>
      </c>
      <c r="RRS45" s="5">
        <f>-'5. IRR'!RRT16</f>
        <v>-0.0</v>
      </c>
      <c r="RRT45" s="5">
        <f>-'5. IRR'!RRU16</f>
        <v>-0.0</v>
      </c>
      <c r="RRU45" s="5">
        <f>-'5. IRR'!RRV16</f>
        <v>-0.0</v>
      </c>
      <c r="RRV45" s="5">
        <f>-'5. IRR'!RRW16</f>
        <v>-0.0</v>
      </c>
      <c r="RRW45" s="5">
        <f>-'5. IRR'!RRX16</f>
        <v>-0.0</v>
      </c>
      <c r="RRX45" s="5">
        <f>-'5. IRR'!RRY16</f>
        <v>-0.0</v>
      </c>
      <c r="RRY45" s="5">
        <f>-'5. IRR'!RRZ16</f>
        <v>-0.0</v>
      </c>
      <c r="RRZ45" s="5">
        <f>-'5. IRR'!RSA16</f>
        <v>-0.0</v>
      </c>
      <c r="RSA45" s="5">
        <f>-'5. IRR'!RSB16</f>
        <v>-0.0</v>
      </c>
      <c r="RSB45" s="5">
        <f>-'5. IRR'!RSC16</f>
        <v>-0.0</v>
      </c>
      <c r="RSC45" s="5">
        <f>-'5. IRR'!RSD16</f>
        <v>-0.0</v>
      </c>
      <c r="RSD45" s="5">
        <f>-'5. IRR'!RSE16</f>
        <v>-0.0</v>
      </c>
      <c r="RSE45" s="5">
        <f>-'5. IRR'!RSF16</f>
        <v>-0.0</v>
      </c>
      <c r="RSF45" s="5">
        <f>-'5. IRR'!RSG16</f>
        <v>-0.0</v>
      </c>
      <c r="RSG45" s="5">
        <f>-'5. IRR'!RSH16</f>
        <v>-0.0</v>
      </c>
      <c r="RSH45" s="5">
        <f>-'5. IRR'!RSI16</f>
        <v>-0.0</v>
      </c>
      <c r="RSI45" s="5">
        <f>-'5. IRR'!RSJ16</f>
        <v>-0.0</v>
      </c>
      <c r="RSJ45" s="5">
        <f>-'5. IRR'!RSK16</f>
        <v>-0.0</v>
      </c>
      <c r="RSK45" s="5">
        <f>-'5. IRR'!RSL16</f>
        <v>-0.0</v>
      </c>
      <c r="RSL45" s="5">
        <f>-'5. IRR'!RSM16</f>
        <v>-0.0</v>
      </c>
      <c r="RSM45" s="5">
        <f>-'5. IRR'!RSN16</f>
        <v>-0.0</v>
      </c>
      <c r="RSN45" s="5">
        <f>-'5. IRR'!RSO16</f>
        <v>-0.0</v>
      </c>
      <c r="RSO45" s="5">
        <f>-'5. IRR'!RSP16</f>
        <v>-0.0</v>
      </c>
      <c r="RSP45" s="5">
        <f>-'5. IRR'!RSQ16</f>
        <v>-0.0</v>
      </c>
      <c r="RSQ45" s="5">
        <f>-'5. IRR'!RSR16</f>
        <v>-0.0</v>
      </c>
      <c r="RSR45" s="5">
        <f>-'5. IRR'!RSS16</f>
        <v>-0.0</v>
      </c>
      <c r="RSS45" s="5">
        <f>-'5. IRR'!RST16</f>
        <v>-0.0</v>
      </c>
      <c r="RST45" s="5">
        <f>-'5. IRR'!RSU16</f>
        <v>-0.0</v>
      </c>
      <c r="RSU45" s="5">
        <f>-'5. IRR'!RSV16</f>
        <v>-0.0</v>
      </c>
      <c r="RSV45" s="5">
        <f>-'5. IRR'!RSW16</f>
        <v>-0.0</v>
      </c>
      <c r="RSW45" s="5">
        <f>-'5. IRR'!RSX16</f>
        <v>-0.0</v>
      </c>
      <c r="RSX45" s="5">
        <f>-'5. IRR'!RSY16</f>
        <v>-0.0</v>
      </c>
      <c r="RSY45" s="5">
        <f>-'5. IRR'!RSZ16</f>
        <v>-0.0</v>
      </c>
      <c r="RSZ45" s="5">
        <f>-'5. IRR'!RTA16</f>
        <v>-0.0</v>
      </c>
      <c r="RTA45" s="5">
        <f>-'5. IRR'!RTB16</f>
        <v>-0.0</v>
      </c>
      <c r="RTB45" s="5">
        <f>-'5. IRR'!RTC16</f>
        <v>-0.0</v>
      </c>
      <c r="RTC45" s="5">
        <f>-'5. IRR'!RTD16</f>
        <v>-0.0</v>
      </c>
      <c r="RTD45" s="5">
        <f>-'5. IRR'!RTE16</f>
        <v>-0.0</v>
      </c>
      <c r="RTE45" s="5">
        <f>-'5. IRR'!RTF16</f>
        <v>-0.0</v>
      </c>
      <c r="RTF45" s="5">
        <f>-'5. IRR'!RTG16</f>
        <v>-0.0</v>
      </c>
      <c r="RTG45" s="5">
        <f>-'5. IRR'!RTH16</f>
        <v>-0.0</v>
      </c>
      <c r="RTH45" s="5">
        <f>-'5. IRR'!RTI16</f>
        <v>-0.0</v>
      </c>
      <c r="RTI45" s="5">
        <f>-'5. IRR'!RTJ16</f>
        <v>-0.0</v>
      </c>
      <c r="RTJ45" s="5">
        <f>-'5. IRR'!RTK16</f>
        <v>-0.0</v>
      </c>
      <c r="RTK45" s="5">
        <f>-'5. IRR'!RTL16</f>
        <v>-0.0</v>
      </c>
      <c r="RTL45" s="5">
        <f>-'5. IRR'!RTM16</f>
        <v>-0.0</v>
      </c>
      <c r="RTM45" s="5">
        <f>-'5. IRR'!RTN16</f>
        <v>-0.0</v>
      </c>
      <c r="RTN45" s="5">
        <f>-'5. IRR'!RTO16</f>
        <v>-0.0</v>
      </c>
      <c r="RTO45" s="5">
        <f>-'5. IRR'!RTP16</f>
        <v>-0.0</v>
      </c>
      <c r="RTP45" s="5">
        <f>-'5. IRR'!RTQ16</f>
        <v>-0.0</v>
      </c>
      <c r="RTQ45" s="5">
        <f>-'5. IRR'!RTR16</f>
        <v>-0.0</v>
      </c>
      <c r="RTR45" s="5">
        <f>-'5. IRR'!RTS16</f>
        <v>-0.0</v>
      </c>
      <c r="RTS45" s="5">
        <f>-'5. IRR'!RTT16</f>
        <v>-0.0</v>
      </c>
      <c r="RTT45" s="5">
        <f>-'5. IRR'!RTU16</f>
        <v>-0.0</v>
      </c>
      <c r="RTU45" s="5">
        <f>-'5. IRR'!RTV16</f>
        <v>-0.0</v>
      </c>
      <c r="RTV45" s="5">
        <f>-'5. IRR'!RTW16</f>
        <v>-0.0</v>
      </c>
      <c r="RTW45" s="5">
        <f>-'5. IRR'!RTX16</f>
        <v>-0.0</v>
      </c>
      <c r="RTX45" s="5">
        <f>-'5. IRR'!RTY16</f>
        <v>-0.0</v>
      </c>
      <c r="RTY45" s="5">
        <f>-'5. IRR'!RTZ16</f>
        <v>-0.0</v>
      </c>
      <c r="RTZ45" s="5">
        <f>-'5. IRR'!RUA16</f>
        <v>-0.0</v>
      </c>
      <c r="RUA45" s="5">
        <f>-'5. IRR'!RUB16</f>
        <v>-0.0</v>
      </c>
      <c r="RUB45" s="5">
        <f>-'5. IRR'!RUC16</f>
        <v>-0.0</v>
      </c>
      <c r="RUC45" s="5">
        <f>-'5. IRR'!RUD16</f>
        <v>-0.0</v>
      </c>
      <c r="RUD45" s="5">
        <f>-'5. IRR'!RUE16</f>
        <v>-0.0</v>
      </c>
      <c r="RUE45" s="5">
        <f>-'5. IRR'!RUF16</f>
        <v>-0.0</v>
      </c>
      <c r="RUF45" s="5">
        <f>-'5. IRR'!RUG16</f>
        <v>-0.0</v>
      </c>
      <c r="RUG45" s="5">
        <f>-'5. IRR'!RUH16</f>
        <v>-0.0</v>
      </c>
      <c r="RUH45" s="5">
        <f>-'5. IRR'!RUI16</f>
        <v>-0.0</v>
      </c>
      <c r="RUI45" s="5">
        <f>-'5. IRR'!RUJ16</f>
        <v>-0.0</v>
      </c>
      <c r="RUJ45" s="5">
        <f>-'5. IRR'!RUK16</f>
        <v>-0.0</v>
      </c>
      <c r="RUK45" s="5">
        <f>-'5. IRR'!RUL16</f>
        <v>-0.0</v>
      </c>
      <c r="RUL45" s="5">
        <f>-'5. IRR'!RUM16</f>
        <v>-0.0</v>
      </c>
      <c r="RUM45" s="5">
        <f>-'5. IRR'!RUN16</f>
        <v>-0.0</v>
      </c>
      <c r="RUN45" s="5">
        <f>-'5. IRR'!RUO16</f>
        <v>-0.0</v>
      </c>
      <c r="RUO45" s="5">
        <f>-'5. IRR'!RUP16</f>
        <v>-0.0</v>
      </c>
      <c r="RUP45" s="5">
        <f>-'5. IRR'!RUQ16</f>
        <v>-0.0</v>
      </c>
      <c r="RUQ45" s="5">
        <f>-'5. IRR'!RUR16</f>
        <v>-0.0</v>
      </c>
      <c r="RUR45" s="5">
        <f>-'5. IRR'!RUS16</f>
        <v>-0.0</v>
      </c>
      <c r="RUS45" s="5">
        <f>-'5. IRR'!RUT16</f>
        <v>-0.0</v>
      </c>
      <c r="RUT45" s="5">
        <f>-'5. IRR'!RUU16</f>
        <v>-0.0</v>
      </c>
      <c r="RUU45" s="5">
        <f>-'5. IRR'!RUV16</f>
        <v>-0.0</v>
      </c>
      <c r="RUV45" s="5">
        <f>-'5. IRR'!RUW16</f>
        <v>-0.0</v>
      </c>
      <c r="RUW45" s="5">
        <f>-'5. IRR'!RUX16</f>
        <v>-0.0</v>
      </c>
      <c r="RUX45" s="5">
        <f>-'5. IRR'!RUY16</f>
        <v>-0.0</v>
      </c>
      <c r="RUY45" s="5">
        <f>-'5. IRR'!RUZ16</f>
        <v>-0.0</v>
      </c>
      <c r="RUZ45" s="5">
        <f>-'5. IRR'!RVA16</f>
        <v>-0.0</v>
      </c>
      <c r="RVA45" s="5">
        <f>-'5. IRR'!RVB16</f>
        <v>-0.0</v>
      </c>
      <c r="RVB45" s="5">
        <f>-'5. IRR'!RVC16</f>
        <v>-0.0</v>
      </c>
      <c r="RVC45" s="5">
        <f>-'5. IRR'!RVD16</f>
        <v>-0.0</v>
      </c>
      <c r="RVD45" s="5">
        <f>-'5. IRR'!RVE16</f>
        <v>-0.0</v>
      </c>
      <c r="RVE45" s="5">
        <f>-'5. IRR'!RVF16</f>
        <v>-0.0</v>
      </c>
      <c r="RVF45" s="5">
        <f>-'5. IRR'!RVG16</f>
        <v>-0.0</v>
      </c>
      <c r="RVG45" s="5">
        <f>-'5. IRR'!RVH16</f>
        <v>-0.0</v>
      </c>
      <c r="RVH45" s="5">
        <f>-'5. IRR'!RVI16</f>
        <v>-0.0</v>
      </c>
      <c r="RVI45" s="5">
        <f>-'5. IRR'!RVJ16</f>
        <v>-0.0</v>
      </c>
      <c r="RVJ45" s="5">
        <f>-'5. IRR'!RVK16</f>
        <v>-0.0</v>
      </c>
      <c r="RVK45" s="5">
        <f>-'5. IRR'!RVL16</f>
        <v>-0.0</v>
      </c>
      <c r="RVL45" s="5">
        <f>-'5. IRR'!RVM16</f>
        <v>-0.0</v>
      </c>
      <c r="RVM45" s="5">
        <f>-'5. IRR'!RVN16</f>
        <v>-0.0</v>
      </c>
      <c r="RVN45" s="5">
        <f>-'5. IRR'!RVO16</f>
        <v>-0.0</v>
      </c>
      <c r="RVO45" s="5">
        <f>-'5. IRR'!RVP16</f>
        <v>-0.0</v>
      </c>
      <c r="RVP45" s="5">
        <f>-'5. IRR'!RVQ16</f>
        <v>-0.0</v>
      </c>
      <c r="RVQ45" s="5">
        <f>-'5. IRR'!RVR16</f>
        <v>-0.0</v>
      </c>
      <c r="RVR45" s="5">
        <f>-'5. IRR'!RVS16</f>
        <v>-0.0</v>
      </c>
      <c r="RVS45" s="5">
        <f>-'5. IRR'!RVT16</f>
        <v>-0.0</v>
      </c>
      <c r="RVT45" s="5">
        <f>-'5. IRR'!RVU16</f>
        <v>-0.0</v>
      </c>
      <c r="RVU45" s="5">
        <f>-'5. IRR'!RVV16</f>
        <v>-0.0</v>
      </c>
      <c r="RVV45" s="5">
        <f>-'5. IRR'!RVW16</f>
        <v>-0.0</v>
      </c>
      <c r="RVW45" s="5">
        <f>-'5. IRR'!RVX16</f>
        <v>-0.0</v>
      </c>
      <c r="RVX45" s="5">
        <f>-'5. IRR'!RVY16</f>
        <v>-0.0</v>
      </c>
      <c r="RVY45" s="5">
        <f>-'5. IRR'!RVZ16</f>
        <v>-0.0</v>
      </c>
      <c r="RVZ45" s="5">
        <f>-'5. IRR'!RWA16</f>
        <v>-0.0</v>
      </c>
      <c r="RWA45" s="5">
        <f>-'5. IRR'!RWB16</f>
        <v>-0.0</v>
      </c>
      <c r="RWB45" s="5">
        <f>-'5. IRR'!RWC16</f>
        <v>-0.0</v>
      </c>
      <c r="RWC45" s="5">
        <f>-'5. IRR'!RWD16</f>
        <v>-0.0</v>
      </c>
      <c r="RWD45" s="5">
        <f>-'5. IRR'!RWE16</f>
        <v>-0.0</v>
      </c>
      <c r="RWE45" s="5">
        <f>-'5. IRR'!RWF16</f>
        <v>-0.0</v>
      </c>
      <c r="RWF45" s="5">
        <f>-'5. IRR'!RWG16</f>
        <v>-0.0</v>
      </c>
      <c r="RWG45" s="5">
        <f>-'5. IRR'!RWH16</f>
        <v>-0.0</v>
      </c>
      <c r="RWH45" s="5">
        <f>-'5. IRR'!RWI16</f>
        <v>-0.0</v>
      </c>
      <c r="RWI45" s="5">
        <f>-'5. IRR'!RWJ16</f>
        <v>-0.0</v>
      </c>
      <c r="RWJ45" s="5">
        <f>-'5. IRR'!RWK16</f>
        <v>-0.0</v>
      </c>
      <c r="RWK45" s="5">
        <f>-'5. IRR'!RWL16</f>
        <v>-0.0</v>
      </c>
      <c r="RWL45" s="5">
        <f>-'5. IRR'!RWM16</f>
        <v>-0.0</v>
      </c>
      <c r="RWM45" s="5">
        <f>-'5. IRR'!RWN16</f>
        <v>-0.0</v>
      </c>
      <c r="RWN45" s="5">
        <f>-'5. IRR'!RWO16</f>
        <v>-0.0</v>
      </c>
      <c r="RWO45" s="5">
        <f>-'5. IRR'!RWP16</f>
        <v>-0.0</v>
      </c>
      <c r="RWP45" s="5">
        <f>-'5. IRR'!RWQ16</f>
        <v>-0.0</v>
      </c>
      <c r="RWQ45" s="5">
        <f>-'5. IRR'!RWR16</f>
        <v>-0.0</v>
      </c>
      <c r="RWR45" s="5">
        <f>-'5. IRR'!RWS16</f>
        <v>-0.0</v>
      </c>
      <c r="RWS45" s="5">
        <f>-'5. IRR'!RWT16</f>
        <v>-0.0</v>
      </c>
      <c r="RWT45" s="5">
        <f>-'5. IRR'!RWU16</f>
        <v>-0.0</v>
      </c>
      <c r="RWU45" s="5">
        <f>-'5. IRR'!RWV16</f>
        <v>-0.0</v>
      </c>
      <c r="RWV45" s="5">
        <f>-'5. IRR'!RWW16</f>
        <v>-0.0</v>
      </c>
      <c r="RWW45" s="5">
        <f>-'5. IRR'!RWX16</f>
        <v>-0.0</v>
      </c>
      <c r="RWX45" s="5">
        <f>-'5. IRR'!RWY16</f>
        <v>-0.0</v>
      </c>
      <c r="RWY45" s="5">
        <f>-'5. IRR'!RWZ16</f>
        <v>-0.0</v>
      </c>
      <c r="RWZ45" s="5">
        <f>-'5. IRR'!RXA16</f>
        <v>-0.0</v>
      </c>
      <c r="RXA45" s="5">
        <f>-'5. IRR'!RXB16</f>
        <v>-0.0</v>
      </c>
      <c r="RXB45" s="5">
        <f>-'5. IRR'!RXC16</f>
        <v>-0.0</v>
      </c>
      <c r="RXC45" s="5">
        <f>-'5. IRR'!RXD16</f>
        <v>-0.0</v>
      </c>
      <c r="RXD45" s="5">
        <f>-'5. IRR'!RXE16</f>
        <v>-0.0</v>
      </c>
      <c r="RXE45" s="5">
        <f>-'5. IRR'!RXF16</f>
        <v>-0.0</v>
      </c>
      <c r="RXF45" s="5">
        <f>-'5. IRR'!RXG16</f>
        <v>-0.0</v>
      </c>
      <c r="RXG45" s="5">
        <f>-'5. IRR'!RXH16</f>
        <v>-0.0</v>
      </c>
      <c r="RXH45" s="5">
        <f>-'5. IRR'!RXI16</f>
        <v>-0.0</v>
      </c>
      <c r="RXI45" s="5">
        <f>-'5. IRR'!RXJ16</f>
        <v>-0.0</v>
      </c>
      <c r="RXJ45" s="5">
        <f>-'5. IRR'!RXK16</f>
        <v>-0.0</v>
      </c>
      <c r="RXK45" s="5">
        <f>-'5. IRR'!RXL16</f>
        <v>-0.0</v>
      </c>
      <c r="RXL45" s="5">
        <f>-'5. IRR'!RXM16</f>
        <v>-0.0</v>
      </c>
      <c r="RXM45" s="5">
        <f>-'5. IRR'!RXN16</f>
        <v>-0.0</v>
      </c>
      <c r="RXN45" s="5">
        <f>-'5. IRR'!RXO16</f>
        <v>-0.0</v>
      </c>
      <c r="RXO45" s="5">
        <f>-'5. IRR'!RXP16</f>
        <v>-0.0</v>
      </c>
      <c r="RXP45" s="5">
        <f>-'5. IRR'!RXQ16</f>
        <v>-0.0</v>
      </c>
      <c r="RXQ45" s="5">
        <f>-'5. IRR'!RXR16</f>
        <v>-0.0</v>
      </c>
      <c r="RXR45" s="5">
        <f>-'5. IRR'!RXS16</f>
        <v>-0.0</v>
      </c>
      <c r="RXS45" s="5">
        <f>-'5. IRR'!RXT16</f>
        <v>-0.0</v>
      </c>
      <c r="RXT45" s="5">
        <f>-'5. IRR'!RXU16</f>
        <v>-0.0</v>
      </c>
      <c r="RXU45" s="5">
        <f>-'5. IRR'!RXV16</f>
        <v>-0.0</v>
      </c>
      <c r="RXV45" s="5">
        <f>-'5. IRR'!RXW16</f>
        <v>-0.0</v>
      </c>
      <c r="RXW45" s="5">
        <f>-'5. IRR'!RXX16</f>
        <v>-0.0</v>
      </c>
      <c r="RXX45" s="5">
        <f>-'5. IRR'!RXY16</f>
        <v>-0.0</v>
      </c>
      <c r="RXY45" s="5">
        <f>-'5. IRR'!RXZ16</f>
        <v>-0.0</v>
      </c>
      <c r="RXZ45" s="5">
        <f>-'5. IRR'!RYA16</f>
        <v>-0.0</v>
      </c>
      <c r="RYA45" s="5">
        <f>-'5. IRR'!RYB16</f>
        <v>-0.0</v>
      </c>
      <c r="RYB45" s="5">
        <f>-'5. IRR'!RYC16</f>
        <v>-0.0</v>
      </c>
      <c r="RYC45" s="5">
        <f>-'5. IRR'!RYD16</f>
        <v>-0.0</v>
      </c>
      <c r="RYD45" s="5">
        <f>-'5. IRR'!RYE16</f>
        <v>-0.0</v>
      </c>
      <c r="RYE45" s="5">
        <f>-'5. IRR'!RYF16</f>
        <v>-0.0</v>
      </c>
      <c r="RYF45" s="5">
        <f>-'5. IRR'!RYG16</f>
        <v>-0.0</v>
      </c>
      <c r="RYG45" s="5">
        <f>-'5. IRR'!RYH16</f>
        <v>-0.0</v>
      </c>
      <c r="RYH45" s="5">
        <f>-'5. IRR'!RYI16</f>
        <v>-0.0</v>
      </c>
      <c r="RYI45" s="5">
        <f>-'5. IRR'!RYJ16</f>
        <v>-0.0</v>
      </c>
      <c r="RYJ45" s="5">
        <f>-'5. IRR'!RYK16</f>
        <v>-0.0</v>
      </c>
      <c r="RYK45" s="5">
        <f>-'5. IRR'!RYL16</f>
        <v>-0.0</v>
      </c>
      <c r="RYL45" s="5">
        <f>-'5. IRR'!RYM16</f>
        <v>-0.0</v>
      </c>
      <c r="RYM45" s="5">
        <f>-'5. IRR'!RYN16</f>
        <v>-0.0</v>
      </c>
      <c r="RYN45" s="5">
        <f>-'5. IRR'!RYO16</f>
        <v>-0.0</v>
      </c>
      <c r="RYO45" s="5">
        <f>-'5. IRR'!RYP16</f>
        <v>-0.0</v>
      </c>
      <c r="RYP45" s="5">
        <f>-'5. IRR'!RYQ16</f>
        <v>-0.0</v>
      </c>
      <c r="RYQ45" s="5">
        <f>-'5. IRR'!RYR16</f>
        <v>-0.0</v>
      </c>
      <c r="RYR45" s="5">
        <f>-'5. IRR'!RYS16</f>
        <v>-0.0</v>
      </c>
      <c r="RYS45" s="5">
        <f>-'5. IRR'!RYT16</f>
        <v>-0.0</v>
      </c>
      <c r="RYT45" s="5">
        <f>-'5. IRR'!RYU16</f>
        <v>-0.0</v>
      </c>
      <c r="RYU45" s="5">
        <f>-'5. IRR'!RYV16</f>
        <v>-0.0</v>
      </c>
      <c r="RYV45" s="5">
        <f>-'5. IRR'!RYW16</f>
        <v>-0.0</v>
      </c>
      <c r="RYW45" s="5">
        <f>-'5. IRR'!RYX16</f>
        <v>-0.0</v>
      </c>
      <c r="RYX45" s="5">
        <f>-'5. IRR'!RYY16</f>
        <v>-0.0</v>
      </c>
      <c r="RYY45" s="5">
        <f>-'5. IRR'!RYZ16</f>
        <v>-0.0</v>
      </c>
      <c r="RYZ45" s="5">
        <f>-'5. IRR'!RZA16</f>
        <v>-0.0</v>
      </c>
      <c r="RZA45" s="5">
        <f>-'5. IRR'!RZB16</f>
        <v>-0.0</v>
      </c>
      <c r="RZB45" s="5">
        <f>-'5. IRR'!RZC16</f>
        <v>-0.0</v>
      </c>
      <c r="RZC45" s="5">
        <f>-'5. IRR'!RZD16</f>
        <v>-0.0</v>
      </c>
      <c r="RZD45" s="5">
        <f>-'5. IRR'!RZE16</f>
        <v>-0.0</v>
      </c>
      <c r="RZE45" s="5">
        <f>-'5. IRR'!RZF16</f>
        <v>-0.0</v>
      </c>
      <c r="RZF45" s="5">
        <f>-'5. IRR'!RZG16</f>
        <v>-0.0</v>
      </c>
      <c r="RZG45" s="5">
        <f>-'5. IRR'!RZH16</f>
        <v>-0.0</v>
      </c>
      <c r="RZH45" s="5">
        <f>-'5. IRR'!RZI16</f>
        <v>-0.0</v>
      </c>
      <c r="RZI45" s="5">
        <f>-'5. IRR'!RZJ16</f>
        <v>-0.0</v>
      </c>
      <c r="RZJ45" s="5">
        <f>-'5. IRR'!RZK16</f>
        <v>-0.0</v>
      </c>
      <c r="RZK45" s="5">
        <f>-'5. IRR'!RZL16</f>
        <v>-0.0</v>
      </c>
      <c r="RZL45" s="5">
        <f>-'5. IRR'!RZM16</f>
        <v>-0.0</v>
      </c>
      <c r="RZM45" s="5">
        <f>-'5. IRR'!RZN16</f>
        <v>-0.0</v>
      </c>
      <c r="RZN45" s="5">
        <f>-'5. IRR'!RZO16</f>
        <v>-0.0</v>
      </c>
      <c r="RZO45" s="5">
        <f>-'5. IRR'!RZP16</f>
        <v>-0.0</v>
      </c>
      <c r="RZP45" s="5">
        <f>-'5. IRR'!RZQ16</f>
        <v>-0.0</v>
      </c>
      <c r="RZQ45" s="5">
        <f>-'5. IRR'!RZR16</f>
        <v>-0.0</v>
      </c>
      <c r="RZR45" s="5">
        <f>-'5. IRR'!RZS16</f>
        <v>-0.0</v>
      </c>
      <c r="RZS45" s="5">
        <f>-'5. IRR'!RZT16</f>
        <v>-0.0</v>
      </c>
      <c r="RZT45" s="5">
        <f>-'5. IRR'!RZU16</f>
        <v>-0.0</v>
      </c>
      <c r="RZU45" s="5">
        <f>-'5. IRR'!RZV16</f>
        <v>-0.0</v>
      </c>
      <c r="RZV45" s="5">
        <f>-'5. IRR'!RZW16</f>
        <v>-0.0</v>
      </c>
      <c r="RZW45" s="5">
        <f>-'5. IRR'!RZX16</f>
        <v>-0.0</v>
      </c>
      <c r="RZX45" s="5">
        <f>-'5. IRR'!RZY16</f>
        <v>-0.0</v>
      </c>
      <c r="RZY45" s="5">
        <f>-'5. IRR'!RZZ16</f>
        <v>-0.0</v>
      </c>
      <c r="RZZ45" s="5">
        <f>-'5. IRR'!SAA16</f>
        <v>-0.0</v>
      </c>
      <c r="SAA45" s="5">
        <f>-'5. IRR'!SAB16</f>
        <v>-0.0</v>
      </c>
      <c r="SAB45" s="5">
        <f>-'5. IRR'!SAC16</f>
        <v>-0.0</v>
      </c>
      <c r="SAC45" s="5">
        <f>-'5. IRR'!SAD16</f>
        <v>-0.0</v>
      </c>
      <c r="SAD45" s="5">
        <f>-'5. IRR'!SAE16</f>
        <v>-0.0</v>
      </c>
      <c r="SAE45" s="5">
        <f>-'5. IRR'!SAF16</f>
        <v>-0.0</v>
      </c>
      <c r="SAF45" s="5">
        <f>-'5. IRR'!SAG16</f>
        <v>-0.0</v>
      </c>
      <c r="SAG45" s="5">
        <f>-'5. IRR'!SAH16</f>
        <v>-0.0</v>
      </c>
      <c r="SAH45" s="5">
        <f>-'5. IRR'!SAI16</f>
        <v>-0.0</v>
      </c>
      <c r="SAI45" s="5">
        <f>-'5. IRR'!SAJ16</f>
        <v>-0.0</v>
      </c>
      <c r="SAJ45" s="5">
        <f>-'5. IRR'!SAK16</f>
        <v>-0.0</v>
      </c>
      <c r="SAK45" s="5">
        <f>-'5. IRR'!SAL16</f>
        <v>-0.0</v>
      </c>
      <c r="SAL45" s="5">
        <f>-'5. IRR'!SAM16</f>
        <v>-0.0</v>
      </c>
      <c r="SAM45" s="5">
        <f>-'5. IRR'!SAN16</f>
        <v>-0.0</v>
      </c>
      <c r="SAN45" s="5">
        <f>-'5. IRR'!SAO16</f>
        <v>-0.0</v>
      </c>
      <c r="SAO45" s="5">
        <f>-'5. IRR'!SAP16</f>
        <v>-0.0</v>
      </c>
      <c r="SAP45" s="5">
        <f>-'5. IRR'!SAQ16</f>
        <v>-0.0</v>
      </c>
      <c r="SAQ45" s="5">
        <f>-'5. IRR'!SAR16</f>
        <v>-0.0</v>
      </c>
      <c r="SAR45" s="5">
        <f>-'5. IRR'!SAS16</f>
        <v>-0.0</v>
      </c>
      <c r="SAS45" s="5">
        <f>-'5. IRR'!SAT16</f>
        <v>-0.0</v>
      </c>
      <c r="SAT45" s="5">
        <f>-'5. IRR'!SAU16</f>
        <v>-0.0</v>
      </c>
      <c r="SAU45" s="5">
        <f>-'5. IRR'!SAV16</f>
        <v>-0.0</v>
      </c>
      <c r="SAV45" s="5">
        <f>-'5. IRR'!SAW16</f>
        <v>-0.0</v>
      </c>
      <c r="SAW45" s="5">
        <f>-'5. IRR'!SAX16</f>
        <v>-0.0</v>
      </c>
      <c r="SAX45" s="5">
        <f>-'5. IRR'!SAY16</f>
        <v>-0.0</v>
      </c>
      <c r="SAY45" s="5">
        <f>-'5. IRR'!SAZ16</f>
        <v>-0.0</v>
      </c>
      <c r="SAZ45" s="5">
        <f>-'5. IRR'!SBA16</f>
        <v>-0.0</v>
      </c>
      <c r="SBA45" s="5">
        <f>-'5. IRR'!SBB16</f>
        <v>-0.0</v>
      </c>
      <c r="SBB45" s="5">
        <f>-'5. IRR'!SBC16</f>
        <v>-0.0</v>
      </c>
      <c r="SBC45" s="5">
        <f>-'5. IRR'!SBD16</f>
        <v>-0.0</v>
      </c>
      <c r="SBD45" s="5">
        <f>-'5. IRR'!SBE16</f>
        <v>-0.0</v>
      </c>
      <c r="SBE45" s="5">
        <f>-'5. IRR'!SBF16</f>
        <v>-0.0</v>
      </c>
      <c r="SBF45" s="5">
        <f>-'5. IRR'!SBG16</f>
        <v>-0.0</v>
      </c>
      <c r="SBG45" s="5">
        <f>-'5. IRR'!SBH16</f>
        <v>-0.0</v>
      </c>
      <c r="SBH45" s="5">
        <f>-'5. IRR'!SBI16</f>
        <v>-0.0</v>
      </c>
      <c r="SBI45" s="5">
        <f>-'5. IRR'!SBJ16</f>
        <v>-0.0</v>
      </c>
      <c r="SBJ45" s="5">
        <f>-'5. IRR'!SBK16</f>
        <v>-0.0</v>
      </c>
      <c r="SBK45" s="5">
        <f>-'5. IRR'!SBL16</f>
        <v>-0.0</v>
      </c>
      <c r="SBL45" s="5">
        <f>-'5. IRR'!SBM16</f>
        <v>-0.0</v>
      </c>
      <c r="SBM45" s="5">
        <f>-'5. IRR'!SBN16</f>
        <v>-0.0</v>
      </c>
      <c r="SBN45" s="5">
        <f>-'5. IRR'!SBO16</f>
        <v>-0.0</v>
      </c>
      <c r="SBO45" s="5">
        <f>-'5. IRR'!SBP16</f>
        <v>-0.0</v>
      </c>
      <c r="SBP45" s="5">
        <f>-'5. IRR'!SBQ16</f>
        <v>-0.0</v>
      </c>
      <c r="SBQ45" s="5">
        <f>-'5. IRR'!SBR16</f>
        <v>-0.0</v>
      </c>
      <c r="SBR45" s="5">
        <f>-'5. IRR'!SBS16</f>
        <v>-0.0</v>
      </c>
      <c r="SBS45" s="5">
        <f>-'5. IRR'!SBT16</f>
        <v>-0.0</v>
      </c>
      <c r="SBT45" s="5">
        <f>-'5. IRR'!SBU16</f>
        <v>-0.0</v>
      </c>
      <c r="SBU45" s="5">
        <f>-'5. IRR'!SBV16</f>
        <v>-0.0</v>
      </c>
      <c r="SBV45" s="5">
        <f>-'5. IRR'!SBW16</f>
        <v>-0.0</v>
      </c>
      <c r="SBW45" s="5">
        <f>-'5. IRR'!SBX16</f>
        <v>-0.0</v>
      </c>
      <c r="SBX45" s="5">
        <f>-'5. IRR'!SBY16</f>
        <v>-0.0</v>
      </c>
      <c r="SBY45" s="5">
        <f>-'5. IRR'!SBZ16</f>
        <v>-0.0</v>
      </c>
      <c r="SBZ45" s="5">
        <f>-'5. IRR'!SCA16</f>
        <v>-0.0</v>
      </c>
      <c r="SCA45" s="5">
        <f>-'5. IRR'!SCB16</f>
        <v>-0.0</v>
      </c>
      <c r="SCB45" s="5">
        <f>-'5. IRR'!SCC16</f>
        <v>-0.0</v>
      </c>
      <c r="SCC45" s="5">
        <f>-'5. IRR'!SCD16</f>
        <v>-0.0</v>
      </c>
      <c r="SCD45" s="5">
        <f>-'5. IRR'!SCE16</f>
        <v>-0.0</v>
      </c>
      <c r="SCE45" s="5">
        <f>-'5. IRR'!SCF16</f>
        <v>-0.0</v>
      </c>
      <c r="SCF45" s="5">
        <f>-'5. IRR'!SCG16</f>
        <v>-0.0</v>
      </c>
      <c r="SCG45" s="5">
        <f>-'5. IRR'!SCH16</f>
        <v>-0.0</v>
      </c>
      <c r="SCH45" s="5">
        <f>-'5. IRR'!SCI16</f>
        <v>-0.0</v>
      </c>
      <c r="SCI45" s="5">
        <f>-'5. IRR'!SCJ16</f>
        <v>-0.0</v>
      </c>
      <c r="SCJ45" s="5">
        <f>-'5. IRR'!SCK16</f>
        <v>-0.0</v>
      </c>
      <c r="SCK45" s="5">
        <f>-'5. IRR'!SCL16</f>
        <v>-0.0</v>
      </c>
      <c r="SCL45" s="5">
        <f>-'5. IRR'!SCM16</f>
        <v>-0.0</v>
      </c>
      <c r="SCM45" s="5">
        <f>-'5. IRR'!SCN16</f>
        <v>-0.0</v>
      </c>
      <c r="SCN45" s="5">
        <f>-'5. IRR'!SCO16</f>
        <v>-0.0</v>
      </c>
      <c r="SCO45" s="5">
        <f>-'5. IRR'!SCP16</f>
        <v>-0.0</v>
      </c>
      <c r="SCP45" s="5">
        <f>-'5. IRR'!SCQ16</f>
        <v>-0.0</v>
      </c>
      <c r="SCQ45" s="5">
        <f>-'5. IRR'!SCR16</f>
        <v>-0.0</v>
      </c>
      <c r="SCR45" s="5">
        <f>-'5. IRR'!SCS16</f>
        <v>-0.0</v>
      </c>
      <c r="SCS45" s="5">
        <f>-'5. IRR'!SCT16</f>
        <v>-0.0</v>
      </c>
      <c r="SCT45" s="5">
        <f>-'5. IRR'!SCU16</f>
        <v>-0.0</v>
      </c>
      <c r="SCU45" s="5">
        <f>-'5. IRR'!SCV16</f>
        <v>-0.0</v>
      </c>
      <c r="SCV45" s="5">
        <f>-'5. IRR'!SCW16</f>
        <v>-0.0</v>
      </c>
      <c r="SCW45" s="5">
        <f>-'5. IRR'!SCX16</f>
        <v>-0.0</v>
      </c>
      <c r="SCX45" s="5">
        <f>-'5. IRR'!SCY16</f>
        <v>-0.0</v>
      </c>
      <c r="SCY45" s="5">
        <f>-'5. IRR'!SCZ16</f>
        <v>-0.0</v>
      </c>
      <c r="SCZ45" s="5">
        <f>-'5. IRR'!SDA16</f>
        <v>-0.0</v>
      </c>
      <c r="SDA45" s="5">
        <f>-'5. IRR'!SDB16</f>
        <v>-0.0</v>
      </c>
      <c r="SDB45" s="5">
        <f>-'5. IRR'!SDC16</f>
        <v>-0.0</v>
      </c>
      <c r="SDC45" s="5">
        <f>-'5. IRR'!SDD16</f>
        <v>-0.0</v>
      </c>
      <c r="SDD45" s="5">
        <f>-'5. IRR'!SDE16</f>
        <v>-0.0</v>
      </c>
      <c r="SDE45" s="5">
        <f>-'5. IRR'!SDF16</f>
        <v>-0.0</v>
      </c>
      <c r="SDF45" s="5">
        <f>-'5. IRR'!SDG16</f>
        <v>-0.0</v>
      </c>
      <c r="SDG45" s="5">
        <f>-'5. IRR'!SDH16</f>
        <v>-0.0</v>
      </c>
      <c r="SDH45" s="5">
        <f>-'5. IRR'!SDI16</f>
        <v>-0.0</v>
      </c>
      <c r="SDI45" s="5">
        <f>-'5. IRR'!SDJ16</f>
        <v>-0.0</v>
      </c>
      <c r="SDJ45" s="5">
        <f>-'5. IRR'!SDK16</f>
        <v>-0.0</v>
      </c>
      <c r="SDK45" s="5">
        <f>-'5. IRR'!SDL16</f>
        <v>-0.0</v>
      </c>
      <c r="SDL45" s="5">
        <f>-'5. IRR'!SDM16</f>
        <v>-0.0</v>
      </c>
      <c r="SDM45" s="5">
        <f>-'5. IRR'!SDN16</f>
        <v>-0.0</v>
      </c>
      <c r="SDN45" s="5">
        <f>-'5. IRR'!SDO16</f>
        <v>-0.0</v>
      </c>
      <c r="SDO45" s="5">
        <f>-'5. IRR'!SDP16</f>
        <v>-0.0</v>
      </c>
      <c r="SDP45" s="5">
        <f>-'5. IRR'!SDQ16</f>
        <v>-0.0</v>
      </c>
      <c r="SDQ45" s="5">
        <f>-'5. IRR'!SDR16</f>
        <v>-0.0</v>
      </c>
      <c r="SDR45" s="5">
        <f>-'5. IRR'!SDS16</f>
        <v>-0.0</v>
      </c>
      <c r="SDS45" s="5">
        <f>-'5. IRR'!SDT16</f>
        <v>-0.0</v>
      </c>
      <c r="SDT45" s="5">
        <f>-'5. IRR'!SDU16</f>
        <v>-0.0</v>
      </c>
      <c r="SDU45" s="5">
        <f>-'5. IRR'!SDV16</f>
        <v>-0.0</v>
      </c>
      <c r="SDV45" s="5">
        <f>-'5. IRR'!SDW16</f>
        <v>-0.0</v>
      </c>
      <c r="SDW45" s="5">
        <f>-'5. IRR'!SDX16</f>
        <v>-0.0</v>
      </c>
      <c r="SDX45" s="5">
        <f>-'5. IRR'!SDY16</f>
        <v>-0.0</v>
      </c>
      <c r="SDY45" s="5">
        <f>-'5. IRR'!SDZ16</f>
        <v>-0.0</v>
      </c>
      <c r="SDZ45" s="5">
        <f>-'5. IRR'!SEA16</f>
        <v>-0.0</v>
      </c>
      <c r="SEA45" s="5">
        <f>-'5. IRR'!SEB16</f>
        <v>-0.0</v>
      </c>
      <c r="SEB45" s="5">
        <f>-'5. IRR'!SEC16</f>
        <v>-0.0</v>
      </c>
      <c r="SEC45" s="5">
        <f>-'5. IRR'!SED16</f>
        <v>-0.0</v>
      </c>
      <c r="SED45" s="5">
        <f>-'5. IRR'!SEE16</f>
        <v>-0.0</v>
      </c>
      <c r="SEE45" s="5">
        <f>-'5. IRR'!SEF16</f>
        <v>-0.0</v>
      </c>
      <c r="SEF45" s="5">
        <f>-'5. IRR'!SEG16</f>
        <v>-0.0</v>
      </c>
      <c r="SEG45" s="5">
        <f>-'5. IRR'!SEH16</f>
        <v>-0.0</v>
      </c>
      <c r="SEH45" s="5">
        <f>-'5. IRR'!SEI16</f>
        <v>-0.0</v>
      </c>
      <c r="SEI45" s="5">
        <f>-'5. IRR'!SEJ16</f>
        <v>-0.0</v>
      </c>
      <c r="SEJ45" s="5">
        <f>-'5. IRR'!SEK16</f>
        <v>-0.0</v>
      </c>
      <c r="SEK45" s="5">
        <f>-'5. IRR'!SEL16</f>
        <v>-0.0</v>
      </c>
      <c r="SEL45" s="5">
        <f>-'5. IRR'!SEM16</f>
        <v>-0.0</v>
      </c>
      <c r="SEM45" s="5">
        <f>-'5. IRR'!SEN16</f>
        <v>-0.0</v>
      </c>
      <c r="SEN45" s="5">
        <f>-'5. IRR'!SEO16</f>
        <v>-0.0</v>
      </c>
      <c r="SEO45" s="5">
        <f>-'5. IRR'!SEP16</f>
        <v>-0.0</v>
      </c>
      <c r="SEP45" s="5">
        <f>-'5. IRR'!SEQ16</f>
        <v>-0.0</v>
      </c>
      <c r="SEQ45" s="5">
        <f>-'5. IRR'!SER16</f>
        <v>-0.0</v>
      </c>
      <c r="SER45" s="5">
        <f>-'5. IRR'!SES16</f>
        <v>-0.0</v>
      </c>
      <c r="SES45" s="5">
        <f>-'5. IRR'!SET16</f>
        <v>-0.0</v>
      </c>
      <c r="SET45" s="5">
        <f>-'5. IRR'!SEU16</f>
        <v>-0.0</v>
      </c>
      <c r="SEU45" s="5">
        <f>-'5. IRR'!SEV16</f>
        <v>-0.0</v>
      </c>
      <c r="SEV45" s="5">
        <f>-'5. IRR'!SEW16</f>
        <v>-0.0</v>
      </c>
      <c r="SEW45" s="5">
        <f>-'5. IRR'!SEX16</f>
        <v>-0.0</v>
      </c>
      <c r="SEX45" s="5">
        <f>-'5. IRR'!SEY16</f>
        <v>-0.0</v>
      </c>
      <c r="SEY45" s="5">
        <f>-'5. IRR'!SEZ16</f>
        <v>-0.0</v>
      </c>
      <c r="SEZ45" s="5">
        <f>-'5. IRR'!SFA16</f>
        <v>-0.0</v>
      </c>
      <c r="SFA45" s="5">
        <f>-'5. IRR'!SFB16</f>
        <v>-0.0</v>
      </c>
      <c r="SFB45" s="5">
        <f>-'5. IRR'!SFC16</f>
        <v>-0.0</v>
      </c>
      <c r="SFC45" s="5">
        <f>-'5. IRR'!SFD16</f>
        <v>-0.0</v>
      </c>
      <c r="SFD45" s="5">
        <f>-'5. IRR'!SFE16</f>
        <v>-0.0</v>
      </c>
      <c r="SFE45" s="5">
        <f>-'5. IRR'!SFF16</f>
        <v>-0.0</v>
      </c>
      <c r="SFF45" s="5">
        <f>-'5. IRR'!SFG16</f>
        <v>-0.0</v>
      </c>
      <c r="SFG45" s="5">
        <f>-'5. IRR'!SFH16</f>
        <v>-0.0</v>
      </c>
      <c r="SFH45" s="5">
        <f>-'5. IRR'!SFI16</f>
        <v>-0.0</v>
      </c>
      <c r="SFI45" s="5">
        <f>-'5. IRR'!SFJ16</f>
        <v>-0.0</v>
      </c>
      <c r="SFJ45" s="5">
        <f>-'5. IRR'!SFK16</f>
        <v>-0.0</v>
      </c>
      <c r="SFK45" s="5">
        <f>-'5. IRR'!SFL16</f>
        <v>-0.0</v>
      </c>
      <c r="SFL45" s="5">
        <f>-'5. IRR'!SFM16</f>
        <v>-0.0</v>
      </c>
      <c r="SFM45" s="5">
        <f>-'5. IRR'!SFN16</f>
        <v>-0.0</v>
      </c>
      <c r="SFN45" s="5">
        <f>-'5. IRR'!SFO16</f>
        <v>-0.0</v>
      </c>
      <c r="SFO45" s="5">
        <f>-'5. IRR'!SFP16</f>
        <v>-0.0</v>
      </c>
      <c r="SFP45" s="5">
        <f>-'5. IRR'!SFQ16</f>
        <v>-0.0</v>
      </c>
      <c r="SFQ45" s="5">
        <f>-'5. IRR'!SFR16</f>
        <v>-0.0</v>
      </c>
      <c r="SFR45" s="5">
        <f>-'5. IRR'!SFS16</f>
        <v>-0.0</v>
      </c>
      <c r="SFS45" s="5">
        <f>-'5. IRR'!SFT16</f>
        <v>-0.0</v>
      </c>
      <c r="SFT45" s="5">
        <f>-'5. IRR'!SFU16</f>
        <v>-0.0</v>
      </c>
      <c r="SFU45" s="5">
        <f>-'5. IRR'!SFV16</f>
        <v>-0.0</v>
      </c>
      <c r="SFV45" s="5">
        <f>-'5. IRR'!SFW16</f>
        <v>-0.0</v>
      </c>
      <c r="SFW45" s="5">
        <f>-'5. IRR'!SFX16</f>
        <v>-0.0</v>
      </c>
      <c r="SFX45" s="5">
        <f>-'5. IRR'!SFY16</f>
        <v>-0.0</v>
      </c>
      <c r="SFY45" s="5">
        <f>-'5. IRR'!SFZ16</f>
        <v>-0.0</v>
      </c>
      <c r="SFZ45" s="5">
        <f>-'5. IRR'!SGA16</f>
        <v>-0.0</v>
      </c>
      <c r="SGA45" s="5">
        <f>-'5. IRR'!SGB16</f>
        <v>-0.0</v>
      </c>
      <c r="SGB45" s="5">
        <f>-'5. IRR'!SGC16</f>
        <v>-0.0</v>
      </c>
      <c r="SGC45" s="5">
        <f>-'5. IRR'!SGD16</f>
        <v>-0.0</v>
      </c>
      <c r="SGD45" s="5">
        <f>-'5. IRR'!SGE16</f>
        <v>-0.0</v>
      </c>
      <c r="SGE45" s="5">
        <f>-'5. IRR'!SGF16</f>
        <v>-0.0</v>
      </c>
      <c r="SGF45" s="5">
        <f>-'5. IRR'!SGG16</f>
        <v>-0.0</v>
      </c>
      <c r="SGG45" s="5">
        <f>-'5. IRR'!SGH16</f>
        <v>-0.0</v>
      </c>
      <c r="SGH45" s="5">
        <f>-'5. IRR'!SGI16</f>
        <v>-0.0</v>
      </c>
      <c r="SGI45" s="5">
        <f>-'5. IRR'!SGJ16</f>
        <v>-0.0</v>
      </c>
      <c r="SGJ45" s="5">
        <f>-'5. IRR'!SGK16</f>
        <v>-0.0</v>
      </c>
      <c r="SGK45" s="5">
        <f>-'5. IRR'!SGL16</f>
        <v>-0.0</v>
      </c>
      <c r="SGL45" s="5">
        <f>-'5. IRR'!SGM16</f>
        <v>-0.0</v>
      </c>
      <c r="SGM45" s="5">
        <f>-'5. IRR'!SGN16</f>
        <v>-0.0</v>
      </c>
      <c r="SGN45" s="5">
        <f>-'5. IRR'!SGO16</f>
        <v>-0.0</v>
      </c>
      <c r="SGO45" s="5">
        <f>-'5. IRR'!SGP16</f>
        <v>-0.0</v>
      </c>
      <c r="SGP45" s="5">
        <f>-'5. IRR'!SGQ16</f>
        <v>-0.0</v>
      </c>
      <c r="SGQ45" s="5">
        <f>-'5. IRR'!SGR16</f>
        <v>-0.0</v>
      </c>
      <c r="SGR45" s="5">
        <f>-'5. IRR'!SGS16</f>
        <v>-0.0</v>
      </c>
      <c r="SGS45" s="5">
        <f>-'5. IRR'!SGT16</f>
        <v>-0.0</v>
      </c>
      <c r="SGT45" s="5">
        <f>-'5. IRR'!SGU16</f>
        <v>-0.0</v>
      </c>
      <c r="SGU45" s="5">
        <f>-'5. IRR'!SGV16</f>
        <v>-0.0</v>
      </c>
      <c r="SGV45" s="5">
        <f>-'5. IRR'!SGW16</f>
        <v>-0.0</v>
      </c>
      <c r="SGW45" s="5">
        <f>-'5. IRR'!SGX16</f>
        <v>-0.0</v>
      </c>
      <c r="SGX45" s="5">
        <f>-'5. IRR'!SGY16</f>
        <v>-0.0</v>
      </c>
      <c r="SGY45" s="5">
        <f>-'5. IRR'!SGZ16</f>
        <v>-0.0</v>
      </c>
      <c r="SGZ45" s="5">
        <f>-'5. IRR'!SHA16</f>
        <v>-0.0</v>
      </c>
      <c r="SHA45" s="5">
        <f>-'5. IRR'!SHB16</f>
        <v>-0.0</v>
      </c>
      <c r="SHB45" s="5">
        <f>-'5. IRR'!SHC16</f>
        <v>-0.0</v>
      </c>
      <c r="SHC45" s="5">
        <f>-'5. IRR'!SHD16</f>
        <v>-0.0</v>
      </c>
      <c r="SHD45" s="5">
        <f>-'5. IRR'!SHE16</f>
        <v>-0.0</v>
      </c>
      <c r="SHE45" s="5">
        <f>-'5. IRR'!SHF16</f>
        <v>-0.0</v>
      </c>
      <c r="SHF45" s="5">
        <f>-'5. IRR'!SHG16</f>
        <v>-0.0</v>
      </c>
      <c r="SHG45" s="5">
        <f>-'5. IRR'!SHH16</f>
        <v>-0.0</v>
      </c>
      <c r="SHH45" s="5">
        <f>-'5. IRR'!SHI16</f>
        <v>-0.0</v>
      </c>
      <c r="SHI45" s="5">
        <f>-'5. IRR'!SHJ16</f>
        <v>-0.0</v>
      </c>
      <c r="SHJ45" s="5">
        <f>-'5. IRR'!SHK16</f>
        <v>-0.0</v>
      </c>
      <c r="SHK45" s="5">
        <f>-'5. IRR'!SHL16</f>
        <v>-0.0</v>
      </c>
      <c r="SHL45" s="5">
        <f>-'5. IRR'!SHM16</f>
        <v>-0.0</v>
      </c>
      <c r="SHM45" s="5">
        <f>-'5. IRR'!SHN16</f>
        <v>-0.0</v>
      </c>
      <c r="SHN45" s="5">
        <f>-'5. IRR'!SHO16</f>
        <v>-0.0</v>
      </c>
      <c r="SHO45" s="5">
        <f>-'5. IRR'!SHP16</f>
        <v>-0.0</v>
      </c>
      <c r="SHP45" s="5">
        <f>-'5. IRR'!SHQ16</f>
        <v>-0.0</v>
      </c>
      <c r="SHQ45" s="5">
        <f>-'5. IRR'!SHR16</f>
        <v>-0.0</v>
      </c>
      <c r="SHR45" s="5">
        <f>-'5. IRR'!SHS16</f>
        <v>-0.0</v>
      </c>
      <c r="SHS45" s="5">
        <f>-'5. IRR'!SHT16</f>
        <v>-0.0</v>
      </c>
      <c r="SHT45" s="5">
        <f>-'5. IRR'!SHU16</f>
        <v>-0.0</v>
      </c>
      <c r="SHU45" s="5">
        <f>-'5. IRR'!SHV16</f>
        <v>-0.0</v>
      </c>
      <c r="SHV45" s="5">
        <f>-'5. IRR'!SHW16</f>
        <v>-0.0</v>
      </c>
      <c r="SHW45" s="5">
        <f>-'5. IRR'!SHX16</f>
        <v>-0.0</v>
      </c>
      <c r="SHX45" s="5">
        <f>-'5. IRR'!SHY16</f>
        <v>-0.0</v>
      </c>
      <c r="SHY45" s="5">
        <f>-'5. IRR'!SHZ16</f>
        <v>-0.0</v>
      </c>
      <c r="SHZ45" s="5">
        <f>-'5. IRR'!SIA16</f>
        <v>-0.0</v>
      </c>
      <c r="SIA45" s="5">
        <f>-'5. IRR'!SIB16</f>
        <v>-0.0</v>
      </c>
      <c r="SIB45" s="5">
        <f>-'5. IRR'!SIC16</f>
        <v>-0.0</v>
      </c>
      <c r="SIC45" s="5">
        <f>-'5. IRR'!SID16</f>
        <v>-0.0</v>
      </c>
      <c r="SID45" s="5">
        <f>-'5. IRR'!SIE16</f>
        <v>-0.0</v>
      </c>
      <c r="SIE45" s="5">
        <f>-'5. IRR'!SIF16</f>
        <v>-0.0</v>
      </c>
      <c r="SIF45" s="5">
        <f>-'5. IRR'!SIG16</f>
        <v>-0.0</v>
      </c>
      <c r="SIG45" s="5">
        <f>-'5. IRR'!SIH16</f>
        <v>-0.0</v>
      </c>
      <c r="SIH45" s="5">
        <f>-'5. IRR'!SII16</f>
        <v>-0.0</v>
      </c>
      <c r="SII45" s="5">
        <f>-'5. IRR'!SIJ16</f>
        <v>-0.0</v>
      </c>
      <c r="SIJ45" s="5">
        <f>-'5. IRR'!SIK16</f>
        <v>-0.0</v>
      </c>
      <c r="SIK45" s="5">
        <f>-'5. IRR'!SIL16</f>
        <v>-0.0</v>
      </c>
      <c r="SIL45" s="5">
        <f>-'5. IRR'!SIM16</f>
        <v>-0.0</v>
      </c>
      <c r="SIM45" s="5">
        <f>-'5. IRR'!SIN16</f>
        <v>-0.0</v>
      </c>
      <c r="SIN45" s="5">
        <f>-'5. IRR'!SIO16</f>
        <v>-0.0</v>
      </c>
      <c r="SIO45" s="5">
        <f>-'5. IRR'!SIP16</f>
        <v>-0.0</v>
      </c>
      <c r="SIP45" s="5">
        <f>-'5. IRR'!SIQ16</f>
        <v>-0.0</v>
      </c>
      <c r="SIQ45" s="5">
        <f>-'5. IRR'!SIR16</f>
        <v>-0.0</v>
      </c>
      <c r="SIR45" s="5">
        <f>-'5. IRR'!SIS16</f>
        <v>-0.0</v>
      </c>
      <c r="SIS45" s="5">
        <f>-'5. IRR'!SIT16</f>
        <v>-0.0</v>
      </c>
      <c r="SIT45" s="5">
        <f>-'5. IRR'!SIU16</f>
        <v>-0.0</v>
      </c>
      <c r="SIU45" s="5">
        <f>-'5. IRR'!SIV16</f>
        <v>-0.0</v>
      </c>
      <c r="SIV45" s="5">
        <f>-'5. IRR'!SIW16</f>
        <v>-0.0</v>
      </c>
      <c r="SIW45" s="5">
        <f>-'5. IRR'!SIX16</f>
        <v>-0.0</v>
      </c>
      <c r="SIX45" s="5">
        <f>-'5. IRR'!SIY16</f>
        <v>-0.0</v>
      </c>
      <c r="SIY45" s="5">
        <f>-'5. IRR'!SIZ16</f>
        <v>-0.0</v>
      </c>
      <c r="SIZ45" s="5">
        <f>-'5. IRR'!SJA16</f>
        <v>-0.0</v>
      </c>
      <c r="SJA45" s="5">
        <f>-'5. IRR'!SJB16</f>
        <v>-0.0</v>
      </c>
      <c r="SJB45" s="5">
        <f>-'5. IRR'!SJC16</f>
        <v>-0.0</v>
      </c>
      <c r="SJC45" s="5">
        <f>-'5. IRR'!SJD16</f>
        <v>-0.0</v>
      </c>
      <c r="SJD45" s="5">
        <f>-'5. IRR'!SJE16</f>
        <v>-0.0</v>
      </c>
      <c r="SJE45" s="5">
        <f>-'5. IRR'!SJF16</f>
        <v>-0.0</v>
      </c>
      <c r="SJF45" s="5">
        <f>-'5. IRR'!SJG16</f>
        <v>-0.0</v>
      </c>
      <c r="SJG45" s="5">
        <f>-'5. IRR'!SJH16</f>
        <v>-0.0</v>
      </c>
      <c r="SJH45" s="5">
        <f>-'5. IRR'!SJI16</f>
        <v>-0.0</v>
      </c>
      <c r="SJI45" s="5">
        <f>-'5. IRR'!SJJ16</f>
        <v>-0.0</v>
      </c>
      <c r="SJJ45" s="5">
        <f>-'5. IRR'!SJK16</f>
        <v>-0.0</v>
      </c>
      <c r="SJK45" s="5">
        <f>-'5. IRR'!SJL16</f>
        <v>-0.0</v>
      </c>
      <c r="SJL45" s="5">
        <f>-'5. IRR'!SJM16</f>
        <v>-0.0</v>
      </c>
      <c r="SJM45" s="5">
        <f>-'5. IRR'!SJN16</f>
        <v>-0.0</v>
      </c>
      <c r="SJN45" s="5">
        <f>-'5. IRR'!SJO16</f>
        <v>-0.0</v>
      </c>
      <c r="SJO45" s="5">
        <f>-'5. IRR'!SJP16</f>
        <v>-0.0</v>
      </c>
      <c r="SJP45" s="5">
        <f>-'5. IRR'!SJQ16</f>
        <v>-0.0</v>
      </c>
      <c r="SJQ45" s="5">
        <f>-'5. IRR'!SJR16</f>
        <v>-0.0</v>
      </c>
      <c r="SJR45" s="5">
        <f>-'5. IRR'!SJS16</f>
        <v>-0.0</v>
      </c>
      <c r="SJS45" s="5">
        <f>-'5. IRR'!SJT16</f>
        <v>-0.0</v>
      </c>
      <c r="SJT45" s="5">
        <f>-'5. IRR'!SJU16</f>
        <v>-0.0</v>
      </c>
      <c r="SJU45" s="5">
        <f>-'5. IRR'!SJV16</f>
        <v>-0.0</v>
      </c>
      <c r="SJV45" s="5">
        <f>-'5. IRR'!SJW16</f>
        <v>-0.0</v>
      </c>
      <c r="SJW45" s="5">
        <f>-'5. IRR'!SJX16</f>
        <v>-0.0</v>
      </c>
      <c r="SJX45" s="5">
        <f>-'5. IRR'!SJY16</f>
        <v>-0.0</v>
      </c>
      <c r="SJY45" s="5">
        <f>-'5. IRR'!SJZ16</f>
        <v>-0.0</v>
      </c>
      <c r="SJZ45" s="5">
        <f>-'5. IRR'!SKA16</f>
        <v>-0.0</v>
      </c>
      <c r="SKA45" s="5">
        <f>-'5. IRR'!SKB16</f>
        <v>-0.0</v>
      </c>
      <c r="SKB45" s="5">
        <f>-'5. IRR'!SKC16</f>
        <v>-0.0</v>
      </c>
      <c r="SKC45" s="5">
        <f>-'5. IRR'!SKD16</f>
        <v>-0.0</v>
      </c>
      <c r="SKD45" s="5">
        <f>-'5. IRR'!SKE16</f>
        <v>-0.0</v>
      </c>
      <c r="SKE45" s="5">
        <f>-'5. IRR'!SKF16</f>
        <v>-0.0</v>
      </c>
      <c r="SKF45" s="5">
        <f>-'5. IRR'!SKG16</f>
        <v>-0.0</v>
      </c>
      <c r="SKG45" s="5">
        <f>-'5. IRR'!SKH16</f>
        <v>-0.0</v>
      </c>
      <c r="SKH45" s="5">
        <f>-'5. IRR'!SKI16</f>
        <v>-0.0</v>
      </c>
      <c r="SKI45" s="5">
        <f>-'5. IRR'!SKJ16</f>
        <v>-0.0</v>
      </c>
      <c r="SKJ45" s="5">
        <f>-'5. IRR'!SKK16</f>
        <v>-0.0</v>
      </c>
      <c r="SKK45" s="5">
        <f>-'5. IRR'!SKL16</f>
        <v>-0.0</v>
      </c>
      <c r="SKL45" s="5">
        <f>-'5. IRR'!SKM16</f>
        <v>-0.0</v>
      </c>
      <c r="SKM45" s="5">
        <f>-'5. IRR'!SKN16</f>
        <v>-0.0</v>
      </c>
      <c r="SKN45" s="5">
        <f>-'5. IRR'!SKO16</f>
        <v>-0.0</v>
      </c>
      <c r="SKO45" s="5">
        <f>-'5. IRR'!SKP16</f>
        <v>-0.0</v>
      </c>
      <c r="SKP45" s="5">
        <f>-'5. IRR'!SKQ16</f>
        <v>-0.0</v>
      </c>
      <c r="SKQ45" s="5">
        <f>-'5. IRR'!SKR16</f>
        <v>-0.0</v>
      </c>
      <c r="SKR45" s="5">
        <f>-'5. IRR'!SKS16</f>
        <v>-0.0</v>
      </c>
      <c r="SKS45" s="5">
        <f>-'5. IRR'!SKT16</f>
        <v>-0.0</v>
      </c>
      <c r="SKT45" s="5">
        <f>-'5. IRR'!SKU16</f>
        <v>-0.0</v>
      </c>
      <c r="SKU45" s="5">
        <f>-'5. IRR'!SKV16</f>
        <v>-0.0</v>
      </c>
      <c r="SKV45" s="5">
        <f>-'5. IRR'!SKW16</f>
        <v>-0.0</v>
      </c>
      <c r="SKW45" s="5">
        <f>-'5. IRR'!SKX16</f>
        <v>-0.0</v>
      </c>
      <c r="SKX45" s="5">
        <f>-'5. IRR'!SKY16</f>
        <v>-0.0</v>
      </c>
      <c r="SKY45" s="5">
        <f>-'5. IRR'!SKZ16</f>
        <v>-0.0</v>
      </c>
      <c r="SKZ45" s="5">
        <f>-'5. IRR'!SLA16</f>
        <v>-0.0</v>
      </c>
      <c r="SLA45" s="5">
        <f>-'5. IRR'!SLB16</f>
        <v>-0.0</v>
      </c>
      <c r="SLB45" s="5">
        <f>-'5. IRR'!SLC16</f>
        <v>-0.0</v>
      </c>
      <c r="SLC45" s="5">
        <f>-'5. IRR'!SLD16</f>
        <v>-0.0</v>
      </c>
      <c r="SLD45" s="5">
        <f>-'5. IRR'!SLE16</f>
        <v>-0.0</v>
      </c>
      <c r="SLE45" s="5">
        <f>-'5. IRR'!SLF16</f>
        <v>-0.0</v>
      </c>
      <c r="SLF45" s="5">
        <f>-'5. IRR'!SLG16</f>
        <v>-0.0</v>
      </c>
      <c r="SLG45" s="5">
        <f>-'5. IRR'!SLH16</f>
        <v>-0.0</v>
      </c>
      <c r="SLH45" s="5">
        <f>-'5. IRR'!SLI16</f>
        <v>-0.0</v>
      </c>
      <c r="SLI45" s="5">
        <f>-'5. IRR'!SLJ16</f>
        <v>-0.0</v>
      </c>
      <c r="SLJ45" s="5">
        <f>-'5. IRR'!SLK16</f>
        <v>-0.0</v>
      </c>
      <c r="SLK45" s="5">
        <f>-'5. IRR'!SLL16</f>
        <v>-0.0</v>
      </c>
      <c r="SLL45" s="5">
        <f>-'5. IRR'!SLM16</f>
        <v>-0.0</v>
      </c>
      <c r="SLM45" s="5">
        <f>-'5. IRR'!SLN16</f>
        <v>-0.0</v>
      </c>
      <c r="SLN45" s="5">
        <f>-'5. IRR'!SLO16</f>
        <v>-0.0</v>
      </c>
      <c r="SLO45" s="5">
        <f>-'5. IRR'!SLP16</f>
        <v>-0.0</v>
      </c>
      <c r="SLP45" s="5">
        <f>-'5. IRR'!SLQ16</f>
        <v>-0.0</v>
      </c>
      <c r="SLQ45" s="5">
        <f>-'5. IRR'!SLR16</f>
        <v>-0.0</v>
      </c>
      <c r="SLR45" s="5">
        <f>-'5. IRR'!SLS16</f>
        <v>-0.0</v>
      </c>
      <c r="SLS45" s="5">
        <f>-'5. IRR'!SLT16</f>
        <v>-0.0</v>
      </c>
      <c r="SLT45" s="5">
        <f>-'5. IRR'!SLU16</f>
        <v>-0.0</v>
      </c>
      <c r="SLU45" s="5">
        <f>-'5. IRR'!SLV16</f>
        <v>-0.0</v>
      </c>
      <c r="SLV45" s="5">
        <f>-'5. IRR'!SLW16</f>
        <v>-0.0</v>
      </c>
      <c r="SLW45" s="5">
        <f>-'5. IRR'!SLX16</f>
        <v>-0.0</v>
      </c>
      <c r="SLX45" s="5">
        <f>-'5. IRR'!SLY16</f>
        <v>-0.0</v>
      </c>
      <c r="SLY45" s="5">
        <f>-'5. IRR'!SLZ16</f>
        <v>-0.0</v>
      </c>
      <c r="SLZ45" s="5">
        <f>-'5. IRR'!SMA16</f>
        <v>-0.0</v>
      </c>
      <c r="SMA45" s="5">
        <f>-'5. IRR'!SMB16</f>
        <v>-0.0</v>
      </c>
      <c r="SMB45" s="5">
        <f>-'5. IRR'!SMC16</f>
        <v>-0.0</v>
      </c>
      <c r="SMC45" s="5">
        <f>-'5. IRR'!SMD16</f>
        <v>-0.0</v>
      </c>
      <c r="SMD45" s="5">
        <f>-'5. IRR'!SME16</f>
        <v>-0.0</v>
      </c>
      <c r="SME45" s="5">
        <f>-'5. IRR'!SMF16</f>
        <v>-0.0</v>
      </c>
      <c r="SMF45" s="5">
        <f>-'5. IRR'!SMG16</f>
        <v>-0.0</v>
      </c>
      <c r="SMG45" s="5">
        <f>-'5. IRR'!SMH16</f>
        <v>-0.0</v>
      </c>
      <c r="SMH45" s="5">
        <f>-'5. IRR'!SMI16</f>
        <v>-0.0</v>
      </c>
      <c r="SMI45" s="5">
        <f>-'5. IRR'!SMJ16</f>
        <v>-0.0</v>
      </c>
      <c r="SMJ45" s="5">
        <f>-'5. IRR'!SMK16</f>
        <v>-0.0</v>
      </c>
      <c r="SMK45" s="5">
        <f>-'5. IRR'!SML16</f>
        <v>-0.0</v>
      </c>
      <c r="SML45" s="5">
        <f>-'5. IRR'!SMM16</f>
        <v>-0.0</v>
      </c>
      <c r="SMM45" s="5">
        <f>-'5. IRR'!SMN16</f>
        <v>-0.0</v>
      </c>
      <c r="SMN45" s="5">
        <f>-'5. IRR'!SMO16</f>
        <v>-0.0</v>
      </c>
      <c r="SMO45" s="5">
        <f>-'5. IRR'!SMP16</f>
        <v>-0.0</v>
      </c>
      <c r="SMP45" s="5">
        <f>-'5. IRR'!SMQ16</f>
        <v>-0.0</v>
      </c>
      <c r="SMQ45" s="5">
        <f>-'5. IRR'!SMR16</f>
        <v>-0.0</v>
      </c>
      <c r="SMR45" s="5">
        <f>-'5. IRR'!SMS16</f>
        <v>-0.0</v>
      </c>
      <c r="SMS45" s="5">
        <f>-'5. IRR'!SMT16</f>
        <v>-0.0</v>
      </c>
      <c r="SMT45" s="5">
        <f>-'5. IRR'!SMU16</f>
        <v>-0.0</v>
      </c>
      <c r="SMU45" s="5">
        <f>-'5. IRR'!SMV16</f>
        <v>-0.0</v>
      </c>
      <c r="SMV45" s="5">
        <f>-'5. IRR'!SMW16</f>
        <v>-0.0</v>
      </c>
      <c r="SMW45" s="5">
        <f>-'5. IRR'!SMX16</f>
        <v>-0.0</v>
      </c>
      <c r="SMX45" s="5">
        <f>-'5. IRR'!SMY16</f>
        <v>-0.0</v>
      </c>
      <c r="SMY45" s="5">
        <f>-'5. IRR'!SMZ16</f>
        <v>-0.0</v>
      </c>
      <c r="SMZ45" s="5">
        <f>-'5. IRR'!SNA16</f>
        <v>-0.0</v>
      </c>
      <c r="SNA45" s="5">
        <f>-'5. IRR'!SNB16</f>
        <v>-0.0</v>
      </c>
      <c r="SNB45" s="5">
        <f>-'5. IRR'!SNC16</f>
        <v>-0.0</v>
      </c>
      <c r="SNC45" s="5">
        <f>-'5. IRR'!SND16</f>
        <v>-0.0</v>
      </c>
      <c r="SND45" s="5">
        <f>-'5. IRR'!SNE16</f>
        <v>-0.0</v>
      </c>
      <c r="SNE45" s="5">
        <f>-'5. IRR'!SNF16</f>
        <v>-0.0</v>
      </c>
      <c r="SNF45" s="5">
        <f>-'5. IRR'!SNG16</f>
        <v>-0.0</v>
      </c>
      <c r="SNG45" s="5">
        <f>-'5. IRR'!SNH16</f>
        <v>-0.0</v>
      </c>
      <c r="SNH45" s="5">
        <f>-'5. IRR'!SNI16</f>
        <v>-0.0</v>
      </c>
      <c r="SNI45" s="5">
        <f>-'5. IRR'!SNJ16</f>
        <v>-0.0</v>
      </c>
      <c r="SNJ45" s="5">
        <f>-'5. IRR'!SNK16</f>
        <v>-0.0</v>
      </c>
      <c r="SNK45" s="5">
        <f>-'5. IRR'!SNL16</f>
        <v>-0.0</v>
      </c>
      <c r="SNL45" s="5">
        <f>-'5. IRR'!SNM16</f>
        <v>-0.0</v>
      </c>
      <c r="SNM45" s="5">
        <f>-'5. IRR'!SNN16</f>
        <v>-0.0</v>
      </c>
      <c r="SNN45" s="5">
        <f>-'5. IRR'!SNO16</f>
        <v>-0.0</v>
      </c>
      <c r="SNO45" s="5">
        <f>-'5. IRR'!SNP16</f>
        <v>-0.0</v>
      </c>
      <c r="SNP45" s="5">
        <f>-'5. IRR'!SNQ16</f>
        <v>-0.0</v>
      </c>
      <c r="SNQ45" s="5">
        <f>-'5. IRR'!SNR16</f>
        <v>-0.0</v>
      </c>
      <c r="SNR45" s="5">
        <f>-'5. IRR'!SNS16</f>
        <v>-0.0</v>
      </c>
      <c r="SNS45" s="5">
        <f>-'5. IRR'!SNT16</f>
        <v>-0.0</v>
      </c>
      <c r="SNT45" s="5">
        <f>-'5. IRR'!SNU16</f>
        <v>-0.0</v>
      </c>
      <c r="SNU45" s="5">
        <f>-'5. IRR'!SNV16</f>
        <v>-0.0</v>
      </c>
      <c r="SNV45" s="5">
        <f>-'5. IRR'!SNW16</f>
        <v>-0.0</v>
      </c>
      <c r="SNW45" s="5">
        <f>-'5. IRR'!SNX16</f>
        <v>-0.0</v>
      </c>
      <c r="SNX45" s="5">
        <f>-'5. IRR'!SNY16</f>
        <v>-0.0</v>
      </c>
      <c r="SNY45" s="5">
        <f>-'5. IRR'!SNZ16</f>
        <v>-0.0</v>
      </c>
      <c r="SNZ45" s="5">
        <f>-'5. IRR'!SOA16</f>
        <v>-0.0</v>
      </c>
      <c r="SOA45" s="5">
        <f>-'5. IRR'!SOB16</f>
        <v>-0.0</v>
      </c>
      <c r="SOB45" s="5">
        <f>-'5. IRR'!SOC16</f>
        <v>-0.0</v>
      </c>
      <c r="SOC45" s="5">
        <f>-'5. IRR'!SOD16</f>
        <v>-0.0</v>
      </c>
      <c r="SOD45" s="5">
        <f>-'5. IRR'!SOE16</f>
        <v>-0.0</v>
      </c>
      <c r="SOE45" s="5">
        <f>-'5. IRR'!SOF16</f>
        <v>-0.0</v>
      </c>
      <c r="SOF45" s="5">
        <f>-'5. IRR'!SOG16</f>
        <v>-0.0</v>
      </c>
      <c r="SOG45" s="5">
        <f>-'5. IRR'!SOH16</f>
        <v>-0.0</v>
      </c>
      <c r="SOH45" s="5">
        <f>-'5. IRR'!SOI16</f>
        <v>-0.0</v>
      </c>
      <c r="SOI45" s="5">
        <f>-'5. IRR'!SOJ16</f>
        <v>-0.0</v>
      </c>
      <c r="SOJ45" s="5">
        <f>-'5. IRR'!SOK16</f>
        <v>-0.0</v>
      </c>
      <c r="SOK45" s="5">
        <f>-'5. IRR'!SOL16</f>
        <v>-0.0</v>
      </c>
      <c r="SOL45" s="5">
        <f>-'5. IRR'!SOM16</f>
        <v>-0.0</v>
      </c>
      <c r="SOM45" s="5">
        <f>-'5. IRR'!SON16</f>
        <v>-0.0</v>
      </c>
      <c r="SON45" s="5">
        <f>-'5. IRR'!SOO16</f>
        <v>-0.0</v>
      </c>
      <c r="SOO45" s="5">
        <f>-'5. IRR'!SOP16</f>
        <v>-0.0</v>
      </c>
      <c r="SOP45" s="5">
        <f>-'5. IRR'!SOQ16</f>
        <v>-0.0</v>
      </c>
      <c r="SOQ45" s="5">
        <f>-'5. IRR'!SOR16</f>
        <v>-0.0</v>
      </c>
      <c r="SOR45" s="5">
        <f>-'5. IRR'!SOS16</f>
        <v>-0.0</v>
      </c>
      <c r="SOS45" s="5">
        <f>-'5. IRR'!SOT16</f>
        <v>-0.0</v>
      </c>
      <c r="SOT45" s="5">
        <f>-'5. IRR'!SOU16</f>
        <v>-0.0</v>
      </c>
      <c r="SOU45" s="5">
        <f>-'5. IRR'!SOV16</f>
        <v>-0.0</v>
      </c>
      <c r="SOV45" s="5">
        <f>-'5. IRR'!SOW16</f>
        <v>-0.0</v>
      </c>
      <c r="SOW45" s="5">
        <f>-'5. IRR'!SOX16</f>
        <v>-0.0</v>
      </c>
      <c r="SOX45" s="5">
        <f>-'5. IRR'!SOY16</f>
        <v>-0.0</v>
      </c>
      <c r="SOY45" s="5">
        <f>-'5. IRR'!SOZ16</f>
        <v>-0.0</v>
      </c>
      <c r="SOZ45" s="5">
        <f>-'5. IRR'!SPA16</f>
        <v>-0.0</v>
      </c>
      <c r="SPA45" s="5">
        <f>-'5. IRR'!SPB16</f>
        <v>-0.0</v>
      </c>
      <c r="SPB45" s="5">
        <f>-'5. IRR'!SPC16</f>
        <v>-0.0</v>
      </c>
      <c r="SPC45" s="5">
        <f>-'5. IRR'!SPD16</f>
        <v>-0.0</v>
      </c>
      <c r="SPD45" s="5">
        <f>-'5. IRR'!SPE16</f>
        <v>-0.0</v>
      </c>
      <c r="SPE45" s="5">
        <f>-'5. IRR'!SPF16</f>
        <v>-0.0</v>
      </c>
      <c r="SPF45" s="5">
        <f>-'5. IRR'!SPG16</f>
        <v>-0.0</v>
      </c>
      <c r="SPG45" s="5">
        <f>-'5. IRR'!SPH16</f>
        <v>-0.0</v>
      </c>
      <c r="SPH45" s="5">
        <f>-'5. IRR'!SPI16</f>
        <v>-0.0</v>
      </c>
      <c r="SPI45" s="5">
        <f>-'5. IRR'!SPJ16</f>
        <v>-0.0</v>
      </c>
      <c r="SPJ45" s="5">
        <f>-'5. IRR'!SPK16</f>
        <v>-0.0</v>
      </c>
      <c r="SPK45" s="5">
        <f>-'5. IRR'!SPL16</f>
        <v>-0.0</v>
      </c>
      <c r="SPL45" s="5">
        <f>-'5. IRR'!SPM16</f>
        <v>-0.0</v>
      </c>
      <c r="SPM45" s="5">
        <f>-'5. IRR'!SPN16</f>
        <v>-0.0</v>
      </c>
      <c r="SPN45" s="5">
        <f>-'5. IRR'!SPO16</f>
        <v>-0.0</v>
      </c>
      <c r="SPO45" s="5">
        <f>-'5. IRR'!SPP16</f>
        <v>-0.0</v>
      </c>
      <c r="SPP45" s="5">
        <f>-'5. IRR'!SPQ16</f>
        <v>-0.0</v>
      </c>
      <c r="SPQ45" s="5">
        <f>-'5. IRR'!SPR16</f>
        <v>-0.0</v>
      </c>
      <c r="SPR45" s="5">
        <f>-'5. IRR'!SPS16</f>
        <v>-0.0</v>
      </c>
      <c r="SPS45" s="5">
        <f>-'5. IRR'!SPT16</f>
        <v>-0.0</v>
      </c>
      <c r="SPT45" s="5">
        <f>-'5. IRR'!SPU16</f>
        <v>-0.0</v>
      </c>
      <c r="SPU45" s="5">
        <f>-'5. IRR'!SPV16</f>
        <v>-0.0</v>
      </c>
      <c r="SPV45" s="5">
        <f>-'5. IRR'!SPW16</f>
        <v>-0.0</v>
      </c>
      <c r="SPW45" s="5">
        <f>-'5. IRR'!SPX16</f>
        <v>-0.0</v>
      </c>
      <c r="SPX45" s="5">
        <f>-'5. IRR'!SPY16</f>
        <v>-0.0</v>
      </c>
      <c r="SPY45" s="5">
        <f>-'5. IRR'!SPZ16</f>
        <v>-0.0</v>
      </c>
      <c r="SPZ45" s="5">
        <f>-'5. IRR'!SQA16</f>
        <v>-0.0</v>
      </c>
      <c r="SQA45" s="5">
        <f>-'5. IRR'!SQB16</f>
        <v>-0.0</v>
      </c>
      <c r="SQB45" s="5">
        <f>-'5. IRR'!SQC16</f>
        <v>-0.0</v>
      </c>
      <c r="SQC45" s="5">
        <f>-'5. IRR'!SQD16</f>
        <v>-0.0</v>
      </c>
      <c r="SQD45" s="5">
        <f>-'5. IRR'!SQE16</f>
        <v>-0.0</v>
      </c>
      <c r="SQE45" s="5">
        <f>-'5. IRR'!SQF16</f>
        <v>-0.0</v>
      </c>
      <c r="SQF45" s="5">
        <f>-'5. IRR'!SQG16</f>
        <v>-0.0</v>
      </c>
      <c r="SQG45" s="5">
        <f>-'5. IRR'!SQH16</f>
        <v>-0.0</v>
      </c>
      <c r="SQH45" s="5">
        <f>-'5. IRR'!SQI16</f>
        <v>-0.0</v>
      </c>
      <c r="SQI45" s="5">
        <f>-'5. IRR'!SQJ16</f>
        <v>-0.0</v>
      </c>
      <c r="SQJ45" s="5">
        <f>-'5. IRR'!SQK16</f>
        <v>-0.0</v>
      </c>
      <c r="SQK45" s="5">
        <f>-'5. IRR'!SQL16</f>
        <v>-0.0</v>
      </c>
      <c r="SQL45" s="5">
        <f>-'5. IRR'!SQM16</f>
        <v>-0.0</v>
      </c>
      <c r="SQM45" s="5">
        <f>-'5. IRR'!SQN16</f>
        <v>-0.0</v>
      </c>
      <c r="SQN45" s="5">
        <f>-'5. IRR'!SQO16</f>
        <v>-0.0</v>
      </c>
      <c r="SQO45" s="5">
        <f>-'5. IRR'!SQP16</f>
        <v>-0.0</v>
      </c>
      <c r="SQP45" s="5">
        <f>-'5. IRR'!SQQ16</f>
        <v>-0.0</v>
      </c>
      <c r="SQQ45" s="5">
        <f>-'5. IRR'!SQR16</f>
        <v>-0.0</v>
      </c>
      <c r="SQR45" s="5">
        <f>-'5. IRR'!SQS16</f>
        <v>-0.0</v>
      </c>
      <c r="SQS45" s="5">
        <f>-'5. IRR'!SQT16</f>
        <v>-0.0</v>
      </c>
      <c r="SQT45" s="5">
        <f>-'5. IRR'!SQU16</f>
        <v>-0.0</v>
      </c>
      <c r="SQU45" s="5">
        <f>-'5. IRR'!SQV16</f>
        <v>-0.0</v>
      </c>
      <c r="SQV45" s="5">
        <f>-'5. IRR'!SQW16</f>
        <v>-0.0</v>
      </c>
      <c r="SQW45" s="5">
        <f>-'5. IRR'!SQX16</f>
        <v>-0.0</v>
      </c>
      <c r="SQX45" s="5">
        <f>-'5. IRR'!SQY16</f>
        <v>-0.0</v>
      </c>
      <c r="SQY45" s="5">
        <f>-'5. IRR'!SQZ16</f>
        <v>-0.0</v>
      </c>
      <c r="SQZ45" s="5">
        <f>-'5. IRR'!SRA16</f>
        <v>-0.0</v>
      </c>
      <c r="SRA45" s="5">
        <f>-'5. IRR'!SRB16</f>
        <v>-0.0</v>
      </c>
      <c r="SRB45" s="5">
        <f>-'5. IRR'!SRC16</f>
        <v>-0.0</v>
      </c>
      <c r="SRC45" s="5">
        <f>-'5. IRR'!SRD16</f>
        <v>-0.0</v>
      </c>
      <c r="SRD45" s="5">
        <f>-'5. IRR'!SRE16</f>
        <v>-0.0</v>
      </c>
      <c r="SRE45" s="5">
        <f>-'5. IRR'!SRF16</f>
        <v>-0.0</v>
      </c>
      <c r="SRF45" s="5">
        <f>-'5. IRR'!SRG16</f>
        <v>-0.0</v>
      </c>
      <c r="SRG45" s="5">
        <f>-'5. IRR'!SRH16</f>
        <v>-0.0</v>
      </c>
      <c r="SRH45" s="5">
        <f>-'5. IRR'!SRI16</f>
        <v>-0.0</v>
      </c>
      <c r="SRI45" s="5">
        <f>-'5. IRR'!SRJ16</f>
        <v>-0.0</v>
      </c>
      <c r="SRJ45" s="5">
        <f>-'5. IRR'!SRK16</f>
        <v>-0.0</v>
      </c>
      <c r="SRK45" s="5">
        <f>-'5. IRR'!SRL16</f>
        <v>-0.0</v>
      </c>
      <c r="SRL45" s="5">
        <f>-'5. IRR'!SRM16</f>
        <v>-0.0</v>
      </c>
      <c r="SRM45" s="5">
        <f>-'5. IRR'!SRN16</f>
        <v>-0.0</v>
      </c>
      <c r="SRN45" s="5">
        <f>-'5. IRR'!SRO16</f>
        <v>-0.0</v>
      </c>
      <c r="SRO45" s="5">
        <f>-'5. IRR'!SRP16</f>
        <v>-0.0</v>
      </c>
      <c r="SRP45" s="5">
        <f>-'5. IRR'!SRQ16</f>
        <v>-0.0</v>
      </c>
      <c r="SRQ45" s="5">
        <f>-'5. IRR'!SRR16</f>
        <v>-0.0</v>
      </c>
      <c r="SRR45" s="5">
        <f>-'5. IRR'!SRS16</f>
        <v>-0.0</v>
      </c>
      <c r="SRS45" s="5">
        <f>-'5. IRR'!SRT16</f>
        <v>-0.0</v>
      </c>
      <c r="SRT45" s="5">
        <f>-'5. IRR'!SRU16</f>
        <v>-0.0</v>
      </c>
      <c r="SRU45" s="5">
        <f>-'5. IRR'!SRV16</f>
        <v>-0.0</v>
      </c>
      <c r="SRV45" s="5">
        <f>-'5. IRR'!SRW16</f>
        <v>-0.0</v>
      </c>
      <c r="SRW45" s="5">
        <f>-'5. IRR'!SRX16</f>
        <v>-0.0</v>
      </c>
      <c r="SRX45" s="5">
        <f>-'5. IRR'!SRY16</f>
        <v>-0.0</v>
      </c>
      <c r="SRY45" s="5">
        <f>-'5. IRR'!SRZ16</f>
        <v>-0.0</v>
      </c>
      <c r="SRZ45" s="5">
        <f>-'5. IRR'!SSA16</f>
        <v>-0.0</v>
      </c>
      <c r="SSA45" s="5">
        <f>-'5. IRR'!SSB16</f>
        <v>-0.0</v>
      </c>
      <c r="SSB45" s="5">
        <f>-'5. IRR'!SSC16</f>
        <v>-0.0</v>
      </c>
      <c r="SSC45" s="5">
        <f>-'5. IRR'!SSD16</f>
        <v>-0.0</v>
      </c>
      <c r="SSD45" s="5">
        <f>-'5. IRR'!SSE16</f>
        <v>-0.0</v>
      </c>
      <c r="SSE45" s="5">
        <f>-'5. IRR'!SSF16</f>
        <v>-0.0</v>
      </c>
      <c r="SSF45" s="5">
        <f>-'5. IRR'!SSG16</f>
        <v>-0.0</v>
      </c>
      <c r="SSG45" s="5">
        <f>-'5. IRR'!SSH16</f>
        <v>-0.0</v>
      </c>
      <c r="SSH45" s="5">
        <f>-'5. IRR'!SSI16</f>
        <v>-0.0</v>
      </c>
      <c r="SSI45" s="5">
        <f>-'5. IRR'!SSJ16</f>
        <v>-0.0</v>
      </c>
      <c r="SSJ45" s="5">
        <f>-'5. IRR'!SSK16</f>
        <v>-0.0</v>
      </c>
      <c r="SSK45" s="5">
        <f>-'5. IRR'!SSL16</f>
        <v>-0.0</v>
      </c>
      <c r="SSL45" s="5">
        <f>-'5. IRR'!SSM16</f>
        <v>-0.0</v>
      </c>
      <c r="SSM45" s="5">
        <f>-'5. IRR'!SSN16</f>
        <v>-0.0</v>
      </c>
      <c r="SSN45" s="5">
        <f>-'5. IRR'!SSO16</f>
        <v>-0.0</v>
      </c>
      <c r="SSO45" s="5">
        <f>-'5. IRR'!SSP16</f>
        <v>-0.0</v>
      </c>
      <c r="SSP45" s="5">
        <f>-'5. IRR'!SSQ16</f>
        <v>-0.0</v>
      </c>
      <c r="SSQ45" s="5">
        <f>-'5. IRR'!SSR16</f>
        <v>-0.0</v>
      </c>
      <c r="SSR45" s="5">
        <f>-'5. IRR'!SSS16</f>
        <v>-0.0</v>
      </c>
      <c r="SSS45" s="5">
        <f>-'5. IRR'!SST16</f>
        <v>-0.0</v>
      </c>
      <c r="SST45" s="5">
        <f>-'5. IRR'!SSU16</f>
        <v>-0.0</v>
      </c>
      <c r="SSU45" s="5">
        <f>-'5. IRR'!SSV16</f>
        <v>-0.0</v>
      </c>
      <c r="SSV45" s="5">
        <f>-'5. IRR'!SSW16</f>
        <v>-0.0</v>
      </c>
      <c r="SSW45" s="5">
        <f>-'5. IRR'!SSX16</f>
        <v>-0.0</v>
      </c>
      <c r="SSX45" s="5">
        <f>-'5. IRR'!SSY16</f>
        <v>-0.0</v>
      </c>
      <c r="SSY45" s="5">
        <f>-'5. IRR'!SSZ16</f>
        <v>-0.0</v>
      </c>
      <c r="SSZ45" s="5">
        <f>-'5. IRR'!STA16</f>
        <v>-0.0</v>
      </c>
      <c r="STA45" s="5">
        <f>-'5. IRR'!STB16</f>
        <v>-0.0</v>
      </c>
      <c r="STB45" s="5">
        <f>-'5. IRR'!STC16</f>
        <v>-0.0</v>
      </c>
      <c r="STC45" s="5">
        <f>-'5. IRR'!STD16</f>
        <v>-0.0</v>
      </c>
      <c r="STD45" s="5">
        <f>-'5. IRR'!STE16</f>
        <v>-0.0</v>
      </c>
      <c r="STE45" s="5">
        <f>-'5. IRR'!STF16</f>
        <v>-0.0</v>
      </c>
      <c r="STF45" s="5">
        <f>-'5. IRR'!STG16</f>
        <v>-0.0</v>
      </c>
      <c r="STG45" s="5">
        <f>-'5. IRR'!STH16</f>
        <v>-0.0</v>
      </c>
      <c r="STH45" s="5">
        <f>-'5. IRR'!STI16</f>
        <v>-0.0</v>
      </c>
      <c r="STI45" s="5">
        <f>-'5. IRR'!STJ16</f>
        <v>-0.0</v>
      </c>
      <c r="STJ45" s="5">
        <f>-'5. IRR'!STK16</f>
        <v>-0.0</v>
      </c>
      <c r="STK45" s="5">
        <f>-'5. IRR'!STL16</f>
        <v>-0.0</v>
      </c>
      <c r="STL45" s="5">
        <f>-'5. IRR'!STM16</f>
        <v>-0.0</v>
      </c>
      <c r="STM45" s="5">
        <f>-'5. IRR'!STN16</f>
        <v>-0.0</v>
      </c>
      <c r="STN45" s="5">
        <f>-'5. IRR'!STO16</f>
        <v>-0.0</v>
      </c>
      <c r="STO45" s="5">
        <f>-'5. IRR'!STP16</f>
        <v>-0.0</v>
      </c>
      <c r="STP45" s="5">
        <f>-'5. IRR'!STQ16</f>
        <v>-0.0</v>
      </c>
      <c r="STQ45" s="5">
        <f>-'5. IRR'!STR16</f>
        <v>-0.0</v>
      </c>
      <c r="STR45" s="5">
        <f>-'5. IRR'!STS16</f>
        <v>-0.0</v>
      </c>
      <c r="STS45" s="5">
        <f>-'5. IRR'!STT16</f>
        <v>-0.0</v>
      </c>
      <c r="STT45" s="5">
        <f>-'5. IRR'!STU16</f>
        <v>-0.0</v>
      </c>
      <c r="STU45" s="5">
        <f>-'5. IRR'!STV16</f>
        <v>-0.0</v>
      </c>
      <c r="STV45" s="5">
        <f>-'5. IRR'!STW16</f>
        <v>-0.0</v>
      </c>
      <c r="STW45" s="5">
        <f>-'5. IRR'!STX16</f>
        <v>-0.0</v>
      </c>
      <c r="STX45" s="5">
        <f>-'5. IRR'!STY16</f>
        <v>-0.0</v>
      </c>
      <c r="STY45" s="5">
        <f>-'5. IRR'!STZ16</f>
        <v>-0.0</v>
      </c>
      <c r="STZ45" s="5">
        <f>-'5. IRR'!SUA16</f>
        <v>-0.0</v>
      </c>
      <c r="SUA45" s="5">
        <f>-'5. IRR'!SUB16</f>
        <v>-0.0</v>
      </c>
      <c r="SUB45" s="5">
        <f>-'5. IRR'!SUC16</f>
        <v>-0.0</v>
      </c>
      <c r="SUC45" s="5">
        <f>-'5. IRR'!SUD16</f>
        <v>-0.0</v>
      </c>
      <c r="SUD45" s="5">
        <f>-'5. IRR'!SUE16</f>
        <v>-0.0</v>
      </c>
      <c r="SUE45" s="5">
        <f>-'5. IRR'!SUF16</f>
        <v>-0.0</v>
      </c>
      <c r="SUF45" s="5">
        <f>-'5. IRR'!SUG16</f>
        <v>-0.0</v>
      </c>
      <c r="SUG45" s="5">
        <f>-'5. IRR'!SUH16</f>
        <v>-0.0</v>
      </c>
      <c r="SUH45" s="5">
        <f>-'5. IRR'!SUI16</f>
        <v>-0.0</v>
      </c>
      <c r="SUI45" s="5">
        <f>-'5. IRR'!SUJ16</f>
        <v>-0.0</v>
      </c>
      <c r="SUJ45" s="5">
        <f>-'5. IRR'!SUK16</f>
        <v>-0.0</v>
      </c>
      <c r="SUK45" s="5">
        <f>-'5. IRR'!SUL16</f>
        <v>-0.0</v>
      </c>
      <c r="SUL45" s="5">
        <f>-'5. IRR'!SUM16</f>
        <v>-0.0</v>
      </c>
      <c r="SUM45" s="5">
        <f>-'5. IRR'!SUN16</f>
        <v>-0.0</v>
      </c>
      <c r="SUN45" s="5">
        <f>-'5. IRR'!SUO16</f>
        <v>-0.0</v>
      </c>
      <c r="SUO45" s="5">
        <f>-'5. IRR'!SUP16</f>
        <v>-0.0</v>
      </c>
      <c r="SUP45" s="5">
        <f>-'5. IRR'!SUQ16</f>
        <v>-0.0</v>
      </c>
      <c r="SUQ45" s="5">
        <f>-'5. IRR'!SUR16</f>
        <v>-0.0</v>
      </c>
      <c r="SUR45" s="5">
        <f>-'5. IRR'!SUS16</f>
        <v>-0.0</v>
      </c>
      <c r="SUS45" s="5">
        <f>-'5. IRR'!SUT16</f>
        <v>-0.0</v>
      </c>
      <c r="SUT45" s="5">
        <f>-'5. IRR'!SUU16</f>
        <v>-0.0</v>
      </c>
      <c r="SUU45" s="5">
        <f>-'5. IRR'!SUV16</f>
        <v>-0.0</v>
      </c>
      <c r="SUV45" s="5">
        <f>-'5. IRR'!SUW16</f>
        <v>-0.0</v>
      </c>
      <c r="SUW45" s="5">
        <f>-'5. IRR'!SUX16</f>
        <v>-0.0</v>
      </c>
      <c r="SUX45" s="5">
        <f>-'5. IRR'!SUY16</f>
        <v>-0.0</v>
      </c>
      <c r="SUY45" s="5">
        <f>-'5. IRR'!SUZ16</f>
        <v>-0.0</v>
      </c>
      <c r="SUZ45" s="5">
        <f>-'5. IRR'!SVA16</f>
        <v>-0.0</v>
      </c>
      <c r="SVA45" s="5">
        <f>-'5. IRR'!SVB16</f>
        <v>-0.0</v>
      </c>
      <c r="SVB45" s="5">
        <f>-'5. IRR'!SVC16</f>
        <v>-0.0</v>
      </c>
      <c r="SVC45" s="5">
        <f>-'5. IRR'!SVD16</f>
        <v>-0.0</v>
      </c>
      <c r="SVD45" s="5">
        <f>-'5. IRR'!SVE16</f>
        <v>-0.0</v>
      </c>
      <c r="SVE45" s="5">
        <f>-'5. IRR'!SVF16</f>
        <v>-0.0</v>
      </c>
      <c r="SVF45" s="5">
        <f>-'5. IRR'!SVG16</f>
        <v>-0.0</v>
      </c>
      <c r="SVG45" s="5">
        <f>-'5. IRR'!SVH16</f>
        <v>-0.0</v>
      </c>
      <c r="SVH45" s="5">
        <f>-'5. IRR'!SVI16</f>
        <v>-0.0</v>
      </c>
      <c r="SVI45" s="5">
        <f>-'5. IRR'!SVJ16</f>
        <v>-0.0</v>
      </c>
      <c r="SVJ45" s="5">
        <f>-'5. IRR'!SVK16</f>
        <v>-0.0</v>
      </c>
      <c r="SVK45" s="5">
        <f>-'5. IRR'!SVL16</f>
        <v>-0.0</v>
      </c>
      <c r="SVL45" s="5">
        <f>-'5. IRR'!SVM16</f>
        <v>-0.0</v>
      </c>
      <c r="SVM45" s="5">
        <f>-'5. IRR'!SVN16</f>
        <v>-0.0</v>
      </c>
      <c r="SVN45" s="5">
        <f>-'5. IRR'!SVO16</f>
        <v>-0.0</v>
      </c>
      <c r="SVO45" s="5">
        <f>-'5. IRR'!SVP16</f>
        <v>-0.0</v>
      </c>
      <c r="SVP45" s="5">
        <f>-'5. IRR'!SVQ16</f>
        <v>-0.0</v>
      </c>
      <c r="SVQ45" s="5">
        <f>-'5. IRR'!SVR16</f>
        <v>-0.0</v>
      </c>
      <c r="SVR45" s="5">
        <f>-'5. IRR'!SVS16</f>
        <v>-0.0</v>
      </c>
      <c r="SVS45" s="5">
        <f>-'5. IRR'!SVT16</f>
        <v>-0.0</v>
      </c>
      <c r="SVT45" s="5">
        <f>-'5. IRR'!SVU16</f>
        <v>-0.0</v>
      </c>
      <c r="SVU45" s="5">
        <f>-'5. IRR'!SVV16</f>
        <v>-0.0</v>
      </c>
      <c r="SVV45" s="5">
        <f>-'5. IRR'!SVW16</f>
        <v>-0.0</v>
      </c>
      <c r="SVW45" s="5">
        <f>-'5. IRR'!SVX16</f>
        <v>-0.0</v>
      </c>
      <c r="SVX45" s="5">
        <f>-'5. IRR'!SVY16</f>
        <v>-0.0</v>
      </c>
      <c r="SVY45" s="5">
        <f>-'5. IRR'!SVZ16</f>
        <v>-0.0</v>
      </c>
      <c r="SVZ45" s="5">
        <f>-'5. IRR'!SWA16</f>
        <v>-0.0</v>
      </c>
      <c r="SWA45" s="5">
        <f>-'5. IRR'!SWB16</f>
        <v>-0.0</v>
      </c>
      <c r="SWB45" s="5">
        <f>-'5. IRR'!SWC16</f>
        <v>-0.0</v>
      </c>
      <c r="SWC45" s="5">
        <f>-'5. IRR'!SWD16</f>
        <v>-0.0</v>
      </c>
      <c r="SWD45" s="5">
        <f>-'5. IRR'!SWE16</f>
        <v>-0.0</v>
      </c>
      <c r="SWE45" s="5">
        <f>-'5. IRR'!SWF16</f>
        <v>-0.0</v>
      </c>
      <c r="SWF45" s="5">
        <f>-'5. IRR'!SWG16</f>
        <v>-0.0</v>
      </c>
      <c r="SWG45" s="5">
        <f>-'5. IRR'!SWH16</f>
        <v>-0.0</v>
      </c>
      <c r="SWH45" s="5">
        <f>-'5. IRR'!SWI16</f>
        <v>-0.0</v>
      </c>
      <c r="SWI45" s="5">
        <f>-'5. IRR'!SWJ16</f>
        <v>-0.0</v>
      </c>
      <c r="SWJ45" s="5">
        <f>-'5. IRR'!SWK16</f>
        <v>-0.0</v>
      </c>
      <c r="SWK45" s="5">
        <f>-'5. IRR'!SWL16</f>
        <v>-0.0</v>
      </c>
      <c r="SWL45" s="5">
        <f>-'5. IRR'!SWM16</f>
        <v>-0.0</v>
      </c>
      <c r="SWM45" s="5">
        <f>-'5. IRR'!SWN16</f>
        <v>-0.0</v>
      </c>
      <c r="SWN45" s="5">
        <f>-'5. IRR'!SWO16</f>
        <v>-0.0</v>
      </c>
      <c r="SWO45" s="5">
        <f>-'5. IRR'!SWP16</f>
        <v>-0.0</v>
      </c>
      <c r="SWP45" s="5">
        <f>-'5. IRR'!SWQ16</f>
        <v>-0.0</v>
      </c>
      <c r="SWQ45" s="5">
        <f>-'5. IRR'!SWR16</f>
        <v>-0.0</v>
      </c>
      <c r="SWR45" s="5">
        <f>-'5. IRR'!SWS16</f>
        <v>-0.0</v>
      </c>
      <c r="SWS45" s="5">
        <f>-'5. IRR'!SWT16</f>
        <v>-0.0</v>
      </c>
      <c r="SWT45" s="5">
        <f>-'5. IRR'!SWU16</f>
        <v>-0.0</v>
      </c>
      <c r="SWU45" s="5">
        <f>-'5. IRR'!SWV16</f>
        <v>-0.0</v>
      </c>
      <c r="SWV45" s="5">
        <f>-'5. IRR'!SWW16</f>
        <v>-0.0</v>
      </c>
      <c r="SWW45" s="5">
        <f>-'5. IRR'!SWX16</f>
        <v>-0.0</v>
      </c>
      <c r="SWX45" s="5">
        <f>-'5. IRR'!SWY16</f>
        <v>-0.0</v>
      </c>
      <c r="SWY45" s="5">
        <f>-'5. IRR'!SWZ16</f>
        <v>-0.0</v>
      </c>
      <c r="SWZ45" s="5">
        <f>-'5. IRR'!SXA16</f>
        <v>-0.0</v>
      </c>
      <c r="SXA45" s="5">
        <f>-'5. IRR'!SXB16</f>
        <v>-0.0</v>
      </c>
      <c r="SXB45" s="5">
        <f>-'5. IRR'!SXC16</f>
        <v>-0.0</v>
      </c>
      <c r="SXC45" s="5">
        <f>-'5. IRR'!SXD16</f>
        <v>-0.0</v>
      </c>
      <c r="SXD45" s="5">
        <f>-'5. IRR'!SXE16</f>
        <v>-0.0</v>
      </c>
      <c r="SXE45" s="5">
        <f>-'5. IRR'!SXF16</f>
        <v>-0.0</v>
      </c>
      <c r="SXF45" s="5">
        <f>-'5. IRR'!SXG16</f>
        <v>-0.0</v>
      </c>
      <c r="SXG45" s="5">
        <f>-'5. IRR'!SXH16</f>
        <v>-0.0</v>
      </c>
      <c r="SXH45" s="5">
        <f>-'5. IRR'!SXI16</f>
        <v>-0.0</v>
      </c>
      <c r="SXI45" s="5">
        <f>-'5. IRR'!SXJ16</f>
        <v>-0.0</v>
      </c>
      <c r="SXJ45" s="5">
        <f>-'5. IRR'!SXK16</f>
        <v>-0.0</v>
      </c>
      <c r="SXK45" s="5">
        <f>-'5. IRR'!SXL16</f>
        <v>-0.0</v>
      </c>
      <c r="SXL45" s="5">
        <f>-'5. IRR'!SXM16</f>
        <v>-0.0</v>
      </c>
      <c r="SXM45" s="5">
        <f>-'5. IRR'!SXN16</f>
        <v>-0.0</v>
      </c>
      <c r="SXN45" s="5">
        <f>-'5. IRR'!SXO16</f>
        <v>-0.0</v>
      </c>
      <c r="SXO45" s="5">
        <f>-'5. IRR'!SXP16</f>
        <v>-0.0</v>
      </c>
      <c r="SXP45" s="5">
        <f>-'5. IRR'!SXQ16</f>
        <v>-0.0</v>
      </c>
      <c r="SXQ45" s="5">
        <f>-'5. IRR'!SXR16</f>
        <v>-0.0</v>
      </c>
      <c r="SXR45" s="5">
        <f>-'5. IRR'!SXS16</f>
        <v>-0.0</v>
      </c>
      <c r="SXS45" s="5">
        <f>-'5. IRR'!SXT16</f>
        <v>-0.0</v>
      </c>
      <c r="SXT45" s="5">
        <f>-'5. IRR'!SXU16</f>
        <v>-0.0</v>
      </c>
      <c r="SXU45" s="5">
        <f>-'5. IRR'!SXV16</f>
        <v>-0.0</v>
      </c>
      <c r="SXV45" s="5">
        <f>-'5. IRR'!SXW16</f>
        <v>-0.0</v>
      </c>
      <c r="SXW45" s="5">
        <f>-'5. IRR'!SXX16</f>
        <v>-0.0</v>
      </c>
      <c r="SXX45" s="5">
        <f>-'5. IRR'!SXY16</f>
        <v>-0.0</v>
      </c>
      <c r="SXY45" s="5">
        <f>-'5. IRR'!SXZ16</f>
        <v>-0.0</v>
      </c>
      <c r="SXZ45" s="5">
        <f>-'5. IRR'!SYA16</f>
        <v>-0.0</v>
      </c>
      <c r="SYA45" s="5">
        <f>-'5. IRR'!SYB16</f>
        <v>-0.0</v>
      </c>
      <c r="SYB45" s="5">
        <f>-'5. IRR'!SYC16</f>
        <v>-0.0</v>
      </c>
      <c r="SYC45" s="5">
        <f>-'5. IRR'!SYD16</f>
        <v>-0.0</v>
      </c>
      <c r="SYD45" s="5">
        <f>-'5. IRR'!SYE16</f>
        <v>-0.0</v>
      </c>
      <c r="SYE45" s="5">
        <f>-'5. IRR'!SYF16</f>
        <v>-0.0</v>
      </c>
      <c r="SYF45" s="5">
        <f>-'5. IRR'!SYG16</f>
        <v>-0.0</v>
      </c>
      <c r="SYG45" s="5">
        <f>-'5. IRR'!SYH16</f>
        <v>-0.0</v>
      </c>
      <c r="SYH45" s="5">
        <f>-'5. IRR'!SYI16</f>
        <v>-0.0</v>
      </c>
      <c r="SYI45" s="5">
        <f>-'5. IRR'!SYJ16</f>
        <v>-0.0</v>
      </c>
      <c r="SYJ45" s="5">
        <f>-'5. IRR'!SYK16</f>
        <v>-0.0</v>
      </c>
      <c r="SYK45" s="5">
        <f>-'5. IRR'!SYL16</f>
        <v>-0.0</v>
      </c>
      <c r="SYL45" s="5">
        <f>-'5. IRR'!SYM16</f>
        <v>-0.0</v>
      </c>
      <c r="SYM45" s="5">
        <f>-'5. IRR'!SYN16</f>
        <v>-0.0</v>
      </c>
      <c r="SYN45" s="5">
        <f>-'5. IRR'!SYO16</f>
        <v>-0.0</v>
      </c>
      <c r="SYO45" s="5">
        <f>-'5. IRR'!SYP16</f>
        <v>-0.0</v>
      </c>
      <c r="SYP45" s="5">
        <f>-'5. IRR'!SYQ16</f>
        <v>-0.0</v>
      </c>
      <c r="SYQ45" s="5">
        <f>-'5. IRR'!SYR16</f>
        <v>-0.0</v>
      </c>
      <c r="SYR45" s="5">
        <f>-'5. IRR'!SYS16</f>
        <v>-0.0</v>
      </c>
      <c r="SYS45" s="5">
        <f>-'5. IRR'!SYT16</f>
        <v>-0.0</v>
      </c>
      <c r="SYT45" s="5">
        <f>-'5. IRR'!SYU16</f>
        <v>-0.0</v>
      </c>
      <c r="SYU45" s="5">
        <f>-'5. IRR'!SYV16</f>
        <v>-0.0</v>
      </c>
      <c r="SYV45" s="5">
        <f>-'5. IRR'!SYW16</f>
        <v>-0.0</v>
      </c>
      <c r="SYW45" s="5">
        <f>-'5. IRR'!SYX16</f>
        <v>-0.0</v>
      </c>
      <c r="SYX45" s="5">
        <f>-'5. IRR'!SYY16</f>
        <v>-0.0</v>
      </c>
      <c r="SYY45" s="5">
        <f>-'5. IRR'!SYZ16</f>
        <v>-0.0</v>
      </c>
      <c r="SYZ45" s="5">
        <f>-'5. IRR'!SZA16</f>
        <v>-0.0</v>
      </c>
      <c r="SZA45" s="5">
        <f>-'5. IRR'!SZB16</f>
        <v>-0.0</v>
      </c>
      <c r="SZB45" s="5">
        <f>-'5. IRR'!SZC16</f>
        <v>-0.0</v>
      </c>
      <c r="SZC45" s="5">
        <f>-'5. IRR'!SZD16</f>
        <v>-0.0</v>
      </c>
      <c r="SZD45" s="5">
        <f>-'5. IRR'!SZE16</f>
        <v>-0.0</v>
      </c>
      <c r="SZE45" s="5">
        <f>-'5. IRR'!SZF16</f>
        <v>-0.0</v>
      </c>
      <c r="SZF45" s="5">
        <f>-'5. IRR'!SZG16</f>
        <v>-0.0</v>
      </c>
      <c r="SZG45" s="5">
        <f>-'5. IRR'!SZH16</f>
        <v>-0.0</v>
      </c>
      <c r="SZH45" s="5">
        <f>-'5. IRR'!SZI16</f>
        <v>-0.0</v>
      </c>
      <c r="SZI45" s="5">
        <f>-'5. IRR'!SZJ16</f>
        <v>-0.0</v>
      </c>
      <c r="SZJ45" s="5">
        <f>-'5. IRR'!SZK16</f>
        <v>-0.0</v>
      </c>
      <c r="SZK45" s="5">
        <f>-'5. IRR'!SZL16</f>
        <v>-0.0</v>
      </c>
      <c r="SZL45" s="5">
        <f>-'5. IRR'!SZM16</f>
        <v>-0.0</v>
      </c>
      <c r="SZM45" s="5">
        <f>-'5. IRR'!SZN16</f>
        <v>-0.0</v>
      </c>
      <c r="SZN45" s="5">
        <f>-'5. IRR'!SZO16</f>
        <v>-0.0</v>
      </c>
      <c r="SZO45" s="5">
        <f>-'5. IRR'!SZP16</f>
        <v>-0.0</v>
      </c>
      <c r="SZP45" s="5">
        <f>-'5. IRR'!SZQ16</f>
        <v>-0.0</v>
      </c>
      <c r="SZQ45" s="5">
        <f>-'5. IRR'!SZR16</f>
        <v>-0.0</v>
      </c>
      <c r="SZR45" s="5">
        <f>-'5. IRR'!SZS16</f>
        <v>-0.0</v>
      </c>
      <c r="SZS45" s="5">
        <f>-'5. IRR'!SZT16</f>
        <v>-0.0</v>
      </c>
      <c r="SZT45" s="5">
        <f>-'5. IRR'!SZU16</f>
        <v>-0.0</v>
      </c>
      <c r="SZU45" s="5">
        <f>-'5. IRR'!SZV16</f>
        <v>-0.0</v>
      </c>
      <c r="SZV45" s="5">
        <f>-'5. IRR'!SZW16</f>
        <v>-0.0</v>
      </c>
      <c r="SZW45" s="5">
        <f>-'5. IRR'!SZX16</f>
        <v>-0.0</v>
      </c>
      <c r="SZX45" s="5">
        <f>-'5. IRR'!SZY16</f>
        <v>-0.0</v>
      </c>
      <c r="SZY45" s="5">
        <f>-'5. IRR'!SZZ16</f>
        <v>-0.0</v>
      </c>
      <c r="SZZ45" s="5">
        <f>-'5. IRR'!TAA16</f>
        <v>-0.0</v>
      </c>
      <c r="TAA45" s="5">
        <f>-'5. IRR'!TAB16</f>
        <v>-0.0</v>
      </c>
      <c r="TAB45" s="5">
        <f>-'5. IRR'!TAC16</f>
        <v>-0.0</v>
      </c>
      <c r="TAC45" s="5">
        <f>-'5. IRR'!TAD16</f>
        <v>-0.0</v>
      </c>
      <c r="TAD45" s="5">
        <f>-'5. IRR'!TAE16</f>
        <v>-0.0</v>
      </c>
      <c r="TAE45" s="5">
        <f>-'5. IRR'!TAF16</f>
        <v>-0.0</v>
      </c>
      <c r="TAF45" s="5">
        <f>-'5. IRR'!TAG16</f>
        <v>-0.0</v>
      </c>
      <c r="TAG45" s="5">
        <f>-'5. IRR'!TAH16</f>
        <v>-0.0</v>
      </c>
      <c r="TAH45" s="5">
        <f>-'5. IRR'!TAI16</f>
        <v>-0.0</v>
      </c>
      <c r="TAI45" s="5">
        <f>-'5. IRR'!TAJ16</f>
        <v>-0.0</v>
      </c>
      <c r="TAJ45" s="5">
        <f>-'5. IRR'!TAK16</f>
        <v>-0.0</v>
      </c>
      <c r="TAK45" s="5">
        <f>-'5. IRR'!TAL16</f>
        <v>-0.0</v>
      </c>
      <c r="TAL45" s="5">
        <f>-'5. IRR'!TAM16</f>
        <v>-0.0</v>
      </c>
      <c r="TAM45" s="5">
        <f>-'5. IRR'!TAN16</f>
        <v>-0.0</v>
      </c>
      <c r="TAN45" s="5">
        <f>-'5. IRR'!TAO16</f>
        <v>-0.0</v>
      </c>
      <c r="TAO45" s="5">
        <f>-'5. IRR'!TAP16</f>
        <v>-0.0</v>
      </c>
      <c r="TAP45" s="5">
        <f>-'5. IRR'!TAQ16</f>
        <v>-0.0</v>
      </c>
      <c r="TAQ45" s="5">
        <f>-'5. IRR'!TAR16</f>
        <v>-0.0</v>
      </c>
      <c r="TAR45" s="5">
        <f>-'5. IRR'!TAS16</f>
        <v>-0.0</v>
      </c>
      <c r="TAS45" s="5">
        <f>-'5. IRR'!TAT16</f>
        <v>-0.0</v>
      </c>
      <c r="TAT45" s="5">
        <f>-'5. IRR'!TAU16</f>
        <v>-0.0</v>
      </c>
      <c r="TAU45" s="5">
        <f>-'5. IRR'!TAV16</f>
        <v>-0.0</v>
      </c>
      <c r="TAV45" s="5">
        <f>-'5. IRR'!TAW16</f>
        <v>-0.0</v>
      </c>
      <c r="TAW45" s="5">
        <f>-'5. IRR'!TAX16</f>
        <v>-0.0</v>
      </c>
      <c r="TAX45" s="5">
        <f>-'5. IRR'!TAY16</f>
        <v>-0.0</v>
      </c>
      <c r="TAY45" s="5">
        <f>-'5. IRR'!TAZ16</f>
        <v>-0.0</v>
      </c>
      <c r="TAZ45" s="5">
        <f>-'5. IRR'!TBA16</f>
        <v>-0.0</v>
      </c>
      <c r="TBA45" s="5">
        <f>-'5. IRR'!TBB16</f>
        <v>-0.0</v>
      </c>
      <c r="TBB45" s="5">
        <f>-'5. IRR'!TBC16</f>
        <v>-0.0</v>
      </c>
      <c r="TBC45" s="5">
        <f>-'5. IRR'!TBD16</f>
        <v>-0.0</v>
      </c>
      <c r="TBD45" s="5">
        <f>-'5. IRR'!TBE16</f>
        <v>-0.0</v>
      </c>
      <c r="TBE45" s="5">
        <f>-'5. IRR'!TBF16</f>
        <v>-0.0</v>
      </c>
      <c r="TBF45" s="5">
        <f>-'5. IRR'!TBG16</f>
        <v>-0.0</v>
      </c>
      <c r="TBG45" s="5">
        <f>-'5. IRR'!TBH16</f>
        <v>-0.0</v>
      </c>
      <c r="TBH45" s="5">
        <f>-'5. IRR'!TBI16</f>
        <v>-0.0</v>
      </c>
      <c r="TBI45" s="5">
        <f>-'5. IRR'!TBJ16</f>
        <v>-0.0</v>
      </c>
      <c r="TBJ45" s="5">
        <f>-'5. IRR'!TBK16</f>
        <v>-0.0</v>
      </c>
      <c r="TBK45" s="5">
        <f>-'5. IRR'!TBL16</f>
        <v>-0.0</v>
      </c>
      <c r="TBL45" s="5">
        <f>-'5. IRR'!TBM16</f>
        <v>-0.0</v>
      </c>
      <c r="TBM45" s="5">
        <f>-'5. IRR'!TBN16</f>
        <v>-0.0</v>
      </c>
      <c r="TBN45" s="5">
        <f>-'5. IRR'!TBO16</f>
        <v>-0.0</v>
      </c>
      <c r="TBO45" s="5">
        <f>-'5. IRR'!TBP16</f>
        <v>-0.0</v>
      </c>
      <c r="TBP45" s="5">
        <f>-'5. IRR'!TBQ16</f>
        <v>-0.0</v>
      </c>
      <c r="TBQ45" s="5">
        <f>-'5. IRR'!TBR16</f>
        <v>-0.0</v>
      </c>
      <c r="TBR45" s="5">
        <f>-'5. IRR'!TBS16</f>
        <v>-0.0</v>
      </c>
      <c r="TBS45" s="5">
        <f>-'5. IRR'!TBT16</f>
        <v>-0.0</v>
      </c>
      <c r="TBT45" s="5">
        <f>-'5. IRR'!TBU16</f>
        <v>-0.0</v>
      </c>
      <c r="TBU45" s="5">
        <f>-'5. IRR'!TBV16</f>
        <v>-0.0</v>
      </c>
      <c r="TBV45" s="5">
        <f>-'5. IRR'!TBW16</f>
        <v>-0.0</v>
      </c>
      <c r="TBW45" s="5">
        <f>-'5. IRR'!TBX16</f>
        <v>-0.0</v>
      </c>
      <c r="TBX45" s="5">
        <f>-'5. IRR'!TBY16</f>
        <v>-0.0</v>
      </c>
      <c r="TBY45" s="5">
        <f>-'5. IRR'!TBZ16</f>
        <v>-0.0</v>
      </c>
      <c r="TBZ45" s="5">
        <f>-'5. IRR'!TCA16</f>
        <v>-0.0</v>
      </c>
      <c r="TCA45" s="5">
        <f>-'5. IRR'!TCB16</f>
        <v>-0.0</v>
      </c>
      <c r="TCB45" s="5">
        <f>-'5. IRR'!TCC16</f>
        <v>-0.0</v>
      </c>
      <c r="TCC45" s="5">
        <f>-'5. IRR'!TCD16</f>
        <v>-0.0</v>
      </c>
      <c r="TCD45" s="5">
        <f>-'5. IRR'!TCE16</f>
        <v>-0.0</v>
      </c>
      <c r="TCE45" s="5">
        <f>-'5. IRR'!TCF16</f>
        <v>-0.0</v>
      </c>
      <c r="TCF45" s="5">
        <f>-'5. IRR'!TCG16</f>
        <v>-0.0</v>
      </c>
      <c r="TCG45" s="5">
        <f>-'5. IRR'!TCH16</f>
        <v>-0.0</v>
      </c>
      <c r="TCH45" s="5">
        <f>-'5. IRR'!TCI16</f>
        <v>-0.0</v>
      </c>
      <c r="TCI45" s="5">
        <f>-'5. IRR'!TCJ16</f>
        <v>-0.0</v>
      </c>
      <c r="TCJ45" s="5">
        <f>-'5. IRR'!TCK16</f>
        <v>-0.0</v>
      </c>
      <c r="TCK45" s="5">
        <f>-'5. IRR'!TCL16</f>
        <v>-0.0</v>
      </c>
      <c r="TCL45" s="5">
        <f>-'5. IRR'!TCM16</f>
        <v>-0.0</v>
      </c>
      <c r="TCM45" s="5">
        <f>-'5. IRR'!TCN16</f>
        <v>-0.0</v>
      </c>
      <c r="TCN45" s="5">
        <f>-'5. IRR'!TCO16</f>
        <v>-0.0</v>
      </c>
      <c r="TCO45" s="5">
        <f>-'5. IRR'!TCP16</f>
        <v>-0.0</v>
      </c>
      <c r="TCP45" s="5">
        <f>-'5. IRR'!TCQ16</f>
        <v>-0.0</v>
      </c>
      <c r="TCQ45" s="5">
        <f>-'5. IRR'!TCR16</f>
        <v>-0.0</v>
      </c>
      <c r="TCR45" s="5">
        <f>-'5. IRR'!TCS16</f>
        <v>-0.0</v>
      </c>
      <c r="TCS45" s="5">
        <f>-'5. IRR'!TCT16</f>
        <v>-0.0</v>
      </c>
      <c r="TCT45" s="5">
        <f>-'5. IRR'!TCU16</f>
        <v>-0.0</v>
      </c>
      <c r="TCU45" s="5">
        <f>-'5. IRR'!TCV16</f>
        <v>-0.0</v>
      </c>
      <c r="TCV45" s="5">
        <f>-'5. IRR'!TCW16</f>
        <v>-0.0</v>
      </c>
      <c r="TCW45" s="5">
        <f>-'5. IRR'!TCX16</f>
        <v>-0.0</v>
      </c>
      <c r="TCX45" s="5">
        <f>-'5. IRR'!TCY16</f>
        <v>-0.0</v>
      </c>
      <c r="TCY45" s="5">
        <f>-'5. IRR'!TCZ16</f>
        <v>-0.0</v>
      </c>
      <c r="TCZ45" s="5">
        <f>-'5. IRR'!TDA16</f>
        <v>-0.0</v>
      </c>
      <c r="TDA45" s="5">
        <f>-'5. IRR'!TDB16</f>
        <v>-0.0</v>
      </c>
      <c r="TDB45" s="5">
        <f>-'5. IRR'!TDC16</f>
        <v>-0.0</v>
      </c>
      <c r="TDC45" s="5">
        <f>-'5. IRR'!TDD16</f>
        <v>-0.0</v>
      </c>
      <c r="TDD45" s="5">
        <f>-'5. IRR'!TDE16</f>
        <v>-0.0</v>
      </c>
      <c r="TDE45" s="5">
        <f>-'5. IRR'!TDF16</f>
        <v>-0.0</v>
      </c>
      <c r="TDF45" s="5">
        <f>-'5. IRR'!TDG16</f>
        <v>-0.0</v>
      </c>
      <c r="TDG45" s="5">
        <f>-'5. IRR'!TDH16</f>
        <v>-0.0</v>
      </c>
      <c r="TDH45" s="5">
        <f>-'5. IRR'!TDI16</f>
        <v>-0.0</v>
      </c>
      <c r="TDI45" s="5">
        <f>-'5. IRR'!TDJ16</f>
        <v>-0.0</v>
      </c>
      <c r="TDJ45" s="5">
        <f>-'5. IRR'!TDK16</f>
        <v>-0.0</v>
      </c>
      <c r="TDK45" s="5">
        <f>-'5. IRR'!TDL16</f>
        <v>-0.0</v>
      </c>
      <c r="TDL45" s="5">
        <f>-'5. IRR'!TDM16</f>
        <v>-0.0</v>
      </c>
      <c r="TDM45" s="5">
        <f>-'5. IRR'!TDN16</f>
        <v>-0.0</v>
      </c>
      <c r="TDN45" s="5">
        <f>-'5. IRR'!TDO16</f>
        <v>-0.0</v>
      </c>
      <c r="TDO45" s="5">
        <f>-'5. IRR'!TDP16</f>
        <v>-0.0</v>
      </c>
      <c r="TDP45" s="5">
        <f>-'5. IRR'!TDQ16</f>
        <v>-0.0</v>
      </c>
      <c r="TDQ45" s="5">
        <f>-'5. IRR'!TDR16</f>
        <v>-0.0</v>
      </c>
      <c r="TDR45" s="5">
        <f>-'5. IRR'!TDS16</f>
        <v>-0.0</v>
      </c>
      <c r="TDS45" s="5">
        <f>-'5. IRR'!TDT16</f>
        <v>-0.0</v>
      </c>
      <c r="TDT45" s="5">
        <f>-'5. IRR'!TDU16</f>
        <v>-0.0</v>
      </c>
      <c r="TDU45" s="5">
        <f>-'5. IRR'!TDV16</f>
        <v>-0.0</v>
      </c>
      <c r="TDV45" s="5">
        <f>-'5. IRR'!TDW16</f>
        <v>-0.0</v>
      </c>
      <c r="TDW45" s="5">
        <f>-'5. IRR'!TDX16</f>
        <v>-0.0</v>
      </c>
      <c r="TDX45" s="5">
        <f>-'5. IRR'!TDY16</f>
        <v>-0.0</v>
      </c>
      <c r="TDY45" s="5">
        <f>-'5. IRR'!TDZ16</f>
        <v>-0.0</v>
      </c>
      <c r="TDZ45" s="5">
        <f>-'5. IRR'!TEA16</f>
        <v>-0.0</v>
      </c>
      <c r="TEA45" s="5">
        <f>-'5. IRR'!TEB16</f>
        <v>-0.0</v>
      </c>
      <c r="TEB45" s="5">
        <f>-'5. IRR'!TEC16</f>
        <v>-0.0</v>
      </c>
      <c r="TEC45" s="5">
        <f>-'5. IRR'!TED16</f>
        <v>-0.0</v>
      </c>
      <c r="TED45" s="5">
        <f>-'5. IRR'!TEE16</f>
        <v>-0.0</v>
      </c>
      <c r="TEE45" s="5">
        <f>-'5. IRR'!TEF16</f>
        <v>-0.0</v>
      </c>
      <c r="TEF45" s="5">
        <f>-'5. IRR'!TEG16</f>
        <v>-0.0</v>
      </c>
      <c r="TEG45" s="5">
        <f>-'5. IRR'!TEH16</f>
        <v>-0.0</v>
      </c>
      <c r="TEH45" s="5">
        <f>-'5. IRR'!TEI16</f>
        <v>-0.0</v>
      </c>
      <c r="TEI45" s="5">
        <f>-'5. IRR'!TEJ16</f>
        <v>-0.0</v>
      </c>
      <c r="TEJ45" s="5">
        <f>-'5. IRR'!TEK16</f>
        <v>-0.0</v>
      </c>
      <c r="TEK45" s="5">
        <f>-'5. IRR'!TEL16</f>
        <v>-0.0</v>
      </c>
      <c r="TEL45" s="5">
        <f>-'5. IRR'!TEM16</f>
        <v>-0.0</v>
      </c>
      <c r="TEM45" s="5">
        <f>-'5. IRR'!TEN16</f>
        <v>-0.0</v>
      </c>
      <c r="TEN45" s="5">
        <f>-'5. IRR'!TEO16</f>
        <v>-0.0</v>
      </c>
      <c r="TEO45" s="5">
        <f>-'5. IRR'!TEP16</f>
        <v>-0.0</v>
      </c>
      <c r="TEP45" s="5">
        <f>-'5. IRR'!TEQ16</f>
        <v>-0.0</v>
      </c>
      <c r="TEQ45" s="5">
        <f>-'5. IRR'!TER16</f>
        <v>-0.0</v>
      </c>
      <c r="TER45" s="5">
        <f>-'5. IRR'!TES16</f>
        <v>-0.0</v>
      </c>
      <c r="TES45" s="5">
        <f>-'5. IRR'!TET16</f>
        <v>-0.0</v>
      </c>
      <c r="TET45" s="5">
        <f>-'5. IRR'!TEU16</f>
        <v>-0.0</v>
      </c>
      <c r="TEU45" s="5">
        <f>-'5. IRR'!TEV16</f>
        <v>-0.0</v>
      </c>
      <c r="TEV45" s="5">
        <f>-'5. IRR'!TEW16</f>
        <v>-0.0</v>
      </c>
      <c r="TEW45" s="5">
        <f>-'5. IRR'!TEX16</f>
        <v>-0.0</v>
      </c>
      <c r="TEX45" s="5">
        <f>-'5. IRR'!TEY16</f>
        <v>-0.0</v>
      </c>
      <c r="TEY45" s="5">
        <f>-'5. IRR'!TEZ16</f>
        <v>-0.0</v>
      </c>
      <c r="TEZ45" s="5">
        <f>-'5. IRR'!TFA16</f>
        <v>-0.0</v>
      </c>
      <c r="TFA45" s="5">
        <f>-'5. IRR'!TFB16</f>
        <v>-0.0</v>
      </c>
      <c r="TFB45" s="5">
        <f>-'5. IRR'!TFC16</f>
        <v>-0.0</v>
      </c>
      <c r="TFC45" s="5">
        <f>-'5. IRR'!TFD16</f>
        <v>-0.0</v>
      </c>
      <c r="TFD45" s="5">
        <f>-'5. IRR'!TFE16</f>
        <v>-0.0</v>
      </c>
      <c r="TFE45" s="5">
        <f>-'5. IRR'!TFF16</f>
        <v>-0.0</v>
      </c>
      <c r="TFF45" s="5">
        <f>-'5. IRR'!TFG16</f>
        <v>-0.0</v>
      </c>
      <c r="TFG45" s="5">
        <f>-'5. IRR'!TFH16</f>
        <v>-0.0</v>
      </c>
      <c r="TFH45" s="5">
        <f>-'5. IRR'!TFI16</f>
        <v>-0.0</v>
      </c>
      <c r="TFI45" s="5">
        <f>-'5. IRR'!TFJ16</f>
        <v>-0.0</v>
      </c>
      <c r="TFJ45" s="5">
        <f>-'5. IRR'!TFK16</f>
        <v>-0.0</v>
      </c>
      <c r="TFK45" s="5">
        <f>-'5. IRR'!TFL16</f>
        <v>-0.0</v>
      </c>
      <c r="TFL45" s="5">
        <f>-'5. IRR'!TFM16</f>
        <v>-0.0</v>
      </c>
      <c r="TFM45" s="5">
        <f>-'5. IRR'!TFN16</f>
        <v>-0.0</v>
      </c>
      <c r="TFN45" s="5">
        <f>-'5. IRR'!TFO16</f>
        <v>-0.0</v>
      </c>
      <c r="TFO45" s="5">
        <f>-'5. IRR'!TFP16</f>
        <v>-0.0</v>
      </c>
      <c r="TFP45" s="5">
        <f>-'5. IRR'!TFQ16</f>
        <v>-0.0</v>
      </c>
      <c r="TFQ45" s="5">
        <f>-'5. IRR'!TFR16</f>
        <v>-0.0</v>
      </c>
      <c r="TFR45" s="5">
        <f>-'5. IRR'!TFS16</f>
        <v>-0.0</v>
      </c>
      <c r="TFS45" s="5">
        <f>-'5. IRR'!TFT16</f>
        <v>-0.0</v>
      </c>
      <c r="TFT45" s="5">
        <f>-'5. IRR'!TFU16</f>
        <v>-0.0</v>
      </c>
      <c r="TFU45" s="5">
        <f>-'5. IRR'!TFV16</f>
        <v>-0.0</v>
      </c>
      <c r="TFV45" s="5">
        <f>-'5. IRR'!TFW16</f>
        <v>-0.0</v>
      </c>
      <c r="TFW45" s="5">
        <f>-'5. IRR'!TFX16</f>
        <v>-0.0</v>
      </c>
      <c r="TFX45" s="5">
        <f>-'5. IRR'!TFY16</f>
        <v>-0.0</v>
      </c>
      <c r="TFY45" s="5">
        <f>-'5. IRR'!TFZ16</f>
        <v>-0.0</v>
      </c>
      <c r="TFZ45" s="5">
        <f>-'5. IRR'!TGA16</f>
        <v>-0.0</v>
      </c>
      <c r="TGA45" s="5">
        <f>-'5. IRR'!TGB16</f>
        <v>-0.0</v>
      </c>
      <c r="TGB45" s="5">
        <f>-'5. IRR'!TGC16</f>
        <v>-0.0</v>
      </c>
      <c r="TGC45" s="5">
        <f>-'5. IRR'!TGD16</f>
        <v>-0.0</v>
      </c>
      <c r="TGD45" s="5">
        <f>-'5. IRR'!TGE16</f>
        <v>-0.0</v>
      </c>
      <c r="TGE45" s="5">
        <f>-'5. IRR'!TGF16</f>
        <v>-0.0</v>
      </c>
      <c r="TGF45" s="5">
        <f>-'5. IRR'!TGG16</f>
        <v>-0.0</v>
      </c>
      <c r="TGG45" s="5">
        <f>-'5. IRR'!TGH16</f>
        <v>-0.0</v>
      </c>
      <c r="TGH45" s="5">
        <f>-'5. IRR'!TGI16</f>
        <v>-0.0</v>
      </c>
      <c r="TGI45" s="5">
        <f>-'5. IRR'!TGJ16</f>
        <v>-0.0</v>
      </c>
      <c r="TGJ45" s="5">
        <f>-'5. IRR'!TGK16</f>
        <v>-0.0</v>
      </c>
      <c r="TGK45" s="5">
        <f>-'5. IRR'!TGL16</f>
        <v>-0.0</v>
      </c>
      <c r="TGL45" s="5">
        <f>-'5. IRR'!TGM16</f>
        <v>-0.0</v>
      </c>
      <c r="TGM45" s="5">
        <f>-'5. IRR'!TGN16</f>
        <v>-0.0</v>
      </c>
      <c r="TGN45" s="5">
        <f>-'5. IRR'!TGO16</f>
        <v>-0.0</v>
      </c>
      <c r="TGO45" s="5">
        <f>-'5. IRR'!TGP16</f>
        <v>-0.0</v>
      </c>
      <c r="TGP45" s="5">
        <f>-'5. IRR'!TGQ16</f>
        <v>-0.0</v>
      </c>
      <c r="TGQ45" s="5">
        <f>-'5. IRR'!TGR16</f>
        <v>-0.0</v>
      </c>
      <c r="TGR45" s="5">
        <f>-'5. IRR'!TGS16</f>
        <v>-0.0</v>
      </c>
      <c r="TGS45" s="5">
        <f>-'5. IRR'!TGT16</f>
        <v>-0.0</v>
      </c>
      <c r="TGT45" s="5">
        <f>-'5. IRR'!TGU16</f>
        <v>-0.0</v>
      </c>
      <c r="TGU45" s="5">
        <f>-'5. IRR'!TGV16</f>
        <v>-0.0</v>
      </c>
      <c r="TGV45" s="5">
        <f>-'5. IRR'!TGW16</f>
        <v>-0.0</v>
      </c>
      <c r="TGW45" s="5">
        <f>-'5. IRR'!TGX16</f>
        <v>-0.0</v>
      </c>
      <c r="TGX45" s="5">
        <f>-'5. IRR'!TGY16</f>
        <v>-0.0</v>
      </c>
      <c r="TGY45" s="5">
        <f>-'5. IRR'!TGZ16</f>
        <v>-0.0</v>
      </c>
      <c r="TGZ45" s="5">
        <f>-'5. IRR'!THA16</f>
        <v>-0.0</v>
      </c>
      <c r="THA45" s="5">
        <f>-'5. IRR'!THB16</f>
        <v>-0.0</v>
      </c>
      <c r="THB45" s="5">
        <f>-'5. IRR'!THC16</f>
        <v>-0.0</v>
      </c>
      <c r="THC45" s="5">
        <f>-'5. IRR'!THD16</f>
        <v>-0.0</v>
      </c>
      <c r="THD45" s="5">
        <f>-'5. IRR'!THE16</f>
        <v>-0.0</v>
      </c>
      <c r="THE45" s="5">
        <f>-'5. IRR'!THF16</f>
        <v>-0.0</v>
      </c>
      <c r="THF45" s="5">
        <f>-'5. IRR'!THG16</f>
        <v>-0.0</v>
      </c>
      <c r="THG45" s="5">
        <f>-'5. IRR'!THH16</f>
        <v>-0.0</v>
      </c>
      <c r="THH45" s="5">
        <f>-'5. IRR'!THI16</f>
        <v>-0.0</v>
      </c>
      <c r="THI45" s="5">
        <f>-'5. IRR'!THJ16</f>
        <v>-0.0</v>
      </c>
      <c r="THJ45" s="5">
        <f>-'5. IRR'!THK16</f>
        <v>-0.0</v>
      </c>
      <c r="THK45" s="5">
        <f>-'5. IRR'!THL16</f>
        <v>-0.0</v>
      </c>
      <c r="THL45" s="5">
        <f>-'5. IRR'!THM16</f>
        <v>-0.0</v>
      </c>
      <c r="THM45" s="5">
        <f>-'5. IRR'!THN16</f>
        <v>-0.0</v>
      </c>
      <c r="THN45" s="5">
        <f>-'5. IRR'!THO16</f>
        <v>-0.0</v>
      </c>
      <c r="THO45" s="5">
        <f>-'5. IRR'!THP16</f>
        <v>-0.0</v>
      </c>
      <c r="THP45" s="5">
        <f>-'5. IRR'!THQ16</f>
        <v>-0.0</v>
      </c>
      <c r="THQ45" s="5">
        <f>-'5. IRR'!THR16</f>
        <v>-0.0</v>
      </c>
      <c r="THR45" s="5">
        <f>-'5. IRR'!THS16</f>
        <v>-0.0</v>
      </c>
      <c r="THS45" s="5">
        <f>-'5. IRR'!THT16</f>
        <v>-0.0</v>
      </c>
      <c r="THT45" s="5">
        <f>-'5. IRR'!THU16</f>
        <v>-0.0</v>
      </c>
      <c r="THU45" s="5">
        <f>-'5. IRR'!THV16</f>
        <v>-0.0</v>
      </c>
      <c r="THV45" s="5">
        <f>-'5. IRR'!THW16</f>
        <v>-0.0</v>
      </c>
      <c r="THW45" s="5">
        <f>-'5. IRR'!THX16</f>
        <v>-0.0</v>
      </c>
      <c r="THX45" s="5">
        <f>-'5. IRR'!THY16</f>
        <v>-0.0</v>
      </c>
      <c r="THY45" s="5">
        <f>-'5. IRR'!THZ16</f>
        <v>-0.0</v>
      </c>
      <c r="THZ45" s="5">
        <f>-'5. IRR'!TIA16</f>
        <v>-0.0</v>
      </c>
      <c r="TIA45" s="5">
        <f>-'5. IRR'!TIB16</f>
        <v>-0.0</v>
      </c>
      <c r="TIB45" s="5">
        <f>-'5. IRR'!TIC16</f>
        <v>-0.0</v>
      </c>
      <c r="TIC45" s="5">
        <f>-'5. IRR'!TID16</f>
        <v>-0.0</v>
      </c>
      <c r="TID45" s="5">
        <f>-'5. IRR'!TIE16</f>
        <v>-0.0</v>
      </c>
      <c r="TIE45" s="5">
        <f>-'5. IRR'!TIF16</f>
        <v>-0.0</v>
      </c>
      <c r="TIF45" s="5">
        <f>-'5. IRR'!TIG16</f>
        <v>-0.0</v>
      </c>
      <c r="TIG45" s="5">
        <f>-'5. IRR'!TIH16</f>
        <v>-0.0</v>
      </c>
      <c r="TIH45" s="5">
        <f>-'5. IRR'!TII16</f>
        <v>-0.0</v>
      </c>
      <c r="TII45" s="5">
        <f>-'5. IRR'!TIJ16</f>
        <v>-0.0</v>
      </c>
      <c r="TIJ45" s="5">
        <f>-'5. IRR'!TIK16</f>
        <v>-0.0</v>
      </c>
      <c r="TIK45" s="5">
        <f>-'5. IRR'!TIL16</f>
        <v>-0.0</v>
      </c>
      <c r="TIL45" s="5">
        <f>-'5. IRR'!TIM16</f>
        <v>-0.0</v>
      </c>
      <c r="TIM45" s="5">
        <f>-'5. IRR'!TIN16</f>
        <v>-0.0</v>
      </c>
      <c r="TIN45" s="5">
        <f>-'5. IRR'!TIO16</f>
        <v>-0.0</v>
      </c>
      <c r="TIO45" s="5">
        <f>-'5. IRR'!TIP16</f>
        <v>-0.0</v>
      </c>
      <c r="TIP45" s="5">
        <f>-'5. IRR'!TIQ16</f>
        <v>-0.0</v>
      </c>
      <c r="TIQ45" s="5">
        <f>-'5. IRR'!TIR16</f>
        <v>-0.0</v>
      </c>
      <c r="TIR45" s="5">
        <f>-'5. IRR'!TIS16</f>
        <v>-0.0</v>
      </c>
      <c r="TIS45" s="5">
        <f>-'5. IRR'!TIT16</f>
        <v>-0.0</v>
      </c>
      <c r="TIT45" s="5">
        <f>-'5. IRR'!TIU16</f>
        <v>-0.0</v>
      </c>
      <c r="TIU45" s="5">
        <f>-'5. IRR'!TIV16</f>
        <v>-0.0</v>
      </c>
      <c r="TIV45" s="5">
        <f>-'5. IRR'!TIW16</f>
        <v>-0.0</v>
      </c>
      <c r="TIW45" s="5">
        <f>-'5. IRR'!TIX16</f>
        <v>-0.0</v>
      </c>
      <c r="TIX45" s="5">
        <f>-'5. IRR'!TIY16</f>
        <v>-0.0</v>
      </c>
      <c r="TIY45" s="5">
        <f>-'5. IRR'!TIZ16</f>
        <v>-0.0</v>
      </c>
      <c r="TIZ45" s="5">
        <f>-'5. IRR'!TJA16</f>
        <v>-0.0</v>
      </c>
      <c r="TJA45" s="5">
        <f>-'5. IRR'!TJB16</f>
        <v>-0.0</v>
      </c>
      <c r="TJB45" s="5">
        <f>-'5. IRR'!TJC16</f>
        <v>-0.0</v>
      </c>
      <c r="TJC45" s="5">
        <f>-'5. IRR'!TJD16</f>
        <v>-0.0</v>
      </c>
      <c r="TJD45" s="5">
        <f>-'5. IRR'!TJE16</f>
        <v>-0.0</v>
      </c>
      <c r="TJE45" s="5">
        <f>-'5. IRR'!TJF16</f>
        <v>-0.0</v>
      </c>
      <c r="TJF45" s="5">
        <f>-'5. IRR'!TJG16</f>
        <v>-0.0</v>
      </c>
      <c r="TJG45" s="5">
        <f>-'5. IRR'!TJH16</f>
        <v>-0.0</v>
      </c>
      <c r="TJH45" s="5">
        <f>-'5. IRR'!TJI16</f>
        <v>-0.0</v>
      </c>
      <c r="TJI45" s="5">
        <f>-'5. IRR'!TJJ16</f>
        <v>-0.0</v>
      </c>
      <c r="TJJ45" s="5">
        <f>-'5. IRR'!TJK16</f>
        <v>-0.0</v>
      </c>
      <c r="TJK45" s="5">
        <f>-'5. IRR'!TJL16</f>
        <v>-0.0</v>
      </c>
      <c r="TJL45" s="5">
        <f>-'5. IRR'!TJM16</f>
        <v>-0.0</v>
      </c>
      <c r="TJM45" s="5">
        <f>-'5. IRR'!TJN16</f>
        <v>-0.0</v>
      </c>
      <c r="TJN45" s="5">
        <f>-'5. IRR'!TJO16</f>
        <v>-0.0</v>
      </c>
      <c r="TJO45" s="5">
        <f>-'5. IRR'!TJP16</f>
        <v>-0.0</v>
      </c>
      <c r="TJP45" s="5">
        <f>-'5. IRR'!TJQ16</f>
        <v>-0.0</v>
      </c>
      <c r="TJQ45" s="5">
        <f>-'5. IRR'!TJR16</f>
        <v>-0.0</v>
      </c>
      <c r="TJR45" s="5">
        <f>-'5. IRR'!TJS16</f>
        <v>-0.0</v>
      </c>
      <c r="TJS45" s="5">
        <f>-'5. IRR'!TJT16</f>
        <v>-0.0</v>
      </c>
      <c r="TJT45" s="5">
        <f>-'5. IRR'!TJU16</f>
        <v>-0.0</v>
      </c>
      <c r="TJU45" s="5">
        <f>-'5. IRR'!TJV16</f>
        <v>-0.0</v>
      </c>
      <c r="TJV45" s="5">
        <f>-'5. IRR'!TJW16</f>
        <v>-0.0</v>
      </c>
      <c r="TJW45" s="5">
        <f>-'5. IRR'!TJX16</f>
        <v>-0.0</v>
      </c>
      <c r="TJX45" s="5">
        <f>-'5. IRR'!TJY16</f>
        <v>-0.0</v>
      </c>
      <c r="TJY45" s="5">
        <f>-'5. IRR'!TJZ16</f>
        <v>-0.0</v>
      </c>
      <c r="TJZ45" s="5">
        <f>-'5. IRR'!TKA16</f>
        <v>-0.0</v>
      </c>
      <c r="TKA45" s="5">
        <f>-'5. IRR'!TKB16</f>
        <v>-0.0</v>
      </c>
      <c r="TKB45" s="5">
        <f>-'5. IRR'!TKC16</f>
        <v>-0.0</v>
      </c>
      <c r="TKC45" s="5">
        <f>-'5. IRR'!TKD16</f>
        <v>-0.0</v>
      </c>
      <c r="TKD45" s="5">
        <f>-'5. IRR'!TKE16</f>
        <v>-0.0</v>
      </c>
      <c r="TKE45" s="5">
        <f>-'5. IRR'!TKF16</f>
        <v>-0.0</v>
      </c>
      <c r="TKF45" s="5">
        <f>-'5. IRR'!TKG16</f>
        <v>-0.0</v>
      </c>
      <c r="TKG45" s="5">
        <f>-'5. IRR'!TKH16</f>
        <v>-0.0</v>
      </c>
      <c r="TKH45" s="5">
        <f>-'5. IRR'!TKI16</f>
        <v>-0.0</v>
      </c>
      <c r="TKI45" s="5">
        <f>-'5. IRR'!TKJ16</f>
        <v>-0.0</v>
      </c>
      <c r="TKJ45" s="5">
        <f>-'5. IRR'!TKK16</f>
        <v>-0.0</v>
      </c>
      <c r="TKK45" s="5">
        <f>-'5. IRR'!TKL16</f>
        <v>-0.0</v>
      </c>
      <c r="TKL45" s="5">
        <f>-'5. IRR'!TKM16</f>
        <v>-0.0</v>
      </c>
      <c r="TKM45" s="5">
        <f>-'5. IRR'!TKN16</f>
        <v>-0.0</v>
      </c>
      <c r="TKN45" s="5">
        <f>-'5. IRR'!TKO16</f>
        <v>-0.0</v>
      </c>
      <c r="TKO45" s="5">
        <f>-'5. IRR'!TKP16</f>
        <v>-0.0</v>
      </c>
      <c r="TKP45" s="5">
        <f>-'5. IRR'!TKQ16</f>
        <v>-0.0</v>
      </c>
      <c r="TKQ45" s="5">
        <f>-'5. IRR'!TKR16</f>
        <v>-0.0</v>
      </c>
      <c r="TKR45" s="5">
        <f>-'5. IRR'!TKS16</f>
        <v>-0.0</v>
      </c>
      <c r="TKS45" s="5">
        <f>-'5. IRR'!TKT16</f>
        <v>-0.0</v>
      </c>
      <c r="TKT45" s="5">
        <f>-'5. IRR'!TKU16</f>
        <v>-0.0</v>
      </c>
      <c r="TKU45" s="5">
        <f>-'5. IRR'!TKV16</f>
        <v>-0.0</v>
      </c>
      <c r="TKV45" s="5">
        <f>-'5. IRR'!TKW16</f>
        <v>-0.0</v>
      </c>
      <c r="TKW45" s="5">
        <f>-'5. IRR'!TKX16</f>
        <v>-0.0</v>
      </c>
      <c r="TKX45" s="5">
        <f>-'5. IRR'!TKY16</f>
        <v>-0.0</v>
      </c>
      <c r="TKY45" s="5">
        <f>-'5. IRR'!TKZ16</f>
        <v>-0.0</v>
      </c>
      <c r="TKZ45" s="5">
        <f>-'5. IRR'!TLA16</f>
        <v>-0.0</v>
      </c>
      <c r="TLA45" s="5">
        <f>-'5. IRR'!TLB16</f>
        <v>-0.0</v>
      </c>
      <c r="TLB45" s="5">
        <f>-'5. IRR'!TLC16</f>
        <v>-0.0</v>
      </c>
      <c r="TLC45" s="5">
        <f>-'5. IRR'!TLD16</f>
        <v>-0.0</v>
      </c>
      <c r="TLD45" s="5">
        <f>-'5. IRR'!TLE16</f>
        <v>-0.0</v>
      </c>
      <c r="TLE45" s="5">
        <f>-'5. IRR'!TLF16</f>
        <v>-0.0</v>
      </c>
      <c r="TLF45" s="5">
        <f>-'5. IRR'!TLG16</f>
        <v>-0.0</v>
      </c>
      <c r="TLG45" s="5">
        <f>-'5. IRR'!TLH16</f>
        <v>-0.0</v>
      </c>
      <c r="TLH45" s="5">
        <f>-'5. IRR'!TLI16</f>
        <v>-0.0</v>
      </c>
      <c r="TLI45" s="5">
        <f>-'5. IRR'!TLJ16</f>
        <v>-0.0</v>
      </c>
      <c r="TLJ45" s="5">
        <f>-'5. IRR'!TLK16</f>
        <v>-0.0</v>
      </c>
      <c r="TLK45" s="5">
        <f>-'5. IRR'!TLL16</f>
        <v>-0.0</v>
      </c>
      <c r="TLL45" s="5">
        <f>-'5. IRR'!TLM16</f>
        <v>-0.0</v>
      </c>
      <c r="TLM45" s="5">
        <f>-'5. IRR'!TLN16</f>
        <v>-0.0</v>
      </c>
      <c r="TLN45" s="5">
        <f>-'5. IRR'!TLO16</f>
        <v>-0.0</v>
      </c>
      <c r="TLO45" s="5">
        <f>-'5. IRR'!TLP16</f>
        <v>-0.0</v>
      </c>
      <c r="TLP45" s="5">
        <f>-'5. IRR'!TLQ16</f>
        <v>-0.0</v>
      </c>
      <c r="TLQ45" s="5">
        <f>-'5. IRR'!TLR16</f>
        <v>-0.0</v>
      </c>
      <c r="TLR45" s="5">
        <f>-'5. IRR'!TLS16</f>
        <v>-0.0</v>
      </c>
      <c r="TLS45" s="5">
        <f>-'5. IRR'!TLT16</f>
        <v>-0.0</v>
      </c>
      <c r="TLT45" s="5">
        <f>-'5. IRR'!TLU16</f>
        <v>-0.0</v>
      </c>
      <c r="TLU45" s="5">
        <f>-'5. IRR'!TLV16</f>
        <v>-0.0</v>
      </c>
      <c r="TLV45" s="5">
        <f>-'5. IRR'!TLW16</f>
        <v>-0.0</v>
      </c>
      <c r="TLW45" s="5">
        <f>-'5. IRR'!TLX16</f>
        <v>-0.0</v>
      </c>
      <c r="TLX45" s="5">
        <f>-'5. IRR'!TLY16</f>
        <v>-0.0</v>
      </c>
      <c r="TLY45" s="5">
        <f>-'5. IRR'!TLZ16</f>
        <v>-0.0</v>
      </c>
      <c r="TLZ45" s="5">
        <f>-'5. IRR'!TMA16</f>
        <v>-0.0</v>
      </c>
      <c r="TMA45" s="5">
        <f>-'5. IRR'!TMB16</f>
        <v>-0.0</v>
      </c>
      <c r="TMB45" s="5">
        <f>-'5. IRR'!TMC16</f>
        <v>-0.0</v>
      </c>
      <c r="TMC45" s="5">
        <f>-'5. IRR'!TMD16</f>
        <v>-0.0</v>
      </c>
      <c r="TMD45" s="5">
        <f>-'5. IRR'!TME16</f>
        <v>-0.0</v>
      </c>
      <c r="TME45" s="5">
        <f>-'5. IRR'!TMF16</f>
        <v>-0.0</v>
      </c>
      <c r="TMF45" s="5">
        <f>-'5. IRR'!TMG16</f>
        <v>-0.0</v>
      </c>
      <c r="TMG45" s="5">
        <f>-'5. IRR'!TMH16</f>
        <v>-0.0</v>
      </c>
      <c r="TMH45" s="5">
        <f>-'5. IRR'!TMI16</f>
        <v>-0.0</v>
      </c>
      <c r="TMI45" s="5">
        <f>-'5. IRR'!TMJ16</f>
        <v>-0.0</v>
      </c>
      <c r="TMJ45" s="5">
        <f>-'5. IRR'!TMK16</f>
        <v>-0.0</v>
      </c>
      <c r="TMK45" s="5">
        <f>-'5. IRR'!TML16</f>
        <v>-0.0</v>
      </c>
      <c r="TML45" s="5">
        <f>-'5. IRR'!TMM16</f>
        <v>-0.0</v>
      </c>
      <c r="TMM45" s="5">
        <f>-'5. IRR'!TMN16</f>
        <v>-0.0</v>
      </c>
      <c r="TMN45" s="5">
        <f>-'5. IRR'!TMO16</f>
        <v>-0.0</v>
      </c>
      <c r="TMO45" s="5">
        <f>-'5. IRR'!TMP16</f>
        <v>-0.0</v>
      </c>
      <c r="TMP45" s="5">
        <f>-'5. IRR'!TMQ16</f>
        <v>-0.0</v>
      </c>
      <c r="TMQ45" s="5">
        <f>-'5. IRR'!TMR16</f>
        <v>-0.0</v>
      </c>
      <c r="TMR45" s="5">
        <f>-'5. IRR'!TMS16</f>
        <v>-0.0</v>
      </c>
      <c r="TMS45" s="5">
        <f>-'5. IRR'!TMT16</f>
        <v>-0.0</v>
      </c>
      <c r="TMT45" s="5">
        <f>-'5. IRR'!TMU16</f>
        <v>-0.0</v>
      </c>
      <c r="TMU45" s="5">
        <f>-'5. IRR'!TMV16</f>
        <v>-0.0</v>
      </c>
      <c r="TMV45" s="5">
        <f>-'5. IRR'!TMW16</f>
        <v>-0.0</v>
      </c>
      <c r="TMW45" s="5">
        <f>-'5. IRR'!TMX16</f>
        <v>-0.0</v>
      </c>
      <c r="TMX45" s="5">
        <f>-'5. IRR'!TMY16</f>
        <v>-0.0</v>
      </c>
      <c r="TMY45" s="5">
        <f>-'5. IRR'!TMZ16</f>
        <v>-0.0</v>
      </c>
      <c r="TMZ45" s="5">
        <f>-'5. IRR'!TNA16</f>
        <v>-0.0</v>
      </c>
      <c r="TNA45" s="5">
        <f>-'5. IRR'!TNB16</f>
        <v>-0.0</v>
      </c>
      <c r="TNB45" s="5">
        <f>-'5. IRR'!TNC16</f>
        <v>-0.0</v>
      </c>
      <c r="TNC45" s="5">
        <f>-'5. IRR'!TND16</f>
        <v>-0.0</v>
      </c>
      <c r="TND45" s="5">
        <f>-'5. IRR'!TNE16</f>
        <v>-0.0</v>
      </c>
      <c r="TNE45" s="5">
        <f>-'5. IRR'!TNF16</f>
        <v>-0.0</v>
      </c>
      <c r="TNF45" s="5">
        <f>-'5. IRR'!TNG16</f>
        <v>-0.0</v>
      </c>
      <c r="TNG45" s="5">
        <f>-'5. IRR'!TNH16</f>
        <v>-0.0</v>
      </c>
      <c r="TNH45" s="5">
        <f>-'5. IRR'!TNI16</f>
        <v>-0.0</v>
      </c>
      <c r="TNI45" s="5">
        <f>-'5. IRR'!TNJ16</f>
        <v>-0.0</v>
      </c>
      <c r="TNJ45" s="5">
        <f>-'5. IRR'!TNK16</f>
        <v>-0.0</v>
      </c>
      <c r="TNK45" s="5">
        <f>-'5. IRR'!TNL16</f>
        <v>-0.0</v>
      </c>
      <c r="TNL45" s="5">
        <f>-'5. IRR'!TNM16</f>
        <v>-0.0</v>
      </c>
      <c r="TNM45" s="5">
        <f>-'5. IRR'!TNN16</f>
        <v>-0.0</v>
      </c>
      <c r="TNN45" s="5">
        <f>-'5. IRR'!TNO16</f>
        <v>-0.0</v>
      </c>
      <c r="TNO45" s="5">
        <f>-'5. IRR'!TNP16</f>
        <v>-0.0</v>
      </c>
      <c r="TNP45" s="5">
        <f>-'5. IRR'!TNQ16</f>
        <v>-0.0</v>
      </c>
      <c r="TNQ45" s="5">
        <f>-'5. IRR'!TNR16</f>
        <v>-0.0</v>
      </c>
      <c r="TNR45" s="5">
        <f>-'5. IRR'!TNS16</f>
        <v>-0.0</v>
      </c>
      <c r="TNS45" s="5">
        <f>-'5. IRR'!TNT16</f>
        <v>-0.0</v>
      </c>
      <c r="TNT45" s="5">
        <f>-'5. IRR'!TNU16</f>
        <v>-0.0</v>
      </c>
      <c r="TNU45" s="5">
        <f>-'5. IRR'!TNV16</f>
        <v>-0.0</v>
      </c>
      <c r="TNV45" s="5">
        <f>-'5. IRR'!TNW16</f>
        <v>-0.0</v>
      </c>
      <c r="TNW45" s="5">
        <f>-'5. IRR'!TNX16</f>
        <v>-0.0</v>
      </c>
      <c r="TNX45" s="5">
        <f>-'5. IRR'!TNY16</f>
        <v>-0.0</v>
      </c>
      <c r="TNY45" s="5">
        <f>-'5. IRR'!TNZ16</f>
        <v>-0.0</v>
      </c>
      <c r="TNZ45" s="5">
        <f>-'5. IRR'!TOA16</f>
        <v>-0.0</v>
      </c>
      <c r="TOA45" s="5">
        <f>-'5. IRR'!TOB16</f>
        <v>-0.0</v>
      </c>
      <c r="TOB45" s="5">
        <f>-'5. IRR'!TOC16</f>
        <v>-0.0</v>
      </c>
      <c r="TOC45" s="5">
        <f>-'5. IRR'!TOD16</f>
        <v>-0.0</v>
      </c>
      <c r="TOD45" s="5">
        <f>-'5. IRR'!TOE16</f>
        <v>-0.0</v>
      </c>
      <c r="TOE45" s="5">
        <f>-'5. IRR'!TOF16</f>
        <v>-0.0</v>
      </c>
      <c r="TOF45" s="5">
        <f>-'5. IRR'!TOG16</f>
        <v>-0.0</v>
      </c>
      <c r="TOG45" s="5">
        <f>-'5. IRR'!TOH16</f>
        <v>-0.0</v>
      </c>
      <c r="TOH45" s="5">
        <f>-'5. IRR'!TOI16</f>
        <v>-0.0</v>
      </c>
      <c r="TOI45" s="5">
        <f>-'5. IRR'!TOJ16</f>
        <v>-0.0</v>
      </c>
      <c r="TOJ45" s="5">
        <f>-'5. IRR'!TOK16</f>
        <v>-0.0</v>
      </c>
      <c r="TOK45" s="5">
        <f>-'5. IRR'!TOL16</f>
        <v>-0.0</v>
      </c>
      <c r="TOL45" s="5">
        <f>-'5. IRR'!TOM16</f>
        <v>-0.0</v>
      </c>
      <c r="TOM45" s="5">
        <f>-'5. IRR'!TON16</f>
        <v>-0.0</v>
      </c>
      <c r="TON45" s="5">
        <f>-'5. IRR'!TOO16</f>
        <v>-0.0</v>
      </c>
      <c r="TOO45" s="5">
        <f>-'5. IRR'!TOP16</f>
        <v>-0.0</v>
      </c>
      <c r="TOP45" s="5">
        <f>-'5. IRR'!TOQ16</f>
        <v>-0.0</v>
      </c>
      <c r="TOQ45" s="5">
        <f>-'5. IRR'!TOR16</f>
        <v>-0.0</v>
      </c>
      <c r="TOR45" s="5">
        <f>-'5. IRR'!TOS16</f>
        <v>-0.0</v>
      </c>
      <c r="TOS45" s="5">
        <f>-'5. IRR'!TOT16</f>
        <v>-0.0</v>
      </c>
      <c r="TOT45" s="5">
        <f>-'5. IRR'!TOU16</f>
        <v>-0.0</v>
      </c>
      <c r="TOU45" s="5">
        <f>-'5. IRR'!TOV16</f>
        <v>-0.0</v>
      </c>
      <c r="TOV45" s="5">
        <f>-'5. IRR'!TOW16</f>
        <v>-0.0</v>
      </c>
      <c r="TOW45" s="5">
        <f>-'5. IRR'!TOX16</f>
        <v>-0.0</v>
      </c>
      <c r="TOX45" s="5">
        <f>-'5. IRR'!TOY16</f>
        <v>-0.0</v>
      </c>
      <c r="TOY45" s="5">
        <f>-'5. IRR'!TOZ16</f>
        <v>-0.0</v>
      </c>
      <c r="TOZ45" s="5">
        <f>-'5. IRR'!TPA16</f>
        <v>-0.0</v>
      </c>
      <c r="TPA45" s="5">
        <f>-'5. IRR'!TPB16</f>
        <v>-0.0</v>
      </c>
      <c r="TPB45" s="5">
        <f>-'5. IRR'!TPC16</f>
        <v>-0.0</v>
      </c>
      <c r="TPC45" s="5">
        <f>-'5. IRR'!TPD16</f>
        <v>-0.0</v>
      </c>
      <c r="TPD45" s="5">
        <f>-'5. IRR'!TPE16</f>
        <v>-0.0</v>
      </c>
      <c r="TPE45" s="5">
        <f>-'5. IRR'!TPF16</f>
        <v>-0.0</v>
      </c>
      <c r="TPF45" s="5">
        <f>-'5. IRR'!TPG16</f>
        <v>-0.0</v>
      </c>
      <c r="TPG45" s="5">
        <f>-'5. IRR'!TPH16</f>
        <v>-0.0</v>
      </c>
      <c r="TPH45" s="5">
        <f>-'5. IRR'!TPI16</f>
        <v>-0.0</v>
      </c>
      <c r="TPI45" s="5">
        <f>-'5. IRR'!TPJ16</f>
        <v>-0.0</v>
      </c>
      <c r="TPJ45" s="5">
        <f>-'5. IRR'!TPK16</f>
        <v>-0.0</v>
      </c>
      <c r="TPK45" s="5">
        <f>-'5. IRR'!TPL16</f>
        <v>-0.0</v>
      </c>
      <c r="TPL45" s="5">
        <f>-'5. IRR'!TPM16</f>
        <v>-0.0</v>
      </c>
      <c r="TPM45" s="5">
        <f>-'5. IRR'!TPN16</f>
        <v>-0.0</v>
      </c>
      <c r="TPN45" s="5">
        <f>-'5. IRR'!TPO16</f>
        <v>-0.0</v>
      </c>
      <c r="TPO45" s="5">
        <f>-'5. IRR'!TPP16</f>
        <v>-0.0</v>
      </c>
      <c r="TPP45" s="5">
        <f>-'5. IRR'!TPQ16</f>
        <v>-0.0</v>
      </c>
      <c r="TPQ45" s="5">
        <f>-'5. IRR'!TPR16</f>
        <v>-0.0</v>
      </c>
      <c r="TPR45" s="5">
        <f>-'5. IRR'!TPS16</f>
        <v>-0.0</v>
      </c>
      <c r="TPS45" s="5">
        <f>-'5. IRR'!TPT16</f>
        <v>-0.0</v>
      </c>
      <c r="TPT45" s="5">
        <f>-'5. IRR'!TPU16</f>
        <v>-0.0</v>
      </c>
      <c r="TPU45" s="5">
        <f>-'5. IRR'!TPV16</f>
        <v>-0.0</v>
      </c>
      <c r="TPV45" s="5">
        <f>-'5. IRR'!TPW16</f>
        <v>-0.0</v>
      </c>
      <c r="TPW45" s="5">
        <f>-'5. IRR'!TPX16</f>
        <v>-0.0</v>
      </c>
      <c r="TPX45" s="5">
        <f>-'5. IRR'!TPY16</f>
        <v>-0.0</v>
      </c>
      <c r="TPY45" s="5">
        <f>-'5. IRR'!TPZ16</f>
        <v>-0.0</v>
      </c>
      <c r="TPZ45" s="5">
        <f>-'5. IRR'!TQA16</f>
        <v>-0.0</v>
      </c>
      <c r="TQA45" s="5">
        <f>-'5. IRR'!TQB16</f>
        <v>-0.0</v>
      </c>
      <c r="TQB45" s="5">
        <f>-'5. IRR'!TQC16</f>
        <v>-0.0</v>
      </c>
      <c r="TQC45" s="5">
        <f>-'5. IRR'!TQD16</f>
        <v>-0.0</v>
      </c>
      <c r="TQD45" s="5">
        <f>-'5. IRR'!TQE16</f>
        <v>-0.0</v>
      </c>
      <c r="TQE45" s="5">
        <f>-'5. IRR'!TQF16</f>
        <v>-0.0</v>
      </c>
      <c r="TQF45" s="5">
        <f>-'5. IRR'!TQG16</f>
        <v>-0.0</v>
      </c>
      <c r="TQG45" s="5">
        <f>-'5. IRR'!TQH16</f>
        <v>-0.0</v>
      </c>
      <c r="TQH45" s="5">
        <f>-'5. IRR'!TQI16</f>
        <v>-0.0</v>
      </c>
      <c r="TQI45" s="5">
        <f>-'5. IRR'!TQJ16</f>
        <v>-0.0</v>
      </c>
      <c r="TQJ45" s="5">
        <f>-'5. IRR'!TQK16</f>
        <v>-0.0</v>
      </c>
      <c r="TQK45" s="5">
        <f>-'5. IRR'!TQL16</f>
        <v>-0.0</v>
      </c>
      <c r="TQL45" s="5">
        <f>-'5. IRR'!TQM16</f>
        <v>-0.0</v>
      </c>
      <c r="TQM45" s="5">
        <f>-'5. IRR'!TQN16</f>
        <v>-0.0</v>
      </c>
      <c r="TQN45" s="5">
        <f>-'5. IRR'!TQO16</f>
        <v>-0.0</v>
      </c>
      <c r="TQO45" s="5">
        <f>-'5. IRR'!TQP16</f>
        <v>-0.0</v>
      </c>
      <c r="TQP45" s="5">
        <f>-'5. IRR'!TQQ16</f>
        <v>-0.0</v>
      </c>
      <c r="TQQ45" s="5">
        <f>-'5. IRR'!TQR16</f>
        <v>-0.0</v>
      </c>
      <c r="TQR45" s="5">
        <f>-'5. IRR'!TQS16</f>
        <v>-0.0</v>
      </c>
      <c r="TQS45" s="5">
        <f>-'5. IRR'!TQT16</f>
        <v>-0.0</v>
      </c>
      <c r="TQT45" s="5">
        <f>-'5. IRR'!TQU16</f>
        <v>-0.0</v>
      </c>
      <c r="TQU45" s="5">
        <f>-'5. IRR'!TQV16</f>
        <v>-0.0</v>
      </c>
      <c r="TQV45" s="5">
        <f>-'5. IRR'!TQW16</f>
        <v>-0.0</v>
      </c>
      <c r="TQW45" s="5">
        <f>-'5. IRR'!TQX16</f>
        <v>-0.0</v>
      </c>
      <c r="TQX45" s="5">
        <f>-'5. IRR'!TQY16</f>
        <v>-0.0</v>
      </c>
      <c r="TQY45" s="5">
        <f>-'5. IRR'!TQZ16</f>
        <v>-0.0</v>
      </c>
      <c r="TQZ45" s="5">
        <f>-'5. IRR'!TRA16</f>
        <v>-0.0</v>
      </c>
      <c r="TRA45" s="5">
        <f>-'5. IRR'!TRB16</f>
        <v>-0.0</v>
      </c>
      <c r="TRB45" s="5">
        <f>-'5. IRR'!TRC16</f>
        <v>-0.0</v>
      </c>
      <c r="TRC45" s="5">
        <f>-'5. IRR'!TRD16</f>
        <v>-0.0</v>
      </c>
      <c r="TRD45" s="5">
        <f>-'5. IRR'!TRE16</f>
        <v>-0.0</v>
      </c>
      <c r="TRE45" s="5">
        <f>-'5. IRR'!TRF16</f>
        <v>-0.0</v>
      </c>
      <c r="TRF45" s="5">
        <f>-'5. IRR'!TRG16</f>
        <v>-0.0</v>
      </c>
      <c r="TRG45" s="5">
        <f>-'5. IRR'!TRH16</f>
        <v>-0.0</v>
      </c>
      <c r="TRH45" s="5">
        <f>-'5. IRR'!TRI16</f>
        <v>-0.0</v>
      </c>
      <c r="TRI45" s="5">
        <f>-'5. IRR'!TRJ16</f>
        <v>-0.0</v>
      </c>
      <c r="TRJ45" s="5">
        <f>-'5. IRR'!TRK16</f>
        <v>-0.0</v>
      </c>
      <c r="TRK45" s="5">
        <f>-'5. IRR'!TRL16</f>
        <v>-0.0</v>
      </c>
      <c r="TRL45" s="5">
        <f>-'5. IRR'!TRM16</f>
        <v>-0.0</v>
      </c>
      <c r="TRM45" s="5">
        <f>-'5. IRR'!TRN16</f>
        <v>-0.0</v>
      </c>
      <c r="TRN45" s="5">
        <f>-'5. IRR'!TRO16</f>
        <v>-0.0</v>
      </c>
      <c r="TRO45" s="5">
        <f>-'5. IRR'!TRP16</f>
        <v>-0.0</v>
      </c>
      <c r="TRP45" s="5">
        <f>-'5. IRR'!TRQ16</f>
        <v>-0.0</v>
      </c>
      <c r="TRQ45" s="5">
        <f>-'5. IRR'!TRR16</f>
        <v>-0.0</v>
      </c>
      <c r="TRR45" s="5">
        <f>-'5. IRR'!TRS16</f>
        <v>-0.0</v>
      </c>
      <c r="TRS45" s="5">
        <f>-'5. IRR'!TRT16</f>
        <v>-0.0</v>
      </c>
      <c r="TRT45" s="5">
        <f>-'5. IRR'!TRU16</f>
        <v>-0.0</v>
      </c>
      <c r="TRU45" s="5">
        <f>-'5. IRR'!TRV16</f>
        <v>-0.0</v>
      </c>
      <c r="TRV45" s="5">
        <f>-'5. IRR'!TRW16</f>
        <v>-0.0</v>
      </c>
      <c r="TRW45" s="5">
        <f>-'5. IRR'!TRX16</f>
        <v>-0.0</v>
      </c>
      <c r="TRX45" s="5">
        <f>-'5. IRR'!TRY16</f>
        <v>-0.0</v>
      </c>
      <c r="TRY45" s="5">
        <f>-'5. IRR'!TRZ16</f>
        <v>-0.0</v>
      </c>
      <c r="TRZ45" s="5">
        <f>-'5. IRR'!TSA16</f>
        <v>-0.0</v>
      </c>
      <c r="TSA45" s="5">
        <f>-'5. IRR'!TSB16</f>
        <v>-0.0</v>
      </c>
      <c r="TSB45" s="5">
        <f>-'5. IRR'!TSC16</f>
        <v>-0.0</v>
      </c>
      <c r="TSC45" s="5">
        <f>-'5. IRR'!TSD16</f>
        <v>-0.0</v>
      </c>
      <c r="TSD45" s="5">
        <f>-'5. IRR'!TSE16</f>
        <v>-0.0</v>
      </c>
      <c r="TSE45" s="5">
        <f>-'5. IRR'!TSF16</f>
        <v>-0.0</v>
      </c>
      <c r="TSF45" s="5">
        <f>-'5. IRR'!TSG16</f>
        <v>-0.0</v>
      </c>
      <c r="TSG45" s="5">
        <f>-'5. IRR'!TSH16</f>
        <v>-0.0</v>
      </c>
      <c r="TSH45" s="5">
        <f>-'5. IRR'!TSI16</f>
        <v>-0.0</v>
      </c>
      <c r="TSI45" s="5">
        <f>-'5. IRR'!TSJ16</f>
        <v>-0.0</v>
      </c>
      <c r="TSJ45" s="5">
        <f>-'5. IRR'!TSK16</f>
        <v>-0.0</v>
      </c>
      <c r="TSK45" s="5">
        <f>-'5. IRR'!TSL16</f>
        <v>-0.0</v>
      </c>
      <c r="TSL45" s="5">
        <f>-'5. IRR'!TSM16</f>
        <v>-0.0</v>
      </c>
      <c r="TSM45" s="5">
        <f>-'5. IRR'!TSN16</f>
        <v>-0.0</v>
      </c>
      <c r="TSN45" s="5">
        <f>-'5. IRR'!TSO16</f>
        <v>-0.0</v>
      </c>
      <c r="TSO45" s="5">
        <f>-'5. IRR'!TSP16</f>
        <v>-0.0</v>
      </c>
      <c r="TSP45" s="5">
        <f>-'5. IRR'!TSQ16</f>
        <v>-0.0</v>
      </c>
      <c r="TSQ45" s="5">
        <f>-'5. IRR'!TSR16</f>
        <v>-0.0</v>
      </c>
      <c r="TSR45" s="5">
        <f>-'5. IRR'!TSS16</f>
        <v>-0.0</v>
      </c>
      <c r="TSS45" s="5">
        <f>-'5. IRR'!TST16</f>
        <v>-0.0</v>
      </c>
      <c r="TST45" s="5">
        <f>-'5. IRR'!TSU16</f>
        <v>-0.0</v>
      </c>
      <c r="TSU45" s="5">
        <f>-'5. IRR'!TSV16</f>
        <v>-0.0</v>
      </c>
      <c r="TSV45" s="5">
        <f>-'5. IRR'!TSW16</f>
        <v>-0.0</v>
      </c>
      <c r="TSW45" s="5">
        <f>-'5. IRR'!TSX16</f>
        <v>-0.0</v>
      </c>
      <c r="TSX45" s="5">
        <f>-'5. IRR'!TSY16</f>
        <v>-0.0</v>
      </c>
      <c r="TSY45" s="5">
        <f>-'5. IRR'!TSZ16</f>
        <v>-0.0</v>
      </c>
      <c r="TSZ45" s="5">
        <f>-'5. IRR'!TTA16</f>
        <v>-0.0</v>
      </c>
      <c r="TTA45" s="5">
        <f>-'5. IRR'!TTB16</f>
        <v>-0.0</v>
      </c>
      <c r="TTB45" s="5">
        <f>-'5. IRR'!TTC16</f>
        <v>-0.0</v>
      </c>
      <c r="TTC45" s="5">
        <f>-'5. IRR'!TTD16</f>
        <v>-0.0</v>
      </c>
      <c r="TTD45" s="5">
        <f>-'5. IRR'!TTE16</f>
        <v>-0.0</v>
      </c>
      <c r="TTE45" s="5">
        <f>-'5. IRR'!TTF16</f>
        <v>-0.0</v>
      </c>
      <c r="TTF45" s="5">
        <f>-'5. IRR'!TTG16</f>
        <v>-0.0</v>
      </c>
      <c r="TTG45" s="5">
        <f>-'5. IRR'!TTH16</f>
        <v>-0.0</v>
      </c>
      <c r="TTH45" s="5">
        <f>-'5. IRR'!TTI16</f>
        <v>-0.0</v>
      </c>
      <c r="TTI45" s="5">
        <f>-'5. IRR'!TTJ16</f>
        <v>-0.0</v>
      </c>
      <c r="TTJ45" s="5">
        <f>-'5. IRR'!TTK16</f>
        <v>-0.0</v>
      </c>
      <c r="TTK45" s="5">
        <f>-'5. IRR'!TTL16</f>
        <v>-0.0</v>
      </c>
      <c r="TTL45" s="5">
        <f>-'5. IRR'!TTM16</f>
        <v>-0.0</v>
      </c>
      <c r="TTM45" s="5">
        <f>-'5. IRR'!TTN16</f>
        <v>-0.0</v>
      </c>
      <c r="TTN45" s="5">
        <f>-'5. IRR'!TTO16</f>
        <v>-0.0</v>
      </c>
      <c r="TTO45" s="5">
        <f>-'5. IRR'!TTP16</f>
        <v>-0.0</v>
      </c>
      <c r="TTP45" s="5">
        <f>-'5. IRR'!TTQ16</f>
        <v>-0.0</v>
      </c>
      <c r="TTQ45" s="5">
        <f>-'5. IRR'!TTR16</f>
        <v>-0.0</v>
      </c>
      <c r="TTR45" s="5">
        <f>-'5. IRR'!TTS16</f>
        <v>-0.0</v>
      </c>
      <c r="TTS45" s="5">
        <f>-'5. IRR'!TTT16</f>
        <v>-0.0</v>
      </c>
      <c r="TTT45" s="5">
        <f>-'5. IRR'!TTU16</f>
        <v>-0.0</v>
      </c>
      <c r="TTU45" s="5">
        <f>-'5. IRR'!TTV16</f>
        <v>-0.0</v>
      </c>
      <c r="TTV45" s="5">
        <f>-'5. IRR'!TTW16</f>
        <v>-0.0</v>
      </c>
      <c r="TTW45" s="5">
        <f>-'5. IRR'!TTX16</f>
        <v>-0.0</v>
      </c>
      <c r="TTX45" s="5">
        <f>-'5. IRR'!TTY16</f>
        <v>-0.0</v>
      </c>
      <c r="TTY45" s="5">
        <f>-'5. IRR'!TTZ16</f>
        <v>-0.0</v>
      </c>
      <c r="TTZ45" s="5">
        <f>-'5. IRR'!TUA16</f>
        <v>-0.0</v>
      </c>
      <c r="TUA45" s="5">
        <f>-'5. IRR'!TUB16</f>
        <v>-0.0</v>
      </c>
      <c r="TUB45" s="5">
        <f>-'5. IRR'!TUC16</f>
        <v>-0.0</v>
      </c>
      <c r="TUC45" s="5">
        <f>-'5. IRR'!TUD16</f>
        <v>-0.0</v>
      </c>
      <c r="TUD45" s="5">
        <f>-'5. IRR'!TUE16</f>
        <v>-0.0</v>
      </c>
      <c r="TUE45" s="5">
        <f>-'5. IRR'!TUF16</f>
        <v>-0.0</v>
      </c>
      <c r="TUF45" s="5">
        <f>-'5. IRR'!TUG16</f>
        <v>-0.0</v>
      </c>
      <c r="TUG45" s="5">
        <f>-'5. IRR'!TUH16</f>
        <v>-0.0</v>
      </c>
      <c r="TUH45" s="5">
        <f>-'5. IRR'!TUI16</f>
        <v>-0.0</v>
      </c>
      <c r="TUI45" s="5">
        <f>-'5. IRR'!TUJ16</f>
        <v>-0.0</v>
      </c>
      <c r="TUJ45" s="5">
        <f>-'5. IRR'!TUK16</f>
        <v>-0.0</v>
      </c>
      <c r="TUK45" s="5">
        <f>-'5. IRR'!TUL16</f>
        <v>-0.0</v>
      </c>
      <c r="TUL45" s="5">
        <f>-'5. IRR'!TUM16</f>
        <v>-0.0</v>
      </c>
      <c r="TUM45" s="5">
        <f>-'5. IRR'!TUN16</f>
        <v>-0.0</v>
      </c>
      <c r="TUN45" s="5">
        <f>-'5. IRR'!TUO16</f>
        <v>-0.0</v>
      </c>
      <c r="TUO45" s="5">
        <f>-'5. IRR'!TUP16</f>
        <v>-0.0</v>
      </c>
      <c r="TUP45" s="5">
        <f>-'5. IRR'!TUQ16</f>
        <v>-0.0</v>
      </c>
      <c r="TUQ45" s="5">
        <f>-'5. IRR'!TUR16</f>
        <v>-0.0</v>
      </c>
      <c r="TUR45" s="5">
        <f>-'5. IRR'!TUS16</f>
        <v>-0.0</v>
      </c>
      <c r="TUS45" s="5">
        <f>-'5. IRR'!TUT16</f>
        <v>-0.0</v>
      </c>
      <c r="TUT45" s="5">
        <f>-'5. IRR'!TUU16</f>
        <v>-0.0</v>
      </c>
      <c r="TUU45" s="5">
        <f>-'5. IRR'!TUV16</f>
        <v>-0.0</v>
      </c>
      <c r="TUV45" s="5">
        <f>-'5. IRR'!TUW16</f>
        <v>-0.0</v>
      </c>
      <c r="TUW45" s="5">
        <f>-'5. IRR'!TUX16</f>
        <v>-0.0</v>
      </c>
      <c r="TUX45" s="5">
        <f>-'5. IRR'!TUY16</f>
        <v>-0.0</v>
      </c>
      <c r="TUY45" s="5">
        <f>-'5. IRR'!TUZ16</f>
        <v>-0.0</v>
      </c>
      <c r="TUZ45" s="5">
        <f>-'5. IRR'!TVA16</f>
        <v>-0.0</v>
      </c>
      <c r="TVA45" s="5">
        <f>-'5. IRR'!TVB16</f>
        <v>-0.0</v>
      </c>
      <c r="TVB45" s="5">
        <f>-'5. IRR'!TVC16</f>
        <v>-0.0</v>
      </c>
      <c r="TVC45" s="5">
        <f>-'5. IRR'!TVD16</f>
        <v>-0.0</v>
      </c>
      <c r="TVD45" s="5">
        <f>-'5. IRR'!TVE16</f>
        <v>-0.0</v>
      </c>
      <c r="TVE45" s="5">
        <f>-'5. IRR'!TVF16</f>
        <v>-0.0</v>
      </c>
      <c r="TVF45" s="5">
        <f>-'5. IRR'!TVG16</f>
        <v>-0.0</v>
      </c>
      <c r="TVG45" s="5">
        <f>-'5. IRR'!TVH16</f>
        <v>-0.0</v>
      </c>
      <c r="TVH45" s="5">
        <f>-'5. IRR'!TVI16</f>
        <v>-0.0</v>
      </c>
      <c r="TVI45" s="5">
        <f>-'5. IRR'!TVJ16</f>
        <v>-0.0</v>
      </c>
      <c r="TVJ45" s="5">
        <f>-'5. IRR'!TVK16</f>
        <v>-0.0</v>
      </c>
      <c r="TVK45" s="5">
        <f>-'5. IRR'!TVL16</f>
        <v>-0.0</v>
      </c>
      <c r="TVL45" s="5">
        <f>-'5. IRR'!TVM16</f>
        <v>-0.0</v>
      </c>
      <c r="TVM45" s="5">
        <f>-'5. IRR'!TVN16</f>
        <v>-0.0</v>
      </c>
      <c r="TVN45" s="5">
        <f>-'5. IRR'!TVO16</f>
        <v>-0.0</v>
      </c>
      <c r="TVO45" s="5">
        <f>-'5. IRR'!TVP16</f>
        <v>-0.0</v>
      </c>
      <c r="TVP45" s="5">
        <f>-'5. IRR'!TVQ16</f>
        <v>-0.0</v>
      </c>
      <c r="TVQ45" s="5">
        <f>-'5. IRR'!TVR16</f>
        <v>-0.0</v>
      </c>
      <c r="TVR45" s="5">
        <f>-'5. IRR'!TVS16</f>
        <v>-0.0</v>
      </c>
      <c r="TVS45" s="5">
        <f>-'5. IRR'!TVT16</f>
        <v>-0.0</v>
      </c>
      <c r="TVT45" s="5">
        <f>-'5. IRR'!TVU16</f>
        <v>-0.0</v>
      </c>
      <c r="TVU45" s="5">
        <f>-'5. IRR'!TVV16</f>
        <v>-0.0</v>
      </c>
      <c r="TVV45" s="5">
        <f>-'5. IRR'!TVW16</f>
        <v>-0.0</v>
      </c>
      <c r="TVW45" s="5">
        <f>-'5. IRR'!TVX16</f>
        <v>-0.0</v>
      </c>
      <c r="TVX45" s="5">
        <f>-'5. IRR'!TVY16</f>
        <v>-0.0</v>
      </c>
      <c r="TVY45" s="5">
        <f>-'5. IRR'!TVZ16</f>
        <v>-0.0</v>
      </c>
      <c r="TVZ45" s="5">
        <f>-'5. IRR'!TWA16</f>
        <v>-0.0</v>
      </c>
      <c r="TWA45" s="5">
        <f>-'5. IRR'!TWB16</f>
        <v>-0.0</v>
      </c>
      <c r="TWB45" s="5">
        <f>-'5. IRR'!TWC16</f>
        <v>-0.0</v>
      </c>
      <c r="TWC45" s="5">
        <f>-'5. IRR'!TWD16</f>
        <v>-0.0</v>
      </c>
      <c r="TWD45" s="5">
        <f>-'5. IRR'!TWE16</f>
        <v>-0.0</v>
      </c>
      <c r="TWE45" s="5">
        <f>-'5. IRR'!TWF16</f>
        <v>-0.0</v>
      </c>
      <c r="TWF45" s="5">
        <f>-'5. IRR'!TWG16</f>
        <v>-0.0</v>
      </c>
      <c r="TWG45" s="5">
        <f>-'5. IRR'!TWH16</f>
        <v>-0.0</v>
      </c>
      <c r="TWH45" s="5">
        <f>-'5. IRR'!TWI16</f>
        <v>-0.0</v>
      </c>
      <c r="TWI45" s="5">
        <f>-'5. IRR'!TWJ16</f>
        <v>-0.0</v>
      </c>
      <c r="TWJ45" s="5">
        <f>-'5. IRR'!TWK16</f>
        <v>-0.0</v>
      </c>
      <c r="TWK45" s="5">
        <f>-'5. IRR'!TWL16</f>
        <v>-0.0</v>
      </c>
      <c r="TWL45" s="5">
        <f>-'5. IRR'!TWM16</f>
        <v>-0.0</v>
      </c>
      <c r="TWM45" s="5">
        <f>-'5. IRR'!TWN16</f>
        <v>-0.0</v>
      </c>
      <c r="TWN45" s="5">
        <f>-'5. IRR'!TWO16</f>
        <v>-0.0</v>
      </c>
      <c r="TWO45" s="5">
        <f>-'5. IRR'!TWP16</f>
        <v>-0.0</v>
      </c>
      <c r="TWP45" s="5">
        <f>-'5. IRR'!TWQ16</f>
        <v>-0.0</v>
      </c>
      <c r="TWQ45" s="5">
        <f>-'5. IRR'!TWR16</f>
        <v>-0.0</v>
      </c>
      <c r="TWR45" s="5">
        <f>-'5. IRR'!TWS16</f>
        <v>-0.0</v>
      </c>
      <c r="TWS45" s="5">
        <f>-'5. IRR'!TWT16</f>
        <v>-0.0</v>
      </c>
      <c r="TWT45" s="5">
        <f>-'5. IRR'!TWU16</f>
        <v>-0.0</v>
      </c>
      <c r="TWU45" s="5">
        <f>-'5. IRR'!TWV16</f>
        <v>-0.0</v>
      </c>
      <c r="TWV45" s="5">
        <f>-'5. IRR'!TWW16</f>
        <v>-0.0</v>
      </c>
      <c r="TWW45" s="5">
        <f>-'5. IRR'!TWX16</f>
        <v>-0.0</v>
      </c>
      <c r="TWX45" s="5">
        <f>-'5. IRR'!TWY16</f>
        <v>-0.0</v>
      </c>
      <c r="TWY45" s="5">
        <f>-'5. IRR'!TWZ16</f>
        <v>-0.0</v>
      </c>
      <c r="TWZ45" s="5">
        <f>-'5. IRR'!TXA16</f>
        <v>-0.0</v>
      </c>
      <c r="TXA45" s="5">
        <f>-'5. IRR'!TXB16</f>
        <v>-0.0</v>
      </c>
      <c r="TXB45" s="5">
        <f>-'5. IRR'!TXC16</f>
        <v>-0.0</v>
      </c>
      <c r="TXC45" s="5">
        <f>-'5. IRR'!TXD16</f>
        <v>-0.0</v>
      </c>
      <c r="TXD45" s="5">
        <f>-'5. IRR'!TXE16</f>
        <v>-0.0</v>
      </c>
      <c r="TXE45" s="5">
        <f>-'5. IRR'!TXF16</f>
        <v>-0.0</v>
      </c>
      <c r="TXF45" s="5">
        <f>-'5. IRR'!TXG16</f>
        <v>-0.0</v>
      </c>
      <c r="TXG45" s="5">
        <f>-'5. IRR'!TXH16</f>
        <v>-0.0</v>
      </c>
      <c r="TXH45" s="5">
        <f>-'5. IRR'!TXI16</f>
        <v>-0.0</v>
      </c>
      <c r="TXI45" s="5">
        <f>-'5. IRR'!TXJ16</f>
        <v>-0.0</v>
      </c>
      <c r="TXJ45" s="5">
        <f>-'5. IRR'!TXK16</f>
        <v>-0.0</v>
      </c>
      <c r="TXK45" s="5">
        <f>-'5. IRR'!TXL16</f>
        <v>-0.0</v>
      </c>
      <c r="TXL45" s="5">
        <f>-'5. IRR'!TXM16</f>
        <v>-0.0</v>
      </c>
      <c r="TXM45" s="5">
        <f>-'5. IRR'!TXN16</f>
        <v>-0.0</v>
      </c>
      <c r="TXN45" s="5">
        <f>-'5. IRR'!TXO16</f>
        <v>-0.0</v>
      </c>
      <c r="TXO45" s="5">
        <f>-'5. IRR'!TXP16</f>
        <v>-0.0</v>
      </c>
      <c r="TXP45" s="5">
        <f>-'5. IRR'!TXQ16</f>
        <v>-0.0</v>
      </c>
      <c r="TXQ45" s="5">
        <f>-'5. IRR'!TXR16</f>
        <v>-0.0</v>
      </c>
      <c r="TXR45" s="5">
        <f>-'5. IRR'!TXS16</f>
        <v>-0.0</v>
      </c>
      <c r="TXS45" s="5">
        <f>-'5. IRR'!TXT16</f>
        <v>-0.0</v>
      </c>
      <c r="TXT45" s="5">
        <f>-'5. IRR'!TXU16</f>
        <v>-0.0</v>
      </c>
      <c r="TXU45" s="5">
        <f>-'5. IRR'!TXV16</f>
        <v>-0.0</v>
      </c>
      <c r="TXV45" s="5">
        <f>-'5. IRR'!TXW16</f>
        <v>-0.0</v>
      </c>
      <c r="TXW45" s="5">
        <f>-'5. IRR'!TXX16</f>
        <v>-0.0</v>
      </c>
      <c r="TXX45" s="5">
        <f>-'5. IRR'!TXY16</f>
        <v>-0.0</v>
      </c>
      <c r="TXY45" s="5">
        <f>-'5. IRR'!TXZ16</f>
        <v>-0.0</v>
      </c>
      <c r="TXZ45" s="5">
        <f>-'5. IRR'!TYA16</f>
        <v>-0.0</v>
      </c>
      <c r="TYA45" s="5">
        <f>-'5. IRR'!TYB16</f>
        <v>-0.0</v>
      </c>
      <c r="TYB45" s="5">
        <f>-'5. IRR'!TYC16</f>
        <v>-0.0</v>
      </c>
      <c r="TYC45" s="5">
        <f>-'5. IRR'!TYD16</f>
        <v>-0.0</v>
      </c>
      <c r="TYD45" s="5">
        <f>-'5. IRR'!TYE16</f>
        <v>-0.0</v>
      </c>
      <c r="TYE45" s="5">
        <f>-'5. IRR'!TYF16</f>
        <v>-0.0</v>
      </c>
      <c r="TYF45" s="5">
        <f>-'5. IRR'!TYG16</f>
        <v>-0.0</v>
      </c>
      <c r="TYG45" s="5">
        <f>-'5. IRR'!TYH16</f>
        <v>-0.0</v>
      </c>
      <c r="TYH45" s="5">
        <f>-'5. IRR'!TYI16</f>
        <v>-0.0</v>
      </c>
      <c r="TYI45" s="5">
        <f>-'5. IRR'!TYJ16</f>
        <v>-0.0</v>
      </c>
      <c r="TYJ45" s="5">
        <f>-'5. IRR'!TYK16</f>
        <v>-0.0</v>
      </c>
      <c r="TYK45" s="5">
        <f>-'5. IRR'!TYL16</f>
        <v>-0.0</v>
      </c>
      <c r="TYL45" s="5">
        <f>-'5. IRR'!TYM16</f>
        <v>-0.0</v>
      </c>
      <c r="TYM45" s="5">
        <f>-'5. IRR'!TYN16</f>
        <v>-0.0</v>
      </c>
      <c r="TYN45" s="5">
        <f>-'5. IRR'!TYO16</f>
        <v>-0.0</v>
      </c>
      <c r="TYO45" s="5">
        <f>-'5. IRR'!TYP16</f>
        <v>-0.0</v>
      </c>
      <c r="TYP45" s="5">
        <f>-'5. IRR'!TYQ16</f>
        <v>-0.0</v>
      </c>
      <c r="TYQ45" s="5">
        <f>-'5. IRR'!TYR16</f>
        <v>-0.0</v>
      </c>
      <c r="TYR45" s="5">
        <f>-'5. IRR'!TYS16</f>
        <v>-0.0</v>
      </c>
      <c r="TYS45" s="5">
        <f>-'5. IRR'!TYT16</f>
        <v>-0.0</v>
      </c>
      <c r="TYT45" s="5">
        <f>-'5. IRR'!TYU16</f>
        <v>-0.0</v>
      </c>
      <c r="TYU45" s="5">
        <f>-'5. IRR'!TYV16</f>
        <v>-0.0</v>
      </c>
      <c r="TYV45" s="5">
        <f>-'5. IRR'!TYW16</f>
        <v>-0.0</v>
      </c>
      <c r="TYW45" s="5">
        <f>-'5. IRR'!TYX16</f>
        <v>-0.0</v>
      </c>
      <c r="TYX45" s="5">
        <f>-'5. IRR'!TYY16</f>
        <v>-0.0</v>
      </c>
      <c r="TYY45" s="5">
        <f>-'5. IRR'!TYZ16</f>
        <v>-0.0</v>
      </c>
      <c r="TYZ45" s="5">
        <f>-'5. IRR'!TZA16</f>
        <v>-0.0</v>
      </c>
      <c r="TZA45" s="5">
        <f>-'5. IRR'!TZB16</f>
        <v>-0.0</v>
      </c>
      <c r="TZB45" s="5">
        <f>-'5. IRR'!TZC16</f>
        <v>-0.0</v>
      </c>
      <c r="TZC45" s="5">
        <f>-'5. IRR'!TZD16</f>
        <v>-0.0</v>
      </c>
      <c r="TZD45" s="5">
        <f>-'5. IRR'!TZE16</f>
        <v>-0.0</v>
      </c>
      <c r="TZE45" s="5">
        <f>-'5. IRR'!TZF16</f>
        <v>-0.0</v>
      </c>
      <c r="TZF45" s="5">
        <f>-'5. IRR'!TZG16</f>
        <v>-0.0</v>
      </c>
      <c r="TZG45" s="5">
        <f>-'5. IRR'!TZH16</f>
        <v>-0.0</v>
      </c>
      <c r="TZH45" s="5">
        <f>-'5. IRR'!TZI16</f>
        <v>-0.0</v>
      </c>
      <c r="TZI45" s="5">
        <f>-'5. IRR'!TZJ16</f>
        <v>-0.0</v>
      </c>
      <c r="TZJ45" s="5">
        <f>-'5. IRR'!TZK16</f>
        <v>-0.0</v>
      </c>
      <c r="TZK45" s="5">
        <f>-'5. IRR'!TZL16</f>
        <v>-0.0</v>
      </c>
      <c r="TZL45" s="5">
        <f>-'5. IRR'!TZM16</f>
        <v>-0.0</v>
      </c>
      <c r="TZM45" s="5">
        <f>-'5. IRR'!TZN16</f>
        <v>-0.0</v>
      </c>
      <c r="TZN45" s="5">
        <f>-'5. IRR'!TZO16</f>
        <v>-0.0</v>
      </c>
      <c r="TZO45" s="5">
        <f>-'5. IRR'!TZP16</f>
        <v>-0.0</v>
      </c>
      <c r="TZP45" s="5">
        <f>-'5. IRR'!TZQ16</f>
        <v>-0.0</v>
      </c>
      <c r="TZQ45" s="5">
        <f>-'5. IRR'!TZR16</f>
        <v>-0.0</v>
      </c>
      <c r="TZR45" s="5">
        <f>-'5. IRR'!TZS16</f>
        <v>-0.0</v>
      </c>
      <c r="TZS45" s="5">
        <f>-'5. IRR'!TZT16</f>
        <v>-0.0</v>
      </c>
      <c r="TZT45" s="5">
        <f>-'5. IRR'!TZU16</f>
        <v>-0.0</v>
      </c>
      <c r="TZU45" s="5">
        <f>-'5. IRR'!TZV16</f>
        <v>-0.0</v>
      </c>
      <c r="TZV45" s="5">
        <f>-'5. IRR'!TZW16</f>
        <v>-0.0</v>
      </c>
      <c r="TZW45" s="5">
        <f>-'5. IRR'!TZX16</f>
        <v>-0.0</v>
      </c>
      <c r="TZX45" s="5">
        <f>-'5. IRR'!TZY16</f>
        <v>-0.0</v>
      </c>
      <c r="TZY45" s="5">
        <f>-'5. IRR'!TZZ16</f>
        <v>-0.0</v>
      </c>
      <c r="TZZ45" s="5">
        <f>-'5. IRR'!UAA16</f>
        <v>-0.0</v>
      </c>
      <c r="UAA45" s="5">
        <f>-'5. IRR'!UAB16</f>
        <v>-0.0</v>
      </c>
      <c r="UAB45" s="5">
        <f>-'5. IRR'!UAC16</f>
        <v>-0.0</v>
      </c>
      <c r="UAC45" s="5">
        <f>-'5. IRR'!UAD16</f>
        <v>-0.0</v>
      </c>
      <c r="UAD45" s="5">
        <f>-'5. IRR'!UAE16</f>
        <v>-0.0</v>
      </c>
      <c r="UAE45" s="5">
        <f>-'5. IRR'!UAF16</f>
        <v>-0.0</v>
      </c>
      <c r="UAF45" s="5">
        <f>-'5. IRR'!UAG16</f>
        <v>-0.0</v>
      </c>
      <c r="UAG45" s="5">
        <f>-'5. IRR'!UAH16</f>
        <v>-0.0</v>
      </c>
      <c r="UAH45" s="5">
        <f>-'5. IRR'!UAI16</f>
        <v>-0.0</v>
      </c>
      <c r="UAI45" s="5">
        <f>-'5. IRR'!UAJ16</f>
        <v>-0.0</v>
      </c>
      <c r="UAJ45" s="5">
        <f>-'5. IRR'!UAK16</f>
        <v>-0.0</v>
      </c>
      <c r="UAK45" s="5">
        <f>-'5. IRR'!UAL16</f>
        <v>-0.0</v>
      </c>
      <c r="UAL45" s="5">
        <f>-'5. IRR'!UAM16</f>
        <v>-0.0</v>
      </c>
      <c r="UAM45" s="5">
        <f>-'5. IRR'!UAN16</f>
        <v>-0.0</v>
      </c>
      <c r="UAN45" s="5">
        <f>-'5. IRR'!UAO16</f>
        <v>-0.0</v>
      </c>
      <c r="UAO45" s="5">
        <f>-'5. IRR'!UAP16</f>
        <v>-0.0</v>
      </c>
      <c r="UAP45" s="5">
        <f>-'5. IRR'!UAQ16</f>
        <v>-0.0</v>
      </c>
      <c r="UAQ45" s="5">
        <f>-'5. IRR'!UAR16</f>
        <v>-0.0</v>
      </c>
      <c r="UAR45" s="5">
        <f>-'5. IRR'!UAS16</f>
        <v>-0.0</v>
      </c>
      <c r="UAS45" s="5">
        <f>-'5. IRR'!UAT16</f>
        <v>-0.0</v>
      </c>
      <c r="UAT45" s="5">
        <f>-'5. IRR'!UAU16</f>
        <v>-0.0</v>
      </c>
      <c r="UAU45" s="5">
        <f>-'5. IRR'!UAV16</f>
        <v>-0.0</v>
      </c>
      <c r="UAV45" s="5">
        <f>-'5. IRR'!UAW16</f>
        <v>-0.0</v>
      </c>
      <c r="UAW45" s="5">
        <f>-'5. IRR'!UAX16</f>
        <v>-0.0</v>
      </c>
      <c r="UAX45" s="5">
        <f>-'5. IRR'!UAY16</f>
        <v>-0.0</v>
      </c>
      <c r="UAY45" s="5">
        <f>-'5. IRR'!UAZ16</f>
        <v>-0.0</v>
      </c>
      <c r="UAZ45" s="5">
        <f>-'5. IRR'!UBA16</f>
        <v>-0.0</v>
      </c>
      <c r="UBA45" s="5">
        <f>-'5. IRR'!UBB16</f>
        <v>-0.0</v>
      </c>
      <c r="UBB45" s="5">
        <f>-'5. IRR'!UBC16</f>
        <v>-0.0</v>
      </c>
      <c r="UBC45" s="5">
        <f>-'5. IRR'!UBD16</f>
        <v>-0.0</v>
      </c>
      <c r="UBD45" s="5">
        <f>-'5. IRR'!UBE16</f>
        <v>-0.0</v>
      </c>
      <c r="UBE45" s="5">
        <f>-'5. IRR'!UBF16</f>
        <v>-0.0</v>
      </c>
      <c r="UBF45" s="5">
        <f>-'5. IRR'!UBG16</f>
        <v>-0.0</v>
      </c>
      <c r="UBG45" s="5">
        <f>-'5. IRR'!UBH16</f>
        <v>-0.0</v>
      </c>
      <c r="UBH45" s="5">
        <f>-'5. IRR'!UBI16</f>
        <v>-0.0</v>
      </c>
      <c r="UBI45" s="5">
        <f>-'5. IRR'!UBJ16</f>
        <v>-0.0</v>
      </c>
      <c r="UBJ45" s="5">
        <f>-'5. IRR'!UBK16</f>
        <v>-0.0</v>
      </c>
      <c r="UBK45" s="5">
        <f>-'5. IRR'!UBL16</f>
        <v>-0.0</v>
      </c>
      <c r="UBL45" s="5">
        <f>-'5. IRR'!UBM16</f>
        <v>-0.0</v>
      </c>
      <c r="UBM45" s="5">
        <f>-'5. IRR'!UBN16</f>
        <v>-0.0</v>
      </c>
      <c r="UBN45" s="5">
        <f>-'5. IRR'!UBO16</f>
        <v>-0.0</v>
      </c>
      <c r="UBO45" s="5">
        <f>-'5. IRR'!UBP16</f>
        <v>-0.0</v>
      </c>
      <c r="UBP45" s="5">
        <f>-'5. IRR'!UBQ16</f>
        <v>-0.0</v>
      </c>
      <c r="UBQ45" s="5">
        <f>-'5. IRR'!UBR16</f>
        <v>-0.0</v>
      </c>
      <c r="UBR45" s="5">
        <f>-'5. IRR'!UBS16</f>
        <v>-0.0</v>
      </c>
      <c r="UBS45" s="5">
        <f>-'5. IRR'!UBT16</f>
        <v>-0.0</v>
      </c>
      <c r="UBT45" s="5">
        <f>-'5. IRR'!UBU16</f>
        <v>-0.0</v>
      </c>
      <c r="UBU45" s="5">
        <f>-'5. IRR'!UBV16</f>
        <v>-0.0</v>
      </c>
      <c r="UBV45" s="5">
        <f>-'5. IRR'!UBW16</f>
        <v>-0.0</v>
      </c>
      <c r="UBW45" s="5">
        <f>-'5. IRR'!UBX16</f>
        <v>-0.0</v>
      </c>
      <c r="UBX45" s="5">
        <f>-'5. IRR'!UBY16</f>
        <v>-0.0</v>
      </c>
      <c r="UBY45" s="5">
        <f>-'5. IRR'!UBZ16</f>
        <v>-0.0</v>
      </c>
      <c r="UBZ45" s="5">
        <f>-'5. IRR'!UCA16</f>
        <v>-0.0</v>
      </c>
      <c r="UCA45" s="5">
        <f>-'5. IRR'!UCB16</f>
        <v>-0.0</v>
      </c>
      <c r="UCB45" s="5">
        <f>-'5. IRR'!UCC16</f>
        <v>-0.0</v>
      </c>
      <c r="UCC45" s="5">
        <f>-'5. IRR'!UCD16</f>
        <v>-0.0</v>
      </c>
      <c r="UCD45" s="5">
        <f>-'5. IRR'!UCE16</f>
        <v>-0.0</v>
      </c>
      <c r="UCE45" s="5">
        <f>-'5. IRR'!UCF16</f>
        <v>-0.0</v>
      </c>
      <c r="UCF45" s="5">
        <f>-'5. IRR'!UCG16</f>
        <v>-0.0</v>
      </c>
      <c r="UCG45" s="5">
        <f>-'5. IRR'!UCH16</f>
        <v>-0.0</v>
      </c>
      <c r="UCH45" s="5">
        <f>-'5. IRR'!UCI16</f>
        <v>-0.0</v>
      </c>
      <c r="UCI45" s="5">
        <f>-'5. IRR'!UCJ16</f>
        <v>-0.0</v>
      </c>
      <c r="UCJ45" s="5">
        <f>-'5. IRR'!UCK16</f>
        <v>-0.0</v>
      </c>
      <c r="UCK45" s="5">
        <f>-'5. IRR'!UCL16</f>
        <v>-0.0</v>
      </c>
      <c r="UCL45" s="5">
        <f>-'5. IRR'!UCM16</f>
        <v>-0.0</v>
      </c>
      <c r="UCM45" s="5">
        <f>-'5. IRR'!UCN16</f>
        <v>-0.0</v>
      </c>
      <c r="UCN45" s="5">
        <f>-'5. IRR'!UCO16</f>
        <v>-0.0</v>
      </c>
      <c r="UCO45" s="5">
        <f>-'5. IRR'!UCP16</f>
        <v>-0.0</v>
      </c>
      <c r="UCP45" s="5">
        <f>-'5. IRR'!UCQ16</f>
        <v>-0.0</v>
      </c>
      <c r="UCQ45" s="5">
        <f>-'5. IRR'!UCR16</f>
        <v>-0.0</v>
      </c>
      <c r="UCR45" s="5">
        <f>-'5. IRR'!UCS16</f>
        <v>-0.0</v>
      </c>
      <c r="UCS45" s="5">
        <f>-'5. IRR'!UCT16</f>
        <v>-0.0</v>
      </c>
      <c r="UCT45" s="5">
        <f>-'5. IRR'!UCU16</f>
        <v>-0.0</v>
      </c>
      <c r="UCU45" s="5">
        <f>-'5. IRR'!UCV16</f>
        <v>-0.0</v>
      </c>
      <c r="UCV45" s="5">
        <f>-'5. IRR'!UCW16</f>
        <v>-0.0</v>
      </c>
      <c r="UCW45" s="5">
        <f>-'5. IRR'!UCX16</f>
        <v>-0.0</v>
      </c>
      <c r="UCX45" s="5">
        <f>-'5. IRR'!UCY16</f>
        <v>-0.0</v>
      </c>
      <c r="UCY45" s="5">
        <f>-'5. IRR'!UCZ16</f>
        <v>-0.0</v>
      </c>
      <c r="UCZ45" s="5">
        <f>-'5. IRR'!UDA16</f>
        <v>-0.0</v>
      </c>
      <c r="UDA45" s="5">
        <f>-'5. IRR'!UDB16</f>
        <v>-0.0</v>
      </c>
      <c r="UDB45" s="5">
        <f>-'5. IRR'!UDC16</f>
        <v>-0.0</v>
      </c>
      <c r="UDC45" s="5">
        <f>-'5. IRR'!UDD16</f>
        <v>-0.0</v>
      </c>
      <c r="UDD45" s="5">
        <f>-'5. IRR'!UDE16</f>
        <v>-0.0</v>
      </c>
      <c r="UDE45" s="5">
        <f>-'5. IRR'!UDF16</f>
        <v>-0.0</v>
      </c>
      <c r="UDF45" s="5">
        <f>-'5. IRR'!UDG16</f>
        <v>-0.0</v>
      </c>
      <c r="UDG45" s="5">
        <f>-'5. IRR'!UDH16</f>
        <v>-0.0</v>
      </c>
      <c r="UDH45" s="5">
        <f>-'5. IRR'!UDI16</f>
        <v>-0.0</v>
      </c>
      <c r="UDI45" s="5">
        <f>-'5. IRR'!UDJ16</f>
        <v>-0.0</v>
      </c>
      <c r="UDJ45" s="5">
        <f>-'5. IRR'!UDK16</f>
        <v>-0.0</v>
      </c>
      <c r="UDK45" s="5">
        <f>-'5. IRR'!UDL16</f>
        <v>-0.0</v>
      </c>
      <c r="UDL45" s="5">
        <f>-'5. IRR'!UDM16</f>
        <v>-0.0</v>
      </c>
      <c r="UDM45" s="5">
        <f>-'5. IRR'!UDN16</f>
        <v>-0.0</v>
      </c>
      <c r="UDN45" s="5">
        <f>-'5. IRR'!UDO16</f>
        <v>-0.0</v>
      </c>
      <c r="UDO45" s="5">
        <f>-'5. IRR'!UDP16</f>
        <v>-0.0</v>
      </c>
      <c r="UDP45" s="5">
        <f>-'5. IRR'!UDQ16</f>
        <v>-0.0</v>
      </c>
      <c r="UDQ45" s="5">
        <f>-'5. IRR'!UDR16</f>
        <v>-0.0</v>
      </c>
      <c r="UDR45" s="5">
        <f>-'5. IRR'!UDS16</f>
        <v>-0.0</v>
      </c>
      <c r="UDS45" s="5">
        <f>-'5. IRR'!UDT16</f>
        <v>-0.0</v>
      </c>
      <c r="UDT45" s="5">
        <f>-'5. IRR'!UDU16</f>
        <v>-0.0</v>
      </c>
      <c r="UDU45" s="5">
        <f>-'5. IRR'!UDV16</f>
        <v>-0.0</v>
      </c>
      <c r="UDV45" s="5">
        <f>-'5. IRR'!UDW16</f>
        <v>-0.0</v>
      </c>
      <c r="UDW45" s="5">
        <f>-'5. IRR'!UDX16</f>
        <v>-0.0</v>
      </c>
      <c r="UDX45" s="5">
        <f>-'5. IRR'!UDY16</f>
        <v>-0.0</v>
      </c>
      <c r="UDY45" s="5">
        <f>-'5. IRR'!UDZ16</f>
        <v>-0.0</v>
      </c>
      <c r="UDZ45" s="5">
        <f>-'5. IRR'!UEA16</f>
        <v>-0.0</v>
      </c>
      <c r="UEA45" s="5">
        <f>-'5. IRR'!UEB16</f>
        <v>-0.0</v>
      </c>
      <c r="UEB45" s="5">
        <f>-'5. IRR'!UEC16</f>
        <v>-0.0</v>
      </c>
      <c r="UEC45" s="5">
        <f>-'5. IRR'!UED16</f>
        <v>-0.0</v>
      </c>
      <c r="UED45" s="5">
        <f>-'5. IRR'!UEE16</f>
        <v>-0.0</v>
      </c>
      <c r="UEE45" s="5">
        <f>-'5. IRR'!UEF16</f>
        <v>-0.0</v>
      </c>
      <c r="UEF45" s="5">
        <f>-'5. IRR'!UEG16</f>
        <v>-0.0</v>
      </c>
      <c r="UEG45" s="5">
        <f>-'5. IRR'!UEH16</f>
        <v>-0.0</v>
      </c>
      <c r="UEH45" s="5">
        <f>-'5. IRR'!UEI16</f>
        <v>-0.0</v>
      </c>
      <c r="UEI45" s="5">
        <f>-'5. IRR'!UEJ16</f>
        <v>-0.0</v>
      </c>
      <c r="UEJ45" s="5">
        <f>-'5. IRR'!UEK16</f>
        <v>-0.0</v>
      </c>
      <c r="UEK45" s="5">
        <f>-'5. IRR'!UEL16</f>
        <v>-0.0</v>
      </c>
      <c r="UEL45" s="5">
        <f>-'5. IRR'!UEM16</f>
        <v>-0.0</v>
      </c>
      <c r="UEM45" s="5">
        <f>-'5. IRR'!UEN16</f>
        <v>-0.0</v>
      </c>
      <c r="UEN45" s="5">
        <f>-'5. IRR'!UEO16</f>
        <v>-0.0</v>
      </c>
      <c r="UEO45" s="5">
        <f>-'5. IRR'!UEP16</f>
        <v>-0.0</v>
      </c>
      <c r="UEP45" s="5">
        <f>-'5. IRR'!UEQ16</f>
        <v>-0.0</v>
      </c>
      <c r="UEQ45" s="5">
        <f>-'5. IRR'!UER16</f>
        <v>-0.0</v>
      </c>
      <c r="UER45" s="5">
        <f>-'5. IRR'!UES16</f>
        <v>-0.0</v>
      </c>
      <c r="UES45" s="5">
        <f>-'5. IRR'!UET16</f>
        <v>-0.0</v>
      </c>
      <c r="UET45" s="5">
        <f>-'5. IRR'!UEU16</f>
        <v>-0.0</v>
      </c>
      <c r="UEU45" s="5">
        <f>-'5. IRR'!UEV16</f>
        <v>-0.0</v>
      </c>
      <c r="UEV45" s="5">
        <f>-'5. IRR'!UEW16</f>
        <v>-0.0</v>
      </c>
      <c r="UEW45" s="5">
        <f>-'5. IRR'!UEX16</f>
        <v>-0.0</v>
      </c>
      <c r="UEX45" s="5">
        <f>-'5. IRR'!UEY16</f>
        <v>-0.0</v>
      </c>
      <c r="UEY45" s="5">
        <f>-'5. IRR'!UEZ16</f>
        <v>-0.0</v>
      </c>
      <c r="UEZ45" s="5">
        <f>-'5. IRR'!UFA16</f>
        <v>-0.0</v>
      </c>
      <c r="UFA45" s="5">
        <f>-'5. IRR'!UFB16</f>
        <v>-0.0</v>
      </c>
      <c r="UFB45" s="5">
        <f>-'5. IRR'!UFC16</f>
        <v>-0.0</v>
      </c>
      <c r="UFC45" s="5">
        <f>-'5. IRR'!UFD16</f>
        <v>-0.0</v>
      </c>
      <c r="UFD45" s="5">
        <f>-'5. IRR'!UFE16</f>
        <v>-0.0</v>
      </c>
      <c r="UFE45" s="5">
        <f>-'5. IRR'!UFF16</f>
        <v>-0.0</v>
      </c>
      <c r="UFF45" s="5">
        <f>-'5. IRR'!UFG16</f>
        <v>-0.0</v>
      </c>
      <c r="UFG45" s="5">
        <f>-'5. IRR'!UFH16</f>
        <v>-0.0</v>
      </c>
      <c r="UFH45" s="5">
        <f>-'5. IRR'!UFI16</f>
        <v>-0.0</v>
      </c>
      <c r="UFI45" s="5">
        <f>-'5. IRR'!UFJ16</f>
        <v>-0.0</v>
      </c>
      <c r="UFJ45" s="5">
        <f>-'5. IRR'!UFK16</f>
        <v>-0.0</v>
      </c>
      <c r="UFK45" s="5">
        <f>-'5. IRR'!UFL16</f>
        <v>-0.0</v>
      </c>
      <c r="UFL45" s="5">
        <f>-'5. IRR'!UFM16</f>
        <v>-0.0</v>
      </c>
      <c r="UFM45" s="5">
        <f>-'5. IRR'!UFN16</f>
        <v>-0.0</v>
      </c>
      <c r="UFN45" s="5">
        <f>-'5. IRR'!UFO16</f>
        <v>-0.0</v>
      </c>
      <c r="UFO45" s="5">
        <f>-'5. IRR'!UFP16</f>
        <v>-0.0</v>
      </c>
      <c r="UFP45" s="5">
        <f>-'5. IRR'!UFQ16</f>
        <v>-0.0</v>
      </c>
      <c r="UFQ45" s="5">
        <f>-'5. IRR'!UFR16</f>
        <v>-0.0</v>
      </c>
      <c r="UFR45" s="5">
        <f>-'5. IRR'!UFS16</f>
        <v>-0.0</v>
      </c>
      <c r="UFS45" s="5">
        <f>-'5. IRR'!UFT16</f>
        <v>-0.0</v>
      </c>
      <c r="UFT45" s="5">
        <f>-'5. IRR'!UFU16</f>
        <v>-0.0</v>
      </c>
      <c r="UFU45" s="5">
        <f>-'5. IRR'!UFV16</f>
        <v>-0.0</v>
      </c>
      <c r="UFV45" s="5">
        <f>-'5. IRR'!UFW16</f>
        <v>-0.0</v>
      </c>
      <c r="UFW45" s="5">
        <f>-'5. IRR'!UFX16</f>
        <v>-0.0</v>
      </c>
      <c r="UFX45" s="5">
        <f>-'5. IRR'!UFY16</f>
        <v>-0.0</v>
      </c>
      <c r="UFY45" s="5">
        <f>-'5. IRR'!UFZ16</f>
        <v>-0.0</v>
      </c>
      <c r="UFZ45" s="5">
        <f>-'5. IRR'!UGA16</f>
        <v>-0.0</v>
      </c>
      <c r="UGA45" s="5">
        <f>-'5. IRR'!UGB16</f>
        <v>-0.0</v>
      </c>
      <c r="UGB45" s="5">
        <f>-'5. IRR'!UGC16</f>
        <v>-0.0</v>
      </c>
      <c r="UGC45" s="5">
        <f>-'5. IRR'!UGD16</f>
        <v>-0.0</v>
      </c>
      <c r="UGD45" s="5">
        <f>-'5. IRR'!UGE16</f>
        <v>-0.0</v>
      </c>
      <c r="UGE45" s="5">
        <f>-'5. IRR'!UGF16</f>
        <v>-0.0</v>
      </c>
      <c r="UGF45" s="5">
        <f>-'5. IRR'!UGG16</f>
        <v>-0.0</v>
      </c>
      <c r="UGG45" s="5">
        <f>-'5. IRR'!UGH16</f>
        <v>-0.0</v>
      </c>
      <c r="UGH45" s="5">
        <f>-'5. IRR'!UGI16</f>
        <v>-0.0</v>
      </c>
      <c r="UGI45" s="5">
        <f>-'5. IRR'!UGJ16</f>
        <v>-0.0</v>
      </c>
      <c r="UGJ45" s="5">
        <f>-'5. IRR'!UGK16</f>
        <v>-0.0</v>
      </c>
      <c r="UGK45" s="5">
        <f>-'5. IRR'!UGL16</f>
        <v>-0.0</v>
      </c>
      <c r="UGL45" s="5">
        <f>-'5. IRR'!UGM16</f>
        <v>-0.0</v>
      </c>
      <c r="UGM45" s="5">
        <f>-'5. IRR'!UGN16</f>
        <v>-0.0</v>
      </c>
      <c r="UGN45" s="5">
        <f>-'5. IRR'!UGO16</f>
        <v>-0.0</v>
      </c>
      <c r="UGO45" s="5">
        <f>-'5. IRR'!UGP16</f>
        <v>-0.0</v>
      </c>
      <c r="UGP45" s="5">
        <f>-'5. IRR'!UGQ16</f>
        <v>-0.0</v>
      </c>
      <c r="UGQ45" s="5">
        <f>-'5. IRR'!UGR16</f>
        <v>-0.0</v>
      </c>
      <c r="UGR45" s="5">
        <f>-'5. IRR'!UGS16</f>
        <v>-0.0</v>
      </c>
      <c r="UGS45" s="5">
        <f>-'5. IRR'!UGT16</f>
        <v>-0.0</v>
      </c>
      <c r="UGT45" s="5">
        <f>-'5. IRR'!UGU16</f>
        <v>-0.0</v>
      </c>
      <c r="UGU45" s="5">
        <f>-'5. IRR'!UGV16</f>
        <v>-0.0</v>
      </c>
      <c r="UGV45" s="5">
        <f>-'5. IRR'!UGW16</f>
        <v>-0.0</v>
      </c>
      <c r="UGW45" s="5">
        <f>-'5. IRR'!UGX16</f>
        <v>-0.0</v>
      </c>
      <c r="UGX45" s="5">
        <f>-'5. IRR'!UGY16</f>
        <v>-0.0</v>
      </c>
      <c r="UGY45" s="5">
        <f>-'5. IRR'!UGZ16</f>
        <v>-0.0</v>
      </c>
      <c r="UGZ45" s="5">
        <f>-'5. IRR'!UHA16</f>
        <v>-0.0</v>
      </c>
      <c r="UHA45" s="5">
        <f>-'5. IRR'!UHB16</f>
        <v>-0.0</v>
      </c>
      <c r="UHB45" s="5">
        <f>-'5. IRR'!UHC16</f>
        <v>-0.0</v>
      </c>
      <c r="UHC45" s="5">
        <f>-'5. IRR'!UHD16</f>
        <v>-0.0</v>
      </c>
      <c r="UHD45" s="5">
        <f>-'5. IRR'!UHE16</f>
        <v>-0.0</v>
      </c>
      <c r="UHE45" s="5">
        <f>-'5. IRR'!UHF16</f>
        <v>-0.0</v>
      </c>
      <c r="UHF45" s="5">
        <f>-'5. IRR'!UHG16</f>
        <v>-0.0</v>
      </c>
      <c r="UHG45" s="5">
        <f>-'5. IRR'!UHH16</f>
        <v>-0.0</v>
      </c>
      <c r="UHH45" s="5">
        <f>-'5. IRR'!UHI16</f>
        <v>-0.0</v>
      </c>
      <c r="UHI45" s="5">
        <f>-'5. IRR'!UHJ16</f>
        <v>-0.0</v>
      </c>
      <c r="UHJ45" s="5">
        <f>-'5. IRR'!UHK16</f>
        <v>-0.0</v>
      </c>
      <c r="UHK45" s="5">
        <f>-'5. IRR'!UHL16</f>
        <v>-0.0</v>
      </c>
      <c r="UHL45" s="5">
        <f>-'5. IRR'!UHM16</f>
        <v>-0.0</v>
      </c>
      <c r="UHM45" s="5">
        <f>-'5. IRR'!UHN16</f>
        <v>-0.0</v>
      </c>
      <c r="UHN45" s="5">
        <f>-'5. IRR'!UHO16</f>
        <v>-0.0</v>
      </c>
      <c r="UHO45" s="5">
        <f>-'5. IRR'!UHP16</f>
        <v>-0.0</v>
      </c>
      <c r="UHP45" s="5">
        <f>-'5. IRR'!UHQ16</f>
        <v>-0.0</v>
      </c>
      <c r="UHQ45" s="5">
        <f>-'5. IRR'!UHR16</f>
        <v>-0.0</v>
      </c>
      <c r="UHR45" s="5">
        <f>-'5. IRR'!UHS16</f>
        <v>-0.0</v>
      </c>
      <c r="UHS45" s="5">
        <f>-'5. IRR'!UHT16</f>
        <v>-0.0</v>
      </c>
      <c r="UHT45" s="5">
        <f>-'5. IRR'!UHU16</f>
        <v>-0.0</v>
      </c>
      <c r="UHU45" s="5">
        <f>-'5. IRR'!UHV16</f>
        <v>-0.0</v>
      </c>
      <c r="UHV45" s="5">
        <f>-'5. IRR'!UHW16</f>
        <v>-0.0</v>
      </c>
      <c r="UHW45" s="5">
        <f>-'5. IRR'!UHX16</f>
        <v>-0.0</v>
      </c>
      <c r="UHX45" s="5">
        <f>-'5. IRR'!UHY16</f>
        <v>-0.0</v>
      </c>
      <c r="UHY45" s="5">
        <f>-'5. IRR'!UHZ16</f>
        <v>-0.0</v>
      </c>
      <c r="UHZ45" s="5">
        <f>-'5. IRR'!UIA16</f>
        <v>-0.0</v>
      </c>
      <c r="UIA45" s="5">
        <f>-'5. IRR'!UIB16</f>
        <v>-0.0</v>
      </c>
      <c r="UIB45" s="5">
        <f>-'5. IRR'!UIC16</f>
        <v>-0.0</v>
      </c>
      <c r="UIC45" s="5">
        <f>-'5. IRR'!UID16</f>
        <v>-0.0</v>
      </c>
      <c r="UID45" s="5">
        <f>-'5. IRR'!UIE16</f>
        <v>-0.0</v>
      </c>
      <c r="UIE45" s="5">
        <f>-'5. IRR'!UIF16</f>
        <v>-0.0</v>
      </c>
      <c r="UIF45" s="5">
        <f>-'5. IRR'!UIG16</f>
        <v>-0.0</v>
      </c>
      <c r="UIG45" s="5">
        <f>-'5. IRR'!UIH16</f>
        <v>-0.0</v>
      </c>
      <c r="UIH45" s="5">
        <f>-'5. IRR'!UII16</f>
        <v>-0.0</v>
      </c>
      <c r="UII45" s="5">
        <f>-'5. IRR'!UIJ16</f>
        <v>-0.0</v>
      </c>
      <c r="UIJ45" s="5">
        <f>-'5. IRR'!UIK16</f>
        <v>-0.0</v>
      </c>
      <c r="UIK45" s="5">
        <f>-'5. IRR'!UIL16</f>
        <v>-0.0</v>
      </c>
      <c r="UIL45" s="5">
        <f>-'5. IRR'!UIM16</f>
        <v>-0.0</v>
      </c>
      <c r="UIM45" s="5">
        <f>-'5. IRR'!UIN16</f>
        <v>-0.0</v>
      </c>
      <c r="UIN45" s="5">
        <f>-'5. IRR'!UIO16</f>
        <v>-0.0</v>
      </c>
      <c r="UIO45" s="5">
        <f>-'5. IRR'!UIP16</f>
        <v>-0.0</v>
      </c>
      <c r="UIP45" s="5">
        <f>-'5. IRR'!UIQ16</f>
        <v>-0.0</v>
      </c>
      <c r="UIQ45" s="5">
        <f>-'5. IRR'!UIR16</f>
        <v>-0.0</v>
      </c>
      <c r="UIR45" s="5">
        <f>-'5. IRR'!UIS16</f>
        <v>-0.0</v>
      </c>
      <c r="UIS45" s="5">
        <f>-'5. IRR'!UIT16</f>
        <v>-0.0</v>
      </c>
      <c r="UIT45" s="5">
        <f>-'5. IRR'!UIU16</f>
        <v>-0.0</v>
      </c>
      <c r="UIU45" s="5">
        <f>-'5. IRR'!UIV16</f>
        <v>-0.0</v>
      </c>
      <c r="UIV45" s="5">
        <f>-'5. IRR'!UIW16</f>
        <v>-0.0</v>
      </c>
      <c r="UIW45" s="5">
        <f>-'5. IRR'!UIX16</f>
        <v>-0.0</v>
      </c>
      <c r="UIX45" s="5">
        <f>-'5. IRR'!UIY16</f>
        <v>-0.0</v>
      </c>
      <c r="UIY45" s="5">
        <f>-'5. IRR'!UIZ16</f>
        <v>-0.0</v>
      </c>
      <c r="UIZ45" s="5">
        <f>-'5. IRR'!UJA16</f>
        <v>-0.0</v>
      </c>
      <c r="UJA45" s="5">
        <f>-'5. IRR'!UJB16</f>
        <v>-0.0</v>
      </c>
      <c r="UJB45" s="5">
        <f>-'5. IRR'!UJC16</f>
        <v>-0.0</v>
      </c>
      <c r="UJC45" s="5">
        <f>-'5. IRR'!UJD16</f>
        <v>-0.0</v>
      </c>
      <c r="UJD45" s="5">
        <f>-'5. IRR'!UJE16</f>
        <v>-0.0</v>
      </c>
      <c r="UJE45" s="5">
        <f>-'5. IRR'!UJF16</f>
        <v>-0.0</v>
      </c>
      <c r="UJF45" s="5">
        <f>-'5. IRR'!UJG16</f>
        <v>-0.0</v>
      </c>
      <c r="UJG45" s="5">
        <f>-'5. IRR'!UJH16</f>
        <v>-0.0</v>
      </c>
      <c r="UJH45" s="5">
        <f>-'5. IRR'!UJI16</f>
        <v>-0.0</v>
      </c>
      <c r="UJI45" s="5">
        <f>-'5. IRR'!UJJ16</f>
        <v>-0.0</v>
      </c>
      <c r="UJJ45" s="5">
        <f>-'5. IRR'!UJK16</f>
        <v>-0.0</v>
      </c>
      <c r="UJK45" s="5">
        <f>-'5. IRR'!UJL16</f>
        <v>-0.0</v>
      </c>
      <c r="UJL45" s="5">
        <f>-'5. IRR'!UJM16</f>
        <v>-0.0</v>
      </c>
      <c r="UJM45" s="5">
        <f>-'5. IRR'!UJN16</f>
        <v>-0.0</v>
      </c>
      <c r="UJN45" s="5">
        <f>-'5. IRR'!UJO16</f>
        <v>-0.0</v>
      </c>
      <c r="UJO45" s="5">
        <f>-'5. IRR'!UJP16</f>
        <v>-0.0</v>
      </c>
      <c r="UJP45" s="5">
        <f>-'5. IRR'!UJQ16</f>
        <v>-0.0</v>
      </c>
      <c r="UJQ45" s="5">
        <f>-'5. IRR'!UJR16</f>
        <v>-0.0</v>
      </c>
      <c r="UJR45" s="5">
        <f>-'5. IRR'!UJS16</f>
        <v>-0.0</v>
      </c>
      <c r="UJS45" s="5">
        <f>-'5. IRR'!UJT16</f>
        <v>-0.0</v>
      </c>
      <c r="UJT45" s="5">
        <f>-'5. IRR'!UJU16</f>
        <v>-0.0</v>
      </c>
      <c r="UJU45" s="5">
        <f>-'5. IRR'!UJV16</f>
        <v>-0.0</v>
      </c>
      <c r="UJV45" s="5">
        <f>-'5. IRR'!UJW16</f>
        <v>-0.0</v>
      </c>
      <c r="UJW45" s="5">
        <f>-'5. IRR'!UJX16</f>
        <v>-0.0</v>
      </c>
      <c r="UJX45" s="5">
        <f>-'5. IRR'!UJY16</f>
        <v>-0.0</v>
      </c>
      <c r="UJY45" s="5">
        <f>-'5. IRR'!UJZ16</f>
        <v>-0.0</v>
      </c>
      <c r="UJZ45" s="5">
        <f>-'5. IRR'!UKA16</f>
        <v>-0.0</v>
      </c>
      <c r="UKA45" s="5">
        <f>-'5. IRR'!UKB16</f>
        <v>-0.0</v>
      </c>
      <c r="UKB45" s="5">
        <f>-'5. IRR'!UKC16</f>
        <v>-0.0</v>
      </c>
      <c r="UKC45" s="5">
        <f>-'5. IRR'!UKD16</f>
        <v>-0.0</v>
      </c>
      <c r="UKD45" s="5">
        <f>-'5. IRR'!UKE16</f>
        <v>-0.0</v>
      </c>
      <c r="UKE45" s="5">
        <f>-'5. IRR'!UKF16</f>
        <v>-0.0</v>
      </c>
      <c r="UKF45" s="5">
        <f>-'5. IRR'!UKG16</f>
        <v>-0.0</v>
      </c>
      <c r="UKG45" s="5">
        <f>-'5. IRR'!UKH16</f>
        <v>-0.0</v>
      </c>
      <c r="UKH45" s="5">
        <f>-'5. IRR'!UKI16</f>
        <v>-0.0</v>
      </c>
      <c r="UKI45" s="5">
        <f>-'5. IRR'!UKJ16</f>
        <v>-0.0</v>
      </c>
      <c r="UKJ45" s="5">
        <f>-'5. IRR'!UKK16</f>
        <v>-0.0</v>
      </c>
      <c r="UKK45" s="5">
        <f>-'5. IRR'!UKL16</f>
        <v>-0.0</v>
      </c>
      <c r="UKL45" s="5">
        <f>-'5. IRR'!UKM16</f>
        <v>-0.0</v>
      </c>
      <c r="UKM45" s="5">
        <f>-'5. IRR'!UKN16</f>
        <v>-0.0</v>
      </c>
      <c r="UKN45" s="5">
        <f>-'5. IRR'!UKO16</f>
        <v>-0.0</v>
      </c>
      <c r="UKO45" s="5">
        <f>-'5. IRR'!UKP16</f>
        <v>-0.0</v>
      </c>
      <c r="UKP45" s="5">
        <f>-'5. IRR'!UKQ16</f>
        <v>-0.0</v>
      </c>
      <c r="UKQ45" s="5">
        <f>-'5. IRR'!UKR16</f>
        <v>-0.0</v>
      </c>
      <c r="UKR45" s="5">
        <f>-'5. IRR'!UKS16</f>
        <v>-0.0</v>
      </c>
      <c r="UKS45" s="5">
        <f>-'5. IRR'!UKT16</f>
        <v>-0.0</v>
      </c>
      <c r="UKT45" s="5">
        <f>-'5. IRR'!UKU16</f>
        <v>-0.0</v>
      </c>
      <c r="UKU45" s="5">
        <f>-'5. IRR'!UKV16</f>
        <v>-0.0</v>
      </c>
      <c r="UKV45" s="5">
        <f>-'5. IRR'!UKW16</f>
        <v>-0.0</v>
      </c>
      <c r="UKW45" s="5">
        <f>-'5. IRR'!UKX16</f>
        <v>-0.0</v>
      </c>
      <c r="UKX45" s="5">
        <f>-'5. IRR'!UKY16</f>
        <v>-0.0</v>
      </c>
      <c r="UKY45" s="5">
        <f>-'5. IRR'!UKZ16</f>
        <v>-0.0</v>
      </c>
      <c r="UKZ45" s="5">
        <f>-'5. IRR'!ULA16</f>
        <v>-0.0</v>
      </c>
      <c r="ULA45" s="5">
        <f>-'5. IRR'!ULB16</f>
        <v>-0.0</v>
      </c>
      <c r="ULB45" s="5">
        <f>-'5. IRR'!ULC16</f>
        <v>-0.0</v>
      </c>
      <c r="ULC45" s="5">
        <f>-'5. IRR'!ULD16</f>
        <v>-0.0</v>
      </c>
      <c r="ULD45" s="5">
        <f>-'5. IRR'!ULE16</f>
        <v>-0.0</v>
      </c>
      <c r="ULE45" s="5">
        <f>-'5. IRR'!ULF16</f>
        <v>-0.0</v>
      </c>
      <c r="ULF45" s="5">
        <f>-'5. IRR'!ULG16</f>
        <v>-0.0</v>
      </c>
      <c r="ULG45" s="5">
        <f>-'5. IRR'!ULH16</f>
        <v>-0.0</v>
      </c>
      <c r="ULH45" s="5">
        <f>-'5. IRR'!ULI16</f>
        <v>-0.0</v>
      </c>
      <c r="ULI45" s="5">
        <f>-'5. IRR'!ULJ16</f>
        <v>-0.0</v>
      </c>
      <c r="ULJ45" s="5">
        <f>-'5. IRR'!ULK16</f>
        <v>-0.0</v>
      </c>
      <c r="ULK45" s="5">
        <f>-'5. IRR'!ULL16</f>
        <v>-0.0</v>
      </c>
      <c r="ULL45" s="5">
        <f>-'5. IRR'!ULM16</f>
        <v>-0.0</v>
      </c>
      <c r="ULM45" s="5">
        <f>-'5. IRR'!ULN16</f>
        <v>-0.0</v>
      </c>
      <c r="ULN45" s="5">
        <f>-'5. IRR'!ULO16</f>
        <v>-0.0</v>
      </c>
      <c r="ULO45" s="5">
        <f>-'5. IRR'!ULP16</f>
        <v>-0.0</v>
      </c>
      <c r="ULP45" s="5">
        <f>-'5. IRR'!ULQ16</f>
        <v>-0.0</v>
      </c>
      <c r="ULQ45" s="5">
        <f>-'5. IRR'!ULR16</f>
        <v>-0.0</v>
      </c>
      <c r="ULR45" s="5">
        <f>-'5. IRR'!ULS16</f>
        <v>-0.0</v>
      </c>
      <c r="ULS45" s="5">
        <f>-'5. IRR'!ULT16</f>
        <v>-0.0</v>
      </c>
      <c r="ULT45" s="5">
        <f>-'5. IRR'!ULU16</f>
        <v>-0.0</v>
      </c>
      <c r="ULU45" s="5">
        <f>-'5. IRR'!ULV16</f>
        <v>-0.0</v>
      </c>
      <c r="ULV45" s="5">
        <f>-'5. IRR'!ULW16</f>
        <v>-0.0</v>
      </c>
      <c r="ULW45" s="5">
        <f>-'5. IRR'!ULX16</f>
        <v>-0.0</v>
      </c>
      <c r="ULX45" s="5">
        <f>-'5. IRR'!ULY16</f>
        <v>-0.0</v>
      </c>
      <c r="ULY45" s="5">
        <f>-'5. IRR'!ULZ16</f>
        <v>-0.0</v>
      </c>
      <c r="ULZ45" s="5">
        <f>-'5. IRR'!UMA16</f>
        <v>-0.0</v>
      </c>
      <c r="UMA45" s="5">
        <f>-'5. IRR'!UMB16</f>
        <v>-0.0</v>
      </c>
      <c r="UMB45" s="5">
        <f>-'5. IRR'!UMC16</f>
        <v>-0.0</v>
      </c>
      <c r="UMC45" s="5">
        <f>-'5. IRR'!UMD16</f>
        <v>-0.0</v>
      </c>
      <c r="UMD45" s="5">
        <f>-'5. IRR'!UME16</f>
        <v>-0.0</v>
      </c>
      <c r="UME45" s="5">
        <f>-'5. IRR'!UMF16</f>
        <v>-0.0</v>
      </c>
      <c r="UMF45" s="5">
        <f>-'5. IRR'!UMG16</f>
        <v>-0.0</v>
      </c>
      <c r="UMG45" s="5">
        <f>-'5. IRR'!UMH16</f>
        <v>-0.0</v>
      </c>
      <c r="UMH45" s="5">
        <f>-'5. IRR'!UMI16</f>
        <v>-0.0</v>
      </c>
      <c r="UMI45" s="5">
        <f>-'5. IRR'!UMJ16</f>
        <v>-0.0</v>
      </c>
      <c r="UMJ45" s="5">
        <f>-'5. IRR'!UMK16</f>
        <v>-0.0</v>
      </c>
      <c r="UMK45" s="5">
        <f>-'5. IRR'!UML16</f>
        <v>-0.0</v>
      </c>
      <c r="UML45" s="5">
        <f>-'5. IRR'!UMM16</f>
        <v>-0.0</v>
      </c>
      <c r="UMM45" s="5">
        <f>-'5. IRR'!UMN16</f>
        <v>-0.0</v>
      </c>
      <c r="UMN45" s="5">
        <f>-'5. IRR'!UMO16</f>
        <v>-0.0</v>
      </c>
      <c r="UMO45" s="5">
        <f>-'5. IRR'!UMP16</f>
        <v>-0.0</v>
      </c>
      <c r="UMP45" s="5">
        <f>-'5. IRR'!UMQ16</f>
        <v>-0.0</v>
      </c>
      <c r="UMQ45" s="5">
        <f>-'5. IRR'!UMR16</f>
        <v>-0.0</v>
      </c>
      <c r="UMR45" s="5">
        <f>-'5. IRR'!UMS16</f>
        <v>-0.0</v>
      </c>
      <c r="UMS45" s="5">
        <f>-'5. IRR'!UMT16</f>
        <v>-0.0</v>
      </c>
      <c r="UMT45" s="5">
        <f>-'5. IRR'!UMU16</f>
        <v>-0.0</v>
      </c>
      <c r="UMU45" s="5">
        <f>-'5. IRR'!UMV16</f>
        <v>-0.0</v>
      </c>
      <c r="UMV45" s="5">
        <f>-'5. IRR'!UMW16</f>
        <v>-0.0</v>
      </c>
      <c r="UMW45" s="5">
        <f>-'5. IRR'!UMX16</f>
        <v>-0.0</v>
      </c>
      <c r="UMX45" s="5">
        <f>-'5. IRR'!UMY16</f>
        <v>-0.0</v>
      </c>
      <c r="UMY45" s="5">
        <f>-'5. IRR'!UMZ16</f>
        <v>-0.0</v>
      </c>
      <c r="UMZ45" s="5">
        <f>-'5. IRR'!UNA16</f>
        <v>-0.0</v>
      </c>
      <c r="UNA45" s="5">
        <f>-'5. IRR'!UNB16</f>
        <v>-0.0</v>
      </c>
      <c r="UNB45" s="5">
        <f>-'5. IRR'!UNC16</f>
        <v>-0.0</v>
      </c>
      <c r="UNC45" s="5">
        <f>-'5. IRR'!UND16</f>
        <v>-0.0</v>
      </c>
      <c r="UND45" s="5">
        <f>-'5. IRR'!UNE16</f>
        <v>-0.0</v>
      </c>
      <c r="UNE45" s="5">
        <f>-'5. IRR'!UNF16</f>
        <v>-0.0</v>
      </c>
      <c r="UNF45" s="5">
        <f>-'5. IRR'!UNG16</f>
        <v>-0.0</v>
      </c>
      <c r="UNG45" s="5">
        <f>-'5. IRR'!UNH16</f>
        <v>-0.0</v>
      </c>
      <c r="UNH45" s="5">
        <f>-'5. IRR'!UNI16</f>
        <v>-0.0</v>
      </c>
      <c r="UNI45" s="5">
        <f>-'5. IRR'!UNJ16</f>
        <v>-0.0</v>
      </c>
      <c r="UNJ45" s="5">
        <f>-'5. IRR'!UNK16</f>
        <v>-0.0</v>
      </c>
      <c r="UNK45" s="5">
        <f>-'5. IRR'!UNL16</f>
        <v>-0.0</v>
      </c>
      <c r="UNL45" s="5">
        <f>-'5. IRR'!UNM16</f>
        <v>-0.0</v>
      </c>
      <c r="UNM45" s="5">
        <f>-'5. IRR'!UNN16</f>
        <v>-0.0</v>
      </c>
      <c r="UNN45" s="5">
        <f>-'5. IRR'!UNO16</f>
        <v>-0.0</v>
      </c>
      <c r="UNO45" s="5">
        <f>-'5. IRR'!UNP16</f>
        <v>-0.0</v>
      </c>
      <c r="UNP45" s="5">
        <f>-'5. IRR'!UNQ16</f>
        <v>-0.0</v>
      </c>
      <c r="UNQ45" s="5">
        <f>-'5. IRR'!UNR16</f>
        <v>-0.0</v>
      </c>
      <c r="UNR45" s="5">
        <f>-'5. IRR'!UNS16</f>
        <v>-0.0</v>
      </c>
      <c r="UNS45" s="5">
        <f>-'5. IRR'!UNT16</f>
        <v>-0.0</v>
      </c>
      <c r="UNT45" s="5">
        <f>-'5. IRR'!UNU16</f>
        <v>-0.0</v>
      </c>
      <c r="UNU45" s="5">
        <f>-'5. IRR'!UNV16</f>
        <v>-0.0</v>
      </c>
      <c r="UNV45" s="5">
        <f>-'5. IRR'!UNW16</f>
        <v>-0.0</v>
      </c>
      <c r="UNW45" s="5">
        <f>-'5. IRR'!UNX16</f>
        <v>-0.0</v>
      </c>
      <c r="UNX45" s="5">
        <f>-'5. IRR'!UNY16</f>
        <v>-0.0</v>
      </c>
      <c r="UNY45" s="5">
        <f>-'5. IRR'!UNZ16</f>
        <v>-0.0</v>
      </c>
      <c r="UNZ45" s="5">
        <f>-'5. IRR'!UOA16</f>
        <v>-0.0</v>
      </c>
      <c r="UOA45" s="5">
        <f>-'5. IRR'!UOB16</f>
        <v>-0.0</v>
      </c>
      <c r="UOB45" s="5">
        <f>-'5. IRR'!UOC16</f>
        <v>-0.0</v>
      </c>
      <c r="UOC45" s="5">
        <f>-'5. IRR'!UOD16</f>
        <v>-0.0</v>
      </c>
      <c r="UOD45" s="5">
        <f>-'5. IRR'!UOE16</f>
        <v>-0.0</v>
      </c>
      <c r="UOE45" s="5">
        <f>-'5. IRR'!UOF16</f>
        <v>-0.0</v>
      </c>
      <c r="UOF45" s="5">
        <f>-'5. IRR'!UOG16</f>
        <v>-0.0</v>
      </c>
      <c r="UOG45" s="5">
        <f>-'5. IRR'!UOH16</f>
        <v>-0.0</v>
      </c>
      <c r="UOH45" s="5">
        <f>-'5. IRR'!UOI16</f>
        <v>-0.0</v>
      </c>
      <c r="UOI45" s="5">
        <f>-'5. IRR'!UOJ16</f>
        <v>-0.0</v>
      </c>
      <c r="UOJ45" s="5">
        <f>-'5. IRR'!UOK16</f>
        <v>-0.0</v>
      </c>
      <c r="UOK45" s="5">
        <f>-'5. IRR'!UOL16</f>
        <v>-0.0</v>
      </c>
      <c r="UOL45" s="5">
        <f>-'5. IRR'!UOM16</f>
        <v>-0.0</v>
      </c>
      <c r="UOM45" s="5">
        <f>-'5. IRR'!UON16</f>
        <v>-0.0</v>
      </c>
      <c r="UON45" s="5">
        <f>-'5. IRR'!UOO16</f>
        <v>-0.0</v>
      </c>
      <c r="UOO45" s="5">
        <f>-'5. IRR'!UOP16</f>
        <v>-0.0</v>
      </c>
      <c r="UOP45" s="5">
        <f>-'5. IRR'!UOQ16</f>
        <v>-0.0</v>
      </c>
      <c r="UOQ45" s="5">
        <f>-'5. IRR'!UOR16</f>
        <v>-0.0</v>
      </c>
      <c r="UOR45" s="5">
        <f>-'5. IRR'!UOS16</f>
        <v>-0.0</v>
      </c>
      <c r="UOS45" s="5">
        <f>-'5. IRR'!UOT16</f>
        <v>-0.0</v>
      </c>
      <c r="UOT45" s="5">
        <f>-'5. IRR'!UOU16</f>
        <v>-0.0</v>
      </c>
      <c r="UOU45" s="5">
        <f>-'5. IRR'!UOV16</f>
        <v>-0.0</v>
      </c>
      <c r="UOV45" s="5">
        <f>-'5. IRR'!UOW16</f>
        <v>-0.0</v>
      </c>
      <c r="UOW45" s="5">
        <f>-'5. IRR'!UOX16</f>
        <v>-0.0</v>
      </c>
      <c r="UOX45" s="5">
        <f>-'5. IRR'!UOY16</f>
        <v>-0.0</v>
      </c>
      <c r="UOY45" s="5">
        <f>-'5. IRR'!UOZ16</f>
        <v>-0.0</v>
      </c>
      <c r="UOZ45" s="5">
        <f>-'5. IRR'!UPA16</f>
        <v>-0.0</v>
      </c>
      <c r="UPA45" s="5">
        <f>-'5. IRR'!UPB16</f>
        <v>-0.0</v>
      </c>
      <c r="UPB45" s="5">
        <f>-'5. IRR'!UPC16</f>
        <v>-0.0</v>
      </c>
      <c r="UPC45" s="5">
        <f>-'5. IRR'!UPD16</f>
        <v>-0.0</v>
      </c>
      <c r="UPD45" s="5">
        <f>-'5. IRR'!UPE16</f>
        <v>-0.0</v>
      </c>
      <c r="UPE45" s="5">
        <f>-'5. IRR'!UPF16</f>
        <v>-0.0</v>
      </c>
      <c r="UPF45" s="5">
        <f>-'5. IRR'!UPG16</f>
        <v>-0.0</v>
      </c>
      <c r="UPG45" s="5">
        <f>-'5. IRR'!UPH16</f>
        <v>-0.0</v>
      </c>
      <c r="UPH45" s="5">
        <f>-'5. IRR'!UPI16</f>
        <v>-0.0</v>
      </c>
      <c r="UPI45" s="5">
        <f>-'5. IRR'!UPJ16</f>
        <v>-0.0</v>
      </c>
      <c r="UPJ45" s="5">
        <f>-'5. IRR'!UPK16</f>
        <v>-0.0</v>
      </c>
      <c r="UPK45" s="5">
        <f>-'5. IRR'!UPL16</f>
        <v>-0.0</v>
      </c>
      <c r="UPL45" s="5">
        <f>-'5. IRR'!UPM16</f>
        <v>-0.0</v>
      </c>
      <c r="UPM45" s="5">
        <f>-'5. IRR'!UPN16</f>
        <v>-0.0</v>
      </c>
      <c r="UPN45" s="5">
        <f>-'5. IRR'!UPO16</f>
        <v>-0.0</v>
      </c>
      <c r="UPO45" s="5">
        <f>-'5. IRR'!UPP16</f>
        <v>-0.0</v>
      </c>
      <c r="UPP45" s="5">
        <f>-'5. IRR'!UPQ16</f>
        <v>-0.0</v>
      </c>
      <c r="UPQ45" s="5">
        <f>-'5. IRR'!UPR16</f>
        <v>-0.0</v>
      </c>
      <c r="UPR45" s="5">
        <f>-'5. IRR'!UPS16</f>
        <v>-0.0</v>
      </c>
      <c r="UPS45" s="5">
        <f>-'5. IRR'!UPT16</f>
        <v>-0.0</v>
      </c>
      <c r="UPT45" s="5">
        <f>-'5. IRR'!UPU16</f>
        <v>-0.0</v>
      </c>
      <c r="UPU45" s="5">
        <f>-'5. IRR'!UPV16</f>
        <v>-0.0</v>
      </c>
      <c r="UPV45" s="5">
        <f>-'5. IRR'!UPW16</f>
        <v>-0.0</v>
      </c>
      <c r="UPW45" s="5">
        <f>-'5. IRR'!UPX16</f>
        <v>-0.0</v>
      </c>
      <c r="UPX45" s="5">
        <f>-'5. IRR'!UPY16</f>
        <v>-0.0</v>
      </c>
      <c r="UPY45" s="5">
        <f>-'5. IRR'!UPZ16</f>
        <v>-0.0</v>
      </c>
      <c r="UPZ45" s="5">
        <f>-'5. IRR'!UQA16</f>
        <v>-0.0</v>
      </c>
      <c r="UQA45" s="5">
        <f>-'5. IRR'!UQB16</f>
        <v>-0.0</v>
      </c>
      <c r="UQB45" s="5">
        <f>-'5. IRR'!UQC16</f>
        <v>-0.0</v>
      </c>
      <c r="UQC45" s="5">
        <f>-'5. IRR'!UQD16</f>
        <v>-0.0</v>
      </c>
      <c r="UQD45" s="5">
        <f>-'5. IRR'!UQE16</f>
        <v>-0.0</v>
      </c>
      <c r="UQE45" s="5">
        <f>-'5. IRR'!UQF16</f>
        <v>-0.0</v>
      </c>
      <c r="UQF45" s="5">
        <f>-'5. IRR'!UQG16</f>
        <v>-0.0</v>
      </c>
      <c r="UQG45" s="5">
        <f>-'5. IRR'!UQH16</f>
        <v>-0.0</v>
      </c>
      <c r="UQH45" s="5">
        <f>-'5. IRR'!UQI16</f>
        <v>-0.0</v>
      </c>
      <c r="UQI45" s="5">
        <f>-'5. IRR'!UQJ16</f>
        <v>-0.0</v>
      </c>
      <c r="UQJ45" s="5">
        <f>-'5. IRR'!UQK16</f>
        <v>-0.0</v>
      </c>
      <c r="UQK45" s="5">
        <f>-'5. IRR'!UQL16</f>
        <v>-0.0</v>
      </c>
      <c r="UQL45" s="5">
        <f>-'5. IRR'!UQM16</f>
        <v>-0.0</v>
      </c>
      <c r="UQM45" s="5">
        <f>-'5. IRR'!UQN16</f>
        <v>-0.0</v>
      </c>
      <c r="UQN45" s="5">
        <f>-'5. IRR'!UQO16</f>
        <v>-0.0</v>
      </c>
      <c r="UQO45" s="5">
        <f>-'5. IRR'!UQP16</f>
        <v>-0.0</v>
      </c>
      <c r="UQP45" s="5">
        <f>-'5. IRR'!UQQ16</f>
        <v>-0.0</v>
      </c>
      <c r="UQQ45" s="5">
        <f>-'5. IRR'!UQR16</f>
        <v>-0.0</v>
      </c>
      <c r="UQR45" s="5">
        <f>-'5. IRR'!UQS16</f>
        <v>-0.0</v>
      </c>
      <c r="UQS45" s="5">
        <f>-'5. IRR'!UQT16</f>
        <v>-0.0</v>
      </c>
      <c r="UQT45" s="5">
        <f>-'5. IRR'!UQU16</f>
        <v>-0.0</v>
      </c>
      <c r="UQU45" s="5">
        <f>-'5. IRR'!UQV16</f>
        <v>-0.0</v>
      </c>
      <c r="UQV45" s="5">
        <f>-'5. IRR'!UQW16</f>
        <v>-0.0</v>
      </c>
      <c r="UQW45" s="5">
        <f>-'5. IRR'!UQX16</f>
        <v>-0.0</v>
      </c>
      <c r="UQX45" s="5">
        <f>-'5. IRR'!UQY16</f>
        <v>-0.0</v>
      </c>
      <c r="UQY45" s="5">
        <f>-'5. IRR'!UQZ16</f>
        <v>-0.0</v>
      </c>
      <c r="UQZ45" s="5">
        <f>-'5. IRR'!URA16</f>
        <v>-0.0</v>
      </c>
      <c r="URA45" s="5">
        <f>-'5. IRR'!URB16</f>
        <v>-0.0</v>
      </c>
      <c r="URB45" s="5">
        <f>-'5. IRR'!URC16</f>
        <v>-0.0</v>
      </c>
      <c r="URC45" s="5">
        <f>-'5. IRR'!URD16</f>
        <v>-0.0</v>
      </c>
      <c r="URD45" s="5">
        <f>-'5. IRR'!URE16</f>
        <v>-0.0</v>
      </c>
      <c r="URE45" s="5">
        <f>-'5. IRR'!URF16</f>
        <v>-0.0</v>
      </c>
      <c r="URF45" s="5">
        <f>-'5. IRR'!URG16</f>
        <v>-0.0</v>
      </c>
      <c r="URG45" s="5">
        <f>-'5. IRR'!URH16</f>
        <v>-0.0</v>
      </c>
      <c r="URH45" s="5">
        <f>-'5. IRR'!URI16</f>
        <v>-0.0</v>
      </c>
      <c r="URI45" s="5">
        <f>-'5. IRR'!URJ16</f>
        <v>-0.0</v>
      </c>
      <c r="URJ45" s="5">
        <f>-'5. IRR'!URK16</f>
        <v>-0.0</v>
      </c>
      <c r="URK45" s="5">
        <f>-'5. IRR'!URL16</f>
        <v>-0.0</v>
      </c>
      <c r="URL45" s="5">
        <f>-'5. IRR'!URM16</f>
        <v>-0.0</v>
      </c>
      <c r="URM45" s="5">
        <f>-'5. IRR'!URN16</f>
        <v>-0.0</v>
      </c>
      <c r="URN45" s="5">
        <f>-'5. IRR'!URO16</f>
        <v>-0.0</v>
      </c>
      <c r="URO45" s="5">
        <f>-'5. IRR'!URP16</f>
        <v>-0.0</v>
      </c>
      <c r="URP45" s="5">
        <f>-'5. IRR'!URQ16</f>
        <v>-0.0</v>
      </c>
      <c r="URQ45" s="5">
        <f>-'5. IRR'!URR16</f>
        <v>-0.0</v>
      </c>
      <c r="URR45" s="5">
        <f>-'5. IRR'!URS16</f>
        <v>-0.0</v>
      </c>
      <c r="URS45" s="5">
        <f>-'5. IRR'!URT16</f>
        <v>-0.0</v>
      </c>
      <c r="URT45" s="5">
        <f>-'5. IRR'!URU16</f>
        <v>-0.0</v>
      </c>
      <c r="URU45" s="5">
        <f>-'5. IRR'!URV16</f>
        <v>-0.0</v>
      </c>
      <c r="URV45" s="5">
        <f>-'5. IRR'!URW16</f>
        <v>-0.0</v>
      </c>
      <c r="URW45" s="5">
        <f>-'5. IRR'!URX16</f>
        <v>-0.0</v>
      </c>
      <c r="URX45" s="5">
        <f>-'5. IRR'!URY16</f>
        <v>-0.0</v>
      </c>
      <c r="URY45" s="5">
        <f>-'5. IRR'!URZ16</f>
        <v>-0.0</v>
      </c>
      <c r="URZ45" s="5">
        <f>-'5. IRR'!USA16</f>
        <v>-0.0</v>
      </c>
      <c r="USA45" s="5">
        <f>-'5. IRR'!USB16</f>
        <v>-0.0</v>
      </c>
      <c r="USB45" s="5">
        <f>-'5. IRR'!USC16</f>
        <v>-0.0</v>
      </c>
      <c r="USC45" s="5">
        <f>-'5. IRR'!USD16</f>
        <v>-0.0</v>
      </c>
      <c r="USD45" s="5">
        <f>-'5. IRR'!USE16</f>
        <v>-0.0</v>
      </c>
      <c r="USE45" s="5">
        <f>-'5. IRR'!USF16</f>
        <v>-0.0</v>
      </c>
      <c r="USF45" s="5">
        <f>-'5. IRR'!USG16</f>
        <v>-0.0</v>
      </c>
      <c r="USG45" s="5">
        <f>-'5. IRR'!USH16</f>
        <v>-0.0</v>
      </c>
      <c r="USH45" s="5">
        <f>-'5. IRR'!USI16</f>
        <v>-0.0</v>
      </c>
      <c r="USI45" s="5">
        <f>-'5. IRR'!USJ16</f>
        <v>-0.0</v>
      </c>
      <c r="USJ45" s="5">
        <f>-'5. IRR'!USK16</f>
        <v>-0.0</v>
      </c>
      <c r="USK45" s="5">
        <f>-'5. IRR'!USL16</f>
        <v>-0.0</v>
      </c>
      <c r="USL45" s="5">
        <f>-'5. IRR'!USM16</f>
        <v>-0.0</v>
      </c>
      <c r="USM45" s="5">
        <f>-'5. IRR'!USN16</f>
        <v>-0.0</v>
      </c>
      <c r="USN45" s="5">
        <f>-'5. IRR'!USO16</f>
        <v>-0.0</v>
      </c>
      <c r="USO45" s="5">
        <f>-'5. IRR'!USP16</f>
        <v>-0.0</v>
      </c>
      <c r="USP45" s="5">
        <f>-'5. IRR'!USQ16</f>
        <v>-0.0</v>
      </c>
      <c r="USQ45" s="5">
        <f>-'5. IRR'!USR16</f>
        <v>-0.0</v>
      </c>
      <c r="USR45" s="5">
        <f>-'5. IRR'!USS16</f>
        <v>-0.0</v>
      </c>
      <c r="USS45" s="5">
        <f>-'5. IRR'!UST16</f>
        <v>-0.0</v>
      </c>
      <c r="UST45" s="5">
        <f>-'5. IRR'!USU16</f>
        <v>-0.0</v>
      </c>
      <c r="USU45" s="5">
        <f>-'5. IRR'!USV16</f>
        <v>-0.0</v>
      </c>
      <c r="USV45" s="5">
        <f>-'5. IRR'!USW16</f>
        <v>-0.0</v>
      </c>
      <c r="USW45" s="5">
        <f>-'5. IRR'!USX16</f>
        <v>-0.0</v>
      </c>
      <c r="USX45" s="5">
        <f>-'5. IRR'!USY16</f>
        <v>-0.0</v>
      </c>
      <c r="USY45" s="5">
        <f>-'5. IRR'!USZ16</f>
        <v>-0.0</v>
      </c>
      <c r="USZ45" s="5">
        <f>-'5. IRR'!UTA16</f>
        <v>-0.0</v>
      </c>
      <c r="UTA45" s="5">
        <f>-'5. IRR'!UTB16</f>
        <v>-0.0</v>
      </c>
      <c r="UTB45" s="5">
        <f>-'5. IRR'!UTC16</f>
        <v>-0.0</v>
      </c>
      <c r="UTC45" s="5">
        <f>-'5. IRR'!UTD16</f>
        <v>-0.0</v>
      </c>
      <c r="UTD45" s="5">
        <f>-'5. IRR'!UTE16</f>
        <v>-0.0</v>
      </c>
      <c r="UTE45" s="5">
        <f>-'5. IRR'!UTF16</f>
        <v>-0.0</v>
      </c>
      <c r="UTF45" s="5">
        <f>-'5. IRR'!UTG16</f>
        <v>-0.0</v>
      </c>
      <c r="UTG45" s="5">
        <f>-'5. IRR'!UTH16</f>
        <v>-0.0</v>
      </c>
      <c r="UTH45" s="5">
        <f>-'5. IRR'!UTI16</f>
        <v>-0.0</v>
      </c>
      <c r="UTI45" s="5">
        <f>-'5. IRR'!UTJ16</f>
        <v>-0.0</v>
      </c>
      <c r="UTJ45" s="5">
        <f>-'5. IRR'!UTK16</f>
        <v>-0.0</v>
      </c>
      <c r="UTK45" s="5">
        <f>-'5. IRR'!UTL16</f>
        <v>-0.0</v>
      </c>
      <c r="UTL45" s="5">
        <f>-'5. IRR'!UTM16</f>
        <v>-0.0</v>
      </c>
      <c r="UTM45" s="5">
        <f>-'5. IRR'!UTN16</f>
        <v>-0.0</v>
      </c>
      <c r="UTN45" s="5">
        <f>-'5. IRR'!UTO16</f>
        <v>-0.0</v>
      </c>
      <c r="UTO45" s="5">
        <f>-'5. IRR'!UTP16</f>
        <v>-0.0</v>
      </c>
      <c r="UTP45" s="5">
        <f>-'5. IRR'!UTQ16</f>
        <v>-0.0</v>
      </c>
      <c r="UTQ45" s="5">
        <f>-'5. IRR'!UTR16</f>
        <v>-0.0</v>
      </c>
      <c r="UTR45" s="5">
        <f>-'5. IRR'!UTS16</f>
        <v>-0.0</v>
      </c>
      <c r="UTS45" s="5">
        <f>-'5. IRR'!UTT16</f>
        <v>-0.0</v>
      </c>
      <c r="UTT45" s="5">
        <f>-'5. IRR'!UTU16</f>
        <v>-0.0</v>
      </c>
      <c r="UTU45" s="5">
        <f>-'5. IRR'!UTV16</f>
        <v>-0.0</v>
      </c>
      <c r="UTV45" s="5">
        <f>-'5. IRR'!UTW16</f>
        <v>-0.0</v>
      </c>
      <c r="UTW45" s="5">
        <f>-'5. IRR'!UTX16</f>
        <v>-0.0</v>
      </c>
      <c r="UTX45" s="5">
        <f>-'5. IRR'!UTY16</f>
        <v>-0.0</v>
      </c>
      <c r="UTY45" s="5">
        <f>-'5. IRR'!UTZ16</f>
        <v>-0.0</v>
      </c>
      <c r="UTZ45" s="5">
        <f>-'5. IRR'!UUA16</f>
        <v>-0.0</v>
      </c>
      <c r="UUA45" s="5">
        <f>-'5. IRR'!UUB16</f>
        <v>-0.0</v>
      </c>
      <c r="UUB45" s="5">
        <f>-'5. IRR'!UUC16</f>
        <v>-0.0</v>
      </c>
      <c r="UUC45" s="5">
        <f>-'5. IRR'!UUD16</f>
        <v>-0.0</v>
      </c>
      <c r="UUD45" s="5">
        <f>-'5. IRR'!UUE16</f>
        <v>-0.0</v>
      </c>
      <c r="UUE45" s="5">
        <f>-'5. IRR'!UUF16</f>
        <v>-0.0</v>
      </c>
      <c r="UUF45" s="5">
        <f>-'5. IRR'!UUG16</f>
        <v>-0.0</v>
      </c>
      <c r="UUG45" s="5">
        <f>-'5. IRR'!UUH16</f>
        <v>-0.0</v>
      </c>
      <c r="UUH45" s="5">
        <f>-'5. IRR'!UUI16</f>
        <v>-0.0</v>
      </c>
      <c r="UUI45" s="5">
        <f>-'5. IRR'!UUJ16</f>
        <v>-0.0</v>
      </c>
      <c r="UUJ45" s="5">
        <f>-'5. IRR'!UUK16</f>
        <v>-0.0</v>
      </c>
      <c r="UUK45" s="5">
        <f>-'5. IRR'!UUL16</f>
        <v>-0.0</v>
      </c>
      <c r="UUL45" s="5">
        <f>-'5. IRR'!UUM16</f>
        <v>-0.0</v>
      </c>
      <c r="UUM45" s="5">
        <f>-'5. IRR'!UUN16</f>
        <v>-0.0</v>
      </c>
      <c r="UUN45" s="5">
        <f>-'5. IRR'!UUO16</f>
        <v>-0.0</v>
      </c>
      <c r="UUO45" s="5">
        <f>-'5. IRR'!UUP16</f>
        <v>-0.0</v>
      </c>
      <c r="UUP45" s="5">
        <f>-'5. IRR'!UUQ16</f>
        <v>-0.0</v>
      </c>
      <c r="UUQ45" s="5">
        <f>-'5. IRR'!UUR16</f>
        <v>-0.0</v>
      </c>
      <c r="UUR45" s="5">
        <f>-'5. IRR'!UUS16</f>
        <v>-0.0</v>
      </c>
      <c r="UUS45" s="5">
        <f>-'5. IRR'!UUT16</f>
        <v>-0.0</v>
      </c>
      <c r="UUT45" s="5">
        <f>-'5. IRR'!UUU16</f>
        <v>-0.0</v>
      </c>
      <c r="UUU45" s="5">
        <f>-'5. IRR'!UUV16</f>
        <v>-0.0</v>
      </c>
      <c r="UUV45" s="5">
        <f>-'5. IRR'!UUW16</f>
        <v>-0.0</v>
      </c>
      <c r="UUW45" s="5">
        <f>-'5. IRR'!UUX16</f>
        <v>-0.0</v>
      </c>
      <c r="UUX45" s="5">
        <f>-'5. IRR'!UUY16</f>
        <v>-0.0</v>
      </c>
      <c r="UUY45" s="5">
        <f>-'5. IRR'!UUZ16</f>
        <v>-0.0</v>
      </c>
      <c r="UUZ45" s="5">
        <f>-'5. IRR'!UVA16</f>
        <v>-0.0</v>
      </c>
      <c r="UVA45" s="5">
        <f>-'5. IRR'!UVB16</f>
        <v>-0.0</v>
      </c>
      <c r="UVB45" s="5">
        <f>-'5. IRR'!UVC16</f>
        <v>-0.0</v>
      </c>
      <c r="UVC45" s="5">
        <f>-'5. IRR'!UVD16</f>
        <v>-0.0</v>
      </c>
      <c r="UVD45" s="5">
        <f>-'5. IRR'!UVE16</f>
        <v>-0.0</v>
      </c>
      <c r="UVE45" s="5">
        <f>-'5. IRR'!UVF16</f>
        <v>-0.0</v>
      </c>
      <c r="UVF45" s="5">
        <f>-'5. IRR'!UVG16</f>
        <v>-0.0</v>
      </c>
      <c r="UVG45" s="5">
        <f>-'5. IRR'!UVH16</f>
        <v>-0.0</v>
      </c>
      <c r="UVH45" s="5">
        <f>-'5. IRR'!UVI16</f>
        <v>-0.0</v>
      </c>
      <c r="UVI45" s="5">
        <f>-'5. IRR'!UVJ16</f>
        <v>-0.0</v>
      </c>
      <c r="UVJ45" s="5">
        <f>-'5. IRR'!UVK16</f>
        <v>-0.0</v>
      </c>
      <c r="UVK45" s="5">
        <f>-'5. IRR'!UVL16</f>
        <v>-0.0</v>
      </c>
      <c r="UVL45" s="5">
        <f>-'5. IRR'!UVM16</f>
        <v>-0.0</v>
      </c>
      <c r="UVM45" s="5">
        <f>-'5. IRR'!UVN16</f>
        <v>-0.0</v>
      </c>
      <c r="UVN45" s="5">
        <f>-'5. IRR'!UVO16</f>
        <v>-0.0</v>
      </c>
      <c r="UVO45" s="5">
        <f>-'5. IRR'!UVP16</f>
        <v>-0.0</v>
      </c>
      <c r="UVP45" s="5">
        <f>-'5. IRR'!UVQ16</f>
        <v>-0.0</v>
      </c>
      <c r="UVQ45" s="5">
        <f>-'5. IRR'!UVR16</f>
        <v>-0.0</v>
      </c>
      <c r="UVR45" s="5">
        <f>-'5. IRR'!UVS16</f>
        <v>-0.0</v>
      </c>
      <c r="UVS45" s="5">
        <f>-'5. IRR'!UVT16</f>
        <v>-0.0</v>
      </c>
      <c r="UVT45" s="5">
        <f>-'5. IRR'!UVU16</f>
        <v>-0.0</v>
      </c>
      <c r="UVU45" s="5">
        <f>-'5. IRR'!UVV16</f>
        <v>-0.0</v>
      </c>
      <c r="UVV45" s="5">
        <f>-'5. IRR'!UVW16</f>
        <v>-0.0</v>
      </c>
      <c r="UVW45" s="5">
        <f>-'5. IRR'!UVX16</f>
        <v>-0.0</v>
      </c>
      <c r="UVX45" s="5">
        <f>-'5. IRR'!UVY16</f>
        <v>-0.0</v>
      </c>
      <c r="UVY45" s="5">
        <f>-'5. IRR'!UVZ16</f>
        <v>-0.0</v>
      </c>
      <c r="UVZ45" s="5">
        <f>-'5. IRR'!UWA16</f>
        <v>-0.0</v>
      </c>
      <c r="UWA45" s="5">
        <f>-'5. IRR'!UWB16</f>
        <v>-0.0</v>
      </c>
      <c r="UWB45" s="5">
        <f>-'5. IRR'!UWC16</f>
        <v>-0.0</v>
      </c>
      <c r="UWC45" s="5">
        <f>-'5. IRR'!UWD16</f>
        <v>-0.0</v>
      </c>
      <c r="UWD45" s="5">
        <f>-'5. IRR'!UWE16</f>
        <v>-0.0</v>
      </c>
      <c r="UWE45" s="5">
        <f>-'5. IRR'!UWF16</f>
        <v>-0.0</v>
      </c>
      <c r="UWF45" s="5">
        <f>-'5. IRR'!UWG16</f>
        <v>-0.0</v>
      </c>
      <c r="UWG45" s="5">
        <f>-'5. IRR'!UWH16</f>
        <v>-0.0</v>
      </c>
      <c r="UWH45" s="5">
        <f>-'5. IRR'!UWI16</f>
        <v>-0.0</v>
      </c>
      <c r="UWI45" s="5">
        <f>-'5. IRR'!UWJ16</f>
        <v>-0.0</v>
      </c>
      <c r="UWJ45" s="5">
        <f>-'5. IRR'!UWK16</f>
        <v>-0.0</v>
      </c>
      <c r="UWK45" s="5">
        <f>-'5. IRR'!UWL16</f>
        <v>-0.0</v>
      </c>
      <c r="UWL45" s="5">
        <f>-'5. IRR'!UWM16</f>
        <v>-0.0</v>
      </c>
      <c r="UWM45" s="5">
        <f>-'5. IRR'!UWN16</f>
        <v>-0.0</v>
      </c>
      <c r="UWN45" s="5">
        <f>-'5. IRR'!UWO16</f>
        <v>-0.0</v>
      </c>
      <c r="UWO45" s="5">
        <f>-'5. IRR'!UWP16</f>
        <v>-0.0</v>
      </c>
      <c r="UWP45" s="5">
        <f>-'5. IRR'!UWQ16</f>
        <v>-0.0</v>
      </c>
      <c r="UWQ45" s="5">
        <f>-'5. IRR'!UWR16</f>
        <v>-0.0</v>
      </c>
      <c r="UWR45" s="5">
        <f>-'5. IRR'!UWS16</f>
        <v>-0.0</v>
      </c>
      <c r="UWS45" s="5">
        <f>-'5. IRR'!UWT16</f>
        <v>-0.0</v>
      </c>
      <c r="UWT45" s="5">
        <f>-'5. IRR'!UWU16</f>
        <v>-0.0</v>
      </c>
      <c r="UWU45" s="5">
        <f>-'5. IRR'!UWV16</f>
        <v>-0.0</v>
      </c>
      <c r="UWV45" s="5">
        <f>-'5. IRR'!UWW16</f>
        <v>-0.0</v>
      </c>
      <c r="UWW45" s="5">
        <f>-'5. IRR'!UWX16</f>
        <v>-0.0</v>
      </c>
      <c r="UWX45" s="5">
        <f>-'5. IRR'!UWY16</f>
        <v>-0.0</v>
      </c>
      <c r="UWY45" s="5">
        <f>-'5. IRR'!UWZ16</f>
        <v>-0.0</v>
      </c>
      <c r="UWZ45" s="5">
        <f>-'5. IRR'!UXA16</f>
        <v>-0.0</v>
      </c>
      <c r="UXA45" s="5">
        <f>-'5. IRR'!UXB16</f>
        <v>-0.0</v>
      </c>
      <c r="UXB45" s="5">
        <f>-'5. IRR'!UXC16</f>
        <v>-0.0</v>
      </c>
      <c r="UXC45" s="5">
        <f>-'5. IRR'!UXD16</f>
        <v>-0.0</v>
      </c>
      <c r="UXD45" s="5">
        <f>-'5. IRR'!UXE16</f>
        <v>-0.0</v>
      </c>
      <c r="UXE45" s="5">
        <f>-'5. IRR'!UXF16</f>
        <v>-0.0</v>
      </c>
      <c r="UXF45" s="5">
        <f>-'5. IRR'!UXG16</f>
        <v>-0.0</v>
      </c>
      <c r="UXG45" s="5">
        <f>-'5. IRR'!UXH16</f>
        <v>-0.0</v>
      </c>
      <c r="UXH45" s="5">
        <f>-'5. IRR'!UXI16</f>
        <v>-0.0</v>
      </c>
      <c r="UXI45" s="5">
        <f>-'5. IRR'!UXJ16</f>
        <v>-0.0</v>
      </c>
      <c r="UXJ45" s="5">
        <f>-'5. IRR'!UXK16</f>
        <v>-0.0</v>
      </c>
      <c r="UXK45" s="5">
        <f>-'5. IRR'!UXL16</f>
        <v>-0.0</v>
      </c>
      <c r="UXL45" s="5">
        <f>-'5. IRR'!UXM16</f>
        <v>-0.0</v>
      </c>
      <c r="UXM45" s="5">
        <f>-'5. IRR'!UXN16</f>
        <v>-0.0</v>
      </c>
      <c r="UXN45" s="5">
        <f>-'5. IRR'!UXO16</f>
        <v>-0.0</v>
      </c>
      <c r="UXO45" s="5">
        <f>-'5. IRR'!UXP16</f>
        <v>-0.0</v>
      </c>
      <c r="UXP45" s="5">
        <f>-'5. IRR'!UXQ16</f>
        <v>-0.0</v>
      </c>
      <c r="UXQ45" s="5">
        <f>-'5. IRR'!UXR16</f>
        <v>-0.0</v>
      </c>
      <c r="UXR45" s="5">
        <f>-'5. IRR'!UXS16</f>
        <v>-0.0</v>
      </c>
      <c r="UXS45" s="5">
        <f>-'5. IRR'!UXT16</f>
        <v>-0.0</v>
      </c>
      <c r="UXT45" s="5">
        <f>-'5. IRR'!UXU16</f>
        <v>-0.0</v>
      </c>
      <c r="UXU45" s="5">
        <f>-'5. IRR'!UXV16</f>
        <v>-0.0</v>
      </c>
      <c r="UXV45" s="5">
        <f>-'5. IRR'!UXW16</f>
        <v>-0.0</v>
      </c>
      <c r="UXW45" s="5">
        <f>-'5. IRR'!UXX16</f>
        <v>-0.0</v>
      </c>
      <c r="UXX45" s="5">
        <f>-'5. IRR'!UXY16</f>
        <v>-0.0</v>
      </c>
      <c r="UXY45" s="5">
        <f>-'5. IRR'!UXZ16</f>
        <v>-0.0</v>
      </c>
      <c r="UXZ45" s="5">
        <f>-'5. IRR'!UYA16</f>
        <v>-0.0</v>
      </c>
      <c r="UYA45" s="5">
        <f>-'5. IRR'!UYB16</f>
        <v>-0.0</v>
      </c>
      <c r="UYB45" s="5">
        <f>-'5. IRR'!UYC16</f>
        <v>-0.0</v>
      </c>
      <c r="UYC45" s="5">
        <f>-'5. IRR'!UYD16</f>
        <v>-0.0</v>
      </c>
      <c r="UYD45" s="5">
        <f>-'5. IRR'!UYE16</f>
        <v>-0.0</v>
      </c>
      <c r="UYE45" s="5">
        <f>-'5. IRR'!UYF16</f>
        <v>-0.0</v>
      </c>
      <c r="UYF45" s="5">
        <f>-'5. IRR'!UYG16</f>
        <v>-0.0</v>
      </c>
      <c r="UYG45" s="5">
        <f>-'5. IRR'!UYH16</f>
        <v>-0.0</v>
      </c>
      <c r="UYH45" s="5">
        <f>-'5. IRR'!UYI16</f>
        <v>-0.0</v>
      </c>
      <c r="UYI45" s="5">
        <f>-'5. IRR'!UYJ16</f>
        <v>-0.0</v>
      </c>
      <c r="UYJ45" s="5">
        <f>-'5. IRR'!UYK16</f>
        <v>-0.0</v>
      </c>
      <c r="UYK45" s="5">
        <f>-'5. IRR'!UYL16</f>
        <v>-0.0</v>
      </c>
      <c r="UYL45" s="5">
        <f>-'5. IRR'!UYM16</f>
        <v>-0.0</v>
      </c>
      <c r="UYM45" s="5">
        <f>-'5. IRR'!UYN16</f>
        <v>-0.0</v>
      </c>
      <c r="UYN45" s="5">
        <f>-'5. IRR'!UYO16</f>
        <v>-0.0</v>
      </c>
      <c r="UYO45" s="5">
        <f>-'5. IRR'!UYP16</f>
        <v>-0.0</v>
      </c>
      <c r="UYP45" s="5">
        <f>-'5. IRR'!UYQ16</f>
        <v>-0.0</v>
      </c>
      <c r="UYQ45" s="5">
        <f>-'5. IRR'!UYR16</f>
        <v>-0.0</v>
      </c>
      <c r="UYR45" s="5">
        <f>-'5. IRR'!UYS16</f>
        <v>-0.0</v>
      </c>
      <c r="UYS45" s="5">
        <f>-'5. IRR'!UYT16</f>
        <v>-0.0</v>
      </c>
      <c r="UYT45" s="5">
        <f>-'5. IRR'!UYU16</f>
        <v>-0.0</v>
      </c>
      <c r="UYU45" s="5">
        <f>-'5. IRR'!UYV16</f>
        <v>-0.0</v>
      </c>
      <c r="UYV45" s="5">
        <f>-'5. IRR'!UYW16</f>
        <v>-0.0</v>
      </c>
      <c r="UYW45" s="5">
        <f>-'5. IRR'!UYX16</f>
        <v>-0.0</v>
      </c>
      <c r="UYX45" s="5">
        <f>-'5. IRR'!UYY16</f>
        <v>-0.0</v>
      </c>
      <c r="UYY45" s="5">
        <f>-'5. IRR'!UYZ16</f>
        <v>-0.0</v>
      </c>
      <c r="UYZ45" s="5">
        <f>-'5. IRR'!UZA16</f>
        <v>-0.0</v>
      </c>
      <c r="UZA45" s="5">
        <f>-'5. IRR'!UZB16</f>
        <v>-0.0</v>
      </c>
      <c r="UZB45" s="5">
        <f>-'5. IRR'!UZC16</f>
        <v>-0.0</v>
      </c>
      <c r="UZC45" s="5">
        <f>-'5. IRR'!UZD16</f>
        <v>-0.0</v>
      </c>
      <c r="UZD45" s="5">
        <f>-'5. IRR'!UZE16</f>
        <v>-0.0</v>
      </c>
      <c r="UZE45" s="5">
        <f>-'5. IRR'!UZF16</f>
        <v>-0.0</v>
      </c>
      <c r="UZF45" s="5">
        <f>-'5. IRR'!UZG16</f>
        <v>-0.0</v>
      </c>
      <c r="UZG45" s="5">
        <f>-'5. IRR'!UZH16</f>
        <v>-0.0</v>
      </c>
      <c r="UZH45" s="5">
        <f>-'5. IRR'!UZI16</f>
        <v>-0.0</v>
      </c>
      <c r="UZI45" s="5">
        <f>-'5. IRR'!UZJ16</f>
        <v>-0.0</v>
      </c>
      <c r="UZJ45" s="5">
        <f>-'5. IRR'!UZK16</f>
        <v>-0.0</v>
      </c>
      <c r="UZK45" s="5">
        <f>-'5. IRR'!UZL16</f>
        <v>-0.0</v>
      </c>
      <c r="UZL45" s="5">
        <f>-'5. IRR'!UZM16</f>
        <v>-0.0</v>
      </c>
      <c r="UZM45" s="5">
        <f>-'5. IRR'!UZN16</f>
        <v>-0.0</v>
      </c>
      <c r="UZN45" s="5">
        <f>-'5. IRR'!UZO16</f>
        <v>-0.0</v>
      </c>
      <c r="UZO45" s="5">
        <f>-'5. IRR'!UZP16</f>
        <v>-0.0</v>
      </c>
      <c r="UZP45" s="5">
        <f>-'5. IRR'!UZQ16</f>
        <v>-0.0</v>
      </c>
      <c r="UZQ45" s="5">
        <f>-'5. IRR'!UZR16</f>
        <v>-0.0</v>
      </c>
      <c r="UZR45" s="5">
        <f>-'5. IRR'!UZS16</f>
        <v>-0.0</v>
      </c>
      <c r="UZS45" s="5">
        <f>-'5. IRR'!UZT16</f>
        <v>-0.0</v>
      </c>
      <c r="UZT45" s="5">
        <f>-'5. IRR'!UZU16</f>
        <v>-0.0</v>
      </c>
      <c r="UZU45" s="5">
        <f>-'5. IRR'!UZV16</f>
        <v>-0.0</v>
      </c>
      <c r="UZV45" s="5">
        <f>-'5. IRR'!UZW16</f>
        <v>-0.0</v>
      </c>
      <c r="UZW45" s="5">
        <f>-'5. IRR'!UZX16</f>
        <v>-0.0</v>
      </c>
      <c r="UZX45" s="5">
        <f>-'5. IRR'!UZY16</f>
        <v>-0.0</v>
      </c>
      <c r="UZY45" s="5">
        <f>-'5. IRR'!UZZ16</f>
        <v>-0.0</v>
      </c>
      <c r="UZZ45" s="5">
        <f>-'5. IRR'!VAA16</f>
        <v>-0.0</v>
      </c>
      <c r="VAA45" s="5">
        <f>-'5. IRR'!VAB16</f>
        <v>-0.0</v>
      </c>
      <c r="VAB45" s="5">
        <f>-'5. IRR'!VAC16</f>
        <v>-0.0</v>
      </c>
      <c r="VAC45" s="5">
        <f>-'5. IRR'!VAD16</f>
        <v>-0.0</v>
      </c>
      <c r="VAD45" s="5">
        <f>-'5. IRR'!VAE16</f>
        <v>-0.0</v>
      </c>
      <c r="VAE45" s="5">
        <f>-'5. IRR'!VAF16</f>
        <v>-0.0</v>
      </c>
      <c r="VAF45" s="5">
        <f>-'5. IRR'!VAG16</f>
        <v>-0.0</v>
      </c>
      <c r="VAG45" s="5">
        <f>-'5. IRR'!VAH16</f>
        <v>-0.0</v>
      </c>
      <c r="VAH45" s="5">
        <f>-'5. IRR'!VAI16</f>
        <v>-0.0</v>
      </c>
      <c r="VAI45" s="5">
        <f>-'5. IRR'!VAJ16</f>
        <v>-0.0</v>
      </c>
      <c r="VAJ45" s="5">
        <f>-'5. IRR'!VAK16</f>
        <v>-0.0</v>
      </c>
      <c r="VAK45" s="5">
        <f>-'5. IRR'!VAL16</f>
        <v>-0.0</v>
      </c>
      <c r="VAL45" s="5">
        <f>-'5. IRR'!VAM16</f>
        <v>-0.0</v>
      </c>
      <c r="VAM45" s="5">
        <f>-'5. IRR'!VAN16</f>
        <v>-0.0</v>
      </c>
      <c r="VAN45" s="5">
        <f>-'5. IRR'!VAO16</f>
        <v>-0.0</v>
      </c>
      <c r="VAO45" s="5">
        <f>-'5. IRR'!VAP16</f>
        <v>-0.0</v>
      </c>
      <c r="VAP45" s="5">
        <f>-'5. IRR'!VAQ16</f>
        <v>-0.0</v>
      </c>
      <c r="VAQ45" s="5">
        <f>-'5. IRR'!VAR16</f>
        <v>-0.0</v>
      </c>
      <c r="VAR45" s="5">
        <f>-'5. IRR'!VAS16</f>
        <v>-0.0</v>
      </c>
      <c r="VAS45" s="5">
        <f>-'5. IRR'!VAT16</f>
        <v>-0.0</v>
      </c>
      <c r="VAT45" s="5">
        <f>-'5. IRR'!VAU16</f>
        <v>-0.0</v>
      </c>
      <c r="VAU45" s="5">
        <f>-'5. IRR'!VAV16</f>
        <v>-0.0</v>
      </c>
      <c r="VAV45" s="5">
        <f>-'5. IRR'!VAW16</f>
        <v>-0.0</v>
      </c>
      <c r="VAW45" s="5">
        <f>-'5. IRR'!VAX16</f>
        <v>-0.0</v>
      </c>
      <c r="VAX45" s="5">
        <f>-'5. IRR'!VAY16</f>
        <v>-0.0</v>
      </c>
      <c r="VAY45" s="5">
        <f>-'5. IRR'!VAZ16</f>
        <v>-0.0</v>
      </c>
      <c r="VAZ45" s="5">
        <f>-'5. IRR'!VBA16</f>
        <v>-0.0</v>
      </c>
      <c r="VBA45" s="5">
        <f>-'5. IRR'!VBB16</f>
        <v>-0.0</v>
      </c>
      <c r="VBB45" s="5">
        <f>-'5. IRR'!VBC16</f>
        <v>-0.0</v>
      </c>
      <c r="VBC45" s="5">
        <f>-'5. IRR'!VBD16</f>
        <v>-0.0</v>
      </c>
      <c r="VBD45" s="5">
        <f>-'5. IRR'!VBE16</f>
        <v>-0.0</v>
      </c>
      <c r="VBE45" s="5">
        <f>-'5. IRR'!VBF16</f>
        <v>-0.0</v>
      </c>
      <c r="VBF45" s="5">
        <f>-'5. IRR'!VBG16</f>
        <v>-0.0</v>
      </c>
      <c r="VBG45" s="5">
        <f>-'5. IRR'!VBH16</f>
        <v>-0.0</v>
      </c>
      <c r="VBH45" s="5">
        <f>-'5. IRR'!VBI16</f>
        <v>-0.0</v>
      </c>
      <c r="VBI45" s="5">
        <f>-'5. IRR'!VBJ16</f>
        <v>-0.0</v>
      </c>
      <c r="VBJ45" s="5">
        <f>-'5. IRR'!VBK16</f>
        <v>-0.0</v>
      </c>
      <c r="VBK45" s="5">
        <f>-'5. IRR'!VBL16</f>
        <v>-0.0</v>
      </c>
      <c r="VBL45" s="5">
        <f>-'5. IRR'!VBM16</f>
        <v>-0.0</v>
      </c>
      <c r="VBM45" s="5">
        <f>-'5. IRR'!VBN16</f>
        <v>-0.0</v>
      </c>
      <c r="VBN45" s="5">
        <f>-'5. IRR'!VBO16</f>
        <v>-0.0</v>
      </c>
      <c r="VBO45" s="5">
        <f>-'5. IRR'!VBP16</f>
        <v>-0.0</v>
      </c>
      <c r="VBP45" s="5">
        <f>-'5. IRR'!VBQ16</f>
        <v>-0.0</v>
      </c>
      <c r="VBQ45" s="5">
        <f>-'5. IRR'!VBR16</f>
        <v>-0.0</v>
      </c>
      <c r="VBR45" s="5">
        <f>-'5. IRR'!VBS16</f>
        <v>-0.0</v>
      </c>
      <c r="VBS45" s="5">
        <f>-'5. IRR'!VBT16</f>
        <v>-0.0</v>
      </c>
      <c r="VBT45" s="5">
        <f>-'5. IRR'!VBU16</f>
        <v>-0.0</v>
      </c>
      <c r="VBU45" s="5">
        <f>-'5. IRR'!VBV16</f>
        <v>-0.0</v>
      </c>
      <c r="VBV45" s="5">
        <f>-'5. IRR'!VBW16</f>
        <v>-0.0</v>
      </c>
      <c r="VBW45" s="5">
        <f>-'5. IRR'!VBX16</f>
        <v>-0.0</v>
      </c>
      <c r="VBX45" s="5">
        <f>-'5. IRR'!VBY16</f>
        <v>-0.0</v>
      </c>
      <c r="VBY45" s="5">
        <f>-'5. IRR'!VBZ16</f>
        <v>-0.0</v>
      </c>
      <c r="VBZ45" s="5">
        <f>-'5. IRR'!VCA16</f>
        <v>-0.0</v>
      </c>
      <c r="VCA45" s="5">
        <f>-'5. IRR'!VCB16</f>
        <v>-0.0</v>
      </c>
      <c r="VCB45" s="5">
        <f>-'5. IRR'!VCC16</f>
        <v>-0.0</v>
      </c>
      <c r="VCC45" s="5">
        <f>-'5. IRR'!VCD16</f>
        <v>-0.0</v>
      </c>
      <c r="VCD45" s="5">
        <f>-'5. IRR'!VCE16</f>
        <v>-0.0</v>
      </c>
      <c r="VCE45" s="5">
        <f>-'5. IRR'!VCF16</f>
        <v>-0.0</v>
      </c>
      <c r="VCF45" s="5">
        <f>-'5. IRR'!VCG16</f>
        <v>-0.0</v>
      </c>
      <c r="VCG45" s="5">
        <f>-'5. IRR'!VCH16</f>
        <v>-0.0</v>
      </c>
      <c r="VCH45" s="5">
        <f>-'5. IRR'!VCI16</f>
        <v>-0.0</v>
      </c>
      <c r="VCI45" s="5">
        <f>-'5. IRR'!VCJ16</f>
        <v>-0.0</v>
      </c>
      <c r="VCJ45" s="5">
        <f>-'5. IRR'!VCK16</f>
        <v>-0.0</v>
      </c>
      <c r="VCK45" s="5">
        <f>-'5. IRR'!VCL16</f>
        <v>-0.0</v>
      </c>
      <c r="VCL45" s="5">
        <f>-'5. IRR'!VCM16</f>
        <v>-0.0</v>
      </c>
      <c r="VCM45" s="5">
        <f>-'5. IRR'!VCN16</f>
        <v>-0.0</v>
      </c>
      <c r="VCN45" s="5">
        <f>-'5. IRR'!VCO16</f>
        <v>-0.0</v>
      </c>
      <c r="VCO45" s="5">
        <f>-'5. IRR'!VCP16</f>
        <v>-0.0</v>
      </c>
      <c r="VCP45" s="5">
        <f>-'5. IRR'!VCQ16</f>
        <v>-0.0</v>
      </c>
      <c r="VCQ45" s="5">
        <f>-'5. IRR'!VCR16</f>
        <v>-0.0</v>
      </c>
      <c r="VCR45" s="5">
        <f>-'5. IRR'!VCS16</f>
        <v>-0.0</v>
      </c>
      <c r="VCS45" s="5">
        <f>-'5. IRR'!VCT16</f>
        <v>-0.0</v>
      </c>
      <c r="VCT45" s="5">
        <f>-'5. IRR'!VCU16</f>
        <v>-0.0</v>
      </c>
      <c r="VCU45" s="5">
        <f>-'5. IRR'!VCV16</f>
        <v>-0.0</v>
      </c>
      <c r="VCV45" s="5">
        <f>-'5. IRR'!VCW16</f>
        <v>-0.0</v>
      </c>
      <c r="VCW45" s="5">
        <f>-'5. IRR'!VCX16</f>
        <v>-0.0</v>
      </c>
      <c r="VCX45" s="5">
        <f>-'5. IRR'!VCY16</f>
        <v>-0.0</v>
      </c>
      <c r="VCY45" s="5">
        <f>-'5. IRR'!VCZ16</f>
        <v>-0.0</v>
      </c>
      <c r="VCZ45" s="5">
        <f>-'5. IRR'!VDA16</f>
        <v>-0.0</v>
      </c>
      <c r="VDA45" s="5">
        <f>-'5. IRR'!VDB16</f>
        <v>-0.0</v>
      </c>
      <c r="VDB45" s="5">
        <f>-'5. IRR'!VDC16</f>
        <v>-0.0</v>
      </c>
      <c r="VDC45" s="5">
        <f>-'5. IRR'!VDD16</f>
        <v>-0.0</v>
      </c>
      <c r="VDD45" s="5">
        <f>-'5. IRR'!VDE16</f>
        <v>-0.0</v>
      </c>
      <c r="VDE45" s="5">
        <f>-'5. IRR'!VDF16</f>
        <v>-0.0</v>
      </c>
      <c r="VDF45" s="5">
        <f>-'5. IRR'!VDG16</f>
        <v>-0.0</v>
      </c>
      <c r="VDG45" s="5">
        <f>-'5. IRR'!VDH16</f>
        <v>-0.0</v>
      </c>
      <c r="VDH45" s="5">
        <f>-'5. IRR'!VDI16</f>
        <v>-0.0</v>
      </c>
      <c r="VDI45" s="5">
        <f>-'5. IRR'!VDJ16</f>
        <v>-0.0</v>
      </c>
      <c r="VDJ45" s="5">
        <f>-'5. IRR'!VDK16</f>
        <v>-0.0</v>
      </c>
      <c r="VDK45" s="5">
        <f>-'5. IRR'!VDL16</f>
        <v>-0.0</v>
      </c>
      <c r="VDL45" s="5">
        <f>-'5. IRR'!VDM16</f>
        <v>-0.0</v>
      </c>
      <c r="VDM45" s="5">
        <f>-'5. IRR'!VDN16</f>
        <v>-0.0</v>
      </c>
      <c r="VDN45" s="5">
        <f>-'5. IRR'!VDO16</f>
        <v>-0.0</v>
      </c>
      <c r="VDO45" s="5">
        <f>-'5. IRR'!VDP16</f>
        <v>-0.0</v>
      </c>
      <c r="VDP45" s="5">
        <f>-'5. IRR'!VDQ16</f>
        <v>-0.0</v>
      </c>
      <c r="VDQ45" s="5">
        <f>-'5. IRR'!VDR16</f>
        <v>-0.0</v>
      </c>
      <c r="VDR45" s="5">
        <f>-'5. IRR'!VDS16</f>
        <v>-0.0</v>
      </c>
      <c r="VDS45" s="5">
        <f>-'5. IRR'!VDT16</f>
        <v>-0.0</v>
      </c>
      <c r="VDT45" s="5">
        <f>-'5. IRR'!VDU16</f>
        <v>-0.0</v>
      </c>
      <c r="VDU45" s="5">
        <f>-'5. IRR'!VDV16</f>
        <v>-0.0</v>
      </c>
      <c r="VDV45" s="5">
        <f>-'5. IRR'!VDW16</f>
        <v>-0.0</v>
      </c>
      <c r="VDW45" s="5">
        <f>-'5. IRR'!VDX16</f>
        <v>-0.0</v>
      </c>
      <c r="VDX45" s="5">
        <f>-'5. IRR'!VDY16</f>
        <v>-0.0</v>
      </c>
      <c r="VDY45" s="5">
        <f>-'5. IRR'!VDZ16</f>
        <v>-0.0</v>
      </c>
      <c r="VDZ45" s="5">
        <f>-'5. IRR'!VEA16</f>
        <v>-0.0</v>
      </c>
      <c r="VEA45" s="5">
        <f>-'5. IRR'!VEB16</f>
        <v>-0.0</v>
      </c>
      <c r="VEB45" s="5">
        <f>-'5. IRR'!VEC16</f>
        <v>-0.0</v>
      </c>
      <c r="VEC45" s="5">
        <f>-'5. IRR'!VED16</f>
        <v>-0.0</v>
      </c>
      <c r="VED45" s="5">
        <f>-'5. IRR'!VEE16</f>
        <v>-0.0</v>
      </c>
      <c r="VEE45" s="5">
        <f>-'5. IRR'!VEF16</f>
        <v>-0.0</v>
      </c>
      <c r="VEF45" s="5">
        <f>-'5. IRR'!VEG16</f>
        <v>-0.0</v>
      </c>
      <c r="VEG45" s="5">
        <f>-'5. IRR'!VEH16</f>
        <v>-0.0</v>
      </c>
      <c r="VEH45" s="5">
        <f>-'5. IRR'!VEI16</f>
        <v>-0.0</v>
      </c>
      <c r="VEI45" s="5">
        <f>-'5. IRR'!VEJ16</f>
        <v>-0.0</v>
      </c>
      <c r="VEJ45" s="5">
        <f>-'5. IRR'!VEK16</f>
        <v>-0.0</v>
      </c>
      <c r="VEK45" s="5">
        <f>-'5. IRR'!VEL16</f>
        <v>-0.0</v>
      </c>
      <c r="VEL45" s="5">
        <f>-'5. IRR'!VEM16</f>
        <v>-0.0</v>
      </c>
      <c r="VEM45" s="5">
        <f>-'5. IRR'!VEN16</f>
        <v>-0.0</v>
      </c>
      <c r="VEN45" s="5">
        <f>-'5. IRR'!VEO16</f>
        <v>-0.0</v>
      </c>
      <c r="VEO45" s="5">
        <f>-'5. IRR'!VEP16</f>
        <v>-0.0</v>
      </c>
      <c r="VEP45" s="5">
        <f>-'5. IRR'!VEQ16</f>
        <v>-0.0</v>
      </c>
      <c r="VEQ45" s="5">
        <f>-'5. IRR'!VER16</f>
        <v>-0.0</v>
      </c>
      <c r="VER45" s="5">
        <f>-'5. IRR'!VES16</f>
        <v>-0.0</v>
      </c>
      <c r="VES45" s="5">
        <f>-'5. IRR'!VET16</f>
        <v>-0.0</v>
      </c>
      <c r="VET45" s="5">
        <f>-'5. IRR'!VEU16</f>
        <v>-0.0</v>
      </c>
      <c r="VEU45" s="5">
        <f>-'5. IRR'!VEV16</f>
        <v>-0.0</v>
      </c>
      <c r="VEV45" s="5">
        <f>-'5. IRR'!VEW16</f>
        <v>-0.0</v>
      </c>
      <c r="VEW45" s="5">
        <f>-'5. IRR'!VEX16</f>
        <v>-0.0</v>
      </c>
      <c r="VEX45" s="5">
        <f>-'5. IRR'!VEY16</f>
        <v>-0.0</v>
      </c>
      <c r="VEY45" s="5">
        <f>-'5. IRR'!VEZ16</f>
        <v>-0.0</v>
      </c>
      <c r="VEZ45" s="5">
        <f>-'5. IRR'!VFA16</f>
        <v>-0.0</v>
      </c>
      <c r="VFA45" s="5">
        <f>-'5. IRR'!VFB16</f>
        <v>-0.0</v>
      </c>
      <c r="VFB45" s="5">
        <f>-'5. IRR'!VFC16</f>
        <v>-0.0</v>
      </c>
      <c r="VFC45" s="5">
        <f>-'5. IRR'!VFD16</f>
        <v>-0.0</v>
      </c>
      <c r="VFD45" s="5">
        <f>-'5. IRR'!VFE16</f>
        <v>-0.0</v>
      </c>
      <c r="VFE45" s="5">
        <f>-'5. IRR'!VFF16</f>
        <v>-0.0</v>
      </c>
      <c r="VFF45" s="5">
        <f>-'5. IRR'!VFG16</f>
        <v>-0.0</v>
      </c>
      <c r="VFG45" s="5">
        <f>-'5. IRR'!VFH16</f>
        <v>-0.0</v>
      </c>
      <c r="VFH45" s="5">
        <f>-'5. IRR'!VFI16</f>
        <v>-0.0</v>
      </c>
      <c r="VFI45" s="5">
        <f>-'5. IRR'!VFJ16</f>
        <v>-0.0</v>
      </c>
      <c r="VFJ45" s="5">
        <f>-'5. IRR'!VFK16</f>
        <v>-0.0</v>
      </c>
      <c r="VFK45" s="5">
        <f>-'5. IRR'!VFL16</f>
        <v>-0.0</v>
      </c>
      <c r="VFL45" s="5">
        <f>-'5. IRR'!VFM16</f>
        <v>-0.0</v>
      </c>
      <c r="VFM45" s="5">
        <f>-'5. IRR'!VFN16</f>
        <v>-0.0</v>
      </c>
      <c r="VFN45" s="5">
        <f>-'5. IRR'!VFO16</f>
        <v>-0.0</v>
      </c>
      <c r="VFO45" s="5">
        <f>-'5. IRR'!VFP16</f>
        <v>-0.0</v>
      </c>
      <c r="VFP45" s="5">
        <f>-'5. IRR'!VFQ16</f>
        <v>-0.0</v>
      </c>
      <c r="VFQ45" s="5">
        <f>-'5. IRR'!VFR16</f>
        <v>-0.0</v>
      </c>
      <c r="VFR45" s="5">
        <f>-'5. IRR'!VFS16</f>
        <v>-0.0</v>
      </c>
      <c r="VFS45" s="5">
        <f>-'5. IRR'!VFT16</f>
        <v>-0.0</v>
      </c>
      <c r="VFT45" s="5">
        <f>-'5. IRR'!VFU16</f>
        <v>-0.0</v>
      </c>
      <c r="VFU45" s="5">
        <f>-'5. IRR'!VFV16</f>
        <v>-0.0</v>
      </c>
      <c r="VFV45" s="5">
        <f>-'5. IRR'!VFW16</f>
        <v>-0.0</v>
      </c>
      <c r="VFW45" s="5">
        <f>-'5. IRR'!VFX16</f>
        <v>-0.0</v>
      </c>
      <c r="VFX45" s="5">
        <f>-'5. IRR'!VFY16</f>
        <v>-0.0</v>
      </c>
      <c r="VFY45" s="5">
        <f>-'5. IRR'!VFZ16</f>
        <v>-0.0</v>
      </c>
      <c r="VFZ45" s="5">
        <f>-'5. IRR'!VGA16</f>
        <v>-0.0</v>
      </c>
      <c r="VGA45" s="5">
        <f>-'5. IRR'!VGB16</f>
        <v>-0.0</v>
      </c>
      <c r="VGB45" s="5">
        <f>-'5. IRR'!VGC16</f>
        <v>-0.0</v>
      </c>
      <c r="VGC45" s="5">
        <f>-'5. IRR'!VGD16</f>
        <v>-0.0</v>
      </c>
      <c r="VGD45" s="5">
        <f>-'5. IRR'!VGE16</f>
        <v>-0.0</v>
      </c>
      <c r="VGE45" s="5">
        <f>-'5. IRR'!VGF16</f>
        <v>-0.0</v>
      </c>
      <c r="VGF45" s="5">
        <f>-'5. IRR'!VGG16</f>
        <v>-0.0</v>
      </c>
      <c r="VGG45" s="5">
        <f>-'5. IRR'!VGH16</f>
        <v>-0.0</v>
      </c>
      <c r="VGH45" s="5">
        <f>-'5. IRR'!VGI16</f>
        <v>-0.0</v>
      </c>
      <c r="VGI45" s="5">
        <f>-'5. IRR'!VGJ16</f>
        <v>-0.0</v>
      </c>
      <c r="VGJ45" s="5">
        <f>-'5. IRR'!VGK16</f>
        <v>-0.0</v>
      </c>
      <c r="VGK45" s="5">
        <f>-'5. IRR'!VGL16</f>
        <v>-0.0</v>
      </c>
      <c r="VGL45" s="5">
        <f>-'5. IRR'!VGM16</f>
        <v>-0.0</v>
      </c>
      <c r="VGM45" s="5">
        <f>-'5. IRR'!VGN16</f>
        <v>-0.0</v>
      </c>
      <c r="VGN45" s="5">
        <f>-'5. IRR'!VGO16</f>
        <v>-0.0</v>
      </c>
      <c r="VGO45" s="5">
        <f>-'5. IRR'!VGP16</f>
        <v>-0.0</v>
      </c>
      <c r="VGP45" s="5">
        <f>-'5. IRR'!VGQ16</f>
        <v>-0.0</v>
      </c>
      <c r="VGQ45" s="5">
        <f>-'5. IRR'!VGR16</f>
        <v>-0.0</v>
      </c>
      <c r="VGR45" s="5">
        <f>-'5. IRR'!VGS16</f>
        <v>-0.0</v>
      </c>
      <c r="VGS45" s="5">
        <f>-'5. IRR'!VGT16</f>
        <v>-0.0</v>
      </c>
      <c r="VGT45" s="5">
        <f>-'5. IRR'!VGU16</f>
        <v>-0.0</v>
      </c>
      <c r="VGU45" s="5">
        <f>-'5. IRR'!VGV16</f>
        <v>-0.0</v>
      </c>
      <c r="VGV45" s="5">
        <f>-'5. IRR'!VGW16</f>
        <v>-0.0</v>
      </c>
      <c r="VGW45" s="5">
        <f>-'5. IRR'!VGX16</f>
        <v>-0.0</v>
      </c>
      <c r="VGX45" s="5">
        <f>-'5. IRR'!VGY16</f>
        <v>-0.0</v>
      </c>
      <c r="VGY45" s="5">
        <f>-'5. IRR'!VGZ16</f>
        <v>-0.0</v>
      </c>
      <c r="VGZ45" s="5">
        <f>-'5. IRR'!VHA16</f>
        <v>-0.0</v>
      </c>
      <c r="VHA45" s="5">
        <f>-'5. IRR'!VHB16</f>
        <v>-0.0</v>
      </c>
      <c r="VHB45" s="5">
        <f>-'5. IRR'!VHC16</f>
        <v>-0.0</v>
      </c>
      <c r="VHC45" s="5">
        <f>-'5. IRR'!VHD16</f>
        <v>-0.0</v>
      </c>
      <c r="VHD45" s="5">
        <f>-'5. IRR'!VHE16</f>
        <v>-0.0</v>
      </c>
      <c r="VHE45" s="5">
        <f>-'5. IRR'!VHF16</f>
        <v>-0.0</v>
      </c>
      <c r="VHF45" s="5">
        <f>-'5. IRR'!VHG16</f>
        <v>-0.0</v>
      </c>
      <c r="VHG45" s="5">
        <f>-'5. IRR'!VHH16</f>
        <v>-0.0</v>
      </c>
      <c r="VHH45" s="5">
        <f>-'5. IRR'!VHI16</f>
        <v>-0.0</v>
      </c>
      <c r="VHI45" s="5">
        <f>-'5. IRR'!VHJ16</f>
        <v>-0.0</v>
      </c>
      <c r="VHJ45" s="5">
        <f>-'5. IRR'!VHK16</f>
        <v>-0.0</v>
      </c>
      <c r="VHK45" s="5">
        <f>-'5. IRR'!VHL16</f>
        <v>-0.0</v>
      </c>
      <c r="VHL45" s="5">
        <f>-'5. IRR'!VHM16</f>
        <v>-0.0</v>
      </c>
      <c r="VHM45" s="5">
        <f>-'5. IRR'!VHN16</f>
        <v>-0.0</v>
      </c>
      <c r="VHN45" s="5">
        <f>-'5. IRR'!VHO16</f>
        <v>-0.0</v>
      </c>
      <c r="VHO45" s="5">
        <f>-'5. IRR'!VHP16</f>
        <v>-0.0</v>
      </c>
      <c r="VHP45" s="5">
        <f>-'5. IRR'!VHQ16</f>
        <v>-0.0</v>
      </c>
      <c r="VHQ45" s="5">
        <f>-'5. IRR'!VHR16</f>
        <v>-0.0</v>
      </c>
      <c r="VHR45" s="5">
        <f>-'5. IRR'!VHS16</f>
        <v>-0.0</v>
      </c>
      <c r="VHS45" s="5">
        <f>-'5. IRR'!VHT16</f>
        <v>-0.0</v>
      </c>
      <c r="VHT45" s="5">
        <f>-'5. IRR'!VHU16</f>
        <v>-0.0</v>
      </c>
      <c r="VHU45" s="5">
        <f>-'5. IRR'!VHV16</f>
        <v>-0.0</v>
      </c>
      <c r="VHV45" s="5">
        <f>-'5. IRR'!VHW16</f>
        <v>-0.0</v>
      </c>
      <c r="VHW45" s="5">
        <f>-'5. IRR'!VHX16</f>
        <v>-0.0</v>
      </c>
      <c r="VHX45" s="5">
        <f>-'5. IRR'!VHY16</f>
        <v>-0.0</v>
      </c>
      <c r="VHY45" s="5">
        <f>-'5. IRR'!VHZ16</f>
        <v>-0.0</v>
      </c>
      <c r="VHZ45" s="5">
        <f>-'5. IRR'!VIA16</f>
        <v>-0.0</v>
      </c>
      <c r="VIA45" s="5">
        <f>-'5. IRR'!VIB16</f>
        <v>-0.0</v>
      </c>
      <c r="VIB45" s="5">
        <f>-'5. IRR'!VIC16</f>
        <v>-0.0</v>
      </c>
      <c r="VIC45" s="5">
        <f>-'5. IRR'!VID16</f>
        <v>-0.0</v>
      </c>
      <c r="VID45" s="5">
        <f>-'5. IRR'!VIE16</f>
        <v>-0.0</v>
      </c>
      <c r="VIE45" s="5">
        <f>-'5. IRR'!VIF16</f>
        <v>-0.0</v>
      </c>
      <c r="VIF45" s="5">
        <f>-'5. IRR'!VIG16</f>
        <v>-0.0</v>
      </c>
      <c r="VIG45" s="5">
        <f>-'5. IRR'!VIH16</f>
        <v>-0.0</v>
      </c>
      <c r="VIH45" s="5">
        <f>-'5. IRR'!VII16</f>
        <v>-0.0</v>
      </c>
      <c r="VII45" s="5">
        <f>-'5. IRR'!VIJ16</f>
        <v>-0.0</v>
      </c>
      <c r="VIJ45" s="5">
        <f>-'5. IRR'!VIK16</f>
        <v>-0.0</v>
      </c>
      <c r="VIK45" s="5">
        <f>-'5. IRR'!VIL16</f>
        <v>-0.0</v>
      </c>
      <c r="VIL45" s="5">
        <f>-'5. IRR'!VIM16</f>
        <v>-0.0</v>
      </c>
      <c r="VIM45" s="5">
        <f>-'5. IRR'!VIN16</f>
        <v>-0.0</v>
      </c>
      <c r="VIN45" s="5">
        <f>-'5. IRR'!VIO16</f>
        <v>-0.0</v>
      </c>
      <c r="VIO45" s="5">
        <f>-'5. IRR'!VIP16</f>
        <v>-0.0</v>
      </c>
      <c r="VIP45" s="5">
        <f>-'5. IRR'!VIQ16</f>
        <v>-0.0</v>
      </c>
      <c r="VIQ45" s="5">
        <f>-'5. IRR'!VIR16</f>
        <v>-0.0</v>
      </c>
      <c r="VIR45" s="5">
        <f>-'5. IRR'!VIS16</f>
        <v>-0.0</v>
      </c>
      <c r="VIS45" s="5">
        <f>-'5. IRR'!VIT16</f>
        <v>-0.0</v>
      </c>
      <c r="VIT45" s="5">
        <f>-'5. IRR'!VIU16</f>
        <v>-0.0</v>
      </c>
      <c r="VIU45" s="5">
        <f>-'5. IRR'!VIV16</f>
        <v>-0.0</v>
      </c>
      <c r="VIV45" s="5">
        <f>-'5. IRR'!VIW16</f>
        <v>-0.0</v>
      </c>
      <c r="VIW45" s="5">
        <f>-'5. IRR'!VIX16</f>
        <v>-0.0</v>
      </c>
      <c r="VIX45" s="5">
        <f>-'5. IRR'!VIY16</f>
        <v>-0.0</v>
      </c>
      <c r="VIY45" s="5">
        <f>-'5. IRR'!VIZ16</f>
        <v>-0.0</v>
      </c>
      <c r="VIZ45" s="5">
        <f>-'5. IRR'!VJA16</f>
        <v>-0.0</v>
      </c>
      <c r="VJA45" s="5">
        <f>-'5. IRR'!VJB16</f>
        <v>-0.0</v>
      </c>
      <c r="VJB45" s="5">
        <f>-'5. IRR'!VJC16</f>
        <v>-0.0</v>
      </c>
      <c r="VJC45" s="5">
        <f>-'5. IRR'!VJD16</f>
        <v>-0.0</v>
      </c>
      <c r="VJD45" s="5">
        <f>-'5. IRR'!VJE16</f>
        <v>-0.0</v>
      </c>
      <c r="VJE45" s="5">
        <f>-'5. IRR'!VJF16</f>
        <v>-0.0</v>
      </c>
      <c r="VJF45" s="5">
        <f>-'5. IRR'!VJG16</f>
        <v>-0.0</v>
      </c>
      <c r="VJG45" s="5">
        <f>-'5. IRR'!VJH16</f>
        <v>-0.0</v>
      </c>
      <c r="VJH45" s="5">
        <f>-'5. IRR'!VJI16</f>
        <v>-0.0</v>
      </c>
      <c r="VJI45" s="5">
        <f>-'5. IRR'!VJJ16</f>
        <v>-0.0</v>
      </c>
      <c r="VJJ45" s="5">
        <f>-'5. IRR'!VJK16</f>
        <v>-0.0</v>
      </c>
      <c r="VJK45" s="5">
        <f>-'5. IRR'!VJL16</f>
        <v>-0.0</v>
      </c>
      <c r="VJL45" s="5">
        <f>-'5. IRR'!VJM16</f>
        <v>-0.0</v>
      </c>
      <c r="VJM45" s="5">
        <f>-'5. IRR'!VJN16</f>
        <v>-0.0</v>
      </c>
      <c r="VJN45" s="5">
        <f>-'5. IRR'!VJO16</f>
        <v>-0.0</v>
      </c>
      <c r="VJO45" s="5">
        <f>-'5. IRR'!VJP16</f>
        <v>-0.0</v>
      </c>
      <c r="VJP45" s="5">
        <f>-'5. IRR'!VJQ16</f>
        <v>-0.0</v>
      </c>
      <c r="VJQ45" s="5">
        <f>-'5. IRR'!VJR16</f>
        <v>-0.0</v>
      </c>
      <c r="VJR45" s="5">
        <f>-'5. IRR'!VJS16</f>
        <v>-0.0</v>
      </c>
      <c r="VJS45" s="5">
        <f>-'5. IRR'!VJT16</f>
        <v>-0.0</v>
      </c>
      <c r="VJT45" s="5">
        <f>-'5. IRR'!VJU16</f>
        <v>-0.0</v>
      </c>
      <c r="VJU45" s="5">
        <f>-'5. IRR'!VJV16</f>
        <v>-0.0</v>
      </c>
      <c r="VJV45" s="5">
        <f>-'5. IRR'!VJW16</f>
        <v>-0.0</v>
      </c>
      <c r="VJW45" s="5">
        <f>-'5. IRR'!VJX16</f>
        <v>-0.0</v>
      </c>
      <c r="VJX45" s="5">
        <f>-'5. IRR'!VJY16</f>
        <v>-0.0</v>
      </c>
      <c r="VJY45" s="5">
        <f>-'5. IRR'!VJZ16</f>
        <v>-0.0</v>
      </c>
      <c r="VJZ45" s="5">
        <f>-'5. IRR'!VKA16</f>
        <v>-0.0</v>
      </c>
      <c r="VKA45" s="5">
        <f>-'5. IRR'!VKB16</f>
        <v>-0.0</v>
      </c>
      <c r="VKB45" s="5">
        <f>-'5. IRR'!VKC16</f>
        <v>-0.0</v>
      </c>
      <c r="VKC45" s="5">
        <f>-'5. IRR'!VKD16</f>
        <v>-0.0</v>
      </c>
      <c r="VKD45" s="5">
        <f>-'5. IRR'!VKE16</f>
        <v>-0.0</v>
      </c>
      <c r="VKE45" s="5">
        <f>-'5. IRR'!VKF16</f>
        <v>-0.0</v>
      </c>
      <c r="VKF45" s="5">
        <f>-'5. IRR'!VKG16</f>
        <v>-0.0</v>
      </c>
      <c r="VKG45" s="5">
        <f>-'5. IRR'!VKH16</f>
        <v>-0.0</v>
      </c>
      <c r="VKH45" s="5">
        <f>-'5. IRR'!VKI16</f>
        <v>-0.0</v>
      </c>
      <c r="VKI45" s="5">
        <f>-'5. IRR'!VKJ16</f>
        <v>-0.0</v>
      </c>
      <c r="VKJ45" s="5">
        <f>-'5. IRR'!VKK16</f>
        <v>-0.0</v>
      </c>
      <c r="VKK45" s="5">
        <f>-'5. IRR'!VKL16</f>
        <v>-0.0</v>
      </c>
      <c r="VKL45" s="5">
        <f>-'5. IRR'!VKM16</f>
        <v>-0.0</v>
      </c>
      <c r="VKM45" s="5">
        <f>-'5. IRR'!VKN16</f>
        <v>-0.0</v>
      </c>
      <c r="VKN45" s="5">
        <f>-'5. IRR'!VKO16</f>
        <v>-0.0</v>
      </c>
      <c r="VKO45" s="5">
        <f>-'5. IRR'!VKP16</f>
        <v>-0.0</v>
      </c>
      <c r="VKP45" s="5">
        <f>-'5. IRR'!VKQ16</f>
        <v>-0.0</v>
      </c>
      <c r="VKQ45" s="5">
        <f>-'5. IRR'!VKR16</f>
        <v>-0.0</v>
      </c>
      <c r="VKR45" s="5">
        <f>-'5. IRR'!VKS16</f>
        <v>-0.0</v>
      </c>
      <c r="VKS45" s="5">
        <f>-'5. IRR'!VKT16</f>
        <v>-0.0</v>
      </c>
      <c r="VKT45" s="5">
        <f>-'5. IRR'!VKU16</f>
        <v>-0.0</v>
      </c>
      <c r="VKU45" s="5">
        <f>-'5. IRR'!VKV16</f>
        <v>-0.0</v>
      </c>
      <c r="VKV45" s="5">
        <f>-'5. IRR'!VKW16</f>
        <v>-0.0</v>
      </c>
      <c r="VKW45" s="5">
        <f>-'5. IRR'!VKX16</f>
        <v>-0.0</v>
      </c>
      <c r="VKX45" s="5">
        <f>-'5. IRR'!VKY16</f>
        <v>-0.0</v>
      </c>
      <c r="VKY45" s="5">
        <f>-'5. IRR'!VKZ16</f>
        <v>-0.0</v>
      </c>
      <c r="VKZ45" s="5">
        <f>-'5. IRR'!VLA16</f>
        <v>-0.0</v>
      </c>
      <c r="VLA45" s="5">
        <f>-'5. IRR'!VLB16</f>
        <v>-0.0</v>
      </c>
      <c r="VLB45" s="5">
        <f>-'5. IRR'!VLC16</f>
        <v>-0.0</v>
      </c>
      <c r="VLC45" s="5">
        <f>-'5. IRR'!VLD16</f>
        <v>-0.0</v>
      </c>
      <c r="VLD45" s="5">
        <f>-'5. IRR'!VLE16</f>
        <v>-0.0</v>
      </c>
      <c r="VLE45" s="5">
        <f>-'5. IRR'!VLF16</f>
        <v>-0.0</v>
      </c>
      <c r="VLF45" s="5">
        <f>-'5. IRR'!VLG16</f>
        <v>-0.0</v>
      </c>
      <c r="VLG45" s="5">
        <f>-'5. IRR'!VLH16</f>
        <v>-0.0</v>
      </c>
      <c r="VLH45" s="5">
        <f>-'5. IRR'!VLI16</f>
        <v>-0.0</v>
      </c>
      <c r="VLI45" s="5">
        <f>-'5. IRR'!VLJ16</f>
        <v>-0.0</v>
      </c>
      <c r="VLJ45" s="5">
        <f>-'5. IRR'!VLK16</f>
        <v>-0.0</v>
      </c>
      <c r="VLK45" s="5">
        <f>-'5. IRR'!VLL16</f>
        <v>-0.0</v>
      </c>
      <c r="VLL45" s="5">
        <f>-'5. IRR'!VLM16</f>
        <v>-0.0</v>
      </c>
      <c r="VLM45" s="5">
        <f>-'5. IRR'!VLN16</f>
        <v>-0.0</v>
      </c>
      <c r="VLN45" s="5">
        <f>-'5. IRR'!VLO16</f>
        <v>-0.0</v>
      </c>
      <c r="VLO45" s="5">
        <f>-'5. IRR'!VLP16</f>
        <v>-0.0</v>
      </c>
      <c r="VLP45" s="5">
        <f>-'5. IRR'!VLQ16</f>
        <v>-0.0</v>
      </c>
      <c r="VLQ45" s="5">
        <f>-'5. IRR'!VLR16</f>
        <v>-0.0</v>
      </c>
      <c r="VLR45" s="5">
        <f>-'5. IRR'!VLS16</f>
        <v>-0.0</v>
      </c>
      <c r="VLS45" s="5">
        <f>-'5. IRR'!VLT16</f>
        <v>-0.0</v>
      </c>
      <c r="VLT45" s="5">
        <f>-'5. IRR'!VLU16</f>
        <v>-0.0</v>
      </c>
      <c r="VLU45" s="5">
        <f>-'5. IRR'!VLV16</f>
        <v>-0.0</v>
      </c>
      <c r="VLV45" s="5">
        <f>-'5. IRR'!VLW16</f>
        <v>-0.0</v>
      </c>
      <c r="VLW45" s="5">
        <f>-'5. IRR'!VLX16</f>
        <v>-0.0</v>
      </c>
      <c r="VLX45" s="5">
        <f>-'5. IRR'!VLY16</f>
        <v>-0.0</v>
      </c>
      <c r="VLY45" s="5">
        <f>-'5. IRR'!VLZ16</f>
        <v>-0.0</v>
      </c>
      <c r="VLZ45" s="5">
        <f>-'5. IRR'!VMA16</f>
        <v>-0.0</v>
      </c>
      <c r="VMA45" s="5">
        <f>-'5. IRR'!VMB16</f>
        <v>-0.0</v>
      </c>
      <c r="VMB45" s="5">
        <f>-'5. IRR'!VMC16</f>
        <v>-0.0</v>
      </c>
      <c r="VMC45" s="5">
        <f>-'5. IRR'!VMD16</f>
        <v>-0.0</v>
      </c>
      <c r="VMD45" s="5">
        <f>-'5. IRR'!VME16</f>
        <v>-0.0</v>
      </c>
      <c r="VME45" s="5">
        <f>-'5. IRR'!VMF16</f>
        <v>-0.0</v>
      </c>
      <c r="VMF45" s="5">
        <f>-'5. IRR'!VMG16</f>
        <v>-0.0</v>
      </c>
      <c r="VMG45" s="5">
        <f>-'5. IRR'!VMH16</f>
        <v>-0.0</v>
      </c>
      <c r="VMH45" s="5">
        <f>-'5. IRR'!VMI16</f>
        <v>-0.0</v>
      </c>
      <c r="VMI45" s="5">
        <f>-'5. IRR'!VMJ16</f>
        <v>-0.0</v>
      </c>
      <c r="VMJ45" s="5">
        <f>-'5. IRR'!VMK16</f>
        <v>-0.0</v>
      </c>
      <c r="VMK45" s="5">
        <f>-'5. IRR'!VML16</f>
        <v>-0.0</v>
      </c>
      <c r="VML45" s="5">
        <f>-'5. IRR'!VMM16</f>
        <v>-0.0</v>
      </c>
      <c r="VMM45" s="5">
        <f>-'5. IRR'!VMN16</f>
        <v>-0.0</v>
      </c>
      <c r="VMN45" s="5">
        <f>-'5. IRR'!VMO16</f>
        <v>-0.0</v>
      </c>
      <c r="VMO45" s="5">
        <f>-'5. IRR'!VMP16</f>
        <v>-0.0</v>
      </c>
      <c r="VMP45" s="5">
        <f>-'5. IRR'!VMQ16</f>
        <v>-0.0</v>
      </c>
      <c r="VMQ45" s="5">
        <f>-'5. IRR'!VMR16</f>
        <v>-0.0</v>
      </c>
      <c r="VMR45" s="5">
        <f>-'5. IRR'!VMS16</f>
        <v>-0.0</v>
      </c>
      <c r="VMS45" s="5">
        <f>-'5. IRR'!VMT16</f>
        <v>-0.0</v>
      </c>
      <c r="VMT45" s="5">
        <f>-'5. IRR'!VMU16</f>
        <v>-0.0</v>
      </c>
      <c r="VMU45" s="5">
        <f>-'5. IRR'!VMV16</f>
        <v>-0.0</v>
      </c>
      <c r="VMV45" s="5">
        <f>-'5. IRR'!VMW16</f>
        <v>-0.0</v>
      </c>
      <c r="VMW45" s="5">
        <f>-'5. IRR'!VMX16</f>
        <v>-0.0</v>
      </c>
      <c r="VMX45" s="5">
        <f>-'5. IRR'!VMY16</f>
        <v>-0.0</v>
      </c>
      <c r="VMY45" s="5">
        <f>-'5. IRR'!VMZ16</f>
        <v>-0.0</v>
      </c>
      <c r="VMZ45" s="5">
        <f>-'5. IRR'!VNA16</f>
        <v>-0.0</v>
      </c>
      <c r="VNA45" s="5">
        <f>-'5. IRR'!VNB16</f>
        <v>-0.0</v>
      </c>
      <c r="VNB45" s="5">
        <f>-'5. IRR'!VNC16</f>
        <v>-0.0</v>
      </c>
      <c r="VNC45" s="5">
        <f>-'5. IRR'!VND16</f>
        <v>-0.0</v>
      </c>
      <c r="VND45" s="5">
        <f>-'5. IRR'!VNE16</f>
        <v>-0.0</v>
      </c>
      <c r="VNE45" s="5">
        <f>-'5. IRR'!VNF16</f>
        <v>-0.0</v>
      </c>
      <c r="VNF45" s="5">
        <f>-'5. IRR'!VNG16</f>
        <v>-0.0</v>
      </c>
      <c r="VNG45" s="5">
        <f>-'5. IRR'!VNH16</f>
        <v>-0.0</v>
      </c>
      <c r="VNH45" s="5">
        <f>-'5. IRR'!VNI16</f>
        <v>-0.0</v>
      </c>
      <c r="VNI45" s="5">
        <f>-'5. IRR'!VNJ16</f>
        <v>-0.0</v>
      </c>
      <c r="VNJ45" s="5">
        <f>-'5. IRR'!VNK16</f>
        <v>-0.0</v>
      </c>
      <c r="VNK45" s="5">
        <f>-'5. IRR'!VNL16</f>
        <v>-0.0</v>
      </c>
      <c r="VNL45" s="5">
        <f>-'5. IRR'!VNM16</f>
        <v>-0.0</v>
      </c>
      <c r="VNM45" s="5">
        <f>-'5. IRR'!VNN16</f>
        <v>-0.0</v>
      </c>
      <c r="VNN45" s="5">
        <f>-'5. IRR'!VNO16</f>
        <v>-0.0</v>
      </c>
      <c r="VNO45" s="5">
        <f>-'5. IRR'!VNP16</f>
        <v>-0.0</v>
      </c>
      <c r="VNP45" s="5">
        <f>-'5. IRR'!VNQ16</f>
        <v>-0.0</v>
      </c>
      <c r="VNQ45" s="5">
        <f>-'5. IRR'!VNR16</f>
        <v>-0.0</v>
      </c>
      <c r="VNR45" s="5">
        <f>-'5. IRR'!VNS16</f>
        <v>-0.0</v>
      </c>
      <c r="VNS45" s="5">
        <f>-'5. IRR'!VNT16</f>
        <v>-0.0</v>
      </c>
      <c r="VNT45" s="5">
        <f>-'5. IRR'!VNU16</f>
        <v>-0.0</v>
      </c>
      <c r="VNU45" s="5">
        <f>-'5. IRR'!VNV16</f>
        <v>-0.0</v>
      </c>
      <c r="VNV45" s="5">
        <f>-'5. IRR'!VNW16</f>
        <v>-0.0</v>
      </c>
      <c r="VNW45" s="5">
        <f>-'5. IRR'!VNX16</f>
        <v>-0.0</v>
      </c>
      <c r="VNX45" s="5">
        <f>-'5. IRR'!VNY16</f>
        <v>-0.0</v>
      </c>
      <c r="VNY45" s="5">
        <f>-'5. IRR'!VNZ16</f>
        <v>-0.0</v>
      </c>
      <c r="VNZ45" s="5">
        <f>-'5. IRR'!VOA16</f>
        <v>-0.0</v>
      </c>
      <c r="VOA45" s="5">
        <f>-'5. IRR'!VOB16</f>
        <v>-0.0</v>
      </c>
      <c r="VOB45" s="5">
        <f>-'5. IRR'!VOC16</f>
        <v>-0.0</v>
      </c>
      <c r="VOC45" s="5">
        <f>-'5. IRR'!VOD16</f>
        <v>-0.0</v>
      </c>
      <c r="VOD45" s="5">
        <f>-'5. IRR'!VOE16</f>
        <v>-0.0</v>
      </c>
      <c r="VOE45" s="5">
        <f>-'5. IRR'!VOF16</f>
        <v>-0.0</v>
      </c>
      <c r="VOF45" s="5">
        <f>-'5. IRR'!VOG16</f>
        <v>-0.0</v>
      </c>
      <c r="VOG45" s="5">
        <f>-'5. IRR'!VOH16</f>
        <v>-0.0</v>
      </c>
      <c r="VOH45" s="5">
        <f>-'5. IRR'!VOI16</f>
        <v>-0.0</v>
      </c>
      <c r="VOI45" s="5">
        <f>-'5. IRR'!VOJ16</f>
        <v>-0.0</v>
      </c>
      <c r="VOJ45" s="5">
        <f>-'5. IRR'!VOK16</f>
        <v>-0.0</v>
      </c>
      <c r="VOK45" s="5">
        <f>-'5. IRR'!VOL16</f>
        <v>-0.0</v>
      </c>
      <c r="VOL45" s="5">
        <f>-'5. IRR'!VOM16</f>
        <v>-0.0</v>
      </c>
      <c r="VOM45" s="5">
        <f>-'5. IRR'!VON16</f>
        <v>-0.0</v>
      </c>
      <c r="VON45" s="5">
        <f>-'5. IRR'!VOO16</f>
        <v>-0.0</v>
      </c>
      <c r="VOO45" s="5">
        <f>-'5. IRR'!VOP16</f>
        <v>-0.0</v>
      </c>
      <c r="VOP45" s="5">
        <f>-'5. IRR'!VOQ16</f>
        <v>-0.0</v>
      </c>
      <c r="VOQ45" s="5">
        <f>-'5. IRR'!VOR16</f>
        <v>-0.0</v>
      </c>
      <c r="VOR45" s="5">
        <f>-'5. IRR'!VOS16</f>
        <v>-0.0</v>
      </c>
      <c r="VOS45" s="5">
        <f>-'5. IRR'!VOT16</f>
        <v>-0.0</v>
      </c>
      <c r="VOT45" s="5">
        <f>-'5. IRR'!VOU16</f>
        <v>-0.0</v>
      </c>
      <c r="VOU45" s="5">
        <f>-'5. IRR'!VOV16</f>
        <v>-0.0</v>
      </c>
      <c r="VOV45" s="5">
        <f>-'5. IRR'!VOW16</f>
        <v>-0.0</v>
      </c>
      <c r="VOW45" s="5">
        <f>-'5. IRR'!VOX16</f>
        <v>-0.0</v>
      </c>
      <c r="VOX45" s="5">
        <f>-'5. IRR'!VOY16</f>
        <v>-0.0</v>
      </c>
      <c r="VOY45" s="5">
        <f>-'5. IRR'!VOZ16</f>
        <v>-0.0</v>
      </c>
      <c r="VOZ45" s="5">
        <f>-'5. IRR'!VPA16</f>
        <v>-0.0</v>
      </c>
      <c r="VPA45" s="5">
        <f>-'5. IRR'!VPB16</f>
        <v>-0.0</v>
      </c>
      <c r="VPB45" s="5">
        <f>-'5. IRR'!VPC16</f>
        <v>-0.0</v>
      </c>
      <c r="VPC45" s="5">
        <f>-'5. IRR'!VPD16</f>
        <v>-0.0</v>
      </c>
      <c r="VPD45" s="5">
        <f>-'5. IRR'!VPE16</f>
        <v>-0.0</v>
      </c>
      <c r="VPE45" s="5">
        <f>-'5. IRR'!VPF16</f>
        <v>-0.0</v>
      </c>
      <c r="VPF45" s="5">
        <f>-'5. IRR'!VPG16</f>
        <v>-0.0</v>
      </c>
      <c r="VPG45" s="5">
        <f>-'5. IRR'!VPH16</f>
        <v>-0.0</v>
      </c>
      <c r="VPH45" s="5">
        <f>-'5. IRR'!VPI16</f>
        <v>-0.0</v>
      </c>
      <c r="VPI45" s="5">
        <f>-'5. IRR'!VPJ16</f>
        <v>-0.0</v>
      </c>
      <c r="VPJ45" s="5">
        <f>-'5. IRR'!VPK16</f>
        <v>-0.0</v>
      </c>
      <c r="VPK45" s="5">
        <f>-'5. IRR'!VPL16</f>
        <v>-0.0</v>
      </c>
      <c r="VPL45" s="5">
        <f>-'5. IRR'!VPM16</f>
        <v>-0.0</v>
      </c>
      <c r="VPM45" s="5">
        <f>-'5. IRR'!VPN16</f>
        <v>-0.0</v>
      </c>
      <c r="VPN45" s="5">
        <f>-'5. IRR'!VPO16</f>
        <v>-0.0</v>
      </c>
      <c r="VPO45" s="5">
        <f>-'5. IRR'!VPP16</f>
        <v>-0.0</v>
      </c>
      <c r="VPP45" s="5">
        <f>-'5. IRR'!VPQ16</f>
        <v>-0.0</v>
      </c>
      <c r="VPQ45" s="5">
        <f>-'5. IRR'!VPR16</f>
        <v>-0.0</v>
      </c>
      <c r="VPR45" s="5">
        <f>-'5. IRR'!VPS16</f>
        <v>-0.0</v>
      </c>
      <c r="VPS45" s="5">
        <f>-'5. IRR'!VPT16</f>
        <v>-0.0</v>
      </c>
      <c r="VPT45" s="5">
        <f>-'5. IRR'!VPU16</f>
        <v>-0.0</v>
      </c>
      <c r="VPU45" s="5">
        <f>-'5. IRR'!VPV16</f>
        <v>-0.0</v>
      </c>
      <c r="VPV45" s="5">
        <f>-'5. IRR'!VPW16</f>
        <v>-0.0</v>
      </c>
      <c r="VPW45" s="5">
        <f>-'5. IRR'!VPX16</f>
        <v>-0.0</v>
      </c>
      <c r="VPX45" s="5">
        <f>-'5. IRR'!VPY16</f>
        <v>-0.0</v>
      </c>
      <c r="VPY45" s="5">
        <f>-'5. IRR'!VPZ16</f>
        <v>-0.0</v>
      </c>
      <c r="VPZ45" s="5">
        <f>-'5. IRR'!VQA16</f>
        <v>-0.0</v>
      </c>
      <c r="VQA45" s="5">
        <f>-'5. IRR'!VQB16</f>
        <v>-0.0</v>
      </c>
      <c r="VQB45" s="5">
        <f>-'5. IRR'!VQC16</f>
        <v>-0.0</v>
      </c>
      <c r="VQC45" s="5">
        <f>-'5. IRR'!VQD16</f>
        <v>-0.0</v>
      </c>
      <c r="VQD45" s="5">
        <f>-'5. IRR'!VQE16</f>
        <v>-0.0</v>
      </c>
      <c r="VQE45" s="5">
        <f>-'5. IRR'!VQF16</f>
        <v>-0.0</v>
      </c>
      <c r="VQF45" s="5">
        <f>-'5. IRR'!VQG16</f>
        <v>-0.0</v>
      </c>
      <c r="VQG45" s="5">
        <f>-'5. IRR'!VQH16</f>
        <v>-0.0</v>
      </c>
      <c r="VQH45" s="5">
        <f>-'5. IRR'!VQI16</f>
        <v>-0.0</v>
      </c>
      <c r="VQI45" s="5">
        <f>-'5. IRR'!VQJ16</f>
        <v>-0.0</v>
      </c>
      <c r="VQJ45" s="5">
        <f>-'5. IRR'!VQK16</f>
        <v>-0.0</v>
      </c>
      <c r="VQK45" s="5">
        <f>-'5. IRR'!VQL16</f>
        <v>-0.0</v>
      </c>
      <c r="VQL45" s="5">
        <f>-'5. IRR'!VQM16</f>
        <v>-0.0</v>
      </c>
      <c r="VQM45" s="5">
        <f>-'5. IRR'!VQN16</f>
        <v>-0.0</v>
      </c>
      <c r="VQN45" s="5">
        <f>-'5. IRR'!VQO16</f>
        <v>-0.0</v>
      </c>
      <c r="VQO45" s="5">
        <f>-'5. IRR'!VQP16</f>
        <v>-0.0</v>
      </c>
      <c r="VQP45" s="5">
        <f>-'5. IRR'!VQQ16</f>
        <v>-0.0</v>
      </c>
      <c r="VQQ45" s="5">
        <f>-'5. IRR'!VQR16</f>
        <v>-0.0</v>
      </c>
      <c r="VQR45" s="5">
        <f>-'5. IRR'!VQS16</f>
        <v>-0.0</v>
      </c>
      <c r="VQS45" s="5">
        <f>-'5. IRR'!VQT16</f>
        <v>-0.0</v>
      </c>
      <c r="VQT45" s="5">
        <f>-'5. IRR'!VQU16</f>
        <v>-0.0</v>
      </c>
      <c r="VQU45" s="5">
        <f>-'5. IRR'!VQV16</f>
        <v>-0.0</v>
      </c>
      <c r="VQV45" s="5">
        <f>-'5. IRR'!VQW16</f>
        <v>-0.0</v>
      </c>
      <c r="VQW45" s="5">
        <f>-'5. IRR'!VQX16</f>
        <v>-0.0</v>
      </c>
      <c r="VQX45" s="5">
        <f>-'5. IRR'!VQY16</f>
        <v>-0.0</v>
      </c>
      <c r="VQY45" s="5">
        <f>-'5. IRR'!VQZ16</f>
        <v>-0.0</v>
      </c>
      <c r="VQZ45" s="5">
        <f>-'5. IRR'!VRA16</f>
        <v>-0.0</v>
      </c>
      <c r="VRA45" s="5">
        <f>-'5. IRR'!VRB16</f>
        <v>-0.0</v>
      </c>
      <c r="VRB45" s="5">
        <f>-'5. IRR'!VRC16</f>
        <v>-0.0</v>
      </c>
      <c r="VRC45" s="5">
        <f>-'5. IRR'!VRD16</f>
        <v>-0.0</v>
      </c>
      <c r="VRD45" s="5">
        <f>-'5. IRR'!VRE16</f>
        <v>-0.0</v>
      </c>
      <c r="VRE45" s="5">
        <f>-'5. IRR'!VRF16</f>
        <v>-0.0</v>
      </c>
      <c r="VRF45" s="5">
        <f>-'5. IRR'!VRG16</f>
        <v>-0.0</v>
      </c>
      <c r="VRG45" s="5">
        <f>-'5. IRR'!VRH16</f>
        <v>-0.0</v>
      </c>
      <c r="VRH45" s="5">
        <f>-'5. IRR'!VRI16</f>
        <v>-0.0</v>
      </c>
      <c r="VRI45" s="5">
        <f>-'5. IRR'!VRJ16</f>
        <v>-0.0</v>
      </c>
      <c r="VRJ45" s="5">
        <f>-'5. IRR'!VRK16</f>
        <v>-0.0</v>
      </c>
      <c r="VRK45" s="5">
        <f>-'5. IRR'!VRL16</f>
        <v>-0.0</v>
      </c>
      <c r="VRL45" s="5">
        <f>-'5. IRR'!VRM16</f>
        <v>-0.0</v>
      </c>
      <c r="VRM45" s="5">
        <f>-'5. IRR'!VRN16</f>
        <v>-0.0</v>
      </c>
      <c r="VRN45" s="5">
        <f>-'5. IRR'!VRO16</f>
        <v>-0.0</v>
      </c>
      <c r="VRO45" s="5">
        <f>-'5. IRR'!VRP16</f>
        <v>-0.0</v>
      </c>
      <c r="VRP45" s="5">
        <f>-'5. IRR'!VRQ16</f>
        <v>-0.0</v>
      </c>
      <c r="VRQ45" s="5">
        <f>-'5. IRR'!VRR16</f>
        <v>-0.0</v>
      </c>
      <c r="VRR45" s="5">
        <f>-'5. IRR'!VRS16</f>
        <v>-0.0</v>
      </c>
      <c r="VRS45" s="5">
        <f>-'5. IRR'!VRT16</f>
        <v>-0.0</v>
      </c>
      <c r="VRT45" s="5">
        <f>-'5. IRR'!VRU16</f>
        <v>-0.0</v>
      </c>
      <c r="VRU45" s="5">
        <f>-'5. IRR'!VRV16</f>
        <v>-0.0</v>
      </c>
      <c r="VRV45" s="5">
        <f>-'5. IRR'!VRW16</f>
        <v>-0.0</v>
      </c>
      <c r="VRW45" s="5">
        <f>-'5. IRR'!VRX16</f>
        <v>-0.0</v>
      </c>
      <c r="VRX45" s="5">
        <f>-'5. IRR'!VRY16</f>
        <v>-0.0</v>
      </c>
      <c r="VRY45" s="5">
        <f>-'5. IRR'!VRZ16</f>
        <v>-0.0</v>
      </c>
      <c r="VRZ45" s="5">
        <f>-'5. IRR'!VSA16</f>
        <v>-0.0</v>
      </c>
      <c r="VSA45" s="5">
        <f>-'5. IRR'!VSB16</f>
        <v>-0.0</v>
      </c>
      <c r="VSB45" s="5">
        <f>-'5. IRR'!VSC16</f>
        <v>-0.0</v>
      </c>
      <c r="VSC45" s="5">
        <f>-'5. IRR'!VSD16</f>
        <v>-0.0</v>
      </c>
      <c r="VSD45" s="5">
        <f>-'5. IRR'!VSE16</f>
        <v>-0.0</v>
      </c>
      <c r="VSE45" s="5">
        <f>-'5. IRR'!VSF16</f>
        <v>-0.0</v>
      </c>
      <c r="VSF45" s="5">
        <f>-'5. IRR'!VSG16</f>
        <v>-0.0</v>
      </c>
      <c r="VSG45" s="5">
        <f>-'5. IRR'!VSH16</f>
        <v>-0.0</v>
      </c>
      <c r="VSH45" s="5">
        <f>-'5. IRR'!VSI16</f>
        <v>-0.0</v>
      </c>
      <c r="VSI45" s="5">
        <f>-'5. IRR'!VSJ16</f>
        <v>-0.0</v>
      </c>
      <c r="VSJ45" s="5">
        <f>-'5. IRR'!VSK16</f>
        <v>-0.0</v>
      </c>
      <c r="VSK45" s="5">
        <f>-'5. IRR'!VSL16</f>
        <v>-0.0</v>
      </c>
      <c r="VSL45" s="5">
        <f>-'5. IRR'!VSM16</f>
        <v>-0.0</v>
      </c>
      <c r="VSM45" s="5">
        <f>-'5. IRR'!VSN16</f>
        <v>-0.0</v>
      </c>
      <c r="VSN45" s="5">
        <f>-'5. IRR'!VSO16</f>
        <v>-0.0</v>
      </c>
      <c r="VSO45" s="5">
        <f>-'5. IRR'!VSP16</f>
        <v>-0.0</v>
      </c>
      <c r="VSP45" s="5">
        <f>-'5. IRR'!VSQ16</f>
        <v>-0.0</v>
      </c>
      <c r="VSQ45" s="5">
        <f>-'5. IRR'!VSR16</f>
        <v>-0.0</v>
      </c>
      <c r="VSR45" s="5">
        <f>-'5. IRR'!VSS16</f>
        <v>-0.0</v>
      </c>
      <c r="VSS45" s="5">
        <f>-'5. IRR'!VST16</f>
        <v>-0.0</v>
      </c>
      <c r="VST45" s="5">
        <f>-'5. IRR'!VSU16</f>
        <v>-0.0</v>
      </c>
      <c r="VSU45" s="5">
        <f>-'5. IRR'!VSV16</f>
        <v>-0.0</v>
      </c>
      <c r="VSV45" s="5">
        <f>-'5. IRR'!VSW16</f>
        <v>-0.0</v>
      </c>
      <c r="VSW45" s="5">
        <f>-'5. IRR'!VSX16</f>
        <v>-0.0</v>
      </c>
      <c r="VSX45" s="5">
        <f>-'5. IRR'!VSY16</f>
        <v>-0.0</v>
      </c>
      <c r="VSY45" s="5">
        <f>-'5. IRR'!VSZ16</f>
        <v>-0.0</v>
      </c>
      <c r="VSZ45" s="5">
        <f>-'5. IRR'!VTA16</f>
        <v>-0.0</v>
      </c>
      <c r="VTA45" s="5">
        <f>-'5. IRR'!VTB16</f>
        <v>-0.0</v>
      </c>
      <c r="VTB45" s="5">
        <f>-'5. IRR'!VTC16</f>
        <v>-0.0</v>
      </c>
      <c r="VTC45" s="5">
        <f>-'5. IRR'!VTD16</f>
        <v>-0.0</v>
      </c>
      <c r="VTD45" s="5">
        <f>-'5. IRR'!VTE16</f>
        <v>-0.0</v>
      </c>
      <c r="VTE45" s="5">
        <f>-'5. IRR'!VTF16</f>
        <v>-0.0</v>
      </c>
      <c r="VTF45" s="5">
        <f>-'5. IRR'!VTG16</f>
        <v>-0.0</v>
      </c>
      <c r="VTG45" s="5">
        <f>-'5. IRR'!VTH16</f>
        <v>-0.0</v>
      </c>
      <c r="VTH45" s="5">
        <f>-'5. IRR'!VTI16</f>
        <v>-0.0</v>
      </c>
      <c r="VTI45" s="5">
        <f>-'5. IRR'!VTJ16</f>
        <v>-0.0</v>
      </c>
      <c r="VTJ45" s="5">
        <f>-'5. IRR'!VTK16</f>
        <v>-0.0</v>
      </c>
      <c r="VTK45" s="5">
        <f>-'5. IRR'!VTL16</f>
        <v>-0.0</v>
      </c>
      <c r="VTL45" s="5">
        <f>-'5. IRR'!VTM16</f>
        <v>-0.0</v>
      </c>
      <c r="VTM45" s="5">
        <f>-'5. IRR'!VTN16</f>
        <v>-0.0</v>
      </c>
      <c r="VTN45" s="5">
        <f>-'5. IRR'!VTO16</f>
        <v>-0.0</v>
      </c>
      <c r="VTO45" s="5">
        <f>-'5. IRR'!VTP16</f>
        <v>-0.0</v>
      </c>
      <c r="VTP45" s="5">
        <f>-'5. IRR'!VTQ16</f>
        <v>-0.0</v>
      </c>
      <c r="VTQ45" s="5">
        <f>-'5. IRR'!VTR16</f>
        <v>-0.0</v>
      </c>
      <c r="VTR45" s="5">
        <f>-'5. IRR'!VTS16</f>
        <v>-0.0</v>
      </c>
      <c r="VTS45" s="5">
        <f>-'5. IRR'!VTT16</f>
        <v>-0.0</v>
      </c>
      <c r="VTT45" s="5">
        <f>-'5. IRR'!VTU16</f>
        <v>-0.0</v>
      </c>
      <c r="VTU45" s="5">
        <f>-'5. IRR'!VTV16</f>
        <v>-0.0</v>
      </c>
      <c r="VTV45" s="5">
        <f>-'5. IRR'!VTW16</f>
        <v>-0.0</v>
      </c>
      <c r="VTW45" s="5">
        <f>-'5. IRR'!VTX16</f>
        <v>-0.0</v>
      </c>
      <c r="VTX45" s="5">
        <f>-'5. IRR'!VTY16</f>
        <v>-0.0</v>
      </c>
      <c r="VTY45" s="5">
        <f>-'5. IRR'!VTZ16</f>
        <v>-0.0</v>
      </c>
      <c r="VTZ45" s="5">
        <f>-'5. IRR'!VUA16</f>
        <v>-0.0</v>
      </c>
      <c r="VUA45" s="5">
        <f>-'5. IRR'!VUB16</f>
        <v>-0.0</v>
      </c>
      <c r="VUB45" s="5">
        <f>-'5. IRR'!VUC16</f>
        <v>-0.0</v>
      </c>
      <c r="VUC45" s="5">
        <f>-'5. IRR'!VUD16</f>
        <v>-0.0</v>
      </c>
      <c r="VUD45" s="5">
        <f>-'5. IRR'!VUE16</f>
        <v>-0.0</v>
      </c>
      <c r="VUE45" s="5">
        <f>-'5. IRR'!VUF16</f>
        <v>-0.0</v>
      </c>
      <c r="VUF45" s="5">
        <f>-'5. IRR'!VUG16</f>
        <v>-0.0</v>
      </c>
      <c r="VUG45" s="5">
        <f>-'5. IRR'!VUH16</f>
        <v>-0.0</v>
      </c>
      <c r="VUH45" s="5">
        <f>-'5. IRR'!VUI16</f>
        <v>-0.0</v>
      </c>
      <c r="VUI45" s="5">
        <f>-'5. IRR'!VUJ16</f>
        <v>-0.0</v>
      </c>
      <c r="VUJ45" s="5">
        <f>-'5. IRR'!VUK16</f>
        <v>-0.0</v>
      </c>
      <c r="VUK45" s="5">
        <f>-'5. IRR'!VUL16</f>
        <v>-0.0</v>
      </c>
      <c r="VUL45" s="5">
        <f>-'5. IRR'!VUM16</f>
        <v>-0.0</v>
      </c>
      <c r="VUM45" s="5">
        <f>-'5. IRR'!VUN16</f>
        <v>-0.0</v>
      </c>
      <c r="VUN45" s="5">
        <f>-'5. IRR'!VUO16</f>
        <v>-0.0</v>
      </c>
      <c r="VUO45" s="5">
        <f>-'5. IRR'!VUP16</f>
        <v>-0.0</v>
      </c>
      <c r="VUP45" s="5">
        <f>-'5. IRR'!VUQ16</f>
        <v>-0.0</v>
      </c>
      <c r="VUQ45" s="5">
        <f>-'5. IRR'!VUR16</f>
        <v>-0.0</v>
      </c>
      <c r="VUR45" s="5">
        <f>-'5. IRR'!VUS16</f>
        <v>-0.0</v>
      </c>
      <c r="VUS45" s="5">
        <f>-'5. IRR'!VUT16</f>
        <v>-0.0</v>
      </c>
      <c r="VUT45" s="5">
        <f>-'5. IRR'!VUU16</f>
        <v>-0.0</v>
      </c>
      <c r="VUU45" s="5">
        <f>-'5. IRR'!VUV16</f>
        <v>-0.0</v>
      </c>
      <c r="VUV45" s="5">
        <f>-'5. IRR'!VUW16</f>
        <v>-0.0</v>
      </c>
      <c r="VUW45" s="5">
        <f>-'5. IRR'!VUX16</f>
        <v>-0.0</v>
      </c>
      <c r="VUX45" s="5">
        <f>-'5. IRR'!VUY16</f>
        <v>-0.0</v>
      </c>
      <c r="VUY45" s="5">
        <f>-'5. IRR'!VUZ16</f>
        <v>-0.0</v>
      </c>
      <c r="VUZ45" s="5">
        <f>-'5. IRR'!VVA16</f>
        <v>-0.0</v>
      </c>
      <c r="VVA45" s="5">
        <f>-'5. IRR'!VVB16</f>
        <v>-0.0</v>
      </c>
      <c r="VVB45" s="5">
        <f>-'5. IRR'!VVC16</f>
        <v>-0.0</v>
      </c>
      <c r="VVC45" s="5">
        <f>-'5. IRR'!VVD16</f>
        <v>-0.0</v>
      </c>
      <c r="VVD45" s="5">
        <f>-'5. IRR'!VVE16</f>
        <v>-0.0</v>
      </c>
      <c r="VVE45" s="5">
        <f>-'5. IRR'!VVF16</f>
        <v>-0.0</v>
      </c>
      <c r="VVF45" s="5">
        <f>-'5. IRR'!VVG16</f>
        <v>-0.0</v>
      </c>
      <c r="VVG45" s="5">
        <f>-'5. IRR'!VVH16</f>
        <v>-0.0</v>
      </c>
      <c r="VVH45" s="5">
        <f>-'5. IRR'!VVI16</f>
        <v>-0.0</v>
      </c>
      <c r="VVI45" s="5">
        <f>-'5. IRR'!VVJ16</f>
        <v>-0.0</v>
      </c>
      <c r="VVJ45" s="5">
        <f>-'5. IRR'!VVK16</f>
        <v>-0.0</v>
      </c>
      <c r="VVK45" s="5">
        <f>-'5. IRR'!VVL16</f>
        <v>-0.0</v>
      </c>
      <c r="VVL45" s="5">
        <f>-'5. IRR'!VVM16</f>
        <v>-0.0</v>
      </c>
      <c r="VVM45" s="5">
        <f>-'5. IRR'!VVN16</f>
        <v>-0.0</v>
      </c>
      <c r="VVN45" s="5">
        <f>-'5. IRR'!VVO16</f>
        <v>-0.0</v>
      </c>
      <c r="VVO45" s="5">
        <f>-'5. IRR'!VVP16</f>
        <v>-0.0</v>
      </c>
      <c r="VVP45" s="5">
        <f>-'5. IRR'!VVQ16</f>
        <v>-0.0</v>
      </c>
      <c r="VVQ45" s="5">
        <f>-'5. IRR'!VVR16</f>
        <v>-0.0</v>
      </c>
      <c r="VVR45" s="5">
        <f>-'5. IRR'!VVS16</f>
        <v>-0.0</v>
      </c>
      <c r="VVS45" s="5">
        <f>-'5. IRR'!VVT16</f>
        <v>-0.0</v>
      </c>
      <c r="VVT45" s="5">
        <f>-'5. IRR'!VVU16</f>
        <v>-0.0</v>
      </c>
      <c r="VVU45" s="5">
        <f>-'5. IRR'!VVV16</f>
        <v>-0.0</v>
      </c>
      <c r="VVV45" s="5">
        <f>-'5. IRR'!VVW16</f>
        <v>-0.0</v>
      </c>
      <c r="VVW45" s="5">
        <f>-'5. IRR'!VVX16</f>
        <v>-0.0</v>
      </c>
      <c r="VVX45" s="5">
        <f>-'5. IRR'!VVY16</f>
        <v>-0.0</v>
      </c>
      <c r="VVY45" s="5">
        <f>-'5. IRR'!VVZ16</f>
        <v>-0.0</v>
      </c>
      <c r="VVZ45" s="5">
        <f>-'5. IRR'!VWA16</f>
        <v>-0.0</v>
      </c>
      <c r="VWA45" s="5">
        <f>-'5. IRR'!VWB16</f>
        <v>-0.0</v>
      </c>
      <c r="VWB45" s="5">
        <f>-'5. IRR'!VWC16</f>
        <v>-0.0</v>
      </c>
      <c r="VWC45" s="5">
        <f>-'5. IRR'!VWD16</f>
        <v>-0.0</v>
      </c>
      <c r="VWD45" s="5">
        <f>-'5. IRR'!VWE16</f>
        <v>-0.0</v>
      </c>
      <c r="VWE45" s="5">
        <f>-'5. IRR'!VWF16</f>
        <v>-0.0</v>
      </c>
      <c r="VWF45" s="5">
        <f>-'5. IRR'!VWG16</f>
        <v>-0.0</v>
      </c>
      <c r="VWG45" s="5">
        <f>-'5. IRR'!VWH16</f>
        <v>-0.0</v>
      </c>
      <c r="VWH45" s="5">
        <f>-'5. IRR'!VWI16</f>
        <v>-0.0</v>
      </c>
      <c r="VWI45" s="5">
        <f>-'5. IRR'!VWJ16</f>
        <v>-0.0</v>
      </c>
      <c r="VWJ45" s="5">
        <f>-'5. IRR'!VWK16</f>
        <v>-0.0</v>
      </c>
      <c r="VWK45" s="5">
        <f>-'5. IRR'!VWL16</f>
        <v>-0.0</v>
      </c>
      <c r="VWL45" s="5">
        <f>-'5. IRR'!VWM16</f>
        <v>-0.0</v>
      </c>
      <c r="VWM45" s="5">
        <f>-'5. IRR'!VWN16</f>
        <v>-0.0</v>
      </c>
      <c r="VWN45" s="5">
        <f>-'5. IRR'!VWO16</f>
        <v>-0.0</v>
      </c>
      <c r="VWO45" s="5">
        <f>-'5. IRR'!VWP16</f>
        <v>-0.0</v>
      </c>
      <c r="VWP45" s="5">
        <f>-'5. IRR'!VWQ16</f>
        <v>-0.0</v>
      </c>
      <c r="VWQ45" s="5">
        <f>-'5. IRR'!VWR16</f>
        <v>-0.0</v>
      </c>
      <c r="VWR45" s="5">
        <f>-'5. IRR'!VWS16</f>
        <v>-0.0</v>
      </c>
      <c r="VWS45" s="5">
        <f>-'5. IRR'!VWT16</f>
        <v>-0.0</v>
      </c>
      <c r="VWT45" s="5">
        <f>-'5. IRR'!VWU16</f>
        <v>-0.0</v>
      </c>
      <c r="VWU45" s="5">
        <f>-'5. IRR'!VWV16</f>
        <v>-0.0</v>
      </c>
      <c r="VWV45" s="5">
        <f>-'5. IRR'!VWW16</f>
        <v>-0.0</v>
      </c>
      <c r="VWW45" s="5">
        <f>-'5. IRR'!VWX16</f>
        <v>-0.0</v>
      </c>
      <c r="VWX45" s="5">
        <f>-'5. IRR'!VWY16</f>
        <v>-0.0</v>
      </c>
      <c r="VWY45" s="5">
        <f>-'5. IRR'!VWZ16</f>
        <v>-0.0</v>
      </c>
      <c r="VWZ45" s="5">
        <f>-'5. IRR'!VXA16</f>
        <v>-0.0</v>
      </c>
      <c r="VXA45" s="5">
        <f>-'5. IRR'!VXB16</f>
        <v>-0.0</v>
      </c>
      <c r="VXB45" s="5">
        <f>-'5. IRR'!VXC16</f>
        <v>-0.0</v>
      </c>
      <c r="VXC45" s="5">
        <f>-'5. IRR'!VXD16</f>
        <v>-0.0</v>
      </c>
      <c r="VXD45" s="5">
        <f>-'5. IRR'!VXE16</f>
        <v>-0.0</v>
      </c>
      <c r="VXE45" s="5">
        <f>-'5. IRR'!VXF16</f>
        <v>-0.0</v>
      </c>
      <c r="VXF45" s="5">
        <f>-'5. IRR'!VXG16</f>
        <v>-0.0</v>
      </c>
      <c r="VXG45" s="5">
        <f>-'5. IRR'!VXH16</f>
        <v>-0.0</v>
      </c>
      <c r="VXH45" s="5">
        <f>-'5. IRR'!VXI16</f>
        <v>-0.0</v>
      </c>
      <c r="VXI45" s="5">
        <f>-'5. IRR'!VXJ16</f>
        <v>-0.0</v>
      </c>
      <c r="VXJ45" s="5">
        <f>-'5. IRR'!VXK16</f>
        <v>-0.0</v>
      </c>
      <c r="VXK45" s="5">
        <f>-'5. IRR'!VXL16</f>
        <v>-0.0</v>
      </c>
      <c r="VXL45" s="5">
        <f>-'5. IRR'!VXM16</f>
        <v>-0.0</v>
      </c>
      <c r="VXM45" s="5">
        <f>-'5. IRR'!VXN16</f>
        <v>-0.0</v>
      </c>
      <c r="VXN45" s="5">
        <f>-'5. IRR'!VXO16</f>
        <v>-0.0</v>
      </c>
      <c r="VXO45" s="5">
        <f>-'5. IRR'!VXP16</f>
        <v>-0.0</v>
      </c>
      <c r="VXP45" s="5">
        <f>-'5. IRR'!VXQ16</f>
        <v>-0.0</v>
      </c>
      <c r="VXQ45" s="5">
        <f>-'5. IRR'!VXR16</f>
        <v>-0.0</v>
      </c>
      <c r="VXR45" s="5">
        <f>-'5. IRR'!VXS16</f>
        <v>-0.0</v>
      </c>
      <c r="VXS45" s="5">
        <f>-'5. IRR'!VXT16</f>
        <v>-0.0</v>
      </c>
      <c r="VXT45" s="5">
        <f>-'5. IRR'!VXU16</f>
        <v>-0.0</v>
      </c>
      <c r="VXU45" s="5">
        <f>-'5. IRR'!VXV16</f>
        <v>-0.0</v>
      </c>
      <c r="VXV45" s="5">
        <f>-'5. IRR'!VXW16</f>
        <v>-0.0</v>
      </c>
      <c r="VXW45" s="5">
        <f>-'5. IRR'!VXX16</f>
        <v>-0.0</v>
      </c>
      <c r="VXX45" s="5">
        <f>-'5. IRR'!VXY16</f>
        <v>-0.0</v>
      </c>
      <c r="VXY45" s="5">
        <f>-'5. IRR'!VXZ16</f>
        <v>-0.0</v>
      </c>
      <c r="VXZ45" s="5">
        <f>-'5. IRR'!VYA16</f>
        <v>-0.0</v>
      </c>
      <c r="VYA45" s="5">
        <f>-'5. IRR'!VYB16</f>
        <v>-0.0</v>
      </c>
      <c r="VYB45" s="5">
        <f>-'5. IRR'!VYC16</f>
        <v>-0.0</v>
      </c>
      <c r="VYC45" s="5">
        <f>-'5. IRR'!VYD16</f>
        <v>-0.0</v>
      </c>
      <c r="VYD45" s="5">
        <f>-'5. IRR'!VYE16</f>
        <v>-0.0</v>
      </c>
      <c r="VYE45" s="5">
        <f>-'5. IRR'!VYF16</f>
        <v>-0.0</v>
      </c>
      <c r="VYF45" s="5">
        <f>-'5. IRR'!VYG16</f>
        <v>-0.0</v>
      </c>
      <c r="VYG45" s="5">
        <f>-'5. IRR'!VYH16</f>
        <v>-0.0</v>
      </c>
      <c r="VYH45" s="5">
        <f>-'5. IRR'!VYI16</f>
        <v>-0.0</v>
      </c>
      <c r="VYI45" s="5">
        <f>-'5. IRR'!VYJ16</f>
        <v>-0.0</v>
      </c>
      <c r="VYJ45" s="5">
        <f>-'5. IRR'!VYK16</f>
        <v>-0.0</v>
      </c>
      <c r="VYK45" s="5">
        <f>-'5. IRR'!VYL16</f>
        <v>-0.0</v>
      </c>
      <c r="VYL45" s="5">
        <f>-'5. IRR'!VYM16</f>
        <v>-0.0</v>
      </c>
      <c r="VYM45" s="5">
        <f>-'5. IRR'!VYN16</f>
        <v>-0.0</v>
      </c>
      <c r="VYN45" s="5">
        <f>-'5. IRR'!VYO16</f>
        <v>-0.0</v>
      </c>
      <c r="VYO45" s="5">
        <f>-'5. IRR'!VYP16</f>
        <v>-0.0</v>
      </c>
      <c r="VYP45" s="5">
        <f>-'5. IRR'!VYQ16</f>
        <v>-0.0</v>
      </c>
      <c r="VYQ45" s="5">
        <f>-'5. IRR'!VYR16</f>
        <v>-0.0</v>
      </c>
      <c r="VYR45" s="5">
        <f>-'5. IRR'!VYS16</f>
        <v>-0.0</v>
      </c>
      <c r="VYS45" s="5">
        <f>-'5. IRR'!VYT16</f>
        <v>-0.0</v>
      </c>
      <c r="VYT45" s="5">
        <f>-'5. IRR'!VYU16</f>
        <v>-0.0</v>
      </c>
      <c r="VYU45" s="5">
        <f>-'5. IRR'!VYV16</f>
        <v>-0.0</v>
      </c>
      <c r="VYV45" s="5">
        <f>-'5. IRR'!VYW16</f>
        <v>-0.0</v>
      </c>
      <c r="VYW45" s="5">
        <f>-'5. IRR'!VYX16</f>
        <v>-0.0</v>
      </c>
      <c r="VYX45" s="5">
        <f>-'5. IRR'!VYY16</f>
        <v>-0.0</v>
      </c>
      <c r="VYY45" s="5">
        <f>-'5. IRR'!VYZ16</f>
        <v>-0.0</v>
      </c>
      <c r="VYZ45" s="5">
        <f>-'5. IRR'!VZA16</f>
        <v>-0.0</v>
      </c>
      <c r="VZA45" s="5">
        <f>-'5. IRR'!VZB16</f>
        <v>-0.0</v>
      </c>
      <c r="VZB45" s="5">
        <f>-'5. IRR'!VZC16</f>
        <v>-0.0</v>
      </c>
      <c r="VZC45" s="5">
        <f>-'5. IRR'!VZD16</f>
        <v>-0.0</v>
      </c>
      <c r="VZD45" s="5">
        <f>-'5. IRR'!VZE16</f>
        <v>-0.0</v>
      </c>
      <c r="VZE45" s="5">
        <f>-'5. IRR'!VZF16</f>
        <v>-0.0</v>
      </c>
      <c r="VZF45" s="5">
        <f>-'5. IRR'!VZG16</f>
        <v>-0.0</v>
      </c>
      <c r="VZG45" s="5">
        <f>-'5. IRR'!VZH16</f>
        <v>-0.0</v>
      </c>
      <c r="VZH45" s="5">
        <f>-'5. IRR'!VZI16</f>
        <v>-0.0</v>
      </c>
      <c r="VZI45" s="5">
        <f>-'5. IRR'!VZJ16</f>
        <v>-0.0</v>
      </c>
      <c r="VZJ45" s="5">
        <f>-'5. IRR'!VZK16</f>
        <v>-0.0</v>
      </c>
      <c r="VZK45" s="5">
        <f>-'5. IRR'!VZL16</f>
        <v>-0.0</v>
      </c>
      <c r="VZL45" s="5">
        <f>-'5. IRR'!VZM16</f>
        <v>-0.0</v>
      </c>
      <c r="VZM45" s="5">
        <f>-'5. IRR'!VZN16</f>
        <v>-0.0</v>
      </c>
      <c r="VZN45" s="5">
        <f>-'5. IRR'!VZO16</f>
        <v>-0.0</v>
      </c>
      <c r="VZO45" s="5">
        <f>-'5. IRR'!VZP16</f>
        <v>-0.0</v>
      </c>
      <c r="VZP45" s="5">
        <f>-'5. IRR'!VZQ16</f>
        <v>-0.0</v>
      </c>
      <c r="VZQ45" s="5">
        <f>-'5. IRR'!VZR16</f>
        <v>-0.0</v>
      </c>
      <c r="VZR45" s="5">
        <f>-'5. IRR'!VZS16</f>
        <v>-0.0</v>
      </c>
      <c r="VZS45" s="5">
        <f>-'5. IRR'!VZT16</f>
        <v>-0.0</v>
      </c>
      <c r="VZT45" s="5">
        <f>-'5. IRR'!VZU16</f>
        <v>-0.0</v>
      </c>
      <c r="VZU45" s="5">
        <f>-'5. IRR'!VZV16</f>
        <v>-0.0</v>
      </c>
      <c r="VZV45" s="5">
        <f>-'5. IRR'!VZW16</f>
        <v>-0.0</v>
      </c>
      <c r="VZW45" s="5">
        <f>-'5. IRR'!VZX16</f>
        <v>-0.0</v>
      </c>
      <c r="VZX45" s="5">
        <f>-'5. IRR'!VZY16</f>
        <v>-0.0</v>
      </c>
      <c r="VZY45" s="5">
        <f>-'5. IRR'!VZZ16</f>
        <v>-0.0</v>
      </c>
      <c r="VZZ45" s="5">
        <f>-'5. IRR'!WAA16</f>
        <v>-0.0</v>
      </c>
      <c r="WAA45" s="5">
        <f>-'5. IRR'!WAB16</f>
        <v>-0.0</v>
      </c>
      <c r="WAB45" s="5">
        <f>-'5. IRR'!WAC16</f>
        <v>-0.0</v>
      </c>
      <c r="WAC45" s="5">
        <f>-'5. IRR'!WAD16</f>
        <v>-0.0</v>
      </c>
      <c r="WAD45" s="5">
        <f>-'5. IRR'!WAE16</f>
        <v>-0.0</v>
      </c>
      <c r="WAE45" s="5">
        <f>-'5. IRR'!WAF16</f>
        <v>-0.0</v>
      </c>
      <c r="WAF45" s="5">
        <f>-'5. IRR'!WAG16</f>
        <v>-0.0</v>
      </c>
      <c r="WAG45" s="5">
        <f>-'5. IRR'!WAH16</f>
        <v>-0.0</v>
      </c>
      <c r="WAH45" s="5">
        <f>-'5. IRR'!WAI16</f>
        <v>-0.0</v>
      </c>
      <c r="WAI45" s="5">
        <f>-'5. IRR'!WAJ16</f>
        <v>-0.0</v>
      </c>
      <c r="WAJ45" s="5">
        <f>-'5. IRR'!WAK16</f>
        <v>-0.0</v>
      </c>
      <c r="WAK45" s="5">
        <f>-'5. IRR'!WAL16</f>
        <v>-0.0</v>
      </c>
      <c r="WAL45" s="5">
        <f>-'5. IRR'!WAM16</f>
        <v>-0.0</v>
      </c>
      <c r="WAM45" s="5">
        <f>-'5. IRR'!WAN16</f>
        <v>-0.0</v>
      </c>
      <c r="WAN45" s="5">
        <f>-'5. IRR'!WAO16</f>
        <v>-0.0</v>
      </c>
      <c r="WAO45" s="5">
        <f>-'5. IRR'!WAP16</f>
        <v>-0.0</v>
      </c>
      <c r="WAP45" s="5">
        <f>-'5. IRR'!WAQ16</f>
        <v>-0.0</v>
      </c>
      <c r="WAQ45" s="5">
        <f>-'5. IRR'!WAR16</f>
        <v>-0.0</v>
      </c>
      <c r="WAR45" s="5">
        <f>-'5. IRR'!WAS16</f>
        <v>-0.0</v>
      </c>
      <c r="WAS45" s="5">
        <f>-'5. IRR'!WAT16</f>
        <v>-0.0</v>
      </c>
      <c r="WAT45" s="5">
        <f>-'5. IRR'!WAU16</f>
        <v>-0.0</v>
      </c>
      <c r="WAU45" s="5">
        <f>-'5. IRR'!WAV16</f>
        <v>-0.0</v>
      </c>
      <c r="WAV45" s="5">
        <f>-'5. IRR'!WAW16</f>
        <v>-0.0</v>
      </c>
      <c r="WAW45" s="5">
        <f>-'5. IRR'!WAX16</f>
        <v>-0.0</v>
      </c>
      <c r="WAX45" s="5">
        <f>-'5. IRR'!WAY16</f>
        <v>-0.0</v>
      </c>
      <c r="WAY45" s="5">
        <f>-'5. IRR'!WAZ16</f>
        <v>-0.0</v>
      </c>
      <c r="WAZ45" s="5">
        <f>-'5. IRR'!WBA16</f>
        <v>-0.0</v>
      </c>
      <c r="WBA45" s="5">
        <f>-'5. IRR'!WBB16</f>
        <v>-0.0</v>
      </c>
      <c r="WBB45" s="5">
        <f>-'5. IRR'!WBC16</f>
        <v>-0.0</v>
      </c>
      <c r="WBC45" s="5">
        <f>-'5. IRR'!WBD16</f>
        <v>-0.0</v>
      </c>
      <c r="WBD45" s="5">
        <f>-'5. IRR'!WBE16</f>
        <v>-0.0</v>
      </c>
      <c r="WBE45" s="5">
        <f>-'5. IRR'!WBF16</f>
        <v>-0.0</v>
      </c>
      <c r="WBF45" s="5">
        <f>-'5. IRR'!WBG16</f>
        <v>-0.0</v>
      </c>
      <c r="WBG45" s="5">
        <f>-'5. IRR'!WBH16</f>
        <v>-0.0</v>
      </c>
      <c r="WBH45" s="5">
        <f>-'5. IRR'!WBI16</f>
        <v>-0.0</v>
      </c>
      <c r="WBI45" s="5">
        <f>-'5. IRR'!WBJ16</f>
        <v>-0.0</v>
      </c>
      <c r="WBJ45" s="5">
        <f>-'5. IRR'!WBK16</f>
        <v>-0.0</v>
      </c>
      <c r="WBK45" s="5">
        <f>-'5. IRR'!WBL16</f>
        <v>-0.0</v>
      </c>
      <c r="WBL45" s="5">
        <f>-'5. IRR'!WBM16</f>
        <v>-0.0</v>
      </c>
      <c r="WBM45" s="5">
        <f>-'5. IRR'!WBN16</f>
        <v>-0.0</v>
      </c>
      <c r="WBN45" s="5">
        <f>-'5. IRR'!WBO16</f>
        <v>-0.0</v>
      </c>
      <c r="WBO45" s="5">
        <f>-'5. IRR'!WBP16</f>
        <v>-0.0</v>
      </c>
      <c r="WBP45" s="5">
        <f>-'5. IRR'!WBQ16</f>
        <v>-0.0</v>
      </c>
      <c r="WBQ45" s="5">
        <f>-'5. IRR'!WBR16</f>
        <v>-0.0</v>
      </c>
      <c r="WBR45" s="5">
        <f>-'5. IRR'!WBS16</f>
        <v>-0.0</v>
      </c>
      <c r="WBS45" s="5">
        <f>-'5. IRR'!WBT16</f>
        <v>-0.0</v>
      </c>
      <c r="WBT45" s="5">
        <f>-'5. IRR'!WBU16</f>
        <v>-0.0</v>
      </c>
      <c r="WBU45" s="5">
        <f>-'5. IRR'!WBV16</f>
        <v>-0.0</v>
      </c>
      <c r="WBV45" s="5">
        <f>-'5. IRR'!WBW16</f>
        <v>-0.0</v>
      </c>
      <c r="WBW45" s="5">
        <f>-'5. IRR'!WBX16</f>
        <v>-0.0</v>
      </c>
      <c r="WBX45" s="5">
        <f>-'5. IRR'!WBY16</f>
        <v>-0.0</v>
      </c>
      <c r="WBY45" s="5">
        <f>-'5. IRR'!WBZ16</f>
        <v>-0.0</v>
      </c>
      <c r="WBZ45" s="5">
        <f>-'5. IRR'!WCA16</f>
        <v>-0.0</v>
      </c>
      <c r="WCA45" s="5">
        <f>-'5. IRR'!WCB16</f>
        <v>-0.0</v>
      </c>
      <c r="WCB45" s="5">
        <f>-'5. IRR'!WCC16</f>
        <v>-0.0</v>
      </c>
      <c r="WCC45" s="5">
        <f>-'5. IRR'!WCD16</f>
        <v>-0.0</v>
      </c>
      <c r="WCD45" s="5">
        <f>-'5. IRR'!WCE16</f>
        <v>-0.0</v>
      </c>
      <c r="WCE45" s="5">
        <f>-'5. IRR'!WCF16</f>
        <v>-0.0</v>
      </c>
      <c r="WCF45" s="5">
        <f>-'5. IRR'!WCG16</f>
        <v>-0.0</v>
      </c>
      <c r="WCG45" s="5">
        <f>-'5. IRR'!WCH16</f>
        <v>-0.0</v>
      </c>
      <c r="WCH45" s="5">
        <f>-'5. IRR'!WCI16</f>
        <v>-0.0</v>
      </c>
      <c r="WCI45" s="5">
        <f>-'5. IRR'!WCJ16</f>
        <v>-0.0</v>
      </c>
      <c r="WCJ45" s="5">
        <f>-'5. IRR'!WCK16</f>
        <v>-0.0</v>
      </c>
      <c r="WCK45" s="5">
        <f>-'5. IRR'!WCL16</f>
        <v>-0.0</v>
      </c>
      <c r="WCL45" s="5">
        <f>-'5. IRR'!WCM16</f>
        <v>-0.0</v>
      </c>
      <c r="WCM45" s="5">
        <f>-'5. IRR'!WCN16</f>
        <v>-0.0</v>
      </c>
      <c r="WCN45" s="5">
        <f>-'5. IRR'!WCO16</f>
        <v>-0.0</v>
      </c>
      <c r="WCO45" s="5">
        <f>-'5. IRR'!WCP16</f>
        <v>-0.0</v>
      </c>
      <c r="WCP45" s="5">
        <f>-'5. IRR'!WCQ16</f>
        <v>-0.0</v>
      </c>
      <c r="WCQ45" s="5">
        <f>-'5. IRR'!WCR16</f>
        <v>-0.0</v>
      </c>
      <c r="WCR45" s="5">
        <f>-'5. IRR'!WCS16</f>
        <v>-0.0</v>
      </c>
      <c r="WCS45" s="5">
        <f>-'5. IRR'!WCT16</f>
        <v>-0.0</v>
      </c>
      <c r="WCT45" s="5">
        <f>-'5. IRR'!WCU16</f>
        <v>-0.0</v>
      </c>
      <c r="WCU45" s="5">
        <f>-'5. IRR'!WCV16</f>
        <v>-0.0</v>
      </c>
      <c r="WCV45" s="5">
        <f>-'5. IRR'!WCW16</f>
        <v>-0.0</v>
      </c>
      <c r="WCW45" s="5">
        <f>-'5. IRR'!WCX16</f>
        <v>-0.0</v>
      </c>
      <c r="WCX45" s="5">
        <f>-'5. IRR'!WCY16</f>
        <v>-0.0</v>
      </c>
      <c r="WCY45" s="5">
        <f>-'5. IRR'!WCZ16</f>
        <v>-0.0</v>
      </c>
      <c r="WCZ45" s="5">
        <f>-'5. IRR'!WDA16</f>
        <v>-0.0</v>
      </c>
      <c r="WDA45" s="5">
        <f>-'5. IRR'!WDB16</f>
        <v>-0.0</v>
      </c>
      <c r="WDB45" s="5">
        <f>-'5. IRR'!WDC16</f>
        <v>-0.0</v>
      </c>
      <c r="WDC45" s="5">
        <f>-'5. IRR'!WDD16</f>
        <v>-0.0</v>
      </c>
      <c r="WDD45" s="5">
        <f>-'5. IRR'!WDE16</f>
        <v>-0.0</v>
      </c>
      <c r="WDE45" s="5">
        <f>-'5. IRR'!WDF16</f>
        <v>-0.0</v>
      </c>
      <c r="WDF45" s="5">
        <f>-'5. IRR'!WDG16</f>
        <v>-0.0</v>
      </c>
      <c r="WDG45" s="5">
        <f>-'5. IRR'!WDH16</f>
        <v>-0.0</v>
      </c>
      <c r="WDH45" s="5">
        <f>-'5. IRR'!WDI16</f>
        <v>-0.0</v>
      </c>
      <c r="WDI45" s="5">
        <f>-'5. IRR'!WDJ16</f>
        <v>-0.0</v>
      </c>
      <c r="WDJ45" s="5">
        <f>-'5. IRR'!WDK16</f>
        <v>-0.0</v>
      </c>
      <c r="WDK45" s="5">
        <f>-'5. IRR'!WDL16</f>
        <v>-0.0</v>
      </c>
      <c r="WDL45" s="5">
        <f>-'5. IRR'!WDM16</f>
        <v>-0.0</v>
      </c>
      <c r="WDM45" s="5">
        <f>-'5. IRR'!WDN16</f>
        <v>-0.0</v>
      </c>
      <c r="WDN45" s="5">
        <f>-'5. IRR'!WDO16</f>
        <v>-0.0</v>
      </c>
      <c r="WDO45" s="5">
        <f>-'5. IRR'!WDP16</f>
        <v>-0.0</v>
      </c>
      <c r="WDP45" s="5">
        <f>-'5. IRR'!WDQ16</f>
        <v>-0.0</v>
      </c>
      <c r="WDQ45" s="5">
        <f>-'5. IRR'!WDR16</f>
        <v>-0.0</v>
      </c>
      <c r="WDR45" s="5">
        <f>-'5. IRR'!WDS16</f>
        <v>-0.0</v>
      </c>
      <c r="WDS45" s="5">
        <f>-'5. IRR'!WDT16</f>
        <v>-0.0</v>
      </c>
      <c r="WDT45" s="5">
        <f>-'5. IRR'!WDU16</f>
        <v>-0.0</v>
      </c>
      <c r="WDU45" s="5">
        <f>-'5. IRR'!WDV16</f>
        <v>-0.0</v>
      </c>
      <c r="WDV45" s="5">
        <f>-'5. IRR'!WDW16</f>
        <v>-0.0</v>
      </c>
      <c r="WDW45" s="5">
        <f>-'5. IRR'!WDX16</f>
        <v>-0.0</v>
      </c>
      <c r="WDX45" s="5">
        <f>-'5. IRR'!WDY16</f>
        <v>-0.0</v>
      </c>
      <c r="WDY45" s="5">
        <f>-'5. IRR'!WDZ16</f>
        <v>-0.0</v>
      </c>
      <c r="WDZ45" s="5">
        <f>-'5. IRR'!WEA16</f>
        <v>-0.0</v>
      </c>
      <c r="WEA45" s="5">
        <f>-'5. IRR'!WEB16</f>
        <v>-0.0</v>
      </c>
      <c r="WEB45" s="5">
        <f>-'5. IRR'!WEC16</f>
        <v>-0.0</v>
      </c>
      <c r="WEC45" s="5">
        <f>-'5. IRR'!WED16</f>
        <v>-0.0</v>
      </c>
      <c r="WED45" s="5">
        <f>-'5. IRR'!WEE16</f>
        <v>-0.0</v>
      </c>
      <c r="WEE45" s="5">
        <f>-'5. IRR'!WEF16</f>
        <v>-0.0</v>
      </c>
      <c r="WEF45" s="5">
        <f>-'5. IRR'!WEG16</f>
        <v>-0.0</v>
      </c>
      <c r="WEG45" s="5">
        <f>-'5. IRR'!WEH16</f>
        <v>-0.0</v>
      </c>
      <c r="WEH45" s="5">
        <f>-'5. IRR'!WEI16</f>
        <v>-0.0</v>
      </c>
      <c r="WEI45" s="5">
        <f>-'5. IRR'!WEJ16</f>
        <v>-0.0</v>
      </c>
      <c r="WEJ45" s="5">
        <f>-'5. IRR'!WEK16</f>
        <v>-0.0</v>
      </c>
      <c r="WEK45" s="5">
        <f>-'5. IRR'!WEL16</f>
        <v>-0.0</v>
      </c>
      <c r="WEL45" s="5">
        <f>-'5. IRR'!WEM16</f>
        <v>-0.0</v>
      </c>
      <c r="WEM45" s="5">
        <f>-'5. IRR'!WEN16</f>
        <v>-0.0</v>
      </c>
      <c r="WEN45" s="5">
        <f>-'5. IRR'!WEO16</f>
        <v>-0.0</v>
      </c>
      <c r="WEO45" s="5">
        <f>-'5. IRR'!WEP16</f>
        <v>-0.0</v>
      </c>
      <c r="WEP45" s="5">
        <f>-'5. IRR'!WEQ16</f>
        <v>-0.0</v>
      </c>
      <c r="WEQ45" s="5">
        <f>-'5. IRR'!WER16</f>
        <v>-0.0</v>
      </c>
      <c r="WER45" s="5">
        <f>-'5. IRR'!WES16</f>
        <v>-0.0</v>
      </c>
      <c r="WES45" s="5">
        <f>-'5. IRR'!WET16</f>
        <v>-0.0</v>
      </c>
      <c r="WET45" s="5">
        <f>-'5. IRR'!WEU16</f>
        <v>-0.0</v>
      </c>
      <c r="WEU45" s="5">
        <f>-'5. IRR'!WEV16</f>
        <v>-0.0</v>
      </c>
      <c r="WEV45" s="5">
        <f>-'5. IRR'!WEW16</f>
        <v>-0.0</v>
      </c>
      <c r="WEW45" s="5">
        <f>-'5. IRR'!WEX16</f>
        <v>-0.0</v>
      </c>
      <c r="WEX45" s="5">
        <f>-'5. IRR'!WEY16</f>
        <v>-0.0</v>
      </c>
      <c r="WEY45" s="5">
        <f>-'5. IRR'!WEZ16</f>
        <v>-0.0</v>
      </c>
      <c r="WEZ45" s="5">
        <f>-'5. IRR'!WFA16</f>
        <v>-0.0</v>
      </c>
      <c r="WFA45" s="5">
        <f>-'5. IRR'!WFB16</f>
        <v>-0.0</v>
      </c>
      <c r="WFB45" s="5">
        <f>-'5. IRR'!WFC16</f>
        <v>-0.0</v>
      </c>
      <c r="WFC45" s="5">
        <f>-'5. IRR'!WFD16</f>
        <v>-0.0</v>
      </c>
      <c r="WFD45" s="5">
        <f>-'5. IRR'!WFE16</f>
        <v>-0.0</v>
      </c>
      <c r="WFE45" s="5">
        <f>-'5. IRR'!WFF16</f>
        <v>-0.0</v>
      </c>
      <c r="WFF45" s="5">
        <f>-'5. IRR'!WFG16</f>
        <v>-0.0</v>
      </c>
      <c r="WFG45" s="5">
        <f>-'5. IRR'!WFH16</f>
        <v>-0.0</v>
      </c>
      <c r="WFH45" s="5">
        <f>-'5. IRR'!WFI16</f>
        <v>-0.0</v>
      </c>
      <c r="WFI45" s="5">
        <f>-'5. IRR'!WFJ16</f>
        <v>-0.0</v>
      </c>
      <c r="WFJ45" s="5">
        <f>-'5. IRR'!WFK16</f>
        <v>-0.0</v>
      </c>
      <c r="WFK45" s="5">
        <f>-'5. IRR'!WFL16</f>
        <v>-0.0</v>
      </c>
      <c r="WFL45" s="5">
        <f>-'5. IRR'!WFM16</f>
        <v>-0.0</v>
      </c>
      <c r="WFM45" s="5">
        <f>-'5. IRR'!WFN16</f>
        <v>-0.0</v>
      </c>
      <c r="WFN45" s="5">
        <f>-'5. IRR'!WFO16</f>
        <v>-0.0</v>
      </c>
      <c r="WFO45" s="5">
        <f>-'5. IRR'!WFP16</f>
        <v>-0.0</v>
      </c>
      <c r="WFP45" s="5">
        <f>-'5. IRR'!WFQ16</f>
        <v>-0.0</v>
      </c>
      <c r="WFQ45" s="5">
        <f>-'5. IRR'!WFR16</f>
        <v>-0.0</v>
      </c>
      <c r="WFR45" s="5">
        <f>-'5. IRR'!WFS16</f>
        <v>-0.0</v>
      </c>
      <c r="WFS45" s="5">
        <f>-'5. IRR'!WFT16</f>
        <v>-0.0</v>
      </c>
      <c r="WFT45" s="5">
        <f>-'5. IRR'!WFU16</f>
        <v>-0.0</v>
      </c>
      <c r="WFU45" s="5">
        <f>-'5. IRR'!WFV16</f>
        <v>-0.0</v>
      </c>
      <c r="WFV45" s="5">
        <f>-'5. IRR'!WFW16</f>
        <v>-0.0</v>
      </c>
      <c r="WFW45" s="5">
        <f>-'5. IRR'!WFX16</f>
        <v>-0.0</v>
      </c>
      <c r="WFX45" s="5">
        <f>-'5. IRR'!WFY16</f>
        <v>-0.0</v>
      </c>
      <c r="WFY45" s="5">
        <f>-'5. IRR'!WFZ16</f>
        <v>-0.0</v>
      </c>
      <c r="WFZ45" s="5">
        <f>-'5. IRR'!WGA16</f>
        <v>-0.0</v>
      </c>
      <c r="WGA45" s="5">
        <f>-'5. IRR'!WGB16</f>
        <v>-0.0</v>
      </c>
      <c r="WGB45" s="5">
        <f>-'5. IRR'!WGC16</f>
        <v>-0.0</v>
      </c>
      <c r="WGC45" s="5">
        <f>-'5. IRR'!WGD16</f>
        <v>-0.0</v>
      </c>
      <c r="WGD45" s="5">
        <f>-'5. IRR'!WGE16</f>
        <v>-0.0</v>
      </c>
      <c r="WGE45" s="5">
        <f>-'5. IRR'!WGF16</f>
        <v>-0.0</v>
      </c>
      <c r="WGF45" s="5">
        <f>-'5. IRR'!WGG16</f>
        <v>-0.0</v>
      </c>
      <c r="WGG45" s="5">
        <f>-'5. IRR'!WGH16</f>
        <v>-0.0</v>
      </c>
      <c r="WGH45" s="5">
        <f>-'5. IRR'!WGI16</f>
        <v>-0.0</v>
      </c>
      <c r="WGI45" s="5">
        <f>-'5. IRR'!WGJ16</f>
        <v>-0.0</v>
      </c>
      <c r="WGJ45" s="5">
        <f>-'5. IRR'!WGK16</f>
        <v>-0.0</v>
      </c>
      <c r="WGK45" s="5">
        <f>-'5. IRR'!WGL16</f>
        <v>-0.0</v>
      </c>
      <c r="WGL45" s="5">
        <f>-'5. IRR'!WGM16</f>
        <v>-0.0</v>
      </c>
      <c r="WGM45" s="5">
        <f>-'5. IRR'!WGN16</f>
        <v>-0.0</v>
      </c>
      <c r="WGN45" s="5">
        <f>-'5. IRR'!WGO16</f>
        <v>-0.0</v>
      </c>
      <c r="WGO45" s="5">
        <f>-'5. IRR'!WGP16</f>
        <v>-0.0</v>
      </c>
      <c r="WGP45" s="5">
        <f>-'5. IRR'!WGQ16</f>
        <v>-0.0</v>
      </c>
      <c r="WGQ45" s="5">
        <f>-'5. IRR'!WGR16</f>
        <v>-0.0</v>
      </c>
      <c r="WGR45" s="5">
        <f>-'5. IRR'!WGS16</f>
        <v>-0.0</v>
      </c>
      <c r="WGS45" s="5">
        <f>-'5. IRR'!WGT16</f>
        <v>-0.0</v>
      </c>
      <c r="WGT45" s="5">
        <f>-'5. IRR'!WGU16</f>
        <v>-0.0</v>
      </c>
      <c r="WGU45" s="5">
        <f>-'5. IRR'!WGV16</f>
        <v>-0.0</v>
      </c>
      <c r="WGV45" s="5">
        <f>-'5. IRR'!WGW16</f>
        <v>-0.0</v>
      </c>
      <c r="WGW45" s="5">
        <f>-'5. IRR'!WGX16</f>
        <v>-0.0</v>
      </c>
      <c r="WGX45" s="5">
        <f>-'5. IRR'!WGY16</f>
        <v>-0.0</v>
      </c>
      <c r="WGY45" s="5">
        <f>-'5. IRR'!WGZ16</f>
        <v>-0.0</v>
      </c>
      <c r="WGZ45" s="5">
        <f>-'5. IRR'!WHA16</f>
        <v>-0.0</v>
      </c>
      <c r="WHA45" s="5">
        <f>-'5. IRR'!WHB16</f>
        <v>-0.0</v>
      </c>
      <c r="WHB45" s="5">
        <f>-'5. IRR'!WHC16</f>
        <v>-0.0</v>
      </c>
      <c r="WHC45" s="5">
        <f>-'5. IRR'!WHD16</f>
        <v>-0.0</v>
      </c>
      <c r="WHD45" s="5">
        <f>-'5. IRR'!WHE16</f>
        <v>-0.0</v>
      </c>
      <c r="WHE45" s="5">
        <f>-'5. IRR'!WHF16</f>
        <v>-0.0</v>
      </c>
      <c r="WHF45" s="5">
        <f>-'5. IRR'!WHG16</f>
        <v>-0.0</v>
      </c>
      <c r="WHG45" s="5">
        <f>-'5. IRR'!WHH16</f>
        <v>-0.0</v>
      </c>
      <c r="WHH45" s="5">
        <f>-'5. IRR'!WHI16</f>
        <v>-0.0</v>
      </c>
      <c r="WHI45" s="5">
        <f>-'5. IRR'!WHJ16</f>
        <v>-0.0</v>
      </c>
      <c r="WHJ45" s="5">
        <f>-'5. IRR'!WHK16</f>
        <v>-0.0</v>
      </c>
      <c r="WHK45" s="5">
        <f>-'5. IRR'!WHL16</f>
        <v>-0.0</v>
      </c>
      <c r="WHL45" s="5">
        <f>-'5. IRR'!WHM16</f>
        <v>-0.0</v>
      </c>
      <c r="WHM45" s="5">
        <f>-'5. IRR'!WHN16</f>
        <v>-0.0</v>
      </c>
      <c r="WHN45" s="5">
        <f>-'5. IRR'!WHO16</f>
        <v>-0.0</v>
      </c>
      <c r="WHO45" s="5">
        <f>-'5. IRR'!WHP16</f>
        <v>-0.0</v>
      </c>
      <c r="WHP45" s="5">
        <f>-'5. IRR'!WHQ16</f>
        <v>-0.0</v>
      </c>
      <c r="WHQ45" s="5">
        <f>-'5. IRR'!WHR16</f>
        <v>-0.0</v>
      </c>
      <c r="WHR45" s="5">
        <f>-'5. IRR'!WHS16</f>
        <v>-0.0</v>
      </c>
      <c r="WHS45" s="5">
        <f>-'5. IRR'!WHT16</f>
        <v>-0.0</v>
      </c>
      <c r="WHT45" s="5">
        <f>-'5. IRR'!WHU16</f>
        <v>-0.0</v>
      </c>
      <c r="WHU45" s="5">
        <f>-'5. IRR'!WHV16</f>
        <v>-0.0</v>
      </c>
      <c r="WHV45" s="5">
        <f>-'5. IRR'!WHW16</f>
        <v>-0.0</v>
      </c>
      <c r="WHW45" s="5">
        <f>-'5. IRR'!WHX16</f>
        <v>-0.0</v>
      </c>
      <c r="WHX45" s="5">
        <f>-'5. IRR'!WHY16</f>
        <v>-0.0</v>
      </c>
      <c r="WHY45" s="5">
        <f>-'5. IRR'!WHZ16</f>
        <v>-0.0</v>
      </c>
      <c r="WHZ45" s="5">
        <f>-'5. IRR'!WIA16</f>
        <v>-0.0</v>
      </c>
      <c r="WIA45" s="5">
        <f>-'5. IRR'!WIB16</f>
        <v>-0.0</v>
      </c>
      <c r="WIB45" s="5">
        <f>-'5. IRR'!WIC16</f>
        <v>-0.0</v>
      </c>
      <c r="WIC45" s="5">
        <f>-'5. IRR'!WID16</f>
        <v>-0.0</v>
      </c>
      <c r="WID45" s="5">
        <f>-'5. IRR'!WIE16</f>
        <v>-0.0</v>
      </c>
      <c r="WIE45" s="5">
        <f>-'5. IRR'!WIF16</f>
        <v>-0.0</v>
      </c>
      <c r="WIF45" s="5">
        <f>-'5. IRR'!WIG16</f>
        <v>-0.0</v>
      </c>
      <c r="WIG45" s="5">
        <f>-'5. IRR'!WIH16</f>
        <v>-0.0</v>
      </c>
      <c r="WIH45" s="5">
        <f>-'5. IRR'!WII16</f>
        <v>-0.0</v>
      </c>
      <c r="WII45" s="5">
        <f>-'5. IRR'!WIJ16</f>
        <v>-0.0</v>
      </c>
      <c r="WIJ45" s="5">
        <f>-'5. IRR'!WIK16</f>
        <v>-0.0</v>
      </c>
      <c r="WIK45" s="5">
        <f>-'5. IRR'!WIL16</f>
        <v>-0.0</v>
      </c>
      <c r="WIL45" s="5">
        <f>-'5. IRR'!WIM16</f>
        <v>-0.0</v>
      </c>
      <c r="WIM45" s="5">
        <f>-'5. IRR'!WIN16</f>
        <v>-0.0</v>
      </c>
      <c r="WIN45" s="5">
        <f>-'5. IRR'!WIO16</f>
        <v>-0.0</v>
      </c>
      <c r="WIO45" s="5">
        <f>-'5. IRR'!WIP16</f>
        <v>-0.0</v>
      </c>
      <c r="WIP45" s="5">
        <f>-'5. IRR'!WIQ16</f>
        <v>-0.0</v>
      </c>
      <c r="WIQ45" s="5">
        <f>-'5. IRR'!WIR16</f>
        <v>-0.0</v>
      </c>
      <c r="WIR45" s="5">
        <f>-'5. IRR'!WIS16</f>
        <v>-0.0</v>
      </c>
      <c r="WIS45" s="5">
        <f>-'5. IRR'!WIT16</f>
        <v>-0.0</v>
      </c>
      <c r="WIT45" s="5">
        <f>-'5. IRR'!WIU16</f>
        <v>-0.0</v>
      </c>
      <c r="WIU45" s="5">
        <f>-'5. IRR'!WIV16</f>
        <v>-0.0</v>
      </c>
      <c r="WIV45" s="5">
        <f>-'5. IRR'!WIW16</f>
        <v>-0.0</v>
      </c>
      <c r="WIW45" s="5">
        <f>-'5. IRR'!WIX16</f>
        <v>-0.0</v>
      </c>
      <c r="WIX45" s="5">
        <f>-'5. IRR'!WIY16</f>
        <v>-0.0</v>
      </c>
      <c r="WIY45" s="5">
        <f>-'5. IRR'!WIZ16</f>
        <v>-0.0</v>
      </c>
      <c r="WIZ45" s="5">
        <f>-'5. IRR'!WJA16</f>
        <v>-0.0</v>
      </c>
      <c r="WJA45" s="5">
        <f>-'5. IRR'!WJB16</f>
        <v>-0.0</v>
      </c>
      <c r="WJB45" s="5">
        <f>-'5. IRR'!WJC16</f>
        <v>-0.0</v>
      </c>
      <c r="WJC45" s="5">
        <f>-'5. IRR'!WJD16</f>
        <v>-0.0</v>
      </c>
      <c r="WJD45" s="5">
        <f>-'5. IRR'!WJE16</f>
        <v>-0.0</v>
      </c>
      <c r="WJE45" s="5">
        <f>-'5. IRR'!WJF16</f>
        <v>-0.0</v>
      </c>
      <c r="WJF45" s="5">
        <f>-'5. IRR'!WJG16</f>
        <v>-0.0</v>
      </c>
      <c r="WJG45" s="5">
        <f>-'5. IRR'!WJH16</f>
        <v>-0.0</v>
      </c>
      <c r="WJH45" s="5">
        <f>-'5. IRR'!WJI16</f>
        <v>-0.0</v>
      </c>
      <c r="WJI45" s="5">
        <f>-'5. IRR'!WJJ16</f>
        <v>-0.0</v>
      </c>
      <c r="WJJ45" s="5">
        <f>-'5. IRR'!WJK16</f>
        <v>-0.0</v>
      </c>
      <c r="WJK45" s="5">
        <f>-'5. IRR'!WJL16</f>
        <v>-0.0</v>
      </c>
      <c r="WJL45" s="5">
        <f>-'5. IRR'!WJM16</f>
        <v>-0.0</v>
      </c>
      <c r="WJM45" s="5">
        <f>-'5. IRR'!WJN16</f>
        <v>-0.0</v>
      </c>
      <c r="WJN45" s="5">
        <f>-'5. IRR'!WJO16</f>
        <v>-0.0</v>
      </c>
      <c r="WJO45" s="5">
        <f>-'5. IRR'!WJP16</f>
        <v>-0.0</v>
      </c>
      <c r="WJP45" s="5">
        <f>-'5. IRR'!WJQ16</f>
        <v>-0.0</v>
      </c>
      <c r="WJQ45" s="5">
        <f>-'5. IRR'!WJR16</f>
        <v>-0.0</v>
      </c>
      <c r="WJR45" s="5">
        <f>-'5. IRR'!WJS16</f>
        <v>-0.0</v>
      </c>
      <c r="WJS45" s="5">
        <f>-'5. IRR'!WJT16</f>
        <v>-0.0</v>
      </c>
      <c r="WJT45" s="5">
        <f>-'5. IRR'!WJU16</f>
        <v>-0.0</v>
      </c>
      <c r="WJU45" s="5">
        <f>-'5. IRR'!WJV16</f>
        <v>-0.0</v>
      </c>
      <c r="WJV45" s="5">
        <f>-'5. IRR'!WJW16</f>
        <v>-0.0</v>
      </c>
      <c r="WJW45" s="5">
        <f>-'5. IRR'!WJX16</f>
        <v>-0.0</v>
      </c>
      <c r="WJX45" s="5">
        <f>-'5. IRR'!WJY16</f>
        <v>-0.0</v>
      </c>
      <c r="WJY45" s="5">
        <f>-'5. IRR'!WJZ16</f>
        <v>-0.0</v>
      </c>
      <c r="WJZ45" s="5">
        <f>-'5. IRR'!WKA16</f>
        <v>-0.0</v>
      </c>
      <c r="WKA45" s="5">
        <f>-'5. IRR'!WKB16</f>
        <v>-0.0</v>
      </c>
      <c r="WKB45" s="5">
        <f>-'5. IRR'!WKC16</f>
        <v>-0.0</v>
      </c>
      <c r="WKC45" s="5">
        <f>-'5. IRR'!WKD16</f>
        <v>-0.0</v>
      </c>
      <c r="WKD45" s="5">
        <f>-'5. IRR'!WKE16</f>
        <v>-0.0</v>
      </c>
      <c r="WKE45" s="5">
        <f>-'5. IRR'!WKF16</f>
        <v>-0.0</v>
      </c>
      <c r="WKF45" s="5">
        <f>-'5. IRR'!WKG16</f>
        <v>-0.0</v>
      </c>
      <c r="WKG45" s="5">
        <f>-'5. IRR'!WKH16</f>
        <v>-0.0</v>
      </c>
      <c r="WKH45" s="5">
        <f>-'5. IRR'!WKI16</f>
        <v>-0.0</v>
      </c>
      <c r="WKI45" s="5">
        <f>-'5. IRR'!WKJ16</f>
        <v>-0.0</v>
      </c>
      <c r="WKJ45" s="5">
        <f>-'5. IRR'!WKK16</f>
        <v>-0.0</v>
      </c>
      <c r="WKK45" s="5">
        <f>-'5. IRR'!WKL16</f>
        <v>-0.0</v>
      </c>
      <c r="WKL45" s="5">
        <f>-'5. IRR'!WKM16</f>
        <v>-0.0</v>
      </c>
      <c r="WKM45" s="5">
        <f>-'5. IRR'!WKN16</f>
        <v>-0.0</v>
      </c>
      <c r="WKN45" s="5">
        <f>-'5. IRR'!WKO16</f>
        <v>-0.0</v>
      </c>
      <c r="WKO45" s="5">
        <f>-'5. IRR'!WKP16</f>
        <v>-0.0</v>
      </c>
      <c r="WKP45" s="5">
        <f>-'5. IRR'!WKQ16</f>
        <v>-0.0</v>
      </c>
      <c r="WKQ45" s="5">
        <f>-'5. IRR'!WKR16</f>
        <v>-0.0</v>
      </c>
      <c r="WKR45" s="5">
        <f>-'5. IRR'!WKS16</f>
        <v>-0.0</v>
      </c>
      <c r="WKS45" s="5">
        <f>-'5. IRR'!WKT16</f>
        <v>-0.0</v>
      </c>
      <c r="WKT45" s="5">
        <f>-'5. IRR'!WKU16</f>
        <v>-0.0</v>
      </c>
      <c r="WKU45" s="5">
        <f>-'5. IRR'!WKV16</f>
        <v>-0.0</v>
      </c>
      <c r="WKV45" s="5">
        <f>-'5. IRR'!WKW16</f>
        <v>-0.0</v>
      </c>
      <c r="WKW45" s="5">
        <f>-'5. IRR'!WKX16</f>
        <v>-0.0</v>
      </c>
      <c r="WKX45" s="5">
        <f>-'5. IRR'!WKY16</f>
        <v>-0.0</v>
      </c>
      <c r="WKY45" s="5">
        <f>-'5. IRR'!WKZ16</f>
        <v>-0.0</v>
      </c>
      <c r="WKZ45" s="5">
        <f>-'5. IRR'!WLA16</f>
        <v>-0.0</v>
      </c>
      <c r="WLA45" s="5">
        <f>-'5. IRR'!WLB16</f>
        <v>-0.0</v>
      </c>
      <c r="WLB45" s="5">
        <f>-'5. IRR'!WLC16</f>
        <v>-0.0</v>
      </c>
      <c r="WLC45" s="5">
        <f>-'5. IRR'!WLD16</f>
        <v>-0.0</v>
      </c>
      <c r="WLD45" s="5">
        <f>-'5. IRR'!WLE16</f>
        <v>-0.0</v>
      </c>
      <c r="WLE45" s="5">
        <f>-'5. IRR'!WLF16</f>
        <v>-0.0</v>
      </c>
      <c r="WLF45" s="5">
        <f>-'5. IRR'!WLG16</f>
        <v>-0.0</v>
      </c>
      <c r="WLG45" s="5">
        <f>-'5. IRR'!WLH16</f>
        <v>-0.0</v>
      </c>
      <c r="WLH45" s="5">
        <f>-'5. IRR'!WLI16</f>
        <v>-0.0</v>
      </c>
      <c r="WLI45" s="5">
        <f>-'5. IRR'!WLJ16</f>
        <v>-0.0</v>
      </c>
      <c r="WLJ45" s="5">
        <f>-'5. IRR'!WLK16</f>
        <v>-0.0</v>
      </c>
      <c r="WLK45" s="5">
        <f>-'5. IRR'!WLL16</f>
        <v>-0.0</v>
      </c>
      <c r="WLL45" s="5">
        <f>-'5. IRR'!WLM16</f>
        <v>-0.0</v>
      </c>
      <c r="WLM45" s="5">
        <f>-'5. IRR'!WLN16</f>
        <v>-0.0</v>
      </c>
      <c r="WLN45" s="5">
        <f>-'5. IRR'!WLO16</f>
        <v>-0.0</v>
      </c>
      <c r="WLO45" s="5">
        <f>-'5. IRR'!WLP16</f>
        <v>-0.0</v>
      </c>
      <c r="WLP45" s="5">
        <f>-'5. IRR'!WLQ16</f>
        <v>-0.0</v>
      </c>
      <c r="WLQ45" s="5">
        <f>-'5. IRR'!WLR16</f>
        <v>-0.0</v>
      </c>
      <c r="WLR45" s="5">
        <f>-'5. IRR'!WLS16</f>
        <v>-0.0</v>
      </c>
      <c r="WLS45" s="5">
        <f>-'5. IRR'!WLT16</f>
        <v>-0.0</v>
      </c>
      <c r="WLT45" s="5">
        <f>-'5. IRR'!WLU16</f>
        <v>-0.0</v>
      </c>
      <c r="WLU45" s="5">
        <f>-'5. IRR'!WLV16</f>
        <v>-0.0</v>
      </c>
      <c r="WLV45" s="5">
        <f>-'5. IRR'!WLW16</f>
        <v>-0.0</v>
      </c>
      <c r="WLW45" s="5">
        <f>-'5. IRR'!WLX16</f>
        <v>-0.0</v>
      </c>
      <c r="WLX45" s="5">
        <f>-'5. IRR'!WLY16</f>
        <v>-0.0</v>
      </c>
      <c r="WLY45" s="5">
        <f>-'5. IRR'!WLZ16</f>
        <v>-0.0</v>
      </c>
      <c r="WLZ45" s="5">
        <f>-'5. IRR'!WMA16</f>
        <v>-0.0</v>
      </c>
      <c r="WMA45" s="5">
        <f>-'5. IRR'!WMB16</f>
        <v>-0.0</v>
      </c>
      <c r="WMB45" s="5">
        <f>-'5. IRR'!WMC16</f>
        <v>-0.0</v>
      </c>
      <c r="WMC45" s="5">
        <f>-'5. IRR'!WMD16</f>
        <v>-0.0</v>
      </c>
      <c r="WMD45" s="5">
        <f>-'5. IRR'!WME16</f>
        <v>-0.0</v>
      </c>
      <c r="WME45" s="5">
        <f>-'5. IRR'!WMF16</f>
        <v>-0.0</v>
      </c>
      <c r="WMF45" s="5">
        <f>-'5. IRR'!WMG16</f>
        <v>-0.0</v>
      </c>
      <c r="WMG45" s="5">
        <f>-'5. IRR'!WMH16</f>
        <v>-0.0</v>
      </c>
      <c r="WMH45" s="5">
        <f>-'5. IRR'!WMI16</f>
        <v>-0.0</v>
      </c>
      <c r="WMI45" s="5">
        <f>-'5. IRR'!WMJ16</f>
        <v>-0.0</v>
      </c>
      <c r="WMJ45" s="5">
        <f>-'5. IRR'!WMK16</f>
        <v>-0.0</v>
      </c>
      <c r="WMK45" s="5">
        <f>-'5. IRR'!WML16</f>
        <v>-0.0</v>
      </c>
      <c r="WML45" s="5">
        <f>-'5. IRR'!WMM16</f>
        <v>-0.0</v>
      </c>
      <c r="WMM45" s="5">
        <f>-'5. IRR'!WMN16</f>
        <v>-0.0</v>
      </c>
      <c r="WMN45" s="5">
        <f>-'5. IRR'!WMO16</f>
        <v>-0.0</v>
      </c>
      <c r="WMO45" s="5">
        <f>-'5. IRR'!WMP16</f>
        <v>-0.0</v>
      </c>
      <c r="WMP45" s="5">
        <f>-'5. IRR'!WMQ16</f>
        <v>-0.0</v>
      </c>
      <c r="WMQ45" s="5">
        <f>-'5. IRR'!WMR16</f>
        <v>-0.0</v>
      </c>
      <c r="WMR45" s="5">
        <f>-'5. IRR'!WMS16</f>
        <v>-0.0</v>
      </c>
      <c r="WMS45" s="5">
        <f>-'5. IRR'!WMT16</f>
        <v>-0.0</v>
      </c>
      <c r="WMT45" s="5">
        <f>-'5. IRR'!WMU16</f>
        <v>-0.0</v>
      </c>
      <c r="WMU45" s="5">
        <f>-'5. IRR'!WMV16</f>
        <v>-0.0</v>
      </c>
      <c r="WMV45" s="5">
        <f>-'5. IRR'!WMW16</f>
        <v>-0.0</v>
      </c>
      <c r="WMW45" s="5">
        <f>-'5. IRR'!WMX16</f>
        <v>-0.0</v>
      </c>
      <c r="WMX45" s="5">
        <f>-'5. IRR'!WMY16</f>
        <v>-0.0</v>
      </c>
      <c r="WMY45" s="5">
        <f>-'5. IRR'!WMZ16</f>
        <v>-0.0</v>
      </c>
      <c r="WMZ45" s="5">
        <f>-'5. IRR'!WNA16</f>
        <v>-0.0</v>
      </c>
      <c r="WNA45" s="5">
        <f>-'5. IRR'!WNB16</f>
        <v>-0.0</v>
      </c>
      <c r="WNB45" s="5">
        <f>-'5. IRR'!WNC16</f>
        <v>-0.0</v>
      </c>
      <c r="WNC45" s="5">
        <f>-'5. IRR'!WND16</f>
        <v>-0.0</v>
      </c>
      <c r="WND45" s="5">
        <f>-'5. IRR'!WNE16</f>
        <v>-0.0</v>
      </c>
      <c r="WNE45" s="5">
        <f>-'5. IRR'!WNF16</f>
        <v>-0.0</v>
      </c>
      <c r="WNF45" s="5">
        <f>-'5. IRR'!WNG16</f>
        <v>-0.0</v>
      </c>
      <c r="WNG45" s="5">
        <f>-'5. IRR'!WNH16</f>
        <v>-0.0</v>
      </c>
      <c r="WNH45" s="5">
        <f>-'5. IRR'!WNI16</f>
        <v>-0.0</v>
      </c>
      <c r="WNI45" s="5">
        <f>-'5. IRR'!WNJ16</f>
        <v>-0.0</v>
      </c>
      <c r="WNJ45" s="5">
        <f>-'5. IRR'!WNK16</f>
        <v>-0.0</v>
      </c>
      <c r="WNK45" s="5">
        <f>-'5. IRR'!WNL16</f>
        <v>-0.0</v>
      </c>
      <c r="WNL45" s="5">
        <f>-'5. IRR'!WNM16</f>
        <v>-0.0</v>
      </c>
      <c r="WNM45" s="5">
        <f>-'5. IRR'!WNN16</f>
        <v>-0.0</v>
      </c>
      <c r="WNN45" s="5">
        <f>-'5. IRR'!WNO16</f>
        <v>-0.0</v>
      </c>
      <c r="WNO45" s="5">
        <f>-'5. IRR'!WNP16</f>
        <v>-0.0</v>
      </c>
      <c r="WNP45" s="5">
        <f>-'5. IRR'!WNQ16</f>
        <v>-0.0</v>
      </c>
      <c r="WNQ45" s="5">
        <f>-'5. IRR'!WNR16</f>
        <v>-0.0</v>
      </c>
      <c r="WNR45" s="5">
        <f>-'5. IRR'!WNS16</f>
        <v>-0.0</v>
      </c>
      <c r="WNS45" s="5">
        <f>-'5. IRR'!WNT16</f>
        <v>-0.0</v>
      </c>
      <c r="WNT45" s="5">
        <f>-'5. IRR'!WNU16</f>
        <v>-0.0</v>
      </c>
      <c r="WNU45" s="5">
        <f>-'5. IRR'!WNV16</f>
        <v>-0.0</v>
      </c>
      <c r="WNV45" s="5">
        <f>-'5. IRR'!WNW16</f>
        <v>-0.0</v>
      </c>
      <c r="WNW45" s="5">
        <f>-'5. IRR'!WNX16</f>
        <v>-0.0</v>
      </c>
      <c r="WNX45" s="5">
        <f>-'5. IRR'!WNY16</f>
        <v>-0.0</v>
      </c>
      <c r="WNY45" s="5">
        <f>-'5. IRR'!WNZ16</f>
        <v>-0.0</v>
      </c>
      <c r="WNZ45" s="5">
        <f>-'5. IRR'!WOA16</f>
        <v>-0.0</v>
      </c>
      <c r="WOA45" s="5">
        <f>-'5. IRR'!WOB16</f>
        <v>-0.0</v>
      </c>
      <c r="WOB45" s="5">
        <f>-'5. IRR'!WOC16</f>
        <v>-0.0</v>
      </c>
      <c r="WOC45" s="5">
        <f>-'5. IRR'!WOD16</f>
        <v>-0.0</v>
      </c>
      <c r="WOD45" s="5">
        <f>-'5. IRR'!WOE16</f>
        <v>-0.0</v>
      </c>
      <c r="WOE45" s="5">
        <f>-'5. IRR'!WOF16</f>
        <v>-0.0</v>
      </c>
      <c r="WOF45" s="5">
        <f>-'5. IRR'!WOG16</f>
        <v>-0.0</v>
      </c>
      <c r="WOG45" s="5">
        <f>-'5. IRR'!WOH16</f>
        <v>-0.0</v>
      </c>
      <c r="WOH45" s="5">
        <f>-'5. IRR'!WOI16</f>
        <v>-0.0</v>
      </c>
      <c r="WOI45" s="5">
        <f>-'5. IRR'!WOJ16</f>
        <v>-0.0</v>
      </c>
      <c r="WOJ45" s="5">
        <f>-'5. IRR'!WOK16</f>
        <v>-0.0</v>
      </c>
      <c r="WOK45" s="5">
        <f>-'5. IRR'!WOL16</f>
        <v>-0.0</v>
      </c>
      <c r="WOL45" s="5">
        <f>-'5. IRR'!WOM16</f>
        <v>-0.0</v>
      </c>
      <c r="WOM45" s="5">
        <f>-'5. IRR'!WON16</f>
        <v>-0.0</v>
      </c>
      <c r="WON45" s="5">
        <f>-'5. IRR'!WOO16</f>
        <v>-0.0</v>
      </c>
      <c r="WOO45" s="5">
        <f>-'5. IRR'!WOP16</f>
        <v>-0.0</v>
      </c>
      <c r="WOP45" s="5">
        <f>-'5. IRR'!WOQ16</f>
        <v>-0.0</v>
      </c>
      <c r="WOQ45" s="5">
        <f>-'5. IRR'!WOR16</f>
        <v>-0.0</v>
      </c>
      <c r="WOR45" s="5">
        <f>-'5. IRR'!WOS16</f>
        <v>-0.0</v>
      </c>
      <c r="WOS45" s="5">
        <f>-'5. IRR'!WOT16</f>
        <v>-0.0</v>
      </c>
      <c r="WOT45" s="5">
        <f>-'5. IRR'!WOU16</f>
        <v>-0.0</v>
      </c>
      <c r="WOU45" s="5">
        <f>-'5. IRR'!WOV16</f>
        <v>-0.0</v>
      </c>
      <c r="WOV45" s="5">
        <f>-'5. IRR'!WOW16</f>
        <v>-0.0</v>
      </c>
      <c r="WOW45" s="5">
        <f>-'5. IRR'!WOX16</f>
        <v>-0.0</v>
      </c>
      <c r="WOX45" s="5">
        <f>-'5. IRR'!WOY16</f>
        <v>-0.0</v>
      </c>
      <c r="WOY45" s="5">
        <f>-'5. IRR'!WOZ16</f>
        <v>-0.0</v>
      </c>
      <c r="WOZ45" s="5">
        <f>-'5. IRR'!WPA16</f>
        <v>-0.0</v>
      </c>
      <c r="WPA45" s="5">
        <f>-'5. IRR'!WPB16</f>
        <v>-0.0</v>
      </c>
      <c r="WPB45" s="5">
        <f>-'5. IRR'!WPC16</f>
        <v>-0.0</v>
      </c>
      <c r="WPC45" s="5">
        <f>-'5. IRR'!WPD16</f>
        <v>-0.0</v>
      </c>
      <c r="WPD45" s="5">
        <f>-'5. IRR'!WPE16</f>
        <v>-0.0</v>
      </c>
      <c r="WPE45" s="5">
        <f>-'5. IRR'!WPF16</f>
        <v>-0.0</v>
      </c>
      <c r="WPF45" s="5">
        <f>-'5. IRR'!WPG16</f>
        <v>-0.0</v>
      </c>
      <c r="WPG45" s="5">
        <f>-'5. IRR'!WPH16</f>
        <v>-0.0</v>
      </c>
      <c r="WPH45" s="5">
        <f>-'5. IRR'!WPI16</f>
        <v>-0.0</v>
      </c>
      <c r="WPI45" s="5">
        <f>-'5. IRR'!WPJ16</f>
        <v>-0.0</v>
      </c>
      <c r="WPJ45" s="5">
        <f>-'5. IRR'!WPK16</f>
        <v>-0.0</v>
      </c>
      <c r="WPK45" s="5">
        <f>-'5. IRR'!WPL16</f>
        <v>-0.0</v>
      </c>
      <c r="WPL45" s="5">
        <f>-'5. IRR'!WPM16</f>
        <v>-0.0</v>
      </c>
      <c r="WPM45" s="5">
        <f>-'5. IRR'!WPN16</f>
        <v>-0.0</v>
      </c>
      <c r="WPN45" s="5">
        <f>-'5. IRR'!WPO16</f>
        <v>-0.0</v>
      </c>
      <c r="WPO45" s="5">
        <f>-'5. IRR'!WPP16</f>
        <v>-0.0</v>
      </c>
      <c r="WPP45" s="5">
        <f>-'5. IRR'!WPQ16</f>
        <v>-0.0</v>
      </c>
      <c r="WPQ45" s="5">
        <f>-'5. IRR'!WPR16</f>
        <v>-0.0</v>
      </c>
      <c r="WPR45" s="5">
        <f>-'5. IRR'!WPS16</f>
        <v>-0.0</v>
      </c>
      <c r="WPS45" s="5">
        <f>-'5. IRR'!WPT16</f>
        <v>-0.0</v>
      </c>
      <c r="WPT45" s="5">
        <f>-'5. IRR'!WPU16</f>
        <v>-0.0</v>
      </c>
      <c r="WPU45" s="5">
        <f>-'5. IRR'!WPV16</f>
        <v>-0.0</v>
      </c>
      <c r="WPV45" s="5">
        <f>-'5. IRR'!WPW16</f>
        <v>-0.0</v>
      </c>
      <c r="WPW45" s="5">
        <f>-'5. IRR'!WPX16</f>
        <v>-0.0</v>
      </c>
      <c r="WPX45" s="5">
        <f>-'5. IRR'!WPY16</f>
        <v>-0.0</v>
      </c>
      <c r="WPY45" s="5">
        <f>-'5. IRR'!WPZ16</f>
        <v>-0.0</v>
      </c>
      <c r="WPZ45" s="5">
        <f>-'5. IRR'!WQA16</f>
        <v>-0.0</v>
      </c>
      <c r="WQA45" s="5">
        <f>-'5. IRR'!WQB16</f>
        <v>-0.0</v>
      </c>
      <c r="WQB45" s="5">
        <f>-'5. IRR'!WQC16</f>
        <v>-0.0</v>
      </c>
      <c r="WQC45" s="5">
        <f>-'5. IRR'!WQD16</f>
        <v>-0.0</v>
      </c>
      <c r="WQD45" s="5">
        <f>-'5. IRR'!WQE16</f>
        <v>-0.0</v>
      </c>
      <c r="WQE45" s="5">
        <f>-'5. IRR'!WQF16</f>
        <v>-0.0</v>
      </c>
      <c r="WQF45" s="5">
        <f>-'5. IRR'!WQG16</f>
        <v>-0.0</v>
      </c>
      <c r="WQG45" s="5">
        <f>-'5. IRR'!WQH16</f>
        <v>-0.0</v>
      </c>
      <c r="WQH45" s="5">
        <f>-'5. IRR'!WQI16</f>
        <v>-0.0</v>
      </c>
      <c r="WQI45" s="5">
        <f>-'5. IRR'!WQJ16</f>
        <v>-0.0</v>
      </c>
      <c r="WQJ45" s="5">
        <f>-'5. IRR'!WQK16</f>
        <v>-0.0</v>
      </c>
      <c r="WQK45" s="5">
        <f>-'5. IRR'!WQL16</f>
        <v>-0.0</v>
      </c>
      <c r="WQL45" s="5">
        <f>-'5. IRR'!WQM16</f>
        <v>-0.0</v>
      </c>
      <c r="WQM45" s="5">
        <f>-'5. IRR'!WQN16</f>
        <v>-0.0</v>
      </c>
      <c r="WQN45" s="5">
        <f>-'5. IRR'!WQO16</f>
        <v>-0.0</v>
      </c>
      <c r="WQO45" s="5">
        <f>-'5. IRR'!WQP16</f>
        <v>-0.0</v>
      </c>
      <c r="WQP45" s="5">
        <f>-'5. IRR'!WQQ16</f>
        <v>-0.0</v>
      </c>
      <c r="WQQ45" s="5">
        <f>-'5. IRR'!WQR16</f>
        <v>-0.0</v>
      </c>
      <c r="WQR45" s="5">
        <f>-'5. IRR'!WQS16</f>
        <v>-0.0</v>
      </c>
      <c r="WQS45" s="5">
        <f>-'5. IRR'!WQT16</f>
        <v>-0.0</v>
      </c>
      <c r="WQT45" s="5">
        <f>-'5. IRR'!WQU16</f>
        <v>-0.0</v>
      </c>
      <c r="WQU45" s="5">
        <f>-'5. IRR'!WQV16</f>
        <v>-0.0</v>
      </c>
      <c r="WQV45" s="5">
        <f>-'5. IRR'!WQW16</f>
        <v>-0.0</v>
      </c>
      <c r="WQW45" s="5">
        <f>-'5. IRR'!WQX16</f>
        <v>-0.0</v>
      </c>
      <c r="WQX45" s="5">
        <f>-'5. IRR'!WQY16</f>
        <v>-0.0</v>
      </c>
      <c r="WQY45" s="5">
        <f>-'5. IRR'!WQZ16</f>
        <v>-0.0</v>
      </c>
      <c r="WQZ45" s="5">
        <f>-'5. IRR'!WRA16</f>
        <v>-0.0</v>
      </c>
      <c r="WRA45" s="5">
        <f>-'5. IRR'!WRB16</f>
        <v>-0.0</v>
      </c>
      <c r="WRB45" s="5">
        <f>-'5. IRR'!WRC16</f>
        <v>-0.0</v>
      </c>
      <c r="WRC45" s="5">
        <f>-'5. IRR'!WRD16</f>
        <v>-0.0</v>
      </c>
      <c r="WRD45" s="5">
        <f>-'5. IRR'!WRE16</f>
        <v>-0.0</v>
      </c>
      <c r="WRE45" s="5">
        <f>-'5. IRR'!WRF16</f>
        <v>-0.0</v>
      </c>
      <c r="WRF45" s="5">
        <f>-'5. IRR'!WRG16</f>
        <v>-0.0</v>
      </c>
      <c r="WRG45" s="5">
        <f>-'5. IRR'!WRH16</f>
        <v>-0.0</v>
      </c>
      <c r="WRH45" s="5">
        <f>-'5. IRR'!WRI16</f>
        <v>-0.0</v>
      </c>
      <c r="WRI45" s="5">
        <f>-'5. IRR'!WRJ16</f>
        <v>-0.0</v>
      </c>
      <c r="WRJ45" s="5">
        <f>-'5. IRR'!WRK16</f>
        <v>-0.0</v>
      </c>
      <c r="WRK45" s="5">
        <f>-'5. IRR'!WRL16</f>
        <v>-0.0</v>
      </c>
      <c r="WRL45" s="5">
        <f>-'5. IRR'!WRM16</f>
        <v>-0.0</v>
      </c>
      <c r="WRM45" s="5">
        <f>-'5. IRR'!WRN16</f>
        <v>-0.0</v>
      </c>
      <c r="WRN45" s="5">
        <f>-'5. IRR'!WRO16</f>
        <v>-0.0</v>
      </c>
      <c r="WRO45" s="5">
        <f>-'5. IRR'!WRP16</f>
        <v>-0.0</v>
      </c>
      <c r="WRP45" s="5">
        <f>-'5. IRR'!WRQ16</f>
        <v>-0.0</v>
      </c>
      <c r="WRQ45" s="5">
        <f>-'5. IRR'!WRR16</f>
        <v>-0.0</v>
      </c>
      <c r="WRR45" s="5">
        <f>-'5. IRR'!WRS16</f>
        <v>-0.0</v>
      </c>
      <c r="WRS45" s="5">
        <f>-'5. IRR'!WRT16</f>
        <v>-0.0</v>
      </c>
      <c r="WRT45" s="5">
        <f>-'5. IRR'!WRU16</f>
        <v>-0.0</v>
      </c>
      <c r="WRU45" s="5">
        <f>-'5. IRR'!WRV16</f>
        <v>-0.0</v>
      </c>
      <c r="WRV45" s="5">
        <f>-'5. IRR'!WRW16</f>
        <v>-0.0</v>
      </c>
      <c r="WRW45" s="5">
        <f>-'5. IRR'!WRX16</f>
        <v>-0.0</v>
      </c>
      <c r="WRX45" s="5">
        <f>-'5. IRR'!WRY16</f>
        <v>-0.0</v>
      </c>
      <c r="WRY45" s="5">
        <f>-'5. IRR'!WRZ16</f>
        <v>-0.0</v>
      </c>
      <c r="WRZ45" s="5">
        <f>-'5. IRR'!WSA16</f>
        <v>-0.0</v>
      </c>
      <c r="WSA45" s="5">
        <f>-'5. IRR'!WSB16</f>
        <v>-0.0</v>
      </c>
      <c r="WSB45" s="5">
        <f>-'5. IRR'!WSC16</f>
        <v>-0.0</v>
      </c>
      <c r="WSC45" s="5">
        <f>-'5. IRR'!WSD16</f>
        <v>-0.0</v>
      </c>
      <c r="WSD45" s="5">
        <f>-'5. IRR'!WSE16</f>
        <v>-0.0</v>
      </c>
      <c r="WSE45" s="5">
        <f>-'5. IRR'!WSF16</f>
        <v>-0.0</v>
      </c>
      <c r="WSF45" s="5">
        <f>-'5. IRR'!WSG16</f>
        <v>-0.0</v>
      </c>
      <c r="WSG45" s="5">
        <f>-'5. IRR'!WSH16</f>
        <v>-0.0</v>
      </c>
      <c r="WSH45" s="5">
        <f>-'5. IRR'!WSI16</f>
        <v>-0.0</v>
      </c>
      <c r="WSI45" s="5">
        <f>-'5. IRR'!WSJ16</f>
        <v>-0.0</v>
      </c>
      <c r="WSJ45" s="5">
        <f>-'5. IRR'!WSK16</f>
        <v>-0.0</v>
      </c>
      <c r="WSK45" s="5">
        <f>-'5. IRR'!WSL16</f>
        <v>-0.0</v>
      </c>
      <c r="WSL45" s="5">
        <f>-'5. IRR'!WSM16</f>
        <v>-0.0</v>
      </c>
      <c r="WSM45" s="5">
        <f>-'5. IRR'!WSN16</f>
        <v>-0.0</v>
      </c>
      <c r="WSN45" s="5">
        <f>-'5. IRR'!WSO16</f>
        <v>-0.0</v>
      </c>
      <c r="WSO45" s="5">
        <f>-'5. IRR'!WSP16</f>
        <v>-0.0</v>
      </c>
      <c r="WSP45" s="5">
        <f>-'5. IRR'!WSQ16</f>
        <v>-0.0</v>
      </c>
      <c r="WSQ45" s="5">
        <f>-'5. IRR'!WSR16</f>
        <v>-0.0</v>
      </c>
      <c r="WSR45" s="5">
        <f>-'5. IRR'!WSS16</f>
        <v>-0.0</v>
      </c>
      <c r="WSS45" s="5">
        <f>-'5. IRR'!WST16</f>
        <v>-0.0</v>
      </c>
      <c r="WST45" s="5">
        <f>-'5. IRR'!WSU16</f>
        <v>-0.0</v>
      </c>
      <c r="WSU45" s="5">
        <f>-'5. IRR'!WSV16</f>
        <v>-0.0</v>
      </c>
      <c r="WSV45" s="5">
        <f>-'5. IRR'!WSW16</f>
        <v>-0.0</v>
      </c>
      <c r="WSW45" s="5">
        <f>-'5. IRR'!WSX16</f>
        <v>-0.0</v>
      </c>
      <c r="WSX45" s="5">
        <f>-'5. IRR'!WSY16</f>
        <v>-0.0</v>
      </c>
      <c r="WSY45" s="5">
        <f>-'5. IRR'!WSZ16</f>
        <v>-0.0</v>
      </c>
      <c r="WSZ45" s="5">
        <f>-'5. IRR'!WTA16</f>
        <v>-0.0</v>
      </c>
      <c r="WTA45" s="5">
        <f>-'5. IRR'!WTB16</f>
        <v>-0.0</v>
      </c>
      <c r="WTB45" s="5">
        <f>-'5. IRR'!WTC16</f>
        <v>-0.0</v>
      </c>
      <c r="WTC45" s="5">
        <f>-'5. IRR'!WTD16</f>
        <v>-0.0</v>
      </c>
      <c r="WTD45" s="5">
        <f>-'5. IRR'!WTE16</f>
        <v>-0.0</v>
      </c>
      <c r="WTE45" s="5">
        <f>-'5. IRR'!WTF16</f>
        <v>-0.0</v>
      </c>
      <c r="WTF45" s="5">
        <f>-'5. IRR'!WTG16</f>
        <v>-0.0</v>
      </c>
      <c r="WTG45" s="5">
        <f>-'5. IRR'!WTH16</f>
        <v>-0.0</v>
      </c>
      <c r="WTH45" s="5">
        <f>-'5. IRR'!WTI16</f>
        <v>-0.0</v>
      </c>
      <c r="WTI45" s="5">
        <f>-'5. IRR'!WTJ16</f>
        <v>-0.0</v>
      </c>
      <c r="WTJ45" s="5">
        <f>-'5. IRR'!WTK16</f>
        <v>-0.0</v>
      </c>
      <c r="WTK45" s="5">
        <f>-'5. IRR'!WTL16</f>
        <v>-0.0</v>
      </c>
      <c r="WTL45" s="5">
        <f>-'5. IRR'!WTM16</f>
        <v>-0.0</v>
      </c>
      <c r="WTM45" s="5">
        <f>-'5. IRR'!WTN16</f>
        <v>-0.0</v>
      </c>
      <c r="WTN45" s="5">
        <f>-'5. IRR'!WTO16</f>
        <v>-0.0</v>
      </c>
      <c r="WTO45" s="5">
        <f>-'5. IRR'!WTP16</f>
        <v>-0.0</v>
      </c>
      <c r="WTP45" s="5">
        <f>-'5. IRR'!WTQ16</f>
        <v>-0.0</v>
      </c>
      <c r="WTQ45" s="5">
        <f>-'5. IRR'!WTR16</f>
        <v>-0.0</v>
      </c>
      <c r="WTR45" s="5">
        <f>-'5. IRR'!WTS16</f>
        <v>-0.0</v>
      </c>
      <c r="WTS45" s="5">
        <f>-'5. IRR'!WTT16</f>
        <v>-0.0</v>
      </c>
      <c r="WTT45" s="5">
        <f>-'5. IRR'!WTU16</f>
        <v>-0.0</v>
      </c>
      <c r="WTU45" s="5">
        <f>-'5. IRR'!WTV16</f>
        <v>-0.0</v>
      </c>
      <c r="WTV45" s="5">
        <f>-'5. IRR'!WTW16</f>
        <v>-0.0</v>
      </c>
      <c r="WTW45" s="5">
        <f>-'5. IRR'!WTX16</f>
        <v>-0.0</v>
      </c>
      <c r="WTX45" s="5">
        <f>-'5. IRR'!WTY16</f>
        <v>-0.0</v>
      </c>
      <c r="WTY45" s="5">
        <f>-'5. IRR'!WTZ16</f>
        <v>-0.0</v>
      </c>
      <c r="WTZ45" s="5">
        <f>-'5. IRR'!WUA16</f>
        <v>-0.0</v>
      </c>
      <c r="WUA45" s="5">
        <f>-'5. IRR'!WUB16</f>
        <v>-0.0</v>
      </c>
      <c r="WUB45" s="5">
        <f>-'5. IRR'!WUC16</f>
        <v>-0.0</v>
      </c>
      <c r="WUC45" s="5">
        <f>-'5. IRR'!WUD16</f>
        <v>-0.0</v>
      </c>
      <c r="WUD45" s="5">
        <f>-'5. IRR'!WUE16</f>
        <v>-0.0</v>
      </c>
      <c r="WUE45" s="5">
        <f>-'5. IRR'!WUF16</f>
        <v>-0.0</v>
      </c>
      <c r="WUF45" s="5">
        <f>-'5. IRR'!WUG16</f>
        <v>-0.0</v>
      </c>
      <c r="WUG45" s="5">
        <f>-'5. IRR'!WUH16</f>
        <v>-0.0</v>
      </c>
      <c r="WUH45" s="5">
        <f>-'5. IRR'!WUI16</f>
        <v>-0.0</v>
      </c>
      <c r="WUI45" s="5">
        <f>-'5. IRR'!WUJ16</f>
        <v>-0.0</v>
      </c>
      <c r="WUJ45" s="5">
        <f>-'5. IRR'!WUK16</f>
        <v>-0.0</v>
      </c>
      <c r="WUK45" s="5">
        <f>-'5. IRR'!WUL16</f>
        <v>-0.0</v>
      </c>
      <c r="WUL45" s="5">
        <f>-'5. IRR'!WUM16</f>
        <v>-0.0</v>
      </c>
      <c r="WUM45" s="5">
        <f>-'5. IRR'!WUN16</f>
        <v>-0.0</v>
      </c>
      <c r="WUN45" s="5">
        <f>-'5. IRR'!WUO16</f>
        <v>-0.0</v>
      </c>
      <c r="WUO45" s="5">
        <f>-'5. IRR'!WUP16</f>
        <v>-0.0</v>
      </c>
      <c r="WUP45" s="5">
        <f>-'5. IRR'!WUQ16</f>
        <v>-0.0</v>
      </c>
      <c r="WUQ45" s="5">
        <f>-'5. IRR'!WUR16</f>
        <v>-0.0</v>
      </c>
      <c r="WUR45" s="5">
        <f>-'5. IRR'!WUS16</f>
        <v>-0.0</v>
      </c>
      <c r="WUS45" s="5">
        <f>-'5. IRR'!WUT16</f>
        <v>-0.0</v>
      </c>
      <c r="WUT45" s="5">
        <f>-'5. IRR'!WUU16</f>
        <v>-0.0</v>
      </c>
      <c r="WUU45" s="5">
        <f>-'5. IRR'!WUV16</f>
        <v>-0.0</v>
      </c>
      <c r="WUV45" s="5">
        <f>-'5. IRR'!WUW16</f>
        <v>-0.0</v>
      </c>
      <c r="WUW45" s="5">
        <f>-'5. IRR'!WUX16</f>
        <v>-0.0</v>
      </c>
      <c r="WUX45" s="5">
        <f>-'5. IRR'!WUY16</f>
        <v>-0.0</v>
      </c>
      <c r="WUY45" s="5">
        <f>-'5. IRR'!WUZ16</f>
        <v>-0.0</v>
      </c>
      <c r="WUZ45" s="5">
        <f>-'5. IRR'!WVA16</f>
        <v>-0.0</v>
      </c>
      <c r="WVA45" s="5">
        <f>-'5. IRR'!WVB16</f>
        <v>-0.0</v>
      </c>
      <c r="WVB45" s="5">
        <f>-'5. IRR'!WVC16</f>
        <v>-0.0</v>
      </c>
      <c r="WVC45" s="5">
        <f>-'5. IRR'!WVD16</f>
        <v>-0.0</v>
      </c>
      <c r="WVD45" s="5">
        <f>-'5. IRR'!WVE16</f>
        <v>-0.0</v>
      </c>
      <c r="WVE45" s="5">
        <f>-'5. IRR'!WVF16</f>
        <v>-0.0</v>
      </c>
      <c r="WVF45" s="5">
        <f>-'5. IRR'!WVG16</f>
        <v>-0.0</v>
      </c>
      <c r="WVG45" s="5">
        <f>-'5. IRR'!WVH16</f>
        <v>-0.0</v>
      </c>
      <c r="WVH45" s="5">
        <f>-'5. IRR'!WVI16</f>
        <v>-0.0</v>
      </c>
      <c r="WVI45" s="5">
        <f>-'5. IRR'!WVJ16</f>
        <v>-0.0</v>
      </c>
      <c r="WVJ45" s="5">
        <f>-'5. IRR'!WVK16</f>
        <v>-0.0</v>
      </c>
      <c r="WVK45" s="5">
        <f>-'5. IRR'!WVL16</f>
        <v>-0.0</v>
      </c>
      <c r="WVL45" s="5">
        <f>-'5. IRR'!WVM16</f>
        <v>-0.0</v>
      </c>
      <c r="WVM45" s="5">
        <f>-'5. IRR'!WVN16</f>
        <v>-0.0</v>
      </c>
      <c r="WVN45" s="5">
        <f>-'5. IRR'!WVO16</f>
        <v>-0.0</v>
      </c>
      <c r="WVO45" s="5">
        <f>-'5. IRR'!WVP16</f>
        <v>-0.0</v>
      </c>
      <c r="WVP45" s="5">
        <f>-'5. IRR'!WVQ16</f>
        <v>-0.0</v>
      </c>
      <c r="WVQ45" s="5">
        <f>-'5. IRR'!WVR16</f>
        <v>-0.0</v>
      </c>
      <c r="WVR45" s="5">
        <f>-'5. IRR'!WVS16</f>
        <v>-0.0</v>
      </c>
      <c r="WVS45" s="5">
        <f>-'5. IRR'!WVT16</f>
        <v>-0.0</v>
      </c>
      <c r="WVT45" s="5">
        <f>-'5. IRR'!WVU16</f>
        <v>-0.0</v>
      </c>
      <c r="WVU45" s="5">
        <f>-'5. IRR'!WVV16</f>
        <v>-0.0</v>
      </c>
      <c r="WVV45" s="5">
        <f>-'5. IRR'!WVW16</f>
        <v>-0.0</v>
      </c>
      <c r="WVW45" s="5">
        <f>-'5. IRR'!WVX16</f>
        <v>-0.0</v>
      </c>
      <c r="WVX45" s="5">
        <f>-'5. IRR'!WVY16</f>
        <v>-0.0</v>
      </c>
      <c r="WVY45" s="5">
        <f>-'5. IRR'!WVZ16</f>
        <v>-0.0</v>
      </c>
      <c r="WVZ45" s="5">
        <f>-'5. IRR'!WWA16</f>
        <v>-0.0</v>
      </c>
      <c r="WWA45" s="5">
        <f>-'5. IRR'!WWB16</f>
        <v>-0.0</v>
      </c>
      <c r="WWB45" s="5">
        <f>-'5. IRR'!WWC16</f>
        <v>-0.0</v>
      </c>
      <c r="WWC45" s="5">
        <f>-'5. IRR'!WWD16</f>
        <v>-0.0</v>
      </c>
      <c r="WWD45" s="5">
        <f>-'5. IRR'!WWE16</f>
        <v>-0.0</v>
      </c>
      <c r="WWE45" s="5">
        <f>-'5. IRR'!WWF16</f>
        <v>-0.0</v>
      </c>
      <c r="WWF45" s="5">
        <f>-'5. IRR'!WWG16</f>
        <v>-0.0</v>
      </c>
      <c r="WWG45" s="5">
        <f>-'5. IRR'!WWH16</f>
        <v>-0.0</v>
      </c>
      <c r="WWH45" s="5">
        <f>-'5. IRR'!WWI16</f>
        <v>-0.0</v>
      </c>
      <c r="WWI45" s="5">
        <f>-'5. IRR'!WWJ16</f>
        <v>-0.0</v>
      </c>
      <c r="WWJ45" s="5">
        <f>-'5. IRR'!WWK16</f>
        <v>-0.0</v>
      </c>
      <c r="WWK45" s="5">
        <f>-'5. IRR'!WWL16</f>
        <v>-0.0</v>
      </c>
      <c r="WWL45" s="5">
        <f>-'5. IRR'!WWM16</f>
        <v>-0.0</v>
      </c>
      <c r="WWM45" s="5">
        <f>-'5. IRR'!WWN16</f>
        <v>-0.0</v>
      </c>
      <c r="WWN45" s="5">
        <f>-'5. IRR'!WWO16</f>
        <v>-0.0</v>
      </c>
      <c r="WWO45" s="5">
        <f>-'5. IRR'!WWP16</f>
        <v>-0.0</v>
      </c>
      <c r="WWP45" s="5">
        <f>-'5. IRR'!WWQ16</f>
        <v>-0.0</v>
      </c>
      <c r="WWQ45" s="5">
        <f>-'5. IRR'!WWR16</f>
        <v>-0.0</v>
      </c>
      <c r="WWR45" s="5">
        <f>-'5. IRR'!WWS16</f>
        <v>-0.0</v>
      </c>
      <c r="WWS45" s="5">
        <f>-'5. IRR'!WWT16</f>
        <v>-0.0</v>
      </c>
      <c r="WWT45" s="5">
        <f>-'5. IRR'!WWU16</f>
        <v>-0.0</v>
      </c>
      <c r="WWU45" s="5">
        <f>-'5. IRR'!WWV16</f>
        <v>-0.0</v>
      </c>
      <c r="WWV45" s="5">
        <f>-'5. IRR'!WWW16</f>
        <v>-0.0</v>
      </c>
      <c r="WWW45" s="5">
        <f>-'5. IRR'!WWX16</f>
        <v>-0.0</v>
      </c>
      <c r="WWX45" s="5">
        <f>-'5. IRR'!WWY16</f>
        <v>-0.0</v>
      </c>
      <c r="WWY45" s="5">
        <f>-'5. IRR'!WWZ16</f>
        <v>-0.0</v>
      </c>
      <c r="WWZ45" s="5">
        <f>-'5. IRR'!WXA16</f>
        <v>-0.0</v>
      </c>
      <c r="WXA45" s="5">
        <f>-'5. IRR'!WXB16</f>
        <v>-0.0</v>
      </c>
      <c r="WXB45" s="5">
        <f>-'5. IRR'!WXC16</f>
        <v>-0.0</v>
      </c>
      <c r="WXC45" s="5">
        <f>-'5. IRR'!WXD16</f>
        <v>-0.0</v>
      </c>
      <c r="WXD45" s="5">
        <f>-'5. IRR'!WXE16</f>
        <v>-0.0</v>
      </c>
      <c r="WXE45" s="5">
        <f>-'5. IRR'!WXF16</f>
        <v>-0.0</v>
      </c>
      <c r="WXF45" s="5">
        <f>-'5. IRR'!WXG16</f>
        <v>-0.0</v>
      </c>
      <c r="WXG45" s="5">
        <f>-'5. IRR'!WXH16</f>
        <v>-0.0</v>
      </c>
      <c r="WXH45" s="5">
        <f>-'5. IRR'!WXI16</f>
        <v>-0.0</v>
      </c>
      <c r="WXI45" s="5">
        <f>-'5. IRR'!WXJ16</f>
        <v>-0.0</v>
      </c>
      <c r="WXJ45" s="5">
        <f>-'5. IRR'!WXK16</f>
        <v>-0.0</v>
      </c>
      <c r="WXK45" s="5">
        <f>-'5. IRR'!WXL16</f>
        <v>-0.0</v>
      </c>
      <c r="WXL45" s="5">
        <f>-'5. IRR'!WXM16</f>
        <v>-0.0</v>
      </c>
      <c r="WXM45" s="5">
        <f>-'5. IRR'!WXN16</f>
        <v>-0.0</v>
      </c>
      <c r="WXN45" s="5">
        <f>-'5. IRR'!WXO16</f>
        <v>-0.0</v>
      </c>
      <c r="WXO45" s="5">
        <f>-'5. IRR'!WXP16</f>
        <v>-0.0</v>
      </c>
      <c r="WXP45" s="5">
        <f>-'5. IRR'!WXQ16</f>
        <v>-0.0</v>
      </c>
      <c r="WXQ45" s="5">
        <f>-'5. IRR'!WXR16</f>
        <v>-0.0</v>
      </c>
      <c r="WXR45" s="5">
        <f>-'5. IRR'!WXS16</f>
        <v>-0.0</v>
      </c>
      <c r="WXS45" s="5">
        <f>-'5. IRR'!WXT16</f>
        <v>-0.0</v>
      </c>
      <c r="WXT45" s="5">
        <f>-'5. IRR'!WXU16</f>
        <v>-0.0</v>
      </c>
      <c r="WXU45" s="5">
        <f>-'5. IRR'!WXV16</f>
        <v>-0.0</v>
      </c>
      <c r="WXV45" s="5">
        <f>-'5. IRR'!WXW16</f>
        <v>-0.0</v>
      </c>
      <c r="WXW45" s="5">
        <f>-'5. IRR'!WXX16</f>
        <v>-0.0</v>
      </c>
      <c r="WXX45" s="5">
        <f>-'5. IRR'!WXY16</f>
        <v>-0.0</v>
      </c>
      <c r="WXY45" s="5">
        <f>-'5. IRR'!WXZ16</f>
        <v>-0.0</v>
      </c>
      <c r="WXZ45" s="5">
        <f>-'5. IRR'!WYA16</f>
        <v>-0.0</v>
      </c>
      <c r="WYA45" s="5">
        <f>-'5. IRR'!WYB16</f>
        <v>-0.0</v>
      </c>
      <c r="WYB45" s="5">
        <f>-'5. IRR'!WYC16</f>
        <v>-0.0</v>
      </c>
      <c r="WYC45" s="5">
        <f>-'5. IRR'!WYD16</f>
        <v>-0.0</v>
      </c>
      <c r="WYD45" s="5">
        <f>-'5. IRR'!WYE16</f>
        <v>-0.0</v>
      </c>
      <c r="WYE45" s="5">
        <f>-'5. IRR'!WYF16</f>
        <v>-0.0</v>
      </c>
      <c r="WYF45" s="5">
        <f>-'5. IRR'!WYG16</f>
        <v>-0.0</v>
      </c>
      <c r="WYG45" s="5">
        <f>-'5. IRR'!WYH16</f>
        <v>-0.0</v>
      </c>
      <c r="WYH45" s="5">
        <f>-'5. IRR'!WYI16</f>
        <v>-0.0</v>
      </c>
      <c r="WYI45" s="5">
        <f>-'5. IRR'!WYJ16</f>
        <v>-0.0</v>
      </c>
      <c r="WYJ45" s="5">
        <f>-'5. IRR'!WYK16</f>
        <v>-0.0</v>
      </c>
      <c r="WYK45" s="5">
        <f>-'5. IRR'!WYL16</f>
        <v>-0.0</v>
      </c>
      <c r="WYL45" s="5">
        <f>-'5. IRR'!WYM16</f>
        <v>-0.0</v>
      </c>
      <c r="WYM45" s="5">
        <f>-'5. IRR'!WYN16</f>
        <v>-0.0</v>
      </c>
      <c r="WYN45" s="5">
        <f>-'5. IRR'!WYO16</f>
        <v>-0.0</v>
      </c>
      <c r="WYO45" s="5">
        <f>-'5. IRR'!WYP16</f>
        <v>-0.0</v>
      </c>
      <c r="WYP45" s="5">
        <f>-'5. IRR'!WYQ16</f>
        <v>-0.0</v>
      </c>
      <c r="WYQ45" s="5">
        <f>-'5. IRR'!WYR16</f>
        <v>-0.0</v>
      </c>
      <c r="WYR45" s="5">
        <f>-'5. IRR'!WYS16</f>
        <v>-0.0</v>
      </c>
      <c r="WYS45" s="5">
        <f>-'5. IRR'!WYT16</f>
        <v>-0.0</v>
      </c>
      <c r="WYT45" s="5">
        <f>-'5. IRR'!WYU16</f>
        <v>-0.0</v>
      </c>
      <c r="WYU45" s="5">
        <f>-'5. IRR'!WYV16</f>
        <v>-0.0</v>
      </c>
      <c r="WYV45" s="5">
        <f>-'5. IRR'!WYW16</f>
        <v>-0.0</v>
      </c>
      <c r="WYW45" s="5">
        <f>-'5. IRR'!WYX16</f>
        <v>-0.0</v>
      </c>
      <c r="WYX45" s="5">
        <f>-'5. IRR'!WYY16</f>
        <v>-0.0</v>
      </c>
      <c r="WYY45" s="5">
        <f>-'5. IRR'!WYZ16</f>
        <v>-0.0</v>
      </c>
      <c r="WYZ45" s="5">
        <f>-'5. IRR'!WZA16</f>
        <v>-0.0</v>
      </c>
      <c r="WZA45" s="5">
        <f>-'5. IRR'!WZB16</f>
        <v>-0.0</v>
      </c>
      <c r="WZB45" s="5">
        <f>-'5. IRR'!WZC16</f>
        <v>-0.0</v>
      </c>
      <c r="WZC45" s="5">
        <f>-'5. IRR'!WZD16</f>
        <v>-0.0</v>
      </c>
      <c r="WZD45" s="5">
        <f>-'5. IRR'!WZE16</f>
        <v>-0.0</v>
      </c>
      <c r="WZE45" s="5">
        <f>-'5. IRR'!WZF16</f>
        <v>-0.0</v>
      </c>
      <c r="WZF45" s="5">
        <f>-'5. IRR'!WZG16</f>
        <v>-0.0</v>
      </c>
      <c r="WZG45" s="5">
        <f>-'5. IRR'!WZH16</f>
        <v>-0.0</v>
      </c>
      <c r="WZH45" s="5">
        <f>-'5. IRR'!WZI16</f>
        <v>-0.0</v>
      </c>
      <c r="WZI45" s="5">
        <f>-'5. IRR'!WZJ16</f>
        <v>-0.0</v>
      </c>
      <c r="WZJ45" s="5">
        <f>-'5. IRR'!WZK16</f>
        <v>-0.0</v>
      </c>
      <c r="WZK45" s="5">
        <f>-'5. IRR'!WZL16</f>
        <v>-0.0</v>
      </c>
      <c r="WZL45" s="5">
        <f>-'5. IRR'!WZM16</f>
        <v>-0.0</v>
      </c>
      <c r="WZM45" s="5">
        <f>-'5. IRR'!WZN16</f>
        <v>-0.0</v>
      </c>
      <c r="WZN45" s="5">
        <f>-'5. IRR'!WZO16</f>
        <v>-0.0</v>
      </c>
      <c r="WZO45" s="5">
        <f>-'5. IRR'!WZP16</f>
        <v>-0.0</v>
      </c>
      <c r="WZP45" s="5">
        <f>-'5. IRR'!WZQ16</f>
        <v>-0.0</v>
      </c>
      <c r="WZQ45" s="5">
        <f>-'5. IRR'!WZR16</f>
        <v>-0.0</v>
      </c>
      <c r="WZR45" s="5">
        <f>-'5. IRR'!WZS16</f>
        <v>-0.0</v>
      </c>
      <c r="WZS45" s="5">
        <f>-'5. IRR'!WZT16</f>
        <v>-0.0</v>
      </c>
      <c r="WZT45" s="5">
        <f>-'5. IRR'!WZU16</f>
        <v>-0.0</v>
      </c>
      <c r="WZU45" s="5">
        <f>-'5. IRR'!WZV16</f>
        <v>-0.0</v>
      </c>
      <c r="WZV45" s="5">
        <f>-'5. IRR'!WZW16</f>
        <v>-0.0</v>
      </c>
      <c r="WZW45" s="5">
        <f>-'5. IRR'!WZX16</f>
        <v>-0.0</v>
      </c>
      <c r="WZX45" s="5">
        <f>-'5. IRR'!WZY16</f>
        <v>-0.0</v>
      </c>
      <c r="WZY45" s="5">
        <f>-'5. IRR'!WZZ16</f>
        <v>-0.0</v>
      </c>
      <c r="WZZ45" s="5">
        <f>-'5. IRR'!XAA16</f>
        <v>-0.0</v>
      </c>
      <c r="XAA45" s="5">
        <f>-'5. IRR'!XAB16</f>
        <v>-0.0</v>
      </c>
      <c r="XAB45" s="5">
        <f>-'5. IRR'!XAC16</f>
        <v>-0.0</v>
      </c>
      <c r="XAC45" s="5">
        <f>-'5. IRR'!XAD16</f>
        <v>-0.0</v>
      </c>
      <c r="XAD45" s="5">
        <f>-'5. IRR'!XAE16</f>
        <v>-0.0</v>
      </c>
      <c r="XAE45" s="5">
        <f>-'5. IRR'!XAF16</f>
        <v>-0.0</v>
      </c>
      <c r="XAF45" s="5">
        <f>-'5. IRR'!XAG16</f>
        <v>-0.0</v>
      </c>
      <c r="XAG45" s="5">
        <f>-'5. IRR'!XAH16</f>
        <v>-0.0</v>
      </c>
      <c r="XAH45" s="5">
        <f>-'5. IRR'!XAI16</f>
        <v>-0.0</v>
      </c>
      <c r="XAI45" s="5">
        <f>-'5. IRR'!XAJ16</f>
        <v>-0.0</v>
      </c>
      <c r="XAJ45" s="5">
        <f>-'5. IRR'!XAK16</f>
        <v>-0.0</v>
      </c>
      <c r="XAK45" s="5">
        <f>-'5. IRR'!XAL16</f>
        <v>-0.0</v>
      </c>
      <c r="XAL45" s="5">
        <f>-'5. IRR'!XAM16</f>
        <v>-0.0</v>
      </c>
      <c r="XAM45" s="5">
        <f>-'5. IRR'!XAN16</f>
        <v>-0.0</v>
      </c>
      <c r="XAN45" s="5">
        <f>-'5. IRR'!XAO16</f>
        <v>-0.0</v>
      </c>
      <c r="XAO45" s="5">
        <f>-'5. IRR'!XAP16</f>
        <v>-0.0</v>
      </c>
      <c r="XAP45" s="5">
        <f>-'5. IRR'!XAQ16</f>
        <v>-0.0</v>
      </c>
      <c r="XAQ45" s="5">
        <f>-'5. IRR'!XAR16</f>
        <v>-0.0</v>
      </c>
      <c r="XAR45" s="5">
        <f>-'5. IRR'!XAS16</f>
        <v>-0.0</v>
      </c>
      <c r="XAS45" s="5">
        <f>-'5. IRR'!XAT16</f>
        <v>-0.0</v>
      </c>
      <c r="XAT45" s="5">
        <f>-'5. IRR'!XAU16</f>
        <v>-0.0</v>
      </c>
      <c r="XAU45" s="5">
        <f>-'5. IRR'!XAV16</f>
        <v>-0.0</v>
      </c>
      <c r="XAV45" s="5">
        <f>-'5. IRR'!XAW16</f>
        <v>-0.0</v>
      </c>
      <c r="XAW45" s="5">
        <f>-'5. IRR'!XAX16</f>
        <v>-0.0</v>
      </c>
      <c r="XAX45" s="5">
        <f>-'5. IRR'!XAY16</f>
        <v>-0.0</v>
      </c>
      <c r="XAY45" s="5">
        <f>-'5. IRR'!XAZ16</f>
        <v>-0.0</v>
      </c>
      <c r="XAZ45" s="5">
        <f>-'5. IRR'!XBA16</f>
        <v>-0.0</v>
      </c>
      <c r="XBA45" s="5">
        <f>-'5. IRR'!XBB16</f>
        <v>-0.0</v>
      </c>
      <c r="XBB45" s="5">
        <f>-'5. IRR'!XBC16</f>
        <v>-0.0</v>
      </c>
      <c r="XBC45" s="5">
        <f>-'5. IRR'!XBD16</f>
        <v>-0.0</v>
      </c>
      <c r="XBD45" s="5">
        <f>-'5. IRR'!XBE16</f>
        <v>-0.0</v>
      </c>
      <c r="XBE45" s="5">
        <f>-'5. IRR'!XBF16</f>
        <v>-0.0</v>
      </c>
      <c r="XBF45" s="5">
        <f>-'5. IRR'!XBG16</f>
        <v>-0.0</v>
      </c>
      <c r="XBG45" s="5">
        <f>-'5. IRR'!XBH16</f>
        <v>-0.0</v>
      </c>
      <c r="XBH45" s="5">
        <f>-'5. IRR'!XBI16</f>
        <v>-0.0</v>
      </c>
      <c r="XBI45" s="5">
        <f>-'5. IRR'!XBJ16</f>
        <v>-0.0</v>
      </c>
      <c r="XBJ45" s="5">
        <f>-'5. IRR'!XBK16</f>
        <v>-0.0</v>
      </c>
      <c r="XBK45" s="5">
        <f>-'5. IRR'!XBL16</f>
        <v>-0.0</v>
      </c>
      <c r="XBL45" s="5">
        <f>-'5. IRR'!XBM16</f>
        <v>-0.0</v>
      </c>
      <c r="XBM45" s="5">
        <f>-'5. IRR'!XBN16</f>
        <v>-0.0</v>
      </c>
      <c r="XBN45" s="5">
        <f>-'5. IRR'!XBO16</f>
        <v>-0.0</v>
      </c>
      <c r="XBO45" s="5">
        <f>-'5. IRR'!XBP16</f>
        <v>-0.0</v>
      </c>
      <c r="XBP45" s="5">
        <f>-'5. IRR'!XBQ16</f>
        <v>-0.0</v>
      </c>
      <c r="XBQ45" s="5">
        <f>-'5. IRR'!XBR16</f>
        <v>-0.0</v>
      </c>
      <c r="XBR45" s="5">
        <f>-'5. IRR'!XBS16</f>
        <v>-0.0</v>
      </c>
      <c r="XBS45" s="5">
        <f>-'5. IRR'!XBT16</f>
        <v>-0.0</v>
      </c>
      <c r="XBT45" s="5">
        <f>-'5. IRR'!XBU16</f>
        <v>-0.0</v>
      </c>
      <c r="XBU45" s="5">
        <f>-'5. IRR'!XBV16</f>
        <v>-0.0</v>
      </c>
      <c r="XBV45" s="5">
        <f>-'5. IRR'!XBW16</f>
        <v>-0.0</v>
      </c>
      <c r="XBW45" s="5">
        <f>-'5. IRR'!XBX16</f>
        <v>-0.0</v>
      </c>
      <c r="XBX45" s="5">
        <f>-'5. IRR'!XBY16</f>
        <v>-0.0</v>
      </c>
      <c r="XBY45" s="5">
        <f>-'5. IRR'!XBZ16</f>
        <v>-0.0</v>
      </c>
      <c r="XBZ45" s="5">
        <f>-'5. IRR'!XCA16</f>
        <v>-0.0</v>
      </c>
      <c r="XCA45" s="5">
        <f>-'5. IRR'!XCB16</f>
        <v>-0.0</v>
      </c>
      <c r="XCB45" s="5">
        <f>-'5. IRR'!XCC16</f>
        <v>-0.0</v>
      </c>
      <c r="XCC45" s="5">
        <f>-'5. IRR'!XCD16</f>
        <v>-0.0</v>
      </c>
      <c r="XCD45" s="5">
        <f>-'5. IRR'!XCE16</f>
        <v>-0.0</v>
      </c>
      <c r="XCE45" s="5">
        <f>-'5. IRR'!XCF16</f>
        <v>-0.0</v>
      </c>
      <c r="XCF45" s="5">
        <f>-'5. IRR'!XCG16</f>
        <v>-0.0</v>
      </c>
      <c r="XCG45" s="5">
        <f>-'5. IRR'!XCH16</f>
        <v>-0.0</v>
      </c>
      <c r="XCH45" s="5">
        <f>-'5. IRR'!XCI16</f>
        <v>-0.0</v>
      </c>
      <c r="XCI45" s="5">
        <f>-'5. IRR'!XCJ16</f>
        <v>-0.0</v>
      </c>
      <c r="XCJ45" s="5">
        <f>-'5. IRR'!XCK16</f>
        <v>-0.0</v>
      </c>
      <c r="XCK45" s="5">
        <f>-'5. IRR'!XCL16</f>
        <v>-0.0</v>
      </c>
      <c r="XCL45" s="5">
        <f>-'5. IRR'!XCM16</f>
        <v>-0.0</v>
      </c>
      <c r="XCM45" s="5">
        <f>-'5. IRR'!XCN16</f>
        <v>-0.0</v>
      </c>
      <c r="XCN45" s="5">
        <f>-'5. IRR'!XCO16</f>
        <v>-0.0</v>
      </c>
      <c r="XCO45" s="5">
        <f>-'5. IRR'!XCP16</f>
        <v>-0.0</v>
      </c>
      <c r="XCP45" s="5">
        <f>-'5. IRR'!XCQ16</f>
        <v>-0.0</v>
      </c>
      <c r="XCQ45" s="5">
        <f>-'5. IRR'!XCR16</f>
        <v>-0.0</v>
      </c>
      <c r="XCR45" s="5">
        <f>-'5. IRR'!XCS16</f>
        <v>-0.0</v>
      </c>
      <c r="XCS45" s="5">
        <f>-'5. IRR'!XCT16</f>
        <v>-0.0</v>
      </c>
      <c r="XCT45" s="5">
        <f>-'5. IRR'!XCU16</f>
        <v>-0.0</v>
      </c>
      <c r="XCU45" s="5">
        <f>-'5. IRR'!XCV16</f>
        <v>-0.0</v>
      </c>
      <c r="XCV45" s="5">
        <f>-'5. IRR'!XCW16</f>
        <v>-0.0</v>
      </c>
      <c r="XCW45" s="5">
        <f>-'5. IRR'!XCX16</f>
        <v>-0.0</v>
      </c>
      <c r="XCX45" s="5">
        <f>-'5. IRR'!XCY16</f>
        <v>-0.0</v>
      </c>
      <c r="XCY45" s="5">
        <f>-'5. IRR'!XCZ16</f>
        <v>-0.0</v>
      </c>
      <c r="XCZ45" s="5">
        <f>-'5. IRR'!XDA16</f>
        <v>-0.0</v>
      </c>
      <c r="XDA45" s="5">
        <f>-'5. IRR'!XDB16</f>
        <v>-0.0</v>
      </c>
      <c r="XDB45" s="5">
        <f>-'5. IRR'!XDC16</f>
        <v>-0.0</v>
      </c>
      <c r="XDC45" s="5">
        <f>-'5. IRR'!XDD16</f>
        <v>-0.0</v>
      </c>
      <c r="XDD45" s="5">
        <f>-'5. IRR'!XDE16</f>
        <v>-0.0</v>
      </c>
      <c r="XDE45" s="5">
        <f>-'5. IRR'!XDF16</f>
        <v>-0.0</v>
      </c>
      <c r="XDF45" s="5">
        <f>-'5. IRR'!XDG16</f>
        <v>-0.0</v>
      </c>
      <c r="XDG45" s="5">
        <f>-'5. IRR'!XDH16</f>
        <v>-0.0</v>
      </c>
      <c r="XDH45" s="5">
        <f>-'5. IRR'!XDI16</f>
        <v>-0.0</v>
      </c>
      <c r="XDI45" s="5">
        <f>-'5. IRR'!XDJ16</f>
        <v>-0.0</v>
      </c>
      <c r="XDJ45" s="5">
        <f>-'5. IRR'!XDK16</f>
        <v>-0.0</v>
      </c>
      <c r="XDK45" s="5">
        <f>-'5. IRR'!XDL16</f>
        <v>-0.0</v>
      </c>
      <c r="XDL45" s="5">
        <f>-'5. IRR'!XDM16</f>
        <v>-0.0</v>
      </c>
      <c r="XDM45" s="5">
        <f>-'5. IRR'!XDN16</f>
        <v>-0.0</v>
      </c>
      <c r="XDN45" s="5">
        <f>-'5. IRR'!XDO16</f>
        <v>-0.0</v>
      </c>
      <c r="XDO45" s="5">
        <f>-'5. IRR'!XDP16</f>
        <v>-0.0</v>
      </c>
      <c r="XDP45" s="5">
        <f>-'5. IRR'!XDQ16</f>
        <v>-0.0</v>
      </c>
      <c r="XDQ45" s="5">
        <f>-'5. IRR'!XDR16</f>
        <v>-0.0</v>
      </c>
      <c r="XDR45" s="5">
        <f>-'5. IRR'!XDS16</f>
        <v>-0.0</v>
      </c>
      <c r="XDS45" s="5">
        <f>-'5. IRR'!XDT16</f>
        <v>-0.0</v>
      </c>
      <c r="XDT45" s="5">
        <f>-'5. IRR'!XDU16</f>
        <v>-0.0</v>
      </c>
      <c r="XDU45" s="5">
        <f>-'5. IRR'!XDV16</f>
        <v>-0.0</v>
      </c>
      <c r="XDV45" s="5">
        <f>-'5. IRR'!XDW16</f>
        <v>-0.0</v>
      </c>
      <c r="XDW45" s="5">
        <f>-'5. IRR'!XDX16</f>
        <v>-0.0</v>
      </c>
      <c r="XDX45" s="5">
        <f>-'5. IRR'!XDY16</f>
        <v>-0.0</v>
      </c>
      <c r="XDY45" s="5">
        <f>-'5. IRR'!XDZ16</f>
        <v>-0.0</v>
      </c>
      <c r="XDZ45" s="5">
        <f>-'5. IRR'!XEA16</f>
        <v>-0.0</v>
      </c>
      <c r="XEA45" s="5">
        <f>-'5. IRR'!XEB16</f>
        <v>-0.0</v>
      </c>
      <c r="XEB45" s="5">
        <f>-'5. IRR'!XEC16</f>
        <v>-0.0</v>
      </c>
      <c r="XEC45" s="5">
        <f>-'5. IRR'!XED16</f>
        <v>-0.0</v>
      </c>
      <c r="XED45" s="5">
        <f>-'5. IRR'!XEE16</f>
        <v>-0.0</v>
      </c>
      <c r="XEE45" s="5">
        <f>-'5. IRR'!XEF16</f>
        <v>-0.0</v>
      </c>
      <c r="XEF45" s="5">
        <f>-'5. IRR'!XEG16</f>
        <v>-0.0</v>
      </c>
      <c r="XEG45" s="5">
        <f>-'5. IRR'!XEH16</f>
        <v>-0.0</v>
      </c>
      <c r="XEH45" s="5">
        <f>-'5. IRR'!XEI16</f>
        <v>-0.0</v>
      </c>
      <c r="XEI45" s="5">
        <f>-'5. IRR'!XEJ16</f>
        <v>-0.0</v>
      </c>
      <c r="XEJ45" s="5">
        <f>-'5. IRR'!XEK16</f>
        <v>-0.0</v>
      </c>
      <c r="XEK45" s="5">
        <f>-'5. IRR'!XEL16</f>
        <v>-0.0</v>
      </c>
      <c r="XEL45" s="5">
        <f>-'5. IRR'!XEM16</f>
        <v>-0.0</v>
      </c>
      <c r="XEM45" s="5">
        <f>-'5. IRR'!XEN16</f>
        <v>-0.0</v>
      </c>
      <c r="XEN45" s="5">
        <f>-'5. IRR'!XEO16</f>
        <v>-0.0</v>
      </c>
      <c r="XEO45" s="5">
        <f>-'5. IRR'!XEP16</f>
        <v>-0.0</v>
      </c>
      <c r="XEP45" s="5">
        <f>-'5. IRR'!XEQ16</f>
        <v>-0.0</v>
      </c>
      <c r="XEQ45" s="5">
        <f>-'5. IRR'!XER16</f>
        <v>-0.0</v>
      </c>
      <c r="XER45" s="5">
        <f>-'5. IRR'!XES16</f>
        <v>-0.0</v>
      </c>
      <c r="XES45" s="5">
        <f>-'5. IRR'!XET16</f>
        <v>-0.0</v>
      </c>
      <c r="XET45" s="5">
        <f>-'5. IRR'!XEU16</f>
        <v>-0.0</v>
      </c>
      <c r="XEU45" s="5">
        <f>-'5. IRR'!XEV16</f>
        <v>-0.0</v>
      </c>
      <c r="XEV45" s="5">
        <f>-'5. IRR'!XEW16</f>
        <v>-0.0</v>
      </c>
      <c r="XEW45" s="5">
        <f>-'5. IRR'!XEX16</f>
        <v>-0.0</v>
      </c>
      <c r="XEX45" s="5">
        <f>-'5. IRR'!XEY16</f>
        <v>-0.0</v>
      </c>
      <c r="XEY45" s="5">
        <f>-'5. IRR'!XEZ16</f>
        <v>-0.0</v>
      </c>
      <c r="XEZ45" s="5">
        <f>-'5. IRR'!XFA16</f>
        <v>-0.0</v>
      </c>
      <c r="XFA45" s="5">
        <f>-'5. IRR'!XFB16</f>
        <v>-0.0</v>
      </c>
      <c r="XFB45" s="5">
        <f>-'5. IRR'!XFC16</f>
        <v>-0.0</v>
      </c>
      <c r="XFC45" s="5">
        <f>-'5. IRR'!XFD16</f>
        <v>-0.0</v>
      </c>
      <c r="XFD45"/>
    </row>
    <row r="46" spans="1:16384" s="5" customFormat="1">
      <c r="A46" s="772" t="inlineStr">
        <is>
          <t>kr</t>
        </is>
      </c>
      <c r="B46" s="772" t="s">
        <v>267</v>
      </c>
      <c r="C46" s="774">
        <f>-'5. IRR'!D$17</f>
        <v>239999999.99999997</v>
      </c>
      <c r="D46" s="774">
        <f>-'5. IRR'!E$17</f>
        <v>239999999.99999997</v>
      </c>
      <c r="E46" s="774">
        <f>-'5. IRR'!F$17</f>
        <v>239999999.99999997</v>
      </c>
      <c r="F46" s="774">
        <f>-'5. IRR'!G$17</f>
        <v>239999999.99999997</v>
      </c>
      <c r="G46" s="774">
        <f>-'5. IRR'!H$17</f>
        <v>239999999.99999997</v>
      </c>
      <c r="H46" s="774">
        <f>-'5. IRR'!I$17</f>
        <v>239999999.99999997</v>
      </c>
      <c r="I46" s="774">
        <f>-'5. IRR'!J$17</f>
        <v>239999999.99999997</v>
      </c>
      <c r="J46" s="774">
        <f>-'5. IRR'!K$17</f>
        <v>239999999.99999997</v>
      </c>
      <c r="K46" s="774">
        <f>-'5. IRR'!L$17</f>
        <v>239999999.99999997</v>
      </c>
      <c r="L46" s="774">
        <f>-'5. IRR'!M$17</f>
        <v>239999999.99999997</v>
      </c>
      <c r="M46" s="774">
        <f>-'5. IRR'!N$17</f>
        <v>239999999.99999997</v>
      </c>
      <c r="N46" s="774">
        <f>-'5. IRR'!O$17</f>
        <v>239999999.99999997</v>
      </c>
      <c r="O46" s="774">
        <f>-'5. IRR'!P$17</f>
        <v>239999999.99999997</v>
      </c>
      <c r="P46" s="774">
        <f>-'5. IRR'!Q$17</f>
        <v>239999999.99999997</v>
      </c>
      <c r="Q46" s="774">
        <f>-'5. IRR'!R$17</f>
        <v>239999999.99999997</v>
      </c>
      <c r="R46" s="774">
        <f>-'5. IRR'!S$17</f>
        <v>239999999.99999997</v>
      </c>
      <c r="S46" s="774">
        <f>-'5. IRR'!T$17</f>
        <v>239999999.99999997</v>
      </c>
      <c r="T46" s="774">
        <f>-'5. IRR'!U$17</f>
        <v>239999999.99999997</v>
      </c>
      <c r="U46" s="774">
        <f>-'5. IRR'!V$17</f>
        <v>239999999.99999997</v>
      </c>
      <c r="V46" s="774">
        <f>-'5. IRR'!W$17</f>
        <v>239999999.99999997</v>
      </c>
      <c r="W46" s="774">
        <f>-'5. IRR'!X$17</f>
        <v>-0.0</v>
      </c>
      <c r="X46" s="6">
        <f>-'5. IRR'!Y$17</f>
        <v>-0.0</v>
      </c>
      <c r="Y46" s="6">
        <f>-'5. IRR'!Z$17</f>
        <v>-0.0</v>
      </c>
      <c r="Z46" s="6">
        <f>-'5. IRR'!AA$17</f>
        <v>-0.0</v>
      </c>
      <c r="AA46" s="6">
        <f>-'5. IRR'!AB$17</f>
        <v>-0.0</v>
      </c>
      <c r="AB46" s="6">
        <f>-'5. IRR'!AC$17</f>
        <v>-0.0</v>
      </c>
      <c r="AC46" s="6">
        <f>-'5. IRR'!AD$17</f>
        <v>-0.0</v>
      </c>
      <c r="AD46" s="6">
        <f>-'5. IRR'!AE$17</f>
        <v>-0.0</v>
      </c>
      <c r="AE46" s="6">
        <f>-'5. IRR'!AF$17</f>
        <v>-0.0</v>
      </c>
      <c r="AF46" s="6">
        <f>-'5. IRR'!AG$17</f>
        <v>-0.0</v>
      </c>
      <c r="AG46" s="6">
        <f>-'5. IRR'!AH$17</f>
        <v>-0.0</v>
      </c>
      <c r="AH46" s="6">
        <f>-'5. IRR'!AI$17</f>
        <v>-0.0</v>
      </c>
      <c r="AI46" s="6">
        <f>-'5. IRR'!AJ$17</f>
        <v>-0.0</v>
      </c>
      <c r="AJ46" s="6">
        <f>-'5. IRR'!AK$17</f>
        <v>-0.0</v>
      </c>
      <c r="AK46" s="6">
        <f>-'5. IRR'!AL$17</f>
        <v>-0.0</v>
      </c>
      <c r="AL46" s="6">
        <f>-'5. IRR'!AM$17</f>
        <v>-0.0</v>
      </c>
      <c r="AM46" s="6">
        <f>-'5. IRR'!AN$17</f>
        <v>-0.0</v>
      </c>
      <c r="AN46" s="6">
        <f>-'5. IRR'!AO$17</f>
        <v>-0.0</v>
      </c>
      <c r="AO46" s="6">
        <f>-'5. IRR'!AP$17</f>
        <v>-0.0</v>
      </c>
      <c r="AP46" s="6">
        <f>-'5. IRR'!AQ$17</f>
        <v>-0.0</v>
      </c>
      <c r="AQ46" s="6">
        <f>-'5. IRR'!AR$17</f>
        <v>-0.0</v>
      </c>
      <c r="AR46" s="6">
        <f>-'5. IRR'!AS$17</f>
        <v>-0.0</v>
      </c>
      <c r="AS46" s="6">
        <f>-'5. IRR'!AT$17</f>
        <v>-0.0</v>
      </c>
      <c r="AT46" s="6">
        <f>-'5. IRR'!AU$17</f>
        <v>-0.0</v>
      </c>
      <c r="AU46" s="6">
        <f>-'5. IRR'!AV$17</f>
        <v>-0.0</v>
      </c>
      <c r="AV46" s="6">
        <f>-'5. IRR'!AW$17</f>
        <v>-0.0</v>
      </c>
      <c r="AW46" s="6">
        <f>-'5. IRR'!AX$17</f>
        <v>-0.0</v>
      </c>
      <c r="AX46" s="6">
        <f>-'5. IRR'!AY$17</f>
        <v>-0.0</v>
      </c>
      <c r="AY46" s="6">
        <f>-'5. IRR'!AZ$17</f>
        <v>-0.0</v>
      </c>
      <c r="AZ46" s="6">
        <f>-'5. IRR'!BA$17</f>
        <v>-0.0</v>
      </c>
    </row>
    <row r="47" spans="1:16384" s="5" customFormat="1">
      <c r="A47" s="772" t="inlineStr">
        <is>
          <t>kr</t>
        </is>
      </c>
      <c r="B47" s="772" t="inlineStr">
        <is>
          <t>Ackumulerat driftnetto inkl. extraordinärt UH</t>
        </is>
      </c>
      <c r="C47" s="774">
        <f>IF('6. Ack.kapitalutlägg'!C3="",0,SUM('4. NPV'!D$29:'4. NPV'!$D$29))</f>
        <v>13694500.0</v>
      </c>
      <c r="D47" s="774">
        <f>IF('6. Ack.kapitalutlägg'!D3="",0,SUM('4. NPV'!E$29:'4. NPV'!$D$29))</f>
        <v>27565900.0</v>
      </c>
      <c r="E47" s="774">
        <f>IF('6. Ack.kapitalutlägg'!E3="",0,SUM('4. NPV'!F$29:'4. NPV'!$D$29))</f>
        <v>41616380.14</v>
      </c>
      <c r="F47" s="774">
        <f>IF('6. Ack.kapitalutlägg'!F3="",0,SUM('4. NPV'!G$29:'4. NPV'!$D$29))</f>
        <v>55848145.15276</v>
      </c>
      <c r="G47" s="774">
        <f>IF('6. Ack.kapitalutlägg'!G3="",0,SUM('4. NPV'!H$29:'4. NPV'!$D$29))</f>
        <v>70263424.58951464</v>
      </c>
      <c r="H47" s="774">
        <f>IF('6. Ack.kapitalutlägg'!H3="",0,SUM('4. NPV'!I$29:'4. NPV'!$D$29))</f>
        <v>84864473.04647617</v>
      </c>
      <c r="I47" s="774">
        <f>IF('6. Ack.kapitalutlägg'!I3="",0,SUM('4. NPV'!J$29:'4. NPV'!$D$29))</f>
        <v>99653570.39208932</v>
      </c>
      <c r="J47" s="774">
        <f>IF('6. Ack.kapitalutlägg'!J3="",0,SUM('4. NPV'!K$29:'4. NPV'!$D$29))</f>
        <v>114633021.9950003</v>
      </c>
      <c r="K47" s="774">
        <f>IF('6. Ack.kapitalutlägg'!K3="",0,SUM('4. NPV'!L$29:'4. NPV'!$D$29))</f>
        <v>129805158.95270048</v>
      </c>
      <c r="L47" s="774">
        <f>IF('6. Ack.kapitalutlägg'!L3="",0,SUM('4. NPV'!M$29:'4. NPV'!$D$29))</f>
        <v>145172338.32080385</v>
      </c>
      <c r="M47" s="774">
        <f>IF('6. Ack.kapitalutlägg'!M3="",0,SUM('4. NPV'!N$29:'4. NPV'!$D$29))</f>
        <v>160736943.342916</v>
      </c>
      <c r="N47" s="774">
        <f>IF('6. Ack.kapitalutlägg'!N3="",0,SUM('4. NPV'!O$29:'4. NPV'!$D$29))</f>
        <v>176501383.68105015</v>
      </c>
      <c r="O47" s="774">
        <f>IF('6. Ack.kapitalutlägg'!O3="",0,SUM('4. NPV'!P$29:'4. NPV'!$D$29))</f>
        <v>192468095.64654478</v>
      </c>
      <c r="P47" s="774">
        <f>IF('6. Ack.kapitalutlägg'!P3="",0,SUM('4. NPV'!Q$29:'4. NPV'!$D$29))</f>
        <v>208639542.4314356</v>
      </c>
      <c r="Q47" s="774">
        <f>IF('6. Ack.kapitalutlägg'!Q3="",0,SUM('4. NPV'!R$29:'4. NPV'!$D$29))</f>
        <v>225018214.34023166</v>
      </c>
      <c r="R47" s="774">
        <f>IF('6. Ack.kapitalutlägg'!R3="",0,SUM('4. NPV'!S$29:'4. NPV'!$D$29))</f>
        <v>241606629.02204597</v>
      </c>
      <c r="S47" s="774">
        <f>IF('6. Ack.kapitalutlägg'!S3="",0,SUM('4. NPV'!T$29:'4. NPV'!$D$29))</f>
        <v>258407331.7030267</v>
      </c>
      <c r="T47" s="774">
        <f>IF('6. Ack.kapitalutlägg'!T3="",0,SUM('4. NPV'!U$29:'4. NPV'!$D$29))</f>
        <v>275422895.4190346</v>
      </c>
      <c r="U47" s="774">
        <f>IF('6. Ack.kapitalutlägg'!U3="",0,SUM('4. NPV'!V$29:'4. NPV'!$D$29))</f>
        <v>292655921.24850994</v>
      </c>
      <c r="V47" s="774">
        <f>IF('6. Ack.kapitalutlägg'!V3="",0,SUM('4. NPV'!W$29:'4. NPV'!$D$29))</f>
        <v>310109038.5454701</v>
      </c>
      <c r="W47" s="774">
        <f>IF('6. Ack.kapitalutlägg'!W3="",0,SUM('4. NPV'!X$29:'4. NPV'!$D$29))</f>
        <v>327784905.1725773</v>
      </c>
      <c r="X47" s="6">
        <f>IF('6. Ack.kapitalutlägg'!X3="",0,SUM('4. NPV'!Y$29:'4. NPV'!$D$29))</f>
        <v>0.0</v>
      </c>
      <c r="Y47" s="6">
        <f>IF('6. Ack.kapitalutlägg'!Y3="",0,SUM('4. NPV'!Z$29:'4. NPV'!$D$29))</f>
        <v>0.0</v>
      </c>
      <c r="Z47" s="6">
        <f>IF('6. Ack.kapitalutlägg'!Z3="",0,SUM('4. NPV'!AA$29:'4. NPV'!$D$29))</f>
        <v>0.0</v>
      </c>
      <c r="AA47" s="6">
        <f>IF('6. Ack.kapitalutlägg'!AA3="",0,SUM('4. NPV'!AB$29:'4. NPV'!$D$29))</f>
        <v>0.0</v>
      </c>
      <c r="AB47" s="6">
        <f>IF('6. Ack.kapitalutlägg'!AB3="",0,SUM('4. NPV'!AC$29:'4. NPV'!$D$29))</f>
        <v>0.0</v>
      </c>
      <c r="AC47" s="6">
        <f>IF('6. Ack.kapitalutlägg'!AC3="",0,SUM('4. NPV'!AD$29:'4. NPV'!$D$29))</f>
        <v>0.0</v>
      </c>
      <c r="AD47" s="6">
        <f>IF('6. Ack.kapitalutlägg'!AD3="",0,SUM('4. NPV'!AE$29:'4. NPV'!$D$29))</f>
        <v>0.0</v>
      </c>
      <c r="AE47" s="6">
        <f>IF('6. Ack.kapitalutlägg'!AE3="",0,SUM('4. NPV'!AF$29:'4. NPV'!$D$29))</f>
        <v>0.0</v>
      </c>
      <c r="AF47" s="6">
        <f>IF('6. Ack.kapitalutlägg'!AF3="",0,SUM('4. NPV'!AG$29:'4. NPV'!$D$29))</f>
        <v>0.0</v>
      </c>
      <c r="AG47" s="6">
        <f>IF('6. Ack.kapitalutlägg'!AG3="",0,SUM('4. NPV'!AH$29:'4. NPV'!$D$29))</f>
        <v>0.0</v>
      </c>
      <c r="AH47" s="6">
        <f>IF('6. Ack.kapitalutlägg'!AH3="",0,SUM('4. NPV'!AI$29:'4. NPV'!$D$29))</f>
        <v>0.0</v>
      </c>
      <c r="AI47" s="6">
        <f>IF('6. Ack.kapitalutlägg'!AI3="",0,SUM('4. NPV'!AJ$29:'4. NPV'!$D$29))</f>
        <v>0.0</v>
      </c>
      <c r="AJ47" s="6">
        <f>IF('6. Ack.kapitalutlägg'!AJ3="",0,SUM('4. NPV'!AK$29:'4. NPV'!$D$29))</f>
        <v>0.0</v>
      </c>
      <c r="AK47" s="6">
        <f>IF('6. Ack.kapitalutlägg'!AK3="",0,SUM('4. NPV'!AL$29:'4. NPV'!$D$29))</f>
        <v>0.0</v>
      </c>
      <c r="AL47" s="6">
        <f>IF('6. Ack.kapitalutlägg'!AL3="",0,SUM('4. NPV'!AM$29:'4. NPV'!$D$29))</f>
        <v>0.0</v>
      </c>
      <c r="AM47" s="6">
        <f>IF('6. Ack.kapitalutlägg'!AM3="",0,SUM('4. NPV'!AN$29:'4. NPV'!$D$29))</f>
        <v>0.0</v>
      </c>
      <c r="AN47" s="6">
        <f>IF('6. Ack.kapitalutlägg'!AN3="",0,SUM('4. NPV'!AO$29:'4. NPV'!$D$29))</f>
        <v>0.0</v>
      </c>
      <c r="AO47" s="6">
        <f>IF('6. Ack.kapitalutlägg'!AO3="",0,SUM('4. NPV'!AP$29:'4. NPV'!$D$29))</f>
        <v>0.0</v>
      </c>
      <c r="AP47" s="6">
        <f>IF('6. Ack.kapitalutlägg'!AP3="",0,SUM('4. NPV'!AQ$29:'4. NPV'!$D$29))</f>
        <v>0.0</v>
      </c>
      <c r="AQ47" s="6">
        <f>IF('6. Ack.kapitalutlägg'!AQ3="",0,SUM('4. NPV'!AR$29:'4. NPV'!$D$29))</f>
        <v>0.0</v>
      </c>
      <c r="AR47" s="6">
        <f>IF('6. Ack.kapitalutlägg'!AR3="",0,SUM('4. NPV'!AS$29:'4. NPV'!$D$29))</f>
        <v>0.0</v>
      </c>
      <c r="AS47" s="6">
        <f>IF('6. Ack.kapitalutlägg'!AS3="",0,SUM('4. NPV'!AT$29:'4. NPV'!$D$29))</f>
        <v>0.0</v>
      </c>
      <c r="AT47" s="6">
        <f>IF('6. Ack.kapitalutlägg'!AT3="",0,SUM('4. NPV'!AU$29:'4. NPV'!$D$29))</f>
        <v>0.0</v>
      </c>
      <c r="AU47" s="6">
        <f>IF('6. Ack.kapitalutlägg'!AU3="",0,SUM('4. NPV'!AV$29:'4. NPV'!$D$29))</f>
        <v>0.0</v>
      </c>
      <c r="AV47" s="6">
        <f>IF('6. Ack.kapitalutlägg'!AV3="",0,SUM('4. NPV'!AW$29:'4. NPV'!$D$29))</f>
        <v>0.0</v>
      </c>
      <c r="AW47" s="6">
        <f>IF('6. Ack.kapitalutlägg'!AW3="",0,SUM('4. NPV'!AX$29:'4. NPV'!$D$29))</f>
        <v>0.0</v>
      </c>
      <c r="AX47" s="6">
        <f>IF('6. Ack.kapitalutlägg'!AX3="",0,SUM('4. NPV'!AY$29:'4. NPV'!$D$29))</f>
        <v>0.0</v>
      </c>
      <c r="AY47" s="6">
        <f>IF('6. Ack.kapitalutlägg'!AY3="",0,SUM('4. NPV'!AZ$29:'4. NPV'!$D$29))</f>
        <v>0.0</v>
      </c>
      <c r="AZ47" s="6">
        <f>IF('6. Ack.kapitalutlägg'!AZ3="",0,SUM('4. NPV'!BA$29:'4. NPV'!$D$29))</f>
        <v>0.0</v>
      </c>
    </row>
    <row r="48" spans="1:16384" s="4" customFormat="1">
      <c r="A48" s="773" t="inlineStr">
        <is>
          <t>kr</t>
        </is>
      </c>
      <c r="B48" s="773" t="s">
        <v>83</v>
      </c>
      <c r="C48" s="777">
        <f>'3. Finansiering'!D57</f>
        <v>232727272.7272727</v>
      </c>
      <c r="D48" s="777">
        <f>'3. Finansiering'!E57</f>
        <v>225454545.45454544</v>
      </c>
      <c r="E48" s="777">
        <f>'3. Finansiering'!F57</f>
        <v>218181818.18181816</v>
      </c>
      <c r="F48" s="777">
        <f>'3. Finansiering'!G57</f>
        <v>210909090.90909088</v>
      </c>
      <c r="G48" s="777">
        <f>'3. Finansiering'!H57</f>
        <v>203636363.63636363</v>
      </c>
      <c r="H48" s="777">
        <f>'3. Finansiering'!I57</f>
        <v>196363636.36363634</v>
      </c>
      <c r="I48" s="777">
        <f>'3. Finansiering'!J57</f>
        <v>189090909.09090906</v>
      </c>
      <c r="J48" s="777">
        <f>'3. Finansiering'!K57</f>
        <v>181818181.8181818</v>
      </c>
      <c r="K48" s="777">
        <f>'3. Finansiering'!L57</f>
        <v>174545454.54545453</v>
      </c>
      <c r="L48" s="777">
        <f>'3. Finansiering'!M57</f>
        <v>167272727.27272725</v>
      </c>
      <c r="M48" s="777">
        <f>'3. Finansiering'!N57</f>
        <v>160000000.0</v>
      </c>
      <c r="N48" s="777">
        <f>'3. Finansiering'!O57</f>
        <v>152727272.72727272</v>
      </c>
      <c r="O48" s="777">
        <f>'3. Finansiering'!P57</f>
        <v>145454545.45454544</v>
      </c>
      <c r="P48" s="777">
        <f>'3. Finansiering'!Q57</f>
        <v>138181818.1818182</v>
      </c>
      <c r="Q48" s="777">
        <f>'3. Finansiering'!R57</f>
        <v>130909090.9090909</v>
      </c>
      <c r="R48" s="777">
        <f>'3. Finansiering'!S57</f>
        <v>123636363.63636363</v>
      </c>
      <c r="S48" s="777">
        <f>'3. Finansiering'!T57</f>
        <v>116363636.36363636</v>
      </c>
      <c r="T48" s="777">
        <f>'3. Finansiering'!U57</f>
        <v>109090909.0909091</v>
      </c>
      <c r="U48" s="777">
        <f>'3. Finansiering'!V57</f>
        <v>101818181.81818181</v>
      </c>
      <c r="V48" s="777">
        <f>'3. Finansiering'!W57</f>
        <v>94545454.54545453</v>
      </c>
      <c r="W48" s="777">
        <f>'3. Finansiering'!X57</f>
        <v>87272727.27272725</v>
      </c>
      <c r="X48" s="9">
        <f>'3. Finansiering'!Y57</f>
        <v>0.0</v>
      </c>
      <c r="Y48" s="9">
        <f>'3. Finansiering'!Z57</f>
        <v>0.0</v>
      </c>
      <c r="Z48" s="9">
        <f>'3. Finansiering'!AA57</f>
        <v>0.0</v>
      </c>
      <c r="AA48" s="9">
        <f>'3. Finansiering'!AB57</f>
        <v>0.0</v>
      </c>
      <c r="AB48" s="9">
        <f>'3. Finansiering'!AC57</f>
        <v>0.0</v>
      </c>
      <c r="AC48" s="9">
        <f>'3. Finansiering'!AD57</f>
        <v>0.0</v>
      </c>
      <c r="AD48" s="9">
        <f>'3. Finansiering'!AE57</f>
        <v>0.0</v>
      </c>
      <c r="AE48" s="9">
        <f>'3. Finansiering'!AF57</f>
        <v>0.0</v>
      </c>
      <c r="AF48" s="9">
        <f>'3. Finansiering'!AG57</f>
        <v>0.0</v>
      </c>
      <c r="AG48" s="9">
        <f>'3. Finansiering'!AH57</f>
        <v>0.0</v>
      </c>
      <c r="AH48" s="9">
        <f>'3. Finansiering'!AI57</f>
        <v>0.0</v>
      </c>
      <c r="AI48" s="9">
        <f>'3. Finansiering'!AJ57</f>
        <v>0.0</v>
      </c>
      <c r="AJ48" s="9">
        <f>'3. Finansiering'!AK57</f>
        <v>0.0</v>
      </c>
      <c r="AK48" s="9">
        <f>'3. Finansiering'!AL57</f>
        <v>0.0</v>
      </c>
      <c r="AL48" s="9">
        <f>'3. Finansiering'!AM57</f>
        <v>0.0</v>
      </c>
      <c r="AM48" s="9">
        <f>'3. Finansiering'!AN57</f>
        <v>0.0</v>
      </c>
      <c r="AN48" s="9">
        <f>'3. Finansiering'!AO57</f>
        <v>0.0</v>
      </c>
      <c r="AO48" s="9">
        <f>'3. Finansiering'!AP57</f>
        <v>0.0</v>
      </c>
      <c r="AP48" s="9">
        <f>'3. Finansiering'!AQ57</f>
        <v>0.0</v>
      </c>
      <c r="AQ48" s="9">
        <f>'3. Finansiering'!AR57</f>
        <v>0.0</v>
      </c>
      <c r="AR48" s="9">
        <f>'3. Finansiering'!AS57</f>
        <v>0.0</v>
      </c>
      <c r="AS48" s="9">
        <f>'3. Finansiering'!AT57</f>
        <v>0.0</v>
      </c>
      <c r="AT48" s="9">
        <f>'3. Finansiering'!AU57</f>
        <v>0.0</v>
      </c>
      <c r="AU48" s="9">
        <f>'3. Finansiering'!AV57</f>
        <v>0.0</v>
      </c>
      <c r="AV48" s="9">
        <f>'3. Finansiering'!AW57</f>
        <v>0.0</v>
      </c>
      <c r="AW48" s="9">
        <f>'3. Finansiering'!AX57</f>
        <v>0.0</v>
      </c>
      <c r="AX48" s="9">
        <f>'3. Finansiering'!AY57</f>
        <v>0.0</v>
      </c>
      <c r="AY48" s="9">
        <f>'3. Finansiering'!AZ57</f>
        <v>0.0</v>
      </c>
      <c r="AZ48" s="9">
        <f>'3. Finansiering'!BA57</f>
        <v>0.0</v>
      </c>
    </row>
    <row r="49" spans="1:16384" s="5" customFormat="1">
      <c r="A49" s="772"/>
      <c r="B49" s="940" t="inlineStr">
        <is>
          <t>Rad 40, 44 och 50 avser tillkommande flöde (Bef = nollalternativ), övriga rader hela fastigheten. Utan Bef-objekt sammanfaller de.</t>
        </is>
      </c>
      <c r="C49" s="772"/>
      <c r="D49" s="772"/>
      <c r="E49" s="772"/>
      <c r="F49" s="772"/>
      <c r="G49" s="772"/>
      <c r="H49" s="772"/>
      <c r="I49" s="772"/>
      <c r="J49" s="772"/>
      <c r="K49" s="772"/>
      <c r="L49" s="772"/>
      <c r="M49" s="772"/>
      <c r="N49" s="772"/>
      <c r="O49" s="772"/>
      <c r="P49" s="772"/>
      <c r="Q49" s="772"/>
      <c r="R49" s="772"/>
      <c r="S49" s="772"/>
      <c r="T49" s="772"/>
      <c r="U49" s="772"/>
      <c r="V49" s="772"/>
      <c r="W49" s="772"/>
    </row>
    <row r="50" spans="1:16384" s="7" customFormat="1">
      <c r="A50" s="775" t="s">
        <v>27</v>
      </c>
      <c r="B50" s="775" t="inlineStr">
        <is>
          <t>Driftnetto (= rad 40 per kvm)</t>
        </is>
      </c>
      <c r="C50" s="776">
        <f>IFERROR(C40/'4. NPV'!D$8,0)</f>
        <v>2245.0</v>
      </c>
      <c r="D50" s="776">
        <f>IFERROR(D40/'4. NPV'!E$8,0)</f>
        <v>2274.0</v>
      </c>
      <c r="E50" s="776">
        <f>IFERROR(E40/'4. NPV'!F$8,0)</f>
        <v>2303.3574</v>
      </c>
      <c r="F50" s="776">
        <f>IFERROR(F40/'4. NPV'!G$8,0)</f>
        <v>2333.0762315999996</v>
      </c>
      <c r="G50" s="776">
        <f>IFERROR(G40/'4. NPV'!H$8,0)</f>
        <v>2363.1605634024</v>
      </c>
      <c r="H50" s="776">
        <f>IFERROR(H40/'4. NPV'!I$8,0)</f>
        <v>2393.6145011412336</v>
      </c>
      <c r="I50" s="776">
        <f>IFERROR(I40/'4. NPV'!J$8,0)</f>
        <v>2424.4421878054345</v>
      </c>
      <c r="J50" s="776">
        <f>IFERROR(J40/'4. NPV'!K$8,0)</f>
        <v>2455.6478037559</v>
      </c>
      <c r="K50" s="776">
        <f>IFERROR(K40/'4. NPV'!L$8,0)</f>
        <v>2487.2355668360947</v>
      </c>
      <c r="L50" s="776">
        <f>IFERROR(L40/'4. NPV'!M$8,0)</f>
        <v>2519.2097324759643</v>
      </c>
      <c r="M50" s="776">
        <f>IFERROR(M40/'4. NPV'!N$8,0)</f>
        <v>2551.5745937888755</v>
      </c>
      <c r="N50" s="776">
        <f>IFERROR(N40/'4. NPV'!O$8,0)</f>
        <v>2584.3344816613326</v>
      </c>
      <c r="O50" s="776">
        <f>IFERROR(O40/'4. NPV'!P$8,0)</f>
        <v>2617.4937648351925</v>
      </c>
      <c r="P50" s="776">
        <f>IFERROR(P40/'4. NPV'!Q$8,0)</f>
        <v>2651.0568499820984</v>
      </c>
      <c r="Q50" s="776">
        <f>IFERROR(Q40/'4. NPV'!R$8,0)</f>
        <v>2685.0281817698447</v>
      </c>
      <c r="R50" s="776">
        <f>IFERROR(R40/'4. NPV'!S$8,0)</f>
        <v>2719.4122429203803</v>
      </c>
      <c r="S50" s="776">
        <f>IFERROR(S40/'4. NPV'!T$8,0)</f>
        <v>2754.2135542591373</v>
      </c>
      <c r="T50" s="776">
        <f>IFERROR(T40/'4. NPV'!U$8,0)</f>
        <v>2789.4366747553954</v>
      </c>
      <c r="U50" s="776">
        <f>IFERROR(U40/'4. NPV'!V$8,0)</f>
        <v>2825.086201553333</v>
      </c>
      <c r="V50" s="776">
        <f>IFERROR(V40/'4. NPV'!W$8,0)</f>
        <v>2861.1667699934696</v>
      </c>
      <c r="W50" s="776">
        <f>IFERROR(W40/'4. NPV'!X$8,0)</f>
        <v>2897.6830536241355</v>
      </c>
      <c r="X50" s="8">
        <f>IFERROR(X40/'4. NPV'!Y$8,0)</f>
        <v>0.0</v>
      </c>
      <c r="Y50" s="8">
        <f>IFERROR(Y40/'4. NPV'!Z$8,0)</f>
        <v>0.0</v>
      </c>
      <c r="Z50" s="8">
        <f>IFERROR(Z40/'4. NPV'!AA$8,0)</f>
        <v>0.0</v>
      </c>
      <c r="AA50" s="8">
        <f>IFERROR(AA40/'4. NPV'!AB$8,0)</f>
        <v>0.0</v>
      </c>
      <c r="AB50" s="8">
        <f>IFERROR(AB40/'4. NPV'!AC$8,0)</f>
        <v>0.0</v>
      </c>
      <c r="AC50" s="8">
        <f>IFERROR(AC40/'4. NPV'!AD$8,0)</f>
        <v>0.0</v>
      </c>
      <c r="AD50" s="8">
        <f>IFERROR(AD40/'4. NPV'!AE$8,0)</f>
        <v>0.0</v>
      </c>
      <c r="AE50" s="8">
        <f>IFERROR(AE40/'4. NPV'!AF$8,0)</f>
        <v>0.0</v>
      </c>
      <c r="AF50" s="8">
        <f>IFERROR(AF40/'4. NPV'!AG$8,0)</f>
        <v>0.0</v>
      </c>
      <c r="AG50" s="8">
        <f>IFERROR(AG40/'4. NPV'!AH$8,0)</f>
        <v>0.0</v>
      </c>
      <c r="AH50" s="8">
        <f>IFERROR(AH40/'4. NPV'!AI$8,0)</f>
        <v>0.0</v>
      </c>
      <c r="AI50" s="8">
        <f>IFERROR(AI40/'4. NPV'!AJ$8,0)</f>
        <v>0.0</v>
      </c>
      <c r="AJ50" s="8">
        <f>IFERROR(AJ40/'4. NPV'!AK$8,0)</f>
        <v>0.0</v>
      </c>
      <c r="AK50" s="8">
        <f>IFERROR(AK40/'4. NPV'!AL$8,0)</f>
        <v>0.0</v>
      </c>
      <c r="AL50" s="8">
        <f>IFERROR(AL40/'4. NPV'!AM$8,0)</f>
        <v>0.0</v>
      </c>
      <c r="AM50" s="8">
        <f>IFERROR(AM40/'4. NPV'!AN$8,0)</f>
        <v>0.0</v>
      </c>
      <c r="AN50" s="8">
        <f>IFERROR(AN40/'4. NPV'!AO$8,0)</f>
        <v>0.0</v>
      </c>
      <c r="AO50" s="8">
        <f>IFERROR(AO40/'4. NPV'!AP$8,0)</f>
        <v>0.0</v>
      </c>
      <c r="AP50" s="8">
        <f>IFERROR(AP40/'4. NPV'!AQ$8,0)</f>
        <v>0.0</v>
      </c>
      <c r="AQ50" s="8">
        <f>IFERROR(AQ40/'4. NPV'!AR$8,0)</f>
        <v>0.0</v>
      </c>
      <c r="AR50" s="8">
        <f>IFERROR(AR40/'4. NPV'!AS$8,0)</f>
        <v>0.0</v>
      </c>
      <c r="AS50" s="8">
        <f>IFERROR(AS40/'4. NPV'!AT$8,0)</f>
        <v>0.0</v>
      </c>
      <c r="AT50" s="8">
        <f>IFERROR(AT40/'4. NPV'!AU$8,0)</f>
        <v>0.0</v>
      </c>
      <c r="AU50" s="8">
        <f>IFERROR(AU40/'4. NPV'!AV$8,0)</f>
        <v>0.0</v>
      </c>
      <c r="AV50" s="8">
        <f>IFERROR(AV40/'4. NPV'!AW$8,0)</f>
        <v>0.0</v>
      </c>
      <c r="AW50" s="8">
        <f>IFERROR(AW40/'4. NPV'!AX$8,0)</f>
        <v>0.0</v>
      </c>
      <c r="AX50" s="8">
        <f>IFERROR(AX40/'4. NPV'!AY$8,0)</f>
        <v>0.0</v>
      </c>
      <c r="AY50" s="8">
        <f>IFERROR(AY40/'4. NPV'!AZ$8,0)</f>
        <v>0.0</v>
      </c>
      <c r="AZ50" s="8">
        <f>IFERROR(AZ40/'4. NPV'!BA$8,0)</f>
        <v>0.0</v>
      </c>
    </row>
    <row r="51" spans="1:16384" s="5" customFormat="1">
      <c r="A51" s="772" t="s">
        <v>27</v>
      </c>
      <c r="B51" s="772" t="inlineStr">
        <is>
          <t>Intäkter (= rad 41 per kvm)</t>
        </is>
      </c>
      <c r="C51" s="774">
        <f>IFERROR(C41/'4. NPV'!D$8,0)</f>
        <v>2650.0</v>
      </c>
      <c r="D51" s="774">
        <f>IFERROR(D41/'4. NPV'!E$8,0)</f>
        <v>2687.1</v>
      </c>
      <c r="E51" s="774">
        <f>IFERROR(E41/'4. NPV'!F$8,0)</f>
        <v>2724.7194000000004</v>
      </c>
      <c r="F51" s="774">
        <f>IFERROR(F41/'4. NPV'!G$8,0)</f>
        <v>2762.8654715999996</v>
      </c>
      <c r="G51" s="774">
        <f>IFERROR(G41/'4. NPV'!H$8,0)</f>
        <v>2801.5455882024003</v>
      </c>
      <c r="H51" s="774">
        <f>IFERROR(H41/'4. NPV'!I$8,0)</f>
        <v>2840.7672264372336</v>
      </c>
      <c r="I51" s="774">
        <f>IFERROR(I41/'4. NPV'!J$8,0)</f>
        <v>2880.5379676073544</v>
      </c>
      <c r="J51" s="774">
        <f>IFERROR(J41/'4. NPV'!K$8,0)</f>
        <v>2920.8654991538583</v>
      </c>
      <c r="K51" s="774">
        <f>IFERROR(K41/'4. NPV'!L$8,0)</f>
        <v>2961.7576161420125</v>
      </c>
      <c r="L51" s="774">
        <f>IFERROR(L41/'4. NPV'!M$8,0)</f>
        <v>3003.2222227680004</v>
      </c>
      <c r="M51" s="774">
        <f>IFERROR(M41/'4. NPV'!N$8,0)</f>
        <v>3045.267333886752</v>
      </c>
      <c r="N51" s="774">
        <f>IFERROR(N41/'4. NPV'!O$8,0)</f>
        <v>3087.9010765611665</v>
      </c>
      <c r="O51" s="774">
        <f>IFERROR(O41/'4. NPV'!P$8,0)</f>
        <v>3131.1316916330234</v>
      </c>
      <c r="P51" s="774">
        <f>IFERROR(P41/'4. NPV'!Q$8,0)</f>
        <v>3174.967535315886</v>
      </c>
      <c r="Q51" s="774">
        <f>IFERROR(Q41/'4. NPV'!R$8,0)</f>
        <v>3219.417080810308</v>
      </c>
      <c r="R51" s="774">
        <f>IFERROR(R41/'4. NPV'!S$8,0)</f>
        <v>3264.488919941653</v>
      </c>
      <c r="S51" s="774">
        <f>IFERROR(S41/'4. NPV'!T$8,0)</f>
        <v>3310.1917648208355</v>
      </c>
      <c r="T51" s="774">
        <f>IFERROR(T41/'4. NPV'!U$8,0)</f>
        <v>3356.5344495283275</v>
      </c>
      <c r="U51" s="774">
        <f>IFERROR(U41/'4. NPV'!V$8,0)</f>
        <v>3403.525931821724</v>
      </c>
      <c r="V51" s="774">
        <f>IFERROR(V41/'4. NPV'!W$8,0)</f>
        <v>3451.1752948672283</v>
      </c>
      <c r="W51" s="774">
        <f>IFERROR(W41/'4. NPV'!X$8,0)</f>
        <v>3499.491748995369</v>
      </c>
      <c r="X51" s="6">
        <f>IFERROR(X41/'4. NPV'!Y$8,0)</f>
        <v>0.0</v>
      </c>
      <c r="Y51" s="6">
        <f>IFERROR(Y41/'4. NPV'!Z$8,0)</f>
        <v>0.0</v>
      </c>
      <c r="Z51" s="6">
        <f>IFERROR(Z41/'4. NPV'!AA$8,0)</f>
        <v>0.0</v>
      </c>
      <c r="AA51" s="6">
        <f>IFERROR(AA41/'4. NPV'!AB$8,0)</f>
        <v>0.0</v>
      </c>
      <c r="AB51" s="6">
        <f>IFERROR(AB41/'4. NPV'!AC$8,0)</f>
        <v>0.0</v>
      </c>
      <c r="AC51" s="6">
        <f>IFERROR(AC41/'4. NPV'!AD$8,0)</f>
        <v>0.0</v>
      </c>
      <c r="AD51" s="6">
        <f>IFERROR(AD41/'4. NPV'!AE$8,0)</f>
        <v>0.0</v>
      </c>
      <c r="AE51" s="6">
        <f>IFERROR(AE41/'4. NPV'!AF$8,0)</f>
        <v>0.0</v>
      </c>
      <c r="AF51" s="6">
        <f>IFERROR(AF41/'4. NPV'!AG$8,0)</f>
        <v>0.0</v>
      </c>
      <c r="AG51" s="6">
        <f>IFERROR(AG41/'4. NPV'!AH$8,0)</f>
        <v>0.0</v>
      </c>
      <c r="AH51" s="6">
        <f>IFERROR(AH41/'4. NPV'!AI$8,0)</f>
        <v>0.0</v>
      </c>
      <c r="AI51" s="6">
        <f>IFERROR(AI41/'4. NPV'!AJ$8,0)</f>
        <v>0.0</v>
      </c>
      <c r="AJ51" s="6">
        <f>IFERROR(AJ41/'4. NPV'!AK$8,0)</f>
        <v>0.0</v>
      </c>
      <c r="AK51" s="6">
        <f>IFERROR(AK41/'4. NPV'!AL$8,0)</f>
        <v>0.0</v>
      </c>
      <c r="AL51" s="6">
        <f>IFERROR(AL41/'4. NPV'!AM$8,0)</f>
        <v>0.0</v>
      </c>
      <c r="AM51" s="6">
        <f>IFERROR(AM41/'4. NPV'!AN$8,0)</f>
        <v>0.0</v>
      </c>
      <c r="AN51" s="6">
        <f>IFERROR(AN41/'4. NPV'!AO$8,0)</f>
        <v>0.0</v>
      </c>
      <c r="AO51" s="6">
        <f>IFERROR(AO41/'4. NPV'!AP$8,0)</f>
        <v>0.0</v>
      </c>
      <c r="AP51" s="6">
        <f>IFERROR(AP41/'4. NPV'!AQ$8,0)</f>
        <v>0.0</v>
      </c>
      <c r="AQ51" s="6">
        <f>IFERROR(AQ41/'4. NPV'!AR$8,0)</f>
        <v>0.0</v>
      </c>
      <c r="AR51" s="6">
        <f>IFERROR(AR41/'4. NPV'!AS$8,0)</f>
        <v>0.0</v>
      </c>
      <c r="AS51" s="6">
        <f>IFERROR(AS41/'4. NPV'!AT$8,0)</f>
        <v>0.0</v>
      </c>
      <c r="AT51" s="6">
        <f>IFERROR(AT41/'4. NPV'!AU$8,0)</f>
        <v>0.0</v>
      </c>
      <c r="AU51" s="6">
        <f>IFERROR(AU41/'4. NPV'!AV$8,0)</f>
        <v>0.0</v>
      </c>
      <c r="AV51" s="6">
        <f>IFERROR(AV41/'4. NPV'!AW$8,0)</f>
        <v>0.0</v>
      </c>
      <c r="AW51" s="6">
        <f>IFERROR(AW41/'4. NPV'!AX$8,0)</f>
        <v>0.0</v>
      </c>
      <c r="AX51" s="6">
        <f>IFERROR(AX41/'4. NPV'!AY$8,0)</f>
        <v>0.0</v>
      </c>
      <c r="AY51" s="6">
        <f>IFERROR(AY41/'4. NPV'!AZ$8,0)</f>
        <v>0.0</v>
      </c>
      <c r="AZ51" s="6">
        <f>IFERROR(AZ41/'4. NPV'!BA$8,0)</f>
        <v>0.0</v>
      </c>
    </row>
    <row r="52" spans="1:16384" s="4" customFormat="1">
      <c r="A52" s="772" t="s">
        <v>27</v>
      </c>
      <c r="B52" s="773" t="inlineStr">
        <is>
          <t>Kostnader exkl. extraordinärt UH (= rad 42 per kvm)</t>
        </is>
      </c>
      <c r="C52" s="777">
        <f>IFERROR(C42/'4. NPV'!D$8,0)</f>
        <v>405.0</v>
      </c>
      <c r="D52" s="777">
        <f>IFERROR(D42/'4. NPV'!E$8,0)</f>
        <v>413.1</v>
      </c>
      <c r="E52" s="777">
        <f>IFERROR(E42/'4. NPV'!F$8,0)</f>
        <v>421.362</v>
      </c>
      <c r="F52" s="777">
        <f>IFERROR(F42/'4. NPV'!G$8,0)</f>
        <v>429.78924000000006</v>
      </c>
      <c r="G52" s="777">
        <f>IFERROR(G42/'4. NPV'!H$8,0)</f>
        <v>438.3850248</v>
      </c>
      <c r="H52" s="777">
        <f>IFERROR(H42/'4. NPV'!I$8,0)</f>
        <v>447.15272529599997</v>
      </c>
      <c r="I52" s="777">
        <f>IFERROR(I42/'4. NPV'!J$8,0)</f>
        <v>456.09577980192006</v>
      </c>
      <c r="J52" s="777">
        <f>IFERROR(J42/'4. NPV'!K$8,0)</f>
        <v>465.2176953979584</v>
      </c>
      <c r="K52" s="777">
        <f>IFERROR(K42/'4. NPV'!L$8,0)</f>
        <v>474.5220493059176</v>
      </c>
      <c r="L52" s="777">
        <f>IFERROR(L42/'4. NPV'!M$8,0)</f>
        <v>484.012490292036</v>
      </c>
      <c r="M52" s="777">
        <f>IFERROR(M42/'4. NPV'!N$8,0)</f>
        <v>493.6927400978767</v>
      </c>
      <c r="N52" s="777">
        <f>IFERROR(N42/'4. NPV'!O$8,0)</f>
        <v>503.56659489983423</v>
      </c>
      <c r="O52" s="777">
        <f>IFERROR(O42/'4. NPV'!P$8,0)</f>
        <v>513.6379267978309</v>
      </c>
      <c r="P52" s="777">
        <f>IFERROR(P42/'4. NPV'!Q$8,0)</f>
        <v>523.9106853337876</v>
      </c>
      <c r="Q52" s="777">
        <f>IFERROR(Q42/'4. NPV'!R$8,0)</f>
        <v>534.3888990404633</v>
      </c>
      <c r="R52" s="777">
        <f>IFERROR(R42/'4. NPV'!S$8,0)</f>
        <v>545.0766770212726</v>
      </c>
      <c r="S52" s="777">
        <f>IFERROR(S42/'4. NPV'!T$8,0)</f>
        <v>555.9782105616981</v>
      </c>
      <c r="T52" s="777">
        <f>IFERROR(T42/'4. NPV'!U$8,0)</f>
        <v>567.0977747729321</v>
      </c>
      <c r="U52" s="777">
        <f>IFERROR(U42/'4. NPV'!V$8,0)</f>
        <v>578.4397302683907</v>
      </c>
      <c r="V52" s="777">
        <f>IFERROR(V42/'4. NPV'!W$8,0)</f>
        <v>590.0085248737586</v>
      </c>
      <c r="W52" s="777">
        <f>IFERROR(W42/'4. NPV'!X$8,0)</f>
        <v>601.8086953712337</v>
      </c>
      <c r="X52" s="9">
        <f>IFERROR(X42/'4. NPV'!Y$8,0)</f>
        <v>0.0</v>
      </c>
      <c r="Y52" s="9">
        <f>IFERROR(Y42/'4. NPV'!Z$8,0)</f>
        <v>0.0</v>
      </c>
      <c r="Z52" s="9">
        <f>IFERROR(Z42/'4. NPV'!AA$8,0)</f>
        <v>0.0</v>
      </c>
      <c r="AA52" s="9">
        <f>IFERROR(AA42/'4. NPV'!AB$8,0)</f>
        <v>0.0</v>
      </c>
      <c r="AB52" s="9">
        <f>IFERROR(AB42/'4. NPV'!AC$8,0)</f>
        <v>0.0</v>
      </c>
      <c r="AC52" s="9">
        <f>IFERROR(AC42/'4. NPV'!AD$8,0)</f>
        <v>0.0</v>
      </c>
      <c r="AD52" s="9">
        <f>IFERROR(AD42/'4. NPV'!AE$8,0)</f>
        <v>0.0</v>
      </c>
      <c r="AE52" s="9">
        <f>IFERROR(AE42/'4. NPV'!AF$8,0)</f>
        <v>0.0</v>
      </c>
      <c r="AF52" s="9">
        <f>IFERROR(AF42/'4. NPV'!AG$8,0)</f>
        <v>0.0</v>
      </c>
      <c r="AG52" s="9">
        <f>IFERROR(AG42/'4. NPV'!AH$8,0)</f>
        <v>0.0</v>
      </c>
      <c r="AH52" s="9">
        <f>IFERROR(AH42/'4. NPV'!AI$8,0)</f>
        <v>0.0</v>
      </c>
      <c r="AI52" s="9">
        <f>IFERROR(AI42/'4. NPV'!AJ$8,0)</f>
        <v>0.0</v>
      </c>
      <c r="AJ52" s="9">
        <f>IFERROR(AJ42/'4. NPV'!AK$8,0)</f>
        <v>0.0</v>
      </c>
      <c r="AK52" s="9">
        <f>IFERROR(AK42/'4. NPV'!AL$8,0)</f>
        <v>0.0</v>
      </c>
      <c r="AL52" s="9">
        <f>IFERROR(AL42/'4. NPV'!AM$8,0)</f>
        <v>0.0</v>
      </c>
      <c r="AM52" s="9">
        <f>IFERROR(AM42/'4. NPV'!AN$8,0)</f>
        <v>0.0</v>
      </c>
      <c r="AN52" s="9">
        <f>IFERROR(AN42/'4. NPV'!AO$8,0)</f>
        <v>0.0</v>
      </c>
      <c r="AO52" s="9">
        <f>IFERROR(AO42/'4. NPV'!AP$8,0)</f>
        <v>0.0</v>
      </c>
      <c r="AP52" s="9">
        <f>IFERROR(AP42/'4. NPV'!AQ$8,0)</f>
        <v>0.0</v>
      </c>
      <c r="AQ52" s="9">
        <f>IFERROR(AQ42/'4. NPV'!AR$8,0)</f>
        <v>0.0</v>
      </c>
      <c r="AR52" s="9">
        <f>IFERROR(AR42/'4. NPV'!AS$8,0)</f>
        <v>0.0</v>
      </c>
      <c r="AS52" s="9">
        <f>IFERROR(AS42/'4. NPV'!AT$8,0)</f>
        <v>0.0</v>
      </c>
      <c r="AT52" s="9">
        <f>IFERROR(AT42/'4. NPV'!AU$8,0)</f>
        <v>0.0</v>
      </c>
      <c r="AU52" s="9">
        <f>IFERROR(AU42/'4. NPV'!AV$8,0)</f>
        <v>0.0</v>
      </c>
      <c r="AV52" s="9">
        <f>IFERROR(AV42/'4. NPV'!AW$8,0)</f>
        <v>0.0</v>
      </c>
      <c r="AW52" s="9">
        <f>IFERROR(AW42/'4. NPV'!AX$8,0)</f>
        <v>0.0</v>
      </c>
      <c r="AX52" s="9">
        <f>IFERROR(AX42/'4. NPV'!AY$8,0)</f>
        <v>0.0</v>
      </c>
      <c r="AY52" s="9">
        <f>IFERROR(AY42/'4. NPV'!AZ$8,0)</f>
        <v>0.0</v>
      </c>
      <c r="AZ52" s="9">
        <f>IFERROR(AZ42/'4. NPV'!BA$8,0)</f>
        <v>0.0</v>
      </c>
      <c r="BA52" s="9"/>
    </row>
    <row r="53" spans="1:16384" s="5" customFormat="1" hidden="1">
      <c r="A53" s="772"/>
      <c r="B53" s="772" t="str">
        <f>'4. NPV'!B23</f>
        <v>Total Media</v>
      </c>
      <c r="C53" s="774">
        <f>IFERROR('4. NPV'!D23/'4. NPV'!D$8,0)</f>
        <v>-0.0</v>
      </c>
      <c r="D53" s="774">
        <f>-IFERROR('4. NPV'!E23/'4. NPV'!E$8,0)</f>
        <v>0.0</v>
      </c>
      <c r="E53" s="774">
        <f>-IFERROR('4. NPV'!F23/'4. NPV'!F$8,0)</f>
        <v>0.0</v>
      </c>
      <c r="F53" s="774">
        <f>-IFERROR('4. NPV'!G23/'4. NPV'!G$8,0)</f>
        <v>0.0</v>
      </c>
      <c r="G53" s="774">
        <f>-IFERROR('4. NPV'!H23/'4. NPV'!H$8,0)</f>
        <v>0.0</v>
      </c>
      <c r="H53" s="774">
        <f>-IFERROR('4. NPV'!I23/'4. NPV'!I$8,0)</f>
        <v>0.0</v>
      </c>
      <c r="I53" s="774">
        <f>-IFERROR('4. NPV'!J23/'4. NPV'!J$8,0)</f>
        <v>0.0</v>
      </c>
      <c r="J53" s="774">
        <f>-IFERROR('4. NPV'!K23/'4. NPV'!K$8,0)</f>
        <v>0.0</v>
      </c>
      <c r="K53" s="774">
        <f>-IFERROR('4. NPV'!L23/'4. NPV'!L$8,0)</f>
        <v>0.0</v>
      </c>
      <c r="L53" s="774">
        <f>-IFERROR('4. NPV'!M23/'4. NPV'!M$8,0)</f>
        <v>0.0</v>
      </c>
      <c r="M53" s="774">
        <f>-IFERROR('4. NPV'!N23/'4. NPV'!N$8,0)</f>
        <v>0.0</v>
      </c>
      <c r="N53" s="774">
        <f>-IFERROR('4. NPV'!O23/'4. NPV'!O$8,0)</f>
        <v>0.0</v>
      </c>
      <c r="O53" s="774">
        <f>-IFERROR('4. NPV'!P23/'4. NPV'!P$8,0)</f>
        <v>0.0</v>
      </c>
      <c r="P53" s="774">
        <f>-IFERROR('4. NPV'!Q23/'4. NPV'!Q$8,0)</f>
        <v>0.0</v>
      </c>
      <c r="Q53" s="774">
        <f>-IFERROR('4. NPV'!R23/'4. NPV'!R$8,0)</f>
        <v>0.0</v>
      </c>
      <c r="R53" s="774">
        <f>-IFERROR('4. NPV'!S23/'4. NPV'!S$8,0)</f>
        <v>0.0</v>
      </c>
      <c r="S53" s="774">
        <f>-IFERROR('4. NPV'!T23/'4. NPV'!T$8,0)</f>
        <v>0.0</v>
      </c>
      <c r="T53" s="774">
        <f>-IFERROR('4. NPV'!U23/'4. NPV'!U$8,0)</f>
        <v>0.0</v>
      </c>
      <c r="U53" s="774">
        <f>-IFERROR('4. NPV'!V23/'4. NPV'!V$8,0)</f>
        <v>0.0</v>
      </c>
      <c r="V53" s="774">
        <f>-IFERROR('4. NPV'!W23/'4. NPV'!W$8,0)</f>
        <v>0.0</v>
      </c>
      <c r="W53" s="774">
        <f>-IFERROR('4. NPV'!X23/'4. NPV'!X$8,0)</f>
        <v>0.0</v>
      </c>
      <c r="X53" s="6">
        <f>-IFERROR('4. NPV'!Y23/'4. NPV'!Y$8,0)</f>
        <v>-0.0</v>
      </c>
      <c r="Y53" s="6">
        <f>-IFERROR('4. NPV'!Z23/'4. NPV'!Z$8,0)</f>
        <v>-0.0</v>
      </c>
      <c r="Z53" s="6">
        <f>-IFERROR('4. NPV'!AA23/'4. NPV'!AA$8,0)</f>
        <v>-0.0</v>
      </c>
      <c r="AA53" s="6">
        <f>-IFERROR('4. NPV'!AB23/'4. NPV'!AB$8,0)</f>
        <v>-0.0</v>
      </c>
      <c r="AB53" s="6">
        <f>-IFERROR('4. NPV'!AC23/'4. NPV'!AC$8,0)</f>
        <v>-0.0</v>
      </c>
      <c r="AC53" s="6">
        <f>-IFERROR('4. NPV'!AD23/'4. NPV'!AD$8,0)</f>
        <v>-0.0</v>
      </c>
      <c r="AD53" s="6">
        <f>-IFERROR('4. NPV'!AE23/'4. NPV'!AE$8,0)</f>
        <v>-0.0</v>
      </c>
      <c r="AE53" s="6">
        <f>-IFERROR('4. NPV'!AF23/'4. NPV'!AF$8,0)</f>
        <v>-0.0</v>
      </c>
      <c r="AF53" s="6">
        <f>-IFERROR('4. NPV'!AG23/'4. NPV'!AG$8,0)</f>
        <v>-0.0</v>
      </c>
      <c r="AG53" s="6">
        <f>-IFERROR('4. NPV'!AH23/'4. NPV'!AH$8,0)</f>
        <v>-0.0</v>
      </c>
      <c r="AH53" s="6">
        <f>-IFERROR('4. NPV'!AI23/'4. NPV'!AI$8,0)</f>
        <v>-0.0</v>
      </c>
      <c r="AI53" s="6">
        <f>-IFERROR('4. NPV'!AJ23/'4. NPV'!AJ$8,0)</f>
        <v>-0.0</v>
      </c>
      <c r="AJ53" s="6">
        <f>-IFERROR('4. NPV'!AK23/'4. NPV'!AK$8,0)</f>
        <v>-0.0</v>
      </c>
      <c r="AK53" s="6">
        <f>-IFERROR('4. NPV'!AL23/'4. NPV'!AL$8,0)</f>
        <v>-0.0</v>
      </c>
      <c r="AL53" s="6">
        <f>-IFERROR('4. NPV'!AM23/'4. NPV'!AM$8,0)</f>
        <v>-0.0</v>
      </c>
      <c r="AM53" s="6">
        <f>-IFERROR('4. NPV'!AN23/'4. NPV'!AN$8,0)</f>
        <v>-0.0</v>
      </c>
      <c r="AN53" s="6">
        <f>-IFERROR('4. NPV'!AO23/'4. NPV'!AO$8,0)</f>
        <v>-0.0</v>
      </c>
      <c r="AO53" s="6">
        <f>-IFERROR('4. NPV'!AP23/'4. NPV'!AP$8,0)</f>
        <v>-0.0</v>
      </c>
      <c r="AP53" s="6">
        <f>-IFERROR('4. NPV'!AQ23/'4. NPV'!AQ$8,0)</f>
        <v>-0.0</v>
      </c>
      <c r="AQ53" s="6">
        <f>-IFERROR('4. NPV'!AR23/'4. NPV'!AR$8,0)</f>
        <v>-0.0</v>
      </c>
      <c r="AR53" s="6">
        <f>-IFERROR('4. NPV'!AS23/'4. NPV'!AS$8,0)</f>
        <v>-0.0</v>
      </c>
      <c r="AS53" s="6">
        <f>-IFERROR('4. NPV'!AT23/'4. NPV'!AT$8,0)</f>
        <v>-0.0</v>
      </c>
      <c r="AT53" s="6">
        <f>-IFERROR('4. NPV'!AU23/'4. NPV'!AU$8,0)</f>
        <v>-0.0</v>
      </c>
      <c r="AU53" s="6">
        <f>-IFERROR('4. NPV'!AV23/'4. NPV'!AV$8,0)</f>
        <v>-0.0</v>
      </c>
      <c r="AV53" s="6">
        <f>-IFERROR('4. NPV'!AW23/'4. NPV'!AW$8,0)</f>
        <v>-0.0</v>
      </c>
      <c r="AW53" s="6">
        <f>-IFERROR('4. NPV'!AX23/'4. NPV'!AX$8,0)</f>
        <v>-0.0</v>
      </c>
      <c r="AX53" s="6">
        <f>-IFERROR('4. NPV'!AY23/'4. NPV'!AY$8,0)</f>
        <v>-0.0</v>
      </c>
      <c r="AY53" s="6">
        <f>-IFERROR('4. NPV'!AZ23/'4. NPV'!AZ$8,0)</f>
        <v>-0.0</v>
      </c>
      <c r="AZ53" s="6">
        <f>-IFERROR('4. NPV'!BA23/'4. NPV'!BA$8,0)</f>
        <v>-0.0</v>
      </c>
      <c r="BA53" s="6">
        <f>-IFERROR('4. NPV'!BB23/'4. NPV'!BB$8,0)</f>
        <v>-0.0</v>
      </c>
      <c r="BB53" s="5">
        <f>-IFERROR('4. NPV'!BC23/'4. NPV'!BC$8,0)</f>
        <v>-0.0</v>
      </c>
      <c r="BC53" s="5">
        <f>-IFERROR('4. NPV'!BD23/'4. NPV'!BD$8,0)</f>
        <v>-0.0</v>
      </c>
      <c r="BD53" s="5">
        <f>-IFERROR('4. NPV'!BE23/'4. NPV'!BE$8,0)</f>
        <v>-0.0</v>
      </c>
      <c r="BE53" s="5">
        <f>-IFERROR('4. NPV'!BF23/'4. NPV'!BF$8,0)</f>
        <v>-0.0</v>
      </c>
      <c r="BF53" s="5">
        <f>-IFERROR('4. NPV'!BG23/'4. NPV'!BG$8,0)</f>
        <v>-0.0</v>
      </c>
      <c r="BG53" s="5">
        <f>-IFERROR('4. NPV'!BH23/'4. NPV'!BH$8,0)</f>
        <v>-0.0</v>
      </c>
      <c r="BH53" s="5">
        <f>-IFERROR('4. NPV'!BI23/'4. NPV'!BI$8,0)</f>
        <v>-0.0</v>
      </c>
      <c r="BI53" s="5">
        <f>-IFERROR('4. NPV'!BJ23/'4. NPV'!BJ$8,0)</f>
        <v>-0.0</v>
      </c>
      <c r="BJ53" s="5">
        <f>-IFERROR('4. NPV'!BK23/'4. NPV'!BK$8,0)</f>
        <v>-0.0</v>
      </c>
      <c r="BK53" s="5">
        <f>-IFERROR('4. NPV'!BL23/'4. NPV'!BL$8,0)</f>
        <v>-0.0</v>
      </c>
      <c r="BL53" s="5">
        <f>-IFERROR('4. NPV'!BM23/'4. NPV'!BM$8,0)</f>
        <v>-0.0</v>
      </c>
      <c r="BM53" s="5">
        <f>-IFERROR('4. NPV'!BN23/'4. NPV'!BN$8,0)</f>
        <v>-0.0</v>
      </c>
      <c r="BN53" s="5">
        <f>-IFERROR('4. NPV'!BO23/'4. NPV'!BO$8,0)</f>
        <v>-0.0</v>
      </c>
      <c r="BO53" s="5">
        <f>-IFERROR('4. NPV'!BP23/'4. NPV'!BP$8,0)</f>
        <v>-0.0</v>
      </c>
      <c r="BP53" s="5">
        <f>-IFERROR('4. NPV'!BQ23/'4. NPV'!BQ$8,0)</f>
        <v>-0.0</v>
      </c>
      <c r="BQ53" s="5">
        <f>-IFERROR('4. NPV'!BR23/'4. NPV'!BR$8,0)</f>
        <v>-0.0</v>
      </c>
      <c r="BR53" s="5">
        <f>-IFERROR('4. NPV'!BS23/'4. NPV'!BS$8,0)</f>
        <v>-0.0</v>
      </c>
      <c r="BS53" s="5">
        <f>-IFERROR('4. NPV'!BT23/'4. NPV'!BT$8,0)</f>
        <v>-0.0</v>
      </c>
      <c r="BT53" s="5">
        <f>-IFERROR('4. NPV'!BU23/'4. NPV'!BU$8,0)</f>
        <v>-0.0</v>
      </c>
      <c r="BU53" s="5">
        <f>-IFERROR('4. NPV'!BV23/'4. NPV'!BV$8,0)</f>
        <v>-0.0</v>
      </c>
      <c r="BV53" s="5">
        <f>-IFERROR('4. NPV'!BW23/'4. NPV'!BW$8,0)</f>
        <v>-0.0</v>
      </c>
      <c r="BW53" s="5">
        <f>-IFERROR('4. NPV'!BX23/'4. NPV'!BX$8,0)</f>
        <v>-0.0</v>
      </c>
      <c r="BX53" s="5">
        <f>-IFERROR('4. NPV'!BY23/'4. NPV'!BY$8,0)</f>
        <v>-0.0</v>
      </c>
      <c r="BY53" s="5">
        <f>-IFERROR('4. NPV'!BZ23/'4. NPV'!BZ$8,0)</f>
        <v>-0.0</v>
      </c>
      <c r="BZ53" s="5">
        <f>-IFERROR('4. NPV'!CA23/'4. NPV'!CA$8,0)</f>
        <v>-0.0</v>
      </c>
      <c r="CA53" s="5">
        <f>-IFERROR('4. NPV'!CB23/'4. NPV'!CB$8,0)</f>
        <v>-0.0</v>
      </c>
      <c r="CB53" s="5">
        <f>-IFERROR('4. NPV'!CC23/'4. NPV'!CC$8,0)</f>
        <v>-0.0</v>
      </c>
      <c r="CC53" s="5">
        <f>-IFERROR('4. NPV'!CD23/'4. NPV'!CD$8,0)</f>
        <v>-0.0</v>
      </c>
      <c r="CD53" s="5">
        <f>-IFERROR('4. NPV'!CE23/'4. NPV'!CE$8,0)</f>
        <v>-0.0</v>
      </c>
      <c r="CE53" s="5">
        <f>-IFERROR('4. NPV'!CF23/'4. NPV'!CF$8,0)</f>
        <v>-0.0</v>
      </c>
      <c r="CF53" s="5">
        <f>-IFERROR('4. NPV'!CG23/'4. NPV'!CG$8,0)</f>
        <v>-0.0</v>
      </c>
      <c r="CG53" s="5">
        <f>-IFERROR('4. NPV'!CH23/'4. NPV'!CH$8,0)</f>
        <v>-0.0</v>
      </c>
      <c r="CH53" s="5">
        <f>-IFERROR('4. NPV'!CI23/'4. NPV'!CI$8,0)</f>
        <v>-0.0</v>
      </c>
      <c r="CI53" s="5">
        <f>-IFERROR('4. NPV'!CJ23/'4. NPV'!CJ$8,0)</f>
        <v>-0.0</v>
      </c>
      <c r="CJ53" s="5">
        <f>-IFERROR('4. NPV'!CK23/'4. NPV'!CK$8,0)</f>
        <v>-0.0</v>
      </c>
      <c r="CK53" s="5">
        <f>-IFERROR('4. NPV'!CL23/'4. NPV'!CL$8,0)</f>
        <v>-0.0</v>
      </c>
      <c r="CL53" s="5">
        <f>-IFERROR('4. NPV'!CM23/'4. NPV'!CM$8,0)</f>
        <v>-0.0</v>
      </c>
      <c r="CM53" s="5">
        <f>-IFERROR('4. NPV'!CN23/'4. NPV'!CN$8,0)</f>
        <v>-0.0</v>
      </c>
      <c r="CN53" s="5">
        <f>-IFERROR('4. NPV'!CO23/'4. NPV'!CO$8,0)</f>
        <v>-0.0</v>
      </c>
      <c r="CO53" s="5">
        <f>-IFERROR('4. NPV'!CP23/'4. NPV'!CP$8,0)</f>
        <v>-0.0</v>
      </c>
      <c r="CP53" s="5">
        <f>-IFERROR('4. NPV'!CQ23/'4. NPV'!CQ$8,0)</f>
        <v>-0.0</v>
      </c>
      <c r="CQ53" s="5">
        <f>-IFERROR('4. NPV'!CR23/'4. NPV'!CR$8,0)</f>
        <v>-0.0</v>
      </c>
      <c r="CR53" s="5">
        <f>-IFERROR('4. NPV'!CS23/'4. NPV'!CS$8,0)</f>
        <v>-0.0</v>
      </c>
      <c r="CS53" s="5">
        <f>-IFERROR('4. NPV'!CT23/'4. NPV'!CT$8,0)</f>
        <v>-0.0</v>
      </c>
      <c r="CT53" s="5">
        <f>-IFERROR('4. NPV'!CU23/'4. NPV'!CU$8,0)</f>
        <v>-0.0</v>
      </c>
      <c r="CU53" s="5">
        <f>-IFERROR('4. NPV'!CV23/'4. NPV'!CV$8,0)</f>
        <v>-0.0</v>
      </c>
      <c r="CV53" s="5">
        <f>-IFERROR('4. NPV'!CW23/'4. NPV'!CW$8,0)</f>
        <v>-0.0</v>
      </c>
      <c r="CW53" s="5">
        <f>-IFERROR('4. NPV'!CX23/'4. NPV'!CX$8,0)</f>
        <v>-0.0</v>
      </c>
      <c r="CX53" s="5">
        <f>-IFERROR('4. NPV'!CY23/'4. NPV'!CY$8,0)</f>
        <v>-0.0</v>
      </c>
      <c r="CY53" s="5">
        <f>-IFERROR('4. NPV'!CZ23/'4. NPV'!CZ$8,0)</f>
        <v>-0.0</v>
      </c>
      <c r="CZ53" s="5">
        <f>-IFERROR('4. NPV'!DA23/'4. NPV'!DA$8,0)</f>
        <v>-0.0</v>
      </c>
      <c r="DA53" s="5">
        <f>-IFERROR('4. NPV'!DB23/'4. NPV'!DB$8,0)</f>
        <v>-0.0</v>
      </c>
      <c r="DB53" s="5">
        <f>-IFERROR('4. NPV'!DC23/'4. NPV'!DC$8,0)</f>
        <v>-0.0</v>
      </c>
      <c r="DC53" s="5">
        <f>-IFERROR('4. NPV'!DD23/'4. NPV'!DD$8,0)</f>
        <v>-0.0</v>
      </c>
      <c r="DD53" s="5">
        <f>-IFERROR('4. NPV'!DE23/'4. NPV'!DE$8,0)</f>
        <v>-0.0</v>
      </c>
      <c r="DE53" s="5">
        <f>-IFERROR('4. NPV'!DF23/'4. NPV'!DF$8,0)</f>
        <v>-0.0</v>
      </c>
      <c r="DF53" s="5">
        <f>-IFERROR('4. NPV'!DG23/'4. NPV'!DG$8,0)</f>
        <v>-0.0</v>
      </c>
      <c r="DG53" s="5">
        <f>-IFERROR('4. NPV'!DH23/'4. NPV'!DH$8,0)</f>
        <v>-0.0</v>
      </c>
      <c r="DH53" s="5">
        <f>-IFERROR('4. NPV'!DI23/'4. NPV'!DI$8,0)</f>
        <v>-0.0</v>
      </c>
      <c r="DI53" s="5">
        <f>-IFERROR('4. NPV'!DJ23/'4. NPV'!DJ$8,0)</f>
        <v>-0.0</v>
      </c>
      <c r="DJ53" s="5">
        <f>-IFERROR('4. NPV'!DK23/'4. NPV'!DK$8,0)</f>
        <v>-0.0</v>
      </c>
      <c r="DK53" s="5">
        <f>-IFERROR('4. NPV'!DL23/'4. NPV'!DL$8,0)</f>
        <v>-0.0</v>
      </c>
      <c r="DL53" s="5">
        <f>-IFERROR('4. NPV'!DM23/'4. NPV'!DM$8,0)</f>
        <v>-0.0</v>
      </c>
      <c r="DM53" s="5">
        <f>-IFERROR('4. NPV'!DN23/'4. NPV'!DN$8,0)</f>
        <v>-0.0</v>
      </c>
      <c r="DN53" s="5">
        <f>-IFERROR('4. NPV'!DO23/'4. NPV'!DO$8,0)</f>
        <v>-0.0</v>
      </c>
      <c r="DO53" s="5">
        <f>-IFERROR('4. NPV'!DP23/'4. NPV'!DP$8,0)</f>
        <v>-0.0</v>
      </c>
      <c r="DP53" s="5">
        <f>-IFERROR('4. NPV'!DQ23/'4. NPV'!DQ$8,0)</f>
        <v>-0.0</v>
      </c>
      <c r="DQ53" s="5">
        <f>-IFERROR('4. NPV'!DR23/'4. NPV'!DR$8,0)</f>
        <v>-0.0</v>
      </c>
      <c r="DR53" s="5">
        <f>-IFERROR('4. NPV'!DS23/'4. NPV'!DS$8,0)</f>
        <v>-0.0</v>
      </c>
      <c r="DS53" s="5">
        <f>-IFERROR('4. NPV'!DT23/'4. NPV'!DT$8,0)</f>
        <v>-0.0</v>
      </c>
      <c r="DT53" s="5">
        <f>-IFERROR('4. NPV'!DU23/'4. NPV'!DU$8,0)</f>
        <v>-0.0</v>
      </c>
      <c r="DU53" s="5">
        <f>-IFERROR('4. NPV'!DV23/'4. NPV'!DV$8,0)</f>
        <v>-0.0</v>
      </c>
      <c r="DV53" s="5">
        <f>-IFERROR('4. NPV'!DW23/'4. NPV'!DW$8,0)</f>
        <v>-0.0</v>
      </c>
      <c r="DW53" s="5">
        <f>-IFERROR('4. NPV'!DX23/'4. NPV'!DX$8,0)</f>
        <v>-0.0</v>
      </c>
      <c r="DX53" s="5">
        <f>-IFERROR('4. NPV'!DY23/'4. NPV'!DY$8,0)</f>
        <v>-0.0</v>
      </c>
      <c r="DY53" s="5">
        <f>-IFERROR('4. NPV'!DZ23/'4. NPV'!DZ$8,0)</f>
        <v>-0.0</v>
      </c>
      <c r="DZ53" s="5">
        <f>-IFERROR('4. NPV'!EA23/'4. NPV'!EA$8,0)</f>
        <v>-0.0</v>
      </c>
      <c r="EA53" s="5">
        <f>-IFERROR('4. NPV'!EB23/'4. NPV'!EB$8,0)</f>
        <v>-0.0</v>
      </c>
      <c r="EB53" s="5">
        <f>-IFERROR('4. NPV'!EC23/'4. NPV'!EC$8,0)</f>
        <v>-0.0</v>
      </c>
      <c r="EC53" s="5">
        <f>-IFERROR('4. NPV'!ED23/'4. NPV'!ED$8,0)</f>
        <v>-0.0</v>
      </c>
      <c r="ED53" s="5">
        <f>-IFERROR('4. NPV'!EE23/'4. NPV'!EE$8,0)</f>
        <v>-0.0</v>
      </c>
      <c r="EE53" s="5">
        <f>-IFERROR('4. NPV'!EF23/'4. NPV'!EF$8,0)</f>
        <v>-0.0</v>
      </c>
      <c r="EF53" s="5">
        <f>-IFERROR('4. NPV'!EG23/'4. NPV'!EG$8,0)</f>
        <v>-0.0</v>
      </c>
      <c r="EG53" s="5">
        <f>-IFERROR('4. NPV'!EH23/'4. NPV'!EH$8,0)</f>
        <v>-0.0</v>
      </c>
      <c r="EH53" s="5">
        <f>-IFERROR('4. NPV'!EI23/'4. NPV'!EI$8,0)</f>
        <v>-0.0</v>
      </c>
      <c r="EI53" s="5">
        <f>-IFERROR('4. NPV'!EJ23/'4. NPV'!EJ$8,0)</f>
        <v>-0.0</v>
      </c>
      <c r="EJ53" s="5">
        <f>-IFERROR('4. NPV'!EK23/'4. NPV'!EK$8,0)</f>
        <v>-0.0</v>
      </c>
      <c r="EK53" s="5">
        <f>-IFERROR('4. NPV'!EL23/'4. NPV'!EL$8,0)</f>
        <v>-0.0</v>
      </c>
      <c r="EL53" s="5">
        <f>-IFERROR('4. NPV'!EM23/'4. NPV'!EM$8,0)</f>
        <v>-0.0</v>
      </c>
      <c r="EM53" s="5">
        <f>-IFERROR('4. NPV'!EN23/'4. NPV'!EN$8,0)</f>
        <v>-0.0</v>
      </c>
      <c r="EN53" s="5">
        <f>-IFERROR('4. NPV'!EO23/'4. NPV'!EO$8,0)</f>
        <v>-0.0</v>
      </c>
      <c r="EO53" s="5">
        <f>-IFERROR('4. NPV'!EP23/'4. NPV'!EP$8,0)</f>
        <v>-0.0</v>
      </c>
      <c r="EP53" s="5">
        <f>-IFERROR('4. NPV'!EQ23/'4. NPV'!EQ$8,0)</f>
        <v>-0.0</v>
      </c>
      <c r="EQ53" s="5">
        <f>-IFERROR('4. NPV'!ER23/'4. NPV'!ER$8,0)</f>
        <v>-0.0</v>
      </c>
      <c r="ER53" s="5">
        <f>-IFERROR('4. NPV'!ES23/'4. NPV'!ES$8,0)</f>
        <v>-0.0</v>
      </c>
      <c r="ES53" s="5">
        <f>-IFERROR('4. NPV'!ET23/'4. NPV'!ET$8,0)</f>
        <v>-0.0</v>
      </c>
      <c r="ET53" s="5">
        <f>-IFERROR('4. NPV'!EU23/'4. NPV'!EU$8,0)</f>
        <v>-0.0</v>
      </c>
      <c r="EU53" s="5">
        <f>-IFERROR('4. NPV'!EV23/'4. NPV'!EV$8,0)</f>
        <v>-0.0</v>
      </c>
      <c r="EV53" s="5">
        <f>-IFERROR('4. NPV'!EW23/'4. NPV'!EW$8,0)</f>
        <v>-0.0</v>
      </c>
      <c r="EW53" s="5">
        <f>-IFERROR('4. NPV'!EX23/'4. NPV'!EX$8,0)</f>
        <v>-0.0</v>
      </c>
      <c r="EX53" s="5">
        <f>-IFERROR('4. NPV'!EY23/'4. NPV'!EY$8,0)</f>
        <v>-0.0</v>
      </c>
      <c r="EY53" s="5">
        <f>-IFERROR('4. NPV'!EZ23/'4. NPV'!EZ$8,0)</f>
        <v>-0.0</v>
      </c>
      <c r="EZ53" s="5">
        <f>-IFERROR('4. NPV'!FA23/'4. NPV'!FA$8,0)</f>
        <v>-0.0</v>
      </c>
      <c r="FA53" s="5">
        <f>-IFERROR('4. NPV'!FB23/'4. NPV'!FB$8,0)</f>
        <v>-0.0</v>
      </c>
      <c r="FB53" s="5">
        <f>-IFERROR('4. NPV'!FC23/'4. NPV'!FC$8,0)</f>
        <v>-0.0</v>
      </c>
      <c r="FC53" s="5">
        <f>-IFERROR('4. NPV'!FD23/'4. NPV'!FD$8,0)</f>
        <v>-0.0</v>
      </c>
      <c r="FD53" s="5">
        <f>-IFERROR('4. NPV'!FE23/'4. NPV'!FE$8,0)</f>
        <v>-0.0</v>
      </c>
      <c r="FE53" s="5">
        <f>-IFERROR('4. NPV'!FF23/'4. NPV'!FF$8,0)</f>
        <v>-0.0</v>
      </c>
      <c r="FF53" s="5">
        <f>-IFERROR('4. NPV'!FG23/'4. NPV'!FG$8,0)</f>
        <v>-0.0</v>
      </c>
      <c r="FG53" s="5">
        <f>-IFERROR('4. NPV'!FH23/'4. NPV'!FH$8,0)</f>
        <v>-0.0</v>
      </c>
      <c r="FH53" s="5">
        <f>-IFERROR('4. NPV'!FI23/'4. NPV'!FI$8,0)</f>
        <v>-0.0</v>
      </c>
      <c r="FI53" s="5">
        <f>-IFERROR('4. NPV'!FJ23/'4. NPV'!FJ$8,0)</f>
        <v>-0.0</v>
      </c>
      <c r="FJ53" s="5">
        <f>-IFERROR('4. NPV'!FK23/'4. NPV'!FK$8,0)</f>
        <v>-0.0</v>
      </c>
      <c r="FK53" s="5">
        <f>-IFERROR('4. NPV'!FL23/'4. NPV'!FL$8,0)</f>
        <v>-0.0</v>
      </c>
      <c r="FL53" s="5">
        <f>-IFERROR('4. NPV'!FM23/'4. NPV'!FM$8,0)</f>
        <v>-0.0</v>
      </c>
      <c r="FM53" s="5">
        <f>-IFERROR('4. NPV'!FN23/'4. NPV'!FN$8,0)</f>
        <v>-0.0</v>
      </c>
      <c r="FN53" s="5">
        <f>-IFERROR('4. NPV'!FO23/'4. NPV'!FO$8,0)</f>
        <v>-0.0</v>
      </c>
      <c r="FO53" s="5">
        <f>-IFERROR('4. NPV'!FP23/'4. NPV'!FP$8,0)</f>
        <v>-0.0</v>
      </c>
      <c r="FP53" s="5">
        <f>-IFERROR('4. NPV'!FQ23/'4. NPV'!FQ$8,0)</f>
        <v>-0.0</v>
      </c>
      <c r="FQ53" s="5">
        <f>-IFERROR('4. NPV'!FR23/'4. NPV'!FR$8,0)</f>
        <v>-0.0</v>
      </c>
      <c r="FR53" s="5">
        <f>-IFERROR('4. NPV'!FS23/'4. NPV'!FS$8,0)</f>
        <v>-0.0</v>
      </c>
      <c r="FS53" s="5">
        <f>-IFERROR('4. NPV'!FT23/'4. NPV'!FT$8,0)</f>
        <v>-0.0</v>
      </c>
      <c r="FT53" s="5">
        <f>-IFERROR('4. NPV'!FU23/'4. NPV'!FU$8,0)</f>
        <v>-0.0</v>
      </c>
      <c r="FU53" s="5">
        <f>-IFERROR('4. NPV'!FV23/'4. NPV'!FV$8,0)</f>
        <v>-0.0</v>
      </c>
      <c r="FV53" s="5">
        <f>-IFERROR('4. NPV'!FW23/'4. NPV'!FW$8,0)</f>
        <v>-0.0</v>
      </c>
      <c r="FW53" s="5">
        <f>-IFERROR('4. NPV'!FX23/'4. NPV'!FX$8,0)</f>
        <v>-0.0</v>
      </c>
      <c r="FX53" s="5">
        <f>-IFERROR('4. NPV'!FY23/'4. NPV'!FY$8,0)</f>
        <v>-0.0</v>
      </c>
      <c r="FY53" s="5">
        <f>-IFERROR('4. NPV'!FZ23/'4. NPV'!FZ$8,0)</f>
        <v>-0.0</v>
      </c>
      <c r="FZ53" s="5">
        <f>-IFERROR('4. NPV'!GA23/'4. NPV'!GA$8,0)</f>
        <v>-0.0</v>
      </c>
      <c r="GA53" s="5">
        <f>-IFERROR('4. NPV'!GB23/'4. NPV'!GB$8,0)</f>
        <v>-0.0</v>
      </c>
      <c r="GB53" s="5">
        <f>-IFERROR('4. NPV'!GC23/'4. NPV'!GC$8,0)</f>
        <v>-0.0</v>
      </c>
      <c r="GC53" s="5">
        <f>-IFERROR('4. NPV'!GD23/'4. NPV'!GD$8,0)</f>
        <v>-0.0</v>
      </c>
      <c r="GD53" s="5">
        <f>-IFERROR('4. NPV'!GE23/'4. NPV'!GE$8,0)</f>
        <v>-0.0</v>
      </c>
      <c r="GE53" s="5">
        <f>-IFERROR('4. NPV'!GF23/'4. NPV'!GF$8,0)</f>
        <v>-0.0</v>
      </c>
      <c r="GF53" s="5">
        <f>-IFERROR('4. NPV'!GG23/'4. NPV'!GG$8,0)</f>
        <v>-0.0</v>
      </c>
      <c r="GG53" s="5">
        <f>-IFERROR('4. NPV'!GH23/'4. NPV'!GH$8,0)</f>
        <v>-0.0</v>
      </c>
      <c r="GH53" s="5">
        <f>-IFERROR('4. NPV'!GI23/'4. NPV'!GI$8,0)</f>
        <v>-0.0</v>
      </c>
      <c r="GI53" s="5">
        <f>-IFERROR('4. NPV'!GJ23/'4. NPV'!GJ$8,0)</f>
        <v>-0.0</v>
      </c>
      <c r="GJ53" s="5">
        <f>-IFERROR('4. NPV'!GK23/'4. NPV'!GK$8,0)</f>
        <v>-0.0</v>
      </c>
      <c r="GK53" s="5">
        <f>-IFERROR('4. NPV'!GL23/'4. NPV'!GL$8,0)</f>
        <v>-0.0</v>
      </c>
      <c r="GL53" s="5">
        <f>-IFERROR('4. NPV'!GM23/'4. NPV'!GM$8,0)</f>
        <v>-0.0</v>
      </c>
      <c r="GM53" s="5">
        <f>-IFERROR('4. NPV'!GN23/'4. NPV'!GN$8,0)</f>
        <v>-0.0</v>
      </c>
      <c r="GN53" s="5">
        <f>-IFERROR('4. NPV'!GO23/'4. NPV'!GO$8,0)</f>
        <v>-0.0</v>
      </c>
      <c r="GO53" s="5">
        <f>-IFERROR('4. NPV'!GP23/'4. NPV'!GP$8,0)</f>
        <v>-0.0</v>
      </c>
      <c r="GP53" s="5">
        <f>-IFERROR('4. NPV'!GQ23/'4. NPV'!GQ$8,0)</f>
        <v>-0.0</v>
      </c>
      <c r="GQ53" s="5">
        <f>-IFERROR('4. NPV'!GR23/'4. NPV'!GR$8,0)</f>
        <v>-0.0</v>
      </c>
      <c r="GR53" s="5">
        <f>-IFERROR('4. NPV'!GS23/'4. NPV'!GS$8,0)</f>
        <v>-0.0</v>
      </c>
      <c r="GS53" s="5">
        <f>-IFERROR('4. NPV'!GT23/'4. NPV'!GT$8,0)</f>
        <v>-0.0</v>
      </c>
      <c r="GT53" s="5">
        <f>-IFERROR('4. NPV'!GU23/'4. NPV'!GU$8,0)</f>
        <v>-0.0</v>
      </c>
      <c r="GU53" s="5">
        <f>-IFERROR('4. NPV'!GV23/'4. NPV'!GV$8,0)</f>
        <v>-0.0</v>
      </c>
      <c r="GV53" s="5">
        <f>-IFERROR('4. NPV'!GW23/'4. NPV'!GW$8,0)</f>
        <v>-0.0</v>
      </c>
      <c r="GW53" s="5">
        <f>-IFERROR('4. NPV'!GX23/'4. NPV'!GX$8,0)</f>
        <v>-0.0</v>
      </c>
      <c r="GX53" s="5">
        <f>-IFERROR('4. NPV'!GY23/'4. NPV'!GY$8,0)</f>
        <v>-0.0</v>
      </c>
      <c r="GY53" s="5">
        <f>-IFERROR('4. NPV'!GZ23/'4. NPV'!GZ$8,0)</f>
        <v>-0.0</v>
      </c>
      <c r="GZ53" s="5">
        <f>-IFERROR('4. NPV'!HA23/'4. NPV'!HA$8,0)</f>
        <v>-0.0</v>
      </c>
      <c r="HA53" s="5">
        <f>-IFERROR('4. NPV'!HB23/'4. NPV'!HB$8,0)</f>
        <v>-0.0</v>
      </c>
      <c r="HB53" s="5">
        <f>-IFERROR('4. NPV'!HC23/'4. NPV'!HC$8,0)</f>
        <v>-0.0</v>
      </c>
      <c r="HC53" s="5">
        <f>-IFERROR('4. NPV'!HD23/'4. NPV'!HD$8,0)</f>
        <v>-0.0</v>
      </c>
      <c r="HD53" s="5">
        <f>-IFERROR('4. NPV'!HE23/'4. NPV'!HE$8,0)</f>
        <v>-0.0</v>
      </c>
      <c r="HE53" s="5">
        <f>-IFERROR('4. NPV'!HF23/'4. NPV'!HF$8,0)</f>
        <v>-0.0</v>
      </c>
      <c r="HF53" s="5">
        <f>-IFERROR('4. NPV'!HG23/'4. NPV'!HG$8,0)</f>
        <v>-0.0</v>
      </c>
      <c r="HG53" s="5">
        <f>-IFERROR('4. NPV'!HH23/'4. NPV'!HH$8,0)</f>
        <v>-0.0</v>
      </c>
      <c r="HH53" s="5">
        <f>-IFERROR('4. NPV'!HI23/'4. NPV'!HI$8,0)</f>
        <v>-0.0</v>
      </c>
      <c r="HI53" s="5">
        <f>-IFERROR('4. NPV'!HJ23/'4. NPV'!HJ$8,0)</f>
        <v>-0.0</v>
      </c>
      <c r="HJ53" s="5">
        <f>-IFERROR('4. NPV'!HK23/'4. NPV'!HK$8,0)</f>
        <v>-0.0</v>
      </c>
      <c r="HK53" s="5">
        <f>-IFERROR('4. NPV'!HL23/'4. NPV'!HL$8,0)</f>
        <v>-0.0</v>
      </c>
      <c r="HL53" s="5">
        <f>-IFERROR('4. NPV'!HM23/'4. NPV'!HM$8,0)</f>
        <v>-0.0</v>
      </c>
      <c r="HM53" s="5">
        <f>-IFERROR('4. NPV'!HN23/'4. NPV'!HN$8,0)</f>
        <v>-0.0</v>
      </c>
      <c r="HN53" s="5">
        <f>-IFERROR('4. NPV'!HO23/'4. NPV'!HO$8,0)</f>
        <v>-0.0</v>
      </c>
      <c r="HO53" s="5">
        <f>-IFERROR('4. NPV'!HP23/'4. NPV'!HP$8,0)</f>
        <v>-0.0</v>
      </c>
      <c r="HP53" s="5">
        <f>-IFERROR('4. NPV'!HQ23/'4. NPV'!HQ$8,0)</f>
        <v>-0.0</v>
      </c>
      <c r="HQ53" s="5">
        <f>-IFERROR('4. NPV'!HR23/'4. NPV'!HR$8,0)</f>
        <v>-0.0</v>
      </c>
      <c r="HR53" s="5">
        <f>-IFERROR('4. NPV'!HS23/'4. NPV'!HS$8,0)</f>
        <v>-0.0</v>
      </c>
      <c r="HS53" s="5">
        <f>-IFERROR('4. NPV'!HT23/'4. NPV'!HT$8,0)</f>
        <v>-0.0</v>
      </c>
      <c r="HT53" s="5">
        <f>-IFERROR('4. NPV'!HU23/'4. NPV'!HU$8,0)</f>
        <v>-0.0</v>
      </c>
      <c r="HU53" s="5">
        <f>-IFERROR('4. NPV'!HV23/'4. NPV'!HV$8,0)</f>
        <v>-0.0</v>
      </c>
      <c r="HV53" s="5">
        <f>-IFERROR('4. NPV'!HW23/'4. NPV'!HW$8,0)</f>
        <v>-0.0</v>
      </c>
      <c r="HW53" s="5">
        <f>-IFERROR('4. NPV'!HX23/'4. NPV'!HX$8,0)</f>
        <v>-0.0</v>
      </c>
      <c r="HX53" s="5">
        <f>-IFERROR('4. NPV'!HY23/'4. NPV'!HY$8,0)</f>
        <v>-0.0</v>
      </c>
      <c r="HY53" s="5">
        <f>-IFERROR('4. NPV'!HZ23/'4. NPV'!HZ$8,0)</f>
        <v>-0.0</v>
      </c>
      <c r="HZ53" s="5">
        <f>-IFERROR('4. NPV'!IA23/'4. NPV'!IA$8,0)</f>
        <v>-0.0</v>
      </c>
      <c r="IA53" s="5">
        <f>-IFERROR('4. NPV'!IB23/'4. NPV'!IB$8,0)</f>
        <v>-0.0</v>
      </c>
      <c r="IB53" s="5">
        <f>-IFERROR('4. NPV'!IC23/'4. NPV'!IC$8,0)</f>
        <v>-0.0</v>
      </c>
      <c r="IC53" s="5">
        <f>-IFERROR('4. NPV'!ID23/'4. NPV'!ID$8,0)</f>
        <v>-0.0</v>
      </c>
      <c r="ID53" s="5">
        <f>-IFERROR('4. NPV'!IE23/'4. NPV'!IE$8,0)</f>
        <v>-0.0</v>
      </c>
      <c r="IE53" s="5">
        <f>-IFERROR('4. NPV'!IF23/'4. NPV'!IF$8,0)</f>
        <v>-0.0</v>
      </c>
      <c r="IF53" s="5">
        <f>-IFERROR('4. NPV'!IG23/'4. NPV'!IG$8,0)</f>
        <v>-0.0</v>
      </c>
      <c r="IG53" s="5">
        <f>-IFERROR('4. NPV'!IH23/'4. NPV'!IH$8,0)</f>
        <v>-0.0</v>
      </c>
      <c r="IH53" s="5">
        <f>-IFERROR('4. NPV'!II23/'4. NPV'!II$8,0)</f>
        <v>-0.0</v>
      </c>
      <c r="II53" s="5">
        <f>-IFERROR('4. NPV'!IJ23/'4. NPV'!IJ$8,0)</f>
        <v>-0.0</v>
      </c>
      <c r="IJ53" s="5">
        <f>-IFERROR('4. NPV'!IK23/'4. NPV'!IK$8,0)</f>
        <v>-0.0</v>
      </c>
      <c r="IK53" s="5">
        <f>-IFERROR('4. NPV'!IL23/'4. NPV'!IL$8,0)</f>
        <v>-0.0</v>
      </c>
      <c r="IL53" s="5">
        <f>-IFERROR('4. NPV'!IM23/'4. NPV'!IM$8,0)</f>
        <v>-0.0</v>
      </c>
      <c r="IM53" s="5">
        <f>-IFERROR('4. NPV'!IN23/'4. NPV'!IN$8,0)</f>
        <v>-0.0</v>
      </c>
      <c r="IN53" s="5">
        <f>-IFERROR('4. NPV'!IO23/'4. NPV'!IO$8,0)</f>
        <v>-0.0</v>
      </c>
      <c r="IO53" s="5">
        <f>-IFERROR('4. NPV'!IP23/'4. NPV'!IP$8,0)</f>
        <v>-0.0</v>
      </c>
      <c r="IP53" s="5">
        <f>-IFERROR('4. NPV'!IQ23/'4. NPV'!IQ$8,0)</f>
        <v>-0.0</v>
      </c>
      <c r="IQ53" s="5">
        <f>-IFERROR('4. NPV'!IR23/'4. NPV'!IR$8,0)</f>
        <v>-0.0</v>
      </c>
      <c r="IR53" s="5">
        <f>-IFERROR('4. NPV'!IS23/'4. NPV'!IS$8,0)</f>
        <v>-0.0</v>
      </c>
      <c r="IS53" s="5">
        <f>-IFERROR('4. NPV'!IT23/'4. NPV'!IT$8,0)</f>
        <v>-0.0</v>
      </c>
      <c r="IT53" s="5">
        <f>-IFERROR('4. NPV'!IU23/'4. NPV'!IU$8,0)</f>
        <v>-0.0</v>
      </c>
      <c r="IU53" s="5">
        <f>-IFERROR('4. NPV'!IV23/'4. NPV'!IV$8,0)</f>
        <v>-0.0</v>
      </c>
      <c r="IV53" s="5">
        <f>-IFERROR('4. NPV'!IW23/'4. NPV'!IW$8,0)</f>
        <v>-0.0</v>
      </c>
      <c r="IW53" s="5">
        <f>-IFERROR('4. NPV'!IX23/'4. NPV'!IX$8,0)</f>
        <v>-0.0</v>
      </c>
      <c r="IX53" s="5">
        <f>-IFERROR('4. NPV'!IY23/'4. NPV'!IY$8,0)</f>
        <v>-0.0</v>
      </c>
      <c r="IY53" s="5">
        <f>-IFERROR('4. NPV'!IZ23/'4. NPV'!IZ$8,0)</f>
        <v>-0.0</v>
      </c>
      <c r="IZ53" s="5">
        <f>-IFERROR('4. NPV'!JA23/'4. NPV'!JA$8,0)</f>
        <v>-0.0</v>
      </c>
      <c r="JA53" s="5">
        <f>-IFERROR('4. NPV'!JB23/'4. NPV'!JB$8,0)</f>
        <v>-0.0</v>
      </c>
      <c r="JB53" s="5">
        <f>-IFERROR('4. NPV'!JC23/'4. NPV'!JC$8,0)</f>
        <v>-0.0</v>
      </c>
      <c r="JC53" s="5">
        <f>-IFERROR('4. NPV'!JD23/'4. NPV'!JD$8,0)</f>
        <v>-0.0</v>
      </c>
      <c r="JD53" s="5">
        <f>-IFERROR('4. NPV'!JE23/'4. NPV'!JE$8,0)</f>
        <v>-0.0</v>
      </c>
      <c r="JE53" s="5">
        <f>-IFERROR('4. NPV'!JF23/'4. NPV'!JF$8,0)</f>
        <v>-0.0</v>
      </c>
      <c r="JF53" s="5">
        <f>-IFERROR('4. NPV'!JG23/'4. NPV'!JG$8,0)</f>
        <v>-0.0</v>
      </c>
      <c r="JG53" s="5">
        <f>-IFERROR('4. NPV'!JH23/'4. NPV'!JH$8,0)</f>
        <v>-0.0</v>
      </c>
      <c r="JH53" s="5">
        <f>-IFERROR('4. NPV'!JI23/'4. NPV'!JI$8,0)</f>
        <v>-0.0</v>
      </c>
      <c r="JI53" s="5">
        <f>-IFERROR('4. NPV'!JJ23/'4. NPV'!JJ$8,0)</f>
        <v>-0.0</v>
      </c>
      <c r="JJ53" s="5">
        <f>-IFERROR('4. NPV'!JK23/'4. NPV'!JK$8,0)</f>
        <v>-0.0</v>
      </c>
      <c r="JK53" s="5">
        <f>-IFERROR('4. NPV'!JL23/'4. NPV'!JL$8,0)</f>
        <v>-0.0</v>
      </c>
      <c r="JL53" s="5">
        <f>-IFERROR('4. NPV'!JM23/'4. NPV'!JM$8,0)</f>
        <v>-0.0</v>
      </c>
      <c r="JM53" s="5">
        <f>-IFERROR('4. NPV'!JN23/'4. NPV'!JN$8,0)</f>
        <v>-0.0</v>
      </c>
      <c r="JN53" s="5">
        <f>-IFERROR('4. NPV'!JO23/'4. NPV'!JO$8,0)</f>
        <v>-0.0</v>
      </c>
      <c r="JO53" s="5">
        <f>-IFERROR('4. NPV'!JP23/'4. NPV'!JP$8,0)</f>
        <v>-0.0</v>
      </c>
      <c r="JP53" s="5">
        <f>-IFERROR('4. NPV'!JQ23/'4. NPV'!JQ$8,0)</f>
        <v>-0.0</v>
      </c>
      <c r="JQ53" s="5">
        <f>-IFERROR('4. NPV'!JR23/'4. NPV'!JR$8,0)</f>
        <v>-0.0</v>
      </c>
      <c r="JR53" s="5">
        <f>-IFERROR('4. NPV'!JS23/'4. NPV'!JS$8,0)</f>
        <v>-0.0</v>
      </c>
      <c r="JS53" s="5">
        <f>-IFERROR('4. NPV'!JT23/'4. NPV'!JT$8,0)</f>
        <v>-0.0</v>
      </c>
      <c r="JT53" s="5">
        <f>-IFERROR('4. NPV'!JU23/'4. NPV'!JU$8,0)</f>
        <v>-0.0</v>
      </c>
      <c r="JU53" s="5">
        <f>-IFERROR('4. NPV'!JV23/'4. NPV'!JV$8,0)</f>
        <v>-0.0</v>
      </c>
      <c r="JV53" s="5">
        <f>-IFERROR('4. NPV'!JW23/'4. NPV'!JW$8,0)</f>
        <v>-0.0</v>
      </c>
      <c r="JW53" s="5">
        <f>-IFERROR('4. NPV'!JX23/'4. NPV'!JX$8,0)</f>
        <v>-0.0</v>
      </c>
      <c r="JX53" s="5">
        <f>-IFERROR('4. NPV'!JY23/'4. NPV'!JY$8,0)</f>
        <v>-0.0</v>
      </c>
      <c r="JY53" s="5">
        <f>-IFERROR('4. NPV'!JZ23/'4. NPV'!JZ$8,0)</f>
        <v>-0.0</v>
      </c>
      <c r="JZ53" s="5">
        <f>-IFERROR('4. NPV'!KA23/'4. NPV'!KA$8,0)</f>
        <v>-0.0</v>
      </c>
      <c r="KA53" s="5">
        <f>-IFERROR('4. NPV'!KB23/'4. NPV'!KB$8,0)</f>
        <v>-0.0</v>
      </c>
      <c r="KB53" s="5">
        <f>-IFERROR('4. NPV'!KC23/'4. NPV'!KC$8,0)</f>
        <v>-0.0</v>
      </c>
      <c r="KC53" s="5">
        <f>-IFERROR('4. NPV'!KD23/'4. NPV'!KD$8,0)</f>
        <v>-0.0</v>
      </c>
      <c r="KD53" s="5">
        <f>-IFERROR('4. NPV'!KE23/'4. NPV'!KE$8,0)</f>
        <v>-0.0</v>
      </c>
      <c r="KE53" s="5">
        <f>-IFERROR('4. NPV'!KF23/'4. NPV'!KF$8,0)</f>
        <v>-0.0</v>
      </c>
      <c r="KF53" s="5">
        <f>-IFERROR('4. NPV'!KG23/'4. NPV'!KG$8,0)</f>
        <v>-0.0</v>
      </c>
      <c r="KG53" s="5">
        <f>-IFERROR('4. NPV'!KH23/'4. NPV'!KH$8,0)</f>
        <v>-0.0</v>
      </c>
      <c r="KH53" s="5">
        <f>-IFERROR('4. NPV'!KI23/'4. NPV'!KI$8,0)</f>
        <v>-0.0</v>
      </c>
      <c r="KI53" s="5">
        <f>-IFERROR('4. NPV'!KJ23/'4. NPV'!KJ$8,0)</f>
        <v>-0.0</v>
      </c>
      <c r="KJ53" s="5">
        <f>-IFERROR('4. NPV'!KK23/'4. NPV'!KK$8,0)</f>
        <v>-0.0</v>
      </c>
      <c r="KK53" s="5">
        <f>-IFERROR('4. NPV'!KL23/'4. NPV'!KL$8,0)</f>
        <v>-0.0</v>
      </c>
      <c r="KL53" s="5">
        <f>-IFERROR('4. NPV'!KM23/'4. NPV'!KM$8,0)</f>
        <v>-0.0</v>
      </c>
      <c r="KM53" s="5">
        <f>-IFERROR('4. NPV'!KN23/'4. NPV'!KN$8,0)</f>
        <v>-0.0</v>
      </c>
      <c r="KN53" s="5">
        <f>-IFERROR('4. NPV'!KO23/'4. NPV'!KO$8,0)</f>
        <v>-0.0</v>
      </c>
      <c r="KO53" s="5">
        <f>-IFERROR('4. NPV'!KP23/'4. NPV'!KP$8,0)</f>
        <v>-0.0</v>
      </c>
      <c r="KP53" s="5">
        <f>-IFERROR('4. NPV'!KQ23/'4. NPV'!KQ$8,0)</f>
        <v>-0.0</v>
      </c>
      <c r="KQ53" s="5">
        <f>-IFERROR('4. NPV'!KR23/'4. NPV'!KR$8,0)</f>
        <v>-0.0</v>
      </c>
      <c r="KR53" s="5">
        <f>-IFERROR('4. NPV'!KS23/'4. NPV'!KS$8,0)</f>
        <v>-0.0</v>
      </c>
      <c r="KS53" s="5">
        <f>-IFERROR('4. NPV'!KT23/'4. NPV'!KT$8,0)</f>
        <v>-0.0</v>
      </c>
      <c r="KT53" s="5">
        <f>-IFERROR('4. NPV'!KU23/'4. NPV'!KU$8,0)</f>
        <v>-0.0</v>
      </c>
      <c r="KU53" s="5">
        <f>-IFERROR('4. NPV'!KV23/'4. NPV'!KV$8,0)</f>
        <v>-0.0</v>
      </c>
      <c r="KV53" s="5">
        <f>-IFERROR('4. NPV'!KW23/'4. NPV'!KW$8,0)</f>
        <v>-0.0</v>
      </c>
      <c r="KW53" s="5">
        <f>-IFERROR('4. NPV'!KX23/'4. NPV'!KX$8,0)</f>
        <v>-0.0</v>
      </c>
      <c r="KX53" s="5">
        <f>-IFERROR('4. NPV'!KY23/'4. NPV'!KY$8,0)</f>
        <v>-0.0</v>
      </c>
      <c r="KY53" s="5">
        <f>-IFERROR('4. NPV'!KZ23/'4. NPV'!KZ$8,0)</f>
        <v>-0.0</v>
      </c>
      <c r="KZ53" s="5">
        <f>-IFERROR('4. NPV'!LA23/'4. NPV'!LA$8,0)</f>
        <v>-0.0</v>
      </c>
      <c r="LA53" s="5">
        <f>-IFERROR('4. NPV'!LB23/'4. NPV'!LB$8,0)</f>
        <v>-0.0</v>
      </c>
      <c r="LB53" s="5">
        <f>-IFERROR('4. NPV'!LC23/'4. NPV'!LC$8,0)</f>
        <v>-0.0</v>
      </c>
      <c r="LC53" s="5">
        <f>-IFERROR('4. NPV'!LD23/'4. NPV'!LD$8,0)</f>
        <v>-0.0</v>
      </c>
      <c r="LD53" s="5">
        <f>-IFERROR('4. NPV'!LE23/'4. NPV'!LE$8,0)</f>
        <v>-0.0</v>
      </c>
      <c r="LE53" s="5">
        <f>-IFERROR('4. NPV'!LF23/'4. NPV'!LF$8,0)</f>
        <v>-0.0</v>
      </c>
      <c r="LF53" s="5">
        <f>-IFERROR('4. NPV'!LG23/'4. NPV'!LG$8,0)</f>
        <v>-0.0</v>
      </c>
      <c r="LG53" s="5">
        <f>-IFERROR('4. NPV'!LH23/'4. NPV'!LH$8,0)</f>
        <v>-0.0</v>
      </c>
      <c r="LH53" s="5">
        <f>-IFERROR('4. NPV'!LI23/'4. NPV'!LI$8,0)</f>
        <v>-0.0</v>
      </c>
      <c r="LI53" s="5">
        <f>-IFERROR('4. NPV'!LJ23/'4. NPV'!LJ$8,0)</f>
        <v>-0.0</v>
      </c>
      <c r="LJ53" s="5">
        <f>-IFERROR('4. NPV'!LK23/'4. NPV'!LK$8,0)</f>
        <v>-0.0</v>
      </c>
      <c r="LK53" s="5">
        <f>-IFERROR('4. NPV'!LL23/'4. NPV'!LL$8,0)</f>
        <v>-0.0</v>
      </c>
      <c r="LL53" s="5">
        <f>-IFERROR('4. NPV'!LM23/'4. NPV'!LM$8,0)</f>
        <v>-0.0</v>
      </c>
      <c r="LM53" s="5">
        <f>-IFERROR('4. NPV'!LN23/'4. NPV'!LN$8,0)</f>
        <v>-0.0</v>
      </c>
      <c r="LN53" s="5">
        <f>-IFERROR('4. NPV'!LO23/'4. NPV'!LO$8,0)</f>
        <v>-0.0</v>
      </c>
      <c r="LO53" s="5">
        <f>-IFERROR('4. NPV'!LP23/'4. NPV'!LP$8,0)</f>
        <v>-0.0</v>
      </c>
      <c r="LP53" s="5">
        <f>-IFERROR('4. NPV'!LQ23/'4. NPV'!LQ$8,0)</f>
        <v>-0.0</v>
      </c>
      <c r="LQ53" s="5">
        <f>-IFERROR('4. NPV'!LR23/'4. NPV'!LR$8,0)</f>
        <v>-0.0</v>
      </c>
      <c r="LR53" s="5">
        <f>-IFERROR('4. NPV'!LS23/'4. NPV'!LS$8,0)</f>
        <v>-0.0</v>
      </c>
      <c r="LS53" s="5">
        <f>-IFERROR('4. NPV'!LT23/'4. NPV'!LT$8,0)</f>
        <v>-0.0</v>
      </c>
      <c r="LT53" s="5">
        <f>-IFERROR('4. NPV'!LU23/'4. NPV'!LU$8,0)</f>
        <v>-0.0</v>
      </c>
      <c r="LU53" s="5">
        <f>-IFERROR('4. NPV'!LV23/'4. NPV'!LV$8,0)</f>
        <v>-0.0</v>
      </c>
      <c r="LV53" s="5">
        <f>-IFERROR('4. NPV'!LW23/'4. NPV'!LW$8,0)</f>
        <v>-0.0</v>
      </c>
      <c r="LW53" s="5">
        <f>-IFERROR('4. NPV'!LX23/'4. NPV'!LX$8,0)</f>
        <v>-0.0</v>
      </c>
      <c r="LX53" s="5">
        <f>-IFERROR('4. NPV'!LY23/'4. NPV'!LY$8,0)</f>
        <v>-0.0</v>
      </c>
      <c r="LY53" s="5">
        <f>-IFERROR('4. NPV'!LZ23/'4. NPV'!LZ$8,0)</f>
        <v>-0.0</v>
      </c>
      <c r="LZ53" s="5">
        <f>-IFERROR('4. NPV'!MA23/'4. NPV'!MA$8,0)</f>
        <v>-0.0</v>
      </c>
      <c r="MA53" s="5">
        <f>-IFERROR('4. NPV'!MB23/'4. NPV'!MB$8,0)</f>
        <v>-0.0</v>
      </c>
      <c r="MB53" s="5">
        <f>-IFERROR('4. NPV'!MC23/'4. NPV'!MC$8,0)</f>
        <v>-0.0</v>
      </c>
      <c r="MC53" s="5">
        <f>-IFERROR('4. NPV'!MD23/'4. NPV'!MD$8,0)</f>
        <v>-0.0</v>
      </c>
      <c r="MD53" s="5">
        <f>-IFERROR('4. NPV'!ME23/'4. NPV'!ME$8,0)</f>
        <v>-0.0</v>
      </c>
      <c r="ME53" s="5">
        <f>-IFERROR('4. NPV'!MF23/'4. NPV'!MF$8,0)</f>
        <v>-0.0</v>
      </c>
      <c r="MF53" s="5">
        <f>-IFERROR('4. NPV'!MG23/'4. NPV'!MG$8,0)</f>
        <v>-0.0</v>
      </c>
      <c r="MG53" s="5">
        <f>-IFERROR('4. NPV'!MH23/'4. NPV'!MH$8,0)</f>
        <v>-0.0</v>
      </c>
      <c r="MH53" s="5">
        <f>-IFERROR('4. NPV'!MI23/'4. NPV'!MI$8,0)</f>
        <v>-0.0</v>
      </c>
      <c r="MI53" s="5">
        <f>-IFERROR('4. NPV'!MJ23/'4. NPV'!MJ$8,0)</f>
        <v>-0.0</v>
      </c>
      <c r="MJ53" s="5">
        <f>-IFERROR('4. NPV'!MK23/'4. NPV'!MK$8,0)</f>
        <v>-0.0</v>
      </c>
      <c r="MK53" s="5">
        <f>-IFERROR('4. NPV'!ML23/'4. NPV'!ML$8,0)</f>
        <v>-0.0</v>
      </c>
      <c r="ML53" s="5">
        <f>-IFERROR('4. NPV'!MM23/'4. NPV'!MM$8,0)</f>
        <v>-0.0</v>
      </c>
      <c r="MM53" s="5">
        <f>-IFERROR('4. NPV'!MN23/'4. NPV'!MN$8,0)</f>
        <v>-0.0</v>
      </c>
      <c r="MN53" s="5">
        <f>-IFERROR('4. NPV'!MO23/'4. NPV'!MO$8,0)</f>
        <v>-0.0</v>
      </c>
      <c r="MO53" s="5">
        <f>-IFERROR('4. NPV'!MP23/'4. NPV'!MP$8,0)</f>
        <v>-0.0</v>
      </c>
      <c r="MP53" s="5">
        <f>-IFERROR('4. NPV'!MQ23/'4. NPV'!MQ$8,0)</f>
        <v>-0.0</v>
      </c>
      <c r="MQ53" s="5">
        <f>-IFERROR('4. NPV'!MR23/'4. NPV'!MR$8,0)</f>
        <v>-0.0</v>
      </c>
      <c r="MR53" s="5">
        <f>-IFERROR('4. NPV'!MS23/'4. NPV'!MS$8,0)</f>
        <v>-0.0</v>
      </c>
      <c r="MS53" s="5">
        <f>-IFERROR('4. NPV'!MT23/'4. NPV'!MT$8,0)</f>
        <v>-0.0</v>
      </c>
      <c r="MT53" s="5">
        <f>-IFERROR('4. NPV'!MU23/'4. NPV'!MU$8,0)</f>
        <v>-0.0</v>
      </c>
      <c r="MU53" s="5">
        <f>-IFERROR('4. NPV'!MV23/'4. NPV'!MV$8,0)</f>
        <v>-0.0</v>
      </c>
      <c r="MV53" s="5">
        <f>-IFERROR('4. NPV'!MW23/'4. NPV'!MW$8,0)</f>
        <v>-0.0</v>
      </c>
      <c r="MW53" s="5">
        <f>-IFERROR('4. NPV'!MX23/'4. NPV'!MX$8,0)</f>
        <v>-0.0</v>
      </c>
      <c r="MX53" s="5">
        <f>-IFERROR('4. NPV'!MY23/'4. NPV'!MY$8,0)</f>
        <v>-0.0</v>
      </c>
      <c r="MY53" s="5">
        <f>-IFERROR('4. NPV'!MZ23/'4. NPV'!MZ$8,0)</f>
        <v>-0.0</v>
      </c>
      <c r="MZ53" s="5">
        <f>-IFERROR('4. NPV'!NA23/'4. NPV'!NA$8,0)</f>
        <v>-0.0</v>
      </c>
      <c r="NA53" s="5">
        <f>-IFERROR('4. NPV'!NB23/'4. NPV'!NB$8,0)</f>
        <v>-0.0</v>
      </c>
      <c r="NB53" s="5">
        <f>-IFERROR('4. NPV'!NC23/'4. NPV'!NC$8,0)</f>
        <v>-0.0</v>
      </c>
      <c r="NC53" s="5">
        <f>-IFERROR('4. NPV'!ND23/'4. NPV'!ND$8,0)</f>
        <v>-0.0</v>
      </c>
      <c r="ND53" s="5">
        <f>-IFERROR('4. NPV'!NE23/'4. NPV'!NE$8,0)</f>
        <v>-0.0</v>
      </c>
      <c r="NE53" s="5">
        <f>-IFERROR('4. NPV'!NF23/'4. NPV'!NF$8,0)</f>
        <v>-0.0</v>
      </c>
      <c r="NF53" s="5">
        <f>-IFERROR('4. NPV'!NG23/'4. NPV'!NG$8,0)</f>
        <v>-0.0</v>
      </c>
      <c r="NG53" s="5">
        <f>-IFERROR('4. NPV'!NH23/'4. NPV'!NH$8,0)</f>
        <v>-0.0</v>
      </c>
      <c r="NH53" s="5">
        <f>-IFERROR('4. NPV'!NI23/'4. NPV'!NI$8,0)</f>
        <v>-0.0</v>
      </c>
      <c r="NI53" s="5">
        <f>-IFERROR('4. NPV'!NJ23/'4. NPV'!NJ$8,0)</f>
        <v>-0.0</v>
      </c>
      <c r="NJ53" s="5">
        <f>-IFERROR('4. NPV'!NK23/'4. NPV'!NK$8,0)</f>
        <v>-0.0</v>
      </c>
      <c r="NK53" s="5">
        <f>-IFERROR('4. NPV'!NL23/'4. NPV'!NL$8,0)</f>
        <v>-0.0</v>
      </c>
      <c r="NL53" s="5">
        <f>-IFERROR('4. NPV'!NM23/'4. NPV'!NM$8,0)</f>
        <v>-0.0</v>
      </c>
      <c r="NM53" s="5">
        <f>-IFERROR('4. NPV'!NN23/'4. NPV'!NN$8,0)</f>
        <v>-0.0</v>
      </c>
      <c r="NN53" s="5">
        <f>-IFERROR('4. NPV'!NO23/'4. NPV'!NO$8,0)</f>
        <v>-0.0</v>
      </c>
      <c r="NO53" s="5">
        <f>-IFERROR('4. NPV'!NP23/'4. NPV'!NP$8,0)</f>
        <v>-0.0</v>
      </c>
      <c r="NP53" s="5">
        <f>-IFERROR('4. NPV'!NQ23/'4. NPV'!NQ$8,0)</f>
        <v>-0.0</v>
      </c>
      <c r="NQ53" s="5">
        <f>-IFERROR('4. NPV'!NR23/'4. NPV'!NR$8,0)</f>
        <v>-0.0</v>
      </c>
      <c r="NR53" s="5">
        <f>-IFERROR('4. NPV'!NS23/'4. NPV'!NS$8,0)</f>
        <v>-0.0</v>
      </c>
      <c r="NS53" s="5">
        <f>-IFERROR('4. NPV'!NT23/'4. NPV'!NT$8,0)</f>
        <v>-0.0</v>
      </c>
      <c r="NT53" s="5">
        <f>-IFERROR('4. NPV'!NU23/'4. NPV'!NU$8,0)</f>
        <v>-0.0</v>
      </c>
      <c r="NU53" s="5">
        <f>-IFERROR('4. NPV'!NV23/'4. NPV'!NV$8,0)</f>
        <v>-0.0</v>
      </c>
      <c r="NV53" s="5">
        <f>-IFERROR('4. NPV'!NW23/'4. NPV'!NW$8,0)</f>
        <v>-0.0</v>
      </c>
      <c r="NW53" s="5">
        <f>-IFERROR('4. NPV'!NX23/'4. NPV'!NX$8,0)</f>
        <v>-0.0</v>
      </c>
      <c r="NX53" s="5">
        <f>-IFERROR('4. NPV'!NY23/'4. NPV'!NY$8,0)</f>
        <v>-0.0</v>
      </c>
      <c r="NY53" s="5">
        <f>-IFERROR('4. NPV'!NZ23/'4. NPV'!NZ$8,0)</f>
        <v>-0.0</v>
      </c>
      <c r="NZ53" s="5">
        <f>-IFERROR('4. NPV'!OA23/'4. NPV'!OA$8,0)</f>
        <v>-0.0</v>
      </c>
      <c r="OA53" s="5">
        <f>-IFERROR('4. NPV'!OB23/'4. NPV'!OB$8,0)</f>
        <v>-0.0</v>
      </c>
      <c r="OB53" s="5">
        <f>-IFERROR('4. NPV'!OC23/'4. NPV'!OC$8,0)</f>
        <v>-0.0</v>
      </c>
      <c r="OC53" s="5">
        <f>-IFERROR('4. NPV'!OD23/'4. NPV'!OD$8,0)</f>
        <v>-0.0</v>
      </c>
      <c r="OD53" s="5">
        <f>-IFERROR('4. NPV'!OE23/'4. NPV'!OE$8,0)</f>
        <v>-0.0</v>
      </c>
      <c r="OE53" s="5">
        <f>-IFERROR('4. NPV'!OF23/'4. NPV'!OF$8,0)</f>
        <v>-0.0</v>
      </c>
      <c r="OF53" s="5">
        <f>-IFERROR('4. NPV'!OG23/'4. NPV'!OG$8,0)</f>
        <v>-0.0</v>
      </c>
      <c r="OG53" s="5">
        <f>-IFERROR('4. NPV'!OH23/'4. NPV'!OH$8,0)</f>
        <v>-0.0</v>
      </c>
      <c r="OH53" s="5">
        <f>-IFERROR('4. NPV'!OI23/'4. NPV'!OI$8,0)</f>
        <v>-0.0</v>
      </c>
      <c r="OI53" s="5">
        <f>-IFERROR('4. NPV'!OJ23/'4. NPV'!OJ$8,0)</f>
        <v>-0.0</v>
      </c>
      <c r="OJ53" s="5">
        <f>-IFERROR('4. NPV'!OK23/'4. NPV'!OK$8,0)</f>
        <v>-0.0</v>
      </c>
      <c r="OK53" s="5">
        <f>-IFERROR('4. NPV'!OL23/'4. NPV'!OL$8,0)</f>
        <v>-0.0</v>
      </c>
      <c r="OL53" s="5">
        <f>-IFERROR('4. NPV'!OM23/'4. NPV'!OM$8,0)</f>
        <v>-0.0</v>
      </c>
      <c r="OM53" s="5">
        <f>-IFERROR('4. NPV'!ON23/'4. NPV'!ON$8,0)</f>
        <v>-0.0</v>
      </c>
      <c r="ON53" s="5">
        <f>-IFERROR('4. NPV'!OO23/'4. NPV'!OO$8,0)</f>
        <v>-0.0</v>
      </c>
      <c r="OO53" s="5">
        <f>-IFERROR('4. NPV'!OP23/'4. NPV'!OP$8,0)</f>
        <v>-0.0</v>
      </c>
      <c r="OP53" s="5">
        <f>-IFERROR('4. NPV'!OQ23/'4. NPV'!OQ$8,0)</f>
        <v>-0.0</v>
      </c>
      <c r="OQ53" s="5">
        <f>-IFERROR('4. NPV'!OR23/'4. NPV'!OR$8,0)</f>
        <v>-0.0</v>
      </c>
      <c r="OR53" s="5">
        <f>-IFERROR('4. NPV'!OS23/'4. NPV'!OS$8,0)</f>
        <v>-0.0</v>
      </c>
      <c r="OS53" s="5">
        <f>-IFERROR('4. NPV'!OT23/'4. NPV'!OT$8,0)</f>
        <v>-0.0</v>
      </c>
      <c r="OT53" s="5">
        <f>-IFERROR('4. NPV'!OU23/'4. NPV'!OU$8,0)</f>
        <v>-0.0</v>
      </c>
      <c r="OU53" s="5">
        <f>-IFERROR('4. NPV'!OV23/'4. NPV'!OV$8,0)</f>
        <v>-0.0</v>
      </c>
      <c r="OV53" s="5">
        <f>-IFERROR('4. NPV'!OW23/'4. NPV'!OW$8,0)</f>
        <v>-0.0</v>
      </c>
      <c r="OW53" s="5">
        <f>-IFERROR('4. NPV'!OX23/'4. NPV'!OX$8,0)</f>
        <v>-0.0</v>
      </c>
      <c r="OX53" s="5">
        <f>-IFERROR('4. NPV'!OY23/'4. NPV'!OY$8,0)</f>
        <v>-0.0</v>
      </c>
      <c r="OY53" s="5">
        <f>-IFERROR('4. NPV'!OZ23/'4. NPV'!OZ$8,0)</f>
        <v>-0.0</v>
      </c>
      <c r="OZ53" s="5">
        <f>-IFERROR('4. NPV'!PA23/'4. NPV'!PA$8,0)</f>
        <v>-0.0</v>
      </c>
      <c r="PA53" s="5">
        <f>-IFERROR('4. NPV'!PB23/'4. NPV'!PB$8,0)</f>
        <v>-0.0</v>
      </c>
      <c r="PB53" s="5">
        <f>-IFERROR('4. NPV'!PC23/'4. NPV'!PC$8,0)</f>
        <v>-0.0</v>
      </c>
      <c r="PC53" s="5">
        <f>-IFERROR('4. NPV'!PD23/'4. NPV'!PD$8,0)</f>
        <v>-0.0</v>
      </c>
      <c r="PD53" s="5">
        <f>-IFERROR('4. NPV'!PE23/'4. NPV'!PE$8,0)</f>
        <v>-0.0</v>
      </c>
      <c r="PE53" s="5">
        <f>-IFERROR('4. NPV'!PF23/'4. NPV'!PF$8,0)</f>
        <v>-0.0</v>
      </c>
      <c r="PF53" s="5">
        <f>-IFERROR('4. NPV'!PG23/'4. NPV'!PG$8,0)</f>
        <v>-0.0</v>
      </c>
      <c r="PG53" s="5">
        <f>-IFERROR('4. NPV'!PH23/'4. NPV'!PH$8,0)</f>
        <v>-0.0</v>
      </c>
      <c r="PH53" s="5">
        <f>-IFERROR('4. NPV'!PI23/'4. NPV'!PI$8,0)</f>
        <v>-0.0</v>
      </c>
      <c r="PI53" s="5">
        <f>-IFERROR('4. NPV'!PJ23/'4. NPV'!PJ$8,0)</f>
        <v>-0.0</v>
      </c>
      <c r="PJ53" s="5">
        <f>-IFERROR('4. NPV'!PK23/'4. NPV'!PK$8,0)</f>
        <v>-0.0</v>
      </c>
      <c r="PK53" s="5">
        <f>-IFERROR('4. NPV'!PL23/'4. NPV'!PL$8,0)</f>
        <v>-0.0</v>
      </c>
      <c r="PL53" s="5">
        <f>-IFERROR('4. NPV'!PM23/'4. NPV'!PM$8,0)</f>
        <v>-0.0</v>
      </c>
      <c r="PM53" s="5">
        <f>-IFERROR('4. NPV'!PN23/'4. NPV'!PN$8,0)</f>
        <v>-0.0</v>
      </c>
      <c r="PN53" s="5">
        <f>-IFERROR('4. NPV'!PO23/'4. NPV'!PO$8,0)</f>
        <v>-0.0</v>
      </c>
      <c r="PO53" s="5">
        <f>-IFERROR('4. NPV'!PP23/'4. NPV'!PP$8,0)</f>
        <v>-0.0</v>
      </c>
      <c r="PP53" s="5">
        <f>-IFERROR('4. NPV'!PQ23/'4. NPV'!PQ$8,0)</f>
        <v>-0.0</v>
      </c>
      <c r="PQ53" s="5">
        <f>-IFERROR('4. NPV'!PR23/'4. NPV'!PR$8,0)</f>
        <v>-0.0</v>
      </c>
      <c r="PR53" s="5">
        <f>-IFERROR('4. NPV'!PS23/'4. NPV'!PS$8,0)</f>
        <v>-0.0</v>
      </c>
      <c r="PS53" s="5">
        <f>-IFERROR('4. NPV'!PT23/'4. NPV'!PT$8,0)</f>
        <v>-0.0</v>
      </c>
      <c r="PT53" s="5">
        <f>-IFERROR('4. NPV'!PU23/'4. NPV'!PU$8,0)</f>
        <v>-0.0</v>
      </c>
      <c r="PU53" s="5">
        <f>-IFERROR('4. NPV'!PV23/'4. NPV'!PV$8,0)</f>
        <v>-0.0</v>
      </c>
      <c r="PV53" s="5">
        <f>-IFERROR('4. NPV'!PW23/'4. NPV'!PW$8,0)</f>
        <v>-0.0</v>
      </c>
      <c r="PW53" s="5">
        <f>-IFERROR('4. NPV'!PX23/'4. NPV'!PX$8,0)</f>
        <v>-0.0</v>
      </c>
      <c r="PX53" s="5">
        <f>-IFERROR('4. NPV'!PY23/'4. NPV'!PY$8,0)</f>
        <v>-0.0</v>
      </c>
      <c r="PY53" s="5">
        <f>-IFERROR('4. NPV'!PZ23/'4. NPV'!PZ$8,0)</f>
        <v>-0.0</v>
      </c>
      <c r="PZ53" s="5">
        <f>-IFERROR('4. NPV'!QA23/'4. NPV'!QA$8,0)</f>
        <v>-0.0</v>
      </c>
      <c r="QA53" s="5">
        <f>-IFERROR('4. NPV'!QB23/'4. NPV'!QB$8,0)</f>
        <v>-0.0</v>
      </c>
      <c r="QB53" s="5">
        <f>-IFERROR('4. NPV'!QC23/'4. NPV'!QC$8,0)</f>
        <v>-0.0</v>
      </c>
      <c r="QC53" s="5">
        <f>-IFERROR('4. NPV'!QD23/'4. NPV'!QD$8,0)</f>
        <v>-0.0</v>
      </c>
      <c r="QD53" s="5">
        <f>-IFERROR('4. NPV'!QE23/'4. NPV'!QE$8,0)</f>
        <v>-0.0</v>
      </c>
      <c r="QE53" s="5">
        <f>-IFERROR('4. NPV'!QF23/'4. NPV'!QF$8,0)</f>
        <v>-0.0</v>
      </c>
      <c r="QF53" s="5">
        <f>-IFERROR('4. NPV'!QG23/'4. NPV'!QG$8,0)</f>
        <v>-0.0</v>
      </c>
      <c r="QG53" s="5">
        <f>-IFERROR('4. NPV'!QH23/'4. NPV'!QH$8,0)</f>
        <v>-0.0</v>
      </c>
      <c r="QH53" s="5">
        <f>-IFERROR('4. NPV'!QI23/'4. NPV'!QI$8,0)</f>
        <v>-0.0</v>
      </c>
      <c r="QI53" s="5">
        <f>-IFERROR('4. NPV'!QJ23/'4. NPV'!QJ$8,0)</f>
        <v>-0.0</v>
      </c>
      <c r="QJ53" s="5">
        <f>-IFERROR('4. NPV'!QK23/'4. NPV'!QK$8,0)</f>
        <v>-0.0</v>
      </c>
      <c r="QK53" s="5">
        <f>-IFERROR('4. NPV'!QL23/'4. NPV'!QL$8,0)</f>
        <v>-0.0</v>
      </c>
      <c r="QL53" s="5">
        <f>-IFERROR('4. NPV'!QM23/'4. NPV'!QM$8,0)</f>
        <v>-0.0</v>
      </c>
      <c r="QM53" s="5">
        <f>-IFERROR('4. NPV'!QN23/'4. NPV'!QN$8,0)</f>
        <v>-0.0</v>
      </c>
      <c r="QN53" s="5">
        <f>-IFERROR('4. NPV'!QO23/'4. NPV'!QO$8,0)</f>
        <v>-0.0</v>
      </c>
      <c r="QO53" s="5">
        <f>-IFERROR('4. NPV'!QP23/'4. NPV'!QP$8,0)</f>
        <v>-0.0</v>
      </c>
      <c r="QP53" s="5">
        <f>-IFERROR('4. NPV'!QQ23/'4. NPV'!QQ$8,0)</f>
        <v>-0.0</v>
      </c>
      <c r="QQ53" s="5">
        <f>-IFERROR('4. NPV'!QR23/'4. NPV'!QR$8,0)</f>
        <v>-0.0</v>
      </c>
      <c r="QR53" s="5">
        <f>-IFERROR('4. NPV'!QS23/'4. NPV'!QS$8,0)</f>
        <v>-0.0</v>
      </c>
      <c r="QS53" s="5">
        <f>-IFERROR('4. NPV'!QT23/'4. NPV'!QT$8,0)</f>
        <v>-0.0</v>
      </c>
      <c r="QT53" s="5">
        <f>-IFERROR('4. NPV'!QU23/'4. NPV'!QU$8,0)</f>
        <v>-0.0</v>
      </c>
      <c r="QU53" s="5">
        <f>-IFERROR('4. NPV'!QV23/'4. NPV'!QV$8,0)</f>
        <v>-0.0</v>
      </c>
      <c r="QV53" s="5">
        <f>-IFERROR('4. NPV'!QW23/'4. NPV'!QW$8,0)</f>
        <v>-0.0</v>
      </c>
      <c r="QW53" s="5">
        <f>-IFERROR('4. NPV'!QX23/'4. NPV'!QX$8,0)</f>
        <v>-0.0</v>
      </c>
      <c r="QX53" s="5">
        <f>-IFERROR('4. NPV'!QY23/'4. NPV'!QY$8,0)</f>
        <v>-0.0</v>
      </c>
      <c r="QY53" s="5">
        <f>-IFERROR('4. NPV'!QZ23/'4. NPV'!QZ$8,0)</f>
        <v>-0.0</v>
      </c>
      <c r="QZ53" s="5">
        <f>-IFERROR('4. NPV'!RA23/'4. NPV'!RA$8,0)</f>
        <v>-0.0</v>
      </c>
      <c r="RA53" s="5">
        <f>-IFERROR('4. NPV'!RB23/'4. NPV'!RB$8,0)</f>
        <v>-0.0</v>
      </c>
      <c r="RB53" s="5">
        <f>-IFERROR('4. NPV'!RC23/'4. NPV'!RC$8,0)</f>
        <v>-0.0</v>
      </c>
      <c r="RC53" s="5">
        <f>-IFERROR('4. NPV'!RD23/'4. NPV'!RD$8,0)</f>
        <v>-0.0</v>
      </c>
      <c r="RD53" s="5">
        <f>-IFERROR('4. NPV'!RE23/'4. NPV'!RE$8,0)</f>
        <v>-0.0</v>
      </c>
      <c r="RE53" s="5">
        <f>-IFERROR('4. NPV'!RF23/'4. NPV'!RF$8,0)</f>
        <v>-0.0</v>
      </c>
      <c r="RF53" s="5">
        <f>-IFERROR('4. NPV'!RG23/'4. NPV'!RG$8,0)</f>
        <v>-0.0</v>
      </c>
      <c r="RG53" s="5">
        <f>-IFERROR('4. NPV'!RH23/'4. NPV'!RH$8,0)</f>
        <v>-0.0</v>
      </c>
      <c r="RH53" s="5">
        <f>-IFERROR('4. NPV'!RI23/'4. NPV'!RI$8,0)</f>
        <v>-0.0</v>
      </c>
      <c r="RI53" s="5">
        <f>-IFERROR('4. NPV'!RJ23/'4. NPV'!RJ$8,0)</f>
        <v>-0.0</v>
      </c>
      <c r="RJ53" s="5">
        <f>-IFERROR('4. NPV'!RK23/'4. NPV'!RK$8,0)</f>
        <v>-0.0</v>
      </c>
      <c r="RK53" s="5">
        <f>-IFERROR('4. NPV'!RL23/'4. NPV'!RL$8,0)</f>
        <v>-0.0</v>
      </c>
      <c r="RL53" s="5">
        <f>-IFERROR('4. NPV'!RM23/'4. NPV'!RM$8,0)</f>
        <v>-0.0</v>
      </c>
      <c r="RM53" s="5">
        <f>-IFERROR('4. NPV'!RN23/'4. NPV'!RN$8,0)</f>
        <v>-0.0</v>
      </c>
      <c r="RN53" s="5">
        <f>-IFERROR('4. NPV'!RO23/'4. NPV'!RO$8,0)</f>
        <v>-0.0</v>
      </c>
      <c r="RO53" s="5">
        <f>-IFERROR('4. NPV'!RP23/'4. NPV'!RP$8,0)</f>
        <v>-0.0</v>
      </c>
      <c r="RP53" s="5">
        <f>-IFERROR('4. NPV'!RQ23/'4. NPV'!RQ$8,0)</f>
        <v>-0.0</v>
      </c>
      <c r="RQ53" s="5">
        <f>-IFERROR('4. NPV'!RR23/'4. NPV'!RR$8,0)</f>
        <v>-0.0</v>
      </c>
      <c r="RR53" s="5">
        <f>-IFERROR('4. NPV'!RS23/'4. NPV'!RS$8,0)</f>
        <v>-0.0</v>
      </c>
      <c r="RS53" s="5">
        <f>-IFERROR('4. NPV'!RT23/'4. NPV'!RT$8,0)</f>
        <v>-0.0</v>
      </c>
      <c r="RT53" s="5">
        <f>-IFERROR('4. NPV'!RU23/'4. NPV'!RU$8,0)</f>
        <v>-0.0</v>
      </c>
      <c r="RU53" s="5">
        <f>-IFERROR('4. NPV'!RV23/'4. NPV'!RV$8,0)</f>
        <v>-0.0</v>
      </c>
      <c r="RV53" s="5">
        <f>-IFERROR('4. NPV'!RW23/'4. NPV'!RW$8,0)</f>
        <v>-0.0</v>
      </c>
      <c r="RW53" s="5">
        <f>-IFERROR('4. NPV'!RX23/'4. NPV'!RX$8,0)</f>
        <v>-0.0</v>
      </c>
      <c r="RX53" s="5">
        <f>-IFERROR('4. NPV'!RY23/'4. NPV'!RY$8,0)</f>
        <v>-0.0</v>
      </c>
      <c r="RY53" s="5">
        <f>-IFERROR('4. NPV'!RZ23/'4. NPV'!RZ$8,0)</f>
        <v>-0.0</v>
      </c>
      <c r="RZ53" s="5">
        <f>-IFERROR('4. NPV'!SA23/'4. NPV'!SA$8,0)</f>
        <v>-0.0</v>
      </c>
      <c r="SA53" s="5">
        <f>-IFERROR('4. NPV'!SB23/'4. NPV'!SB$8,0)</f>
        <v>-0.0</v>
      </c>
      <c r="SB53" s="5">
        <f>-IFERROR('4. NPV'!SC23/'4. NPV'!SC$8,0)</f>
        <v>-0.0</v>
      </c>
      <c r="SC53" s="5">
        <f>-IFERROR('4. NPV'!SD23/'4. NPV'!SD$8,0)</f>
        <v>-0.0</v>
      </c>
      <c r="SD53" s="5">
        <f>-IFERROR('4. NPV'!SE23/'4. NPV'!SE$8,0)</f>
        <v>-0.0</v>
      </c>
      <c r="SE53" s="5">
        <f>-IFERROR('4. NPV'!SF23/'4. NPV'!SF$8,0)</f>
        <v>-0.0</v>
      </c>
      <c r="SF53" s="5">
        <f>-IFERROR('4. NPV'!SG23/'4. NPV'!SG$8,0)</f>
        <v>-0.0</v>
      </c>
      <c r="SG53" s="5">
        <f>-IFERROR('4. NPV'!SH23/'4. NPV'!SH$8,0)</f>
        <v>-0.0</v>
      </c>
      <c r="SH53" s="5">
        <f>-IFERROR('4. NPV'!SI23/'4. NPV'!SI$8,0)</f>
        <v>-0.0</v>
      </c>
      <c r="SI53" s="5">
        <f>-IFERROR('4. NPV'!SJ23/'4. NPV'!SJ$8,0)</f>
        <v>-0.0</v>
      </c>
      <c r="SJ53" s="5">
        <f>-IFERROR('4. NPV'!SK23/'4. NPV'!SK$8,0)</f>
        <v>-0.0</v>
      </c>
      <c r="SK53" s="5">
        <f>-IFERROR('4. NPV'!SL23/'4. NPV'!SL$8,0)</f>
        <v>-0.0</v>
      </c>
      <c r="SL53" s="5">
        <f>-IFERROR('4. NPV'!SM23/'4. NPV'!SM$8,0)</f>
        <v>-0.0</v>
      </c>
      <c r="SM53" s="5">
        <f>-IFERROR('4. NPV'!SN23/'4. NPV'!SN$8,0)</f>
        <v>-0.0</v>
      </c>
      <c r="SN53" s="5">
        <f>-IFERROR('4. NPV'!SO23/'4. NPV'!SO$8,0)</f>
        <v>-0.0</v>
      </c>
      <c r="SO53" s="5">
        <f>-IFERROR('4. NPV'!SP23/'4. NPV'!SP$8,0)</f>
        <v>-0.0</v>
      </c>
      <c r="SP53" s="5">
        <f>-IFERROR('4. NPV'!SQ23/'4. NPV'!SQ$8,0)</f>
        <v>-0.0</v>
      </c>
      <c r="SQ53" s="5">
        <f>-IFERROR('4. NPV'!SR23/'4. NPV'!SR$8,0)</f>
        <v>-0.0</v>
      </c>
      <c r="SR53" s="5">
        <f>-IFERROR('4. NPV'!SS23/'4. NPV'!SS$8,0)</f>
        <v>-0.0</v>
      </c>
      <c r="SS53" s="5">
        <f>-IFERROR('4. NPV'!ST23/'4. NPV'!ST$8,0)</f>
        <v>-0.0</v>
      </c>
      <c r="ST53" s="5">
        <f>-IFERROR('4. NPV'!SU23/'4. NPV'!SU$8,0)</f>
        <v>-0.0</v>
      </c>
      <c r="SU53" s="5">
        <f>-IFERROR('4. NPV'!SV23/'4. NPV'!SV$8,0)</f>
        <v>-0.0</v>
      </c>
      <c r="SV53" s="5">
        <f>-IFERROR('4. NPV'!SW23/'4. NPV'!SW$8,0)</f>
        <v>-0.0</v>
      </c>
      <c r="SW53" s="5">
        <f>-IFERROR('4. NPV'!SX23/'4. NPV'!SX$8,0)</f>
        <v>-0.0</v>
      </c>
      <c r="SX53" s="5">
        <f>-IFERROR('4. NPV'!SY23/'4. NPV'!SY$8,0)</f>
        <v>-0.0</v>
      </c>
      <c r="SY53" s="5">
        <f>-IFERROR('4. NPV'!SZ23/'4. NPV'!SZ$8,0)</f>
        <v>-0.0</v>
      </c>
      <c r="SZ53" s="5">
        <f>-IFERROR('4. NPV'!TA23/'4. NPV'!TA$8,0)</f>
        <v>-0.0</v>
      </c>
      <c r="TA53" s="5">
        <f>-IFERROR('4. NPV'!TB23/'4. NPV'!TB$8,0)</f>
        <v>-0.0</v>
      </c>
      <c r="TB53" s="5">
        <f>-IFERROR('4. NPV'!TC23/'4. NPV'!TC$8,0)</f>
        <v>-0.0</v>
      </c>
      <c r="TC53" s="5">
        <f>-IFERROR('4. NPV'!TD23/'4. NPV'!TD$8,0)</f>
        <v>-0.0</v>
      </c>
      <c r="TD53" s="5">
        <f>-IFERROR('4. NPV'!TE23/'4. NPV'!TE$8,0)</f>
        <v>-0.0</v>
      </c>
      <c r="TE53" s="5">
        <f>-IFERROR('4. NPV'!TF23/'4. NPV'!TF$8,0)</f>
        <v>-0.0</v>
      </c>
      <c r="TF53" s="5">
        <f>-IFERROR('4. NPV'!TG23/'4. NPV'!TG$8,0)</f>
        <v>-0.0</v>
      </c>
      <c r="TG53" s="5">
        <f>-IFERROR('4. NPV'!TH23/'4. NPV'!TH$8,0)</f>
        <v>-0.0</v>
      </c>
      <c r="TH53" s="5">
        <f>-IFERROR('4. NPV'!TI23/'4. NPV'!TI$8,0)</f>
        <v>-0.0</v>
      </c>
      <c r="TI53" s="5">
        <f>-IFERROR('4. NPV'!TJ23/'4. NPV'!TJ$8,0)</f>
        <v>-0.0</v>
      </c>
      <c r="TJ53" s="5">
        <f>-IFERROR('4. NPV'!TK23/'4. NPV'!TK$8,0)</f>
        <v>-0.0</v>
      </c>
      <c r="TK53" s="5">
        <f>-IFERROR('4. NPV'!TL23/'4. NPV'!TL$8,0)</f>
        <v>-0.0</v>
      </c>
      <c r="TL53" s="5">
        <f>-IFERROR('4. NPV'!TM23/'4. NPV'!TM$8,0)</f>
        <v>-0.0</v>
      </c>
      <c r="TM53" s="5">
        <f>-IFERROR('4. NPV'!TN23/'4. NPV'!TN$8,0)</f>
        <v>-0.0</v>
      </c>
      <c r="TN53" s="5">
        <f>-IFERROR('4. NPV'!TO23/'4. NPV'!TO$8,0)</f>
        <v>-0.0</v>
      </c>
      <c r="TO53" s="5">
        <f>-IFERROR('4. NPV'!TP23/'4. NPV'!TP$8,0)</f>
        <v>-0.0</v>
      </c>
      <c r="TP53" s="5">
        <f>-IFERROR('4. NPV'!TQ23/'4. NPV'!TQ$8,0)</f>
        <v>-0.0</v>
      </c>
      <c r="TQ53" s="5">
        <f>-IFERROR('4. NPV'!TR23/'4. NPV'!TR$8,0)</f>
        <v>-0.0</v>
      </c>
      <c r="TR53" s="5">
        <f>-IFERROR('4. NPV'!TS23/'4. NPV'!TS$8,0)</f>
        <v>-0.0</v>
      </c>
      <c r="TS53" s="5">
        <f>-IFERROR('4. NPV'!TT23/'4. NPV'!TT$8,0)</f>
        <v>-0.0</v>
      </c>
      <c r="TT53" s="5">
        <f>-IFERROR('4. NPV'!TU23/'4. NPV'!TU$8,0)</f>
        <v>-0.0</v>
      </c>
      <c r="TU53" s="5">
        <f>-IFERROR('4. NPV'!TV23/'4. NPV'!TV$8,0)</f>
        <v>-0.0</v>
      </c>
      <c r="TV53" s="5">
        <f>-IFERROR('4. NPV'!TW23/'4. NPV'!TW$8,0)</f>
        <v>-0.0</v>
      </c>
      <c r="TW53" s="5">
        <f>-IFERROR('4. NPV'!TX23/'4. NPV'!TX$8,0)</f>
        <v>-0.0</v>
      </c>
      <c r="TX53" s="5">
        <f>-IFERROR('4. NPV'!TY23/'4. NPV'!TY$8,0)</f>
        <v>-0.0</v>
      </c>
      <c r="TY53" s="5">
        <f>-IFERROR('4. NPV'!TZ23/'4. NPV'!TZ$8,0)</f>
        <v>-0.0</v>
      </c>
      <c r="TZ53" s="5">
        <f>-IFERROR('4. NPV'!UA23/'4. NPV'!UA$8,0)</f>
        <v>-0.0</v>
      </c>
      <c r="UA53" s="5">
        <f>-IFERROR('4. NPV'!UB23/'4. NPV'!UB$8,0)</f>
        <v>-0.0</v>
      </c>
      <c r="UB53" s="5">
        <f>-IFERROR('4. NPV'!UC23/'4. NPV'!UC$8,0)</f>
        <v>-0.0</v>
      </c>
      <c r="UC53" s="5">
        <f>-IFERROR('4. NPV'!UD23/'4. NPV'!UD$8,0)</f>
        <v>-0.0</v>
      </c>
      <c r="UD53" s="5">
        <f>-IFERROR('4. NPV'!UE23/'4. NPV'!UE$8,0)</f>
        <v>-0.0</v>
      </c>
      <c r="UE53" s="5">
        <f>-IFERROR('4. NPV'!UF23/'4. NPV'!UF$8,0)</f>
        <v>-0.0</v>
      </c>
      <c r="UF53" s="5">
        <f>-IFERROR('4. NPV'!UG23/'4. NPV'!UG$8,0)</f>
        <v>-0.0</v>
      </c>
      <c r="UG53" s="5">
        <f>-IFERROR('4. NPV'!UH23/'4. NPV'!UH$8,0)</f>
        <v>-0.0</v>
      </c>
      <c r="UH53" s="5">
        <f>-IFERROR('4. NPV'!UI23/'4. NPV'!UI$8,0)</f>
        <v>-0.0</v>
      </c>
      <c r="UI53" s="5">
        <f>-IFERROR('4. NPV'!UJ23/'4. NPV'!UJ$8,0)</f>
        <v>-0.0</v>
      </c>
      <c r="UJ53" s="5">
        <f>-IFERROR('4. NPV'!UK23/'4. NPV'!UK$8,0)</f>
        <v>-0.0</v>
      </c>
      <c r="UK53" s="5">
        <f>-IFERROR('4. NPV'!UL23/'4. NPV'!UL$8,0)</f>
        <v>-0.0</v>
      </c>
      <c r="UL53" s="5">
        <f>-IFERROR('4. NPV'!UM23/'4. NPV'!UM$8,0)</f>
        <v>-0.0</v>
      </c>
      <c r="UM53" s="5">
        <f>-IFERROR('4. NPV'!UN23/'4. NPV'!UN$8,0)</f>
        <v>-0.0</v>
      </c>
      <c r="UN53" s="5">
        <f>-IFERROR('4. NPV'!UO23/'4. NPV'!UO$8,0)</f>
        <v>-0.0</v>
      </c>
      <c r="UO53" s="5">
        <f>-IFERROR('4. NPV'!UP23/'4. NPV'!UP$8,0)</f>
        <v>-0.0</v>
      </c>
      <c r="UP53" s="5">
        <f>-IFERROR('4. NPV'!UQ23/'4. NPV'!UQ$8,0)</f>
        <v>-0.0</v>
      </c>
      <c r="UQ53" s="5">
        <f>-IFERROR('4. NPV'!UR23/'4. NPV'!UR$8,0)</f>
        <v>-0.0</v>
      </c>
      <c r="UR53" s="5">
        <f>-IFERROR('4. NPV'!US23/'4. NPV'!US$8,0)</f>
        <v>-0.0</v>
      </c>
      <c r="US53" s="5">
        <f>-IFERROR('4. NPV'!UT23/'4. NPV'!UT$8,0)</f>
        <v>-0.0</v>
      </c>
      <c r="UT53" s="5">
        <f>-IFERROR('4. NPV'!UU23/'4. NPV'!UU$8,0)</f>
        <v>-0.0</v>
      </c>
      <c r="UU53" s="5">
        <f>-IFERROR('4. NPV'!UV23/'4. NPV'!UV$8,0)</f>
        <v>-0.0</v>
      </c>
      <c r="UV53" s="5">
        <f>-IFERROR('4. NPV'!UW23/'4. NPV'!UW$8,0)</f>
        <v>-0.0</v>
      </c>
      <c r="UW53" s="5">
        <f>-IFERROR('4. NPV'!UX23/'4. NPV'!UX$8,0)</f>
        <v>-0.0</v>
      </c>
      <c r="UX53" s="5">
        <f>-IFERROR('4. NPV'!UY23/'4. NPV'!UY$8,0)</f>
        <v>-0.0</v>
      </c>
      <c r="UY53" s="5">
        <f>-IFERROR('4. NPV'!UZ23/'4. NPV'!UZ$8,0)</f>
        <v>-0.0</v>
      </c>
      <c r="UZ53" s="5">
        <f>-IFERROR('4. NPV'!VA23/'4. NPV'!VA$8,0)</f>
        <v>-0.0</v>
      </c>
      <c r="VA53" s="5">
        <f>-IFERROR('4. NPV'!VB23/'4. NPV'!VB$8,0)</f>
        <v>-0.0</v>
      </c>
      <c r="VB53" s="5">
        <f>-IFERROR('4. NPV'!VC23/'4. NPV'!VC$8,0)</f>
        <v>-0.0</v>
      </c>
      <c r="VC53" s="5">
        <f>-IFERROR('4. NPV'!VD23/'4. NPV'!VD$8,0)</f>
        <v>-0.0</v>
      </c>
      <c r="VD53" s="5">
        <f>-IFERROR('4. NPV'!VE23/'4. NPV'!VE$8,0)</f>
        <v>-0.0</v>
      </c>
      <c r="VE53" s="5">
        <f>-IFERROR('4. NPV'!VF23/'4. NPV'!VF$8,0)</f>
        <v>-0.0</v>
      </c>
      <c r="VF53" s="5">
        <f>-IFERROR('4. NPV'!VG23/'4. NPV'!VG$8,0)</f>
        <v>-0.0</v>
      </c>
      <c r="VG53" s="5">
        <f>-IFERROR('4. NPV'!VH23/'4. NPV'!VH$8,0)</f>
        <v>-0.0</v>
      </c>
      <c r="VH53" s="5">
        <f>-IFERROR('4. NPV'!VI23/'4. NPV'!VI$8,0)</f>
        <v>-0.0</v>
      </c>
      <c r="VI53" s="5">
        <f>-IFERROR('4. NPV'!VJ23/'4. NPV'!VJ$8,0)</f>
        <v>-0.0</v>
      </c>
      <c r="VJ53" s="5">
        <f>-IFERROR('4. NPV'!VK23/'4. NPV'!VK$8,0)</f>
        <v>-0.0</v>
      </c>
      <c r="VK53" s="5">
        <f>-IFERROR('4. NPV'!VL23/'4. NPV'!VL$8,0)</f>
        <v>-0.0</v>
      </c>
      <c r="VL53" s="5">
        <f>-IFERROR('4. NPV'!VM23/'4. NPV'!VM$8,0)</f>
        <v>-0.0</v>
      </c>
      <c r="VM53" s="5">
        <f>-IFERROR('4. NPV'!VN23/'4. NPV'!VN$8,0)</f>
        <v>-0.0</v>
      </c>
      <c r="VN53" s="5">
        <f>-IFERROR('4. NPV'!VO23/'4. NPV'!VO$8,0)</f>
        <v>-0.0</v>
      </c>
      <c r="VO53" s="5">
        <f>-IFERROR('4. NPV'!VP23/'4. NPV'!VP$8,0)</f>
        <v>-0.0</v>
      </c>
      <c r="VP53" s="5">
        <f>-IFERROR('4. NPV'!VQ23/'4. NPV'!VQ$8,0)</f>
        <v>-0.0</v>
      </c>
      <c r="VQ53" s="5">
        <f>-IFERROR('4. NPV'!VR23/'4. NPV'!VR$8,0)</f>
        <v>-0.0</v>
      </c>
      <c r="VR53" s="5">
        <f>-IFERROR('4. NPV'!VS23/'4. NPV'!VS$8,0)</f>
        <v>-0.0</v>
      </c>
      <c r="VS53" s="5">
        <f>-IFERROR('4. NPV'!VT23/'4. NPV'!VT$8,0)</f>
        <v>-0.0</v>
      </c>
      <c r="VT53" s="5">
        <f>-IFERROR('4. NPV'!VU23/'4. NPV'!VU$8,0)</f>
        <v>-0.0</v>
      </c>
      <c r="VU53" s="5">
        <f>-IFERROR('4. NPV'!VV23/'4. NPV'!VV$8,0)</f>
        <v>-0.0</v>
      </c>
      <c r="VV53" s="5">
        <f>-IFERROR('4. NPV'!VW23/'4. NPV'!VW$8,0)</f>
        <v>-0.0</v>
      </c>
      <c r="VW53" s="5">
        <f>-IFERROR('4. NPV'!VX23/'4. NPV'!VX$8,0)</f>
        <v>-0.0</v>
      </c>
      <c r="VX53" s="5">
        <f>-IFERROR('4. NPV'!VY23/'4. NPV'!VY$8,0)</f>
        <v>-0.0</v>
      </c>
      <c r="VY53" s="5">
        <f>-IFERROR('4. NPV'!VZ23/'4. NPV'!VZ$8,0)</f>
        <v>-0.0</v>
      </c>
      <c r="VZ53" s="5">
        <f>-IFERROR('4. NPV'!WA23/'4. NPV'!WA$8,0)</f>
        <v>-0.0</v>
      </c>
      <c r="WA53" s="5">
        <f>-IFERROR('4. NPV'!WB23/'4. NPV'!WB$8,0)</f>
        <v>-0.0</v>
      </c>
      <c r="WB53" s="5">
        <f>-IFERROR('4. NPV'!WC23/'4. NPV'!WC$8,0)</f>
        <v>-0.0</v>
      </c>
      <c r="WC53" s="5">
        <f>-IFERROR('4. NPV'!WD23/'4. NPV'!WD$8,0)</f>
        <v>-0.0</v>
      </c>
      <c r="WD53" s="5">
        <f>-IFERROR('4. NPV'!WE23/'4. NPV'!WE$8,0)</f>
        <v>-0.0</v>
      </c>
      <c r="WE53" s="5">
        <f>-IFERROR('4. NPV'!WF23/'4. NPV'!WF$8,0)</f>
        <v>-0.0</v>
      </c>
      <c r="WF53" s="5">
        <f>-IFERROR('4. NPV'!WG23/'4. NPV'!WG$8,0)</f>
        <v>-0.0</v>
      </c>
      <c r="WG53" s="5">
        <f>-IFERROR('4. NPV'!WH23/'4. NPV'!WH$8,0)</f>
        <v>-0.0</v>
      </c>
      <c r="WH53" s="5">
        <f>-IFERROR('4. NPV'!WI23/'4. NPV'!WI$8,0)</f>
        <v>-0.0</v>
      </c>
      <c r="WI53" s="5">
        <f>-IFERROR('4. NPV'!WJ23/'4. NPV'!WJ$8,0)</f>
        <v>-0.0</v>
      </c>
      <c r="WJ53" s="5">
        <f>-IFERROR('4. NPV'!WK23/'4. NPV'!WK$8,0)</f>
        <v>-0.0</v>
      </c>
      <c r="WK53" s="5">
        <f>-IFERROR('4. NPV'!WL23/'4. NPV'!WL$8,0)</f>
        <v>-0.0</v>
      </c>
      <c r="WL53" s="5">
        <f>-IFERROR('4. NPV'!WM23/'4. NPV'!WM$8,0)</f>
        <v>-0.0</v>
      </c>
      <c r="WM53" s="5">
        <f>-IFERROR('4. NPV'!WN23/'4. NPV'!WN$8,0)</f>
        <v>-0.0</v>
      </c>
      <c r="WN53" s="5">
        <f>-IFERROR('4. NPV'!WO23/'4. NPV'!WO$8,0)</f>
        <v>-0.0</v>
      </c>
      <c r="WO53" s="5">
        <f>-IFERROR('4. NPV'!WP23/'4. NPV'!WP$8,0)</f>
        <v>-0.0</v>
      </c>
      <c r="WP53" s="5">
        <f>-IFERROR('4. NPV'!WQ23/'4. NPV'!WQ$8,0)</f>
        <v>-0.0</v>
      </c>
      <c r="WQ53" s="5">
        <f>-IFERROR('4. NPV'!WR23/'4. NPV'!WR$8,0)</f>
        <v>-0.0</v>
      </c>
      <c r="WR53" s="5">
        <f>-IFERROR('4. NPV'!WS23/'4. NPV'!WS$8,0)</f>
        <v>-0.0</v>
      </c>
      <c r="WS53" s="5">
        <f>-IFERROR('4. NPV'!WT23/'4. NPV'!WT$8,0)</f>
        <v>-0.0</v>
      </c>
      <c r="WT53" s="5">
        <f>-IFERROR('4. NPV'!WU23/'4. NPV'!WU$8,0)</f>
        <v>-0.0</v>
      </c>
      <c r="WU53" s="5">
        <f>-IFERROR('4. NPV'!WV23/'4. NPV'!WV$8,0)</f>
        <v>-0.0</v>
      </c>
      <c r="WV53" s="5">
        <f>-IFERROR('4. NPV'!WW23/'4. NPV'!WW$8,0)</f>
        <v>-0.0</v>
      </c>
      <c r="WW53" s="5">
        <f>-IFERROR('4. NPV'!WX23/'4. NPV'!WX$8,0)</f>
        <v>-0.0</v>
      </c>
      <c r="WX53" s="5">
        <f>-IFERROR('4. NPV'!WY23/'4. NPV'!WY$8,0)</f>
        <v>-0.0</v>
      </c>
      <c r="WY53" s="5">
        <f>-IFERROR('4. NPV'!WZ23/'4. NPV'!WZ$8,0)</f>
        <v>-0.0</v>
      </c>
      <c r="WZ53" s="5">
        <f>-IFERROR('4. NPV'!XA23/'4. NPV'!XA$8,0)</f>
        <v>-0.0</v>
      </c>
      <c r="XA53" s="5">
        <f>-IFERROR('4. NPV'!XB23/'4. NPV'!XB$8,0)</f>
        <v>-0.0</v>
      </c>
      <c r="XB53" s="5">
        <f>-IFERROR('4. NPV'!XC23/'4. NPV'!XC$8,0)</f>
        <v>-0.0</v>
      </c>
      <c r="XC53" s="5">
        <f>-IFERROR('4. NPV'!XD23/'4. NPV'!XD$8,0)</f>
        <v>-0.0</v>
      </c>
      <c r="XD53" s="5">
        <f>-IFERROR('4. NPV'!XE23/'4. NPV'!XE$8,0)</f>
        <v>-0.0</v>
      </c>
      <c r="XE53" s="5">
        <f>-IFERROR('4. NPV'!XF23/'4. NPV'!XF$8,0)</f>
        <v>-0.0</v>
      </c>
      <c r="XF53" s="5">
        <f>-IFERROR('4. NPV'!XG23/'4. NPV'!XG$8,0)</f>
        <v>-0.0</v>
      </c>
      <c r="XG53" s="5">
        <f>-IFERROR('4. NPV'!XH23/'4. NPV'!XH$8,0)</f>
        <v>-0.0</v>
      </c>
      <c r="XH53" s="5">
        <f>-IFERROR('4. NPV'!XI23/'4. NPV'!XI$8,0)</f>
        <v>-0.0</v>
      </c>
      <c r="XI53" s="5">
        <f>-IFERROR('4. NPV'!XJ23/'4. NPV'!XJ$8,0)</f>
        <v>-0.0</v>
      </c>
      <c r="XJ53" s="5">
        <f>-IFERROR('4. NPV'!XK23/'4. NPV'!XK$8,0)</f>
        <v>-0.0</v>
      </c>
      <c r="XK53" s="5">
        <f>-IFERROR('4. NPV'!XL23/'4. NPV'!XL$8,0)</f>
        <v>-0.0</v>
      </c>
      <c r="XL53" s="5">
        <f>-IFERROR('4. NPV'!XM23/'4. NPV'!XM$8,0)</f>
        <v>-0.0</v>
      </c>
      <c r="XM53" s="5">
        <f>-IFERROR('4. NPV'!XN23/'4. NPV'!XN$8,0)</f>
        <v>-0.0</v>
      </c>
      <c r="XN53" s="5">
        <f>-IFERROR('4. NPV'!XO23/'4. NPV'!XO$8,0)</f>
        <v>-0.0</v>
      </c>
      <c r="XO53" s="5">
        <f>-IFERROR('4. NPV'!XP23/'4. NPV'!XP$8,0)</f>
        <v>-0.0</v>
      </c>
      <c r="XP53" s="5">
        <f>-IFERROR('4. NPV'!XQ23/'4. NPV'!XQ$8,0)</f>
        <v>-0.0</v>
      </c>
      <c r="XQ53" s="5">
        <f>-IFERROR('4. NPV'!XR23/'4. NPV'!XR$8,0)</f>
        <v>-0.0</v>
      </c>
      <c r="XR53" s="5">
        <f>-IFERROR('4. NPV'!XS23/'4. NPV'!XS$8,0)</f>
        <v>-0.0</v>
      </c>
      <c r="XS53" s="5">
        <f>-IFERROR('4. NPV'!XT23/'4. NPV'!XT$8,0)</f>
        <v>-0.0</v>
      </c>
      <c r="XT53" s="5">
        <f>-IFERROR('4. NPV'!XU23/'4. NPV'!XU$8,0)</f>
        <v>-0.0</v>
      </c>
      <c r="XU53" s="5">
        <f>-IFERROR('4. NPV'!XV23/'4. NPV'!XV$8,0)</f>
        <v>-0.0</v>
      </c>
      <c r="XV53" s="5">
        <f>-IFERROR('4. NPV'!XW23/'4. NPV'!XW$8,0)</f>
        <v>-0.0</v>
      </c>
      <c r="XW53" s="5">
        <f>-IFERROR('4. NPV'!XX23/'4. NPV'!XX$8,0)</f>
        <v>-0.0</v>
      </c>
      <c r="XX53" s="5">
        <f>-IFERROR('4. NPV'!XY23/'4. NPV'!XY$8,0)</f>
        <v>-0.0</v>
      </c>
      <c r="XY53" s="5">
        <f>-IFERROR('4. NPV'!XZ23/'4. NPV'!XZ$8,0)</f>
        <v>-0.0</v>
      </c>
      <c r="XZ53" s="5">
        <f>-IFERROR('4. NPV'!YA23/'4. NPV'!YA$8,0)</f>
        <v>-0.0</v>
      </c>
      <c r="YA53" s="5">
        <f>-IFERROR('4. NPV'!YB23/'4. NPV'!YB$8,0)</f>
        <v>-0.0</v>
      </c>
      <c r="YB53" s="5">
        <f>-IFERROR('4. NPV'!YC23/'4. NPV'!YC$8,0)</f>
        <v>-0.0</v>
      </c>
      <c r="YC53" s="5">
        <f>-IFERROR('4. NPV'!YD23/'4. NPV'!YD$8,0)</f>
        <v>-0.0</v>
      </c>
      <c r="YD53" s="5">
        <f>-IFERROR('4. NPV'!YE23/'4. NPV'!YE$8,0)</f>
        <v>-0.0</v>
      </c>
      <c r="YE53" s="5">
        <f>-IFERROR('4. NPV'!YF23/'4. NPV'!YF$8,0)</f>
        <v>-0.0</v>
      </c>
      <c r="YF53" s="5">
        <f>-IFERROR('4. NPV'!YG23/'4. NPV'!YG$8,0)</f>
        <v>-0.0</v>
      </c>
      <c r="YG53" s="5">
        <f>-IFERROR('4. NPV'!YH23/'4. NPV'!YH$8,0)</f>
        <v>-0.0</v>
      </c>
      <c r="YH53" s="5">
        <f>-IFERROR('4. NPV'!YI23/'4. NPV'!YI$8,0)</f>
        <v>-0.0</v>
      </c>
      <c r="YI53" s="5">
        <f>-IFERROR('4. NPV'!YJ23/'4. NPV'!YJ$8,0)</f>
        <v>-0.0</v>
      </c>
      <c r="YJ53" s="5">
        <f>-IFERROR('4. NPV'!YK23/'4. NPV'!YK$8,0)</f>
        <v>-0.0</v>
      </c>
      <c r="YK53" s="5">
        <f>-IFERROR('4. NPV'!YL23/'4. NPV'!YL$8,0)</f>
        <v>-0.0</v>
      </c>
      <c r="YL53" s="5">
        <f>-IFERROR('4. NPV'!YM23/'4. NPV'!YM$8,0)</f>
        <v>-0.0</v>
      </c>
      <c r="YM53" s="5">
        <f>-IFERROR('4. NPV'!YN23/'4. NPV'!YN$8,0)</f>
        <v>-0.0</v>
      </c>
      <c r="YN53" s="5">
        <f>-IFERROR('4. NPV'!YO23/'4. NPV'!YO$8,0)</f>
        <v>-0.0</v>
      </c>
      <c r="YO53" s="5">
        <f>-IFERROR('4. NPV'!YP23/'4. NPV'!YP$8,0)</f>
        <v>-0.0</v>
      </c>
      <c r="YP53" s="5">
        <f>-IFERROR('4. NPV'!YQ23/'4. NPV'!YQ$8,0)</f>
        <v>-0.0</v>
      </c>
      <c r="YQ53" s="5">
        <f>-IFERROR('4. NPV'!YR23/'4. NPV'!YR$8,0)</f>
        <v>-0.0</v>
      </c>
      <c r="YR53" s="5">
        <f>-IFERROR('4. NPV'!YS23/'4. NPV'!YS$8,0)</f>
        <v>-0.0</v>
      </c>
      <c r="YS53" s="5">
        <f>-IFERROR('4. NPV'!YT23/'4. NPV'!YT$8,0)</f>
        <v>-0.0</v>
      </c>
      <c r="YT53" s="5">
        <f>-IFERROR('4. NPV'!YU23/'4. NPV'!YU$8,0)</f>
        <v>-0.0</v>
      </c>
      <c r="YU53" s="5">
        <f>-IFERROR('4. NPV'!YV23/'4. NPV'!YV$8,0)</f>
        <v>-0.0</v>
      </c>
      <c r="YV53" s="5">
        <f>-IFERROR('4. NPV'!YW23/'4. NPV'!YW$8,0)</f>
        <v>-0.0</v>
      </c>
      <c r="YW53" s="5">
        <f>-IFERROR('4. NPV'!YX23/'4. NPV'!YX$8,0)</f>
        <v>-0.0</v>
      </c>
      <c r="YX53" s="5">
        <f>-IFERROR('4. NPV'!YY23/'4. NPV'!YY$8,0)</f>
        <v>-0.0</v>
      </c>
      <c r="YY53" s="5">
        <f>-IFERROR('4. NPV'!YZ23/'4. NPV'!YZ$8,0)</f>
        <v>-0.0</v>
      </c>
      <c r="YZ53" s="5">
        <f>-IFERROR('4. NPV'!ZA23/'4. NPV'!ZA$8,0)</f>
        <v>-0.0</v>
      </c>
      <c r="ZA53" s="5">
        <f>-IFERROR('4. NPV'!ZB23/'4. NPV'!ZB$8,0)</f>
        <v>-0.0</v>
      </c>
      <c r="ZB53" s="5">
        <f>-IFERROR('4. NPV'!ZC23/'4. NPV'!ZC$8,0)</f>
        <v>-0.0</v>
      </c>
      <c r="ZC53" s="5">
        <f>-IFERROR('4. NPV'!ZD23/'4. NPV'!ZD$8,0)</f>
        <v>-0.0</v>
      </c>
      <c r="ZD53" s="5">
        <f>-IFERROR('4. NPV'!ZE23/'4. NPV'!ZE$8,0)</f>
        <v>-0.0</v>
      </c>
      <c r="ZE53" s="5">
        <f>-IFERROR('4. NPV'!ZF23/'4. NPV'!ZF$8,0)</f>
        <v>-0.0</v>
      </c>
      <c r="ZF53" s="5">
        <f>-IFERROR('4. NPV'!ZG23/'4. NPV'!ZG$8,0)</f>
        <v>-0.0</v>
      </c>
      <c r="ZG53" s="5">
        <f>-IFERROR('4. NPV'!ZH23/'4. NPV'!ZH$8,0)</f>
        <v>-0.0</v>
      </c>
      <c r="ZH53" s="5">
        <f>-IFERROR('4. NPV'!ZI23/'4. NPV'!ZI$8,0)</f>
        <v>-0.0</v>
      </c>
      <c r="ZI53" s="5">
        <f>-IFERROR('4. NPV'!ZJ23/'4. NPV'!ZJ$8,0)</f>
        <v>-0.0</v>
      </c>
      <c r="ZJ53" s="5">
        <f>-IFERROR('4. NPV'!ZK23/'4. NPV'!ZK$8,0)</f>
        <v>-0.0</v>
      </c>
      <c r="ZK53" s="5">
        <f>-IFERROR('4. NPV'!ZL23/'4. NPV'!ZL$8,0)</f>
        <v>-0.0</v>
      </c>
      <c r="ZL53" s="5">
        <f>-IFERROR('4. NPV'!ZM23/'4. NPV'!ZM$8,0)</f>
        <v>-0.0</v>
      </c>
      <c r="ZM53" s="5">
        <f>-IFERROR('4. NPV'!ZN23/'4. NPV'!ZN$8,0)</f>
        <v>-0.0</v>
      </c>
      <c r="ZN53" s="5">
        <f>-IFERROR('4. NPV'!ZO23/'4. NPV'!ZO$8,0)</f>
        <v>-0.0</v>
      </c>
      <c r="ZO53" s="5">
        <f>-IFERROR('4. NPV'!ZP23/'4. NPV'!ZP$8,0)</f>
        <v>-0.0</v>
      </c>
      <c r="ZP53" s="5">
        <f>-IFERROR('4. NPV'!ZQ23/'4. NPV'!ZQ$8,0)</f>
        <v>-0.0</v>
      </c>
      <c r="ZQ53" s="5">
        <f>-IFERROR('4. NPV'!ZR23/'4. NPV'!ZR$8,0)</f>
        <v>-0.0</v>
      </c>
      <c r="ZR53" s="5">
        <f>-IFERROR('4. NPV'!ZS23/'4. NPV'!ZS$8,0)</f>
        <v>-0.0</v>
      </c>
      <c r="ZS53" s="5">
        <f>-IFERROR('4. NPV'!ZT23/'4. NPV'!ZT$8,0)</f>
        <v>-0.0</v>
      </c>
      <c r="ZT53" s="5">
        <f>-IFERROR('4. NPV'!ZU23/'4. NPV'!ZU$8,0)</f>
        <v>-0.0</v>
      </c>
      <c r="ZU53" s="5">
        <f>-IFERROR('4. NPV'!ZV23/'4. NPV'!ZV$8,0)</f>
        <v>-0.0</v>
      </c>
      <c r="ZV53" s="5">
        <f>-IFERROR('4. NPV'!ZW23/'4. NPV'!ZW$8,0)</f>
        <v>-0.0</v>
      </c>
      <c r="ZW53" s="5">
        <f>-IFERROR('4. NPV'!ZX23/'4. NPV'!ZX$8,0)</f>
        <v>-0.0</v>
      </c>
      <c r="ZX53" s="5">
        <f>-IFERROR('4. NPV'!ZY23/'4. NPV'!ZY$8,0)</f>
        <v>-0.0</v>
      </c>
      <c r="ZY53" s="5">
        <f>-IFERROR('4. NPV'!ZZ23/'4. NPV'!ZZ$8,0)</f>
        <v>-0.0</v>
      </c>
      <c r="ZZ53" s="5">
        <f>-IFERROR('4. NPV'!AAA23/'4. NPV'!AAA$8,0)</f>
        <v>-0.0</v>
      </c>
      <c r="AAA53" s="5">
        <f>-IFERROR('4. NPV'!AAB23/'4. NPV'!AAB$8,0)</f>
        <v>-0.0</v>
      </c>
      <c r="AAB53" s="5">
        <f>-IFERROR('4. NPV'!AAC23/'4. NPV'!AAC$8,0)</f>
        <v>-0.0</v>
      </c>
      <c r="AAC53" s="5">
        <f>-IFERROR('4. NPV'!AAD23/'4. NPV'!AAD$8,0)</f>
        <v>-0.0</v>
      </c>
      <c r="AAD53" s="5">
        <f>-IFERROR('4. NPV'!AAE23/'4. NPV'!AAE$8,0)</f>
        <v>-0.0</v>
      </c>
      <c r="AAE53" s="5">
        <f>-IFERROR('4. NPV'!AAF23/'4. NPV'!AAF$8,0)</f>
        <v>-0.0</v>
      </c>
      <c r="AAF53" s="5">
        <f>-IFERROR('4. NPV'!AAG23/'4. NPV'!AAG$8,0)</f>
        <v>-0.0</v>
      </c>
      <c r="AAG53" s="5">
        <f>-IFERROR('4. NPV'!AAH23/'4. NPV'!AAH$8,0)</f>
        <v>-0.0</v>
      </c>
      <c r="AAH53" s="5">
        <f>-IFERROR('4. NPV'!AAI23/'4. NPV'!AAI$8,0)</f>
        <v>-0.0</v>
      </c>
      <c r="AAI53" s="5">
        <f>-IFERROR('4. NPV'!AAJ23/'4. NPV'!AAJ$8,0)</f>
        <v>-0.0</v>
      </c>
      <c r="AAJ53" s="5">
        <f>-IFERROR('4. NPV'!AAK23/'4. NPV'!AAK$8,0)</f>
        <v>-0.0</v>
      </c>
      <c r="AAK53" s="5">
        <f>-IFERROR('4. NPV'!AAL23/'4. NPV'!AAL$8,0)</f>
        <v>-0.0</v>
      </c>
      <c r="AAL53" s="5">
        <f>-IFERROR('4. NPV'!AAM23/'4. NPV'!AAM$8,0)</f>
        <v>-0.0</v>
      </c>
      <c r="AAM53" s="5">
        <f>-IFERROR('4. NPV'!AAN23/'4. NPV'!AAN$8,0)</f>
        <v>-0.0</v>
      </c>
      <c r="AAN53" s="5">
        <f>-IFERROR('4. NPV'!AAO23/'4. NPV'!AAO$8,0)</f>
        <v>-0.0</v>
      </c>
      <c r="AAO53" s="5">
        <f>-IFERROR('4. NPV'!AAP23/'4. NPV'!AAP$8,0)</f>
        <v>-0.0</v>
      </c>
      <c r="AAP53" s="5">
        <f>-IFERROR('4. NPV'!AAQ23/'4. NPV'!AAQ$8,0)</f>
        <v>-0.0</v>
      </c>
      <c r="AAQ53" s="5">
        <f>-IFERROR('4. NPV'!AAR23/'4. NPV'!AAR$8,0)</f>
        <v>-0.0</v>
      </c>
      <c r="AAR53" s="5">
        <f>-IFERROR('4. NPV'!AAS23/'4. NPV'!AAS$8,0)</f>
        <v>-0.0</v>
      </c>
      <c r="AAS53" s="5">
        <f>-IFERROR('4. NPV'!AAT23/'4. NPV'!AAT$8,0)</f>
        <v>-0.0</v>
      </c>
      <c r="AAT53" s="5">
        <f>-IFERROR('4. NPV'!AAU23/'4. NPV'!AAU$8,0)</f>
        <v>-0.0</v>
      </c>
      <c r="AAU53" s="5">
        <f>-IFERROR('4. NPV'!AAV23/'4. NPV'!AAV$8,0)</f>
        <v>-0.0</v>
      </c>
      <c r="AAV53" s="5">
        <f>-IFERROR('4. NPV'!AAW23/'4. NPV'!AAW$8,0)</f>
        <v>-0.0</v>
      </c>
      <c r="AAW53" s="5">
        <f>-IFERROR('4. NPV'!AAX23/'4. NPV'!AAX$8,0)</f>
        <v>-0.0</v>
      </c>
      <c r="AAX53" s="5">
        <f>-IFERROR('4. NPV'!AAY23/'4. NPV'!AAY$8,0)</f>
        <v>-0.0</v>
      </c>
      <c r="AAY53" s="5">
        <f>-IFERROR('4. NPV'!AAZ23/'4. NPV'!AAZ$8,0)</f>
        <v>-0.0</v>
      </c>
      <c r="AAZ53" s="5">
        <f>-IFERROR('4. NPV'!ABA23/'4. NPV'!ABA$8,0)</f>
        <v>-0.0</v>
      </c>
      <c r="ABA53" s="5">
        <f>-IFERROR('4. NPV'!ABB23/'4. NPV'!ABB$8,0)</f>
        <v>-0.0</v>
      </c>
      <c r="ABB53" s="5">
        <f>-IFERROR('4. NPV'!ABC23/'4. NPV'!ABC$8,0)</f>
        <v>-0.0</v>
      </c>
      <c r="ABC53" s="5">
        <f>-IFERROR('4. NPV'!ABD23/'4. NPV'!ABD$8,0)</f>
        <v>-0.0</v>
      </c>
      <c r="ABD53" s="5">
        <f>-IFERROR('4. NPV'!ABE23/'4. NPV'!ABE$8,0)</f>
        <v>-0.0</v>
      </c>
      <c r="ABE53" s="5">
        <f>-IFERROR('4. NPV'!ABF23/'4. NPV'!ABF$8,0)</f>
        <v>-0.0</v>
      </c>
      <c r="ABF53" s="5">
        <f>-IFERROR('4. NPV'!ABG23/'4. NPV'!ABG$8,0)</f>
        <v>-0.0</v>
      </c>
      <c r="ABG53" s="5">
        <f>-IFERROR('4. NPV'!ABH23/'4. NPV'!ABH$8,0)</f>
        <v>-0.0</v>
      </c>
      <c r="ABH53" s="5">
        <f>-IFERROR('4. NPV'!ABI23/'4. NPV'!ABI$8,0)</f>
        <v>-0.0</v>
      </c>
      <c r="ABI53" s="5">
        <f>-IFERROR('4. NPV'!ABJ23/'4. NPV'!ABJ$8,0)</f>
        <v>-0.0</v>
      </c>
      <c r="ABJ53" s="5">
        <f>-IFERROR('4. NPV'!ABK23/'4. NPV'!ABK$8,0)</f>
        <v>-0.0</v>
      </c>
      <c r="ABK53" s="5">
        <f>-IFERROR('4. NPV'!ABL23/'4. NPV'!ABL$8,0)</f>
        <v>-0.0</v>
      </c>
      <c r="ABL53" s="5">
        <f>-IFERROR('4. NPV'!ABM23/'4. NPV'!ABM$8,0)</f>
        <v>-0.0</v>
      </c>
      <c r="ABM53" s="5">
        <f>-IFERROR('4. NPV'!ABN23/'4. NPV'!ABN$8,0)</f>
        <v>-0.0</v>
      </c>
      <c r="ABN53" s="5">
        <f>-IFERROR('4. NPV'!ABO23/'4. NPV'!ABO$8,0)</f>
        <v>-0.0</v>
      </c>
      <c r="ABO53" s="5">
        <f>-IFERROR('4. NPV'!ABP23/'4. NPV'!ABP$8,0)</f>
        <v>-0.0</v>
      </c>
      <c r="ABP53" s="5">
        <f>-IFERROR('4. NPV'!ABQ23/'4. NPV'!ABQ$8,0)</f>
        <v>-0.0</v>
      </c>
      <c r="ABQ53" s="5">
        <f>-IFERROR('4. NPV'!ABR23/'4. NPV'!ABR$8,0)</f>
        <v>-0.0</v>
      </c>
      <c r="ABR53" s="5">
        <f>-IFERROR('4. NPV'!ABS23/'4. NPV'!ABS$8,0)</f>
        <v>-0.0</v>
      </c>
      <c r="ABS53" s="5">
        <f>-IFERROR('4. NPV'!ABT23/'4. NPV'!ABT$8,0)</f>
        <v>-0.0</v>
      </c>
      <c r="ABT53" s="5">
        <f>-IFERROR('4. NPV'!ABU23/'4. NPV'!ABU$8,0)</f>
        <v>-0.0</v>
      </c>
      <c r="ABU53" s="5">
        <f>-IFERROR('4. NPV'!ABV23/'4. NPV'!ABV$8,0)</f>
        <v>-0.0</v>
      </c>
      <c r="ABV53" s="5">
        <f>-IFERROR('4. NPV'!ABW23/'4. NPV'!ABW$8,0)</f>
        <v>-0.0</v>
      </c>
      <c r="ABW53" s="5">
        <f>-IFERROR('4. NPV'!ABX23/'4. NPV'!ABX$8,0)</f>
        <v>-0.0</v>
      </c>
      <c r="ABX53" s="5">
        <f>-IFERROR('4. NPV'!ABY23/'4. NPV'!ABY$8,0)</f>
        <v>-0.0</v>
      </c>
      <c r="ABY53" s="5">
        <f>-IFERROR('4. NPV'!ABZ23/'4. NPV'!ABZ$8,0)</f>
        <v>-0.0</v>
      </c>
      <c r="ABZ53" s="5">
        <f>-IFERROR('4. NPV'!ACA23/'4. NPV'!ACA$8,0)</f>
        <v>-0.0</v>
      </c>
      <c r="ACA53" s="5">
        <f>-IFERROR('4. NPV'!ACB23/'4. NPV'!ACB$8,0)</f>
        <v>-0.0</v>
      </c>
      <c r="ACB53" s="5">
        <f>-IFERROR('4. NPV'!ACC23/'4. NPV'!ACC$8,0)</f>
        <v>-0.0</v>
      </c>
      <c r="ACC53" s="5">
        <f>-IFERROR('4. NPV'!ACD23/'4. NPV'!ACD$8,0)</f>
        <v>-0.0</v>
      </c>
      <c r="ACD53" s="5">
        <f>-IFERROR('4. NPV'!ACE23/'4. NPV'!ACE$8,0)</f>
        <v>-0.0</v>
      </c>
      <c r="ACE53" s="5">
        <f>-IFERROR('4. NPV'!ACF23/'4. NPV'!ACF$8,0)</f>
        <v>-0.0</v>
      </c>
      <c r="ACF53" s="5">
        <f>-IFERROR('4. NPV'!ACG23/'4. NPV'!ACG$8,0)</f>
        <v>-0.0</v>
      </c>
      <c r="ACG53" s="5">
        <f>-IFERROR('4. NPV'!ACH23/'4. NPV'!ACH$8,0)</f>
        <v>-0.0</v>
      </c>
      <c r="ACH53" s="5">
        <f>-IFERROR('4. NPV'!ACI23/'4. NPV'!ACI$8,0)</f>
        <v>-0.0</v>
      </c>
      <c r="ACI53" s="5">
        <f>-IFERROR('4. NPV'!ACJ23/'4. NPV'!ACJ$8,0)</f>
        <v>-0.0</v>
      </c>
      <c r="ACJ53" s="5">
        <f>-IFERROR('4. NPV'!ACK23/'4. NPV'!ACK$8,0)</f>
        <v>-0.0</v>
      </c>
      <c r="ACK53" s="5">
        <f>-IFERROR('4. NPV'!ACL23/'4. NPV'!ACL$8,0)</f>
        <v>-0.0</v>
      </c>
      <c r="ACL53" s="5">
        <f>-IFERROR('4. NPV'!ACM23/'4. NPV'!ACM$8,0)</f>
        <v>-0.0</v>
      </c>
      <c r="ACM53" s="5">
        <f>-IFERROR('4. NPV'!ACN23/'4. NPV'!ACN$8,0)</f>
        <v>-0.0</v>
      </c>
      <c r="ACN53" s="5">
        <f>-IFERROR('4. NPV'!ACO23/'4. NPV'!ACO$8,0)</f>
        <v>-0.0</v>
      </c>
      <c r="ACO53" s="5">
        <f>-IFERROR('4. NPV'!ACP23/'4. NPV'!ACP$8,0)</f>
        <v>-0.0</v>
      </c>
      <c r="ACP53" s="5">
        <f>-IFERROR('4. NPV'!ACQ23/'4. NPV'!ACQ$8,0)</f>
        <v>-0.0</v>
      </c>
      <c r="ACQ53" s="5">
        <f>-IFERROR('4. NPV'!ACR23/'4. NPV'!ACR$8,0)</f>
        <v>-0.0</v>
      </c>
      <c r="ACR53" s="5">
        <f>-IFERROR('4. NPV'!ACS23/'4. NPV'!ACS$8,0)</f>
        <v>-0.0</v>
      </c>
      <c r="ACS53" s="5">
        <f>-IFERROR('4. NPV'!ACT23/'4. NPV'!ACT$8,0)</f>
        <v>-0.0</v>
      </c>
      <c r="ACT53" s="5">
        <f>-IFERROR('4. NPV'!ACU23/'4. NPV'!ACU$8,0)</f>
        <v>-0.0</v>
      </c>
      <c r="ACU53" s="5">
        <f>-IFERROR('4. NPV'!ACV23/'4. NPV'!ACV$8,0)</f>
        <v>-0.0</v>
      </c>
      <c r="ACV53" s="5">
        <f>-IFERROR('4. NPV'!ACW23/'4. NPV'!ACW$8,0)</f>
        <v>-0.0</v>
      </c>
      <c r="ACW53" s="5">
        <f>-IFERROR('4. NPV'!ACX23/'4. NPV'!ACX$8,0)</f>
        <v>-0.0</v>
      </c>
      <c r="ACX53" s="5">
        <f>-IFERROR('4. NPV'!ACY23/'4. NPV'!ACY$8,0)</f>
        <v>-0.0</v>
      </c>
      <c r="ACY53" s="5">
        <f>-IFERROR('4. NPV'!ACZ23/'4. NPV'!ACZ$8,0)</f>
        <v>-0.0</v>
      </c>
      <c r="ACZ53" s="5">
        <f>-IFERROR('4. NPV'!ADA23/'4. NPV'!ADA$8,0)</f>
        <v>-0.0</v>
      </c>
      <c r="ADA53" s="5">
        <f>-IFERROR('4. NPV'!ADB23/'4. NPV'!ADB$8,0)</f>
        <v>-0.0</v>
      </c>
      <c r="ADB53" s="5">
        <f>-IFERROR('4. NPV'!ADC23/'4. NPV'!ADC$8,0)</f>
        <v>-0.0</v>
      </c>
      <c r="ADC53" s="5">
        <f>-IFERROR('4. NPV'!ADD23/'4. NPV'!ADD$8,0)</f>
        <v>-0.0</v>
      </c>
      <c r="ADD53" s="5">
        <f>-IFERROR('4. NPV'!ADE23/'4. NPV'!ADE$8,0)</f>
        <v>-0.0</v>
      </c>
      <c r="ADE53" s="5">
        <f>-IFERROR('4. NPV'!ADF23/'4. NPV'!ADF$8,0)</f>
        <v>-0.0</v>
      </c>
      <c r="ADF53" s="5">
        <f>-IFERROR('4. NPV'!ADG23/'4. NPV'!ADG$8,0)</f>
        <v>-0.0</v>
      </c>
      <c r="ADG53" s="5">
        <f>-IFERROR('4. NPV'!ADH23/'4. NPV'!ADH$8,0)</f>
        <v>-0.0</v>
      </c>
      <c r="ADH53" s="5">
        <f>-IFERROR('4. NPV'!ADI23/'4. NPV'!ADI$8,0)</f>
        <v>-0.0</v>
      </c>
      <c r="ADI53" s="5">
        <f>-IFERROR('4. NPV'!ADJ23/'4. NPV'!ADJ$8,0)</f>
        <v>-0.0</v>
      </c>
      <c r="ADJ53" s="5">
        <f>-IFERROR('4. NPV'!ADK23/'4. NPV'!ADK$8,0)</f>
        <v>-0.0</v>
      </c>
      <c r="ADK53" s="5">
        <f>-IFERROR('4. NPV'!ADL23/'4. NPV'!ADL$8,0)</f>
        <v>-0.0</v>
      </c>
      <c r="ADL53" s="5">
        <f>-IFERROR('4. NPV'!ADM23/'4. NPV'!ADM$8,0)</f>
        <v>-0.0</v>
      </c>
      <c r="ADM53" s="5">
        <f>-IFERROR('4. NPV'!ADN23/'4. NPV'!ADN$8,0)</f>
        <v>-0.0</v>
      </c>
      <c r="ADN53" s="5">
        <f>-IFERROR('4. NPV'!ADO23/'4. NPV'!ADO$8,0)</f>
        <v>-0.0</v>
      </c>
      <c r="ADO53" s="5">
        <f>-IFERROR('4. NPV'!ADP23/'4. NPV'!ADP$8,0)</f>
        <v>-0.0</v>
      </c>
      <c r="ADP53" s="5">
        <f>-IFERROR('4. NPV'!ADQ23/'4. NPV'!ADQ$8,0)</f>
        <v>-0.0</v>
      </c>
      <c r="ADQ53" s="5">
        <f>-IFERROR('4. NPV'!ADR23/'4. NPV'!ADR$8,0)</f>
        <v>-0.0</v>
      </c>
      <c r="ADR53" s="5">
        <f>-IFERROR('4. NPV'!ADS23/'4. NPV'!ADS$8,0)</f>
        <v>-0.0</v>
      </c>
      <c r="ADS53" s="5">
        <f>-IFERROR('4. NPV'!ADT23/'4. NPV'!ADT$8,0)</f>
        <v>-0.0</v>
      </c>
      <c r="ADT53" s="5">
        <f>-IFERROR('4. NPV'!ADU23/'4. NPV'!ADU$8,0)</f>
        <v>-0.0</v>
      </c>
      <c r="ADU53" s="5">
        <f>-IFERROR('4. NPV'!ADV23/'4. NPV'!ADV$8,0)</f>
        <v>-0.0</v>
      </c>
      <c r="ADV53" s="5">
        <f>-IFERROR('4. NPV'!ADW23/'4. NPV'!ADW$8,0)</f>
        <v>-0.0</v>
      </c>
      <c r="ADW53" s="5">
        <f>-IFERROR('4. NPV'!ADX23/'4. NPV'!ADX$8,0)</f>
        <v>-0.0</v>
      </c>
      <c r="ADX53" s="5">
        <f>-IFERROR('4. NPV'!ADY23/'4. NPV'!ADY$8,0)</f>
        <v>-0.0</v>
      </c>
      <c r="ADY53" s="5">
        <f>-IFERROR('4. NPV'!ADZ23/'4. NPV'!ADZ$8,0)</f>
        <v>-0.0</v>
      </c>
      <c r="ADZ53" s="5">
        <f>-IFERROR('4. NPV'!AEA23/'4. NPV'!AEA$8,0)</f>
        <v>-0.0</v>
      </c>
      <c r="AEA53" s="5">
        <f>-IFERROR('4. NPV'!AEB23/'4. NPV'!AEB$8,0)</f>
        <v>-0.0</v>
      </c>
      <c r="AEB53" s="5">
        <f>-IFERROR('4. NPV'!AEC23/'4. NPV'!AEC$8,0)</f>
        <v>-0.0</v>
      </c>
      <c r="AEC53" s="5">
        <f>-IFERROR('4. NPV'!AED23/'4. NPV'!AED$8,0)</f>
        <v>-0.0</v>
      </c>
      <c r="AED53" s="5">
        <f>-IFERROR('4. NPV'!AEE23/'4. NPV'!AEE$8,0)</f>
        <v>-0.0</v>
      </c>
      <c r="AEE53" s="5">
        <f>-IFERROR('4. NPV'!AEF23/'4. NPV'!AEF$8,0)</f>
        <v>-0.0</v>
      </c>
      <c r="AEF53" s="5">
        <f>-IFERROR('4. NPV'!AEG23/'4. NPV'!AEG$8,0)</f>
        <v>-0.0</v>
      </c>
      <c r="AEG53" s="5">
        <f>-IFERROR('4. NPV'!AEH23/'4. NPV'!AEH$8,0)</f>
        <v>-0.0</v>
      </c>
      <c r="AEH53" s="5">
        <f>-IFERROR('4. NPV'!AEI23/'4. NPV'!AEI$8,0)</f>
        <v>-0.0</v>
      </c>
      <c r="AEI53" s="5">
        <f>-IFERROR('4. NPV'!AEJ23/'4. NPV'!AEJ$8,0)</f>
        <v>-0.0</v>
      </c>
      <c r="AEJ53" s="5">
        <f>-IFERROR('4. NPV'!AEK23/'4. NPV'!AEK$8,0)</f>
        <v>-0.0</v>
      </c>
      <c r="AEK53" s="5">
        <f>-IFERROR('4. NPV'!AEL23/'4. NPV'!AEL$8,0)</f>
        <v>-0.0</v>
      </c>
      <c r="AEL53" s="5">
        <f>-IFERROR('4. NPV'!AEM23/'4. NPV'!AEM$8,0)</f>
        <v>-0.0</v>
      </c>
      <c r="AEM53" s="5">
        <f>-IFERROR('4. NPV'!AEN23/'4. NPV'!AEN$8,0)</f>
        <v>-0.0</v>
      </c>
      <c r="AEN53" s="5">
        <f>-IFERROR('4. NPV'!AEO23/'4. NPV'!AEO$8,0)</f>
        <v>-0.0</v>
      </c>
      <c r="AEO53" s="5">
        <f>-IFERROR('4. NPV'!AEP23/'4. NPV'!AEP$8,0)</f>
        <v>-0.0</v>
      </c>
      <c r="AEP53" s="5">
        <f>-IFERROR('4. NPV'!AEQ23/'4. NPV'!AEQ$8,0)</f>
        <v>-0.0</v>
      </c>
      <c r="AEQ53" s="5">
        <f>-IFERROR('4. NPV'!AER23/'4. NPV'!AER$8,0)</f>
        <v>-0.0</v>
      </c>
      <c r="AER53" s="5">
        <f>-IFERROR('4. NPV'!AES23/'4. NPV'!AES$8,0)</f>
        <v>-0.0</v>
      </c>
      <c r="AES53" s="5">
        <f>-IFERROR('4. NPV'!AET23/'4. NPV'!AET$8,0)</f>
        <v>-0.0</v>
      </c>
      <c r="AET53" s="5">
        <f>-IFERROR('4. NPV'!AEU23/'4. NPV'!AEU$8,0)</f>
        <v>-0.0</v>
      </c>
      <c r="AEU53" s="5">
        <f>-IFERROR('4. NPV'!AEV23/'4. NPV'!AEV$8,0)</f>
        <v>-0.0</v>
      </c>
      <c r="AEV53" s="5">
        <f>-IFERROR('4. NPV'!AEW23/'4. NPV'!AEW$8,0)</f>
        <v>-0.0</v>
      </c>
      <c r="AEW53" s="5">
        <f>-IFERROR('4. NPV'!AEX23/'4. NPV'!AEX$8,0)</f>
        <v>-0.0</v>
      </c>
      <c r="AEX53" s="5">
        <f>-IFERROR('4. NPV'!AEY23/'4. NPV'!AEY$8,0)</f>
        <v>-0.0</v>
      </c>
      <c r="AEY53" s="5">
        <f>-IFERROR('4. NPV'!AEZ23/'4. NPV'!AEZ$8,0)</f>
        <v>-0.0</v>
      </c>
      <c r="AEZ53" s="5">
        <f>-IFERROR('4. NPV'!AFA23/'4. NPV'!AFA$8,0)</f>
        <v>-0.0</v>
      </c>
      <c r="AFA53" s="5">
        <f>-IFERROR('4. NPV'!AFB23/'4. NPV'!AFB$8,0)</f>
        <v>-0.0</v>
      </c>
      <c r="AFB53" s="5">
        <f>-IFERROR('4. NPV'!AFC23/'4. NPV'!AFC$8,0)</f>
        <v>-0.0</v>
      </c>
      <c r="AFC53" s="5">
        <f>-IFERROR('4. NPV'!AFD23/'4. NPV'!AFD$8,0)</f>
        <v>-0.0</v>
      </c>
      <c r="AFD53" s="5">
        <f>-IFERROR('4. NPV'!AFE23/'4. NPV'!AFE$8,0)</f>
        <v>-0.0</v>
      </c>
      <c r="AFE53" s="5">
        <f>-IFERROR('4. NPV'!AFF23/'4. NPV'!AFF$8,0)</f>
        <v>-0.0</v>
      </c>
      <c r="AFF53" s="5">
        <f>-IFERROR('4. NPV'!AFG23/'4. NPV'!AFG$8,0)</f>
        <v>-0.0</v>
      </c>
      <c r="AFG53" s="5">
        <f>-IFERROR('4. NPV'!AFH23/'4. NPV'!AFH$8,0)</f>
        <v>-0.0</v>
      </c>
      <c r="AFH53" s="5">
        <f>-IFERROR('4. NPV'!AFI23/'4. NPV'!AFI$8,0)</f>
        <v>-0.0</v>
      </c>
      <c r="AFI53" s="5">
        <f>-IFERROR('4. NPV'!AFJ23/'4. NPV'!AFJ$8,0)</f>
        <v>-0.0</v>
      </c>
      <c r="AFJ53" s="5">
        <f>-IFERROR('4. NPV'!AFK23/'4. NPV'!AFK$8,0)</f>
        <v>-0.0</v>
      </c>
      <c r="AFK53" s="5">
        <f>-IFERROR('4. NPV'!AFL23/'4. NPV'!AFL$8,0)</f>
        <v>-0.0</v>
      </c>
      <c r="AFL53" s="5">
        <f>-IFERROR('4. NPV'!AFM23/'4. NPV'!AFM$8,0)</f>
        <v>-0.0</v>
      </c>
      <c r="AFM53" s="5">
        <f>-IFERROR('4. NPV'!AFN23/'4. NPV'!AFN$8,0)</f>
        <v>-0.0</v>
      </c>
      <c r="AFN53" s="5">
        <f>-IFERROR('4. NPV'!AFO23/'4. NPV'!AFO$8,0)</f>
        <v>-0.0</v>
      </c>
      <c r="AFO53" s="5">
        <f>-IFERROR('4. NPV'!AFP23/'4. NPV'!AFP$8,0)</f>
        <v>-0.0</v>
      </c>
      <c r="AFP53" s="5">
        <f>-IFERROR('4. NPV'!AFQ23/'4. NPV'!AFQ$8,0)</f>
        <v>-0.0</v>
      </c>
      <c r="AFQ53" s="5">
        <f>-IFERROR('4. NPV'!AFR23/'4. NPV'!AFR$8,0)</f>
        <v>-0.0</v>
      </c>
      <c r="AFR53" s="5">
        <f>-IFERROR('4. NPV'!AFS23/'4. NPV'!AFS$8,0)</f>
        <v>-0.0</v>
      </c>
      <c r="AFS53" s="5">
        <f>-IFERROR('4. NPV'!AFT23/'4. NPV'!AFT$8,0)</f>
        <v>-0.0</v>
      </c>
      <c r="AFT53" s="5">
        <f>-IFERROR('4. NPV'!AFU23/'4. NPV'!AFU$8,0)</f>
        <v>-0.0</v>
      </c>
      <c r="AFU53" s="5">
        <f>-IFERROR('4. NPV'!AFV23/'4. NPV'!AFV$8,0)</f>
        <v>-0.0</v>
      </c>
      <c r="AFV53" s="5">
        <f>-IFERROR('4. NPV'!AFW23/'4. NPV'!AFW$8,0)</f>
        <v>-0.0</v>
      </c>
      <c r="AFW53" s="5">
        <f>-IFERROR('4. NPV'!AFX23/'4. NPV'!AFX$8,0)</f>
        <v>-0.0</v>
      </c>
      <c r="AFX53" s="5">
        <f>-IFERROR('4. NPV'!AFY23/'4. NPV'!AFY$8,0)</f>
        <v>-0.0</v>
      </c>
      <c r="AFY53" s="5">
        <f>-IFERROR('4. NPV'!AFZ23/'4. NPV'!AFZ$8,0)</f>
        <v>-0.0</v>
      </c>
      <c r="AFZ53" s="5">
        <f>-IFERROR('4. NPV'!AGA23/'4. NPV'!AGA$8,0)</f>
        <v>-0.0</v>
      </c>
      <c r="AGA53" s="5">
        <f>-IFERROR('4. NPV'!AGB23/'4. NPV'!AGB$8,0)</f>
        <v>-0.0</v>
      </c>
      <c r="AGB53" s="5">
        <f>-IFERROR('4. NPV'!AGC23/'4. NPV'!AGC$8,0)</f>
        <v>-0.0</v>
      </c>
      <c r="AGC53" s="5">
        <f>-IFERROR('4. NPV'!AGD23/'4. NPV'!AGD$8,0)</f>
        <v>-0.0</v>
      </c>
      <c r="AGD53" s="5">
        <f>-IFERROR('4. NPV'!AGE23/'4. NPV'!AGE$8,0)</f>
        <v>-0.0</v>
      </c>
      <c r="AGE53" s="5">
        <f>-IFERROR('4. NPV'!AGF23/'4. NPV'!AGF$8,0)</f>
        <v>-0.0</v>
      </c>
      <c r="AGF53" s="5">
        <f>-IFERROR('4. NPV'!AGG23/'4. NPV'!AGG$8,0)</f>
        <v>-0.0</v>
      </c>
      <c r="AGG53" s="5">
        <f>-IFERROR('4. NPV'!AGH23/'4. NPV'!AGH$8,0)</f>
        <v>-0.0</v>
      </c>
      <c r="AGH53" s="5">
        <f>-IFERROR('4. NPV'!AGI23/'4. NPV'!AGI$8,0)</f>
        <v>-0.0</v>
      </c>
      <c r="AGI53" s="5">
        <f>-IFERROR('4. NPV'!AGJ23/'4. NPV'!AGJ$8,0)</f>
        <v>-0.0</v>
      </c>
      <c r="AGJ53" s="5">
        <f>-IFERROR('4. NPV'!AGK23/'4. NPV'!AGK$8,0)</f>
        <v>-0.0</v>
      </c>
      <c r="AGK53" s="5">
        <f>-IFERROR('4. NPV'!AGL23/'4. NPV'!AGL$8,0)</f>
        <v>-0.0</v>
      </c>
      <c r="AGL53" s="5">
        <f>-IFERROR('4. NPV'!AGM23/'4. NPV'!AGM$8,0)</f>
        <v>-0.0</v>
      </c>
      <c r="AGM53" s="5">
        <f>-IFERROR('4. NPV'!AGN23/'4. NPV'!AGN$8,0)</f>
        <v>-0.0</v>
      </c>
      <c r="AGN53" s="5">
        <f>-IFERROR('4. NPV'!AGO23/'4. NPV'!AGO$8,0)</f>
        <v>-0.0</v>
      </c>
      <c r="AGO53" s="5">
        <f>-IFERROR('4. NPV'!AGP23/'4. NPV'!AGP$8,0)</f>
        <v>-0.0</v>
      </c>
      <c r="AGP53" s="5">
        <f>-IFERROR('4. NPV'!AGQ23/'4. NPV'!AGQ$8,0)</f>
        <v>-0.0</v>
      </c>
      <c r="AGQ53" s="5">
        <f>-IFERROR('4. NPV'!AGR23/'4. NPV'!AGR$8,0)</f>
        <v>-0.0</v>
      </c>
      <c r="AGR53" s="5">
        <f>-IFERROR('4. NPV'!AGS23/'4. NPV'!AGS$8,0)</f>
        <v>-0.0</v>
      </c>
      <c r="AGS53" s="5">
        <f>-IFERROR('4. NPV'!AGT23/'4. NPV'!AGT$8,0)</f>
        <v>-0.0</v>
      </c>
      <c r="AGT53" s="5">
        <f>-IFERROR('4. NPV'!AGU23/'4. NPV'!AGU$8,0)</f>
        <v>-0.0</v>
      </c>
      <c r="AGU53" s="5">
        <f>-IFERROR('4. NPV'!AGV23/'4. NPV'!AGV$8,0)</f>
        <v>-0.0</v>
      </c>
      <c r="AGV53" s="5">
        <f>-IFERROR('4. NPV'!AGW23/'4. NPV'!AGW$8,0)</f>
        <v>-0.0</v>
      </c>
      <c r="AGW53" s="5">
        <f>-IFERROR('4. NPV'!AGX23/'4. NPV'!AGX$8,0)</f>
        <v>-0.0</v>
      </c>
      <c r="AGX53" s="5">
        <f>-IFERROR('4. NPV'!AGY23/'4. NPV'!AGY$8,0)</f>
        <v>-0.0</v>
      </c>
      <c r="AGY53" s="5">
        <f>-IFERROR('4. NPV'!AGZ23/'4. NPV'!AGZ$8,0)</f>
        <v>-0.0</v>
      </c>
      <c r="AGZ53" s="5">
        <f>-IFERROR('4. NPV'!AHA23/'4. NPV'!AHA$8,0)</f>
        <v>-0.0</v>
      </c>
      <c r="AHA53" s="5">
        <f>-IFERROR('4. NPV'!AHB23/'4. NPV'!AHB$8,0)</f>
        <v>-0.0</v>
      </c>
      <c r="AHB53" s="5">
        <f>-IFERROR('4. NPV'!AHC23/'4. NPV'!AHC$8,0)</f>
        <v>-0.0</v>
      </c>
      <c r="AHC53" s="5">
        <f>-IFERROR('4. NPV'!AHD23/'4. NPV'!AHD$8,0)</f>
        <v>-0.0</v>
      </c>
      <c r="AHD53" s="5">
        <f>-IFERROR('4. NPV'!AHE23/'4. NPV'!AHE$8,0)</f>
        <v>-0.0</v>
      </c>
      <c r="AHE53" s="5">
        <f>-IFERROR('4. NPV'!AHF23/'4. NPV'!AHF$8,0)</f>
        <v>-0.0</v>
      </c>
      <c r="AHF53" s="5">
        <f>-IFERROR('4. NPV'!AHG23/'4. NPV'!AHG$8,0)</f>
        <v>-0.0</v>
      </c>
      <c r="AHG53" s="5">
        <f>-IFERROR('4. NPV'!AHH23/'4. NPV'!AHH$8,0)</f>
        <v>-0.0</v>
      </c>
      <c r="AHH53" s="5">
        <f>-IFERROR('4. NPV'!AHI23/'4. NPV'!AHI$8,0)</f>
        <v>-0.0</v>
      </c>
      <c r="AHI53" s="5">
        <f>-IFERROR('4. NPV'!AHJ23/'4. NPV'!AHJ$8,0)</f>
        <v>-0.0</v>
      </c>
      <c r="AHJ53" s="5">
        <f>-IFERROR('4. NPV'!AHK23/'4. NPV'!AHK$8,0)</f>
        <v>-0.0</v>
      </c>
      <c r="AHK53" s="5">
        <f>-IFERROR('4. NPV'!AHL23/'4. NPV'!AHL$8,0)</f>
        <v>-0.0</v>
      </c>
      <c r="AHL53" s="5">
        <f>-IFERROR('4. NPV'!AHM23/'4. NPV'!AHM$8,0)</f>
        <v>-0.0</v>
      </c>
      <c r="AHM53" s="5">
        <f>-IFERROR('4. NPV'!AHN23/'4. NPV'!AHN$8,0)</f>
        <v>-0.0</v>
      </c>
      <c r="AHN53" s="5">
        <f>-IFERROR('4. NPV'!AHO23/'4. NPV'!AHO$8,0)</f>
        <v>-0.0</v>
      </c>
      <c r="AHO53" s="5">
        <f>-IFERROR('4. NPV'!AHP23/'4. NPV'!AHP$8,0)</f>
        <v>-0.0</v>
      </c>
      <c r="AHP53" s="5">
        <f>-IFERROR('4. NPV'!AHQ23/'4. NPV'!AHQ$8,0)</f>
        <v>-0.0</v>
      </c>
      <c r="AHQ53" s="5">
        <f>-IFERROR('4. NPV'!AHR23/'4. NPV'!AHR$8,0)</f>
        <v>-0.0</v>
      </c>
      <c r="AHR53" s="5">
        <f>-IFERROR('4. NPV'!AHS23/'4. NPV'!AHS$8,0)</f>
        <v>-0.0</v>
      </c>
      <c r="AHS53" s="5">
        <f>-IFERROR('4. NPV'!AHT23/'4. NPV'!AHT$8,0)</f>
        <v>-0.0</v>
      </c>
      <c r="AHT53" s="5">
        <f>-IFERROR('4. NPV'!AHU23/'4. NPV'!AHU$8,0)</f>
        <v>-0.0</v>
      </c>
      <c r="AHU53" s="5">
        <f>-IFERROR('4. NPV'!AHV23/'4. NPV'!AHV$8,0)</f>
        <v>-0.0</v>
      </c>
      <c r="AHV53" s="5">
        <f>-IFERROR('4. NPV'!AHW23/'4. NPV'!AHW$8,0)</f>
        <v>-0.0</v>
      </c>
      <c r="AHW53" s="5">
        <f>-IFERROR('4. NPV'!AHX23/'4. NPV'!AHX$8,0)</f>
        <v>-0.0</v>
      </c>
      <c r="AHX53" s="5">
        <f>-IFERROR('4. NPV'!AHY23/'4. NPV'!AHY$8,0)</f>
        <v>-0.0</v>
      </c>
      <c r="AHY53" s="5">
        <f>-IFERROR('4. NPV'!AHZ23/'4. NPV'!AHZ$8,0)</f>
        <v>-0.0</v>
      </c>
      <c r="AHZ53" s="5">
        <f>-IFERROR('4. NPV'!AIA23/'4. NPV'!AIA$8,0)</f>
        <v>-0.0</v>
      </c>
      <c r="AIA53" s="5">
        <f>-IFERROR('4. NPV'!AIB23/'4. NPV'!AIB$8,0)</f>
        <v>-0.0</v>
      </c>
      <c r="AIB53" s="5">
        <f>-IFERROR('4. NPV'!AIC23/'4. NPV'!AIC$8,0)</f>
        <v>-0.0</v>
      </c>
      <c r="AIC53" s="5">
        <f>-IFERROR('4. NPV'!AID23/'4. NPV'!AID$8,0)</f>
        <v>-0.0</v>
      </c>
      <c r="AID53" s="5">
        <f>-IFERROR('4. NPV'!AIE23/'4. NPV'!AIE$8,0)</f>
        <v>-0.0</v>
      </c>
      <c r="AIE53" s="5">
        <f>-IFERROR('4. NPV'!AIF23/'4. NPV'!AIF$8,0)</f>
        <v>-0.0</v>
      </c>
      <c r="AIF53" s="5">
        <f>-IFERROR('4. NPV'!AIG23/'4. NPV'!AIG$8,0)</f>
        <v>-0.0</v>
      </c>
      <c r="AIG53" s="5">
        <f>-IFERROR('4. NPV'!AIH23/'4. NPV'!AIH$8,0)</f>
        <v>-0.0</v>
      </c>
      <c r="AIH53" s="5">
        <f>-IFERROR('4. NPV'!AII23/'4. NPV'!AII$8,0)</f>
        <v>-0.0</v>
      </c>
      <c r="AII53" s="5">
        <f>-IFERROR('4. NPV'!AIJ23/'4. NPV'!AIJ$8,0)</f>
        <v>-0.0</v>
      </c>
      <c r="AIJ53" s="5">
        <f>-IFERROR('4. NPV'!AIK23/'4. NPV'!AIK$8,0)</f>
        <v>-0.0</v>
      </c>
      <c r="AIK53" s="5">
        <f>-IFERROR('4. NPV'!AIL23/'4. NPV'!AIL$8,0)</f>
        <v>-0.0</v>
      </c>
      <c r="AIL53" s="5">
        <f>-IFERROR('4. NPV'!AIM23/'4. NPV'!AIM$8,0)</f>
        <v>-0.0</v>
      </c>
      <c r="AIM53" s="5">
        <f>-IFERROR('4. NPV'!AIN23/'4. NPV'!AIN$8,0)</f>
        <v>-0.0</v>
      </c>
      <c r="AIN53" s="5">
        <f>-IFERROR('4. NPV'!AIO23/'4. NPV'!AIO$8,0)</f>
        <v>-0.0</v>
      </c>
      <c r="AIO53" s="5">
        <f>-IFERROR('4. NPV'!AIP23/'4. NPV'!AIP$8,0)</f>
        <v>-0.0</v>
      </c>
      <c r="AIP53" s="5">
        <f>-IFERROR('4. NPV'!AIQ23/'4. NPV'!AIQ$8,0)</f>
        <v>-0.0</v>
      </c>
      <c r="AIQ53" s="5">
        <f>-IFERROR('4. NPV'!AIR23/'4. NPV'!AIR$8,0)</f>
        <v>-0.0</v>
      </c>
      <c r="AIR53" s="5">
        <f>-IFERROR('4. NPV'!AIS23/'4. NPV'!AIS$8,0)</f>
        <v>-0.0</v>
      </c>
      <c r="AIS53" s="5">
        <f>-IFERROR('4. NPV'!AIT23/'4. NPV'!AIT$8,0)</f>
        <v>-0.0</v>
      </c>
      <c r="AIT53" s="5">
        <f>-IFERROR('4. NPV'!AIU23/'4. NPV'!AIU$8,0)</f>
        <v>-0.0</v>
      </c>
      <c r="AIU53" s="5">
        <f>-IFERROR('4. NPV'!AIV23/'4. NPV'!AIV$8,0)</f>
        <v>-0.0</v>
      </c>
      <c r="AIV53" s="5">
        <f>-IFERROR('4. NPV'!AIW23/'4. NPV'!AIW$8,0)</f>
        <v>-0.0</v>
      </c>
      <c r="AIW53" s="5">
        <f>-IFERROR('4. NPV'!AIX23/'4. NPV'!AIX$8,0)</f>
        <v>-0.0</v>
      </c>
      <c r="AIX53" s="5">
        <f>-IFERROR('4. NPV'!AIY23/'4. NPV'!AIY$8,0)</f>
        <v>-0.0</v>
      </c>
      <c r="AIY53" s="5">
        <f>-IFERROR('4. NPV'!AIZ23/'4. NPV'!AIZ$8,0)</f>
        <v>-0.0</v>
      </c>
      <c r="AIZ53" s="5">
        <f>-IFERROR('4. NPV'!AJA23/'4. NPV'!AJA$8,0)</f>
        <v>-0.0</v>
      </c>
      <c r="AJA53" s="5">
        <f>-IFERROR('4. NPV'!AJB23/'4. NPV'!AJB$8,0)</f>
        <v>-0.0</v>
      </c>
      <c r="AJB53" s="5">
        <f>-IFERROR('4. NPV'!AJC23/'4. NPV'!AJC$8,0)</f>
        <v>-0.0</v>
      </c>
      <c r="AJC53" s="5">
        <f>-IFERROR('4. NPV'!AJD23/'4. NPV'!AJD$8,0)</f>
        <v>-0.0</v>
      </c>
      <c r="AJD53" s="5">
        <f>-IFERROR('4. NPV'!AJE23/'4. NPV'!AJE$8,0)</f>
        <v>-0.0</v>
      </c>
      <c r="AJE53" s="5">
        <f>-IFERROR('4. NPV'!AJF23/'4. NPV'!AJF$8,0)</f>
        <v>-0.0</v>
      </c>
      <c r="AJF53" s="5">
        <f>-IFERROR('4. NPV'!AJG23/'4. NPV'!AJG$8,0)</f>
        <v>-0.0</v>
      </c>
      <c r="AJG53" s="5">
        <f>-IFERROR('4. NPV'!AJH23/'4. NPV'!AJH$8,0)</f>
        <v>-0.0</v>
      </c>
      <c r="AJH53" s="5">
        <f>-IFERROR('4. NPV'!AJI23/'4. NPV'!AJI$8,0)</f>
        <v>-0.0</v>
      </c>
      <c r="AJI53" s="5">
        <f>-IFERROR('4. NPV'!AJJ23/'4. NPV'!AJJ$8,0)</f>
        <v>-0.0</v>
      </c>
      <c r="AJJ53" s="5">
        <f>-IFERROR('4. NPV'!AJK23/'4. NPV'!AJK$8,0)</f>
        <v>-0.0</v>
      </c>
      <c r="AJK53" s="5">
        <f>-IFERROR('4. NPV'!AJL23/'4. NPV'!AJL$8,0)</f>
        <v>-0.0</v>
      </c>
      <c r="AJL53" s="5">
        <f>-IFERROR('4. NPV'!AJM23/'4. NPV'!AJM$8,0)</f>
        <v>-0.0</v>
      </c>
      <c r="AJM53" s="5">
        <f>-IFERROR('4. NPV'!AJN23/'4. NPV'!AJN$8,0)</f>
        <v>-0.0</v>
      </c>
      <c r="AJN53" s="5">
        <f>-IFERROR('4. NPV'!AJO23/'4. NPV'!AJO$8,0)</f>
        <v>-0.0</v>
      </c>
      <c r="AJO53" s="5">
        <f>-IFERROR('4. NPV'!AJP23/'4. NPV'!AJP$8,0)</f>
        <v>-0.0</v>
      </c>
      <c r="AJP53" s="5">
        <f>-IFERROR('4. NPV'!AJQ23/'4. NPV'!AJQ$8,0)</f>
        <v>-0.0</v>
      </c>
      <c r="AJQ53" s="5">
        <f>-IFERROR('4. NPV'!AJR23/'4. NPV'!AJR$8,0)</f>
        <v>-0.0</v>
      </c>
      <c r="AJR53" s="5">
        <f>-IFERROR('4. NPV'!AJS23/'4. NPV'!AJS$8,0)</f>
        <v>-0.0</v>
      </c>
      <c r="AJS53" s="5">
        <f>-IFERROR('4. NPV'!AJT23/'4. NPV'!AJT$8,0)</f>
        <v>-0.0</v>
      </c>
      <c r="AJT53" s="5">
        <f>-IFERROR('4. NPV'!AJU23/'4. NPV'!AJU$8,0)</f>
        <v>-0.0</v>
      </c>
      <c r="AJU53" s="5">
        <f>-IFERROR('4. NPV'!AJV23/'4. NPV'!AJV$8,0)</f>
        <v>-0.0</v>
      </c>
      <c r="AJV53" s="5">
        <f>-IFERROR('4. NPV'!AJW23/'4. NPV'!AJW$8,0)</f>
        <v>-0.0</v>
      </c>
      <c r="AJW53" s="5">
        <f>-IFERROR('4. NPV'!AJX23/'4. NPV'!AJX$8,0)</f>
        <v>-0.0</v>
      </c>
      <c r="AJX53" s="5">
        <f>-IFERROR('4. NPV'!AJY23/'4. NPV'!AJY$8,0)</f>
        <v>-0.0</v>
      </c>
      <c r="AJY53" s="5">
        <f>-IFERROR('4. NPV'!AJZ23/'4. NPV'!AJZ$8,0)</f>
        <v>-0.0</v>
      </c>
      <c r="AJZ53" s="5">
        <f>-IFERROR('4. NPV'!AKA23/'4. NPV'!AKA$8,0)</f>
        <v>-0.0</v>
      </c>
      <c r="AKA53" s="5">
        <f>-IFERROR('4. NPV'!AKB23/'4. NPV'!AKB$8,0)</f>
        <v>-0.0</v>
      </c>
      <c r="AKB53" s="5">
        <f>-IFERROR('4. NPV'!AKC23/'4. NPV'!AKC$8,0)</f>
        <v>-0.0</v>
      </c>
      <c r="AKC53" s="5">
        <f>-IFERROR('4. NPV'!AKD23/'4. NPV'!AKD$8,0)</f>
        <v>-0.0</v>
      </c>
      <c r="AKD53" s="5">
        <f>-IFERROR('4. NPV'!AKE23/'4. NPV'!AKE$8,0)</f>
        <v>-0.0</v>
      </c>
      <c r="AKE53" s="5">
        <f>-IFERROR('4. NPV'!AKF23/'4. NPV'!AKF$8,0)</f>
        <v>-0.0</v>
      </c>
      <c r="AKF53" s="5">
        <f>-IFERROR('4. NPV'!AKG23/'4. NPV'!AKG$8,0)</f>
        <v>-0.0</v>
      </c>
      <c r="AKG53" s="5">
        <f>-IFERROR('4. NPV'!AKH23/'4. NPV'!AKH$8,0)</f>
        <v>-0.0</v>
      </c>
      <c r="AKH53" s="5">
        <f>-IFERROR('4. NPV'!AKI23/'4. NPV'!AKI$8,0)</f>
        <v>-0.0</v>
      </c>
      <c r="AKI53" s="5">
        <f>-IFERROR('4. NPV'!AKJ23/'4. NPV'!AKJ$8,0)</f>
        <v>-0.0</v>
      </c>
      <c r="AKJ53" s="5">
        <f>-IFERROR('4. NPV'!AKK23/'4. NPV'!AKK$8,0)</f>
        <v>-0.0</v>
      </c>
      <c r="AKK53" s="5">
        <f>-IFERROR('4. NPV'!AKL23/'4. NPV'!AKL$8,0)</f>
        <v>-0.0</v>
      </c>
      <c r="AKL53" s="5">
        <f>-IFERROR('4. NPV'!AKM23/'4. NPV'!AKM$8,0)</f>
        <v>-0.0</v>
      </c>
      <c r="AKM53" s="5">
        <f>-IFERROR('4. NPV'!AKN23/'4. NPV'!AKN$8,0)</f>
        <v>-0.0</v>
      </c>
      <c r="AKN53" s="5">
        <f>-IFERROR('4. NPV'!AKO23/'4. NPV'!AKO$8,0)</f>
        <v>-0.0</v>
      </c>
      <c r="AKO53" s="5">
        <f>-IFERROR('4. NPV'!AKP23/'4. NPV'!AKP$8,0)</f>
        <v>-0.0</v>
      </c>
      <c r="AKP53" s="5">
        <f>-IFERROR('4. NPV'!AKQ23/'4. NPV'!AKQ$8,0)</f>
        <v>-0.0</v>
      </c>
      <c r="AKQ53" s="5">
        <f>-IFERROR('4. NPV'!AKR23/'4. NPV'!AKR$8,0)</f>
        <v>-0.0</v>
      </c>
      <c r="AKR53" s="5">
        <f>-IFERROR('4. NPV'!AKS23/'4. NPV'!AKS$8,0)</f>
        <v>-0.0</v>
      </c>
      <c r="AKS53" s="5">
        <f>-IFERROR('4. NPV'!AKT23/'4. NPV'!AKT$8,0)</f>
        <v>-0.0</v>
      </c>
      <c r="AKT53" s="5">
        <f>-IFERROR('4. NPV'!AKU23/'4. NPV'!AKU$8,0)</f>
        <v>-0.0</v>
      </c>
      <c r="AKU53" s="5">
        <f>-IFERROR('4. NPV'!AKV23/'4. NPV'!AKV$8,0)</f>
        <v>-0.0</v>
      </c>
      <c r="AKV53" s="5">
        <f>-IFERROR('4. NPV'!AKW23/'4. NPV'!AKW$8,0)</f>
        <v>-0.0</v>
      </c>
      <c r="AKW53" s="5">
        <f>-IFERROR('4. NPV'!AKX23/'4. NPV'!AKX$8,0)</f>
        <v>-0.0</v>
      </c>
      <c r="AKX53" s="5">
        <f>-IFERROR('4. NPV'!AKY23/'4. NPV'!AKY$8,0)</f>
        <v>-0.0</v>
      </c>
      <c r="AKY53" s="5">
        <f>-IFERROR('4. NPV'!AKZ23/'4. NPV'!AKZ$8,0)</f>
        <v>-0.0</v>
      </c>
      <c r="AKZ53" s="5">
        <f>-IFERROR('4. NPV'!ALA23/'4. NPV'!ALA$8,0)</f>
        <v>-0.0</v>
      </c>
      <c r="ALA53" s="5">
        <f>-IFERROR('4. NPV'!ALB23/'4. NPV'!ALB$8,0)</f>
        <v>-0.0</v>
      </c>
      <c r="ALB53" s="5">
        <f>-IFERROR('4. NPV'!ALC23/'4. NPV'!ALC$8,0)</f>
        <v>-0.0</v>
      </c>
      <c r="ALC53" s="5">
        <f>-IFERROR('4. NPV'!ALD23/'4. NPV'!ALD$8,0)</f>
        <v>-0.0</v>
      </c>
      <c r="ALD53" s="5">
        <f>-IFERROR('4. NPV'!ALE23/'4. NPV'!ALE$8,0)</f>
        <v>-0.0</v>
      </c>
      <c r="ALE53" s="5">
        <f>-IFERROR('4. NPV'!ALF23/'4. NPV'!ALF$8,0)</f>
        <v>-0.0</v>
      </c>
      <c r="ALF53" s="5">
        <f>-IFERROR('4. NPV'!ALG23/'4. NPV'!ALG$8,0)</f>
        <v>-0.0</v>
      </c>
      <c r="ALG53" s="5">
        <f>-IFERROR('4. NPV'!ALH23/'4. NPV'!ALH$8,0)</f>
        <v>-0.0</v>
      </c>
      <c r="ALH53" s="5">
        <f>-IFERROR('4. NPV'!ALI23/'4. NPV'!ALI$8,0)</f>
        <v>-0.0</v>
      </c>
      <c r="ALI53" s="5">
        <f>-IFERROR('4. NPV'!ALJ23/'4. NPV'!ALJ$8,0)</f>
        <v>-0.0</v>
      </c>
      <c r="ALJ53" s="5">
        <f>-IFERROR('4. NPV'!ALK23/'4. NPV'!ALK$8,0)</f>
        <v>-0.0</v>
      </c>
      <c r="ALK53" s="5">
        <f>-IFERROR('4. NPV'!ALL23/'4. NPV'!ALL$8,0)</f>
        <v>-0.0</v>
      </c>
      <c r="ALL53" s="5">
        <f>-IFERROR('4. NPV'!ALM23/'4. NPV'!ALM$8,0)</f>
        <v>-0.0</v>
      </c>
      <c r="ALM53" s="5">
        <f>-IFERROR('4. NPV'!ALN23/'4. NPV'!ALN$8,0)</f>
        <v>-0.0</v>
      </c>
      <c r="ALN53" s="5">
        <f>-IFERROR('4. NPV'!ALO23/'4. NPV'!ALO$8,0)</f>
        <v>-0.0</v>
      </c>
      <c r="ALO53" s="5">
        <f>-IFERROR('4. NPV'!ALP23/'4. NPV'!ALP$8,0)</f>
        <v>-0.0</v>
      </c>
      <c r="ALP53" s="5">
        <f>-IFERROR('4. NPV'!ALQ23/'4. NPV'!ALQ$8,0)</f>
        <v>-0.0</v>
      </c>
      <c r="ALQ53" s="5">
        <f>-IFERROR('4. NPV'!ALR23/'4. NPV'!ALR$8,0)</f>
        <v>-0.0</v>
      </c>
      <c r="ALR53" s="5">
        <f>-IFERROR('4. NPV'!ALS23/'4. NPV'!ALS$8,0)</f>
        <v>-0.0</v>
      </c>
      <c r="ALS53" s="5">
        <f>-IFERROR('4. NPV'!ALT23/'4. NPV'!ALT$8,0)</f>
        <v>-0.0</v>
      </c>
      <c r="ALT53" s="5">
        <f>-IFERROR('4. NPV'!ALU23/'4. NPV'!ALU$8,0)</f>
        <v>-0.0</v>
      </c>
      <c r="ALU53" s="5">
        <f>-IFERROR('4. NPV'!ALV23/'4. NPV'!ALV$8,0)</f>
        <v>-0.0</v>
      </c>
      <c r="ALV53" s="5">
        <f>-IFERROR('4. NPV'!ALW23/'4. NPV'!ALW$8,0)</f>
        <v>-0.0</v>
      </c>
      <c r="ALW53" s="5">
        <f>-IFERROR('4. NPV'!ALX23/'4. NPV'!ALX$8,0)</f>
        <v>-0.0</v>
      </c>
      <c r="ALX53" s="5">
        <f>-IFERROR('4. NPV'!ALY23/'4. NPV'!ALY$8,0)</f>
        <v>-0.0</v>
      </c>
      <c r="ALY53" s="5">
        <f>-IFERROR('4. NPV'!ALZ23/'4. NPV'!ALZ$8,0)</f>
        <v>-0.0</v>
      </c>
      <c r="ALZ53" s="5">
        <f>-IFERROR('4. NPV'!AMA23/'4. NPV'!AMA$8,0)</f>
        <v>-0.0</v>
      </c>
      <c r="AMA53" s="5">
        <f>-IFERROR('4. NPV'!AMB23/'4. NPV'!AMB$8,0)</f>
        <v>-0.0</v>
      </c>
      <c r="AMB53" s="5">
        <f>-IFERROR('4. NPV'!AMC23/'4. NPV'!AMC$8,0)</f>
        <v>-0.0</v>
      </c>
      <c r="AMC53" s="5">
        <f>-IFERROR('4. NPV'!AMD23/'4. NPV'!AMD$8,0)</f>
        <v>-0.0</v>
      </c>
      <c r="AMD53" s="5">
        <f>-IFERROR('4. NPV'!AME23/'4. NPV'!AME$8,0)</f>
        <v>-0.0</v>
      </c>
      <c r="AME53" s="5">
        <f>-IFERROR('4. NPV'!AMF23/'4. NPV'!AMF$8,0)</f>
        <v>-0.0</v>
      </c>
      <c r="AMF53" s="5">
        <f>-IFERROR('4. NPV'!AMG23/'4. NPV'!AMG$8,0)</f>
        <v>-0.0</v>
      </c>
      <c r="AMG53" s="5">
        <f>-IFERROR('4. NPV'!AMH23/'4. NPV'!AMH$8,0)</f>
        <v>-0.0</v>
      </c>
      <c r="AMH53" s="5">
        <f>-IFERROR('4. NPV'!AMI23/'4. NPV'!AMI$8,0)</f>
        <v>-0.0</v>
      </c>
      <c r="AMI53" s="5">
        <f>-IFERROR('4. NPV'!AMJ23/'4. NPV'!AMJ$8,0)</f>
        <v>-0.0</v>
      </c>
      <c r="AMJ53" s="5">
        <f>-IFERROR('4. NPV'!AMK23/'4. NPV'!AMK$8,0)</f>
        <v>-0.0</v>
      </c>
      <c r="AMK53" s="5">
        <f>-IFERROR('4. NPV'!AML23/'4. NPV'!AML$8,0)</f>
        <v>-0.0</v>
      </c>
      <c r="AML53" s="5">
        <f>-IFERROR('4. NPV'!AMM23/'4. NPV'!AMM$8,0)</f>
        <v>-0.0</v>
      </c>
      <c r="AMM53" s="5">
        <f>-IFERROR('4. NPV'!AMN23/'4. NPV'!AMN$8,0)</f>
        <v>-0.0</v>
      </c>
      <c r="AMN53" s="5">
        <f>-IFERROR('4. NPV'!AMO23/'4. NPV'!AMO$8,0)</f>
        <v>-0.0</v>
      </c>
      <c r="AMO53" s="5">
        <f>-IFERROR('4. NPV'!AMP23/'4. NPV'!AMP$8,0)</f>
        <v>-0.0</v>
      </c>
      <c r="AMP53" s="5">
        <f>-IFERROR('4. NPV'!AMQ23/'4. NPV'!AMQ$8,0)</f>
        <v>-0.0</v>
      </c>
      <c r="AMQ53" s="5">
        <f>-IFERROR('4. NPV'!AMR23/'4. NPV'!AMR$8,0)</f>
        <v>-0.0</v>
      </c>
      <c r="AMR53" s="5">
        <f>-IFERROR('4. NPV'!AMS23/'4. NPV'!AMS$8,0)</f>
        <v>-0.0</v>
      </c>
      <c r="AMS53" s="5">
        <f>-IFERROR('4. NPV'!AMT23/'4. NPV'!AMT$8,0)</f>
        <v>-0.0</v>
      </c>
      <c r="AMT53" s="5">
        <f>-IFERROR('4. NPV'!AMU23/'4. NPV'!AMU$8,0)</f>
        <v>-0.0</v>
      </c>
      <c r="AMU53" s="5">
        <f>-IFERROR('4. NPV'!AMV23/'4. NPV'!AMV$8,0)</f>
        <v>-0.0</v>
      </c>
      <c r="AMV53" s="5">
        <f>-IFERROR('4. NPV'!AMW23/'4. NPV'!AMW$8,0)</f>
        <v>-0.0</v>
      </c>
      <c r="AMW53" s="5">
        <f>-IFERROR('4. NPV'!AMX23/'4. NPV'!AMX$8,0)</f>
        <v>-0.0</v>
      </c>
      <c r="AMX53" s="5">
        <f>-IFERROR('4. NPV'!AMY23/'4. NPV'!AMY$8,0)</f>
        <v>-0.0</v>
      </c>
      <c r="AMY53" s="5">
        <f>-IFERROR('4. NPV'!AMZ23/'4. NPV'!AMZ$8,0)</f>
        <v>-0.0</v>
      </c>
      <c r="AMZ53" s="5">
        <f>-IFERROR('4. NPV'!ANA23/'4. NPV'!ANA$8,0)</f>
        <v>-0.0</v>
      </c>
      <c r="ANA53" s="5">
        <f>-IFERROR('4. NPV'!ANB23/'4. NPV'!ANB$8,0)</f>
        <v>-0.0</v>
      </c>
      <c r="ANB53" s="5">
        <f>-IFERROR('4. NPV'!ANC23/'4. NPV'!ANC$8,0)</f>
        <v>-0.0</v>
      </c>
      <c r="ANC53" s="5">
        <f>-IFERROR('4. NPV'!AND23/'4. NPV'!AND$8,0)</f>
        <v>-0.0</v>
      </c>
      <c r="AND53" s="5">
        <f>-IFERROR('4. NPV'!ANE23/'4. NPV'!ANE$8,0)</f>
        <v>-0.0</v>
      </c>
      <c r="ANE53" s="5">
        <f>-IFERROR('4. NPV'!ANF23/'4. NPV'!ANF$8,0)</f>
        <v>-0.0</v>
      </c>
      <c r="ANF53" s="5">
        <f>-IFERROR('4. NPV'!ANG23/'4. NPV'!ANG$8,0)</f>
        <v>-0.0</v>
      </c>
      <c r="ANG53" s="5">
        <f>-IFERROR('4. NPV'!ANH23/'4. NPV'!ANH$8,0)</f>
        <v>-0.0</v>
      </c>
      <c r="ANH53" s="5">
        <f>-IFERROR('4. NPV'!ANI23/'4. NPV'!ANI$8,0)</f>
        <v>-0.0</v>
      </c>
      <c r="ANI53" s="5">
        <f>-IFERROR('4. NPV'!ANJ23/'4. NPV'!ANJ$8,0)</f>
        <v>-0.0</v>
      </c>
      <c r="ANJ53" s="5">
        <f>-IFERROR('4. NPV'!ANK23/'4. NPV'!ANK$8,0)</f>
        <v>-0.0</v>
      </c>
      <c r="ANK53" s="5">
        <f>-IFERROR('4. NPV'!ANL23/'4. NPV'!ANL$8,0)</f>
        <v>-0.0</v>
      </c>
      <c r="ANL53" s="5">
        <f>-IFERROR('4. NPV'!ANM23/'4. NPV'!ANM$8,0)</f>
        <v>-0.0</v>
      </c>
      <c r="ANM53" s="5">
        <f>-IFERROR('4. NPV'!ANN23/'4. NPV'!ANN$8,0)</f>
        <v>-0.0</v>
      </c>
      <c r="ANN53" s="5">
        <f>-IFERROR('4. NPV'!ANO23/'4. NPV'!ANO$8,0)</f>
        <v>-0.0</v>
      </c>
      <c r="ANO53" s="5">
        <f>-IFERROR('4. NPV'!ANP23/'4. NPV'!ANP$8,0)</f>
        <v>-0.0</v>
      </c>
      <c r="ANP53" s="5">
        <f>-IFERROR('4. NPV'!ANQ23/'4. NPV'!ANQ$8,0)</f>
        <v>-0.0</v>
      </c>
      <c r="ANQ53" s="5">
        <f>-IFERROR('4. NPV'!ANR23/'4. NPV'!ANR$8,0)</f>
        <v>-0.0</v>
      </c>
      <c r="ANR53" s="5">
        <f>-IFERROR('4. NPV'!ANS23/'4. NPV'!ANS$8,0)</f>
        <v>-0.0</v>
      </c>
      <c r="ANS53" s="5">
        <f>-IFERROR('4. NPV'!ANT23/'4. NPV'!ANT$8,0)</f>
        <v>-0.0</v>
      </c>
      <c r="ANT53" s="5">
        <f>-IFERROR('4. NPV'!ANU23/'4. NPV'!ANU$8,0)</f>
        <v>-0.0</v>
      </c>
      <c r="ANU53" s="5">
        <f>-IFERROR('4. NPV'!ANV23/'4. NPV'!ANV$8,0)</f>
        <v>-0.0</v>
      </c>
      <c r="ANV53" s="5">
        <f>-IFERROR('4. NPV'!ANW23/'4. NPV'!ANW$8,0)</f>
        <v>-0.0</v>
      </c>
      <c r="ANW53" s="5">
        <f>-IFERROR('4. NPV'!ANX23/'4. NPV'!ANX$8,0)</f>
        <v>-0.0</v>
      </c>
      <c r="ANX53" s="5">
        <f>-IFERROR('4. NPV'!ANY23/'4. NPV'!ANY$8,0)</f>
        <v>-0.0</v>
      </c>
      <c r="ANY53" s="5">
        <f>-IFERROR('4. NPV'!ANZ23/'4. NPV'!ANZ$8,0)</f>
        <v>-0.0</v>
      </c>
      <c r="ANZ53" s="5">
        <f>-IFERROR('4. NPV'!AOA23/'4. NPV'!AOA$8,0)</f>
        <v>-0.0</v>
      </c>
      <c r="AOA53" s="5">
        <f>-IFERROR('4. NPV'!AOB23/'4. NPV'!AOB$8,0)</f>
        <v>-0.0</v>
      </c>
      <c r="AOB53" s="5">
        <f>-IFERROR('4. NPV'!AOC23/'4. NPV'!AOC$8,0)</f>
        <v>-0.0</v>
      </c>
      <c r="AOC53" s="5">
        <f>-IFERROR('4. NPV'!AOD23/'4. NPV'!AOD$8,0)</f>
        <v>-0.0</v>
      </c>
      <c r="AOD53" s="5">
        <f>-IFERROR('4. NPV'!AOE23/'4. NPV'!AOE$8,0)</f>
        <v>-0.0</v>
      </c>
      <c r="AOE53" s="5">
        <f>-IFERROR('4. NPV'!AOF23/'4. NPV'!AOF$8,0)</f>
        <v>-0.0</v>
      </c>
      <c r="AOF53" s="5">
        <f>-IFERROR('4. NPV'!AOG23/'4. NPV'!AOG$8,0)</f>
        <v>-0.0</v>
      </c>
      <c r="AOG53" s="5">
        <f>-IFERROR('4. NPV'!AOH23/'4. NPV'!AOH$8,0)</f>
        <v>-0.0</v>
      </c>
      <c r="AOH53" s="5">
        <f>-IFERROR('4. NPV'!AOI23/'4. NPV'!AOI$8,0)</f>
        <v>-0.0</v>
      </c>
      <c r="AOI53" s="5">
        <f>-IFERROR('4. NPV'!AOJ23/'4. NPV'!AOJ$8,0)</f>
        <v>-0.0</v>
      </c>
      <c r="AOJ53" s="5">
        <f>-IFERROR('4. NPV'!AOK23/'4. NPV'!AOK$8,0)</f>
        <v>-0.0</v>
      </c>
      <c r="AOK53" s="5">
        <f>-IFERROR('4. NPV'!AOL23/'4. NPV'!AOL$8,0)</f>
        <v>-0.0</v>
      </c>
      <c r="AOL53" s="5">
        <f>-IFERROR('4. NPV'!AOM23/'4. NPV'!AOM$8,0)</f>
        <v>-0.0</v>
      </c>
      <c r="AOM53" s="5">
        <f>-IFERROR('4. NPV'!AON23/'4. NPV'!AON$8,0)</f>
        <v>-0.0</v>
      </c>
      <c r="AON53" s="5">
        <f>-IFERROR('4. NPV'!AOO23/'4. NPV'!AOO$8,0)</f>
        <v>-0.0</v>
      </c>
      <c r="AOO53" s="5">
        <f>-IFERROR('4. NPV'!AOP23/'4. NPV'!AOP$8,0)</f>
        <v>-0.0</v>
      </c>
      <c r="AOP53" s="5">
        <f>-IFERROR('4. NPV'!AOQ23/'4. NPV'!AOQ$8,0)</f>
        <v>-0.0</v>
      </c>
      <c r="AOQ53" s="5">
        <f>-IFERROR('4. NPV'!AOR23/'4. NPV'!AOR$8,0)</f>
        <v>-0.0</v>
      </c>
      <c r="AOR53" s="5">
        <f>-IFERROR('4. NPV'!AOS23/'4. NPV'!AOS$8,0)</f>
        <v>-0.0</v>
      </c>
      <c r="AOS53" s="5">
        <f>-IFERROR('4. NPV'!AOT23/'4. NPV'!AOT$8,0)</f>
        <v>-0.0</v>
      </c>
      <c r="AOT53" s="5">
        <f>-IFERROR('4. NPV'!AOU23/'4. NPV'!AOU$8,0)</f>
        <v>-0.0</v>
      </c>
      <c r="AOU53" s="5">
        <f>-IFERROR('4. NPV'!AOV23/'4. NPV'!AOV$8,0)</f>
        <v>-0.0</v>
      </c>
      <c r="AOV53" s="5">
        <f>-IFERROR('4. NPV'!AOW23/'4. NPV'!AOW$8,0)</f>
        <v>-0.0</v>
      </c>
      <c r="AOW53" s="5">
        <f>-IFERROR('4. NPV'!AOX23/'4. NPV'!AOX$8,0)</f>
        <v>-0.0</v>
      </c>
      <c r="AOX53" s="5">
        <f>-IFERROR('4. NPV'!AOY23/'4. NPV'!AOY$8,0)</f>
        <v>-0.0</v>
      </c>
      <c r="AOY53" s="5">
        <f>-IFERROR('4. NPV'!AOZ23/'4. NPV'!AOZ$8,0)</f>
        <v>-0.0</v>
      </c>
      <c r="AOZ53" s="5">
        <f>-IFERROR('4. NPV'!APA23/'4. NPV'!APA$8,0)</f>
        <v>-0.0</v>
      </c>
      <c r="APA53" s="5">
        <f>-IFERROR('4. NPV'!APB23/'4. NPV'!APB$8,0)</f>
        <v>-0.0</v>
      </c>
      <c r="APB53" s="5">
        <f>-IFERROR('4. NPV'!APC23/'4. NPV'!APC$8,0)</f>
        <v>-0.0</v>
      </c>
      <c r="APC53" s="5">
        <f>-IFERROR('4. NPV'!APD23/'4. NPV'!APD$8,0)</f>
        <v>-0.0</v>
      </c>
      <c r="APD53" s="5">
        <f>-IFERROR('4. NPV'!APE23/'4. NPV'!APE$8,0)</f>
        <v>-0.0</v>
      </c>
      <c r="APE53" s="5">
        <f>-IFERROR('4. NPV'!APF23/'4. NPV'!APF$8,0)</f>
        <v>-0.0</v>
      </c>
      <c r="APF53" s="5">
        <f>-IFERROR('4. NPV'!APG23/'4. NPV'!APG$8,0)</f>
        <v>-0.0</v>
      </c>
      <c r="APG53" s="5">
        <f>-IFERROR('4. NPV'!APH23/'4. NPV'!APH$8,0)</f>
        <v>-0.0</v>
      </c>
      <c r="APH53" s="5">
        <f>-IFERROR('4. NPV'!API23/'4. NPV'!API$8,0)</f>
        <v>-0.0</v>
      </c>
      <c r="API53" s="5">
        <f>-IFERROR('4. NPV'!APJ23/'4. NPV'!APJ$8,0)</f>
        <v>-0.0</v>
      </c>
      <c r="APJ53" s="5">
        <f>-IFERROR('4. NPV'!APK23/'4. NPV'!APK$8,0)</f>
        <v>-0.0</v>
      </c>
      <c r="APK53" s="5">
        <f>-IFERROR('4. NPV'!APL23/'4. NPV'!APL$8,0)</f>
        <v>-0.0</v>
      </c>
      <c r="APL53" s="5">
        <f>-IFERROR('4. NPV'!APM23/'4. NPV'!APM$8,0)</f>
        <v>-0.0</v>
      </c>
      <c r="APM53" s="5">
        <f>-IFERROR('4. NPV'!APN23/'4. NPV'!APN$8,0)</f>
        <v>-0.0</v>
      </c>
      <c r="APN53" s="5">
        <f>-IFERROR('4. NPV'!APO23/'4. NPV'!APO$8,0)</f>
        <v>-0.0</v>
      </c>
      <c r="APO53" s="5">
        <f>-IFERROR('4. NPV'!APP23/'4. NPV'!APP$8,0)</f>
        <v>-0.0</v>
      </c>
      <c r="APP53" s="5">
        <f>-IFERROR('4. NPV'!APQ23/'4. NPV'!APQ$8,0)</f>
        <v>-0.0</v>
      </c>
      <c r="APQ53" s="5">
        <f>-IFERROR('4. NPV'!APR23/'4. NPV'!APR$8,0)</f>
        <v>-0.0</v>
      </c>
      <c r="APR53" s="5">
        <f>-IFERROR('4. NPV'!APS23/'4. NPV'!APS$8,0)</f>
        <v>-0.0</v>
      </c>
      <c r="APS53" s="5">
        <f>-IFERROR('4. NPV'!APT23/'4. NPV'!APT$8,0)</f>
        <v>-0.0</v>
      </c>
      <c r="APT53" s="5">
        <f>-IFERROR('4. NPV'!APU23/'4. NPV'!APU$8,0)</f>
        <v>-0.0</v>
      </c>
      <c r="APU53" s="5">
        <f>-IFERROR('4. NPV'!APV23/'4. NPV'!APV$8,0)</f>
        <v>-0.0</v>
      </c>
      <c r="APV53" s="5">
        <f>-IFERROR('4. NPV'!APW23/'4. NPV'!APW$8,0)</f>
        <v>-0.0</v>
      </c>
      <c r="APW53" s="5">
        <f>-IFERROR('4. NPV'!APX23/'4. NPV'!APX$8,0)</f>
        <v>-0.0</v>
      </c>
      <c r="APX53" s="5">
        <f>-IFERROR('4. NPV'!APY23/'4. NPV'!APY$8,0)</f>
        <v>-0.0</v>
      </c>
      <c r="APY53" s="5">
        <f>-IFERROR('4. NPV'!APZ23/'4. NPV'!APZ$8,0)</f>
        <v>-0.0</v>
      </c>
      <c r="APZ53" s="5">
        <f>-IFERROR('4. NPV'!AQA23/'4. NPV'!AQA$8,0)</f>
        <v>-0.0</v>
      </c>
      <c r="AQA53" s="5">
        <f>-IFERROR('4. NPV'!AQB23/'4. NPV'!AQB$8,0)</f>
        <v>-0.0</v>
      </c>
      <c r="AQB53" s="5">
        <f>-IFERROR('4. NPV'!AQC23/'4. NPV'!AQC$8,0)</f>
        <v>-0.0</v>
      </c>
      <c r="AQC53" s="5">
        <f>-IFERROR('4. NPV'!AQD23/'4. NPV'!AQD$8,0)</f>
        <v>-0.0</v>
      </c>
      <c r="AQD53" s="5">
        <f>-IFERROR('4. NPV'!AQE23/'4. NPV'!AQE$8,0)</f>
        <v>-0.0</v>
      </c>
      <c r="AQE53" s="5">
        <f>-IFERROR('4. NPV'!AQF23/'4. NPV'!AQF$8,0)</f>
        <v>-0.0</v>
      </c>
      <c r="AQF53" s="5">
        <f>-IFERROR('4. NPV'!AQG23/'4. NPV'!AQG$8,0)</f>
        <v>-0.0</v>
      </c>
      <c r="AQG53" s="5">
        <f>-IFERROR('4. NPV'!AQH23/'4. NPV'!AQH$8,0)</f>
        <v>-0.0</v>
      </c>
      <c r="AQH53" s="5">
        <f>-IFERROR('4. NPV'!AQI23/'4. NPV'!AQI$8,0)</f>
        <v>-0.0</v>
      </c>
      <c r="AQI53" s="5">
        <f>-IFERROR('4. NPV'!AQJ23/'4. NPV'!AQJ$8,0)</f>
        <v>-0.0</v>
      </c>
      <c r="AQJ53" s="5">
        <f>-IFERROR('4. NPV'!AQK23/'4. NPV'!AQK$8,0)</f>
        <v>-0.0</v>
      </c>
      <c r="AQK53" s="5">
        <f>-IFERROR('4. NPV'!AQL23/'4. NPV'!AQL$8,0)</f>
        <v>-0.0</v>
      </c>
      <c r="AQL53" s="5">
        <f>-IFERROR('4. NPV'!AQM23/'4. NPV'!AQM$8,0)</f>
        <v>-0.0</v>
      </c>
      <c r="AQM53" s="5">
        <f>-IFERROR('4. NPV'!AQN23/'4. NPV'!AQN$8,0)</f>
        <v>-0.0</v>
      </c>
      <c r="AQN53" s="5">
        <f>-IFERROR('4. NPV'!AQO23/'4. NPV'!AQO$8,0)</f>
        <v>-0.0</v>
      </c>
      <c r="AQO53" s="5">
        <f>-IFERROR('4. NPV'!AQP23/'4. NPV'!AQP$8,0)</f>
        <v>-0.0</v>
      </c>
      <c r="AQP53" s="5">
        <f>-IFERROR('4. NPV'!AQQ23/'4. NPV'!AQQ$8,0)</f>
        <v>-0.0</v>
      </c>
      <c r="AQQ53" s="5">
        <f>-IFERROR('4. NPV'!AQR23/'4. NPV'!AQR$8,0)</f>
        <v>-0.0</v>
      </c>
      <c r="AQR53" s="5">
        <f>-IFERROR('4. NPV'!AQS23/'4. NPV'!AQS$8,0)</f>
        <v>-0.0</v>
      </c>
      <c r="AQS53" s="5">
        <f>-IFERROR('4. NPV'!AQT23/'4. NPV'!AQT$8,0)</f>
        <v>-0.0</v>
      </c>
      <c r="AQT53" s="5">
        <f>-IFERROR('4. NPV'!AQU23/'4. NPV'!AQU$8,0)</f>
        <v>-0.0</v>
      </c>
      <c r="AQU53" s="5">
        <f>-IFERROR('4. NPV'!AQV23/'4. NPV'!AQV$8,0)</f>
        <v>-0.0</v>
      </c>
      <c r="AQV53" s="5">
        <f>-IFERROR('4. NPV'!AQW23/'4. NPV'!AQW$8,0)</f>
        <v>-0.0</v>
      </c>
      <c r="AQW53" s="5">
        <f>-IFERROR('4. NPV'!AQX23/'4. NPV'!AQX$8,0)</f>
        <v>-0.0</v>
      </c>
      <c r="AQX53" s="5">
        <f>-IFERROR('4. NPV'!AQY23/'4. NPV'!AQY$8,0)</f>
        <v>-0.0</v>
      </c>
      <c r="AQY53" s="5">
        <f>-IFERROR('4. NPV'!AQZ23/'4. NPV'!AQZ$8,0)</f>
        <v>-0.0</v>
      </c>
      <c r="AQZ53" s="5">
        <f>-IFERROR('4. NPV'!ARA23/'4. NPV'!ARA$8,0)</f>
        <v>-0.0</v>
      </c>
      <c r="ARA53" s="5">
        <f>-IFERROR('4. NPV'!ARB23/'4. NPV'!ARB$8,0)</f>
        <v>-0.0</v>
      </c>
      <c r="ARB53" s="5">
        <f>-IFERROR('4. NPV'!ARC23/'4. NPV'!ARC$8,0)</f>
        <v>-0.0</v>
      </c>
      <c r="ARC53" s="5">
        <f>-IFERROR('4. NPV'!ARD23/'4. NPV'!ARD$8,0)</f>
        <v>-0.0</v>
      </c>
      <c r="ARD53" s="5">
        <f>-IFERROR('4. NPV'!ARE23/'4. NPV'!ARE$8,0)</f>
        <v>-0.0</v>
      </c>
      <c r="ARE53" s="5">
        <f>-IFERROR('4. NPV'!ARF23/'4. NPV'!ARF$8,0)</f>
        <v>-0.0</v>
      </c>
      <c r="ARF53" s="5">
        <f>-IFERROR('4. NPV'!ARG23/'4. NPV'!ARG$8,0)</f>
        <v>-0.0</v>
      </c>
      <c r="ARG53" s="5">
        <f>-IFERROR('4. NPV'!ARH23/'4. NPV'!ARH$8,0)</f>
        <v>-0.0</v>
      </c>
      <c r="ARH53" s="5">
        <f>-IFERROR('4. NPV'!ARI23/'4. NPV'!ARI$8,0)</f>
        <v>-0.0</v>
      </c>
      <c r="ARI53" s="5">
        <f>-IFERROR('4. NPV'!ARJ23/'4. NPV'!ARJ$8,0)</f>
        <v>-0.0</v>
      </c>
      <c r="ARJ53" s="5">
        <f>-IFERROR('4. NPV'!ARK23/'4. NPV'!ARK$8,0)</f>
        <v>-0.0</v>
      </c>
      <c r="ARK53" s="5">
        <f>-IFERROR('4. NPV'!ARL23/'4. NPV'!ARL$8,0)</f>
        <v>-0.0</v>
      </c>
      <c r="ARL53" s="5">
        <f>-IFERROR('4. NPV'!ARM23/'4. NPV'!ARM$8,0)</f>
        <v>-0.0</v>
      </c>
      <c r="ARM53" s="5">
        <f>-IFERROR('4. NPV'!ARN23/'4. NPV'!ARN$8,0)</f>
        <v>-0.0</v>
      </c>
      <c r="ARN53" s="5">
        <f>-IFERROR('4. NPV'!ARO23/'4. NPV'!ARO$8,0)</f>
        <v>-0.0</v>
      </c>
      <c r="ARO53" s="5">
        <f>-IFERROR('4. NPV'!ARP23/'4. NPV'!ARP$8,0)</f>
        <v>-0.0</v>
      </c>
      <c r="ARP53" s="5">
        <f>-IFERROR('4. NPV'!ARQ23/'4. NPV'!ARQ$8,0)</f>
        <v>-0.0</v>
      </c>
      <c r="ARQ53" s="5">
        <f>-IFERROR('4. NPV'!ARR23/'4. NPV'!ARR$8,0)</f>
        <v>-0.0</v>
      </c>
      <c r="ARR53" s="5">
        <f>-IFERROR('4. NPV'!ARS23/'4. NPV'!ARS$8,0)</f>
        <v>-0.0</v>
      </c>
      <c r="ARS53" s="5">
        <f>-IFERROR('4. NPV'!ART23/'4. NPV'!ART$8,0)</f>
        <v>-0.0</v>
      </c>
      <c r="ART53" s="5">
        <f>-IFERROR('4. NPV'!ARU23/'4. NPV'!ARU$8,0)</f>
        <v>-0.0</v>
      </c>
      <c r="ARU53" s="5">
        <f>-IFERROR('4. NPV'!ARV23/'4. NPV'!ARV$8,0)</f>
        <v>-0.0</v>
      </c>
      <c r="ARV53" s="5">
        <f>-IFERROR('4. NPV'!ARW23/'4. NPV'!ARW$8,0)</f>
        <v>-0.0</v>
      </c>
      <c r="ARW53" s="5">
        <f>-IFERROR('4. NPV'!ARX23/'4. NPV'!ARX$8,0)</f>
        <v>-0.0</v>
      </c>
      <c r="ARX53" s="5">
        <f>-IFERROR('4. NPV'!ARY23/'4. NPV'!ARY$8,0)</f>
        <v>-0.0</v>
      </c>
      <c r="ARY53" s="5">
        <f>-IFERROR('4. NPV'!ARZ23/'4. NPV'!ARZ$8,0)</f>
        <v>-0.0</v>
      </c>
      <c r="ARZ53" s="5">
        <f>-IFERROR('4. NPV'!ASA23/'4. NPV'!ASA$8,0)</f>
        <v>-0.0</v>
      </c>
      <c r="ASA53" s="5">
        <f>-IFERROR('4. NPV'!ASB23/'4. NPV'!ASB$8,0)</f>
        <v>-0.0</v>
      </c>
      <c r="ASB53" s="5">
        <f>-IFERROR('4. NPV'!ASC23/'4. NPV'!ASC$8,0)</f>
        <v>-0.0</v>
      </c>
      <c r="ASC53" s="5">
        <f>-IFERROR('4. NPV'!ASD23/'4. NPV'!ASD$8,0)</f>
        <v>-0.0</v>
      </c>
      <c r="ASD53" s="5">
        <f>-IFERROR('4. NPV'!ASE23/'4. NPV'!ASE$8,0)</f>
        <v>-0.0</v>
      </c>
      <c r="ASE53" s="5">
        <f>-IFERROR('4. NPV'!ASF23/'4. NPV'!ASF$8,0)</f>
        <v>-0.0</v>
      </c>
      <c r="ASF53" s="5">
        <f>-IFERROR('4. NPV'!ASG23/'4. NPV'!ASG$8,0)</f>
        <v>-0.0</v>
      </c>
      <c r="ASG53" s="5">
        <f>-IFERROR('4. NPV'!ASH23/'4. NPV'!ASH$8,0)</f>
        <v>-0.0</v>
      </c>
      <c r="ASH53" s="5">
        <f>-IFERROR('4. NPV'!ASI23/'4. NPV'!ASI$8,0)</f>
        <v>-0.0</v>
      </c>
      <c r="ASI53" s="5">
        <f>-IFERROR('4. NPV'!ASJ23/'4. NPV'!ASJ$8,0)</f>
        <v>-0.0</v>
      </c>
      <c r="ASJ53" s="5">
        <f>-IFERROR('4. NPV'!ASK23/'4. NPV'!ASK$8,0)</f>
        <v>-0.0</v>
      </c>
      <c r="ASK53" s="5">
        <f>-IFERROR('4. NPV'!ASL23/'4. NPV'!ASL$8,0)</f>
        <v>-0.0</v>
      </c>
      <c r="ASL53" s="5">
        <f>-IFERROR('4. NPV'!ASM23/'4. NPV'!ASM$8,0)</f>
        <v>-0.0</v>
      </c>
      <c r="ASM53" s="5">
        <f>-IFERROR('4. NPV'!ASN23/'4. NPV'!ASN$8,0)</f>
        <v>-0.0</v>
      </c>
      <c r="ASN53" s="5">
        <f>-IFERROR('4. NPV'!ASO23/'4. NPV'!ASO$8,0)</f>
        <v>-0.0</v>
      </c>
      <c r="ASO53" s="5">
        <f>-IFERROR('4. NPV'!ASP23/'4. NPV'!ASP$8,0)</f>
        <v>-0.0</v>
      </c>
      <c r="ASP53" s="5">
        <f>-IFERROR('4. NPV'!ASQ23/'4. NPV'!ASQ$8,0)</f>
        <v>-0.0</v>
      </c>
      <c r="ASQ53" s="5">
        <f>-IFERROR('4. NPV'!ASR23/'4. NPV'!ASR$8,0)</f>
        <v>-0.0</v>
      </c>
      <c r="ASR53" s="5">
        <f>-IFERROR('4. NPV'!ASS23/'4. NPV'!ASS$8,0)</f>
        <v>-0.0</v>
      </c>
      <c r="ASS53" s="5">
        <f>-IFERROR('4. NPV'!AST23/'4. NPV'!AST$8,0)</f>
        <v>-0.0</v>
      </c>
      <c r="AST53" s="5">
        <f>-IFERROR('4. NPV'!ASU23/'4. NPV'!ASU$8,0)</f>
        <v>-0.0</v>
      </c>
      <c r="ASU53" s="5">
        <f>-IFERROR('4. NPV'!ASV23/'4. NPV'!ASV$8,0)</f>
        <v>-0.0</v>
      </c>
      <c r="ASV53" s="5">
        <f>-IFERROR('4. NPV'!ASW23/'4. NPV'!ASW$8,0)</f>
        <v>-0.0</v>
      </c>
      <c r="ASW53" s="5">
        <f>-IFERROR('4. NPV'!ASX23/'4. NPV'!ASX$8,0)</f>
        <v>-0.0</v>
      </c>
      <c r="ASX53" s="5">
        <f>-IFERROR('4. NPV'!ASY23/'4. NPV'!ASY$8,0)</f>
        <v>-0.0</v>
      </c>
      <c r="ASY53" s="5">
        <f>-IFERROR('4. NPV'!ASZ23/'4. NPV'!ASZ$8,0)</f>
        <v>-0.0</v>
      </c>
      <c r="ASZ53" s="5">
        <f>-IFERROR('4. NPV'!ATA23/'4. NPV'!ATA$8,0)</f>
        <v>-0.0</v>
      </c>
      <c r="ATA53" s="5">
        <f>-IFERROR('4. NPV'!ATB23/'4. NPV'!ATB$8,0)</f>
        <v>-0.0</v>
      </c>
      <c r="ATB53" s="5">
        <f>-IFERROR('4. NPV'!ATC23/'4. NPV'!ATC$8,0)</f>
        <v>-0.0</v>
      </c>
      <c r="ATC53" s="5">
        <f>-IFERROR('4. NPV'!ATD23/'4. NPV'!ATD$8,0)</f>
        <v>-0.0</v>
      </c>
      <c r="ATD53" s="5">
        <f>-IFERROR('4. NPV'!ATE23/'4. NPV'!ATE$8,0)</f>
        <v>-0.0</v>
      </c>
      <c r="ATE53" s="5">
        <f>-IFERROR('4. NPV'!ATF23/'4. NPV'!ATF$8,0)</f>
        <v>-0.0</v>
      </c>
      <c r="ATF53" s="5">
        <f>-IFERROR('4. NPV'!ATG23/'4. NPV'!ATG$8,0)</f>
        <v>-0.0</v>
      </c>
      <c r="ATG53" s="5">
        <f>-IFERROR('4. NPV'!ATH23/'4. NPV'!ATH$8,0)</f>
        <v>-0.0</v>
      </c>
      <c r="ATH53" s="5">
        <f>-IFERROR('4. NPV'!ATI23/'4. NPV'!ATI$8,0)</f>
        <v>-0.0</v>
      </c>
      <c r="ATI53" s="5">
        <f>-IFERROR('4. NPV'!ATJ23/'4. NPV'!ATJ$8,0)</f>
        <v>-0.0</v>
      </c>
      <c r="ATJ53" s="5">
        <f>-IFERROR('4. NPV'!ATK23/'4. NPV'!ATK$8,0)</f>
        <v>-0.0</v>
      </c>
      <c r="ATK53" s="5">
        <f>-IFERROR('4. NPV'!ATL23/'4. NPV'!ATL$8,0)</f>
        <v>-0.0</v>
      </c>
      <c r="ATL53" s="5">
        <f>-IFERROR('4. NPV'!ATM23/'4. NPV'!ATM$8,0)</f>
        <v>-0.0</v>
      </c>
      <c r="ATM53" s="5">
        <f>-IFERROR('4. NPV'!ATN23/'4. NPV'!ATN$8,0)</f>
        <v>-0.0</v>
      </c>
      <c r="ATN53" s="5">
        <f>-IFERROR('4. NPV'!ATO23/'4. NPV'!ATO$8,0)</f>
        <v>-0.0</v>
      </c>
      <c r="ATO53" s="5">
        <f>-IFERROR('4. NPV'!ATP23/'4. NPV'!ATP$8,0)</f>
        <v>-0.0</v>
      </c>
      <c r="ATP53" s="5">
        <f>-IFERROR('4. NPV'!ATQ23/'4. NPV'!ATQ$8,0)</f>
        <v>-0.0</v>
      </c>
      <c r="ATQ53" s="5">
        <f>-IFERROR('4. NPV'!ATR23/'4. NPV'!ATR$8,0)</f>
        <v>-0.0</v>
      </c>
      <c r="ATR53" s="5">
        <f>-IFERROR('4. NPV'!ATS23/'4. NPV'!ATS$8,0)</f>
        <v>-0.0</v>
      </c>
      <c r="ATS53" s="5">
        <f>-IFERROR('4. NPV'!ATT23/'4. NPV'!ATT$8,0)</f>
        <v>-0.0</v>
      </c>
      <c r="ATT53" s="5">
        <f>-IFERROR('4. NPV'!ATU23/'4. NPV'!ATU$8,0)</f>
        <v>-0.0</v>
      </c>
      <c r="ATU53" s="5">
        <f>-IFERROR('4. NPV'!ATV23/'4. NPV'!ATV$8,0)</f>
        <v>-0.0</v>
      </c>
      <c r="ATV53" s="5">
        <f>-IFERROR('4. NPV'!ATW23/'4. NPV'!ATW$8,0)</f>
        <v>-0.0</v>
      </c>
      <c r="ATW53" s="5">
        <f>-IFERROR('4. NPV'!ATX23/'4. NPV'!ATX$8,0)</f>
        <v>-0.0</v>
      </c>
      <c r="ATX53" s="5">
        <f>-IFERROR('4. NPV'!ATY23/'4. NPV'!ATY$8,0)</f>
        <v>-0.0</v>
      </c>
      <c r="ATY53" s="5">
        <f>-IFERROR('4. NPV'!ATZ23/'4. NPV'!ATZ$8,0)</f>
        <v>-0.0</v>
      </c>
      <c r="ATZ53" s="5">
        <f>-IFERROR('4. NPV'!AUA23/'4. NPV'!AUA$8,0)</f>
        <v>-0.0</v>
      </c>
      <c r="AUA53" s="5">
        <f>-IFERROR('4. NPV'!AUB23/'4. NPV'!AUB$8,0)</f>
        <v>-0.0</v>
      </c>
      <c r="AUB53" s="5">
        <f>-IFERROR('4. NPV'!AUC23/'4. NPV'!AUC$8,0)</f>
        <v>-0.0</v>
      </c>
      <c r="AUC53" s="5">
        <f>-IFERROR('4. NPV'!AUD23/'4. NPV'!AUD$8,0)</f>
        <v>-0.0</v>
      </c>
      <c r="AUD53" s="5">
        <f>-IFERROR('4. NPV'!AUE23/'4. NPV'!AUE$8,0)</f>
        <v>-0.0</v>
      </c>
      <c r="AUE53" s="5">
        <f>-IFERROR('4. NPV'!AUF23/'4. NPV'!AUF$8,0)</f>
        <v>-0.0</v>
      </c>
      <c r="AUF53" s="5">
        <f>-IFERROR('4. NPV'!AUG23/'4. NPV'!AUG$8,0)</f>
        <v>-0.0</v>
      </c>
      <c r="AUG53" s="5">
        <f>-IFERROR('4. NPV'!AUH23/'4. NPV'!AUH$8,0)</f>
        <v>-0.0</v>
      </c>
      <c r="AUH53" s="5">
        <f>-IFERROR('4. NPV'!AUI23/'4. NPV'!AUI$8,0)</f>
        <v>-0.0</v>
      </c>
      <c r="AUI53" s="5">
        <f>-IFERROR('4. NPV'!AUJ23/'4. NPV'!AUJ$8,0)</f>
        <v>-0.0</v>
      </c>
      <c r="AUJ53" s="5">
        <f>-IFERROR('4. NPV'!AUK23/'4. NPV'!AUK$8,0)</f>
        <v>-0.0</v>
      </c>
      <c r="AUK53" s="5">
        <f>-IFERROR('4. NPV'!AUL23/'4. NPV'!AUL$8,0)</f>
        <v>-0.0</v>
      </c>
      <c r="AUL53" s="5">
        <f>-IFERROR('4. NPV'!AUM23/'4. NPV'!AUM$8,0)</f>
        <v>-0.0</v>
      </c>
      <c r="AUM53" s="5">
        <f>-IFERROR('4. NPV'!AUN23/'4. NPV'!AUN$8,0)</f>
        <v>-0.0</v>
      </c>
      <c r="AUN53" s="5">
        <f>-IFERROR('4. NPV'!AUO23/'4. NPV'!AUO$8,0)</f>
        <v>-0.0</v>
      </c>
      <c r="AUO53" s="5">
        <f>-IFERROR('4. NPV'!AUP23/'4. NPV'!AUP$8,0)</f>
        <v>-0.0</v>
      </c>
      <c r="AUP53" s="5">
        <f>-IFERROR('4. NPV'!AUQ23/'4. NPV'!AUQ$8,0)</f>
        <v>-0.0</v>
      </c>
      <c r="AUQ53" s="5">
        <f>-IFERROR('4. NPV'!AUR23/'4. NPV'!AUR$8,0)</f>
        <v>-0.0</v>
      </c>
      <c r="AUR53" s="5">
        <f>-IFERROR('4. NPV'!AUS23/'4. NPV'!AUS$8,0)</f>
        <v>-0.0</v>
      </c>
      <c r="AUS53" s="5">
        <f>-IFERROR('4. NPV'!AUT23/'4. NPV'!AUT$8,0)</f>
        <v>-0.0</v>
      </c>
      <c r="AUT53" s="5">
        <f>-IFERROR('4. NPV'!AUU23/'4. NPV'!AUU$8,0)</f>
        <v>-0.0</v>
      </c>
      <c r="AUU53" s="5">
        <f>-IFERROR('4. NPV'!AUV23/'4. NPV'!AUV$8,0)</f>
        <v>-0.0</v>
      </c>
      <c r="AUV53" s="5">
        <f>-IFERROR('4. NPV'!AUW23/'4. NPV'!AUW$8,0)</f>
        <v>-0.0</v>
      </c>
      <c r="AUW53" s="5">
        <f>-IFERROR('4. NPV'!AUX23/'4. NPV'!AUX$8,0)</f>
        <v>-0.0</v>
      </c>
      <c r="AUX53" s="5">
        <f>-IFERROR('4. NPV'!AUY23/'4. NPV'!AUY$8,0)</f>
        <v>-0.0</v>
      </c>
      <c r="AUY53" s="5">
        <f>-IFERROR('4. NPV'!AUZ23/'4. NPV'!AUZ$8,0)</f>
        <v>-0.0</v>
      </c>
      <c r="AUZ53" s="5">
        <f>-IFERROR('4. NPV'!AVA23/'4. NPV'!AVA$8,0)</f>
        <v>-0.0</v>
      </c>
      <c r="AVA53" s="5">
        <f>-IFERROR('4. NPV'!AVB23/'4. NPV'!AVB$8,0)</f>
        <v>-0.0</v>
      </c>
      <c r="AVB53" s="5">
        <f>-IFERROR('4. NPV'!AVC23/'4. NPV'!AVC$8,0)</f>
        <v>-0.0</v>
      </c>
      <c r="AVC53" s="5">
        <f>-IFERROR('4. NPV'!AVD23/'4. NPV'!AVD$8,0)</f>
        <v>-0.0</v>
      </c>
      <c r="AVD53" s="5">
        <f>-IFERROR('4. NPV'!AVE23/'4. NPV'!AVE$8,0)</f>
        <v>-0.0</v>
      </c>
      <c r="AVE53" s="5">
        <f>-IFERROR('4. NPV'!AVF23/'4. NPV'!AVF$8,0)</f>
        <v>-0.0</v>
      </c>
      <c r="AVF53" s="5">
        <f>-IFERROR('4. NPV'!AVG23/'4. NPV'!AVG$8,0)</f>
        <v>-0.0</v>
      </c>
      <c r="AVG53" s="5">
        <f>-IFERROR('4. NPV'!AVH23/'4. NPV'!AVH$8,0)</f>
        <v>-0.0</v>
      </c>
      <c r="AVH53" s="5">
        <f>-IFERROR('4. NPV'!AVI23/'4. NPV'!AVI$8,0)</f>
        <v>-0.0</v>
      </c>
      <c r="AVI53" s="5">
        <f>-IFERROR('4. NPV'!AVJ23/'4. NPV'!AVJ$8,0)</f>
        <v>-0.0</v>
      </c>
      <c r="AVJ53" s="5">
        <f>-IFERROR('4. NPV'!AVK23/'4. NPV'!AVK$8,0)</f>
        <v>-0.0</v>
      </c>
      <c r="AVK53" s="5">
        <f>-IFERROR('4. NPV'!AVL23/'4. NPV'!AVL$8,0)</f>
        <v>-0.0</v>
      </c>
      <c r="AVL53" s="5">
        <f>-IFERROR('4. NPV'!AVM23/'4. NPV'!AVM$8,0)</f>
        <v>-0.0</v>
      </c>
      <c r="AVM53" s="5">
        <f>-IFERROR('4. NPV'!AVN23/'4. NPV'!AVN$8,0)</f>
        <v>-0.0</v>
      </c>
      <c r="AVN53" s="5">
        <f>-IFERROR('4. NPV'!AVO23/'4. NPV'!AVO$8,0)</f>
        <v>-0.0</v>
      </c>
      <c r="AVO53" s="5">
        <f>-IFERROR('4. NPV'!AVP23/'4. NPV'!AVP$8,0)</f>
        <v>-0.0</v>
      </c>
      <c r="AVP53" s="5">
        <f>-IFERROR('4. NPV'!AVQ23/'4. NPV'!AVQ$8,0)</f>
        <v>-0.0</v>
      </c>
      <c r="AVQ53" s="5">
        <f>-IFERROR('4. NPV'!AVR23/'4. NPV'!AVR$8,0)</f>
        <v>-0.0</v>
      </c>
      <c r="AVR53" s="5">
        <f>-IFERROR('4. NPV'!AVS23/'4. NPV'!AVS$8,0)</f>
        <v>-0.0</v>
      </c>
      <c r="AVS53" s="5">
        <f>-IFERROR('4. NPV'!AVT23/'4. NPV'!AVT$8,0)</f>
        <v>-0.0</v>
      </c>
      <c r="AVT53" s="5">
        <f>-IFERROR('4. NPV'!AVU23/'4. NPV'!AVU$8,0)</f>
        <v>-0.0</v>
      </c>
      <c r="AVU53" s="5">
        <f>-IFERROR('4. NPV'!AVV23/'4. NPV'!AVV$8,0)</f>
        <v>-0.0</v>
      </c>
      <c r="AVV53" s="5">
        <f>-IFERROR('4. NPV'!AVW23/'4. NPV'!AVW$8,0)</f>
        <v>-0.0</v>
      </c>
      <c r="AVW53" s="5">
        <f>-IFERROR('4. NPV'!AVX23/'4. NPV'!AVX$8,0)</f>
        <v>-0.0</v>
      </c>
      <c r="AVX53" s="5">
        <f>-IFERROR('4. NPV'!AVY23/'4. NPV'!AVY$8,0)</f>
        <v>-0.0</v>
      </c>
      <c r="AVY53" s="5">
        <f>-IFERROR('4. NPV'!AVZ23/'4. NPV'!AVZ$8,0)</f>
        <v>-0.0</v>
      </c>
      <c r="AVZ53" s="5">
        <f>-IFERROR('4. NPV'!AWA23/'4. NPV'!AWA$8,0)</f>
        <v>-0.0</v>
      </c>
      <c r="AWA53" s="5">
        <f>-IFERROR('4. NPV'!AWB23/'4. NPV'!AWB$8,0)</f>
        <v>-0.0</v>
      </c>
      <c r="AWB53" s="5">
        <f>-IFERROR('4. NPV'!AWC23/'4. NPV'!AWC$8,0)</f>
        <v>-0.0</v>
      </c>
      <c r="AWC53" s="5">
        <f>-IFERROR('4. NPV'!AWD23/'4. NPV'!AWD$8,0)</f>
        <v>-0.0</v>
      </c>
      <c r="AWD53" s="5">
        <f>-IFERROR('4. NPV'!AWE23/'4. NPV'!AWE$8,0)</f>
        <v>-0.0</v>
      </c>
      <c r="AWE53" s="5">
        <f>-IFERROR('4. NPV'!AWF23/'4. NPV'!AWF$8,0)</f>
        <v>-0.0</v>
      </c>
      <c r="AWF53" s="5">
        <f>-IFERROR('4. NPV'!AWG23/'4. NPV'!AWG$8,0)</f>
        <v>-0.0</v>
      </c>
      <c r="AWG53" s="5">
        <f>-IFERROR('4. NPV'!AWH23/'4. NPV'!AWH$8,0)</f>
        <v>-0.0</v>
      </c>
      <c r="AWH53" s="5">
        <f>-IFERROR('4. NPV'!AWI23/'4. NPV'!AWI$8,0)</f>
        <v>-0.0</v>
      </c>
      <c r="AWI53" s="5">
        <f>-IFERROR('4. NPV'!AWJ23/'4. NPV'!AWJ$8,0)</f>
        <v>-0.0</v>
      </c>
      <c r="AWJ53" s="5">
        <f>-IFERROR('4. NPV'!AWK23/'4. NPV'!AWK$8,0)</f>
        <v>-0.0</v>
      </c>
      <c r="AWK53" s="5">
        <f>-IFERROR('4. NPV'!AWL23/'4. NPV'!AWL$8,0)</f>
        <v>-0.0</v>
      </c>
      <c r="AWL53" s="5">
        <f>-IFERROR('4. NPV'!AWM23/'4. NPV'!AWM$8,0)</f>
        <v>-0.0</v>
      </c>
      <c r="AWM53" s="5">
        <f>-IFERROR('4. NPV'!AWN23/'4. NPV'!AWN$8,0)</f>
        <v>-0.0</v>
      </c>
      <c r="AWN53" s="5">
        <f>-IFERROR('4. NPV'!AWO23/'4. NPV'!AWO$8,0)</f>
        <v>-0.0</v>
      </c>
      <c r="AWO53" s="5">
        <f>-IFERROR('4. NPV'!AWP23/'4. NPV'!AWP$8,0)</f>
        <v>-0.0</v>
      </c>
      <c r="AWP53" s="5">
        <f>-IFERROR('4. NPV'!AWQ23/'4. NPV'!AWQ$8,0)</f>
        <v>-0.0</v>
      </c>
      <c r="AWQ53" s="5">
        <f>-IFERROR('4. NPV'!AWR23/'4. NPV'!AWR$8,0)</f>
        <v>-0.0</v>
      </c>
      <c r="AWR53" s="5">
        <f>-IFERROR('4. NPV'!AWS23/'4. NPV'!AWS$8,0)</f>
        <v>-0.0</v>
      </c>
      <c r="AWS53" s="5">
        <f>-IFERROR('4. NPV'!AWT23/'4. NPV'!AWT$8,0)</f>
        <v>-0.0</v>
      </c>
      <c r="AWT53" s="5">
        <f>-IFERROR('4. NPV'!AWU23/'4. NPV'!AWU$8,0)</f>
        <v>-0.0</v>
      </c>
      <c r="AWU53" s="5">
        <f>-IFERROR('4. NPV'!AWV23/'4. NPV'!AWV$8,0)</f>
        <v>-0.0</v>
      </c>
      <c r="AWV53" s="5">
        <f>-IFERROR('4. NPV'!AWW23/'4. NPV'!AWW$8,0)</f>
        <v>-0.0</v>
      </c>
      <c r="AWW53" s="5">
        <f>-IFERROR('4. NPV'!AWX23/'4. NPV'!AWX$8,0)</f>
        <v>-0.0</v>
      </c>
      <c r="AWX53" s="5">
        <f>-IFERROR('4. NPV'!AWY23/'4. NPV'!AWY$8,0)</f>
        <v>-0.0</v>
      </c>
      <c r="AWY53" s="5">
        <f>-IFERROR('4. NPV'!AWZ23/'4. NPV'!AWZ$8,0)</f>
        <v>-0.0</v>
      </c>
      <c r="AWZ53" s="5">
        <f>-IFERROR('4. NPV'!AXA23/'4. NPV'!AXA$8,0)</f>
        <v>-0.0</v>
      </c>
      <c r="AXA53" s="5">
        <f>-IFERROR('4. NPV'!AXB23/'4. NPV'!AXB$8,0)</f>
        <v>-0.0</v>
      </c>
      <c r="AXB53" s="5">
        <f>-IFERROR('4. NPV'!AXC23/'4. NPV'!AXC$8,0)</f>
        <v>-0.0</v>
      </c>
      <c r="AXC53" s="5">
        <f>-IFERROR('4. NPV'!AXD23/'4. NPV'!AXD$8,0)</f>
        <v>-0.0</v>
      </c>
      <c r="AXD53" s="5">
        <f>-IFERROR('4. NPV'!AXE23/'4. NPV'!AXE$8,0)</f>
        <v>-0.0</v>
      </c>
      <c r="AXE53" s="5">
        <f>-IFERROR('4. NPV'!AXF23/'4. NPV'!AXF$8,0)</f>
        <v>-0.0</v>
      </c>
      <c r="AXF53" s="5">
        <f>-IFERROR('4. NPV'!AXG23/'4. NPV'!AXG$8,0)</f>
        <v>-0.0</v>
      </c>
      <c r="AXG53" s="5">
        <f>-IFERROR('4. NPV'!AXH23/'4. NPV'!AXH$8,0)</f>
        <v>-0.0</v>
      </c>
      <c r="AXH53" s="5">
        <f>-IFERROR('4. NPV'!AXI23/'4. NPV'!AXI$8,0)</f>
        <v>-0.0</v>
      </c>
      <c r="AXI53" s="5">
        <f>-IFERROR('4. NPV'!AXJ23/'4. NPV'!AXJ$8,0)</f>
        <v>-0.0</v>
      </c>
      <c r="AXJ53" s="5">
        <f>-IFERROR('4. NPV'!AXK23/'4. NPV'!AXK$8,0)</f>
        <v>-0.0</v>
      </c>
      <c r="AXK53" s="5">
        <f>-IFERROR('4. NPV'!AXL23/'4. NPV'!AXL$8,0)</f>
        <v>-0.0</v>
      </c>
      <c r="AXL53" s="5">
        <f>-IFERROR('4. NPV'!AXM23/'4. NPV'!AXM$8,0)</f>
        <v>-0.0</v>
      </c>
      <c r="AXM53" s="5">
        <f>-IFERROR('4. NPV'!AXN23/'4. NPV'!AXN$8,0)</f>
        <v>-0.0</v>
      </c>
      <c r="AXN53" s="5">
        <f>-IFERROR('4. NPV'!AXO23/'4. NPV'!AXO$8,0)</f>
        <v>-0.0</v>
      </c>
      <c r="AXO53" s="5">
        <f>-IFERROR('4. NPV'!AXP23/'4. NPV'!AXP$8,0)</f>
        <v>-0.0</v>
      </c>
      <c r="AXP53" s="5">
        <f>-IFERROR('4. NPV'!AXQ23/'4. NPV'!AXQ$8,0)</f>
        <v>-0.0</v>
      </c>
      <c r="AXQ53" s="5">
        <f>-IFERROR('4. NPV'!AXR23/'4. NPV'!AXR$8,0)</f>
        <v>-0.0</v>
      </c>
      <c r="AXR53" s="5">
        <f>-IFERROR('4. NPV'!AXS23/'4. NPV'!AXS$8,0)</f>
        <v>-0.0</v>
      </c>
      <c r="AXS53" s="5">
        <f>-IFERROR('4. NPV'!AXT23/'4. NPV'!AXT$8,0)</f>
        <v>-0.0</v>
      </c>
      <c r="AXT53" s="5">
        <f>-IFERROR('4. NPV'!AXU23/'4. NPV'!AXU$8,0)</f>
        <v>-0.0</v>
      </c>
      <c r="AXU53" s="5">
        <f>-IFERROR('4. NPV'!AXV23/'4. NPV'!AXV$8,0)</f>
        <v>-0.0</v>
      </c>
      <c r="AXV53" s="5">
        <f>-IFERROR('4. NPV'!AXW23/'4. NPV'!AXW$8,0)</f>
        <v>-0.0</v>
      </c>
      <c r="AXW53" s="5">
        <f>-IFERROR('4. NPV'!AXX23/'4. NPV'!AXX$8,0)</f>
        <v>-0.0</v>
      </c>
      <c r="AXX53" s="5">
        <f>-IFERROR('4. NPV'!AXY23/'4. NPV'!AXY$8,0)</f>
        <v>-0.0</v>
      </c>
      <c r="AXY53" s="5">
        <f>-IFERROR('4. NPV'!AXZ23/'4. NPV'!AXZ$8,0)</f>
        <v>-0.0</v>
      </c>
      <c r="AXZ53" s="5">
        <f>-IFERROR('4. NPV'!AYA23/'4. NPV'!AYA$8,0)</f>
        <v>-0.0</v>
      </c>
      <c r="AYA53" s="5">
        <f>-IFERROR('4. NPV'!AYB23/'4. NPV'!AYB$8,0)</f>
        <v>-0.0</v>
      </c>
      <c r="AYB53" s="5">
        <f>-IFERROR('4. NPV'!AYC23/'4. NPV'!AYC$8,0)</f>
        <v>-0.0</v>
      </c>
      <c r="AYC53" s="5">
        <f>-IFERROR('4. NPV'!AYD23/'4. NPV'!AYD$8,0)</f>
        <v>-0.0</v>
      </c>
      <c r="AYD53" s="5">
        <f>-IFERROR('4. NPV'!AYE23/'4. NPV'!AYE$8,0)</f>
        <v>-0.0</v>
      </c>
      <c r="AYE53" s="5">
        <f>-IFERROR('4. NPV'!AYF23/'4. NPV'!AYF$8,0)</f>
        <v>-0.0</v>
      </c>
      <c r="AYF53" s="5">
        <f>-IFERROR('4. NPV'!AYG23/'4. NPV'!AYG$8,0)</f>
        <v>-0.0</v>
      </c>
      <c r="AYG53" s="5">
        <f>-IFERROR('4. NPV'!AYH23/'4. NPV'!AYH$8,0)</f>
        <v>-0.0</v>
      </c>
      <c r="AYH53" s="5">
        <f>-IFERROR('4. NPV'!AYI23/'4. NPV'!AYI$8,0)</f>
        <v>-0.0</v>
      </c>
      <c r="AYI53" s="5">
        <f>-IFERROR('4. NPV'!AYJ23/'4. NPV'!AYJ$8,0)</f>
        <v>-0.0</v>
      </c>
      <c r="AYJ53" s="5">
        <f>-IFERROR('4. NPV'!AYK23/'4. NPV'!AYK$8,0)</f>
        <v>-0.0</v>
      </c>
      <c r="AYK53" s="5">
        <f>-IFERROR('4. NPV'!AYL23/'4. NPV'!AYL$8,0)</f>
        <v>-0.0</v>
      </c>
      <c r="AYL53" s="5">
        <f>-IFERROR('4. NPV'!AYM23/'4. NPV'!AYM$8,0)</f>
        <v>-0.0</v>
      </c>
      <c r="AYM53" s="5">
        <f>-IFERROR('4. NPV'!AYN23/'4. NPV'!AYN$8,0)</f>
        <v>-0.0</v>
      </c>
      <c r="AYN53" s="5">
        <f>-IFERROR('4. NPV'!AYO23/'4. NPV'!AYO$8,0)</f>
        <v>-0.0</v>
      </c>
      <c r="AYO53" s="5">
        <f>-IFERROR('4. NPV'!AYP23/'4. NPV'!AYP$8,0)</f>
        <v>-0.0</v>
      </c>
      <c r="AYP53" s="5">
        <f>-IFERROR('4. NPV'!AYQ23/'4. NPV'!AYQ$8,0)</f>
        <v>-0.0</v>
      </c>
      <c r="AYQ53" s="5">
        <f>-IFERROR('4. NPV'!AYR23/'4. NPV'!AYR$8,0)</f>
        <v>-0.0</v>
      </c>
      <c r="AYR53" s="5">
        <f>-IFERROR('4. NPV'!AYS23/'4. NPV'!AYS$8,0)</f>
        <v>-0.0</v>
      </c>
      <c r="AYS53" s="5">
        <f>-IFERROR('4. NPV'!AYT23/'4. NPV'!AYT$8,0)</f>
        <v>-0.0</v>
      </c>
      <c r="AYT53" s="5">
        <f>-IFERROR('4. NPV'!AYU23/'4. NPV'!AYU$8,0)</f>
        <v>-0.0</v>
      </c>
      <c r="AYU53" s="5">
        <f>-IFERROR('4. NPV'!AYV23/'4. NPV'!AYV$8,0)</f>
        <v>-0.0</v>
      </c>
      <c r="AYV53" s="5">
        <f>-IFERROR('4. NPV'!AYW23/'4. NPV'!AYW$8,0)</f>
        <v>-0.0</v>
      </c>
      <c r="AYW53" s="5">
        <f>-IFERROR('4. NPV'!AYX23/'4. NPV'!AYX$8,0)</f>
        <v>-0.0</v>
      </c>
      <c r="AYX53" s="5">
        <f>-IFERROR('4. NPV'!AYY23/'4. NPV'!AYY$8,0)</f>
        <v>-0.0</v>
      </c>
      <c r="AYY53" s="5">
        <f>-IFERROR('4. NPV'!AYZ23/'4. NPV'!AYZ$8,0)</f>
        <v>-0.0</v>
      </c>
      <c r="AYZ53" s="5">
        <f>-IFERROR('4. NPV'!AZA23/'4. NPV'!AZA$8,0)</f>
        <v>-0.0</v>
      </c>
      <c r="AZA53" s="5">
        <f>-IFERROR('4. NPV'!AZB23/'4. NPV'!AZB$8,0)</f>
        <v>-0.0</v>
      </c>
      <c r="AZB53" s="5">
        <f>-IFERROR('4. NPV'!AZC23/'4. NPV'!AZC$8,0)</f>
        <v>-0.0</v>
      </c>
      <c r="AZC53" s="5">
        <f>-IFERROR('4. NPV'!AZD23/'4. NPV'!AZD$8,0)</f>
        <v>-0.0</v>
      </c>
      <c r="AZD53" s="5">
        <f>-IFERROR('4. NPV'!AZE23/'4. NPV'!AZE$8,0)</f>
        <v>-0.0</v>
      </c>
      <c r="AZE53" s="5">
        <f>-IFERROR('4. NPV'!AZF23/'4. NPV'!AZF$8,0)</f>
        <v>-0.0</v>
      </c>
      <c r="AZF53" s="5">
        <f>-IFERROR('4. NPV'!AZG23/'4. NPV'!AZG$8,0)</f>
        <v>-0.0</v>
      </c>
      <c r="AZG53" s="5">
        <f>-IFERROR('4. NPV'!AZH23/'4. NPV'!AZH$8,0)</f>
        <v>-0.0</v>
      </c>
      <c r="AZH53" s="5">
        <f>-IFERROR('4. NPV'!AZI23/'4. NPV'!AZI$8,0)</f>
        <v>-0.0</v>
      </c>
      <c r="AZI53" s="5">
        <f>-IFERROR('4. NPV'!AZJ23/'4. NPV'!AZJ$8,0)</f>
        <v>-0.0</v>
      </c>
      <c r="AZJ53" s="5">
        <f>-IFERROR('4. NPV'!AZK23/'4. NPV'!AZK$8,0)</f>
        <v>-0.0</v>
      </c>
      <c r="AZK53" s="5">
        <f>-IFERROR('4. NPV'!AZL23/'4. NPV'!AZL$8,0)</f>
        <v>-0.0</v>
      </c>
      <c r="AZL53" s="5">
        <f>-IFERROR('4. NPV'!AZM23/'4. NPV'!AZM$8,0)</f>
        <v>-0.0</v>
      </c>
      <c r="AZM53" s="5">
        <f>-IFERROR('4. NPV'!AZN23/'4. NPV'!AZN$8,0)</f>
        <v>-0.0</v>
      </c>
      <c r="AZN53" s="5">
        <f>-IFERROR('4. NPV'!AZO23/'4. NPV'!AZO$8,0)</f>
        <v>-0.0</v>
      </c>
      <c r="AZO53" s="5">
        <f>-IFERROR('4. NPV'!AZP23/'4. NPV'!AZP$8,0)</f>
        <v>-0.0</v>
      </c>
      <c r="AZP53" s="5">
        <f>-IFERROR('4. NPV'!AZQ23/'4. NPV'!AZQ$8,0)</f>
        <v>-0.0</v>
      </c>
      <c r="AZQ53" s="5">
        <f>-IFERROR('4. NPV'!AZR23/'4. NPV'!AZR$8,0)</f>
        <v>-0.0</v>
      </c>
      <c r="AZR53" s="5">
        <f>-IFERROR('4. NPV'!AZS23/'4. NPV'!AZS$8,0)</f>
        <v>-0.0</v>
      </c>
      <c r="AZS53" s="5">
        <f>-IFERROR('4. NPV'!AZT23/'4. NPV'!AZT$8,0)</f>
        <v>-0.0</v>
      </c>
      <c r="AZT53" s="5">
        <f>-IFERROR('4. NPV'!AZU23/'4. NPV'!AZU$8,0)</f>
        <v>-0.0</v>
      </c>
      <c r="AZU53" s="5">
        <f>-IFERROR('4. NPV'!AZV23/'4. NPV'!AZV$8,0)</f>
        <v>-0.0</v>
      </c>
      <c r="AZV53" s="5">
        <f>-IFERROR('4. NPV'!AZW23/'4. NPV'!AZW$8,0)</f>
        <v>-0.0</v>
      </c>
      <c r="AZW53" s="5">
        <f>-IFERROR('4. NPV'!AZX23/'4. NPV'!AZX$8,0)</f>
        <v>-0.0</v>
      </c>
      <c r="AZX53" s="5">
        <f>-IFERROR('4. NPV'!AZY23/'4. NPV'!AZY$8,0)</f>
        <v>-0.0</v>
      </c>
      <c r="AZY53" s="5">
        <f>-IFERROR('4. NPV'!AZZ23/'4. NPV'!AZZ$8,0)</f>
        <v>-0.0</v>
      </c>
      <c r="AZZ53" s="5">
        <f>-IFERROR('4. NPV'!BAA23/'4. NPV'!BAA$8,0)</f>
        <v>-0.0</v>
      </c>
      <c r="BAA53" s="5">
        <f>-IFERROR('4. NPV'!BAB23/'4. NPV'!BAB$8,0)</f>
        <v>-0.0</v>
      </c>
      <c r="BAB53" s="5">
        <f>-IFERROR('4. NPV'!BAC23/'4. NPV'!BAC$8,0)</f>
        <v>-0.0</v>
      </c>
      <c r="BAC53" s="5">
        <f>-IFERROR('4. NPV'!BAD23/'4. NPV'!BAD$8,0)</f>
        <v>-0.0</v>
      </c>
      <c r="BAD53" s="5">
        <f>-IFERROR('4. NPV'!BAE23/'4. NPV'!BAE$8,0)</f>
        <v>-0.0</v>
      </c>
      <c r="BAE53" s="5">
        <f>-IFERROR('4. NPV'!BAF23/'4. NPV'!BAF$8,0)</f>
        <v>-0.0</v>
      </c>
      <c r="BAF53" s="5">
        <f>-IFERROR('4. NPV'!BAG23/'4. NPV'!BAG$8,0)</f>
        <v>-0.0</v>
      </c>
      <c r="BAG53" s="5">
        <f>-IFERROR('4. NPV'!BAH23/'4. NPV'!BAH$8,0)</f>
        <v>-0.0</v>
      </c>
      <c r="BAH53" s="5">
        <f>-IFERROR('4. NPV'!BAI23/'4. NPV'!BAI$8,0)</f>
        <v>-0.0</v>
      </c>
      <c r="BAI53" s="5">
        <f>-IFERROR('4. NPV'!BAJ23/'4. NPV'!BAJ$8,0)</f>
        <v>-0.0</v>
      </c>
      <c r="BAJ53" s="5">
        <f>-IFERROR('4. NPV'!BAK23/'4. NPV'!BAK$8,0)</f>
        <v>-0.0</v>
      </c>
      <c r="BAK53" s="5">
        <f>-IFERROR('4. NPV'!BAL23/'4. NPV'!BAL$8,0)</f>
        <v>-0.0</v>
      </c>
      <c r="BAL53" s="5">
        <f>-IFERROR('4. NPV'!BAM23/'4. NPV'!BAM$8,0)</f>
        <v>-0.0</v>
      </c>
      <c r="BAM53" s="5">
        <f>-IFERROR('4. NPV'!BAN23/'4. NPV'!BAN$8,0)</f>
        <v>-0.0</v>
      </c>
      <c r="BAN53" s="5">
        <f>-IFERROR('4. NPV'!BAO23/'4. NPV'!BAO$8,0)</f>
        <v>-0.0</v>
      </c>
      <c r="BAO53" s="5">
        <f>-IFERROR('4. NPV'!BAP23/'4. NPV'!BAP$8,0)</f>
        <v>-0.0</v>
      </c>
      <c r="BAP53" s="5">
        <f>-IFERROR('4. NPV'!BAQ23/'4. NPV'!BAQ$8,0)</f>
        <v>-0.0</v>
      </c>
      <c r="BAQ53" s="5">
        <f>-IFERROR('4. NPV'!BAR23/'4. NPV'!BAR$8,0)</f>
        <v>-0.0</v>
      </c>
      <c r="BAR53" s="5">
        <f>-IFERROR('4. NPV'!BAS23/'4. NPV'!BAS$8,0)</f>
        <v>-0.0</v>
      </c>
      <c r="BAS53" s="5">
        <f>-IFERROR('4. NPV'!BAT23/'4. NPV'!BAT$8,0)</f>
        <v>-0.0</v>
      </c>
      <c r="BAT53" s="5">
        <f>-IFERROR('4. NPV'!BAU23/'4. NPV'!BAU$8,0)</f>
        <v>-0.0</v>
      </c>
      <c r="BAU53" s="5">
        <f>-IFERROR('4. NPV'!BAV23/'4. NPV'!BAV$8,0)</f>
        <v>-0.0</v>
      </c>
      <c r="BAV53" s="5">
        <f>-IFERROR('4. NPV'!BAW23/'4. NPV'!BAW$8,0)</f>
        <v>-0.0</v>
      </c>
      <c r="BAW53" s="5">
        <f>-IFERROR('4. NPV'!BAX23/'4. NPV'!BAX$8,0)</f>
        <v>-0.0</v>
      </c>
      <c r="BAX53" s="5">
        <f>-IFERROR('4. NPV'!BAY23/'4. NPV'!BAY$8,0)</f>
        <v>-0.0</v>
      </c>
      <c r="BAY53" s="5">
        <f>-IFERROR('4. NPV'!BAZ23/'4. NPV'!BAZ$8,0)</f>
        <v>-0.0</v>
      </c>
      <c r="BAZ53" s="5">
        <f>-IFERROR('4. NPV'!BBA23/'4. NPV'!BBA$8,0)</f>
        <v>-0.0</v>
      </c>
      <c r="BBA53" s="5">
        <f>-IFERROR('4. NPV'!BBB23/'4. NPV'!BBB$8,0)</f>
        <v>-0.0</v>
      </c>
      <c r="BBB53" s="5">
        <f>-IFERROR('4. NPV'!BBC23/'4. NPV'!BBC$8,0)</f>
        <v>-0.0</v>
      </c>
      <c r="BBC53" s="5">
        <f>-IFERROR('4. NPV'!BBD23/'4. NPV'!BBD$8,0)</f>
        <v>-0.0</v>
      </c>
      <c r="BBD53" s="5">
        <f>-IFERROR('4. NPV'!BBE23/'4. NPV'!BBE$8,0)</f>
        <v>-0.0</v>
      </c>
      <c r="BBE53" s="5">
        <f>-IFERROR('4. NPV'!BBF23/'4. NPV'!BBF$8,0)</f>
        <v>-0.0</v>
      </c>
      <c r="BBF53" s="5">
        <f>-IFERROR('4. NPV'!BBG23/'4. NPV'!BBG$8,0)</f>
        <v>-0.0</v>
      </c>
      <c r="BBG53" s="5">
        <f>-IFERROR('4. NPV'!BBH23/'4. NPV'!BBH$8,0)</f>
        <v>-0.0</v>
      </c>
      <c r="BBH53" s="5">
        <f>-IFERROR('4. NPV'!BBI23/'4. NPV'!BBI$8,0)</f>
        <v>-0.0</v>
      </c>
      <c r="BBI53" s="5">
        <f>-IFERROR('4. NPV'!BBJ23/'4. NPV'!BBJ$8,0)</f>
        <v>-0.0</v>
      </c>
      <c r="BBJ53" s="5">
        <f>-IFERROR('4. NPV'!BBK23/'4. NPV'!BBK$8,0)</f>
        <v>-0.0</v>
      </c>
      <c r="BBK53" s="5">
        <f>-IFERROR('4. NPV'!BBL23/'4. NPV'!BBL$8,0)</f>
        <v>-0.0</v>
      </c>
      <c r="BBL53" s="5">
        <f>-IFERROR('4. NPV'!BBM23/'4. NPV'!BBM$8,0)</f>
        <v>-0.0</v>
      </c>
      <c r="BBM53" s="5">
        <f>-IFERROR('4. NPV'!BBN23/'4. NPV'!BBN$8,0)</f>
        <v>-0.0</v>
      </c>
      <c r="BBN53" s="5">
        <f>-IFERROR('4. NPV'!BBO23/'4. NPV'!BBO$8,0)</f>
        <v>-0.0</v>
      </c>
      <c r="BBO53" s="5">
        <f>-IFERROR('4. NPV'!BBP23/'4. NPV'!BBP$8,0)</f>
        <v>-0.0</v>
      </c>
      <c r="BBP53" s="5">
        <f>-IFERROR('4. NPV'!BBQ23/'4. NPV'!BBQ$8,0)</f>
        <v>-0.0</v>
      </c>
      <c r="BBQ53" s="5">
        <f>-IFERROR('4. NPV'!BBR23/'4. NPV'!BBR$8,0)</f>
        <v>-0.0</v>
      </c>
      <c r="BBR53" s="5">
        <f>-IFERROR('4. NPV'!BBS23/'4. NPV'!BBS$8,0)</f>
        <v>-0.0</v>
      </c>
      <c r="BBS53" s="5">
        <f>-IFERROR('4. NPV'!BBT23/'4. NPV'!BBT$8,0)</f>
        <v>-0.0</v>
      </c>
      <c r="BBT53" s="5">
        <f>-IFERROR('4. NPV'!BBU23/'4. NPV'!BBU$8,0)</f>
        <v>-0.0</v>
      </c>
      <c r="BBU53" s="5">
        <f>-IFERROR('4. NPV'!BBV23/'4. NPV'!BBV$8,0)</f>
        <v>-0.0</v>
      </c>
      <c r="BBV53" s="5">
        <f>-IFERROR('4. NPV'!BBW23/'4. NPV'!BBW$8,0)</f>
        <v>-0.0</v>
      </c>
      <c r="BBW53" s="5">
        <f>-IFERROR('4. NPV'!BBX23/'4. NPV'!BBX$8,0)</f>
        <v>-0.0</v>
      </c>
      <c r="BBX53" s="5">
        <f>-IFERROR('4. NPV'!BBY23/'4. NPV'!BBY$8,0)</f>
        <v>-0.0</v>
      </c>
      <c r="BBY53" s="5">
        <f>-IFERROR('4. NPV'!BBZ23/'4. NPV'!BBZ$8,0)</f>
        <v>-0.0</v>
      </c>
      <c r="BBZ53" s="5">
        <f>-IFERROR('4. NPV'!BCA23/'4. NPV'!BCA$8,0)</f>
        <v>-0.0</v>
      </c>
      <c r="BCA53" s="5">
        <f>-IFERROR('4. NPV'!BCB23/'4. NPV'!BCB$8,0)</f>
        <v>-0.0</v>
      </c>
      <c r="BCB53" s="5">
        <f>-IFERROR('4. NPV'!BCC23/'4. NPV'!BCC$8,0)</f>
        <v>-0.0</v>
      </c>
      <c r="BCC53" s="5">
        <f>-IFERROR('4. NPV'!BCD23/'4. NPV'!BCD$8,0)</f>
        <v>-0.0</v>
      </c>
      <c r="BCD53" s="5">
        <f>-IFERROR('4. NPV'!BCE23/'4. NPV'!BCE$8,0)</f>
        <v>-0.0</v>
      </c>
      <c r="BCE53" s="5">
        <f>-IFERROR('4. NPV'!BCF23/'4. NPV'!BCF$8,0)</f>
        <v>-0.0</v>
      </c>
      <c r="BCF53" s="5">
        <f>-IFERROR('4. NPV'!BCG23/'4. NPV'!BCG$8,0)</f>
        <v>-0.0</v>
      </c>
      <c r="BCG53" s="5">
        <f>-IFERROR('4. NPV'!BCH23/'4. NPV'!BCH$8,0)</f>
        <v>-0.0</v>
      </c>
      <c r="BCH53" s="5">
        <f>-IFERROR('4. NPV'!BCI23/'4. NPV'!BCI$8,0)</f>
        <v>-0.0</v>
      </c>
      <c r="BCI53" s="5">
        <f>-IFERROR('4. NPV'!BCJ23/'4. NPV'!BCJ$8,0)</f>
        <v>-0.0</v>
      </c>
      <c r="BCJ53" s="5">
        <f>-IFERROR('4. NPV'!BCK23/'4. NPV'!BCK$8,0)</f>
        <v>-0.0</v>
      </c>
      <c r="BCK53" s="5">
        <f>-IFERROR('4. NPV'!BCL23/'4. NPV'!BCL$8,0)</f>
        <v>-0.0</v>
      </c>
      <c r="BCL53" s="5">
        <f>-IFERROR('4. NPV'!BCM23/'4. NPV'!BCM$8,0)</f>
        <v>-0.0</v>
      </c>
      <c r="BCM53" s="5">
        <f>-IFERROR('4. NPV'!BCN23/'4. NPV'!BCN$8,0)</f>
        <v>-0.0</v>
      </c>
      <c r="BCN53" s="5">
        <f>-IFERROR('4. NPV'!BCO23/'4. NPV'!BCO$8,0)</f>
        <v>-0.0</v>
      </c>
      <c r="BCO53" s="5">
        <f>-IFERROR('4. NPV'!BCP23/'4. NPV'!BCP$8,0)</f>
        <v>-0.0</v>
      </c>
      <c r="BCP53" s="5">
        <f>-IFERROR('4. NPV'!BCQ23/'4. NPV'!BCQ$8,0)</f>
        <v>-0.0</v>
      </c>
      <c r="BCQ53" s="5">
        <f>-IFERROR('4. NPV'!BCR23/'4. NPV'!BCR$8,0)</f>
        <v>-0.0</v>
      </c>
      <c r="BCR53" s="5">
        <f>-IFERROR('4. NPV'!BCS23/'4. NPV'!BCS$8,0)</f>
        <v>-0.0</v>
      </c>
      <c r="BCS53" s="5">
        <f>-IFERROR('4. NPV'!BCT23/'4. NPV'!BCT$8,0)</f>
        <v>-0.0</v>
      </c>
      <c r="BCT53" s="5">
        <f>-IFERROR('4. NPV'!BCU23/'4. NPV'!BCU$8,0)</f>
        <v>-0.0</v>
      </c>
      <c r="BCU53" s="5">
        <f>-IFERROR('4. NPV'!BCV23/'4. NPV'!BCV$8,0)</f>
        <v>-0.0</v>
      </c>
      <c r="BCV53" s="5">
        <f>-IFERROR('4. NPV'!BCW23/'4. NPV'!BCW$8,0)</f>
        <v>-0.0</v>
      </c>
      <c r="BCW53" s="5">
        <f>-IFERROR('4. NPV'!BCX23/'4. NPV'!BCX$8,0)</f>
        <v>-0.0</v>
      </c>
      <c r="BCX53" s="5">
        <f>-IFERROR('4. NPV'!BCY23/'4. NPV'!BCY$8,0)</f>
        <v>-0.0</v>
      </c>
      <c r="BCY53" s="5">
        <f>-IFERROR('4. NPV'!BCZ23/'4. NPV'!BCZ$8,0)</f>
        <v>-0.0</v>
      </c>
      <c r="BCZ53" s="5">
        <f>-IFERROR('4. NPV'!BDA23/'4. NPV'!BDA$8,0)</f>
        <v>-0.0</v>
      </c>
      <c r="BDA53" s="5">
        <f>-IFERROR('4. NPV'!BDB23/'4. NPV'!BDB$8,0)</f>
        <v>-0.0</v>
      </c>
      <c r="BDB53" s="5">
        <f>-IFERROR('4. NPV'!BDC23/'4. NPV'!BDC$8,0)</f>
        <v>-0.0</v>
      </c>
      <c r="BDC53" s="5">
        <f>-IFERROR('4. NPV'!BDD23/'4. NPV'!BDD$8,0)</f>
        <v>-0.0</v>
      </c>
      <c r="BDD53" s="5">
        <f>-IFERROR('4. NPV'!BDE23/'4. NPV'!BDE$8,0)</f>
        <v>-0.0</v>
      </c>
      <c r="BDE53" s="5">
        <f>-IFERROR('4. NPV'!BDF23/'4. NPV'!BDF$8,0)</f>
        <v>-0.0</v>
      </c>
      <c r="BDF53" s="5">
        <f>-IFERROR('4. NPV'!BDG23/'4. NPV'!BDG$8,0)</f>
        <v>-0.0</v>
      </c>
      <c r="BDG53" s="5">
        <f>-IFERROR('4. NPV'!BDH23/'4. NPV'!BDH$8,0)</f>
        <v>-0.0</v>
      </c>
      <c r="BDH53" s="5">
        <f>-IFERROR('4. NPV'!BDI23/'4. NPV'!BDI$8,0)</f>
        <v>-0.0</v>
      </c>
      <c r="BDI53" s="5">
        <f>-IFERROR('4. NPV'!BDJ23/'4. NPV'!BDJ$8,0)</f>
        <v>-0.0</v>
      </c>
      <c r="BDJ53" s="5">
        <f>-IFERROR('4. NPV'!BDK23/'4. NPV'!BDK$8,0)</f>
        <v>-0.0</v>
      </c>
      <c r="BDK53" s="5">
        <f>-IFERROR('4. NPV'!BDL23/'4. NPV'!BDL$8,0)</f>
        <v>-0.0</v>
      </c>
      <c r="BDL53" s="5">
        <f>-IFERROR('4. NPV'!BDM23/'4. NPV'!BDM$8,0)</f>
        <v>-0.0</v>
      </c>
      <c r="BDM53" s="5">
        <f>-IFERROR('4. NPV'!BDN23/'4. NPV'!BDN$8,0)</f>
        <v>-0.0</v>
      </c>
      <c r="BDN53" s="5">
        <f>-IFERROR('4. NPV'!BDO23/'4. NPV'!BDO$8,0)</f>
        <v>-0.0</v>
      </c>
      <c r="BDO53" s="5">
        <f>-IFERROR('4. NPV'!BDP23/'4. NPV'!BDP$8,0)</f>
        <v>-0.0</v>
      </c>
      <c r="BDP53" s="5">
        <f>-IFERROR('4. NPV'!BDQ23/'4. NPV'!BDQ$8,0)</f>
        <v>-0.0</v>
      </c>
      <c r="BDQ53" s="5">
        <f>-IFERROR('4. NPV'!BDR23/'4. NPV'!BDR$8,0)</f>
        <v>-0.0</v>
      </c>
      <c r="BDR53" s="5">
        <f>-IFERROR('4. NPV'!BDS23/'4. NPV'!BDS$8,0)</f>
        <v>-0.0</v>
      </c>
      <c r="BDS53" s="5">
        <f>-IFERROR('4. NPV'!BDT23/'4. NPV'!BDT$8,0)</f>
        <v>-0.0</v>
      </c>
      <c r="BDT53" s="5">
        <f>-IFERROR('4. NPV'!BDU23/'4. NPV'!BDU$8,0)</f>
        <v>-0.0</v>
      </c>
      <c r="BDU53" s="5">
        <f>-IFERROR('4. NPV'!BDV23/'4. NPV'!BDV$8,0)</f>
        <v>-0.0</v>
      </c>
      <c r="BDV53" s="5">
        <f>-IFERROR('4. NPV'!BDW23/'4. NPV'!BDW$8,0)</f>
        <v>-0.0</v>
      </c>
      <c r="BDW53" s="5">
        <f>-IFERROR('4. NPV'!BDX23/'4. NPV'!BDX$8,0)</f>
        <v>-0.0</v>
      </c>
      <c r="BDX53" s="5">
        <f>-IFERROR('4. NPV'!BDY23/'4. NPV'!BDY$8,0)</f>
        <v>-0.0</v>
      </c>
      <c r="BDY53" s="5">
        <f>-IFERROR('4. NPV'!BDZ23/'4. NPV'!BDZ$8,0)</f>
        <v>-0.0</v>
      </c>
      <c r="BDZ53" s="5">
        <f>-IFERROR('4. NPV'!BEA23/'4. NPV'!BEA$8,0)</f>
        <v>-0.0</v>
      </c>
      <c r="BEA53" s="5">
        <f>-IFERROR('4. NPV'!BEB23/'4. NPV'!BEB$8,0)</f>
        <v>-0.0</v>
      </c>
      <c r="BEB53" s="5">
        <f>-IFERROR('4. NPV'!BEC23/'4. NPV'!BEC$8,0)</f>
        <v>-0.0</v>
      </c>
      <c r="BEC53" s="5">
        <f>-IFERROR('4. NPV'!BED23/'4. NPV'!BED$8,0)</f>
        <v>-0.0</v>
      </c>
      <c r="BED53" s="5">
        <f>-IFERROR('4. NPV'!BEE23/'4. NPV'!BEE$8,0)</f>
        <v>-0.0</v>
      </c>
      <c r="BEE53" s="5">
        <f>-IFERROR('4. NPV'!BEF23/'4. NPV'!BEF$8,0)</f>
        <v>-0.0</v>
      </c>
      <c r="BEF53" s="5">
        <f>-IFERROR('4. NPV'!BEG23/'4. NPV'!BEG$8,0)</f>
        <v>-0.0</v>
      </c>
      <c r="BEG53" s="5">
        <f>-IFERROR('4. NPV'!BEH23/'4. NPV'!BEH$8,0)</f>
        <v>-0.0</v>
      </c>
      <c r="BEH53" s="5">
        <f>-IFERROR('4. NPV'!BEI23/'4. NPV'!BEI$8,0)</f>
        <v>-0.0</v>
      </c>
      <c r="BEI53" s="5">
        <f>-IFERROR('4. NPV'!BEJ23/'4. NPV'!BEJ$8,0)</f>
        <v>-0.0</v>
      </c>
      <c r="BEJ53" s="5">
        <f>-IFERROR('4. NPV'!BEK23/'4. NPV'!BEK$8,0)</f>
        <v>-0.0</v>
      </c>
      <c r="BEK53" s="5">
        <f>-IFERROR('4. NPV'!BEL23/'4. NPV'!BEL$8,0)</f>
        <v>-0.0</v>
      </c>
      <c r="BEL53" s="5">
        <f>-IFERROR('4. NPV'!BEM23/'4. NPV'!BEM$8,0)</f>
        <v>-0.0</v>
      </c>
      <c r="BEM53" s="5">
        <f>-IFERROR('4. NPV'!BEN23/'4. NPV'!BEN$8,0)</f>
        <v>-0.0</v>
      </c>
      <c r="BEN53" s="5">
        <f>-IFERROR('4. NPV'!BEO23/'4. NPV'!BEO$8,0)</f>
        <v>-0.0</v>
      </c>
      <c r="BEO53" s="5">
        <f>-IFERROR('4. NPV'!BEP23/'4. NPV'!BEP$8,0)</f>
        <v>-0.0</v>
      </c>
      <c r="BEP53" s="5">
        <f>-IFERROR('4. NPV'!BEQ23/'4. NPV'!BEQ$8,0)</f>
        <v>-0.0</v>
      </c>
      <c r="BEQ53" s="5">
        <f>-IFERROR('4. NPV'!BER23/'4. NPV'!BER$8,0)</f>
        <v>-0.0</v>
      </c>
      <c r="BER53" s="5">
        <f>-IFERROR('4. NPV'!BES23/'4. NPV'!BES$8,0)</f>
        <v>-0.0</v>
      </c>
      <c r="BES53" s="5">
        <f>-IFERROR('4. NPV'!BET23/'4. NPV'!BET$8,0)</f>
        <v>-0.0</v>
      </c>
      <c r="BET53" s="5">
        <f>-IFERROR('4. NPV'!BEU23/'4. NPV'!BEU$8,0)</f>
        <v>-0.0</v>
      </c>
      <c r="BEU53" s="5">
        <f>-IFERROR('4. NPV'!BEV23/'4. NPV'!BEV$8,0)</f>
        <v>-0.0</v>
      </c>
      <c r="BEV53" s="5">
        <f>-IFERROR('4. NPV'!BEW23/'4. NPV'!BEW$8,0)</f>
        <v>-0.0</v>
      </c>
      <c r="BEW53" s="5">
        <f>-IFERROR('4. NPV'!BEX23/'4. NPV'!BEX$8,0)</f>
        <v>-0.0</v>
      </c>
      <c r="BEX53" s="5">
        <f>-IFERROR('4. NPV'!BEY23/'4. NPV'!BEY$8,0)</f>
        <v>-0.0</v>
      </c>
      <c r="BEY53" s="5">
        <f>-IFERROR('4. NPV'!BEZ23/'4. NPV'!BEZ$8,0)</f>
        <v>-0.0</v>
      </c>
      <c r="BEZ53" s="5">
        <f>-IFERROR('4. NPV'!BFA23/'4. NPV'!BFA$8,0)</f>
        <v>-0.0</v>
      </c>
      <c r="BFA53" s="5">
        <f>-IFERROR('4. NPV'!BFB23/'4. NPV'!BFB$8,0)</f>
        <v>-0.0</v>
      </c>
      <c r="BFB53" s="5">
        <f>-IFERROR('4. NPV'!BFC23/'4. NPV'!BFC$8,0)</f>
        <v>-0.0</v>
      </c>
      <c r="BFC53" s="5">
        <f>-IFERROR('4. NPV'!BFD23/'4. NPV'!BFD$8,0)</f>
        <v>-0.0</v>
      </c>
      <c r="BFD53" s="5">
        <f>-IFERROR('4. NPV'!BFE23/'4. NPV'!BFE$8,0)</f>
        <v>-0.0</v>
      </c>
      <c r="BFE53" s="5">
        <f>-IFERROR('4. NPV'!BFF23/'4. NPV'!BFF$8,0)</f>
        <v>-0.0</v>
      </c>
      <c r="BFF53" s="5">
        <f>-IFERROR('4. NPV'!BFG23/'4. NPV'!BFG$8,0)</f>
        <v>-0.0</v>
      </c>
      <c r="BFG53" s="5">
        <f>-IFERROR('4. NPV'!BFH23/'4. NPV'!BFH$8,0)</f>
        <v>-0.0</v>
      </c>
      <c r="BFH53" s="5">
        <f>-IFERROR('4. NPV'!BFI23/'4. NPV'!BFI$8,0)</f>
        <v>-0.0</v>
      </c>
      <c r="BFI53" s="5">
        <f>-IFERROR('4. NPV'!BFJ23/'4. NPV'!BFJ$8,0)</f>
        <v>-0.0</v>
      </c>
      <c r="BFJ53" s="5">
        <f>-IFERROR('4. NPV'!BFK23/'4. NPV'!BFK$8,0)</f>
        <v>-0.0</v>
      </c>
      <c r="BFK53" s="5">
        <f>-IFERROR('4. NPV'!BFL23/'4. NPV'!BFL$8,0)</f>
        <v>-0.0</v>
      </c>
      <c r="BFL53" s="5">
        <f>-IFERROR('4. NPV'!BFM23/'4. NPV'!BFM$8,0)</f>
        <v>-0.0</v>
      </c>
      <c r="BFM53" s="5">
        <f>-IFERROR('4. NPV'!BFN23/'4. NPV'!BFN$8,0)</f>
        <v>-0.0</v>
      </c>
      <c r="BFN53" s="5">
        <f>-IFERROR('4. NPV'!BFO23/'4. NPV'!BFO$8,0)</f>
        <v>-0.0</v>
      </c>
      <c r="BFO53" s="5">
        <f>-IFERROR('4. NPV'!BFP23/'4. NPV'!BFP$8,0)</f>
        <v>-0.0</v>
      </c>
      <c r="BFP53" s="5">
        <f>-IFERROR('4. NPV'!BFQ23/'4. NPV'!BFQ$8,0)</f>
        <v>-0.0</v>
      </c>
      <c r="BFQ53" s="5">
        <f>-IFERROR('4. NPV'!BFR23/'4. NPV'!BFR$8,0)</f>
        <v>-0.0</v>
      </c>
      <c r="BFR53" s="5">
        <f>-IFERROR('4. NPV'!BFS23/'4. NPV'!BFS$8,0)</f>
        <v>-0.0</v>
      </c>
      <c r="BFS53" s="5">
        <f>-IFERROR('4. NPV'!BFT23/'4. NPV'!BFT$8,0)</f>
        <v>-0.0</v>
      </c>
      <c r="BFT53" s="5">
        <f>-IFERROR('4. NPV'!BFU23/'4. NPV'!BFU$8,0)</f>
        <v>-0.0</v>
      </c>
      <c r="BFU53" s="5">
        <f>-IFERROR('4. NPV'!BFV23/'4. NPV'!BFV$8,0)</f>
        <v>-0.0</v>
      </c>
      <c r="BFV53" s="5">
        <f>-IFERROR('4. NPV'!BFW23/'4. NPV'!BFW$8,0)</f>
        <v>-0.0</v>
      </c>
      <c r="BFW53" s="5">
        <f>-IFERROR('4. NPV'!BFX23/'4. NPV'!BFX$8,0)</f>
        <v>-0.0</v>
      </c>
      <c r="BFX53" s="5">
        <f>-IFERROR('4. NPV'!BFY23/'4. NPV'!BFY$8,0)</f>
        <v>-0.0</v>
      </c>
      <c r="BFY53" s="5">
        <f>-IFERROR('4. NPV'!BFZ23/'4. NPV'!BFZ$8,0)</f>
        <v>-0.0</v>
      </c>
      <c r="BFZ53" s="5">
        <f>-IFERROR('4. NPV'!BGA23/'4. NPV'!BGA$8,0)</f>
        <v>-0.0</v>
      </c>
      <c r="BGA53" s="5">
        <f>-IFERROR('4. NPV'!BGB23/'4. NPV'!BGB$8,0)</f>
        <v>-0.0</v>
      </c>
      <c r="BGB53" s="5">
        <f>-IFERROR('4. NPV'!BGC23/'4. NPV'!BGC$8,0)</f>
        <v>-0.0</v>
      </c>
      <c r="BGC53" s="5">
        <f>-IFERROR('4. NPV'!BGD23/'4. NPV'!BGD$8,0)</f>
        <v>-0.0</v>
      </c>
      <c r="BGD53" s="5">
        <f>-IFERROR('4. NPV'!BGE23/'4. NPV'!BGE$8,0)</f>
        <v>-0.0</v>
      </c>
      <c r="BGE53" s="5">
        <f>-IFERROR('4. NPV'!BGF23/'4. NPV'!BGF$8,0)</f>
        <v>-0.0</v>
      </c>
      <c r="BGF53" s="5">
        <f>-IFERROR('4. NPV'!BGG23/'4. NPV'!BGG$8,0)</f>
        <v>-0.0</v>
      </c>
      <c r="BGG53" s="5">
        <f>-IFERROR('4. NPV'!BGH23/'4. NPV'!BGH$8,0)</f>
        <v>-0.0</v>
      </c>
      <c r="BGH53" s="5">
        <f>-IFERROR('4. NPV'!BGI23/'4. NPV'!BGI$8,0)</f>
        <v>-0.0</v>
      </c>
      <c r="BGI53" s="5">
        <f>-IFERROR('4. NPV'!BGJ23/'4. NPV'!BGJ$8,0)</f>
        <v>-0.0</v>
      </c>
      <c r="BGJ53" s="5">
        <f>-IFERROR('4. NPV'!BGK23/'4. NPV'!BGK$8,0)</f>
        <v>-0.0</v>
      </c>
      <c r="BGK53" s="5">
        <f>-IFERROR('4. NPV'!BGL23/'4. NPV'!BGL$8,0)</f>
        <v>-0.0</v>
      </c>
      <c r="BGL53" s="5">
        <f>-IFERROR('4. NPV'!BGM23/'4. NPV'!BGM$8,0)</f>
        <v>-0.0</v>
      </c>
      <c r="BGM53" s="5">
        <f>-IFERROR('4. NPV'!BGN23/'4. NPV'!BGN$8,0)</f>
        <v>-0.0</v>
      </c>
      <c r="BGN53" s="5">
        <f>-IFERROR('4. NPV'!BGO23/'4. NPV'!BGO$8,0)</f>
        <v>-0.0</v>
      </c>
      <c r="BGO53" s="5">
        <f>-IFERROR('4. NPV'!BGP23/'4. NPV'!BGP$8,0)</f>
        <v>-0.0</v>
      </c>
      <c r="BGP53" s="5">
        <f>-IFERROR('4. NPV'!BGQ23/'4. NPV'!BGQ$8,0)</f>
        <v>-0.0</v>
      </c>
      <c r="BGQ53" s="5">
        <f>-IFERROR('4. NPV'!BGR23/'4. NPV'!BGR$8,0)</f>
        <v>-0.0</v>
      </c>
      <c r="BGR53" s="5">
        <f>-IFERROR('4. NPV'!BGS23/'4. NPV'!BGS$8,0)</f>
        <v>-0.0</v>
      </c>
      <c r="BGS53" s="5">
        <f>-IFERROR('4. NPV'!BGT23/'4. NPV'!BGT$8,0)</f>
        <v>-0.0</v>
      </c>
      <c r="BGT53" s="5">
        <f>-IFERROR('4. NPV'!BGU23/'4. NPV'!BGU$8,0)</f>
        <v>-0.0</v>
      </c>
      <c r="BGU53" s="5">
        <f>-IFERROR('4. NPV'!BGV23/'4. NPV'!BGV$8,0)</f>
        <v>-0.0</v>
      </c>
      <c r="BGV53" s="5">
        <f>-IFERROR('4. NPV'!BGW23/'4. NPV'!BGW$8,0)</f>
        <v>-0.0</v>
      </c>
      <c r="BGW53" s="5">
        <f>-IFERROR('4. NPV'!BGX23/'4. NPV'!BGX$8,0)</f>
        <v>-0.0</v>
      </c>
      <c r="BGX53" s="5">
        <f>-IFERROR('4. NPV'!BGY23/'4. NPV'!BGY$8,0)</f>
        <v>-0.0</v>
      </c>
      <c r="BGY53" s="5">
        <f>-IFERROR('4. NPV'!BGZ23/'4. NPV'!BGZ$8,0)</f>
        <v>-0.0</v>
      </c>
      <c r="BGZ53" s="5">
        <f>-IFERROR('4. NPV'!BHA23/'4. NPV'!BHA$8,0)</f>
        <v>-0.0</v>
      </c>
      <c r="BHA53" s="5">
        <f>-IFERROR('4. NPV'!BHB23/'4. NPV'!BHB$8,0)</f>
        <v>-0.0</v>
      </c>
      <c r="BHB53" s="5">
        <f>-IFERROR('4. NPV'!BHC23/'4. NPV'!BHC$8,0)</f>
        <v>-0.0</v>
      </c>
      <c r="BHC53" s="5">
        <f>-IFERROR('4. NPV'!BHD23/'4. NPV'!BHD$8,0)</f>
        <v>-0.0</v>
      </c>
      <c r="BHD53" s="5">
        <f>-IFERROR('4. NPV'!BHE23/'4. NPV'!BHE$8,0)</f>
        <v>-0.0</v>
      </c>
      <c r="BHE53" s="5">
        <f>-IFERROR('4. NPV'!BHF23/'4. NPV'!BHF$8,0)</f>
        <v>-0.0</v>
      </c>
      <c r="BHF53" s="5">
        <f>-IFERROR('4. NPV'!BHG23/'4. NPV'!BHG$8,0)</f>
        <v>-0.0</v>
      </c>
      <c r="BHG53" s="5">
        <f>-IFERROR('4. NPV'!BHH23/'4. NPV'!BHH$8,0)</f>
        <v>-0.0</v>
      </c>
      <c r="BHH53" s="5">
        <f>-IFERROR('4. NPV'!BHI23/'4. NPV'!BHI$8,0)</f>
        <v>-0.0</v>
      </c>
      <c r="BHI53" s="5">
        <f>-IFERROR('4. NPV'!BHJ23/'4. NPV'!BHJ$8,0)</f>
        <v>-0.0</v>
      </c>
      <c r="BHJ53" s="5">
        <f>-IFERROR('4. NPV'!BHK23/'4. NPV'!BHK$8,0)</f>
        <v>-0.0</v>
      </c>
      <c r="BHK53" s="5">
        <f>-IFERROR('4. NPV'!BHL23/'4. NPV'!BHL$8,0)</f>
        <v>-0.0</v>
      </c>
      <c r="BHL53" s="5">
        <f>-IFERROR('4. NPV'!BHM23/'4. NPV'!BHM$8,0)</f>
        <v>-0.0</v>
      </c>
      <c r="BHM53" s="5">
        <f>-IFERROR('4. NPV'!BHN23/'4. NPV'!BHN$8,0)</f>
        <v>-0.0</v>
      </c>
      <c r="BHN53" s="5">
        <f>-IFERROR('4. NPV'!BHO23/'4. NPV'!BHO$8,0)</f>
        <v>-0.0</v>
      </c>
      <c r="BHO53" s="5">
        <f>-IFERROR('4. NPV'!BHP23/'4. NPV'!BHP$8,0)</f>
        <v>-0.0</v>
      </c>
      <c r="BHP53" s="5">
        <f>-IFERROR('4. NPV'!BHQ23/'4. NPV'!BHQ$8,0)</f>
        <v>-0.0</v>
      </c>
      <c r="BHQ53" s="5">
        <f>-IFERROR('4. NPV'!BHR23/'4. NPV'!BHR$8,0)</f>
        <v>-0.0</v>
      </c>
      <c r="BHR53" s="5">
        <f>-IFERROR('4. NPV'!BHS23/'4. NPV'!BHS$8,0)</f>
        <v>-0.0</v>
      </c>
      <c r="BHS53" s="5">
        <f>-IFERROR('4. NPV'!BHT23/'4. NPV'!BHT$8,0)</f>
        <v>-0.0</v>
      </c>
      <c r="BHT53" s="5">
        <f>-IFERROR('4. NPV'!BHU23/'4. NPV'!BHU$8,0)</f>
        <v>-0.0</v>
      </c>
      <c r="BHU53" s="5">
        <f>-IFERROR('4. NPV'!BHV23/'4. NPV'!BHV$8,0)</f>
        <v>-0.0</v>
      </c>
      <c r="BHV53" s="5">
        <f>-IFERROR('4. NPV'!BHW23/'4. NPV'!BHW$8,0)</f>
        <v>-0.0</v>
      </c>
      <c r="BHW53" s="5">
        <f>-IFERROR('4. NPV'!BHX23/'4. NPV'!BHX$8,0)</f>
        <v>-0.0</v>
      </c>
      <c r="BHX53" s="5">
        <f>-IFERROR('4. NPV'!BHY23/'4. NPV'!BHY$8,0)</f>
        <v>-0.0</v>
      </c>
      <c r="BHY53" s="5">
        <f>-IFERROR('4. NPV'!BHZ23/'4. NPV'!BHZ$8,0)</f>
        <v>-0.0</v>
      </c>
      <c r="BHZ53" s="5">
        <f>-IFERROR('4. NPV'!BIA23/'4. NPV'!BIA$8,0)</f>
        <v>-0.0</v>
      </c>
      <c r="BIA53" s="5">
        <f>-IFERROR('4. NPV'!BIB23/'4. NPV'!BIB$8,0)</f>
        <v>-0.0</v>
      </c>
      <c r="BIB53" s="5">
        <f>-IFERROR('4. NPV'!BIC23/'4. NPV'!BIC$8,0)</f>
        <v>-0.0</v>
      </c>
      <c r="BIC53" s="5">
        <f>-IFERROR('4. NPV'!BID23/'4. NPV'!BID$8,0)</f>
        <v>-0.0</v>
      </c>
      <c r="BID53" s="5">
        <f>-IFERROR('4. NPV'!BIE23/'4. NPV'!BIE$8,0)</f>
        <v>-0.0</v>
      </c>
      <c r="BIE53" s="5">
        <f>-IFERROR('4. NPV'!BIF23/'4. NPV'!BIF$8,0)</f>
        <v>-0.0</v>
      </c>
      <c r="BIF53" s="5">
        <f>-IFERROR('4. NPV'!BIG23/'4. NPV'!BIG$8,0)</f>
        <v>-0.0</v>
      </c>
      <c r="BIG53" s="5">
        <f>-IFERROR('4. NPV'!BIH23/'4. NPV'!BIH$8,0)</f>
        <v>-0.0</v>
      </c>
      <c r="BIH53" s="5">
        <f>-IFERROR('4. NPV'!BII23/'4. NPV'!BII$8,0)</f>
        <v>-0.0</v>
      </c>
      <c r="BII53" s="5">
        <f>-IFERROR('4. NPV'!BIJ23/'4. NPV'!BIJ$8,0)</f>
        <v>-0.0</v>
      </c>
      <c r="BIJ53" s="5">
        <f>-IFERROR('4. NPV'!BIK23/'4. NPV'!BIK$8,0)</f>
        <v>-0.0</v>
      </c>
      <c r="BIK53" s="5">
        <f>-IFERROR('4. NPV'!BIL23/'4. NPV'!BIL$8,0)</f>
        <v>-0.0</v>
      </c>
      <c r="BIL53" s="5">
        <f>-IFERROR('4. NPV'!BIM23/'4. NPV'!BIM$8,0)</f>
        <v>-0.0</v>
      </c>
      <c r="BIM53" s="5">
        <f>-IFERROR('4. NPV'!BIN23/'4. NPV'!BIN$8,0)</f>
        <v>-0.0</v>
      </c>
      <c r="BIN53" s="5">
        <f>-IFERROR('4. NPV'!BIO23/'4. NPV'!BIO$8,0)</f>
        <v>-0.0</v>
      </c>
      <c r="BIO53" s="5">
        <f>-IFERROR('4. NPV'!BIP23/'4. NPV'!BIP$8,0)</f>
        <v>-0.0</v>
      </c>
      <c r="BIP53" s="5">
        <f>-IFERROR('4. NPV'!BIQ23/'4. NPV'!BIQ$8,0)</f>
        <v>-0.0</v>
      </c>
      <c r="BIQ53" s="5">
        <f>-IFERROR('4. NPV'!BIR23/'4. NPV'!BIR$8,0)</f>
        <v>-0.0</v>
      </c>
      <c r="BIR53" s="5">
        <f>-IFERROR('4. NPV'!BIS23/'4. NPV'!BIS$8,0)</f>
        <v>-0.0</v>
      </c>
      <c r="BIS53" s="5">
        <f>-IFERROR('4. NPV'!BIT23/'4. NPV'!BIT$8,0)</f>
        <v>-0.0</v>
      </c>
      <c r="BIT53" s="5">
        <f>-IFERROR('4. NPV'!BIU23/'4. NPV'!BIU$8,0)</f>
        <v>-0.0</v>
      </c>
      <c r="BIU53" s="5">
        <f>-IFERROR('4. NPV'!BIV23/'4. NPV'!BIV$8,0)</f>
        <v>-0.0</v>
      </c>
      <c r="BIV53" s="5">
        <f>-IFERROR('4. NPV'!BIW23/'4. NPV'!BIW$8,0)</f>
        <v>-0.0</v>
      </c>
      <c r="BIW53" s="5">
        <f>-IFERROR('4. NPV'!BIX23/'4. NPV'!BIX$8,0)</f>
        <v>-0.0</v>
      </c>
      <c r="BIX53" s="5">
        <f>-IFERROR('4. NPV'!BIY23/'4. NPV'!BIY$8,0)</f>
        <v>-0.0</v>
      </c>
      <c r="BIY53" s="5">
        <f>-IFERROR('4. NPV'!BIZ23/'4. NPV'!BIZ$8,0)</f>
        <v>-0.0</v>
      </c>
      <c r="BIZ53" s="5">
        <f>-IFERROR('4. NPV'!BJA23/'4. NPV'!BJA$8,0)</f>
        <v>-0.0</v>
      </c>
      <c r="BJA53" s="5">
        <f>-IFERROR('4. NPV'!BJB23/'4. NPV'!BJB$8,0)</f>
        <v>-0.0</v>
      </c>
      <c r="BJB53" s="5">
        <f>-IFERROR('4. NPV'!BJC23/'4. NPV'!BJC$8,0)</f>
        <v>-0.0</v>
      </c>
      <c r="BJC53" s="5">
        <f>-IFERROR('4. NPV'!BJD23/'4. NPV'!BJD$8,0)</f>
        <v>-0.0</v>
      </c>
      <c r="BJD53" s="5">
        <f>-IFERROR('4. NPV'!BJE23/'4. NPV'!BJE$8,0)</f>
        <v>-0.0</v>
      </c>
      <c r="BJE53" s="5">
        <f>-IFERROR('4. NPV'!BJF23/'4. NPV'!BJF$8,0)</f>
        <v>-0.0</v>
      </c>
      <c r="BJF53" s="5">
        <f>-IFERROR('4. NPV'!BJG23/'4. NPV'!BJG$8,0)</f>
        <v>-0.0</v>
      </c>
      <c r="BJG53" s="5">
        <f>-IFERROR('4. NPV'!BJH23/'4. NPV'!BJH$8,0)</f>
        <v>-0.0</v>
      </c>
      <c r="BJH53" s="5">
        <f>-IFERROR('4. NPV'!BJI23/'4. NPV'!BJI$8,0)</f>
        <v>-0.0</v>
      </c>
      <c r="BJI53" s="5">
        <f>-IFERROR('4. NPV'!BJJ23/'4. NPV'!BJJ$8,0)</f>
        <v>-0.0</v>
      </c>
      <c r="BJJ53" s="5">
        <f>-IFERROR('4. NPV'!BJK23/'4. NPV'!BJK$8,0)</f>
        <v>-0.0</v>
      </c>
      <c r="BJK53" s="5">
        <f>-IFERROR('4. NPV'!BJL23/'4. NPV'!BJL$8,0)</f>
        <v>-0.0</v>
      </c>
      <c r="BJL53" s="5">
        <f>-IFERROR('4. NPV'!BJM23/'4. NPV'!BJM$8,0)</f>
        <v>-0.0</v>
      </c>
      <c r="BJM53" s="5">
        <f>-IFERROR('4. NPV'!BJN23/'4. NPV'!BJN$8,0)</f>
        <v>-0.0</v>
      </c>
      <c r="BJN53" s="5">
        <f>-IFERROR('4. NPV'!BJO23/'4. NPV'!BJO$8,0)</f>
        <v>-0.0</v>
      </c>
      <c r="BJO53" s="5">
        <f>-IFERROR('4. NPV'!BJP23/'4. NPV'!BJP$8,0)</f>
        <v>-0.0</v>
      </c>
      <c r="BJP53" s="5">
        <f>-IFERROR('4. NPV'!BJQ23/'4. NPV'!BJQ$8,0)</f>
        <v>-0.0</v>
      </c>
      <c r="BJQ53" s="5">
        <f>-IFERROR('4. NPV'!BJR23/'4. NPV'!BJR$8,0)</f>
        <v>-0.0</v>
      </c>
      <c r="BJR53" s="5">
        <f>-IFERROR('4. NPV'!BJS23/'4. NPV'!BJS$8,0)</f>
        <v>-0.0</v>
      </c>
      <c r="BJS53" s="5">
        <f>-IFERROR('4. NPV'!BJT23/'4. NPV'!BJT$8,0)</f>
        <v>-0.0</v>
      </c>
      <c r="BJT53" s="5">
        <f>-IFERROR('4. NPV'!BJU23/'4. NPV'!BJU$8,0)</f>
        <v>-0.0</v>
      </c>
      <c r="BJU53" s="5">
        <f>-IFERROR('4. NPV'!BJV23/'4. NPV'!BJV$8,0)</f>
        <v>-0.0</v>
      </c>
      <c r="BJV53" s="5">
        <f>-IFERROR('4. NPV'!BJW23/'4. NPV'!BJW$8,0)</f>
        <v>-0.0</v>
      </c>
      <c r="BJW53" s="5">
        <f>-IFERROR('4. NPV'!BJX23/'4. NPV'!BJX$8,0)</f>
        <v>-0.0</v>
      </c>
      <c r="BJX53" s="5">
        <f>-IFERROR('4. NPV'!BJY23/'4. NPV'!BJY$8,0)</f>
        <v>-0.0</v>
      </c>
      <c r="BJY53" s="5">
        <f>-IFERROR('4. NPV'!BJZ23/'4. NPV'!BJZ$8,0)</f>
        <v>-0.0</v>
      </c>
      <c r="BJZ53" s="5">
        <f>-IFERROR('4. NPV'!BKA23/'4. NPV'!BKA$8,0)</f>
        <v>-0.0</v>
      </c>
      <c r="BKA53" s="5">
        <f>-IFERROR('4. NPV'!BKB23/'4. NPV'!BKB$8,0)</f>
        <v>-0.0</v>
      </c>
      <c r="BKB53" s="5">
        <f>-IFERROR('4. NPV'!BKC23/'4. NPV'!BKC$8,0)</f>
        <v>-0.0</v>
      </c>
      <c r="BKC53" s="5">
        <f>-IFERROR('4. NPV'!BKD23/'4. NPV'!BKD$8,0)</f>
        <v>-0.0</v>
      </c>
      <c r="BKD53" s="5">
        <f>-IFERROR('4. NPV'!BKE23/'4. NPV'!BKE$8,0)</f>
        <v>-0.0</v>
      </c>
      <c r="BKE53" s="5">
        <f>-IFERROR('4. NPV'!BKF23/'4. NPV'!BKF$8,0)</f>
        <v>-0.0</v>
      </c>
      <c r="BKF53" s="5">
        <f>-IFERROR('4. NPV'!BKG23/'4. NPV'!BKG$8,0)</f>
        <v>-0.0</v>
      </c>
      <c r="BKG53" s="5">
        <f>-IFERROR('4. NPV'!BKH23/'4. NPV'!BKH$8,0)</f>
        <v>-0.0</v>
      </c>
      <c r="BKH53" s="5">
        <f>-IFERROR('4. NPV'!BKI23/'4. NPV'!BKI$8,0)</f>
        <v>-0.0</v>
      </c>
      <c r="BKI53" s="5">
        <f>-IFERROR('4. NPV'!BKJ23/'4. NPV'!BKJ$8,0)</f>
        <v>-0.0</v>
      </c>
      <c r="BKJ53" s="5">
        <f>-IFERROR('4. NPV'!BKK23/'4. NPV'!BKK$8,0)</f>
        <v>-0.0</v>
      </c>
      <c r="BKK53" s="5">
        <f>-IFERROR('4. NPV'!BKL23/'4. NPV'!BKL$8,0)</f>
        <v>-0.0</v>
      </c>
      <c r="BKL53" s="5">
        <f>-IFERROR('4. NPV'!BKM23/'4. NPV'!BKM$8,0)</f>
        <v>-0.0</v>
      </c>
      <c r="BKM53" s="5">
        <f>-IFERROR('4. NPV'!BKN23/'4. NPV'!BKN$8,0)</f>
        <v>-0.0</v>
      </c>
      <c r="BKN53" s="5">
        <f>-IFERROR('4. NPV'!BKO23/'4. NPV'!BKO$8,0)</f>
        <v>-0.0</v>
      </c>
      <c r="BKO53" s="5">
        <f>-IFERROR('4. NPV'!BKP23/'4. NPV'!BKP$8,0)</f>
        <v>-0.0</v>
      </c>
      <c r="BKP53" s="5">
        <f>-IFERROR('4. NPV'!BKQ23/'4. NPV'!BKQ$8,0)</f>
        <v>-0.0</v>
      </c>
      <c r="BKQ53" s="5">
        <f>-IFERROR('4. NPV'!BKR23/'4. NPV'!BKR$8,0)</f>
        <v>-0.0</v>
      </c>
      <c r="BKR53" s="5">
        <f>-IFERROR('4. NPV'!BKS23/'4. NPV'!BKS$8,0)</f>
        <v>-0.0</v>
      </c>
      <c r="BKS53" s="5">
        <f>-IFERROR('4. NPV'!BKT23/'4. NPV'!BKT$8,0)</f>
        <v>-0.0</v>
      </c>
      <c r="BKT53" s="5">
        <f>-IFERROR('4. NPV'!BKU23/'4. NPV'!BKU$8,0)</f>
        <v>-0.0</v>
      </c>
      <c r="BKU53" s="5">
        <f>-IFERROR('4. NPV'!BKV23/'4. NPV'!BKV$8,0)</f>
        <v>-0.0</v>
      </c>
      <c r="BKV53" s="5">
        <f>-IFERROR('4. NPV'!BKW23/'4. NPV'!BKW$8,0)</f>
        <v>-0.0</v>
      </c>
      <c r="BKW53" s="5">
        <f>-IFERROR('4. NPV'!BKX23/'4. NPV'!BKX$8,0)</f>
        <v>-0.0</v>
      </c>
      <c r="BKX53" s="5">
        <f>-IFERROR('4. NPV'!BKY23/'4. NPV'!BKY$8,0)</f>
        <v>-0.0</v>
      </c>
      <c r="BKY53" s="5">
        <f>-IFERROR('4. NPV'!BKZ23/'4. NPV'!BKZ$8,0)</f>
        <v>-0.0</v>
      </c>
      <c r="BKZ53" s="5">
        <f>-IFERROR('4. NPV'!BLA23/'4. NPV'!BLA$8,0)</f>
        <v>-0.0</v>
      </c>
      <c r="BLA53" s="5">
        <f>-IFERROR('4. NPV'!BLB23/'4. NPV'!BLB$8,0)</f>
        <v>-0.0</v>
      </c>
      <c r="BLB53" s="5">
        <f>-IFERROR('4. NPV'!BLC23/'4. NPV'!BLC$8,0)</f>
        <v>-0.0</v>
      </c>
      <c r="BLC53" s="5">
        <f>-IFERROR('4. NPV'!BLD23/'4. NPV'!BLD$8,0)</f>
        <v>-0.0</v>
      </c>
      <c r="BLD53" s="5">
        <f>-IFERROR('4. NPV'!BLE23/'4. NPV'!BLE$8,0)</f>
        <v>-0.0</v>
      </c>
      <c r="BLE53" s="5">
        <f>-IFERROR('4. NPV'!BLF23/'4. NPV'!BLF$8,0)</f>
        <v>-0.0</v>
      </c>
      <c r="BLF53" s="5">
        <f>-IFERROR('4. NPV'!BLG23/'4. NPV'!BLG$8,0)</f>
        <v>-0.0</v>
      </c>
      <c r="BLG53" s="5">
        <f>-IFERROR('4. NPV'!BLH23/'4. NPV'!BLH$8,0)</f>
        <v>-0.0</v>
      </c>
      <c r="BLH53" s="5">
        <f>-IFERROR('4. NPV'!BLI23/'4. NPV'!BLI$8,0)</f>
        <v>-0.0</v>
      </c>
      <c r="BLI53" s="5">
        <f>-IFERROR('4. NPV'!BLJ23/'4. NPV'!BLJ$8,0)</f>
        <v>-0.0</v>
      </c>
      <c r="BLJ53" s="5">
        <f>-IFERROR('4. NPV'!BLK23/'4. NPV'!BLK$8,0)</f>
        <v>-0.0</v>
      </c>
      <c r="BLK53" s="5">
        <f>-IFERROR('4. NPV'!BLL23/'4. NPV'!BLL$8,0)</f>
        <v>-0.0</v>
      </c>
      <c r="BLL53" s="5">
        <f>-IFERROR('4. NPV'!BLM23/'4. NPV'!BLM$8,0)</f>
        <v>-0.0</v>
      </c>
      <c r="BLM53" s="5">
        <f>-IFERROR('4. NPV'!BLN23/'4. NPV'!BLN$8,0)</f>
        <v>-0.0</v>
      </c>
      <c r="BLN53" s="5">
        <f>-IFERROR('4. NPV'!BLO23/'4. NPV'!BLO$8,0)</f>
        <v>-0.0</v>
      </c>
      <c r="BLO53" s="5">
        <f>-IFERROR('4. NPV'!BLP23/'4. NPV'!BLP$8,0)</f>
        <v>-0.0</v>
      </c>
      <c r="BLP53" s="5">
        <f>-IFERROR('4. NPV'!BLQ23/'4. NPV'!BLQ$8,0)</f>
        <v>-0.0</v>
      </c>
      <c r="BLQ53" s="5">
        <f>-IFERROR('4. NPV'!BLR23/'4. NPV'!BLR$8,0)</f>
        <v>-0.0</v>
      </c>
      <c r="BLR53" s="5">
        <f>-IFERROR('4. NPV'!BLS23/'4. NPV'!BLS$8,0)</f>
        <v>-0.0</v>
      </c>
      <c r="BLS53" s="5">
        <f>-IFERROR('4. NPV'!BLT23/'4. NPV'!BLT$8,0)</f>
        <v>-0.0</v>
      </c>
      <c r="BLT53" s="5">
        <f>-IFERROR('4. NPV'!BLU23/'4. NPV'!BLU$8,0)</f>
        <v>-0.0</v>
      </c>
      <c r="BLU53" s="5">
        <f>-IFERROR('4. NPV'!BLV23/'4. NPV'!BLV$8,0)</f>
        <v>-0.0</v>
      </c>
      <c r="BLV53" s="5">
        <f>-IFERROR('4. NPV'!BLW23/'4. NPV'!BLW$8,0)</f>
        <v>-0.0</v>
      </c>
      <c r="BLW53" s="5">
        <f>-IFERROR('4. NPV'!BLX23/'4. NPV'!BLX$8,0)</f>
        <v>-0.0</v>
      </c>
      <c r="BLX53" s="5">
        <f>-IFERROR('4. NPV'!BLY23/'4. NPV'!BLY$8,0)</f>
        <v>-0.0</v>
      </c>
      <c r="BLY53" s="5">
        <f>-IFERROR('4. NPV'!BLZ23/'4. NPV'!BLZ$8,0)</f>
        <v>-0.0</v>
      </c>
      <c r="BLZ53" s="5">
        <f>-IFERROR('4. NPV'!BMA23/'4. NPV'!BMA$8,0)</f>
        <v>-0.0</v>
      </c>
      <c r="BMA53" s="5">
        <f>-IFERROR('4. NPV'!BMB23/'4. NPV'!BMB$8,0)</f>
        <v>-0.0</v>
      </c>
      <c r="BMB53" s="5">
        <f>-IFERROR('4. NPV'!BMC23/'4. NPV'!BMC$8,0)</f>
        <v>-0.0</v>
      </c>
      <c r="BMC53" s="5">
        <f>-IFERROR('4. NPV'!BMD23/'4. NPV'!BMD$8,0)</f>
        <v>-0.0</v>
      </c>
      <c r="BMD53" s="5">
        <f>-IFERROR('4. NPV'!BME23/'4. NPV'!BME$8,0)</f>
        <v>-0.0</v>
      </c>
      <c r="BME53" s="5">
        <f>-IFERROR('4. NPV'!BMF23/'4. NPV'!BMF$8,0)</f>
        <v>-0.0</v>
      </c>
      <c r="BMF53" s="5">
        <f>-IFERROR('4. NPV'!BMG23/'4. NPV'!BMG$8,0)</f>
        <v>-0.0</v>
      </c>
      <c r="BMG53" s="5">
        <f>-IFERROR('4. NPV'!BMH23/'4. NPV'!BMH$8,0)</f>
        <v>-0.0</v>
      </c>
      <c r="BMH53" s="5">
        <f>-IFERROR('4. NPV'!BMI23/'4. NPV'!BMI$8,0)</f>
        <v>-0.0</v>
      </c>
      <c r="BMI53" s="5">
        <f>-IFERROR('4. NPV'!BMJ23/'4. NPV'!BMJ$8,0)</f>
        <v>-0.0</v>
      </c>
      <c r="BMJ53" s="5">
        <f>-IFERROR('4. NPV'!BMK23/'4. NPV'!BMK$8,0)</f>
        <v>-0.0</v>
      </c>
      <c r="BMK53" s="5">
        <f>-IFERROR('4. NPV'!BML23/'4. NPV'!BML$8,0)</f>
        <v>-0.0</v>
      </c>
      <c r="BML53" s="5">
        <f>-IFERROR('4. NPV'!BMM23/'4. NPV'!BMM$8,0)</f>
        <v>-0.0</v>
      </c>
      <c r="BMM53" s="5">
        <f>-IFERROR('4. NPV'!BMN23/'4. NPV'!BMN$8,0)</f>
        <v>-0.0</v>
      </c>
      <c r="BMN53" s="5">
        <f>-IFERROR('4. NPV'!BMO23/'4. NPV'!BMO$8,0)</f>
        <v>-0.0</v>
      </c>
      <c r="BMO53" s="5">
        <f>-IFERROR('4. NPV'!BMP23/'4. NPV'!BMP$8,0)</f>
        <v>-0.0</v>
      </c>
      <c r="BMP53" s="5">
        <f>-IFERROR('4. NPV'!BMQ23/'4. NPV'!BMQ$8,0)</f>
        <v>-0.0</v>
      </c>
      <c r="BMQ53" s="5">
        <f>-IFERROR('4. NPV'!BMR23/'4. NPV'!BMR$8,0)</f>
        <v>-0.0</v>
      </c>
      <c r="BMR53" s="5">
        <f>-IFERROR('4. NPV'!BMS23/'4. NPV'!BMS$8,0)</f>
        <v>-0.0</v>
      </c>
      <c r="BMS53" s="5">
        <f>-IFERROR('4. NPV'!BMT23/'4. NPV'!BMT$8,0)</f>
        <v>-0.0</v>
      </c>
      <c r="BMT53" s="5">
        <f>-IFERROR('4. NPV'!BMU23/'4. NPV'!BMU$8,0)</f>
        <v>-0.0</v>
      </c>
      <c r="BMU53" s="5">
        <f>-IFERROR('4. NPV'!BMV23/'4. NPV'!BMV$8,0)</f>
        <v>-0.0</v>
      </c>
      <c r="BMV53" s="5">
        <f>-IFERROR('4. NPV'!BMW23/'4. NPV'!BMW$8,0)</f>
        <v>-0.0</v>
      </c>
      <c r="BMW53" s="5">
        <f>-IFERROR('4. NPV'!BMX23/'4. NPV'!BMX$8,0)</f>
        <v>-0.0</v>
      </c>
      <c r="BMX53" s="5">
        <f>-IFERROR('4. NPV'!BMY23/'4. NPV'!BMY$8,0)</f>
        <v>-0.0</v>
      </c>
      <c r="BMY53" s="5">
        <f>-IFERROR('4. NPV'!BMZ23/'4. NPV'!BMZ$8,0)</f>
        <v>-0.0</v>
      </c>
      <c r="BMZ53" s="5">
        <f>-IFERROR('4. NPV'!BNA23/'4. NPV'!BNA$8,0)</f>
        <v>-0.0</v>
      </c>
      <c r="BNA53" s="5">
        <f>-IFERROR('4. NPV'!BNB23/'4. NPV'!BNB$8,0)</f>
        <v>-0.0</v>
      </c>
      <c r="BNB53" s="5">
        <f>-IFERROR('4. NPV'!BNC23/'4. NPV'!BNC$8,0)</f>
        <v>-0.0</v>
      </c>
      <c r="BNC53" s="5">
        <f>-IFERROR('4. NPV'!BND23/'4. NPV'!BND$8,0)</f>
        <v>-0.0</v>
      </c>
      <c r="BND53" s="5">
        <f>-IFERROR('4. NPV'!BNE23/'4. NPV'!BNE$8,0)</f>
        <v>-0.0</v>
      </c>
      <c r="BNE53" s="5">
        <f>-IFERROR('4. NPV'!BNF23/'4. NPV'!BNF$8,0)</f>
        <v>-0.0</v>
      </c>
      <c r="BNF53" s="5">
        <f>-IFERROR('4. NPV'!BNG23/'4. NPV'!BNG$8,0)</f>
        <v>-0.0</v>
      </c>
      <c r="BNG53" s="5">
        <f>-IFERROR('4. NPV'!BNH23/'4. NPV'!BNH$8,0)</f>
        <v>-0.0</v>
      </c>
      <c r="BNH53" s="5">
        <f>-IFERROR('4. NPV'!BNI23/'4. NPV'!BNI$8,0)</f>
        <v>-0.0</v>
      </c>
      <c r="BNI53" s="5">
        <f>-IFERROR('4. NPV'!BNJ23/'4. NPV'!BNJ$8,0)</f>
        <v>-0.0</v>
      </c>
      <c r="BNJ53" s="5">
        <f>-IFERROR('4. NPV'!BNK23/'4. NPV'!BNK$8,0)</f>
        <v>-0.0</v>
      </c>
      <c r="BNK53" s="5">
        <f>-IFERROR('4. NPV'!BNL23/'4. NPV'!BNL$8,0)</f>
        <v>-0.0</v>
      </c>
      <c r="BNL53" s="5">
        <f>-IFERROR('4. NPV'!BNM23/'4. NPV'!BNM$8,0)</f>
        <v>-0.0</v>
      </c>
      <c r="BNM53" s="5">
        <f>-IFERROR('4. NPV'!BNN23/'4. NPV'!BNN$8,0)</f>
        <v>-0.0</v>
      </c>
      <c r="BNN53" s="5">
        <f>-IFERROR('4. NPV'!BNO23/'4. NPV'!BNO$8,0)</f>
        <v>-0.0</v>
      </c>
      <c r="BNO53" s="5">
        <f>-IFERROR('4. NPV'!BNP23/'4. NPV'!BNP$8,0)</f>
        <v>-0.0</v>
      </c>
      <c r="BNP53" s="5">
        <f>-IFERROR('4. NPV'!BNQ23/'4. NPV'!BNQ$8,0)</f>
        <v>-0.0</v>
      </c>
      <c r="BNQ53" s="5">
        <f>-IFERROR('4. NPV'!BNR23/'4. NPV'!BNR$8,0)</f>
        <v>-0.0</v>
      </c>
      <c r="BNR53" s="5">
        <f>-IFERROR('4. NPV'!BNS23/'4. NPV'!BNS$8,0)</f>
        <v>-0.0</v>
      </c>
      <c r="BNS53" s="5">
        <f>-IFERROR('4. NPV'!BNT23/'4. NPV'!BNT$8,0)</f>
        <v>-0.0</v>
      </c>
      <c r="BNT53" s="5">
        <f>-IFERROR('4. NPV'!BNU23/'4. NPV'!BNU$8,0)</f>
        <v>-0.0</v>
      </c>
      <c r="BNU53" s="5">
        <f>-IFERROR('4. NPV'!BNV23/'4. NPV'!BNV$8,0)</f>
        <v>-0.0</v>
      </c>
      <c r="BNV53" s="5">
        <f>-IFERROR('4. NPV'!BNW23/'4. NPV'!BNW$8,0)</f>
        <v>-0.0</v>
      </c>
      <c r="BNW53" s="5">
        <f>-IFERROR('4. NPV'!BNX23/'4. NPV'!BNX$8,0)</f>
        <v>-0.0</v>
      </c>
      <c r="BNX53" s="5">
        <f>-IFERROR('4. NPV'!BNY23/'4. NPV'!BNY$8,0)</f>
        <v>-0.0</v>
      </c>
      <c r="BNY53" s="5">
        <f>-IFERROR('4. NPV'!BNZ23/'4. NPV'!BNZ$8,0)</f>
        <v>-0.0</v>
      </c>
      <c r="BNZ53" s="5">
        <f>-IFERROR('4. NPV'!BOA23/'4. NPV'!BOA$8,0)</f>
        <v>-0.0</v>
      </c>
      <c r="BOA53" s="5">
        <f>-IFERROR('4. NPV'!BOB23/'4. NPV'!BOB$8,0)</f>
        <v>-0.0</v>
      </c>
      <c r="BOB53" s="5">
        <f>-IFERROR('4. NPV'!BOC23/'4. NPV'!BOC$8,0)</f>
        <v>-0.0</v>
      </c>
      <c r="BOC53" s="5">
        <f>-IFERROR('4. NPV'!BOD23/'4. NPV'!BOD$8,0)</f>
        <v>-0.0</v>
      </c>
      <c r="BOD53" s="5">
        <f>-IFERROR('4. NPV'!BOE23/'4. NPV'!BOE$8,0)</f>
        <v>-0.0</v>
      </c>
      <c r="BOE53" s="5">
        <f>-IFERROR('4. NPV'!BOF23/'4. NPV'!BOF$8,0)</f>
        <v>-0.0</v>
      </c>
      <c r="BOF53" s="5">
        <f>-IFERROR('4. NPV'!BOG23/'4. NPV'!BOG$8,0)</f>
        <v>-0.0</v>
      </c>
      <c r="BOG53" s="5">
        <f>-IFERROR('4. NPV'!BOH23/'4. NPV'!BOH$8,0)</f>
        <v>-0.0</v>
      </c>
      <c r="BOH53" s="5">
        <f>-IFERROR('4. NPV'!BOI23/'4. NPV'!BOI$8,0)</f>
        <v>-0.0</v>
      </c>
      <c r="BOI53" s="5">
        <f>-IFERROR('4. NPV'!BOJ23/'4. NPV'!BOJ$8,0)</f>
        <v>-0.0</v>
      </c>
      <c r="BOJ53" s="5">
        <f>-IFERROR('4. NPV'!BOK23/'4. NPV'!BOK$8,0)</f>
        <v>-0.0</v>
      </c>
      <c r="BOK53" s="5">
        <f>-IFERROR('4. NPV'!BOL23/'4. NPV'!BOL$8,0)</f>
        <v>-0.0</v>
      </c>
      <c r="BOL53" s="5">
        <f>-IFERROR('4. NPV'!BOM23/'4. NPV'!BOM$8,0)</f>
        <v>-0.0</v>
      </c>
      <c r="BOM53" s="5">
        <f>-IFERROR('4. NPV'!BON23/'4. NPV'!BON$8,0)</f>
        <v>-0.0</v>
      </c>
      <c r="BON53" s="5">
        <f>-IFERROR('4. NPV'!BOO23/'4. NPV'!BOO$8,0)</f>
        <v>-0.0</v>
      </c>
      <c r="BOO53" s="5">
        <f>-IFERROR('4. NPV'!BOP23/'4. NPV'!BOP$8,0)</f>
        <v>-0.0</v>
      </c>
      <c r="BOP53" s="5">
        <f>-IFERROR('4. NPV'!BOQ23/'4. NPV'!BOQ$8,0)</f>
        <v>-0.0</v>
      </c>
      <c r="BOQ53" s="5">
        <f>-IFERROR('4. NPV'!BOR23/'4. NPV'!BOR$8,0)</f>
        <v>-0.0</v>
      </c>
      <c r="BOR53" s="5">
        <f>-IFERROR('4. NPV'!BOS23/'4. NPV'!BOS$8,0)</f>
        <v>-0.0</v>
      </c>
      <c r="BOS53" s="5">
        <f>-IFERROR('4. NPV'!BOT23/'4. NPV'!BOT$8,0)</f>
        <v>-0.0</v>
      </c>
      <c r="BOT53" s="5">
        <f>-IFERROR('4. NPV'!BOU23/'4. NPV'!BOU$8,0)</f>
        <v>-0.0</v>
      </c>
      <c r="BOU53" s="5">
        <f>-IFERROR('4. NPV'!BOV23/'4. NPV'!BOV$8,0)</f>
        <v>-0.0</v>
      </c>
      <c r="BOV53" s="5">
        <f>-IFERROR('4. NPV'!BOW23/'4. NPV'!BOW$8,0)</f>
        <v>-0.0</v>
      </c>
      <c r="BOW53" s="5">
        <f>-IFERROR('4. NPV'!BOX23/'4. NPV'!BOX$8,0)</f>
        <v>-0.0</v>
      </c>
      <c r="BOX53" s="5">
        <f>-IFERROR('4. NPV'!BOY23/'4. NPV'!BOY$8,0)</f>
        <v>-0.0</v>
      </c>
      <c r="BOY53" s="5">
        <f>-IFERROR('4. NPV'!BOZ23/'4. NPV'!BOZ$8,0)</f>
        <v>-0.0</v>
      </c>
      <c r="BOZ53" s="5">
        <f>-IFERROR('4. NPV'!BPA23/'4. NPV'!BPA$8,0)</f>
        <v>-0.0</v>
      </c>
      <c r="BPA53" s="5">
        <f>-IFERROR('4. NPV'!BPB23/'4. NPV'!BPB$8,0)</f>
        <v>-0.0</v>
      </c>
      <c r="BPB53" s="5">
        <f>-IFERROR('4. NPV'!BPC23/'4. NPV'!BPC$8,0)</f>
        <v>-0.0</v>
      </c>
      <c r="BPC53" s="5">
        <f>-IFERROR('4. NPV'!BPD23/'4. NPV'!BPD$8,0)</f>
        <v>-0.0</v>
      </c>
      <c r="BPD53" s="5">
        <f>-IFERROR('4. NPV'!BPE23/'4. NPV'!BPE$8,0)</f>
        <v>-0.0</v>
      </c>
      <c r="BPE53" s="5">
        <f>-IFERROR('4. NPV'!BPF23/'4. NPV'!BPF$8,0)</f>
        <v>-0.0</v>
      </c>
      <c r="BPF53" s="5">
        <f>-IFERROR('4. NPV'!BPG23/'4. NPV'!BPG$8,0)</f>
        <v>-0.0</v>
      </c>
      <c r="BPG53" s="5">
        <f>-IFERROR('4. NPV'!BPH23/'4. NPV'!BPH$8,0)</f>
        <v>-0.0</v>
      </c>
      <c r="BPH53" s="5">
        <f>-IFERROR('4. NPV'!BPI23/'4. NPV'!BPI$8,0)</f>
        <v>-0.0</v>
      </c>
      <c r="BPI53" s="5">
        <f>-IFERROR('4. NPV'!BPJ23/'4. NPV'!BPJ$8,0)</f>
        <v>-0.0</v>
      </c>
      <c r="BPJ53" s="5">
        <f>-IFERROR('4. NPV'!BPK23/'4. NPV'!BPK$8,0)</f>
        <v>-0.0</v>
      </c>
      <c r="BPK53" s="5">
        <f>-IFERROR('4. NPV'!BPL23/'4. NPV'!BPL$8,0)</f>
        <v>-0.0</v>
      </c>
      <c r="BPL53" s="5">
        <f>-IFERROR('4. NPV'!BPM23/'4. NPV'!BPM$8,0)</f>
        <v>-0.0</v>
      </c>
      <c r="BPM53" s="5">
        <f>-IFERROR('4. NPV'!BPN23/'4. NPV'!BPN$8,0)</f>
        <v>-0.0</v>
      </c>
      <c r="BPN53" s="5">
        <f>-IFERROR('4. NPV'!BPO23/'4. NPV'!BPO$8,0)</f>
        <v>-0.0</v>
      </c>
      <c r="BPO53" s="5">
        <f>-IFERROR('4. NPV'!BPP23/'4. NPV'!BPP$8,0)</f>
        <v>-0.0</v>
      </c>
      <c r="BPP53" s="5">
        <f>-IFERROR('4. NPV'!BPQ23/'4. NPV'!BPQ$8,0)</f>
        <v>-0.0</v>
      </c>
      <c r="BPQ53" s="5">
        <f>-IFERROR('4. NPV'!BPR23/'4. NPV'!BPR$8,0)</f>
        <v>-0.0</v>
      </c>
      <c r="BPR53" s="5">
        <f>-IFERROR('4. NPV'!BPS23/'4. NPV'!BPS$8,0)</f>
        <v>-0.0</v>
      </c>
      <c r="BPS53" s="5">
        <f>-IFERROR('4. NPV'!BPT23/'4. NPV'!BPT$8,0)</f>
        <v>-0.0</v>
      </c>
      <c r="BPT53" s="5">
        <f>-IFERROR('4. NPV'!BPU23/'4. NPV'!BPU$8,0)</f>
        <v>-0.0</v>
      </c>
      <c r="BPU53" s="5">
        <f>-IFERROR('4. NPV'!BPV23/'4. NPV'!BPV$8,0)</f>
        <v>-0.0</v>
      </c>
      <c r="BPV53" s="5">
        <f>-IFERROR('4. NPV'!BPW23/'4. NPV'!BPW$8,0)</f>
        <v>-0.0</v>
      </c>
      <c r="BPW53" s="5">
        <f>-IFERROR('4. NPV'!BPX23/'4. NPV'!BPX$8,0)</f>
        <v>-0.0</v>
      </c>
      <c r="BPX53" s="5">
        <f>-IFERROR('4. NPV'!BPY23/'4. NPV'!BPY$8,0)</f>
        <v>-0.0</v>
      </c>
      <c r="BPY53" s="5">
        <f>-IFERROR('4. NPV'!BPZ23/'4. NPV'!BPZ$8,0)</f>
        <v>-0.0</v>
      </c>
      <c r="BPZ53" s="5">
        <f>-IFERROR('4. NPV'!BQA23/'4. NPV'!BQA$8,0)</f>
        <v>-0.0</v>
      </c>
      <c r="BQA53" s="5">
        <f>-IFERROR('4. NPV'!BQB23/'4. NPV'!BQB$8,0)</f>
        <v>-0.0</v>
      </c>
      <c r="BQB53" s="5">
        <f>-IFERROR('4. NPV'!BQC23/'4. NPV'!BQC$8,0)</f>
        <v>-0.0</v>
      </c>
      <c r="BQC53" s="5">
        <f>-IFERROR('4. NPV'!BQD23/'4. NPV'!BQD$8,0)</f>
        <v>-0.0</v>
      </c>
      <c r="BQD53" s="5">
        <f>-IFERROR('4. NPV'!BQE23/'4. NPV'!BQE$8,0)</f>
        <v>-0.0</v>
      </c>
      <c r="BQE53" s="5">
        <f>-IFERROR('4. NPV'!BQF23/'4. NPV'!BQF$8,0)</f>
        <v>-0.0</v>
      </c>
      <c r="BQF53" s="5">
        <f>-IFERROR('4. NPV'!BQG23/'4. NPV'!BQG$8,0)</f>
        <v>-0.0</v>
      </c>
      <c r="BQG53" s="5">
        <f>-IFERROR('4. NPV'!BQH23/'4. NPV'!BQH$8,0)</f>
        <v>-0.0</v>
      </c>
      <c r="BQH53" s="5">
        <f>-IFERROR('4. NPV'!BQI23/'4. NPV'!BQI$8,0)</f>
        <v>-0.0</v>
      </c>
      <c r="BQI53" s="5">
        <f>-IFERROR('4. NPV'!BQJ23/'4. NPV'!BQJ$8,0)</f>
        <v>-0.0</v>
      </c>
      <c r="BQJ53" s="5">
        <f>-IFERROR('4. NPV'!BQK23/'4. NPV'!BQK$8,0)</f>
        <v>-0.0</v>
      </c>
      <c r="BQK53" s="5">
        <f>-IFERROR('4. NPV'!BQL23/'4. NPV'!BQL$8,0)</f>
        <v>-0.0</v>
      </c>
      <c r="BQL53" s="5">
        <f>-IFERROR('4. NPV'!BQM23/'4. NPV'!BQM$8,0)</f>
        <v>-0.0</v>
      </c>
      <c r="BQM53" s="5">
        <f>-IFERROR('4. NPV'!BQN23/'4. NPV'!BQN$8,0)</f>
        <v>-0.0</v>
      </c>
      <c r="BQN53" s="5">
        <f>-IFERROR('4. NPV'!BQO23/'4. NPV'!BQO$8,0)</f>
        <v>-0.0</v>
      </c>
      <c r="BQO53" s="5">
        <f>-IFERROR('4. NPV'!BQP23/'4. NPV'!BQP$8,0)</f>
        <v>-0.0</v>
      </c>
      <c r="BQP53" s="5">
        <f>-IFERROR('4. NPV'!BQQ23/'4. NPV'!BQQ$8,0)</f>
        <v>-0.0</v>
      </c>
      <c r="BQQ53" s="5">
        <f>-IFERROR('4. NPV'!BQR23/'4. NPV'!BQR$8,0)</f>
        <v>-0.0</v>
      </c>
      <c r="BQR53" s="5">
        <f>-IFERROR('4. NPV'!BQS23/'4. NPV'!BQS$8,0)</f>
        <v>-0.0</v>
      </c>
      <c r="BQS53" s="5">
        <f>-IFERROR('4. NPV'!BQT23/'4. NPV'!BQT$8,0)</f>
        <v>-0.0</v>
      </c>
      <c r="BQT53" s="5">
        <f>-IFERROR('4. NPV'!BQU23/'4. NPV'!BQU$8,0)</f>
        <v>-0.0</v>
      </c>
      <c r="BQU53" s="5">
        <f>-IFERROR('4. NPV'!BQV23/'4. NPV'!BQV$8,0)</f>
        <v>-0.0</v>
      </c>
      <c r="BQV53" s="5">
        <f>-IFERROR('4. NPV'!BQW23/'4. NPV'!BQW$8,0)</f>
        <v>-0.0</v>
      </c>
      <c r="BQW53" s="5">
        <f>-IFERROR('4. NPV'!BQX23/'4. NPV'!BQX$8,0)</f>
        <v>-0.0</v>
      </c>
      <c r="BQX53" s="5">
        <f>-IFERROR('4. NPV'!BQY23/'4. NPV'!BQY$8,0)</f>
        <v>-0.0</v>
      </c>
      <c r="BQY53" s="5">
        <f>-IFERROR('4. NPV'!BQZ23/'4. NPV'!BQZ$8,0)</f>
        <v>-0.0</v>
      </c>
      <c r="BQZ53" s="5">
        <f>-IFERROR('4. NPV'!BRA23/'4. NPV'!BRA$8,0)</f>
        <v>-0.0</v>
      </c>
      <c r="BRA53" s="5">
        <f>-IFERROR('4. NPV'!BRB23/'4. NPV'!BRB$8,0)</f>
        <v>-0.0</v>
      </c>
      <c r="BRB53" s="5">
        <f>-IFERROR('4. NPV'!BRC23/'4. NPV'!BRC$8,0)</f>
        <v>-0.0</v>
      </c>
      <c r="BRC53" s="5">
        <f>-IFERROR('4. NPV'!BRD23/'4. NPV'!BRD$8,0)</f>
        <v>-0.0</v>
      </c>
      <c r="BRD53" s="5">
        <f>-IFERROR('4. NPV'!BRE23/'4. NPV'!BRE$8,0)</f>
        <v>-0.0</v>
      </c>
      <c r="BRE53" s="5">
        <f>-IFERROR('4. NPV'!BRF23/'4. NPV'!BRF$8,0)</f>
        <v>-0.0</v>
      </c>
      <c r="BRF53" s="5">
        <f>-IFERROR('4. NPV'!BRG23/'4. NPV'!BRG$8,0)</f>
        <v>-0.0</v>
      </c>
      <c r="BRG53" s="5">
        <f>-IFERROR('4. NPV'!BRH23/'4. NPV'!BRH$8,0)</f>
        <v>-0.0</v>
      </c>
      <c r="BRH53" s="5">
        <f>-IFERROR('4. NPV'!BRI23/'4. NPV'!BRI$8,0)</f>
        <v>-0.0</v>
      </c>
      <c r="BRI53" s="5">
        <f>-IFERROR('4. NPV'!BRJ23/'4. NPV'!BRJ$8,0)</f>
        <v>-0.0</v>
      </c>
      <c r="BRJ53" s="5">
        <f>-IFERROR('4. NPV'!BRK23/'4. NPV'!BRK$8,0)</f>
        <v>-0.0</v>
      </c>
      <c r="BRK53" s="5">
        <f>-IFERROR('4. NPV'!BRL23/'4. NPV'!BRL$8,0)</f>
        <v>-0.0</v>
      </c>
      <c r="BRL53" s="5">
        <f>-IFERROR('4. NPV'!BRM23/'4. NPV'!BRM$8,0)</f>
        <v>-0.0</v>
      </c>
      <c r="BRM53" s="5">
        <f>-IFERROR('4. NPV'!BRN23/'4. NPV'!BRN$8,0)</f>
        <v>-0.0</v>
      </c>
      <c r="BRN53" s="5">
        <f>-IFERROR('4. NPV'!BRO23/'4. NPV'!BRO$8,0)</f>
        <v>-0.0</v>
      </c>
      <c r="BRO53" s="5">
        <f>-IFERROR('4. NPV'!BRP23/'4. NPV'!BRP$8,0)</f>
        <v>-0.0</v>
      </c>
      <c r="BRP53" s="5">
        <f>-IFERROR('4. NPV'!BRQ23/'4. NPV'!BRQ$8,0)</f>
        <v>-0.0</v>
      </c>
      <c r="BRQ53" s="5">
        <f>-IFERROR('4. NPV'!BRR23/'4. NPV'!BRR$8,0)</f>
        <v>-0.0</v>
      </c>
      <c r="BRR53" s="5">
        <f>-IFERROR('4. NPV'!BRS23/'4. NPV'!BRS$8,0)</f>
        <v>-0.0</v>
      </c>
      <c r="BRS53" s="5">
        <f>-IFERROR('4. NPV'!BRT23/'4. NPV'!BRT$8,0)</f>
        <v>-0.0</v>
      </c>
      <c r="BRT53" s="5">
        <f>-IFERROR('4. NPV'!BRU23/'4. NPV'!BRU$8,0)</f>
        <v>-0.0</v>
      </c>
      <c r="BRU53" s="5">
        <f>-IFERROR('4. NPV'!BRV23/'4. NPV'!BRV$8,0)</f>
        <v>-0.0</v>
      </c>
      <c r="BRV53" s="5">
        <f>-IFERROR('4. NPV'!BRW23/'4. NPV'!BRW$8,0)</f>
        <v>-0.0</v>
      </c>
      <c r="BRW53" s="5">
        <f>-IFERROR('4. NPV'!BRX23/'4. NPV'!BRX$8,0)</f>
        <v>-0.0</v>
      </c>
      <c r="BRX53" s="5">
        <f>-IFERROR('4. NPV'!BRY23/'4. NPV'!BRY$8,0)</f>
        <v>-0.0</v>
      </c>
      <c r="BRY53" s="5">
        <f>-IFERROR('4. NPV'!BRZ23/'4. NPV'!BRZ$8,0)</f>
        <v>-0.0</v>
      </c>
      <c r="BRZ53" s="5">
        <f>-IFERROR('4. NPV'!BSA23/'4. NPV'!BSA$8,0)</f>
        <v>-0.0</v>
      </c>
      <c r="BSA53" s="5">
        <f>-IFERROR('4. NPV'!BSB23/'4. NPV'!BSB$8,0)</f>
        <v>-0.0</v>
      </c>
      <c r="BSB53" s="5">
        <f>-IFERROR('4. NPV'!BSC23/'4. NPV'!BSC$8,0)</f>
        <v>-0.0</v>
      </c>
      <c r="BSC53" s="5">
        <f>-IFERROR('4. NPV'!BSD23/'4. NPV'!BSD$8,0)</f>
        <v>-0.0</v>
      </c>
      <c r="BSD53" s="5">
        <f>-IFERROR('4. NPV'!BSE23/'4. NPV'!BSE$8,0)</f>
        <v>-0.0</v>
      </c>
      <c r="BSE53" s="5">
        <f>-IFERROR('4. NPV'!BSF23/'4. NPV'!BSF$8,0)</f>
        <v>-0.0</v>
      </c>
      <c r="BSF53" s="5">
        <f>-IFERROR('4. NPV'!BSG23/'4. NPV'!BSG$8,0)</f>
        <v>-0.0</v>
      </c>
      <c r="BSG53" s="5">
        <f>-IFERROR('4. NPV'!BSH23/'4. NPV'!BSH$8,0)</f>
        <v>-0.0</v>
      </c>
      <c r="BSH53" s="5">
        <f>-IFERROR('4. NPV'!BSI23/'4. NPV'!BSI$8,0)</f>
        <v>-0.0</v>
      </c>
      <c r="BSI53" s="5">
        <f>-IFERROR('4. NPV'!BSJ23/'4. NPV'!BSJ$8,0)</f>
        <v>-0.0</v>
      </c>
      <c r="BSJ53" s="5">
        <f>-IFERROR('4. NPV'!BSK23/'4. NPV'!BSK$8,0)</f>
        <v>-0.0</v>
      </c>
      <c r="BSK53" s="5">
        <f>-IFERROR('4. NPV'!BSL23/'4. NPV'!BSL$8,0)</f>
        <v>-0.0</v>
      </c>
      <c r="BSL53" s="5">
        <f>-IFERROR('4. NPV'!BSM23/'4. NPV'!BSM$8,0)</f>
        <v>-0.0</v>
      </c>
      <c r="BSM53" s="5">
        <f>-IFERROR('4. NPV'!BSN23/'4. NPV'!BSN$8,0)</f>
        <v>-0.0</v>
      </c>
      <c r="BSN53" s="5">
        <f>-IFERROR('4. NPV'!BSO23/'4. NPV'!BSO$8,0)</f>
        <v>-0.0</v>
      </c>
      <c r="BSO53" s="5">
        <f>-IFERROR('4. NPV'!BSP23/'4. NPV'!BSP$8,0)</f>
        <v>-0.0</v>
      </c>
      <c r="BSP53" s="5">
        <f>-IFERROR('4. NPV'!BSQ23/'4. NPV'!BSQ$8,0)</f>
        <v>-0.0</v>
      </c>
      <c r="BSQ53" s="5">
        <f>-IFERROR('4. NPV'!BSR23/'4. NPV'!BSR$8,0)</f>
        <v>-0.0</v>
      </c>
      <c r="BSR53" s="5">
        <f>-IFERROR('4. NPV'!BSS23/'4. NPV'!BSS$8,0)</f>
        <v>-0.0</v>
      </c>
      <c r="BSS53" s="5">
        <f>-IFERROR('4. NPV'!BST23/'4. NPV'!BST$8,0)</f>
        <v>-0.0</v>
      </c>
      <c r="BST53" s="5">
        <f>-IFERROR('4. NPV'!BSU23/'4. NPV'!BSU$8,0)</f>
        <v>-0.0</v>
      </c>
      <c r="BSU53" s="5">
        <f>-IFERROR('4. NPV'!BSV23/'4. NPV'!BSV$8,0)</f>
        <v>-0.0</v>
      </c>
      <c r="BSV53" s="5">
        <f>-IFERROR('4. NPV'!BSW23/'4. NPV'!BSW$8,0)</f>
        <v>-0.0</v>
      </c>
      <c r="BSW53" s="5">
        <f>-IFERROR('4. NPV'!BSX23/'4. NPV'!BSX$8,0)</f>
        <v>-0.0</v>
      </c>
      <c r="BSX53" s="5">
        <f>-IFERROR('4. NPV'!BSY23/'4. NPV'!BSY$8,0)</f>
        <v>-0.0</v>
      </c>
      <c r="BSY53" s="5">
        <f>-IFERROR('4. NPV'!BSZ23/'4. NPV'!BSZ$8,0)</f>
        <v>-0.0</v>
      </c>
      <c r="BSZ53" s="5">
        <f>-IFERROR('4. NPV'!BTA23/'4. NPV'!BTA$8,0)</f>
        <v>-0.0</v>
      </c>
      <c r="BTA53" s="5">
        <f>-IFERROR('4. NPV'!BTB23/'4. NPV'!BTB$8,0)</f>
        <v>-0.0</v>
      </c>
      <c r="BTB53" s="5">
        <f>-IFERROR('4. NPV'!BTC23/'4. NPV'!BTC$8,0)</f>
        <v>-0.0</v>
      </c>
      <c r="BTC53" s="5">
        <f>-IFERROR('4. NPV'!BTD23/'4. NPV'!BTD$8,0)</f>
        <v>-0.0</v>
      </c>
      <c r="BTD53" s="5">
        <f>-IFERROR('4. NPV'!BTE23/'4. NPV'!BTE$8,0)</f>
        <v>-0.0</v>
      </c>
      <c r="BTE53" s="5">
        <f>-IFERROR('4. NPV'!BTF23/'4. NPV'!BTF$8,0)</f>
        <v>-0.0</v>
      </c>
      <c r="BTF53" s="5">
        <f>-IFERROR('4. NPV'!BTG23/'4. NPV'!BTG$8,0)</f>
        <v>-0.0</v>
      </c>
      <c r="BTG53" s="5">
        <f>-IFERROR('4. NPV'!BTH23/'4. NPV'!BTH$8,0)</f>
        <v>-0.0</v>
      </c>
      <c r="BTH53" s="5">
        <f>-IFERROR('4. NPV'!BTI23/'4. NPV'!BTI$8,0)</f>
        <v>-0.0</v>
      </c>
      <c r="BTI53" s="5">
        <f>-IFERROR('4. NPV'!BTJ23/'4. NPV'!BTJ$8,0)</f>
        <v>-0.0</v>
      </c>
      <c r="BTJ53" s="5">
        <f>-IFERROR('4. NPV'!BTK23/'4. NPV'!BTK$8,0)</f>
        <v>-0.0</v>
      </c>
      <c r="BTK53" s="5">
        <f>-IFERROR('4. NPV'!BTL23/'4. NPV'!BTL$8,0)</f>
        <v>-0.0</v>
      </c>
      <c r="BTL53" s="5">
        <f>-IFERROR('4. NPV'!BTM23/'4. NPV'!BTM$8,0)</f>
        <v>-0.0</v>
      </c>
      <c r="BTM53" s="5">
        <f>-IFERROR('4. NPV'!BTN23/'4. NPV'!BTN$8,0)</f>
        <v>-0.0</v>
      </c>
      <c r="BTN53" s="5">
        <f>-IFERROR('4. NPV'!BTO23/'4. NPV'!BTO$8,0)</f>
        <v>-0.0</v>
      </c>
      <c r="BTO53" s="5">
        <f>-IFERROR('4. NPV'!BTP23/'4. NPV'!BTP$8,0)</f>
        <v>-0.0</v>
      </c>
      <c r="BTP53" s="5">
        <f>-IFERROR('4. NPV'!BTQ23/'4. NPV'!BTQ$8,0)</f>
        <v>-0.0</v>
      </c>
      <c r="BTQ53" s="5">
        <f>-IFERROR('4. NPV'!BTR23/'4. NPV'!BTR$8,0)</f>
        <v>-0.0</v>
      </c>
      <c r="BTR53" s="5">
        <f>-IFERROR('4. NPV'!BTS23/'4. NPV'!BTS$8,0)</f>
        <v>-0.0</v>
      </c>
      <c r="BTS53" s="5">
        <f>-IFERROR('4. NPV'!BTT23/'4. NPV'!BTT$8,0)</f>
        <v>-0.0</v>
      </c>
      <c r="BTT53" s="5">
        <f>-IFERROR('4. NPV'!BTU23/'4. NPV'!BTU$8,0)</f>
        <v>-0.0</v>
      </c>
      <c r="BTU53" s="5">
        <f>-IFERROR('4. NPV'!BTV23/'4. NPV'!BTV$8,0)</f>
        <v>-0.0</v>
      </c>
      <c r="BTV53" s="5">
        <f>-IFERROR('4. NPV'!BTW23/'4. NPV'!BTW$8,0)</f>
        <v>-0.0</v>
      </c>
      <c r="BTW53" s="5">
        <f>-IFERROR('4. NPV'!BTX23/'4. NPV'!BTX$8,0)</f>
        <v>-0.0</v>
      </c>
      <c r="BTX53" s="5">
        <f>-IFERROR('4. NPV'!BTY23/'4. NPV'!BTY$8,0)</f>
        <v>-0.0</v>
      </c>
      <c r="BTY53" s="5">
        <f>-IFERROR('4. NPV'!BTZ23/'4. NPV'!BTZ$8,0)</f>
        <v>-0.0</v>
      </c>
      <c r="BTZ53" s="5">
        <f>-IFERROR('4. NPV'!BUA23/'4. NPV'!BUA$8,0)</f>
        <v>-0.0</v>
      </c>
      <c r="BUA53" s="5">
        <f>-IFERROR('4. NPV'!BUB23/'4. NPV'!BUB$8,0)</f>
        <v>-0.0</v>
      </c>
      <c r="BUB53" s="5">
        <f>-IFERROR('4. NPV'!BUC23/'4. NPV'!BUC$8,0)</f>
        <v>-0.0</v>
      </c>
      <c r="BUC53" s="5">
        <f>-IFERROR('4. NPV'!BUD23/'4. NPV'!BUD$8,0)</f>
        <v>-0.0</v>
      </c>
      <c r="BUD53" s="5">
        <f>-IFERROR('4. NPV'!BUE23/'4. NPV'!BUE$8,0)</f>
        <v>-0.0</v>
      </c>
      <c r="BUE53" s="5">
        <f>-IFERROR('4. NPV'!BUF23/'4. NPV'!BUF$8,0)</f>
        <v>-0.0</v>
      </c>
      <c r="BUF53" s="5">
        <f>-IFERROR('4. NPV'!BUG23/'4. NPV'!BUG$8,0)</f>
        <v>-0.0</v>
      </c>
      <c r="BUG53" s="5">
        <f>-IFERROR('4. NPV'!BUH23/'4. NPV'!BUH$8,0)</f>
        <v>-0.0</v>
      </c>
      <c r="BUH53" s="5">
        <f>-IFERROR('4. NPV'!BUI23/'4. NPV'!BUI$8,0)</f>
        <v>-0.0</v>
      </c>
      <c r="BUI53" s="5">
        <f>-IFERROR('4. NPV'!BUJ23/'4. NPV'!BUJ$8,0)</f>
        <v>-0.0</v>
      </c>
      <c r="BUJ53" s="5">
        <f>-IFERROR('4. NPV'!BUK23/'4. NPV'!BUK$8,0)</f>
        <v>-0.0</v>
      </c>
      <c r="BUK53" s="5">
        <f>-IFERROR('4. NPV'!BUL23/'4. NPV'!BUL$8,0)</f>
        <v>-0.0</v>
      </c>
      <c r="BUL53" s="5">
        <f>-IFERROR('4. NPV'!BUM23/'4. NPV'!BUM$8,0)</f>
        <v>-0.0</v>
      </c>
      <c r="BUM53" s="5">
        <f>-IFERROR('4. NPV'!BUN23/'4. NPV'!BUN$8,0)</f>
        <v>-0.0</v>
      </c>
      <c r="BUN53" s="5">
        <f>-IFERROR('4. NPV'!BUO23/'4. NPV'!BUO$8,0)</f>
        <v>-0.0</v>
      </c>
      <c r="BUO53" s="5">
        <f>-IFERROR('4. NPV'!BUP23/'4. NPV'!BUP$8,0)</f>
        <v>-0.0</v>
      </c>
      <c r="BUP53" s="5">
        <f>-IFERROR('4. NPV'!BUQ23/'4. NPV'!BUQ$8,0)</f>
        <v>-0.0</v>
      </c>
      <c r="BUQ53" s="5">
        <f>-IFERROR('4. NPV'!BUR23/'4. NPV'!BUR$8,0)</f>
        <v>-0.0</v>
      </c>
      <c r="BUR53" s="5">
        <f>-IFERROR('4. NPV'!BUS23/'4. NPV'!BUS$8,0)</f>
        <v>-0.0</v>
      </c>
      <c r="BUS53" s="5">
        <f>-IFERROR('4. NPV'!BUT23/'4. NPV'!BUT$8,0)</f>
        <v>-0.0</v>
      </c>
      <c r="BUT53" s="5">
        <f>-IFERROR('4. NPV'!BUU23/'4. NPV'!BUU$8,0)</f>
        <v>-0.0</v>
      </c>
      <c r="BUU53" s="5">
        <f>-IFERROR('4. NPV'!BUV23/'4. NPV'!BUV$8,0)</f>
        <v>-0.0</v>
      </c>
      <c r="BUV53" s="5">
        <f>-IFERROR('4. NPV'!BUW23/'4. NPV'!BUW$8,0)</f>
        <v>-0.0</v>
      </c>
      <c r="BUW53" s="5">
        <f>-IFERROR('4. NPV'!BUX23/'4. NPV'!BUX$8,0)</f>
        <v>-0.0</v>
      </c>
      <c r="BUX53" s="5">
        <f>-IFERROR('4. NPV'!BUY23/'4. NPV'!BUY$8,0)</f>
        <v>-0.0</v>
      </c>
      <c r="BUY53" s="5">
        <f>-IFERROR('4. NPV'!BUZ23/'4. NPV'!BUZ$8,0)</f>
        <v>-0.0</v>
      </c>
      <c r="BUZ53" s="5">
        <f>-IFERROR('4. NPV'!BVA23/'4. NPV'!BVA$8,0)</f>
        <v>-0.0</v>
      </c>
      <c r="BVA53" s="5">
        <f>-IFERROR('4. NPV'!BVB23/'4. NPV'!BVB$8,0)</f>
        <v>-0.0</v>
      </c>
      <c r="BVB53" s="5">
        <f>-IFERROR('4. NPV'!BVC23/'4. NPV'!BVC$8,0)</f>
        <v>-0.0</v>
      </c>
      <c r="BVC53" s="5">
        <f>-IFERROR('4. NPV'!BVD23/'4. NPV'!BVD$8,0)</f>
        <v>-0.0</v>
      </c>
      <c r="BVD53" s="5">
        <f>-IFERROR('4. NPV'!BVE23/'4. NPV'!BVE$8,0)</f>
        <v>-0.0</v>
      </c>
      <c r="BVE53" s="5">
        <f>-IFERROR('4. NPV'!BVF23/'4. NPV'!BVF$8,0)</f>
        <v>-0.0</v>
      </c>
      <c r="BVF53" s="5">
        <f>-IFERROR('4. NPV'!BVG23/'4. NPV'!BVG$8,0)</f>
        <v>-0.0</v>
      </c>
      <c r="BVG53" s="5">
        <f>-IFERROR('4. NPV'!BVH23/'4. NPV'!BVH$8,0)</f>
        <v>-0.0</v>
      </c>
      <c r="BVH53" s="5">
        <f>-IFERROR('4. NPV'!BVI23/'4. NPV'!BVI$8,0)</f>
        <v>-0.0</v>
      </c>
      <c r="BVI53" s="5">
        <f>-IFERROR('4. NPV'!BVJ23/'4. NPV'!BVJ$8,0)</f>
        <v>-0.0</v>
      </c>
      <c r="BVJ53" s="5">
        <f>-IFERROR('4. NPV'!BVK23/'4. NPV'!BVK$8,0)</f>
        <v>-0.0</v>
      </c>
      <c r="BVK53" s="5">
        <f>-IFERROR('4. NPV'!BVL23/'4. NPV'!BVL$8,0)</f>
        <v>-0.0</v>
      </c>
      <c r="BVL53" s="5">
        <f>-IFERROR('4. NPV'!BVM23/'4. NPV'!BVM$8,0)</f>
        <v>-0.0</v>
      </c>
      <c r="BVM53" s="5">
        <f>-IFERROR('4. NPV'!BVN23/'4. NPV'!BVN$8,0)</f>
        <v>-0.0</v>
      </c>
      <c r="BVN53" s="5">
        <f>-IFERROR('4. NPV'!BVO23/'4. NPV'!BVO$8,0)</f>
        <v>-0.0</v>
      </c>
      <c r="BVO53" s="5">
        <f>-IFERROR('4. NPV'!BVP23/'4. NPV'!BVP$8,0)</f>
        <v>-0.0</v>
      </c>
      <c r="BVP53" s="5">
        <f>-IFERROR('4. NPV'!BVQ23/'4. NPV'!BVQ$8,0)</f>
        <v>-0.0</v>
      </c>
      <c r="BVQ53" s="5">
        <f>-IFERROR('4. NPV'!BVR23/'4. NPV'!BVR$8,0)</f>
        <v>-0.0</v>
      </c>
      <c r="BVR53" s="5">
        <f>-IFERROR('4. NPV'!BVS23/'4. NPV'!BVS$8,0)</f>
        <v>-0.0</v>
      </c>
      <c r="BVS53" s="5">
        <f>-IFERROR('4. NPV'!BVT23/'4. NPV'!BVT$8,0)</f>
        <v>-0.0</v>
      </c>
      <c r="BVT53" s="5">
        <f>-IFERROR('4. NPV'!BVU23/'4. NPV'!BVU$8,0)</f>
        <v>-0.0</v>
      </c>
      <c r="BVU53" s="5">
        <f>-IFERROR('4. NPV'!BVV23/'4. NPV'!BVV$8,0)</f>
        <v>-0.0</v>
      </c>
      <c r="BVV53" s="5">
        <f>-IFERROR('4. NPV'!BVW23/'4. NPV'!BVW$8,0)</f>
        <v>-0.0</v>
      </c>
      <c r="BVW53" s="5">
        <f>-IFERROR('4. NPV'!BVX23/'4. NPV'!BVX$8,0)</f>
        <v>-0.0</v>
      </c>
      <c r="BVX53" s="5">
        <f>-IFERROR('4. NPV'!BVY23/'4. NPV'!BVY$8,0)</f>
        <v>-0.0</v>
      </c>
      <c r="BVY53" s="5">
        <f>-IFERROR('4. NPV'!BVZ23/'4. NPV'!BVZ$8,0)</f>
        <v>-0.0</v>
      </c>
      <c r="BVZ53" s="5">
        <f>-IFERROR('4. NPV'!BWA23/'4. NPV'!BWA$8,0)</f>
        <v>-0.0</v>
      </c>
      <c r="BWA53" s="5">
        <f>-IFERROR('4. NPV'!BWB23/'4. NPV'!BWB$8,0)</f>
        <v>-0.0</v>
      </c>
      <c r="BWB53" s="5">
        <f>-IFERROR('4. NPV'!BWC23/'4. NPV'!BWC$8,0)</f>
        <v>-0.0</v>
      </c>
      <c r="BWC53" s="5">
        <f>-IFERROR('4. NPV'!BWD23/'4. NPV'!BWD$8,0)</f>
        <v>-0.0</v>
      </c>
      <c r="BWD53" s="5">
        <f>-IFERROR('4. NPV'!BWE23/'4. NPV'!BWE$8,0)</f>
        <v>-0.0</v>
      </c>
      <c r="BWE53" s="5">
        <f>-IFERROR('4. NPV'!BWF23/'4. NPV'!BWF$8,0)</f>
        <v>-0.0</v>
      </c>
      <c r="BWF53" s="5">
        <f>-IFERROR('4. NPV'!BWG23/'4. NPV'!BWG$8,0)</f>
        <v>-0.0</v>
      </c>
      <c r="BWG53" s="5">
        <f>-IFERROR('4. NPV'!BWH23/'4. NPV'!BWH$8,0)</f>
        <v>-0.0</v>
      </c>
      <c r="BWH53" s="5">
        <f>-IFERROR('4. NPV'!BWI23/'4. NPV'!BWI$8,0)</f>
        <v>-0.0</v>
      </c>
      <c r="BWI53" s="5">
        <f>-IFERROR('4. NPV'!BWJ23/'4. NPV'!BWJ$8,0)</f>
        <v>-0.0</v>
      </c>
      <c r="BWJ53" s="5">
        <f>-IFERROR('4. NPV'!BWK23/'4. NPV'!BWK$8,0)</f>
        <v>-0.0</v>
      </c>
      <c r="BWK53" s="5">
        <f>-IFERROR('4. NPV'!BWL23/'4. NPV'!BWL$8,0)</f>
        <v>-0.0</v>
      </c>
      <c r="BWL53" s="5">
        <f>-IFERROR('4. NPV'!BWM23/'4. NPV'!BWM$8,0)</f>
        <v>-0.0</v>
      </c>
      <c r="BWM53" s="5">
        <f>-IFERROR('4. NPV'!BWN23/'4. NPV'!BWN$8,0)</f>
        <v>-0.0</v>
      </c>
      <c r="BWN53" s="5">
        <f>-IFERROR('4. NPV'!BWO23/'4. NPV'!BWO$8,0)</f>
        <v>-0.0</v>
      </c>
      <c r="BWO53" s="5">
        <f>-IFERROR('4. NPV'!BWP23/'4. NPV'!BWP$8,0)</f>
        <v>-0.0</v>
      </c>
      <c r="BWP53" s="5">
        <f>-IFERROR('4. NPV'!BWQ23/'4. NPV'!BWQ$8,0)</f>
        <v>-0.0</v>
      </c>
      <c r="BWQ53" s="5">
        <f>-IFERROR('4. NPV'!BWR23/'4. NPV'!BWR$8,0)</f>
        <v>-0.0</v>
      </c>
      <c r="BWR53" s="5">
        <f>-IFERROR('4. NPV'!BWS23/'4. NPV'!BWS$8,0)</f>
        <v>-0.0</v>
      </c>
      <c r="BWS53" s="5">
        <f>-IFERROR('4. NPV'!BWT23/'4. NPV'!BWT$8,0)</f>
        <v>-0.0</v>
      </c>
      <c r="BWT53" s="5">
        <f>-IFERROR('4. NPV'!BWU23/'4. NPV'!BWU$8,0)</f>
        <v>-0.0</v>
      </c>
      <c r="BWU53" s="5">
        <f>-IFERROR('4. NPV'!BWV23/'4. NPV'!BWV$8,0)</f>
        <v>-0.0</v>
      </c>
      <c r="BWV53" s="5">
        <f>-IFERROR('4. NPV'!BWW23/'4. NPV'!BWW$8,0)</f>
        <v>-0.0</v>
      </c>
      <c r="BWW53" s="5">
        <f>-IFERROR('4. NPV'!BWX23/'4. NPV'!BWX$8,0)</f>
        <v>-0.0</v>
      </c>
      <c r="BWX53" s="5">
        <f>-IFERROR('4. NPV'!BWY23/'4. NPV'!BWY$8,0)</f>
        <v>-0.0</v>
      </c>
      <c r="BWY53" s="5">
        <f>-IFERROR('4. NPV'!BWZ23/'4. NPV'!BWZ$8,0)</f>
        <v>-0.0</v>
      </c>
      <c r="BWZ53" s="5">
        <f>-IFERROR('4. NPV'!BXA23/'4. NPV'!BXA$8,0)</f>
        <v>-0.0</v>
      </c>
      <c r="BXA53" s="5">
        <f>-IFERROR('4. NPV'!BXB23/'4. NPV'!BXB$8,0)</f>
        <v>-0.0</v>
      </c>
      <c r="BXB53" s="5">
        <f>-IFERROR('4. NPV'!BXC23/'4. NPV'!BXC$8,0)</f>
        <v>-0.0</v>
      </c>
      <c r="BXC53" s="5">
        <f>-IFERROR('4. NPV'!BXD23/'4. NPV'!BXD$8,0)</f>
        <v>-0.0</v>
      </c>
      <c r="BXD53" s="5">
        <f>-IFERROR('4. NPV'!BXE23/'4. NPV'!BXE$8,0)</f>
        <v>-0.0</v>
      </c>
      <c r="BXE53" s="5">
        <f>-IFERROR('4. NPV'!BXF23/'4. NPV'!BXF$8,0)</f>
        <v>-0.0</v>
      </c>
      <c r="BXF53" s="5">
        <f>-IFERROR('4. NPV'!BXG23/'4. NPV'!BXG$8,0)</f>
        <v>-0.0</v>
      </c>
      <c r="BXG53" s="5">
        <f>-IFERROR('4. NPV'!BXH23/'4. NPV'!BXH$8,0)</f>
        <v>-0.0</v>
      </c>
      <c r="BXH53" s="5">
        <f>-IFERROR('4. NPV'!BXI23/'4. NPV'!BXI$8,0)</f>
        <v>-0.0</v>
      </c>
      <c r="BXI53" s="5">
        <f>-IFERROR('4. NPV'!BXJ23/'4. NPV'!BXJ$8,0)</f>
        <v>-0.0</v>
      </c>
      <c r="BXJ53" s="5">
        <f>-IFERROR('4. NPV'!BXK23/'4. NPV'!BXK$8,0)</f>
        <v>-0.0</v>
      </c>
      <c r="BXK53" s="5">
        <f>-IFERROR('4. NPV'!BXL23/'4. NPV'!BXL$8,0)</f>
        <v>-0.0</v>
      </c>
      <c r="BXL53" s="5">
        <f>-IFERROR('4. NPV'!BXM23/'4. NPV'!BXM$8,0)</f>
        <v>-0.0</v>
      </c>
      <c r="BXM53" s="5">
        <f>-IFERROR('4. NPV'!BXN23/'4. NPV'!BXN$8,0)</f>
        <v>-0.0</v>
      </c>
      <c r="BXN53" s="5">
        <f>-IFERROR('4. NPV'!BXO23/'4. NPV'!BXO$8,0)</f>
        <v>-0.0</v>
      </c>
      <c r="BXO53" s="5">
        <f>-IFERROR('4. NPV'!BXP23/'4. NPV'!BXP$8,0)</f>
        <v>-0.0</v>
      </c>
      <c r="BXP53" s="5">
        <f>-IFERROR('4. NPV'!BXQ23/'4. NPV'!BXQ$8,0)</f>
        <v>-0.0</v>
      </c>
      <c r="BXQ53" s="5">
        <f>-IFERROR('4. NPV'!BXR23/'4. NPV'!BXR$8,0)</f>
        <v>-0.0</v>
      </c>
      <c r="BXR53" s="5">
        <f>-IFERROR('4. NPV'!BXS23/'4. NPV'!BXS$8,0)</f>
        <v>-0.0</v>
      </c>
      <c r="BXS53" s="5">
        <f>-IFERROR('4. NPV'!BXT23/'4. NPV'!BXT$8,0)</f>
        <v>-0.0</v>
      </c>
      <c r="BXT53" s="5">
        <f>-IFERROR('4. NPV'!BXU23/'4. NPV'!BXU$8,0)</f>
        <v>-0.0</v>
      </c>
      <c r="BXU53" s="5">
        <f>-IFERROR('4. NPV'!BXV23/'4. NPV'!BXV$8,0)</f>
        <v>-0.0</v>
      </c>
      <c r="BXV53" s="5">
        <f>-IFERROR('4. NPV'!BXW23/'4. NPV'!BXW$8,0)</f>
        <v>-0.0</v>
      </c>
      <c r="BXW53" s="5">
        <f>-IFERROR('4. NPV'!BXX23/'4. NPV'!BXX$8,0)</f>
        <v>-0.0</v>
      </c>
      <c r="BXX53" s="5">
        <f>-IFERROR('4. NPV'!BXY23/'4. NPV'!BXY$8,0)</f>
        <v>-0.0</v>
      </c>
      <c r="BXY53" s="5">
        <f>-IFERROR('4. NPV'!BXZ23/'4. NPV'!BXZ$8,0)</f>
        <v>-0.0</v>
      </c>
      <c r="BXZ53" s="5">
        <f>-IFERROR('4. NPV'!BYA23/'4. NPV'!BYA$8,0)</f>
        <v>-0.0</v>
      </c>
      <c r="BYA53" s="5">
        <f>-IFERROR('4. NPV'!BYB23/'4. NPV'!BYB$8,0)</f>
        <v>-0.0</v>
      </c>
      <c r="BYB53" s="5">
        <f>-IFERROR('4. NPV'!BYC23/'4. NPV'!BYC$8,0)</f>
        <v>-0.0</v>
      </c>
      <c r="BYC53" s="5">
        <f>-IFERROR('4. NPV'!BYD23/'4. NPV'!BYD$8,0)</f>
        <v>-0.0</v>
      </c>
      <c r="BYD53" s="5">
        <f>-IFERROR('4. NPV'!BYE23/'4. NPV'!BYE$8,0)</f>
        <v>-0.0</v>
      </c>
      <c r="BYE53" s="5">
        <f>-IFERROR('4. NPV'!BYF23/'4. NPV'!BYF$8,0)</f>
        <v>-0.0</v>
      </c>
      <c r="BYF53" s="5">
        <f>-IFERROR('4. NPV'!BYG23/'4. NPV'!BYG$8,0)</f>
        <v>-0.0</v>
      </c>
      <c r="BYG53" s="5">
        <f>-IFERROR('4. NPV'!BYH23/'4. NPV'!BYH$8,0)</f>
        <v>-0.0</v>
      </c>
      <c r="BYH53" s="5">
        <f>-IFERROR('4. NPV'!BYI23/'4. NPV'!BYI$8,0)</f>
        <v>-0.0</v>
      </c>
      <c r="BYI53" s="5">
        <f>-IFERROR('4. NPV'!BYJ23/'4. NPV'!BYJ$8,0)</f>
        <v>-0.0</v>
      </c>
      <c r="BYJ53" s="5">
        <f>-IFERROR('4. NPV'!BYK23/'4. NPV'!BYK$8,0)</f>
        <v>-0.0</v>
      </c>
      <c r="BYK53" s="5">
        <f>-IFERROR('4. NPV'!BYL23/'4. NPV'!BYL$8,0)</f>
        <v>-0.0</v>
      </c>
      <c r="BYL53" s="5">
        <f>-IFERROR('4. NPV'!BYM23/'4. NPV'!BYM$8,0)</f>
        <v>-0.0</v>
      </c>
      <c r="BYM53" s="5">
        <f>-IFERROR('4. NPV'!BYN23/'4. NPV'!BYN$8,0)</f>
        <v>-0.0</v>
      </c>
      <c r="BYN53" s="5">
        <f>-IFERROR('4. NPV'!BYO23/'4. NPV'!BYO$8,0)</f>
        <v>-0.0</v>
      </c>
      <c r="BYO53" s="5">
        <f>-IFERROR('4. NPV'!BYP23/'4. NPV'!BYP$8,0)</f>
        <v>-0.0</v>
      </c>
      <c r="BYP53" s="5">
        <f>-IFERROR('4. NPV'!BYQ23/'4. NPV'!BYQ$8,0)</f>
        <v>-0.0</v>
      </c>
      <c r="BYQ53" s="5">
        <f>-IFERROR('4. NPV'!BYR23/'4. NPV'!BYR$8,0)</f>
        <v>-0.0</v>
      </c>
      <c r="BYR53" s="5">
        <f>-IFERROR('4. NPV'!BYS23/'4. NPV'!BYS$8,0)</f>
        <v>-0.0</v>
      </c>
      <c r="BYS53" s="5">
        <f>-IFERROR('4. NPV'!BYT23/'4. NPV'!BYT$8,0)</f>
        <v>-0.0</v>
      </c>
      <c r="BYT53" s="5">
        <f>-IFERROR('4. NPV'!BYU23/'4. NPV'!BYU$8,0)</f>
        <v>-0.0</v>
      </c>
      <c r="BYU53" s="5">
        <f>-IFERROR('4. NPV'!BYV23/'4. NPV'!BYV$8,0)</f>
        <v>-0.0</v>
      </c>
      <c r="BYV53" s="5">
        <f>-IFERROR('4. NPV'!BYW23/'4. NPV'!BYW$8,0)</f>
        <v>-0.0</v>
      </c>
      <c r="BYW53" s="5">
        <f>-IFERROR('4. NPV'!BYX23/'4. NPV'!BYX$8,0)</f>
        <v>-0.0</v>
      </c>
      <c r="BYX53" s="5">
        <f>-IFERROR('4. NPV'!BYY23/'4. NPV'!BYY$8,0)</f>
        <v>-0.0</v>
      </c>
      <c r="BYY53" s="5">
        <f>-IFERROR('4. NPV'!BYZ23/'4. NPV'!BYZ$8,0)</f>
        <v>-0.0</v>
      </c>
      <c r="BYZ53" s="5">
        <f>-IFERROR('4. NPV'!BZA23/'4. NPV'!BZA$8,0)</f>
        <v>-0.0</v>
      </c>
      <c r="BZA53" s="5">
        <f>-IFERROR('4. NPV'!BZB23/'4. NPV'!BZB$8,0)</f>
        <v>-0.0</v>
      </c>
      <c r="BZB53" s="5">
        <f>-IFERROR('4. NPV'!BZC23/'4. NPV'!BZC$8,0)</f>
        <v>-0.0</v>
      </c>
      <c r="BZC53" s="5">
        <f>-IFERROR('4. NPV'!BZD23/'4. NPV'!BZD$8,0)</f>
        <v>-0.0</v>
      </c>
      <c r="BZD53" s="5">
        <f>-IFERROR('4. NPV'!BZE23/'4. NPV'!BZE$8,0)</f>
        <v>-0.0</v>
      </c>
      <c r="BZE53" s="5">
        <f>-IFERROR('4. NPV'!BZF23/'4. NPV'!BZF$8,0)</f>
        <v>-0.0</v>
      </c>
      <c r="BZF53" s="5">
        <f>-IFERROR('4. NPV'!BZG23/'4. NPV'!BZG$8,0)</f>
        <v>-0.0</v>
      </c>
      <c r="BZG53" s="5">
        <f>-IFERROR('4. NPV'!BZH23/'4. NPV'!BZH$8,0)</f>
        <v>-0.0</v>
      </c>
      <c r="BZH53" s="5">
        <f>-IFERROR('4. NPV'!BZI23/'4. NPV'!BZI$8,0)</f>
        <v>-0.0</v>
      </c>
      <c r="BZI53" s="5">
        <f>-IFERROR('4. NPV'!BZJ23/'4. NPV'!BZJ$8,0)</f>
        <v>-0.0</v>
      </c>
      <c r="BZJ53" s="5">
        <f>-IFERROR('4. NPV'!BZK23/'4. NPV'!BZK$8,0)</f>
        <v>-0.0</v>
      </c>
      <c r="BZK53" s="5">
        <f>-IFERROR('4. NPV'!BZL23/'4. NPV'!BZL$8,0)</f>
        <v>-0.0</v>
      </c>
      <c r="BZL53" s="5">
        <f>-IFERROR('4. NPV'!BZM23/'4. NPV'!BZM$8,0)</f>
        <v>-0.0</v>
      </c>
      <c r="BZM53" s="5">
        <f>-IFERROR('4. NPV'!BZN23/'4. NPV'!BZN$8,0)</f>
        <v>-0.0</v>
      </c>
      <c r="BZN53" s="5">
        <f>-IFERROR('4. NPV'!BZO23/'4. NPV'!BZO$8,0)</f>
        <v>-0.0</v>
      </c>
      <c r="BZO53" s="5">
        <f>-IFERROR('4. NPV'!BZP23/'4. NPV'!BZP$8,0)</f>
        <v>-0.0</v>
      </c>
      <c r="BZP53" s="5">
        <f>-IFERROR('4. NPV'!BZQ23/'4. NPV'!BZQ$8,0)</f>
        <v>-0.0</v>
      </c>
      <c r="BZQ53" s="5">
        <f>-IFERROR('4. NPV'!BZR23/'4. NPV'!BZR$8,0)</f>
        <v>-0.0</v>
      </c>
      <c r="BZR53" s="5">
        <f>-IFERROR('4. NPV'!BZS23/'4. NPV'!BZS$8,0)</f>
        <v>-0.0</v>
      </c>
      <c r="BZS53" s="5">
        <f>-IFERROR('4. NPV'!BZT23/'4. NPV'!BZT$8,0)</f>
        <v>-0.0</v>
      </c>
      <c r="BZT53" s="5">
        <f>-IFERROR('4. NPV'!BZU23/'4. NPV'!BZU$8,0)</f>
        <v>-0.0</v>
      </c>
      <c r="BZU53" s="5">
        <f>-IFERROR('4. NPV'!BZV23/'4. NPV'!BZV$8,0)</f>
        <v>-0.0</v>
      </c>
      <c r="BZV53" s="5">
        <f>-IFERROR('4. NPV'!BZW23/'4. NPV'!BZW$8,0)</f>
        <v>-0.0</v>
      </c>
      <c r="BZW53" s="5">
        <f>-IFERROR('4. NPV'!BZX23/'4. NPV'!BZX$8,0)</f>
        <v>-0.0</v>
      </c>
      <c r="BZX53" s="5">
        <f>-IFERROR('4. NPV'!BZY23/'4. NPV'!BZY$8,0)</f>
        <v>-0.0</v>
      </c>
      <c r="BZY53" s="5">
        <f>-IFERROR('4. NPV'!BZZ23/'4. NPV'!BZZ$8,0)</f>
        <v>-0.0</v>
      </c>
      <c r="BZZ53" s="5">
        <f>-IFERROR('4. NPV'!CAA23/'4. NPV'!CAA$8,0)</f>
        <v>-0.0</v>
      </c>
      <c r="CAA53" s="5">
        <f>-IFERROR('4. NPV'!CAB23/'4. NPV'!CAB$8,0)</f>
        <v>-0.0</v>
      </c>
      <c r="CAB53" s="5">
        <f>-IFERROR('4. NPV'!CAC23/'4. NPV'!CAC$8,0)</f>
        <v>-0.0</v>
      </c>
      <c r="CAC53" s="5">
        <f>-IFERROR('4. NPV'!CAD23/'4. NPV'!CAD$8,0)</f>
        <v>-0.0</v>
      </c>
      <c r="CAD53" s="5">
        <f>-IFERROR('4. NPV'!CAE23/'4. NPV'!CAE$8,0)</f>
        <v>-0.0</v>
      </c>
      <c r="CAE53" s="5">
        <f>-IFERROR('4. NPV'!CAF23/'4. NPV'!CAF$8,0)</f>
        <v>-0.0</v>
      </c>
      <c r="CAF53" s="5">
        <f>-IFERROR('4. NPV'!CAG23/'4. NPV'!CAG$8,0)</f>
        <v>-0.0</v>
      </c>
      <c r="CAG53" s="5">
        <f>-IFERROR('4. NPV'!CAH23/'4. NPV'!CAH$8,0)</f>
        <v>-0.0</v>
      </c>
      <c r="CAH53" s="5">
        <f>-IFERROR('4. NPV'!CAI23/'4. NPV'!CAI$8,0)</f>
        <v>-0.0</v>
      </c>
      <c r="CAI53" s="5">
        <f>-IFERROR('4. NPV'!CAJ23/'4. NPV'!CAJ$8,0)</f>
        <v>-0.0</v>
      </c>
      <c r="CAJ53" s="5">
        <f>-IFERROR('4. NPV'!CAK23/'4. NPV'!CAK$8,0)</f>
        <v>-0.0</v>
      </c>
      <c r="CAK53" s="5">
        <f>-IFERROR('4. NPV'!CAL23/'4. NPV'!CAL$8,0)</f>
        <v>-0.0</v>
      </c>
      <c r="CAL53" s="5">
        <f>-IFERROR('4. NPV'!CAM23/'4. NPV'!CAM$8,0)</f>
        <v>-0.0</v>
      </c>
      <c r="CAM53" s="5">
        <f>-IFERROR('4. NPV'!CAN23/'4. NPV'!CAN$8,0)</f>
        <v>-0.0</v>
      </c>
      <c r="CAN53" s="5">
        <f>-IFERROR('4. NPV'!CAO23/'4. NPV'!CAO$8,0)</f>
        <v>-0.0</v>
      </c>
      <c r="CAO53" s="5">
        <f>-IFERROR('4. NPV'!CAP23/'4. NPV'!CAP$8,0)</f>
        <v>-0.0</v>
      </c>
      <c r="CAP53" s="5">
        <f>-IFERROR('4. NPV'!CAQ23/'4. NPV'!CAQ$8,0)</f>
        <v>-0.0</v>
      </c>
      <c r="CAQ53" s="5">
        <f>-IFERROR('4. NPV'!CAR23/'4. NPV'!CAR$8,0)</f>
        <v>-0.0</v>
      </c>
      <c r="CAR53" s="5">
        <f>-IFERROR('4. NPV'!CAS23/'4. NPV'!CAS$8,0)</f>
        <v>-0.0</v>
      </c>
      <c r="CAS53" s="5">
        <f>-IFERROR('4. NPV'!CAT23/'4. NPV'!CAT$8,0)</f>
        <v>-0.0</v>
      </c>
      <c r="CAT53" s="5">
        <f>-IFERROR('4. NPV'!CAU23/'4. NPV'!CAU$8,0)</f>
        <v>-0.0</v>
      </c>
      <c r="CAU53" s="5">
        <f>-IFERROR('4. NPV'!CAV23/'4. NPV'!CAV$8,0)</f>
        <v>-0.0</v>
      </c>
      <c r="CAV53" s="5">
        <f>-IFERROR('4. NPV'!CAW23/'4. NPV'!CAW$8,0)</f>
        <v>-0.0</v>
      </c>
      <c r="CAW53" s="5">
        <f>-IFERROR('4. NPV'!CAX23/'4. NPV'!CAX$8,0)</f>
        <v>-0.0</v>
      </c>
      <c r="CAX53" s="5">
        <f>-IFERROR('4. NPV'!CAY23/'4. NPV'!CAY$8,0)</f>
        <v>-0.0</v>
      </c>
      <c r="CAY53" s="5">
        <f>-IFERROR('4. NPV'!CAZ23/'4. NPV'!CAZ$8,0)</f>
        <v>-0.0</v>
      </c>
      <c r="CAZ53" s="5">
        <f>-IFERROR('4. NPV'!CBA23/'4. NPV'!CBA$8,0)</f>
        <v>-0.0</v>
      </c>
      <c r="CBA53" s="5">
        <f>-IFERROR('4. NPV'!CBB23/'4. NPV'!CBB$8,0)</f>
        <v>-0.0</v>
      </c>
      <c r="CBB53" s="5">
        <f>-IFERROR('4. NPV'!CBC23/'4. NPV'!CBC$8,0)</f>
        <v>-0.0</v>
      </c>
      <c r="CBC53" s="5">
        <f>-IFERROR('4. NPV'!CBD23/'4. NPV'!CBD$8,0)</f>
        <v>-0.0</v>
      </c>
      <c r="CBD53" s="5">
        <f>-IFERROR('4. NPV'!CBE23/'4. NPV'!CBE$8,0)</f>
        <v>-0.0</v>
      </c>
      <c r="CBE53" s="5">
        <f>-IFERROR('4. NPV'!CBF23/'4. NPV'!CBF$8,0)</f>
        <v>-0.0</v>
      </c>
      <c r="CBF53" s="5">
        <f>-IFERROR('4. NPV'!CBG23/'4. NPV'!CBG$8,0)</f>
        <v>-0.0</v>
      </c>
      <c r="CBG53" s="5">
        <f>-IFERROR('4. NPV'!CBH23/'4. NPV'!CBH$8,0)</f>
        <v>-0.0</v>
      </c>
      <c r="CBH53" s="5">
        <f>-IFERROR('4. NPV'!CBI23/'4. NPV'!CBI$8,0)</f>
        <v>-0.0</v>
      </c>
      <c r="CBI53" s="5">
        <f>-IFERROR('4. NPV'!CBJ23/'4. NPV'!CBJ$8,0)</f>
        <v>-0.0</v>
      </c>
      <c r="CBJ53" s="5">
        <f>-IFERROR('4. NPV'!CBK23/'4. NPV'!CBK$8,0)</f>
        <v>-0.0</v>
      </c>
      <c r="CBK53" s="5">
        <f>-IFERROR('4. NPV'!CBL23/'4. NPV'!CBL$8,0)</f>
        <v>-0.0</v>
      </c>
      <c r="CBL53" s="5">
        <f>-IFERROR('4. NPV'!CBM23/'4. NPV'!CBM$8,0)</f>
        <v>-0.0</v>
      </c>
      <c r="CBM53" s="5">
        <f>-IFERROR('4. NPV'!CBN23/'4. NPV'!CBN$8,0)</f>
        <v>-0.0</v>
      </c>
      <c r="CBN53" s="5">
        <f>-IFERROR('4. NPV'!CBO23/'4. NPV'!CBO$8,0)</f>
        <v>-0.0</v>
      </c>
      <c r="CBO53" s="5">
        <f>-IFERROR('4. NPV'!CBP23/'4. NPV'!CBP$8,0)</f>
        <v>-0.0</v>
      </c>
      <c r="CBP53" s="5">
        <f>-IFERROR('4. NPV'!CBQ23/'4. NPV'!CBQ$8,0)</f>
        <v>-0.0</v>
      </c>
      <c r="CBQ53" s="5">
        <f>-IFERROR('4. NPV'!CBR23/'4. NPV'!CBR$8,0)</f>
        <v>-0.0</v>
      </c>
      <c r="CBR53" s="5">
        <f>-IFERROR('4. NPV'!CBS23/'4. NPV'!CBS$8,0)</f>
        <v>-0.0</v>
      </c>
      <c r="CBS53" s="5">
        <f>-IFERROR('4. NPV'!CBT23/'4. NPV'!CBT$8,0)</f>
        <v>-0.0</v>
      </c>
      <c r="CBT53" s="5">
        <f>-IFERROR('4. NPV'!CBU23/'4. NPV'!CBU$8,0)</f>
        <v>-0.0</v>
      </c>
      <c r="CBU53" s="5">
        <f>-IFERROR('4. NPV'!CBV23/'4. NPV'!CBV$8,0)</f>
        <v>-0.0</v>
      </c>
      <c r="CBV53" s="5">
        <f>-IFERROR('4. NPV'!CBW23/'4. NPV'!CBW$8,0)</f>
        <v>-0.0</v>
      </c>
      <c r="CBW53" s="5">
        <f>-IFERROR('4. NPV'!CBX23/'4. NPV'!CBX$8,0)</f>
        <v>-0.0</v>
      </c>
      <c r="CBX53" s="5">
        <f>-IFERROR('4. NPV'!CBY23/'4. NPV'!CBY$8,0)</f>
        <v>-0.0</v>
      </c>
      <c r="CBY53" s="5">
        <f>-IFERROR('4. NPV'!CBZ23/'4. NPV'!CBZ$8,0)</f>
        <v>-0.0</v>
      </c>
      <c r="CBZ53" s="5">
        <f>-IFERROR('4. NPV'!CCA23/'4. NPV'!CCA$8,0)</f>
        <v>-0.0</v>
      </c>
      <c r="CCA53" s="5">
        <f>-IFERROR('4. NPV'!CCB23/'4. NPV'!CCB$8,0)</f>
        <v>-0.0</v>
      </c>
      <c r="CCB53" s="5">
        <f>-IFERROR('4. NPV'!CCC23/'4. NPV'!CCC$8,0)</f>
        <v>-0.0</v>
      </c>
      <c r="CCC53" s="5">
        <f>-IFERROR('4. NPV'!CCD23/'4. NPV'!CCD$8,0)</f>
        <v>-0.0</v>
      </c>
      <c r="CCD53" s="5">
        <f>-IFERROR('4. NPV'!CCE23/'4. NPV'!CCE$8,0)</f>
        <v>-0.0</v>
      </c>
      <c r="CCE53" s="5">
        <f>-IFERROR('4. NPV'!CCF23/'4. NPV'!CCF$8,0)</f>
        <v>-0.0</v>
      </c>
      <c r="CCF53" s="5">
        <f>-IFERROR('4. NPV'!CCG23/'4. NPV'!CCG$8,0)</f>
        <v>-0.0</v>
      </c>
      <c r="CCG53" s="5">
        <f>-IFERROR('4. NPV'!CCH23/'4. NPV'!CCH$8,0)</f>
        <v>-0.0</v>
      </c>
      <c r="CCH53" s="5">
        <f>-IFERROR('4. NPV'!CCI23/'4. NPV'!CCI$8,0)</f>
        <v>-0.0</v>
      </c>
      <c r="CCI53" s="5">
        <f>-IFERROR('4. NPV'!CCJ23/'4. NPV'!CCJ$8,0)</f>
        <v>-0.0</v>
      </c>
      <c r="CCJ53" s="5">
        <f>-IFERROR('4. NPV'!CCK23/'4. NPV'!CCK$8,0)</f>
        <v>-0.0</v>
      </c>
      <c r="CCK53" s="5">
        <f>-IFERROR('4. NPV'!CCL23/'4. NPV'!CCL$8,0)</f>
        <v>-0.0</v>
      </c>
      <c r="CCL53" s="5">
        <f>-IFERROR('4. NPV'!CCM23/'4. NPV'!CCM$8,0)</f>
        <v>-0.0</v>
      </c>
      <c r="CCM53" s="5">
        <f>-IFERROR('4. NPV'!CCN23/'4. NPV'!CCN$8,0)</f>
        <v>-0.0</v>
      </c>
      <c r="CCN53" s="5">
        <f>-IFERROR('4. NPV'!CCO23/'4. NPV'!CCO$8,0)</f>
        <v>-0.0</v>
      </c>
      <c r="CCO53" s="5">
        <f>-IFERROR('4. NPV'!CCP23/'4. NPV'!CCP$8,0)</f>
        <v>-0.0</v>
      </c>
      <c r="CCP53" s="5">
        <f>-IFERROR('4. NPV'!CCQ23/'4. NPV'!CCQ$8,0)</f>
        <v>-0.0</v>
      </c>
      <c r="CCQ53" s="5">
        <f>-IFERROR('4. NPV'!CCR23/'4. NPV'!CCR$8,0)</f>
        <v>-0.0</v>
      </c>
      <c r="CCR53" s="5">
        <f>-IFERROR('4. NPV'!CCS23/'4. NPV'!CCS$8,0)</f>
        <v>-0.0</v>
      </c>
      <c r="CCS53" s="5">
        <f>-IFERROR('4. NPV'!CCT23/'4. NPV'!CCT$8,0)</f>
        <v>-0.0</v>
      </c>
      <c r="CCT53" s="5">
        <f>-IFERROR('4. NPV'!CCU23/'4. NPV'!CCU$8,0)</f>
        <v>-0.0</v>
      </c>
      <c r="CCU53" s="5">
        <f>-IFERROR('4. NPV'!CCV23/'4. NPV'!CCV$8,0)</f>
        <v>-0.0</v>
      </c>
      <c r="CCV53" s="5">
        <f>-IFERROR('4. NPV'!CCW23/'4. NPV'!CCW$8,0)</f>
        <v>-0.0</v>
      </c>
      <c r="CCW53" s="5">
        <f>-IFERROR('4. NPV'!CCX23/'4. NPV'!CCX$8,0)</f>
        <v>-0.0</v>
      </c>
      <c r="CCX53" s="5">
        <f>-IFERROR('4. NPV'!CCY23/'4. NPV'!CCY$8,0)</f>
        <v>-0.0</v>
      </c>
      <c r="CCY53" s="5">
        <f>-IFERROR('4. NPV'!CCZ23/'4. NPV'!CCZ$8,0)</f>
        <v>-0.0</v>
      </c>
      <c r="CCZ53" s="5">
        <f>-IFERROR('4. NPV'!CDA23/'4. NPV'!CDA$8,0)</f>
        <v>-0.0</v>
      </c>
      <c r="CDA53" s="5">
        <f>-IFERROR('4. NPV'!CDB23/'4. NPV'!CDB$8,0)</f>
        <v>-0.0</v>
      </c>
      <c r="CDB53" s="5">
        <f>-IFERROR('4. NPV'!CDC23/'4. NPV'!CDC$8,0)</f>
        <v>-0.0</v>
      </c>
      <c r="CDC53" s="5">
        <f>-IFERROR('4. NPV'!CDD23/'4. NPV'!CDD$8,0)</f>
        <v>-0.0</v>
      </c>
      <c r="CDD53" s="5">
        <f>-IFERROR('4. NPV'!CDE23/'4. NPV'!CDE$8,0)</f>
        <v>-0.0</v>
      </c>
      <c r="CDE53" s="5">
        <f>-IFERROR('4. NPV'!CDF23/'4. NPV'!CDF$8,0)</f>
        <v>-0.0</v>
      </c>
      <c r="CDF53" s="5">
        <f>-IFERROR('4. NPV'!CDG23/'4. NPV'!CDG$8,0)</f>
        <v>-0.0</v>
      </c>
      <c r="CDG53" s="5">
        <f>-IFERROR('4. NPV'!CDH23/'4. NPV'!CDH$8,0)</f>
        <v>-0.0</v>
      </c>
      <c r="CDH53" s="5">
        <f>-IFERROR('4. NPV'!CDI23/'4. NPV'!CDI$8,0)</f>
        <v>-0.0</v>
      </c>
      <c r="CDI53" s="5">
        <f>-IFERROR('4. NPV'!CDJ23/'4. NPV'!CDJ$8,0)</f>
        <v>-0.0</v>
      </c>
      <c r="CDJ53" s="5">
        <f>-IFERROR('4. NPV'!CDK23/'4. NPV'!CDK$8,0)</f>
        <v>-0.0</v>
      </c>
      <c r="CDK53" s="5">
        <f>-IFERROR('4. NPV'!CDL23/'4. NPV'!CDL$8,0)</f>
        <v>-0.0</v>
      </c>
      <c r="CDL53" s="5">
        <f>-IFERROR('4. NPV'!CDM23/'4. NPV'!CDM$8,0)</f>
        <v>-0.0</v>
      </c>
      <c r="CDM53" s="5">
        <f>-IFERROR('4. NPV'!CDN23/'4. NPV'!CDN$8,0)</f>
        <v>-0.0</v>
      </c>
      <c r="CDN53" s="5">
        <f>-IFERROR('4. NPV'!CDO23/'4. NPV'!CDO$8,0)</f>
        <v>-0.0</v>
      </c>
      <c r="CDO53" s="5">
        <f>-IFERROR('4. NPV'!CDP23/'4. NPV'!CDP$8,0)</f>
        <v>-0.0</v>
      </c>
      <c r="CDP53" s="5">
        <f>-IFERROR('4. NPV'!CDQ23/'4. NPV'!CDQ$8,0)</f>
        <v>-0.0</v>
      </c>
      <c r="CDQ53" s="5">
        <f>-IFERROR('4. NPV'!CDR23/'4. NPV'!CDR$8,0)</f>
        <v>-0.0</v>
      </c>
      <c r="CDR53" s="5">
        <f>-IFERROR('4. NPV'!CDS23/'4. NPV'!CDS$8,0)</f>
        <v>-0.0</v>
      </c>
      <c r="CDS53" s="5">
        <f>-IFERROR('4. NPV'!CDT23/'4. NPV'!CDT$8,0)</f>
        <v>-0.0</v>
      </c>
      <c r="CDT53" s="5">
        <f>-IFERROR('4. NPV'!CDU23/'4. NPV'!CDU$8,0)</f>
        <v>-0.0</v>
      </c>
      <c r="CDU53" s="5">
        <f>-IFERROR('4. NPV'!CDV23/'4. NPV'!CDV$8,0)</f>
        <v>-0.0</v>
      </c>
      <c r="CDV53" s="5">
        <f>-IFERROR('4. NPV'!CDW23/'4. NPV'!CDW$8,0)</f>
        <v>-0.0</v>
      </c>
      <c r="CDW53" s="5">
        <f>-IFERROR('4. NPV'!CDX23/'4. NPV'!CDX$8,0)</f>
        <v>-0.0</v>
      </c>
      <c r="CDX53" s="5">
        <f>-IFERROR('4. NPV'!CDY23/'4. NPV'!CDY$8,0)</f>
        <v>-0.0</v>
      </c>
      <c r="CDY53" s="5">
        <f>-IFERROR('4. NPV'!CDZ23/'4. NPV'!CDZ$8,0)</f>
        <v>-0.0</v>
      </c>
      <c r="CDZ53" s="5">
        <f>-IFERROR('4. NPV'!CEA23/'4. NPV'!CEA$8,0)</f>
        <v>-0.0</v>
      </c>
      <c r="CEA53" s="5">
        <f>-IFERROR('4. NPV'!CEB23/'4. NPV'!CEB$8,0)</f>
        <v>-0.0</v>
      </c>
      <c r="CEB53" s="5">
        <f>-IFERROR('4. NPV'!CEC23/'4. NPV'!CEC$8,0)</f>
        <v>-0.0</v>
      </c>
      <c r="CEC53" s="5">
        <f>-IFERROR('4. NPV'!CED23/'4. NPV'!CED$8,0)</f>
        <v>-0.0</v>
      </c>
      <c r="CED53" s="5">
        <f>-IFERROR('4. NPV'!CEE23/'4. NPV'!CEE$8,0)</f>
        <v>-0.0</v>
      </c>
      <c r="CEE53" s="5">
        <f>-IFERROR('4. NPV'!CEF23/'4. NPV'!CEF$8,0)</f>
        <v>-0.0</v>
      </c>
      <c r="CEF53" s="5">
        <f>-IFERROR('4. NPV'!CEG23/'4. NPV'!CEG$8,0)</f>
        <v>-0.0</v>
      </c>
      <c r="CEG53" s="5">
        <f>-IFERROR('4. NPV'!CEH23/'4. NPV'!CEH$8,0)</f>
        <v>-0.0</v>
      </c>
      <c r="CEH53" s="5">
        <f>-IFERROR('4. NPV'!CEI23/'4. NPV'!CEI$8,0)</f>
        <v>-0.0</v>
      </c>
      <c r="CEI53" s="5">
        <f>-IFERROR('4. NPV'!CEJ23/'4. NPV'!CEJ$8,0)</f>
        <v>-0.0</v>
      </c>
      <c r="CEJ53" s="5">
        <f>-IFERROR('4. NPV'!CEK23/'4. NPV'!CEK$8,0)</f>
        <v>-0.0</v>
      </c>
      <c r="CEK53" s="5">
        <f>-IFERROR('4. NPV'!CEL23/'4. NPV'!CEL$8,0)</f>
        <v>-0.0</v>
      </c>
      <c r="CEL53" s="5">
        <f>-IFERROR('4. NPV'!CEM23/'4. NPV'!CEM$8,0)</f>
        <v>-0.0</v>
      </c>
      <c r="CEM53" s="5">
        <f>-IFERROR('4. NPV'!CEN23/'4. NPV'!CEN$8,0)</f>
        <v>-0.0</v>
      </c>
      <c r="CEN53" s="5">
        <f>-IFERROR('4. NPV'!CEO23/'4. NPV'!CEO$8,0)</f>
        <v>-0.0</v>
      </c>
      <c r="CEO53" s="5">
        <f>-IFERROR('4. NPV'!CEP23/'4. NPV'!CEP$8,0)</f>
        <v>-0.0</v>
      </c>
      <c r="CEP53" s="5">
        <f>-IFERROR('4. NPV'!CEQ23/'4. NPV'!CEQ$8,0)</f>
        <v>-0.0</v>
      </c>
      <c r="CEQ53" s="5">
        <f>-IFERROR('4. NPV'!CER23/'4. NPV'!CER$8,0)</f>
        <v>-0.0</v>
      </c>
      <c r="CER53" s="5">
        <f>-IFERROR('4. NPV'!CES23/'4. NPV'!CES$8,0)</f>
        <v>-0.0</v>
      </c>
      <c r="CES53" s="5">
        <f>-IFERROR('4. NPV'!CET23/'4. NPV'!CET$8,0)</f>
        <v>-0.0</v>
      </c>
      <c r="CET53" s="5">
        <f>-IFERROR('4. NPV'!CEU23/'4. NPV'!CEU$8,0)</f>
        <v>-0.0</v>
      </c>
      <c r="CEU53" s="5">
        <f>-IFERROR('4. NPV'!CEV23/'4. NPV'!CEV$8,0)</f>
        <v>-0.0</v>
      </c>
      <c r="CEV53" s="5">
        <f>-IFERROR('4. NPV'!CEW23/'4. NPV'!CEW$8,0)</f>
        <v>-0.0</v>
      </c>
      <c r="CEW53" s="5">
        <f>-IFERROR('4. NPV'!CEX23/'4. NPV'!CEX$8,0)</f>
        <v>-0.0</v>
      </c>
      <c r="CEX53" s="5">
        <f>-IFERROR('4. NPV'!CEY23/'4. NPV'!CEY$8,0)</f>
        <v>-0.0</v>
      </c>
      <c r="CEY53" s="5">
        <f>-IFERROR('4. NPV'!CEZ23/'4. NPV'!CEZ$8,0)</f>
        <v>-0.0</v>
      </c>
      <c r="CEZ53" s="5">
        <f>-IFERROR('4. NPV'!CFA23/'4. NPV'!CFA$8,0)</f>
        <v>-0.0</v>
      </c>
      <c r="CFA53" s="5">
        <f>-IFERROR('4. NPV'!CFB23/'4. NPV'!CFB$8,0)</f>
        <v>-0.0</v>
      </c>
      <c r="CFB53" s="5">
        <f>-IFERROR('4. NPV'!CFC23/'4. NPV'!CFC$8,0)</f>
        <v>-0.0</v>
      </c>
      <c r="CFC53" s="5">
        <f>-IFERROR('4. NPV'!CFD23/'4. NPV'!CFD$8,0)</f>
        <v>-0.0</v>
      </c>
      <c r="CFD53" s="5">
        <f>-IFERROR('4. NPV'!CFE23/'4. NPV'!CFE$8,0)</f>
        <v>-0.0</v>
      </c>
      <c r="CFE53" s="5">
        <f>-IFERROR('4. NPV'!CFF23/'4. NPV'!CFF$8,0)</f>
        <v>-0.0</v>
      </c>
      <c r="CFF53" s="5">
        <f>-IFERROR('4. NPV'!CFG23/'4. NPV'!CFG$8,0)</f>
        <v>-0.0</v>
      </c>
      <c r="CFG53" s="5">
        <f>-IFERROR('4. NPV'!CFH23/'4. NPV'!CFH$8,0)</f>
        <v>-0.0</v>
      </c>
      <c r="CFH53" s="5">
        <f>-IFERROR('4. NPV'!CFI23/'4. NPV'!CFI$8,0)</f>
        <v>-0.0</v>
      </c>
      <c r="CFI53" s="5">
        <f>-IFERROR('4. NPV'!CFJ23/'4. NPV'!CFJ$8,0)</f>
        <v>-0.0</v>
      </c>
      <c r="CFJ53" s="5">
        <f>-IFERROR('4. NPV'!CFK23/'4. NPV'!CFK$8,0)</f>
        <v>-0.0</v>
      </c>
      <c r="CFK53" s="5">
        <f>-IFERROR('4. NPV'!CFL23/'4. NPV'!CFL$8,0)</f>
        <v>-0.0</v>
      </c>
      <c r="CFL53" s="5">
        <f>-IFERROR('4. NPV'!CFM23/'4. NPV'!CFM$8,0)</f>
        <v>-0.0</v>
      </c>
      <c r="CFM53" s="5">
        <f>-IFERROR('4. NPV'!CFN23/'4. NPV'!CFN$8,0)</f>
        <v>-0.0</v>
      </c>
      <c r="CFN53" s="5">
        <f>-IFERROR('4. NPV'!CFO23/'4. NPV'!CFO$8,0)</f>
        <v>-0.0</v>
      </c>
      <c r="CFO53" s="5">
        <f>-IFERROR('4. NPV'!CFP23/'4. NPV'!CFP$8,0)</f>
        <v>-0.0</v>
      </c>
      <c r="CFP53" s="5">
        <f>-IFERROR('4. NPV'!CFQ23/'4. NPV'!CFQ$8,0)</f>
        <v>-0.0</v>
      </c>
      <c r="CFQ53" s="5">
        <f>-IFERROR('4. NPV'!CFR23/'4. NPV'!CFR$8,0)</f>
        <v>-0.0</v>
      </c>
      <c r="CFR53" s="5">
        <f>-IFERROR('4. NPV'!CFS23/'4. NPV'!CFS$8,0)</f>
        <v>-0.0</v>
      </c>
      <c r="CFS53" s="5">
        <f>-IFERROR('4. NPV'!CFT23/'4. NPV'!CFT$8,0)</f>
        <v>-0.0</v>
      </c>
      <c r="CFT53" s="5">
        <f>-IFERROR('4. NPV'!CFU23/'4. NPV'!CFU$8,0)</f>
        <v>-0.0</v>
      </c>
      <c r="CFU53" s="5">
        <f>-IFERROR('4. NPV'!CFV23/'4. NPV'!CFV$8,0)</f>
        <v>-0.0</v>
      </c>
      <c r="CFV53" s="5">
        <f>-IFERROR('4. NPV'!CFW23/'4. NPV'!CFW$8,0)</f>
        <v>-0.0</v>
      </c>
      <c r="CFW53" s="5">
        <f>-IFERROR('4. NPV'!CFX23/'4. NPV'!CFX$8,0)</f>
        <v>-0.0</v>
      </c>
      <c r="CFX53" s="5">
        <f>-IFERROR('4. NPV'!CFY23/'4. NPV'!CFY$8,0)</f>
        <v>-0.0</v>
      </c>
      <c r="CFY53" s="5">
        <f>-IFERROR('4. NPV'!CFZ23/'4. NPV'!CFZ$8,0)</f>
        <v>-0.0</v>
      </c>
      <c r="CFZ53" s="5">
        <f>-IFERROR('4. NPV'!CGA23/'4. NPV'!CGA$8,0)</f>
        <v>-0.0</v>
      </c>
      <c r="CGA53" s="5">
        <f>-IFERROR('4. NPV'!CGB23/'4. NPV'!CGB$8,0)</f>
        <v>-0.0</v>
      </c>
      <c r="CGB53" s="5">
        <f>-IFERROR('4. NPV'!CGC23/'4. NPV'!CGC$8,0)</f>
        <v>-0.0</v>
      </c>
      <c r="CGC53" s="5">
        <f>-IFERROR('4. NPV'!CGD23/'4. NPV'!CGD$8,0)</f>
        <v>-0.0</v>
      </c>
      <c r="CGD53" s="5">
        <f>-IFERROR('4. NPV'!CGE23/'4. NPV'!CGE$8,0)</f>
        <v>-0.0</v>
      </c>
      <c r="CGE53" s="5">
        <f>-IFERROR('4. NPV'!CGF23/'4. NPV'!CGF$8,0)</f>
        <v>-0.0</v>
      </c>
      <c r="CGF53" s="5">
        <f>-IFERROR('4. NPV'!CGG23/'4. NPV'!CGG$8,0)</f>
        <v>-0.0</v>
      </c>
      <c r="CGG53" s="5">
        <f>-IFERROR('4. NPV'!CGH23/'4. NPV'!CGH$8,0)</f>
        <v>-0.0</v>
      </c>
      <c r="CGH53" s="5">
        <f>-IFERROR('4. NPV'!CGI23/'4. NPV'!CGI$8,0)</f>
        <v>-0.0</v>
      </c>
      <c r="CGI53" s="5">
        <f>-IFERROR('4. NPV'!CGJ23/'4. NPV'!CGJ$8,0)</f>
        <v>-0.0</v>
      </c>
      <c r="CGJ53" s="5">
        <f>-IFERROR('4. NPV'!CGK23/'4. NPV'!CGK$8,0)</f>
        <v>-0.0</v>
      </c>
      <c r="CGK53" s="5">
        <f>-IFERROR('4. NPV'!CGL23/'4. NPV'!CGL$8,0)</f>
        <v>-0.0</v>
      </c>
      <c r="CGL53" s="5">
        <f>-IFERROR('4. NPV'!CGM23/'4. NPV'!CGM$8,0)</f>
        <v>-0.0</v>
      </c>
      <c r="CGM53" s="5">
        <f>-IFERROR('4. NPV'!CGN23/'4. NPV'!CGN$8,0)</f>
        <v>-0.0</v>
      </c>
      <c r="CGN53" s="5">
        <f>-IFERROR('4. NPV'!CGO23/'4. NPV'!CGO$8,0)</f>
        <v>-0.0</v>
      </c>
      <c r="CGO53" s="5">
        <f>-IFERROR('4. NPV'!CGP23/'4. NPV'!CGP$8,0)</f>
        <v>-0.0</v>
      </c>
      <c r="CGP53" s="5">
        <f>-IFERROR('4. NPV'!CGQ23/'4. NPV'!CGQ$8,0)</f>
        <v>-0.0</v>
      </c>
      <c r="CGQ53" s="5">
        <f>-IFERROR('4. NPV'!CGR23/'4. NPV'!CGR$8,0)</f>
        <v>-0.0</v>
      </c>
      <c r="CGR53" s="5">
        <f>-IFERROR('4. NPV'!CGS23/'4. NPV'!CGS$8,0)</f>
        <v>-0.0</v>
      </c>
      <c r="CGS53" s="5">
        <f>-IFERROR('4. NPV'!CGT23/'4. NPV'!CGT$8,0)</f>
        <v>-0.0</v>
      </c>
      <c r="CGT53" s="5">
        <f>-IFERROR('4. NPV'!CGU23/'4. NPV'!CGU$8,0)</f>
        <v>-0.0</v>
      </c>
      <c r="CGU53" s="5">
        <f>-IFERROR('4. NPV'!CGV23/'4. NPV'!CGV$8,0)</f>
        <v>-0.0</v>
      </c>
      <c r="CGV53" s="5">
        <f>-IFERROR('4. NPV'!CGW23/'4. NPV'!CGW$8,0)</f>
        <v>-0.0</v>
      </c>
      <c r="CGW53" s="5">
        <f>-IFERROR('4. NPV'!CGX23/'4. NPV'!CGX$8,0)</f>
        <v>-0.0</v>
      </c>
      <c r="CGX53" s="5">
        <f>-IFERROR('4. NPV'!CGY23/'4. NPV'!CGY$8,0)</f>
        <v>-0.0</v>
      </c>
      <c r="CGY53" s="5">
        <f>-IFERROR('4. NPV'!CGZ23/'4. NPV'!CGZ$8,0)</f>
        <v>-0.0</v>
      </c>
      <c r="CGZ53" s="5">
        <f>-IFERROR('4. NPV'!CHA23/'4. NPV'!CHA$8,0)</f>
        <v>-0.0</v>
      </c>
      <c r="CHA53" s="5">
        <f>-IFERROR('4. NPV'!CHB23/'4. NPV'!CHB$8,0)</f>
        <v>-0.0</v>
      </c>
      <c r="CHB53" s="5">
        <f>-IFERROR('4. NPV'!CHC23/'4. NPV'!CHC$8,0)</f>
        <v>-0.0</v>
      </c>
      <c r="CHC53" s="5">
        <f>-IFERROR('4. NPV'!CHD23/'4. NPV'!CHD$8,0)</f>
        <v>-0.0</v>
      </c>
      <c r="CHD53" s="5">
        <f>-IFERROR('4. NPV'!CHE23/'4. NPV'!CHE$8,0)</f>
        <v>-0.0</v>
      </c>
      <c r="CHE53" s="5">
        <f>-IFERROR('4. NPV'!CHF23/'4. NPV'!CHF$8,0)</f>
        <v>-0.0</v>
      </c>
      <c r="CHF53" s="5">
        <f>-IFERROR('4. NPV'!CHG23/'4. NPV'!CHG$8,0)</f>
        <v>-0.0</v>
      </c>
      <c r="CHG53" s="5">
        <f>-IFERROR('4. NPV'!CHH23/'4. NPV'!CHH$8,0)</f>
        <v>-0.0</v>
      </c>
      <c r="CHH53" s="5">
        <f>-IFERROR('4. NPV'!CHI23/'4. NPV'!CHI$8,0)</f>
        <v>-0.0</v>
      </c>
      <c r="CHI53" s="5">
        <f>-IFERROR('4. NPV'!CHJ23/'4. NPV'!CHJ$8,0)</f>
        <v>-0.0</v>
      </c>
      <c r="CHJ53" s="5">
        <f>-IFERROR('4. NPV'!CHK23/'4. NPV'!CHK$8,0)</f>
        <v>-0.0</v>
      </c>
      <c r="CHK53" s="5">
        <f>-IFERROR('4. NPV'!CHL23/'4. NPV'!CHL$8,0)</f>
        <v>-0.0</v>
      </c>
      <c r="CHL53" s="5">
        <f>-IFERROR('4. NPV'!CHM23/'4. NPV'!CHM$8,0)</f>
        <v>-0.0</v>
      </c>
      <c r="CHM53" s="5">
        <f>-IFERROR('4. NPV'!CHN23/'4. NPV'!CHN$8,0)</f>
        <v>-0.0</v>
      </c>
      <c r="CHN53" s="5">
        <f>-IFERROR('4. NPV'!CHO23/'4. NPV'!CHO$8,0)</f>
        <v>-0.0</v>
      </c>
      <c r="CHO53" s="5">
        <f>-IFERROR('4. NPV'!CHP23/'4. NPV'!CHP$8,0)</f>
        <v>-0.0</v>
      </c>
      <c r="CHP53" s="5">
        <f>-IFERROR('4. NPV'!CHQ23/'4. NPV'!CHQ$8,0)</f>
        <v>-0.0</v>
      </c>
      <c r="CHQ53" s="5">
        <f>-IFERROR('4. NPV'!CHR23/'4. NPV'!CHR$8,0)</f>
        <v>-0.0</v>
      </c>
      <c r="CHR53" s="5">
        <f>-IFERROR('4. NPV'!CHS23/'4. NPV'!CHS$8,0)</f>
        <v>-0.0</v>
      </c>
      <c r="CHS53" s="5">
        <f>-IFERROR('4. NPV'!CHT23/'4. NPV'!CHT$8,0)</f>
        <v>-0.0</v>
      </c>
      <c r="CHT53" s="5">
        <f>-IFERROR('4. NPV'!CHU23/'4. NPV'!CHU$8,0)</f>
        <v>-0.0</v>
      </c>
      <c r="CHU53" s="5">
        <f>-IFERROR('4. NPV'!CHV23/'4. NPV'!CHV$8,0)</f>
        <v>-0.0</v>
      </c>
      <c r="CHV53" s="5">
        <f>-IFERROR('4. NPV'!CHW23/'4. NPV'!CHW$8,0)</f>
        <v>-0.0</v>
      </c>
      <c r="CHW53" s="5">
        <f>-IFERROR('4. NPV'!CHX23/'4. NPV'!CHX$8,0)</f>
        <v>-0.0</v>
      </c>
      <c r="CHX53" s="5">
        <f>-IFERROR('4. NPV'!CHY23/'4. NPV'!CHY$8,0)</f>
        <v>-0.0</v>
      </c>
      <c r="CHY53" s="5">
        <f>-IFERROR('4. NPV'!CHZ23/'4. NPV'!CHZ$8,0)</f>
        <v>-0.0</v>
      </c>
      <c r="CHZ53" s="5">
        <f>-IFERROR('4. NPV'!CIA23/'4. NPV'!CIA$8,0)</f>
        <v>-0.0</v>
      </c>
      <c r="CIA53" s="5">
        <f>-IFERROR('4. NPV'!CIB23/'4. NPV'!CIB$8,0)</f>
        <v>-0.0</v>
      </c>
      <c r="CIB53" s="5">
        <f>-IFERROR('4. NPV'!CIC23/'4. NPV'!CIC$8,0)</f>
        <v>-0.0</v>
      </c>
      <c r="CIC53" s="5">
        <f>-IFERROR('4. NPV'!CID23/'4. NPV'!CID$8,0)</f>
        <v>-0.0</v>
      </c>
      <c r="CID53" s="5">
        <f>-IFERROR('4. NPV'!CIE23/'4. NPV'!CIE$8,0)</f>
        <v>-0.0</v>
      </c>
      <c r="CIE53" s="5">
        <f>-IFERROR('4. NPV'!CIF23/'4. NPV'!CIF$8,0)</f>
        <v>-0.0</v>
      </c>
      <c r="CIF53" s="5">
        <f>-IFERROR('4. NPV'!CIG23/'4. NPV'!CIG$8,0)</f>
        <v>-0.0</v>
      </c>
      <c r="CIG53" s="5">
        <f>-IFERROR('4. NPV'!CIH23/'4. NPV'!CIH$8,0)</f>
        <v>-0.0</v>
      </c>
      <c r="CIH53" s="5">
        <f>-IFERROR('4. NPV'!CII23/'4. NPV'!CII$8,0)</f>
        <v>-0.0</v>
      </c>
      <c r="CII53" s="5">
        <f>-IFERROR('4. NPV'!CIJ23/'4. NPV'!CIJ$8,0)</f>
        <v>-0.0</v>
      </c>
      <c r="CIJ53" s="5">
        <f>-IFERROR('4. NPV'!CIK23/'4. NPV'!CIK$8,0)</f>
        <v>-0.0</v>
      </c>
      <c r="CIK53" s="5">
        <f>-IFERROR('4. NPV'!CIL23/'4. NPV'!CIL$8,0)</f>
        <v>-0.0</v>
      </c>
      <c r="CIL53" s="5">
        <f>-IFERROR('4. NPV'!CIM23/'4. NPV'!CIM$8,0)</f>
        <v>-0.0</v>
      </c>
      <c r="CIM53" s="5">
        <f>-IFERROR('4. NPV'!CIN23/'4. NPV'!CIN$8,0)</f>
        <v>-0.0</v>
      </c>
      <c r="CIN53" s="5">
        <f>-IFERROR('4. NPV'!CIO23/'4. NPV'!CIO$8,0)</f>
        <v>-0.0</v>
      </c>
      <c r="CIO53" s="5">
        <f>-IFERROR('4. NPV'!CIP23/'4. NPV'!CIP$8,0)</f>
        <v>-0.0</v>
      </c>
      <c r="CIP53" s="5">
        <f>-IFERROR('4. NPV'!CIQ23/'4. NPV'!CIQ$8,0)</f>
        <v>-0.0</v>
      </c>
      <c r="CIQ53" s="5">
        <f>-IFERROR('4. NPV'!CIR23/'4. NPV'!CIR$8,0)</f>
        <v>-0.0</v>
      </c>
      <c r="CIR53" s="5">
        <f>-IFERROR('4. NPV'!CIS23/'4. NPV'!CIS$8,0)</f>
        <v>-0.0</v>
      </c>
      <c r="CIS53" s="5">
        <f>-IFERROR('4. NPV'!CIT23/'4. NPV'!CIT$8,0)</f>
        <v>-0.0</v>
      </c>
      <c r="CIT53" s="5">
        <f>-IFERROR('4. NPV'!CIU23/'4. NPV'!CIU$8,0)</f>
        <v>-0.0</v>
      </c>
      <c r="CIU53" s="5">
        <f>-IFERROR('4. NPV'!CIV23/'4. NPV'!CIV$8,0)</f>
        <v>-0.0</v>
      </c>
      <c r="CIV53" s="5">
        <f>-IFERROR('4. NPV'!CIW23/'4. NPV'!CIW$8,0)</f>
        <v>-0.0</v>
      </c>
      <c r="CIW53" s="5">
        <f>-IFERROR('4. NPV'!CIX23/'4. NPV'!CIX$8,0)</f>
        <v>-0.0</v>
      </c>
      <c r="CIX53" s="5">
        <f>-IFERROR('4. NPV'!CIY23/'4. NPV'!CIY$8,0)</f>
        <v>-0.0</v>
      </c>
      <c r="CIY53" s="5">
        <f>-IFERROR('4. NPV'!CIZ23/'4. NPV'!CIZ$8,0)</f>
        <v>-0.0</v>
      </c>
      <c r="CIZ53" s="5">
        <f>-IFERROR('4. NPV'!CJA23/'4. NPV'!CJA$8,0)</f>
        <v>-0.0</v>
      </c>
      <c r="CJA53" s="5">
        <f>-IFERROR('4. NPV'!CJB23/'4. NPV'!CJB$8,0)</f>
        <v>-0.0</v>
      </c>
      <c r="CJB53" s="5">
        <f>-IFERROR('4. NPV'!CJC23/'4. NPV'!CJC$8,0)</f>
        <v>-0.0</v>
      </c>
      <c r="CJC53" s="5">
        <f>-IFERROR('4. NPV'!CJD23/'4. NPV'!CJD$8,0)</f>
        <v>-0.0</v>
      </c>
      <c r="CJD53" s="5">
        <f>-IFERROR('4. NPV'!CJE23/'4. NPV'!CJE$8,0)</f>
        <v>-0.0</v>
      </c>
      <c r="CJE53" s="5">
        <f>-IFERROR('4. NPV'!CJF23/'4. NPV'!CJF$8,0)</f>
        <v>-0.0</v>
      </c>
      <c r="CJF53" s="5">
        <f>-IFERROR('4. NPV'!CJG23/'4. NPV'!CJG$8,0)</f>
        <v>-0.0</v>
      </c>
      <c r="CJG53" s="5">
        <f>-IFERROR('4. NPV'!CJH23/'4. NPV'!CJH$8,0)</f>
        <v>-0.0</v>
      </c>
      <c r="CJH53" s="5">
        <f>-IFERROR('4. NPV'!CJI23/'4. NPV'!CJI$8,0)</f>
        <v>-0.0</v>
      </c>
      <c r="CJI53" s="5">
        <f>-IFERROR('4. NPV'!CJJ23/'4. NPV'!CJJ$8,0)</f>
        <v>-0.0</v>
      </c>
      <c r="CJJ53" s="5">
        <f>-IFERROR('4. NPV'!CJK23/'4. NPV'!CJK$8,0)</f>
        <v>-0.0</v>
      </c>
      <c r="CJK53" s="5">
        <f>-IFERROR('4. NPV'!CJL23/'4. NPV'!CJL$8,0)</f>
        <v>-0.0</v>
      </c>
      <c r="CJL53" s="5">
        <f>-IFERROR('4. NPV'!CJM23/'4. NPV'!CJM$8,0)</f>
        <v>-0.0</v>
      </c>
      <c r="CJM53" s="5">
        <f>-IFERROR('4. NPV'!CJN23/'4. NPV'!CJN$8,0)</f>
        <v>-0.0</v>
      </c>
      <c r="CJN53" s="5">
        <f>-IFERROR('4. NPV'!CJO23/'4. NPV'!CJO$8,0)</f>
        <v>-0.0</v>
      </c>
      <c r="CJO53" s="5">
        <f>-IFERROR('4. NPV'!CJP23/'4. NPV'!CJP$8,0)</f>
        <v>-0.0</v>
      </c>
      <c r="CJP53" s="5">
        <f>-IFERROR('4. NPV'!CJQ23/'4. NPV'!CJQ$8,0)</f>
        <v>-0.0</v>
      </c>
      <c r="CJQ53" s="5">
        <f>-IFERROR('4. NPV'!CJR23/'4. NPV'!CJR$8,0)</f>
        <v>-0.0</v>
      </c>
      <c r="CJR53" s="5">
        <f>-IFERROR('4. NPV'!CJS23/'4. NPV'!CJS$8,0)</f>
        <v>-0.0</v>
      </c>
      <c r="CJS53" s="5">
        <f>-IFERROR('4. NPV'!CJT23/'4. NPV'!CJT$8,0)</f>
        <v>-0.0</v>
      </c>
      <c r="CJT53" s="5">
        <f>-IFERROR('4. NPV'!CJU23/'4. NPV'!CJU$8,0)</f>
        <v>-0.0</v>
      </c>
      <c r="CJU53" s="5">
        <f>-IFERROR('4. NPV'!CJV23/'4. NPV'!CJV$8,0)</f>
        <v>-0.0</v>
      </c>
      <c r="CJV53" s="5">
        <f>-IFERROR('4. NPV'!CJW23/'4. NPV'!CJW$8,0)</f>
        <v>-0.0</v>
      </c>
      <c r="CJW53" s="5">
        <f>-IFERROR('4. NPV'!CJX23/'4. NPV'!CJX$8,0)</f>
        <v>-0.0</v>
      </c>
      <c r="CJX53" s="5">
        <f>-IFERROR('4. NPV'!CJY23/'4. NPV'!CJY$8,0)</f>
        <v>-0.0</v>
      </c>
      <c r="CJY53" s="5">
        <f>-IFERROR('4. NPV'!CJZ23/'4. NPV'!CJZ$8,0)</f>
        <v>-0.0</v>
      </c>
      <c r="CJZ53" s="5">
        <f>-IFERROR('4. NPV'!CKA23/'4. NPV'!CKA$8,0)</f>
        <v>-0.0</v>
      </c>
      <c r="CKA53" s="5">
        <f>-IFERROR('4. NPV'!CKB23/'4. NPV'!CKB$8,0)</f>
        <v>-0.0</v>
      </c>
      <c r="CKB53" s="5">
        <f>-IFERROR('4. NPV'!CKC23/'4. NPV'!CKC$8,0)</f>
        <v>-0.0</v>
      </c>
      <c r="CKC53" s="5">
        <f>-IFERROR('4. NPV'!CKD23/'4. NPV'!CKD$8,0)</f>
        <v>-0.0</v>
      </c>
      <c r="CKD53" s="5">
        <f>-IFERROR('4. NPV'!CKE23/'4. NPV'!CKE$8,0)</f>
        <v>-0.0</v>
      </c>
      <c r="CKE53" s="5">
        <f>-IFERROR('4. NPV'!CKF23/'4. NPV'!CKF$8,0)</f>
        <v>-0.0</v>
      </c>
      <c r="CKF53" s="5">
        <f>-IFERROR('4. NPV'!CKG23/'4. NPV'!CKG$8,0)</f>
        <v>-0.0</v>
      </c>
      <c r="CKG53" s="5">
        <f>-IFERROR('4. NPV'!CKH23/'4. NPV'!CKH$8,0)</f>
        <v>-0.0</v>
      </c>
      <c r="CKH53" s="5">
        <f>-IFERROR('4. NPV'!CKI23/'4. NPV'!CKI$8,0)</f>
        <v>-0.0</v>
      </c>
      <c r="CKI53" s="5">
        <f>-IFERROR('4. NPV'!CKJ23/'4. NPV'!CKJ$8,0)</f>
        <v>-0.0</v>
      </c>
      <c r="CKJ53" s="5">
        <f>-IFERROR('4. NPV'!CKK23/'4. NPV'!CKK$8,0)</f>
        <v>-0.0</v>
      </c>
      <c r="CKK53" s="5">
        <f>-IFERROR('4. NPV'!CKL23/'4. NPV'!CKL$8,0)</f>
        <v>-0.0</v>
      </c>
      <c r="CKL53" s="5">
        <f>-IFERROR('4. NPV'!CKM23/'4. NPV'!CKM$8,0)</f>
        <v>-0.0</v>
      </c>
      <c r="CKM53" s="5">
        <f>-IFERROR('4. NPV'!CKN23/'4. NPV'!CKN$8,0)</f>
        <v>-0.0</v>
      </c>
      <c r="CKN53" s="5">
        <f>-IFERROR('4. NPV'!CKO23/'4. NPV'!CKO$8,0)</f>
        <v>-0.0</v>
      </c>
      <c r="CKO53" s="5">
        <f>-IFERROR('4. NPV'!CKP23/'4. NPV'!CKP$8,0)</f>
        <v>-0.0</v>
      </c>
      <c r="CKP53" s="5">
        <f>-IFERROR('4. NPV'!CKQ23/'4. NPV'!CKQ$8,0)</f>
        <v>-0.0</v>
      </c>
      <c r="CKQ53" s="5">
        <f>-IFERROR('4. NPV'!CKR23/'4. NPV'!CKR$8,0)</f>
        <v>-0.0</v>
      </c>
      <c r="CKR53" s="5">
        <f>-IFERROR('4. NPV'!CKS23/'4. NPV'!CKS$8,0)</f>
        <v>-0.0</v>
      </c>
      <c r="CKS53" s="5">
        <f>-IFERROR('4. NPV'!CKT23/'4. NPV'!CKT$8,0)</f>
        <v>-0.0</v>
      </c>
      <c r="CKT53" s="5">
        <f>-IFERROR('4. NPV'!CKU23/'4. NPV'!CKU$8,0)</f>
        <v>-0.0</v>
      </c>
      <c r="CKU53" s="5">
        <f>-IFERROR('4. NPV'!CKV23/'4. NPV'!CKV$8,0)</f>
        <v>-0.0</v>
      </c>
      <c r="CKV53" s="5">
        <f>-IFERROR('4. NPV'!CKW23/'4. NPV'!CKW$8,0)</f>
        <v>-0.0</v>
      </c>
      <c r="CKW53" s="5">
        <f>-IFERROR('4. NPV'!CKX23/'4. NPV'!CKX$8,0)</f>
        <v>-0.0</v>
      </c>
      <c r="CKX53" s="5">
        <f>-IFERROR('4. NPV'!CKY23/'4. NPV'!CKY$8,0)</f>
        <v>-0.0</v>
      </c>
      <c r="CKY53" s="5">
        <f>-IFERROR('4. NPV'!CKZ23/'4. NPV'!CKZ$8,0)</f>
        <v>-0.0</v>
      </c>
      <c r="CKZ53" s="5">
        <f>-IFERROR('4. NPV'!CLA23/'4. NPV'!CLA$8,0)</f>
        <v>-0.0</v>
      </c>
      <c r="CLA53" s="5">
        <f>-IFERROR('4. NPV'!CLB23/'4. NPV'!CLB$8,0)</f>
        <v>-0.0</v>
      </c>
      <c r="CLB53" s="5">
        <f>-IFERROR('4. NPV'!CLC23/'4. NPV'!CLC$8,0)</f>
        <v>-0.0</v>
      </c>
      <c r="CLC53" s="5">
        <f>-IFERROR('4. NPV'!CLD23/'4. NPV'!CLD$8,0)</f>
        <v>-0.0</v>
      </c>
      <c r="CLD53" s="5">
        <f>-IFERROR('4. NPV'!CLE23/'4. NPV'!CLE$8,0)</f>
        <v>-0.0</v>
      </c>
      <c r="CLE53" s="5">
        <f>-IFERROR('4. NPV'!CLF23/'4. NPV'!CLF$8,0)</f>
        <v>-0.0</v>
      </c>
      <c r="CLF53" s="5">
        <f>-IFERROR('4. NPV'!CLG23/'4. NPV'!CLG$8,0)</f>
        <v>-0.0</v>
      </c>
      <c r="CLG53" s="5">
        <f>-IFERROR('4. NPV'!CLH23/'4. NPV'!CLH$8,0)</f>
        <v>-0.0</v>
      </c>
      <c r="CLH53" s="5">
        <f>-IFERROR('4. NPV'!CLI23/'4. NPV'!CLI$8,0)</f>
        <v>-0.0</v>
      </c>
      <c r="CLI53" s="5">
        <f>-IFERROR('4. NPV'!CLJ23/'4. NPV'!CLJ$8,0)</f>
        <v>-0.0</v>
      </c>
      <c r="CLJ53" s="5">
        <f>-IFERROR('4. NPV'!CLK23/'4. NPV'!CLK$8,0)</f>
        <v>-0.0</v>
      </c>
      <c r="CLK53" s="5">
        <f>-IFERROR('4. NPV'!CLL23/'4. NPV'!CLL$8,0)</f>
        <v>-0.0</v>
      </c>
      <c r="CLL53" s="5">
        <f>-IFERROR('4. NPV'!CLM23/'4. NPV'!CLM$8,0)</f>
        <v>-0.0</v>
      </c>
      <c r="CLM53" s="5">
        <f>-IFERROR('4. NPV'!CLN23/'4. NPV'!CLN$8,0)</f>
        <v>-0.0</v>
      </c>
      <c r="CLN53" s="5">
        <f>-IFERROR('4. NPV'!CLO23/'4. NPV'!CLO$8,0)</f>
        <v>-0.0</v>
      </c>
      <c r="CLO53" s="5">
        <f>-IFERROR('4. NPV'!CLP23/'4. NPV'!CLP$8,0)</f>
        <v>-0.0</v>
      </c>
      <c r="CLP53" s="5">
        <f>-IFERROR('4. NPV'!CLQ23/'4. NPV'!CLQ$8,0)</f>
        <v>-0.0</v>
      </c>
      <c r="CLQ53" s="5">
        <f>-IFERROR('4. NPV'!CLR23/'4. NPV'!CLR$8,0)</f>
        <v>-0.0</v>
      </c>
      <c r="CLR53" s="5">
        <f>-IFERROR('4. NPV'!CLS23/'4. NPV'!CLS$8,0)</f>
        <v>-0.0</v>
      </c>
      <c r="CLS53" s="5">
        <f>-IFERROR('4. NPV'!CLT23/'4. NPV'!CLT$8,0)</f>
        <v>-0.0</v>
      </c>
      <c r="CLT53" s="5">
        <f>-IFERROR('4. NPV'!CLU23/'4. NPV'!CLU$8,0)</f>
        <v>-0.0</v>
      </c>
      <c r="CLU53" s="5">
        <f>-IFERROR('4. NPV'!CLV23/'4. NPV'!CLV$8,0)</f>
        <v>-0.0</v>
      </c>
      <c r="CLV53" s="5">
        <f>-IFERROR('4. NPV'!CLW23/'4. NPV'!CLW$8,0)</f>
        <v>-0.0</v>
      </c>
      <c r="CLW53" s="5">
        <f>-IFERROR('4. NPV'!CLX23/'4. NPV'!CLX$8,0)</f>
        <v>-0.0</v>
      </c>
      <c r="CLX53" s="5">
        <f>-IFERROR('4. NPV'!CLY23/'4. NPV'!CLY$8,0)</f>
        <v>-0.0</v>
      </c>
      <c r="CLY53" s="5">
        <f>-IFERROR('4. NPV'!CLZ23/'4. NPV'!CLZ$8,0)</f>
        <v>-0.0</v>
      </c>
      <c r="CLZ53" s="5">
        <f>-IFERROR('4. NPV'!CMA23/'4. NPV'!CMA$8,0)</f>
        <v>-0.0</v>
      </c>
      <c r="CMA53" s="5">
        <f>-IFERROR('4. NPV'!CMB23/'4. NPV'!CMB$8,0)</f>
        <v>-0.0</v>
      </c>
      <c r="CMB53" s="5">
        <f>-IFERROR('4. NPV'!CMC23/'4. NPV'!CMC$8,0)</f>
        <v>-0.0</v>
      </c>
      <c r="CMC53" s="5">
        <f>-IFERROR('4. NPV'!CMD23/'4. NPV'!CMD$8,0)</f>
        <v>-0.0</v>
      </c>
      <c r="CMD53" s="5">
        <f>-IFERROR('4. NPV'!CME23/'4. NPV'!CME$8,0)</f>
        <v>-0.0</v>
      </c>
      <c r="CME53" s="5">
        <f>-IFERROR('4. NPV'!CMF23/'4. NPV'!CMF$8,0)</f>
        <v>-0.0</v>
      </c>
      <c r="CMF53" s="5">
        <f>-IFERROR('4. NPV'!CMG23/'4. NPV'!CMG$8,0)</f>
        <v>-0.0</v>
      </c>
      <c r="CMG53" s="5">
        <f>-IFERROR('4. NPV'!CMH23/'4. NPV'!CMH$8,0)</f>
        <v>-0.0</v>
      </c>
      <c r="CMH53" s="5">
        <f>-IFERROR('4. NPV'!CMI23/'4. NPV'!CMI$8,0)</f>
        <v>-0.0</v>
      </c>
      <c r="CMI53" s="5">
        <f>-IFERROR('4. NPV'!CMJ23/'4. NPV'!CMJ$8,0)</f>
        <v>-0.0</v>
      </c>
      <c r="CMJ53" s="5">
        <f>-IFERROR('4. NPV'!CMK23/'4. NPV'!CMK$8,0)</f>
        <v>-0.0</v>
      </c>
      <c r="CMK53" s="5">
        <f>-IFERROR('4. NPV'!CML23/'4. NPV'!CML$8,0)</f>
        <v>-0.0</v>
      </c>
      <c r="CML53" s="5">
        <f>-IFERROR('4. NPV'!CMM23/'4. NPV'!CMM$8,0)</f>
        <v>-0.0</v>
      </c>
      <c r="CMM53" s="5">
        <f>-IFERROR('4. NPV'!CMN23/'4. NPV'!CMN$8,0)</f>
        <v>-0.0</v>
      </c>
      <c r="CMN53" s="5">
        <f>-IFERROR('4. NPV'!CMO23/'4. NPV'!CMO$8,0)</f>
        <v>-0.0</v>
      </c>
      <c r="CMO53" s="5">
        <f>-IFERROR('4. NPV'!CMP23/'4. NPV'!CMP$8,0)</f>
        <v>-0.0</v>
      </c>
      <c r="CMP53" s="5">
        <f>-IFERROR('4. NPV'!CMQ23/'4. NPV'!CMQ$8,0)</f>
        <v>-0.0</v>
      </c>
      <c r="CMQ53" s="5">
        <f>-IFERROR('4. NPV'!CMR23/'4. NPV'!CMR$8,0)</f>
        <v>-0.0</v>
      </c>
      <c r="CMR53" s="5">
        <f>-IFERROR('4. NPV'!CMS23/'4. NPV'!CMS$8,0)</f>
        <v>-0.0</v>
      </c>
      <c r="CMS53" s="5">
        <f>-IFERROR('4. NPV'!CMT23/'4. NPV'!CMT$8,0)</f>
        <v>-0.0</v>
      </c>
      <c r="CMT53" s="5">
        <f>-IFERROR('4. NPV'!CMU23/'4. NPV'!CMU$8,0)</f>
        <v>-0.0</v>
      </c>
      <c r="CMU53" s="5">
        <f>-IFERROR('4. NPV'!CMV23/'4. NPV'!CMV$8,0)</f>
        <v>-0.0</v>
      </c>
      <c r="CMV53" s="5">
        <f>-IFERROR('4. NPV'!CMW23/'4. NPV'!CMW$8,0)</f>
        <v>-0.0</v>
      </c>
      <c r="CMW53" s="5">
        <f>-IFERROR('4. NPV'!CMX23/'4. NPV'!CMX$8,0)</f>
        <v>-0.0</v>
      </c>
      <c r="CMX53" s="5">
        <f>-IFERROR('4. NPV'!CMY23/'4. NPV'!CMY$8,0)</f>
        <v>-0.0</v>
      </c>
      <c r="CMY53" s="5">
        <f>-IFERROR('4. NPV'!CMZ23/'4. NPV'!CMZ$8,0)</f>
        <v>-0.0</v>
      </c>
      <c r="CMZ53" s="5">
        <f>-IFERROR('4. NPV'!CNA23/'4. NPV'!CNA$8,0)</f>
        <v>-0.0</v>
      </c>
      <c r="CNA53" s="5">
        <f>-IFERROR('4. NPV'!CNB23/'4. NPV'!CNB$8,0)</f>
        <v>-0.0</v>
      </c>
      <c r="CNB53" s="5">
        <f>-IFERROR('4. NPV'!CNC23/'4. NPV'!CNC$8,0)</f>
        <v>-0.0</v>
      </c>
      <c r="CNC53" s="5">
        <f>-IFERROR('4. NPV'!CND23/'4. NPV'!CND$8,0)</f>
        <v>-0.0</v>
      </c>
      <c r="CND53" s="5">
        <f>-IFERROR('4. NPV'!CNE23/'4. NPV'!CNE$8,0)</f>
        <v>-0.0</v>
      </c>
      <c r="CNE53" s="5">
        <f>-IFERROR('4. NPV'!CNF23/'4. NPV'!CNF$8,0)</f>
        <v>-0.0</v>
      </c>
      <c r="CNF53" s="5">
        <f>-IFERROR('4. NPV'!CNG23/'4. NPV'!CNG$8,0)</f>
        <v>-0.0</v>
      </c>
      <c r="CNG53" s="5">
        <f>-IFERROR('4. NPV'!CNH23/'4. NPV'!CNH$8,0)</f>
        <v>-0.0</v>
      </c>
      <c r="CNH53" s="5">
        <f>-IFERROR('4. NPV'!CNI23/'4. NPV'!CNI$8,0)</f>
        <v>-0.0</v>
      </c>
      <c r="CNI53" s="5">
        <f>-IFERROR('4. NPV'!CNJ23/'4. NPV'!CNJ$8,0)</f>
        <v>-0.0</v>
      </c>
      <c r="CNJ53" s="5">
        <f>-IFERROR('4. NPV'!CNK23/'4. NPV'!CNK$8,0)</f>
        <v>-0.0</v>
      </c>
      <c r="CNK53" s="5">
        <f>-IFERROR('4. NPV'!CNL23/'4. NPV'!CNL$8,0)</f>
        <v>-0.0</v>
      </c>
      <c r="CNL53" s="5">
        <f>-IFERROR('4. NPV'!CNM23/'4. NPV'!CNM$8,0)</f>
        <v>-0.0</v>
      </c>
      <c r="CNM53" s="5">
        <f>-IFERROR('4. NPV'!CNN23/'4. NPV'!CNN$8,0)</f>
        <v>-0.0</v>
      </c>
      <c r="CNN53" s="5">
        <f>-IFERROR('4. NPV'!CNO23/'4. NPV'!CNO$8,0)</f>
        <v>-0.0</v>
      </c>
      <c r="CNO53" s="5">
        <f>-IFERROR('4. NPV'!CNP23/'4. NPV'!CNP$8,0)</f>
        <v>-0.0</v>
      </c>
      <c r="CNP53" s="5">
        <f>-IFERROR('4. NPV'!CNQ23/'4. NPV'!CNQ$8,0)</f>
        <v>-0.0</v>
      </c>
      <c r="CNQ53" s="5">
        <f>-IFERROR('4. NPV'!CNR23/'4. NPV'!CNR$8,0)</f>
        <v>-0.0</v>
      </c>
      <c r="CNR53" s="5">
        <f>-IFERROR('4. NPV'!CNS23/'4. NPV'!CNS$8,0)</f>
        <v>-0.0</v>
      </c>
      <c r="CNS53" s="5">
        <f>-IFERROR('4. NPV'!CNT23/'4. NPV'!CNT$8,0)</f>
        <v>-0.0</v>
      </c>
      <c r="CNT53" s="5">
        <f>-IFERROR('4. NPV'!CNU23/'4. NPV'!CNU$8,0)</f>
        <v>-0.0</v>
      </c>
      <c r="CNU53" s="5">
        <f>-IFERROR('4. NPV'!CNV23/'4. NPV'!CNV$8,0)</f>
        <v>-0.0</v>
      </c>
      <c r="CNV53" s="5">
        <f>-IFERROR('4. NPV'!CNW23/'4. NPV'!CNW$8,0)</f>
        <v>-0.0</v>
      </c>
      <c r="CNW53" s="5">
        <f>-IFERROR('4. NPV'!CNX23/'4. NPV'!CNX$8,0)</f>
        <v>-0.0</v>
      </c>
      <c r="CNX53" s="5">
        <f>-IFERROR('4. NPV'!CNY23/'4. NPV'!CNY$8,0)</f>
        <v>-0.0</v>
      </c>
      <c r="CNY53" s="5">
        <f>-IFERROR('4. NPV'!CNZ23/'4. NPV'!CNZ$8,0)</f>
        <v>-0.0</v>
      </c>
      <c r="CNZ53" s="5">
        <f>-IFERROR('4. NPV'!COA23/'4. NPV'!COA$8,0)</f>
        <v>-0.0</v>
      </c>
      <c r="COA53" s="5">
        <f>-IFERROR('4. NPV'!COB23/'4. NPV'!COB$8,0)</f>
        <v>-0.0</v>
      </c>
      <c r="COB53" s="5">
        <f>-IFERROR('4. NPV'!COC23/'4. NPV'!COC$8,0)</f>
        <v>-0.0</v>
      </c>
      <c r="COC53" s="5">
        <f>-IFERROR('4. NPV'!COD23/'4. NPV'!COD$8,0)</f>
        <v>-0.0</v>
      </c>
      <c r="COD53" s="5">
        <f>-IFERROR('4. NPV'!COE23/'4. NPV'!COE$8,0)</f>
        <v>-0.0</v>
      </c>
      <c r="COE53" s="5">
        <f>-IFERROR('4. NPV'!COF23/'4. NPV'!COF$8,0)</f>
        <v>-0.0</v>
      </c>
      <c r="COF53" s="5">
        <f>-IFERROR('4. NPV'!COG23/'4. NPV'!COG$8,0)</f>
        <v>-0.0</v>
      </c>
      <c r="COG53" s="5">
        <f>-IFERROR('4. NPV'!COH23/'4. NPV'!COH$8,0)</f>
        <v>-0.0</v>
      </c>
      <c r="COH53" s="5">
        <f>-IFERROR('4. NPV'!COI23/'4. NPV'!COI$8,0)</f>
        <v>-0.0</v>
      </c>
      <c r="COI53" s="5">
        <f>-IFERROR('4. NPV'!COJ23/'4. NPV'!COJ$8,0)</f>
        <v>-0.0</v>
      </c>
      <c r="COJ53" s="5">
        <f>-IFERROR('4. NPV'!COK23/'4. NPV'!COK$8,0)</f>
        <v>-0.0</v>
      </c>
      <c r="COK53" s="5">
        <f>-IFERROR('4. NPV'!COL23/'4. NPV'!COL$8,0)</f>
        <v>-0.0</v>
      </c>
      <c r="COL53" s="5">
        <f>-IFERROR('4. NPV'!COM23/'4. NPV'!COM$8,0)</f>
        <v>-0.0</v>
      </c>
      <c r="COM53" s="5">
        <f>-IFERROR('4. NPV'!CON23/'4. NPV'!CON$8,0)</f>
        <v>-0.0</v>
      </c>
      <c r="CON53" s="5">
        <f>-IFERROR('4. NPV'!COO23/'4. NPV'!COO$8,0)</f>
        <v>-0.0</v>
      </c>
      <c r="COO53" s="5">
        <f>-IFERROR('4. NPV'!COP23/'4. NPV'!COP$8,0)</f>
        <v>-0.0</v>
      </c>
      <c r="COP53" s="5">
        <f>-IFERROR('4. NPV'!COQ23/'4. NPV'!COQ$8,0)</f>
        <v>-0.0</v>
      </c>
      <c r="COQ53" s="5">
        <f>-IFERROR('4. NPV'!COR23/'4. NPV'!COR$8,0)</f>
        <v>-0.0</v>
      </c>
      <c r="COR53" s="5">
        <f>-IFERROR('4. NPV'!COS23/'4. NPV'!COS$8,0)</f>
        <v>-0.0</v>
      </c>
      <c r="COS53" s="5">
        <f>-IFERROR('4. NPV'!COT23/'4. NPV'!COT$8,0)</f>
        <v>-0.0</v>
      </c>
      <c r="COT53" s="5">
        <f>-IFERROR('4. NPV'!COU23/'4. NPV'!COU$8,0)</f>
        <v>-0.0</v>
      </c>
      <c r="COU53" s="5">
        <f>-IFERROR('4. NPV'!COV23/'4. NPV'!COV$8,0)</f>
        <v>-0.0</v>
      </c>
      <c r="COV53" s="5">
        <f>-IFERROR('4. NPV'!COW23/'4. NPV'!COW$8,0)</f>
        <v>-0.0</v>
      </c>
      <c r="COW53" s="5">
        <f>-IFERROR('4. NPV'!COX23/'4. NPV'!COX$8,0)</f>
        <v>-0.0</v>
      </c>
      <c r="COX53" s="5">
        <f>-IFERROR('4. NPV'!COY23/'4. NPV'!COY$8,0)</f>
        <v>-0.0</v>
      </c>
      <c r="COY53" s="5">
        <f>-IFERROR('4. NPV'!COZ23/'4. NPV'!COZ$8,0)</f>
        <v>-0.0</v>
      </c>
      <c r="COZ53" s="5">
        <f>-IFERROR('4. NPV'!CPA23/'4. NPV'!CPA$8,0)</f>
        <v>-0.0</v>
      </c>
      <c r="CPA53" s="5">
        <f>-IFERROR('4. NPV'!CPB23/'4. NPV'!CPB$8,0)</f>
        <v>-0.0</v>
      </c>
      <c r="CPB53" s="5">
        <f>-IFERROR('4. NPV'!CPC23/'4. NPV'!CPC$8,0)</f>
        <v>-0.0</v>
      </c>
      <c r="CPC53" s="5">
        <f>-IFERROR('4. NPV'!CPD23/'4. NPV'!CPD$8,0)</f>
        <v>-0.0</v>
      </c>
      <c r="CPD53" s="5">
        <f>-IFERROR('4. NPV'!CPE23/'4. NPV'!CPE$8,0)</f>
        <v>-0.0</v>
      </c>
      <c r="CPE53" s="5">
        <f>-IFERROR('4. NPV'!CPF23/'4. NPV'!CPF$8,0)</f>
        <v>-0.0</v>
      </c>
      <c r="CPF53" s="5">
        <f>-IFERROR('4. NPV'!CPG23/'4. NPV'!CPG$8,0)</f>
        <v>-0.0</v>
      </c>
      <c r="CPG53" s="5">
        <f>-IFERROR('4. NPV'!CPH23/'4. NPV'!CPH$8,0)</f>
        <v>-0.0</v>
      </c>
      <c r="CPH53" s="5">
        <f>-IFERROR('4. NPV'!CPI23/'4. NPV'!CPI$8,0)</f>
        <v>-0.0</v>
      </c>
      <c r="CPI53" s="5">
        <f>-IFERROR('4. NPV'!CPJ23/'4. NPV'!CPJ$8,0)</f>
        <v>-0.0</v>
      </c>
      <c r="CPJ53" s="5">
        <f>-IFERROR('4. NPV'!CPK23/'4. NPV'!CPK$8,0)</f>
        <v>-0.0</v>
      </c>
      <c r="CPK53" s="5">
        <f>-IFERROR('4. NPV'!CPL23/'4. NPV'!CPL$8,0)</f>
        <v>-0.0</v>
      </c>
      <c r="CPL53" s="5">
        <f>-IFERROR('4. NPV'!CPM23/'4. NPV'!CPM$8,0)</f>
        <v>-0.0</v>
      </c>
      <c r="CPM53" s="5">
        <f>-IFERROR('4. NPV'!CPN23/'4. NPV'!CPN$8,0)</f>
        <v>-0.0</v>
      </c>
      <c r="CPN53" s="5">
        <f>-IFERROR('4. NPV'!CPO23/'4. NPV'!CPO$8,0)</f>
        <v>-0.0</v>
      </c>
      <c r="CPO53" s="5">
        <f>-IFERROR('4. NPV'!CPP23/'4. NPV'!CPP$8,0)</f>
        <v>-0.0</v>
      </c>
      <c r="CPP53" s="5">
        <f>-IFERROR('4. NPV'!CPQ23/'4. NPV'!CPQ$8,0)</f>
        <v>-0.0</v>
      </c>
      <c r="CPQ53" s="5">
        <f>-IFERROR('4. NPV'!CPR23/'4. NPV'!CPR$8,0)</f>
        <v>-0.0</v>
      </c>
      <c r="CPR53" s="5">
        <f>-IFERROR('4. NPV'!CPS23/'4. NPV'!CPS$8,0)</f>
        <v>-0.0</v>
      </c>
      <c r="CPS53" s="5">
        <f>-IFERROR('4. NPV'!CPT23/'4. NPV'!CPT$8,0)</f>
        <v>-0.0</v>
      </c>
      <c r="CPT53" s="5">
        <f>-IFERROR('4. NPV'!CPU23/'4. NPV'!CPU$8,0)</f>
        <v>-0.0</v>
      </c>
      <c r="CPU53" s="5">
        <f>-IFERROR('4. NPV'!CPV23/'4. NPV'!CPV$8,0)</f>
        <v>-0.0</v>
      </c>
      <c r="CPV53" s="5">
        <f>-IFERROR('4. NPV'!CPW23/'4. NPV'!CPW$8,0)</f>
        <v>-0.0</v>
      </c>
      <c r="CPW53" s="5">
        <f>-IFERROR('4. NPV'!CPX23/'4. NPV'!CPX$8,0)</f>
        <v>-0.0</v>
      </c>
      <c r="CPX53" s="5">
        <f>-IFERROR('4. NPV'!CPY23/'4. NPV'!CPY$8,0)</f>
        <v>-0.0</v>
      </c>
      <c r="CPY53" s="5">
        <f>-IFERROR('4. NPV'!CPZ23/'4. NPV'!CPZ$8,0)</f>
        <v>-0.0</v>
      </c>
      <c r="CPZ53" s="5">
        <f>-IFERROR('4. NPV'!CQA23/'4. NPV'!CQA$8,0)</f>
        <v>-0.0</v>
      </c>
      <c r="CQA53" s="5">
        <f>-IFERROR('4. NPV'!CQB23/'4. NPV'!CQB$8,0)</f>
        <v>-0.0</v>
      </c>
      <c r="CQB53" s="5">
        <f>-IFERROR('4. NPV'!CQC23/'4. NPV'!CQC$8,0)</f>
        <v>-0.0</v>
      </c>
      <c r="CQC53" s="5">
        <f>-IFERROR('4. NPV'!CQD23/'4. NPV'!CQD$8,0)</f>
        <v>-0.0</v>
      </c>
      <c r="CQD53" s="5">
        <f>-IFERROR('4. NPV'!CQE23/'4. NPV'!CQE$8,0)</f>
        <v>-0.0</v>
      </c>
      <c r="CQE53" s="5">
        <f>-IFERROR('4. NPV'!CQF23/'4. NPV'!CQF$8,0)</f>
        <v>-0.0</v>
      </c>
      <c r="CQF53" s="5">
        <f>-IFERROR('4. NPV'!CQG23/'4. NPV'!CQG$8,0)</f>
        <v>-0.0</v>
      </c>
      <c r="CQG53" s="5">
        <f>-IFERROR('4. NPV'!CQH23/'4. NPV'!CQH$8,0)</f>
        <v>-0.0</v>
      </c>
      <c r="CQH53" s="5">
        <f>-IFERROR('4. NPV'!CQI23/'4. NPV'!CQI$8,0)</f>
        <v>-0.0</v>
      </c>
      <c r="CQI53" s="5">
        <f>-IFERROR('4. NPV'!CQJ23/'4. NPV'!CQJ$8,0)</f>
        <v>-0.0</v>
      </c>
      <c r="CQJ53" s="5">
        <f>-IFERROR('4. NPV'!CQK23/'4. NPV'!CQK$8,0)</f>
        <v>-0.0</v>
      </c>
      <c r="CQK53" s="5">
        <f>-IFERROR('4. NPV'!CQL23/'4. NPV'!CQL$8,0)</f>
        <v>-0.0</v>
      </c>
      <c r="CQL53" s="5">
        <f>-IFERROR('4. NPV'!CQM23/'4. NPV'!CQM$8,0)</f>
        <v>-0.0</v>
      </c>
      <c r="CQM53" s="5">
        <f>-IFERROR('4. NPV'!CQN23/'4. NPV'!CQN$8,0)</f>
        <v>-0.0</v>
      </c>
      <c r="CQN53" s="5">
        <f>-IFERROR('4. NPV'!CQO23/'4. NPV'!CQO$8,0)</f>
        <v>-0.0</v>
      </c>
      <c r="CQO53" s="5">
        <f>-IFERROR('4. NPV'!CQP23/'4. NPV'!CQP$8,0)</f>
        <v>-0.0</v>
      </c>
      <c r="CQP53" s="5">
        <f>-IFERROR('4. NPV'!CQQ23/'4. NPV'!CQQ$8,0)</f>
        <v>-0.0</v>
      </c>
      <c r="CQQ53" s="5">
        <f>-IFERROR('4. NPV'!CQR23/'4. NPV'!CQR$8,0)</f>
        <v>-0.0</v>
      </c>
      <c r="CQR53" s="5">
        <f>-IFERROR('4. NPV'!CQS23/'4. NPV'!CQS$8,0)</f>
        <v>-0.0</v>
      </c>
      <c r="CQS53" s="5">
        <f>-IFERROR('4. NPV'!CQT23/'4. NPV'!CQT$8,0)</f>
        <v>-0.0</v>
      </c>
      <c r="CQT53" s="5">
        <f>-IFERROR('4. NPV'!CQU23/'4. NPV'!CQU$8,0)</f>
        <v>-0.0</v>
      </c>
      <c r="CQU53" s="5">
        <f>-IFERROR('4. NPV'!CQV23/'4. NPV'!CQV$8,0)</f>
        <v>-0.0</v>
      </c>
      <c r="CQV53" s="5">
        <f>-IFERROR('4. NPV'!CQW23/'4. NPV'!CQW$8,0)</f>
        <v>-0.0</v>
      </c>
      <c r="CQW53" s="5">
        <f>-IFERROR('4. NPV'!CQX23/'4. NPV'!CQX$8,0)</f>
        <v>-0.0</v>
      </c>
      <c r="CQX53" s="5">
        <f>-IFERROR('4. NPV'!CQY23/'4. NPV'!CQY$8,0)</f>
        <v>-0.0</v>
      </c>
      <c r="CQY53" s="5">
        <f>-IFERROR('4. NPV'!CQZ23/'4. NPV'!CQZ$8,0)</f>
        <v>-0.0</v>
      </c>
      <c r="CQZ53" s="5">
        <f>-IFERROR('4. NPV'!CRA23/'4. NPV'!CRA$8,0)</f>
        <v>-0.0</v>
      </c>
      <c r="CRA53" s="5">
        <f>-IFERROR('4. NPV'!CRB23/'4. NPV'!CRB$8,0)</f>
        <v>-0.0</v>
      </c>
      <c r="CRB53" s="5">
        <f>-IFERROR('4. NPV'!CRC23/'4. NPV'!CRC$8,0)</f>
        <v>-0.0</v>
      </c>
      <c r="CRC53" s="5">
        <f>-IFERROR('4. NPV'!CRD23/'4. NPV'!CRD$8,0)</f>
        <v>-0.0</v>
      </c>
      <c r="CRD53" s="5">
        <f>-IFERROR('4. NPV'!CRE23/'4. NPV'!CRE$8,0)</f>
        <v>-0.0</v>
      </c>
      <c r="CRE53" s="5">
        <f>-IFERROR('4. NPV'!CRF23/'4. NPV'!CRF$8,0)</f>
        <v>-0.0</v>
      </c>
      <c r="CRF53" s="5">
        <f>-IFERROR('4. NPV'!CRG23/'4. NPV'!CRG$8,0)</f>
        <v>-0.0</v>
      </c>
      <c r="CRG53" s="5">
        <f>-IFERROR('4. NPV'!CRH23/'4. NPV'!CRH$8,0)</f>
        <v>-0.0</v>
      </c>
      <c r="CRH53" s="5">
        <f>-IFERROR('4. NPV'!CRI23/'4. NPV'!CRI$8,0)</f>
        <v>-0.0</v>
      </c>
      <c r="CRI53" s="5">
        <f>-IFERROR('4. NPV'!CRJ23/'4. NPV'!CRJ$8,0)</f>
        <v>-0.0</v>
      </c>
      <c r="CRJ53" s="5">
        <f>-IFERROR('4. NPV'!CRK23/'4. NPV'!CRK$8,0)</f>
        <v>-0.0</v>
      </c>
      <c r="CRK53" s="5">
        <f>-IFERROR('4. NPV'!CRL23/'4. NPV'!CRL$8,0)</f>
        <v>-0.0</v>
      </c>
      <c r="CRL53" s="5">
        <f>-IFERROR('4. NPV'!CRM23/'4. NPV'!CRM$8,0)</f>
        <v>-0.0</v>
      </c>
      <c r="CRM53" s="5">
        <f>-IFERROR('4. NPV'!CRN23/'4. NPV'!CRN$8,0)</f>
        <v>-0.0</v>
      </c>
      <c r="CRN53" s="5">
        <f>-IFERROR('4. NPV'!CRO23/'4. NPV'!CRO$8,0)</f>
        <v>-0.0</v>
      </c>
      <c r="CRO53" s="5">
        <f>-IFERROR('4. NPV'!CRP23/'4. NPV'!CRP$8,0)</f>
        <v>-0.0</v>
      </c>
      <c r="CRP53" s="5">
        <f>-IFERROR('4. NPV'!CRQ23/'4. NPV'!CRQ$8,0)</f>
        <v>-0.0</v>
      </c>
      <c r="CRQ53" s="5">
        <f>-IFERROR('4. NPV'!CRR23/'4. NPV'!CRR$8,0)</f>
        <v>-0.0</v>
      </c>
      <c r="CRR53" s="5">
        <f>-IFERROR('4. NPV'!CRS23/'4. NPV'!CRS$8,0)</f>
        <v>-0.0</v>
      </c>
      <c r="CRS53" s="5">
        <f>-IFERROR('4. NPV'!CRT23/'4. NPV'!CRT$8,0)</f>
        <v>-0.0</v>
      </c>
      <c r="CRT53" s="5">
        <f>-IFERROR('4. NPV'!CRU23/'4. NPV'!CRU$8,0)</f>
        <v>-0.0</v>
      </c>
      <c r="CRU53" s="5">
        <f>-IFERROR('4. NPV'!CRV23/'4. NPV'!CRV$8,0)</f>
        <v>-0.0</v>
      </c>
      <c r="CRV53" s="5">
        <f>-IFERROR('4. NPV'!CRW23/'4. NPV'!CRW$8,0)</f>
        <v>-0.0</v>
      </c>
      <c r="CRW53" s="5">
        <f>-IFERROR('4. NPV'!CRX23/'4. NPV'!CRX$8,0)</f>
        <v>-0.0</v>
      </c>
      <c r="CRX53" s="5">
        <f>-IFERROR('4. NPV'!CRY23/'4. NPV'!CRY$8,0)</f>
        <v>-0.0</v>
      </c>
      <c r="CRY53" s="5">
        <f>-IFERROR('4. NPV'!CRZ23/'4. NPV'!CRZ$8,0)</f>
        <v>-0.0</v>
      </c>
      <c r="CRZ53" s="5">
        <f>-IFERROR('4. NPV'!CSA23/'4. NPV'!CSA$8,0)</f>
        <v>-0.0</v>
      </c>
      <c r="CSA53" s="5">
        <f>-IFERROR('4. NPV'!CSB23/'4. NPV'!CSB$8,0)</f>
        <v>-0.0</v>
      </c>
      <c r="CSB53" s="5">
        <f>-IFERROR('4. NPV'!CSC23/'4. NPV'!CSC$8,0)</f>
        <v>-0.0</v>
      </c>
      <c r="CSC53" s="5">
        <f>-IFERROR('4. NPV'!CSD23/'4. NPV'!CSD$8,0)</f>
        <v>-0.0</v>
      </c>
      <c r="CSD53" s="5">
        <f>-IFERROR('4. NPV'!CSE23/'4. NPV'!CSE$8,0)</f>
        <v>-0.0</v>
      </c>
      <c r="CSE53" s="5">
        <f>-IFERROR('4. NPV'!CSF23/'4. NPV'!CSF$8,0)</f>
        <v>-0.0</v>
      </c>
      <c r="CSF53" s="5">
        <f>-IFERROR('4. NPV'!CSG23/'4. NPV'!CSG$8,0)</f>
        <v>-0.0</v>
      </c>
      <c r="CSG53" s="5">
        <f>-IFERROR('4. NPV'!CSH23/'4. NPV'!CSH$8,0)</f>
        <v>-0.0</v>
      </c>
      <c r="CSH53" s="5">
        <f>-IFERROR('4. NPV'!CSI23/'4. NPV'!CSI$8,0)</f>
        <v>-0.0</v>
      </c>
      <c r="CSI53" s="5">
        <f>-IFERROR('4. NPV'!CSJ23/'4. NPV'!CSJ$8,0)</f>
        <v>-0.0</v>
      </c>
      <c r="CSJ53" s="5">
        <f>-IFERROR('4. NPV'!CSK23/'4. NPV'!CSK$8,0)</f>
        <v>-0.0</v>
      </c>
      <c r="CSK53" s="5">
        <f>-IFERROR('4. NPV'!CSL23/'4. NPV'!CSL$8,0)</f>
        <v>-0.0</v>
      </c>
      <c r="CSL53" s="5">
        <f>-IFERROR('4. NPV'!CSM23/'4. NPV'!CSM$8,0)</f>
        <v>-0.0</v>
      </c>
      <c r="CSM53" s="5">
        <f>-IFERROR('4. NPV'!CSN23/'4. NPV'!CSN$8,0)</f>
        <v>-0.0</v>
      </c>
      <c r="CSN53" s="5">
        <f>-IFERROR('4. NPV'!CSO23/'4. NPV'!CSO$8,0)</f>
        <v>-0.0</v>
      </c>
      <c r="CSO53" s="5">
        <f>-IFERROR('4. NPV'!CSP23/'4. NPV'!CSP$8,0)</f>
        <v>-0.0</v>
      </c>
      <c r="CSP53" s="5">
        <f>-IFERROR('4. NPV'!CSQ23/'4. NPV'!CSQ$8,0)</f>
        <v>-0.0</v>
      </c>
      <c r="CSQ53" s="5">
        <f>-IFERROR('4. NPV'!CSR23/'4. NPV'!CSR$8,0)</f>
        <v>-0.0</v>
      </c>
      <c r="CSR53" s="5">
        <f>-IFERROR('4. NPV'!CSS23/'4. NPV'!CSS$8,0)</f>
        <v>-0.0</v>
      </c>
      <c r="CSS53" s="5">
        <f>-IFERROR('4. NPV'!CST23/'4. NPV'!CST$8,0)</f>
        <v>-0.0</v>
      </c>
      <c r="CST53" s="5">
        <f>-IFERROR('4. NPV'!CSU23/'4. NPV'!CSU$8,0)</f>
        <v>-0.0</v>
      </c>
      <c r="CSU53" s="5">
        <f>-IFERROR('4. NPV'!CSV23/'4. NPV'!CSV$8,0)</f>
        <v>-0.0</v>
      </c>
      <c r="CSV53" s="5">
        <f>-IFERROR('4. NPV'!CSW23/'4. NPV'!CSW$8,0)</f>
        <v>-0.0</v>
      </c>
      <c r="CSW53" s="5">
        <f>-IFERROR('4. NPV'!CSX23/'4. NPV'!CSX$8,0)</f>
        <v>-0.0</v>
      </c>
      <c r="CSX53" s="5">
        <f>-IFERROR('4. NPV'!CSY23/'4. NPV'!CSY$8,0)</f>
        <v>-0.0</v>
      </c>
      <c r="CSY53" s="5">
        <f>-IFERROR('4. NPV'!CSZ23/'4. NPV'!CSZ$8,0)</f>
        <v>-0.0</v>
      </c>
      <c r="CSZ53" s="5">
        <f>-IFERROR('4. NPV'!CTA23/'4. NPV'!CTA$8,0)</f>
        <v>-0.0</v>
      </c>
      <c r="CTA53" s="5">
        <f>-IFERROR('4. NPV'!CTB23/'4. NPV'!CTB$8,0)</f>
        <v>-0.0</v>
      </c>
      <c r="CTB53" s="5">
        <f>-IFERROR('4. NPV'!CTC23/'4. NPV'!CTC$8,0)</f>
        <v>-0.0</v>
      </c>
      <c r="CTC53" s="5">
        <f>-IFERROR('4. NPV'!CTD23/'4. NPV'!CTD$8,0)</f>
        <v>-0.0</v>
      </c>
      <c r="CTD53" s="5">
        <f>-IFERROR('4. NPV'!CTE23/'4. NPV'!CTE$8,0)</f>
        <v>-0.0</v>
      </c>
      <c r="CTE53" s="5">
        <f>-IFERROR('4. NPV'!CTF23/'4. NPV'!CTF$8,0)</f>
        <v>-0.0</v>
      </c>
      <c r="CTF53" s="5">
        <f>-IFERROR('4. NPV'!CTG23/'4. NPV'!CTG$8,0)</f>
        <v>-0.0</v>
      </c>
      <c r="CTG53" s="5">
        <f>-IFERROR('4. NPV'!CTH23/'4. NPV'!CTH$8,0)</f>
        <v>-0.0</v>
      </c>
      <c r="CTH53" s="5">
        <f>-IFERROR('4. NPV'!CTI23/'4. NPV'!CTI$8,0)</f>
        <v>-0.0</v>
      </c>
      <c r="CTI53" s="5">
        <f>-IFERROR('4. NPV'!CTJ23/'4. NPV'!CTJ$8,0)</f>
        <v>-0.0</v>
      </c>
      <c r="CTJ53" s="5">
        <f>-IFERROR('4. NPV'!CTK23/'4. NPV'!CTK$8,0)</f>
        <v>-0.0</v>
      </c>
      <c r="CTK53" s="5">
        <f>-IFERROR('4. NPV'!CTL23/'4. NPV'!CTL$8,0)</f>
        <v>-0.0</v>
      </c>
      <c r="CTL53" s="5">
        <f>-IFERROR('4. NPV'!CTM23/'4. NPV'!CTM$8,0)</f>
        <v>-0.0</v>
      </c>
      <c r="CTM53" s="5">
        <f>-IFERROR('4. NPV'!CTN23/'4. NPV'!CTN$8,0)</f>
        <v>-0.0</v>
      </c>
      <c r="CTN53" s="5">
        <f>-IFERROR('4. NPV'!CTO23/'4. NPV'!CTO$8,0)</f>
        <v>-0.0</v>
      </c>
      <c r="CTO53" s="5">
        <f>-IFERROR('4. NPV'!CTP23/'4. NPV'!CTP$8,0)</f>
        <v>-0.0</v>
      </c>
      <c r="CTP53" s="5">
        <f>-IFERROR('4. NPV'!CTQ23/'4. NPV'!CTQ$8,0)</f>
        <v>-0.0</v>
      </c>
      <c r="CTQ53" s="5">
        <f>-IFERROR('4. NPV'!CTR23/'4. NPV'!CTR$8,0)</f>
        <v>-0.0</v>
      </c>
      <c r="CTR53" s="5">
        <f>-IFERROR('4. NPV'!CTS23/'4. NPV'!CTS$8,0)</f>
        <v>-0.0</v>
      </c>
      <c r="CTS53" s="5">
        <f>-IFERROR('4. NPV'!CTT23/'4. NPV'!CTT$8,0)</f>
        <v>-0.0</v>
      </c>
      <c r="CTT53" s="5">
        <f>-IFERROR('4. NPV'!CTU23/'4. NPV'!CTU$8,0)</f>
        <v>-0.0</v>
      </c>
      <c r="CTU53" s="5">
        <f>-IFERROR('4. NPV'!CTV23/'4. NPV'!CTV$8,0)</f>
        <v>-0.0</v>
      </c>
      <c r="CTV53" s="5">
        <f>-IFERROR('4. NPV'!CTW23/'4. NPV'!CTW$8,0)</f>
        <v>-0.0</v>
      </c>
      <c r="CTW53" s="5">
        <f>-IFERROR('4. NPV'!CTX23/'4. NPV'!CTX$8,0)</f>
        <v>-0.0</v>
      </c>
      <c r="CTX53" s="5">
        <f>-IFERROR('4. NPV'!CTY23/'4. NPV'!CTY$8,0)</f>
        <v>-0.0</v>
      </c>
      <c r="CTY53" s="5">
        <f>-IFERROR('4. NPV'!CTZ23/'4. NPV'!CTZ$8,0)</f>
        <v>-0.0</v>
      </c>
      <c r="CTZ53" s="5">
        <f>-IFERROR('4. NPV'!CUA23/'4. NPV'!CUA$8,0)</f>
        <v>-0.0</v>
      </c>
      <c r="CUA53" s="5">
        <f>-IFERROR('4. NPV'!CUB23/'4. NPV'!CUB$8,0)</f>
        <v>-0.0</v>
      </c>
      <c r="CUB53" s="5">
        <f>-IFERROR('4. NPV'!CUC23/'4. NPV'!CUC$8,0)</f>
        <v>-0.0</v>
      </c>
      <c r="CUC53" s="5">
        <f>-IFERROR('4. NPV'!CUD23/'4. NPV'!CUD$8,0)</f>
        <v>-0.0</v>
      </c>
      <c r="CUD53" s="5">
        <f>-IFERROR('4. NPV'!CUE23/'4. NPV'!CUE$8,0)</f>
        <v>-0.0</v>
      </c>
      <c r="CUE53" s="5">
        <f>-IFERROR('4. NPV'!CUF23/'4. NPV'!CUF$8,0)</f>
        <v>-0.0</v>
      </c>
      <c r="CUF53" s="5">
        <f>-IFERROR('4. NPV'!CUG23/'4. NPV'!CUG$8,0)</f>
        <v>-0.0</v>
      </c>
      <c r="CUG53" s="5">
        <f>-IFERROR('4. NPV'!CUH23/'4. NPV'!CUH$8,0)</f>
        <v>-0.0</v>
      </c>
      <c r="CUH53" s="5">
        <f>-IFERROR('4. NPV'!CUI23/'4. NPV'!CUI$8,0)</f>
        <v>-0.0</v>
      </c>
      <c r="CUI53" s="5">
        <f>-IFERROR('4. NPV'!CUJ23/'4. NPV'!CUJ$8,0)</f>
        <v>-0.0</v>
      </c>
      <c r="CUJ53" s="5">
        <f>-IFERROR('4. NPV'!CUK23/'4. NPV'!CUK$8,0)</f>
        <v>-0.0</v>
      </c>
      <c r="CUK53" s="5">
        <f>-IFERROR('4. NPV'!CUL23/'4. NPV'!CUL$8,0)</f>
        <v>-0.0</v>
      </c>
      <c r="CUL53" s="5">
        <f>-IFERROR('4. NPV'!CUM23/'4. NPV'!CUM$8,0)</f>
        <v>-0.0</v>
      </c>
      <c r="CUM53" s="5">
        <f>-IFERROR('4. NPV'!CUN23/'4. NPV'!CUN$8,0)</f>
        <v>-0.0</v>
      </c>
      <c r="CUN53" s="5">
        <f>-IFERROR('4. NPV'!CUO23/'4. NPV'!CUO$8,0)</f>
        <v>-0.0</v>
      </c>
      <c r="CUO53" s="5">
        <f>-IFERROR('4. NPV'!CUP23/'4. NPV'!CUP$8,0)</f>
        <v>-0.0</v>
      </c>
      <c r="CUP53" s="5">
        <f>-IFERROR('4. NPV'!CUQ23/'4. NPV'!CUQ$8,0)</f>
        <v>-0.0</v>
      </c>
      <c r="CUQ53" s="5">
        <f>-IFERROR('4. NPV'!CUR23/'4. NPV'!CUR$8,0)</f>
        <v>-0.0</v>
      </c>
      <c r="CUR53" s="5">
        <f>-IFERROR('4. NPV'!CUS23/'4. NPV'!CUS$8,0)</f>
        <v>-0.0</v>
      </c>
      <c r="CUS53" s="5">
        <f>-IFERROR('4. NPV'!CUT23/'4. NPV'!CUT$8,0)</f>
        <v>-0.0</v>
      </c>
      <c r="CUT53" s="5">
        <f>-IFERROR('4. NPV'!CUU23/'4. NPV'!CUU$8,0)</f>
        <v>-0.0</v>
      </c>
      <c r="CUU53" s="5">
        <f>-IFERROR('4. NPV'!CUV23/'4. NPV'!CUV$8,0)</f>
        <v>-0.0</v>
      </c>
      <c r="CUV53" s="5">
        <f>-IFERROR('4. NPV'!CUW23/'4. NPV'!CUW$8,0)</f>
        <v>-0.0</v>
      </c>
      <c r="CUW53" s="5">
        <f>-IFERROR('4. NPV'!CUX23/'4. NPV'!CUX$8,0)</f>
        <v>-0.0</v>
      </c>
      <c r="CUX53" s="5">
        <f>-IFERROR('4. NPV'!CUY23/'4. NPV'!CUY$8,0)</f>
        <v>-0.0</v>
      </c>
      <c r="CUY53" s="5">
        <f>-IFERROR('4. NPV'!CUZ23/'4. NPV'!CUZ$8,0)</f>
        <v>-0.0</v>
      </c>
      <c r="CUZ53" s="5">
        <f>-IFERROR('4. NPV'!CVA23/'4. NPV'!CVA$8,0)</f>
        <v>-0.0</v>
      </c>
      <c r="CVA53" s="5">
        <f>-IFERROR('4. NPV'!CVB23/'4. NPV'!CVB$8,0)</f>
        <v>-0.0</v>
      </c>
      <c r="CVB53" s="5">
        <f>-IFERROR('4. NPV'!CVC23/'4. NPV'!CVC$8,0)</f>
        <v>-0.0</v>
      </c>
      <c r="CVC53" s="5">
        <f>-IFERROR('4. NPV'!CVD23/'4. NPV'!CVD$8,0)</f>
        <v>-0.0</v>
      </c>
      <c r="CVD53" s="5">
        <f>-IFERROR('4. NPV'!CVE23/'4. NPV'!CVE$8,0)</f>
        <v>-0.0</v>
      </c>
      <c r="CVE53" s="5">
        <f>-IFERROR('4. NPV'!CVF23/'4. NPV'!CVF$8,0)</f>
        <v>-0.0</v>
      </c>
      <c r="CVF53" s="5">
        <f>-IFERROR('4. NPV'!CVG23/'4. NPV'!CVG$8,0)</f>
        <v>-0.0</v>
      </c>
      <c r="CVG53" s="5">
        <f>-IFERROR('4. NPV'!CVH23/'4. NPV'!CVH$8,0)</f>
        <v>-0.0</v>
      </c>
      <c r="CVH53" s="5">
        <f>-IFERROR('4. NPV'!CVI23/'4. NPV'!CVI$8,0)</f>
        <v>-0.0</v>
      </c>
      <c r="CVI53" s="5">
        <f>-IFERROR('4. NPV'!CVJ23/'4. NPV'!CVJ$8,0)</f>
        <v>-0.0</v>
      </c>
      <c r="CVJ53" s="5">
        <f>-IFERROR('4. NPV'!CVK23/'4. NPV'!CVK$8,0)</f>
        <v>-0.0</v>
      </c>
      <c r="CVK53" s="5">
        <f>-IFERROR('4. NPV'!CVL23/'4. NPV'!CVL$8,0)</f>
        <v>-0.0</v>
      </c>
      <c r="CVL53" s="5">
        <f>-IFERROR('4. NPV'!CVM23/'4. NPV'!CVM$8,0)</f>
        <v>-0.0</v>
      </c>
      <c r="CVM53" s="5">
        <f>-IFERROR('4. NPV'!CVN23/'4. NPV'!CVN$8,0)</f>
        <v>-0.0</v>
      </c>
      <c r="CVN53" s="5">
        <f>-IFERROR('4. NPV'!CVO23/'4. NPV'!CVO$8,0)</f>
        <v>-0.0</v>
      </c>
      <c r="CVO53" s="5">
        <f>-IFERROR('4. NPV'!CVP23/'4. NPV'!CVP$8,0)</f>
        <v>-0.0</v>
      </c>
      <c r="CVP53" s="5">
        <f>-IFERROR('4. NPV'!CVQ23/'4. NPV'!CVQ$8,0)</f>
        <v>-0.0</v>
      </c>
      <c r="CVQ53" s="5">
        <f>-IFERROR('4. NPV'!CVR23/'4. NPV'!CVR$8,0)</f>
        <v>-0.0</v>
      </c>
      <c r="CVR53" s="5">
        <f>-IFERROR('4. NPV'!CVS23/'4. NPV'!CVS$8,0)</f>
        <v>-0.0</v>
      </c>
      <c r="CVS53" s="5">
        <f>-IFERROR('4. NPV'!CVT23/'4. NPV'!CVT$8,0)</f>
        <v>-0.0</v>
      </c>
      <c r="CVT53" s="5">
        <f>-IFERROR('4. NPV'!CVU23/'4. NPV'!CVU$8,0)</f>
        <v>-0.0</v>
      </c>
      <c r="CVU53" s="5">
        <f>-IFERROR('4. NPV'!CVV23/'4. NPV'!CVV$8,0)</f>
        <v>-0.0</v>
      </c>
      <c r="CVV53" s="5">
        <f>-IFERROR('4. NPV'!CVW23/'4. NPV'!CVW$8,0)</f>
        <v>-0.0</v>
      </c>
      <c r="CVW53" s="5">
        <f>-IFERROR('4. NPV'!CVX23/'4. NPV'!CVX$8,0)</f>
        <v>-0.0</v>
      </c>
      <c r="CVX53" s="5">
        <f>-IFERROR('4. NPV'!CVY23/'4. NPV'!CVY$8,0)</f>
        <v>-0.0</v>
      </c>
      <c r="CVY53" s="5">
        <f>-IFERROR('4. NPV'!CVZ23/'4. NPV'!CVZ$8,0)</f>
        <v>-0.0</v>
      </c>
      <c r="CVZ53" s="5">
        <f>-IFERROR('4. NPV'!CWA23/'4. NPV'!CWA$8,0)</f>
        <v>-0.0</v>
      </c>
      <c r="CWA53" s="5">
        <f>-IFERROR('4. NPV'!CWB23/'4. NPV'!CWB$8,0)</f>
        <v>-0.0</v>
      </c>
      <c r="CWB53" s="5">
        <f>-IFERROR('4. NPV'!CWC23/'4. NPV'!CWC$8,0)</f>
        <v>-0.0</v>
      </c>
      <c r="CWC53" s="5">
        <f>-IFERROR('4. NPV'!CWD23/'4. NPV'!CWD$8,0)</f>
        <v>-0.0</v>
      </c>
      <c r="CWD53" s="5">
        <f>-IFERROR('4. NPV'!CWE23/'4. NPV'!CWE$8,0)</f>
        <v>-0.0</v>
      </c>
      <c r="CWE53" s="5">
        <f>-IFERROR('4. NPV'!CWF23/'4. NPV'!CWF$8,0)</f>
        <v>-0.0</v>
      </c>
      <c r="CWF53" s="5">
        <f>-IFERROR('4. NPV'!CWG23/'4. NPV'!CWG$8,0)</f>
        <v>-0.0</v>
      </c>
      <c r="CWG53" s="5">
        <f>-IFERROR('4. NPV'!CWH23/'4. NPV'!CWH$8,0)</f>
        <v>-0.0</v>
      </c>
      <c r="CWH53" s="5">
        <f>-IFERROR('4. NPV'!CWI23/'4. NPV'!CWI$8,0)</f>
        <v>-0.0</v>
      </c>
      <c r="CWI53" s="5">
        <f>-IFERROR('4. NPV'!CWJ23/'4. NPV'!CWJ$8,0)</f>
        <v>-0.0</v>
      </c>
      <c r="CWJ53" s="5">
        <f>-IFERROR('4. NPV'!CWK23/'4. NPV'!CWK$8,0)</f>
        <v>-0.0</v>
      </c>
      <c r="CWK53" s="5">
        <f>-IFERROR('4. NPV'!CWL23/'4. NPV'!CWL$8,0)</f>
        <v>-0.0</v>
      </c>
      <c r="CWL53" s="5">
        <f>-IFERROR('4. NPV'!CWM23/'4. NPV'!CWM$8,0)</f>
        <v>-0.0</v>
      </c>
      <c r="CWM53" s="5">
        <f>-IFERROR('4. NPV'!CWN23/'4. NPV'!CWN$8,0)</f>
        <v>-0.0</v>
      </c>
      <c r="CWN53" s="5">
        <f>-IFERROR('4. NPV'!CWO23/'4. NPV'!CWO$8,0)</f>
        <v>-0.0</v>
      </c>
      <c r="CWO53" s="5">
        <f>-IFERROR('4. NPV'!CWP23/'4. NPV'!CWP$8,0)</f>
        <v>-0.0</v>
      </c>
      <c r="CWP53" s="5">
        <f>-IFERROR('4. NPV'!CWQ23/'4. NPV'!CWQ$8,0)</f>
        <v>-0.0</v>
      </c>
      <c r="CWQ53" s="5">
        <f>-IFERROR('4. NPV'!CWR23/'4. NPV'!CWR$8,0)</f>
        <v>-0.0</v>
      </c>
      <c r="CWR53" s="5">
        <f>-IFERROR('4. NPV'!CWS23/'4. NPV'!CWS$8,0)</f>
        <v>-0.0</v>
      </c>
      <c r="CWS53" s="5">
        <f>-IFERROR('4. NPV'!CWT23/'4. NPV'!CWT$8,0)</f>
        <v>-0.0</v>
      </c>
      <c r="CWT53" s="5">
        <f>-IFERROR('4. NPV'!CWU23/'4. NPV'!CWU$8,0)</f>
        <v>-0.0</v>
      </c>
      <c r="CWU53" s="5">
        <f>-IFERROR('4. NPV'!CWV23/'4. NPV'!CWV$8,0)</f>
        <v>-0.0</v>
      </c>
      <c r="CWV53" s="5">
        <f>-IFERROR('4. NPV'!CWW23/'4. NPV'!CWW$8,0)</f>
        <v>-0.0</v>
      </c>
      <c r="CWW53" s="5">
        <f>-IFERROR('4. NPV'!CWX23/'4. NPV'!CWX$8,0)</f>
        <v>-0.0</v>
      </c>
      <c r="CWX53" s="5">
        <f>-IFERROR('4. NPV'!CWY23/'4. NPV'!CWY$8,0)</f>
        <v>-0.0</v>
      </c>
      <c r="CWY53" s="5">
        <f>-IFERROR('4. NPV'!CWZ23/'4. NPV'!CWZ$8,0)</f>
        <v>-0.0</v>
      </c>
      <c r="CWZ53" s="5">
        <f>-IFERROR('4. NPV'!CXA23/'4. NPV'!CXA$8,0)</f>
        <v>-0.0</v>
      </c>
      <c r="CXA53" s="5">
        <f>-IFERROR('4. NPV'!CXB23/'4. NPV'!CXB$8,0)</f>
        <v>-0.0</v>
      </c>
      <c r="CXB53" s="5">
        <f>-IFERROR('4. NPV'!CXC23/'4. NPV'!CXC$8,0)</f>
        <v>-0.0</v>
      </c>
      <c r="CXC53" s="5">
        <f>-IFERROR('4. NPV'!CXD23/'4. NPV'!CXD$8,0)</f>
        <v>-0.0</v>
      </c>
      <c r="CXD53" s="5">
        <f>-IFERROR('4. NPV'!CXE23/'4. NPV'!CXE$8,0)</f>
        <v>-0.0</v>
      </c>
      <c r="CXE53" s="5">
        <f>-IFERROR('4. NPV'!CXF23/'4. NPV'!CXF$8,0)</f>
        <v>-0.0</v>
      </c>
      <c r="CXF53" s="5">
        <f>-IFERROR('4. NPV'!CXG23/'4. NPV'!CXG$8,0)</f>
        <v>-0.0</v>
      </c>
      <c r="CXG53" s="5">
        <f>-IFERROR('4. NPV'!CXH23/'4. NPV'!CXH$8,0)</f>
        <v>-0.0</v>
      </c>
      <c r="CXH53" s="5">
        <f>-IFERROR('4. NPV'!CXI23/'4. NPV'!CXI$8,0)</f>
        <v>-0.0</v>
      </c>
      <c r="CXI53" s="5">
        <f>-IFERROR('4. NPV'!CXJ23/'4. NPV'!CXJ$8,0)</f>
        <v>-0.0</v>
      </c>
      <c r="CXJ53" s="5">
        <f>-IFERROR('4. NPV'!CXK23/'4. NPV'!CXK$8,0)</f>
        <v>-0.0</v>
      </c>
      <c r="CXK53" s="5">
        <f>-IFERROR('4. NPV'!CXL23/'4. NPV'!CXL$8,0)</f>
        <v>-0.0</v>
      </c>
      <c r="CXL53" s="5">
        <f>-IFERROR('4. NPV'!CXM23/'4. NPV'!CXM$8,0)</f>
        <v>-0.0</v>
      </c>
      <c r="CXM53" s="5">
        <f>-IFERROR('4. NPV'!CXN23/'4. NPV'!CXN$8,0)</f>
        <v>-0.0</v>
      </c>
      <c r="CXN53" s="5">
        <f>-IFERROR('4. NPV'!CXO23/'4. NPV'!CXO$8,0)</f>
        <v>-0.0</v>
      </c>
      <c r="CXO53" s="5">
        <f>-IFERROR('4. NPV'!CXP23/'4. NPV'!CXP$8,0)</f>
        <v>-0.0</v>
      </c>
      <c r="CXP53" s="5">
        <f>-IFERROR('4. NPV'!CXQ23/'4. NPV'!CXQ$8,0)</f>
        <v>-0.0</v>
      </c>
      <c r="CXQ53" s="5">
        <f>-IFERROR('4. NPV'!CXR23/'4. NPV'!CXR$8,0)</f>
        <v>-0.0</v>
      </c>
      <c r="CXR53" s="5">
        <f>-IFERROR('4. NPV'!CXS23/'4. NPV'!CXS$8,0)</f>
        <v>-0.0</v>
      </c>
      <c r="CXS53" s="5">
        <f>-IFERROR('4. NPV'!CXT23/'4. NPV'!CXT$8,0)</f>
        <v>-0.0</v>
      </c>
      <c r="CXT53" s="5">
        <f>-IFERROR('4. NPV'!CXU23/'4. NPV'!CXU$8,0)</f>
        <v>-0.0</v>
      </c>
      <c r="CXU53" s="5">
        <f>-IFERROR('4. NPV'!CXV23/'4. NPV'!CXV$8,0)</f>
        <v>-0.0</v>
      </c>
      <c r="CXV53" s="5">
        <f>-IFERROR('4. NPV'!CXW23/'4. NPV'!CXW$8,0)</f>
        <v>-0.0</v>
      </c>
      <c r="CXW53" s="5">
        <f>-IFERROR('4. NPV'!CXX23/'4. NPV'!CXX$8,0)</f>
        <v>-0.0</v>
      </c>
      <c r="CXX53" s="5">
        <f>-IFERROR('4. NPV'!CXY23/'4. NPV'!CXY$8,0)</f>
        <v>-0.0</v>
      </c>
      <c r="CXY53" s="5">
        <f>-IFERROR('4. NPV'!CXZ23/'4. NPV'!CXZ$8,0)</f>
        <v>-0.0</v>
      </c>
      <c r="CXZ53" s="5">
        <f>-IFERROR('4. NPV'!CYA23/'4. NPV'!CYA$8,0)</f>
        <v>-0.0</v>
      </c>
      <c r="CYA53" s="5">
        <f>-IFERROR('4. NPV'!CYB23/'4. NPV'!CYB$8,0)</f>
        <v>-0.0</v>
      </c>
      <c r="CYB53" s="5">
        <f>-IFERROR('4. NPV'!CYC23/'4. NPV'!CYC$8,0)</f>
        <v>-0.0</v>
      </c>
      <c r="CYC53" s="5">
        <f>-IFERROR('4. NPV'!CYD23/'4. NPV'!CYD$8,0)</f>
        <v>-0.0</v>
      </c>
      <c r="CYD53" s="5">
        <f>-IFERROR('4. NPV'!CYE23/'4. NPV'!CYE$8,0)</f>
        <v>-0.0</v>
      </c>
      <c r="CYE53" s="5">
        <f>-IFERROR('4. NPV'!CYF23/'4. NPV'!CYF$8,0)</f>
        <v>-0.0</v>
      </c>
      <c r="CYF53" s="5">
        <f>-IFERROR('4. NPV'!CYG23/'4. NPV'!CYG$8,0)</f>
        <v>-0.0</v>
      </c>
      <c r="CYG53" s="5">
        <f>-IFERROR('4. NPV'!CYH23/'4. NPV'!CYH$8,0)</f>
        <v>-0.0</v>
      </c>
      <c r="CYH53" s="5">
        <f>-IFERROR('4. NPV'!CYI23/'4. NPV'!CYI$8,0)</f>
        <v>-0.0</v>
      </c>
      <c r="CYI53" s="5">
        <f>-IFERROR('4. NPV'!CYJ23/'4. NPV'!CYJ$8,0)</f>
        <v>-0.0</v>
      </c>
      <c r="CYJ53" s="5">
        <f>-IFERROR('4. NPV'!CYK23/'4. NPV'!CYK$8,0)</f>
        <v>-0.0</v>
      </c>
      <c r="CYK53" s="5">
        <f>-IFERROR('4. NPV'!CYL23/'4. NPV'!CYL$8,0)</f>
        <v>-0.0</v>
      </c>
      <c r="CYL53" s="5">
        <f>-IFERROR('4. NPV'!CYM23/'4. NPV'!CYM$8,0)</f>
        <v>-0.0</v>
      </c>
      <c r="CYM53" s="5">
        <f>-IFERROR('4. NPV'!CYN23/'4. NPV'!CYN$8,0)</f>
        <v>-0.0</v>
      </c>
      <c r="CYN53" s="5">
        <f>-IFERROR('4. NPV'!CYO23/'4. NPV'!CYO$8,0)</f>
        <v>-0.0</v>
      </c>
      <c r="CYO53" s="5">
        <f>-IFERROR('4. NPV'!CYP23/'4. NPV'!CYP$8,0)</f>
        <v>-0.0</v>
      </c>
      <c r="CYP53" s="5">
        <f>-IFERROR('4. NPV'!CYQ23/'4. NPV'!CYQ$8,0)</f>
        <v>-0.0</v>
      </c>
      <c r="CYQ53" s="5">
        <f>-IFERROR('4. NPV'!CYR23/'4. NPV'!CYR$8,0)</f>
        <v>-0.0</v>
      </c>
      <c r="CYR53" s="5">
        <f>-IFERROR('4. NPV'!CYS23/'4. NPV'!CYS$8,0)</f>
        <v>-0.0</v>
      </c>
      <c r="CYS53" s="5">
        <f>-IFERROR('4. NPV'!CYT23/'4. NPV'!CYT$8,0)</f>
        <v>-0.0</v>
      </c>
      <c r="CYT53" s="5">
        <f>-IFERROR('4. NPV'!CYU23/'4. NPV'!CYU$8,0)</f>
        <v>-0.0</v>
      </c>
      <c r="CYU53" s="5">
        <f>-IFERROR('4. NPV'!CYV23/'4. NPV'!CYV$8,0)</f>
        <v>-0.0</v>
      </c>
      <c r="CYV53" s="5">
        <f>-IFERROR('4. NPV'!CYW23/'4. NPV'!CYW$8,0)</f>
        <v>-0.0</v>
      </c>
      <c r="CYW53" s="5">
        <f>-IFERROR('4. NPV'!CYX23/'4. NPV'!CYX$8,0)</f>
        <v>-0.0</v>
      </c>
      <c r="CYX53" s="5">
        <f>-IFERROR('4. NPV'!CYY23/'4. NPV'!CYY$8,0)</f>
        <v>-0.0</v>
      </c>
      <c r="CYY53" s="5">
        <f>-IFERROR('4. NPV'!CYZ23/'4. NPV'!CYZ$8,0)</f>
        <v>-0.0</v>
      </c>
      <c r="CYZ53" s="5">
        <f>-IFERROR('4. NPV'!CZA23/'4. NPV'!CZA$8,0)</f>
        <v>-0.0</v>
      </c>
      <c r="CZA53" s="5">
        <f>-IFERROR('4. NPV'!CZB23/'4. NPV'!CZB$8,0)</f>
        <v>-0.0</v>
      </c>
      <c r="CZB53" s="5">
        <f>-IFERROR('4. NPV'!CZC23/'4. NPV'!CZC$8,0)</f>
        <v>-0.0</v>
      </c>
      <c r="CZC53" s="5">
        <f>-IFERROR('4. NPV'!CZD23/'4. NPV'!CZD$8,0)</f>
        <v>-0.0</v>
      </c>
      <c r="CZD53" s="5">
        <f>-IFERROR('4. NPV'!CZE23/'4. NPV'!CZE$8,0)</f>
        <v>-0.0</v>
      </c>
      <c r="CZE53" s="5">
        <f>-IFERROR('4. NPV'!CZF23/'4. NPV'!CZF$8,0)</f>
        <v>-0.0</v>
      </c>
      <c r="CZF53" s="5">
        <f>-IFERROR('4. NPV'!CZG23/'4. NPV'!CZG$8,0)</f>
        <v>-0.0</v>
      </c>
      <c r="CZG53" s="5">
        <f>-IFERROR('4. NPV'!CZH23/'4. NPV'!CZH$8,0)</f>
        <v>-0.0</v>
      </c>
      <c r="CZH53" s="5">
        <f>-IFERROR('4. NPV'!CZI23/'4. NPV'!CZI$8,0)</f>
        <v>-0.0</v>
      </c>
      <c r="CZI53" s="5">
        <f>-IFERROR('4. NPV'!CZJ23/'4. NPV'!CZJ$8,0)</f>
        <v>-0.0</v>
      </c>
      <c r="CZJ53" s="5">
        <f>-IFERROR('4. NPV'!CZK23/'4. NPV'!CZK$8,0)</f>
        <v>-0.0</v>
      </c>
      <c r="CZK53" s="5">
        <f>-IFERROR('4. NPV'!CZL23/'4. NPV'!CZL$8,0)</f>
        <v>-0.0</v>
      </c>
      <c r="CZL53" s="5">
        <f>-IFERROR('4. NPV'!CZM23/'4. NPV'!CZM$8,0)</f>
        <v>-0.0</v>
      </c>
      <c r="CZM53" s="5">
        <f>-IFERROR('4. NPV'!CZN23/'4. NPV'!CZN$8,0)</f>
        <v>-0.0</v>
      </c>
      <c r="CZN53" s="5">
        <f>-IFERROR('4. NPV'!CZO23/'4. NPV'!CZO$8,0)</f>
        <v>-0.0</v>
      </c>
      <c r="CZO53" s="5">
        <f>-IFERROR('4. NPV'!CZP23/'4. NPV'!CZP$8,0)</f>
        <v>-0.0</v>
      </c>
      <c r="CZP53" s="5">
        <f>-IFERROR('4. NPV'!CZQ23/'4. NPV'!CZQ$8,0)</f>
        <v>-0.0</v>
      </c>
      <c r="CZQ53" s="5">
        <f>-IFERROR('4. NPV'!CZR23/'4. NPV'!CZR$8,0)</f>
        <v>-0.0</v>
      </c>
      <c r="CZR53" s="5">
        <f>-IFERROR('4. NPV'!CZS23/'4. NPV'!CZS$8,0)</f>
        <v>-0.0</v>
      </c>
      <c r="CZS53" s="5">
        <f>-IFERROR('4. NPV'!CZT23/'4. NPV'!CZT$8,0)</f>
        <v>-0.0</v>
      </c>
      <c r="CZT53" s="5">
        <f>-IFERROR('4. NPV'!CZU23/'4. NPV'!CZU$8,0)</f>
        <v>-0.0</v>
      </c>
      <c r="CZU53" s="5">
        <f>-IFERROR('4. NPV'!CZV23/'4. NPV'!CZV$8,0)</f>
        <v>-0.0</v>
      </c>
      <c r="CZV53" s="5">
        <f>-IFERROR('4. NPV'!CZW23/'4. NPV'!CZW$8,0)</f>
        <v>-0.0</v>
      </c>
      <c r="CZW53" s="5">
        <f>-IFERROR('4. NPV'!CZX23/'4. NPV'!CZX$8,0)</f>
        <v>-0.0</v>
      </c>
      <c r="CZX53" s="5">
        <f>-IFERROR('4. NPV'!CZY23/'4. NPV'!CZY$8,0)</f>
        <v>-0.0</v>
      </c>
      <c r="CZY53" s="5">
        <f>-IFERROR('4. NPV'!CZZ23/'4. NPV'!CZZ$8,0)</f>
        <v>-0.0</v>
      </c>
      <c r="CZZ53" s="5">
        <f>-IFERROR('4. NPV'!DAA23/'4. NPV'!DAA$8,0)</f>
        <v>-0.0</v>
      </c>
      <c r="DAA53" s="5">
        <f>-IFERROR('4. NPV'!DAB23/'4. NPV'!DAB$8,0)</f>
        <v>-0.0</v>
      </c>
      <c r="DAB53" s="5">
        <f>-IFERROR('4. NPV'!DAC23/'4. NPV'!DAC$8,0)</f>
        <v>-0.0</v>
      </c>
      <c r="DAC53" s="5">
        <f>-IFERROR('4. NPV'!DAD23/'4. NPV'!DAD$8,0)</f>
        <v>-0.0</v>
      </c>
      <c r="DAD53" s="5">
        <f>-IFERROR('4. NPV'!DAE23/'4. NPV'!DAE$8,0)</f>
        <v>-0.0</v>
      </c>
      <c r="DAE53" s="5">
        <f>-IFERROR('4. NPV'!DAF23/'4. NPV'!DAF$8,0)</f>
        <v>-0.0</v>
      </c>
      <c r="DAF53" s="5">
        <f>-IFERROR('4. NPV'!DAG23/'4. NPV'!DAG$8,0)</f>
        <v>-0.0</v>
      </c>
      <c r="DAG53" s="5">
        <f>-IFERROR('4. NPV'!DAH23/'4. NPV'!DAH$8,0)</f>
        <v>-0.0</v>
      </c>
      <c r="DAH53" s="5">
        <f>-IFERROR('4. NPV'!DAI23/'4. NPV'!DAI$8,0)</f>
        <v>-0.0</v>
      </c>
      <c r="DAI53" s="5">
        <f>-IFERROR('4. NPV'!DAJ23/'4. NPV'!DAJ$8,0)</f>
        <v>-0.0</v>
      </c>
      <c r="DAJ53" s="5">
        <f>-IFERROR('4. NPV'!DAK23/'4. NPV'!DAK$8,0)</f>
        <v>-0.0</v>
      </c>
      <c r="DAK53" s="5">
        <f>-IFERROR('4. NPV'!DAL23/'4. NPV'!DAL$8,0)</f>
        <v>-0.0</v>
      </c>
      <c r="DAL53" s="5">
        <f>-IFERROR('4. NPV'!DAM23/'4. NPV'!DAM$8,0)</f>
        <v>-0.0</v>
      </c>
      <c r="DAM53" s="5">
        <f>-IFERROR('4. NPV'!DAN23/'4. NPV'!DAN$8,0)</f>
        <v>-0.0</v>
      </c>
      <c r="DAN53" s="5">
        <f>-IFERROR('4. NPV'!DAO23/'4. NPV'!DAO$8,0)</f>
        <v>-0.0</v>
      </c>
      <c r="DAO53" s="5">
        <f>-IFERROR('4. NPV'!DAP23/'4. NPV'!DAP$8,0)</f>
        <v>-0.0</v>
      </c>
      <c r="DAP53" s="5">
        <f>-IFERROR('4. NPV'!DAQ23/'4. NPV'!DAQ$8,0)</f>
        <v>-0.0</v>
      </c>
      <c r="DAQ53" s="5">
        <f>-IFERROR('4. NPV'!DAR23/'4. NPV'!DAR$8,0)</f>
        <v>-0.0</v>
      </c>
      <c r="DAR53" s="5">
        <f>-IFERROR('4. NPV'!DAS23/'4. NPV'!DAS$8,0)</f>
        <v>-0.0</v>
      </c>
      <c r="DAS53" s="5">
        <f>-IFERROR('4. NPV'!DAT23/'4. NPV'!DAT$8,0)</f>
        <v>-0.0</v>
      </c>
      <c r="DAT53" s="5">
        <f>-IFERROR('4. NPV'!DAU23/'4. NPV'!DAU$8,0)</f>
        <v>-0.0</v>
      </c>
      <c r="DAU53" s="5">
        <f>-IFERROR('4. NPV'!DAV23/'4. NPV'!DAV$8,0)</f>
        <v>-0.0</v>
      </c>
      <c r="DAV53" s="5">
        <f>-IFERROR('4. NPV'!DAW23/'4. NPV'!DAW$8,0)</f>
        <v>-0.0</v>
      </c>
      <c r="DAW53" s="5">
        <f>-IFERROR('4. NPV'!DAX23/'4. NPV'!DAX$8,0)</f>
        <v>-0.0</v>
      </c>
      <c r="DAX53" s="5">
        <f>-IFERROR('4. NPV'!DAY23/'4. NPV'!DAY$8,0)</f>
        <v>-0.0</v>
      </c>
      <c r="DAY53" s="5">
        <f>-IFERROR('4. NPV'!DAZ23/'4. NPV'!DAZ$8,0)</f>
        <v>-0.0</v>
      </c>
      <c r="DAZ53" s="5">
        <f>-IFERROR('4. NPV'!DBA23/'4. NPV'!DBA$8,0)</f>
        <v>-0.0</v>
      </c>
      <c r="DBA53" s="5">
        <f>-IFERROR('4. NPV'!DBB23/'4. NPV'!DBB$8,0)</f>
        <v>-0.0</v>
      </c>
      <c r="DBB53" s="5">
        <f>-IFERROR('4. NPV'!DBC23/'4. NPV'!DBC$8,0)</f>
        <v>-0.0</v>
      </c>
      <c r="DBC53" s="5">
        <f>-IFERROR('4. NPV'!DBD23/'4. NPV'!DBD$8,0)</f>
        <v>-0.0</v>
      </c>
      <c r="DBD53" s="5">
        <f>-IFERROR('4. NPV'!DBE23/'4. NPV'!DBE$8,0)</f>
        <v>-0.0</v>
      </c>
      <c r="DBE53" s="5">
        <f>-IFERROR('4. NPV'!DBF23/'4. NPV'!DBF$8,0)</f>
        <v>-0.0</v>
      </c>
      <c r="DBF53" s="5">
        <f>-IFERROR('4. NPV'!DBG23/'4. NPV'!DBG$8,0)</f>
        <v>-0.0</v>
      </c>
      <c r="DBG53" s="5">
        <f>-IFERROR('4. NPV'!DBH23/'4. NPV'!DBH$8,0)</f>
        <v>-0.0</v>
      </c>
      <c r="DBH53" s="5">
        <f>-IFERROR('4. NPV'!DBI23/'4. NPV'!DBI$8,0)</f>
        <v>-0.0</v>
      </c>
      <c r="DBI53" s="5">
        <f>-IFERROR('4. NPV'!DBJ23/'4. NPV'!DBJ$8,0)</f>
        <v>-0.0</v>
      </c>
      <c r="DBJ53" s="5">
        <f>-IFERROR('4. NPV'!DBK23/'4. NPV'!DBK$8,0)</f>
        <v>-0.0</v>
      </c>
      <c r="DBK53" s="5">
        <f>-IFERROR('4. NPV'!DBL23/'4. NPV'!DBL$8,0)</f>
        <v>-0.0</v>
      </c>
      <c r="DBL53" s="5">
        <f>-IFERROR('4. NPV'!DBM23/'4. NPV'!DBM$8,0)</f>
        <v>-0.0</v>
      </c>
      <c r="DBM53" s="5">
        <f>-IFERROR('4. NPV'!DBN23/'4. NPV'!DBN$8,0)</f>
        <v>-0.0</v>
      </c>
      <c r="DBN53" s="5">
        <f>-IFERROR('4. NPV'!DBO23/'4. NPV'!DBO$8,0)</f>
        <v>-0.0</v>
      </c>
      <c r="DBO53" s="5">
        <f>-IFERROR('4. NPV'!DBP23/'4. NPV'!DBP$8,0)</f>
        <v>-0.0</v>
      </c>
      <c r="DBP53" s="5">
        <f>-IFERROR('4. NPV'!DBQ23/'4. NPV'!DBQ$8,0)</f>
        <v>-0.0</v>
      </c>
      <c r="DBQ53" s="5">
        <f>-IFERROR('4. NPV'!DBR23/'4. NPV'!DBR$8,0)</f>
        <v>-0.0</v>
      </c>
      <c r="DBR53" s="5">
        <f>-IFERROR('4. NPV'!DBS23/'4. NPV'!DBS$8,0)</f>
        <v>-0.0</v>
      </c>
      <c r="DBS53" s="5">
        <f>-IFERROR('4. NPV'!DBT23/'4. NPV'!DBT$8,0)</f>
        <v>-0.0</v>
      </c>
      <c r="DBT53" s="5">
        <f>-IFERROR('4. NPV'!DBU23/'4. NPV'!DBU$8,0)</f>
        <v>-0.0</v>
      </c>
      <c r="DBU53" s="5">
        <f>-IFERROR('4. NPV'!DBV23/'4. NPV'!DBV$8,0)</f>
        <v>-0.0</v>
      </c>
      <c r="DBV53" s="5">
        <f>-IFERROR('4. NPV'!DBW23/'4. NPV'!DBW$8,0)</f>
        <v>-0.0</v>
      </c>
      <c r="DBW53" s="5">
        <f>-IFERROR('4. NPV'!DBX23/'4. NPV'!DBX$8,0)</f>
        <v>-0.0</v>
      </c>
      <c r="DBX53" s="5">
        <f>-IFERROR('4. NPV'!DBY23/'4. NPV'!DBY$8,0)</f>
        <v>-0.0</v>
      </c>
      <c r="DBY53" s="5">
        <f>-IFERROR('4. NPV'!DBZ23/'4. NPV'!DBZ$8,0)</f>
        <v>-0.0</v>
      </c>
      <c r="DBZ53" s="5">
        <f>-IFERROR('4. NPV'!DCA23/'4. NPV'!DCA$8,0)</f>
        <v>-0.0</v>
      </c>
      <c r="DCA53" s="5">
        <f>-IFERROR('4. NPV'!DCB23/'4. NPV'!DCB$8,0)</f>
        <v>-0.0</v>
      </c>
      <c r="DCB53" s="5">
        <f>-IFERROR('4. NPV'!DCC23/'4. NPV'!DCC$8,0)</f>
        <v>-0.0</v>
      </c>
      <c r="DCC53" s="5">
        <f>-IFERROR('4. NPV'!DCD23/'4. NPV'!DCD$8,0)</f>
        <v>-0.0</v>
      </c>
      <c r="DCD53" s="5">
        <f>-IFERROR('4. NPV'!DCE23/'4. NPV'!DCE$8,0)</f>
        <v>-0.0</v>
      </c>
      <c r="DCE53" s="5">
        <f>-IFERROR('4. NPV'!DCF23/'4. NPV'!DCF$8,0)</f>
        <v>-0.0</v>
      </c>
      <c r="DCF53" s="5">
        <f>-IFERROR('4. NPV'!DCG23/'4. NPV'!DCG$8,0)</f>
        <v>-0.0</v>
      </c>
      <c r="DCG53" s="5">
        <f>-IFERROR('4. NPV'!DCH23/'4. NPV'!DCH$8,0)</f>
        <v>-0.0</v>
      </c>
      <c r="DCH53" s="5">
        <f>-IFERROR('4. NPV'!DCI23/'4. NPV'!DCI$8,0)</f>
        <v>-0.0</v>
      </c>
      <c r="DCI53" s="5">
        <f>-IFERROR('4. NPV'!DCJ23/'4. NPV'!DCJ$8,0)</f>
        <v>-0.0</v>
      </c>
      <c r="DCJ53" s="5">
        <f>-IFERROR('4. NPV'!DCK23/'4. NPV'!DCK$8,0)</f>
        <v>-0.0</v>
      </c>
      <c r="DCK53" s="5">
        <f>-IFERROR('4. NPV'!DCL23/'4. NPV'!DCL$8,0)</f>
        <v>-0.0</v>
      </c>
      <c r="DCL53" s="5">
        <f>-IFERROR('4. NPV'!DCM23/'4. NPV'!DCM$8,0)</f>
        <v>-0.0</v>
      </c>
      <c r="DCM53" s="5">
        <f>-IFERROR('4. NPV'!DCN23/'4. NPV'!DCN$8,0)</f>
        <v>-0.0</v>
      </c>
      <c r="DCN53" s="5">
        <f>-IFERROR('4. NPV'!DCO23/'4. NPV'!DCO$8,0)</f>
        <v>-0.0</v>
      </c>
      <c r="DCO53" s="5">
        <f>-IFERROR('4. NPV'!DCP23/'4. NPV'!DCP$8,0)</f>
        <v>-0.0</v>
      </c>
      <c r="DCP53" s="5">
        <f>-IFERROR('4. NPV'!DCQ23/'4. NPV'!DCQ$8,0)</f>
        <v>-0.0</v>
      </c>
      <c r="DCQ53" s="5">
        <f>-IFERROR('4. NPV'!DCR23/'4. NPV'!DCR$8,0)</f>
        <v>-0.0</v>
      </c>
      <c r="DCR53" s="5">
        <f>-IFERROR('4. NPV'!DCS23/'4. NPV'!DCS$8,0)</f>
        <v>-0.0</v>
      </c>
      <c r="DCS53" s="5">
        <f>-IFERROR('4. NPV'!DCT23/'4. NPV'!DCT$8,0)</f>
        <v>-0.0</v>
      </c>
      <c r="DCT53" s="5">
        <f>-IFERROR('4. NPV'!DCU23/'4. NPV'!DCU$8,0)</f>
        <v>-0.0</v>
      </c>
      <c r="DCU53" s="5">
        <f>-IFERROR('4. NPV'!DCV23/'4. NPV'!DCV$8,0)</f>
        <v>-0.0</v>
      </c>
      <c r="DCV53" s="5">
        <f>-IFERROR('4. NPV'!DCW23/'4. NPV'!DCW$8,0)</f>
        <v>-0.0</v>
      </c>
      <c r="DCW53" s="5">
        <f>-IFERROR('4. NPV'!DCX23/'4. NPV'!DCX$8,0)</f>
        <v>-0.0</v>
      </c>
      <c r="DCX53" s="5">
        <f>-IFERROR('4. NPV'!DCY23/'4. NPV'!DCY$8,0)</f>
        <v>-0.0</v>
      </c>
      <c r="DCY53" s="5">
        <f>-IFERROR('4. NPV'!DCZ23/'4. NPV'!DCZ$8,0)</f>
        <v>-0.0</v>
      </c>
      <c r="DCZ53" s="5">
        <f>-IFERROR('4. NPV'!DDA23/'4. NPV'!DDA$8,0)</f>
        <v>-0.0</v>
      </c>
      <c r="DDA53" s="5">
        <f>-IFERROR('4. NPV'!DDB23/'4. NPV'!DDB$8,0)</f>
        <v>-0.0</v>
      </c>
      <c r="DDB53" s="5">
        <f>-IFERROR('4. NPV'!DDC23/'4. NPV'!DDC$8,0)</f>
        <v>-0.0</v>
      </c>
      <c r="DDC53" s="5">
        <f>-IFERROR('4. NPV'!DDD23/'4. NPV'!DDD$8,0)</f>
        <v>-0.0</v>
      </c>
      <c r="DDD53" s="5">
        <f>-IFERROR('4. NPV'!DDE23/'4. NPV'!DDE$8,0)</f>
        <v>-0.0</v>
      </c>
      <c r="DDE53" s="5">
        <f>-IFERROR('4. NPV'!DDF23/'4. NPV'!DDF$8,0)</f>
        <v>-0.0</v>
      </c>
      <c r="DDF53" s="5">
        <f>-IFERROR('4. NPV'!DDG23/'4. NPV'!DDG$8,0)</f>
        <v>-0.0</v>
      </c>
      <c r="DDG53" s="5">
        <f>-IFERROR('4. NPV'!DDH23/'4. NPV'!DDH$8,0)</f>
        <v>-0.0</v>
      </c>
      <c r="DDH53" s="5">
        <f>-IFERROR('4. NPV'!DDI23/'4. NPV'!DDI$8,0)</f>
        <v>-0.0</v>
      </c>
      <c r="DDI53" s="5">
        <f>-IFERROR('4. NPV'!DDJ23/'4. NPV'!DDJ$8,0)</f>
        <v>-0.0</v>
      </c>
      <c r="DDJ53" s="5">
        <f>-IFERROR('4. NPV'!DDK23/'4. NPV'!DDK$8,0)</f>
        <v>-0.0</v>
      </c>
      <c r="DDK53" s="5">
        <f>-IFERROR('4. NPV'!DDL23/'4. NPV'!DDL$8,0)</f>
        <v>-0.0</v>
      </c>
      <c r="DDL53" s="5">
        <f>-IFERROR('4. NPV'!DDM23/'4. NPV'!DDM$8,0)</f>
        <v>-0.0</v>
      </c>
      <c r="DDM53" s="5">
        <f>-IFERROR('4. NPV'!DDN23/'4. NPV'!DDN$8,0)</f>
        <v>-0.0</v>
      </c>
      <c r="DDN53" s="5">
        <f>-IFERROR('4. NPV'!DDO23/'4. NPV'!DDO$8,0)</f>
        <v>-0.0</v>
      </c>
      <c r="DDO53" s="5">
        <f>-IFERROR('4. NPV'!DDP23/'4. NPV'!DDP$8,0)</f>
        <v>-0.0</v>
      </c>
      <c r="DDP53" s="5">
        <f>-IFERROR('4. NPV'!DDQ23/'4. NPV'!DDQ$8,0)</f>
        <v>-0.0</v>
      </c>
      <c r="DDQ53" s="5">
        <f>-IFERROR('4. NPV'!DDR23/'4. NPV'!DDR$8,0)</f>
        <v>-0.0</v>
      </c>
      <c r="DDR53" s="5">
        <f>-IFERROR('4. NPV'!DDS23/'4. NPV'!DDS$8,0)</f>
        <v>-0.0</v>
      </c>
      <c r="DDS53" s="5">
        <f>-IFERROR('4. NPV'!DDT23/'4. NPV'!DDT$8,0)</f>
        <v>-0.0</v>
      </c>
      <c r="DDT53" s="5">
        <f>-IFERROR('4. NPV'!DDU23/'4. NPV'!DDU$8,0)</f>
        <v>-0.0</v>
      </c>
      <c r="DDU53" s="5">
        <f>-IFERROR('4. NPV'!DDV23/'4. NPV'!DDV$8,0)</f>
        <v>-0.0</v>
      </c>
      <c r="DDV53" s="5">
        <f>-IFERROR('4. NPV'!DDW23/'4. NPV'!DDW$8,0)</f>
        <v>-0.0</v>
      </c>
      <c r="DDW53" s="5">
        <f>-IFERROR('4. NPV'!DDX23/'4. NPV'!DDX$8,0)</f>
        <v>-0.0</v>
      </c>
      <c r="DDX53" s="5">
        <f>-IFERROR('4. NPV'!DDY23/'4. NPV'!DDY$8,0)</f>
        <v>-0.0</v>
      </c>
      <c r="DDY53" s="5">
        <f>-IFERROR('4. NPV'!DDZ23/'4. NPV'!DDZ$8,0)</f>
        <v>-0.0</v>
      </c>
      <c r="DDZ53" s="5">
        <f>-IFERROR('4. NPV'!DEA23/'4. NPV'!DEA$8,0)</f>
        <v>-0.0</v>
      </c>
      <c r="DEA53" s="5">
        <f>-IFERROR('4. NPV'!DEB23/'4. NPV'!DEB$8,0)</f>
        <v>-0.0</v>
      </c>
      <c r="DEB53" s="5">
        <f>-IFERROR('4. NPV'!DEC23/'4. NPV'!DEC$8,0)</f>
        <v>-0.0</v>
      </c>
      <c r="DEC53" s="5">
        <f>-IFERROR('4. NPV'!DED23/'4. NPV'!DED$8,0)</f>
        <v>-0.0</v>
      </c>
      <c r="DED53" s="5">
        <f>-IFERROR('4. NPV'!DEE23/'4. NPV'!DEE$8,0)</f>
        <v>-0.0</v>
      </c>
      <c r="DEE53" s="5">
        <f>-IFERROR('4. NPV'!DEF23/'4. NPV'!DEF$8,0)</f>
        <v>-0.0</v>
      </c>
      <c r="DEF53" s="5">
        <f>-IFERROR('4. NPV'!DEG23/'4. NPV'!DEG$8,0)</f>
        <v>-0.0</v>
      </c>
      <c r="DEG53" s="5">
        <f>-IFERROR('4. NPV'!DEH23/'4. NPV'!DEH$8,0)</f>
        <v>-0.0</v>
      </c>
      <c r="DEH53" s="5">
        <f>-IFERROR('4. NPV'!DEI23/'4. NPV'!DEI$8,0)</f>
        <v>-0.0</v>
      </c>
      <c r="DEI53" s="5">
        <f>-IFERROR('4. NPV'!DEJ23/'4. NPV'!DEJ$8,0)</f>
        <v>-0.0</v>
      </c>
      <c r="DEJ53" s="5">
        <f>-IFERROR('4. NPV'!DEK23/'4. NPV'!DEK$8,0)</f>
        <v>-0.0</v>
      </c>
      <c r="DEK53" s="5">
        <f>-IFERROR('4. NPV'!DEL23/'4. NPV'!DEL$8,0)</f>
        <v>-0.0</v>
      </c>
      <c r="DEL53" s="5">
        <f>-IFERROR('4. NPV'!DEM23/'4. NPV'!DEM$8,0)</f>
        <v>-0.0</v>
      </c>
      <c r="DEM53" s="5">
        <f>-IFERROR('4. NPV'!DEN23/'4. NPV'!DEN$8,0)</f>
        <v>-0.0</v>
      </c>
      <c r="DEN53" s="5">
        <f>-IFERROR('4. NPV'!DEO23/'4. NPV'!DEO$8,0)</f>
        <v>-0.0</v>
      </c>
      <c r="DEO53" s="5">
        <f>-IFERROR('4. NPV'!DEP23/'4. NPV'!DEP$8,0)</f>
        <v>-0.0</v>
      </c>
      <c r="DEP53" s="5">
        <f>-IFERROR('4. NPV'!DEQ23/'4. NPV'!DEQ$8,0)</f>
        <v>-0.0</v>
      </c>
      <c r="DEQ53" s="5">
        <f>-IFERROR('4. NPV'!DER23/'4. NPV'!DER$8,0)</f>
        <v>-0.0</v>
      </c>
      <c r="DER53" s="5">
        <f>-IFERROR('4. NPV'!DES23/'4. NPV'!DES$8,0)</f>
        <v>-0.0</v>
      </c>
      <c r="DES53" s="5">
        <f>-IFERROR('4. NPV'!DET23/'4. NPV'!DET$8,0)</f>
        <v>-0.0</v>
      </c>
      <c r="DET53" s="5">
        <f>-IFERROR('4. NPV'!DEU23/'4. NPV'!DEU$8,0)</f>
        <v>-0.0</v>
      </c>
      <c r="DEU53" s="5">
        <f>-IFERROR('4. NPV'!DEV23/'4. NPV'!DEV$8,0)</f>
        <v>-0.0</v>
      </c>
      <c r="DEV53" s="5">
        <f>-IFERROR('4. NPV'!DEW23/'4. NPV'!DEW$8,0)</f>
        <v>-0.0</v>
      </c>
      <c r="DEW53" s="5">
        <f>-IFERROR('4. NPV'!DEX23/'4. NPV'!DEX$8,0)</f>
        <v>-0.0</v>
      </c>
      <c r="DEX53" s="5">
        <f>-IFERROR('4. NPV'!DEY23/'4. NPV'!DEY$8,0)</f>
        <v>-0.0</v>
      </c>
      <c r="DEY53" s="5">
        <f>-IFERROR('4. NPV'!DEZ23/'4. NPV'!DEZ$8,0)</f>
        <v>-0.0</v>
      </c>
      <c r="DEZ53" s="5">
        <f>-IFERROR('4. NPV'!DFA23/'4. NPV'!DFA$8,0)</f>
        <v>-0.0</v>
      </c>
      <c r="DFA53" s="5">
        <f>-IFERROR('4. NPV'!DFB23/'4. NPV'!DFB$8,0)</f>
        <v>-0.0</v>
      </c>
      <c r="DFB53" s="5">
        <f>-IFERROR('4. NPV'!DFC23/'4. NPV'!DFC$8,0)</f>
        <v>-0.0</v>
      </c>
      <c r="DFC53" s="5">
        <f>-IFERROR('4. NPV'!DFD23/'4. NPV'!DFD$8,0)</f>
        <v>-0.0</v>
      </c>
      <c r="DFD53" s="5">
        <f>-IFERROR('4. NPV'!DFE23/'4. NPV'!DFE$8,0)</f>
        <v>-0.0</v>
      </c>
      <c r="DFE53" s="5">
        <f>-IFERROR('4. NPV'!DFF23/'4. NPV'!DFF$8,0)</f>
        <v>-0.0</v>
      </c>
      <c r="DFF53" s="5">
        <f>-IFERROR('4. NPV'!DFG23/'4. NPV'!DFG$8,0)</f>
        <v>-0.0</v>
      </c>
      <c r="DFG53" s="5">
        <f>-IFERROR('4. NPV'!DFH23/'4. NPV'!DFH$8,0)</f>
        <v>-0.0</v>
      </c>
      <c r="DFH53" s="5">
        <f>-IFERROR('4. NPV'!DFI23/'4. NPV'!DFI$8,0)</f>
        <v>-0.0</v>
      </c>
      <c r="DFI53" s="5">
        <f>-IFERROR('4. NPV'!DFJ23/'4. NPV'!DFJ$8,0)</f>
        <v>-0.0</v>
      </c>
      <c r="DFJ53" s="5">
        <f>-IFERROR('4. NPV'!DFK23/'4. NPV'!DFK$8,0)</f>
        <v>-0.0</v>
      </c>
      <c r="DFK53" s="5">
        <f>-IFERROR('4. NPV'!DFL23/'4. NPV'!DFL$8,0)</f>
        <v>-0.0</v>
      </c>
      <c r="DFL53" s="5">
        <f>-IFERROR('4. NPV'!DFM23/'4. NPV'!DFM$8,0)</f>
        <v>-0.0</v>
      </c>
      <c r="DFM53" s="5">
        <f>-IFERROR('4. NPV'!DFN23/'4. NPV'!DFN$8,0)</f>
        <v>-0.0</v>
      </c>
      <c r="DFN53" s="5">
        <f>-IFERROR('4. NPV'!DFO23/'4. NPV'!DFO$8,0)</f>
        <v>-0.0</v>
      </c>
      <c r="DFO53" s="5">
        <f>-IFERROR('4. NPV'!DFP23/'4. NPV'!DFP$8,0)</f>
        <v>-0.0</v>
      </c>
      <c r="DFP53" s="5">
        <f>-IFERROR('4. NPV'!DFQ23/'4. NPV'!DFQ$8,0)</f>
        <v>-0.0</v>
      </c>
      <c r="DFQ53" s="5">
        <f>-IFERROR('4. NPV'!DFR23/'4. NPV'!DFR$8,0)</f>
        <v>-0.0</v>
      </c>
      <c r="DFR53" s="5">
        <f>-IFERROR('4. NPV'!DFS23/'4. NPV'!DFS$8,0)</f>
        <v>-0.0</v>
      </c>
      <c r="DFS53" s="5">
        <f>-IFERROR('4. NPV'!DFT23/'4. NPV'!DFT$8,0)</f>
        <v>-0.0</v>
      </c>
      <c r="DFT53" s="5">
        <f>-IFERROR('4. NPV'!DFU23/'4. NPV'!DFU$8,0)</f>
        <v>-0.0</v>
      </c>
      <c r="DFU53" s="5">
        <f>-IFERROR('4. NPV'!DFV23/'4. NPV'!DFV$8,0)</f>
        <v>-0.0</v>
      </c>
      <c r="DFV53" s="5">
        <f>-IFERROR('4. NPV'!DFW23/'4. NPV'!DFW$8,0)</f>
        <v>-0.0</v>
      </c>
      <c r="DFW53" s="5">
        <f>-IFERROR('4. NPV'!DFX23/'4. NPV'!DFX$8,0)</f>
        <v>-0.0</v>
      </c>
      <c r="DFX53" s="5">
        <f>-IFERROR('4. NPV'!DFY23/'4. NPV'!DFY$8,0)</f>
        <v>-0.0</v>
      </c>
      <c r="DFY53" s="5">
        <f>-IFERROR('4. NPV'!DFZ23/'4. NPV'!DFZ$8,0)</f>
        <v>-0.0</v>
      </c>
      <c r="DFZ53" s="5">
        <f>-IFERROR('4. NPV'!DGA23/'4. NPV'!DGA$8,0)</f>
        <v>-0.0</v>
      </c>
      <c r="DGA53" s="5">
        <f>-IFERROR('4. NPV'!DGB23/'4. NPV'!DGB$8,0)</f>
        <v>-0.0</v>
      </c>
      <c r="DGB53" s="5">
        <f>-IFERROR('4. NPV'!DGC23/'4. NPV'!DGC$8,0)</f>
        <v>-0.0</v>
      </c>
      <c r="DGC53" s="5">
        <f>-IFERROR('4. NPV'!DGD23/'4. NPV'!DGD$8,0)</f>
        <v>-0.0</v>
      </c>
      <c r="DGD53" s="5">
        <f>-IFERROR('4. NPV'!DGE23/'4. NPV'!DGE$8,0)</f>
        <v>-0.0</v>
      </c>
      <c r="DGE53" s="5">
        <f>-IFERROR('4. NPV'!DGF23/'4. NPV'!DGF$8,0)</f>
        <v>-0.0</v>
      </c>
      <c r="DGF53" s="5">
        <f>-IFERROR('4. NPV'!DGG23/'4. NPV'!DGG$8,0)</f>
        <v>-0.0</v>
      </c>
      <c r="DGG53" s="5">
        <f>-IFERROR('4. NPV'!DGH23/'4. NPV'!DGH$8,0)</f>
        <v>-0.0</v>
      </c>
      <c r="DGH53" s="5">
        <f>-IFERROR('4. NPV'!DGI23/'4. NPV'!DGI$8,0)</f>
        <v>-0.0</v>
      </c>
      <c r="DGI53" s="5">
        <f>-IFERROR('4. NPV'!DGJ23/'4. NPV'!DGJ$8,0)</f>
        <v>-0.0</v>
      </c>
      <c r="DGJ53" s="5">
        <f>-IFERROR('4. NPV'!DGK23/'4. NPV'!DGK$8,0)</f>
        <v>-0.0</v>
      </c>
      <c r="DGK53" s="5">
        <f>-IFERROR('4. NPV'!DGL23/'4. NPV'!DGL$8,0)</f>
        <v>-0.0</v>
      </c>
      <c r="DGL53" s="5">
        <f>-IFERROR('4. NPV'!DGM23/'4. NPV'!DGM$8,0)</f>
        <v>-0.0</v>
      </c>
      <c r="DGM53" s="5">
        <f>-IFERROR('4. NPV'!DGN23/'4. NPV'!DGN$8,0)</f>
        <v>-0.0</v>
      </c>
      <c r="DGN53" s="5">
        <f>-IFERROR('4. NPV'!DGO23/'4. NPV'!DGO$8,0)</f>
        <v>-0.0</v>
      </c>
      <c r="DGO53" s="5">
        <f>-IFERROR('4. NPV'!DGP23/'4. NPV'!DGP$8,0)</f>
        <v>-0.0</v>
      </c>
      <c r="DGP53" s="5">
        <f>-IFERROR('4. NPV'!DGQ23/'4. NPV'!DGQ$8,0)</f>
        <v>-0.0</v>
      </c>
      <c r="DGQ53" s="5">
        <f>-IFERROR('4. NPV'!DGR23/'4. NPV'!DGR$8,0)</f>
        <v>-0.0</v>
      </c>
      <c r="DGR53" s="5">
        <f>-IFERROR('4. NPV'!DGS23/'4. NPV'!DGS$8,0)</f>
        <v>-0.0</v>
      </c>
      <c r="DGS53" s="5">
        <f>-IFERROR('4. NPV'!DGT23/'4. NPV'!DGT$8,0)</f>
        <v>-0.0</v>
      </c>
      <c r="DGT53" s="5">
        <f>-IFERROR('4. NPV'!DGU23/'4. NPV'!DGU$8,0)</f>
        <v>-0.0</v>
      </c>
      <c r="DGU53" s="5">
        <f>-IFERROR('4. NPV'!DGV23/'4. NPV'!DGV$8,0)</f>
        <v>-0.0</v>
      </c>
      <c r="DGV53" s="5">
        <f>-IFERROR('4. NPV'!DGW23/'4. NPV'!DGW$8,0)</f>
        <v>-0.0</v>
      </c>
      <c r="DGW53" s="5">
        <f>-IFERROR('4. NPV'!DGX23/'4. NPV'!DGX$8,0)</f>
        <v>-0.0</v>
      </c>
      <c r="DGX53" s="5">
        <f>-IFERROR('4. NPV'!DGY23/'4. NPV'!DGY$8,0)</f>
        <v>-0.0</v>
      </c>
      <c r="DGY53" s="5">
        <f>-IFERROR('4. NPV'!DGZ23/'4. NPV'!DGZ$8,0)</f>
        <v>-0.0</v>
      </c>
      <c r="DGZ53" s="5">
        <f>-IFERROR('4. NPV'!DHA23/'4. NPV'!DHA$8,0)</f>
        <v>-0.0</v>
      </c>
      <c r="DHA53" s="5">
        <f>-IFERROR('4. NPV'!DHB23/'4. NPV'!DHB$8,0)</f>
        <v>-0.0</v>
      </c>
      <c r="DHB53" s="5">
        <f>-IFERROR('4. NPV'!DHC23/'4. NPV'!DHC$8,0)</f>
        <v>-0.0</v>
      </c>
      <c r="DHC53" s="5">
        <f>-IFERROR('4. NPV'!DHD23/'4. NPV'!DHD$8,0)</f>
        <v>-0.0</v>
      </c>
      <c r="DHD53" s="5">
        <f>-IFERROR('4. NPV'!DHE23/'4. NPV'!DHE$8,0)</f>
        <v>-0.0</v>
      </c>
      <c r="DHE53" s="5">
        <f>-IFERROR('4. NPV'!DHF23/'4. NPV'!DHF$8,0)</f>
        <v>-0.0</v>
      </c>
      <c r="DHF53" s="5">
        <f>-IFERROR('4. NPV'!DHG23/'4. NPV'!DHG$8,0)</f>
        <v>-0.0</v>
      </c>
      <c r="DHG53" s="5">
        <f>-IFERROR('4. NPV'!DHH23/'4. NPV'!DHH$8,0)</f>
        <v>-0.0</v>
      </c>
      <c r="DHH53" s="5">
        <f>-IFERROR('4. NPV'!DHI23/'4. NPV'!DHI$8,0)</f>
        <v>-0.0</v>
      </c>
      <c r="DHI53" s="5">
        <f>-IFERROR('4. NPV'!DHJ23/'4. NPV'!DHJ$8,0)</f>
        <v>-0.0</v>
      </c>
      <c r="DHJ53" s="5">
        <f>-IFERROR('4. NPV'!DHK23/'4. NPV'!DHK$8,0)</f>
        <v>-0.0</v>
      </c>
      <c r="DHK53" s="5">
        <f>-IFERROR('4. NPV'!DHL23/'4. NPV'!DHL$8,0)</f>
        <v>-0.0</v>
      </c>
      <c r="DHL53" s="5">
        <f>-IFERROR('4. NPV'!DHM23/'4. NPV'!DHM$8,0)</f>
        <v>-0.0</v>
      </c>
      <c r="DHM53" s="5">
        <f>-IFERROR('4. NPV'!DHN23/'4. NPV'!DHN$8,0)</f>
        <v>-0.0</v>
      </c>
      <c r="DHN53" s="5">
        <f>-IFERROR('4. NPV'!DHO23/'4. NPV'!DHO$8,0)</f>
        <v>-0.0</v>
      </c>
      <c r="DHO53" s="5">
        <f>-IFERROR('4. NPV'!DHP23/'4. NPV'!DHP$8,0)</f>
        <v>-0.0</v>
      </c>
      <c r="DHP53" s="5">
        <f>-IFERROR('4. NPV'!DHQ23/'4. NPV'!DHQ$8,0)</f>
        <v>-0.0</v>
      </c>
      <c r="DHQ53" s="5">
        <f>-IFERROR('4. NPV'!DHR23/'4. NPV'!DHR$8,0)</f>
        <v>-0.0</v>
      </c>
      <c r="DHR53" s="5">
        <f>-IFERROR('4. NPV'!DHS23/'4. NPV'!DHS$8,0)</f>
        <v>-0.0</v>
      </c>
      <c r="DHS53" s="5">
        <f>-IFERROR('4. NPV'!DHT23/'4. NPV'!DHT$8,0)</f>
        <v>-0.0</v>
      </c>
      <c r="DHT53" s="5">
        <f>-IFERROR('4. NPV'!DHU23/'4. NPV'!DHU$8,0)</f>
        <v>-0.0</v>
      </c>
      <c r="DHU53" s="5">
        <f>-IFERROR('4. NPV'!DHV23/'4. NPV'!DHV$8,0)</f>
        <v>-0.0</v>
      </c>
      <c r="DHV53" s="5">
        <f>-IFERROR('4. NPV'!DHW23/'4. NPV'!DHW$8,0)</f>
        <v>-0.0</v>
      </c>
      <c r="DHW53" s="5">
        <f>-IFERROR('4. NPV'!DHX23/'4. NPV'!DHX$8,0)</f>
        <v>-0.0</v>
      </c>
      <c r="DHX53" s="5">
        <f>-IFERROR('4. NPV'!DHY23/'4. NPV'!DHY$8,0)</f>
        <v>-0.0</v>
      </c>
      <c r="DHY53" s="5">
        <f>-IFERROR('4. NPV'!DHZ23/'4. NPV'!DHZ$8,0)</f>
        <v>-0.0</v>
      </c>
      <c r="DHZ53" s="5">
        <f>-IFERROR('4. NPV'!DIA23/'4. NPV'!DIA$8,0)</f>
        <v>-0.0</v>
      </c>
      <c r="DIA53" s="5">
        <f>-IFERROR('4. NPV'!DIB23/'4. NPV'!DIB$8,0)</f>
        <v>-0.0</v>
      </c>
      <c r="DIB53" s="5">
        <f>-IFERROR('4. NPV'!DIC23/'4. NPV'!DIC$8,0)</f>
        <v>-0.0</v>
      </c>
      <c r="DIC53" s="5">
        <f>-IFERROR('4. NPV'!DID23/'4. NPV'!DID$8,0)</f>
        <v>-0.0</v>
      </c>
      <c r="DID53" s="5">
        <f>-IFERROR('4. NPV'!DIE23/'4. NPV'!DIE$8,0)</f>
        <v>-0.0</v>
      </c>
      <c r="DIE53" s="5">
        <f>-IFERROR('4. NPV'!DIF23/'4. NPV'!DIF$8,0)</f>
        <v>-0.0</v>
      </c>
      <c r="DIF53" s="5">
        <f>-IFERROR('4. NPV'!DIG23/'4. NPV'!DIG$8,0)</f>
        <v>-0.0</v>
      </c>
      <c r="DIG53" s="5">
        <f>-IFERROR('4. NPV'!DIH23/'4. NPV'!DIH$8,0)</f>
        <v>-0.0</v>
      </c>
      <c r="DIH53" s="5">
        <f>-IFERROR('4. NPV'!DII23/'4. NPV'!DII$8,0)</f>
        <v>-0.0</v>
      </c>
      <c r="DII53" s="5">
        <f>-IFERROR('4. NPV'!DIJ23/'4. NPV'!DIJ$8,0)</f>
        <v>-0.0</v>
      </c>
      <c r="DIJ53" s="5">
        <f>-IFERROR('4. NPV'!DIK23/'4. NPV'!DIK$8,0)</f>
        <v>-0.0</v>
      </c>
      <c r="DIK53" s="5">
        <f>-IFERROR('4. NPV'!DIL23/'4. NPV'!DIL$8,0)</f>
        <v>-0.0</v>
      </c>
      <c r="DIL53" s="5">
        <f>-IFERROR('4. NPV'!DIM23/'4. NPV'!DIM$8,0)</f>
        <v>-0.0</v>
      </c>
      <c r="DIM53" s="5">
        <f>-IFERROR('4. NPV'!DIN23/'4. NPV'!DIN$8,0)</f>
        <v>-0.0</v>
      </c>
      <c r="DIN53" s="5">
        <f>-IFERROR('4. NPV'!DIO23/'4. NPV'!DIO$8,0)</f>
        <v>-0.0</v>
      </c>
      <c r="DIO53" s="5">
        <f>-IFERROR('4. NPV'!DIP23/'4. NPV'!DIP$8,0)</f>
        <v>-0.0</v>
      </c>
      <c r="DIP53" s="5">
        <f>-IFERROR('4. NPV'!DIQ23/'4. NPV'!DIQ$8,0)</f>
        <v>-0.0</v>
      </c>
      <c r="DIQ53" s="5">
        <f>-IFERROR('4. NPV'!DIR23/'4. NPV'!DIR$8,0)</f>
        <v>-0.0</v>
      </c>
      <c r="DIR53" s="5">
        <f>-IFERROR('4. NPV'!DIS23/'4. NPV'!DIS$8,0)</f>
        <v>-0.0</v>
      </c>
      <c r="DIS53" s="5">
        <f>-IFERROR('4. NPV'!DIT23/'4. NPV'!DIT$8,0)</f>
        <v>-0.0</v>
      </c>
      <c r="DIT53" s="5">
        <f>-IFERROR('4. NPV'!DIU23/'4. NPV'!DIU$8,0)</f>
        <v>-0.0</v>
      </c>
      <c r="DIU53" s="5">
        <f>-IFERROR('4. NPV'!DIV23/'4. NPV'!DIV$8,0)</f>
        <v>-0.0</v>
      </c>
      <c r="DIV53" s="5">
        <f>-IFERROR('4. NPV'!DIW23/'4. NPV'!DIW$8,0)</f>
        <v>-0.0</v>
      </c>
      <c r="DIW53" s="5">
        <f>-IFERROR('4. NPV'!DIX23/'4. NPV'!DIX$8,0)</f>
        <v>-0.0</v>
      </c>
      <c r="DIX53" s="5">
        <f>-IFERROR('4. NPV'!DIY23/'4. NPV'!DIY$8,0)</f>
        <v>-0.0</v>
      </c>
      <c r="DIY53" s="5">
        <f>-IFERROR('4. NPV'!DIZ23/'4. NPV'!DIZ$8,0)</f>
        <v>-0.0</v>
      </c>
      <c r="DIZ53" s="5">
        <f>-IFERROR('4. NPV'!DJA23/'4. NPV'!DJA$8,0)</f>
        <v>-0.0</v>
      </c>
      <c r="DJA53" s="5">
        <f>-IFERROR('4. NPV'!DJB23/'4. NPV'!DJB$8,0)</f>
        <v>-0.0</v>
      </c>
      <c r="DJB53" s="5">
        <f>-IFERROR('4. NPV'!DJC23/'4. NPV'!DJC$8,0)</f>
        <v>-0.0</v>
      </c>
      <c r="DJC53" s="5">
        <f>-IFERROR('4. NPV'!DJD23/'4. NPV'!DJD$8,0)</f>
        <v>-0.0</v>
      </c>
      <c r="DJD53" s="5">
        <f>-IFERROR('4. NPV'!DJE23/'4. NPV'!DJE$8,0)</f>
        <v>-0.0</v>
      </c>
      <c r="DJE53" s="5">
        <f>-IFERROR('4. NPV'!DJF23/'4. NPV'!DJF$8,0)</f>
        <v>-0.0</v>
      </c>
      <c r="DJF53" s="5">
        <f>-IFERROR('4. NPV'!DJG23/'4. NPV'!DJG$8,0)</f>
        <v>-0.0</v>
      </c>
      <c r="DJG53" s="5">
        <f>-IFERROR('4. NPV'!DJH23/'4. NPV'!DJH$8,0)</f>
        <v>-0.0</v>
      </c>
      <c r="DJH53" s="5">
        <f>-IFERROR('4. NPV'!DJI23/'4. NPV'!DJI$8,0)</f>
        <v>-0.0</v>
      </c>
      <c r="DJI53" s="5">
        <f>-IFERROR('4. NPV'!DJJ23/'4. NPV'!DJJ$8,0)</f>
        <v>-0.0</v>
      </c>
      <c r="DJJ53" s="5">
        <f>-IFERROR('4. NPV'!DJK23/'4. NPV'!DJK$8,0)</f>
        <v>-0.0</v>
      </c>
      <c r="DJK53" s="5">
        <f>-IFERROR('4. NPV'!DJL23/'4. NPV'!DJL$8,0)</f>
        <v>-0.0</v>
      </c>
      <c r="DJL53" s="5">
        <f>-IFERROR('4. NPV'!DJM23/'4. NPV'!DJM$8,0)</f>
        <v>-0.0</v>
      </c>
      <c r="DJM53" s="5">
        <f>-IFERROR('4. NPV'!DJN23/'4. NPV'!DJN$8,0)</f>
        <v>-0.0</v>
      </c>
      <c r="DJN53" s="5">
        <f>-IFERROR('4. NPV'!DJO23/'4. NPV'!DJO$8,0)</f>
        <v>-0.0</v>
      </c>
      <c r="DJO53" s="5">
        <f>-IFERROR('4. NPV'!DJP23/'4. NPV'!DJP$8,0)</f>
        <v>-0.0</v>
      </c>
      <c r="DJP53" s="5">
        <f>-IFERROR('4. NPV'!DJQ23/'4. NPV'!DJQ$8,0)</f>
        <v>-0.0</v>
      </c>
      <c r="DJQ53" s="5">
        <f>-IFERROR('4. NPV'!DJR23/'4. NPV'!DJR$8,0)</f>
        <v>-0.0</v>
      </c>
      <c r="DJR53" s="5">
        <f>-IFERROR('4. NPV'!DJS23/'4. NPV'!DJS$8,0)</f>
        <v>-0.0</v>
      </c>
      <c r="DJS53" s="5">
        <f>-IFERROR('4. NPV'!DJT23/'4. NPV'!DJT$8,0)</f>
        <v>-0.0</v>
      </c>
      <c r="DJT53" s="5">
        <f>-IFERROR('4. NPV'!DJU23/'4. NPV'!DJU$8,0)</f>
        <v>-0.0</v>
      </c>
      <c r="DJU53" s="5">
        <f>-IFERROR('4. NPV'!DJV23/'4. NPV'!DJV$8,0)</f>
        <v>-0.0</v>
      </c>
      <c r="DJV53" s="5">
        <f>-IFERROR('4. NPV'!DJW23/'4. NPV'!DJW$8,0)</f>
        <v>-0.0</v>
      </c>
      <c r="DJW53" s="5">
        <f>-IFERROR('4. NPV'!DJX23/'4. NPV'!DJX$8,0)</f>
        <v>-0.0</v>
      </c>
      <c r="DJX53" s="5">
        <f>-IFERROR('4. NPV'!DJY23/'4. NPV'!DJY$8,0)</f>
        <v>-0.0</v>
      </c>
      <c r="DJY53" s="5">
        <f>-IFERROR('4. NPV'!DJZ23/'4. NPV'!DJZ$8,0)</f>
        <v>-0.0</v>
      </c>
      <c r="DJZ53" s="5">
        <f>-IFERROR('4. NPV'!DKA23/'4. NPV'!DKA$8,0)</f>
        <v>-0.0</v>
      </c>
      <c r="DKA53" s="5">
        <f>-IFERROR('4. NPV'!DKB23/'4. NPV'!DKB$8,0)</f>
        <v>-0.0</v>
      </c>
      <c r="DKB53" s="5">
        <f>-IFERROR('4. NPV'!DKC23/'4. NPV'!DKC$8,0)</f>
        <v>-0.0</v>
      </c>
      <c r="DKC53" s="5">
        <f>-IFERROR('4. NPV'!DKD23/'4. NPV'!DKD$8,0)</f>
        <v>-0.0</v>
      </c>
      <c r="DKD53" s="5">
        <f>-IFERROR('4. NPV'!DKE23/'4. NPV'!DKE$8,0)</f>
        <v>-0.0</v>
      </c>
      <c r="DKE53" s="5">
        <f>-IFERROR('4. NPV'!DKF23/'4. NPV'!DKF$8,0)</f>
        <v>-0.0</v>
      </c>
      <c r="DKF53" s="5">
        <f>-IFERROR('4. NPV'!DKG23/'4. NPV'!DKG$8,0)</f>
        <v>-0.0</v>
      </c>
      <c r="DKG53" s="5">
        <f>-IFERROR('4. NPV'!DKH23/'4. NPV'!DKH$8,0)</f>
        <v>-0.0</v>
      </c>
      <c r="DKH53" s="5">
        <f>-IFERROR('4. NPV'!DKI23/'4. NPV'!DKI$8,0)</f>
        <v>-0.0</v>
      </c>
      <c r="DKI53" s="5">
        <f>-IFERROR('4. NPV'!DKJ23/'4. NPV'!DKJ$8,0)</f>
        <v>-0.0</v>
      </c>
      <c r="DKJ53" s="5">
        <f>-IFERROR('4. NPV'!DKK23/'4. NPV'!DKK$8,0)</f>
        <v>-0.0</v>
      </c>
      <c r="DKK53" s="5">
        <f>-IFERROR('4. NPV'!DKL23/'4. NPV'!DKL$8,0)</f>
        <v>-0.0</v>
      </c>
      <c r="DKL53" s="5">
        <f>-IFERROR('4. NPV'!DKM23/'4. NPV'!DKM$8,0)</f>
        <v>-0.0</v>
      </c>
      <c r="DKM53" s="5">
        <f>-IFERROR('4. NPV'!DKN23/'4. NPV'!DKN$8,0)</f>
        <v>-0.0</v>
      </c>
      <c r="DKN53" s="5">
        <f>-IFERROR('4. NPV'!DKO23/'4. NPV'!DKO$8,0)</f>
        <v>-0.0</v>
      </c>
      <c r="DKO53" s="5">
        <f>-IFERROR('4. NPV'!DKP23/'4. NPV'!DKP$8,0)</f>
        <v>-0.0</v>
      </c>
      <c r="DKP53" s="5">
        <f>-IFERROR('4. NPV'!DKQ23/'4. NPV'!DKQ$8,0)</f>
        <v>-0.0</v>
      </c>
      <c r="DKQ53" s="5">
        <f>-IFERROR('4. NPV'!DKR23/'4. NPV'!DKR$8,0)</f>
        <v>-0.0</v>
      </c>
      <c r="DKR53" s="5">
        <f>-IFERROR('4. NPV'!DKS23/'4. NPV'!DKS$8,0)</f>
        <v>-0.0</v>
      </c>
      <c r="DKS53" s="5">
        <f>-IFERROR('4. NPV'!DKT23/'4. NPV'!DKT$8,0)</f>
        <v>-0.0</v>
      </c>
      <c r="DKT53" s="5">
        <f>-IFERROR('4. NPV'!DKU23/'4. NPV'!DKU$8,0)</f>
        <v>-0.0</v>
      </c>
      <c r="DKU53" s="5">
        <f>-IFERROR('4. NPV'!DKV23/'4. NPV'!DKV$8,0)</f>
        <v>-0.0</v>
      </c>
      <c r="DKV53" s="5">
        <f>-IFERROR('4. NPV'!DKW23/'4. NPV'!DKW$8,0)</f>
        <v>-0.0</v>
      </c>
      <c r="DKW53" s="5">
        <f>-IFERROR('4. NPV'!DKX23/'4. NPV'!DKX$8,0)</f>
        <v>-0.0</v>
      </c>
      <c r="DKX53" s="5">
        <f>-IFERROR('4. NPV'!DKY23/'4. NPV'!DKY$8,0)</f>
        <v>-0.0</v>
      </c>
      <c r="DKY53" s="5">
        <f>-IFERROR('4. NPV'!DKZ23/'4. NPV'!DKZ$8,0)</f>
        <v>-0.0</v>
      </c>
      <c r="DKZ53" s="5">
        <f>-IFERROR('4. NPV'!DLA23/'4. NPV'!DLA$8,0)</f>
        <v>-0.0</v>
      </c>
      <c r="DLA53" s="5">
        <f>-IFERROR('4. NPV'!DLB23/'4. NPV'!DLB$8,0)</f>
        <v>-0.0</v>
      </c>
      <c r="DLB53" s="5">
        <f>-IFERROR('4. NPV'!DLC23/'4. NPV'!DLC$8,0)</f>
        <v>-0.0</v>
      </c>
      <c r="DLC53" s="5">
        <f>-IFERROR('4. NPV'!DLD23/'4. NPV'!DLD$8,0)</f>
        <v>-0.0</v>
      </c>
      <c r="DLD53" s="5">
        <f>-IFERROR('4. NPV'!DLE23/'4. NPV'!DLE$8,0)</f>
        <v>-0.0</v>
      </c>
      <c r="DLE53" s="5">
        <f>-IFERROR('4. NPV'!DLF23/'4. NPV'!DLF$8,0)</f>
        <v>-0.0</v>
      </c>
      <c r="DLF53" s="5">
        <f>-IFERROR('4. NPV'!DLG23/'4. NPV'!DLG$8,0)</f>
        <v>-0.0</v>
      </c>
      <c r="DLG53" s="5">
        <f>-IFERROR('4. NPV'!DLH23/'4. NPV'!DLH$8,0)</f>
        <v>-0.0</v>
      </c>
      <c r="DLH53" s="5">
        <f>-IFERROR('4. NPV'!DLI23/'4. NPV'!DLI$8,0)</f>
        <v>-0.0</v>
      </c>
      <c r="DLI53" s="5">
        <f>-IFERROR('4. NPV'!DLJ23/'4. NPV'!DLJ$8,0)</f>
        <v>-0.0</v>
      </c>
      <c r="DLJ53" s="5">
        <f>-IFERROR('4. NPV'!DLK23/'4. NPV'!DLK$8,0)</f>
        <v>-0.0</v>
      </c>
      <c r="DLK53" s="5">
        <f>-IFERROR('4. NPV'!DLL23/'4. NPV'!DLL$8,0)</f>
        <v>-0.0</v>
      </c>
      <c r="DLL53" s="5">
        <f>-IFERROR('4. NPV'!DLM23/'4. NPV'!DLM$8,0)</f>
        <v>-0.0</v>
      </c>
      <c r="DLM53" s="5">
        <f>-IFERROR('4. NPV'!DLN23/'4. NPV'!DLN$8,0)</f>
        <v>-0.0</v>
      </c>
      <c r="DLN53" s="5">
        <f>-IFERROR('4. NPV'!DLO23/'4. NPV'!DLO$8,0)</f>
        <v>-0.0</v>
      </c>
      <c r="DLO53" s="5">
        <f>-IFERROR('4. NPV'!DLP23/'4. NPV'!DLP$8,0)</f>
        <v>-0.0</v>
      </c>
      <c r="DLP53" s="5">
        <f>-IFERROR('4. NPV'!DLQ23/'4. NPV'!DLQ$8,0)</f>
        <v>-0.0</v>
      </c>
      <c r="DLQ53" s="5">
        <f>-IFERROR('4. NPV'!DLR23/'4. NPV'!DLR$8,0)</f>
        <v>-0.0</v>
      </c>
      <c r="DLR53" s="5">
        <f>-IFERROR('4. NPV'!DLS23/'4. NPV'!DLS$8,0)</f>
        <v>-0.0</v>
      </c>
      <c r="DLS53" s="5">
        <f>-IFERROR('4. NPV'!DLT23/'4. NPV'!DLT$8,0)</f>
        <v>-0.0</v>
      </c>
      <c r="DLT53" s="5">
        <f>-IFERROR('4. NPV'!DLU23/'4. NPV'!DLU$8,0)</f>
        <v>-0.0</v>
      </c>
      <c r="DLU53" s="5">
        <f>-IFERROR('4. NPV'!DLV23/'4. NPV'!DLV$8,0)</f>
        <v>-0.0</v>
      </c>
      <c r="DLV53" s="5">
        <f>-IFERROR('4. NPV'!DLW23/'4. NPV'!DLW$8,0)</f>
        <v>-0.0</v>
      </c>
      <c r="DLW53" s="5">
        <f>-IFERROR('4. NPV'!DLX23/'4. NPV'!DLX$8,0)</f>
        <v>-0.0</v>
      </c>
      <c r="DLX53" s="5">
        <f>-IFERROR('4. NPV'!DLY23/'4. NPV'!DLY$8,0)</f>
        <v>-0.0</v>
      </c>
      <c r="DLY53" s="5">
        <f>-IFERROR('4. NPV'!DLZ23/'4. NPV'!DLZ$8,0)</f>
        <v>-0.0</v>
      </c>
      <c r="DLZ53" s="5">
        <f>-IFERROR('4. NPV'!DMA23/'4. NPV'!DMA$8,0)</f>
        <v>-0.0</v>
      </c>
      <c r="DMA53" s="5">
        <f>-IFERROR('4. NPV'!DMB23/'4. NPV'!DMB$8,0)</f>
        <v>-0.0</v>
      </c>
      <c r="DMB53" s="5">
        <f>-IFERROR('4. NPV'!DMC23/'4. NPV'!DMC$8,0)</f>
        <v>-0.0</v>
      </c>
      <c r="DMC53" s="5">
        <f>-IFERROR('4. NPV'!DMD23/'4. NPV'!DMD$8,0)</f>
        <v>-0.0</v>
      </c>
      <c r="DMD53" s="5">
        <f>-IFERROR('4. NPV'!DME23/'4. NPV'!DME$8,0)</f>
        <v>-0.0</v>
      </c>
      <c r="DME53" s="5">
        <f>-IFERROR('4. NPV'!DMF23/'4. NPV'!DMF$8,0)</f>
        <v>-0.0</v>
      </c>
      <c r="DMF53" s="5">
        <f>-IFERROR('4. NPV'!DMG23/'4. NPV'!DMG$8,0)</f>
        <v>-0.0</v>
      </c>
      <c r="DMG53" s="5">
        <f>-IFERROR('4. NPV'!DMH23/'4. NPV'!DMH$8,0)</f>
        <v>-0.0</v>
      </c>
      <c r="DMH53" s="5">
        <f>-IFERROR('4. NPV'!DMI23/'4. NPV'!DMI$8,0)</f>
        <v>-0.0</v>
      </c>
      <c r="DMI53" s="5">
        <f>-IFERROR('4. NPV'!DMJ23/'4. NPV'!DMJ$8,0)</f>
        <v>-0.0</v>
      </c>
      <c r="DMJ53" s="5">
        <f>-IFERROR('4. NPV'!DMK23/'4. NPV'!DMK$8,0)</f>
        <v>-0.0</v>
      </c>
      <c r="DMK53" s="5">
        <f>-IFERROR('4. NPV'!DML23/'4. NPV'!DML$8,0)</f>
        <v>-0.0</v>
      </c>
      <c r="DML53" s="5">
        <f>-IFERROR('4. NPV'!DMM23/'4. NPV'!DMM$8,0)</f>
        <v>-0.0</v>
      </c>
      <c r="DMM53" s="5">
        <f>-IFERROR('4. NPV'!DMN23/'4. NPV'!DMN$8,0)</f>
        <v>-0.0</v>
      </c>
      <c r="DMN53" s="5">
        <f>-IFERROR('4. NPV'!DMO23/'4. NPV'!DMO$8,0)</f>
        <v>-0.0</v>
      </c>
      <c r="DMO53" s="5">
        <f>-IFERROR('4. NPV'!DMP23/'4. NPV'!DMP$8,0)</f>
        <v>-0.0</v>
      </c>
      <c r="DMP53" s="5">
        <f>-IFERROR('4. NPV'!DMQ23/'4. NPV'!DMQ$8,0)</f>
        <v>-0.0</v>
      </c>
      <c r="DMQ53" s="5">
        <f>-IFERROR('4. NPV'!DMR23/'4. NPV'!DMR$8,0)</f>
        <v>-0.0</v>
      </c>
      <c r="DMR53" s="5">
        <f>-IFERROR('4. NPV'!DMS23/'4. NPV'!DMS$8,0)</f>
        <v>-0.0</v>
      </c>
      <c r="DMS53" s="5">
        <f>-IFERROR('4. NPV'!DMT23/'4. NPV'!DMT$8,0)</f>
        <v>-0.0</v>
      </c>
      <c r="DMT53" s="5">
        <f>-IFERROR('4. NPV'!DMU23/'4. NPV'!DMU$8,0)</f>
        <v>-0.0</v>
      </c>
      <c r="DMU53" s="5">
        <f>-IFERROR('4. NPV'!DMV23/'4. NPV'!DMV$8,0)</f>
        <v>-0.0</v>
      </c>
      <c r="DMV53" s="5">
        <f>-IFERROR('4. NPV'!DMW23/'4. NPV'!DMW$8,0)</f>
        <v>-0.0</v>
      </c>
      <c r="DMW53" s="5">
        <f>-IFERROR('4. NPV'!DMX23/'4. NPV'!DMX$8,0)</f>
        <v>-0.0</v>
      </c>
      <c r="DMX53" s="5">
        <f>-IFERROR('4. NPV'!DMY23/'4. NPV'!DMY$8,0)</f>
        <v>-0.0</v>
      </c>
      <c r="DMY53" s="5">
        <f>-IFERROR('4. NPV'!DMZ23/'4. NPV'!DMZ$8,0)</f>
        <v>-0.0</v>
      </c>
      <c r="DMZ53" s="5">
        <f>-IFERROR('4. NPV'!DNA23/'4. NPV'!DNA$8,0)</f>
        <v>-0.0</v>
      </c>
      <c r="DNA53" s="5">
        <f>-IFERROR('4. NPV'!DNB23/'4. NPV'!DNB$8,0)</f>
        <v>-0.0</v>
      </c>
      <c r="DNB53" s="5">
        <f>-IFERROR('4. NPV'!DNC23/'4. NPV'!DNC$8,0)</f>
        <v>-0.0</v>
      </c>
      <c r="DNC53" s="5">
        <f>-IFERROR('4. NPV'!DND23/'4. NPV'!DND$8,0)</f>
        <v>-0.0</v>
      </c>
      <c r="DND53" s="5">
        <f>-IFERROR('4. NPV'!DNE23/'4. NPV'!DNE$8,0)</f>
        <v>-0.0</v>
      </c>
      <c r="DNE53" s="5">
        <f>-IFERROR('4. NPV'!DNF23/'4. NPV'!DNF$8,0)</f>
        <v>-0.0</v>
      </c>
      <c r="DNF53" s="5">
        <f>-IFERROR('4. NPV'!DNG23/'4. NPV'!DNG$8,0)</f>
        <v>-0.0</v>
      </c>
      <c r="DNG53" s="5">
        <f>-IFERROR('4. NPV'!DNH23/'4. NPV'!DNH$8,0)</f>
        <v>-0.0</v>
      </c>
      <c r="DNH53" s="5">
        <f>-IFERROR('4. NPV'!DNI23/'4. NPV'!DNI$8,0)</f>
        <v>-0.0</v>
      </c>
      <c r="DNI53" s="5">
        <f>-IFERROR('4. NPV'!DNJ23/'4. NPV'!DNJ$8,0)</f>
        <v>-0.0</v>
      </c>
      <c r="DNJ53" s="5">
        <f>-IFERROR('4. NPV'!DNK23/'4. NPV'!DNK$8,0)</f>
        <v>-0.0</v>
      </c>
      <c r="DNK53" s="5">
        <f>-IFERROR('4. NPV'!DNL23/'4. NPV'!DNL$8,0)</f>
        <v>-0.0</v>
      </c>
      <c r="DNL53" s="5">
        <f>-IFERROR('4. NPV'!DNM23/'4. NPV'!DNM$8,0)</f>
        <v>-0.0</v>
      </c>
      <c r="DNM53" s="5">
        <f>-IFERROR('4. NPV'!DNN23/'4. NPV'!DNN$8,0)</f>
        <v>-0.0</v>
      </c>
      <c r="DNN53" s="5">
        <f>-IFERROR('4. NPV'!DNO23/'4. NPV'!DNO$8,0)</f>
        <v>-0.0</v>
      </c>
      <c r="DNO53" s="5">
        <f>-IFERROR('4. NPV'!DNP23/'4. NPV'!DNP$8,0)</f>
        <v>-0.0</v>
      </c>
      <c r="DNP53" s="5">
        <f>-IFERROR('4. NPV'!DNQ23/'4. NPV'!DNQ$8,0)</f>
        <v>-0.0</v>
      </c>
      <c r="DNQ53" s="5">
        <f>-IFERROR('4. NPV'!DNR23/'4. NPV'!DNR$8,0)</f>
        <v>-0.0</v>
      </c>
      <c r="DNR53" s="5">
        <f>-IFERROR('4. NPV'!DNS23/'4. NPV'!DNS$8,0)</f>
        <v>-0.0</v>
      </c>
      <c r="DNS53" s="5">
        <f>-IFERROR('4. NPV'!DNT23/'4. NPV'!DNT$8,0)</f>
        <v>-0.0</v>
      </c>
      <c r="DNT53" s="5">
        <f>-IFERROR('4. NPV'!DNU23/'4. NPV'!DNU$8,0)</f>
        <v>-0.0</v>
      </c>
      <c r="DNU53" s="5">
        <f>-IFERROR('4. NPV'!DNV23/'4. NPV'!DNV$8,0)</f>
        <v>-0.0</v>
      </c>
      <c r="DNV53" s="5">
        <f>-IFERROR('4. NPV'!DNW23/'4. NPV'!DNW$8,0)</f>
        <v>-0.0</v>
      </c>
      <c r="DNW53" s="5">
        <f>-IFERROR('4. NPV'!DNX23/'4. NPV'!DNX$8,0)</f>
        <v>-0.0</v>
      </c>
      <c r="DNX53" s="5">
        <f>-IFERROR('4. NPV'!DNY23/'4. NPV'!DNY$8,0)</f>
        <v>-0.0</v>
      </c>
      <c r="DNY53" s="5">
        <f>-IFERROR('4. NPV'!DNZ23/'4. NPV'!DNZ$8,0)</f>
        <v>-0.0</v>
      </c>
      <c r="DNZ53" s="5">
        <f>-IFERROR('4. NPV'!DOA23/'4. NPV'!DOA$8,0)</f>
        <v>-0.0</v>
      </c>
      <c r="DOA53" s="5">
        <f>-IFERROR('4. NPV'!DOB23/'4. NPV'!DOB$8,0)</f>
        <v>-0.0</v>
      </c>
      <c r="DOB53" s="5">
        <f>-IFERROR('4. NPV'!DOC23/'4. NPV'!DOC$8,0)</f>
        <v>-0.0</v>
      </c>
      <c r="DOC53" s="5">
        <f>-IFERROR('4. NPV'!DOD23/'4. NPV'!DOD$8,0)</f>
        <v>-0.0</v>
      </c>
      <c r="DOD53" s="5">
        <f>-IFERROR('4. NPV'!DOE23/'4. NPV'!DOE$8,0)</f>
        <v>-0.0</v>
      </c>
      <c r="DOE53" s="5">
        <f>-IFERROR('4. NPV'!DOF23/'4. NPV'!DOF$8,0)</f>
        <v>-0.0</v>
      </c>
      <c r="DOF53" s="5">
        <f>-IFERROR('4. NPV'!DOG23/'4. NPV'!DOG$8,0)</f>
        <v>-0.0</v>
      </c>
      <c r="DOG53" s="5">
        <f>-IFERROR('4. NPV'!DOH23/'4. NPV'!DOH$8,0)</f>
        <v>-0.0</v>
      </c>
      <c r="DOH53" s="5">
        <f>-IFERROR('4. NPV'!DOI23/'4. NPV'!DOI$8,0)</f>
        <v>-0.0</v>
      </c>
      <c r="DOI53" s="5">
        <f>-IFERROR('4. NPV'!DOJ23/'4. NPV'!DOJ$8,0)</f>
        <v>-0.0</v>
      </c>
      <c r="DOJ53" s="5">
        <f>-IFERROR('4. NPV'!DOK23/'4. NPV'!DOK$8,0)</f>
        <v>-0.0</v>
      </c>
      <c r="DOK53" s="5">
        <f>-IFERROR('4. NPV'!DOL23/'4. NPV'!DOL$8,0)</f>
        <v>-0.0</v>
      </c>
      <c r="DOL53" s="5">
        <f>-IFERROR('4. NPV'!DOM23/'4. NPV'!DOM$8,0)</f>
        <v>-0.0</v>
      </c>
      <c r="DOM53" s="5">
        <f>-IFERROR('4. NPV'!DON23/'4. NPV'!DON$8,0)</f>
        <v>-0.0</v>
      </c>
      <c r="DON53" s="5">
        <f>-IFERROR('4. NPV'!DOO23/'4. NPV'!DOO$8,0)</f>
        <v>-0.0</v>
      </c>
      <c r="DOO53" s="5">
        <f>-IFERROR('4. NPV'!DOP23/'4. NPV'!DOP$8,0)</f>
        <v>-0.0</v>
      </c>
      <c r="DOP53" s="5">
        <f>-IFERROR('4. NPV'!DOQ23/'4. NPV'!DOQ$8,0)</f>
        <v>-0.0</v>
      </c>
      <c r="DOQ53" s="5">
        <f>-IFERROR('4. NPV'!DOR23/'4. NPV'!DOR$8,0)</f>
        <v>-0.0</v>
      </c>
      <c r="DOR53" s="5">
        <f>-IFERROR('4. NPV'!DOS23/'4. NPV'!DOS$8,0)</f>
        <v>-0.0</v>
      </c>
      <c r="DOS53" s="5">
        <f>-IFERROR('4. NPV'!DOT23/'4. NPV'!DOT$8,0)</f>
        <v>-0.0</v>
      </c>
      <c r="DOT53" s="5">
        <f>-IFERROR('4. NPV'!DOU23/'4. NPV'!DOU$8,0)</f>
        <v>-0.0</v>
      </c>
      <c r="DOU53" s="5">
        <f>-IFERROR('4. NPV'!DOV23/'4. NPV'!DOV$8,0)</f>
        <v>-0.0</v>
      </c>
      <c r="DOV53" s="5">
        <f>-IFERROR('4. NPV'!DOW23/'4. NPV'!DOW$8,0)</f>
        <v>-0.0</v>
      </c>
      <c r="DOW53" s="5">
        <f>-IFERROR('4. NPV'!DOX23/'4. NPV'!DOX$8,0)</f>
        <v>-0.0</v>
      </c>
      <c r="DOX53" s="5">
        <f>-IFERROR('4. NPV'!DOY23/'4. NPV'!DOY$8,0)</f>
        <v>-0.0</v>
      </c>
      <c r="DOY53" s="5">
        <f>-IFERROR('4. NPV'!DOZ23/'4. NPV'!DOZ$8,0)</f>
        <v>-0.0</v>
      </c>
      <c r="DOZ53" s="5">
        <f>-IFERROR('4. NPV'!DPA23/'4. NPV'!DPA$8,0)</f>
        <v>-0.0</v>
      </c>
      <c r="DPA53" s="5">
        <f>-IFERROR('4. NPV'!DPB23/'4. NPV'!DPB$8,0)</f>
        <v>-0.0</v>
      </c>
      <c r="DPB53" s="5">
        <f>-IFERROR('4. NPV'!DPC23/'4. NPV'!DPC$8,0)</f>
        <v>-0.0</v>
      </c>
      <c r="DPC53" s="5">
        <f>-IFERROR('4. NPV'!DPD23/'4. NPV'!DPD$8,0)</f>
        <v>-0.0</v>
      </c>
      <c r="DPD53" s="5">
        <f>-IFERROR('4. NPV'!DPE23/'4. NPV'!DPE$8,0)</f>
        <v>-0.0</v>
      </c>
      <c r="DPE53" s="5">
        <f>-IFERROR('4. NPV'!DPF23/'4. NPV'!DPF$8,0)</f>
        <v>-0.0</v>
      </c>
      <c r="DPF53" s="5">
        <f>-IFERROR('4. NPV'!DPG23/'4. NPV'!DPG$8,0)</f>
        <v>-0.0</v>
      </c>
      <c r="DPG53" s="5">
        <f>-IFERROR('4. NPV'!DPH23/'4. NPV'!DPH$8,0)</f>
        <v>-0.0</v>
      </c>
      <c r="DPH53" s="5">
        <f>-IFERROR('4. NPV'!DPI23/'4. NPV'!DPI$8,0)</f>
        <v>-0.0</v>
      </c>
      <c r="DPI53" s="5">
        <f>-IFERROR('4. NPV'!DPJ23/'4. NPV'!DPJ$8,0)</f>
        <v>-0.0</v>
      </c>
      <c r="DPJ53" s="5">
        <f>-IFERROR('4. NPV'!DPK23/'4. NPV'!DPK$8,0)</f>
        <v>-0.0</v>
      </c>
      <c r="DPK53" s="5">
        <f>-IFERROR('4. NPV'!DPL23/'4. NPV'!DPL$8,0)</f>
        <v>-0.0</v>
      </c>
      <c r="DPL53" s="5">
        <f>-IFERROR('4. NPV'!DPM23/'4. NPV'!DPM$8,0)</f>
        <v>-0.0</v>
      </c>
      <c r="DPM53" s="5">
        <f>-IFERROR('4. NPV'!DPN23/'4. NPV'!DPN$8,0)</f>
        <v>-0.0</v>
      </c>
      <c r="DPN53" s="5">
        <f>-IFERROR('4. NPV'!DPO23/'4. NPV'!DPO$8,0)</f>
        <v>-0.0</v>
      </c>
      <c r="DPO53" s="5">
        <f>-IFERROR('4. NPV'!DPP23/'4. NPV'!DPP$8,0)</f>
        <v>-0.0</v>
      </c>
      <c r="DPP53" s="5">
        <f>-IFERROR('4. NPV'!DPQ23/'4. NPV'!DPQ$8,0)</f>
        <v>-0.0</v>
      </c>
      <c r="DPQ53" s="5">
        <f>-IFERROR('4. NPV'!DPR23/'4. NPV'!DPR$8,0)</f>
        <v>-0.0</v>
      </c>
      <c r="DPR53" s="5">
        <f>-IFERROR('4. NPV'!DPS23/'4. NPV'!DPS$8,0)</f>
        <v>-0.0</v>
      </c>
      <c r="DPS53" s="5">
        <f>-IFERROR('4. NPV'!DPT23/'4. NPV'!DPT$8,0)</f>
        <v>-0.0</v>
      </c>
      <c r="DPT53" s="5">
        <f>-IFERROR('4. NPV'!DPU23/'4. NPV'!DPU$8,0)</f>
        <v>-0.0</v>
      </c>
      <c r="DPU53" s="5">
        <f>-IFERROR('4. NPV'!DPV23/'4. NPV'!DPV$8,0)</f>
        <v>-0.0</v>
      </c>
      <c r="DPV53" s="5">
        <f>-IFERROR('4. NPV'!DPW23/'4. NPV'!DPW$8,0)</f>
        <v>-0.0</v>
      </c>
      <c r="DPW53" s="5">
        <f>-IFERROR('4. NPV'!DPX23/'4. NPV'!DPX$8,0)</f>
        <v>-0.0</v>
      </c>
      <c r="DPX53" s="5">
        <f>-IFERROR('4. NPV'!DPY23/'4. NPV'!DPY$8,0)</f>
        <v>-0.0</v>
      </c>
      <c r="DPY53" s="5">
        <f>-IFERROR('4. NPV'!DPZ23/'4. NPV'!DPZ$8,0)</f>
        <v>-0.0</v>
      </c>
      <c r="DPZ53" s="5">
        <f>-IFERROR('4. NPV'!DQA23/'4. NPV'!DQA$8,0)</f>
        <v>-0.0</v>
      </c>
      <c r="DQA53" s="5">
        <f>-IFERROR('4. NPV'!DQB23/'4. NPV'!DQB$8,0)</f>
        <v>-0.0</v>
      </c>
      <c r="DQB53" s="5">
        <f>-IFERROR('4. NPV'!DQC23/'4. NPV'!DQC$8,0)</f>
        <v>-0.0</v>
      </c>
      <c r="DQC53" s="5">
        <f>-IFERROR('4. NPV'!DQD23/'4. NPV'!DQD$8,0)</f>
        <v>-0.0</v>
      </c>
      <c r="DQD53" s="5">
        <f>-IFERROR('4. NPV'!DQE23/'4. NPV'!DQE$8,0)</f>
        <v>-0.0</v>
      </c>
      <c r="DQE53" s="5">
        <f>-IFERROR('4. NPV'!DQF23/'4. NPV'!DQF$8,0)</f>
        <v>-0.0</v>
      </c>
      <c r="DQF53" s="5">
        <f>-IFERROR('4. NPV'!DQG23/'4. NPV'!DQG$8,0)</f>
        <v>-0.0</v>
      </c>
      <c r="DQG53" s="5">
        <f>-IFERROR('4. NPV'!DQH23/'4. NPV'!DQH$8,0)</f>
        <v>-0.0</v>
      </c>
      <c r="DQH53" s="5">
        <f>-IFERROR('4. NPV'!DQI23/'4. NPV'!DQI$8,0)</f>
        <v>-0.0</v>
      </c>
      <c r="DQI53" s="5">
        <f>-IFERROR('4. NPV'!DQJ23/'4. NPV'!DQJ$8,0)</f>
        <v>-0.0</v>
      </c>
      <c r="DQJ53" s="5">
        <f>-IFERROR('4. NPV'!DQK23/'4. NPV'!DQK$8,0)</f>
        <v>-0.0</v>
      </c>
      <c r="DQK53" s="5">
        <f>-IFERROR('4. NPV'!DQL23/'4. NPV'!DQL$8,0)</f>
        <v>-0.0</v>
      </c>
      <c r="DQL53" s="5">
        <f>-IFERROR('4. NPV'!DQM23/'4. NPV'!DQM$8,0)</f>
        <v>-0.0</v>
      </c>
      <c r="DQM53" s="5">
        <f>-IFERROR('4. NPV'!DQN23/'4. NPV'!DQN$8,0)</f>
        <v>-0.0</v>
      </c>
      <c r="DQN53" s="5">
        <f>-IFERROR('4. NPV'!DQO23/'4. NPV'!DQO$8,0)</f>
        <v>-0.0</v>
      </c>
      <c r="DQO53" s="5">
        <f>-IFERROR('4. NPV'!DQP23/'4. NPV'!DQP$8,0)</f>
        <v>-0.0</v>
      </c>
      <c r="DQP53" s="5">
        <f>-IFERROR('4. NPV'!DQQ23/'4. NPV'!DQQ$8,0)</f>
        <v>-0.0</v>
      </c>
      <c r="DQQ53" s="5">
        <f>-IFERROR('4. NPV'!DQR23/'4. NPV'!DQR$8,0)</f>
        <v>-0.0</v>
      </c>
      <c r="DQR53" s="5">
        <f>-IFERROR('4. NPV'!DQS23/'4. NPV'!DQS$8,0)</f>
        <v>-0.0</v>
      </c>
      <c r="DQS53" s="5">
        <f>-IFERROR('4. NPV'!DQT23/'4. NPV'!DQT$8,0)</f>
        <v>-0.0</v>
      </c>
      <c r="DQT53" s="5">
        <f>-IFERROR('4. NPV'!DQU23/'4. NPV'!DQU$8,0)</f>
        <v>-0.0</v>
      </c>
      <c r="DQU53" s="5">
        <f>-IFERROR('4. NPV'!DQV23/'4. NPV'!DQV$8,0)</f>
        <v>-0.0</v>
      </c>
      <c r="DQV53" s="5">
        <f>-IFERROR('4. NPV'!DQW23/'4. NPV'!DQW$8,0)</f>
        <v>-0.0</v>
      </c>
      <c r="DQW53" s="5">
        <f>-IFERROR('4. NPV'!DQX23/'4. NPV'!DQX$8,0)</f>
        <v>-0.0</v>
      </c>
      <c r="DQX53" s="5">
        <f>-IFERROR('4. NPV'!DQY23/'4. NPV'!DQY$8,0)</f>
        <v>-0.0</v>
      </c>
      <c r="DQY53" s="5">
        <f>-IFERROR('4. NPV'!DQZ23/'4. NPV'!DQZ$8,0)</f>
        <v>-0.0</v>
      </c>
      <c r="DQZ53" s="5">
        <f>-IFERROR('4. NPV'!DRA23/'4. NPV'!DRA$8,0)</f>
        <v>-0.0</v>
      </c>
      <c r="DRA53" s="5">
        <f>-IFERROR('4. NPV'!DRB23/'4. NPV'!DRB$8,0)</f>
        <v>-0.0</v>
      </c>
      <c r="DRB53" s="5">
        <f>-IFERROR('4. NPV'!DRC23/'4. NPV'!DRC$8,0)</f>
        <v>-0.0</v>
      </c>
      <c r="DRC53" s="5">
        <f>-IFERROR('4. NPV'!DRD23/'4. NPV'!DRD$8,0)</f>
        <v>-0.0</v>
      </c>
      <c r="DRD53" s="5">
        <f>-IFERROR('4. NPV'!DRE23/'4. NPV'!DRE$8,0)</f>
        <v>-0.0</v>
      </c>
      <c r="DRE53" s="5">
        <f>-IFERROR('4. NPV'!DRF23/'4. NPV'!DRF$8,0)</f>
        <v>-0.0</v>
      </c>
      <c r="DRF53" s="5">
        <f>-IFERROR('4. NPV'!DRG23/'4. NPV'!DRG$8,0)</f>
        <v>-0.0</v>
      </c>
      <c r="DRG53" s="5">
        <f>-IFERROR('4. NPV'!DRH23/'4. NPV'!DRH$8,0)</f>
        <v>-0.0</v>
      </c>
      <c r="DRH53" s="5">
        <f>-IFERROR('4. NPV'!DRI23/'4. NPV'!DRI$8,0)</f>
        <v>-0.0</v>
      </c>
      <c r="DRI53" s="5">
        <f>-IFERROR('4. NPV'!DRJ23/'4. NPV'!DRJ$8,0)</f>
        <v>-0.0</v>
      </c>
      <c r="DRJ53" s="5">
        <f>-IFERROR('4. NPV'!DRK23/'4. NPV'!DRK$8,0)</f>
        <v>-0.0</v>
      </c>
      <c r="DRK53" s="5">
        <f>-IFERROR('4. NPV'!DRL23/'4. NPV'!DRL$8,0)</f>
        <v>-0.0</v>
      </c>
      <c r="DRL53" s="5">
        <f>-IFERROR('4. NPV'!DRM23/'4. NPV'!DRM$8,0)</f>
        <v>-0.0</v>
      </c>
      <c r="DRM53" s="5">
        <f>-IFERROR('4. NPV'!DRN23/'4. NPV'!DRN$8,0)</f>
        <v>-0.0</v>
      </c>
      <c r="DRN53" s="5">
        <f>-IFERROR('4. NPV'!DRO23/'4. NPV'!DRO$8,0)</f>
        <v>-0.0</v>
      </c>
      <c r="DRO53" s="5">
        <f>-IFERROR('4. NPV'!DRP23/'4. NPV'!DRP$8,0)</f>
        <v>-0.0</v>
      </c>
      <c r="DRP53" s="5">
        <f>-IFERROR('4. NPV'!DRQ23/'4. NPV'!DRQ$8,0)</f>
        <v>-0.0</v>
      </c>
      <c r="DRQ53" s="5">
        <f>-IFERROR('4. NPV'!DRR23/'4. NPV'!DRR$8,0)</f>
        <v>-0.0</v>
      </c>
      <c r="DRR53" s="5">
        <f>-IFERROR('4. NPV'!DRS23/'4. NPV'!DRS$8,0)</f>
        <v>-0.0</v>
      </c>
      <c r="DRS53" s="5">
        <f>-IFERROR('4. NPV'!DRT23/'4. NPV'!DRT$8,0)</f>
        <v>-0.0</v>
      </c>
      <c r="DRT53" s="5">
        <f>-IFERROR('4. NPV'!DRU23/'4. NPV'!DRU$8,0)</f>
        <v>-0.0</v>
      </c>
      <c r="DRU53" s="5">
        <f>-IFERROR('4. NPV'!DRV23/'4. NPV'!DRV$8,0)</f>
        <v>-0.0</v>
      </c>
      <c r="DRV53" s="5">
        <f>-IFERROR('4. NPV'!DRW23/'4. NPV'!DRW$8,0)</f>
        <v>-0.0</v>
      </c>
      <c r="DRW53" s="5">
        <f>-IFERROR('4. NPV'!DRX23/'4. NPV'!DRX$8,0)</f>
        <v>-0.0</v>
      </c>
      <c r="DRX53" s="5">
        <f>-IFERROR('4. NPV'!DRY23/'4. NPV'!DRY$8,0)</f>
        <v>-0.0</v>
      </c>
      <c r="DRY53" s="5">
        <f>-IFERROR('4. NPV'!DRZ23/'4. NPV'!DRZ$8,0)</f>
        <v>-0.0</v>
      </c>
      <c r="DRZ53" s="5">
        <f>-IFERROR('4. NPV'!DSA23/'4. NPV'!DSA$8,0)</f>
        <v>-0.0</v>
      </c>
      <c r="DSA53" s="5">
        <f>-IFERROR('4. NPV'!DSB23/'4. NPV'!DSB$8,0)</f>
        <v>-0.0</v>
      </c>
      <c r="DSB53" s="5">
        <f>-IFERROR('4. NPV'!DSC23/'4. NPV'!DSC$8,0)</f>
        <v>-0.0</v>
      </c>
      <c r="DSC53" s="5">
        <f>-IFERROR('4. NPV'!DSD23/'4. NPV'!DSD$8,0)</f>
        <v>-0.0</v>
      </c>
      <c r="DSD53" s="5">
        <f>-IFERROR('4. NPV'!DSE23/'4. NPV'!DSE$8,0)</f>
        <v>-0.0</v>
      </c>
      <c r="DSE53" s="5">
        <f>-IFERROR('4. NPV'!DSF23/'4. NPV'!DSF$8,0)</f>
        <v>-0.0</v>
      </c>
      <c r="DSF53" s="5">
        <f>-IFERROR('4. NPV'!DSG23/'4. NPV'!DSG$8,0)</f>
        <v>-0.0</v>
      </c>
      <c r="DSG53" s="5">
        <f>-IFERROR('4. NPV'!DSH23/'4. NPV'!DSH$8,0)</f>
        <v>-0.0</v>
      </c>
      <c r="DSH53" s="5">
        <f>-IFERROR('4. NPV'!DSI23/'4. NPV'!DSI$8,0)</f>
        <v>-0.0</v>
      </c>
      <c r="DSI53" s="5">
        <f>-IFERROR('4. NPV'!DSJ23/'4. NPV'!DSJ$8,0)</f>
        <v>-0.0</v>
      </c>
      <c r="DSJ53" s="5">
        <f>-IFERROR('4. NPV'!DSK23/'4. NPV'!DSK$8,0)</f>
        <v>-0.0</v>
      </c>
      <c r="DSK53" s="5">
        <f>-IFERROR('4. NPV'!DSL23/'4. NPV'!DSL$8,0)</f>
        <v>-0.0</v>
      </c>
      <c r="DSL53" s="5">
        <f>-IFERROR('4. NPV'!DSM23/'4. NPV'!DSM$8,0)</f>
        <v>-0.0</v>
      </c>
      <c r="DSM53" s="5">
        <f>-IFERROR('4. NPV'!DSN23/'4. NPV'!DSN$8,0)</f>
        <v>-0.0</v>
      </c>
      <c r="DSN53" s="5">
        <f>-IFERROR('4. NPV'!DSO23/'4. NPV'!DSO$8,0)</f>
        <v>-0.0</v>
      </c>
      <c r="DSO53" s="5">
        <f>-IFERROR('4. NPV'!DSP23/'4. NPV'!DSP$8,0)</f>
        <v>-0.0</v>
      </c>
      <c r="DSP53" s="5">
        <f>-IFERROR('4. NPV'!DSQ23/'4. NPV'!DSQ$8,0)</f>
        <v>-0.0</v>
      </c>
      <c r="DSQ53" s="5">
        <f>-IFERROR('4. NPV'!DSR23/'4. NPV'!DSR$8,0)</f>
        <v>-0.0</v>
      </c>
      <c r="DSR53" s="5">
        <f>-IFERROR('4. NPV'!DSS23/'4. NPV'!DSS$8,0)</f>
        <v>-0.0</v>
      </c>
      <c r="DSS53" s="5">
        <f>-IFERROR('4. NPV'!DST23/'4. NPV'!DST$8,0)</f>
        <v>-0.0</v>
      </c>
      <c r="DST53" s="5">
        <f>-IFERROR('4. NPV'!DSU23/'4. NPV'!DSU$8,0)</f>
        <v>-0.0</v>
      </c>
      <c r="DSU53" s="5">
        <f>-IFERROR('4. NPV'!DSV23/'4. NPV'!DSV$8,0)</f>
        <v>-0.0</v>
      </c>
      <c r="DSV53" s="5">
        <f>-IFERROR('4. NPV'!DSW23/'4. NPV'!DSW$8,0)</f>
        <v>-0.0</v>
      </c>
      <c r="DSW53" s="5">
        <f>-IFERROR('4. NPV'!DSX23/'4. NPV'!DSX$8,0)</f>
        <v>-0.0</v>
      </c>
      <c r="DSX53" s="5">
        <f>-IFERROR('4. NPV'!DSY23/'4. NPV'!DSY$8,0)</f>
        <v>-0.0</v>
      </c>
      <c r="DSY53" s="5">
        <f>-IFERROR('4. NPV'!DSZ23/'4. NPV'!DSZ$8,0)</f>
        <v>-0.0</v>
      </c>
      <c r="DSZ53" s="5">
        <f>-IFERROR('4. NPV'!DTA23/'4. NPV'!DTA$8,0)</f>
        <v>-0.0</v>
      </c>
      <c r="DTA53" s="5">
        <f>-IFERROR('4. NPV'!DTB23/'4. NPV'!DTB$8,0)</f>
        <v>-0.0</v>
      </c>
      <c r="DTB53" s="5">
        <f>-IFERROR('4. NPV'!DTC23/'4. NPV'!DTC$8,0)</f>
        <v>-0.0</v>
      </c>
      <c r="DTC53" s="5">
        <f>-IFERROR('4. NPV'!DTD23/'4. NPV'!DTD$8,0)</f>
        <v>-0.0</v>
      </c>
      <c r="DTD53" s="5">
        <f>-IFERROR('4. NPV'!DTE23/'4. NPV'!DTE$8,0)</f>
        <v>-0.0</v>
      </c>
      <c r="DTE53" s="5">
        <f>-IFERROR('4. NPV'!DTF23/'4. NPV'!DTF$8,0)</f>
        <v>-0.0</v>
      </c>
      <c r="DTF53" s="5">
        <f>-IFERROR('4. NPV'!DTG23/'4. NPV'!DTG$8,0)</f>
        <v>-0.0</v>
      </c>
      <c r="DTG53" s="5">
        <f>-IFERROR('4. NPV'!DTH23/'4. NPV'!DTH$8,0)</f>
        <v>-0.0</v>
      </c>
      <c r="DTH53" s="5">
        <f>-IFERROR('4. NPV'!DTI23/'4. NPV'!DTI$8,0)</f>
        <v>-0.0</v>
      </c>
      <c r="DTI53" s="5">
        <f>-IFERROR('4. NPV'!DTJ23/'4. NPV'!DTJ$8,0)</f>
        <v>-0.0</v>
      </c>
      <c r="DTJ53" s="5">
        <f>-IFERROR('4. NPV'!DTK23/'4. NPV'!DTK$8,0)</f>
        <v>-0.0</v>
      </c>
      <c r="DTK53" s="5">
        <f>-IFERROR('4. NPV'!DTL23/'4. NPV'!DTL$8,0)</f>
        <v>-0.0</v>
      </c>
      <c r="DTL53" s="5">
        <f>-IFERROR('4. NPV'!DTM23/'4. NPV'!DTM$8,0)</f>
        <v>-0.0</v>
      </c>
      <c r="DTM53" s="5">
        <f>-IFERROR('4. NPV'!DTN23/'4. NPV'!DTN$8,0)</f>
        <v>-0.0</v>
      </c>
      <c r="DTN53" s="5">
        <f>-IFERROR('4. NPV'!DTO23/'4. NPV'!DTO$8,0)</f>
        <v>-0.0</v>
      </c>
      <c r="DTO53" s="5">
        <f>-IFERROR('4. NPV'!DTP23/'4. NPV'!DTP$8,0)</f>
        <v>-0.0</v>
      </c>
      <c r="DTP53" s="5">
        <f>-IFERROR('4. NPV'!DTQ23/'4. NPV'!DTQ$8,0)</f>
        <v>-0.0</v>
      </c>
      <c r="DTQ53" s="5">
        <f>-IFERROR('4. NPV'!DTR23/'4. NPV'!DTR$8,0)</f>
        <v>-0.0</v>
      </c>
      <c r="DTR53" s="5">
        <f>-IFERROR('4. NPV'!DTS23/'4. NPV'!DTS$8,0)</f>
        <v>-0.0</v>
      </c>
      <c r="DTS53" s="5">
        <f>-IFERROR('4. NPV'!DTT23/'4. NPV'!DTT$8,0)</f>
        <v>-0.0</v>
      </c>
      <c r="DTT53" s="5">
        <f>-IFERROR('4. NPV'!DTU23/'4. NPV'!DTU$8,0)</f>
        <v>-0.0</v>
      </c>
      <c r="DTU53" s="5">
        <f>-IFERROR('4. NPV'!DTV23/'4. NPV'!DTV$8,0)</f>
        <v>-0.0</v>
      </c>
      <c r="DTV53" s="5">
        <f>-IFERROR('4. NPV'!DTW23/'4. NPV'!DTW$8,0)</f>
        <v>-0.0</v>
      </c>
      <c r="DTW53" s="5">
        <f>-IFERROR('4. NPV'!DTX23/'4. NPV'!DTX$8,0)</f>
        <v>-0.0</v>
      </c>
      <c r="DTX53" s="5">
        <f>-IFERROR('4. NPV'!DTY23/'4. NPV'!DTY$8,0)</f>
        <v>-0.0</v>
      </c>
      <c r="DTY53" s="5">
        <f>-IFERROR('4. NPV'!DTZ23/'4. NPV'!DTZ$8,0)</f>
        <v>-0.0</v>
      </c>
      <c r="DTZ53" s="5">
        <f>-IFERROR('4. NPV'!DUA23/'4. NPV'!DUA$8,0)</f>
        <v>-0.0</v>
      </c>
      <c r="DUA53" s="5">
        <f>-IFERROR('4. NPV'!DUB23/'4. NPV'!DUB$8,0)</f>
        <v>-0.0</v>
      </c>
      <c r="DUB53" s="5">
        <f>-IFERROR('4. NPV'!DUC23/'4. NPV'!DUC$8,0)</f>
        <v>-0.0</v>
      </c>
      <c r="DUC53" s="5">
        <f>-IFERROR('4. NPV'!DUD23/'4. NPV'!DUD$8,0)</f>
        <v>-0.0</v>
      </c>
      <c r="DUD53" s="5">
        <f>-IFERROR('4. NPV'!DUE23/'4. NPV'!DUE$8,0)</f>
        <v>-0.0</v>
      </c>
      <c r="DUE53" s="5">
        <f>-IFERROR('4. NPV'!DUF23/'4. NPV'!DUF$8,0)</f>
        <v>-0.0</v>
      </c>
      <c r="DUF53" s="5">
        <f>-IFERROR('4. NPV'!DUG23/'4. NPV'!DUG$8,0)</f>
        <v>-0.0</v>
      </c>
      <c r="DUG53" s="5">
        <f>-IFERROR('4. NPV'!DUH23/'4. NPV'!DUH$8,0)</f>
        <v>-0.0</v>
      </c>
      <c r="DUH53" s="5">
        <f>-IFERROR('4. NPV'!DUI23/'4. NPV'!DUI$8,0)</f>
        <v>-0.0</v>
      </c>
      <c r="DUI53" s="5">
        <f>-IFERROR('4. NPV'!DUJ23/'4. NPV'!DUJ$8,0)</f>
        <v>-0.0</v>
      </c>
      <c r="DUJ53" s="5">
        <f>-IFERROR('4. NPV'!DUK23/'4. NPV'!DUK$8,0)</f>
        <v>-0.0</v>
      </c>
      <c r="DUK53" s="5">
        <f>-IFERROR('4. NPV'!DUL23/'4. NPV'!DUL$8,0)</f>
        <v>-0.0</v>
      </c>
      <c r="DUL53" s="5">
        <f>-IFERROR('4. NPV'!DUM23/'4. NPV'!DUM$8,0)</f>
        <v>-0.0</v>
      </c>
      <c r="DUM53" s="5">
        <f>-IFERROR('4. NPV'!DUN23/'4. NPV'!DUN$8,0)</f>
        <v>-0.0</v>
      </c>
      <c r="DUN53" s="5">
        <f>-IFERROR('4. NPV'!DUO23/'4. NPV'!DUO$8,0)</f>
        <v>-0.0</v>
      </c>
      <c r="DUO53" s="5">
        <f>-IFERROR('4. NPV'!DUP23/'4. NPV'!DUP$8,0)</f>
        <v>-0.0</v>
      </c>
      <c r="DUP53" s="5">
        <f>-IFERROR('4. NPV'!DUQ23/'4. NPV'!DUQ$8,0)</f>
        <v>-0.0</v>
      </c>
      <c r="DUQ53" s="5">
        <f>-IFERROR('4. NPV'!DUR23/'4. NPV'!DUR$8,0)</f>
        <v>-0.0</v>
      </c>
      <c r="DUR53" s="5">
        <f>-IFERROR('4. NPV'!DUS23/'4. NPV'!DUS$8,0)</f>
        <v>-0.0</v>
      </c>
      <c r="DUS53" s="5">
        <f>-IFERROR('4. NPV'!DUT23/'4. NPV'!DUT$8,0)</f>
        <v>-0.0</v>
      </c>
      <c r="DUT53" s="5">
        <f>-IFERROR('4. NPV'!DUU23/'4. NPV'!DUU$8,0)</f>
        <v>-0.0</v>
      </c>
      <c r="DUU53" s="5">
        <f>-IFERROR('4. NPV'!DUV23/'4. NPV'!DUV$8,0)</f>
        <v>-0.0</v>
      </c>
      <c r="DUV53" s="5">
        <f>-IFERROR('4. NPV'!DUW23/'4. NPV'!DUW$8,0)</f>
        <v>-0.0</v>
      </c>
      <c r="DUW53" s="5">
        <f>-IFERROR('4. NPV'!DUX23/'4. NPV'!DUX$8,0)</f>
        <v>-0.0</v>
      </c>
      <c r="DUX53" s="5">
        <f>-IFERROR('4. NPV'!DUY23/'4. NPV'!DUY$8,0)</f>
        <v>-0.0</v>
      </c>
      <c r="DUY53" s="5">
        <f>-IFERROR('4. NPV'!DUZ23/'4. NPV'!DUZ$8,0)</f>
        <v>-0.0</v>
      </c>
      <c r="DUZ53" s="5">
        <f>-IFERROR('4. NPV'!DVA23/'4. NPV'!DVA$8,0)</f>
        <v>-0.0</v>
      </c>
      <c r="DVA53" s="5">
        <f>-IFERROR('4. NPV'!DVB23/'4. NPV'!DVB$8,0)</f>
        <v>-0.0</v>
      </c>
      <c r="DVB53" s="5">
        <f>-IFERROR('4. NPV'!DVC23/'4. NPV'!DVC$8,0)</f>
        <v>-0.0</v>
      </c>
      <c r="DVC53" s="5">
        <f>-IFERROR('4. NPV'!DVD23/'4. NPV'!DVD$8,0)</f>
        <v>-0.0</v>
      </c>
      <c r="DVD53" s="5">
        <f>-IFERROR('4. NPV'!DVE23/'4. NPV'!DVE$8,0)</f>
        <v>-0.0</v>
      </c>
      <c r="DVE53" s="5">
        <f>-IFERROR('4. NPV'!DVF23/'4. NPV'!DVF$8,0)</f>
        <v>-0.0</v>
      </c>
      <c r="DVF53" s="5">
        <f>-IFERROR('4. NPV'!DVG23/'4. NPV'!DVG$8,0)</f>
        <v>-0.0</v>
      </c>
      <c r="DVG53" s="5">
        <f>-IFERROR('4. NPV'!DVH23/'4. NPV'!DVH$8,0)</f>
        <v>-0.0</v>
      </c>
      <c r="DVH53" s="5">
        <f>-IFERROR('4. NPV'!DVI23/'4. NPV'!DVI$8,0)</f>
        <v>-0.0</v>
      </c>
      <c r="DVI53" s="5">
        <f>-IFERROR('4. NPV'!DVJ23/'4. NPV'!DVJ$8,0)</f>
        <v>-0.0</v>
      </c>
      <c r="DVJ53" s="5">
        <f>-IFERROR('4. NPV'!DVK23/'4. NPV'!DVK$8,0)</f>
        <v>-0.0</v>
      </c>
      <c r="DVK53" s="5">
        <f>-IFERROR('4. NPV'!DVL23/'4. NPV'!DVL$8,0)</f>
        <v>-0.0</v>
      </c>
      <c r="DVL53" s="5">
        <f>-IFERROR('4. NPV'!DVM23/'4. NPV'!DVM$8,0)</f>
        <v>-0.0</v>
      </c>
      <c r="DVM53" s="5">
        <f>-IFERROR('4. NPV'!DVN23/'4. NPV'!DVN$8,0)</f>
        <v>-0.0</v>
      </c>
      <c r="DVN53" s="5">
        <f>-IFERROR('4. NPV'!DVO23/'4. NPV'!DVO$8,0)</f>
        <v>-0.0</v>
      </c>
      <c r="DVO53" s="5">
        <f>-IFERROR('4. NPV'!DVP23/'4. NPV'!DVP$8,0)</f>
        <v>-0.0</v>
      </c>
      <c r="DVP53" s="5">
        <f>-IFERROR('4. NPV'!DVQ23/'4. NPV'!DVQ$8,0)</f>
        <v>-0.0</v>
      </c>
      <c r="DVQ53" s="5">
        <f>-IFERROR('4. NPV'!DVR23/'4. NPV'!DVR$8,0)</f>
        <v>-0.0</v>
      </c>
      <c r="DVR53" s="5">
        <f>-IFERROR('4. NPV'!DVS23/'4. NPV'!DVS$8,0)</f>
        <v>-0.0</v>
      </c>
      <c r="DVS53" s="5">
        <f>-IFERROR('4. NPV'!DVT23/'4. NPV'!DVT$8,0)</f>
        <v>-0.0</v>
      </c>
      <c r="DVT53" s="5">
        <f>-IFERROR('4. NPV'!DVU23/'4. NPV'!DVU$8,0)</f>
        <v>-0.0</v>
      </c>
      <c r="DVU53" s="5">
        <f>-IFERROR('4. NPV'!DVV23/'4. NPV'!DVV$8,0)</f>
        <v>-0.0</v>
      </c>
      <c r="DVV53" s="5">
        <f>-IFERROR('4. NPV'!DVW23/'4. NPV'!DVW$8,0)</f>
        <v>-0.0</v>
      </c>
      <c r="DVW53" s="5">
        <f>-IFERROR('4. NPV'!DVX23/'4. NPV'!DVX$8,0)</f>
        <v>-0.0</v>
      </c>
      <c r="DVX53" s="5">
        <f>-IFERROR('4. NPV'!DVY23/'4. NPV'!DVY$8,0)</f>
        <v>-0.0</v>
      </c>
      <c r="DVY53" s="5">
        <f>-IFERROR('4. NPV'!DVZ23/'4. NPV'!DVZ$8,0)</f>
        <v>-0.0</v>
      </c>
      <c r="DVZ53" s="5">
        <f>-IFERROR('4. NPV'!DWA23/'4. NPV'!DWA$8,0)</f>
        <v>-0.0</v>
      </c>
      <c r="DWA53" s="5">
        <f>-IFERROR('4. NPV'!DWB23/'4. NPV'!DWB$8,0)</f>
        <v>-0.0</v>
      </c>
      <c r="DWB53" s="5">
        <f>-IFERROR('4. NPV'!DWC23/'4. NPV'!DWC$8,0)</f>
        <v>-0.0</v>
      </c>
      <c r="DWC53" s="5">
        <f>-IFERROR('4. NPV'!DWD23/'4. NPV'!DWD$8,0)</f>
        <v>-0.0</v>
      </c>
      <c r="DWD53" s="5">
        <f>-IFERROR('4. NPV'!DWE23/'4. NPV'!DWE$8,0)</f>
        <v>-0.0</v>
      </c>
      <c r="DWE53" s="5">
        <f>-IFERROR('4. NPV'!DWF23/'4. NPV'!DWF$8,0)</f>
        <v>-0.0</v>
      </c>
      <c r="DWF53" s="5">
        <f>-IFERROR('4. NPV'!DWG23/'4. NPV'!DWG$8,0)</f>
        <v>-0.0</v>
      </c>
      <c r="DWG53" s="5">
        <f>-IFERROR('4. NPV'!DWH23/'4. NPV'!DWH$8,0)</f>
        <v>-0.0</v>
      </c>
      <c r="DWH53" s="5">
        <f>-IFERROR('4. NPV'!DWI23/'4. NPV'!DWI$8,0)</f>
        <v>-0.0</v>
      </c>
      <c r="DWI53" s="5">
        <f>-IFERROR('4. NPV'!DWJ23/'4. NPV'!DWJ$8,0)</f>
        <v>-0.0</v>
      </c>
      <c r="DWJ53" s="5">
        <f>-IFERROR('4. NPV'!DWK23/'4. NPV'!DWK$8,0)</f>
        <v>-0.0</v>
      </c>
      <c r="DWK53" s="5">
        <f>-IFERROR('4. NPV'!DWL23/'4. NPV'!DWL$8,0)</f>
        <v>-0.0</v>
      </c>
      <c r="DWL53" s="5">
        <f>-IFERROR('4. NPV'!DWM23/'4. NPV'!DWM$8,0)</f>
        <v>-0.0</v>
      </c>
      <c r="DWM53" s="5">
        <f>-IFERROR('4. NPV'!DWN23/'4. NPV'!DWN$8,0)</f>
        <v>-0.0</v>
      </c>
      <c r="DWN53" s="5">
        <f>-IFERROR('4. NPV'!DWO23/'4. NPV'!DWO$8,0)</f>
        <v>-0.0</v>
      </c>
      <c r="DWO53" s="5">
        <f>-IFERROR('4. NPV'!DWP23/'4. NPV'!DWP$8,0)</f>
        <v>-0.0</v>
      </c>
      <c r="DWP53" s="5">
        <f>-IFERROR('4. NPV'!DWQ23/'4. NPV'!DWQ$8,0)</f>
        <v>-0.0</v>
      </c>
      <c r="DWQ53" s="5">
        <f>-IFERROR('4. NPV'!DWR23/'4. NPV'!DWR$8,0)</f>
        <v>-0.0</v>
      </c>
      <c r="DWR53" s="5">
        <f>-IFERROR('4. NPV'!DWS23/'4. NPV'!DWS$8,0)</f>
        <v>-0.0</v>
      </c>
      <c r="DWS53" s="5">
        <f>-IFERROR('4. NPV'!DWT23/'4. NPV'!DWT$8,0)</f>
        <v>-0.0</v>
      </c>
      <c r="DWT53" s="5">
        <f>-IFERROR('4. NPV'!DWU23/'4. NPV'!DWU$8,0)</f>
        <v>-0.0</v>
      </c>
      <c r="DWU53" s="5">
        <f>-IFERROR('4. NPV'!DWV23/'4. NPV'!DWV$8,0)</f>
        <v>-0.0</v>
      </c>
      <c r="DWV53" s="5">
        <f>-IFERROR('4. NPV'!DWW23/'4. NPV'!DWW$8,0)</f>
        <v>-0.0</v>
      </c>
      <c r="DWW53" s="5">
        <f>-IFERROR('4. NPV'!DWX23/'4. NPV'!DWX$8,0)</f>
        <v>-0.0</v>
      </c>
      <c r="DWX53" s="5">
        <f>-IFERROR('4. NPV'!DWY23/'4. NPV'!DWY$8,0)</f>
        <v>-0.0</v>
      </c>
      <c r="DWY53" s="5">
        <f>-IFERROR('4. NPV'!DWZ23/'4. NPV'!DWZ$8,0)</f>
        <v>-0.0</v>
      </c>
      <c r="DWZ53" s="5">
        <f>-IFERROR('4. NPV'!DXA23/'4. NPV'!DXA$8,0)</f>
        <v>-0.0</v>
      </c>
      <c r="DXA53" s="5">
        <f>-IFERROR('4. NPV'!DXB23/'4. NPV'!DXB$8,0)</f>
        <v>-0.0</v>
      </c>
      <c r="DXB53" s="5">
        <f>-IFERROR('4. NPV'!DXC23/'4. NPV'!DXC$8,0)</f>
        <v>-0.0</v>
      </c>
      <c r="DXC53" s="5">
        <f>-IFERROR('4. NPV'!DXD23/'4. NPV'!DXD$8,0)</f>
        <v>-0.0</v>
      </c>
      <c r="DXD53" s="5">
        <f>-IFERROR('4. NPV'!DXE23/'4. NPV'!DXE$8,0)</f>
        <v>-0.0</v>
      </c>
      <c r="DXE53" s="5">
        <f>-IFERROR('4. NPV'!DXF23/'4. NPV'!DXF$8,0)</f>
        <v>-0.0</v>
      </c>
      <c r="DXF53" s="5">
        <f>-IFERROR('4. NPV'!DXG23/'4. NPV'!DXG$8,0)</f>
        <v>-0.0</v>
      </c>
      <c r="DXG53" s="5">
        <f>-IFERROR('4. NPV'!DXH23/'4. NPV'!DXH$8,0)</f>
        <v>-0.0</v>
      </c>
      <c r="DXH53" s="5">
        <f>-IFERROR('4. NPV'!DXI23/'4. NPV'!DXI$8,0)</f>
        <v>-0.0</v>
      </c>
      <c r="DXI53" s="5">
        <f>-IFERROR('4. NPV'!DXJ23/'4. NPV'!DXJ$8,0)</f>
        <v>-0.0</v>
      </c>
      <c r="DXJ53" s="5">
        <f>-IFERROR('4. NPV'!DXK23/'4. NPV'!DXK$8,0)</f>
        <v>-0.0</v>
      </c>
      <c r="DXK53" s="5">
        <f>-IFERROR('4. NPV'!DXL23/'4. NPV'!DXL$8,0)</f>
        <v>-0.0</v>
      </c>
      <c r="DXL53" s="5">
        <f>-IFERROR('4. NPV'!DXM23/'4. NPV'!DXM$8,0)</f>
        <v>-0.0</v>
      </c>
      <c r="DXM53" s="5">
        <f>-IFERROR('4. NPV'!DXN23/'4. NPV'!DXN$8,0)</f>
        <v>-0.0</v>
      </c>
      <c r="DXN53" s="5">
        <f>-IFERROR('4. NPV'!DXO23/'4. NPV'!DXO$8,0)</f>
        <v>-0.0</v>
      </c>
      <c r="DXO53" s="5">
        <f>-IFERROR('4. NPV'!DXP23/'4. NPV'!DXP$8,0)</f>
        <v>-0.0</v>
      </c>
      <c r="DXP53" s="5">
        <f>-IFERROR('4. NPV'!DXQ23/'4. NPV'!DXQ$8,0)</f>
        <v>-0.0</v>
      </c>
      <c r="DXQ53" s="5">
        <f>-IFERROR('4. NPV'!DXR23/'4. NPV'!DXR$8,0)</f>
        <v>-0.0</v>
      </c>
      <c r="DXR53" s="5">
        <f>-IFERROR('4. NPV'!DXS23/'4. NPV'!DXS$8,0)</f>
        <v>-0.0</v>
      </c>
      <c r="DXS53" s="5">
        <f>-IFERROR('4. NPV'!DXT23/'4. NPV'!DXT$8,0)</f>
        <v>-0.0</v>
      </c>
      <c r="DXT53" s="5">
        <f>-IFERROR('4. NPV'!DXU23/'4. NPV'!DXU$8,0)</f>
        <v>-0.0</v>
      </c>
      <c r="DXU53" s="5">
        <f>-IFERROR('4. NPV'!DXV23/'4. NPV'!DXV$8,0)</f>
        <v>-0.0</v>
      </c>
      <c r="DXV53" s="5">
        <f>-IFERROR('4. NPV'!DXW23/'4. NPV'!DXW$8,0)</f>
        <v>-0.0</v>
      </c>
      <c r="DXW53" s="5">
        <f>-IFERROR('4. NPV'!DXX23/'4. NPV'!DXX$8,0)</f>
        <v>-0.0</v>
      </c>
      <c r="DXX53" s="5">
        <f>-IFERROR('4. NPV'!DXY23/'4. NPV'!DXY$8,0)</f>
        <v>-0.0</v>
      </c>
      <c r="DXY53" s="5">
        <f>-IFERROR('4. NPV'!DXZ23/'4. NPV'!DXZ$8,0)</f>
        <v>-0.0</v>
      </c>
      <c r="DXZ53" s="5">
        <f>-IFERROR('4. NPV'!DYA23/'4. NPV'!DYA$8,0)</f>
        <v>-0.0</v>
      </c>
      <c r="DYA53" s="5">
        <f>-IFERROR('4. NPV'!DYB23/'4. NPV'!DYB$8,0)</f>
        <v>-0.0</v>
      </c>
      <c r="DYB53" s="5">
        <f>-IFERROR('4. NPV'!DYC23/'4. NPV'!DYC$8,0)</f>
        <v>-0.0</v>
      </c>
      <c r="DYC53" s="5">
        <f>-IFERROR('4. NPV'!DYD23/'4. NPV'!DYD$8,0)</f>
        <v>-0.0</v>
      </c>
      <c r="DYD53" s="5">
        <f>-IFERROR('4. NPV'!DYE23/'4. NPV'!DYE$8,0)</f>
        <v>-0.0</v>
      </c>
      <c r="DYE53" s="5">
        <f>-IFERROR('4. NPV'!DYF23/'4. NPV'!DYF$8,0)</f>
        <v>-0.0</v>
      </c>
      <c r="DYF53" s="5">
        <f>-IFERROR('4. NPV'!DYG23/'4. NPV'!DYG$8,0)</f>
        <v>-0.0</v>
      </c>
      <c r="DYG53" s="5">
        <f>-IFERROR('4. NPV'!DYH23/'4. NPV'!DYH$8,0)</f>
        <v>-0.0</v>
      </c>
      <c r="DYH53" s="5">
        <f>-IFERROR('4. NPV'!DYI23/'4. NPV'!DYI$8,0)</f>
        <v>-0.0</v>
      </c>
      <c r="DYI53" s="5">
        <f>-IFERROR('4. NPV'!DYJ23/'4. NPV'!DYJ$8,0)</f>
        <v>-0.0</v>
      </c>
      <c r="DYJ53" s="5">
        <f>-IFERROR('4. NPV'!DYK23/'4. NPV'!DYK$8,0)</f>
        <v>-0.0</v>
      </c>
      <c r="DYK53" s="5">
        <f>-IFERROR('4. NPV'!DYL23/'4. NPV'!DYL$8,0)</f>
        <v>-0.0</v>
      </c>
      <c r="DYL53" s="5">
        <f>-IFERROR('4. NPV'!DYM23/'4. NPV'!DYM$8,0)</f>
        <v>-0.0</v>
      </c>
      <c r="DYM53" s="5">
        <f>-IFERROR('4. NPV'!DYN23/'4. NPV'!DYN$8,0)</f>
        <v>-0.0</v>
      </c>
      <c r="DYN53" s="5">
        <f>-IFERROR('4. NPV'!DYO23/'4. NPV'!DYO$8,0)</f>
        <v>-0.0</v>
      </c>
      <c r="DYO53" s="5">
        <f>-IFERROR('4. NPV'!DYP23/'4. NPV'!DYP$8,0)</f>
        <v>-0.0</v>
      </c>
      <c r="DYP53" s="5">
        <f>-IFERROR('4. NPV'!DYQ23/'4. NPV'!DYQ$8,0)</f>
        <v>-0.0</v>
      </c>
      <c r="DYQ53" s="5">
        <f>-IFERROR('4. NPV'!DYR23/'4. NPV'!DYR$8,0)</f>
        <v>-0.0</v>
      </c>
      <c r="DYR53" s="5">
        <f>-IFERROR('4. NPV'!DYS23/'4. NPV'!DYS$8,0)</f>
        <v>-0.0</v>
      </c>
      <c r="DYS53" s="5">
        <f>-IFERROR('4. NPV'!DYT23/'4. NPV'!DYT$8,0)</f>
        <v>-0.0</v>
      </c>
      <c r="DYT53" s="5">
        <f>-IFERROR('4. NPV'!DYU23/'4. NPV'!DYU$8,0)</f>
        <v>-0.0</v>
      </c>
      <c r="DYU53" s="5">
        <f>-IFERROR('4. NPV'!DYV23/'4. NPV'!DYV$8,0)</f>
        <v>-0.0</v>
      </c>
      <c r="DYV53" s="5">
        <f>-IFERROR('4. NPV'!DYW23/'4. NPV'!DYW$8,0)</f>
        <v>-0.0</v>
      </c>
      <c r="DYW53" s="5">
        <f>-IFERROR('4. NPV'!DYX23/'4. NPV'!DYX$8,0)</f>
        <v>-0.0</v>
      </c>
      <c r="DYX53" s="5">
        <f>-IFERROR('4. NPV'!DYY23/'4. NPV'!DYY$8,0)</f>
        <v>-0.0</v>
      </c>
      <c r="DYY53" s="5">
        <f>-IFERROR('4. NPV'!DYZ23/'4. NPV'!DYZ$8,0)</f>
        <v>-0.0</v>
      </c>
      <c r="DYZ53" s="5">
        <f>-IFERROR('4. NPV'!DZA23/'4. NPV'!DZA$8,0)</f>
        <v>-0.0</v>
      </c>
      <c r="DZA53" s="5">
        <f>-IFERROR('4. NPV'!DZB23/'4. NPV'!DZB$8,0)</f>
        <v>-0.0</v>
      </c>
      <c r="DZB53" s="5">
        <f>-IFERROR('4. NPV'!DZC23/'4. NPV'!DZC$8,0)</f>
        <v>-0.0</v>
      </c>
      <c r="DZC53" s="5">
        <f>-IFERROR('4. NPV'!DZD23/'4. NPV'!DZD$8,0)</f>
        <v>-0.0</v>
      </c>
      <c r="DZD53" s="5">
        <f>-IFERROR('4. NPV'!DZE23/'4. NPV'!DZE$8,0)</f>
        <v>-0.0</v>
      </c>
      <c r="DZE53" s="5">
        <f>-IFERROR('4. NPV'!DZF23/'4. NPV'!DZF$8,0)</f>
        <v>-0.0</v>
      </c>
      <c r="DZF53" s="5">
        <f>-IFERROR('4. NPV'!DZG23/'4. NPV'!DZG$8,0)</f>
        <v>-0.0</v>
      </c>
      <c r="DZG53" s="5">
        <f>-IFERROR('4. NPV'!DZH23/'4. NPV'!DZH$8,0)</f>
        <v>-0.0</v>
      </c>
      <c r="DZH53" s="5">
        <f>-IFERROR('4. NPV'!DZI23/'4. NPV'!DZI$8,0)</f>
        <v>-0.0</v>
      </c>
      <c r="DZI53" s="5">
        <f>-IFERROR('4. NPV'!DZJ23/'4. NPV'!DZJ$8,0)</f>
        <v>-0.0</v>
      </c>
      <c r="DZJ53" s="5">
        <f>-IFERROR('4. NPV'!DZK23/'4. NPV'!DZK$8,0)</f>
        <v>-0.0</v>
      </c>
      <c r="DZK53" s="5">
        <f>-IFERROR('4. NPV'!DZL23/'4. NPV'!DZL$8,0)</f>
        <v>-0.0</v>
      </c>
      <c r="DZL53" s="5">
        <f>-IFERROR('4. NPV'!DZM23/'4. NPV'!DZM$8,0)</f>
        <v>-0.0</v>
      </c>
      <c r="DZM53" s="5">
        <f>-IFERROR('4. NPV'!DZN23/'4. NPV'!DZN$8,0)</f>
        <v>-0.0</v>
      </c>
      <c r="DZN53" s="5">
        <f>-IFERROR('4. NPV'!DZO23/'4. NPV'!DZO$8,0)</f>
        <v>-0.0</v>
      </c>
      <c r="DZO53" s="5">
        <f>-IFERROR('4. NPV'!DZP23/'4. NPV'!DZP$8,0)</f>
        <v>-0.0</v>
      </c>
      <c r="DZP53" s="5">
        <f>-IFERROR('4. NPV'!DZQ23/'4. NPV'!DZQ$8,0)</f>
        <v>-0.0</v>
      </c>
      <c r="DZQ53" s="5">
        <f>-IFERROR('4. NPV'!DZR23/'4. NPV'!DZR$8,0)</f>
        <v>-0.0</v>
      </c>
      <c r="DZR53" s="5">
        <f>-IFERROR('4. NPV'!DZS23/'4. NPV'!DZS$8,0)</f>
        <v>-0.0</v>
      </c>
      <c r="DZS53" s="5">
        <f>-IFERROR('4. NPV'!DZT23/'4. NPV'!DZT$8,0)</f>
        <v>-0.0</v>
      </c>
      <c r="DZT53" s="5">
        <f>-IFERROR('4. NPV'!DZU23/'4. NPV'!DZU$8,0)</f>
        <v>-0.0</v>
      </c>
      <c r="DZU53" s="5">
        <f>-IFERROR('4. NPV'!DZV23/'4. NPV'!DZV$8,0)</f>
        <v>-0.0</v>
      </c>
      <c r="DZV53" s="5">
        <f>-IFERROR('4. NPV'!DZW23/'4. NPV'!DZW$8,0)</f>
        <v>-0.0</v>
      </c>
      <c r="DZW53" s="5">
        <f>-IFERROR('4. NPV'!DZX23/'4. NPV'!DZX$8,0)</f>
        <v>-0.0</v>
      </c>
      <c r="DZX53" s="5">
        <f>-IFERROR('4. NPV'!DZY23/'4. NPV'!DZY$8,0)</f>
        <v>-0.0</v>
      </c>
      <c r="DZY53" s="5">
        <f>-IFERROR('4. NPV'!DZZ23/'4. NPV'!DZZ$8,0)</f>
        <v>-0.0</v>
      </c>
      <c r="DZZ53" s="5">
        <f>-IFERROR('4. NPV'!EAA23/'4. NPV'!EAA$8,0)</f>
        <v>-0.0</v>
      </c>
      <c r="EAA53" s="5">
        <f>-IFERROR('4. NPV'!EAB23/'4. NPV'!EAB$8,0)</f>
        <v>-0.0</v>
      </c>
      <c r="EAB53" s="5">
        <f>-IFERROR('4. NPV'!EAC23/'4. NPV'!EAC$8,0)</f>
        <v>-0.0</v>
      </c>
      <c r="EAC53" s="5">
        <f>-IFERROR('4. NPV'!EAD23/'4. NPV'!EAD$8,0)</f>
        <v>-0.0</v>
      </c>
      <c r="EAD53" s="5">
        <f>-IFERROR('4. NPV'!EAE23/'4. NPV'!EAE$8,0)</f>
        <v>-0.0</v>
      </c>
      <c r="EAE53" s="5">
        <f>-IFERROR('4. NPV'!EAF23/'4. NPV'!EAF$8,0)</f>
        <v>-0.0</v>
      </c>
      <c r="EAF53" s="5">
        <f>-IFERROR('4. NPV'!EAG23/'4. NPV'!EAG$8,0)</f>
        <v>-0.0</v>
      </c>
      <c r="EAG53" s="5">
        <f>-IFERROR('4. NPV'!EAH23/'4. NPV'!EAH$8,0)</f>
        <v>-0.0</v>
      </c>
      <c r="EAH53" s="5">
        <f>-IFERROR('4. NPV'!EAI23/'4. NPV'!EAI$8,0)</f>
        <v>-0.0</v>
      </c>
      <c r="EAI53" s="5">
        <f>-IFERROR('4. NPV'!EAJ23/'4. NPV'!EAJ$8,0)</f>
        <v>-0.0</v>
      </c>
      <c r="EAJ53" s="5">
        <f>-IFERROR('4. NPV'!EAK23/'4. NPV'!EAK$8,0)</f>
        <v>-0.0</v>
      </c>
      <c r="EAK53" s="5">
        <f>-IFERROR('4. NPV'!EAL23/'4. NPV'!EAL$8,0)</f>
        <v>-0.0</v>
      </c>
      <c r="EAL53" s="5">
        <f>-IFERROR('4. NPV'!EAM23/'4. NPV'!EAM$8,0)</f>
        <v>-0.0</v>
      </c>
      <c r="EAM53" s="5">
        <f>-IFERROR('4. NPV'!EAN23/'4. NPV'!EAN$8,0)</f>
        <v>-0.0</v>
      </c>
      <c r="EAN53" s="5">
        <f>-IFERROR('4. NPV'!EAO23/'4. NPV'!EAO$8,0)</f>
        <v>-0.0</v>
      </c>
      <c r="EAO53" s="5">
        <f>-IFERROR('4. NPV'!EAP23/'4. NPV'!EAP$8,0)</f>
        <v>-0.0</v>
      </c>
      <c r="EAP53" s="5">
        <f>-IFERROR('4. NPV'!EAQ23/'4. NPV'!EAQ$8,0)</f>
        <v>-0.0</v>
      </c>
      <c r="EAQ53" s="5">
        <f>-IFERROR('4. NPV'!EAR23/'4. NPV'!EAR$8,0)</f>
        <v>-0.0</v>
      </c>
      <c r="EAR53" s="5">
        <f>-IFERROR('4. NPV'!EAS23/'4. NPV'!EAS$8,0)</f>
        <v>-0.0</v>
      </c>
      <c r="EAS53" s="5">
        <f>-IFERROR('4. NPV'!EAT23/'4. NPV'!EAT$8,0)</f>
        <v>-0.0</v>
      </c>
      <c r="EAT53" s="5">
        <f>-IFERROR('4. NPV'!EAU23/'4. NPV'!EAU$8,0)</f>
        <v>-0.0</v>
      </c>
      <c r="EAU53" s="5">
        <f>-IFERROR('4. NPV'!EAV23/'4. NPV'!EAV$8,0)</f>
        <v>-0.0</v>
      </c>
      <c r="EAV53" s="5">
        <f>-IFERROR('4. NPV'!EAW23/'4. NPV'!EAW$8,0)</f>
        <v>-0.0</v>
      </c>
      <c r="EAW53" s="5">
        <f>-IFERROR('4. NPV'!EAX23/'4. NPV'!EAX$8,0)</f>
        <v>-0.0</v>
      </c>
      <c r="EAX53" s="5">
        <f>-IFERROR('4. NPV'!EAY23/'4. NPV'!EAY$8,0)</f>
        <v>-0.0</v>
      </c>
      <c r="EAY53" s="5">
        <f>-IFERROR('4. NPV'!EAZ23/'4. NPV'!EAZ$8,0)</f>
        <v>-0.0</v>
      </c>
      <c r="EAZ53" s="5">
        <f>-IFERROR('4. NPV'!EBA23/'4. NPV'!EBA$8,0)</f>
        <v>-0.0</v>
      </c>
      <c r="EBA53" s="5">
        <f>-IFERROR('4. NPV'!EBB23/'4. NPV'!EBB$8,0)</f>
        <v>-0.0</v>
      </c>
      <c r="EBB53" s="5">
        <f>-IFERROR('4. NPV'!EBC23/'4. NPV'!EBC$8,0)</f>
        <v>-0.0</v>
      </c>
      <c r="EBC53" s="5">
        <f>-IFERROR('4. NPV'!EBD23/'4. NPV'!EBD$8,0)</f>
        <v>-0.0</v>
      </c>
      <c r="EBD53" s="5">
        <f>-IFERROR('4. NPV'!EBE23/'4. NPV'!EBE$8,0)</f>
        <v>-0.0</v>
      </c>
      <c r="EBE53" s="5">
        <f>-IFERROR('4. NPV'!EBF23/'4. NPV'!EBF$8,0)</f>
        <v>-0.0</v>
      </c>
      <c r="EBF53" s="5">
        <f>-IFERROR('4. NPV'!EBG23/'4. NPV'!EBG$8,0)</f>
        <v>-0.0</v>
      </c>
      <c r="EBG53" s="5">
        <f>-IFERROR('4. NPV'!EBH23/'4. NPV'!EBH$8,0)</f>
        <v>-0.0</v>
      </c>
      <c r="EBH53" s="5">
        <f>-IFERROR('4. NPV'!EBI23/'4. NPV'!EBI$8,0)</f>
        <v>-0.0</v>
      </c>
      <c r="EBI53" s="5">
        <f>-IFERROR('4. NPV'!EBJ23/'4. NPV'!EBJ$8,0)</f>
        <v>-0.0</v>
      </c>
      <c r="EBJ53" s="5">
        <f>-IFERROR('4. NPV'!EBK23/'4. NPV'!EBK$8,0)</f>
        <v>-0.0</v>
      </c>
      <c r="EBK53" s="5">
        <f>-IFERROR('4. NPV'!EBL23/'4. NPV'!EBL$8,0)</f>
        <v>-0.0</v>
      </c>
      <c r="EBL53" s="5">
        <f>-IFERROR('4. NPV'!EBM23/'4. NPV'!EBM$8,0)</f>
        <v>-0.0</v>
      </c>
      <c r="EBM53" s="5">
        <f>-IFERROR('4. NPV'!EBN23/'4. NPV'!EBN$8,0)</f>
        <v>-0.0</v>
      </c>
      <c r="EBN53" s="5">
        <f>-IFERROR('4. NPV'!EBO23/'4. NPV'!EBO$8,0)</f>
        <v>-0.0</v>
      </c>
      <c r="EBO53" s="5">
        <f>-IFERROR('4. NPV'!EBP23/'4. NPV'!EBP$8,0)</f>
        <v>-0.0</v>
      </c>
      <c r="EBP53" s="5">
        <f>-IFERROR('4. NPV'!EBQ23/'4. NPV'!EBQ$8,0)</f>
        <v>-0.0</v>
      </c>
      <c r="EBQ53" s="5">
        <f>-IFERROR('4. NPV'!EBR23/'4. NPV'!EBR$8,0)</f>
        <v>-0.0</v>
      </c>
      <c r="EBR53" s="5">
        <f>-IFERROR('4. NPV'!EBS23/'4. NPV'!EBS$8,0)</f>
        <v>-0.0</v>
      </c>
      <c r="EBS53" s="5">
        <f>-IFERROR('4. NPV'!EBT23/'4. NPV'!EBT$8,0)</f>
        <v>-0.0</v>
      </c>
      <c r="EBT53" s="5">
        <f>-IFERROR('4. NPV'!EBU23/'4. NPV'!EBU$8,0)</f>
        <v>-0.0</v>
      </c>
      <c r="EBU53" s="5">
        <f>-IFERROR('4. NPV'!EBV23/'4. NPV'!EBV$8,0)</f>
        <v>-0.0</v>
      </c>
      <c r="EBV53" s="5">
        <f>-IFERROR('4. NPV'!EBW23/'4. NPV'!EBW$8,0)</f>
        <v>-0.0</v>
      </c>
      <c r="EBW53" s="5">
        <f>-IFERROR('4. NPV'!EBX23/'4. NPV'!EBX$8,0)</f>
        <v>-0.0</v>
      </c>
      <c r="EBX53" s="5">
        <f>-IFERROR('4. NPV'!EBY23/'4. NPV'!EBY$8,0)</f>
        <v>-0.0</v>
      </c>
      <c r="EBY53" s="5">
        <f>-IFERROR('4. NPV'!EBZ23/'4. NPV'!EBZ$8,0)</f>
        <v>-0.0</v>
      </c>
      <c r="EBZ53" s="5">
        <f>-IFERROR('4. NPV'!ECA23/'4. NPV'!ECA$8,0)</f>
        <v>-0.0</v>
      </c>
      <c r="ECA53" s="5">
        <f>-IFERROR('4. NPV'!ECB23/'4. NPV'!ECB$8,0)</f>
        <v>-0.0</v>
      </c>
      <c r="ECB53" s="5">
        <f>-IFERROR('4. NPV'!ECC23/'4. NPV'!ECC$8,0)</f>
        <v>-0.0</v>
      </c>
      <c r="ECC53" s="5">
        <f>-IFERROR('4. NPV'!ECD23/'4. NPV'!ECD$8,0)</f>
        <v>-0.0</v>
      </c>
      <c r="ECD53" s="5">
        <f>-IFERROR('4. NPV'!ECE23/'4. NPV'!ECE$8,0)</f>
        <v>-0.0</v>
      </c>
      <c r="ECE53" s="5">
        <f>-IFERROR('4. NPV'!ECF23/'4. NPV'!ECF$8,0)</f>
        <v>-0.0</v>
      </c>
      <c r="ECF53" s="5">
        <f>-IFERROR('4. NPV'!ECG23/'4. NPV'!ECG$8,0)</f>
        <v>-0.0</v>
      </c>
      <c r="ECG53" s="5">
        <f>-IFERROR('4. NPV'!ECH23/'4. NPV'!ECH$8,0)</f>
        <v>-0.0</v>
      </c>
      <c r="ECH53" s="5">
        <f>-IFERROR('4. NPV'!ECI23/'4. NPV'!ECI$8,0)</f>
        <v>-0.0</v>
      </c>
      <c r="ECI53" s="5">
        <f>-IFERROR('4. NPV'!ECJ23/'4. NPV'!ECJ$8,0)</f>
        <v>-0.0</v>
      </c>
      <c r="ECJ53" s="5">
        <f>-IFERROR('4. NPV'!ECK23/'4. NPV'!ECK$8,0)</f>
        <v>-0.0</v>
      </c>
      <c r="ECK53" s="5">
        <f>-IFERROR('4. NPV'!ECL23/'4. NPV'!ECL$8,0)</f>
        <v>-0.0</v>
      </c>
      <c r="ECL53" s="5">
        <f>-IFERROR('4. NPV'!ECM23/'4. NPV'!ECM$8,0)</f>
        <v>-0.0</v>
      </c>
      <c r="ECM53" s="5">
        <f>-IFERROR('4. NPV'!ECN23/'4. NPV'!ECN$8,0)</f>
        <v>-0.0</v>
      </c>
      <c r="ECN53" s="5">
        <f>-IFERROR('4. NPV'!ECO23/'4. NPV'!ECO$8,0)</f>
        <v>-0.0</v>
      </c>
      <c r="ECO53" s="5">
        <f>-IFERROR('4. NPV'!ECP23/'4. NPV'!ECP$8,0)</f>
        <v>-0.0</v>
      </c>
      <c r="ECP53" s="5">
        <f>-IFERROR('4. NPV'!ECQ23/'4. NPV'!ECQ$8,0)</f>
        <v>-0.0</v>
      </c>
      <c r="ECQ53" s="5">
        <f>-IFERROR('4. NPV'!ECR23/'4. NPV'!ECR$8,0)</f>
        <v>-0.0</v>
      </c>
      <c r="ECR53" s="5">
        <f>-IFERROR('4. NPV'!ECS23/'4. NPV'!ECS$8,0)</f>
        <v>-0.0</v>
      </c>
      <c r="ECS53" s="5">
        <f>-IFERROR('4. NPV'!ECT23/'4. NPV'!ECT$8,0)</f>
        <v>-0.0</v>
      </c>
      <c r="ECT53" s="5">
        <f>-IFERROR('4. NPV'!ECU23/'4. NPV'!ECU$8,0)</f>
        <v>-0.0</v>
      </c>
      <c r="ECU53" s="5">
        <f>-IFERROR('4. NPV'!ECV23/'4. NPV'!ECV$8,0)</f>
        <v>-0.0</v>
      </c>
      <c r="ECV53" s="5">
        <f>-IFERROR('4. NPV'!ECW23/'4. NPV'!ECW$8,0)</f>
        <v>-0.0</v>
      </c>
      <c r="ECW53" s="5">
        <f>-IFERROR('4. NPV'!ECX23/'4. NPV'!ECX$8,0)</f>
        <v>-0.0</v>
      </c>
      <c r="ECX53" s="5">
        <f>-IFERROR('4. NPV'!ECY23/'4. NPV'!ECY$8,0)</f>
        <v>-0.0</v>
      </c>
      <c r="ECY53" s="5">
        <f>-IFERROR('4. NPV'!ECZ23/'4. NPV'!ECZ$8,0)</f>
        <v>-0.0</v>
      </c>
      <c r="ECZ53" s="5">
        <f>-IFERROR('4. NPV'!EDA23/'4. NPV'!EDA$8,0)</f>
        <v>-0.0</v>
      </c>
      <c r="EDA53" s="5">
        <f>-IFERROR('4. NPV'!EDB23/'4. NPV'!EDB$8,0)</f>
        <v>-0.0</v>
      </c>
      <c r="EDB53" s="5">
        <f>-IFERROR('4. NPV'!EDC23/'4. NPV'!EDC$8,0)</f>
        <v>-0.0</v>
      </c>
      <c r="EDC53" s="5">
        <f>-IFERROR('4. NPV'!EDD23/'4. NPV'!EDD$8,0)</f>
        <v>-0.0</v>
      </c>
      <c r="EDD53" s="5">
        <f>-IFERROR('4. NPV'!EDE23/'4. NPV'!EDE$8,0)</f>
        <v>-0.0</v>
      </c>
      <c r="EDE53" s="5">
        <f>-IFERROR('4. NPV'!EDF23/'4. NPV'!EDF$8,0)</f>
        <v>-0.0</v>
      </c>
      <c r="EDF53" s="5">
        <f>-IFERROR('4. NPV'!EDG23/'4. NPV'!EDG$8,0)</f>
        <v>-0.0</v>
      </c>
      <c r="EDG53" s="5">
        <f>-IFERROR('4. NPV'!EDH23/'4. NPV'!EDH$8,0)</f>
        <v>-0.0</v>
      </c>
      <c r="EDH53" s="5">
        <f>-IFERROR('4. NPV'!EDI23/'4. NPV'!EDI$8,0)</f>
        <v>-0.0</v>
      </c>
      <c r="EDI53" s="5">
        <f>-IFERROR('4. NPV'!EDJ23/'4. NPV'!EDJ$8,0)</f>
        <v>-0.0</v>
      </c>
      <c r="EDJ53" s="5">
        <f>-IFERROR('4. NPV'!EDK23/'4. NPV'!EDK$8,0)</f>
        <v>-0.0</v>
      </c>
      <c r="EDK53" s="5">
        <f>-IFERROR('4. NPV'!EDL23/'4. NPV'!EDL$8,0)</f>
        <v>-0.0</v>
      </c>
      <c r="EDL53" s="5">
        <f>-IFERROR('4. NPV'!EDM23/'4. NPV'!EDM$8,0)</f>
        <v>-0.0</v>
      </c>
      <c r="EDM53" s="5">
        <f>-IFERROR('4. NPV'!EDN23/'4. NPV'!EDN$8,0)</f>
        <v>-0.0</v>
      </c>
      <c r="EDN53" s="5">
        <f>-IFERROR('4. NPV'!EDO23/'4. NPV'!EDO$8,0)</f>
        <v>-0.0</v>
      </c>
      <c r="EDO53" s="5">
        <f>-IFERROR('4. NPV'!EDP23/'4. NPV'!EDP$8,0)</f>
        <v>-0.0</v>
      </c>
      <c r="EDP53" s="5">
        <f>-IFERROR('4. NPV'!EDQ23/'4. NPV'!EDQ$8,0)</f>
        <v>-0.0</v>
      </c>
      <c r="EDQ53" s="5">
        <f>-IFERROR('4. NPV'!EDR23/'4. NPV'!EDR$8,0)</f>
        <v>-0.0</v>
      </c>
      <c r="EDR53" s="5">
        <f>-IFERROR('4. NPV'!EDS23/'4. NPV'!EDS$8,0)</f>
        <v>-0.0</v>
      </c>
      <c r="EDS53" s="5">
        <f>-IFERROR('4. NPV'!EDT23/'4. NPV'!EDT$8,0)</f>
        <v>-0.0</v>
      </c>
      <c r="EDT53" s="5">
        <f>-IFERROR('4. NPV'!EDU23/'4. NPV'!EDU$8,0)</f>
        <v>-0.0</v>
      </c>
      <c r="EDU53" s="5">
        <f>-IFERROR('4. NPV'!EDV23/'4. NPV'!EDV$8,0)</f>
        <v>-0.0</v>
      </c>
      <c r="EDV53" s="5">
        <f>-IFERROR('4. NPV'!EDW23/'4. NPV'!EDW$8,0)</f>
        <v>-0.0</v>
      </c>
      <c r="EDW53" s="5">
        <f>-IFERROR('4. NPV'!EDX23/'4. NPV'!EDX$8,0)</f>
        <v>-0.0</v>
      </c>
      <c r="EDX53" s="5">
        <f>-IFERROR('4. NPV'!EDY23/'4. NPV'!EDY$8,0)</f>
        <v>-0.0</v>
      </c>
      <c r="EDY53" s="5">
        <f>-IFERROR('4. NPV'!EDZ23/'4. NPV'!EDZ$8,0)</f>
        <v>-0.0</v>
      </c>
      <c r="EDZ53" s="5">
        <f>-IFERROR('4. NPV'!EEA23/'4. NPV'!EEA$8,0)</f>
        <v>-0.0</v>
      </c>
      <c r="EEA53" s="5">
        <f>-IFERROR('4. NPV'!EEB23/'4. NPV'!EEB$8,0)</f>
        <v>-0.0</v>
      </c>
      <c r="EEB53" s="5">
        <f>-IFERROR('4. NPV'!EEC23/'4. NPV'!EEC$8,0)</f>
        <v>-0.0</v>
      </c>
      <c r="EEC53" s="5">
        <f>-IFERROR('4. NPV'!EED23/'4. NPV'!EED$8,0)</f>
        <v>-0.0</v>
      </c>
      <c r="EED53" s="5">
        <f>-IFERROR('4. NPV'!EEE23/'4. NPV'!EEE$8,0)</f>
        <v>-0.0</v>
      </c>
      <c r="EEE53" s="5">
        <f>-IFERROR('4. NPV'!EEF23/'4. NPV'!EEF$8,0)</f>
        <v>-0.0</v>
      </c>
      <c r="EEF53" s="5">
        <f>-IFERROR('4. NPV'!EEG23/'4. NPV'!EEG$8,0)</f>
        <v>-0.0</v>
      </c>
      <c r="EEG53" s="5">
        <f>-IFERROR('4. NPV'!EEH23/'4. NPV'!EEH$8,0)</f>
        <v>-0.0</v>
      </c>
      <c r="EEH53" s="5">
        <f>-IFERROR('4. NPV'!EEI23/'4. NPV'!EEI$8,0)</f>
        <v>-0.0</v>
      </c>
      <c r="EEI53" s="5">
        <f>-IFERROR('4. NPV'!EEJ23/'4. NPV'!EEJ$8,0)</f>
        <v>-0.0</v>
      </c>
      <c r="EEJ53" s="5">
        <f>-IFERROR('4. NPV'!EEK23/'4. NPV'!EEK$8,0)</f>
        <v>-0.0</v>
      </c>
      <c r="EEK53" s="5">
        <f>-IFERROR('4. NPV'!EEL23/'4. NPV'!EEL$8,0)</f>
        <v>-0.0</v>
      </c>
      <c r="EEL53" s="5">
        <f>-IFERROR('4. NPV'!EEM23/'4. NPV'!EEM$8,0)</f>
        <v>-0.0</v>
      </c>
      <c r="EEM53" s="5">
        <f>-IFERROR('4. NPV'!EEN23/'4. NPV'!EEN$8,0)</f>
        <v>-0.0</v>
      </c>
      <c r="EEN53" s="5">
        <f>-IFERROR('4. NPV'!EEO23/'4. NPV'!EEO$8,0)</f>
        <v>-0.0</v>
      </c>
      <c r="EEO53" s="5">
        <f>-IFERROR('4. NPV'!EEP23/'4. NPV'!EEP$8,0)</f>
        <v>-0.0</v>
      </c>
      <c r="EEP53" s="5">
        <f>-IFERROR('4. NPV'!EEQ23/'4. NPV'!EEQ$8,0)</f>
        <v>-0.0</v>
      </c>
      <c r="EEQ53" s="5">
        <f>-IFERROR('4. NPV'!EER23/'4. NPV'!EER$8,0)</f>
        <v>-0.0</v>
      </c>
      <c r="EER53" s="5">
        <f>-IFERROR('4. NPV'!EES23/'4. NPV'!EES$8,0)</f>
        <v>-0.0</v>
      </c>
      <c r="EES53" s="5">
        <f>-IFERROR('4. NPV'!EET23/'4. NPV'!EET$8,0)</f>
        <v>-0.0</v>
      </c>
      <c r="EET53" s="5">
        <f>-IFERROR('4. NPV'!EEU23/'4. NPV'!EEU$8,0)</f>
        <v>-0.0</v>
      </c>
      <c r="EEU53" s="5">
        <f>-IFERROR('4. NPV'!EEV23/'4. NPV'!EEV$8,0)</f>
        <v>-0.0</v>
      </c>
      <c r="EEV53" s="5">
        <f>-IFERROR('4. NPV'!EEW23/'4. NPV'!EEW$8,0)</f>
        <v>-0.0</v>
      </c>
      <c r="EEW53" s="5">
        <f>-IFERROR('4. NPV'!EEX23/'4. NPV'!EEX$8,0)</f>
        <v>-0.0</v>
      </c>
      <c r="EEX53" s="5">
        <f>-IFERROR('4. NPV'!EEY23/'4. NPV'!EEY$8,0)</f>
        <v>-0.0</v>
      </c>
      <c r="EEY53" s="5">
        <f>-IFERROR('4. NPV'!EEZ23/'4. NPV'!EEZ$8,0)</f>
        <v>-0.0</v>
      </c>
      <c r="EEZ53" s="5">
        <f>-IFERROR('4. NPV'!EFA23/'4. NPV'!EFA$8,0)</f>
        <v>-0.0</v>
      </c>
      <c r="EFA53" s="5">
        <f>-IFERROR('4. NPV'!EFB23/'4. NPV'!EFB$8,0)</f>
        <v>-0.0</v>
      </c>
      <c r="EFB53" s="5">
        <f>-IFERROR('4. NPV'!EFC23/'4. NPV'!EFC$8,0)</f>
        <v>-0.0</v>
      </c>
      <c r="EFC53" s="5">
        <f>-IFERROR('4. NPV'!EFD23/'4. NPV'!EFD$8,0)</f>
        <v>-0.0</v>
      </c>
      <c r="EFD53" s="5">
        <f>-IFERROR('4. NPV'!EFE23/'4. NPV'!EFE$8,0)</f>
        <v>-0.0</v>
      </c>
      <c r="EFE53" s="5">
        <f>-IFERROR('4. NPV'!EFF23/'4. NPV'!EFF$8,0)</f>
        <v>-0.0</v>
      </c>
      <c r="EFF53" s="5">
        <f>-IFERROR('4. NPV'!EFG23/'4. NPV'!EFG$8,0)</f>
        <v>-0.0</v>
      </c>
      <c r="EFG53" s="5">
        <f>-IFERROR('4. NPV'!EFH23/'4. NPV'!EFH$8,0)</f>
        <v>-0.0</v>
      </c>
      <c r="EFH53" s="5">
        <f>-IFERROR('4. NPV'!EFI23/'4. NPV'!EFI$8,0)</f>
        <v>-0.0</v>
      </c>
      <c r="EFI53" s="5">
        <f>-IFERROR('4. NPV'!EFJ23/'4. NPV'!EFJ$8,0)</f>
        <v>-0.0</v>
      </c>
      <c r="EFJ53" s="5">
        <f>-IFERROR('4. NPV'!EFK23/'4. NPV'!EFK$8,0)</f>
        <v>-0.0</v>
      </c>
      <c r="EFK53" s="5">
        <f>-IFERROR('4. NPV'!EFL23/'4. NPV'!EFL$8,0)</f>
        <v>-0.0</v>
      </c>
      <c r="EFL53" s="5">
        <f>-IFERROR('4. NPV'!EFM23/'4. NPV'!EFM$8,0)</f>
        <v>-0.0</v>
      </c>
      <c r="EFM53" s="5">
        <f>-IFERROR('4. NPV'!EFN23/'4. NPV'!EFN$8,0)</f>
        <v>-0.0</v>
      </c>
      <c r="EFN53" s="5">
        <f>-IFERROR('4. NPV'!EFO23/'4. NPV'!EFO$8,0)</f>
        <v>-0.0</v>
      </c>
      <c r="EFO53" s="5">
        <f>-IFERROR('4. NPV'!EFP23/'4. NPV'!EFP$8,0)</f>
        <v>-0.0</v>
      </c>
      <c r="EFP53" s="5">
        <f>-IFERROR('4. NPV'!EFQ23/'4. NPV'!EFQ$8,0)</f>
        <v>-0.0</v>
      </c>
      <c r="EFQ53" s="5">
        <f>-IFERROR('4. NPV'!EFR23/'4. NPV'!EFR$8,0)</f>
        <v>-0.0</v>
      </c>
      <c r="EFR53" s="5">
        <f>-IFERROR('4. NPV'!EFS23/'4. NPV'!EFS$8,0)</f>
        <v>-0.0</v>
      </c>
      <c r="EFS53" s="5">
        <f>-IFERROR('4. NPV'!EFT23/'4. NPV'!EFT$8,0)</f>
        <v>-0.0</v>
      </c>
      <c r="EFT53" s="5">
        <f>-IFERROR('4. NPV'!EFU23/'4. NPV'!EFU$8,0)</f>
        <v>-0.0</v>
      </c>
      <c r="EFU53" s="5">
        <f>-IFERROR('4. NPV'!EFV23/'4. NPV'!EFV$8,0)</f>
        <v>-0.0</v>
      </c>
      <c r="EFV53" s="5">
        <f>-IFERROR('4. NPV'!EFW23/'4. NPV'!EFW$8,0)</f>
        <v>-0.0</v>
      </c>
      <c r="EFW53" s="5">
        <f>-IFERROR('4. NPV'!EFX23/'4. NPV'!EFX$8,0)</f>
        <v>-0.0</v>
      </c>
      <c r="EFX53" s="5">
        <f>-IFERROR('4. NPV'!EFY23/'4. NPV'!EFY$8,0)</f>
        <v>-0.0</v>
      </c>
      <c r="EFY53" s="5">
        <f>-IFERROR('4. NPV'!EFZ23/'4. NPV'!EFZ$8,0)</f>
        <v>-0.0</v>
      </c>
      <c r="EFZ53" s="5">
        <f>-IFERROR('4. NPV'!EGA23/'4. NPV'!EGA$8,0)</f>
        <v>-0.0</v>
      </c>
      <c r="EGA53" s="5">
        <f>-IFERROR('4. NPV'!EGB23/'4. NPV'!EGB$8,0)</f>
        <v>-0.0</v>
      </c>
      <c r="EGB53" s="5">
        <f>-IFERROR('4. NPV'!EGC23/'4. NPV'!EGC$8,0)</f>
        <v>-0.0</v>
      </c>
      <c r="EGC53" s="5">
        <f>-IFERROR('4. NPV'!EGD23/'4. NPV'!EGD$8,0)</f>
        <v>-0.0</v>
      </c>
      <c r="EGD53" s="5">
        <f>-IFERROR('4. NPV'!EGE23/'4. NPV'!EGE$8,0)</f>
        <v>-0.0</v>
      </c>
      <c r="EGE53" s="5">
        <f>-IFERROR('4. NPV'!EGF23/'4. NPV'!EGF$8,0)</f>
        <v>-0.0</v>
      </c>
      <c r="EGF53" s="5">
        <f>-IFERROR('4. NPV'!EGG23/'4. NPV'!EGG$8,0)</f>
        <v>-0.0</v>
      </c>
      <c r="EGG53" s="5">
        <f>-IFERROR('4. NPV'!EGH23/'4. NPV'!EGH$8,0)</f>
        <v>-0.0</v>
      </c>
      <c r="EGH53" s="5">
        <f>-IFERROR('4. NPV'!EGI23/'4. NPV'!EGI$8,0)</f>
        <v>-0.0</v>
      </c>
      <c r="EGI53" s="5">
        <f>-IFERROR('4. NPV'!EGJ23/'4. NPV'!EGJ$8,0)</f>
        <v>-0.0</v>
      </c>
      <c r="EGJ53" s="5">
        <f>-IFERROR('4. NPV'!EGK23/'4. NPV'!EGK$8,0)</f>
        <v>-0.0</v>
      </c>
      <c r="EGK53" s="5">
        <f>-IFERROR('4. NPV'!EGL23/'4. NPV'!EGL$8,0)</f>
        <v>-0.0</v>
      </c>
      <c r="EGL53" s="5">
        <f>-IFERROR('4. NPV'!EGM23/'4. NPV'!EGM$8,0)</f>
        <v>-0.0</v>
      </c>
      <c r="EGM53" s="5">
        <f>-IFERROR('4. NPV'!EGN23/'4. NPV'!EGN$8,0)</f>
        <v>-0.0</v>
      </c>
      <c r="EGN53" s="5">
        <f>-IFERROR('4. NPV'!EGO23/'4. NPV'!EGO$8,0)</f>
        <v>-0.0</v>
      </c>
      <c r="EGO53" s="5">
        <f>-IFERROR('4. NPV'!EGP23/'4. NPV'!EGP$8,0)</f>
        <v>-0.0</v>
      </c>
      <c r="EGP53" s="5">
        <f>-IFERROR('4. NPV'!EGQ23/'4. NPV'!EGQ$8,0)</f>
        <v>-0.0</v>
      </c>
      <c r="EGQ53" s="5">
        <f>-IFERROR('4. NPV'!EGR23/'4. NPV'!EGR$8,0)</f>
        <v>-0.0</v>
      </c>
      <c r="EGR53" s="5">
        <f>-IFERROR('4. NPV'!EGS23/'4. NPV'!EGS$8,0)</f>
        <v>-0.0</v>
      </c>
      <c r="EGS53" s="5">
        <f>-IFERROR('4. NPV'!EGT23/'4. NPV'!EGT$8,0)</f>
        <v>-0.0</v>
      </c>
      <c r="EGT53" s="5">
        <f>-IFERROR('4. NPV'!EGU23/'4. NPV'!EGU$8,0)</f>
        <v>-0.0</v>
      </c>
      <c r="EGU53" s="5">
        <f>-IFERROR('4. NPV'!EGV23/'4. NPV'!EGV$8,0)</f>
        <v>-0.0</v>
      </c>
      <c r="EGV53" s="5">
        <f>-IFERROR('4. NPV'!EGW23/'4. NPV'!EGW$8,0)</f>
        <v>-0.0</v>
      </c>
      <c r="EGW53" s="5">
        <f>-IFERROR('4. NPV'!EGX23/'4. NPV'!EGX$8,0)</f>
        <v>-0.0</v>
      </c>
      <c r="EGX53" s="5">
        <f>-IFERROR('4. NPV'!EGY23/'4. NPV'!EGY$8,0)</f>
        <v>-0.0</v>
      </c>
      <c r="EGY53" s="5">
        <f>-IFERROR('4. NPV'!EGZ23/'4. NPV'!EGZ$8,0)</f>
        <v>-0.0</v>
      </c>
      <c r="EGZ53" s="5">
        <f>-IFERROR('4. NPV'!EHA23/'4. NPV'!EHA$8,0)</f>
        <v>-0.0</v>
      </c>
      <c r="EHA53" s="5">
        <f>-IFERROR('4. NPV'!EHB23/'4. NPV'!EHB$8,0)</f>
        <v>-0.0</v>
      </c>
      <c r="EHB53" s="5">
        <f>-IFERROR('4. NPV'!EHC23/'4. NPV'!EHC$8,0)</f>
        <v>-0.0</v>
      </c>
      <c r="EHC53" s="5">
        <f>-IFERROR('4. NPV'!EHD23/'4. NPV'!EHD$8,0)</f>
        <v>-0.0</v>
      </c>
      <c r="EHD53" s="5">
        <f>-IFERROR('4. NPV'!EHE23/'4. NPV'!EHE$8,0)</f>
        <v>-0.0</v>
      </c>
      <c r="EHE53" s="5">
        <f>-IFERROR('4. NPV'!EHF23/'4. NPV'!EHF$8,0)</f>
        <v>-0.0</v>
      </c>
      <c r="EHF53" s="5">
        <f>-IFERROR('4. NPV'!EHG23/'4. NPV'!EHG$8,0)</f>
        <v>-0.0</v>
      </c>
      <c r="EHG53" s="5">
        <f>-IFERROR('4. NPV'!EHH23/'4. NPV'!EHH$8,0)</f>
        <v>-0.0</v>
      </c>
      <c r="EHH53" s="5">
        <f>-IFERROR('4. NPV'!EHI23/'4. NPV'!EHI$8,0)</f>
        <v>-0.0</v>
      </c>
      <c r="EHI53" s="5">
        <f>-IFERROR('4. NPV'!EHJ23/'4. NPV'!EHJ$8,0)</f>
        <v>-0.0</v>
      </c>
      <c r="EHJ53" s="5">
        <f>-IFERROR('4. NPV'!EHK23/'4. NPV'!EHK$8,0)</f>
        <v>-0.0</v>
      </c>
      <c r="EHK53" s="5">
        <f>-IFERROR('4. NPV'!EHL23/'4. NPV'!EHL$8,0)</f>
        <v>-0.0</v>
      </c>
      <c r="EHL53" s="5">
        <f>-IFERROR('4. NPV'!EHM23/'4. NPV'!EHM$8,0)</f>
        <v>-0.0</v>
      </c>
      <c r="EHM53" s="5">
        <f>-IFERROR('4. NPV'!EHN23/'4. NPV'!EHN$8,0)</f>
        <v>-0.0</v>
      </c>
      <c r="EHN53" s="5">
        <f>-IFERROR('4. NPV'!EHO23/'4. NPV'!EHO$8,0)</f>
        <v>-0.0</v>
      </c>
      <c r="EHO53" s="5">
        <f>-IFERROR('4. NPV'!EHP23/'4. NPV'!EHP$8,0)</f>
        <v>-0.0</v>
      </c>
      <c r="EHP53" s="5">
        <f>-IFERROR('4. NPV'!EHQ23/'4. NPV'!EHQ$8,0)</f>
        <v>-0.0</v>
      </c>
      <c r="EHQ53" s="5">
        <f>-IFERROR('4. NPV'!EHR23/'4. NPV'!EHR$8,0)</f>
        <v>-0.0</v>
      </c>
      <c r="EHR53" s="5">
        <f>-IFERROR('4. NPV'!EHS23/'4. NPV'!EHS$8,0)</f>
        <v>-0.0</v>
      </c>
      <c r="EHS53" s="5">
        <f>-IFERROR('4. NPV'!EHT23/'4. NPV'!EHT$8,0)</f>
        <v>-0.0</v>
      </c>
      <c r="EHT53" s="5">
        <f>-IFERROR('4. NPV'!EHU23/'4. NPV'!EHU$8,0)</f>
        <v>-0.0</v>
      </c>
      <c r="EHU53" s="5">
        <f>-IFERROR('4. NPV'!EHV23/'4. NPV'!EHV$8,0)</f>
        <v>-0.0</v>
      </c>
      <c r="EHV53" s="5">
        <f>-IFERROR('4. NPV'!EHW23/'4. NPV'!EHW$8,0)</f>
        <v>-0.0</v>
      </c>
      <c r="EHW53" s="5">
        <f>-IFERROR('4. NPV'!EHX23/'4. NPV'!EHX$8,0)</f>
        <v>-0.0</v>
      </c>
      <c r="EHX53" s="5">
        <f>-IFERROR('4. NPV'!EHY23/'4. NPV'!EHY$8,0)</f>
        <v>-0.0</v>
      </c>
      <c r="EHY53" s="5">
        <f>-IFERROR('4. NPV'!EHZ23/'4. NPV'!EHZ$8,0)</f>
        <v>-0.0</v>
      </c>
      <c r="EHZ53" s="5">
        <f>-IFERROR('4. NPV'!EIA23/'4. NPV'!EIA$8,0)</f>
        <v>-0.0</v>
      </c>
      <c r="EIA53" s="5">
        <f>-IFERROR('4. NPV'!EIB23/'4. NPV'!EIB$8,0)</f>
        <v>-0.0</v>
      </c>
      <c r="EIB53" s="5">
        <f>-IFERROR('4. NPV'!EIC23/'4. NPV'!EIC$8,0)</f>
        <v>-0.0</v>
      </c>
      <c r="EIC53" s="5">
        <f>-IFERROR('4. NPV'!EID23/'4. NPV'!EID$8,0)</f>
        <v>-0.0</v>
      </c>
      <c r="EID53" s="5">
        <f>-IFERROR('4. NPV'!EIE23/'4. NPV'!EIE$8,0)</f>
        <v>-0.0</v>
      </c>
      <c r="EIE53" s="5">
        <f>-IFERROR('4. NPV'!EIF23/'4. NPV'!EIF$8,0)</f>
        <v>-0.0</v>
      </c>
      <c r="EIF53" s="5">
        <f>-IFERROR('4. NPV'!EIG23/'4. NPV'!EIG$8,0)</f>
        <v>-0.0</v>
      </c>
      <c r="EIG53" s="5">
        <f>-IFERROR('4. NPV'!EIH23/'4. NPV'!EIH$8,0)</f>
        <v>-0.0</v>
      </c>
      <c r="EIH53" s="5">
        <f>-IFERROR('4. NPV'!EII23/'4. NPV'!EII$8,0)</f>
        <v>-0.0</v>
      </c>
      <c r="EII53" s="5">
        <f>-IFERROR('4. NPV'!EIJ23/'4. NPV'!EIJ$8,0)</f>
        <v>-0.0</v>
      </c>
      <c r="EIJ53" s="5">
        <f>-IFERROR('4. NPV'!EIK23/'4. NPV'!EIK$8,0)</f>
        <v>-0.0</v>
      </c>
      <c r="EIK53" s="5">
        <f>-IFERROR('4. NPV'!EIL23/'4. NPV'!EIL$8,0)</f>
        <v>-0.0</v>
      </c>
      <c r="EIL53" s="5">
        <f>-IFERROR('4. NPV'!EIM23/'4. NPV'!EIM$8,0)</f>
        <v>-0.0</v>
      </c>
      <c r="EIM53" s="5">
        <f>-IFERROR('4. NPV'!EIN23/'4. NPV'!EIN$8,0)</f>
        <v>-0.0</v>
      </c>
      <c r="EIN53" s="5">
        <f>-IFERROR('4. NPV'!EIO23/'4. NPV'!EIO$8,0)</f>
        <v>-0.0</v>
      </c>
      <c r="EIO53" s="5">
        <f>-IFERROR('4. NPV'!EIP23/'4. NPV'!EIP$8,0)</f>
        <v>-0.0</v>
      </c>
      <c r="EIP53" s="5">
        <f>-IFERROR('4. NPV'!EIQ23/'4. NPV'!EIQ$8,0)</f>
        <v>-0.0</v>
      </c>
      <c r="EIQ53" s="5">
        <f>-IFERROR('4. NPV'!EIR23/'4. NPV'!EIR$8,0)</f>
        <v>-0.0</v>
      </c>
      <c r="EIR53" s="5">
        <f>-IFERROR('4. NPV'!EIS23/'4. NPV'!EIS$8,0)</f>
        <v>-0.0</v>
      </c>
      <c r="EIS53" s="5">
        <f>-IFERROR('4. NPV'!EIT23/'4. NPV'!EIT$8,0)</f>
        <v>-0.0</v>
      </c>
      <c r="EIT53" s="5">
        <f>-IFERROR('4. NPV'!EIU23/'4. NPV'!EIU$8,0)</f>
        <v>-0.0</v>
      </c>
      <c r="EIU53" s="5">
        <f>-IFERROR('4. NPV'!EIV23/'4. NPV'!EIV$8,0)</f>
        <v>-0.0</v>
      </c>
      <c r="EIV53" s="5">
        <f>-IFERROR('4. NPV'!EIW23/'4. NPV'!EIW$8,0)</f>
        <v>-0.0</v>
      </c>
      <c r="EIW53" s="5">
        <f>-IFERROR('4. NPV'!EIX23/'4. NPV'!EIX$8,0)</f>
        <v>-0.0</v>
      </c>
      <c r="EIX53" s="5">
        <f>-IFERROR('4. NPV'!EIY23/'4. NPV'!EIY$8,0)</f>
        <v>-0.0</v>
      </c>
      <c r="EIY53" s="5">
        <f>-IFERROR('4. NPV'!EIZ23/'4. NPV'!EIZ$8,0)</f>
        <v>-0.0</v>
      </c>
      <c r="EIZ53" s="5">
        <f>-IFERROR('4. NPV'!EJA23/'4. NPV'!EJA$8,0)</f>
        <v>-0.0</v>
      </c>
      <c r="EJA53" s="5">
        <f>-IFERROR('4. NPV'!EJB23/'4. NPV'!EJB$8,0)</f>
        <v>-0.0</v>
      </c>
      <c r="EJB53" s="5">
        <f>-IFERROR('4. NPV'!EJC23/'4. NPV'!EJC$8,0)</f>
        <v>-0.0</v>
      </c>
      <c r="EJC53" s="5">
        <f>-IFERROR('4. NPV'!EJD23/'4. NPV'!EJD$8,0)</f>
        <v>-0.0</v>
      </c>
      <c r="EJD53" s="5">
        <f>-IFERROR('4. NPV'!EJE23/'4. NPV'!EJE$8,0)</f>
        <v>-0.0</v>
      </c>
      <c r="EJE53" s="5">
        <f>-IFERROR('4. NPV'!EJF23/'4. NPV'!EJF$8,0)</f>
        <v>-0.0</v>
      </c>
      <c r="EJF53" s="5">
        <f>-IFERROR('4. NPV'!EJG23/'4. NPV'!EJG$8,0)</f>
        <v>-0.0</v>
      </c>
      <c r="EJG53" s="5">
        <f>-IFERROR('4. NPV'!EJH23/'4. NPV'!EJH$8,0)</f>
        <v>-0.0</v>
      </c>
      <c r="EJH53" s="5">
        <f>-IFERROR('4. NPV'!EJI23/'4. NPV'!EJI$8,0)</f>
        <v>-0.0</v>
      </c>
      <c r="EJI53" s="5">
        <f>-IFERROR('4. NPV'!EJJ23/'4. NPV'!EJJ$8,0)</f>
        <v>-0.0</v>
      </c>
      <c r="EJJ53" s="5">
        <f>-IFERROR('4. NPV'!EJK23/'4. NPV'!EJK$8,0)</f>
        <v>-0.0</v>
      </c>
      <c r="EJK53" s="5">
        <f>-IFERROR('4. NPV'!EJL23/'4. NPV'!EJL$8,0)</f>
        <v>-0.0</v>
      </c>
      <c r="EJL53" s="5">
        <f>-IFERROR('4. NPV'!EJM23/'4. NPV'!EJM$8,0)</f>
        <v>-0.0</v>
      </c>
      <c r="EJM53" s="5">
        <f>-IFERROR('4. NPV'!EJN23/'4. NPV'!EJN$8,0)</f>
        <v>-0.0</v>
      </c>
      <c r="EJN53" s="5">
        <f>-IFERROR('4. NPV'!EJO23/'4. NPV'!EJO$8,0)</f>
        <v>-0.0</v>
      </c>
      <c r="EJO53" s="5">
        <f>-IFERROR('4. NPV'!EJP23/'4. NPV'!EJP$8,0)</f>
        <v>-0.0</v>
      </c>
      <c r="EJP53" s="5">
        <f>-IFERROR('4. NPV'!EJQ23/'4. NPV'!EJQ$8,0)</f>
        <v>-0.0</v>
      </c>
      <c r="EJQ53" s="5">
        <f>-IFERROR('4. NPV'!EJR23/'4. NPV'!EJR$8,0)</f>
        <v>-0.0</v>
      </c>
      <c r="EJR53" s="5">
        <f>-IFERROR('4. NPV'!EJS23/'4. NPV'!EJS$8,0)</f>
        <v>-0.0</v>
      </c>
      <c r="EJS53" s="5">
        <f>-IFERROR('4. NPV'!EJT23/'4. NPV'!EJT$8,0)</f>
        <v>-0.0</v>
      </c>
      <c r="EJT53" s="5">
        <f>-IFERROR('4. NPV'!EJU23/'4. NPV'!EJU$8,0)</f>
        <v>-0.0</v>
      </c>
      <c r="EJU53" s="5">
        <f>-IFERROR('4. NPV'!EJV23/'4. NPV'!EJV$8,0)</f>
        <v>-0.0</v>
      </c>
      <c r="EJV53" s="5">
        <f>-IFERROR('4. NPV'!EJW23/'4. NPV'!EJW$8,0)</f>
        <v>-0.0</v>
      </c>
      <c r="EJW53" s="5">
        <f>-IFERROR('4. NPV'!EJX23/'4. NPV'!EJX$8,0)</f>
        <v>-0.0</v>
      </c>
      <c r="EJX53" s="5">
        <f>-IFERROR('4. NPV'!EJY23/'4. NPV'!EJY$8,0)</f>
        <v>-0.0</v>
      </c>
      <c r="EJY53" s="5">
        <f>-IFERROR('4. NPV'!EJZ23/'4. NPV'!EJZ$8,0)</f>
        <v>-0.0</v>
      </c>
      <c r="EJZ53" s="5">
        <f>-IFERROR('4. NPV'!EKA23/'4. NPV'!EKA$8,0)</f>
        <v>-0.0</v>
      </c>
      <c r="EKA53" s="5">
        <f>-IFERROR('4. NPV'!EKB23/'4. NPV'!EKB$8,0)</f>
        <v>-0.0</v>
      </c>
      <c r="EKB53" s="5">
        <f>-IFERROR('4. NPV'!EKC23/'4. NPV'!EKC$8,0)</f>
        <v>-0.0</v>
      </c>
      <c r="EKC53" s="5">
        <f>-IFERROR('4. NPV'!EKD23/'4. NPV'!EKD$8,0)</f>
        <v>-0.0</v>
      </c>
      <c r="EKD53" s="5">
        <f>-IFERROR('4. NPV'!EKE23/'4. NPV'!EKE$8,0)</f>
        <v>-0.0</v>
      </c>
      <c r="EKE53" s="5">
        <f>-IFERROR('4. NPV'!EKF23/'4. NPV'!EKF$8,0)</f>
        <v>-0.0</v>
      </c>
      <c r="EKF53" s="5">
        <f>-IFERROR('4. NPV'!EKG23/'4. NPV'!EKG$8,0)</f>
        <v>-0.0</v>
      </c>
      <c r="EKG53" s="5">
        <f>-IFERROR('4. NPV'!EKH23/'4. NPV'!EKH$8,0)</f>
        <v>-0.0</v>
      </c>
      <c r="EKH53" s="5">
        <f>-IFERROR('4. NPV'!EKI23/'4. NPV'!EKI$8,0)</f>
        <v>-0.0</v>
      </c>
      <c r="EKI53" s="5">
        <f>-IFERROR('4. NPV'!EKJ23/'4. NPV'!EKJ$8,0)</f>
        <v>-0.0</v>
      </c>
      <c r="EKJ53" s="5">
        <f>-IFERROR('4. NPV'!EKK23/'4. NPV'!EKK$8,0)</f>
        <v>-0.0</v>
      </c>
      <c r="EKK53" s="5">
        <f>-IFERROR('4. NPV'!EKL23/'4. NPV'!EKL$8,0)</f>
        <v>-0.0</v>
      </c>
      <c r="EKL53" s="5">
        <f>-IFERROR('4. NPV'!EKM23/'4. NPV'!EKM$8,0)</f>
        <v>-0.0</v>
      </c>
      <c r="EKM53" s="5">
        <f>-IFERROR('4. NPV'!EKN23/'4. NPV'!EKN$8,0)</f>
        <v>-0.0</v>
      </c>
      <c r="EKN53" s="5">
        <f>-IFERROR('4. NPV'!EKO23/'4. NPV'!EKO$8,0)</f>
        <v>-0.0</v>
      </c>
      <c r="EKO53" s="5">
        <f>-IFERROR('4. NPV'!EKP23/'4. NPV'!EKP$8,0)</f>
        <v>-0.0</v>
      </c>
      <c r="EKP53" s="5">
        <f>-IFERROR('4. NPV'!EKQ23/'4. NPV'!EKQ$8,0)</f>
        <v>-0.0</v>
      </c>
      <c r="EKQ53" s="5">
        <f>-IFERROR('4. NPV'!EKR23/'4. NPV'!EKR$8,0)</f>
        <v>-0.0</v>
      </c>
      <c r="EKR53" s="5">
        <f>-IFERROR('4. NPV'!EKS23/'4. NPV'!EKS$8,0)</f>
        <v>-0.0</v>
      </c>
      <c r="EKS53" s="5">
        <f>-IFERROR('4. NPV'!EKT23/'4. NPV'!EKT$8,0)</f>
        <v>-0.0</v>
      </c>
      <c r="EKT53" s="5">
        <f>-IFERROR('4. NPV'!EKU23/'4. NPV'!EKU$8,0)</f>
        <v>-0.0</v>
      </c>
      <c r="EKU53" s="5">
        <f>-IFERROR('4. NPV'!EKV23/'4. NPV'!EKV$8,0)</f>
        <v>-0.0</v>
      </c>
      <c r="EKV53" s="5">
        <f>-IFERROR('4. NPV'!EKW23/'4. NPV'!EKW$8,0)</f>
        <v>-0.0</v>
      </c>
      <c r="EKW53" s="5">
        <f>-IFERROR('4. NPV'!EKX23/'4. NPV'!EKX$8,0)</f>
        <v>-0.0</v>
      </c>
      <c r="EKX53" s="5">
        <f>-IFERROR('4. NPV'!EKY23/'4. NPV'!EKY$8,0)</f>
        <v>-0.0</v>
      </c>
      <c r="EKY53" s="5">
        <f>-IFERROR('4. NPV'!EKZ23/'4. NPV'!EKZ$8,0)</f>
        <v>-0.0</v>
      </c>
      <c r="EKZ53" s="5">
        <f>-IFERROR('4. NPV'!ELA23/'4. NPV'!ELA$8,0)</f>
        <v>-0.0</v>
      </c>
      <c r="ELA53" s="5">
        <f>-IFERROR('4. NPV'!ELB23/'4. NPV'!ELB$8,0)</f>
        <v>-0.0</v>
      </c>
      <c r="ELB53" s="5">
        <f>-IFERROR('4. NPV'!ELC23/'4. NPV'!ELC$8,0)</f>
        <v>-0.0</v>
      </c>
      <c r="ELC53" s="5">
        <f>-IFERROR('4. NPV'!ELD23/'4. NPV'!ELD$8,0)</f>
        <v>-0.0</v>
      </c>
      <c r="ELD53" s="5">
        <f>-IFERROR('4. NPV'!ELE23/'4. NPV'!ELE$8,0)</f>
        <v>-0.0</v>
      </c>
      <c r="ELE53" s="5">
        <f>-IFERROR('4. NPV'!ELF23/'4. NPV'!ELF$8,0)</f>
        <v>-0.0</v>
      </c>
      <c r="ELF53" s="5">
        <f>-IFERROR('4. NPV'!ELG23/'4. NPV'!ELG$8,0)</f>
        <v>-0.0</v>
      </c>
      <c r="ELG53" s="5">
        <f>-IFERROR('4. NPV'!ELH23/'4. NPV'!ELH$8,0)</f>
        <v>-0.0</v>
      </c>
      <c r="ELH53" s="5">
        <f>-IFERROR('4. NPV'!ELI23/'4. NPV'!ELI$8,0)</f>
        <v>-0.0</v>
      </c>
      <c r="ELI53" s="5">
        <f>-IFERROR('4. NPV'!ELJ23/'4. NPV'!ELJ$8,0)</f>
        <v>-0.0</v>
      </c>
      <c r="ELJ53" s="5">
        <f>-IFERROR('4. NPV'!ELK23/'4. NPV'!ELK$8,0)</f>
        <v>-0.0</v>
      </c>
      <c r="ELK53" s="5">
        <f>-IFERROR('4. NPV'!ELL23/'4. NPV'!ELL$8,0)</f>
        <v>-0.0</v>
      </c>
      <c r="ELL53" s="5">
        <f>-IFERROR('4. NPV'!ELM23/'4. NPV'!ELM$8,0)</f>
        <v>-0.0</v>
      </c>
      <c r="ELM53" s="5">
        <f>-IFERROR('4. NPV'!ELN23/'4. NPV'!ELN$8,0)</f>
        <v>-0.0</v>
      </c>
      <c r="ELN53" s="5">
        <f>-IFERROR('4. NPV'!ELO23/'4. NPV'!ELO$8,0)</f>
        <v>-0.0</v>
      </c>
      <c r="ELO53" s="5">
        <f>-IFERROR('4. NPV'!ELP23/'4. NPV'!ELP$8,0)</f>
        <v>-0.0</v>
      </c>
      <c r="ELP53" s="5">
        <f>-IFERROR('4. NPV'!ELQ23/'4. NPV'!ELQ$8,0)</f>
        <v>-0.0</v>
      </c>
      <c r="ELQ53" s="5">
        <f>-IFERROR('4. NPV'!ELR23/'4. NPV'!ELR$8,0)</f>
        <v>-0.0</v>
      </c>
      <c r="ELR53" s="5">
        <f>-IFERROR('4. NPV'!ELS23/'4. NPV'!ELS$8,0)</f>
        <v>-0.0</v>
      </c>
      <c r="ELS53" s="5">
        <f>-IFERROR('4. NPV'!ELT23/'4. NPV'!ELT$8,0)</f>
        <v>-0.0</v>
      </c>
      <c r="ELT53" s="5">
        <f>-IFERROR('4. NPV'!ELU23/'4. NPV'!ELU$8,0)</f>
        <v>-0.0</v>
      </c>
      <c r="ELU53" s="5">
        <f>-IFERROR('4. NPV'!ELV23/'4. NPV'!ELV$8,0)</f>
        <v>-0.0</v>
      </c>
      <c r="ELV53" s="5">
        <f>-IFERROR('4. NPV'!ELW23/'4. NPV'!ELW$8,0)</f>
        <v>-0.0</v>
      </c>
      <c r="ELW53" s="5">
        <f>-IFERROR('4. NPV'!ELX23/'4. NPV'!ELX$8,0)</f>
        <v>-0.0</v>
      </c>
      <c r="ELX53" s="5">
        <f>-IFERROR('4. NPV'!ELY23/'4. NPV'!ELY$8,0)</f>
        <v>-0.0</v>
      </c>
      <c r="ELY53" s="5">
        <f>-IFERROR('4. NPV'!ELZ23/'4. NPV'!ELZ$8,0)</f>
        <v>-0.0</v>
      </c>
      <c r="ELZ53" s="5">
        <f>-IFERROR('4. NPV'!EMA23/'4. NPV'!EMA$8,0)</f>
        <v>-0.0</v>
      </c>
      <c r="EMA53" s="5">
        <f>-IFERROR('4. NPV'!EMB23/'4. NPV'!EMB$8,0)</f>
        <v>-0.0</v>
      </c>
      <c r="EMB53" s="5">
        <f>-IFERROR('4. NPV'!EMC23/'4. NPV'!EMC$8,0)</f>
        <v>-0.0</v>
      </c>
      <c r="EMC53" s="5">
        <f>-IFERROR('4. NPV'!EMD23/'4. NPV'!EMD$8,0)</f>
        <v>-0.0</v>
      </c>
      <c r="EMD53" s="5">
        <f>-IFERROR('4. NPV'!EME23/'4. NPV'!EME$8,0)</f>
        <v>-0.0</v>
      </c>
      <c r="EME53" s="5">
        <f>-IFERROR('4. NPV'!EMF23/'4. NPV'!EMF$8,0)</f>
        <v>-0.0</v>
      </c>
      <c r="EMF53" s="5">
        <f>-IFERROR('4. NPV'!EMG23/'4. NPV'!EMG$8,0)</f>
        <v>-0.0</v>
      </c>
      <c r="EMG53" s="5">
        <f>-IFERROR('4. NPV'!EMH23/'4. NPV'!EMH$8,0)</f>
        <v>-0.0</v>
      </c>
      <c r="EMH53" s="5">
        <f>-IFERROR('4. NPV'!EMI23/'4. NPV'!EMI$8,0)</f>
        <v>-0.0</v>
      </c>
      <c r="EMI53" s="5">
        <f>-IFERROR('4. NPV'!EMJ23/'4. NPV'!EMJ$8,0)</f>
        <v>-0.0</v>
      </c>
      <c r="EMJ53" s="5">
        <f>-IFERROR('4. NPV'!EMK23/'4. NPV'!EMK$8,0)</f>
        <v>-0.0</v>
      </c>
      <c r="EMK53" s="5">
        <f>-IFERROR('4. NPV'!EML23/'4. NPV'!EML$8,0)</f>
        <v>-0.0</v>
      </c>
      <c r="EML53" s="5">
        <f>-IFERROR('4. NPV'!EMM23/'4. NPV'!EMM$8,0)</f>
        <v>-0.0</v>
      </c>
      <c r="EMM53" s="5">
        <f>-IFERROR('4. NPV'!EMN23/'4. NPV'!EMN$8,0)</f>
        <v>-0.0</v>
      </c>
      <c r="EMN53" s="5">
        <f>-IFERROR('4. NPV'!EMO23/'4. NPV'!EMO$8,0)</f>
        <v>-0.0</v>
      </c>
      <c r="EMO53" s="5">
        <f>-IFERROR('4. NPV'!EMP23/'4. NPV'!EMP$8,0)</f>
        <v>-0.0</v>
      </c>
      <c r="EMP53" s="5">
        <f>-IFERROR('4. NPV'!EMQ23/'4. NPV'!EMQ$8,0)</f>
        <v>-0.0</v>
      </c>
      <c r="EMQ53" s="5">
        <f>-IFERROR('4. NPV'!EMR23/'4. NPV'!EMR$8,0)</f>
        <v>-0.0</v>
      </c>
      <c r="EMR53" s="5">
        <f>-IFERROR('4. NPV'!EMS23/'4. NPV'!EMS$8,0)</f>
        <v>-0.0</v>
      </c>
      <c r="EMS53" s="5">
        <f>-IFERROR('4. NPV'!EMT23/'4. NPV'!EMT$8,0)</f>
        <v>-0.0</v>
      </c>
      <c r="EMT53" s="5">
        <f>-IFERROR('4. NPV'!EMU23/'4. NPV'!EMU$8,0)</f>
        <v>-0.0</v>
      </c>
      <c r="EMU53" s="5">
        <f>-IFERROR('4. NPV'!EMV23/'4. NPV'!EMV$8,0)</f>
        <v>-0.0</v>
      </c>
      <c r="EMV53" s="5">
        <f>-IFERROR('4. NPV'!EMW23/'4. NPV'!EMW$8,0)</f>
        <v>-0.0</v>
      </c>
      <c r="EMW53" s="5">
        <f>-IFERROR('4. NPV'!EMX23/'4. NPV'!EMX$8,0)</f>
        <v>-0.0</v>
      </c>
      <c r="EMX53" s="5">
        <f>-IFERROR('4. NPV'!EMY23/'4. NPV'!EMY$8,0)</f>
        <v>-0.0</v>
      </c>
      <c r="EMY53" s="5">
        <f>-IFERROR('4. NPV'!EMZ23/'4. NPV'!EMZ$8,0)</f>
        <v>-0.0</v>
      </c>
      <c r="EMZ53" s="5">
        <f>-IFERROR('4. NPV'!ENA23/'4. NPV'!ENA$8,0)</f>
        <v>-0.0</v>
      </c>
      <c r="ENA53" s="5">
        <f>-IFERROR('4. NPV'!ENB23/'4. NPV'!ENB$8,0)</f>
        <v>-0.0</v>
      </c>
      <c r="ENB53" s="5">
        <f>-IFERROR('4. NPV'!ENC23/'4. NPV'!ENC$8,0)</f>
        <v>-0.0</v>
      </c>
      <c r="ENC53" s="5">
        <f>-IFERROR('4. NPV'!END23/'4. NPV'!END$8,0)</f>
        <v>-0.0</v>
      </c>
      <c r="END53" s="5">
        <f>-IFERROR('4. NPV'!ENE23/'4. NPV'!ENE$8,0)</f>
        <v>-0.0</v>
      </c>
      <c r="ENE53" s="5">
        <f>-IFERROR('4. NPV'!ENF23/'4. NPV'!ENF$8,0)</f>
        <v>-0.0</v>
      </c>
      <c r="ENF53" s="5">
        <f>-IFERROR('4. NPV'!ENG23/'4. NPV'!ENG$8,0)</f>
        <v>-0.0</v>
      </c>
      <c r="ENG53" s="5">
        <f>-IFERROR('4. NPV'!ENH23/'4. NPV'!ENH$8,0)</f>
        <v>-0.0</v>
      </c>
      <c r="ENH53" s="5">
        <f>-IFERROR('4. NPV'!ENI23/'4. NPV'!ENI$8,0)</f>
        <v>-0.0</v>
      </c>
      <c r="ENI53" s="5">
        <f>-IFERROR('4. NPV'!ENJ23/'4. NPV'!ENJ$8,0)</f>
        <v>-0.0</v>
      </c>
      <c r="ENJ53" s="5">
        <f>-IFERROR('4. NPV'!ENK23/'4. NPV'!ENK$8,0)</f>
        <v>-0.0</v>
      </c>
      <c r="ENK53" s="5">
        <f>-IFERROR('4. NPV'!ENL23/'4. NPV'!ENL$8,0)</f>
        <v>-0.0</v>
      </c>
      <c r="ENL53" s="5">
        <f>-IFERROR('4. NPV'!ENM23/'4. NPV'!ENM$8,0)</f>
        <v>-0.0</v>
      </c>
      <c r="ENM53" s="5">
        <f>-IFERROR('4. NPV'!ENN23/'4. NPV'!ENN$8,0)</f>
        <v>-0.0</v>
      </c>
      <c r="ENN53" s="5">
        <f>-IFERROR('4. NPV'!ENO23/'4. NPV'!ENO$8,0)</f>
        <v>-0.0</v>
      </c>
      <c r="ENO53" s="5">
        <f>-IFERROR('4. NPV'!ENP23/'4. NPV'!ENP$8,0)</f>
        <v>-0.0</v>
      </c>
      <c r="ENP53" s="5">
        <f>-IFERROR('4. NPV'!ENQ23/'4. NPV'!ENQ$8,0)</f>
        <v>-0.0</v>
      </c>
      <c r="ENQ53" s="5">
        <f>-IFERROR('4. NPV'!ENR23/'4. NPV'!ENR$8,0)</f>
        <v>-0.0</v>
      </c>
      <c r="ENR53" s="5">
        <f>-IFERROR('4. NPV'!ENS23/'4. NPV'!ENS$8,0)</f>
        <v>-0.0</v>
      </c>
      <c r="ENS53" s="5">
        <f>-IFERROR('4. NPV'!ENT23/'4. NPV'!ENT$8,0)</f>
        <v>-0.0</v>
      </c>
      <c r="ENT53" s="5">
        <f>-IFERROR('4. NPV'!ENU23/'4. NPV'!ENU$8,0)</f>
        <v>-0.0</v>
      </c>
      <c r="ENU53" s="5">
        <f>-IFERROR('4. NPV'!ENV23/'4. NPV'!ENV$8,0)</f>
        <v>-0.0</v>
      </c>
      <c r="ENV53" s="5">
        <f>-IFERROR('4. NPV'!ENW23/'4. NPV'!ENW$8,0)</f>
        <v>-0.0</v>
      </c>
      <c r="ENW53" s="5">
        <f>-IFERROR('4. NPV'!ENX23/'4. NPV'!ENX$8,0)</f>
        <v>-0.0</v>
      </c>
      <c r="ENX53" s="5">
        <f>-IFERROR('4. NPV'!ENY23/'4. NPV'!ENY$8,0)</f>
        <v>-0.0</v>
      </c>
      <c r="ENY53" s="5">
        <f>-IFERROR('4. NPV'!ENZ23/'4. NPV'!ENZ$8,0)</f>
        <v>-0.0</v>
      </c>
      <c r="ENZ53" s="5">
        <f>-IFERROR('4. NPV'!EOA23/'4. NPV'!EOA$8,0)</f>
        <v>-0.0</v>
      </c>
      <c r="EOA53" s="5">
        <f>-IFERROR('4. NPV'!EOB23/'4. NPV'!EOB$8,0)</f>
        <v>-0.0</v>
      </c>
      <c r="EOB53" s="5">
        <f>-IFERROR('4. NPV'!EOC23/'4. NPV'!EOC$8,0)</f>
        <v>-0.0</v>
      </c>
      <c r="EOC53" s="5">
        <f>-IFERROR('4. NPV'!EOD23/'4. NPV'!EOD$8,0)</f>
        <v>-0.0</v>
      </c>
      <c r="EOD53" s="5">
        <f>-IFERROR('4. NPV'!EOE23/'4. NPV'!EOE$8,0)</f>
        <v>-0.0</v>
      </c>
      <c r="EOE53" s="5">
        <f>-IFERROR('4. NPV'!EOF23/'4. NPV'!EOF$8,0)</f>
        <v>-0.0</v>
      </c>
      <c r="EOF53" s="5">
        <f>-IFERROR('4. NPV'!EOG23/'4. NPV'!EOG$8,0)</f>
        <v>-0.0</v>
      </c>
      <c r="EOG53" s="5">
        <f>-IFERROR('4. NPV'!EOH23/'4. NPV'!EOH$8,0)</f>
        <v>-0.0</v>
      </c>
      <c r="EOH53" s="5">
        <f>-IFERROR('4. NPV'!EOI23/'4. NPV'!EOI$8,0)</f>
        <v>-0.0</v>
      </c>
      <c r="EOI53" s="5">
        <f>-IFERROR('4. NPV'!EOJ23/'4. NPV'!EOJ$8,0)</f>
        <v>-0.0</v>
      </c>
      <c r="EOJ53" s="5">
        <f>-IFERROR('4. NPV'!EOK23/'4. NPV'!EOK$8,0)</f>
        <v>-0.0</v>
      </c>
      <c r="EOK53" s="5">
        <f>-IFERROR('4. NPV'!EOL23/'4. NPV'!EOL$8,0)</f>
        <v>-0.0</v>
      </c>
      <c r="EOL53" s="5">
        <f>-IFERROR('4. NPV'!EOM23/'4. NPV'!EOM$8,0)</f>
        <v>-0.0</v>
      </c>
      <c r="EOM53" s="5">
        <f>-IFERROR('4. NPV'!EON23/'4. NPV'!EON$8,0)</f>
        <v>-0.0</v>
      </c>
      <c r="EON53" s="5">
        <f>-IFERROR('4. NPV'!EOO23/'4. NPV'!EOO$8,0)</f>
        <v>-0.0</v>
      </c>
      <c r="EOO53" s="5">
        <f>-IFERROR('4. NPV'!EOP23/'4. NPV'!EOP$8,0)</f>
        <v>-0.0</v>
      </c>
      <c r="EOP53" s="5">
        <f>-IFERROR('4. NPV'!EOQ23/'4. NPV'!EOQ$8,0)</f>
        <v>-0.0</v>
      </c>
      <c r="EOQ53" s="5">
        <f>-IFERROR('4. NPV'!EOR23/'4. NPV'!EOR$8,0)</f>
        <v>-0.0</v>
      </c>
      <c r="EOR53" s="5">
        <f>-IFERROR('4. NPV'!EOS23/'4. NPV'!EOS$8,0)</f>
        <v>-0.0</v>
      </c>
      <c r="EOS53" s="5">
        <f>-IFERROR('4. NPV'!EOT23/'4. NPV'!EOT$8,0)</f>
        <v>-0.0</v>
      </c>
      <c r="EOT53" s="5">
        <f>-IFERROR('4. NPV'!EOU23/'4. NPV'!EOU$8,0)</f>
        <v>-0.0</v>
      </c>
      <c r="EOU53" s="5">
        <f>-IFERROR('4. NPV'!EOV23/'4. NPV'!EOV$8,0)</f>
        <v>-0.0</v>
      </c>
      <c r="EOV53" s="5">
        <f>-IFERROR('4. NPV'!EOW23/'4. NPV'!EOW$8,0)</f>
        <v>-0.0</v>
      </c>
      <c r="EOW53" s="5">
        <f>-IFERROR('4. NPV'!EOX23/'4. NPV'!EOX$8,0)</f>
        <v>-0.0</v>
      </c>
      <c r="EOX53" s="5">
        <f>-IFERROR('4. NPV'!EOY23/'4. NPV'!EOY$8,0)</f>
        <v>-0.0</v>
      </c>
      <c r="EOY53" s="5">
        <f>-IFERROR('4. NPV'!EOZ23/'4. NPV'!EOZ$8,0)</f>
        <v>-0.0</v>
      </c>
      <c r="EOZ53" s="5">
        <f>-IFERROR('4. NPV'!EPA23/'4. NPV'!EPA$8,0)</f>
        <v>-0.0</v>
      </c>
      <c r="EPA53" s="5">
        <f>-IFERROR('4. NPV'!EPB23/'4. NPV'!EPB$8,0)</f>
        <v>-0.0</v>
      </c>
      <c r="EPB53" s="5">
        <f>-IFERROR('4. NPV'!EPC23/'4. NPV'!EPC$8,0)</f>
        <v>-0.0</v>
      </c>
      <c r="EPC53" s="5">
        <f>-IFERROR('4. NPV'!EPD23/'4. NPV'!EPD$8,0)</f>
        <v>-0.0</v>
      </c>
      <c r="EPD53" s="5">
        <f>-IFERROR('4. NPV'!EPE23/'4. NPV'!EPE$8,0)</f>
        <v>-0.0</v>
      </c>
      <c r="EPE53" s="5">
        <f>-IFERROR('4. NPV'!EPF23/'4. NPV'!EPF$8,0)</f>
        <v>-0.0</v>
      </c>
      <c r="EPF53" s="5">
        <f>-IFERROR('4. NPV'!EPG23/'4. NPV'!EPG$8,0)</f>
        <v>-0.0</v>
      </c>
      <c r="EPG53" s="5">
        <f>-IFERROR('4. NPV'!EPH23/'4. NPV'!EPH$8,0)</f>
        <v>-0.0</v>
      </c>
      <c r="EPH53" s="5">
        <f>-IFERROR('4. NPV'!EPI23/'4. NPV'!EPI$8,0)</f>
        <v>-0.0</v>
      </c>
      <c r="EPI53" s="5">
        <f>-IFERROR('4. NPV'!EPJ23/'4. NPV'!EPJ$8,0)</f>
        <v>-0.0</v>
      </c>
      <c r="EPJ53" s="5">
        <f>-IFERROR('4. NPV'!EPK23/'4. NPV'!EPK$8,0)</f>
        <v>-0.0</v>
      </c>
      <c r="EPK53" s="5">
        <f>-IFERROR('4. NPV'!EPL23/'4. NPV'!EPL$8,0)</f>
        <v>-0.0</v>
      </c>
      <c r="EPL53" s="5">
        <f>-IFERROR('4. NPV'!EPM23/'4. NPV'!EPM$8,0)</f>
        <v>-0.0</v>
      </c>
      <c r="EPM53" s="5">
        <f>-IFERROR('4. NPV'!EPN23/'4. NPV'!EPN$8,0)</f>
        <v>-0.0</v>
      </c>
      <c r="EPN53" s="5">
        <f>-IFERROR('4. NPV'!EPO23/'4. NPV'!EPO$8,0)</f>
        <v>-0.0</v>
      </c>
      <c r="EPO53" s="5">
        <f>-IFERROR('4. NPV'!EPP23/'4. NPV'!EPP$8,0)</f>
        <v>-0.0</v>
      </c>
      <c r="EPP53" s="5">
        <f>-IFERROR('4. NPV'!EPQ23/'4. NPV'!EPQ$8,0)</f>
        <v>-0.0</v>
      </c>
      <c r="EPQ53" s="5">
        <f>-IFERROR('4. NPV'!EPR23/'4. NPV'!EPR$8,0)</f>
        <v>-0.0</v>
      </c>
      <c r="EPR53" s="5">
        <f>-IFERROR('4. NPV'!EPS23/'4. NPV'!EPS$8,0)</f>
        <v>-0.0</v>
      </c>
      <c r="EPS53" s="5">
        <f>-IFERROR('4. NPV'!EPT23/'4. NPV'!EPT$8,0)</f>
        <v>-0.0</v>
      </c>
      <c r="EPT53" s="5">
        <f>-IFERROR('4. NPV'!EPU23/'4. NPV'!EPU$8,0)</f>
        <v>-0.0</v>
      </c>
      <c r="EPU53" s="5">
        <f>-IFERROR('4. NPV'!EPV23/'4. NPV'!EPV$8,0)</f>
        <v>-0.0</v>
      </c>
      <c r="EPV53" s="5">
        <f>-IFERROR('4. NPV'!EPW23/'4. NPV'!EPW$8,0)</f>
        <v>-0.0</v>
      </c>
      <c r="EPW53" s="5">
        <f>-IFERROR('4. NPV'!EPX23/'4. NPV'!EPX$8,0)</f>
        <v>-0.0</v>
      </c>
      <c r="EPX53" s="5">
        <f>-IFERROR('4. NPV'!EPY23/'4. NPV'!EPY$8,0)</f>
        <v>-0.0</v>
      </c>
      <c r="EPY53" s="5">
        <f>-IFERROR('4. NPV'!EPZ23/'4. NPV'!EPZ$8,0)</f>
        <v>-0.0</v>
      </c>
      <c r="EPZ53" s="5">
        <f>-IFERROR('4. NPV'!EQA23/'4. NPV'!EQA$8,0)</f>
        <v>-0.0</v>
      </c>
      <c r="EQA53" s="5">
        <f>-IFERROR('4. NPV'!EQB23/'4. NPV'!EQB$8,0)</f>
        <v>-0.0</v>
      </c>
      <c r="EQB53" s="5">
        <f>-IFERROR('4. NPV'!EQC23/'4. NPV'!EQC$8,0)</f>
        <v>-0.0</v>
      </c>
      <c r="EQC53" s="5">
        <f>-IFERROR('4. NPV'!EQD23/'4. NPV'!EQD$8,0)</f>
        <v>-0.0</v>
      </c>
      <c r="EQD53" s="5">
        <f>-IFERROR('4. NPV'!EQE23/'4. NPV'!EQE$8,0)</f>
        <v>-0.0</v>
      </c>
      <c r="EQE53" s="5">
        <f>-IFERROR('4. NPV'!EQF23/'4. NPV'!EQF$8,0)</f>
        <v>-0.0</v>
      </c>
      <c r="EQF53" s="5">
        <f>-IFERROR('4. NPV'!EQG23/'4. NPV'!EQG$8,0)</f>
        <v>-0.0</v>
      </c>
      <c r="EQG53" s="5">
        <f>-IFERROR('4. NPV'!EQH23/'4. NPV'!EQH$8,0)</f>
        <v>-0.0</v>
      </c>
      <c r="EQH53" s="5">
        <f>-IFERROR('4. NPV'!EQI23/'4. NPV'!EQI$8,0)</f>
        <v>-0.0</v>
      </c>
      <c r="EQI53" s="5">
        <f>-IFERROR('4. NPV'!EQJ23/'4. NPV'!EQJ$8,0)</f>
        <v>-0.0</v>
      </c>
      <c r="EQJ53" s="5">
        <f>-IFERROR('4. NPV'!EQK23/'4. NPV'!EQK$8,0)</f>
        <v>-0.0</v>
      </c>
      <c r="EQK53" s="5">
        <f>-IFERROR('4. NPV'!EQL23/'4. NPV'!EQL$8,0)</f>
        <v>-0.0</v>
      </c>
      <c r="EQL53" s="5">
        <f>-IFERROR('4. NPV'!EQM23/'4. NPV'!EQM$8,0)</f>
        <v>-0.0</v>
      </c>
      <c r="EQM53" s="5">
        <f>-IFERROR('4. NPV'!EQN23/'4. NPV'!EQN$8,0)</f>
        <v>-0.0</v>
      </c>
      <c r="EQN53" s="5">
        <f>-IFERROR('4. NPV'!EQO23/'4. NPV'!EQO$8,0)</f>
        <v>-0.0</v>
      </c>
      <c r="EQO53" s="5">
        <f>-IFERROR('4. NPV'!EQP23/'4. NPV'!EQP$8,0)</f>
        <v>-0.0</v>
      </c>
      <c r="EQP53" s="5">
        <f>-IFERROR('4. NPV'!EQQ23/'4. NPV'!EQQ$8,0)</f>
        <v>-0.0</v>
      </c>
      <c r="EQQ53" s="5">
        <f>-IFERROR('4. NPV'!EQR23/'4. NPV'!EQR$8,0)</f>
        <v>-0.0</v>
      </c>
      <c r="EQR53" s="5">
        <f>-IFERROR('4. NPV'!EQS23/'4. NPV'!EQS$8,0)</f>
        <v>-0.0</v>
      </c>
      <c r="EQS53" s="5">
        <f>-IFERROR('4. NPV'!EQT23/'4. NPV'!EQT$8,0)</f>
        <v>-0.0</v>
      </c>
      <c r="EQT53" s="5">
        <f>-IFERROR('4. NPV'!EQU23/'4. NPV'!EQU$8,0)</f>
        <v>-0.0</v>
      </c>
      <c r="EQU53" s="5">
        <f>-IFERROR('4. NPV'!EQV23/'4. NPV'!EQV$8,0)</f>
        <v>-0.0</v>
      </c>
      <c r="EQV53" s="5">
        <f>-IFERROR('4. NPV'!EQW23/'4. NPV'!EQW$8,0)</f>
        <v>-0.0</v>
      </c>
      <c r="EQW53" s="5">
        <f>-IFERROR('4. NPV'!EQX23/'4. NPV'!EQX$8,0)</f>
        <v>-0.0</v>
      </c>
      <c r="EQX53" s="5">
        <f>-IFERROR('4. NPV'!EQY23/'4. NPV'!EQY$8,0)</f>
        <v>-0.0</v>
      </c>
      <c r="EQY53" s="5">
        <f>-IFERROR('4. NPV'!EQZ23/'4. NPV'!EQZ$8,0)</f>
        <v>-0.0</v>
      </c>
      <c r="EQZ53" s="5">
        <f>-IFERROR('4. NPV'!ERA23/'4. NPV'!ERA$8,0)</f>
        <v>-0.0</v>
      </c>
      <c r="ERA53" s="5">
        <f>-IFERROR('4. NPV'!ERB23/'4. NPV'!ERB$8,0)</f>
        <v>-0.0</v>
      </c>
      <c r="ERB53" s="5">
        <f>-IFERROR('4. NPV'!ERC23/'4. NPV'!ERC$8,0)</f>
        <v>-0.0</v>
      </c>
      <c r="ERC53" s="5">
        <f>-IFERROR('4. NPV'!ERD23/'4. NPV'!ERD$8,0)</f>
        <v>-0.0</v>
      </c>
      <c r="ERD53" s="5">
        <f>-IFERROR('4. NPV'!ERE23/'4. NPV'!ERE$8,0)</f>
        <v>-0.0</v>
      </c>
      <c r="ERE53" s="5">
        <f>-IFERROR('4. NPV'!ERF23/'4. NPV'!ERF$8,0)</f>
        <v>-0.0</v>
      </c>
      <c r="ERF53" s="5">
        <f>-IFERROR('4. NPV'!ERG23/'4. NPV'!ERG$8,0)</f>
        <v>-0.0</v>
      </c>
      <c r="ERG53" s="5">
        <f>-IFERROR('4. NPV'!ERH23/'4. NPV'!ERH$8,0)</f>
        <v>-0.0</v>
      </c>
      <c r="ERH53" s="5">
        <f>-IFERROR('4. NPV'!ERI23/'4. NPV'!ERI$8,0)</f>
        <v>-0.0</v>
      </c>
      <c r="ERI53" s="5">
        <f>-IFERROR('4. NPV'!ERJ23/'4. NPV'!ERJ$8,0)</f>
        <v>-0.0</v>
      </c>
      <c r="ERJ53" s="5">
        <f>-IFERROR('4. NPV'!ERK23/'4. NPV'!ERK$8,0)</f>
        <v>-0.0</v>
      </c>
      <c r="ERK53" s="5">
        <f>-IFERROR('4. NPV'!ERL23/'4. NPV'!ERL$8,0)</f>
        <v>-0.0</v>
      </c>
      <c r="ERL53" s="5">
        <f>-IFERROR('4. NPV'!ERM23/'4. NPV'!ERM$8,0)</f>
        <v>-0.0</v>
      </c>
      <c r="ERM53" s="5">
        <f>-IFERROR('4. NPV'!ERN23/'4. NPV'!ERN$8,0)</f>
        <v>-0.0</v>
      </c>
      <c r="ERN53" s="5">
        <f>-IFERROR('4. NPV'!ERO23/'4. NPV'!ERO$8,0)</f>
        <v>-0.0</v>
      </c>
      <c r="ERO53" s="5">
        <f>-IFERROR('4. NPV'!ERP23/'4. NPV'!ERP$8,0)</f>
        <v>-0.0</v>
      </c>
      <c r="ERP53" s="5">
        <f>-IFERROR('4. NPV'!ERQ23/'4. NPV'!ERQ$8,0)</f>
        <v>-0.0</v>
      </c>
      <c r="ERQ53" s="5">
        <f>-IFERROR('4. NPV'!ERR23/'4. NPV'!ERR$8,0)</f>
        <v>-0.0</v>
      </c>
      <c r="ERR53" s="5">
        <f>-IFERROR('4. NPV'!ERS23/'4. NPV'!ERS$8,0)</f>
        <v>-0.0</v>
      </c>
      <c r="ERS53" s="5">
        <f>-IFERROR('4. NPV'!ERT23/'4. NPV'!ERT$8,0)</f>
        <v>-0.0</v>
      </c>
      <c r="ERT53" s="5">
        <f>-IFERROR('4. NPV'!ERU23/'4. NPV'!ERU$8,0)</f>
        <v>-0.0</v>
      </c>
      <c r="ERU53" s="5">
        <f>-IFERROR('4. NPV'!ERV23/'4. NPV'!ERV$8,0)</f>
        <v>-0.0</v>
      </c>
      <c r="ERV53" s="5">
        <f>-IFERROR('4. NPV'!ERW23/'4. NPV'!ERW$8,0)</f>
        <v>-0.0</v>
      </c>
      <c r="ERW53" s="5">
        <f>-IFERROR('4. NPV'!ERX23/'4. NPV'!ERX$8,0)</f>
        <v>-0.0</v>
      </c>
      <c r="ERX53" s="5">
        <f>-IFERROR('4. NPV'!ERY23/'4. NPV'!ERY$8,0)</f>
        <v>-0.0</v>
      </c>
      <c r="ERY53" s="5">
        <f>-IFERROR('4. NPV'!ERZ23/'4. NPV'!ERZ$8,0)</f>
        <v>-0.0</v>
      </c>
      <c r="ERZ53" s="5">
        <f>-IFERROR('4. NPV'!ESA23/'4. NPV'!ESA$8,0)</f>
        <v>-0.0</v>
      </c>
      <c r="ESA53" s="5">
        <f>-IFERROR('4. NPV'!ESB23/'4. NPV'!ESB$8,0)</f>
        <v>-0.0</v>
      </c>
      <c r="ESB53" s="5">
        <f>-IFERROR('4. NPV'!ESC23/'4. NPV'!ESC$8,0)</f>
        <v>-0.0</v>
      </c>
      <c r="ESC53" s="5">
        <f>-IFERROR('4. NPV'!ESD23/'4. NPV'!ESD$8,0)</f>
        <v>-0.0</v>
      </c>
      <c r="ESD53" s="5">
        <f>-IFERROR('4. NPV'!ESE23/'4. NPV'!ESE$8,0)</f>
        <v>-0.0</v>
      </c>
      <c r="ESE53" s="5">
        <f>-IFERROR('4. NPV'!ESF23/'4. NPV'!ESF$8,0)</f>
        <v>-0.0</v>
      </c>
      <c r="ESF53" s="5">
        <f>-IFERROR('4. NPV'!ESG23/'4. NPV'!ESG$8,0)</f>
        <v>-0.0</v>
      </c>
      <c r="ESG53" s="5">
        <f>-IFERROR('4. NPV'!ESH23/'4. NPV'!ESH$8,0)</f>
        <v>-0.0</v>
      </c>
      <c r="ESH53" s="5">
        <f>-IFERROR('4. NPV'!ESI23/'4. NPV'!ESI$8,0)</f>
        <v>-0.0</v>
      </c>
      <c r="ESI53" s="5">
        <f>-IFERROR('4. NPV'!ESJ23/'4. NPV'!ESJ$8,0)</f>
        <v>-0.0</v>
      </c>
      <c r="ESJ53" s="5">
        <f>-IFERROR('4. NPV'!ESK23/'4. NPV'!ESK$8,0)</f>
        <v>-0.0</v>
      </c>
      <c r="ESK53" s="5">
        <f>-IFERROR('4. NPV'!ESL23/'4. NPV'!ESL$8,0)</f>
        <v>-0.0</v>
      </c>
      <c r="ESL53" s="5">
        <f>-IFERROR('4. NPV'!ESM23/'4. NPV'!ESM$8,0)</f>
        <v>-0.0</v>
      </c>
      <c r="ESM53" s="5">
        <f>-IFERROR('4. NPV'!ESN23/'4. NPV'!ESN$8,0)</f>
        <v>-0.0</v>
      </c>
      <c r="ESN53" s="5">
        <f>-IFERROR('4. NPV'!ESO23/'4. NPV'!ESO$8,0)</f>
        <v>-0.0</v>
      </c>
      <c r="ESO53" s="5">
        <f>-IFERROR('4. NPV'!ESP23/'4. NPV'!ESP$8,0)</f>
        <v>-0.0</v>
      </c>
      <c r="ESP53" s="5">
        <f>-IFERROR('4. NPV'!ESQ23/'4. NPV'!ESQ$8,0)</f>
        <v>-0.0</v>
      </c>
      <c r="ESQ53" s="5">
        <f>-IFERROR('4. NPV'!ESR23/'4. NPV'!ESR$8,0)</f>
        <v>-0.0</v>
      </c>
      <c r="ESR53" s="5">
        <f>-IFERROR('4. NPV'!ESS23/'4. NPV'!ESS$8,0)</f>
        <v>-0.0</v>
      </c>
      <c r="ESS53" s="5">
        <f>-IFERROR('4. NPV'!EST23/'4. NPV'!EST$8,0)</f>
        <v>-0.0</v>
      </c>
      <c r="EST53" s="5">
        <f>-IFERROR('4. NPV'!ESU23/'4. NPV'!ESU$8,0)</f>
        <v>-0.0</v>
      </c>
      <c r="ESU53" s="5">
        <f>-IFERROR('4. NPV'!ESV23/'4. NPV'!ESV$8,0)</f>
        <v>-0.0</v>
      </c>
      <c r="ESV53" s="5">
        <f>-IFERROR('4. NPV'!ESW23/'4. NPV'!ESW$8,0)</f>
        <v>-0.0</v>
      </c>
      <c r="ESW53" s="5">
        <f>-IFERROR('4. NPV'!ESX23/'4. NPV'!ESX$8,0)</f>
        <v>-0.0</v>
      </c>
      <c r="ESX53" s="5">
        <f>-IFERROR('4. NPV'!ESY23/'4. NPV'!ESY$8,0)</f>
        <v>-0.0</v>
      </c>
      <c r="ESY53" s="5">
        <f>-IFERROR('4. NPV'!ESZ23/'4. NPV'!ESZ$8,0)</f>
        <v>-0.0</v>
      </c>
      <c r="ESZ53" s="5">
        <f>-IFERROR('4. NPV'!ETA23/'4. NPV'!ETA$8,0)</f>
        <v>-0.0</v>
      </c>
      <c r="ETA53" s="5">
        <f>-IFERROR('4. NPV'!ETB23/'4. NPV'!ETB$8,0)</f>
        <v>-0.0</v>
      </c>
      <c r="ETB53" s="5">
        <f>-IFERROR('4. NPV'!ETC23/'4. NPV'!ETC$8,0)</f>
        <v>-0.0</v>
      </c>
      <c r="ETC53" s="5">
        <f>-IFERROR('4. NPV'!ETD23/'4. NPV'!ETD$8,0)</f>
        <v>-0.0</v>
      </c>
      <c r="ETD53" s="5">
        <f>-IFERROR('4. NPV'!ETE23/'4. NPV'!ETE$8,0)</f>
        <v>-0.0</v>
      </c>
      <c r="ETE53" s="5">
        <f>-IFERROR('4. NPV'!ETF23/'4. NPV'!ETF$8,0)</f>
        <v>-0.0</v>
      </c>
      <c r="ETF53" s="5">
        <f>-IFERROR('4. NPV'!ETG23/'4. NPV'!ETG$8,0)</f>
        <v>-0.0</v>
      </c>
      <c r="ETG53" s="5">
        <f>-IFERROR('4. NPV'!ETH23/'4. NPV'!ETH$8,0)</f>
        <v>-0.0</v>
      </c>
      <c r="ETH53" s="5">
        <f>-IFERROR('4. NPV'!ETI23/'4. NPV'!ETI$8,0)</f>
        <v>-0.0</v>
      </c>
      <c r="ETI53" s="5">
        <f>-IFERROR('4. NPV'!ETJ23/'4. NPV'!ETJ$8,0)</f>
        <v>-0.0</v>
      </c>
      <c r="ETJ53" s="5">
        <f>-IFERROR('4. NPV'!ETK23/'4. NPV'!ETK$8,0)</f>
        <v>-0.0</v>
      </c>
      <c r="ETK53" s="5">
        <f>-IFERROR('4. NPV'!ETL23/'4. NPV'!ETL$8,0)</f>
        <v>-0.0</v>
      </c>
      <c r="ETL53" s="5">
        <f>-IFERROR('4. NPV'!ETM23/'4. NPV'!ETM$8,0)</f>
        <v>-0.0</v>
      </c>
      <c r="ETM53" s="5">
        <f>-IFERROR('4. NPV'!ETN23/'4. NPV'!ETN$8,0)</f>
        <v>-0.0</v>
      </c>
      <c r="ETN53" s="5">
        <f>-IFERROR('4. NPV'!ETO23/'4. NPV'!ETO$8,0)</f>
        <v>-0.0</v>
      </c>
      <c r="ETO53" s="5">
        <f>-IFERROR('4. NPV'!ETP23/'4. NPV'!ETP$8,0)</f>
        <v>-0.0</v>
      </c>
      <c r="ETP53" s="5">
        <f>-IFERROR('4. NPV'!ETQ23/'4. NPV'!ETQ$8,0)</f>
        <v>-0.0</v>
      </c>
      <c r="ETQ53" s="5">
        <f>-IFERROR('4. NPV'!ETR23/'4. NPV'!ETR$8,0)</f>
        <v>-0.0</v>
      </c>
      <c r="ETR53" s="5">
        <f>-IFERROR('4. NPV'!ETS23/'4. NPV'!ETS$8,0)</f>
        <v>-0.0</v>
      </c>
      <c r="ETS53" s="5">
        <f>-IFERROR('4. NPV'!ETT23/'4. NPV'!ETT$8,0)</f>
        <v>-0.0</v>
      </c>
      <c r="ETT53" s="5">
        <f>-IFERROR('4. NPV'!ETU23/'4. NPV'!ETU$8,0)</f>
        <v>-0.0</v>
      </c>
      <c r="ETU53" s="5">
        <f>-IFERROR('4. NPV'!ETV23/'4. NPV'!ETV$8,0)</f>
        <v>-0.0</v>
      </c>
      <c r="ETV53" s="5">
        <f>-IFERROR('4. NPV'!ETW23/'4. NPV'!ETW$8,0)</f>
        <v>-0.0</v>
      </c>
      <c r="ETW53" s="5">
        <f>-IFERROR('4. NPV'!ETX23/'4. NPV'!ETX$8,0)</f>
        <v>-0.0</v>
      </c>
      <c r="ETX53" s="5">
        <f>-IFERROR('4. NPV'!ETY23/'4. NPV'!ETY$8,0)</f>
        <v>-0.0</v>
      </c>
      <c r="ETY53" s="5">
        <f>-IFERROR('4. NPV'!ETZ23/'4. NPV'!ETZ$8,0)</f>
        <v>-0.0</v>
      </c>
      <c r="ETZ53" s="5">
        <f>-IFERROR('4. NPV'!EUA23/'4. NPV'!EUA$8,0)</f>
        <v>-0.0</v>
      </c>
      <c r="EUA53" s="5">
        <f>-IFERROR('4. NPV'!EUB23/'4. NPV'!EUB$8,0)</f>
        <v>-0.0</v>
      </c>
      <c r="EUB53" s="5">
        <f>-IFERROR('4. NPV'!EUC23/'4. NPV'!EUC$8,0)</f>
        <v>-0.0</v>
      </c>
      <c r="EUC53" s="5">
        <f>-IFERROR('4. NPV'!EUD23/'4. NPV'!EUD$8,0)</f>
        <v>-0.0</v>
      </c>
      <c r="EUD53" s="5">
        <f>-IFERROR('4. NPV'!EUE23/'4. NPV'!EUE$8,0)</f>
        <v>-0.0</v>
      </c>
      <c r="EUE53" s="5">
        <f>-IFERROR('4. NPV'!EUF23/'4. NPV'!EUF$8,0)</f>
        <v>-0.0</v>
      </c>
      <c r="EUF53" s="5">
        <f>-IFERROR('4. NPV'!EUG23/'4. NPV'!EUG$8,0)</f>
        <v>-0.0</v>
      </c>
      <c r="EUG53" s="5">
        <f>-IFERROR('4. NPV'!EUH23/'4. NPV'!EUH$8,0)</f>
        <v>-0.0</v>
      </c>
      <c r="EUH53" s="5">
        <f>-IFERROR('4. NPV'!EUI23/'4. NPV'!EUI$8,0)</f>
        <v>-0.0</v>
      </c>
      <c r="EUI53" s="5">
        <f>-IFERROR('4. NPV'!EUJ23/'4. NPV'!EUJ$8,0)</f>
        <v>-0.0</v>
      </c>
      <c r="EUJ53" s="5">
        <f>-IFERROR('4. NPV'!EUK23/'4. NPV'!EUK$8,0)</f>
        <v>-0.0</v>
      </c>
      <c r="EUK53" s="5">
        <f>-IFERROR('4. NPV'!EUL23/'4. NPV'!EUL$8,0)</f>
        <v>-0.0</v>
      </c>
      <c r="EUL53" s="5">
        <f>-IFERROR('4. NPV'!EUM23/'4. NPV'!EUM$8,0)</f>
        <v>-0.0</v>
      </c>
      <c r="EUM53" s="5">
        <f>-IFERROR('4. NPV'!EUN23/'4. NPV'!EUN$8,0)</f>
        <v>-0.0</v>
      </c>
      <c r="EUN53" s="5">
        <f>-IFERROR('4. NPV'!EUO23/'4. NPV'!EUO$8,0)</f>
        <v>-0.0</v>
      </c>
      <c r="EUO53" s="5">
        <f>-IFERROR('4. NPV'!EUP23/'4. NPV'!EUP$8,0)</f>
        <v>-0.0</v>
      </c>
      <c r="EUP53" s="5">
        <f>-IFERROR('4. NPV'!EUQ23/'4. NPV'!EUQ$8,0)</f>
        <v>-0.0</v>
      </c>
      <c r="EUQ53" s="5">
        <f>-IFERROR('4. NPV'!EUR23/'4. NPV'!EUR$8,0)</f>
        <v>-0.0</v>
      </c>
      <c r="EUR53" s="5">
        <f>-IFERROR('4. NPV'!EUS23/'4. NPV'!EUS$8,0)</f>
        <v>-0.0</v>
      </c>
      <c r="EUS53" s="5">
        <f>-IFERROR('4. NPV'!EUT23/'4. NPV'!EUT$8,0)</f>
        <v>-0.0</v>
      </c>
      <c r="EUT53" s="5">
        <f>-IFERROR('4. NPV'!EUU23/'4. NPV'!EUU$8,0)</f>
        <v>-0.0</v>
      </c>
      <c r="EUU53" s="5">
        <f>-IFERROR('4. NPV'!EUV23/'4. NPV'!EUV$8,0)</f>
        <v>-0.0</v>
      </c>
      <c r="EUV53" s="5">
        <f>-IFERROR('4. NPV'!EUW23/'4. NPV'!EUW$8,0)</f>
        <v>-0.0</v>
      </c>
      <c r="EUW53" s="5">
        <f>-IFERROR('4. NPV'!EUX23/'4. NPV'!EUX$8,0)</f>
        <v>-0.0</v>
      </c>
      <c r="EUX53" s="5">
        <f>-IFERROR('4. NPV'!EUY23/'4. NPV'!EUY$8,0)</f>
        <v>-0.0</v>
      </c>
      <c r="EUY53" s="5">
        <f>-IFERROR('4. NPV'!EUZ23/'4. NPV'!EUZ$8,0)</f>
        <v>-0.0</v>
      </c>
      <c r="EUZ53" s="5">
        <f>-IFERROR('4. NPV'!EVA23/'4. NPV'!EVA$8,0)</f>
        <v>-0.0</v>
      </c>
      <c r="EVA53" s="5">
        <f>-IFERROR('4. NPV'!EVB23/'4. NPV'!EVB$8,0)</f>
        <v>-0.0</v>
      </c>
      <c r="EVB53" s="5">
        <f>-IFERROR('4. NPV'!EVC23/'4. NPV'!EVC$8,0)</f>
        <v>-0.0</v>
      </c>
      <c r="EVC53" s="5">
        <f>-IFERROR('4. NPV'!EVD23/'4. NPV'!EVD$8,0)</f>
        <v>-0.0</v>
      </c>
      <c r="EVD53" s="5">
        <f>-IFERROR('4. NPV'!EVE23/'4. NPV'!EVE$8,0)</f>
        <v>-0.0</v>
      </c>
      <c r="EVE53" s="5">
        <f>-IFERROR('4. NPV'!EVF23/'4. NPV'!EVF$8,0)</f>
        <v>-0.0</v>
      </c>
      <c r="EVF53" s="5">
        <f>-IFERROR('4. NPV'!EVG23/'4. NPV'!EVG$8,0)</f>
        <v>-0.0</v>
      </c>
      <c r="EVG53" s="5">
        <f>-IFERROR('4. NPV'!EVH23/'4. NPV'!EVH$8,0)</f>
        <v>-0.0</v>
      </c>
      <c r="EVH53" s="5">
        <f>-IFERROR('4. NPV'!EVI23/'4. NPV'!EVI$8,0)</f>
        <v>-0.0</v>
      </c>
      <c r="EVI53" s="5">
        <f>-IFERROR('4. NPV'!EVJ23/'4. NPV'!EVJ$8,0)</f>
        <v>-0.0</v>
      </c>
      <c r="EVJ53" s="5">
        <f>-IFERROR('4. NPV'!EVK23/'4. NPV'!EVK$8,0)</f>
        <v>-0.0</v>
      </c>
      <c r="EVK53" s="5">
        <f>-IFERROR('4. NPV'!EVL23/'4. NPV'!EVL$8,0)</f>
        <v>-0.0</v>
      </c>
      <c r="EVL53" s="5">
        <f>-IFERROR('4. NPV'!EVM23/'4. NPV'!EVM$8,0)</f>
        <v>-0.0</v>
      </c>
      <c r="EVM53" s="5">
        <f>-IFERROR('4. NPV'!EVN23/'4. NPV'!EVN$8,0)</f>
        <v>-0.0</v>
      </c>
      <c r="EVN53" s="5">
        <f>-IFERROR('4. NPV'!EVO23/'4. NPV'!EVO$8,0)</f>
        <v>-0.0</v>
      </c>
      <c r="EVO53" s="5">
        <f>-IFERROR('4. NPV'!EVP23/'4. NPV'!EVP$8,0)</f>
        <v>-0.0</v>
      </c>
      <c r="EVP53" s="5">
        <f>-IFERROR('4. NPV'!EVQ23/'4. NPV'!EVQ$8,0)</f>
        <v>-0.0</v>
      </c>
      <c r="EVQ53" s="5">
        <f>-IFERROR('4. NPV'!EVR23/'4. NPV'!EVR$8,0)</f>
        <v>-0.0</v>
      </c>
      <c r="EVR53" s="5">
        <f>-IFERROR('4. NPV'!EVS23/'4. NPV'!EVS$8,0)</f>
        <v>-0.0</v>
      </c>
      <c r="EVS53" s="5">
        <f>-IFERROR('4. NPV'!EVT23/'4. NPV'!EVT$8,0)</f>
        <v>-0.0</v>
      </c>
      <c r="EVT53" s="5">
        <f>-IFERROR('4. NPV'!EVU23/'4. NPV'!EVU$8,0)</f>
        <v>-0.0</v>
      </c>
      <c r="EVU53" s="5">
        <f>-IFERROR('4. NPV'!EVV23/'4. NPV'!EVV$8,0)</f>
        <v>-0.0</v>
      </c>
      <c r="EVV53" s="5">
        <f>-IFERROR('4. NPV'!EVW23/'4. NPV'!EVW$8,0)</f>
        <v>-0.0</v>
      </c>
      <c r="EVW53" s="5">
        <f>-IFERROR('4. NPV'!EVX23/'4. NPV'!EVX$8,0)</f>
        <v>-0.0</v>
      </c>
      <c r="EVX53" s="5">
        <f>-IFERROR('4. NPV'!EVY23/'4. NPV'!EVY$8,0)</f>
        <v>-0.0</v>
      </c>
      <c r="EVY53" s="5">
        <f>-IFERROR('4. NPV'!EVZ23/'4. NPV'!EVZ$8,0)</f>
        <v>-0.0</v>
      </c>
      <c r="EVZ53" s="5">
        <f>-IFERROR('4. NPV'!EWA23/'4. NPV'!EWA$8,0)</f>
        <v>-0.0</v>
      </c>
      <c r="EWA53" s="5">
        <f>-IFERROR('4. NPV'!EWB23/'4. NPV'!EWB$8,0)</f>
        <v>-0.0</v>
      </c>
      <c r="EWB53" s="5">
        <f>-IFERROR('4. NPV'!EWC23/'4. NPV'!EWC$8,0)</f>
        <v>-0.0</v>
      </c>
      <c r="EWC53" s="5">
        <f>-IFERROR('4. NPV'!EWD23/'4. NPV'!EWD$8,0)</f>
        <v>-0.0</v>
      </c>
      <c r="EWD53" s="5">
        <f>-IFERROR('4. NPV'!EWE23/'4. NPV'!EWE$8,0)</f>
        <v>-0.0</v>
      </c>
      <c r="EWE53" s="5">
        <f>-IFERROR('4. NPV'!EWF23/'4. NPV'!EWF$8,0)</f>
        <v>-0.0</v>
      </c>
      <c r="EWF53" s="5">
        <f>-IFERROR('4. NPV'!EWG23/'4. NPV'!EWG$8,0)</f>
        <v>-0.0</v>
      </c>
      <c r="EWG53" s="5">
        <f>-IFERROR('4. NPV'!EWH23/'4. NPV'!EWH$8,0)</f>
        <v>-0.0</v>
      </c>
      <c r="EWH53" s="5">
        <f>-IFERROR('4. NPV'!EWI23/'4. NPV'!EWI$8,0)</f>
        <v>-0.0</v>
      </c>
      <c r="EWI53" s="5">
        <f>-IFERROR('4. NPV'!EWJ23/'4. NPV'!EWJ$8,0)</f>
        <v>-0.0</v>
      </c>
      <c r="EWJ53" s="5">
        <f>-IFERROR('4. NPV'!EWK23/'4. NPV'!EWK$8,0)</f>
        <v>-0.0</v>
      </c>
      <c r="EWK53" s="5">
        <f>-IFERROR('4. NPV'!EWL23/'4. NPV'!EWL$8,0)</f>
        <v>-0.0</v>
      </c>
      <c r="EWL53" s="5">
        <f>-IFERROR('4. NPV'!EWM23/'4. NPV'!EWM$8,0)</f>
        <v>-0.0</v>
      </c>
      <c r="EWM53" s="5">
        <f>-IFERROR('4. NPV'!EWN23/'4. NPV'!EWN$8,0)</f>
        <v>-0.0</v>
      </c>
      <c r="EWN53" s="5">
        <f>-IFERROR('4. NPV'!EWO23/'4. NPV'!EWO$8,0)</f>
        <v>-0.0</v>
      </c>
      <c r="EWO53" s="5">
        <f>-IFERROR('4. NPV'!EWP23/'4. NPV'!EWP$8,0)</f>
        <v>-0.0</v>
      </c>
      <c r="EWP53" s="5">
        <f>-IFERROR('4. NPV'!EWQ23/'4. NPV'!EWQ$8,0)</f>
        <v>-0.0</v>
      </c>
      <c r="EWQ53" s="5">
        <f>-IFERROR('4. NPV'!EWR23/'4. NPV'!EWR$8,0)</f>
        <v>-0.0</v>
      </c>
      <c r="EWR53" s="5">
        <f>-IFERROR('4. NPV'!EWS23/'4. NPV'!EWS$8,0)</f>
        <v>-0.0</v>
      </c>
      <c r="EWS53" s="5">
        <f>-IFERROR('4. NPV'!EWT23/'4. NPV'!EWT$8,0)</f>
        <v>-0.0</v>
      </c>
      <c r="EWT53" s="5">
        <f>-IFERROR('4. NPV'!EWU23/'4. NPV'!EWU$8,0)</f>
        <v>-0.0</v>
      </c>
      <c r="EWU53" s="5">
        <f>-IFERROR('4. NPV'!EWV23/'4. NPV'!EWV$8,0)</f>
        <v>-0.0</v>
      </c>
      <c r="EWV53" s="5">
        <f>-IFERROR('4. NPV'!EWW23/'4. NPV'!EWW$8,0)</f>
        <v>-0.0</v>
      </c>
      <c r="EWW53" s="5">
        <f>-IFERROR('4. NPV'!EWX23/'4. NPV'!EWX$8,0)</f>
        <v>-0.0</v>
      </c>
      <c r="EWX53" s="5">
        <f>-IFERROR('4. NPV'!EWY23/'4. NPV'!EWY$8,0)</f>
        <v>-0.0</v>
      </c>
      <c r="EWY53" s="5">
        <f>-IFERROR('4. NPV'!EWZ23/'4. NPV'!EWZ$8,0)</f>
        <v>-0.0</v>
      </c>
      <c r="EWZ53" s="5">
        <f>-IFERROR('4. NPV'!EXA23/'4. NPV'!EXA$8,0)</f>
        <v>-0.0</v>
      </c>
      <c r="EXA53" s="5">
        <f>-IFERROR('4. NPV'!EXB23/'4. NPV'!EXB$8,0)</f>
        <v>-0.0</v>
      </c>
      <c r="EXB53" s="5">
        <f>-IFERROR('4. NPV'!EXC23/'4. NPV'!EXC$8,0)</f>
        <v>-0.0</v>
      </c>
      <c r="EXC53" s="5">
        <f>-IFERROR('4. NPV'!EXD23/'4. NPV'!EXD$8,0)</f>
        <v>-0.0</v>
      </c>
      <c r="EXD53" s="5">
        <f>-IFERROR('4. NPV'!EXE23/'4. NPV'!EXE$8,0)</f>
        <v>-0.0</v>
      </c>
      <c r="EXE53" s="5">
        <f>-IFERROR('4. NPV'!EXF23/'4. NPV'!EXF$8,0)</f>
        <v>-0.0</v>
      </c>
      <c r="EXF53" s="5">
        <f>-IFERROR('4. NPV'!EXG23/'4. NPV'!EXG$8,0)</f>
        <v>-0.0</v>
      </c>
      <c r="EXG53" s="5">
        <f>-IFERROR('4. NPV'!EXH23/'4. NPV'!EXH$8,0)</f>
        <v>-0.0</v>
      </c>
      <c r="EXH53" s="5">
        <f>-IFERROR('4. NPV'!EXI23/'4. NPV'!EXI$8,0)</f>
        <v>-0.0</v>
      </c>
      <c r="EXI53" s="5">
        <f>-IFERROR('4. NPV'!EXJ23/'4. NPV'!EXJ$8,0)</f>
        <v>-0.0</v>
      </c>
      <c r="EXJ53" s="5">
        <f>-IFERROR('4. NPV'!EXK23/'4. NPV'!EXK$8,0)</f>
        <v>-0.0</v>
      </c>
      <c r="EXK53" s="5">
        <f>-IFERROR('4. NPV'!EXL23/'4. NPV'!EXL$8,0)</f>
        <v>-0.0</v>
      </c>
      <c r="EXL53" s="5">
        <f>-IFERROR('4. NPV'!EXM23/'4. NPV'!EXM$8,0)</f>
        <v>-0.0</v>
      </c>
      <c r="EXM53" s="5">
        <f>-IFERROR('4. NPV'!EXN23/'4. NPV'!EXN$8,0)</f>
        <v>-0.0</v>
      </c>
      <c r="EXN53" s="5">
        <f>-IFERROR('4. NPV'!EXO23/'4. NPV'!EXO$8,0)</f>
        <v>-0.0</v>
      </c>
      <c r="EXO53" s="5">
        <f>-IFERROR('4. NPV'!EXP23/'4. NPV'!EXP$8,0)</f>
        <v>-0.0</v>
      </c>
      <c r="EXP53" s="5">
        <f>-IFERROR('4. NPV'!EXQ23/'4. NPV'!EXQ$8,0)</f>
        <v>-0.0</v>
      </c>
      <c r="EXQ53" s="5">
        <f>-IFERROR('4. NPV'!EXR23/'4. NPV'!EXR$8,0)</f>
        <v>-0.0</v>
      </c>
      <c r="EXR53" s="5">
        <f>-IFERROR('4. NPV'!EXS23/'4. NPV'!EXS$8,0)</f>
        <v>-0.0</v>
      </c>
      <c r="EXS53" s="5">
        <f>-IFERROR('4. NPV'!EXT23/'4. NPV'!EXT$8,0)</f>
        <v>-0.0</v>
      </c>
      <c r="EXT53" s="5">
        <f>-IFERROR('4. NPV'!EXU23/'4. NPV'!EXU$8,0)</f>
        <v>-0.0</v>
      </c>
      <c r="EXU53" s="5">
        <f>-IFERROR('4. NPV'!EXV23/'4. NPV'!EXV$8,0)</f>
        <v>-0.0</v>
      </c>
      <c r="EXV53" s="5">
        <f>-IFERROR('4. NPV'!EXW23/'4. NPV'!EXW$8,0)</f>
        <v>-0.0</v>
      </c>
      <c r="EXW53" s="5">
        <f>-IFERROR('4. NPV'!EXX23/'4. NPV'!EXX$8,0)</f>
        <v>-0.0</v>
      </c>
      <c r="EXX53" s="5">
        <f>-IFERROR('4. NPV'!EXY23/'4. NPV'!EXY$8,0)</f>
        <v>-0.0</v>
      </c>
      <c r="EXY53" s="5">
        <f>-IFERROR('4. NPV'!EXZ23/'4. NPV'!EXZ$8,0)</f>
        <v>-0.0</v>
      </c>
      <c r="EXZ53" s="5">
        <f>-IFERROR('4. NPV'!EYA23/'4. NPV'!EYA$8,0)</f>
        <v>-0.0</v>
      </c>
      <c r="EYA53" s="5">
        <f>-IFERROR('4. NPV'!EYB23/'4. NPV'!EYB$8,0)</f>
        <v>-0.0</v>
      </c>
      <c r="EYB53" s="5">
        <f>-IFERROR('4. NPV'!EYC23/'4. NPV'!EYC$8,0)</f>
        <v>-0.0</v>
      </c>
      <c r="EYC53" s="5">
        <f>-IFERROR('4. NPV'!EYD23/'4. NPV'!EYD$8,0)</f>
        <v>-0.0</v>
      </c>
      <c r="EYD53" s="5">
        <f>-IFERROR('4. NPV'!EYE23/'4. NPV'!EYE$8,0)</f>
        <v>-0.0</v>
      </c>
      <c r="EYE53" s="5">
        <f>-IFERROR('4. NPV'!EYF23/'4. NPV'!EYF$8,0)</f>
        <v>-0.0</v>
      </c>
      <c r="EYF53" s="5">
        <f>-IFERROR('4. NPV'!EYG23/'4. NPV'!EYG$8,0)</f>
        <v>-0.0</v>
      </c>
      <c r="EYG53" s="5">
        <f>-IFERROR('4. NPV'!EYH23/'4. NPV'!EYH$8,0)</f>
        <v>-0.0</v>
      </c>
      <c r="EYH53" s="5">
        <f>-IFERROR('4. NPV'!EYI23/'4. NPV'!EYI$8,0)</f>
        <v>-0.0</v>
      </c>
      <c r="EYI53" s="5">
        <f>-IFERROR('4. NPV'!EYJ23/'4. NPV'!EYJ$8,0)</f>
        <v>-0.0</v>
      </c>
      <c r="EYJ53" s="5">
        <f>-IFERROR('4. NPV'!EYK23/'4. NPV'!EYK$8,0)</f>
        <v>-0.0</v>
      </c>
      <c r="EYK53" s="5">
        <f>-IFERROR('4. NPV'!EYL23/'4. NPV'!EYL$8,0)</f>
        <v>-0.0</v>
      </c>
      <c r="EYL53" s="5">
        <f>-IFERROR('4. NPV'!EYM23/'4. NPV'!EYM$8,0)</f>
        <v>-0.0</v>
      </c>
      <c r="EYM53" s="5">
        <f>-IFERROR('4. NPV'!EYN23/'4. NPV'!EYN$8,0)</f>
        <v>-0.0</v>
      </c>
      <c r="EYN53" s="5">
        <f>-IFERROR('4. NPV'!EYO23/'4. NPV'!EYO$8,0)</f>
        <v>-0.0</v>
      </c>
      <c r="EYO53" s="5">
        <f>-IFERROR('4. NPV'!EYP23/'4. NPV'!EYP$8,0)</f>
        <v>-0.0</v>
      </c>
      <c r="EYP53" s="5">
        <f>-IFERROR('4. NPV'!EYQ23/'4. NPV'!EYQ$8,0)</f>
        <v>-0.0</v>
      </c>
      <c r="EYQ53" s="5">
        <f>-IFERROR('4. NPV'!EYR23/'4. NPV'!EYR$8,0)</f>
        <v>-0.0</v>
      </c>
      <c r="EYR53" s="5">
        <f>-IFERROR('4. NPV'!EYS23/'4. NPV'!EYS$8,0)</f>
        <v>-0.0</v>
      </c>
      <c r="EYS53" s="5">
        <f>-IFERROR('4. NPV'!EYT23/'4. NPV'!EYT$8,0)</f>
        <v>-0.0</v>
      </c>
      <c r="EYT53" s="5">
        <f>-IFERROR('4. NPV'!EYU23/'4. NPV'!EYU$8,0)</f>
        <v>-0.0</v>
      </c>
      <c r="EYU53" s="5">
        <f>-IFERROR('4. NPV'!EYV23/'4. NPV'!EYV$8,0)</f>
        <v>-0.0</v>
      </c>
      <c r="EYV53" s="5">
        <f>-IFERROR('4. NPV'!EYW23/'4. NPV'!EYW$8,0)</f>
        <v>-0.0</v>
      </c>
      <c r="EYW53" s="5">
        <f>-IFERROR('4. NPV'!EYX23/'4. NPV'!EYX$8,0)</f>
        <v>-0.0</v>
      </c>
      <c r="EYX53" s="5">
        <f>-IFERROR('4. NPV'!EYY23/'4. NPV'!EYY$8,0)</f>
        <v>-0.0</v>
      </c>
      <c r="EYY53" s="5">
        <f>-IFERROR('4. NPV'!EYZ23/'4. NPV'!EYZ$8,0)</f>
        <v>-0.0</v>
      </c>
      <c r="EYZ53" s="5">
        <f>-IFERROR('4. NPV'!EZA23/'4. NPV'!EZA$8,0)</f>
        <v>-0.0</v>
      </c>
      <c r="EZA53" s="5">
        <f>-IFERROR('4. NPV'!EZB23/'4. NPV'!EZB$8,0)</f>
        <v>-0.0</v>
      </c>
      <c r="EZB53" s="5">
        <f>-IFERROR('4. NPV'!EZC23/'4. NPV'!EZC$8,0)</f>
        <v>-0.0</v>
      </c>
      <c r="EZC53" s="5">
        <f>-IFERROR('4. NPV'!EZD23/'4. NPV'!EZD$8,0)</f>
        <v>-0.0</v>
      </c>
      <c r="EZD53" s="5">
        <f>-IFERROR('4. NPV'!EZE23/'4. NPV'!EZE$8,0)</f>
        <v>-0.0</v>
      </c>
      <c r="EZE53" s="5">
        <f>-IFERROR('4. NPV'!EZF23/'4. NPV'!EZF$8,0)</f>
        <v>-0.0</v>
      </c>
      <c r="EZF53" s="5">
        <f>-IFERROR('4. NPV'!EZG23/'4. NPV'!EZG$8,0)</f>
        <v>-0.0</v>
      </c>
      <c r="EZG53" s="5">
        <f>-IFERROR('4. NPV'!EZH23/'4. NPV'!EZH$8,0)</f>
        <v>-0.0</v>
      </c>
      <c r="EZH53" s="5">
        <f>-IFERROR('4. NPV'!EZI23/'4. NPV'!EZI$8,0)</f>
        <v>-0.0</v>
      </c>
      <c r="EZI53" s="5">
        <f>-IFERROR('4. NPV'!EZJ23/'4. NPV'!EZJ$8,0)</f>
        <v>-0.0</v>
      </c>
      <c r="EZJ53" s="5">
        <f>-IFERROR('4. NPV'!EZK23/'4. NPV'!EZK$8,0)</f>
        <v>-0.0</v>
      </c>
      <c r="EZK53" s="5">
        <f>-IFERROR('4. NPV'!EZL23/'4. NPV'!EZL$8,0)</f>
        <v>-0.0</v>
      </c>
      <c r="EZL53" s="5">
        <f>-IFERROR('4. NPV'!EZM23/'4. NPV'!EZM$8,0)</f>
        <v>-0.0</v>
      </c>
      <c r="EZM53" s="5">
        <f>-IFERROR('4. NPV'!EZN23/'4. NPV'!EZN$8,0)</f>
        <v>-0.0</v>
      </c>
      <c r="EZN53" s="5">
        <f>-IFERROR('4. NPV'!EZO23/'4. NPV'!EZO$8,0)</f>
        <v>-0.0</v>
      </c>
      <c r="EZO53" s="5">
        <f>-IFERROR('4. NPV'!EZP23/'4. NPV'!EZP$8,0)</f>
        <v>-0.0</v>
      </c>
      <c r="EZP53" s="5">
        <f>-IFERROR('4. NPV'!EZQ23/'4. NPV'!EZQ$8,0)</f>
        <v>-0.0</v>
      </c>
      <c r="EZQ53" s="5">
        <f>-IFERROR('4. NPV'!EZR23/'4. NPV'!EZR$8,0)</f>
        <v>-0.0</v>
      </c>
      <c r="EZR53" s="5">
        <f>-IFERROR('4. NPV'!EZS23/'4. NPV'!EZS$8,0)</f>
        <v>-0.0</v>
      </c>
      <c r="EZS53" s="5">
        <f>-IFERROR('4. NPV'!EZT23/'4. NPV'!EZT$8,0)</f>
        <v>-0.0</v>
      </c>
      <c r="EZT53" s="5">
        <f>-IFERROR('4. NPV'!EZU23/'4. NPV'!EZU$8,0)</f>
        <v>-0.0</v>
      </c>
      <c r="EZU53" s="5">
        <f>-IFERROR('4. NPV'!EZV23/'4. NPV'!EZV$8,0)</f>
        <v>-0.0</v>
      </c>
      <c r="EZV53" s="5">
        <f>-IFERROR('4. NPV'!EZW23/'4. NPV'!EZW$8,0)</f>
        <v>-0.0</v>
      </c>
      <c r="EZW53" s="5">
        <f>-IFERROR('4. NPV'!EZX23/'4. NPV'!EZX$8,0)</f>
        <v>-0.0</v>
      </c>
      <c r="EZX53" s="5">
        <f>-IFERROR('4. NPV'!EZY23/'4. NPV'!EZY$8,0)</f>
        <v>-0.0</v>
      </c>
      <c r="EZY53" s="5">
        <f>-IFERROR('4. NPV'!EZZ23/'4. NPV'!EZZ$8,0)</f>
        <v>-0.0</v>
      </c>
      <c r="EZZ53" s="5">
        <f>-IFERROR('4. NPV'!FAA23/'4. NPV'!FAA$8,0)</f>
        <v>-0.0</v>
      </c>
      <c r="FAA53" s="5">
        <f>-IFERROR('4. NPV'!FAB23/'4. NPV'!FAB$8,0)</f>
        <v>-0.0</v>
      </c>
      <c r="FAB53" s="5">
        <f>-IFERROR('4. NPV'!FAC23/'4. NPV'!FAC$8,0)</f>
        <v>-0.0</v>
      </c>
      <c r="FAC53" s="5">
        <f>-IFERROR('4. NPV'!FAD23/'4. NPV'!FAD$8,0)</f>
        <v>-0.0</v>
      </c>
      <c r="FAD53" s="5">
        <f>-IFERROR('4. NPV'!FAE23/'4. NPV'!FAE$8,0)</f>
        <v>-0.0</v>
      </c>
      <c r="FAE53" s="5">
        <f>-IFERROR('4. NPV'!FAF23/'4. NPV'!FAF$8,0)</f>
        <v>-0.0</v>
      </c>
      <c r="FAF53" s="5">
        <f>-IFERROR('4. NPV'!FAG23/'4. NPV'!FAG$8,0)</f>
        <v>-0.0</v>
      </c>
      <c r="FAG53" s="5">
        <f>-IFERROR('4. NPV'!FAH23/'4. NPV'!FAH$8,0)</f>
        <v>-0.0</v>
      </c>
      <c r="FAH53" s="5">
        <f>-IFERROR('4. NPV'!FAI23/'4. NPV'!FAI$8,0)</f>
        <v>-0.0</v>
      </c>
      <c r="FAI53" s="5">
        <f>-IFERROR('4. NPV'!FAJ23/'4. NPV'!FAJ$8,0)</f>
        <v>-0.0</v>
      </c>
      <c r="FAJ53" s="5">
        <f>-IFERROR('4. NPV'!FAK23/'4. NPV'!FAK$8,0)</f>
        <v>-0.0</v>
      </c>
      <c r="FAK53" s="5">
        <f>-IFERROR('4. NPV'!FAL23/'4. NPV'!FAL$8,0)</f>
        <v>-0.0</v>
      </c>
      <c r="FAL53" s="5">
        <f>-IFERROR('4. NPV'!FAM23/'4. NPV'!FAM$8,0)</f>
        <v>-0.0</v>
      </c>
      <c r="FAM53" s="5">
        <f>-IFERROR('4. NPV'!FAN23/'4. NPV'!FAN$8,0)</f>
        <v>-0.0</v>
      </c>
      <c r="FAN53" s="5">
        <f>-IFERROR('4. NPV'!FAO23/'4. NPV'!FAO$8,0)</f>
        <v>-0.0</v>
      </c>
      <c r="FAO53" s="5">
        <f>-IFERROR('4. NPV'!FAP23/'4. NPV'!FAP$8,0)</f>
        <v>-0.0</v>
      </c>
      <c r="FAP53" s="5">
        <f>-IFERROR('4. NPV'!FAQ23/'4. NPV'!FAQ$8,0)</f>
        <v>-0.0</v>
      </c>
      <c r="FAQ53" s="5">
        <f>-IFERROR('4. NPV'!FAR23/'4. NPV'!FAR$8,0)</f>
        <v>-0.0</v>
      </c>
      <c r="FAR53" s="5">
        <f>-IFERROR('4. NPV'!FAS23/'4. NPV'!FAS$8,0)</f>
        <v>-0.0</v>
      </c>
      <c r="FAS53" s="5">
        <f>-IFERROR('4. NPV'!FAT23/'4. NPV'!FAT$8,0)</f>
        <v>-0.0</v>
      </c>
      <c r="FAT53" s="5">
        <f>-IFERROR('4. NPV'!FAU23/'4. NPV'!FAU$8,0)</f>
        <v>-0.0</v>
      </c>
      <c r="FAU53" s="5">
        <f>-IFERROR('4. NPV'!FAV23/'4. NPV'!FAV$8,0)</f>
        <v>-0.0</v>
      </c>
      <c r="FAV53" s="5">
        <f>-IFERROR('4. NPV'!FAW23/'4. NPV'!FAW$8,0)</f>
        <v>-0.0</v>
      </c>
      <c r="FAW53" s="5">
        <f>-IFERROR('4. NPV'!FAX23/'4. NPV'!FAX$8,0)</f>
        <v>-0.0</v>
      </c>
      <c r="FAX53" s="5">
        <f>-IFERROR('4. NPV'!FAY23/'4. NPV'!FAY$8,0)</f>
        <v>-0.0</v>
      </c>
      <c r="FAY53" s="5">
        <f>-IFERROR('4. NPV'!FAZ23/'4. NPV'!FAZ$8,0)</f>
        <v>-0.0</v>
      </c>
      <c r="FAZ53" s="5">
        <f>-IFERROR('4. NPV'!FBA23/'4. NPV'!FBA$8,0)</f>
        <v>-0.0</v>
      </c>
      <c r="FBA53" s="5">
        <f>-IFERROR('4. NPV'!FBB23/'4. NPV'!FBB$8,0)</f>
        <v>-0.0</v>
      </c>
      <c r="FBB53" s="5">
        <f>-IFERROR('4. NPV'!FBC23/'4. NPV'!FBC$8,0)</f>
        <v>-0.0</v>
      </c>
      <c r="FBC53" s="5">
        <f>-IFERROR('4. NPV'!FBD23/'4. NPV'!FBD$8,0)</f>
        <v>-0.0</v>
      </c>
      <c r="FBD53" s="5">
        <f>-IFERROR('4. NPV'!FBE23/'4. NPV'!FBE$8,0)</f>
        <v>-0.0</v>
      </c>
      <c r="FBE53" s="5">
        <f>-IFERROR('4. NPV'!FBF23/'4. NPV'!FBF$8,0)</f>
        <v>-0.0</v>
      </c>
      <c r="FBF53" s="5">
        <f>-IFERROR('4. NPV'!FBG23/'4. NPV'!FBG$8,0)</f>
        <v>-0.0</v>
      </c>
      <c r="FBG53" s="5">
        <f>-IFERROR('4. NPV'!FBH23/'4. NPV'!FBH$8,0)</f>
        <v>-0.0</v>
      </c>
      <c r="FBH53" s="5">
        <f>-IFERROR('4. NPV'!FBI23/'4. NPV'!FBI$8,0)</f>
        <v>-0.0</v>
      </c>
      <c r="FBI53" s="5">
        <f>-IFERROR('4. NPV'!FBJ23/'4. NPV'!FBJ$8,0)</f>
        <v>-0.0</v>
      </c>
      <c r="FBJ53" s="5">
        <f>-IFERROR('4. NPV'!FBK23/'4. NPV'!FBK$8,0)</f>
        <v>-0.0</v>
      </c>
      <c r="FBK53" s="5">
        <f>-IFERROR('4. NPV'!FBL23/'4. NPV'!FBL$8,0)</f>
        <v>-0.0</v>
      </c>
      <c r="FBL53" s="5">
        <f>-IFERROR('4. NPV'!FBM23/'4. NPV'!FBM$8,0)</f>
        <v>-0.0</v>
      </c>
      <c r="FBM53" s="5">
        <f>-IFERROR('4. NPV'!FBN23/'4. NPV'!FBN$8,0)</f>
        <v>-0.0</v>
      </c>
      <c r="FBN53" s="5">
        <f>-IFERROR('4. NPV'!FBO23/'4. NPV'!FBO$8,0)</f>
        <v>-0.0</v>
      </c>
      <c r="FBO53" s="5">
        <f>-IFERROR('4. NPV'!FBP23/'4. NPV'!FBP$8,0)</f>
        <v>-0.0</v>
      </c>
      <c r="FBP53" s="5">
        <f>-IFERROR('4. NPV'!FBQ23/'4. NPV'!FBQ$8,0)</f>
        <v>-0.0</v>
      </c>
      <c r="FBQ53" s="5">
        <f>-IFERROR('4. NPV'!FBR23/'4. NPV'!FBR$8,0)</f>
        <v>-0.0</v>
      </c>
      <c r="FBR53" s="5">
        <f>-IFERROR('4. NPV'!FBS23/'4. NPV'!FBS$8,0)</f>
        <v>-0.0</v>
      </c>
      <c r="FBS53" s="5">
        <f>-IFERROR('4. NPV'!FBT23/'4. NPV'!FBT$8,0)</f>
        <v>-0.0</v>
      </c>
      <c r="FBT53" s="5">
        <f>-IFERROR('4. NPV'!FBU23/'4. NPV'!FBU$8,0)</f>
        <v>-0.0</v>
      </c>
      <c r="FBU53" s="5">
        <f>-IFERROR('4. NPV'!FBV23/'4. NPV'!FBV$8,0)</f>
        <v>-0.0</v>
      </c>
      <c r="FBV53" s="5">
        <f>-IFERROR('4. NPV'!FBW23/'4. NPV'!FBW$8,0)</f>
        <v>-0.0</v>
      </c>
      <c r="FBW53" s="5">
        <f>-IFERROR('4. NPV'!FBX23/'4. NPV'!FBX$8,0)</f>
        <v>-0.0</v>
      </c>
      <c r="FBX53" s="5">
        <f>-IFERROR('4. NPV'!FBY23/'4. NPV'!FBY$8,0)</f>
        <v>-0.0</v>
      </c>
      <c r="FBY53" s="5">
        <f>-IFERROR('4. NPV'!FBZ23/'4. NPV'!FBZ$8,0)</f>
        <v>-0.0</v>
      </c>
      <c r="FBZ53" s="5">
        <f>-IFERROR('4. NPV'!FCA23/'4. NPV'!FCA$8,0)</f>
        <v>-0.0</v>
      </c>
      <c r="FCA53" s="5">
        <f>-IFERROR('4. NPV'!FCB23/'4. NPV'!FCB$8,0)</f>
        <v>-0.0</v>
      </c>
      <c r="FCB53" s="5">
        <f>-IFERROR('4. NPV'!FCC23/'4. NPV'!FCC$8,0)</f>
        <v>-0.0</v>
      </c>
      <c r="FCC53" s="5">
        <f>-IFERROR('4. NPV'!FCD23/'4. NPV'!FCD$8,0)</f>
        <v>-0.0</v>
      </c>
      <c r="FCD53" s="5">
        <f>-IFERROR('4. NPV'!FCE23/'4. NPV'!FCE$8,0)</f>
        <v>-0.0</v>
      </c>
      <c r="FCE53" s="5">
        <f>-IFERROR('4. NPV'!FCF23/'4. NPV'!FCF$8,0)</f>
        <v>-0.0</v>
      </c>
      <c r="FCF53" s="5">
        <f>-IFERROR('4. NPV'!FCG23/'4. NPV'!FCG$8,0)</f>
        <v>-0.0</v>
      </c>
      <c r="FCG53" s="5">
        <f>-IFERROR('4. NPV'!FCH23/'4. NPV'!FCH$8,0)</f>
        <v>-0.0</v>
      </c>
      <c r="FCH53" s="5">
        <f>-IFERROR('4. NPV'!FCI23/'4. NPV'!FCI$8,0)</f>
        <v>-0.0</v>
      </c>
      <c r="FCI53" s="5">
        <f>-IFERROR('4. NPV'!FCJ23/'4. NPV'!FCJ$8,0)</f>
        <v>-0.0</v>
      </c>
      <c r="FCJ53" s="5">
        <f>-IFERROR('4. NPV'!FCK23/'4. NPV'!FCK$8,0)</f>
        <v>-0.0</v>
      </c>
      <c r="FCK53" s="5">
        <f>-IFERROR('4. NPV'!FCL23/'4. NPV'!FCL$8,0)</f>
        <v>-0.0</v>
      </c>
      <c r="FCL53" s="5">
        <f>-IFERROR('4. NPV'!FCM23/'4. NPV'!FCM$8,0)</f>
        <v>-0.0</v>
      </c>
      <c r="FCM53" s="5">
        <f>-IFERROR('4. NPV'!FCN23/'4. NPV'!FCN$8,0)</f>
        <v>-0.0</v>
      </c>
      <c r="FCN53" s="5">
        <f>-IFERROR('4. NPV'!FCO23/'4. NPV'!FCO$8,0)</f>
        <v>-0.0</v>
      </c>
      <c r="FCO53" s="5">
        <f>-IFERROR('4. NPV'!FCP23/'4. NPV'!FCP$8,0)</f>
        <v>-0.0</v>
      </c>
      <c r="FCP53" s="5">
        <f>-IFERROR('4. NPV'!FCQ23/'4. NPV'!FCQ$8,0)</f>
        <v>-0.0</v>
      </c>
      <c r="FCQ53" s="5">
        <f>-IFERROR('4. NPV'!FCR23/'4. NPV'!FCR$8,0)</f>
        <v>-0.0</v>
      </c>
      <c r="FCR53" s="5">
        <f>-IFERROR('4. NPV'!FCS23/'4. NPV'!FCS$8,0)</f>
        <v>-0.0</v>
      </c>
      <c r="FCS53" s="5">
        <f>-IFERROR('4. NPV'!FCT23/'4. NPV'!FCT$8,0)</f>
        <v>-0.0</v>
      </c>
      <c r="FCT53" s="5">
        <f>-IFERROR('4. NPV'!FCU23/'4. NPV'!FCU$8,0)</f>
        <v>-0.0</v>
      </c>
      <c r="FCU53" s="5">
        <f>-IFERROR('4. NPV'!FCV23/'4. NPV'!FCV$8,0)</f>
        <v>-0.0</v>
      </c>
      <c r="FCV53" s="5">
        <f>-IFERROR('4. NPV'!FCW23/'4. NPV'!FCW$8,0)</f>
        <v>-0.0</v>
      </c>
      <c r="FCW53" s="5">
        <f>-IFERROR('4. NPV'!FCX23/'4. NPV'!FCX$8,0)</f>
        <v>-0.0</v>
      </c>
      <c r="FCX53" s="5">
        <f>-IFERROR('4. NPV'!FCY23/'4. NPV'!FCY$8,0)</f>
        <v>-0.0</v>
      </c>
      <c r="FCY53" s="5">
        <f>-IFERROR('4. NPV'!FCZ23/'4. NPV'!FCZ$8,0)</f>
        <v>-0.0</v>
      </c>
      <c r="FCZ53" s="5">
        <f>-IFERROR('4. NPV'!FDA23/'4. NPV'!FDA$8,0)</f>
        <v>-0.0</v>
      </c>
      <c r="FDA53" s="5">
        <f>-IFERROR('4. NPV'!FDB23/'4. NPV'!FDB$8,0)</f>
        <v>-0.0</v>
      </c>
      <c r="FDB53" s="5">
        <f>-IFERROR('4. NPV'!FDC23/'4. NPV'!FDC$8,0)</f>
        <v>-0.0</v>
      </c>
      <c r="FDC53" s="5">
        <f>-IFERROR('4. NPV'!FDD23/'4. NPV'!FDD$8,0)</f>
        <v>-0.0</v>
      </c>
      <c r="FDD53" s="5">
        <f>-IFERROR('4. NPV'!FDE23/'4. NPV'!FDE$8,0)</f>
        <v>-0.0</v>
      </c>
      <c r="FDE53" s="5">
        <f>-IFERROR('4. NPV'!FDF23/'4. NPV'!FDF$8,0)</f>
        <v>-0.0</v>
      </c>
      <c r="FDF53" s="5">
        <f>-IFERROR('4. NPV'!FDG23/'4. NPV'!FDG$8,0)</f>
        <v>-0.0</v>
      </c>
      <c r="FDG53" s="5">
        <f>-IFERROR('4. NPV'!FDH23/'4. NPV'!FDH$8,0)</f>
        <v>-0.0</v>
      </c>
      <c r="FDH53" s="5">
        <f>-IFERROR('4. NPV'!FDI23/'4. NPV'!FDI$8,0)</f>
        <v>-0.0</v>
      </c>
      <c r="FDI53" s="5">
        <f>-IFERROR('4. NPV'!FDJ23/'4. NPV'!FDJ$8,0)</f>
        <v>-0.0</v>
      </c>
      <c r="FDJ53" s="5">
        <f>-IFERROR('4. NPV'!FDK23/'4. NPV'!FDK$8,0)</f>
        <v>-0.0</v>
      </c>
      <c r="FDK53" s="5">
        <f>-IFERROR('4. NPV'!FDL23/'4. NPV'!FDL$8,0)</f>
        <v>-0.0</v>
      </c>
      <c r="FDL53" s="5">
        <f>-IFERROR('4. NPV'!FDM23/'4. NPV'!FDM$8,0)</f>
        <v>-0.0</v>
      </c>
      <c r="FDM53" s="5">
        <f>-IFERROR('4. NPV'!FDN23/'4. NPV'!FDN$8,0)</f>
        <v>-0.0</v>
      </c>
      <c r="FDN53" s="5">
        <f>-IFERROR('4. NPV'!FDO23/'4. NPV'!FDO$8,0)</f>
        <v>-0.0</v>
      </c>
      <c r="FDO53" s="5">
        <f>-IFERROR('4. NPV'!FDP23/'4. NPV'!FDP$8,0)</f>
        <v>-0.0</v>
      </c>
      <c r="FDP53" s="5">
        <f>-IFERROR('4. NPV'!FDQ23/'4. NPV'!FDQ$8,0)</f>
        <v>-0.0</v>
      </c>
      <c r="FDQ53" s="5">
        <f>-IFERROR('4. NPV'!FDR23/'4. NPV'!FDR$8,0)</f>
        <v>-0.0</v>
      </c>
      <c r="FDR53" s="5">
        <f>-IFERROR('4. NPV'!FDS23/'4. NPV'!FDS$8,0)</f>
        <v>-0.0</v>
      </c>
      <c r="FDS53" s="5">
        <f>-IFERROR('4. NPV'!FDT23/'4. NPV'!FDT$8,0)</f>
        <v>-0.0</v>
      </c>
      <c r="FDT53" s="5">
        <f>-IFERROR('4. NPV'!FDU23/'4. NPV'!FDU$8,0)</f>
        <v>-0.0</v>
      </c>
      <c r="FDU53" s="5">
        <f>-IFERROR('4. NPV'!FDV23/'4. NPV'!FDV$8,0)</f>
        <v>-0.0</v>
      </c>
      <c r="FDV53" s="5">
        <f>-IFERROR('4. NPV'!FDW23/'4. NPV'!FDW$8,0)</f>
        <v>-0.0</v>
      </c>
      <c r="FDW53" s="5">
        <f>-IFERROR('4. NPV'!FDX23/'4. NPV'!FDX$8,0)</f>
        <v>-0.0</v>
      </c>
      <c r="FDX53" s="5">
        <f>-IFERROR('4. NPV'!FDY23/'4. NPV'!FDY$8,0)</f>
        <v>-0.0</v>
      </c>
      <c r="FDY53" s="5">
        <f>-IFERROR('4. NPV'!FDZ23/'4. NPV'!FDZ$8,0)</f>
        <v>-0.0</v>
      </c>
      <c r="FDZ53" s="5">
        <f>-IFERROR('4. NPV'!FEA23/'4. NPV'!FEA$8,0)</f>
        <v>-0.0</v>
      </c>
      <c r="FEA53" s="5">
        <f>-IFERROR('4. NPV'!FEB23/'4. NPV'!FEB$8,0)</f>
        <v>-0.0</v>
      </c>
      <c r="FEB53" s="5">
        <f>-IFERROR('4. NPV'!FEC23/'4. NPV'!FEC$8,0)</f>
        <v>-0.0</v>
      </c>
      <c r="FEC53" s="5">
        <f>-IFERROR('4. NPV'!FED23/'4. NPV'!FED$8,0)</f>
        <v>-0.0</v>
      </c>
      <c r="FED53" s="5">
        <f>-IFERROR('4. NPV'!FEE23/'4. NPV'!FEE$8,0)</f>
        <v>-0.0</v>
      </c>
      <c r="FEE53" s="5">
        <f>-IFERROR('4. NPV'!FEF23/'4. NPV'!FEF$8,0)</f>
        <v>-0.0</v>
      </c>
      <c r="FEF53" s="5">
        <f>-IFERROR('4. NPV'!FEG23/'4. NPV'!FEG$8,0)</f>
        <v>-0.0</v>
      </c>
      <c r="FEG53" s="5">
        <f>-IFERROR('4. NPV'!FEH23/'4. NPV'!FEH$8,0)</f>
        <v>-0.0</v>
      </c>
      <c r="FEH53" s="5">
        <f>-IFERROR('4. NPV'!FEI23/'4. NPV'!FEI$8,0)</f>
        <v>-0.0</v>
      </c>
      <c r="FEI53" s="5">
        <f>-IFERROR('4. NPV'!FEJ23/'4. NPV'!FEJ$8,0)</f>
        <v>-0.0</v>
      </c>
      <c r="FEJ53" s="5">
        <f>-IFERROR('4. NPV'!FEK23/'4. NPV'!FEK$8,0)</f>
        <v>-0.0</v>
      </c>
      <c r="FEK53" s="5">
        <f>-IFERROR('4. NPV'!FEL23/'4. NPV'!FEL$8,0)</f>
        <v>-0.0</v>
      </c>
      <c r="FEL53" s="5">
        <f>-IFERROR('4. NPV'!FEM23/'4. NPV'!FEM$8,0)</f>
        <v>-0.0</v>
      </c>
      <c r="FEM53" s="5">
        <f>-IFERROR('4. NPV'!FEN23/'4. NPV'!FEN$8,0)</f>
        <v>-0.0</v>
      </c>
      <c r="FEN53" s="5">
        <f>-IFERROR('4. NPV'!FEO23/'4. NPV'!FEO$8,0)</f>
        <v>-0.0</v>
      </c>
      <c r="FEO53" s="5">
        <f>-IFERROR('4. NPV'!FEP23/'4. NPV'!FEP$8,0)</f>
        <v>-0.0</v>
      </c>
      <c r="FEP53" s="5">
        <f>-IFERROR('4. NPV'!FEQ23/'4. NPV'!FEQ$8,0)</f>
        <v>-0.0</v>
      </c>
      <c r="FEQ53" s="5">
        <f>-IFERROR('4. NPV'!FER23/'4. NPV'!FER$8,0)</f>
        <v>-0.0</v>
      </c>
      <c r="FER53" s="5">
        <f>-IFERROR('4. NPV'!FES23/'4. NPV'!FES$8,0)</f>
        <v>-0.0</v>
      </c>
      <c r="FES53" s="5">
        <f>-IFERROR('4. NPV'!FET23/'4. NPV'!FET$8,0)</f>
        <v>-0.0</v>
      </c>
      <c r="FET53" s="5">
        <f>-IFERROR('4. NPV'!FEU23/'4. NPV'!FEU$8,0)</f>
        <v>-0.0</v>
      </c>
      <c r="FEU53" s="5">
        <f>-IFERROR('4. NPV'!FEV23/'4. NPV'!FEV$8,0)</f>
        <v>-0.0</v>
      </c>
      <c r="FEV53" s="5">
        <f>-IFERROR('4. NPV'!FEW23/'4. NPV'!FEW$8,0)</f>
        <v>-0.0</v>
      </c>
      <c r="FEW53" s="5">
        <f>-IFERROR('4. NPV'!FEX23/'4. NPV'!FEX$8,0)</f>
        <v>-0.0</v>
      </c>
      <c r="FEX53" s="5">
        <f>-IFERROR('4. NPV'!FEY23/'4. NPV'!FEY$8,0)</f>
        <v>-0.0</v>
      </c>
      <c r="FEY53" s="5">
        <f>-IFERROR('4. NPV'!FEZ23/'4. NPV'!FEZ$8,0)</f>
        <v>-0.0</v>
      </c>
      <c r="FEZ53" s="5">
        <f>-IFERROR('4. NPV'!FFA23/'4. NPV'!FFA$8,0)</f>
        <v>-0.0</v>
      </c>
      <c r="FFA53" s="5">
        <f>-IFERROR('4. NPV'!FFB23/'4. NPV'!FFB$8,0)</f>
        <v>-0.0</v>
      </c>
      <c r="FFB53" s="5">
        <f>-IFERROR('4. NPV'!FFC23/'4. NPV'!FFC$8,0)</f>
        <v>-0.0</v>
      </c>
      <c r="FFC53" s="5">
        <f>-IFERROR('4. NPV'!FFD23/'4. NPV'!FFD$8,0)</f>
        <v>-0.0</v>
      </c>
      <c r="FFD53" s="5">
        <f>-IFERROR('4. NPV'!FFE23/'4. NPV'!FFE$8,0)</f>
        <v>-0.0</v>
      </c>
      <c r="FFE53" s="5">
        <f>-IFERROR('4. NPV'!FFF23/'4. NPV'!FFF$8,0)</f>
        <v>-0.0</v>
      </c>
      <c r="FFF53" s="5">
        <f>-IFERROR('4. NPV'!FFG23/'4. NPV'!FFG$8,0)</f>
        <v>-0.0</v>
      </c>
      <c r="FFG53" s="5">
        <f>-IFERROR('4. NPV'!FFH23/'4. NPV'!FFH$8,0)</f>
        <v>-0.0</v>
      </c>
      <c r="FFH53" s="5">
        <f>-IFERROR('4. NPV'!FFI23/'4. NPV'!FFI$8,0)</f>
        <v>-0.0</v>
      </c>
      <c r="FFI53" s="5">
        <f>-IFERROR('4. NPV'!FFJ23/'4. NPV'!FFJ$8,0)</f>
        <v>-0.0</v>
      </c>
      <c r="FFJ53" s="5">
        <f>-IFERROR('4. NPV'!FFK23/'4. NPV'!FFK$8,0)</f>
        <v>-0.0</v>
      </c>
      <c r="FFK53" s="5">
        <f>-IFERROR('4. NPV'!FFL23/'4. NPV'!FFL$8,0)</f>
        <v>-0.0</v>
      </c>
      <c r="FFL53" s="5">
        <f>-IFERROR('4. NPV'!FFM23/'4. NPV'!FFM$8,0)</f>
        <v>-0.0</v>
      </c>
      <c r="FFM53" s="5">
        <f>-IFERROR('4. NPV'!FFN23/'4. NPV'!FFN$8,0)</f>
        <v>-0.0</v>
      </c>
      <c r="FFN53" s="5">
        <f>-IFERROR('4. NPV'!FFO23/'4. NPV'!FFO$8,0)</f>
        <v>-0.0</v>
      </c>
      <c r="FFO53" s="5">
        <f>-IFERROR('4. NPV'!FFP23/'4. NPV'!FFP$8,0)</f>
        <v>-0.0</v>
      </c>
      <c r="FFP53" s="5">
        <f>-IFERROR('4. NPV'!FFQ23/'4. NPV'!FFQ$8,0)</f>
        <v>-0.0</v>
      </c>
      <c r="FFQ53" s="5">
        <f>-IFERROR('4. NPV'!FFR23/'4. NPV'!FFR$8,0)</f>
        <v>-0.0</v>
      </c>
      <c r="FFR53" s="5">
        <f>-IFERROR('4. NPV'!FFS23/'4. NPV'!FFS$8,0)</f>
        <v>-0.0</v>
      </c>
      <c r="FFS53" s="5">
        <f>-IFERROR('4. NPV'!FFT23/'4. NPV'!FFT$8,0)</f>
        <v>-0.0</v>
      </c>
      <c r="FFT53" s="5">
        <f>-IFERROR('4. NPV'!FFU23/'4. NPV'!FFU$8,0)</f>
        <v>-0.0</v>
      </c>
      <c r="FFU53" s="5">
        <f>-IFERROR('4. NPV'!FFV23/'4. NPV'!FFV$8,0)</f>
        <v>-0.0</v>
      </c>
      <c r="FFV53" s="5">
        <f>-IFERROR('4. NPV'!FFW23/'4. NPV'!FFW$8,0)</f>
        <v>-0.0</v>
      </c>
      <c r="FFW53" s="5">
        <f>-IFERROR('4. NPV'!FFX23/'4. NPV'!FFX$8,0)</f>
        <v>-0.0</v>
      </c>
      <c r="FFX53" s="5">
        <f>-IFERROR('4. NPV'!FFY23/'4. NPV'!FFY$8,0)</f>
        <v>-0.0</v>
      </c>
      <c r="FFY53" s="5">
        <f>-IFERROR('4. NPV'!FFZ23/'4. NPV'!FFZ$8,0)</f>
        <v>-0.0</v>
      </c>
      <c r="FFZ53" s="5">
        <f>-IFERROR('4. NPV'!FGA23/'4. NPV'!FGA$8,0)</f>
        <v>-0.0</v>
      </c>
      <c r="FGA53" s="5">
        <f>-IFERROR('4. NPV'!FGB23/'4. NPV'!FGB$8,0)</f>
        <v>-0.0</v>
      </c>
      <c r="FGB53" s="5">
        <f>-IFERROR('4. NPV'!FGC23/'4. NPV'!FGC$8,0)</f>
        <v>-0.0</v>
      </c>
      <c r="FGC53" s="5">
        <f>-IFERROR('4. NPV'!FGD23/'4. NPV'!FGD$8,0)</f>
        <v>-0.0</v>
      </c>
      <c r="FGD53" s="5">
        <f>-IFERROR('4. NPV'!FGE23/'4. NPV'!FGE$8,0)</f>
        <v>-0.0</v>
      </c>
      <c r="FGE53" s="5">
        <f>-IFERROR('4. NPV'!FGF23/'4. NPV'!FGF$8,0)</f>
        <v>-0.0</v>
      </c>
      <c r="FGF53" s="5">
        <f>-IFERROR('4. NPV'!FGG23/'4. NPV'!FGG$8,0)</f>
        <v>-0.0</v>
      </c>
      <c r="FGG53" s="5">
        <f>-IFERROR('4. NPV'!FGH23/'4. NPV'!FGH$8,0)</f>
        <v>-0.0</v>
      </c>
      <c r="FGH53" s="5">
        <f>-IFERROR('4. NPV'!FGI23/'4. NPV'!FGI$8,0)</f>
        <v>-0.0</v>
      </c>
      <c r="FGI53" s="5">
        <f>-IFERROR('4. NPV'!FGJ23/'4. NPV'!FGJ$8,0)</f>
        <v>-0.0</v>
      </c>
      <c r="FGJ53" s="5">
        <f>-IFERROR('4. NPV'!FGK23/'4. NPV'!FGK$8,0)</f>
        <v>-0.0</v>
      </c>
      <c r="FGK53" s="5">
        <f>-IFERROR('4. NPV'!FGL23/'4. NPV'!FGL$8,0)</f>
        <v>-0.0</v>
      </c>
      <c r="FGL53" s="5">
        <f>-IFERROR('4. NPV'!FGM23/'4. NPV'!FGM$8,0)</f>
        <v>-0.0</v>
      </c>
      <c r="FGM53" s="5">
        <f>-IFERROR('4. NPV'!FGN23/'4. NPV'!FGN$8,0)</f>
        <v>-0.0</v>
      </c>
      <c r="FGN53" s="5">
        <f>-IFERROR('4. NPV'!FGO23/'4. NPV'!FGO$8,0)</f>
        <v>-0.0</v>
      </c>
      <c r="FGO53" s="5">
        <f>-IFERROR('4. NPV'!FGP23/'4. NPV'!FGP$8,0)</f>
        <v>-0.0</v>
      </c>
      <c r="FGP53" s="5">
        <f>-IFERROR('4. NPV'!FGQ23/'4. NPV'!FGQ$8,0)</f>
        <v>-0.0</v>
      </c>
      <c r="FGQ53" s="5">
        <f>-IFERROR('4. NPV'!FGR23/'4. NPV'!FGR$8,0)</f>
        <v>-0.0</v>
      </c>
      <c r="FGR53" s="5">
        <f>-IFERROR('4. NPV'!FGS23/'4. NPV'!FGS$8,0)</f>
        <v>-0.0</v>
      </c>
      <c r="FGS53" s="5">
        <f>-IFERROR('4. NPV'!FGT23/'4. NPV'!FGT$8,0)</f>
        <v>-0.0</v>
      </c>
      <c r="FGT53" s="5">
        <f>-IFERROR('4. NPV'!FGU23/'4. NPV'!FGU$8,0)</f>
        <v>-0.0</v>
      </c>
      <c r="FGU53" s="5">
        <f>-IFERROR('4. NPV'!FGV23/'4. NPV'!FGV$8,0)</f>
        <v>-0.0</v>
      </c>
      <c r="FGV53" s="5">
        <f>-IFERROR('4. NPV'!FGW23/'4. NPV'!FGW$8,0)</f>
        <v>-0.0</v>
      </c>
      <c r="FGW53" s="5">
        <f>-IFERROR('4. NPV'!FGX23/'4. NPV'!FGX$8,0)</f>
        <v>-0.0</v>
      </c>
      <c r="FGX53" s="5">
        <f>-IFERROR('4. NPV'!FGY23/'4. NPV'!FGY$8,0)</f>
        <v>-0.0</v>
      </c>
      <c r="FGY53" s="5">
        <f>-IFERROR('4. NPV'!FGZ23/'4. NPV'!FGZ$8,0)</f>
        <v>-0.0</v>
      </c>
      <c r="FGZ53" s="5">
        <f>-IFERROR('4. NPV'!FHA23/'4. NPV'!FHA$8,0)</f>
        <v>-0.0</v>
      </c>
      <c r="FHA53" s="5">
        <f>-IFERROR('4. NPV'!FHB23/'4. NPV'!FHB$8,0)</f>
        <v>-0.0</v>
      </c>
      <c r="FHB53" s="5">
        <f>-IFERROR('4. NPV'!FHC23/'4. NPV'!FHC$8,0)</f>
        <v>-0.0</v>
      </c>
      <c r="FHC53" s="5">
        <f>-IFERROR('4. NPV'!FHD23/'4. NPV'!FHD$8,0)</f>
        <v>-0.0</v>
      </c>
      <c r="FHD53" s="5">
        <f>-IFERROR('4. NPV'!FHE23/'4. NPV'!FHE$8,0)</f>
        <v>-0.0</v>
      </c>
      <c r="FHE53" s="5">
        <f>-IFERROR('4. NPV'!FHF23/'4. NPV'!FHF$8,0)</f>
        <v>-0.0</v>
      </c>
      <c r="FHF53" s="5">
        <f>-IFERROR('4. NPV'!FHG23/'4. NPV'!FHG$8,0)</f>
        <v>-0.0</v>
      </c>
      <c r="FHG53" s="5">
        <f>-IFERROR('4. NPV'!FHH23/'4. NPV'!FHH$8,0)</f>
        <v>-0.0</v>
      </c>
      <c r="FHH53" s="5">
        <f>-IFERROR('4. NPV'!FHI23/'4. NPV'!FHI$8,0)</f>
        <v>-0.0</v>
      </c>
      <c r="FHI53" s="5">
        <f>-IFERROR('4. NPV'!FHJ23/'4. NPV'!FHJ$8,0)</f>
        <v>-0.0</v>
      </c>
      <c r="FHJ53" s="5">
        <f>-IFERROR('4. NPV'!FHK23/'4. NPV'!FHK$8,0)</f>
        <v>-0.0</v>
      </c>
      <c r="FHK53" s="5">
        <f>-IFERROR('4. NPV'!FHL23/'4. NPV'!FHL$8,0)</f>
        <v>-0.0</v>
      </c>
      <c r="FHL53" s="5">
        <f>-IFERROR('4. NPV'!FHM23/'4. NPV'!FHM$8,0)</f>
        <v>-0.0</v>
      </c>
      <c r="FHM53" s="5">
        <f>-IFERROR('4. NPV'!FHN23/'4. NPV'!FHN$8,0)</f>
        <v>-0.0</v>
      </c>
      <c r="FHN53" s="5">
        <f>-IFERROR('4. NPV'!FHO23/'4. NPV'!FHO$8,0)</f>
        <v>-0.0</v>
      </c>
      <c r="FHO53" s="5">
        <f>-IFERROR('4. NPV'!FHP23/'4. NPV'!FHP$8,0)</f>
        <v>-0.0</v>
      </c>
      <c r="FHP53" s="5">
        <f>-IFERROR('4. NPV'!FHQ23/'4. NPV'!FHQ$8,0)</f>
        <v>-0.0</v>
      </c>
      <c r="FHQ53" s="5">
        <f>-IFERROR('4. NPV'!FHR23/'4. NPV'!FHR$8,0)</f>
        <v>-0.0</v>
      </c>
      <c r="FHR53" s="5">
        <f>-IFERROR('4. NPV'!FHS23/'4. NPV'!FHS$8,0)</f>
        <v>-0.0</v>
      </c>
      <c r="FHS53" s="5">
        <f>-IFERROR('4. NPV'!FHT23/'4. NPV'!FHT$8,0)</f>
        <v>-0.0</v>
      </c>
      <c r="FHT53" s="5">
        <f>-IFERROR('4. NPV'!FHU23/'4. NPV'!FHU$8,0)</f>
        <v>-0.0</v>
      </c>
      <c r="FHU53" s="5">
        <f>-IFERROR('4. NPV'!FHV23/'4. NPV'!FHV$8,0)</f>
        <v>-0.0</v>
      </c>
      <c r="FHV53" s="5">
        <f>-IFERROR('4. NPV'!FHW23/'4. NPV'!FHW$8,0)</f>
        <v>-0.0</v>
      </c>
      <c r="FHW53" s="5">
        <f>-IFERROR('4. NPV'!FHX23/'4. NPV'!FHX$8,0)</f>
        <v>-0.0</v>
      </c>
      <c r="FHX53" s="5">
        <f>-IFERROR('4. NPV'!FHY23/'4. NPV'!FHY$8,0)</f>
        <v>-0.0</v>
      </c>
      <c r="FHY53" s="5">
        <f>-IFERROR('4. NPV'!FHZ23/'4. NPV'!FHZ$8,0)</f>
        <v>-0.0</v>
      </c>
      <c r="FHZ53" s="5">
        <f>-IFERROR('4. NPV'!FIA23/'4. NPV'!FIA$8,0)</f>
        <v>-0.0</v>
      </c>
      <c r="FIA53" s="5">
        <f>-IFERROR('4. NPV'!FIB23/'4. NPV'!FIB$8,0)</f>
        <v>-0.0</v>
      </c>
      <c r="FIB53" s="5">
        <f>-IFERROR('4. NPV'!FIC23/'4. NPV'!FIC$8,0)</f>
        <v>-0.0</v>
      </c>
      <c r="FIC53" s="5">
        <f>-IFERROR('4. NPV'!FID23/'4. NPV'!FID$8,0)</f>
        <v>-0.0</v>
      </c>
      <c r="FID53" s="5">
        <f>-IFERROR('4. NPV'!FIE23/'4. NPV'!FIE$8,0)</f>
        <v>-0.0</v>
      </c>
      <c r="FIE53" s="5">
        <f>-IFERROR('4. NPV'!FIF23/'4. NPV'!FIF$8,0)</f>
        <v>-0.0</v>
      </c>
      <c r="FIF53" s="5">
        <f>-IFERROR('4. NPV'!FIG23/'4. NPV'!FIG$8,0)</f>
        <v>-0.0</v>
      </c>
      <c r="FIG53" s="5">
        <f>-IFERROR('4. NPV'!FIH23/'4. NPV'!FIH$8,0)</f>
        <v>-0.0</v>
      </c>
      <c r="FIH53" s="5">
        <f>-IFERROR('4. NPV'!FII23/'4. NPV'!FII$8,0)</f>
        <v>-0.0</v>
      </c>
      <c r="FII53" s="5">
        <f>-IFERROR('4. NPV'!FIJ23/'4. NPV'!FIJ$8,0)</f>
        <v>-0.0</v>
      </c>
      <c r="FIJ53" s="5">
        <f>-IFERROR('4. NPV'!FIK23/'4. NPV'!FIK$8,0)</f>
        <v>-0.0</v>
      </c>
      <c r="FIK53" s="5">
        <f>-IFERROR('4. NPV'!FIL23/'4. NPV'!FIL$8,0)</f>
        <v>-0.0</v>
      </c>
      <c r="FIL53" s="5">
        <f>-IFERROR('4. NPV'!FIM23/'4. NPV'!FIM$8,0)</f>
        <v>-0.0</v>
      </c>
      <c r="FIM53" s="5">
        <f>-IFERROR('4. NPV'!FIN23/'4. NPV'!FIN$8,0)</f>
        <v>-0.0</v>
      </c>
      <c r="FIN53" s="5">
        <f>-IFERROR('4. NPV'!FIO23/'4. NPV'!FIO$8,0)</f>
        <v>-0.0</v>
      </c>
      <c r="FIO53" s="5">
        <f>-IFERROR('4. NPV'!FIP23/'4. NPV'!FIP$8,0)</f>
        <v>-0.0</v>
      </c>
      <c r="FIP53" s="5">
        <f>-IFERROR('4. NPV'!FIQ23/'4. NPV'!FIQ$8,0)</f>
        <v>-0.0</v>
      </c>
      <c r="FIQ53" s="5">
        <f>-IFERROR('4. NPV'!FIR23/'4. NPV'!FIR$8,0)</f>
        <v>-0.0</v>
      </c>
      <c r="FIR53" s="5">
        <f>-IFERROR('4. NPV'!FIS23/'4. NPV'!FIS$8,0)</f>
        <v>-0.0</v>
      </c>
      <c r="FIS53" s="5">
        <f>-IFERROR('4. NPV'!FIT23/'4. NPV'!FIT$8,0)</f>
        <v>-0.0</v>
      </c>
      <c r="FIT53" s="5">
        <f>-IFERROR('4. NPV'!FIU23/'4. NPV'!FIU$8,0)</f>
        <v>-0.0</v>
      </c>
      <c r="FIU53" s="5">
        <f>-IFERROR('4. NPV'!FIV23/'4. NPV'!FIV$8,0)</f>
        <v>-0.0</v>
      </c>
      <c r="FIV53" s="5">
        <f>-IFERROR('4. NPV'!FIW23/'4. NPV'!FIW$8,0)</f>
        <v>-0.0</v>
      </c>
      <c r="FIW53" s="5">
        <f>-IFERROR('4. NPV'!FIX23/'4. NPV'!FIX$8,0)</f>
        <v>-0.0</v>
      </c>
      <c r="FIX53" s="5">
        <f>-IFERROR('4. NPV'!FIY23/'4. NPV'!FIY$8,0)</f>
        <v>-0.0</v>
      </c>
      <c r="FIY53" s="5">
        <f>-IFERROR('4. NPV'!FIZ23/'4. NPV'!FIZ$8,0)</f>
        <v>-0.0</v>
      </c>
      <c r="FIZ53" s="5">
        <f>-IFERROR('4. NPV'!FJA23/'4. NPV'!FJA$8,0)</f>
        <v>-0.0</v>
      </c>
      <c r="FJA53" s="5">
        <f>-IFERROR('4. NPV'!FJB23/'4. NPV'!FJB$8,0)</f>
        <v>-0.0</v>
      </c>
      <c r="FJB53" s="5">
        <f>-IFERROR('4. NPV'!FJC23/'4. NPV'!FJC$8,0)</f>
        <v>-0.0</v>
      </c>
      <c r="FJC53" s="5">
        <f>-IFERROR('4. NPV'!FJD23/'4. NPV'!FJD$8,0)</f>
        <v>-0.0</v>
      </c>
      <c r="FJD53" s="5">
        <f>-IFERROR('4. NPV'!FJE23/'4. NPV'!FJE$8,0)</f>
        <v>-0.0</v>
      </c>
      <c r="FJE53" s="5">
        <f>-IFERROR('4. NPV'!FJF23/'4. NPV'!FJF$8,0)</f>
        <v>-0.0</v>
      </c>
      <c r="FJF53" s="5">
        <f>-IFERROR('4. NPV'!FJG23/'4. NPV'!FJG$8,0)</f>
        <v>-0.0</v>
      </c>
      <c r="FJG53" s="5">
        <f>-IFERROR('4. NPV'!FJH23/'4. NPV'!FJH$8,0)</f>
        <v>-0.0</v>
      </c>
      <c r="FJH53" s="5">
        <f>-IFERROR('4. NPV'!FJI23/'4. NPV'!FJI$8,0)</f>
        <v>-0.0</v>
      </c>
      <c r="FJI53" s="5">
        <f>-IFERROR('4. NPV'!FJJ23/'4. NPV'!FJJ$8,0)</f>
        <v>-0.0</v>
      </c>
      <c r="FJJ53" s="5">
        <f>-IFERROR('4. NPV'!FJK23/'4. NPV'!FJK$8,0)</f>
        <v>-0.0</v>
      </c>
      <c r="FJK53" s="5">
        <f>-IFERROR('4. NPV'!FJL23/'4. NPV'!FJL$8,0)</f>
        <v>-0.0</v>
      </c>
      <c r="FJL53" s="5">
        <f>-IFERROR('4. NPV'!FJM23/'4. NPV'!FJM$8,0)</f>
        <v>-0.0</v>
      </c>
      <c r="FJM53" s="5">
        <f>-IFERROR('4. NPV'!FJN23/'4. NPV'!FJN$8,0)</f>
        <v>-0.0</v>
      </c>
      <c r="FJN53" s="5">
        <f>-IFERROR('4. NPV'!FJO23/'4. NPV'!FJO$8,0)</f>
        <v>-0.0</v>
      </c>
      <c r="FJO53" s="5">
        <f>-IFERROR('4. NPV'!FJP23/'4. NPV'!FJP$8,0)</f>
        <v>-0.0</v>
      </c>
      <c r="FJP53" s="5">
        <f>-IFERROR('4. NPV'!FJQ23/'4. NPV'!FJQ$8,0)</f>
        <v>-0.0</v>
      </c>
      <c r="FJQ53" s="5">
        <f>-IFERROR('4. NPV'!FJR23/'4. NPV'!FJR$8,0)</f>
        <v>-0.0</v>
      </c>
      <c r="FJR53" s="5">
        <f>-IFERROR('4. NPV'!FJS23/'4. NPV'!FJS$8,0)</f>
        <v>-0.0</v>
      </c>
      <c r="FJS53" s="5">
        <f>-IFERROR('4. NPV'!FJT23/'4. NPV'!FJT$8,0)</f>
        <v>-0.0</v>
      </c>
      <c r="FJT53" s="5">
        <f>-IFERROR('4. NPV'!FJU23/'4. NPV'!FJU$8,0)</f>
        <v>-0.0</v>
      </c>
      <c r="FJU53" s="5">
        <f>-IFERROR('4. NPV'!FJV23/'4. NPV'!FJV$8,0)</f>
        <v>-0.0</v>
      </c>
      <c r="FJV53" s="5">
        <f>-IFERROR('4. NPV'!FJW23/'4. NPV'!FJW$8,0)</f>
        <v>-0.0</v>
      </c>
      <c r="FJW53" s="5">
        <f>-IFERROR('4. NPV'!FJX23/'4. NPV'!FJX$8,0)</f>
        <v>-0.0</v>
      </c>
      <c r="FJX53" s="5">
        <f>-IFERROR('4. NPV'!FJY23/'4. NPV'!FJY$8,0)</f>
        <v>-0.0</v>
      </c>
      <c r="FJY53" s="5">
        <f>-IFERROR('4. NPV'!FJZ23/'4. NPV'!FJZ$8,0)</f>
        <v>-0.0</v>
      </c>
      <c r="FJZ53" s="5">
        <f>-IFERROR('4. NPV'!FKA23/'4. NPV'!FKA$8,0)</f>
        <v>-0.0</v>
      </c>
      <c r="FKA53" s="5">
        <f>-IFERROR('4. NPV'!FKB23/'4. NPV'!FKB$8,0)</f>
        <v>-0.0</v>
      </c>
      <c r="FKB53" s="5">
        <f>-IFERROR('4. NPV'!FKC23/'4. NPV'!FKC$8,0)</f>
        <v>-0.0</v>
      </c>
      <c r="FKC53" s="5">
        <f>-IFERROR('4. NPV'!FKD23/'4. NPV'!FKD$8,0)</f>
        <v>-0.0</v>
      </c>
      <c r="FKD53" s="5">
        <f>-IFERROR('4. NPV'!FKE23/'4. NPV'!FKE$8,0)</f>
        <v>-0.0</v>
      </c>
      <c r="FKE53" s="5">
        <f>-IFERROR('4. NPV'!FKF23/'4. NPV'!FKF$8,0)</f>
        <v>-0.0</v>
      </c>
      <c r="FKF53" s="5">
        <f>-IFERROR('4. NPV'!FKG23/'4. NPV'!FKG$8,0)</f>
        <v>-0.0</v>
      </c>
      <c r="FKG53" s="5">
        <f>-IFERROR('4. NPV'!FKH23/'4. NPV'!FKH$8,0)</f>
        <v>-0.0</v>
      </c>
      <c r="FKH53" s="5">
        <f>-IFERROR('4. NPV'!FKI23/'4. NPV'!FKI$8,0)</f>
        <v>-0.0</v>
      </c>
      <c r="FKI53" s="5">
        <f>-IFERROR('4. NPV'!FKJ23/'4. NPV'!FKJ$8,0)</f>
        <v>-0.0</v>
      </c>
      <c r="FKJ53" s="5">
        <f>-IFERROR('4. NPV'!FKK23/'4. NPV'!FKK$8,0)</f>
        <v>-0.0</v>
      </c>
      <c r="FKK53" s="5">
        <f>-IFERROR('4. NPV'!FKL23/'4. NPV'!FKL$8,0)</f>
        <v>-0.0</v>
      </c>
      <c r="FKL53" s="5">
        <f>-IFERROR('4. NPV'!FKM23/'4. NPV'!FKM$8,0)</f>
        <v>-0.0</v>
      </c>
      <c r="FKM53" s="5">
        <f>-IFERROR('4. NPV'!FKN23/'4. NPV'!FKN$8,0)</f>
        <v>-0.0</v>
      </c>
      <c r="FKN53" s="5">
        <f>-IFERROR('4. NPV'!FKO23/'4. NPV'!FKO$8,0)</f>
        <v>-0.0</v>
      </c>
      <c r="FKO53" s="5">
        <f>-IFERROR('4. NPV'!FKP23/'4. NPV'!FKP$8,0)</f>
        <v>-0.0</v>
      </c>
      <c r="FKP53" s="5">
        <f>-IFERROR('4. NPV'!FKQ23/'4. NPV'!FKQ$8,0)</f>
        <v>-0.0</v>
      </c>
      <c r="FKQ53" s="5">
        <f>-IFERROR('4. NPV'!FKR23/'4. NPV'!FKR$8,0)</f>
        <v>-0.0</v>
      </c>
      <c r="FKR53" s="5">
        <f>-IFERROR('4. NPV'!FKS23/'4. NPV'!FKS$8,0)</f>
        <v>-0.0</v>
      </c>
      <c r="FKS53" s="5">
        <f>-IFERROR('4. NPV'!FKT23/'4. NPV'!FKT$8,0)</f>
        <v>-0.0</v>
      </c>
      <c r="FKT53" s="5">
        <f>-IFERROR('4. NPV'!FKU23/'4. NPV'!FKU$8,0)</f>
        <v>-0.0</v>
      </c>
      <c r="FKU53" s="5">
        <f>-IFERROR('4. NPV'!FKV23/'4. NPV'!FKV$8,0)</f>
        <v>-0.0</v>
      </c>
      <c r="FKV53" s="5">
        <f>-IFERROR('4. NPV'!FKW23/'4. NPV'!FKW$8,0)</f>
        <v>-0.0</v>
      </c>
      <c r="FKW53" s="5">
        <f>-IFERROR('4. NPV'!FKX23/'4. NPV'!FKX$8,0)</f>
        <v>-0.0</v>
      </c>
      <c r="FKX53" s="5">
        <f>-IFERROR('4. NPV'!FKY23/'4. NPV'!FKY$8,0)</f>
        <v>-0.0</v>
      </c>
      <c r="FKY53" s="5">
        <f>-IFERROR('4. NPV'!FKZ23/'4. NPV'!FKZ$8,0)</f>
        <v>-0.0</v>
      </c>
      <c r="FKZ53" s="5">
        <f>-IFERROR('4. NPV'!FLA23/'4. NPV'!FLA$8,0)</f>
        <v>-0.0</v>
      </c>
      <c r="FLA53" s="5">
        <f>-IFERROR('4. NPV'!FLB23/'4. NPV'!FLB$8,0)</f>
        <v>-0.0</v>
      </c>
      <c r="FLB53" s="5">
        <f>-IFERROR('4. NPV'!FLC23/'4. NPV'!FLC$8,0)</f>
        <v>-0.0</v>
      </c>
      <c r="FLC53" s="5">
        <f>-IFERROR('4. NPV'!FLD23/'4. NPV'!FLD$8,0)</f>
        <v>-0.0</v>
      </c>
      <c r="FLD53" s="5">
        <f>-IFERROR('4. NPV'!FLE23/'4. NPV'!FLE$8,0)</f>
        <v>-0.0</v>
      </c>
      <c r="FLE53" s="5">
        <f>-IFERROR('4. NPV'!FLF23/'4. NPV'!FLF$8,0)</f>
        <v>-0.0</v>
      </c>
      <c r="FLF53" s="5">
        <f>-IFERROR('4. NPV'!FLG23/'4. NPV'!FLG$8,0)</f>
        <v>-0.0</v>
      </c>
      <c r="FLG53" s="5">
        <f>-IFERROR('4. NPV'!FLH23/'4. NPV'!FLH$8,0)</f>
        <v>-0.0</v>
      </c>
      <c r="FLH53" s="5">
        <f>-IFERROR('4. NPV'!FLI23/'4. NPV'!FLI$8,0)</f>
        <v>-0.0</v>
      </c>
      <c r="FLI53" s="5">
        <f>-IFERROR('4. NPV'!FLJ23/'4. NPV'!FLJ$8,0)</f>
        <v>-0.0</v>
      </c>
      <c r="FLJ53" s="5">
        <f>-IFERROR('4. NPV'!FLK23/'4. NPV'!FLK$8,0)</f>
        <v>-0.0</v>
      </c>
      <c r="FLK53" s="5">
        <f>-IFERROR('4. NPV'!FLL23/'4. NPV'!FLL$8,0)</f>
        <v>-0.0</v>
      </c>
      <c r="FLL53" s="5">
        <f>-IFERROR('4. NPV'!FLM23/'4. NPV'!FLM$8,0)</f>
        <v>-0.0</v>
      </c>
      <c r="FLM53" s="5">
        <f>-IFERROR('4. NPV'!FLN23/'4. NPV'!FLN$8,0)</f>
        <v>-0.0</v>
      </c>
      <c r="FLN53" s="5">
        <f>-IFERROR('4. NPV'!FLO23/'4. NPV'!FLO$8,0)</f>
        <v>-0.0</v>
      </c>
      <c r="FLO53" s="5">
        <f>-IFERROR('4. NPV'!FLP23/'4. NPV'!FLP$8,0)</f>
        <v>-0.0</v>
      </c>
      <c r="FLP53" s="5">
        <f>-IFERROR('4. NPV'!FLQ23/'4. NPV'!FLQ$8,0)</f>
        <v>-0.0</v>
      </c>
      <c r="FLQ53" s="5">
        <f>-IFERROR('4. NPV'!FLR23/'4. NPV'!FLR$8,0)</f>
        <v>-0.0</v>
      </c>
      <c r="FLR53" s="5">
        <f>-IFERROR('4. NPV'!FLS23/'4. NPV'!FLS$8,0)</f>
        <v>-0.0</v>
      </c>
      <c r="FLS53" s="5">
        <f>-IFERROR('4. NPV'!FLT23/'4. NPV'!FLT$8,0)</f>
        <v>-0.0</v>
      </c>
      <c r="FLT53" s="5">
        <f>-IFERROR('4. NPV'!FLU23/'4. NPV'!FLU$8,0)</f>
        <v>-0.0</v>
      </c>
      <c r="FLU53" s="5">
        <f>-IFERROR('4. NPV'!FLV23/'4. NPV'!FLV$8,0)</f>
        <v>-0.0</v>
      </c>
      <c r="FLV53" s="5">
        <f>-IFERROR('4. NPV'!FLW23/'4. NPV'!FLW$8,0)</f>
        <v>-0.0</v>
      </c>
      <c r="FLW53" s="5">
        <f>-IFERROR('4. NPV'!FLX23/'4. NPV'!FLX$8,0)</f>
        <v>-0.0</v>
      </c>
      <c r="FLX53" s="5">
        <f>-IFERROR('4. NPV'!FLY23/'4. NPV'!FLY$8,0)</f>
        <v>-0.0</v>
      </c>
      <c r="FLY53" s="5">
        <f>-IFERROR('4. NPV'!FLZ23/'4. NPV'!FLZ$8,0)</f>
        <v>-0.0</v>
      </c>
      <c r="FLZ53" s="5">
        <f>-IFERROR('4. NPV'!FMA23/'4. NPV'!FMA$8,0)</f>
        <v>-0.0</v>
      </c>
      <c r="FMA53" s="5">
        <f>-IFERROR('4. NPV'!FMB23/'4. NPV'!FMB$8,0)</f>
        <v>-0.0</v>
      </c>
      <c r="FMB53" s="5">
        <f>-IFERROR('4. NPV'!FMC23/'4. NPV'!FMC$8,0)</f>
        <v>-0.0</v>
      </c>
      <c r="FMC53" s="5">
        <f>-IFERROR('4. NPV'!FMD23/'4. NPV'!FMD$8,0)</f>
        <v>-0.0</v>
      </c>
      <c r="FMD53" s="5">
        <f>-IFERROR('4. NPV'!FME23/'4. NPV'!FME$8,0)</f>
        <v>-0.0</v>
      </c>
      <c r="FME53" s="5">
        <f>-IFERROR('4. NPV'!FMF23/'4. NPV'!FMF$8,0)</f>
        <v>-0.0</v>
      </c>
      <c r="FMF53" s="5">
        <f>-IFERROR('4. NPV'!FMG23/'4. NPV'!FMG$8,0)</f>
        <v>-0.0</v>
      </c>
      <c r="FMG53" s="5">
        <f>-IFERROR('4. NPV'!FMH23/'4. NPV'!FMH$8,0)</f>
        <v>-0.0</v>
      </c>
      <c r="FMH53" s="5">
        <f>-IFERROR('4. NPV'!FMI23/'4. NPV'!FMI$8,0)</f>
        <v>-0.0</v>
      </c>
      <c r="FMI53" s="5">
        <f>-IFERROR('4. NPV'!FMJ23/'4. NPV'!FMJ$8,0)</f>
        <v>-0.0</v>
      </c>
      <c r="FMJ53" s="5">
        <f>-IFERROR('4. NPV'!FMK23/'4. NPV'!FMK$8,0)</f>
        <v>-0.0</v>
      </c>
      <c r="FMK53" s="5">
        <f>-IFERROR('4. NPV'!FML23/'4. NPV'!FML$8,0)</f>
        <v>-0.0</v>
      </c>
      <c r="FML53" s="5">
        <f>-IFERROR('4. NPV'!FMM23/'4. NPV'!FMM$8,0)</f>
        <v>-0.0</v>
      </c>
      <c r="FMM53" s="5">
        <f>-IFERROR('4. NPV'!FMN23/'4. NPV'!FMN$8,0)</f>
        <v>-0.0</v>
      </c>
      <c r="FMN53" s="5">
        <f>-IFERROR('4. NPV'!FMO23/'4. NPV'!FMO$8,0)</f>
        <v>-0.0</v>
      </c>
      <c r="FMO53" s="5">
        <f>-IFERROR('4. NPV'!FMP23/'4. NPV'!FMP$8,0)</f>
        <v>-0.0</v>
      </c>
      <c r="FMP53" s="5">
        <f>-IFERROR('4. NPV'!FMQ23/'4. NPV'!FMQ$8,0)</f>
        <v>-0.0</v>
      </c>
      <c r="FMQ53" s="5">
        <f>-IFERROR('4. NPV'!FMR23/'4. NPV'!FMR$8,0)</f>
        <v>-0.0</v>
      </c>
      <c r="FMR53" s="5">
        <f>-IFERROR('4. NPV'!FMS23/'4. NPV'!FMS$8,0)</f>
        <v>-0.0</v>
      </c>
      <c r="FMS53" s="5">
        <f>-IFERROR('4. NPV'!FMT23/'4. NPV'!FMT$8,0)</f>
        <v>-0.0</v>
      </c>
      <c r="FMT53" s="5">
        <f>-IFERROR('4. NPV'!FMU23/'4. NPV'!FMU$8,0)</f>
        <v>-0.0</v>
      </c>
      <c r="FMU53" s="5">
        <f>-IFERROR('4. NPV'!FMV23/'4. NPV'!FMV$8,0)</f>
        <v>-0.0</v>
      </c>
      <c r="FMV53" s="5">
        <f>-IFERROR('4. NPV'!FMW23/'4. NPV'!FMW$8,0)</f>
        <v>-0.0</v>
      </c>
      <c r="FMW53" s="5">
        <f>-IFERROR('4. NPV'!FMX23/'4. NPV'!FMX$8,0)</f>
        <v>-0.0</v>
      </c>
      <c r="FMX53" s="5">
        <f>-IFERROR('4. NPV'!FMY23/'4. NPV'!FMY$8,0)</f>
        <v>-0.0</v>
      </c>
      <c r="FMY53" s="5">
        <f>-IFERROR('4. NPV'!FMZ23/'4. NPV'!FMZ$8,0)</f>
        <v>-0.0</v>
      </c>
      <c r="FMZ53" s="5">
        <f>-IFERROR('4. NPV'!FNA23/'4. NPV'!FNA$8,0)</f>
        <v>-0.0</v>
      </c>
      <c r="FNA53" s="5">
        <f>-IFERROR('4. NPV'!FNB23/'4. NPV'!FNB$8,0)</f>
        <v>-0.0</v>
      </c>
      <c r="FNB53" s="5">
        <f>-IFERROR('4. NPV'!FNC23/'4. NPV'!FNC$8,0)</f>
        <v>-0.0</v>
      </c>
      <c r="FNC53" s="5">
        <f>-IFERROR('4. NPV'!FND23/'4. NPV'!FND$8,0)</f>
        <v>-0.0</v>
      </c>
      <c r="FND53" s="5">
        <f>-IFERROR('4. NPV'!FNE23/'4. NPV'!FNE$8,0)</f>
        <v>-0.0</v>
      </c>
      <c r="FNE53" s="5">
        <f>-IFERROR('4. NPV'!FNF23/'4. NPV'!FNF$8,0)</f>
        <v>-0.0</v>
      </c>
      <c r="FNF53" s="5">
        <f>-IFERROR('4. NPV'!FNG23/'4. NPV'!FNG$8,0)</f>
        <v>-0.0</v>
      </c>
      <c r="FNG53" s="5">
        <f>-IFERROR('4. NPV'!FNH23/'4. NPV'!FNH$8,0)</f>
        <v>-0.0</v>
      </c>
      <c r="FNH53" s="5">
        <f>-IFERROR('4. NPV'!FNI23/'4. NPV'!FNI$8,0)</f>
        <v>-0.0</v>
      </c>
      <c r="FNI53" s="5">
        <f>-IFERROR('4. NPV'!FNJ23/'4. NPV'!FNJ$8,0)</f>
        <v>-0.0</v>
      </c>
      <c r="FNJ53" s="5">
        <f>-IFERROR('4. NPV'!FNK23/'4. NPV'!FNK$8,0)</f>
        <v>-0.0</v>
      </c>
      <c r="FNK53" s="5">
        <f>-IFERROR('4. NPV'!FNL23/'4. NPV'!FNL$8,0)</f>
        <v>-0.0</v>
      </c>
      <c r="FNL53" s="5">
        <f>-IFERROR('4. NPV'!FNM23/'4. NPV'!FNM$8,0)</f>
        <v>-0.0</v>
      </c>
      <c r="FNM53" s="5">
        <f>-IFERROR('4. NPV'!FNN23/'4. NPV'!FNN$8,0)</f>
        <v>-0.0</v>
      </c>
      <c r="FNN53" s="5">
        <f>-IFERROR('4. NPV'!FNO23/'4. NPV'!FNO$8,0)</f>
        <v>-0.0</v>
      </c>
      <c r="FNO53" s="5">
        <f>-IFERROR('4. NPV'!FNP23/'4. NPV'!FNP$8,0)</f>
        <v>-0.0</v>
      </c>
      <c r="FNP53" s="5">
        <f>-IFERROR('4. NPV'!FNQ23/'4. NPV'!FNQ$8,0)</f>
        <v>-0.0</v>
      </c>
      <c r="FNQ53" s="5">
        <f>-IFERROR('4. NPV'!FNR23/'4. NPV'!FNR$8,0)</f>
        <v>-0.0</v>
      </c>
      <c r="FNR53" s="5">
        <f>-IFERROR('4. NPV'!FNS23/'4. NPV'!FNS$8,0)</f>
        <v>-0.0</v>
      </c>
      <c r="FNS53" s="5">
        <f>-IFERROR('4. NPV'!FNT23/'4. NPV'!FNT$8,0)</f>
        <v>-0.0</v>
      </c>
      <c r="FNT53" s="5">
        <f>-IFERROR('4. NPV'!FNU23/'4. NPV'!FNU$8,0)</f>
        <v>-0.0</v>
      </c>
      <c r="FNU53" s="5">
        <f>-IFERROR('4. NPV'!FNV23/'4. NPV'!FNV$8,0)</f>
        <v>-0.0</v>
      </c>
      <c r="FNV53" s="5">
        <f>-IFERROR('4. NPV'!FNW23/'4. NPV'!FNW$8,0)</f>
        <v>-0.0</v>
      </c>
      <c r="FNW53" s="5">
        <f>-IFERROR('4. NPV'!FNX23/'4. NPV'!FNX$8,0)</f>
        <v>-0.0</v>
      </c>
      <c r="FNX53" s="5">
        <f>-IFERROR('4. NPV'!FNY23/'4. NPV'!FNY$8,0)</f>
        <v>-0.0</v>
      </c>
      <c r="FNY53" s="5">
        <f>-IFERROR('4. NPV'!FNZ23/'4. NPV'!FNZ$8,0)</f>
        <v>-0.0</v>
      </c>
      <c r="FNZ53" s="5">
        <f>-IFERROR('4. NPV'!FOA23/'4. NPV'!FOA$8,0)</f>
        <v>-0.0</v>
      </c>
      <c r="FOA53" s="5">
        <f>-IFERROR('4. NPV'!FOB23/'4. NPV'!FOB$8,0)</f>
        <v>-0.0</v>
      </c>
      <c r="FOB53" s="5">
        <f>-IFERROR('4. NPV'!FOC23/'4. NPV'!FOC$8,0)</f>
        <v>-0.0</v>
      </c>
      <c r="FOC53" s="5">
        <f>-IFERROR('4. NPV'!FOD23/'4. NPV'!FOD$8,0)</f>
        <v>-0.0</v>
      </c>
      <c r="FOD53" s="5">
        <f>-IFERROR('4. NPV'!FOE23/'4. NPV'!FOE$8,0)</f>
        <v>-0.0</v>
      </c>
      <c r="FOE53" s="5">
        <f>-IFERROR('4. NPV'!FOF23/'4. NPV'!FOF$8,0)</f>
        <v>-0.0</v>
      </c>
      <c r="FOF53" s="5">
        <f>-IFERROR('4. NPV'!FOG23/'4. NPV'!FOG$8,0)</f>
        <v>-0.0</v>
      </c>
      <c r="FOG53" s="5">
        <f>-IFERROR('4. NPV'!FOH23/'4. NPV'!FOH$8,0)</f>
        <v>-0.0</v>
      </c>
      <c r="FOH53" s="5">
        <f>-IFERROR('4. NPV'!FOI23/'4. NPV'!FOI$8,0)</f>
        <v>-0.0</v>
      </c>
      <c r="FOI53" s="5">
        <f>-IFERROR('4. NPV'!FOJ23/'4. NPV'!FOJ$8,0)</f>
        <v>-0.0</v>
      </c>
      <c r="FOJ53" s="5">
        <f>-IFERROR('4. NPV'!FOK23/'4. NPV'!FOK$8,0)</f>
        <v>-0.0</v>
      </c>
      <c r="FOK53" s="5">
        <f>-IFERROR('4. NPV'!FOL23/'4. NPV'!FOL$8,0)</f>
        <v>-0.0</v>
      </c>
      <c r="FOL53" s="5">
        <f>-IFERROR('4. NPV'!FOM23/'4. NPV'!FOM$8,0)</f>
        <v>-0.0</v>
      </c>
      <c r="FOM53" s="5">
        <f>-IFERROR('4. NPV'!FON23/'4. NPV'!FON$8,0)</f>
        <v>-0.0</v>
      </c>
      <c r="FON53" s="5">
        <f>-IFERROR('4. NPV'!FOO23/'4. NPV'!FOO$8,0)</f>
        <v>-0.0</v>
      </c>
      <c r="FOO53" s="5">
        <f>-IFERROR('4. NPV'!FOP23/'4. NPV'!FOP$8,0)</f>
        <v>-0.0</v>
      </c>
      <c r="FOP53" s="5">
        <f>-IFERROR('4. NPV'!FOQ23/'4. NPV'!FOQ$8,0)</f>
        <v>-0.0</v>
      </c>
      <c r="FOQ53" s="5">
        <f>-IFERROR('4. NPV'!FOR23/'4. NPV'!FOR$8,0)</f>
        <v>-0.0</v>
      </c>
      <c r="FOR53" s="5">
        <f>-IFERROR('4. NPV'!FOS23/'4. NPV'!FOS$8,0)</f>
        <v>-0.0</v>
      </c>
      <c r="FOS53" s="5">
        <f>-IFERROR('4. NPV'!FOT23/'4. NPV'!FOT$8,0)</f>
        <v>-0.0</v>
      </c>
      <c r="FOT53" s="5">
        <f>-IFERROR('4. NPV'!FOU23/'4. NPV'!FOU$8,0)</f>
        <v>-0.0</v>
      </c>
      <c r="FOU53" s="5">
        <f>-IFERROR('4. NPV'!FOV23/'4. NPV'!FOV$8,0)</f>
        <v>-0.0</v>
      </c>
      <c r="FOV53" s="5">
        <f>-IFERROR('4. NPV'!FOW23/'4. NPV'!FOW$8,0)</f>
        <v>-0.0</v>
      </c>
      <c r="FOW53" s="5">
        <f>-IFERROR('4. NPV'!FOX23/'4. NPV'!FOX$8,0)</f>
        <v>-0.0</v>
      </c>
      <c r="FOX53" s="5">
        <f>-IFERROR('4. NPV'!FOY23/'4. NPV'!FOY$8,0)</f>
        <v>-0.0</v>
      </c>
      <c r="FOY53" s="5">
        <f>-IFERROR('4. NPV'!FOZ23/'4. NPV'!FOZ$8,0)</f>
        <v>-0.0</v>
      </c>
      <c r="FOZ53" s="5">
        <f>-IFERROR('4. NPV'!FPA23/'4. NPV'!FPA$8,0)</f>
        <v>-0.0</v>
      </c>
      <c r="FPA53" s="5">
        <f>-IFERROR('4. NPV'!FPB23/'4. NPV'!FPB$8,0)</f>
        <v>-0.0</v>
      </c>
      <c r="FPB53" s="5">
        <f>-IFERROR('4. NPV'!FPC23/'4. NPV'!FPC$8,0)</f>
        <v>-0.0</v>
      </c>
      <c r="FPC53" s="5">
        <f>-IFERROR('4. NPV'!FPD23/'4. NPV'!FPD$8,0)</f>
        <v>-0.0</v>
      </c>
      <c r="FPD53" s="5">
        <f>-IFERROR('4. NPV'!FPE23/'4. NPV'!FPE$8,0)</f>
        <v>-0.0</v>
      </c>
      <c r="FPE53" s="5">
        <f>-IFERROR('4. NPV'!FPF23/'4. NPV'!FPF$8,0)</f>
        <v>-0.0</v>
      </c>
      <c r="FPF53" s="5">
        <f>-IFERROR('4. NPV'!FPG23/'4. NPV'!FPG$8,0)</f>
        <v>-0.0</v>
      </c>
      <c r="FPG53" s="5">
        <f>-IFERROR('4. NPV'!FPH23/'4. NPV'!FPH$8,0)</f>
        <v>-0.0</v>
      </c>
      <c r="FPH53" s="5">
        <f>-IFERROR('4. NPV'!FPI23/'4. NPV'!FPI$8,0)</f>
        <v>-0.0</v>
      </c>
      <c r="FPI53" s="5">
        <f>-IFERROR('4. NPV'!FPJ23/'4. NPV'!FPJ$8,0)</f>
        <v>-0.0</v>
      </c>
      <c r="FPJ53" s="5">
        <f>-IFERROR('4. NPV'!FPK23/'4. NPV'!FPK$8,0)</f>
        <v>-0.0</v>
      </c>
      <c r="FPK53" s="5">
        <f>-IFERROR('4. NPV'!FPL23/'4. NPV'!FPL$8,0)</f>
        <v>-0.0</v>
      </c>
      <c r="FPL53" s="5">
        <f>-IFERROR('4. NPV'!FPM23/'4. NPV'!FPM$8,0)</f>
        <v>-0.0</v>
      </c>
      <c r="FPM53" s="5">
        <f>-IFERROR('4. NPV'!FPN23/'4. NPV'!FPN$8,0)</f>
        <v>-0.0</v>
      </c>
      <c r="FPN53" s="5">
        <f>-IFERROR('4. NPV'!FPO23/'4. NPV'!FPO$8,0)</f>
        <v>-0.0</v>
      </c>
      <c r="FPO53" s="5">
        <f>-IFERROR('4. NPV'!FPP23/'4. NPV'!FPP$8,0)</f>
        <v>-0.0</v>
      </c>
      <c r="FPP53" s="5">
        <f>-IFERROR('4. NPV'!FPQ23/'4. NPV'!FPQ$8,0)</f>
        <v>-0.0</v>
      </c>
      <c r="FPQ53" s="5">
        <f>-IFERROR('4. NPV'!FPR23/'4. NPV'!FPR$8,0)</f>
        <v>-0.0</v>
      </c>
      <c r="FPR53" s="5">
        <f>-IFERROR('4. NPV'!FPS23/'4. NPV'!FPS$8,0)</f>
        <v>-0.0</v>
      </c>
      <c r="FPS53" s="5">
        <f>-IFERROR('4. NPV'!FPT23/'4. NPV'!FPT$8,0)</f>
        <v>-0.0</v>
      </c>
      <c r="FPT53" s="5">
        <f>-IFERROR('4. NPV'!FPU23/'4. NPV'!FPU$8,0)</f>
        <v>-0.0</v>
      </c>
      <c r="FPU53" s="5">
        <f>-IFERROR('4. NPV'!FPV23/'4. NPV'!FPV$8,0)</f>
        <v>-0.0</v>
      </c>
      <c r="FPV53" s="5">
        <f>-IFERROR('4. NPV'!FPW23/'4. NPV'!FPW$8,0)</f>
        <v>-0.0</v>
      </c>
      <c r="FPW53" s="5">
        <f>-IFERROR('4. NPV'!FPX23/'4. NPV'!FPX$8,0)</f>
        <v>-0.0</v>
      </c>
      <c r="FPX53" s="5">
        <f>-IFERROR('4. NPV'!FPY23/'4. NPV'!FPY$8,0)</f>
        <v>-0.0</v>
      </c>
      <c r="FPY53" s="5">
        <f>-IFERROR('4. NPV'!FPZ23/'4. NPV'!FPZ$8,0)</f>
        <v>-0.0</v>
      </c>
      <c r="FPZ53" s="5">
        <f>-IFERROR('4. NPV'!FQA23/'4. NPV'!FQA$8,0)</f>
        <v>-0.0</v>
      </c>
      <c r="FQA53" s="5">
        <f>-IFERROR('4. NPV'!FQB23/'4. NPV'!FQB$8,0)</f>
        <v>-0.0</v>
      </c>
      <c r="FQB53" s="5">
        <f>-IFERROR('4. NPV'!FQC23/'4. NPV'!FQC$8,0)</f>
        <v>-0.0</v>
      </c>
      <c r="FQC53" s="5">
        <f>-IFERROR('4. NPV'!FQD23/'4. NPV'!FQD$8,0)</f>
        <v>-0.0</v>
      </c>
      <c r="FQD53" s="5">
        <f>-IFERROR('4. NPV'!FQE23/'4. NPV'!FQE$8,0)</f>
        <v>-0.0</v>
      </c>
      <c r="FQE53" s="5">
        <f>-IFERROR('4. NPV'!FQF23/'4. NPV'!FQF$8,0)</f>
        <v>-0.0</v>
      </c>
      <c r="FQF53" s="5">
        <f>-IFERROR('4. NPV'!FQG23/'4. NPV'!FQG$8,0)</f>
        <v>-0.0</v>
      </c>
      <c r="FQG53" s="5">
        <f>-IFERROR('4. NPV'!FQH23/'4. NPV'!FQH$8,0)</f>
        <v>-0.0</v>
      </c>
      <c r="FQH53" s="5">
        <f>-IFERROR('4. NPV'!FQI23/'4. NPV'!FQI$8,0)</f>
        <v>-0.0</v>
      </c>
      <c r="FQI53" s="5">
        <f>-IFERROR('4. NPV'!FQJ23/'4. NPV'!FQJ$8,0)</f>
        <v>-0.0</v>
      </c>
      <c r="FQJ53" s="5">
        <f>-IFERROR('4. NPV'!FQK23/'4. NPV'!FQK$8,0)</f>
        <v>-0.0</v>
      </c>
      <c r="FQK53" s="5">
        <f>-IFERROR('4. NPV'!FQL23/'4. NPV'!FQL$8,0)</f>
        <v>-0.0</v>
      </c>
      <c r="FQL53" s="5">
        <f>-IFERROR('4. NPV'!FQM23/'4. NPV'!FQM$8,0)</f>
        <v>-0.0</v>
      </c>
      <c r="FQM53" s="5">
        <f>-IFERROR('4. NPV'!FQN23/'4. NPV'!FQN$8,0)</f>
        <v>-0.0</v>
      </c>
      <c r="FQN53" s="5">
        <f>-IFERROR('4. NPV'!FQO23/'4. NPV'!FQO$8,0)</f>
        <v>-0.0</v>
      </c>
      <c r="FQO53" s="5">
        <f>-IFERROR('4. NPV'!FQP23/'4. NPV'!FQP$8,0)</f>
        <v>-0.0</v>
      </c>
      <c r="FQP53" s="5">
        <f>-IFERROR('4. NPV'!FQQ23/'4. NPV'!FQQ$8,0)</f>
        <v>-0.0</v>
      </c>
      <c r="FQQ53" s="5">
        <f>-IFERROR('4. NPV'!FQR23/'4. NPV'!FQR$8,0)</f>
        <v>-0.0</v>
      </c>
      <c r="FQR53" s="5">
        <f>-IFERROR('4. NPV'!FQS23/'4. NPV'!FQS$8,0)</f>
        <v>-0.0</v>
      </c>
      <c r="FQS53" s="5">
        <f>-IFERROR('4. NPV'!FQT23/'4. NPV'!FQT$8,0)</f>
        <v>-0.0</v>
      </c>
      <c r="FQT53" s="5">
        <f>-IFERROR('4. NPV'!FQU23/'4. NPV'!FQU$8,0)</f>
        <v>-0.0</v>
      </c>
      <c r="FQU53" s="5">
        <f>-IFERROR('4. NPV'!FQV23/'4. NPV'!FQV$8,0)</f>
        <v>-0.0</v>
      </c>
      <c r="FQV53" s="5">
        <f>-IFERROR('4. NPV'!FQW23/'4. NPV'!FQW$8,0)</f>
        <v>-0.0</v>
      </c>
      <c r="FQW53" s="5">
        <f>-IFERROR('4. NPV'!FQX23/'4. NPV'!FQX$8,0)</f>
        <v>-0.0</v>
      </c>
      <c r="FQX53" s="5">
        <f>-IFERROR('4. NPV'!FQY23/'4. NPV'!FQY$8,0)</f>
        <v>-0.0</v>
      </c>
      <c r="FQY53" s="5">
        <f>-IFERROR('4. NPV'!FQZ23/'4. NPV'!FQZ$8,0)</f>
        <v>-0.0</v>
      </c>
      <c r="FQZ53" s="5">
        <f>-IFERROR('4. NPV'!FRA23/'4. NPV'!FRA$8,0)</f>
        <v>-0.0</v>
      </c>
      <c r="FRA53" s="5">
        <f>-IFERROR('4. NPV'!FRB23/'4. NPV'!FRB$8,0)</f>
        <v>-0.0</v>
      </c>
      <c r="FRB53" s="5">
        <f>-IFERROR('4. NPV'!FRC23/'4. NPV'!FRC$8,0)</f>
        <v>-0.0</v>
      </c>
      <c r="FRC53" s="5">
        <f>-IFERROR('4. NPV'!FRD23/'4. NPV'!FRD$8,0)</f>
        <v>-0.0</v>
      </c>
      <c r="FRD53" s="5">
        <f>-IFERROR('4. NPV'!FRE23/'4. NPV'!FRE$8,0)</f>
        <v>-0.0</v>
      </c>
      <c r="FRE53" s="5">
        <f>-IFERROR('4. NPV'!FRF23/'4. NPV'!FRF$8,0)</f>
        <v>-0.0</v>
      </c>
      <c r="FRF53" s="5">
        <f>-IFERROR('4. NPV'!FRG23/'4. NPV'!FRG$8,0)</f>
        <v>-0.0</v>
      </c>
      <c r="FRG53" s="5">
        <f>-IFERROR('4. NPV'!FRH23/'4. NPV'!FRH$8,0)</f>
        <v>-0.0</v>
      </c>
      <c r="FRH53" s="5">
        <f>-IFERROR('4. NPV'!FRI23/'4. NPV'!FRI$8,0)</f>
        <v>-0.0</v>
      </c>
      <c r="FRI53" s="5">
        <f>-IFERROR('4. NPV'!FRJ23/'4. NPV'!FRJ$8,0)</f>
        <v>-0.0</v>
      </c>
      <c r="FRJ53" s="5">
        <f>-IFERROR('4. NPV'!FRK23/'4. NPV'!FRK$8,0)</f>
        <v>-0.0</v>
      </c>
      <c r="FRK53" s="5">
        <f>-IFERROR('4. NPV'!FRL23/'4. NPV'!FRL$8,0)</f>
        <v>-0.0</v>
      </c>
      <c r="FRL53" s="5">
        <f>-IFERROR('4. NPV'!FRM23/'4. NPV'!FRM$8,0)</f>
        <v>-0.0</v>
      </c>
      <c r="FRM53" s="5">
        <f>-IFERROR('4. NPV'!FRN23/'4. NPV'!FRN$8,0)</f>
        <v>-0.0</v>
      </c>
      <c r="FRN53" s="5">
        <f>-IFERROR('4. NPV'!FRO23/'4. NPV'!FRO$8,0)</f>
        <v>-0.0</v>
      </c>
      <c r="FRO53" s="5">
        <f>-IFERROR('4. NPV'!FRP23/'4. NPV'!FRP$8,0)</f>
        <v>-0.0</v>
      </c>
      <c r="FRP53" s="5">
        <f>-IFERROR('4. NPV'!FRQ23/'4. NPV'!FRQ$8,0)</f>
        <v>-0.0</v>
      </c>
      <c r="FRQ53" s="5">
        <f>-IFERROR('4. NPV'!FRR23/'4. NPV'!FRR$8,0)</f>
        <v>-0.0</v>
      </c>
      <c r="FRR53" s="5">
        <f>-IFERROR('4. NPV'!FRS23/'4. NPV'!FRS$8,0)</f>
        <v>-0.0</v>
      </c>
      <c r="FRS53" s="5">
        <f>-IFERROR('4. NPV'!FRT23/'4. NPV'!FRT$8,0)</f>
        <v>-0.0</v>
      </c>
      <c r="FRT53" s="5">
        <f>-IFERROR('4. NPV'!FRU23/'4. NPV'!FRU$8,0)</f>
        <v>-0.0</v>
      </c>
      <c r="FRU53" s="5">
        <f>-IFERROR('4. NPV'!FRV23/'4. NPV'!FRV$8,0)</f>
        <v>-0.0</v>
      </c>
      <c r="FRV53" s="5">
        <f>-IFERROR('4. NPV'!FRW23/'4. NPV'!FRW$8,0)</f>
        <v>-0.0</v>
      </c>
      <c r="FRW53" s="5">
        <f>-IFERROR('4. NPV'!FRX23/'4. NPV'!FRX$8,0)</f>
        <v>-0.0</v>
      </c>
      <c r="FRX53" s="5">
        <f>-IFERROR('4. NPV'!FRY23/'4. NPV'!FRY$8,0)</f>
        <v>-0.0</v>
      </c>
      <c r="FRY53" s="5">
        <f>-IFERROR('4. NPV'!FRZ23/'4. NPV'!FRZ$8,0)</f>
        <v>-0.0</v>
      </c>
      <c r="FRZ53" s="5">
        <f>-IFERROR('4. NPV'!FSA23/'4. NPV'!FSA$8,0)</f>
        <v>-0.0</v>
      </c>
      <c r="FSA53" s="5">
        <f>-IFERROR('4. NPV'!FSB23/'4. NPV'!FSB$8,0)</f>
        <v>-0.0</v>
      </c>
      <c r="FSB53" s="5">
        <f>-IFERROR('4. NPV'!FSC23/'4. NPV'!FSC$8,0)</f>
        <v>-0.0</v>
      </c>
      <c r="FSC53" s="5">
        <f>-IFERROR('4. NPV'!FSD23/'4. NPV'!FSD$8,0)</f>
        <v>-0.0</v>
      </c>
      <c r="FSD53" s="5">
        <f>-IFERROR('4. NPV'!FSE23/'4. NPV'!FSE$8,0)</f>
        <v>-0.0</v>
      </c>
      <c r="FSE53" s="5">
        <f>-IFERROR('4. NPV'!FSF23/'4. NPV'!FSF$8,0)</f>
        <v>-0.0</v>
      </c>
      <c r="FSF53" s="5">
        <f>-IFERROR('4. NPV'!FSG23/'4. NPV'!FSG$8,0)</f>
        <v>-0.0</v>
      </c>
      <c r="FSG53" s="5">
        <f>-IFERROR('4. NPV'!FSH23/'4. NPV'!FSH$8,0)</f>
        <v>-0.0</v>
      </c>
      <c r="FSH53" s="5">
        <f>-IFERROR('4. NPV'!FSI23/'4. NPV'!FSI$8,0)</f>
        <v>-0.0</v>
      </c>
      <c r="FSI53" s="5">
        <f>-IFERROR('4. NPV'!FSJ23/'4. NPV'!FSJ$8,0)</f>
        <v>-0.0</v>
      </c>
      <c r="FSJ53" s="5">
        <f>-IFERROR('4. NPV'!FSK23/'4. NPV'!FSK$8,0)</f>
        <v>-0.0</v>
      </c>
      <c r="FSK53" s="5">
        <f>-IFERROR('4. NPV'!FSL23/'4. NPV'!FSL$8,0)</f>
        <v>-0.0</v>
      </c>
      <c r="FSL53" s="5">
        <f>-IFERROR('4. NPV'!FSM23/'4. NPV'!FSM$8,0)</f>
        <v>-0.0</v>
      </c>
      <c r="FSM53" s="5">
        <f>-IFERROR('4. NPV'!FSN23/'4. NPV'!FSN$8,0)</f>
        <v>-0.0</v>
      </c>
      <c r="FSN53" s="5">
        <f>-IFERROR('4. NPV'!FSO23/'4. NPV'!FSO$8,0)</f>
        <v>-0.0</v>
      </c>
      <c r="FSO53" s="5">
        <f>-IFERROR('4. NPV'!FSP23/'4. NPV'!FSP$8,0)</f>
        <v>-0.0</v>
      </c>
      <c r="FSP53" s="5">
        <f>-IFERROR('4. NPV'!FSQ23/'4. NPV'!FSQ$8,0)</f>
        <v>-0.0</v>
      </c>
      <c r="FSQ53" s="5">
        <f>-IFERROR('4. NPV'!FSR23/'4. NPV'!FSR$8,0)</f>
        <v>-0.0</v>
      </c>
      <c r="FSR53" s="5">
        <f>-IFERROR('4. NPV'!FSS23/'4. NPV'!FSS$8,0)</f>
        <v>-0.0</v>
      </c>
      <c r="FSS53" s="5">
        <f>-IFERROR('4. NPV'!FST23/'4. NPV'!FST$8,0)</f>
        <v>-0.0</v>
      </c>
      <c r="FST53" s="5">
        <f>-IFERROR('4. NPV'!FSU23/'4. NPV'!FSU$8,0)</f>
        <v>-0.0</v>
      </c>
      <c r="FSU53" s="5">
        <f>-IFERROR('4. NPV'!FSV23/'4. NPV'!FSV$8,0)</f>
        <v>-0.0</v>
      </c>
      <c r="FSV53" s="5">
        <f>-IFERROR('4. NPV'!FSW23/'4. NPV'!FSW$8,0)</f>
        <v>-0.0</v>
      </c>
      <c r="FSW53" s="5">
        <f>-IFERROR('4. NPV'!FSX23/'4. NPV'!FSX$8,0)</f>
        <v>-0.0</v>
      </c>
      <c r="FSX53" s="5">
        <f>-IFERROR('4. NPV'!FSY23/'4. NPV'!FSY$8,0)</f>
        <v>-0.0</v>
      </c>
      <c r="FSY53" s="5">
        <f>-IFERROR('4. NPV'!FSZ23/'4. NPV'!FSZ$8,0)</f>
        <v>-0.0</v>
      </c>
      <c r="FSZ53" s="5">
        <f>-IFERROR('4. NPV'!FTA23/'4. NPV'!FTA$8,0)</f>
        <v>-0.0</v>
      </c>
      <c r="FTA53" s="5">
        <f>-IFERROR('4. NPV'!FTB23/'4. NPV'!FTB$8,0)</f>
        <v>-0.0</v>
      </c>
      <c r="FTB53" s="5">
        <f>-IFERROR('4. NPV'!FTC23/'4. NPV'!FTC$8,0)</f>
        <v>-0.0</v>
      </c>
      <c r="FTC53" s="5">
        <f>-IFERROR('4. NPV'!FTD23/'4. NPV'!FTD$8,0)</f>
        <v>-0.0</v>
      </c>
      <c r="FTD53" s="5">
        <f>-IFERROR('4. NPV'!FTE23/'4. NPV'!FTE$8,0)</f>
        <v>-0.0</v>
      </c>
      <c r="FTE53" s="5">
        <f>-IFERROR('4. NPV'!FTF23/'4. NPV'!FTF$8,0)</f>
        <v>-0.0</v>
      </c>
      <c r="FTF53" s="5">
        <f>-IFERROR('4. NPV'!FTG23/'4. NPV'!FTG$8,0)</f>
        <v>-0.0</v>
      </c>
      <c r="FTG53" s="5">
        <f>-IFERROR('4. NPV'!FTH23/'4. NPV'!FTH$8,0)</f>
        <v>-0.0</v>
      </c>
      <c r="FTH53" s="5">
        <f>-IFERROR('4. NPV'!FTI23/'4. NPV'!FTI$8,0)</f>
        <v>-0.0</v>
      </c>
      <c r="FTI53" s="5">
        <f>-IFERROR('4. NPV'!FTJ23/'4. NPV'!FTJ$8,0)</f>
        <v>-0.0</v>
      </c>
      <c r="FTJ53" s="5">
        <f>-IFERROR('4. NPV'!FTK23/'4. NPV'!FTK$8,0)</f>
        <v>-0.0</v>
      </c>
      <c r="FTK53" s="5">
        <f>-IFERROR('4. NPV'!FTL23/'4. NPV'!FTL$8,0)</f>
        <v>-0.0</v>
      </c>
      <c r="FTL53" s="5">
        <f>-IFERROR('4. NPV'!FTM23/'4. NPV'!FTM$8,0)</f>
        <v>-0.0</v>
      </c>
      <c r="FTM53" s="5">
        <f>-IFERROR('4. NPV'!FTN23/'4. NPV'!FTN$8,0)</f>
        <v>-0.0</v>
      </c>
      <c r="FTN53" s="5">
        <f>-IFERROR('4. NPV'!FTO23/'4. NPV'!FTO$8,0)</f>
        <v>-0.0</v>
      </c>
      <c r="FTO53" s="5">
        <f>-IFERROR('4. NPV'!FTP23/'4. NPV'!FTP$8,0)</f>
        <v>-0.0</v>
      </c>
      <c r="FTP53" s="5">
        <f>-IFERROR('4. NPV'!FTQ23/'4. NPV'!FTQ$8,0)</f>
        <v>-0.0</v>
      </c>
      <c r="FTQ53" s="5">
        <f>-IFERROR('4. NPV'!FTR23/'4. NPV'!FTR$8,0)</f>
        <v>-0.0</v>
      </c>
      <c r="FTR53" s="5">
        <f>-IFERROR('4. NPV'!FTS23/'4. NPV'!FTS$8,0)</f>
        <v>-0.0</v>
      </c>
      <c r="FTS53" s="5">
        <f>-IFERROR('4. NPV'!FTT23/'4. NPV'!FTT$8,0)</f>
        <v>-0.0</v>
      </c>
      <c r="FTT53" s="5">
        <f>-IFERROR('4. NPV'!FTU23/'4. NPV'!FTU$8,0)</f>
        <v>-0.0</v>
      </c>
      <c r="FTU53" s="5">
        <f>-IFERROR('4. NPV'!FTV23/'4. NPV'!FTV$8,0)</f>
        <v>-0.0</v>
      </c>
      <c r="FTV53" s="5">
        <f>-IFERROR('4. NPV'!FTW23/'4. NPV'!FTW$8,0)</f>
        <v>-0.0</v>
      </c>
      <c r="FTW53" s="5">
        <f>-IFERROR('4. NPV'!FTX23/'4. NPV'!FTX$8,0)</f>
        <v>-0.0</v>
      </c>
      <c r="FTX53" s="5">
        <f>-IFERROR('4. NPV'!FTY23/'4. NPV'!FTY$8,0)</f>
        <v>-0.0</v>
      </c>
      <c r="FTY53" s="5">
        <f>-IFERROR('4. NPV'!FTZ23/'4. NPV'!FTZ$8,0)</f>
        <v>-0.0</v>
      </c>
      <c r="FTZ53" s="5">
        <f>-IFERROR('4. NPV'!FUA23/'4. NPV'!FUA$8,0)</f>
        <v>-0.0</v>
      </c>
      <c r="FUA53" s="5">
        <f>-IFERROR('4. NPV'!FUB23/'4. NPV'!FUB$8,0)</f>
        <v>-0.0</v>
      </c>
      <c r="FUB53" s="5">
        <f>-IFERROR('4. NPV'!FUC23/'4. NPV'!FUC$8,0)</f>
        <v>-0.0</v>
      </c>
      <c r="FUC53" s="5">
        <f>-IFERROR('4. NPV'!FUD23/'4. NPV'!FUD$8,0)</f>
        <v>-0.0</v>
      </c>
      <c r="FUD53" s="5">
        <f>-IFERROR('4. NPV'!FUE23/'4. NPV'!FUE$8,0)</f>
        <v>-0.0</v>
      </c>
      <c r="FUE53" s="5">
        <f>-IFERROR('4. NPV'!FUF23/'4. NPV'!FUF$8,0)</f>
        <v>-0.0</v>
      </c>
      <c r="FUF53" s="5">
        <f>-IFERROR('4. NPV'!FUG23/'4. NPV'!FUG$8,0)</f>
        <v>-0.0</v>
      </c>
      <c r="FUG53" s="5">
        <f>-IFERROR('4. NPV'!FUH23/'4. NPV'!FUH$8,0)</f>
        <v>-0.0</v>
      </c>
      <c r="FUH53" s="5">
        <f>-IFERROR('4. NPV'!FUI23/'4. NPV'!FUI$8,0)</f>
        <v>-0.0</v>
      </c>
      <c r="FUI53" s="5">
        <f>-IFERROR('4. NPV'!FUJ23/'4. NPV'!FUJ$8,0)</f>
        <v>-0.0</v>
      </c>
      <c r="FUJ53" s="5">
        <f>-IFERROR('4. NPV'!FUK23/'4. NPV'!FUK$8,0)</f>
        <v>-0.0</v>
      </c>
      <c r="FUK53" s="5">
        <f>-IFERROR('4. NPV'!FUL23/'4. NPV'!FUL$8,0)</f>
        <v>-0.0</v>
      </c>
      <c r="FUL53" s="5">
        <f>-IFERROR('4. NPV'!FUM23/'4. NPV'!FUM$8,0)</f>
        <v>-0.0</v>
      </c>
      <c r="FUM53" s="5">
        <f>-IFERROR('4. NPV'!FUN23/'4. NPV'!FUN$8,0)</f>
        <v>-0.0</v>
      </c>
      <c r="FUN53" s="5">
        <f>-IFERROR('4. NPV'!FUO23/'4. NPV'!FUO$8,0)</f>
        <v>-0.0</v>
      </c>
      <c r="FUO53" s="5">
        <f>-IFERROR('4. NPV'!FUP23/'4. NPV'!FUP$8,0)</f>
        <v>-0.0</v>
      </c>
      <c r="FUP53" s="5">
        <f>-IFERROR('4. NPV'!FUQ23/'4. NPV'!FUQ$8,0)</f>
        <v>-0.0</v>
      </c>
      <c r="FUQ53" s="5">
        <f>-IFERROR('4. NPV'!FUR23/'4. NPV'!FUR$8,0)</f>
        <v>-0.0</v>
      </c>
      <c r="FUR53" s="5">
        <f>-IFERROR('4. NPV'!FUS23/'4. NPV'!FUS$8,0)</f>
        <v>-0.0</v>
      </c>
      <c r="FUS53" s="5">
        <f>-IFERROR('4. NPV'!FUT23/'4. NPV'!FUT$8,0)</f>
        <v>-0.0</v>
      </c>
      <c r="FUT53" s="5">
        <f>-IFERROR('4. NPV'!FUU23/'4. NPV'!FUU$8,0)</f>
        <v>-0.0</v>
      </c>
      <c r="FUU53" s="5">
        <f>-IFERROR('4. NPV'!FUV23/'4. NPV'!FUV$8,0)</f>
        <v>-0.0</v>
      </c>
      <c r="FUV53" s="5">
        <f>-IFERROR('4. NPV'!FUW23/'4. NPV'!FUW$8,0)</f>
        <v>-0.0</v>
      </c>
      <c r="FUW53" s="5">
        <f>-IFERROR('4. NPV'!FUX23/'4. NPV'!FUX$8,0)</f>
        <v>-0.0</v>
      </c>
      <c r="FUX53" s="5">
        <f>-IFERROR('4. NPV'!FUY23/'4. NPV'!FUY$8,0)</f>
        <v>-0.0</v>
      </c>
      <c r="FUY53" s="5">
        <f>-IFERROR('4. NPV'!FUZ23/'4. NPV'!FUZ$8,0)</f>
        <v>-0.0</v>
      </c>
      <c r="FUZ53" s="5">
        <f>-IFERROR('4. NPV'!FVA23/'4. NPV'!FVA$8,0)</f>
        <v>-0.0</v>
      </c>
      <c r="FVA53" s="5">
        <f>-IFERROR('4. NPV'!FVB23/'4. NPV'!FVB$8,0)</f>
        <v>-0.0</v>
      </c>
      <c r="FVB53" s="5">
        <f>-IFERROR('4. NPV'!FVC23/'4. NPV'!FVC$8,0)</f>
        <v>-0.0</v>
      </c>
      <c r="FVC53" s="5">
        <f>-IFERROR('4. NPV'!FVD23/'4. NPV'!FVD$8,0)</f>
        <v>-0.0</v>
      </c>
      <c r="FVD53" s="5">
        <f>-IFERROR('4. NPV'!FVE23/'4. NPV'!FVE$8,0)</f>
        <v>-0.0</v>
      </c>
      <c r="FVE53" s="5">
        <f>-IFERROR('4. NPV'!FVF23/'4. NPV'!FVF$8,0)</f>
        <v>-0.0</v>
      </c>
      <c r="FVF53" s="5">
        <f>-IFERROR('4. NPV'!FVG23/'4. NPV'!FVG$8,0)</f>
        <v>-0.0</v>
      </c>
      <c r="FVG53" s="5">
        <f>-IFERROR('4. NPV'!FVH23/'4. NPV'!FVH$8,0)</f>
        <v>-0.0</v>
      </c>
      <c r="FVH53" s="5">
        <f>-IFERROR('4. NPV'!FVI23/'4. NPV'!FVI$8,0)</f>
        <v>-0.0</v>
      </c>
      <c r="FVI53" s="5">
        <f>-IFERROR('4. NPV'!FVJ23/'4. NPV'!FVJ$8,0)</f>
        <v>-0.0</v>
      </c>
      <c r="FVJ53" s="5">
        <f>-IFERROR('4. NPV'!FVK23/'4. NPV'!FVK$8,0)</f>
        <v>-0.0</v>
      </c>
      <c r="FVK53" s="5">
        <f>-IFERROR('4. NPV'!FVL23/'4. NPV'!FVL$8,0)</f>
        <v>-0.0</v>
      </c>
      <c r="FVL53" s="5">
        <f>-IFERROR('4. NPV'!FVM23/'4. NPV'!FVM$8,0)</f>
        <v>-0.0</v>
      </c>
      <c r="FVM53" s="5">
        <f>-IFERROR('4. NPV'!FVN23/'4. NPV'!FVN$8,0)</f>
        <v>-0.0</v>
      </c>
      <c r="FVN53" s="5">
        <f>-IFERROR('4. NPV'!FVO23/'4. NPV'!FVO$8,0)</f>
        <v>-0.0</v>
      </c>
      <c r="FVO53" s="5">
        <f>-IFERROR('4. NPV'!FVP23/'4. NPV'!FVP$8,0)</f>
        <v>-0.0</v>
      </c>
      <c r="FVP53" s="5">
        <f>-IFERROR('4. NPV'!FVQ23/'4. NPV'!FVQ$8,0)</f>
        <v>-0.0</v>
      </c>
      <c r="FVQ53" s="5">
        <f>-IFERROR('4. NPV'!FVR23/'4. NPV'!FVR$8,0)</f>
        <v>-0.0</v>
      </c>
      <c r="FVR53" s="5">
        <f>-IFERROR('4. NPV'!FVS23/'4. NPV'!FVS$8,0)</f>
        <v>-0.0</v>
      </c>
      <c r="FVS53" s="5">
        <f>-IFERROR('4. NPV'!FVT23/'4. NPV'!FVT$8,0)</f>
        <v>-0.0</v>
      </c>
      <c r="FVT53" s="5">
        <f>-IFERROR('4. NPV'!FVU23/'4. NPV'!FVU$8,0)</f>
        <v>-0.0</v>
      </c>
      <c r="FVU53" s="5">
        <f>-IFERROR('4. NPV'!FVV23/'4. NPV'!FVV$8,0)</f>
        <v>-0.0</v>
      </c>
      <c r="FVV53" s="5">
        <f>-IFERROR('4. NPV'!FVW23/'4. NPV'!FVW$8,0)</f>
        <v>-0.0</v>
      </c>
      <c r="FVW53" s="5">
        <f>-IFERROR('4. NPV'!FVX23/'4. NPV'!FVX$8,0)</f>
        <v>-0.0</v>
      </c>
      <c r="FVX53" s="5">
        <f>-IFERROR('4. NPV'!FVY23/'4. NPV'!FVY$8,0)</f>
        <v>-0.0</v>
      </c>
      <c r="FVY53" s="5">
        <f>-IFERROR('4. NPV'!FVZ23/'4. NPV'!FVZ$8,0)</f>
        <v>-0.0</v>
      </c>
      <c r="FVZ53" s="5">
        <f>-IFERROR('4. NPV'!FWA23/'4. NPV'!FWA$8,0)</f>
        <v>-0.0</v>
      </c>
      <c r="FWA53" s="5">
        <f>-IFERROR('4. NPV'!FWB23/'4. NPV'!FWB$8,0)</f>
        <v>-0.0</v>
      </c>
      <c r="FWB53" s="5">
        <f>-IFERROR('4. NPV'!FWC23/'4. NPV'!FWC$8,0)</f>
        <v>-0.0</v>
      </c>
      <c r="FWC53" s="5">
        <f>-IFERROR('4. NPV'!FWD23/'4. NPV'!FWD$8,0)</f>
        <v>-0.0</v>
      </c>
      <c r="FWD53" s="5">
        <f>-IFERROR('4. NPV'!FWE23/'4. NPV'!FWE$8,0)</f>
        <v>-0.0</v>
      </c>
      <c r="FWE53" s="5">
        <f>-IFERROR('4. NPV'!FWF23/'4. NPV'!FWF$8,0)</f>
        <v>-0.0</v>
      </c>
      <c r="FWF53" s="5">
        <f>-IFERROR('4. NPV'!FWG23/'4. NPV'!FWG$8,0)</f>
        <v>-0.0</v>
      </c>
      <c r="FWG53" s="5">
        <f>-IFERROR('4. NPV'!FWH23/'4. NPV'!FWH$8,0)</f>
        <v>-0.0</v>
      </c>
      <c r="FWH53" s="5">
        <f>-IFERROR('4. NPV'!FWI23/'4. NPV'!FWI$8,0)</f>
        <v>-0.0</v>
      </c>
      <c r="FWI53" s="5">
        <f>-IFERROR('4. NPV'!FWJ23/'4. NPV'!FWJ$8,0)</f>
        <v>-0.0</v>
      </c>
      <c r="FWJ53" s="5">
        <f>-IFERROR('4. NPV'!FWK23/'4. NPV'!FWK$8,0)</f>
        <v>-0.0</v>
      </c>
      <c r="FWK53" s="5">
        <f>-IFERROR('4. NPV'!FWL23/'4. NPV'!FWL$8,0)</f>
        <v>-0.0</v>
      </c>
      <c r="FWL53" s="5">
        <f>-IFERROR('4. NPV'!FWM23/'4. NPV'!FWM$8,0)</f>
        <v>-0.0</v>
      </c>
      <c r="FWM53" s="5">
        <f>-IFERROR('4. NPV'!FWN23/'4. NPV'!FWN$8,0)</f>
        <v>-0.0</v>
      </c>
      <c r="FWN53" s="5">
        <f>-IFERROR('4. NPV'!FWO23/'4. NPV'!FWO$8,0)</f>
        <v>-0.0</v>
      </c>
      <c r="FWO53" s="5">
        <f>-IFERROR('4. NPV'!FWP23/'4. NPV'!FWP$8,0)</f>
        <v>-0.0</v>
      </c>
      <c r="FWP53" s="5">
        <f>-IFERROR('4. NPV'!FWQ23/'4. NPV'!FWQ$8,0)</f>
        <v>-0.0</v>
      </c>
      <c r="FWQ53" s="5">
        <f>-IFERROR('4. NPV'!FWR23/'4. NPV'!FWR$8,0)</f>
        <v>-0.0</v>
      </c>
      <c r="FWR53" s="5">
        <f>-IFERROR('4. NPV'!FWS23/'4. NPV'!FWS$8,0)</f>
        <v>-0.0</v>
      </c>
      <c r="FWS53" s="5">
        <f>-IFERROR('4. NPV'!FWT23/'4. NPV'!FWT$8,0)</f>
        <v>-0.0</v>
      </c>
      <c r="FWT53" s="5">
        <f>-IFERROR('4. NPV'!FWU23/'4. NPV'!FWU$8,0)</f>
        <v>-0.0</v>
      </c>
      <c r="FWU53" s="5">
        <f>-IFERROR('4. NPV'!FWV23/'4. NPV'!FWV$8,0)</f>
        <v>-0.0</v>
      </c>
      <c r="FWV53" s="5">
        <f>-IFERROR('4. NPV'!FWW23/'4. NPV'!FWW$8,0)</f>
        <v>-0.0</v>
      </c>
      <c r="FWW53" s="5">
        <f>-IFERROR('4. NPV'!FWX23/'4. NPV'!FWX$8,0)</f>
        <v>-0.0</v>
      </c>
      <c r="FWX53" s="5">
        <f>-IFERROR('4. NPV'!FWY23/'4. NPV'!FWY$8,0)</f>
        <v>-0.0</v>
      </c>
      <c r="FWY53" s="5">
        <f>-IFERROR('4. NPV'!FWZ23/'4. NPV'!FWZ$8,0)</f>
        <v>-0.0</v>
      </c>
      <c r="FWZ53" s="5">
        <f>-IFERROR('4. NPV'!FXA23/'4. NPV'!FXA$8,0)</f>
        <v>-0.0</v>
      </c>
      <c r="FXA53" s="5">
        <f>-IFERROR('4. NPV'!FXB23/'4. NPV'!FXB$8,0)</f>
        <v>-0.0</v>
      </c>
      <c r="FXB53" s="5">
        <f>-IFERROR('4. NPV'!FXC23/'4. NPV'!FXC$8,0)</f>
        <v>-0.0</v>
      </c>
      <c r="FXC53" s="5">
        <f>-IFERROR('4. NPV'!FXD23/'4. NPV'!FXD$8,0)</f>
        <v>-0.0</v>
      </c>
      <c r="FXD53" s="5">
        <f>-IFERROR('4. NPV'!FXE23/'4. NPV'!FXE$8,0)</f>
        <v>-0.0</v>
      </c>
      <c r="FXE53" s="5">
        <f>-IFERROR('4. NPV'!FXF23/'4. NPV'!FXF$8,0)</f>
        <v>-0.0</v>
      </c>
      <c r="FXF53" s="5">
        <f>-IFERROR('4. NPV'!FXG23/'4. NPV'!FXG$8,0)</f>
        <v>-0.0</v>
      </c>
      <c r="FXG53" s="5">
        <f>-IFERROR('4. NPV'!FXH23/'4. NPV'!FXH$8,0)</f>
        <v>-0.0</v>
      </c>
      <c r="FXH53" s="5">
        <f>-IFERROR('4. NPV'!FXI23/'4. NPV'!FXI$8,0)</f>
        <v>-0.0</v>
      </c>
      <c r="FXI53" s="5">
        <f>-IFERROR('4. NPV'!FXJ23/'4. NPV'!FXJ$8,0)</f>
        <v>-0.0</v>
      </c>
      <c r="FXJ53" s="5">
        <f>-IFERROR('4. NPV'!FXK23/'4. NPV'!FXK$8,0)</f>
        <v>-0.0</v>
      </c>
      <c r="FXK53" s="5">
        <f>-IFERROR('4. NPV'!FXL23/'4. NPV'!FXL$8,0)</f>
        <v>-0.0</v>
      </c>
      <c r="FXL53" s="5">
        <f>-IFERROR('4. NPV'!FXM23/'4. NPV'!FXM$8,0)</f>
        <v>-0.0</v>
      </c>
      <c r="FXM53" s="5">
        <f>-IFERROR('4. NPV'!FXN23/'4. NPV'!FXN$8,0)</f>
        <v>-0.0</v>
      </c>
      <c r="FXN53" s="5">
        <f>-IFERROR('4. NPV'!FXO23/'4. NPV'!FXO$8,0)</f>
        <v>-0.0</v>
      </c>
      <c r="FXO53" s="5">
        <f>-IFERROR('4. NPV'!FXP23/'4. NPV'!FXP$8,0)</f>
        <v>-0.0</v>
      </c>
      <c r="FXP53" s="5">
        <f>-IFERROR('4. NPV'!FXQ23/'4. NPV'!FXQ$8,0)</f>
        <v>-0.0</v>
      </c>
      <c r="FXQ53" s="5">
        <f>-IFERROR('4. NPV'!FXR23/'4. NPV'!FXR$8,0)</f>
        <v>-0.0</v>
      </c>
      <c r="FXR53" s="5">
        <f>-IFERROR('4. NPV'!FXS23/'4. NPV'!FXS$8,0)</f>
        <v>-0.0</v>
      </c>
      <c r="FXS53" s="5">
        <f>-IFERROR('4. NPV'!FXT23/'4. NPV'!FXT$8,0)</f>
        <v>-0.0</v>
      </c>
      <c r="FXT53" s="5">
        <f>-IFERROR('4. NPV'!FXU23/'4. NPV'!FXU$8,0)</f>
        <v>-0.0</v>
      </c>
      <c r="FXU53" s="5">
        <f>-IFERROR('4. NPV'!FXV23/'4. NPV'!FXV$8,0)</f>
        <v>-0.0</v>
      </c>
      <c r="FXV53" s="5">
        <f>-IFERROR('4. NPV'!FXW23/'4. NPV'!FXW$8,0)</f>
        <v>-0.0</v>
      </c>
      <c r="FXW53" s="5">
        <f>-IFERROR('4. NPV'!FXX23/'4. NPV'!FXX$8,0)</f>
        <v>-0.0</v>
      </c>
      <c r="FXX53" s="5">
        <f>-IFERROR('4. NPV'!FXY23/'4. NPV'!FXY$8,0)</f>
        <v>-0.0</v>
      </c>
      <c r="FXY53" s="5">
        <f>-IFERROR('4. NPV'!FXZ23/'4. NPV'!FXZ$8,0)</f>
        <v>-0.0</v>
      </c>
      <c r="FXZ53" s="5">
        <f>-IFERROR('4. NPV'!FYA23/'4. NPV'!FYA$8,0)</f>
        <v>-0.0</v>
      </c>
      <c r="FYA53" s="5">
        <f>-IFERROR('4. NPV'!FYB23/'4. NPV'!FYB$8,0)</f>
        <v>-0.0</v>
      </c>
      <c r="FYB53" s="5">
        <f>-IFERROR('4. NPV'!FYC23/'4. NPV'!FYC$8,0)</f>
        <v>-0.0</v>
      </c>
      <c r="FYC53" s="5">
        <f>-IFERROR('4. NPV'!FYD23/'4. NPV'!FYD$8,0)</f>
        <v>-0.0</v>
      </c>
      <c r="FYD53" s="5">
        <f>-IFERROR('4. NPV'!FYE23/'4. NPV'!FYE$8,0)</f>
        <v>-0.0</v>
      </c>
      <c r="FYE53" s="5">
        <f>-IFERROR('4. NPV'!FYF23/'4. NPV'!FYF$8,0)</f>
        <v>-0.0</v>
      </c>
      <c r="FYF53" s="5">
        <f>-IFERROR('4. NPV'!FYG23/'4. NPV'!FYG$8,0)</f>
        <v>-0.0</v>
      </c>
      <c r="FYG53" s="5">
        <f>-IFERROR('4. NPV'!FYH23/'4. NPV'!FYH$8,0)</f>
        <v>-0.0</v>
      </c>
      <c r="FYH53" s="5">
        <f>-IFERROR('4. NPV'!FYI23/'4. NPV'!FYI$8,0)</f>
        <v>-0.0</v>
      </c>
      <c r="FYI53" s="5">
        <f>-IFERROR('4. NPV'!FYJ23/'4. NPV'!FYJ$8,0)</f>
        <v>-0.0</v>
      </c>
      <c r="FYJ53" s="5">
        <f>-IFERROR('4. NPV'!FYK23/'4. NPV'!FYK$8,0)</f>
        <v>-0.0</v>
      </c>
      <c r="FYK53" s="5">
        <f>-IFERROR('4. NPV'!FYL23/'4. NPV'!FYL$8,0)</f>
        <v>-0.0</v>
      </c>
      <c r="FYL53" s="5">
        <f>-IFERROR('4. NPV'!FYM23/'4. NPV'!FYM$8,0)</f>
        <v>-0.0</v>
      </c>
      <c r="FYM53" s="5">
        <f>-IFERROR('4. NPV'!FYN23/'4. NPV'!FYN$8,0)</f>
        <v>-0.0</v>
      </c>
      <c r="FYN53" s="5">
        <f>-IFERROR('4. NPV'!FYO23/'4. NPV'!FYO$8,0)</f>
        <v>-0.0</v>
      </c>
      <c r="FYO53" s="5">
        <f>-IFERROR('4. NPV'!FYP23/'4. NPV'!FYP$8,0)</f>
        <v>-0.0</v>
      </c>
      <c r="FYP53" s="5">
        <f>-IFERROR('4. NPV'!FYQ23/'4. NPV'!FYQ$8,0)</f>
        <v>-0.0</v>
      </c>
      <c r="FYQ53" s="5">
        <f>-IFERROR('4. NPV'!FYR23/'4. NPV'!FYR$8,0)</f>
        <v>-0.0</v>
      </c>
      <c r="FYR53" s="5">
        <f>-IFERROR('4. NPV'!FYS23/'4. NPV'!FYS$8,0)</f>
        <v>-0.0</v>
      </c>
      <c r="FYS53" s="5">
        <f>-IFERROR('4. NPV'!FYT23/'4. NPV'!FYT$8,0)</f>
        <v>-0.0</v>
      </c>
      <c r="FYT53" s="5">
        <f>-IFERROR('4. NPV'!FYU23/'4. NPV'!FYU$8,0)</f>
        <v>-0.0</v>
      </c>
      <c r="FYU53" s="5">
        <f>-IFERROR('4. NPV'!FYV23/'4. NPV'!FYV$8,0)</f>
        <v>-0.0</v>
      </c>
      <c r="FYV53" s="5">
        <f>-IFERROR('4. NPV'!FYW23/'4. NPV'!FYW$8,0)</f>
        <v>-0.0</v>
      </c>
      <c r="FYW53" s="5">
        <f>-IFERROR('4. NPV'!FYX23/'4. NPV'!FYX$8,0)</f>
        <v>-0.0</v>
      </c>
      <c r="FYX53" s="5">
        <f>-IFERROR('4. NPV'!FYY23/'4. NPV'!FYY$8,0)</f>
        <v>-0.0</v>
      </c>
      <c r="FYY53" s="5">
        <f>-IFERROR('4. NPV'!FYZ23/'4. NPV'!FYZ$8,0)</f>
        <v>-0.0</v>
      </c>
      <c r="FYZ53" s="5">
        <f>-IFERROR('4. NPV'!FZA23/'4. NPV'!FZA$8,0)</f>
        <v>-0.0</v>
      </c>
      <c r="FZA53" s="5">
        <f>-IFERROR('4. NPV'!FZB23/'4. NPV'!FZB$8,0)</f>
        <v>-0.0</v>
      </c>
      <c r="FZB53" s="5">
        <f>-IFERROR('4. NPV'!FZC23/'4. NPV'!FZC$8,0)</f>
        <v>-0.0</v>
      </c>
      <c r="FZC53" s="5">
        <f>-IFERROR('4. NPV'!FZD23/'4. NPV'!FZD$8,0)</f>
        <v>-0.0</v>
      </c>
      <c r="FZD53" s="5">
        <f>-IFERROR('4. NPV'!FZE23/'4. NPV'!FZE$8,0)</f>
        <v>-0.0</v>
      </c>
      <c r="FZE53" s="5">
        <f>-IFERROR('4. NPV'!FZF23/'4. NPV'!FZF$8,0)</f>
        <v>-0.0</v>
      </c>
      <c r="FZF53" s="5">
        <f>-IFERROR('4. NPV'!FZG23/'4. NPV'!FZG$8,0)</f>
        <v>-0.0</v>
      </c>
      <c r="FZG53" s="5">
        <f>-IFERROR('4. NPV'!FZH23/'4. NPV'!FZH$8,0)</f>
        <v>-0.0</v>
      </c>
      <c r="FZH53" s="5">
        <f>-IFERROR('4. NPV'!FZI23/'4. NPV'!FZI$8,0)</f>
        <v>-0.0</v>
      </c>
      <c r="FZI53" s="5">
        <f>-IFERROR('4. NPV'!FZJ23/'4. NPV'!FZJ$8,0)</f>
        <v>-0.0</v>
      </c>
      <c r="FZJ53" s="5">
        <f>-IFERROR('4. NPV'!FZK23/'4. NPV'!FZK$8,0)</f>
        <v>-0.0</v>
      </c>
      <c r="FZK53" s="5">
        <f>-IFERROR('4. NPV'!FZL23/'4. NPV'!FZL$8,0)</f>
        <v>-0.0</v>
      </c>
      <c r="FZL53" s="5">
        <f>-IFERROR('4. NPV'!FZM23/'4. NPV'!FZM$8,0)</f>
        <v>-0.0</v>
      </c>
      <c r="FZM53" s="5">
        <f>-IFERROR('4. NPV'!FZN23/'4. NPV'!FZN$8,0)</f>
        <v>-0.0</v>
      </c>
      <c r="FZN53" s="5">
        <f>-IFERROR('4. NPV'!FZO23/'4. NPV'!FZO$8,0)</f>
        <v>-0.0</v>
      </c>
      <c r="FZO53" s="5">
        <f>-IFERROR('4. NPV'!FZP23/'4. NPV'!FZP$8,0)</f>
        <v>-0.0</v>
      </c>
      <c r="FZP53" s="5">
        <f>-IFERROR('4. NPV'!FZQ23/'4. NPV'!FZQ$8,0)</f>
        <v>-0.0</v>
      </c>
      <c r="FZQ53" s="5">
        <f>-IFERROR('4. NPV'!FZR23/'4. NPV'!FZR$8,0)</f>
        <v>-0.0</v>
      </c>
      <c r="FZR53" s="5">
        <f>-IFERROR('4. NPV'!FZS23/'4. NPV'!FZS$8,0)</f>
        <v>-0.0</v>
      </c>
      <c r="FZS53" s="5">
        <f>-IFERROR('4. NPV'!FZT23/'4. NPV'!FZT$8,0)</f>
        <v>-0.0</v>
      </c>
      <c r="FZT53" s="5">
        <f>-IFERROR('4. NPV'!FZU23/'4. NPV'!FZU$8,0)</f>
        <v>-0.0</v>
      </c>
      <c r="FZU53" s="5">
        <f>-IFERROR('4. NPV'!FZV23/'4. NPV'!FZV$8,0)</f>
        <v>-0.0</v>
      </c>
      <c r="FZV53" s="5">
        <f>-IFERROR('4. NPV'!FZW23/'4. NPV'!FZW$8,0)</f>
        <v>-0.0</v>
      </c>
      <c r="FZW53" s="5">
        <f>-IFERROR('4. NPV'!FZX23/'4. NPV'!FZX$8,0)</f>
        <v>-0.0</v>
      </c>
      <c r="FZX53" s="5">
        <f>-IFERROR('4. NPV'!FZY23/'4. NPV'!FZY$8,0)</f>
        <v>-0.0</v>
      </c>
      <c r="FZY53" s="5">
        <f>-IFERROR('4. NPV'!FZZ23/'4. NPV'!FZZ$8,0)</f>
        <v>-0.0</v>
      </c>
      <c r="FZZ53" s="5">
        <f>-IFERROR('4. NPV'!GAA23/'4. NPV'!GAA$8,0)</f>
        <v>-0.0</v>
      </c>
      <c r="GAA53" s="5">
        <f>-IFERROR('4. NPV'!GAB23/'4. NPV'!GAB$8,0)</f>
        <v>-0.0</v>
      </c>
      <c r="GAB53" s="5">
        <f>-IFERROR('4. NPV'!GAC23/'4. NPV'!GAC$8,0)</f>
        <v>-0.0</v>
      </c>
      <c r="GAC53" s="5">
        <f>-IFERROR('4. NPV'!GAD23/'4. NPV'!GAD$8,0)</f>
        <v>-0.0</v>
      </c>
      <c r="GAD53" s="5">
        <f>-IFERROR('4. NPV'!GAE23/'4. NPV'!GAE$8,0)</f>
        <v>-0.0</v>
      </c>
      <c r="GAE53" s="5">
        <f>-IFERROR('4. NPV'!GAF23/'4. NPV'!GAF$8,0)</f>
        <v>-0.0</v>
      </c>
      <c r="GAF53" s="5">
        <f>-IFERROR('4. NPV'!GAG23/'4. NPV'!GAG$8,0)</f>
        <v>-0.0</v>
      </c>
      <c r="GAG53" s="5">
        <f>-IFERROR('4. NPV'!GAH23/'4. NPV'!GAH$8,0)</f>
        <v>-0.0</v>
      </c>
      <c r="GAH53" s="5">
        <f>-IFERROR('4. NPV'!GAI23/'4. NPV'!GAI$8,0)</f>
        <v>-0.0</v>
      </c>
      <c r="GAI53" s="5">
        <f>-IFERROR('4. NPV'!GAJ23/'4. NPV'!GAJ$8,0)</f>
        <v>-0.0</v>
      </c>
      <c r="GAJ53" s="5">
        <f>-IFERROR('4. NPV'!GAK23/'4. NPV'!GAK$8,0)</f>
        <v>-0.0</v>
      </c>
      <c r="GAK53" s="5">
        <f>-IFERROR('4. NPV'!GAL23/'4. NPV'!GAL$8,0)</f>
        <v>-0.0</v>
      </c>
      <c r="GAL53" s="5">
        <f>-IFERROR('4. NPV'!GAM23/'4. NPV'!GAM$8,0)</f>
        <v>-0.0</v>
      </c>
      <c r="GAM53" s="5">
        <f>-IFERROR('4. NPV'!GAN23/'4. NPV'!GAN$8,0)</f>
        <v>-0.0</v>
      </c>
      <c r="GAN53" s="5">
        <f>-IFERROR('4. NPV'!GAO23/'4. NPV'!GAO$8,0)</f>
        <v>-0.0</v>
      </c>
      <c r="GAO53" s="5">
        <f>-IFERROR('4. NPV'!GAP23/'4. NPV'!GAP$8,0)</f>
        <v>-0.0</v>
      </c>
      <c r="GAP53" s="5">
        <f>-IFERROR('4. NPV'!GAQ23/'4. NPV'!GAQ$8,0)</f>
        <v>-0.0</v>
      </c>
      <c r="GAQ53" s="5">
        <f>-IFERROR('4. NPV'!GAR23/'4. NPV'!GAR$8,0)</f>
        <v>-0.0</v>
      </c>
      <c r="GAR53" s="5">
        <f>-IFERROR('4. NPV'!GAS23/'4. NPV'!GAS$8,0)</f>
        <v>-0.0</v>
      </c>
      <c r="GAS53" s="5">
        <f>-IFERROR('4. NPV'!GAT23/'4. NPV'!GAT$8,0)</f>
        <v>-0.0</v>
      </c>
      <c r="GAT53" s="5">
        <f>-IFERROR('4. NPV'!GAU23/'4. NPV'!GAU$8,0)</f>
        <v>-0.0</v>
      </c>
      <c r="GAU53" s="5">
        <f>-IFERROR('4. NPV'!GAV23/'4. NPV'!GAV$8,0)</f>
        <v>-0.0</v>
      </c>
      <c r="GAV53" s="5">
        <f>-IFERROR('4. NPV'!GAW23/'4. NPV'!GAW$8,0)</f>
        <v>-0.0</v>
      </c>
      <c r="GAW53" s="5">
        <f>-IFERROR('4. NPV'!GAX23/'4. NPV'!GAX$8,0)</f>
        <v>-0.0</v>
      </c>
      <c r="GAX53" s="5">
        <f>-IFERROR('4. NPV'!GAY23/'4. NPV'!GAY$8,0)</f>
        <v>-0.0</v>
      </c>
      <c r="GAY53" s="5">
        <f>-IFERROR('4. NPV'!GAZ23/'4. NPV'!GAZ$8,0)</f>
        <v>-0.0</v>
      </c>
      <c r="GAZ53" s="5">
        <f>-IFERROR('4. NPV'!GBA23/'4. NPV'!GBA$8,0)</f>
        <v>-0.0</v>
      </c>
      <c r="GBA53" s="5">
        <f>-IFERROR('4. NPV'!GBB23/'4. NPV'!GBB$8,0)</f>
        <v>-0.0</v>
      </c>
      <c r="GBB53" s="5">
        <f>-IFERROR('4. NPV'!GBC23/'4. NPV'!GBC$8,0)</f>
        <v>-0.0</v>
      </c>
      <c r="GBC53" s="5">
        <f>-IFERROR('4. NPV'!GBD23/'4. NPV'!GBD$8,0)</f>
        <v>-0.0</v>
      </c>
      <c r="GBD53" s="5">
        <f>-IFERROR('4. NPV'!GBE23/'4. NPV'!GBE$8,0)</f>
        <v>-0.0</v>
      </c>
      <c r="GBE53" s="5">
        <f>-IFERROR('4. NPV'!GBF23/'4. NPV'!GBF$8,0)</f>
        <v>-0.0</v>
      </c>
      <c r="GBF53" s="5">
        <f>-IFERROR('4. NPV'!GBG23/'4. NPV'!GBG$8,0)</f>
        <v>-0.0</v>
      </c>
      <c r="GBG53" s="5">
        <f>-IFERROR('4. NPV'!GBH23/'4. NPV'!GBH$8,0)</f>
        <v>-0.0</v>
      </c>
      <c r="GBH53" s="5">
        <f>-IFERROR('4. NPV'!GBI23/'4. NPV'!GBI$8,0)</f>
        <v>-0.0</v>
      </c>
      <c r="GBI53" s="5">
        <f>-IFERROR('4. NPV'!GBJ23/'4. NPV'!GBJ$8,0)</f>
        <v>-0.0</v>
      </c>
      <c r="GBJ53" s="5">
        <f>-IFERROR('4. NPV'!GBK23/'4. NPV'!GBK$8,0)</f>
        <v>-0.0</v>
      </c>
      <c r="GBK53" s="5">
        <f>-IFERROR('4. NPV'!GBL23/'4. NPV'!GBL$8,0)</f>
        <v>-0.0</v>
      </c>
      <c r="GBL53" s="5">
        <f>-IFERROR('4. NPV'!GBM23/'4. NPV'!GBM$8,0)</f>
        <v>-0.0</v>
      </c>
      <c r="GBM53" s="5">
        <f>-IFERROR('4. NPV'!GBN23/'4. NPV'!GBN$8,0)</f>
        <v>-0.0</v>
      </c>
      <c r="GBN53" s="5">
        <f>-IFERROR('4. NPV'!GBO23/'4. NPV'!GBO$8,0)</f>
        <v>-0.0</v>
      </c>
      <c r="GBO53" s="5">
        <f>-IFERROR('4. NPV'!GBP23/'4. NPV'!GBP$8,0)</f>
        <v>-0.0</v>
      </c>
      <c r="GBP53" s="5">
        <f>-IFERROR('4. NPV'!GBQ23/'4. NPV'!GBQ$8,0)</f>
        <v>-0.0</v>
      </c>
      <c r="GBQ53" s="5">
        <f>-IFERROR('4. NPV'!GBR23/'4. NPV'!GBR$8,0)</f>
        <v>-0.0</v>
      </c>
      <c r="GBR53" s="5">
        <f>-IFERROR('4. NPV'!GBS23/'4. NPV'!GBS$8,0)</f>
        <v>-0.0</v>
      </c>
      <c r="GBS53" s="5">
        <f>-IFERROR('4. NPV'!GBT23/'4. NPV'!GBT$8,0)</f>
        <v>-0.0</v>
      </c>
      <c r="GBT53" s="5">
        <f>-IFERROR('4. NPV'!GBU23/'4. NPV'!GBU$8,0)</f>
        <v>-0.0</v>
      </c>
      <c r="GBU53" s="5">
        <f>-IFERROR('4. NPV'!GBV23/'4. NPV'!GBV$8,0)</f>
        <v>-0.0</v>
      </c>
      <c r="GBV53" s="5">
        <f>-IFERROR('4. NPV'!GBW23/'4. NPV'!GBW$8,0)</f>
        <v>-0.0</v>
      </c>
      <c r="GBW53" s="5">
        <f>-IFERROR('4. NPV'!GBX23/'4. NPV'!GBX$8,0)</f>
        <v>-0.0</v>
      </c>
      <c r="GBX53" s="5">
        <f>-IFERROR('4. NPV'!GBY23/'4. NPV'!GBY$8,0)</f>
        <v>-0.0</v>
      </c>
      <c r="GBY53" s="5">
        <f>-IFERROR('4. NPV'!GBZ23/'4. NPV'!GBZ$8,0)</f>
        <v>-0.0</v>
      </c>
      <c r="GBZ53" s="5">
        <f>-IFERROR('4. NPV'!GCA23/'4. NPV'!GCA$8,0)</f>
        <v>-0.0</v>
      </c>
      <c r="GCA53" s="5">
        <f>-IFERROR('4. NPV'!GCB23/'4. NPV'!GCB$8,0)</f>
        <v>-0.0</v>
      </c>
      <c r="GCB53" s="5">
        <f>-IFERROR('4. NPV'!GCC23/'4. NPV'!GCC$8,0)</f>
        <v>-0.0</v>
      </c>
      <c r="GCC53" s="5">
        <f>-IFERROR('4. NPV'!GCD23/'4. NPV'!GCD$8,0)</f>
        <v>-0.0</v>
      </c>
      <c r="GCD53" s="5">
        <f>-IFERROR('4. NPV'!GCE23/'4. NPV'!GCE$8,0)</f>
        <v>-0.0</v>
      </c>
      <c r="GCE53" s="5">
        <f>-IFERROR('4. NPV'!GCF23/'4. NPV'!GCF$8,0)</f>
        <v>-0.0</v>
      </c>
      <c r="GCF53" s="5">
        <f>-IFERROR('4. NPV'!GCG23/'4. NPV'!GCG$8,0)</f>
        <v>-0.0</v>
      </c>
      <c r="GCG53" s="5">
        <f>-IFERROR('4. NPV'!GCH23/'4. NPV'!GCH$8,0)</f>
        <v>-0.0</v>
      </c>
      <c r="GCH53" s="5">
        <f>-IFERROR('4. NPV'!GCI23/'4. NPV'!GCI$8,0)</f>
        <v>-0.0</v>
      </c>
      <c r="GCI53" s="5">
        <f>-IFERROR('4. NPV'!GCJ23/'4. NPV'!GCJ$8,0)</f>
        <v>-0.0</v>
      </c>
      <c r="GCJ53" s="5">
        <f>-IFERROR('4. NPV'!GCK23/'4. NPV'!GCK$8,0)</f>
        <v>-0.0</v>
      </c>
      <c r="GCK53" s="5">
        <f>-IFERROR('4. NPV'!GCL23/'4. NPV'!GCL$8,0)</f>
        <v>-0.0</v>
      </c>
      <c r="GCL53" s="5">
        <f>-IFERROR('4. NPV'!GCM23/'4. NPV'!GCM$8,0)</f>
        <v>-0.0</v>
      </c>
      <c r="GCM53" s="5">
        <f>-IFERROR('4. NPV'!GCN23/'4. NPV'!GCN$8,0)</f>
        <v>-0.0</v>
      </c>
      <c r="GCN53" s="5">
        <f>-IFERROR('4. NPV'!GCO23/'4. NPV'!GCO$8,0)</f>
        <v>-0.0</v>
      </c>
      <c r="GCO53" s="5">
        <f>-IFERROR('4. NPV'!GCP23/'4. NPV'!GCP$8,0)</f>
        <v>-0.0</v>
      </c>
      <c r="GCP53" s="5">
        <f>-IFERROR('4. NPV'!GCQ23/'4. NPV'!GCQ$8,0)</f>
        <v>-0.0</v>
      </c>
      <c r="GCQ53" s="5">
        <f>-IFERROR('4. NPV'!GCR23/'4. NPV'!GCR$8,0)</f>
        <v>-0.0</v>
      </c>
      <c r="GCR53" s="5">
        <f>-IFERROR('4. NPV'!GCS23/'4. NPV'!GCS$8,0)</f>
        <v>-0.0</v>
      </c>
      <c r="GCS53" s="5">
        <f>-IFERROR('4. NPV'!GCT23/'4. NPV'!GCT$8,0)</f>
        <v>-0.0</v>
      </c>
      <c r="GCT53" s="5">
        <f>-IFERROR('4. NPV'!GCU23/'4. NPV'!GCU$8,0)</f>
        <v>-0.0</v>
      </c>
      <c r="GCU53" s="5">
        <f>-IFERROR('4. NPV'!GCV23/'4. NPV'!GCV$8,0)</f>
        <v>-0.0</v>
      </c>
      <c r="GCV53" s="5">
        <f>-IFERROR('4. NPV'!GCW23/'4. NPV'!GCW$8,0)</f>
        <v>-0.0</v>
      </c>
      <c r="GCW53" s="5">
        <f>-IFERROR('4. NPV'!GCX23/'4. NPV'!GCX$8,0)</f>
        <v>-0.0</v>
      </c>
      <c r="GCX53" s="5">
        <f>-IFERROR('4. NPV'!GCY23/'4. NPV'!GCY$8,0)</f>
        <v>-0.0</v>
      </c>
      <c r="GCY53" s="5">
        <f>-IFERROR('4. NPV'!GCZ23/'4. NPV'!GCZ$8,0)</f>
        <v>-0.0</v>
      </c>
      <c r="GCZ53" s="5">
        <f>-IFERROR('4. NPV'!GDA23/'4. NPV'!GDA$8,0)</f>
        <v>-0.0</v>
      </c>
      <c r="GDA53" s="5">
        <f>-IFERROR('4. NPV'!GDB23/'4. NPV'!GDB$8,0)</f>
        <v>-0.0</v>
      </c>
      <c r="GDB53" s="5">
        <f>-IFERROR('4. NPV'!GDC23/'4. NPV'!GDC$8,0)</f>
        <v>-0.0</v>
      </c>
      <c r="GDC53" s="5">
        <f>-IFERROR('4. NPV'!GDD23/'4. NPV'!GDD$8,0)</f>
        <v>-0.0</v>
      </c>
      <c r="GDD53" s="5">
        <f>-IFERROR('4. NPV'!GDE23/'4. NPV'!GDE$8,0)</f>
        <v>-0.0</v>
      </c>
      <c r="GDE53" s="5">
        <f>-IFERROR('4. NPV'!GDF23/'4. NPV'!GDF$8,0)</f>
        <v>-0.0</v>
      </c>
      <c r="GDF53" s="5">
        <f>-IFERROR('4. NPV'!GDG23/'4. NPV'!GDG$8,0)</f>
        <v>-0.0</v>
      </c>
      <c r="GDG53" s="5">
        <f>-IFERROR('4. NPV'!GDH23/'4. NPV'!GDH$8,0)</f>
        <v>-0.0</v>
      </c>
      <c r="GDH53" s="5">
        <f>-IFERROR('4. NPV'!GDI23/'4. NPV'!GDI$8,0)</f>
        <v>-0.0</v>
      </c>
      <c r="GDI53" s="5">
        <f>-IFERROR('4. NPV'!GDJ23/'4. NPV'!GDJ$8,0)</f>
        <v>-0.0</v>
      </c>
      <c r="GDJ53" s="5">
        <f>-IFERROR('4. NPV'!GDK23/'4. NPV'!GDK$8,0)</f>
        <v>-0.0</v>
      </c>
      <c r="GDK53" s="5">
        <f>-IFERROR('4. NPV'!GDL23/'4. NPV'!GDL$8,0)</f>
        <v>-0.0</v>
      </c>
      <c r="GDL53" s="5">
        <f>-IFERROR('4. NPV'!GDM23/'4. NPV'!GDM$8,0)</f>
        <v>-0.0</v>
      </c>
      <c r="GDM53" s="5">
        <f>-IFERROR('4. NPV'!GDN23/'4. NPV'!GDN$8,0)</f>
        <v>-0.0</v>
      </c>
      <c r="GDN53" s="5">
        <f>-IFERROR('4. NPV'!GDO23/'4. NPV'!GDO$8,0)</f>
        <v>-0.0</v>
      </c>
      <c r="GDO53" s="5">
        <f>-IFERROR('4. NPV'!GDP23/'4. NPV'!GDP$8,0)</f>
        <v>-0.0</v>
      </c>
      <c r="GDP53" s="5">
        <f>-IFERROR('4. NPV'!GDQ23/'4. NPV'!GDQ$8,0)</f>
        <v>-0.0</v>
      </c>
      <c r="GDQ53" s="5">
        <f>-IFERROR('4. NPV'!GDR23/'4. NPV'!GDR$8,0)</f>
        <v>-0.0</v>
      </c>
      <c r="GDR53" s="5">
        <f>-IFERROR('4. NPV'!GDS23/'4. NPV'!GDS$8,0)</f>
        <v>-0.0</v>
      </c>
      <c r="GDS53" s="5">
        <f>-IFERROR('4. NPV'!GDT23/'4. NPV'!GDT$8,0)</f>
        <v>-0.0</v>
      </c>
      <c r="GDT53" s="5">
        <f>-IFERROR('4. NPV'!GDU23/'4. NPV'!GDU$8,0)</f>
        <v>-0.0</v>
      </c>
      <c r="GDU53" s="5">
        <f>-IFERROR('4. NPV'!GDV23/'4. NPV'!GDV$8,0)</f>
        <v>-0.0</v>
      </c>
      <c r="GDV53" s="5">
        <f>-IFERROR('4. NPV'!GDW23/'4. NPV'!GDW$8,0)</f>
        <v>-0.0</v>
      </c>
      <c r="GDW53" s="5">
        <f>-IFERROR('4. NPV'!GDX23/'4. NPV'!GDX$8,0)</f>
        <v>-0.0</v>
      </c>
      <c r="GDX53" s="5">
        <f>-IFERROR('4. NPV'!GDY23/'4. NPV'!GDY$8,0)</f>
        <v>-0.0</v>
      </c>
      <c r="GDY53" s="5">
        <f>-IFERROR('4. NPV'!GDZ23/'4. NPV'!GDZ$8,0)</f>
        <v>-0.0</v>
      </c>
      <c r="GDZ53" s="5">
        <f>-IFERROR('4. NPV'!GEA23/'4. NPV'!GEA$8,0)</f>
        <v>-0.0</v>
      </c>
      <c r="GEA53" s="5">
        <f>-IFERROR('4. NPV'!GEB23/'4. NPV'!GEB$8,0)</f>
        <v>-0.0</v>
      </c>
      <c r="GEB53" s="5">
        <f>-IFERROR('4. NPV'!GEC23/'4. NPV'!GEC$8,0)</f>
        <v>-0.0</v>
      </c>
      <c r="GEC53" s="5">
        <f>-IFERROR('4. NPV'!GED23/'4. NPV'!GED$8,0)</f>
        <v>-0.0</v>
      </c>
      <c r="GED53" s="5">
        <f>-IFERROR('4. NPV'!GEE23/'4. NPV'!GEE$8,0)</f>
        <v>-0.0</v>
      </c>
      <c r="GEE53" s="5">
        <f>-IFERROR('4. NPV'!GEF23/'4. NPV'!GEF$8,0)</f>
        <v>-0.0</v>
      </c>
      <c r="GEF53" s="5">
        <f>-IFERROR('4. NPV'!GEG23/'4. NPV'!GEG$8,0)</f>
        <v>-0.0</v>
      </c>
      <c r="GEG53" s="5">
        <f>-IFERROR('4. NPV'!GEH23/'4. NPV'!GEH$8,0)</f>
        <v>-0.0</v>
      </c>
      <c r="GEH53" s="5">
        <f>-IFERROR('4. NPV'!GEI23/'4. NPV'!GEI$8,0)</f>
        <v>-0.0</v>
      </c>
      <c r="GEI53" s="5">
        <f>-IFERROR('4. NPV'!GEJ23/'4. NPV'!GEJ$8,0)</f>
        <v>-0.0</v>
      </c>
      <c r="GEJ53" s="5">
        <f>-IFERROR('4. NPV'!GEK23/'4. NPV'!GEK$8,0)</f>
        <v>-0.0</v>
      </c>
      <c r="GEK53" s="5">
        <f>-IFERROR('4. NPV'!GEL23/'4. NPV'!GEL$8,0)</f>
        <v>-0.0</v>
      </c>
      <c r="GEL53" s="5">
        <f>-IFERROR('4. NPV'!GEM23/'4. NPV'!GEM$8,0)</f>
        <v>-0.0</v>
      </c>
      <c r="GEM53" s="5">
        <f>-IFERROR('4. NPV'!GEN23/'4. NPV'!GEN$8,0)</f>
        <v>-0.0</v>
      </c>
      <c r="GEN53" s="5">
        <f>-IFERROR('4. NPV'!GEO23/'4. NPV'!GEO$8,0)</f>
        <v>-0.0</v>
      </c>
      <c r="GEO53" s="5">
        <f>-IFERROR('4. NPV'!GEP23/'4. NPV'!GEP$8,0)</f>
        <v>-0.0</v>
      </c>
      <c r="GEP53" s="5">
        <f>-IFERROR('4. NPV'!GEQ23/'4. NPV'!GEQ$8,0)</f>
        <v>-0.0</v>
      </c>
      <c r="GEQ53" s="5">
        <f>-IFERROR('4. NPV'!GER23/'4. NPV'!GER$8,0)</f>
        <v>-0.0</v>
      </c>
      <c r="GER53" s="5">
        <f>-IFERROR('4. NPV'!GES23/'4. NPV'!GES$8,0)</f>
        <v>-0.0</v>
      </c>
      <c r="GES53" s="5">
        <f>-IFERROR('4. NPV'!GET23/'4. NPV'!GET$8,0)</f>
        <v>-0.0</v>
      </c>
      <c r="GET53" s="5">
        <f>-IFERROR('4. NPV'!GEU23/'4. NPV'!GEU$8,0)</f>
        <v>-0.0</v>
      </c>
      <c r="GEU53" s="5">
        <f>-IFERROR('4. NPV'!GEV23/'4. NPV'!GEV$8,0)</f>
        <v>-0.0</v>
      </c>
      <c r="GEV53" s="5">
        <f>-IFERROR('4. NPV'!GEW23/'4. NPV'!GEW$8,0)</f>
        <v>-0.0</v>
      </c>
      <c r="GEW53" s="5">
        <f>-IFERROR('4. NPV'!GEX23/'4. NPV'!GEX$8,0)</f>
        <v>-0.0</v>
      </c>
      <c r="GEX53" s="5">
        <f>-IFERROR('4. NPV'!GEY23/'4. NPV'!GEY$8,0)</f>
        <v>-0.0</v>
      </c>
      <c r="GEY53" s="5">
        <f>-IFERROR('4. NPV'!GEZ23/'4. NPV'!GEZ$8,0)</f>
        <v>-0.0</v>
      </c>
      <c r="GEZ53" s="5">
        <f>-IFERROR('4. NPV'!GFA23/'4. NPV'!GFA$8,0)</f>
        <v>-0.0</v>
      </c>
      <c r="GFA53" s="5">
        <f>-IFERROR('4. NPV'!GFB23/'4. NPV'!GFB$8,0)</f>
        <v>-0.0</v>
      </c>
      <c r="GFB53" s="5">
        <f>-IFERROR('4. NPV'!GFC23/'4. NPV'!GFC$8,0)</f>
        <v>-0.0</v>
      </c>
      <c r="GFC53" s="5">
        <f>-IFERROR('4. NPV'!GFD23/'4. NPV'!GFD$8,0)</f>
        <v>-0.0</v>
      </c>
      <c r="GFD53" s="5">
        <f>-IFERROR('4. NPV'!GFE23/'4. NPV'!GFE$8,0)</f>
        <v>-0.0</v>
      </c>
      <c r="GFE53" s="5">
        <f>-IFERROR('4. NPV'!GFF23/'4. NPV'!GFF$8,0)</f>
        <v>-0.0</v>
      </c>
      <c r="GFF53" s="5">
        <f>-IFERROR('4. NPV'!GFG23/'4. NPV'!GFG$8,0)</f>
        <v>-0.0</v>
      </c>
      <c r="GFG53" s="5">
        <f>-IFERROR('4. NPV'!GFH23/'4. NPV'!GFH$8,0)</f>
        <v>-0.0</v>
      </c>
      <c r="GFH53" s="5">
        <f>-IFERROR('4. NPV'!GFI23/'4. NPV'!GFI$8,0)</f>
        <v>-0.0</v>
      </c>
      <c r="GFI53" s="5">
        <f>-IFERROR('4. NPV'!GFJ23/'4. NPV'!GFJ$8,0)</f>
        <v>-0.0</v>
      </c>
      <c r="GFJ53" s="5">
        <f>-IFERROR('4. NPV'!GFK23/'4. NPV'!GFK$8,0)</f>
        <v>-0.0</v>
      </c>
      <c r="GFK53" s="5">
        <f>-IFERROR('4. NPV'!GFL23/'4. NPV'!GFL$8,0)</f>
        <v>-0.0</v>
      </c>
      <c r="GFL53" s="5">
        <f>-IFERROR('4. NPV'!GFM23/'4. NPV'!GFM$8,0)</f>
        <v>-0.0</v>
      </c>
      <c r="GFM53" s="5">
        <f>-IFERROR('4. NPV'!GFN23/'4. NPV'!GFN$8,0)</f>
        <v>-0.0</v>
      </c>
      <c r="GFN53" s="5">
        <f>-IFERROR('4. NPV'!GFO23/'4. NPV'!GFO$8,0)</f>
        <v>-0.0</v>
      </c>
      <c r="GFO53" s="5">
        <f>-IFERROR('4. NPV'!GFP23/'4. NPV'!GFP$8,0)</f>
        <v>-0.0</v>
      </c>
      <c r="GFP53" s="5">
        <f>-IFERROR('4. NPV'!GFQ23/'4. NPV'!GFQ$8,0)</f>
        <v>-0.0</v>
      </c>
      <c r="GFQ53" s="5">
        <f>-IFERROR('4. NPV'!GFR23/'4. NPV'!GFR$8,0)</f>
        <v>-0.0</v>
      </c>
      <c r="GFR53" s="5">
        <f>-IFERROR('4. NPV'!GFS23/'4. NPV'!GFS$8,0)</f>
        <v>-0.0</v>
      </c>
      <c r="GFS53" s="5">
        <f>-IFERROR('4. NPV'!GFT23/'4. NPV'!GFT$8,0)</f>
        <v>-0.0</v>
      </c>
      <c r="GFT53" s="5">
        <f>-IFERROR('4. NPV'!GFU23/'4. NPV'!GFU$8,0)</f>
        <v>-0.0</v>
      </c>
      <c r="GFU53" s="5">
        <f>-IFERROR('4. NPV'!GFV23/'4. NPV'!GFV$8,0)</f>
        <v>-0.0</v>
      </c>
      <c r="GFV53" s="5">
        <f>-IFERROR('4. NPV'!GFW23/'4. NPV'!GFW$8,0)</f>
        <v>-0.0</v>
      </c>
      <c r="GFW53" s="5">
        <f>-IFERROR('4. NPV'!GFX23/'4. NPV'!GFX$8,0)</f>
        <v>-0.0</v>
      </c>
      <c r="GFX53" s="5">
        <f>-IFERROR('4. NPV'!GFY23/'4. NPV'!GFY$8,0)</f>
        <v>-0.0</v>
      </c>
      <c r="GFY53" s="5">
        <f>-IFERROR('4. NPV'!GFZ23/'4. NPV'!GFZ$8,0)</f>
        <v>-0.0</v>
      </c>
      <c r="GFZ53" s="5">
        <f>-IFERROR('4. NPV'!GGA23/'4. NPV'!GGA$8,0)</f>
        <v>-0.0</v>
      </c>
      <c r="GGA53" s="5">
        <f>-IFERROR('4. NPV'!GGB23/'4. NPV'!GGB$8,0)</f>
        <v>-0.0</v>
      </c>
      <c r="GGB53" s="5">
        <f>-IFERROR('4. NPV'!GGC23/'4. NPV'!GGC$8,0)</f>
        <v>-0.0</v>
      </c>
      <c r="GGC53" s="5">
        <f>-IFERROR('4. NPV'!GGD23/'4. NPV'!GGD$8,0)</f>
        <v>-0.0</v>
      </c>
      <c r="GGD53" s="5">
        <f>-IFERROR('4. NPV'!GGE23/'4. NPV'!GGE$8,0)</f>
        <v>-0.0</v>
      </c>
      <c r="GGE53" s="5">
        <f>-IFERROR('4. NPV'!GGF23/'4. NPV'!GGF$8,0)</f>
        <v>-0.0</v>
      </c>
      <c r="GGF53" s="5">
        <f>-IFERROR('4. NPV'!GGG23/'4. NPV'!GGG$8,0)</f>
        <v>-0.0</v>
      </c>
      <c r="GGG53" s="5">
        <f>-IFERROR('4. NPV'!GGH23/'4. NPV'!GGH$8,0)</f>
        <v>-0.0</v>
      </c>
      <c r="GGH53" s="5">
        <f>-IFERROR('4. NPV'!GGI23/'4. NPV'!GGI$8,0)</f>
        <v>-0.0</v>
      </c>
      <c r="GGI53" s="5">
        <f>-IFERROR('4. NPV'!GGJ23/'4. NPV'!GGJ$8,0)</f>
        <v>-0.0</v>
      </c>
      <c r="GGJ53" s="5">
        <f>-IFERROR('4. NPV'!GGK23/'4. NPV'!GGK$8,0)</f>
        <v>-0.0</v>
      </c>
      <c r="GGK53" s="5">
        <f>-IFERROR('4. NPV'!GGL23/'4. NPV'!GGL$8,0)</f>
        <v>-0.0</v>
      </c>
      <c r="GGL53" s="5">
        <f>-IFERROR('4. NPV'!GGM23/'4. NPV'!GGM$8,0)</f>
        <v>-0.0</v>
      </c>
      <c r="GGM53" s="5">
        <f>-IFERROR('4. NPV'!GGN23/'4. NPV'!GGN$8,0)</f>
        <v>-0.0</v>
      </c>
      <c r="GGN53" s="5">
        <f>-IFERROR('4. NPV'!GGO23/'4. NPV'!GGO$8,0)</f>
        <v>-0.0</v>
      </c>
      <c r="GGO53" s="5">
        <f>-IFERROR('4. NPV'!GGP23/'4. NPV'!GGP$8,0)</f>
        <v>-0.0</v>
      </c>
      <c r="GGP53" s="5">
        <f>-IFERROR('4. NPV'!GGQ23/'4. NPV'!GGQ$8,0)</f>
        <v>-0.0</v>
      </c>
      <c r="GGQ53" s="5">
        <f>-IFERROR('4. NPV'!GGR23/'4. NPV'!GGR$8,0)</f>
        <v>-0.0</v>
      </c>
      <c r="GGR53" s="5">
        <f>-IFERROR('4. NPV'!GGS23/'4. NPV'!GGS$8,0)</f>
        <v>-0.0</v>
      </c>
      <c r="GGS53" s="5">
        <f>-IFERROR('4. NPV'!GGT23/'4. NPV'!GGT$8,0)</f>
        <v>-0.0</v>
      </c>
      <c r="GGT53" s="5">
        <f>-IFERROR('4. NPV'!GGU23/'4. NPV'!GGU$8,0)</f>
        <v>-0.0</v>
      </c>
      <c r="GGU53" s="5">
        <f>-IFERROR('4. NPV'!GGV23/'4. NPV'!GGV$8,0)</f>
        <v>-0.0</v>
      </c>
      <c r="GGV53" s="5">
        <f>-IFERROR('4. NPV'!GGW23/'4. NPV'!GGW$8,0)</f>
        <v>-0.0</v>
      </c>
      <c r="GGW53" s="5">
        <f>-IFERROR('4. NPV'!GGX23/'4. NPV'!GGX$8,0)</f>
        <v>-0.0</v>
      </c>
      <c r="GGX53" s="5">
        <f>-IFERROR('4. NPV'!GGY23/'4. NPV'!GGY$8,0)</f>
        <v>-0.0</v>
      </c>
      <c r="GGY53" s="5">
        <f>-IFERROR('4. NPV'!GGZ23/'4. NPV'!GGZ$8,0)</f>
        <v>-0.0</v>
      </c>
      <c r="GGZ53" s="5">
        <f>-IFERROR('4. NPV'!GHA23/'4. NPV'!GHA$8,0)</f>
        <v>-0.0</v>
      </c>
      <c r="GHA53" s="5">
        <f>-IFERROR('4. NPV'!GHB23/'4. NPV'!GHB$8,0)</f>
        <v>-0.0</v>
      </c>
      <c r="GHB53" s="5">
        <f>-IFERROR('4. NPV'!GHC23/'4. NPV'!GHC$8,0)</f>
        <v>-0.0</v>
      </c>
      <c r="GHC53" s="5">
        <f>-IFERROR('4. NPV'!GHD23/'4. NPV'!GHD$8,0)</f>
        <v>-0.0</v>
      </c>
      <c r="GHD53" s="5">
        <f>-IFERROR('4. NPV'!GHE23/'4. NPV'!GHE$8,0)</f>
        <v>-0.0</v>
      </c>
      <c r="GHE53" s="5">
        <f>-IFERROR('4. NPV'!GHF23/'4. NPV'!GHF$8,0)</f>
        <v>-0.0</v>
      </c>
      <c r="GHF53" s="5">
        <f>-IFERROR('4. NPV'!GHG23/'4. NPV'!GHG$8,0)</f>
        <v>-0.0</v>
      </c>
      <c r="GHG53" s="5">
        <f>-IFERROR('4. NPV'!GHH23/'4. NPV'!GHH$8,0)</f>
        <v>-0.0</v>
      </c>
      <c r="GHH53" s="5">
        <f>-IFERROR('4. NPV'!GHI23/'4. NPV'!GHI$8,0)</f>
        <v>-0.0</v>
      </c>
      <c r="GHI53" s="5">
        <f>-IFERROR('4. NPV'!GHJ23/'4. NPV'!GHJ$8,0)</f>
        <v>-0.0</v>
      </c>
      <c r="GHJ53" s="5">
        <f>-IFERROR('4. NPV'!GHK23/'4. NPV'!GHK$8,0)</f>
        <v>-0.0</v>
      </c>
      <c r="GHK53" s="5">
        <f>-IFERROR('4. NPV'!GHL23/'4. NPV'!GHL$8,0)</f>
        <v>-0.0</v>
      </c>
      <c r="GHL53" s="5">
        <f>-IFERROR('4. NPV'!GHM23/'4. NPV'!GHM$8,0)</f>
        <v>-0.0</v>
      </c>
      <c r="GHM53" s="5">
        <f>-IFERROR('4. NPV'!GHN23/'4. NPV'!GHN$8,0)</f>
        <v>-0.0</v>
      </c>
      <c r="GHN53" s="5">
        <f>-IFERROR('4. NPV'!GHO23/'4. NPV'!GHO$8,0)</f>
        <v>-0.0</v>
      </c>
      <c r="GHO53" s="5">
        <f>-IFERROR('4. NPV'!GHP23/'4. NPV'!GHP$8,0)</f>
        <v>-0.0</v>
      </c>
      <c r="GHP53" s="5">
        <f>-IFERROR('4. NPV'!GHQ23/'4. NPV'!GHQ$8,0)</f>
        <v>-0.0</v>
      </c>
      <c r="GHQ53" s="5">
        <f>-IFERROR('4. NPV'!GHR23/'4. NPV'!GHR$8,0)</f>
        <v>-0.0</v>
      </c>
      <c r="GHR53" s="5">
        <f>-IFERROR('4. NPV'!GHS23/'4. NPV'!GHS$8,0)</f>
        <v>-0.0</v>
      </c>
      <c r="GHS53" s="5">
        <f>-IFERROR('4. NPV'!GHT23/'4. NPV'!GHT$8,0)</f>
        <v>-0.0</v>
      </c>
      <c r="GHT53" s="5">
        <f>-IFERROR('4. NPV'!GHU23/'4. NPV'!GHU$8,0)</f>
        <v>-0.0</v>
      </c>
      <c r="GHU53" s="5">
        <f>-IFERROR('4. NPV'!GHV23/'4. NPV'!GHV$8,0)</f>
        <v>-0.0</v>
      </c>
      <c r="GHV53" s="5">
        <f>-IFERROR('4. NPV'!GHW23/'4. NPV'!GHW$8,0)</f>
        <v>-0.0</v>
      </c>
      <c r="GHW53" s="5">
        <f>-IFERROR('4. NPV'!GHX23/'4. NPV'!GHX$8,0)</f>
        <v>-0.0</v>
      </c>
      <c r="GHX53" s="5">
        <f>-IFERROR('4. NPV'!GHY23/'4. NPV'!GHY$8,0)</f>
        <v>-0.0</v>
      </c>
      <c r="GHY53" s="5">
        <f>-IFERROR('4. NPV'!GHZ23/'4. NPV'!GHZ$8,0)</f>
        <v>-0.0</v>
      </c>
      <c r="GHZ53" s="5">
        <f>-IFERROR('4. NPV'!GIA23/'4. NPV'!GIA$8,0)</f>
        <v>-0.0</v>
      </c>
      <c r="GIA53" s="5">
        <f>-IFERROR('4. NPV'!GIB23/'4. NPV'!GIB$8,0)</f>
        <v>-0.0</v>
      </c>
      <c r="GIB53" s="5">
        <f>-IFERROR('4. NPV'!GIC23/'4. NPV'!GIC$8,0)</f>
        <v>-0.0</v>
      </c>
      <c r="GIC53" s="5">
        <f>-IFERROR('4. NPV'!GID23/'4. NPV'!GID$8,0)</f>
        <v>-0.0</v>
      </c>
      <c r="GID53" s="5">
        <f>-IFERROR('4. NPV'!GIE23/'4. NPV'!GIE$8,0)</f>
        <v>-0.0</v>
      </c>
      <c r="GIE53" s="5">
        <f>-IFERROR('4. NPV'!GIF23/'4. NPV'!GIF$8,0)</f>
        <v>-0.0</v>
      </c>
      <c r="GIF53" s="5">
        <f>-IFERROR('4. NPV'!GIG23/'4. NPV'!GIG$8,0)</f>
        <v>-0.0</v>
      </c>
      <c r="GIG53" s="5">
        <f>-IFERROR('4. NPV'!GIH23/'4. NPV'!GIH$8,0)</f>
        <v>-0.0</v>
      </c>
      <c r="GIH53" s="5">
        <f>-IFERROR('4. NPV'!GII23/'4. NPV'!GII$8,0)</f>
        <v>-0.0</v>
      </c>
      <c r="GII53" s="5">
        <f>-IFERROR('4. NPV'!GIJ23/'4. NPV'!GIJ$8,0)</f>
        <v>-0.0</v>
      </c>
      <c r="GIJ53" s="5">
        <f>-IFERROR('4. NPV'!GIK23/'4. NPV'!GIK$8,0)</f>
        <v>-0.0</v>
      </c>
      <c r="GIK53" s="5">
        <f>-IFERROR('4. NPV'!GIL23/'4. NPV'!GIL$8,0)</f>
        <v>-0.0</v>
      </c>
      <c r="GIL53" s="5">
        <f>-IFERROR('4. NPV'!GIM23/'4. NPV'!GIM$8,0)</f>
        <v>-0.0</v>
      </c>
      <c r="GIM53" s="5">
        <f>-IFERROR('4. NPV'!GIN23/'4. NPV'!GIN$8,0)</f>
        <v>-0.0</v>
      </c>
      <c r="GIN53" s="5">
        <f>-IFERROR('4. NPV'!GIO23/'4. NPV'!GIO$8,0)</f>
        <v>-0.0</v>
      </c>
      <c r="GIO53" s="5">
        <f>-IFERROR('4. NPV'!GIP23/'4. NPV'!GIP$8,0)</f>
        <v>-0.0</v>
      </c>
      <c r="GIP53" s="5">
        <f>-IFERROR('4. NPV'!GIQ23/'4. NPV'!GIQ$8,0)</f>
        <v>-0.0</v>
      </c>
      <c r="GIQ53" s="5">
        <f>-IFERROR('4. NPV'!GIR23/'4. NPV'!GIR$8,0)</f>
        <v>-0.0</v>
      </c>
      <c r="GIR53" s="5">
        <f>-IFERROR('4. NPV'!GIS23/'4. NPV'!GIS$8,0)</f>
        <v>-0.0</v>
      </c>
      <c r="GIS53" s="5">
        <f>-IFERROR('4. NPV'!GIT23/'4. NPV'!GIT$8,0)</f>
        <v>-0.0</v>
      </c>
      <c r="GIT53" s="5">
        <f>-IFERROR('4. NPV'!GIU23/'4. NPV'!GIU$8,0)</f>
        <v>-0.0</v>
      </c>
      <c r="GIU53" s="5">
        <f>-IFERROR('4. NPV'!GIV23/'4. NPV'!GIV$8,0)</f>
        <v>-0.0</v>
      </c>
      <c r="GIV53" s="5">
        <f>-IFERROR('4. NPV'!GIW23/'4. NPV'!GIW$8,0)</f>
        <v>-0.0</v>
      </c>
      <c r="GIW53" s="5">
        <f>-IFERROR('4. NPV'!GIX23/'4. NPV'!GIX$8,0)</f>
        <v>-0.0</v>
      </c>
      <c r="GIX53" s="5">
        <f>-IFERROR('4. NPV'!GIY23/'4. NPV'!GIY$8,0)</f>
        <v>-0.0</v>
      </c>
      <c r="GIY53" s="5">
        <f>-IFERROR('4. NPV'!GIZ23/'4. NPV'!GIZ$8,0)</f>
        <v>-0.0</v>
      </c>
      <c r="GIZ53" s="5">
        <f>-IFERROR('4. NPV'!GJA23/'4. NPV'!GJA$8,0)</f>
        <v>-0.0</v>
      </c>
      <c r="GJA53" s="5">
        <f>-IFERROR('4. NPV'!GJB23/'4. NPV'!GJB$8,0)</f>
        <v>-0.0</v>
      </c>
      <c r="GJB53" s="5">
        <f>-IFERROR('4. NPV'!GJC23/'4. NPV'!GJC$8,0)</f>
        <v>-0.0</v>
      </c>
      <c r="GJC53" s="5">
        <f>-IFERROR('4. NPV'!GJD23/'4. NPV'!GJD$8,0)</f>
        <v>-0.0</v>
      </c>
      <c r="GJD53" s="5">
        <f>-IFERROR('4. NPV'!GJE23/'4. NPV'!GJE$8,0)</f>
        <v>-0.0</v>
      </c>
      <c r="GJE53" s="5">
        <f>-IFERROR('4. NPV'!GJF23/'4. NPV'!GJF$8,0)</f>
        <v>-0.0</v>
      </c>
      <c r="GJF53" s="5">
        <f>-IFERROR('4. NPV'!GJG23/'4. NPV'!GJG$8,0)</f>
        <v>-0.0</v>
      </c>
      <c r="GJG53" s="5">
        <f>-IFERROR('4. NPV'!GJH23/'4. NPV'!GJH$8,0)</f>
        <v>-0.0</v>
      </c>
      <c r="GJH53" s="5">
        <f>-IFERROR('4. NPV'!GJI23/'4. NPV'!GJI$8,0)</f>
        <v>-0.0</v>
      </c>
      <c r="GJI53" s="5">
        <f>-IFERROR('4. NPV'!GJJ23/'4. NPV'!GJJ$8,0)</f>
        <v>-0.0</v>
      </c>
      <c r="GJJ53" s="5">
        <f>-IFERROR('4. NPV'!GJK23/'4. NPV'!GJK$8,0)</f>
        <v>-0.0</v>
      </c>
      <c r="GJK53" s="5">
        <f>-IFERROR('4. NPV'!GJL23/'4. NPV'!GJL$8,0)</f>
        <v>-0.0</v>
      </c>
      <c r="GJL53" s="5">
        <f>-IFERROR('4. NPV'!GJM23/'4. NPV'!GJM$8,0)</f>
        <v>-0.0</v>
      </c>
      <c r="GJM53" s="5">
        <f>-IFERROR('4. NPV'!GJN23/'4. NPV'!GJN$8,0)</f>
        <v>-0.0</v>
      </c>
      <c r="GJN53" s="5">
        <f>-IFERROR('4. NPV'!GJO23/'4. NPV'!GJO$8,0)</f>
        <v>-0.0</v>
      </c>
      <c r="GJO53" s="5">
        <f>-IFERROR('4. NPV'!GJP23/'4. NPV'!GJP$8,0)</f>
        <v>-0.0</v>
      </c>
      <c r="GJP53" s="5">
        <f>-IFERROR('4. NPV'!GJQ23/'4. NPV'!GJQ$8,0)</f>
        <v>-0.0</v>
      </c>
      <c r="GJQ53" s="5">
        <f>-IFERROR('4. NPV'!GJR23/'4. NPV'!GJR$8,0)</f>
        <v>-0.0</v>
      </c>
      <c r="GJR53" s="5">
        <f>-IFERROR('4. NPV'!GJS23/'4. NPV'!GJS$8,0)</f>
        <v>-0.0</v>
      </c>
      <c r="GJS53" s="5">
        <f>-IFERROR('4. NPV'!GJT23/'4. NPV'!GJT$8,0)</f>
        <v>-0.0</v>
      </c>
      <c r="GJT53" s="5">
        <f>-IFERROR('4. NPV'!GJU23/'4. NPV'!GJU$8,0)</f>
        <v>-0.0</v>
      </c>
      <c r="GJU53" s="5">
        <f>-IFERROR('4. NPV'!GJV23/'4. NPV'!GJV$8,0)</f>
        <v>-0.0</v>
      </c>
      <c r="GJV53" s="5">
        <f>-IFERROR('4. NPV'!GJW23/'4. NPV'!GJW$8,0)</f>
        <v>-0.0</v>
      </c>
      <c r="GJW53" s="5">
        <f>-IFERROR('4. NPV'!GJX23/'4. NPV'!GJX$8,0)</f>
        <v>-0.0</v>
      </c>
      <c r="GJX53" s="5">
        <f>-IFERROR('4. NPV'!GJY23/'4. NPV'!GJY$8,0)</f>
        <v>-0.0</v>
      </c>
      <c r="GJY53" s="5">
        <f>-IFERROR('4. NPV'!GJZ23/'4. NPV'!GJZ$8,0)</f>
        <v>-0.0</v>
      </c>
      <c r="GJZ53" s="5">
        <f>-IFERROR('4. NPV'!GKA23/'4. NPV'!GKA$8,0)</f>
        <v>-0.0</v>
      </c>
      <c r="GKA53" s="5">
        <f>-IFERROR('4. NPV'!GKB23/'4. NPV'!GKB$8,0)</f>
        <v>-0.0</v>
      </c>
      <c r="GKB53" s="5">
        <f>-IFERROR('4. NPV'!GKC23/'4. NPV'!GKC$8,0)</f>
        <v>-0.0</v>
      </c>
      <c r="GKC53" s="5">
        <f>-IFERROR('4. NPV'!GKD23/'4. NPV'!GKD$8,0)</f>
        <v>-0.0</v>
      </c>
      <c r="GKD53" s="5">
        <f>-IFERROR('4. NPV'!GKE23/'4. NPV'!GKE$8,0)</f>
        <v>-0.0</v>
      </c>
      <c r="GKE53" s="5">
        <f>-IFERROR('4. NPV'!GKF23/'4. NPV'!GKF$8,0)</f>
        <v>-0.0</v>
      </c>
      <c r="GKF53" s="5">
        <f>-IFERROR('4. NPV'!GKG23/'4. NPV'!GKG$8,0)</f>
        <v>-0.0</v>
      </c>
      <c r="GKG53" s="5">
        <f>-IFERROR('4. NPV'!GKH23/'4. NPV'!GKH$8,0)</f>
        <v>-0.0</v>
      </c>
      <c r="GKH53" s="5">
        <f>-IFERROR('4. NPV'!GKI23/'4. NPV'!GKI$8,0)</f>
        <v>-0.0</v>
      </c>
      <c r="GKI53" s="5">
        <f>-IFERROR('4. NPV'!GKJ23/'4. NPV'!GKJ$8,0)</f>
        <v>-0.0</v>
      </c>
      <c r="GKJ53" s="5">
        <f>-IFERROR('4. NPV'!GKK23/'4. NPV'!GKK$8,0)</f>
        <v>-0.0</v>
      </c>
      <c r="GKK53" s="5">
        <f>-IFERROR('4. NPV'!GKL23/'4. NPV'!GKL$8,0)</f>
        <v>-0.0</v>
      </c>
      <c r="GKL53" s="5">
        <f>-IFERROR('4. NPV'!GKM23/'4. NPV'!GKM$8,0)</f>
        <v>-0.0</v>
      </c>
      <c r="GKM53" s="5">
        <f>-IFERROR('4. NPV'!GKN23/'4. NPV'!GKN$8,0)</f>
        <v>-0.0</v>
      </c>
      <c r="GKN53" s="5">
        <f>-IFERROR('4. NPV'!GKO23/'4. NPV'!GKO$8,0)</f>
        <v>-0.0</v>
      </c>
      <c r="GKO53" s="5">
        <f>-IFERROR('4. NPV'!GKP23/'4. NPV'!GKP$8,0)</f>
        <v>-0.0</v>
      </c>
      <c r="GKP53" s="5">
        <f>-IFERROR('4. NPV'!GKQ23/'4. NPV'!GKQ$8,0)</f>
        <v>-0.0</v>
      </c>
      <c r="GKQ53" s="5">
        <f>-IFERROR('4. NPV'!GKR23/'4. NPV'!GKR$8,0)</f>
        <v>-0.0</v>
      </c>
      <c r="GKR53" s="5">
        <f>-IFERROR('4. NPV'!GKS23/'4. NPV'!GKS$8,0)</f>
        <v>-0.0</v>
      </c>
      <c r="GKS53" s="5">
        <f>-IFERROR('4. NPV'!GKT23/'4. NPV'!GKT$8,0)</f>
        <v>-0.0</v>
      </c>
      <c r="GKT53" s="5">
        <f>-IFERROR('4. NPV'!GKU23/'4. NPV'!GKU$8,0)</f>
        <v>-0.0</v>
      </c>
      <c r="GKU53" s="5">
        <f>-IFERROR('4. NPV'!GKV23/'4. NPV'!GKV$8,0)</f>
        <v>-0.0</v>
      </c>
      <c r="GKV53" s="5">
        <f>-IFERROR('4. NPV'!GKW23/'4. NPV'!GKW$8,0)</f>
        <v>-0.0</v>
      </c>
      <c r="GKW53" s="5">
        <f>-IFERROR('4. NPV'!GKX23/'4. NPV'!GKX$8,0)</f>
        <v>-0.0</v>
      </c>
      <c r="GKX53" s="5">
        <f>-IFERROR('4. NPV'!GKY23/'4. NPV'!GKY$8,0)</f>
        <v>-0.0</v>
      </c>
      <c r="GKY53" s="5">
        <f>-IFERROR('4. NPV'!GKZ23/'4. NPV'!GKZ$8,0)</f>
        <v>-0.0</v>
      </c>
      <c r="GKZ53" s="5">
        <f>-IFERROR('4. NPV'!GLA23/'4. NPV'!GLA$8,0)</f>
        <v>-0.0</v>
      </c>
      <c r="GLA53" s="5">
        <f>-IFERROR('4. NPV'!GLB23/'4. NPV'!GLB$8,0)</f>
        <v>-0.0</v>
      </c>
      <c r="GLB53" s="5">
        <f>-IFERROR('4. NPV'!GLC23/'4. NPV'!GLC$8,0)</f>
        <v>-0.0</v>
      </c>
      <c r="GLC53" s="5">
        <f>-IFERROR('4. NPV'!GLD23/'4. NPV'!GLD$8,0)</f>
        <v>-0.0</v>
      </c>
      <c r="GLD53" s="5">
        <f>-IFERROR('4. NPV'!GLE23/'4. NPV'!GLE$8,0)</f>
        <v>-0.0</v>
      </c>
      <c r="GLE53" s="5">
        <f>-IFERROR('4. NPV'!GLF23/'4. NPV'!GLF$8,0)</f>
        <v>-0.0</v>
      </c>
      <c r="GLF53" s="5">
        <f>-IFERROR('4. NPV'!GLG23/'4. NPV'!GLG$8,0)</f>
        <v>-0.0</v>
      </c>
      <c r="GLG53" s="5">
        <f>-IFERROR('4. NPV'!GLH23/'4. NPV'!GLH$8,0)</f>
        <v>-0.0</v>
      </c>
      <c r="GLH53" s="5">
        <f>-IFERROR('4. NPV'!GLI23/'4. NPV'!GLI$8,0)</f>
        <v>-0.0</v>
      </c>
      <c r="GLI53" s="5">
        <f>-IFERROR('4. NPV'!GLJ23/'4. NPV'!GLJ$8,0)</f>
        <v>-0.0</v>
      </c>
      <c r="GLJ53" s="5">
        <f>-IFERROR('4. NPV'!GLK23/'4. NPV'!GLK$8,0)</f>
        <v>-0.0</v>
      </c>
      <c r="GLK53" s="5">
        <f>-IFERROR('4. NPV'!GLL23/'4. NPV'!GLL$8,0)</f>
        <v>-0.0</v>
      </c>
      <c r="GLL53" s="5">
        <f>-IFERROR('4. NPV'!GLM23/'4. NPV'!GLM$8,0)</f>
        <v>-0.0</v>
      </c>
      <c r="GLM53" s="5">
        <f>-IFERROR('4. NPV'!GLN23/'4. NPV'!GLN$8,0)</f>
        <v>-0.0</v>
      </c>
      <c r="GLN53" s="5">
        <f>-IFERROR('4. NPV'!GLO23/'4. NPV'!GLO$8,0)</f>
        <v>-0.0</v>
      </c>
      <c r="GLO53" s="5">
        <f>-IFERROR('4. NPV'!GLP23/'4. NPV'!GLP$8,0)</f>
        <v>-0.0</v>
      </c>
      <c r="GLP53" s="5">
        <f>-IFERROR('4. NPV'!GLQ23/'4. NPV'!GLQ$8,0)</f>
        <v>-0.0</v>
      </c>
      <c r="GLQ53" s="5">
        <f>-IFERROR('4. NPV'!GLR23/'4. NPV'!GLR$8,0)</f>
        <v>-0.0</v>
      </c>
      <c r="GLR53" s="5">
        <f>-IFERROR('4. NPV'!GLS23/'4. NPV'!GLS$8,0)</f>
        <v>-0.0</v>
      </c>
      <c r="GLS53" s="5">
        <f>-IFERROR('4. NPV'!GLT23/'4. NPV'!GLT$8,0)</f>
        <v>-0.0</v>
      </c>
      <c r="GLT53" s="5">
        <f>-IFERROR('4. NPV'!GLU23/'4. NPV'!GLU$8,0)</f>
        <v>-0.0</v>
      </c>
      <c r="GLU53" s="5">
        <f>-IFERROR('4. NPV'!GLV23/'4. NPV'!GLV$8,0)</f>
        <v>-0.0</v>
      </c>
      <c r="GLV53" s="5">
        <f>-IFERROR('4. NPV'!GLW23/'4. NPV'!GLW$8,0)</f>
        <v>-0.0</v>
      </c>
      <c r="GLW53" s="5">
        <f>-IFERROR('4. NPV'!GLX23/'4. NPV'!GLX$8,0)</f>
        <v>-0.0</v>
      </c>
      <c r="GLX53" s="5">
        <f>-IFERROR('4. NPV'!GLY23/'4. NPV'!GLY$8,0)</f>
        <v>-0.0</v>
      </c>
      <c r="GLY53" s="5">
        <f>-IFERROR('4. NPV'!GLZ23/'4. NPV'!GLZ$8,0)</f>
        <v>-0.0</v>
      </c>
      <c r="GLZ53" s="5">
        <f>-IFERROR('4. NPV'!GMA23/'4. NPV'!GMA$8,0)</f>
        <v>-0.0</v>
      </c>
      <c r="GMA53" s="5">
        <f>-IFERROR('4. NPV'!GMB23/'4. NPV'!GMB$8,0)</f>
        <v>-0.0</v>
      </c>
      <c r="GMB53" s="5">
        <f>-IFERROR('4. NPV'!GMC23/'4. NPV'!GMC$8,0)</f>
        <v>-0.0</v>
      </c>
      <c r="GMC53" s="5">
        <f>-IFERROR('4. NPV'!GMD23/'4. NPV'!GMD$8,0)</f>
        <v>-0.0</v>
      </c>
      <c r="GMD53" s="5">
        <f>-IFERROR('4. NPV'!GME23/'4. NPV'!GME$8,0)</f>
        <v>-0.0</v>
      </c>
      <c r="GME53" s="5">
        <f>-IFERROR('4. NPV'!GMF23/'4. NPV'!GMF$8,0)</f>
        <v>-0.0</v>
      </c>
      <c r="GMF53" s="5">
        <f>-IFERROR('4. NPV'!GMG23/'4. NPV'!GMG$8,0)</f>
        <v>-0.0</v>
      </c>
      <c r="GMG53" s="5">
        <f>-IFERROR('4. NPV'!GMH23/'4. NPV'!GMH$8,0)</f>
        <v>-0.0</v>
      </c>
      <c r="GMH53" s="5">
        <f>-IFERROR('4. NPV'!GMI23/'4. NPV'!GMI$8,0)</f>
        <v>-0.0</v>
      </c>
      <c r="GMI53" s="5">
        <f>-IFERROR('4. NPV'!GMJ23/'4. NPV'!GMJ$8,0)</f>
        <v>-0.0</v>
      </c>
      <c r="GMJ53" s="5">
        <f>-IFERROR('4. NPV'!GMK23/'4. NPV'!GMK$8,0)</f>
        <v>-0.0</v>
      </c>
      <c r="GMK53" s="5">
        <f>-IFERROR('4. NPV'!GML23/'4. NPV'!GML$8,0)</f>
        <v>-0.0</v>
      </c>
      <c r="GML53" s="5">
        <f>-IFERROR('4. NPV'!GMM23/'4. NPV'!GMM$8,0)</f>
        <v>-0.0</v>
      </c>
      <c r="GMM53" s="5">
        <f>-IFERROR('4. NPV'!GMN23/'4. NPV'!GMN$8,0)</f>
        <v>-0.0</v>
      </c>
      <c r="GMN53" s="5">
        <f>-IFERROR('4. NPV'!GMO23/'4. NPV'!GMO$8,0)</f>
        <v>-0.0</v>
      </c>
      <c r="GMO53" s="5">
        <f>-IFERROR('4. NPV'!GMP23/'4. NPV'!GMP$8,0)</f>
        <v>-0.0</v>
      </c>
      <c r="GMP53" s="5">
        <f>-IFERROR('4. NPV'!GMQ23/'4. NPV'!GMQ$8,0)</f>
        <v>-0.0</v>
      </c>
      <c r="GMQ53" s="5">
        <f>-IFERROR('4. NPV'!GMR23/'4. NPV'!GMR$8,0)</f>
        <v>-0.0</v>
      </c>
      <c r="GMR53" s="5">
        <f>-IFERROR('4. NPV'!GMS23/'4. NPV'!GMS$8,0)</f>
        <v>-0.0</v>
      </c>
      <c r="GMS53" s="5">
        <f>-IFERROR('4. NPV'!GMT23/'4. NPV'!GMT$8,0)</f>
        <v>-0.0</v>
      </c>
      <c r="GMT53" s="5">
        <f>-IFERROR('4. NPV'!GMU23/'4. NPV'!GMU$8,0)</f>
        <v>-0.0</v>
      </c>
      <c r="GMU53" s="5">
        <f>-IFERROR('4. NPV'!GMV23/'4. NPV'!GMV$8,0)</f>
        <v>-0.0</v>
      </c>
      <c r="GMV53" s="5">
        <f>-IFERROR('4. NPV'!GMW23/'4. NPV'!GMW$8,0)</f>
        <v>-0.0</v>
      </c>
      <c r="GMW53" s="5">
        <f>-IFERROR('4. NPV'!GMX23/'4. NPV'!GMX$8,0)</f>
        <v>-0.0</v>
      </c>
      <c r="GMX53" s="5">
        <f>-IFERROR('4. NPV'!GMY23/'4. NPV'!GMY$8,0)</f>
        <v>-0.0</v>
      </c>
      <c r="GMY53" s="5">
        <f>-IFERROR('4. NPV'!GMZ23/'4. NPV'!GMZ$8,0)</f>
        <v>-0.0</v>
      </c>
      <c r="GMZ53" s="5">
        <f>-IFERROR('4. NPV'!GNA23/'4. NPV'!GNA$8,0)</f>
        <v>-0.0</v>
      </c>
      <c r="GNA53" s="5">
        <f>-IFERROR('4. NPV'!GNB23/'4. NPV'!GNB$8,0)</f>
        <v>-0.0</v>
      </c>
      <c r="GNB53" s="5">
        <f>-IFERROR('4. NPV'!GNC23/'4. NPV'!GNC$8,0)</f>
        <v>-0.0</v>
      </c>
      <c r="GNC53" s="5">
        <f>-IFERROR('4. NPV'!GND23/'4. NPV'!GND$8,0)</f>
        <v>-0.0</v>
      </c>
      <c r="GND53" s="5">
        <f>-IFERROR('4. NPV'!GNE23/'4. NPV'!GNE$8,0)</f>
        <v>-0.0</v>
      </c>
      <c r="GNE53" s="5">
        <f>-IFERROR('4. NPV'!GNF23/'4. NPV'!GNF$8,0)</f>
        <v>-0.0</v>
      </c>
      <c r="GNF53" s="5">
        <f>-IFERROR('4. NPV'!GNG23/'4. NPV'!GNG$8,0)</f>
        <v>-0.0</v>
      </c>
      <c r="GNG53" s="5">
        <f>-IFERROR('4. NPV'!GNH23/'4. NPV'!GNH$8,0)</f>
        <v>-0.0</v>
      </c>
      <c r="GNH53" s="5">
        <f>-IFERROR('4. NPV'!GNI23/'4. NPV'!GNI$8,0)</f>
        <v>-0.0</v>
      </c>
      <c r="GNI53" s="5">
        <f>-IFERROR('4. NPV'!GNJ23/'4. NPV'!GNJ$8,0)</f>
        <v>-0.0</v>
      </c>
      <c r="GNJ53" s="5">
        <f>-IFERROR('4. NPV'!GNK23/'4. NPV'!GNK$8,0)</f>
        <v>-0.0</v>
      </c>
      <c r="GNK53" s="5">
        <f>-IFERROR('4. NPV'!GNL23/'4. NPV'!GNL$8,0)</f>
        <v>-0.0</v>
      </c>
      <c r="GNL53" s="5">
        <f>-IFERROR('4. NPV'!GNM23/'4. NPV'!GNM$8,0)</f>
        <v>-0.0</v>
      </c>
      <c r="GNM53" s="5">
        <f>-IFERROR('4. NPV'!GNN23/'4. NPV'!GNN$8,0)</f>
        <v>-0.0</v>
      </c>
      <c r="GNN53" s="5">
        <f>-IFERROR('4. NPV'!GNO23/'4. NPV'!GNO$8,0)</f>
        <v>-0.0</v>
      </c>
      <c r="GNO53" s="5">
        <f>-IFERROR('4. NPV'!GNP23/'4. NPV'!GNP$8,0)</f>
        <v>-0.0</v>
      </c>
      <c r="GNP53" s="5">
        <f>-IFERROR('4. NPV'!GNQ23/'4. NPV'!GNQ$8,0)</f>
        <v>-0.0</v>
      </c>
      <c r="GNQ53" s="5">
        <f>-IFERROR('4. NPV'!GNR23/'4. NPV'!GNR$8,0)</f>
        <v>-0.0</v>
      </c>
      <c r="GNR53" s="5">
        <f>-IFERROR('4. NPV'!GNS23/'4. NPV'!GNS$8,0)</f>
        <v>-0.0</v>
      </c>
      <c r="GNS53" s="5">
        <f>-IFERROR('4. NPV'!GNT23/'4. NPV'!GNT$8,0)</f>
        <v>-0.0</v>
      </c>
      <c r="GNT53" s="5">
        <f>-IFERROR('4. NPV'!GNU23/'4. NPV'!GNU$8,0)</f>
        <v>-0.0</v>
      </c>
      <c r="GNU53" s="5">
        <f>-IFERROR('4. NPV'!GNV23/'4. NPV'!GNV$8,0)</f>
        <v>-0.0</v>
      </c>
      <c r="GNV53" s="5">
        <f>-IFERROR('4. NPV'!GNW23/'4. NPV'!GNW$8,0)</f>
        <v>-0.0</v>
      </c>
      <c r="GNW53" s="5">
        <f>-IFERROR('4. NPV'!GNX23/'4. NPV'!GNX$8,0)</f>
        <v>-0.0</v>
      </c>
      <c r="GNX53" s="5">
        <f>-IFERROR('4. NPV'!GNY23/'4. NPV'!GNY$8,0)</f>
        <v>-0.0</v>
      </c>
      <c r="GNY53" s="5">
        <f>-IFERROR('4. NPV'!GNZ23/'4. NPV'!GNZ$8,0)</f>
        <v>-0.0</v>
      </c>
      <c r="GNZ53" s="5">
        <f>-IFERROR('4. NPV'!GOA23/'4. NPV'!GOA$8,0)</f>
        <v>-0.0</v>
      </c>
      <c r="GOA53" s="5">
        <f>-IFERROR('4. NPV'!GOB23/'4. NPV'!GOB$8,0)</f>
        <v>-0.0</v>
      </c>
      <c r="GOB53" s="5">
        <f>-IFERROR('4. NPV'!GOC23/'4. NPV'!GOC$8,0)</f>
        <v>-0.0</v>
      </c>
      <c r="GOC53" s="5">
        <f>-IFERROR('4. NPV'!GOD23/'4. NPV'!GOD$8,0)</f>
        <v>-0.0</v>
      </c>
      <c r="GOD53" s="5">
        <f>-IFERROR('4. NPV'!GOE23/'4. NPV'!GOE$8,0)</f>
        <v>-0.0</v>
      </c>
      <c r="GOE53" s="5">
        <f>-IFERROR('4. NPV'!GOF23/'4. NPV'!GOF$8,0)</f>
        <v>-0.0</v>
      </c>
      <c r="GOF53" s="5">
        <f>-IFERROR('4. NPV'!GOG23/'4. NPV'!GOG$8,0)</f>
        <v>-0.0</v>
      </c>
      <c r="GOG53" s="5">
        <f>-IFERROR('4. NPV'!GOH23/'4. NPV'!GOH$8,0)</f>
        <v>-0.0</v>
      </c>
      <c r="GOH53" s="5">
        <f>-IFERROR('4. NPV'!GOI23/'4. NPV'!GOI$8,0)</f>
        <v>-0.0</v>
      </c>
      <c r="GOI53" s="5">
        <f>-IFERROR('4. NPV'!GOJ23/'4. NPV'!GOJ$8,0)</f>
        <v>-0.0</v>
      </c>
      <c r="GOJ53" s="5">
        <f>-IFERROR('4. NPV'!GOK23/'4. NPV'!GOK$8,0)</f>
        <v>-0.0</v>
      </c>
      <c r="GOK53" s="5">
        <f>-IFERROR('4. NPV'!GOL23/'4. NPV'!GOL$8,0)</f>
        <v>-0.0</v>
      </c>
      <c r="GOL53" s="5">
        <f>-IFERROR('4. NPV'!GOM23/'4. NPV'!GOM$8,0)</f>
        <v>-0.0</v>
      </c>
      <c r="GOM53" s="5">
        <f>-IFERROR('4. NPV'!GON23/'4. NPV'!GON$8,0)</f>
        <v>-0.0</v>
      </c>
      <c r="GON53" s="5">
        <f>-IFERROR('4. NPV'!GOO23/'4. NPV'!GOO$8,0)</f>
        <v>-0.0</v>
      </c>
      <c r="GOO53" s="5">
        <f>-IFERROR('4. NPV'!GOP23/'4. NPV'!GOP$8,0)</f>
        <v>-0.0</v>
      </c>
      <c r="GOP53" s="5">
        <f>-IFERROR('4. NPV'!GOQ23/'4. NPV'!GOQ$8,0)</f>
        <v>-0.0</v>
      </c>
      <c r="GOQ53" s="5">
        <f>-IFERROR('4. NPV'!GOR23/'4. NPV'!GOR$8,0)</f>
        <v>-0.0</v>
      </c>
      <c r="GOR53" s="5">
        <f>-IFERROR('4. NPV'!GOS23/'4. NPV'!GOS$8,0)</f>
        <v>-0.0</v>
      </c>
      <c r="GOS53" s="5">
        <f>-IFERROR('4. NPV'!GOT23/'4. NPV'!GOT$8,0)</f>
        <v>-0.0</v>
      </c>
      <c r="GOT53" s="5">
        <f>-IFERROR('4. NPV'!GOU23/'4. NPV'!GOU$8,0)</f>
        <v>-0.0</v>
      </c>
      <c r="GOU53" s="5">
        <f>-IFERROR('4. NPV'!GOV23/'4. NPV'!GOV$8,0)</f>
        <v>-0.0</v>
      </c>
      <c r="GOV53" s="5">
        <f>-IFERROR('4. NPV'!GOW23/'4. NPV'!GOW$8,0)</f>
        <v>-0.0</v>
      </c>
      <c r="GOW53" s="5">
        <f>-IFERROR('4. NPV'!GOX23/'4. NPV'!GOX$8,0)</f>
        <v>-0.0</v>
      </c>
      <c r="GOX53" s="5">
        <f>-IFERROR('4. NPV'!GOY23/'4. NPV'!GOY$8,0)</f>
        <v>-0.0</v>
      </c>
      <c r="GOY53" s="5">
        <f>-IFERROR('4. NPV'!GOZ23/'4. NPV'!GOZ$8,0)</f>
        <v>-0.0</v>
      </c>
      <c r="GOZ53" s="5">
        <f>-IFERROR('4. NPV'!GPA23/'4. NPV'!GPA$8,0)</f>
        <v>-0.0</v>
      </c>
      <c r="GPA53" s="5">
        <f>-IFERROR('4. NPV'!GPB23/'4. NPV'!GPB$8,0)</f>
        <v>-0.0</v>
      </c>
      <c r="GPB53" s="5">
        <f>-IFERROR('4. NPV'!GPC23/'4. NPV'!GPC$8,0)</f>
        <v>-0.0</v>
      </c>
      <c r="GPC53" s="5">
        <f>-IFERROR('4. NPV'!GPD23/'4. NPV'!GPD$8,0)</f>
        <v>-0.0</v>
      </c>
      <c r="GPD53" s="5">
        <f>-IFERROR('4. NPV'!GPE23/'4. NPV'!GPE$8,0)</f>
        <v>-0.0</v>
      </c>
      <c r="GPE53" s="5">
        <f>-IFERROR('4. NPV'!GPF23/'4. NPV'!GPF$8,0)</f>
        <v>-0.0</v>
      </c>
      <c r="GPF53" s="5">
        <f>-IFERROR('4. NPV'!GPG23/'4. NPV'!GPG$8,0)</f>
        <v>-0.0</v>
      </c>
      <c r="GPG53" s="5">
        <f>-IFERROR('4. NPV'!GPH23/'4. NPV'!GPH$8,0)</f>
        <v>-0.0</v>
      </c>
      <c r="GPH53" s="5">
        <f>-IFERROR('4. NPV'!GPI23/'4. NPV'!GPI$8,0)</f>
        <v>-0.0</v>
      </c>
      <c r="GPI53" s="5">
        <f>-IFERROR('4. NPV'!GPJ23/'4. NPV'!GPJ$8,0)</f>
        <v>-0.0</v>
      </c>
      <c r="GPJ53" s="5">
        <f>-IFERROR('4. NPV'!GPK23/'4. NPV'!GPK$8,0)</f>
        <v>-0.0</v>
      </c>
      <c r="GPK53" s="5">
        <f>-IFERROR('4. NPV'!GPL23/'4. NPV'!GPL$8,0)</f>
        <v>-0.0</v>
      </c>
      <c r="GPL53" s="5">
        <f>-IFERROR('4. NPV'!GPM23/'4. NPV'!GPM$8,0)</f>
        <v>-0.0</v>
      </c>
      <c r="GPM53" s="5">
        <f>-IFERROR('4. NPV'!GPN23/'4. NPV'!GPN$8,0)</f>
        <v>-0.0</v>
      </c>
      <c r="GPN53" s="5">
        <f>-IFERROR('4. NPV'!GPO23/'4. NPV'!GPO$8,0)</f>
        <v>-0.0</v>
      </c>
      <c r="GPO53" s="5">
        <f>-IFERROR('4. NPV'!GPP23/'4. NPV'!GPP$8,0)</f>
        <v>-0.0</v>
      </c>
      <c r="GPP53" s="5">
        <f>-IFERROR('4. NPV'!GPQ23/'4. NPV'!GPQ$8,0)</f>
        <v>-0.0</v>
      </c>
      <c r="GPQ53" s="5">
        <f>-IFERROR('4. NPV'!GPR23/'4. NPV'!GPR$8,0)</f>
        <v>-0.0</v>
      </c>
      <c r="GPR53" s="5">
        <f>-IFERROR('4. NPV'!GPS23/'4. NPV'!GPS$8,0)</f>
        <v>-0.0</v>
      </c>
      <c r="GPS53" s="5">
        <f>-IFERROR('4. NPV'!GPT23/'4. NPV'!GPT$8,0)</f>
        <v>-0.0</v>
      </c>
      <c r="GPT53" s="5">
        <f>-IFERROR('4. NPV'!GPU23/'4. NPV'!GPU$8,0)</f>
        <v>-0.0</v>
      </c>
      <c r="GPU53" s="5">
        <f>-IFERROR('4. NPV'!GPV23/'4. NPV'!GPV$8,0)</f>
        <v>-0.0</v>
      </c>
      <c r="GPV53" s="5">
        <f>-IFERROR('4. NPV'!GPW23/'4. NPV'!GPW$8,0)</f>
        <v>-0.0</v>
      </c>
      <c r="GPW53" s="5">
        <f>-IFERROR('4. NPV'!GPX23/'4. NPV'!GPX$8,0)</f>
        <v>-0.0</v>
      </c>
      <c r="GPX53" s="5">
        <f>-IFERROR('4. NPV'!GPY23/'4. NPV'!GPY$8,0)</f>
        <v>-0.0</v>
      </c>
      <c r="GPY53" s="5">
        <f>-IFERROR('4. NPV'!GPZ23/'4. NPV'!GPZ$8,0)</f>
        <v>-0.0</v>
      </c>
      <c r="GPZ53" s="5">
        <f>-IFERROR('4. NPV'!GQA23/'4. NPV'!GQA$8,0)</f>
        <v>-0.0</v>
      </c>
      <c r="GQA53" s="5">
        <f>-IFERROR('4. NPV'!GQB23/'4. NPV'!GQB$8,0)</f>
        <v>-0.0</v>
      </c>
      <c r="GQB53" s="5">
        <f>-IFERROR('4. NPV'!GQC23/'4. NPV'!GQC$8,0)</f>
        <v>-0.0</v>
      </c>
      <c r="GQC53" s="5">
        <f>-IFERROR('4. NPV'!GQD23/'4. NPV'!GQD$8,0)</f>
        <v>-0.0</v>
      </c>
      <c r="GQD53" s="5">
        <f>-IFERROR('4. NPV'!GQE23/'4. NPV'!GQE$8,0)</f>
        <v>-0.0</v>
      </c>
      <c r="GQE53" s="5">
        <f>-IFERROR('4. NPV'!GQF23/'4. NPV'!GQF$8,0)</f>
        <v>-0.0</v>
      </c>
      <c r="GQF53" s="5">
        <f>-IFERROR('4. NPV'!GQG23/'4. NPV'!GQG$8,0)</f>
        <v>-0.0</v>
      </c>
      <c r="GQG53" s="5">
        <f>-IFERROR('4. NPV'!GQH23/'4. NPV'!GQH$8,0)</f>
        <v>-0.0</v>
      </c>
      <c r="GQH53" s="5">
        <f>-IFERROR('4. NPV'!GQI23/'4. NPV'!GQI$8,0)</f>
        <v>-0.0</v>
      </c>
      <c r="GQI53" s="5">
        <f>-IFERROR('4. NPV'!GQJ23/'4. NPV'!GQJ$8,0)</f>
        <v>-0.0</v>
      </c>
      <c r="GQJ53" s="5">
        <f>-IFERROR('4. NPV'!GQK23/'4. NPV'!GQK$8,0)</f>
        <v>-0.0</v>
      </c>
      <c r="GQK53" s="5">
        <f>-IFERROR('4. NPV'!GQL23/'4. NPV'!GQL$8,0)</f>
        <v>-0.0</v>
      </c>
      <c r="GQL53" s="5">
        <f>-IFERROR('4. NPV'!GQM23/'4. NPV'!GQM$8,0)</f>
        <v>-0.0</v>
      </c>
      <c r="GQM53" s="5">
        <f>-IFERROR('4. NPV'!GQN23/'4. NPV'!GQN$8,0)</f>
        <v>-0.0</v>
      </c>
      <c r="GQN53" s="5">
        <f>-IFERROR('4. NPV'!GQO23/'4. NPV'!GQO$8,0)</f>
        <v>-0.0</v>
      </c>
      <c r="GQO53" s="5">
        <f>-IFERROR('4. NPV'!GQP23/'4. NPV'!GQP$8,0)</f>
        <v>-0.0</v>
      </c>
      <c r="GQP53" s="5">
        <f>-IFERROR('4. NPV'!GQQ23/'4. NPV'!GQQ$8,0)</f>
        <v>-0.0</v>
      </c>
      <c r="GQQ53" s="5">
        <f>-IFERROR('4. NPV'!GQR23/'4. NPV'!GQR$8,0)</f>
        <v>-0.0</v>
      </c>
      <c r="GQR53" s="5">
        <f>-IFERROR('4. NPV'!GQS23/'4. NPV'!GQS$8,0)</f>
        <v>-0.0</v>
      </c>
      <c r="GQS53" s="5">
        <f>-IFERROR('4. NPV'!GQT23/'4. NPV'!GQT$8,0)</f>
        <v>-0.0</v>
      </c>
      <c r="GQT53" s="5">
        <f>-IFERROR('4. NPV'!GQU23/'4. NPV'!GQU$8,0)</f>
        <v>-0.0</v>
      </c>
      <c r="GQU53" s="5">
        <f>-IFERROR('4. NPV'!GQV23/'4. NPV'!GQV$8,0)</f>
        <v>-0.0</v>
      </c>
      <c r="GQV53" s="5">
        <f>-IFERROR('4. NPV'!GQW23/'4. NPV'!GQW$8,0)</f>
        <v>-0.0</v>
      </c>
      <c r="GQW53" s="5">
        <f>-IFERROR('4. NPV'!GQX23/'4. NPV'!GQX$8,0)</f>
        <v>-0.0</v>
      </c>
      <c r="GQX53" s="5">
        <f>-IFERROR('4. NPV'!GQY23/'4. NPV'!GQY$8,0)</f>
        <v>-0.0</v>
      </c>
      <c r="GQY53" s="5">
        <f>-IFERROR('4. NPV'!GQZ23/'4. NPV'!GQZ$8,0)</f>
        <v>-0.0</v>
      </c>
      <c r="GQZ53" s="5">
        <f>-IFERROR('4. NPV'!GRA23/'4. NPV'!GRA$8,0)</f>
        <v>-0.0</v>
      </c>
      <c r="GRA53" s="5">
        <f>-IFERROR('4. NPV'!GRB23/'4. NPV'!GRB$8,0)</f>
        <v>-0.0</v>
      </c>
      <c r="GRB53" s="5">
        <f>-IFERROR('4. NPV'!GRC23/'4. NPV'!GRC$8,0)</f>
        <v>-0.0</v>
      </c>
      <c r="GRC53" s="5">
        <f>-IFERROR('4. NPV'!GRD23/'4. NPV'!GRD$8,0)</f>
        <v>-0.0</v>
      </c>
      <c r="GRD53" s="5">
        <f>-IFERROR('4. NPV'!GRE23/'4. NPV'!GRE$8,0)</f>
        <v>-0.0</v>
      </c>
      <c r="GRE53" s="5">
        <f>-IFERROR('4. NPV'!GRF23/'4. NPV'!GRF$8,0)</f>
        <v>-0.0</v>
      </c>
      <c r="GRF53" s="5">
        <f>-IFERROR('4. NPV'!GRG23/'4. NPV'!GRG$8,0)</f>
        <v>-0.0</v>
      </c>
      <c r="GRG53" s="5">
        <f>-IFERROR('4. NPV'!GRH23/'4. NPV'!GRH$8,0)</f>
        <v>-0.0</v>
      </c>
      <c r="GRH53" s="5">
        <f>-IFERROR('4. NPV'!GRI23/'4. NPV'!GRI$8,0)</f>
        <v>-0.0</v>
      </c>
      <c r="GRI53" s="5">
        <f>-IFERROR('4. NPV'!GRJ23/'4. NPV'!GRJ$8,0)</f>
        <v>-0.0</v>
      </c>
      <c r="GRJ53" s="5">
        <f>-IFERROR('4. NPV'!GRK23/'4. NPV'!GRK$8,0)</f>
        <v>-0.0</v>
      </c>
      <c r="GRK53" s="5">
        <f>-IFERROR('4. NPV'!GRL23/'4. NPV'!GRL$8,0)</f>
        <v>-0.0</v>
      </c>
      <c r="GRL53" s="5">
        <f>-IFERROR('4. NPV'!GRM23/'4. NPV'!GRM$8,0)</f>
        <v>-0.0</v>
      </c>
      <c r="GRM53" s="5">
        <f>-IFERROR('4. NPV'!GRN23/'4. NPV'!GRN$8,0)</f>
        <v>-0.0</v>
      </c>
      <c r="GRN53" s="5">
        <f>-IFERROR('4. NPV'!GRO23/'4. NPV'!GRO$8,0)</f>
        <v>-0.0</v>
      </c>
      <c r="GRO53" s="5">
        <f>-IFERROR('4. NPV'!GRP23/'4. NPV'!GRP$8,0)</f>
        <v>-0.0</v>
      </c>
      <c r="GRP53" s="5">
        <f>-IFERROR('4. NPV'!GRQ23/'4. NPV'!GRQ$8,0)</f>
        <v>-0.0</v>
      </c>
      <c r="GRQ53" s="5">
        <f>-IFERROR('4. NPV'!GRR23/'4. NPV'!GRR$8,0)</f>
        <v>-0.0</v>
      </c>
      <c r="GRR53" s="5">
        <f>-IFERROR('4. NPV'!GRS23/'4. NPV'!GRS$8,0)</f>
        <v>-0.0</v>
      </c>
      <c r="GRS53" s="5">
        <f>-IFERROR('4. NPV'!GRT23/'4. NPV'!GRT$8,0)</f>
        <v>-0.0</v>
      </c>
      <c r="GRT53" s="5">
        <f>-IFERROR('4. NPV'!GRU23/'4. NPV'!GRU$8,0)</f>
        <v>-0.0</v>
      </c>
      <c r="GRU53" s="5">
        <f>-IFERROR('4. NPV'!GRV23/'4. NPV'!GRV$8,0)</f>
        <v>-0.0</v>
      </c>
      <c r="GRV53" s="5">
        <f>-IFERROR('4. NPV'!GRW23/'4. NPV'!GRW$8,0)</f>
        <v>-0.0</v>
      </c>
      <c r="GRW53" s="5">
        <f>-IFERROR('4. NPV'!GRX23/'4. NPV'!GRX$8,0)</f>
        <v>-0.0</v>
      </c>
      <c r="GRX53" s="5">
        <f>-IFERROR('4. NPV'!GRY23/'4. NPV'!GRY$8,0)</f>
        <v>-0.0</v>
      </c>
      <c r="GRY53" s="5">
        <f>-IFERROR('4. NPV'!GRZ23/'4. NPV'!GRZ$8,0)</f>
        <v>-0.0</v>
      </c>
      <c r="GRZ53" s="5">
        <f>-IFERROR('4. NPV'!GSA23/'4. NPV'!GSA$8,0)</f>
        <v>-0.0</v>
      </c>
      <c r="GSA53" s="5">
        <f>-IFERROR('4. NPV'!GSB23/'4. NPV'!GSB$8,0)</f>
        <v>-0.0</v>
      </c>
      <c r="GSB53" s="5">
        <f>-IFERROR('4. NPV'!GSC23/'4. NPV'!GSC$8,0)</f>
        <v>-0.0</v>
      </c>
      <c r="GSC53" s="5">
        <f>-IFERROR('4. NPV'!GSD23/'4. NPV'!GSD$8,0)</f>
        <v>-0.0</v>
      </c>
      <c r="GSD53" s="5">
        <f>-IFERROR('4. NPV'!GSE23/'4. NPV'!GSE$8,0)</f>
        <v>-0.0</v>
      </c>
      <c r="GSE53" s="5">
        <f>-IFERROR('4. NPV'!GSF23/'4. NPV'!GSF$8,0)</f>
        <v>-0.0</v>
      </c>
      <c r="GSF53" s="5">
        <f>-IFERROR('4. NPV'!GSG23/'4. NPV'!GSG$8,0)</f>
        <v>-0.0</v>
      </c>
      <c r="GSG53" s="5">
        <f>-IFERROR('4. NPV'!GSH23/'4. NPV'!GSH$8,0)</f>
        <v>-0.0</v>
      </c>
      <c r="GSH53" s="5">
        <f>-IFERROR('4. NPV'!GSI23/'4. NPV'!GSI$8,0)</f>
        <v>-0.0</v>
      </c>
      <c r="GSI53" s="5">
        <f>-IFERROR('4. NPV'!GSJ23/'4. NPV'!GSJ$8,0)</f>
        <v>-0.0</v>
      </c>
      <c r="GSJ53" s="5">
        <f>-IFERROR('4. NPV'!GSK23/'4. NPV'!GSK$8,0)</f>
        <v>-0.0</v>
      </c>
      <c r="GSK53" s="5">
        <f>-IFERROR('4. NPV'!GSL23/'4. NPV'!GSL$8,0)</f>
        <v>-0.0</v>
      </c>
      <c r="GSL53" s="5">
        <f>-IFERROR('4. NPV'!GSM23/'4. NPV'!GSM$8,0)</f>
        <v>-0.0</v>
      </c>
      <c r="GSM53" s="5">
        <f>-IFERROR('4. NPV'!GSN23/'4. NPV'!GSN$8,0)</f>
        <v>-0.0</v>
      </c>
      <c r="GSN53" s="5">
        <f>-IFERROR('4. NPV'!GSO23/'4. NPV'!GSO$8,0)</f>
        <v>-0.0</v>
      </c>
      <c r="GSO53" s="5">
        <f>-IFERROR('4. NPV'!GSP23/'4. NPV'!GSP$8,0)</f>
        <v>-0.0</v>
      </c>
      <c r="GSP53" s="5">
        <f>-IFERROR('4. NPV'!GSQ23/'4. NPV'!GSQ$8,0)</f>
        <v>-0.0</v>
      </c>
      <c r="GSQ53" s="5">
        <f>-IFERROR('4. NPV'!GSR23/'4. NPV'!GSR$8,0)</f>
        <v>-0.0</v>
      </c>
      <c r="GSR53" s="5">
        <f>-IFERROR('4. NPV'!GSS23/'4. NPV'!GSS$8,0)</f>
        <v>-0.0</v>
      </c>
      <c r="GSS53" s="5">
        <f>-IFERROR('4. NPV'!GST23/'4. NPV'!GST$8,0)</f>
        <v>-0.0</v>
      </c>
      <c r="GST53" s="5">
        <f>-IFERROR('4. NPV'!GSU23/'4. NPV'!GSU$8,0)</f>
        <v>-0.0</v>
      </c>
      <c r="GSU53" s="5">
        <f>-IFERROR('4. NPV'!GSV23/'4. NPV'!GSV$8,0)</f>
        <v>-0.0</v>
      </c>
      <c r="GSV53" s="5">
        <f>-IFERROR('4. NPV'!GSW23/'4. NPV'!GSW$8,0)</f>
        <v>-0.0</v>
      </c>
      <c r="GSW53" s="5">
        <f>-IFERROR('4. NPV'!GSX23/'4. NPV'!GSX$8,0)</f>
        <v>-0.0</v>
      </c>
      <c r="GSX53" s="5">
        <f>-IFERROR('4. NPV'!GSY23/'4. NPV'!GSY$8,0)</f>
        <v>-0.0</v>
      </c>
      <c r="GSY53" s="5">
        <f>-IFERROR('4. NPV'!GSZ23/'4. NPV'!GSZ$8,0)</f>
        <v>-0.0</v>
      </c>
      <c r="GSZ53" s="5">
        <f>-IFERROR('4. NPV'!GTA23/'4. NPV'!GTA$8,0)</f>
        <v>-0.0</v>
      </c>
      <c r="GTA53" s="5">
        <f>-IFERROR('4. NPV'!GTB23/'4. NPV'!GTB$8,0)</f>
        <v>-0.0</v>
      </c>
      <c r="GTB53" s="5">
        <f>-IFERROR('4. NPV'!GTC23/'4. NPV'!GTC$8,0)</f>
        <v>-0.0</v>
      </c>
      <c r="GTC53" s="5">
        <f>-IFERROR('4. NPV'!GTD23/'4. NPV'!GTD$8,0)</f>
        <v>-0.0</v>
      </c>
      <c r="GTD53" s="5">
        <f>-IFERROR('4. NPV'!GTE23/'4. NPV'!GTE$8,0)</f>
        <v>-0.0</v>
      </c>
      <c r="GTE53" s="5">
        <f>-IFERROR('4. NPV'!GTF23/'4. NPV'!GTF$8,0)</f>
        <v>-0.0</v>
      </c>
      <c r="GTF53" s="5">
        <f>-IFERROR('4. NPV'!GTG23/'4. NPV'!GTG$8,0)</f>
        <v>-0.0</v>
      </c>
      <c r="GTG53" s="5">
        <f>-IFERROR('4. NPV'!GTH23/'4. NPV'!GTH$8,0)</f>
        <v>-0.0</v>
      </c>
      <c r="GTH53" s="5">
        <f>-IFERROR('4. NPV'!GTI23/'4. NPV'!GTI$8,0)</f>
        <v>-0.0</v>
      </c>
      <c r="GTI53" s="5">
        <f>-IFERROR('4. NPV'!GTJ23/'4. NPV'!GTJ$8,0)</f>
        <v>-0.0</v>
      </c>
      <c r="GTJ53" s="5">
        <f>-IFERROR('4. NPV'!GTK23/'4. NPV'!GTK$8,0)</f>
        <v>-0.0</v>
      </c>
      <c r="GTK53" s="5">
        <f>-IFERROR('4. NPV'!GTL23/'4. NPV'!GTL$8,0)</f>
        <v>-0.0</v>
      </c>
      <c r="GTL53" s="5">
        <f>-IFERROR('4. NPV'!GTM23/'4. NPV'!GTM$8,0)</f>
        <v>-0.0</v>
      </c>
      <c r="GTM53" s="5">
        <f>-IFERROR('4. NPV'!GTN23/'4. NPV'!GTN$8,0)</f>
        <v>-0.0</v>
      </c>
      <c r="GTN53" s="5">
        <f>-IFERROR('4. NPV'!GTO23/'4. NPV'!GTO$8,0)</f>
        <v>-0.0</v>
      </c>
      <c r="GTO53" s="5">
        <f>-IFERROR('4. NPV'!GTP23/'4. NPV'!GTP$8,0)</f>
        <v>-0.0</v>
      </c>
      <c r="GTP53" s="5">
        <f>-IFERROR('4. NPV'!GTQ23/'4. NPV'!GTQ$8,0)</f>
        <v>-0.0</v>
      </c>
      <c r="GTQ53" s="5">
        <f>-IFERROR('4. NPV'!GTR23/'4. NPV'!GTR$8,0)</f>
        <v>-0.0</v>
      </c>
      <c r="GTR53" s="5">
        <f>-IFERROR('4. NPV'!GTS23/'4. NPV'!GTS$8,0)</f>
        <v>-0.0</v>
      </c>
      <c r="GTS53" s="5">
        <f>-IFERROR('4. NPV'!GTT23/'4. NPV'!GTT$8,0)</f>
        <v>-0.0</v>
      </c>
      <c r="GTT53" s="5">
        <f>-IFERROR('4. NPV'!GTU23/'4. NPV'!GTU$8,0)</f>
        <v>-0.0</v>
      </c>
      <c r="GTU53" s="5">
        <f>-IFERROR('4. NPV'!GTV23/'4. NPV'!GTV$8,0)</f>
        <v>-0.0</v>
      </c>
      <c r="GTV53" s="5">
        <f>-IFERROR('4. NPV'!GTW23/'4. NPV'!GTW$8,0)</f>
        <v>-0.0</v>
      </c>
      <c r="GTW53" s="5">
        <f>-IFERROR('4. NPV'!GTX23/'4. NPV'!GTX$8,0)</f>
        <v>-0.0</v>
      </c>
      <c r="GTX53" s="5">
        <f>-IFERROR('4. NPV'!GTY23/'4. NPV'!GTY$8,0)</f>
        <v>-0.0</v>
      </c>
      <c r="GTY53" s="5">
        <f>-IFERROR('4. NPV'!GTZ23/'4. NPV'!GTZ$8,0)</f>
        <v>-0.0</v>
      </c>
      <c r="GTZ53" s="5">
        <f>-IFERROR('4. NPV'!GUA23/'4. NPV'!GUA$8,0)</f>
        <v>-0.0</v>
      </c>
      <c r="GUA53" s="5">
        <f>-IFERROR('4. NPV'!GUB23/'4. NPV'!GUB$8,0)</f>
        <v>-0.0</v>
      </c>
      <c r="GUB53" s="5">
        <f>-IFERROR('4. NPV'!GUC23/'4. NPV'!GUC$8,0)</f>
        <v>-0.0</v>
      </c>
      <c r="GUC53" s="5">
        <f>-IFERROR('4. NPV'!GUD23/'4. NPV'!GUD$8,0)</f>
        <v>-0.0</v>
      </c>
      <c r="GUD53" s="5">
        <f>-IFERROR('4. NPV'!GUE23/'4. NPV'!GUE$8,0)</f>
        <v>-0.0</v>
      </c>
      <c r="GUE53" s="5">
        <f>-IFERROR('4. NPV'!GUF23/'4. NPV'!GUF$8,0)</f>
        <v>-0.0</v>
      </c>
      <c r="GUF53" s="5">
        <f>-IFERROR('4. NPV'!GUG23/'4. NPV'!GUG$8,0)</f>
        <v>-0.0</v>
      </c>
      <c r="GUG53" s="5">
        <f>-IFERROR('4. NPV'!GUH23/'4. NPV'!GUH$8,0)</f>
        <v>-0.0</v>
      </c>
      <c r="GUH53" s="5">
        <f>-IFERROR('4. NPV'!GUI23/'4. NPV'!GUI$8,0)</f>
        <v>-0.0</v>
      </c>
      <c r="GUI53" s="5">
        <f>-IFERROR('4. NPV'!GUJ23/'4. NPV'!GUJ$8,0)</f>
        <v>-0.0</v>
      </c>
      <c r="GUJ53" s="5">
        <f>-IFERROR('4. NPV'!GUK23/'4. NPV'!GUK$8,0)</f>
        <v>-0.0</v>
      </c>
      <c r="GUK53" s="5">
        <f>-IFERROR('4. NPV'!GUL23/'4. NPV'!GUL$8,0)</f>
        <v>-0.0</v>
      </c>
      <c r="GUL53" s="5">
        <f>-IFERROR('4. NPV'!GUM23/'4. NPV'!GUM$8,0)</f>
        <v>-0.0</v>
      </c>
      <c r="GUM53" s="5">
        <f>-IFERROR('4. NPV'!GUN23/'4. NPV'!GUN$8,0)</f>
        <v>-0.0</v>
      </c>
      <c r="GUN53" s="5">
        <f>-IFERROR('4. NPV'!GUO23/'4. NPV'!GUO$8,0)</f>
        <v>-0.0</v>
      </c>
      <c r="GUO53" s="5">
        <f>-IFERROR('4. NPV'!GUP23/'4. NPV'!GUP$8,0)</f>
        <v>-0.0</v>
      </c>
      <c r="GUP53" s="5">
        <f>-IFERROR('4. NPV'!GUQ23/'4. NPV'!GUQ$8,0)</f>
        <v>-0.0</v>
      </c>
      <c r="GUQ53" s="5">
        <f>-IFERROR('4. NPV'!GUR23/'4. NPV'!GUR$8,0)</f>
        <v>-0.0</v>
      </c>
      <c r="GUR53" s="5">
        <f>-IFERROR('4. NPV'!GUS23/'4. NPV'!GUS$8,0)</f>
        <v>-0.0</v>
      </c>
      <c r="GUS53" s="5">
        <f>-IFERROR('4. NPV'!GUT23/'4. NPV'!GUT$8,0)</f>
        <v>-0.0</v>
      </c>
      <c r="GUT53" s="5">
        <f>-IFERROR('4. NPV'!GUU23/'4. NPV'!GUU$8,0)</f>
        <v>-0.0</v>
      </c>
      <c r="GUU53" s="5">
        <f>-IFERROR('4. NPV'!GUV23/'4. NPV'!GUV$8,0)</f>
        <v>-0.0</v>
      </c>
      <c r="GUV53" s="5">
        <f>-IFERROR('4. NPV'!GUW23/'4. NPV'!GUW$8,0)</f>
        <v>-0.0</v>
      </c>
      <c r="GUW53" s="5">
        <f>-IFERROR('4. NPV'!GUX23/'4. NPV'!GUX$8,0)</f>
        <v>-0.0</v>
      </c>
      <c r="GUX53" s="5">
        <f>-IFERROR('4. NPV'!GUY23/'4. NPV'!GUY$8,0)</f>
        <v>-0.0</v>
      </c>
      <c r="GUY53" s="5">
        <f>-IFERROR('4. NPV'!GUZ23/'4. NPV'!GUZ$8,0)</f>
        <v>-0.0</v>
      </c>
      <c r="GUZ53" s="5">
        <f>-IFERROR('4. NPV'!GVA23/'4. NPV'!GVA$8,0)</f>
        <v>-0.0</v>
      </c>
      <c r="GVA53" s="5">
        <f>-IFERROR('4. NPV'!GVB23/'4. NPV'!GVB$8,0)</f>
        <v>-0.0</v>
      </c>
      <c r="GVB53" s="5">
        <f>-IFERROR('4. NPV'!GVC23/'4. NPV'!GVC$8,0)</f>
        <v>-0.0</v>
      </c>
      <c r="GVC53" s="5">
        <f>-IFERROR('4. NPV'!GVD23/'4. NPV'!GVD$8,0)</f>
        <v>-0.0</v>
      </c>
      <c r="GVD53" s="5">
        <f>-IFERROR('4. NPV'!GVE23/'4. NPV'!GVE$8,0)</f>
        <v>-0.0</v>
      </c>
      <c r="GVE53" s="5">
        <f>-IFERROR('4. NPV'!GVF23/'4. NPV'!GVF$8,0)</f>
        <v>-0.0</v>
      </c>
      <c r="GVF53" s="5">
        <f>-IFERROR('4. NPV'!GVG23/'4. NPV'!GVG$8,0)</f>
        <v>-0.0</v>
      </c>
      <c r="GVG53" s="5">
        <f>-IFERROR('4. NPV'!GVH23/'4. NPV'!GVH$8,0)</f>
        <v>-0.0</v>
      </c>
      <c r="GVH53" s="5">
        <f>-IFERROR('4. NPV'!GVI23/'4. NPV'!GVI$8,0)</f>
        <v>-0.0</v>
      </c>
      <c r="GVI53" s="5">
        <f>-IFERROR('4. NPV'!GVJ23/'4. NPV'!GVJ$8,0)</f>
        <v>-0.0</v>
      </c>
      <c r="GVJ53" s="5">
        <f>-IFERROR('4. NPV'!GVK23/'4. NPV'!GVK$8,0)</f>
        <v>-0.0</v>
      </c>
      <c r="GVK53" s="5">
        <f>-IFERROR('4. NPV'!GVL23/'4. NPV'!GVL$8,0)</f>
        <v>-0.0</v>
      </c>
      <c r="GVL53" s="5">
        <f>-IFERROR('4. NPV'!GVM23/'4. NPV'!GVM$8,0)</f>
        <v>-0.0</v>
      </c>
      <c r="GVM53" s="5">
        <f>-IFERROR('4. NPV'!GVN23/'4. NPV'!GVN$8,0)</f>
        <v>-0.0</v>
      </c>
      <c r="GVN53" s="5">
        <f>-IFERROR('4. NPV'!GVO23/'4. NPV'!GVO$8,0)</f>
        <v>-0.0</v>
      </c>
      <c r="GVO53" s="5">
        <f>-IFERROR('4. NPV'!GVP23/'4. NPV'!GVP$8,0)</f>
        <v>-0.0</v>
      </c>
      <c r="GVP53" s="5">
        <f>-IFERROR('4. NPV'!GVQ23/'4. NPV'!GVQ$8,0)</f>
        <v>-0.0</v>
      </c>
      <c r="GVQ53" s="5">
        <f>-IFERROR('4. NPV'!GVR23/'4. NPV'!GVR$8,0)</f>
        <v>-0.0</v>
      </c>
      <c r="GVR53" s="5">
        <f>-IFERROR('4. NPV'!GVS23/'4. NPV'!GVS$8,0)</f>
        <v>-0.0</v>
      </c>
      <c r="GVS53" s="5">
        <f>-IFERROR('4. NPV'!GVT23/'4. NPV'!GVT$8,0)</f>
        <v>-0.0</v>
      </c>
      <c r="GVT53" s="5">
        <f>-IFERROR('4. NPV'!GVU23/'4. NPV'!GVU$8,0)</f>
        <v>-0.0</v>
      </c>
      <c r="GVU53" s="5">
        <f>-IFERROR('4. NPV'!GVV23/'4. NPV'!GVV$8,0)</f>
        <v>-0.0</v>
      </c>
      <c r="GVV53" s="5">
        <f>-IFERROR('4. NPV'!GVW23/'4. NPV'!GVW$8,0)</f>
        <v>-0.0</v>
      </c>
      <c r="GVW53" s="5">
        <f>-IFERROR('4. NPV'!GVX23/'4. NPV'!GVX$8,0)</f>
        <v>-0.0</v>
      </c>
      <c r="GVX53" s="5">
        <f>-IFERROR('4. NPV'!GVY23/'4. NPV'!GVY$8,0)</f>
        <v>-0.0</v>
      </c>
      <c r="GVY53" s="5">
        <f>-IFERROR('4. NPV'!GVZ23/'4. NPV'!GVZ$8,0)</f>
        <v>-0.0</v>
      </c>
      <c r="GVZ53" s="5">
        <f>-IFERROR('4. NPV'!GWA23/'4. NPV'!GWA$8,0)</f>
        <v>-0.0</v>
      </c>
      <c r="GWA53" s="5">
        <f>-IFERROR('4. NPV'!GWB23/'4. NPV'!GWB$8,0)</f>
        <v>-0.0</v>
      </c>
      <c r="GWB53" s="5">
        <f>-IFERROR('4. NPV'!GWC23/'4. NPV'!GWC$8,0)</f>
        <v>-0.0</v>
      </c>
      <c r="GWC53" s="5">
        <f>-IFERROR('4. NPV'!GWD23/'4. NPV'!GWD$8,0)</f>
        <v>-0.0</v>
      </c>
      <c r="GWD53" s="5">
        <f>-IFERROR('4. NPV'!GWE23/'4. NPV'!GWE$8,0)</f>
        <v>-0.0</v>
      </c>
      <c r="GWE53" s="5">
        <f>-IFERROR('4. NPV'!GWF23/'4. NPV'!GWF$8,0)</f>
        <v>-0.0</v>
      </c>
      <c r="GWF53" s="5">
        <f>-IFERROR('4. NPV'!GWG23/'4. NPV'!GWG$8,0)</f>
        <v>-0.0</v>
      </c>
      <c r="GWG53" s="5">
        <f>-IFERROR('4. NPV'!GWH23/'4. NPV'!GWH$8,0)</f>
        <v>-0.0</v>
      </c>
      <c r="GWH53" s="5">
        <f>-IFERROR('4. NPV'!GWI23/'4. NPV'!GWI$8,0)</f>
        <v>-0.0</v>
      </c>
      <c r="GWI53" s="5">
        <f>-IFERROR('4. NPV'!GWJ23/'4. NPV'!GWJ$8,0)</f>
        <v>-0.0</v>
      </c>
      <c r="GWJ53" s="5">
        <f>-IFERROR('4. NPV'!GWK23/'4. NPV'!GWK$8,0)</f>
        <v>-0.0</v>
      </c>
      <c r="GWK53" s="5">
        <f>-IFERROR('4. NPV'!GWL23/'4. NPV'!GWL$8,0)</f>
        <v>-0.0</v>
      </c>
      <c r="GWL53" s="5">
        <f>-IFERROR('4. NPV'!GWM23/'4. NPV'!GWM$8,0)</f>
        <v>-0.0</v>
      </c>
      <c r="GWM53" s="5">
        <f>-IFERROR('4. NPV'!GWN23/'4. NPV'!GWN$8,0)</f>
        <v>-0.0</v>
      </c>
      <c r="GWN53" s="5">
        <f>-IFERROR('4. NPV'!GWO23/'4. NPV'!GWO$8,0)</f>
        <v>-0.0</v>
      </c>
      <c r="GWO53" s="5">
        <f>-IFERROR('4. NPV'!GWP23/'4. NPV'!GWP$8,0)</f>
        <v>-0.0</v>
      </c>
      <c r="GWP53" s="5">
        <f>-IFERROR('4. NPV'!GWQ23/'4. NPV'!GWQ$8,0)</f>
        <v>-0.0</v>
      </c>
      <c r="GWQ53" s="5">
        <f>-IFERROR('4. NPV'!GWR23/'4. NPV'!GWR$8,0)</f>
        <v>-0.0</v>
      </c>
      <c r="GWR53" s="5">
        <f>-IFERROR('4. NPV'!GWS23/'4. NPV'!GWS$8,0)</f>
        <v>-0.0</v>
      </c>
      <c r="GWS53" s="5">
        <f>-IFERROR('4. NPV'!GWT23/'4. NPV'!GWT$8,0)</f>
        <v>-0.0</v>
      </c>
      <c r="GWT53" s="5">
        <f>-IFERROR('4. NPV'!GWU23/'4. NPV'!GWU$8,0)</f>
        <v>-0.0</v>
      </c>
      <c r="GWU53" s="5">
        <f>-IFERROR('4. NPV'!GWV23/'4. NPV'!GWV$8,0)</f>
        <v>-0.0</v>
      </c>
      <c r="GWV53" s="5">
        <f>-IFERROR('4. NPV'!GWW23/'4. NPV'!GWW$8,0)</f>
        <v>-0.0</v>
      </c>
      <c r="GWW53" s="5">
        <f>-IFERROR('4. NPV'!GWX23/'4. NPV'!GWX$8,0)</f>
        <v>-0.0</v>
      </c>
      <c r="GWX53" s="5">
        <f>-IFERROR('4. NPV'!GWY23/'4. NPV'!GWY$8,0)</f>
        <v>-0.0</v>
      </c>
      <c r="GWY53" s="5">
        <f>-IFERROR('4. NPV'!GWZ23/'4. NPV'!GWZ$8,0)</f>
        <v>-0.0</v>
      </c>
      <c r="GWZ53" s="5">
        <f>-IFERROR('4. NPV'!GXA23/'4. NPV'!GXA$8,0)</f>
        <v>-0.0</v>
      </c>
      <c r="GXA53" s="5">
        <f>-IFERROR('4. NPV'!GXB23/'4. NPV'!GXB$8,0)</f>
        <v>-0.0</v>
      </c>
      <c r="GXB53" s="5">
        <f>-IFERROR('4. NPV'!GXC23/'4. NPV'!GXC$8,0)</f>
        <v>-0.0</v>
      </c>
      <c r="GXC53" s="5">
        <f>-IFERROR('4. NPV'!GXD23/'4. NPV'!GXD$8,0)</f>
        <v>-0.0</v>
      </c>
      <c r="GXD53" s="5">
        <f>-IFERROR('4. NPV'!GXE23/'4. NPV'!GXE$8,0)</f>
        <v>-0.0</v>
      </c>
      <c r="GXE53" s="5">
        <f>-IFERROR('4. NPV'!GXF23/'4. NPV'!GXF$8,0)</f>
        <v>-0.0</v>
      </c>
      <c r="GXF53" s="5">
        <f>-IFERROR('4. NPV'!GXG23/'4. NPV'!GXG$8,0)</f>
        <v>-0.0</v>
      </c>
      <c r="GXG53" s="5">
        <f>-IFERROR('4. NPV'!GXH23/'4. NPV'!GXH$8,0)</f>
        <v>-0.0</v>
      </c>
      <c r="GXH53" s="5">
        <f>-IFERROR('4. NPV'!GXI23/'4. NPV'!GXI$8,0)</f>
        <v>-0.0</v>
      </c>
      <c r="GXI53" s="5">
        <f>-IFERROR('4. NPV'!GXJ23/'4. NPV'!GXJ$8,0)</f>
        <v>-0.0</v>
      </c>
      <c r="GXJ53" s="5">
        <f>-IFERROR('4. NPV'!GXK23/'4. NPV'!GXK$8,0)</f>
        <v>-0.0</v>
      </c>
      <c r="GXK53" s="5">
        <f>-IFERROR('4. NPV'!GXL23/'4. NPV'!GXL$8,0)</f>
        <v>-0.0</v>
      </c>
      <c r="GXL53" s="5">
        <f>-IFERROR('4. NPV'!GXM23/'4. NPV'!GXM$8,0)</f>
        <v>-0.0</v>
      </c>
      <c r="GXM53" s="5">
        <f>-IFERROR('4. NPV'!GXN23/'4. NPV'!GXN$8,0)</f>
        <v>-0.0</v>
      </c>
      <c r="GXN53" s="5">
        <f>-IFERROR('4. NPV'!GXO23/'4. NPV'!GXO$8,0)</f>
        <v>-0.0</v>
      </c>
      <c r="GXO53" s="5">
        <f>-IFERROR('4. NPV'!GXP23/'4. NPV'!GXP$8,0)</f>
        <v>-0.0</v>
      </c>
      <c r="GXP53" s="5">
        <f>-IFERROR('4. NPV'!GXQ23/'4. NPV'!GXQ$8,0)</f>
        <v>-0.0</v>
      </c>
      <c r="GXQ53" s="5">
        <f>-IFERROR('4. NPV'!GXR23/'4. NPV'!GXR$8,0)</f>
        <v>-0.0</v>
      </c>
      <c r="GXR53" s="5">
        <f>-IFERROR('4. NPV'!GXS23/'4. NPV'!GXS$8,0)</f>
        <v>-0.0</v>
      </c>
      <c r="GXS53" s="5">
        <f>-IFERROR('4. NPV'!GXT23/'4. NPV'!GXT$8,0)</f>
        <v>-0.0</v>
      </c>
      <c r="GXT53" s="5">
        <f>-IFERROR('4. NPV'!GXU23/'4. NPV'!GXU$8,0)</f>
        <v>-0.0</v>
      </c>
      <c r="GXU53" s="5">
        <f>-IFERROR('4. NPV'!GXV23/'4. NPV'!GXV$8,0)</f>
        <v>-0.0</v>
      </c>
      <c r="GXV53" s="5">
        <f>-IFERROR('4. NPV'!GXW23/'4. NPV'!GXW$8,0)</f>
        <v>-0.0</v>
      </c>
      <c r="GXW53" s="5">
        <f>-IFERROR('4. NPV'!GXX23/'4. NPV'!GXX$8,0)</f>
        <v>-0.0</v>
      </c>
      <c r="GXX53" s="5">
        <f>-IFERROR('4. NPV'!GXY23/'4. NPV'!GXY$8,0)</f>
        <v>-0.0</v>
      </c>
      <c r="GXY53" s="5">
        <f>-IFERROR('4. NPV'!GXZ23/'4. NPV'!GXZ$8,0)</f>
        <v>-0.0</v>
      </c>
      <c r="GXZ53" s="5">
        <f>-IFERROR('4. NPV'!GYA23/'4. NPV'!GYA$8,0)</f>
        <v>-0.0</v>
      </c>
      <c r="GYA53" s="5">
        <f>-IFERROR('4. NPV'!GYB23/'4. NPV'!GYB$8,0)</f>
        <v>-0.0</v>
      </c>
      <c r="GYB53" s="5">
        <f>-IFERROR('4. NPV'!GYC23/'4. NPV'!GYC$8,0)</f>
        <v>-0.0</v>
      </c>
      <c r="GYC53" s="5">
        <f>-IFERROR('4. NPV'!GYD23/'4. NPV'!GYD$8,0)</f>
        <v>-0.0</v>
      </c>
      <c r="GYD53" s="5">
        <f>-IFERROR('4. NPV'!GYE23/'4. NPV'!GYE$8,0)</f>
        <v>-0.0</v>
      </c>
      <c r="GYE53" s="5">
        <f>-IFERROR('4. NPV'!GYF23/'4. NPV'!GYF$8,0)</f>
        <v>-0.0</v>
      </c>
      <c r="GYF53" s="5">
        <f>-IFERROR('4. NPV'!GYG23/'4. NPV'!GYG$8,0)</f>
        <v>-0.0</v>
      </c>
      <c r="GYG53" s="5">
        <f>-IFERROR('4. NPV'!GYH23/'4. NPV'!GYH$8,0)</f>
        <v>-0.0</v>
      </c>
      <c r="GYH53" s="5">
        <f>-IFERROR('4. NPV'!GYI23/'4. NPV'!GYI$8,0)</f>
        <v>-0.0</v>
      </c>
      <c r="GYI53" s="5">
        <f>-IFERROR('4. NPV'!GYJ23/'4. NPV'!GYJ$8,0)</f>
        <v>-0.0</v>
      </c>
      <c r="GYJ53" s="5">
        <f>-IFERROR('4. NPV'!GYK23/'4. NPV'!GYK$8,0)</f>
        <v>-0.0</v>
      </c>
      <c r="GYK53" s="5">
        <f>-IFERROR('4. NPV'!GYL23/'4. NPV'!GYL$8,0)</f>
        <v>-0.0</v>
      </c>
      <c r="GYL53" s="5">
        <f>-IFERROR('4. NPV'!GYM23/'4. NPV'!GYM$8,0)</f>
        <v>-0.0</v>
      </c>
      <c r="GYM53" s="5">
        <f>-IFERROR('4. NPV'!GYN23/'4. NPV'!GYN$8,0)</f>
        <v>-0.0</v>
      </c>
      <c r="GYN53" s="5">
        <f>-IFERROR('4. NPV'!GYO23/'4. NPV'!GYO$8,0)</f>
        <v>-0.0</v>
      </c>
      <c r="GYO53" s="5">
        <f>-IFERROR('4. NPV'!GYP23/'4. NPV'!GYP$8,0)</f>
        <v>-0.0</v>
      </c>
      <c r="GYP53" s="5">
        <f>-IFERROR('4. NPV'!GYQ23/'4. NPV'!GYQ$8,0)</f>
        <v>-0.0</v>
      </c>
      <c r="GYQ53" s="5">
        <f>-IFERROR('4. NPV'!GYR23/'4. NPV'!GYR$8,0)</f>
        <v>-0.0</v>
      </c>
      <c r="GYR53" s="5">
        <f>-IFERROR('4. NPV'!GYS23/'4. NPV'!GYS$8,0)</f>
        <v>-0.0</v>
      </c>
      <c r="GYS53" s="5">
        <f>-IFERROR('4. NPV'!GYT23/'4. NPV'!GYT$8,0)</f>
        <v>-0.0</v>
      </c>
      <c r="GYT53" s="5">
        <f>-IFERROR('4. NPV'!GYU23/'4. NPV'!GYU$8,0)</f>
        <v>-0.0</v>
      </c>
      <c r="GYU53" s="5">
        <f>-IFERROR('4. NPV'!GYV23/'4. NPV'!GYV$8,0)</f>
        <v>-0.0</v>
      </c>
      <c r="GYV53" s="5">
        <f>-IFERROR('4. NPV'!GYW23/'4. NPV'!GYW$8,0)</f>
        <v>-0.0</v>
      </c>
      <c r="GYW53" s="5">
        <f>-IFERROR('4. NPV'!GYX23/'4. NPV'!GYX$8,0)</f>
        <v>-0.0</v>
      </c>
      <c r="GYX53" s="5">
        <f>-IFERROR('4. NPV'!GYY23/'4. NPV'!GYY$8,0)</f>
        <v>-0.0</v>
      </c>
      <c r="GYY53" s="5">
        <f>-IFERROR('4. NPV'!GYZ23/'4. NPV'!GYZ$8,0)</f>
        <v>-0.0</v>
      </c>
      <c r="GYZ53" s="5">
        <f>-IFERROR('4. NPV'!GZA23/'4. NPV'!GZA$8,0)</f>
        <v>-0.0</v>
      </c>
      <c r="GZA53" s="5">
        <f>-IFERROR('4. NPV'!GZB23/'4. NPV'!GZB$8,0)</f>
        <v>-0.0</v>
      </c>
      <c r="GZB53" s="5">
        <f>-IFERROR('4. NPV'!GZC23/'4. NPV'!GZC$8,0)</f>
        <v>-0.0</v>
      </c>
      <c r="GZC53" s="5">
        <f>-IFERROR('4. NPV'!GZD23/'4. NPV'!GZD$8,0)</f>
        <v>-0.0</v>
      </c>
      <c r="GZD53" s="5">
        <f>-IFERROR('4. NPV'!GZE23/'4. NPV'!GZE$8,0)</f>
        <v>-0.0</v>
      </c>
      <c r="GZE53" s="5">
        <f>-IFERROR('4. NPV'!GZF23/'4. NPV'!GZF$8,0)</f>
        <v>-0.0</v>
      </c>
      <c r="GZF53" s="5">
        <f>-IFERROR('4. NPV'!GZG23/'4. NPV'!GZG$8,0)</f>
        <v>-0.0</v>
      </c>
      <c r="GZG53" s="5">
        <f>-IFERROR('4. NPV'!GZH23/'4. NPV'!GZH$8,0)</f>
        <v>-0.0</v>
      </c>
      <c r="GZH53" s="5">
        <f>-IFERROR('4. NPV'!GZI23/'4. NPV'!GZI$8,0)</f>
        <v>-0.0</v>
      </c>
      <c r="GZI53" s="5">
        <f>-IFERROR('4. NPV'!GZJ23/'4. NPV'!GZJ$8,0)</f>
        <v>-0.0</v>
      </c>
      <c r="GZJ53" s="5">
        <f>-IFERROR('4. NPV'!GZK23/'4. NPV'!GZK$8,0)</f>
        <v>-0.0</v>
      </c>
      <c r="GZK53" s="5">
        <f>-IFERROR('4. NPV'!GZL23/'4. NPV'!GZL$8,0)</f>
        <v>-0.0</v>
      </c>
      <c r="GZL53" s="5">
        <f>-IFERROR('4. NPV'!GZM23/'4. NPV'!GZM$8,0)</f>
        <v>-0.0</v>
      </c>
      <c r="GZM53" s="5">
        <f>-IFERROR('4. NPV'!GZN23/'4. NPV'!GZN$8,0)</f>
        <v>-0.0</v>
      </c>
      <c r="GZN53" s="5">
        <f>-IFERROR('4. NPV'!GZO23/'4. NPV'!GZO$8,0)</f>
        <v>-0.0</v>
      </c>
      <c r="GZO53" s="5">
        <f>-IFERROR('4. NPV'!GZP23/'4. NPV'!GZP$8,0)</f>
        <v>-0.0</v>
      </c>
      <c r="GZP53" s="5">
        <f>-IFERROR('4. NPV'!GZQ23/'4. NPV'!GZQ$8,0)</f>
        <v>-0.0</v>
      </c>
      <c r="GZQ53" s="5">
        <f>-IFERROR('4. NPV'!GZR23/'4. NPV'!GZR$8,0)</f>
        <v>-0.0</v>
      </c>
      <c r="GZR53" s="5">
        <f>-IFERROR('4. NPV'!GZS23/'4. NPV'!GZS$8,0)</f>
        <v>-0.0</v>
      </c>
      <c r="GZS53" s="5">
        <f>-IFERROR('4. NPV'!GZT23/'4. NPV'!GZT$8,0)</f>
        <v>-0.0</v>
      </c>
      <c r="GZT53" s="5">
        <f>-IFERROR('4. NPV'!GZU23/'4. NPV'!GZU$8,0)</f>
        <v>-0.0</v>
      </c>
      <c r="GZU53" s="5">
        <f>-IFERROR('4. NPV'!GZV23/'4. NPV'!GZV$8,0)</f>
        <v>-0.0</v>
      </c>
      <c r="GZV53" s="5">
        <f>-IFERROR('4. NPV'!GZW23/'4. NPV'!GZW$8,0)</f>
        <v>-0.0</v>
      </c>
      <c r="GZW53" s="5">
        <f>-IFERROR('4. NPV'!GZX23/'4. NPV'!GZX$8,0)</f>
        <v>-0.0</v>
      </c>
      <c r="GZX53" s="5">
        <f>-IFERROR('4. NPV'!GZY23/'4. NPV'!GZY$8,0)</f>
        <v>-0.0</v>
      </c>
      <c r="GZY53" s="5">
        <f>-IFERROR('4. NPV'!GZZ23/'4. NPV'!GZZ$8,0)</f>
        <v>-0.0</v>
      </c>
      <c r="GZZ53" s="5">
        <f>-IFERROR('4. NPV'!HAA23/'4. NPV'!HAA$8,0)</f>
        <v>-0.0</v>
      </c>
      <c r="HAA53" s="5">
        <f>-IFERROR('4. NPV'!HAB23/'4. NPV'!HAB$8,0)</f>
        <v>-0.0</v>
      </c>
      <c r="HAB53" s="5">
        <f>-IFERROR('4. NPV'!HAC23/'4. NPV'!HAC$8,0)</f>
        <v>-0.0</v>
      </c>
      <c r="HAC53" s="5">
        <f>-IFERROR('4. NPV'!HAD23/'4. NPV'!HAD$8,0)</f>
        <v>-0.0</v>
      </c>
      <c r="HAD53" s="5">
        <f>-IFERROR('4. NPV'!HAE23/'4. NPV'!HAE$8,0)</f>
        <v>-0.0</v>
      </c>
      <c r="HAE53" s="5">
        <f>-IFERROR('4. NPV'!HAF23/'4. NPV'!HAF$8,0)</f>
        <v>-0.0</v>
      </c>
      <c r="HAF53" s="5">
        <f>-IFERROR('4. NPV'!HAG23/'4. NPV'!HAG$8,0)</f>
        <v>-0.0</v>
      </c>
      <c r="HAG53" s="5">
        <f>-IFERROR('4. NPV'!HAH23/'4. NPV'!HAH$8,0)</f>
        <v>-0.0</v>
      </c>
      <c r="HAH53" s="5">
        <f>-IFERROR('4. NPV'!HAI23/'4. NPV'!HAI$8,0)</f>
        <v>-0.0</v>
      </c>
      <c r="HAI53" s="5">
        <f>-IFERROR('4. NPV'!HAJ23/'4. NPV'!HAJ$8,0)</f>
        <v>-0.0</v>
      </c>
      <c r="HAJ53" s="5">
        <f>-IFERROR('4. NPV'!HAK23/'4. NPV'!HAK$8,0)</f>
        <v>-0.0</v>
      </c>
      <c r="HAK53" s="5">
        <f>-IFERROR('4. NPV'!HAL23/'4. NPV'!HAL$8,0)</f>
        <v>-0.0</v>
      </c>
      <c r="HAL53" s="5">
        <f>-IFERROR('4. NPV'!HAM23/'4. NPV'!HAM$8,0)</f>
        <v>-0.0</v>
      </c>
      <c r="HAM53" s="5">
        <f>-IFERROR('4. NPV'!HAN23/'4. NPV'!HAN$8,0)</f>
        <v>-0.0</v>
      </c>
      <c r="HAN53" s="5">
        <f>-IFERROR('4. NPV'!HAO23/'4. NPV'!HAO$8,0)</f>
        <v>-0.0</v>
      </c>
      <c r="HAO53" s="5">
        <f>-IFERROR('4. NPV'!HAP23/'4. NPV'!HAP$8,0)</f>
        <v>-0.0</v>
      </c>
      <c r="HAP53" s="5">
        <f>-IFERROR('4. NPV'!HAQ23/'4. NPV'!HAQ$8,0)</f>
        <v>-0.0</v>
      </c>
      <c r="HAQ53" s="5">
        <f>-IFERROR('4. NPV'!HAR23/'4. NPV'!HAR$8,0)</f>
        <v>-0.0</v>
      </c>
      <c r="HAR53" s="5">
        <f>-IFERROR('4. NPV'!HAS23/'4. NPV'!HAS$8,0)</f>
        <v>-0.0</v>
      </c>
      <c r="HAS53" s="5">
        <f>-IFERROR('4. NPV'!HAT23/'4. NPV'!HAT$8,0)</f>
        <v>-0.0</v>
      </c>
      <c r="HAT53" s="5">
        <f>-IFERROR('4. NPV'!HAU23/'4. NPV'!HAU$8,0)</f>
        <v>-0.0</v>
      </c>
      <c r="HAU53" s="5">
        <f>-IFERROR('4. NPV'!HAV23/'4. NPV'!HAV$8,0)</f>
        <v>-0.0</v>
      </c>
      <c r="HAV53" s="5">
        <f>-IFERROR('4. NPV'!HAW23/'4. NPV'!HAW$8,0)</f>
        <v>-0.0</v>
      </c>
      <c r="HAW53" s="5">
        <f>-IFERROR('4. NPV'!HAX23/'4. NPV'!HAX$8,0)</f>
        <v>-0.0</v>
      </c>
      <c r="HAX53" s="5">
        <f>-IFERROR('4. NPV'!HAY23/'4. NPV'!HAY$8,0)</f>
        <v>-0.0</v>
      </c>
      <c r="HAY53" s="5">
        <f>-IFERROR('4. NPV'!HAZ23/'4. NPV'!HAZ$8,0)</f>
        <v>-0.0</v>
      </c>
      <c r="HAZ53" s="5">
        <f>-IFERROR('4. NPV'!HBA23/'4. NPV'!HBA$8,0)</f>
        <v>-0.0</v>
      </c>
      <c r="HBA53" s="5">
        <f>-IFERROR('4. NPV'!HBB23/'4. NPV'!HBB$8,0)</f>
        <v>-0.0</v>
      </c>
      <c r="HBB53" s="5">
        <f>-IFERROR('4. NPV'!HBC23/'4. NPV'!HBC$8,0)</f>
        <v>-0.0</v>
      </c>
      <c r="HBC53" s="5">
        <f>-IFERROR('4. NPV'!HBD23/'4. NPV'!HBD$8,0)</f>
        <v>-0.0</v>
      </c>
      <c r="HBD53" s="5">
        <f>-IFERROR('4. NPV'!HBE23/'4. NPV'!HBE$8,0)</f>
        <v>-0.0</v>
      </c>
      <c r="HBE53" s="5">
        <f>-IFERROR('4. NPV'!HBF23/'4. NPV'!HBF$8,0)</f>
        <v>-0.0</v>
      </c>
      <c r="HBF53" s="5">
        <f>-IFERROR('4. NPV'!HBG23/'4. NPV'!HBG$8,0)</f>
        <v>-0.0</v>
      </c>
      <c r="HBG53" s="5">
        <f>-IFERROR('4. NPV'!HBH23/'4. NPV'!HBH$8,0)</f>
        <v>-0.0</v>
      </c>
      <c r="HBH53" s="5">
        <f>-IFERROR('4. NPV'!HBI23/'4. NPV'!HBI$8,0)</f>
        <v>-0.0</v>
      </c>
      <c r="HBI53" s="5">
        <f>-IFERROR('4. NPV'!HBJ23/'4. NPV'!HBJ$8,0)</f>
        <v>-0.0</v>
      </c>
      <c r="HBJ53" s="5">
        <f>-IFERROR('4. NPV'!HBK23/'4. NPV'!HBK$8,0)</f>
        <v>-0.0</v>
      </c>
      <c r="HBK53" s="5">
        <f>-IFERROR('4. NPV'!HBL23/'4. NPV'!HBL$8,0)</f>
        <v>-0.0</v>
      </c>
      <c r="HBL53" s="5">
        <f>-IFERROR('4. NPV'!HBM23/'4. NPV'!HBM$8,0)</f>
        <v>-0.0</v>
      </c>
      <c r="HBM53" s="5">
        <f>-IFERROR('4. NPV'!HBN23/'4. NPV'!HBN$8,0)</f>
        <v>-0.0</v>
      </c>
      <c r="HBN53" s="5">
        <f>-IFERROR('4. NPV'!HBO23/'4. NPV'!HBO$8,0)</f>
        <v>-0.0</v>
      </c>
      <c r="HBO53" s="5">
        <f>-IFERROR('4. NPV'!HBP23/'4. NPV'!HBP$8,0)</f>
        <v>-0.0</v>
      </c>
      <c r="HBP53" s="5">
        <f>-IFERROR('4. NPV'!HBQ23/'4. NPV'!HBQ$8,0)</f>
        <v>-0.0</v>
      </c>
      <c r="HBQ53" s="5">
        <f>-IFERROR('4. NPV'!HBR23/'4. NPV'!HBR$8,0)</f>
        <v>-0.0</v>
      </c>
      <c r="HBR53" s="5">
        <f>-IFERROR('4. NPV'!HBS23/'4. NPV'!HBS$8,0)</f>
        <v>-0.0</v>
      </c>
      <c r="HBS53" s="5">
        <f>-IFERROR('4. NPV'!HBT23/'4. NPV'!HBT$8,0)</f>
        <v>-0.0</v>
      </c>
      <c r="HBT53" s="5">
        <f>-IFERROR('4. NPV'!HBU23/'4. NPV'!HBU$8,0)</f>
        <v>-0.0</v>
      </c>
      <c r="HBU53" s="5">
        <f>-IFERROR('4. NPV'!HBV23/'4. NPV'!HBV$8,0)</f>
        <v>-0.0</v>
      </c>
      <c r="HBV53" s="5">
        <f>-IFERROR('4. NPV'!HBW23/'4. NPV'!HBW$8,0)</f>
        <v>-0.0</v>
      </c>
      <c r="HBW53" s="5">
        <f>-IFERROR('4. NPV'!HBX23/'4. NPV'!HBX$8,0)</f>
        <v>-0.0</v>
      </c>
      <c r="HBX53" s="5">
        <f>-IFERROR('4. NPV'!HBY23/'4. NPV'!HBY$8,0)</f>
        <v>-0.0</v>
      </c>
      <c r="HBY53" s="5">
        <f>-IFERROR('4. NPV'!HBZ23/'4. NPV'!HBZ$8,0)</f>
        <v>-0.0</v>
      </c>
      <c r="HBZ53" s="5">
        <f>-IFERROR('4. NPV'!HCA23/'4. NPV'!HCA$8,0)</f>
        <v>-0.0</v>
      </c>
      <c r="HCA53" s="5">
        <f>-IFERROR('4. NPV'!HCB23/'4. NPV'!HCB$8,0)</f>
        <v>-0.0</v>
      </c>
      <c r="HCB53" s="5">
        <f>-IFERROR('4. NPV'!HCC23/'4. NPV'!HCC$8,0)</f>
        <v>-0.0</v>
      </c>
      <c r="HCC53" s="5">
        <f>-IFERROR('4. NPV'!HCD23/'4. NPV'!HCD$8,0)</f>
        <v>-0.0</v>
      </c>
      <c r="HCD53" s="5">
        <f>-IFERROR('4. NPV'!HCE23/'4. NPV'!HCE$8,0)</f>
        <v>-0.0</v>
      </c>
      <c r="HCE53" s="5">
        <f>-IFERROR('4. NPV'!HCF23/'4. NPV'!HCF$8,0)</f>
        <v>-0.0</v>
      </c>
      <c r="HCF53" s="5">
        <f>-IFERROR('4. NPV'!HCG23/'4. NPV'!HCG$8,0)</f>
        <v>-0.0</v>
      </c>
      <c r="HCG53" s="5">
        <f>-IFERROR('4. NPV'!HCH23/'4. NPV'!HCH$8,0)</f>
        <v>-0.0</v>
      </c>
      <c r="HCH53" s="5">
        <f>-IFERROR('4. NPV'!HCI23/'4. NPV'!HCI$8,0)</f>
        <v>-0.0</v>
      </c>
      <c r="HCI53" s="5">
        <f>-IFERROR('4. NPV'!HCJ23/'4. NPV'!HCJ$8,0)</f>
        <v>-0.0</v>
      </c>
      <c r="HCJ53" s="5">
        <f>-IFERROR('4. NPV'!HCK23/'4. NPV'!HCK$8,0)</f>
        <v>-0.0</v>
      </c>
      <c r="HCK53" s="5">
        <f>-IFERROR('4. NPV'!HCL23/'4. NPV'!HCL$8,0)</f>
        <v>-0.0</v>
      </c>
      <c r="HCL53" s="5">
        <f>-IFERROR('4. NPV'!HCM23/'4. NPV'!HCM$8,0)</f>
        <v>-0.0</v>
      </c>
      <c r="HCM53" s="5">
        <f>-IFERROR('4. NPV'!HCN23/'4. NPV'!HCN$8,0)</f>
        <v>-0.0</v>
      </c>
      <c r="HCN53" s="5">
        <f>-IFERROR('4. NPV'!HCO23/'4. NPV'!HCO$8,0)</f>
        <v>-0.0</v>
      </c>
      <c r="HCO53" s="5">
        <f>-IFERROR('4. NPV'!HCP23/'4. NPV'!HCP$8,0)</f>
        <v>-0.0</v>
      </c>
      <c r="HCP53" s="5">
        <f>-IFERROR('4. NPV'!HCQ23/'4. NPV'!HCQ$8,0)</f>
        <v>-0.0</v>
      </c>
      <c r="HCQ53" s="5">
        <f>-IFERROR('4. NPV'!HCR23/'4. NPV'!HCR$8,0)</f>
        <v>-0.0</v>
      </c>
      <c r="HCR53" s="5">
        <f>-IFERROR('4. NPV'!HCS23/'4. NPV'!HCS$8,0)</f>
        <v>-0.0</v>
      </c>
      <c r="HCS53" s="5">
        <f>-IFERROR('4. NPV'!HCT23/'4. NPV'!HCT$8,0)</f>
        <v>-0.0</v>
      </c>
      <c r="HCT53" s="5">
        <f>-IFERROR('4. NPV'!HCU23/'4. NPV'!HCU$8,0)</f>
        <v>-0.0</v>
      </c>
      <c r="HCU53" s="5">
        <f>-IFERROR('4. NPV'!HCV23/'4. NPV'!HCV$8,0)</f>
        <v>-0.0</v>
      </c>
      <c r="HCV53" s="5">
        <f>-IFERROR('4. NPV'!HCW23/'4. NPV'!HCW$8,0)</f>
        <v>-0.0</v>
      </c>
      <c r="HCW53" s="5">
        <f>-IFERROR('4. NPV'!HCX23/'4. NPV'!HCX$8,0)</f>
        <v>-0.0</v>
      </c>
      <c r="HCX53" s="5">
        <f>-IFERROR('4. NPV'!HCY23/'4. NPV'!HCY$8,0)</f>
        <v>-0.0</v>
      </c>
      <c r="HCY53" s="5">
        <f>-IFERROR('4. NPV'!HCZ23/'4. NPV'!HCZ$8,0)</f>
        <v>-0.0</v>
      </c>
      <c r="HCZ53" s="5">
        <f>-IFERROR('4. NPV'!HDA23/'4. NPV'!HDA$8,0)</f>
        <v>-0.0</v>
      </c>
      <c r="HDA53" s="5">
        <f>-IFERROR('4. NPV'!HDB23/'4. NPV'!HDB$8,0)</f>
        <v>-0.0</v>
      </c>
      <c r="HDB53" s="5">
        <f>-IFERROR('4. NPV'!HDC23/'4. NPV'!HDC$8,0)</f>
        <v>-0.0</v>
      </c>
      <c r="HDC53" s="5">
        <f>-IFERROR('4. NPV'!HDD23/'4. NPV'!HDD$8,0)</f>
        <v>-0.0</v>
      </c>
      <c r="HDD53" s="5">
        <f>-IFERROR('4. NPV'!HDE23/'4. NPV'!HDE$8,0)</f>
        <v>-0.0</v>
      </c>
      <c r="HDE53" s="5">
        <f>-IFERROR('4. NPV'!HDF23/'4. NPV'!HDF$8,0)</f>
        <v>-0.0</v>
      </c>
      <c r="HDF53" s="5">
        <f>-IFERROR('4. NPV'!HDG23/'4. NPV'!HDG$8,0)</f>
        <v>-0.0</v>
      </c>
      <c r="HDG53" s="5">
        <f>-IFERROR('4. NPV'!HDH23/'4. NPV'!HDH$8,0)</f>
        <v>-0.0</v>
      </c>
      <c r="HDH53" s="5">
        <f>-IFERROR('4. NPV'!HDI23/'4. NPV'!HDI$8,0)</f>
        <v>-0.0</v>
      </c>
      <c r="HDI53" s="5">
        <f>-IFERROR('4. NPV'!HDJ23/'4. NPV'!HDJ$8,0)</f>
        <v>-0.0</v>
      </c>
      <c r="HDJ53" s="5">
        <f>-IFERROR('4. NPV'!HDK23/'4. NPV'!HDK$8,0)</f>
        <v>-0.0</v>
      </c>
      <c r="HDK53" s="5">
        <f>-IFERROR('4. NPV'!HDL23/'4. NPV'!HDL$8,0)</f>
        <v>-0.0</v>
      </c>
      <c r="HDL53" s="5">
        <f>-IFERROR('4. NPV'!HDM23/'4. NPV'!HDM$8,0)</f>
        <v>-0.0</v>
      </c>
      <c r="HDM53" s="5">
        <f>-IFERROR('4. NPV'!HDN23/'4. NPV'!HDN$8,0)</f>
        <v>-0.0</v>
      </c>
      <c r="HDN53" s="5">
        <f>-IFERROR('4. NPV'!HDO23/'4. NPV'!HDO$8,0)</f>
        <v>-0.0</v>
      </c>
      <c r="HDO53" s="5">
        <f>-IFERROR('4. NPV'!HDP23/'4. NPV'!HDP$8,0)</f>
        <v>-0.0</v>
      </c>
      <c r="HDP53" s="5">
        <f>-IFERROR('4. NPV'!HDQ23/'4. NPV'!HDQ$8,0)</f>
        <v>-0.0</v>
      </c>
      <c r="HDQ53" s="5">
        <f>-IFERROR('4. NPV'!HDR23/'4. NPV'!HDR$8,0)</f>
        <v>-0.0</v>
      </c>
      <c r="HDR53" s="5">
        <f>-IFERROR('4. NPV'!HDS23/'4. NPV'!HDS$8,0)</f>
        <v>-0.0</v>
      </c>
      <c r="HDS53" s="5">
        <f>-IFERROR('4. NPV'!HDT23/'4. NPV'!HDT$8,0)</f>
        <v>-0.0</v>
      </c>
      <c r="HDT53" s="5">
        <f>-IFERROR('4. NPV'!HDU23/'4. NPV'!HDU$8,0)</f>
        <v>-0.0</v>
      </c>
      <c r="HDU53" s="5">
        <f>-IFERROR('4. NPV'!HDV23/'4. NPV'!HDV$8,0)</f>
        <v>-0.0</v>
      </c>
      <c r="HDV53" s="5">
        <f>-IFERROR('4. NPV'!HDW23/'4. NPV'!HDW$8,0)</f>
        <v>-0.0</v>
      </c>
      <c r="HDW53" s="5">
        <f>-IFERROR('4. NPV'!HDX23/'4. NPV'!HDX$8,0)</f>
        <v>-0.0</v>
      </c>
      <c r="HDX53" s="5">
        <f>-IFERROR('4. NPV'!HDY23/'4. NPV'!HDY$8,0)</f>
        <v>-0.0</v>
      </c>
      <c r="HDY53" s="5">
        <f>-IFERROR('4. NPV'!HDZ23/'4. NPV'!HDZ$8,0)</f>
        <v>-0.0</v>
      </c>
      <c r="HDZ53" s="5">
        <f>-IFERROR('4. NPV'!HEA23/'4. NPV'!HEA$8,0)</f>
        <v>-0.0</v>
      </c>
      <c r="HEA53" s="5">
        <f>-IFERROR('4. NPV'!HEB23/'4. NPV'!HEB$8,0)</f>
        <v>-0.0</v>
      </c>
      <c r="HEB53" s="5">
        <f>-IFERROR('4. NPV'!HEC23/'4. NPV'!HEC$8,0)</f>
        <v>-0.0</v>
      </c>
      <c r="HEC53" s="5">
        <f>-IFERROR('4. NPV'!HED23/'4. NPV'!HED$8,0)</f>
        <v>-0.0</v>
      </c>
      <c r="HED53" s="5">
        <f>-IFERROR('4. NPV'!HEE23/'4. NPV'!HEE$8,0)</f>
        <v>-0.0</v>
      </c>
      <c r="HEE53" s="5">
        <f>-IFERROR('4. NPV'!HEF23/'4. NPV'!HEF$8,0)</f>
        <v>-0.0</v>
      </c>
      <c r="HEF53" s="5">
        <f>-IFERROR('4. NPV'!HEG23/'4. NPV'!HEG$8,0)</f>
        <v>-0.0</v>
      </c>
      <c r="HEG53" s="5">
        <f>-IFERROR('4. NPV'!HEH23/'4. NPV'!HEH$8,0)</f>
        <v>-0.0</v>
      </c>
      <c r="HEH53" s="5">
        <f>-IFERROR('4. NPV'!HEI23/'4. NPV'!HEI$8,0)</f>
        <v>-0.0</v>
      </c>
      <c r="HEI53" s="5">
        <f>-IFERROR('4. NPV'!HEJ23/'4. NPV'!HEJ$8,0)</f>
        <v>-0.0</v>
      </c>
      <c r="HEJ53" s="5">
        <f>-IFERROR('4. NPV'!HEK23/'4. NPV'!HEK$8,0)</f>
        <v>-0.0</v>
      </c>
      <c r="HEK53" s="5">
        <f>-IFERROR('4. NPV'!HEL23/'4. NPV'!HEL$8,0)</f>
        <v>-0.0</v>
      </c>
      <c r="HEL53" s="5">
        <f>-IFERROR('4. NPV'!HEM23/'4. NPV'!HEM$8,0)</f>
        <v>-0.0</v>
      </c>
      <c r="HEM53" s="5">
        <f>-IFERROR('4. NPV'!HEN23/'4. NPV'!HEN$8,0)</f>
        <v>-0.0</v>
      </c>
      <c r="HEN53" s="5">
        <f>-IFERROR('4. NPV'!HEO23/'4. NPV'!HEO$8,0)</f>
        <v>-0.0</v>
      </c>
      <c r="HEO53" s="5">
        <f>-IFERROR('4. NPV'!HEP23/'4. NPV'!HEP$8,0)</f>
        <v>-0.0</v>
      </c>
      <c r="HEP53" s="5">
        <f>-IFERROR('4. NPV'!HEQ23/'4. NPV'!HEQ$8,0)</f>
        <v>-0.0</v>
      </c>
      <c r="HEQ53" s="5">
        <f>-IFERROR('4. NPV'!HER23/'4. NPV'!HER$8,0)</f>
        <v>-0.0</v>
      </c>
      <c r="HER53" s="5">
        <f>-IFERROR('4. NPV'!HES23/'4. NPV'!HES$8,0)</f>
        <v>-0.0</v>
      </c>
      <c r="HES53" s="5">
        <f>-IFERROR('4. NPV'!HET23/'4. NPV'!HET$8,0)</f>
        <v>-0.0</v>
      </c>
      <c r="HET53" s="5">
        <f>-IFERROR('4. NPV'!HEU23/'4. NPV'!HEU$8,0)</f>
        <v>-0.0</v>
      </c>
      <c r="HEU53" s="5">
        <f>-IFERROR('4. NPV'!HEV23/'4. NPV'!HEV$8,0)</f>
        <v>-0.0</v>
      </c>
      <c r="HEV53" s="5">
        <f>-IFERROR('4. NPV'!HEW23/'4. NPV'!HEW$8,0)</f>
        <v>-0.0</v>
      </c>
      <c r="HEW53" s="5">
        <f>-IFERROR('4. NPV'!HEX23/'4. NPV'!HEX$8,0)</f>
        <v>-0.0</v>
      </c>
      <c r="HEX53" s="5">
        <f>-IFERROR('4. NPV'!HEY23/'4. NPV'!HEY$8,0)</f>
        <v>-0.0</v>
      </c>
      <c r="HEY53" s="5">
        <f>-IFERROR('4. NPV'!HEZ23/'4. NPV'!HEZ$8,0)</f>
        <v>-0.0</v>
      </c>
      <c r="HEZ53" s="5">
        <f>-IFERROR('4. NPV'!HFA23/'4. NPV'!HFA$8,0)</f>
        <v>-0.0</v>
      </c>
      <c r="HFA53" s="5">
        <f>-IFERROR('4. NPV'!HFB23/'4. NPV'!HFB$8,0)</f>
        <v>-0.0</v>
      </c>
      <c r="HFB53" s="5">
        <f>-IFERROR('4. NPV'!HFC23/'4. NPV'!HFC$8,0)</f>
        <v>-0.0</v>
      </c>
      <c r="HFC53" s="5">
        <f>-IFERROR('4. NPV'!HFD23/'4. NPV'!HFD$8,0)</f>
        <v>-0.0</v>
      </c>
      <c r="HFD53" s="5">
        <f>-IFERROR('4. NPV'!HFE23/'4. NPV'!HFE$8,0)</f>
        <v>-0.0</v>
      </c>
      <c r="HFE53" s="5">
        <f>-IFERROR('4. NPV'!HFF23/'4. NPV'!HFF$8,0)</f>
        <v>-0.0</v>
      </c>
      <c r="HFF53" s="5">
        <f>-IFERROR('4. NPV'!HFG23/'4. NPV'!HFG$8,0)</f>
        <v>-0.0</v>
      </c>
      <c r="HFG53" s="5">
        <f>-IFERROR('4. NPV'!HFH23/'4. NPV'!HFH$8,0)</f>
        <v>-0.0</v>
      </c>
      <c r="HFH53" s="5">
        <f>-IFERROR('4. NPV'!HFI23/'4. NPV'!HFI$8,0)</f>
        <v>-0.0</v>
      </c>
      <c r="HFI53" s="5">
        <f>-IFERROR('4. NPV'!HFJ23/'4. NPV'!HFJ$8,0)</f>
        <v>-0.0</v>
      </c>
      <c r="HFJ53" s="5">
        <f>-IFERROR('4. NPV'!HFK23/'4. NPV'!HFK$8,0)</f>
        <v>-0.0</v>
      </c>
      <c r="HFK53" s="5">
        <f>-IFERROR('4. NPV'!HFL23/'4. NPV'!HFL$8,0)</f>
        <v>-0.0</v>
      </c>
      <c r="HFL53" s="5">
        <f>-IFERROR('4. NPV'!HFM23/'4. NPV'!HFM$8,0)</f>
        <v>-0.0</v>
      </c>
      <c r="HFM53" s="5">
        <f>-IFERROR('4. NPV'!HFN23/'4. NPV'!HFN$8,0)</f>
        <v>-0.0</v>
      </c>
      <c r="HFN53" s="5">
        <f>-IFERROR('4. NPV'!HFO23/'4. NPV'!HFO$8,0)</f>
        <v>-0.0</v>
      </c>
      <c r="HFO53" s="5">
        <f>-IFERROR('4. NPV'!HFP23/'4. NPV'!HFP$8,0)</f>
        <v>-0.0</v>
      </c>
      <c r="HFP53" s="5">
        <f>-IFERROR('4. NPV'!HFQ23/'4. NPV'!HFQ$8,0)</f>
        <v>-0.0</v>
      </c>
      <c r="HFQ53" s="5">
        <f>-IFERROR('4. NPV'!HFR23/'4. NPV'!HFR$8,0)</f>
        <v>-0.0</v>
      </c>
      <c r="HFR53" s="5">
        <f>-IFERROR('4. NPV'!HFS23/'4. NPV'!HFS$8,0)</f>
        <v>-0.0</v>
      </c>
      <c r="HFS53" s="5">
        <f>-IFERROR('4. NPV'!HFT23/'4. NPV'!HFT$8,0)</f>
        <v>-0.0</v>
      </c>
      <c r="HFT53" s="5">
        <f>-IFERROR('4. NPV'!HFU23/'4. NPV'!HFU$8,0)</f>
        <v>-0.0</v>
      </c>
      <c r="HFU53" s="5">
        <f>-IFERROR('4. NPV'!HFV23/'4. NPV'!HFV$8,0)</f>
        <v>-0.0</v>
      </c>
      <c r="HFV53" s="5">
        <f>-IFERROR('4. NPV'!HFW23/'4. NPV'!HFW$8,0)</f>
        <v>-0.0</v>
      </c>
      <c r="HFW53" s="5">
        <f>-IFERROR('4. NPV'!HFX23/'4. NPV'!HFX$8,0)</f>
        <v>-0.0</v>
      </c>
      <c r="HFX53" s="5">
        <f>-IFERROR('4. NPV'!HFY23/'4. NPV'!HFY$8,0)</f>
        <v>-0.0</v>
      </c>
      <c r="HFY53" s="5">
        <f>-IFERROR('4. NPV'!HFZ23/'4. NPV'!HFZ$8,0)</f>
        <v>-0.0</v>
      </c>
      <c r="HFZ53" s="5">
        <f>-IFERROR('4. NPV'!HGA23/'4. NPV'!HGA$8,0)</f>
        <v>-0.0</v>
      </c>
      <c r="HGA53" s="5">
        <f>-IFERROR('4. NPV'!HGB23/'4. NPV'!HGB$8,0)</f>
        <v>-0.0</v>
      </c>
      <c r="HGB53" s="5">
        <f>-IFERROR('4. NPV'!HGC23/'4. NPV'!HGC$8,0)</f>
        <v>-0.0</v>
      </c>
      <c r="HGC53" s="5">
        <f>-IFERROR('4. NPV'!HGD23/'4. NPV'!HGD$8,0)</f>
        <v>-0.0</v>
      </c>
      <c r="HGD53" s="5">
        <f>-IFERROR('4. NPV'!HGE23/'4. NPV'!HGE$8,0)</f>
        <v>-0.0</v>
      </c>
      <c r="HGE53" s="5">
        <f>-IFERROR('4. NPV'!HGF23/'4. NPV'!HGF$8,0)</f>
        <v>-0.0</v>
      </c>
      <c r="HGF53" s="5">
        <f>-IFERROR('4. NPV'!HGG23/'4. NPV'!HGG$8,0)</f>
        <v>-0.0</v>
      </c>
      <c r="HGG53" s="5">
        <f>-IFERROR('4. NPV'!HGH23/'4. NPV'!HGH$8,0)</f>
        <v>-0.0</v>
      </c>
      <c r="HGH53" s="5">
        <f>-IFERROR('4. NPV'!HGI23/'4. NPV'!HGI$8,0)</f>
        <v>-0.0</v>
      </c>
      <c r="HGI53" s="5">
        <f>-IFERROR('4. NPV'!HGJ23/'4. NPV'!HGJ$8,0)</f>
        <v>-0.0</v>
      </c>
      <c r="HGJ53" s="5">
        <f>-IFERROR('4. NPV'!HGK23/'4. NPV'!HGK$8,0)</f>
        <v>-0.0</v>
      </c>
      <c r="HGK53" s="5">
        <f>-IFERROR('4. NPV'!HGL23/'4. NPV'!HGL$8,0)</f>
        <v>-0.0</v>
      </c>
      <c r="HGL53" s="5">
        <f>-IFERROR('4. NPV'!HGM23/'4. NPV'!HGM$8,0)</f>
        <v>-0.0</v>
      </c>
      <c r="HGM53" s="5">
        <f>-IFERROR('4. NPV'!HGN23/'4. NPV'!HGN$8,0)</f>
        <v>-0.0</v>
      </c>
      <c r="HGN53" s="5">
        <f>-IFERROR('4. NPV'!HGO23/'4. NPV'!HGO$8,0)</f>
        <v>-0.0</v>
      </c>
      <c r="HGO53" s="5">
        <f>-IFERROR('4. NPV'!HGP23/'4. NPV'!HGP$8,0)</f>
        <v>-0.0</v>
      </c>
      <c r="HGP53" s="5">
        <f>-IFERROR('4. NPV'!HGQ23/'4. NPV'!HGQ$8,0)</f>
        <v>-0.0</v>
      </c>
      <c r="HGQ53" s="5">
        <f>-IFERROR('4. NPV'!HGR23/'4. NPV'!HGR$8,0)</f>
        <v>-0.0</v>
      </c>
      <c r="HGR53" s="5">
        <f>-IFERROR('4. NPV'!HGS23/'4. NPV'!HGS$8,0)</f>
        <v>-0.0</v>
      </c>
      <c r="HGS53" s="5">
        <f>-IFERROR('4. NPV'!HGT23/'4. NPV'!HGT$8,0)</f>
        <v>-0.0</v>
      </c>
      <c r="HGT53" s="5">
        <f>-IFERROR('4. NPV'!HGU23/'4. NPV'!HGU$8,0)</f>
        <v>-0.0</v>
      </c>
      <c r="HGU53" s="5">
        <f>-IFERROR('4. NPV'!HGV23/'4. NPV'!HGV$8,0)</f>
        <v>-0.0</v>
      </c>
      <c r="HGV53" s="5">
        <f>-IFERROR('4. NPV'!HGW23/'4. NPV'!HGW$8,0)</f>
        <v>-0.0</v>
      </c>
      <c r="HGW53" s="5">
        <f>-IFERROR('4. NPV'!HGX23/'4. NPV'!HGX$8,0)</f>
        <v>-0.0</v>
      </c>
      <c r="HGX53" s="5">
        <f>-IFERROR('4. NPV'!HGY23/'4. NPV'!HGY$8,0)</f>
        <v>-0.0</v>
      </c>
      <c r="HGY53" s="5">
        <f>-IFERROR('4. NPV'!HGZ23/'4. NPV'!HGZ$8,0)</f>
        <v>-0.0</v>
      </c>
      <c r="HGZ53" s="5">
        <f>-IFERROR('4. NPV'!HHA23/'4. NPV'!HHA$8,0)</f>
        <v>-0.0</v>
      </c>
      <c r="HHA53" s="5">
        <f>-IFERROR('4. NPV'!HHB23/'4. NPV'!HHB$8,0)</f>
        <v>-0.0</v>
      </c>
      <c r="HHB53" s="5">
        <f>-IFERROR('4. NPV'!HHC23/'4. NPV'!HHC$8,0)</f>
        <v>-0.0</v>
      </c>
      <c r="HHC53" s="5">
        <f>-IFERROR('4. NPV'!HHD23/'4. NPV'!HHD$8,0)</f>
        <v>-0.0</v>
      </c>
      <c r="HHD53" s="5">
        <f>-IFERROR('4. NPV'!HHE23/'4. NPV'!HHE$8,0)</f>
        <v>-0.0</v>
      </c>
      <c r="HHE53" s="5">
        <f>-IFERROR('4. NPV'!HHF23/'4. NPV'!HHF$8,0)</f>
        <v>-0.0</v>
      </c>
      <c r="HHF53" s="5">
        <f>-IFERROR('4. NPV'!HHG23/'4. NPV'!HHG$8,0)</f>
        <v>-0.0</v>
      </c>
      <c r="HHG53" s="5">
        <f>-IFERROR('4. NPV'!HHH23/'4. NPV'!HHH$8,0)</f>
        <v>-0.0</v>
      </c>
      <c r="HHH53" s="5">
        <f>-IFERROR('4. NPV'!HHI23/'4. NPV'!HHI$8,0)</f>
        <v>-0.0</v>
      </c>
      <c r="HHI53" s="5">
        <f>-IFERROR('4. NPV'!HHJ23/'4. NPV'!HHJ$8,0)</f>
        <v>-0.0</v>
      </c>
      <c r="HHJ53" s="5">
        <f>-IFERROR('4. NPV'!HHK23/'4. NPV'!HHK$8,0)</f>
        <v>-0.0</v>
      </c>
      <c r="HHK53" s="5">
        <f>-IFERROR('4. NPV'!HHL23/'4. NPV'!HHL$8,0)</f>
        <v>-0.0</v>
      </c>
      <c r="HHL53" s="5">
        <f>-IFERROR('4. NPV'!HHM23/'4. NPV'!HHM$8,0)</f>
        <v>-0.0</v>
      </c>
      <c r="HHM53" s="5">
        <f>-IFERROR('4. NPV'!HHN23/'4. NPV'!HHN$8,0)</f>
        <v>-0.0</v>
      </c>
      <c r="HHN53" s="5">
        <f>-IFERROR('4. NPV'!HHO23/'4. NPV'!HHO$8,0)</f>
        <v>-0.0</v>
      </c>
      <c r="HHO53" s="5">
        <f>-IFERROR('4. NPV'!HHP23/'4. NPV'!HHP$8,0)</f>
        <v>-0.0</v>
      </c>
      <c r="HHP53" s="5">
        <f>-IFERROR('4. NPV'!HHQ23/'4. NPV'!HHQ$8,0)</f>
        <v>-0.0</v>
      </c>
      <c r="HHQ53" s="5">
        <f>-IFERROR('4. NPV'!HHR23/'4. NPV'!HHR$8,0)</f>
        <v>-0.0</v>
      </c>
      <c r="HHR53" s="5">
        <f>-IFERROR('4. NPV'!HHS23/'4. NPV'!HHS$8,0)</f>
        <v>-0.0</v>
      </c>
      <c r="HHS53" s="5">
        <f>-IFERROR('4. NPV'!HHT23/'4. NPV'!HHT$8,0)</f>
        <v>-0.0</v>
      </c>
      <c r="HHT53" s="5">
        <f>-IFERROR('4. NPV'!HHU23/'4. NPV'!HHU$8,0)</f>
        <v>-0.0</v>
      </c>
      <c r="HHU53" s="5">
        <f>-IFERROR('4. NPV'!HHV23/'4. NPV'!HHV$8,0)</f>
        <v>-0.0</v>
      </c>
      <c r="HHV53" s="5">
        <f>-IFERROR('4. NPV'!HHW23/'4. NPV'!HHW$8,0)</f>
        <v>-0.0</v>
      </c>
      <c r="HHW53" s="5">
        <f>-IFERROR('4. NPV'!HHX23/'4. NPV'!HHX$8,0)</f>
        <v>-0.0</v>
      </c>
      <c r="HHX53" s="5">
        <f>-IFERROR('4. NPV'!HHY23/'4. NPV'!HHY$8,0)</f>
        <v>-0.0</v>
      </c>
      <c r="HHY53" s="5">
        <f>-IFERROR('4. NPV'!HHZ23/'4. NPV'!HHZ$8,0)</f>
        <v>-0.0</v>
      </c>
      <c r="HHZ53" s="5">
        <f>-IFERROR('4. NPV'!HIA23/'4. NPV'!HIA$8,0)</f>
        <v>-0.0</v>
      </c>
      <c r="HIA53" s="5">
        <f>-IFERROR('4. NPV'!HIB23/'4. NPV'!HIB$8,0)</f>
        <v>-0.0</v>
      </c>
      <c r="HIB53" s="5">
        <f>-IFERROR('4. NPV'!HIC23/'4. NPV'!HIC$8,0)</f>
        <v>-0.0</v>
      </c>
      <c r="HIC53" s="5">
        <f>-IFERROR('4. NPV'!HID23/'4. NPV'!HID$8,0)</f>
        <v>-0.0</v>
      </c>
      <c r="HID53" s="5">
        <f>-IFERROR('4. NPV'!HIE23/'4. NPV'!HIE$8,0)</f>
        <v>-0.0</v>
      </c>
      <c r="HIE53" s="5">
        <f>-IFERROR('4. NPV'!HIF23/'4. NPV'!HIF$8,0)</f>
        <v>-0.0</v>
      </c>
      <c r="HIF53" s="5">
        <f>-IFERROR('4. NPV'!HIG23/'4. NPV'!HIG$8,0)</f>
        <v>-0.0</v>
      </c>
      <c r="HIG53" s="5">
        <f>-IFERROR('4. NPV'!HIH23/'4. NPV'!HIH$8,0)</f>
        <v>-0.0</v>
      </c>
      <c r="HIH53" s="5">
        <f>-IFERROR('4. NPV'!HII23/'4. NPV'!HII$8,0)</f>
        <v>-0.0</v>
      </c>
      <c r="HII53" s="5">
        <f>-IFERROR('4. NPV'!HIJ23/'4. NPV'!HIJ$8,0)</f>
        <v>-0.0</v>
      </c>
      <c r="HIJ53" s="5">
        <f>-IFERROR('4. NPV'!HIK23/'4. NPV'!HIK$8,0)</f>
        <v>-0.0</v>
      </c>
      <c r="HIK53" s="5">
        <f>-IFERROR('4. NPV'!HIL23/'4. NPV'!HIL$8,0)</f>
        <v>-0.0</v>
      </c>
      <c r="HIL53" s="5">
        <f>-IFERROR('4. NPV'!HIM23/'4. NPV'!HIM$8,0)</f>
        <v>-0.0</v>
      </c>
      <c r="HIM53" s="5">
        <f>-IFERROR('4. NPV'!HIN23/'4. NPV'!HIN$8,0)</f>
        <v>-0.0</v>
      </c>
      <c r="HIN53" s="5">
        <f>-IFERROR('4. NPV'!HIO23/'4. NPV'!HIO$8,0)</f>
        <v>-0.0</v>
      </c>
      <c r="HIO53" s="5">
        <f>-IFERROR('4. NPV'!HIP23/'4. NPV'!HIP$8,0)</f>
        <v>-0.0</v>
      </c>
      <c r="HIP53" s="5">
        <f>-IFERROR('4. NPV'!HIQ23/'4. NPV'!HIQ$8,0)</f>
        <v>-0.0</v>
      </c>
      <c r="HIQ53" s="5">
        <f>-IFERROR('4. NPV'!HIR23/'4. NPV'!HIR$8,0)</f>
        <v>-0.0</v>
      </c>
      <c r="HIR53" s="5">
        <f>-IFERROR('4. NPV'!HIS23/'4. NPV'!HIS$8,0)</f>
        <v>-0.0</v>
      </c>
      <c r="HIS53" s="5">
        <f>-IFERROR('4. NPV'!HIT23/'4. NPV'!HIT$8,0)</f>
        <v>-0.0</v>
      </c>
      <c r="HIT53" s="5">
        <f>-IFERROR('4. NPV'!HIU23/'4. NPV'!HIU$8,0)</f>
        <v>-0.0</v>
      </c>
      <c r="HIU53" s="5">
        <f>-IFERROR('4. NPV'!HIV23/'4. NPV'!HIV$8,0)</f>
        <v>-0.0</v>
      </c>
      <c r="HIV53" s="5">
        <f>-IFERROR('4. NPV'!HIW23/'4. NPV'!HIW$8,0)</f>
        <v>-0.0</v>
      </c>
      <c r="HIW53" s="5">
        <f>-IFERROR('4. NPV'!HIX23/'4. NPV'!HIX$8,0)</f>
        <v>-0.0</v>
      </c>
      <c r="HIX53" s="5">
        <f>-IFERROR('4. NPV'!HIY23/'4. NPV'!HIY$8,0)</f>
        <v>-0.0</v>
      </c>
      <c r="HIY53" s="5">
        <f>-IFERROR('4. NPV'!HIZ23/'4. NPV'!HIZ$8,0)</f>
        <v>-0.0</v>
      </c>
      <c r="HIZ53" s="5">
        <f>-IFERROR('4. NPV'!HJA23/'4. NPV'!HJA$8,0)</f>
        <v>-0.0</v>
      </c>
      <c r="HJA53" s="5">
        <f>-IFERROR('4. NPV'!HJB23/'4. NPV'!HJB$8,0)</f>
        <v>-0.0</v>
      </c>
      <c r="HJB53" s="5">
        <f>-IFERROR('4. NPV'!HJC23/'4. NPV'!HJC$8,0)</f>
        <v>-0.0</v>
      </c>
      <c r="HJC53" s="5">
        <f>-IFERROR('4. NPV'!HJD23/'4. NPV'!HJD$8,0)</f>
        <v>-0.0</v>
      </c>
      <c r="HJD53" s="5">
        <f>-IFERROR('4. NPV'!HJE23/'4. NPV'!HJE$8,0)</f>
        <v>-0.0</v>
      </c>
      <c r="HJE53" s="5">
        <f>-IFERROR('4. NPV'!HJF23/'4. NPV'!HJF$8,0)</f>
        <v>-0.0</v>
      </c>
      <c r="HJF53" s="5">
        <f>-IFERROR('4. NPV'!HJG23/'4. NPV'!HJG$8,0)</f>
        <v>-0.0</v>
      </c>
      <c r="HJG53" s="5">
        <f>-IFERROR('4. NPV'!HJH23/'4. NPV'!HJH$8,0)</f>
        <v>-0.0</v>
      </c>
      <c r="HJH53" s="5">
        <f>-IFERROR('4. NPV'!HJI23/'4. NPV'!HJI$8,0)</f>
        <v>-0.0</v>
      </c>
      <c r="HJI53" s="5">
        <f>-IFERROR('4. NPV'!HJJ23/'4. NPV'!HJJ$8,0)</f>
        <v>-0.0</v>
      </c>
      <c r="HJJ53" s="5">
        <f>-IFERROR('4. NPV'!HJK23/'4. NPV'!HJK$8,0)</f>
        <v>-0.0</v>
      </c>
      <c r="HJK53" s="5">
        <f>-IFERROR('4. NPV'!HJL23/'4. NPV'!HJL$8,0)</f>
        <v>-0.0</v>
      </c>
      <c r="HJL53" s="5">
        <f>-IFERROR('4. NPV'!HJM23/'4. NPV'!HJM$8,0)</f>
        <v>-0.0</v>
      </c>
      <c r="HJM53" s="5">
        <f>-IFERROR('4. NPV'!HJN23/'4. NPV'!HJN$8,0)</f>
        <v>-0.0</v>
      </c>
      <c r="HJN53" s="5">
        <f>-IFERROR('4. NPV'!HJO23/'4. NPV'!HJO$8,0)</f>
        <v>-0.0</v>
      </c>
      <c r="HJO53" s="5">
        <f>-IFERROR('4. NPV'!HJP23/'4. NPV'!HJP$8,0)</f>
        <v>-0.0</v>
      </c>
      <c r="HJP53" s="5">
        <f>-IFERROR('4. NPV'!HJQ23/'4. NPV'!HJQ$8,0)</f>
        <v>-0.0</v>
      </c>
      <c r="HJQ53" s="5">
        <f>-IFERROR('4. NPV'!HJR23/'4. NPV'!HJR$8,0)</f>
        <v>-0.0</v>
      </c>
      <c r="HJR53" s="5">
        <f>-IFERROR('4. NPV'!HJS23/'4. NPV'!HJS$8,0)</f>
        <v>-0.0</v>
      </c>
      <c r="HJS53" s="5">
        <f>-IFERROR('4. NPV'!HJT23/'4. NPV'!HJT$8,0)</f>
        <v>-0.0</v>
      </c>
      <c r="HJT53" s="5">
        <f>-IFERROR('4. NPV'!HJU23/'4. NPV'!HJU$8,0)</f>
        <v>-0.0</v>
      </c>
      <c r="HJU53" s="5">
        <f>-IFERROR('4. NPV'!HJV23/'4. NPV'!HJV$8,0)</f>
        <v>-0.0</v>
      </c>
      <c r="HJV53" s="5">
        <f>-IFERROR('4. NPV'!HJW23/'4. NPV'!HJW$8,0)</f>
        <v>-0.0</v>
      </c>
      <c r="HJW53" s="5">
        <f>-IFERROR('4. NPV'!HJX23/'4. NPV'!HJX$8,0)</f>
        <v>-0.0</v>
      </c>
      <c r="HJX53" s="5">
        <f>-IFERROR('4. NPV'!HJY23/'4. NPV'!HJY$8,0)</f>
        <v>-0.0</v>
      </c>
      <c r="HJY53" s="5">
        <f>-IFERROR('4. NPV'!HJZ23/'4. NPV'!HJZ$8,0)</f>
        <v>-0.0</v>
      </c>
      <c r="HJZ53" s="5">
        <f>-IFERROR('4. NPV'!HKA23/'4. NPV'!HKA$8,0)</f>
        <v>-0.0</v>
      </c>
      <c r="HKA53" s="5">
        <f>-IFERROR('4. NPV'!HKB23/'4. NPV'!HKB$8,0)</f>
        <v>-0.0</v>
      </c>
      <c r="HKB53" s="5">
        <f>-IFERROR('4. NPV'!HKC23/'4. NPV'!HKC$8,0)</f>
        <v>-0.0</v>
      </c>
      <c r="HKC53" s="5">
        <f>-IFERROR('4. NPV'!HKD23/'4. NPV'!HKD$8,0)</f>
        <v>-0.0</v>
      </c>
      <c r="HKD53" s="5">
        <f>-IFERROR('4. NPV'!HKE23/'4. NPV'!HKE$8,0)</f>
        <v>-0.0</v>
      </c>
      <c r="HKE53" s="5">
        <f>-IFERROR('4. NPV'!HKF23/'4. NPV'!HKF$8,0)</f>
        <v>-0.0</v>
      </c>
      <c r="HKF53" s="5">
        <f>-IFERROR('4. NPV'!HKG23/'4. NPV'!HKG$8,0)</f>
        <v>-0.0</v>
      </c>
      <c r="HKG53" s="5">
        <f>-IFERROR('4. NPV'!HKH23/'4. NPV'!HKH$8,0)</f>
        <v>-0.0</v>
      </c>
      <c r="HKH53" s="5">
        <f>-IFERROR('4. NPV'!HKI23/'4. NPV'!HKI$8,0)</f>
        <v>-0.0</v>
      </c>
      <c r="HKI53" s="5">
        <f>-IFERROR('4. NPV'!HKJ23/'4. NPV'!HKJ$8,0)</f>
        <v>-0.0</v>
      </c>
      <c r="HKJ53" s="5">
        <f>-IFERROR('4. NPV'!HKK23/'4. NPV'!HKK$8,0)</f>
        <v>-0.0</v>
      </c>
      <c r="HKK53" s="5">
        <f>-IFERROR('4. NPV'!HKL23/'4. NPV'!HKL$8,0)</f>
        <v>-0.0</v>
      </c>
      <c r="HKL53" s="5">
        <f>-IFERROR('4. NPV'!HKM23/'4. NPV'!HKM$8,0)</f>
        <v>-0.0</v>
      </c>
      <c r="HKM53" s="5">
        <f>-IFERROR('4. NPV'!HKN23/'4. NPV'!HKN$8,0)</f>
        <v>-0.0</v>
      </c>
      <c r="HKN53" s="5">
        <f>-IFERROR('4. NPV'!HKO23/'4. NPV'!HKO$8,0)</f>
        <v>-0.0</v>
      </c>
      <c r="HKO53" s="5">
        <f>-IFERROR('4. NPV'!HKP23/'4. NPV'!HKP$8,0)</f>
        <v>-0.0</v>
      </c>
      <c r="HKP53" s="5">
        <f>-IFERROR('4. NPV'!HKQ23/'4. NPV'!HKQ$8,0)</f>
        <v>-0.0</v>
      </c>
      <c r="HKQ53" s="5">
        <f>-IFERROR('4. NPV'!HKR23/'4. NPV'!HKR$8,0)</f>
        <v>-0.0</v>
      </c>
      <c r="HKR53" s="5">
        <f>-IFERROR('4. NPV'!HKS23/'4. NPV'!HKS$8,0)</f>
        <v>-0.0</v>
      </c>
      <c r="HKS53" s="5">
        <f>-IFERROR('4. NPV'!HKT23/'4. NPV'!HKT$8,0)</f>
        <v>-0.0</v>
      </c>
      <c r="HKT53" s="5">
        <f>-IFERROR('4. NPV'!HKU23/'4. NPV'!HKU$8,0)</f>
        <v>-0.0</v>
      </c>
      <c r="HKU53" s="5">
        <f>-IFERROR('4. NPV'!HKV23/'4. NPV'!HKV$8,0)</f>
        <v>-0.0</v>
      </c>
      <c r="HKV53" s="5">
        <f>-IFERROR('4. NPV'!HKW23/'4. NPV'!HKW$8,0)</f>
        <v>-0.0</v>
      </c>
      <c r="HKW53" s="5">
        <f>-IFERROR('4. NPV'!HKX23/'4. NPV'!HKX$8,0)</f>
        <v>-0.0</v>
      </c>
      <c r="HKX53" s="5">
        <f>-IFERROR('4. NPV'!HKY23/'4. NPV'!HKY$8,0)</f>
        <v>-0.0</v>
      </c>
      <c r="HKY53" s="5">
        <f>-IFERROR('4. NPV'!HKZ23/'4. NPV'!HKZ$8,0)</f>
        <v>-0.0</v>
      </c>
      <c r="HKZ53" s="5">
        <f>-IFERROR('4. NPV'!HLA23/'4. NPV'!HLA$8,0)</f>
        <v>-0.0</v>
      </c>
      <c r="HLA53" s="5">
        <f>-IFERROR('4. NPV'!HLB23/'4. NPV'!HLB$8,0)</f>
        <v>-0.0</v>
      </c>
      <c r="HLB53" s="5">
        <f>-IFERROR('4. NPV'!HLC23/'4. NPV'!HLC$8,0)</f>
        <v>-0.0</v>
      </c>
      <c r="HLC53" s="5">
        <f>-IFERROR('4. NPV'!HLD23/'4. NPV'!HLD$8,0)</f>
        <v>-0.0</v>
      </c>
      <c r="HLD53" s="5">
        <f>-IFERROR('4. NPV'!HLE23/'4. NPV'!HLE$8,0)</f>
        <v>-0.0</v>
      </c>
      <c r="HLE53" s="5">
        <f>-IFERROR('4. NPV'!HLF23/'4. NPV'!HLF$8,0)</f>
        <v>-0.0</v>
      </c>
      <c r="HLF53" s="5">
        <f>-IFERROR('4. NPV'!HLG23/'4. NPV'!HLG$8,0)</f>
        <v>-0.0</v>
      </c>
      <c r="HLG53" s="5">
        <f>-IFERROR('4. NPV'!HLH23/'4. NPV'!HLH$8,0)</f>
        <v>-0.0</v>
      </c>
      <c r="HLH53" s="5">
        <f>-IFERROR('4. NPV'!HLI23/'4. NPV'!HLI$8,0)</f>
        <v>-0.0</v>
      </c>
      <c r="HLI53" s="5">
        <f>-IFERROR('4. NPV'!HLJ23/'4. NPV'!HLJ$8,0)</f>
        <v>-0.0</v>
      </c>
      <c r="HLJ53" s="5">
        <f>-IFERROR('4. NPV'!HLK23/'4. NPV'!HLK$8,0)</f>
        <v>-0.0</v>
      </c>
      <c r="HLK53" s="5">
        <f>-IFERROR('4. NPV'!HLL23/'4. NPV'!HLL$8,0)</f>
        <v>-0.0</v>
      </c>
      <c r="HLL53" s="5">
        <f>-IFERROR('4. NPV'!HLM23/'4. NPV'!HLM$8,0)</f>
        <v>-0.0</v>
      </c>
      <c r="HLM53" s="5">
        <f>-IFERROR('4. NPV'!HLN23/'4. NPV'!HLN$8,0)</f>
        <v>-0.0</v>
      </c>
      <c r="HLN53" s="5">
        <f>-IFERROR('4. NPV'!HLO23/'4. NPV'!HLO$8,0)</f>
        <v>-0.0</v>
      </c>
      <c r="HLO53" s="5">
        <f>-IFERROR('4. NPV'!HLP23/'4. NPV'!HLP$8,0)</f>
        <v>-0.0</v>
      </c>
      <c r="HLP53" s="5">
        <f>-IFERROR('4. NPV'!HLQ23/'4. NPV'!HLQ$8,0)</f>
        <v>-0.0</v>
      </c>
      <c r="HLQ53" s="5">
        <f>-IFERROR('4. NPV'!HLR23/'4. NPV'!HLR$8,0)</f>
        <v>-0.0</v>
      </c>
      <c r="HLR53" s="5">
        <f>-IFERROR('4. NPV'!HLS23/'4. NPV'!HLS$8,0)</f>
        <v>-0.0</v>
      </c>
      <c r="HLS53" s="5">
        <f>-IFERROR('4. NPV'!HLT23/'4. NPV'!HLT$8,0)</f>
        <v>-0.0</v>
      </c>
      <c r="HLT53" s="5">
        <f>-IFERROR('4. NPV'!HLU23/'4. NPV'!HLU$8,0)</f>
        <v>-0.0</v>
      </c>
      <c r="HLU53" s="5">
        <f>-IFERROR('4. NPV'!HLV23/'4. NPV'!HLV$8,0)</f>
        <v>-0.0</v>
      </c>
      <c r="HLV53" s="5">
        <f>-IFERROR('4. NPV'!HLW23/'4. NPV'!HLW$8,0)</f>
        <v>-0.0</v>
      </c>
      <c r="HLW53" s="5">
        <f>-IFERROR('4. NPV'!HLX23/'4. NPV'!HLX$8,0)</f>
        <v>-0.0</v>
      </c>
      <c r="HLX53" s="5">
        <f>-IFERROR('4. NPV'!HLY23/'4. NPV'!HLY$8,0)</f>
        <v>-0.0</v>
      </c>
      <c r="HLY53" s="5">
        <f>-IFERROR('4. NPV'!HLZ23/'4. NPV'!HLZ$8,0)</f>
        <v>-0.0</v>
      </c>
      <c r="HLZ53" s="5">
        <f>-IFERROR('4. NPV'!HMA23/'4. NPV'!HMA$8,0)</f>
        <v>-0.0</v>
      </c>
      <c r="HMA53" s="5">
        <f>-IFERROR('4. NPV'!HMB23/'4. NPV'!HMB$8,0)</f>
        <v>-0.0</v>
      </c>
      <c r="HMB53" s="5">
        <f>-IFERROR('4. NPV'!HMC23/'4. NPV'!HMC$8,0)</f>
        <v>-0.0</v>
      </c>
      <c r="HMC53" s="5">
        <f>-IFERROR('4. NPV'!HMD23/'4. NPV'!HMD$8,0)</f>
        <v>-0.0</v>
      </c>
      <c r="HMD53" s="5">
        <f>-IFERROR('4. NPV'!HME23/'4. NPV'!HME$8,0)</f>
        <v>-0.0</v>
      </c>
      <c r="HME53" s="5">
        <f>-IFERROR('4. NPV'!HMF23/'4. NPV'!HMF$8,0)</f>
        <v>-0.0</v>
      </c>
      <c r="HMF53" s="5">
        <f>-IFERROR('4. NPV'!HMG23/'4. NPV'!HMG$8,0)</f>
        <v>-0.0</v>
      </c>
      <c r="HMG53" s="5">
        <f>-IFERROR('4. NPV'!HMH23/'4. NPV'!HMH$8,0)</f>
        <v>-0.0</v>
      </c>
      <c r="HMH53" s="5">
        <f>-IFERROR('4. NPV'!HMI23/'4. NPV'!HMI$8,0)</f>
        <v>-0.0</v>
      </c>
      <c r="HMI53" s="5">
        <f>-IFERROR('4. NPV'!HMJ23/'4. NPV'!HMJ$8,0)</f>
        <v>-0.0</v>
      </c>
      <c r="HMJ53" s="5">
        <f>-IFERROR('4. NPV'!HMK23/'4. NPV'!HMK$8,0)</f>
        <v>-0.0</v>
      </c>
      <c r="HMK53" s="5">
        <f>-IFERROR('4. NPV'!HML23/'4. NPV'!HML$8,0)</f>
        <v>-0.0</v>
      </c>
      <c r="HML53" s="5">
        <f>-IFERROR('4. NPV'!HMM23/'4. NPV'!HMM$8,0)</f>
        <v>-0.0</v>
      </c>
      <c r="HMM53" s="5">
        <f>-IFERROR('4. NPV'!HMN23/'4. NPV'!HMN$8,0)</f>
        <v>-0.0</v>
      </c>
      <c r="HMN53" s="5">
        <f>-IFERROR('4. NPV'!HMO23/'4. NPV'!HMO$8,0)</f>
        <v>-0.0</v>
      </c>
      <c r="HMO53" s="5">
        <f>-IFERROR('4. NPV'!HMP23/'4. NPV'!HMP$8,0)</f>
        <v>-0.0</v>
      </c>
      <c r="HMP53" s="5">
        <f>-IFERROR('4. NPV'!HMQ23/'4. NPV'!HMQ$8,0)</f>
        <v>-0.0</v>
      </c>
      <c r="HMQ53" s="5">
        <f>-IFERROR('4. NPV'!HMR23/'4. NPV'!HMR$8,0)</f>
        <v>-0.0</v>
      </c>
      <c r="HMR53" s="5">
        <f>-IFERROR('4. NPV'!HMS23/'4. NPV'!HMS$8,0)</f>
        <v>-0.0</v>
      </c>
      <c r="HMS53" s="5">
        <f>-IFERROR('4. NPV'!HMT23/'4. NPV'!HMT$8,0)</f>
        <v>-0.0</v>
      </c>
      <c r="HMT53" s="5">
        <f>-IFERROR('4. NPV'!HMU23/'4. NPV'!HMU$8,0)</f>
        <v>-0.0</v>
      </c>
      <c r="HMU53" s="5">
        <f>-IFERROR('4. NPV'!HMV23/'4. NPV'!HMV$8,0)</f>
        <v>-0.0</v>
      </c>
      <c r="HMV53" s="5">
        <f>-IFERROR('4. NPV'!HMW23/'4. NPV'!HMW$8,0)</f>
        <v>-0.0</v>
      </c>
      <c r="HMW53" s="5">
        <f>-IFERROR('4. NPV'!HMX23/'4. NPV'!HMX$8,0)</f>
        <v>-0.0</v>
      </c>
      <c r="HMX53" s="5">
        <f>-IFERROR('4. NPV'!HMY23/'4. NPV'!HMY$8,0)</f>
        <v>-0.0</v>
      </c>
      <c r="HMY53" s="5">
        <f>-IFERROR('4. NPV'!HMZ23/'4. NPV'!HMZ$8,0)</f>
        <v>-0.0</v>
      </c>
      <c r="HMZ53" s="5">
        <f>-IFERROR('4. NPV'!HNA23/'4. NPV'!HNA$8,0)</f>
        <v>-0.0</v>
      </c>
      <c r="HNA53" s="5">
        <f>-IFERROR('4. NPV'!HNB23/'4. NPV'!HNB$8,0)</f>
        <v>-0.0</v>
      </c>
      <c r="HNB53" s="5">
        <f>-IFERROR('4. NPV'!HNC23/'4. NPV'!HNC$8,0)</f>
        <v>-0.0</v>
      </c>
      <c r="HNC53" s="5">
        <f>-IFERROR('4. NPV'!HND23/'4. NPV'!HND$8,0)</f>
        <v>-0.0</v>
      </c>
      <c r="HND53" s="5">
        <f>-IFERROR('4. NPV'!HNE23/'4. NPV'!HNE$8,0)</f>
        <v>-0.0</v>
      </c>
      <c r="HNE53" s="5">
        <f>-IFERROR('4. NPV'!HNF23/'4. NPV'!HNF$8,0)</f>
        <v>-0.0</v>
      </c>
      <c r="HNF53" s="5">
        <f>-IFERROR('4. NPV'!HNG23/'4. NPV'!HNG$8,0)</f>
        <v>-0.0</v>
      </c>
      <c r="HNG53" s="5">
        <f>-IFERROR('4. NPV'!HNH23/'4. NPV'!HNH$8,0)</f>
        <v>-0.0</v>
      </c>
      <c r="HNH53" s="5">
        <f>-IFERROR('4. NPV'!HNI23/'4. NPV'!HNI$8,0)</f>
        <v>-0.0</v>
      </c>
      <c r="HNI53" s="5">
        <f>-IFERROR('4. NPV'!HNJ23/'4. NPV'!HNJ$8,0)</f>
        <v>-0.0</v>
      </c>
      <c r="HNJ53" s="5">
        <f>-IFERROR('4. NPV'!HNK23/'4. NPV'!HNK$8,0)</f>
        <v>-0.0</v>
      </c>
      <c r="HNK53" s="5">
        <f>-IFERROR('4. NPV'!HNL23/'4. NPV'!HNL$8,0)</f>
        <v>-0.0</v>
      </c>
      <c r="HNL53" s="5">
        <f>-IFERROR('4. NPV'!HNM23/'4. NPV'!HNM$8,0)</f>
        <v>-0.0</v>
      </c>
      <c r="HNM53" s="5">
        <f>-IFERROR('4. NPV'!HNN23/'4. NPV'!HNN$8,0)</f>
        <v>-0.0</v>
      </c>
      <c r="HNN53" s="5">
        <f>-IFERROR('4. NPV'!HNO23/'4. NPV'!HNO$8,0)</f>
        <v>-0.0</v>
      </c>
      <c r="HNO53" s="5">
        <f>-IFERROR('4. NPV'!HNP23/'4. NPV'!HNP$8,0)</f>
        <v>-0.0</v>
      </c>
      <c r="HNP53" s="5">
        <f>-IFERROR('4. NPV'!HNQ23/'4. NPV'!HNQ$8,0)</f>
        <v>-0.0</v>
      </c>
      <c r="HNQ53" s="5">
        <f>-IFERROR('4. NPV'!HNR23/'4. NPV'!HNR$8,0)</f>
        <v>-0.0</v>
      </c>
      <c r="HNR53" s="5">
        <f>-IFERROR('4. NPV'!HNS23/'4. NPV'!HNS$8,0)</f>
        <v>-0.0</v>
      </c>
      <c r="HNS53" s="5">
        <f>-IFERROR('4. NPV'!HNT23/'4. NPV'!HNT$8,0)</f>
        <v>-0.0</v>
      </c>
      <c r="HNT53" s="5">
        <f>-IFERROR('4. NPV'!HNU23/'4. NPV'!HNU$8,0)</f>
        <v>-0.0</v>
      </c>
      <c r="HNU53" s="5">
        <f>-IFERROR('4. NPV'!HNV23/'4. NPV'!HNV$8,0)</f>
        <v>-0.0</v>
      </c>
      <c r="HNV53" s="5">
        <f>-IFERROR('4. NPV'!HNW23/'4. NPV'!HNW$8,0)</f>
        <v>-0.0</v>
      </c>
      <c r="HNW53" s="5">
        <f>-IFERROR('4. NPV'!HNX23/'4. NPV'!HNX$8,0)</f>
        <v>-0.0</v>
      </c>
      <c r="HNX53" s="5">
        <f>-IFERROR('4. NPV'!HNY23/'4. NPV'!HNY$8,0)</f>
        <v>-0.0</v>
      </c>
      <c r="HNY53" s="5">
        <f>-IFERROR('4. NPV'!HNZ23/'4. NPV'!HNZ$8,0)</f>
        <v>-0.0</v>
      </c>
      <c r="HNZ53" s="5">
        <f>-IFERROR('4. NPV'!HOA23/'4. NPV'!HOA$8,0)</f>
        <v>-0.0</v>
      </c>
      <c r="HOA53" s="5">
        <f>-IFERROR('4. NPV'!HOB23/'4. NPV'!HOB$8,0)</f>
        <v>-0.0</v>
      </c>
      <c r="HOB53" s="5">
        <f>-IFERROR('4. NPV'!HOC23/'4. NPV'!HOC$8,0)</f>
        <v>-0.0</v>
      </c>
      <c r="HOC53" s="5">
        <f>-IFERROR('4. NPV'!HOD23/'4. NPV'!HOD$8,0)</f>
        <v>-0.0</v>
      </c>
      <c r="HOD53" s="5">
        <f>-IFERROR('4. NPV'!HOE23/'4. NPV'!HOE$8,0)</f>
        <v>-0.0</v>
      </c>
      <c r="HOE53" s="5">
        <f>-IFERROR('4. NPV'!HOF23/'4. NPV'!HOF$8,0)</f>
        <v>-0.0</v>
      </c>
      <c r="HOF53" s="5">
        <f>-IFERROR('4. NPV'!HOG23/'4. NPV'!HOG$8,0)</f>
        <v>-0.0</v>
      </c>
      <c r="HOG53" s="5">
        <f>-IFERROR('4. NPV'!HOH23/'4. NPV'!HOH$8,0)</f>
        <v>-0.0</v>
      </c>
      <c r="HOH53" s="5">
        <f>-IFERROR('4. NPV'!HOI23/'4. NPV'!HOI$8,0)</f>
        <v>-0.0</v>
      </c>
      <c r="HOI53" s="5">
        <f>-IFERROR('4. NPV'!HOJ23/'4. NPV'!HOJ$8,0)</f>
        <v>-0.0</v>
      </c>
      <c r="HOJ53" s="5">
        <f>-IFERROR('4. NPV'!HOK23/'4. NPV'!HOK$8,0)</f>
        <v>-0.0</v>
      </c>
      <c r="HOK53" s="5">
        <f>-IFERROR('4. NPV'!HOL23/'4. NPV'!HOL$8,0)</f>
        <v>-0.0</v>
      </c>
      <c r="HOL53" s="5">
        <f>-IFERROR('4. NPV'!HOM23/'4. NPV'!HOM$8,0)</f>
        <v>-0.0</v>
      </c>
      <c r="HOM53" s="5">
        <f>-IFERROR('4. NPV'!HON23/'4. NPV'!HON$8,0)</f>
        <v>-0.0</v>
      </c>
      <c r="HON53" s="5">
        <f>-IFERROR('4. NPV'!HOO23/'4. NPV'!HOO$8,0)</f>
        <v>-0.0</v>
      </c>
      <c r="HOO53" s="5">
        <f>-IFERROR('4. NPV'!HOP23/'4. NPV'!HOP$8,0)</f>
        <v>-0.0</v>
      </c>
      <c r="HOP53" s="5">
        <f>-IFERROR('4. NPV'!HOQ23/'4. NPV'!HOQ$8,0)</f>
        <v>-0.0</v>
      </c>
      <c r="HOQ53" s="5">
        <f>-IFERROR('4. NPV'!HOR23/'4. NPV'!HOR$8,0)</f>
        <v>-0.0</v>
      </c>
      <c r="HOR53" s="5">
        <f>-IFERROR('4. NPV'!HOS23/'4. NPV'!HOS$8,0)</f>
        <v>-0.0</v>
      </c>
      <c r="HOS53" s="5">
        <f>-IFERROR('4. NPV'!HOT23/'4. NPV'!HOT$8,0)</f>
        <v>-0.0</v>
      </c>
      <c r="HOT53" s="5">
        <f>-IFERROR('4. NPV'!HOU23/'4. NPV'!HOU$8,0)</f>
        <v>-0.0</v>
      </c>
      <c r="HOU53" s="5">
        <f>-IFERROR('4. NPV'!HOV23/'4. NPV'!HOV$8,0)</f>
        <v>-0.0</v>
      </c>
      <c r="HOV53" s="5">
        <f>-IFERROR('4. NPV'!HOW23/'4. NPV'!HOW$8,0)</f>
        <v>-0.0</v>
      </c>
      <c r="HOW53" s="5">
        <f>-IFERROR('4. NPV'!HOX23/'4. NPV'!HOX$8,0)</f>
        <v>-0.0</v>
      </c>
      <c r="HOX53" s="5">
        <f>-IFERROR('4. NPV'!HOY23/'4. NPV'!HOY$8,0)</f>
        <v>-0.0</v>
      </c>
      <c r="HOY53" s="5">
        <f>-IFERROR('4. NPV'!HOZ23/'4. NPV'!HOZ$8,0)</f>
        <v>-0.0</v>
      </c>
      <c r="HOZ53" s="5">
        <f>-IFERROR('4. NPV'!HPA23/'4. NPV'!HPA$8,0)</f>
        <v>-0.0</v>
      </c>
      <c r="HPA53" s="5">
        <f>-IFERROR('4. NPV'!HPB23/'4. NPV'!HPB$8,0)</f>
        <v>-0.0</v>
      </c>
      <c r="HPB53" s="5">
        <f>-IFERROR('4. NPV'!HPC23/'4. NPV'!HPC$8,0)</f>
        <v>-0.0</v>
      </c>
      <c r="HPC53" s="5">
        <f>-IFERROR('4. NPV'!HPD23/'4. NPV'!HPD$8,0)</f>
        <v>-0.0</v>
      </c>
      <c r="HPD53" s="5">
        <f>-IFERROR('4. NPV'!HPE23/'4. NPV'!HPE$8,0)</f>
        <v>-0.0</v>
      </c>
      <c r="HPE53" s="5">
        <f>-IFERROR('4. NPV'!HPF23/'4. NPV'!HPF$8,0)</f>
        <v>-0.0</v>
      </c>
      <c r="HPF53" s="5">
        <f>-IFERROR('4. NPV'!HPG23/'4. NPV'!HPG$8,0)</f>
        <v>-0.0</v>
      </c>
      <c r="HPG53" s="5">
        <f>-IFERROR('4. NPV'!HPH23/'4. NPV'!HPH$8,0)</f>
        <v>-0.0</v>
      </c>
      <c r="HPH53" s="5">
        <f>-IFERROR('4. NPV'!HPI23/'4. NPV'!HPI$8,0)</f>
        <v>-0.0</v>
      </c>
      <c r="HPI53" s="5">
        <f>-IFERROR('4. NPV'!HPJ23/'4. NPV'!HPJ$8,0)</f>
        <v>-0.0</v>
      </c>
      <c r="HPJ53" s="5">
        <f>-IFERROR('4. NPV'!HPK23/'4. NPV'!HPK$8,0)</f>
        <v>-0.0</v>
      </c>
      <c r="HPK53" s="5">
        <f>-IFERROR('4. NPV'!HPL23/'4. NPV'!HPL$8,0)</f>
        <v>-0.0</v>
      </c>
      <c r="HPL53" s="5">
        <f>-IFERROR('4. NPV'!HPM23/'4. NPV'!HPM$8,0)</f>
        <v>-0.0</v>
      </c>
      <c r="HPM53" s="5">
        <f>-IFERROR('4. NPV'!HPN23/'4. NPV'!HPN$8,0)</f>
        <v>-0.0</v>
      </c>
      <c r="HPN53" s="5">
        <f>-IFERROR('4. NPV'!HPO23/'4. NPV'!HPO$8,0)</f>
        <v>-0.0</v>
      </c>
      <c r="HPO53" s="5">
        <f>-IFERROR('4. NPV'!HPP23/'4. NPV'!HPP$8,0)</f>
        <v>-0.0</v>
      </c>
      <c r="HPP53" s="5">
        <f>-IFERROR('4. NPV'!HPQ23/'4. NPV'!HPQ$8,0)</f>
        <v>-0.0</v>
      </c>
      <c r="HPQ53" s="5">
        <f>-IFERROR('4. NPV'!HPR23/'4. NPV'!HPR$8,0)</f>
        <v>-0.0</v>
      </c>
      <c r="HPR53" s="5">
        <f>-IFERROR('4. NPV'!HPS23/'4. NPV'!HPS$8,0)</f>
        <v>-0.0</v>
      </c>
      <c r="HPS53" s="5">
        <f>-IFERROR('4. NPV'!HPT23/'4. NPV'!HPT$8,0)</f>
        <v>-0.0</v>
      </c>
      <c r="HPT53" s="5">
        <f>-IFERROR('4. NPV'!HPU23/'4. NPV'!HPU$8,0)</f>
        <v>-0.0</v>
      </c>
      <c r="HPU53" s="5">
        <f>-IFERROR('4. NPV'!HPV23/'4. NPV'!HPV$8,0)</f>
        <v>-0.0</v>
      </c>
      <c r="HPV53" s="5">
        <f>-IFERROR('4. NPV'!HPW23/'4. NPV'!HPW$8,0)</f>
        <v>-0.0</v>
      </c>
      <c r="HPW53" s="5">
        <f>-IFERROR('4. NPV'!HPX23/'4. NPV'!HPX$8,0)</f>
        <v>-0.0</v>
      </c>
      <c r="HPX53" s="5">
        <f>-IFERROR('4. NPV'!HPY23/'4. NPV'!HPY$8,0)</f>
        <v>-0.0</v>
      </c>
      <c r="HPY53" s="5">
        <f>-IFERROR('4. NPV'!HPZ23/'4. NPV'!HPZ$8,0)</f>
        <v>-0.0</v>
      </c>
      <c r="HPZ53" s="5">
        <f>-IFERROR('4. NPV'!HQA23/'4. NPV'!HQA$8,0)</f>
        <v>-0.0</v>
      </c>
      <c r="HQA53" s="5">
        <f>-IFERROR('4. NPV'!HQB23/'4. NPV'!HQB$8,0)</f>
        <v>-0.0</v>
      </c>
      <c r="HQB53" s="5">
        <f>-IFERROR('4. NPV'!HQC23/'4. NPV'!HQC$8,0)</f>
        <v>-0.0</v>
      </c>
      <c r="HQC53" s="5">
        <f>-IFERROR('4. NPV'!HQD23/'4. NPV'!HQD$8,0)</f>
        <v>-0.0</v>
      </c>
      <c r="HQD53" s="5">
        <f>-IFERROR('4. NPV'!HQE23/'4. NPV'!HQE$8,0)</f>
        <v>-0.0</v>
      </c>
      <c r="HQE53" s="5">
        <f>-IFERROR('4. NPV'!HQF23/'4. NPV'!HQF$8,0)</f>
        <v>-0.0</v>
      </c>
      <c r="HQF53" s="5">
        <f>-IFERROR('4. NPV'!HQG23/'4. NPV'!HQG$8,0)</f>
        <v>-0.0</v>
      </c>
      <c r="HQG53" s="5">
        <f>-IFERROR('4. NPV'!HQH23/'4. NPV'!HQH$8,0)</f>
        <v>-0.0</v>
      </c>
      <c r="HQH53" s="5">
        <f>-IFERROR('4. NPV'!HQI23/'4. NPV'!HQI$8,0)</f>
        <v>-0.0</v>
      </c>
      <c r="HQI53" s="5">
        <f>-IFERROR('4. NPV'!HQJ23/'4. NPV'!HQJ$8,0)</f>
        <v>-0.0</v>
      </c>
      <c r="HQJ53" s="5">
        <f>-IFERROR('4. NPV'!HQK23/'4. NPV'!HQK$8,0)</f>
        <v>-0.0</v>
      </c>
      <c r="HQK53" s="5">
        <f>-IFERROR('4. NPV'!HQL23/'4. NPV'!HQL$8,0)</f>
        <v>-0.0</v>
      </c>
      <c r="HQL53" s="5">
        <f>-IFERROR('4. NPV'!HQM23/'4. NPV'!HQM$8,0)</f>
        <v>-0.0</v>
      </c>
      <c r="HQM53" s="5">
        <f>-IFERROR('4. NPV'!HQN23/'4. NPV'!HQN$8,0)</f>
        <v>-0.0</v>
      </c>
      <c r="HQN53" s="5">
        <f>-IFERROR('4. NPV'!HQO23/'4. NPV'!HQO$8,0)</f>
        <v>-0.0</v>
      </c>
      <c r="HQO53" s="5">
        <f>-IFERROR('4. NPV'!HQP23/'4. NPV'!HQP$8,0)</f>
        <v>-0.0</v>
      </c>
      <c r="HQP53" s="5">
        <f>-IFERROR('4. NPV'!HQQ23/'4. NPV'!HQQ$8,0)</f>
        <v>-0.0</v>
      </c>
      <c r="HQQ53" s="5">
        <f>-IFERROR('4. NPV'!HQR23/'4. NPV'!HQR$8,0)</f>
        <v>-0.0</v>
      </c>
      <c r="HQR53" s="5">
        <f>-IFERROR('4. NPV'!HQS23/'4. NPV'!HQS$8,0)</f>
        <v>-0.0</v>
      </c>
      <c r="HQS53" s="5">
        <f>-IFERROR('4. NPV'!HQT23/'4. NPV'!HQT$8,0)</f>
        <v>-0.0</v>
      </c>
      <c r="HQT53" s="5">
        <f>-IFERROR('4. NPV'!HQU23/'4. NPV'!HQU$8,0)</f>
        <v>-0.0</v>
      </c>
      <c r="HQU53" s="5">
        <f>-IFERROR('4. NPV'!HQV23/'4. NPV'!HQV$8,0)</f>
        <v>-0.0</v>
      </c>
      <c r="HQV53" s="5">
        <f>-IFERROR('4. NPV'!HQW23/'4. NPV'!HQW$8,0)</f>
        <v>-0.0</v>
      </c>
      <c r="HQW53" s="5">
        <f>-IFERROR('4. NPV'!HQX23/'4. NPV'!HQX$8,0)</f>
        <v>-0.0</v>
      </c>
      <c r="HQX53" s="5">
        <f>-IFERROR('4. NPV'!HQY23/'4. NPV'!HQY$8,0)</f>
        <v>-0.0</v>
      </c>
      <c r="HQY53" s="5">
        <f>-IFERROR('4. NPV'!HQZ23/'4. NPV'!HQZ$8,0)</f>
        <v>-0.0</v>
      </c>
      <c r="HQZ53" s="5">
        <f>-IFERROR('4. NPV'!HRA23/'4. NPV'!HRA$8,0)</f>
        <v>-0.0</v>
      </c>
      <c r="HRA53" s="5">
        <f>-IFERROR('4. NPV'!HRB23/'4. NPV'!HRB$8,0)</f>
        <v>-0.0</v>
      </c>
      <c r="HRB53" s="5">
        <f>-IFERROR('4. NPV'!HRC23/'4. NPV'!HRC$8,0)</f>
        <v>-0.0</v>
      </c>
      <c r="HRC53" s="5">
        <f>-IFERROR('4. NPV'!HRD23/'4. NPV'!HRD$8,0)</f>
        <v>-0.0</v>
      </c>
      <c r="HRD53" s="5">
        <f>-IFERROR('4. NPV'!HRE23/'4. NPV'!HRE$8,0)</f>
        <v>-0.0</v>
      </c>
      <c r="HRE53" s="5">
        <f>-IFERROR('4. NPV'!HRF23/'4. NPV'!HRF$8,0)</f>
        <v>-0.0</v>
      </c>
      <c r="HRF53" s="5">
        <f>-IFERROR('4. NPV'!HRG23/'4. NPV'!HRG$8,0)</f>
        <v>-0.0</v>
      </c>
      <c r="HRG53" s="5">
        <f>-IFERROR('4. NPV'!HRH23/'4. NPV'!HRH$8,0)</f>
        <v>-0.0</v>
      </c>
      <c r="HRH53" s="5">
        <f>-IFERROR('4. NPV'!HRI23/'4. NPV'!HRI$8,0)</f>
        <v>-0.0</v>
      </c>
      <c r="HRI53" s="5">
        <f>-IFERROR('4. NPV'!HRJ23/'4. NPV'!HRJ$8,0)</f>
        <v>-0.0</v>
      </c>
      <c r="HRJ53" s="5">
        <f>-IFERROR('4. NPV'!HRK23/'4. NPV'!HRK$8,0)</f>
        <v>-0.0</v>
      </c>
      <c r="HRK53" s="5">
        <f>-IFERROR('4. NPV'!HRL23/'4. NPV'!HRL$8,0)</f>
        <v>-0.0</v>
      </c>
      <c r="HRL53" s="5">
        <f>-IFERROR('4. NPV'!HRM23/'4. NPV'!HRM$8,0)</f>
        <v>-0.0</v>
      </c>
      <c r="HRM53" s="5">
        <f>-IFERROR('4. NPV'!HRN23/'4. NPV'!HRN$8,0)</f>
        <v>-0.0</v>
      </c>
      <c r="HRN53" s="5">
        <f>-IFERROR('4. NPV'!HRO23/'4. NPV'!HRO$8,0)</f>
        <v>-0.0</v>
      </c>
      <c r="HRO53" s="5">
        <f>-IFERROR('4. NPV'!HRP23/'4. NPV'!HRP$8,0)</f>
        <v>-0.0</v>
      </c>
      <c r="HRP53" s="5">
        <f>-IFERROR('4. NPV'!HRQ23/'4. NPV'!HRQ$8,0)</f>
        <v>-0.0</v>
      </c>
      <c r="HRQ53" s="5">
        <f>-IFERROR('4. NPV'!HRR23/'4. NPV'!HRR$8,0)</f>
        <v>-0.0</v>
      </c>
      <c r="HRR53" s="5">
        <f>-IFERROR('4. NPV'!HRS23/'4. NPV'!HRS$8,0)</f>
        <v>-0.0</v>
      </c>
      <c r="HRS53" s="5">
        <f>-IFERROR('4. NPV'!HRT23/'4. NPV'!HRT$8,0)</f>
        <v>-0.0</v>
      </c>
      <c r="HRT53" s="5">
        <f>-IFERROR('4. NPV'!HRU23/'4. NPV'!HRU$8,0)</f>
        <v>-0.0</v>
      </c>
      <c r="HRU53" s="5">
        <f>-IFERROR('4. NPV'!HRV23/'4. NPV'!HRV$8,0)</f>
        <v>-0.0</v>
      </c>
      <c r="HRV53" s="5">
        <f>-IFERROR('4. NPV'!HRW23/'4. NPV'!HRW$8,0)</f>
        <v>-0.0</v>
      </c>
      <c r="HRW53" s="5">
        <f>-IFERROR('4. NPV'!HRX23/'4. NPV'!HRX$8,0)</f>
        <v>-0.0</v>
      </c>
      <c r="HRX53" s="5">
        <f>-IFERROR('4. NPV'!HRY23/'4. NPV'!HRY$8,0)</f>
        <v>-0.0</v>
      </c>
      <c r="HRY53" s="5">
        <f>-IFERROR('4. NPV'!HRZ23/'4. NPV'!HRZ$8,0)</f>
        <v>-0.0</v>
      </c>
      <c r="HRZ53" s="5">
        <f>-IFERROR('4. NPV'!HSA23/'4. NPV'!HSA$8,0)</f>
        <v>-0.0</v>
      </c>
      <c r="HSA53" s="5">
        <f>-IFERROR('4. NPV'!HSB23/'4. NPV'!HSB$8,0)</f>
        <v>-0.0</v>
      </c>
      <c r="HSB53" s="5">
        <f>-IFERROR('4. NPV'!HSC23/'4. NPV'!HSC$8,0)</f>
        <v>-0.0</v>
      </c>
      <c r="HSC53" s="5">
        <f>-IFERROR('4. NPV'!HSD23/'4. NPV'!HSD$8,0)</f>
        <v>-0.0</v>
      </c>
      <c r="HSD53" s="5">
        <f>-IFERROR('4. NPV'!HSE23/'4. NPV'!HSE$8,0)</f>
        <v>-0.0</v>
      </c>
      <c r="HSE53" s="5">
        <f>-IFERROR('4. NPV'!HSF23/'4. NPV'!HSF$8,0)</f>
        <v>-0.0</v>
      </c>
      <c r="HSF53" s="5">
        <f>-IFERROR('4. NPV'!HSG23/'4. NPV'!HSG$8,0)</f>
        <v>-0.0</v>
      </c>
      <c r="HSG53" s="5">
        <f>-IFERROR('4. NPV'!HSH23/'4. NPV'!HSH$8,0)</f>
        <v>-0.0</v>
      </c>
      <c r="HSH53" s="5">
        <f>-IFERROR('4. NPV'!HSI23/'4. NPV'!HSI$8,0)</f>
        <v>-0.0</v>
      </c>
      <c r="HSI53" s="5">
        <f>-IFERROR('4. NPV'!HSJ23/'4. NPV'!HSJ$8,0)</f>
        <v>-0.0</v>
      </c>
      <c r="HSJ53" s="5">
        <f>-IFERROR('4. NPV'!HSK23/'4. NPV'!HSK$8,0)</f>
        <v>-0.0</v>
      </c>
      <c r="HSK53" s="5">
        <f>-IFERROR('4. NPV'!HSL23/'4. NPV'!HSL$8,0)</f>
        <v>-0.0</v>
      </c>
      <c r="HSL53" s="5">
        <f>-IFERROR('4. NPV'!HSM23/'4. NPV'!HSM$8,0)</f>
        <v>-0.0</v>
      </c>
      <c r="HSM53" s="5">
        <f>-IFERROR('4. NPV'!HSN23/'4. NPV'!HSN$8,0)</f>
        <v>-0.0</v>
      </c>
      <c r="HSN53" s="5">
        <f>-IFERROR('4. NPV'!HSO23/'4. NPV'!HSO$8,0)</f>
        <v>-0.0</v>
      </c>
      <c r="HSO53" s="5">
        <f>-IFERROR('4. NPV'!HSP23/'4. NPV'!HSP$8,0)</f>
        <v>-0.0</v>
      </c>
      <c r="HSP53" s="5">
        <f>-IFERROR('4. NPV'!HSQ23/'4. NPV'!HSQ$8,0)</f>
        <v>-0.0</v>
      </c>
      <c r="HSQ53" s="5">
        <f>-IFERROR('4. NPV'!HSR23/'4. NPV'!HSR$8,0)</f>
        <v>-0.0</v>
      </c>
      <c r="HSR53" s="5">
        <f>-IFERROR('4. NPV'!HSS23/'4. NPV'!HSS$8,0)</f>
        <v>-0.0</v>
      </c>
      <c r="HSS53" s="5">
        <f>-IFERROR('4. NPV'!HST23/'4. NPV'!HST$8,0)</f>
        <v>-0.0</v>
      </c>
      <c r="HST53" s="5">
        <f>-IFERROR('4. NPV'!HSU23/'4. NPV'!HSU$8,0)</f>
        <v>-0.0</v>
      </c>
      <c r="HSU53" s="5">
        <f>-IFERROR('4. NPV'!HSV23/'4. NPV'!HSV$8,0)</f>
        <v>-0.0</v>
      </c>
      <c r="HSV53" s="5">
        <f>-IFERROR('4. NPV'!HSW23/'4. NPV'!HSW$8,0)</f>
        <v>-0.0</v>
      </c>
      <c r="HSW53" s="5">
        <f>-IFERROR('4. NPV'!HSX23/'4. NPV'!HSX$8,0)</f>
        <v>-0.0</v>
      </c>
      <c r="HSX53" s="5">
        <f>-IFERROR('4. NPV'!HSY23/'4. NPV'!HSY$8,0)</f>
        <v>-0.0</v>
      </c>
      <c r="HSY53" s="5">
        <f>-IFERROR('4. NPV'!HSZ23/'4. NPV'!HSZ$8,0)</f>
        <v>-0.0</v>
      </c>
      <c r="HSZ53" s="5">
        <f>-IFERROR('4. NPV'!HTA23/'4. NPV'!HTA$8,0)</f>
        <v>-0.0</v>
      </c>
      <c r="HTA53" s="5">
        <f>-IFERROR('4. NPV'!HTB23/'4. NPV'!HTB$8,0)</f>
        <v>-0.0</v>
      </c>
      <c r="HTB53" s="5">
        <f>-IFERROR('4. NPV'!HTC23/'4. NPV'!HTC$8,0)</f>
        <v>-0.0</v>
      </c>
      <c r="HTC53" s="5">
        <f>-IFERROR('4. NPV'!HTD23/'4. NPV'!HTD$8,0)</f>
        <v>-0.0</v>
      </c>
      <c r="HTD53" s="5">
        <f>-IFERROR('4. NPV'!HTE23/'4. NPV'!HTE$8,0)</f>
        <v>-0.0</v>
      </c>
      <c r="HTE53" s="5">
        <f>-IFERROR('4. NPV'!HTF23/'4. NPV'!HTF$8,0)</f>
        <v>-0.0</v>
      </c>
      <c r="HTF53" s="5">
        <f>-IFERROR('4. NPV'!HTG23/'4. NPV'!HTG$8,0)</f>
        <v>-0.0</v>
      </c>
      <c r="HTG53" s="5">
        <f>-IFERROR('4. NPV'!HTH23/'4. NPV'!HTH$8,0)</f>
        <v>-0.0</v>
      </c>
      <c r="HTH53" s="5">
        <f>-IFERROR('4. NPV'!HTI23/'4. NPV'!HTI$8,0)</f>
        <v>-0.0</v>
      </c>
      <c r="HTI53" s="5">
        <f>-IFERROR('4. NPV'!HTJ23/'4. NPV'!HTJ$8,0)</f>
        <v>-0.0</v>
      </c>
      <c r="HTJ53" s="5">
        <f>-IFERROR('4. NPV'!HTK23/'4. NPV'!HTK$8,0)</f>
        <v>-0.0</v>
      </c>
      <c r="HTK53" s="5">
        <f>-IFERROR('4. NPV'!HTL23/'4. NPV'!HTL$8,0)</f>
        <v>-0.0</v>
      </c>
      <c r="HTL53" s="5">
        <f>-IFERROR('4. NPV'!HTM23/'4. NPV'!HTM$8,0)</f>
        <v>-0.0</v>
      </c>
      <c r="HTM53" s="5">
        <f>-IFERROR('4. NPV'!HTN23/'4. NPV'!HTN$8,0)</f>
        <v>-0.0</v>
      </c>
      <c r="HTN53" s="5">
        <f>-IFERROR('4. NPV'!HTO23/'4. NPV'!HTO$8,0)</f>
        <v>-0.0</v>
      </c>
      <c r="HTO53" s="5">
        <f>-IFERROR('4. NPV'!HTP23/'4. NPV'!HTP$8,0)</f>
        <v>-0.0</v>
      </c>
      <c r="HTP53" s="5">
        <f>-IFERROR('4. NPV'!HTQ23/'4. NPV'!HTQ$8,0)</f>
        <v>-0.0</v>
      </c>
      <c r="HTQ53" s="5">
        <f>-IFERROR('4. NPV'!HTR23/'4. NPV'!HTR$8,0)</f>
        <v>-0.0</v>
      </c>
      <c r="HTR53" s="5">
        <f>-IFERROR('4. NPV'!HTS23/'4. NPV'!HTS$8,0)</f>
        <v>-0.0</v>
      </c>
      <c r="HTS53" s="5">
        <f>-IFERROR('4. NPV'!HTT23/'4. NPV'!HTT$8,0)</f>
        <v>-0.0</v>
      </c>
      <c r="HTT53" s="5">
        <f>-IFERROR('4. NPV'!HTU23/'4. NPV'!HTU$8,0)</f>
        <v>-0.0</v>
      </c>
      <c r="HTU53" s="5">
        <f>-IFERROR('4. NPV'!HTV23/'4. NPV'!HTV$8,0)</f>
        <v>-0.0</v>
      </c>
      <c r="HTV53" s="5">
        <f>-IFERROR('4. NPV'!HTW23/'4. NPV'!HTW$8,0)</f>
        <v>-0.0</v>
      </c>
      <c r="HTW53" s="5">
        <f>-IFERROR('4. NPV'!HTX23/'4. NPV'!HTX$8,0)</f>
        <v>-0.0</v>
      </c>
      <c r="HTX53" s="5">
        <f>-IFERROR('4. NPV'!HTY23/'4. NPV'!HTY$8,0)</f>
        <v>-0.0</v>
      </c>
      <c r="HTY53" s="5">
        <f>-IFERROR('4. NPV'!HTZ23/'4. NPV'!HTZ$8,0)</f>
        <v>-0.0</v>
      </c>
      <c r="HTZ53" s="5">
        <f>-IFERROR('4. NPV'!HUA23/'4. NPV'!HUA$8,0)</f>
        <v>-0.0</v>
      </c>
      <c r="HUA53" s="5">
        <f>-IFERROR('4. NPV'!HUB23/'4. NPV'!HUB$8,0)</f>
        <v>-0.0</v>
      </c>
      <c r="HUB53" s="5">
        <f>-IFERROR('4. NPV'!HUC23/'4. NPV'!HUC$8,0)</f>
        <v>-0.0</v>
      </c>
      <c r="HUC53" s="5">
        <f>-IFERROR('4. NPV'!HUD23/'4. NPV'!HUD$8,0)</f>
        <v>-0.0</v>
      </c>
      <c r="HUD53" s="5">
        <f>-IFERROR('4. NPV'!HUE23/'4. NPV'!HUE$8,0)</f>
        <v>-0.0</v>
      </c>
      <c r="HUE53" s="5">
        <f>-IFERROR('4. NPV'!HUF23/'4. NPV'!HUF$8,0)</f>
        <v>-0.0</v>
      </c>
      <c r="HUF53" s="5">
        <f>-IFERROR('4. NPV'!HUG23/'4. NPV'!HUG$8,0)</f>
        <v>-0.0</v>
      </c>
      <c r="HUG53" s="5">
        <f>-IFERROR('4. NPV'!HUH23/'4. NPV'!HUH$8,0)</f>
        <v>-0.0</v>
      </c>
      <c r="HUH53" s="5">
        <f>-IFERROR('4. NPV'!HUI23/'4. NPV'!HUI$8,0)</f>
        <v>-0.0</v>
      </c>
      <c r="HUI53" s="5">
        <f>-IFERROR('4. NPV'!HUJ23/'4. NPV'!HUJ$8,0)</f>
        <v>-0.0</v>
      </c>
      <c r="HUJ53" s="5">
        <f>-IFERROR('4. NPV'!HUK23/'4. NPV'!HUK$8,0)</f>
        <v>-0.0</v>
      </c>
      <c r="HUK53" s="5">
        <f>-IFERROR('4. NPV'!HUL23/'4. NPV'!HUL$8,0)</f>
        <v>-0.0</v>
      </c>
      <c r="HUL53" s="5">
        <f>-IFERROR('4. NPV'!HUM23/'4. NPV'!HUM$8,0)</f>
        <v>-0.0</v>
      </c>
      <c r="HUM53" s="5">
        <f>-IFERROR('4. NPV'!HUN23/'4. NPV'!HUN$8,0)</f>
        <v>-0.0</v>
      </c>
      <c r="HUN53" s="5">
        <f>-IFERROR('4. NPV'!HUO23/'4. NPV'!HUO$8,0)</f>
        <v>-0.0</v>
      </c>
      <c r="HUO53" s="5">
        <f>-IFERROR('4. NPV'!HUP23/'4. NPV'!HUP$8,0)</f>
        <v>-0.0</v>
      </c>
      <c r="HUP53" s="5">
        <f>-IFERROR('4. NPV'!HUQ23/'4. NPV'!HUQ$8,0)</f>
        <v>-0.0</v>
      </c>
      <c r="HUQ53" s="5">
        <f>-IFERROR('4. NPV'!HUR23/'4. NPV'!HUR$8,0)</f>
        <v>-0.0</v>
      </c>
      <c r="HUR53" s="5">
        <f>-IFERROR('4. NPV'!HUS23/'4. NPV'!HUS$8,0)</f>
        <v>-0.0</v>
      </c>
      <c r="HUS53" s="5">
        <f>-IFERROR('4. NPV'!HUT23/'4. NPV'!HUT$8,0)</f>
        <v>-0.0</v>
      </c>
      <c r="HUT53" s="5">
        <f>-IFERROR('4. NPV'!HUU23/'4. NPV'!HUU$8,0)</f>
        <v>-0.0</v>
      </c>
      <c r="HUU53" s="5">
        <f>-IFERROR('4. NPV'!HUV23/'4. NPV'!HUV$8,0)</f>
        <v>-0.0</v>
      </c>
      <c r="HUV53" s="5">
        <f>-IFERROR('4. NPV'!HUW23/'4. NPV'!HUW$8,0)</f>
        <v>-0.0</v>
      </c>
      <c r="HUW53" s="5">
        <f>-IFERROR('4. NPV'!HUX23/'4. NPV'!HUX$8,0)</f>
        <v>-0.0</v>
      </c>
      <c r="HUX53" s="5">
        <f>-IFERROR('4. NPV'!HUY23/'4. NPV'!HUY$8,0)</f>
        <v>-0.0</v>
      </c>
      <c r="HUY53" s="5">
        <f>-IFERROR('4. NPV'!HUZ23/'4. NPV'!HUZ$8,0)</f>
        <v>-0.0</v>
      </c>
      <c r="HUZ53" s="5">
        <f>-IFERROR('4. NPV'!HVA23/'4. NPV'!HVA$8,0)</f>
        <v>-0.0</v>
      </c>
      <c r="HVA53" s="5">
        <f>-IFERROR('4. NPV'!HVB23/'4. NPV'!HVB$8,0)</f>
        <v>-0.0</v>
      </c>
      <c r="HVB53" s="5">
        <f>-IFERROR('4. NPV'!HVC23/'4. NPV'!HVC$8,0)</f>
        <v>-0.0</v>
      </c>
      <c r="HVC53" s="5">
        <f>-IFERROR('4. NPV'!HVD23/'4. NPV'!HVD$8,0)</f>
        <v>-0.0</v>
      </c>
      <c r="HVD53" s="5">
        <f>-IFERROR('4. NPV'!HVE23/'4. NPV'!HVE$8,0)</f>
        <v>-0.0</v>
      </c>
      <c r="HVE53" s="5">
        <f>-IFERROR('4. NPV'!HVF23/'4. NPV'!HVF$8,0)</f>
        <v>-0.0</v>
      </c>
      <c r="HVF53" s="5">
        <f>-IFERROR('4. NPV'!HVG23/'4. NPV'!HVG$8,0)</f>
        <v>-0.0</v>
      </c>
      <c r="HVG53" s="5">
        <f>-IFERROR('4. NPV'!HVH23/'4. NPV'!HVH$8,0)</f>
        <v>-0.0</v>
      </c>
      <c r="HVH53" s="5">
        <f>-IFERROR('4. NPV'!HVI23/'4. NPV'!HVI$8,0)</f>
        <v>-0.0</v>
      </c>
      <c r="HVI53" s="5">
        <f>-IFERROR('4. NPV'!HVJ23/'4. NPV'!HVJ$8,0)</f>
        <v>-0.0</v>
      </c>
      <c r="HVJ53" s="5">
        <f>-IFERROR('4. NPV'!HVK23/'4. NPV'!HVK$8,0)</f>
        <v>-0.0</v>
      </c>
      <c r="HVK53" s="5">
        <f>-IFERROR('4. NPV'!HVL23/'4. NPV'!HVL$8,0)</f>
        <v>-0.0</v>
      </c>
      <c r="HVL53" s="5">
        <f>-IFERROR('4. NPV'!HVM23/'4. NPV'!HVM$8,0)</f>
        <v>-0.0</v>
      </c>
      <c r="HVM53" s="5">
        <f>-IFERROR('4. NPV'!HVN23/'4. NPV'!HVN$8,0)</f>
        <v>-0.0</v>
      </c>
      <c r="HVN53" s="5">
        <f>-IFERROR('4. NPV'!HVO23/'4. NPV'!HVO$8,0)</f>
        <v>-0.0</v>
      </c>
      <c r="HVO53" s="5">
        <f>-IFERROR('4. NPV'!HVP23/'4. NPV'!HVP$8,0)</f>
        <v>-0.0</v>
      </c>
      <c r="HVP53" s="5">
        <f>-IFERROR('4. NPV'!HVQ23/'4. NPV'!HVQ$8,0)</f>
        <v>-0.0</v>
      </c>
      <c r="HVQ53" s="5">
        <f>-IFERROR('4. NPV'!HVR23/'4. NPV'!HVR$8,0)</f>
        <v>-0.0</v>
      </c>
      <c r="HVR53" s="5">
        <f>-IFERROR('4. NPV'!HVS23/'4. NPV'!HVS$8,0)</f>
        <v>-0.0</v>
      </c>
      <c r="HVS53" s="5">
        <f>-IFERROR('4. NPV'!HVT23/'4. NPV'!HVT$8,0)</f>
        <v>-0.0</v>
      </c>
      <c r="HVT53" s="5">
        <f>-IFERROR('4. NPV'!HVU23/'4. NPV'!HVU$8,0)</f>
        <v>-0.0</v>
      </c>
      <c r="HVU53" s="5">
        <f>-IFERROR('4. NPV'!HVV23/'4. NPV'!HVV$8,0)</f>
        <v>-0.0</v>
      </c>
      <c r="HVV53" s="5">
        <f>-IFERROR('4. NPV'!HVW23/'4. NPV'!HVW$8,0)</f>
        <v>-0.0</v>
      </c>
      <c r="HVW53" s="5">
        <f>-IFERROR('4. NPV'!HVX23/'4. NPV'!HVX$8,0)</f>
        <v>-0.0</v>
      </c>
      <c r="HVX53" s="5">
        <f>-IFERROR('4. NPV'!HVY23/'4. NPV'!HVY$8,0)</f>
        <v>-0.0</v>
      </c>
      <c r="HVY53" s="5">
        <f>-IFERROR('4. NPV'!HVZ23/'4. NPV'!HVZ$8,0)</f>
        <v>-0.0</v>
      </c>
      <c r="HVZ53" s="5">
        <f>-IFERROR('4. NPV'!HWA23/'4. NPV'!HWA$8,0)</f>
        <v>-0.0</v>
      </c>
      <c r="HWA53" s="5">
        <f>-IFERROR('4. NPV'!HWB23/'4. NPV'!HWB$8,0)</f>
        <v>-0.0</v>
      </c>
      <c r="HWB53" s="5">
        <f>-IFERROR('4. NPV'!HWC23/'4. NPV'!HWC$8,0)</f>
        <v>-0.0</v>
      </c>
      <c r="HWC53" s="5">
        <f>-IFERROR('4. NPV'!HWD23/'4. NPV'!HWD$8,0)</f>
        <v>-0.0</v>
      </c>
      <c r="HWD53" s="5">
        <f>-IFERROR('4. NPV'!HWE23/'4. NPV'!HWE$8,0)</f>
        <v>-0.0</v>
      </c>
      <c r="HWE53" s="5">
        <f>-IFERROR('4. NPV'!HWF23/'4. NPV'!HWF$8,0)</f>
        <v>-0.0</v>
      </c>
      <c r="HWF53" s="5">
        <f>-IFERROR('4. NPV'!HWG23/'4. NPV'!HWG$8,0)</f>
        <v>-0.0</v>
      </c>
      <c r="HWG53" s="5">
        <f>-IFERROR('4. NPV'!HWH23/'4. NPV'!HWH$8,0)</f>
        <v>-0.0</v>
      </c>
      <c r="HWH53" s="5">
        <f>-IFERROR('4. NPV'!HWI23/'4. NPV'!HWI$8,0)</f>
        <v>-0.0</v>
      </c>
      <c r="HWI53" s="5">
        <f>-IFERROR('4. NPV'!HWJ23/'4. NPV'!HWJ$8,0)</f>
        <v>-0.0</v>
      </c>
      <c r="HWJ53" s="5">
        <f>-IFERROR('4. NPV'!HWK23/'4. NPV'!HWK$8,0)</f>
        <v>-0.0</v>
      </c>
      <c r="HWK53" s="5">
        <f>-IFERROR('4. NPV'!HWL23/'4. NPV'!HWL$8,0)</f>
        <v>-0.0</v>
      </c>
      <c r="HWL53" s="5">
        <f>-IFERROR('4. NPV'!HWM23/'4. NPV'!HWM$8,0)</f>
        <v>-0.0</v>
      </c>
      <c r="HWM53" s="5">
        <f>-IFERROR('4. NPV'!HWN23/'4. NPV'!HWN$8,0)</f>
        <v>-0.0</v>
      </c>
      <c r="HWN53" s="5">
        <f>-IFERROR('4. NPV'!HWO23/'4. NPV'!HWO$8,0)</f>
        <v>-0.0</v>
      </c>
      <c r="HWO53" s="5">
        <f>-IFERROR('4. NPV'!HWP23/'4. NPV'!HWP$8,0)</f>
        <v>-0.0</v>
      </c>
      <c r="HWP53" s="5">
        <f>-IFERROR('4. NPV'!HWQ23/'4. NPV'!HWQ$8,0)</f>
        <v>-0.0</v>
      </c>
      <c r="HWQ53" s="5">
        <f>-IFERROR('4. NPV'!HWR23/'4. NPV'!HWR$8,0)</f>
        <v>-0.0</v>
      </c>
      <c r="HWR53" s="5">
        <f>-IFERROR('4. NPV'!HWS23/'4. NPV'!HWS$8,0)</f>
        <v>-0.0</v>
      </c>
      <c r="HWS53" s="5">
        <f>-IFERROR('4. NPV'!HWT23/'4. NPV'!HWT$8,0)</f>
        <v>-0.0</v>
      </c>
      <c r="HWT53" s="5">
        <f>-IFERROR('4. NPV'!HWU23/'4. NPV'!HWU$8,0)</f>
        <v>-0.0</v>
      </c>
      <c r="HWU53" s="5">
        <f>-IFERROR('4. NPV'!HWV23/'4. NPV'!HWV$8,0)</f>
        <v>-0.0</v>
      </c>
      <c r="HWV53" s="5">
        <f>-IFERROR('4. NPV'!HWW23/'4. NPV'!HWW$8,0)</f>
        <v>-0.0</v>
      </c>
      <c r="HWW53" s="5">
        <f>-IFERROR('4. NPV'!HWX23/'4. NPV'!HWX$8,0)</f>
        <v>-0.0</v>
      </c>
      <c r="HWX53" s="5">
        <f>-IFERROR('4. NPV'!HWY23/'4. NPV'!HWY$8,0)</f>
        <v>-0.0</v>
      </c>
      <c r="HWY53" s="5">
        <f>-IFERROR('4. NPV'!HWZ23/'4. NPV'!HWZ$8,0)</f>
        <v>-0.0</v>
      </c>
      <c r="HWZ53" s="5">
        <f>-IFERROR('4. NPV'!HXA23/'4. NPV'!HXA$8,0)</f>
        <v>-0.0</v>
      </c>
      <c r="HXA53" s="5">
        <f>-IFERROR('4. NPV'!HXB23/'4. NPV'!HXB$8,0)</f>
        <v>-0.0</v>
      </c>
      <c r="HXB53" s="5">
        <f>-IFERROR('4. NPV'!HXC23/'4. NPV'!HXC$8,0)</f>
        <v>-0.0</v>
      </c>
      <c r="HXC53" s="5">
        <f>-IFERROR('4. NPV'!HXD23/'4. NPV'!HXD$8,0)</f>
        <v>-0.0</v>
      </c>
      <c r="HXD53" s="5">
        <f>-IFERROR('4. NPV'!HXE23/'4. NPV'!HXE$8,0)</f>
        <v>-0.0</v>
      </c>
      <c r="HXE53" s="5">
        <f>-IFERROR('4. NPV'!HXF23/'4. NPV'!HXF$8,0)</f>
        <v>-0.0</v>
      </c>
      <c r="HXF53" s="5">
        <f>-IFERROR('4. NPV'!HXG23/'4. NPV'!HXG$8,0)</f>
        <v>-0.0</v>
      </c>
      <c r="HXG53" s="5">
        <f>-IFERROR('4. NPV'!HXH23/'4. NPV'!HXH$8,0)</f>
        <v>-0.0</v>
      </c>
      <c r="HXH53" s="5">
        <f>-IFERROR('4. NPV'!HXI23/'4. NPV'!HXI$8,0)</f>
        <v>-0.0</v>
      </c>
      <c r="HXI53" s="5">
        <f>-IFERROR('4. NPV'!HXJ23/'4. NPV'!HXJ$8,0)</f>
        <v>-0.0</v>
      </c>
      <c r="HXJ53" s="5">
        <f>-IFERROR('4. NPV'!HXK23/'4. NPV'!HXK$8,0)</f>
        <v>-0.0</v>
      </c>
      <c r="HXK53" s="5">
        <f>-IFERROR('4. NPV'!HXL23/'4. NPV'!HXL$8,0)</f>
        <v>-0.0</v>
      </c>
      <c r="HXL53" s="5">
        <f>-IFERROR('4. NPV'!HXM23/'4. NPV'!HXM$8,0)</f>
        <v>-0.0</v>
      </c>
      <c r="HXM53" s="5">
        <f>-IFERROR('4. NPV'!HXN23/'4. NPV'!HXN$8,0)</f>
        <v>-0.0</v>
      </c>
      <c r="HXN53" s="5">
        <f>-IFERROR('4. NPV'!HXO23/'4. NPV'!HXO$8,0)</f>
        <v>-0.0</v>
      </c>
      <c r="HXO53" s="5">
        <f>-IFERROR('4. NPV'!HXP23/'4. NPV'!HXP$8,0)</f>
        <v>-0.0</v>
      </c>
      <c r="HXP53" s="5">
        <f>-IFERROR('4. NPV'!HXQ23/'4. NPV'!HXQ$8,0)</f>
        <v>-0.0</v>
      </c>
      <c r="HXQ53" s="5">
        <f>-IFERROR('4. NPV'!HXR23/'4. NPV'!HXR$8,0)</f>
        <v>-0.0</v>
      </c>
      <c r="HXR53" s="5">
        <f>-IFERROR('4. NPV'!HXS23/'4. NPV'!HXS$8,0)</f>
        <v>-0.0</v>
      </c>
      <c r="HXS53" s="5">
        <f>-IFERROR('4. NPV'!HXT23/'4. NPV'!HXT$8,0)</f>
        <v>-0.0</v>
      </c>
      <c r="HXT53" s="5">
        <f>-IFERROR('4. NPV'!HXU23/'4. NPV'!HXU$8,0)</f>
        <v>-0.0</v>
      </c>
      <c r="HXU53" s="5">
        <f>-IFERROR('4. NPV'!HXV23/'4. NPV'!HXV$8,0)</f>
        <v>-0.0</v>
      </c>
      <c r="HXV53" s="5">
        <f>-IFERROR('4. NPV'!HXW23/'4. NPV'!HXW$8,0)</f>
        <v>-0.0</v>
      </c>
      <c r="HXW53" s="5">
        <f>-IFERROR('4. NPV'!HXX23/'4. NPV'!HXX$8,0)</f>
        <v>-0.0</v>
      </c>
      <c r="HXX53" s="5">
        <f>-IFERROR('4. NPV'!HXY23/'4. NPV'!HXY$8,0)</f>
        <v>-0.0</v>
      </c>
      <c r="HXY53" s="5">
        <f>-IFERROR('4. NPV'!HXZ23/'4. NPV'!HXZ$8,0)</f>
        <v>-0.0</v>
      </c>
      <c r="HXZ53" s="5">
        <f>-IFERROR('4. NPV'!HYA23/'4. NPV'!HYA$8,0)</f>
        <v>-0.0</v>
      </c>
      <c r="HYA53" s="5">
        <f>-IFERROR('4. NPV'!HYB23/'4. NPV'!HYB$8,0)</f>
        <v>-0.0</v>
      </c>
      <c r="HYB53" s="5">
        <f>-IFERROR('4. NPV'!HYC23/'4. NPV'!HYC$8,0)</f>
        <v>-0.0</v>
      </c>
      <c r="HYC53" s="5">
        <f>-IFERROR('4. NPV'!HYD23/'4. NPV'!HYD$8,0)</f>
        <v>-0.0</v>
      </c>
      <c r="HYD53" s="5">
        <f>-IFERROR('4. NPV'!HYE23/'4. NPV'!HYE$8,0)</f>
        <v>-0.0</v>
      </c>
      <c r="HYE53" s="5">
        <f>-IFERROR('4. NPV'!HYF23/'4. NPV'!HYF$8,0)</f>
        <v>-0.0</v>
      </c>
      <c r="HYF53" s="5">
        <f>-IFERROR('4. NPV'!HYG23/'4. NPV'!HYG$8,0)</f>
        <v>-0.0</v>
      </c>
      <c r="HYG53" s="5">
        <f>-IFERROR('4. NPV'!HYH23/'4. NPV'!HYH$8,0)</f>
        <v>-0.0</v>
      </c>
      <c r="HYH53" s="5">
        <f>-IFERROR('4. NPV'!HYI23/'4. NPV'!HYI$8,0)</f>
        <v>-0.0</v>
      </c>
      <c r="HYI53" s="5">
        <f>-IFERROR('4. NPV'!HYJ23/'4. NPV'!HYJ$8,0)</f>
        <v>-0.0</v>
      </c>
      <c r="HYJ53" s="5">
        <f>-IFERROR('4. NPV'!HYK23/'4. NPV'!HYK$8,0)</f>
        <v>-0.0</v>
      </c>
      <c r="HYK53" s="5">
        <f>-IFERROR('4. NPV'!HYL23/'4. NPV'!HYL$8,0)</f>
        <v>-0.0</v>
      </c>
      <c r="HYL53" s="5">
        <f>-IFERROR('4. NPV'!HYM23/'4. NPV'!HYM$8,0)</f>
        <v>-0.0</v>
      </c>
      <c r="HYM53" s="5">
        <f>-IFERROR('4. NPV'!HYN23/'4. NPV'!HYN$8,0)</f>
        <v>-0.0</v>
      </c>
      <c r="HYN53" s="5">
        <f>-IFERROR('4. NPV'!HYO23/'4. NPV'!HYO$8,0)</f>
        <v>-0.0</v>
      </c>
      <c r="HYO53" s="5">
        <f>-IFERROR('4. NPV'!HYP23/'4. NPV'!HYP$8,0)</f>
        <v>-0.0</v>
      </c>
      <c r="HYP53" s="5">
        <f>-IFERROR('4. NPV'!HYQ23/'4. NPV'!HYQ$8,0)</f>
        <v>-0.0</v>
      </c>
      <c r="HYQ53" s="5">
        <f>-IFERROR('4. NPV'!HYR23/'4. NPV'!HYR$8,0)</f>
        <v>-0.0</v>
      </c>
      <c r="HYR53" s="5">
        <f>-IFERROR('4. NPV'!HYS23/'4. NPV'!HYS$8,0)</f>
        <v>-0.0</v>
      </c>
      <c r="HYS53" s="5">
        <f>-IFERROR('4. NPV'!HYT23/'4. NPV'!HYT$8,0)</f>
        <v>-0.0</v>
      </c>
      <c r="HYT53" s="5">
        <f>-IFERROR('4. NPV'!HYU23/'4. NPV'!HYU$8,0)</f>
        <v>-0.0</v>
      </c>
      <c r="HYU53" s="5">
        <f>-IFERROR('4. NPV'!HYV23/'4. NPV'!HYV$8,0)</f>
        <v>-0.0</v>
      </c>
      <c r="HYV53" s="5">
        <f>-IFERROR('4. NPV'!HYW23/'4. NPV'!HYW$8,0)</f>
        <v>-0.0</v>
      </c>
      <c r="HYW53" s="5">
        <f>-IFERROR('4. NPV'!HYX23/'4. NPV'!HYX$8,0)</f>
        <v>-0.0</v>
      </c>
      <c r="HYX53" s="5">
        <f>-IFERROR('4. NPV'!HYY23/'4. NPV'!HYY$8,0)</f>
        <v>-0.0</v>
      </c>
      <c r="HYY53" s="5">
        <f>-IFERROR('4. NPV'!HYZ23/'4. NPV'!HYZ$8,0)</f>
        <v>-0.0</v>
      </c>
      <c r="HYZ53" s="5">
        <f>-IFERROR('4. NPV'!HZA23/'4. NPV'!HZA$8,0)</f>
        <v>-0.0</v>
      </c>
      <c r="HZA53" s="5">
        <f>-IFERROR('4. NPV'!HZB23/'4. NPV'!HZB$8,0)</f>
        <v>-0.0</v>
      </c>
      <c r="HZB53" s="5">
        <f>-IFERROR('4. NPV'!HZC23/'4. NPV'!HZC$8,0)</f>
        <v>-0.0</v>
      </c>
      <c r="HZC53" s="5">
        <f>-IFERROR('4. NPV'!HZD23/'4. NPV'!HZD$8,0)</f>
        <v>-0.0</v>
      </c>
      <c r="HZD53" s="5">
        <f>-IFERROR('4. NPV'!HZE23/'4. NPV'!HZE$8,0)</f>
        <v>-0.0</v>
      </c>
      <c r="HZE53" s="5">
        <f>-IFERROR('4. NPV'!HZF23/'4. NPV'!HZF$8,0)</f>
        <v>-0.0</v>
      </c>
      <c r="HZF53" s="5">
        <f>-IFERROR('4. NPV'!HZG23/'4. NPV'!HZG$8,0)</f>
        <v>-0.0</v>
      </c>
      <c r="HZG53" s="5">
        <f>-IFERROR('4. NPV'!HZH23/'4. NPV'!HZH$8,0)</f>
        <v>-0.0</v>
      </c>
      <c r="HZH53" s="5">
        <f>-IFERROR('4. NPV'!HZI23/'4. NPV'!HZI$8,0)</f>
        <v>-0.0</v>
      </c>
      <c r="HZI53" s="5">
        <f>-IFERROR('4. NPV'!HZJ23/'4. NPV'!HZJ$8,0)</f>
        <v>-0.0</v>
      </c>
      <c r="HZJ53" s="5">
        <f>-IFERROR('4. NPV'!HZK23/'4. NPV'!HZK$8,0)</f>
        <v>-0.0</v>
      </c>
      <c r="HZK53" s="5">
        <f>-IFERROR('4. NPV'!HZL23/'4. NPV'!HZL$8,0)</f>
        <v>-0.0</v>
      </c>
      <c r="HZL53" s="5">
        <f>-IFERROR('4. NPV'!HZM23/'4. NPV'!HZM$8,0)</f>
        <v>-0.0</v>
      </c>
      <c r="HZM53" s="5">
        <f>-IFERROR('4. NPV'!HZN23/'4. NPV'!HZN$8,0)</f>
        <v>-0.0</v>
      </c>
      <c r="HZN53" s="5">
        <f>-IFERROR('4. NPV'!HZO23/'4. NPV'!HZO$8,0)</f>
        <v>-0.0</v>
      </c>
      <c r="HZO53" s="5">
        <f>-IFERROR('4. NPV'!HZP23/'4. NPV'!HZP$8,0)</f>
        <v>-0.0</v>
      </c>
      <c r="HZP53" s="5">
        <f>-IFERROR('4. NPV'!HZQ23/'4. NPV'!HZQ$8,0)</f>
        <v>-0.0</v>
      </c>
      <c r="HZQ53" s="5">
        <f>-IFERROR('4. NPV'!HZR23/'4. NPV'!HZR$8,0)</f>
        <v>-0.0</v>
      </c>
      <c r="HZR53" s="5">
        <f>-IFERROR('4. NPV'!HZS23/'4. NPV'!HZS$8,0)</f>
        <v>-0.0</v>
      </c>
      <c r="HZS53" s="5">
        <f>-IFERROR('4. NPV'!HZT23/'4. NPV'!HZT$8,0)</f>
        <v>-0.0</v>
      </c>
      <c r="HZT53" s="5">
        <f>-IFERROR('4. NPV'!HZU23/'4. NPV'!HZU$8,0)</f>
        <v>-0.0</v>
      </c>
      <c r="HZU53" s="5">
        <f>-IFERROR('4. NPV'!HZV23/'4. NPV'!HZV$8,0)</f>
        <v>-0.0</v>
      </c>
      <c r="HZV53" s="5">
        <f>-IFERROR('4. NPV'!HZW23/'4. NPV'!HZW$8,0)</f>
        <v>-0.0</v>
      </c>
      <c r="HZW53" s="5">
        <f>-IFERROR('4. NPV'!HZX23/'4. NPV'!HZX$8,0)</f>
        <v>-0.0</v>
      </c>
      <c r="HZX53" s="5">
        <f>-IFERROR('4. NPV'!HZY23/'4. NPV'!HZY$8,0)</f>
        <v>-0.0</v>
      </c>
      <c r="HZY53" s="5">
        <f>-IFERROR('4. NPV'!HZZ23/'4. NPV'!HZZ$8,0)</f>
        <v>-0.0</v>
      </c>
      <c r="HZZ53" s="5">
        <f>-IFERROR('4. NPV'!IAA23/'4. NPV'!IAA$8,0)</f>
        <v>-0.0</v>
      </c>
      <c r="IAA53" s="5">
        <f>-IFERROR('4. NPV'!IAB23/'4. NPV'!IAB$8,0)</f>
        <v>-0.0</v>
      </c>
      <c r="IAB53" s="5">
        <f>-IFERROR('4. NPV'!IAC23/'4. NPV'!IAC$8,0)</f>
        <v>-0.0</v>
      </c>
      <c r="IAC53" s="5">
        <f>-IFERROR('4. NPV'!IAD23/'4. NPV'!IAD$8,0)</f>
        <v>-0.0</v>
      </c>
      <c r="IAD53" s="5">
        <f>-IFERROR('4. NPV'!IAE23/'4. NPV'!IAE$8,0)</f>
        <v>-0.0</v>
      </c>
      <c r="IAE53" s="5">
        <f>-IFERROR('4. NPV'!IAF23/'4. NPV'!IAF$8,0)</f>
        <v>-0.0</v>
      </c>
      <c r="IAF53" s="5">
        <f>-IFERROR('4. NPV'!IAG23/'4. NPV'!IAG$8,0)</f>
        <v>-0.0</v>
      </c>
      <c r="IAG53" s="5">
        <f>-IFERROR('4. NPV'!IAH23/'4. NPV'!IAH$8,0)</f>
        <v>-0.0</v>
      </c>
      <c r="IAH53" s="5">
        <f>-IFERROR('4. NPV'!IAI23/'4. NPV'!IAI$8,0)</f>
        <v>-0.0</v>
      </c>
      <c r="IAI53" s="5">
        <f>-IFERROR('4. NPV'!IAJ23/'4. NPV'!IAJ$8,0)</f>
        <v>-0.0</v>
      </c>
      <c r="IAJ53" s="5">
        <f>-IFERROR('4. NPV'!IAK23/'4. NPV'!IAK$8,0)</f>
        <v>-0.0</v>
      </c>
      <c r="IAK53" s="5">
        <f>-IFERROR('4. NPV'!IAL23/'4. NPV'!IAL$8,0)</f>
        <v>-0.0</v>
      </c>
      <c r="IAL53" s="5">
        <f>-IFERROR('4. NPV'!IAM23/'4. NPV'!IAM$8,0)</f>
        <v>-0.0</v>
      </c>
      <c r="IAM53" s="5">
        <f>-IFERROR('4. NPV'!IAN23/'4. NPV'!IAN$8,0)</f>
        <v>-0.0</v>
      </c>
      <c r="IAN53" s="5">
        <f>-IFERROR('4. NPV'!IAO23/'4. NPV'!IAO$8,0)</f>
        <v>-0.0</v>
      </c>
      <c r="IAO53" s="5">
        <f>-IFERROR('4. NPV'!IAP23/'4. NPV'!IAP$8,0)</f>
        <v>-0.0</v>
      </c>
      <c r="IAP53" s="5">
        <f>-IFERROR('4. NPV'!IAQ23/'4. NPV'!IAQ$8,0)</f>
        <v>-0.0</v>
      </c>
      <c r="IAQ53" s="5">
        <f>-IFERROR('4. NPV'!IAR23/'4. NPV'!IAR$8,0)</f>
        <v>-0.0</v>
      </c>
      <c r="IAR53" s="5">
        <f>-IFERROR('4. NPV'!IAS23/'4. NPV'!IAS$8,0)</f>
        <v>-0.0</v>
      </c>
      <c r="IAS53" s="5">
        <f>-IFERROR('4. NPV'!IAT23/'4. NPV'!IAT$8,0)</f>
        <v>-0.0</v>
      </c>
      <c r="IAT53" s="5">
        <f>-IFERROR('4. NPV'!IAU23/'4. NPV'!IAU$8,0)</f>
        <v>-0.0</v>
      </c>
      <c r="IAU53" s="5">
        <f>-IFERROR('4. NPV'!IAV23/'4. NPV'!IAV$8,0)</f>
        <v>-0.0</v>
      </c>
      <c r="IAV53" s="5">
        <f>-IFERROR('4. NPV'!IAW23/'4. NPV'!IAW$8,0)</f>
        <v>-0.0</v>
      </c>
      <c r="IAW53" s="5">
        <f>-IFERROR('4. NPV'!IAX23/'4. NPV'!IAX$8,0)</f>
        <v>-0.0</v>
      </c>
      <c r="IAX53" s="5">
        <f>-IFERROR('4. NPV'!IAY23/'4. NPV'!IAY$8,0)</f>
        <v>-0.0</v>
      </c>
      <c r="IAY53" s="5">
        <f>-IFERROR('4. NPV'!IAZ23/'4. NPV'!IAZ$8,0)</f>
        <v>-0.0</v>
      </c>
      <c r="IAZ53" s="5">
        <f>-IFERROR('4. NPV'!IBA23/'4. NPV'!IBA$8,0)</f>
        <v>-0.0</v>
      </c>
      <c r="IBA53" s="5">
        <f>-IFERROR('4. NPV'!IBB23/'4. NPV'!IBB$8,0)</f>
        <v>-0.0</v>
      </c>
      <c r="IBB53" s="5">
        <f>-IFERROR('4. NPV'!IBC23/'4. NPV'!IBC$8,0)</f>
        <v>-0.0</v>
      </c>
      <c r="IBC53" s="5">
        <f>-IFERROR('4. NPV'!IBD23/'4. NPV'!IBD$8,0)</f>
        <v>-0.0</v>
      </c>
      <c r="IBD53" s="5">
        <f>-IFERROR('4. NPV'!IBE23/'4. NPV'!IBE$8,0)</f>
        <v>-0.0</v>
      </c>
      <c r="IBE53" s="5">
        <f>-IFERROR('4. NPV'!IBF23/'4. NPV'!IBF$8,0)</f>
        <v>-0.0</v>
      </c>
      <c r="IBF53" s="5">
        <f>-IFERROR('4. NPV'!IBG23/'4. NPV'!IBG$8,0)</f>
        <v>-0.0</v>
      </c>
      <c r="IBG53" s="5">
        <f>-IFERROR('4. NPV'!IBH23/'4. NPV'!IBH$8,0)</f>
        <v>-0.0</v>
      </c>
      <c r="IBH53" s="5">
        <f>-IFERROR('4. NPV'!IBI23/'4. NPV'!IBI$8,0)</f>
        <v>-0.0</v>
      </c>
      <c r="IBI53" s="5">
        <f>-IFERROR('4. NPV'!IBJ23/'4. NPV'!IBJ$8,0)</f>
        <v>-0.0</v>
      </c>
      <c r="IBJ53" s="5">
        <f>-IFERROR('4. NPV'!IBK23/'4. NPV'!IBK$8,0)</f>
        <v>-0.0</v>
      </c>
      <c r="IBK53" s="5">
        <f>-IFERROR('4. NPV'!IBL23/'4. NPV'!IBL$8,0)</f>
        <v>-0.0</v>
      </c>
      <c r="IBL53" s="5">
        <f>-IFERROR('4. NPV'!IBM23/'4. NPV'!IBM$8,0)</f>
        <v>-0.0</v>
      </c>
      <c r="IBM53" s="5">
        <f>-IFERROR('4. NPV'!IBN23/'4. NPV'!IBN$8,0)</f>
        <v>-0.0</v>
      </c>
      <c r="IBN53" s="5">
        <f>-IFERROR('4. NPV'!IBO23/'4. NPV'!IBO$8,0)</f>
        <v>-0.0</v>
      </c>
      <c r="IBO53" s="5">
        <f>-IFERROR('4. NPV'!IBP23/'4. NPV'!IBP$8,0)</f>
        <v>-0.0</v>
      </c>
      <c r="IBP53" s="5">
        <f>-IFERROR('4. NPV'!IBQ23/'4. NPV'!IBQ$8,0)</f>
        <v>-0.0</v>
      </c>
      <c r="IBQ53" s="5">
        <f>-IFERROR('4. NPV'!IBR23/'4. NPV'!IBR$8,0)</f>
        <v>-0.0</v>
      </c>
      <c r="IBR53" s="5">
        <f>-IFERROR('4. NPV'!IBS23/'4. NPV'!IBS$8,0)</f>
        <v>-0.0</v>
      </c>
      <c r="IBS53" s="5">
        <f>-IFERROR('4. NPV'!IBT23/'4. NPV'!IBT$8,0)</f>
        <v>-0.0</v>
      </c>
      <c r="IBT53" s="5">
        <f>-IFERROR('4. NPV'!IBU23/'4. NPV'!IBU$8,0)</f>
        <v>-0.0</v>
      </c>
      <c r="IBU53" s="5">
        <f>-IFERROR('4. NPV'!IBV23/'4. NPV'!IBV$8,0)</f>
        <v>-0.0</v>
      </c>
      <c r="IBV53" s="5">
        <f>-IFERROR('4. NPV'!IBW23/'4. NPV'!IBW$8,0)</f>
        <v>-0.0</v>
      </c>
      <c r="IBW53" s="5">
        <f>-IFERROR('4. NPV'!IBX23/'4. NPV'!IBX$8,0)</f>
        <v>-0.0</v>
      </c>
      <c r="IBX53" s="5">
        <f>-IFERROR('4. NPV'!IBY23/'4. NPV'!IBY$8,0)</f>
        <v>-0.0</v>
      </c>
      <c r="IBY53" s="5">
        <f>-IFERROR('4. NPV'!IBZ23/'4. NPV'!IBZ$8,0)</f>
        <v>-0.0</v>
      </c>
      <c r="IBZ53" s="5">
        <f>-IFERROR('4. NPV'!ICA23/'4. NPV'!ICA$8,0)</f>
        <v>-0.0</v>
      </c>
      <c r="ICA53" s="5">
        <f>-IFERROR('4. NPV'!ICB23/'4. NPV'!ICB$8,0)</f>
        <v>-0.0</v>
      </c>
      <c r="ICB53" s="5">
        <f>-IFERROR('4. NPV'!ICC23/'4. NPV'!ICC$8,0)</f>
        <v>-0.0</v>
      </c>
      <c r="ICC53" s="5">
        <f>-IFERROR('4. NPV'!ICD23/'4. NPV'!ICD$8,0)</f>
        <v>-0.0</v>
      </c>
      <c r="ICD53" s="5">
        <f>-IFERROR('4. NPV'!ICE23/'4. NPV'!ICE$8,0)</f>
        <v>-0.0</v>
      </c>
      <c r="ICE53" s="5">
        <f>-IFERROR('4. NPV'!ICF23/'4. NPV'!ICF$8,0)</f>
        <v>-0.0</v>
      </c>
      <c r="ICF53" s="5">
        <f>-IFERROR('4. NPV'!ICG23/'4. NPV'!ICG$8,0)</f>
        <v>-0.0</v>
      </c>
      <c r="ICG53" s="5">
        <f>-IFERROR('4. NPV'!ICH23/'4. NPV'!ICH$8,0)</f>
        <v>-0.0</v>
      </c>
      <c r="ICH53" s="5">
        <f>-IFERROR('4. NPV'!ICI23/'4. NPV'!ICI$8,0)</f>
        <v>-0.0</v>
      </c>
      <c r="ICI53" s="5">
        <f>-IFERROR('4. NPV'!ICJ23/'4. NPV'!ICJ$8,0)</f>
        <v>-0.0</v>
      </c>
      <c r="ICJ53" s="5">
        <f>-IFERROR('4. NPV'!ICK23/'4. NPV'!ICK$8,0)</f>
        <v>-0.0</v>
      </c>
      <c r="ICK53" s="5">
        <f>-IFERROR('4. NPV'!ICL23/'4. NPV'!ICL$8,0)</f>
        <v>-0.0</v>
      </c>
      <c r="ICL53" s="5">
        <f>-IFERROR('4. NPV'!ICM23/'4. NPV'!ICM$8,0)</f>
        <v>-0.0</v>
      </c>
      <c r="ICM53" s="5">
        <f>-IFERROR('4. NPV'!ICN23/'4. NPV'!ICN$8,0)</f>
        <v>-0.0</v>
      </c>
      <c r="ICN53" s="5">
        <f>-IFERROR('4. NPV'!ICO23/'4. NPV'!ICO$8,0)</f>
        <v>-0.0</v>
      </c>
      <c r="ICO53" s="5">
        <f>-IFERROR('4. NPV'!ICP23/'4. NPV'!ICP$8,0)</f>
        <v>-0.0</v>
      </c>
      <c r="ICP53" s="5">
        <f>-IFERROR('4. NPV'!ICQ23/'4. NPV'!ICQ$8,0)</f>
        <v>-0.0</v>
      </c>
      <c r="ICQ53" s="5">
        <f>-IFERROR('4. NPV'!ICR23/'4. NPV'!ICR$8,0)</f>
        <v>-0.0</v>
      </c>
      <c r="ICR53" s="5">
        <f>-IFERROR('4. NPV'!ICS23/'4. NPV'!ICS$8,0)</f>
        <v>-0.0</v>
      </c>
      <c r="ICS53" s="5">
        <f>-IFERROR('4. NPV'!ICT23/'4. NPV'!ICT$8,0)</f>
        <v>-0.0</v>
      </c>
      <c r="ICT53" s="5">
        <f>-IFERROR('4. NPV'!ICU23/'4. NPV'!ICU$8,0)</f>
        <v>-0.0</v>
      </c>
      <c r="ICU53" s="5">
        <f>-IFERROR('4. NPV'!ICV23/'4. NPV'!ICV$8,0)</f>
        <v>-0.0</v>
      </c>
      <c r="ICV53" s="5">
        <f>-IFERROR('4. NPV'!ICW23/'4. NPV'!ICW$8,0)</f>
        <v>-0.0</v>
      </c>
      <c r="ICW53" s="5">
        <f>-IFERROR('4. NPV'!ICX23/'4. NPV'!ICX$8,0)</f>
        <v>-0.0</v>
      </c>
      <c r="ICX53" s="5">
        <f>-IFERROR('4. NPV'!ICY23/'4. NPV'!ICY$8,0)</f>
        <v>-0.0</v>
      </c>
      <c r="ICY53" s="5">
        <f>-IFERROR('4. NPV'!ICZ23/'4. NPV'!ICZ$8,0)</f>
        <v>-0.0</v>
      </c>
      <c r="ICZ53" s="5">
        <f>-IFERROR('4. NPV'!IDA23/'4. NPV'!IDA$8,0)</f>
        <v>-0.0</v>
      </c>
      <c r="IDA53" s="5">
        <f>-IFERROR('4. NPV'!IDB23/'4. NPV'!IDB$8,0)</f>
        <v>-0.0</v>
      </c>
      <c r="IDB53" s="5">
        <f>-IFERROR('4. NPV'!IDC23/'4. NPV'!IDC$8,0)</f>
        <v>-0.0</v>
      </c>
      <c r="IDC53" s="5">
        <f>-IFERROR('4. NPV'!IDD23/'4. NPV'!IDD$8,0)</f>
        <v>-0.0</v>
      </c>
      <c r="IDD53" s="5">
        <f>-IFERROR('4. NPV'!IDE23/'4. NPV'!IDE$8,0)</f>
        <v>-0.0</v>
      </c>
      <c r="IDE53" s="5">
        <f>-IFERROR('4. NPV'!IDF23/'4. NPV'!IDF$8,0)</f>
        <v>-0.0</v>
      </c>
      <c r="IDF53" s="5">
        <f>-IFERROR('4. NPV'!IDG23/'4. NPV'!IDG$8,0)</f>
        <v>-0.0</v>
      </c>
      <c r="IDG53" s="5">
        <f>-IFERROR('4. NPV'!IDH23/'4. NPV'!IDH$8,0)</f>
        <v>-0.0</v>
      </c>
      <c r="IDH53" s="5">
        <f>-IFERROR('4. NPV'!IDI23/'4. NPV'!IDI$8,0)</f>
        <v>-0.0</v>
      </c>
      <c r="IDI53" s="5">
        <f>-IFERROR('4. NPV'!IDJ23/'4. NPV'!IDJ$8,0)</f>
        <v>-0.0</v>
      </c>
      <c r="IDJ53" s="5">
        <f>-IFERROR('4. NPV'!IDK23/'4. NPV'!IDK$8,0)</f>
        <v>-0.0</v>
      </c>
      <c r="IDK53" s="5">
        <f>-IFERROR('4. NPV'!IDL23/'4. NPV'!IDL$8,0)</f>
        <v>-0.0</v>
      </c>
      <c r="IDL53" s="5">
        <f>-IFERROR('4. NPV'!IDM23/'4. NPV'!IDM$8,0)</f>
        <v>-0.0</v>
      </c>
      <c r="IDM53" s="5">
        <f>-IFERROR('4. NPV'!IDN23/'4. NPV'!IDN$8,0)</f>
        <v>-0.0</v>
      </c>
      <c r="IDN53" s="5">
        <f>-IFERROR('4. NPV'!IDO23/'4. NPV'!IDO$8,0)</f>
        <v>-0.0</v>
      </c>
      <c r="IDO53" s="5">
        <f>-IFERROR('4. NPV'!IDP23/'4. NPV'!IDP$8,0)</f>
        <v>-0.0</v>
      </c>
      <c r="IDP53" s="5">
        <f>-IFERROR('4. NPV'!IDQ23/'4. NPV'!IDQ$8,0)</f>
        <v>-0.0</v>
      </c>
      <c r="IDQ53" s="5">
        <f>-IFERROR('4. NPV'!IDR23/'4. NPV'!IDR$8,0)</f>
        <v>-0.0</v>
      </c>
      <c r="IDR53" s="5">
        <f>-IFERROR('4. NPV'!IDS23/'4. NPV'!IDS$8,0)</f>
        <v>-0.0</v>
      </c>
      <c r="IDS53" s="5">
        <f>-IFERROR('4. NPV'!IDT23/'4. NPV'!IDT$8,0)</f>
        <v>-0.0</v>
      </c>
      <c r="IDT53" s="5">
        <f>-IFERROR('4. NPV'!IDU23/'4. NPV'!IDU$8,0)</f>
        <v>-0.0</v>
      </c>
      <c r="IDU53" s="5">
        <f>-IFERROR('4. NPV'!IDV23/'4. NPV'!IDV$8,0)</f>
        <v>-0.0</v>
      </c>
      <c r="IDV53" s="5">
        <f>-IFERROR('4. NPV'!IDW23/'4. NPV'!IDW$8,0)</f>
        <v>-0.0</v>
      </c>
      <c r="IDW53" s="5">
        <f>-IFERROR('4. NPV'!IDX23/'4. NPV'!IDX$8,0)</f>
        <v>-0.0</v>
      </c>
      <c r="IDX53" s="5">
        <f>-IFERROR('4. NPV'!IDY23/'4. NPV'!IDY$8,0)</f>
        <v>-0.0</v>
      </c>
      <c r="IDY53" s="5">
        <f>-IFERROR('4. NPV'!IDZ23/'4. NPV'!IDZ$8,0)</f>
        <v>-0.0</v>
      </c>
      <c r="IDZ53" s="5">
        <f>-IFERROR('4. NPV'!IEA23/'4. NPV'!IEA$8,0)</f>
        <v>-0.0</v>
      </c>
      <c r="IEA53" s="5">
        <f>-IFERROR('4. NPV'!IEB23/'4. NPV'!IEB$8,0)</f>
        <v>-0.0</v>
      </c>
      <c r="IEB53" s="5">
        <f>-IFERROR('4. NPV'!IEC23/'4. NPV'!IEC$8,0)</f>
        <v>-0.0</v>
      </c>
      <c r="IEC53" s="5">
        <f>-IFERROR('4. NPV'!IED23/'4. NPV'!IED$8,0)</f>
        <v>-0.0</v>
      </c>
      <c r="IED53" s="5">
        <f>-IFERROR('4. NPV'!IEE23/'4. NPV'!IEE$8,0)</f>
        <v>-0.0</v>
      </c>
      <c r="IEE53" s="5">
        <f>-IFERROR('4. NPV'!IEF23/'4. NPV'!IEF$8,0)</f>
        <v>-0.0</v>
      </c>
      <c r="IEF53" s="5">
        <f>-IFERROR('4. NPV'!IEG23/'4. NPV'!IEG$8,0)</f>
        <v>-0.0</v>
      </c>
      <c r="IEG53" s="5">
        <f>-IFERROR('4. NPV'!IEH23/'4. NPV'!IEH$8,0)</f>
        <v>-0.0</v>
      </c>
      <c r="IEH53" s="5">
        <f>-IFERROR('4. NPV'!IEI23/'4. NPV'!IEI$8,0)</f>
        <v>-0.0</v>
      </c>
      <c r="IEI53" s="5">
        <f>-IFERROR('4. NPV'!IEJ23/'4. NPV'!IEJ$8,0)</f>
        <v>-0.0</v>
      </c>
      <c r="IEJ53" s="5">
        <f>-IFERROR('4. NPV'!IEK23/'4. NPV'!IEK$8,0)</f>
        <v>-0.0</v>
      </c>
      <c r="IEK53" s="5">
        <f>-IFERROR('4. NPV'!IEL23/'4. NPV'!IEL$8,0)</f>
        <v>-0.0</v>
      </c>
      <c r="IEL53" s="5">
        <f>-IFERROR('4. NPV'!IEM23/'4. NPV'!IEM$8,0)</f>
        <v>-0.0</v>
      </c>
      <c r="IEM53" s="5">
        <f>-IFERROR('4. NPV'!IEN23/'4. NPV'!IEN$8,0)</f>
        <v>-0.0</v>
      </c>
      <c r="IEN53" s="5">
        <f>-IFERROR('4. NPV'!IEO23/'4. NPV'!IEO$8,0)</f>
        <v>-0.0</v>
      </c>
      <c r="IEO53" s="5">
        <f>-IFERROR('4. NPV'!IEP23/'4. NPV'!IEP$8,0)</f>
        <v>-0.0</v>
      </c>
      <c r="IEP53" s="5">
        <f>-IFERROR('4. NPV'!IEQ23/'4. NPV'!IEQ$8,0)</f>
        <v>-0.0</v>
      </c>
      <c r="IEQ53" s="5">
        <f>-IFERROR('4. NPV'!IER23/'4. NPV'!IER$8,0)</f>
        <v>-0.0</v>
      </c>
      <c r="IER53" s="5">
        <f>-IFERROR('4. NPV'!IES23/'4. NPV'!IES$8,0)</f>
        <v>-0.0</v>
      </c>
      <c r="IES53" s="5">
        <f>-IFERROR('4. NPV'!IET23/'4. NPV'!IET$8,0)</f>
        <v>-0.0</v>
      </c>
      <c r="IET53" s="5">
        <f>-IFERROR('4. NPV'!IEU23/'4. NPV'!IEU$8,0)</f>
        <v>-0.0</v>
      </c>
      <c r="IEU53" s="5">
        <f>-IFERROR('4. NPV'!IEV23/'4. NPV'!IEV$8,0)</f>
        <v>-0.0</v>
      </c>
      <c r="IEV53" s="5">
        <f>-IFERROR('4. NPV'!IEW23/'4. NPV'!IEW$8,0)</f>
        <v>-0.0</v>
      </c>
      <c r="IEW53" s="5">
        <f>-IFERROR('4. NPV'!IEX23/'4. NPV'!IEX$8,0)</f>
        <v>-0.0</v>
      </c>
      <c r="IEX53" s="5">
        <f>-IFERROR('4. NPV'!IEY23/'4. NPV'!IEY$8,0)</f>
        <v>-0.0</v>
      </c>
      <c r="IEY53" s="5">
        <f>-IFERROR('4. NPV'!IEZ23/'4. NPV'!IEZ$8,0)</f>
        <v>-0.0</v>
      </c>
      <c r="IEZ53" s="5">
        <f>-IFERROR('4. NPV'!IFA23/'4. NPV'!IFA$8,0)</f>
        <v>-0.0</v>
      </c>
      <c r="IFA53" s="5">
        <f>-IFERROR('4. NPV'!IFB23/'4. NPV'!IFB$8,0)</f>
        <v>-0.0</v>
      </c>
      <c r="IFB53" s="5">
        <f>-IFERROR('4. NPV'!IFC23/'4. NPV'!IFC$8,0)</f>
        <v>-0.0</v>
      </c>
      <c r="IFC53" s="5">
        <f>-IFERROR('4. NPV'!IFD23/'4. NPV'!IFD$8,0)</f>
        <v>-0.0</v>
      </c>
      <c r="IFD53" s="5">
        <f>-IFERROR('4. NPV'!IFE23/'4. NPV'!IFE$8,0)</f>
        <v>-0.0</v>
      </c>
      <c r="IFE53" s="5">
        <f>-IFERROR('4. NPV'!IFF23/'4. NPV'!IFF$8,0)</f>
        <v>-0.0</v>
      </c>
      <c r="IFF53" s="5">
        <f>-IFERROR('4. NPV'!IFG23/'4. NPV'!IFG$8,0)</f>
        <v>-0.0</v>
      </c>
      <c r="IFG53" s="5">
        <f>-IFERROR('4. NPV'!IFH23/'4. NPV'!IFH$8,0)</f>
        <v>-0.0</v>
      </c>
      <c r="IFH53" s="5">
        <f>-IFERROR('4. NPV'!IFI23/'4. NPV'!IFI$8,0)</f>
        <v>-0.0</v>
      </c>
      <c r="IFI53" s="5">
        <f>-IFERROR('4. NPV'!IFJ23/'4. NPV'!IFJ$8,0)</f>
        <v>-0.0</v>
      </c>
      <c r="IFJ53" s="5">
        <f>-IFERROR('4. NPV'!IFK23/'4. NPV'!IFK$8,0)</f>
        <v>-0.0</v>
      </c>
      <c r="IFK53" s="5">
        <f>-IFERROR('4. NPV'!IFL23/'4. NPV'!IFL$8,0)</f>
        <v>-0.0</v>
      </c>
      <c r="IFL53" s="5">
        <f>-IFERROR('4. NPV'!IFM23/'4. NPV'!IFM$8,0)</f>
        <v>-0.0</v>
      </c>
      <c r="IFM53" s="5">
        <f>-IFERROR('4. NPV'!IFN23/'4. NPV'!IFN$8,0)</f>
        <v>-0.0</v>
      </c>
      <c r="IFN53" s="5">
        <f>-IFERROR('4. NPV'!IFO23/'4. NPV'!IFO$8,0)</f>
        <v>-0.0</v>
      </c>
      <c r="IFO53" s="5">
        <f>-IFERROR('4. NPV'!IFP23/'4. NPV'!IFP$8,0)</f>
        <v>-0.0</v>
      </c>
      <c r="IFP53" s="5">
        <f>-IFERROR('4. NPV'!IFQ23/'4. NPV'!IFQ$8,0)</f>
        <v>-0.0</v>
      </c>
      <c r="IFQ53" s="5">
        <f>-IFERROR('4. NPV'!IFR23/'4. NPV'!IFR$8,0)</f>
        <v>-0.0</v>
      </c>
      <c r="IFR53" s="5">
        <f>-IFERROR('4. NPV'!IFS23/'4. NPV'!IFS$8,0)</f>
        <v>-0.0</v>
      </c>
      <c r="IFS53" s="5">
        <f>-IFERROR('4. NPV'!IFT23/'4. NPV'!IFT$8,0)</f>
        <v>-0.0</v>
      </c>
      <c r="IFT53" s="5">
        <f>-IFERROR('4. NPV'!IFU23/'4. NPV'!IFU$8,0)</f>
        <v>-0.0</v>
      </c>
      <c r="IFU53" s="5">
        <f>-IFERROR('4. NPV'!IFV23/'4. NPV'!IFV$8,0)</f>
        <v>-0.0</v>
      </c>
      <c r="IFV53" s="5">
        <f>-IFERROR('4. NPV'!IFW23/'4. NPV'!IFW$8,0)</f>
        <v>-0.0</v>
      </c>
      <c r="IFW53" s="5">
        <f>-IFERROR('4. NPV'!IFX23/'4. NPV'!IFX$8,0)</f>
        <v>-0.0</v>
      </c>
      <c r="IFX53" s="5">
        <f>-IFERROR('4. NPV'!IFY23/'4. NPV'!IFY$8,0)</f>
        <v>-0.0</v>
      </c>
      <c r="IFY53" s="5">
        <f>-IFERROR('4. NPV'!IFZ23/'4. NPV'!IFZ$8,0)</f>
        <v>-0.0</v>
      </c>
      <c r="IFZ53" s="5">
        <f>-IFERROR('4. NPV'!IGA23/'4. NPV'!IGA$8,0)</f>
        <v>-0.0</v>
      </c>
      <c r="IGA53" s="5">
        <f>-IFERROR('4. NPV'!IGB23/'4. NPV'!IGB$8,0)</f>
        <v>-0.0</v>
      </c>
      <c r="IGB53" s="5">
        <f>-IFERROR('4. NPV'!IGC23/'4. NPV'!IGC$8,0)</f>
        <v>-0.0</v>
      </c>
      <c r="IGC53" s="5">
        <f>-IFERROR('4. NPV'!IGD23/'4. NPV'!IGD$8,0)</f>
        <v>-0.0</v>
      </c>
      <c r="IGD53" s="5">
        <f>-IFERROR('4. NPV'!IGE23/'4. NPV'!IGE$8,0)</f>
        <v>-0.0</v>
      </c>
      <c r="IGE53" s="5">
        <f>-IFERROR('4. NPV'!IGF23/'4. NPV'!IGF$8,0)</f>
        <v>-0.0</v>
      </c>
      <c r="IGF53" s="5">
        <f>-IFERROR('4. NPV'!IGG23/'4. NPV'!IGG$8,0)</f>
        <v>-0.0</v>
      </c>
      <c r="IGG53" s="5">
        <f>-IFERROR('4. NPV'!IGH23/'4. NPV'!IGH$8,0)</f>
        <v>-0.0</v>
      </c>
      <c r="IGH53" s="5">
        <f>-IFERROR('4. NPV'!IGI23/'4. NPV'!IGI$8,0)</f>
        <v>-0.0</v>
      </c>
      <c r="IGI53" s="5">
        <f>-IFERROR('4. NPV'!IGJ23/'4. NPV'!IGJ$8,0)</f>
        <v>-0.0</v>
      </c>
      <c r="IGJ53" s="5">
        <f>-IFERROR('4. NPV'!IGK23/'4. NPV'!IGK$8,0)</f>
        <v>-0.0</v>
      </c>
      <c r="IGK53" s="5">
        <f>-IFERROR('4. NPV'!IGL23/'4. NPV'!IGL$8,0)</f>
        <v>-0.0</v>
      </c>
      <c r="IGL53" s="5">
        <f>-IFERROR('4. NPV'!IGM23/'4. NPV'!IGM$8,0)</f>
        <v>-0.0</v>
      </c>
      <c r="IGM53" s="5">
        <f>-IFERROR('4. NPV'!IGN23/'4. NPV'!IGN$8,0)</f>
        <v>-0.0</v>
      </c>
      <c r="IGN53" s="5">
        <f>-IFERROR('4. NPV'!IGO23/'4. NPV'!IGO$8,0)</f>
        <v>-0.0</v>
      </c>
      <c r="IGO53" s="5">
        <f>-IFERROR('4. NPV'!IGP23/'4. NPV'!IGP$8,0)</f>
        <v>-0.0</v>
      </c>
      <c r="IGP53" s="5">
        <f>-IFERROR('4. NPV'!IGQ23/'4. NPV'!IGQ$8,0)</f>
        <v>-0.0</v>
      </c>
      <c r="IGQ53" s="5">
        <f>-IFERROR('4. NPV'!IGR23/'4. NPV'!IGR$8,0)</f>
        <v>-0.0</v>
      </c>
      <c r="IGR53" s="5">
        <f>-IFERROR('4. NPV'!IGS23/'4. NPV'!IGS$8,0)</f>
        <v>-0.0</v>
      </c>
      <c r="IGS53" s="5">
        <f>-IFERROR('4. NPV'!IGT23/'4. NPV'!IGT$8,0)</f>
        <v>-0.0</v>
      </c>
      <c r="IGT53" s="5">
        <f>-IFERROR('4. NPV'!IGU23/'4. NPV'!IGU$8,0)</f>
        <v>-0.0</v>
      </c>
      <c r="IGU53" s="5">
        <f>-IFERROR('4. NPV'!IGV23/'4. NPV'!IGV$8,0)</f>
        <v>-0.0</v>
      </c>
      <c r="IGV53" s="5">
        <f>-IFERROR('4. NPV'!IGW23/'4. NPV'!IGW$8,0)</f>
        <v>-0.0</v>
      </c>
      <c r="IGW53" s="5">
        <f>-IFERROR('4. NPV'!IGX23/'4. NPV'!IGX$8,0)</f>
        <v>-0.0</v>
      </c>
      <c r="IGX53" s="5">
        <f>-IFERROR('4. NPV'!IGY23/'4. NPV'!IGY$8,0)</f>
        <v>-0.0</v>
      </c>
      <c r="IGY53" s="5">
        <f>-IFERROR('4. NPV'!IGZ23/'4. NPV'!IGZ$8,0)</f>
        <v>-0.0</v>
      </c>
      <c r="IGZ53" s="5">
        <f>-IFERROR('4. NPV'!IHA23/'4. NPV'!IHA$8,0)</f>
        <v>-0.0</v>
      </c>
      <c r="IHA53" s="5">
        <f>-IFERROR('4. NPV'!IHB23/'4. NPV'!IHB$8,0)</f>
        <v>-0.0</v>
      </c>
      <c r="IHB53" s="5">
        <f>-IFERROR('4. NPV'!IHC23/'4. NPV'!IHC$8,0)</f>
        <v>-0.0</v>
      </c>
      <c r="IHC53" s="5">
        <f>-IFERROR('4. NPV'!IHD23/'4. NPV'!IHD$8,0)</f>
        <v>-0.0</v>
      </c>
      <c r="IHD53" s="5">
        <f>-IFERROR('4. NPV'!IHE23/'4. NPV'!IHE$8,0)</f>
        <v>-0.0</v>
      </c>
      <c r="IHE53" s="5">
        <f>-IFERROR('4. NPV'!IHF23/'4. NPV'!IHF$8,0)</f>
        <v>-0.0</v>
      </c>
      <c r="IHF53" s="5">
        <f>-IFERROR('4. NPV'!IHG23/'4. NPV'!IHG$8,0)</f>
        <v>-0.0</v>
      </c>
      <c r="IHG53" s="5">
        <f>-IFERROR('4. NPV'!IHH23/'4. NPV'!IHH$8,0)</f>
        <v>-0.0</v>
      </c>
      <c r="IHH53" s="5">
        <f>-IFERROR('4. NPV'!IHI23/'4. NPV'!IHI$8,0)</f>
        <v>-0.0</v>
      </c>
      <c r="IHI53" s="5">
        <f>-IFERROR('4. NPV'!IHJ23/'4. NPV'!IHJ$8,0)</f>
        <v>-0.0</v>
      </c>
      <c r="IHJ53" s="5">
        <f>-IFERROR('4. NPV'!IHK23/'4. NPV'!IHK$8,0)</f>
        <v>-0.0</v>
      </c>
      <c r="IHK53" s="5">
        <f>-IFERROR('4. NPV'!IHL23/'4. NPV'!IHL$8,0)</f>
        <v>-0.0</v>
      </c>
      <c r="IHL53" s="5">
        <f>-IFERROR('4. NPV'!IHM23/'4. NPV'!IHM$8,0)</f>
        <v>-0.0</v>
      </c>
      <c r="IHM53" s="5">
        <f>-IFERROR('4. NPV'!IHN23/'4. NPV'!IHN$8,0)</f>
        <v>-0.0</v>
      </c>
      <c r="IHN53" s="5">
        <f>-IFERROR('4. NPV'!IHO23/'4. NPV'!IHO$8,0)</f>
        <v>-0.0</v>
      </c>
      <c r="IHO53" s="5">
        <f>-IFERROR('4. NPV'!IHP23/'4. NPV'!IHP$8,0)</f>
        <v>-0.0</v>
      </c>
      <c r="IHP53" s="5">
        <f>-IFERROR('4. NPV'!IHQ23/'4. NPV'!IHQ$8,0)</f>
        <v>-0.0</v>
      </c>
      <c r="IHQ53" s="5">
        <f>-IFERROR('4. NPV'!IHR23/'4. NPV'!IHR$8,0)</f>
        <v>-0.0</v>
      </c>
      <c r="IHR53" s="5">
        <f>-IFERROR('4. NPV'!IHS23/'4. NPV'!IHS$8,0)</f>
        <v>-0.0</v>
      </c>
      <c r="IHS53" s="5">
        <f>-IFERROR('4. NPV'!IHT23/'4. NPV'!IHT$8,0)</f>
        <v>-0.0</v>
      </c>
      <c r="IHT53" s="5">
        <f>-IFERROR('4. NPV'!IHU23/'4. NPV'!IHU$8,0)</f>
        <v>-0.0</v>
      </c>
      <c r="IHU53" s="5">
        <f>-IFERROR('4. NPV'!IHV23/'4. NPV'!IHV$8,0)</f>
        <v>-0.0</v>
      </c>
      <c r="IHV53" s="5">
        <f>-IFERROR('4. NPV'!IHW23/'4. NPV'!IHW$8,0)</f>
        <v>-0.0</v>
      </c>
      <c r="IHW53" s="5">
        <f>-IFERROR('4. NPV'!IHX23/'4. NPV'!IHX$8,0)</f>
        <v>-0.0</v>
      </c>
      <c r="IHX53" s="5">
        <f>-IFERROR('4. NPV'!IHY23/'4. NPV'!IHY$8,0)</f>
        <v>-0.0</v>
      </c>
      <c r="IHY53" s="5">
        <f>-IFERROR('4. NPV'!IHZ23/'4. NPV'!IHZ$8,0)</f>
        <v>-0.0</v>
      </c>
      <c r="IHZ53" s="5">
        <f>-IFERROR('4. NPV'!IIA23/'4. NPV'!IIA$8,0)</f>
        <v>-0.0</v>
      </c>
      <c r="IIA53" s="5">
        <f>-IFERROR('4. NPV'!IIB23/'4. NPV'!IIB$8,0)</f>
        <v>-0.0</v>
      </c>
      <c r="IIB53" s="5">
        <f>-IFERROR('4. NPV'!IIC23/'4. NPV'!IIC$8,0)</f>
        <v>-0.0</v>
      </c>
      <c r="IIC53" s="5">
        <f>-IFERROR('4. NPV'!IID23/'4. NPV'!IID$8,0)</f>
        <v>-0.0</v>
      </c>
      <c r="IID53" s="5">
        <f>-IFERROR('4. NPV'!IIE23/'4. NPV'!IIE$8,0)</f>
        <v>-0.0</v>
      </c>
      <c r="IIE53" s="5">
        <f>-IFERROR('4. NPV'!IIF23/'4. NPV'!IIF$8,0)</f>
        <v>-0.0</v>
      </c>
      <c r="IIF53" s="5">
        <f>-IFERROR('4. NPV'!IIG23/'4. NPV'!IIG$8,0)</f>
        <v>-0.0</v>
      </c>
      <c r="IIG53" s="5">
        <f>-IFERROR('4. NPV'!IIH23/'4. NPV'!IIH$8,0)</f>
        <v>-0.0</v>
      </c>
      <c r="IIH53" s="5">
        <f>-IFERROR('4. NPV'!III23/'4. NPV'!III$8,0)</f>
        <v>-0.0</v>
      </c>
      <c r="III53" s="5">
        <f>-IFERROR('4. NPV'!IIJ23/'4. NPV'!IIJ$8,0)</f>
        <v>-0.0</v>
      </c>
      <c r="IIJ53" s="5">
        <f>-IFERROR('4. NPV'!IIK23/'4. NPV'!IIK$8,0)</f>
        <v>-0.0</v>
      </c>
      <c r="IIK53" s="5">
        <f>-IFERROR('4. NPV'!IIL23/'4. NPV'!IIL$8,0)</f>
        <v>-0.0</v>
      </c>
      <c r="IIL53" s="5">
        <f>-IFERROR('4. NPV'!IIM23/'4. NPV'!IIM$8,0)</f>
        <v>-0.0</v>
      </c>
      <c r="IIM53" s="5">
        <f>-IFERROR('4. NPV'!IIN23/'4. NPV'!IIN$8,0)</f>
        <v>-0.0</v>
      </c>
      <c r="IIN53" s="5">
        <f>-IFERROR('4. NPV'!IIO23/'4. NPV'!IIO$8,0)</f>
        <v>-0.0</v>
      </c>
      <c r="IIO53" s="5">
        <f>-IFERROR('4. NPV'!IIP23/'4. NPV'!IIP$8,0)</f>
        <v>-0.0</v>
      </c>
      <c r="IIP53" s="5">
        <f>-IFERROR('4. NPV'!IIQ23/'4. NPV'!IIQ$8,0)</f>
        <v>-0.0</v>
      </c>
      <c r="IIQ53" s="5">
        <f>-IFERROR('4. NPV'!IIR23/'4. NPV'!IIR$8,0)</f>
        <v>-0.0</v>
      </c>
      <c r="IIR53" s="5">
        <f>-IFERROR('4. NPV'!IIS23/'4. NPV'!IIS$8,0)</f>
        <v>-0.0</v>
      </c>
      <c r="IIS53" s="5">
        <f>-IFERROR('4. NPV'!IIT23/'4. NPV'!IIT$8,0)</f>
        <v>-0.0</v>
      </c>
      <c r="IIT53" s="5">
        <f>-IFERROR('4. NPV'!IIU23/'4. NPV'!IIU$8,0)</f>
        <v>-0.0</v>
      </c>
      <c r="IIU53" s="5">
        <f>-IFERROR('4. NPV'!IIV23/'4. NPV'!IIV$8,0)</f>
        <v>-0.0</v>
      </c>
      <c r="IIV53" s="5">
        <f>-IFERROR('4. NPV'!IIW23/'4. NPV'!IIW$8,0)</f>
        <v>-0.0</v>
      </c>
      <c r="IIW53" s="5">
        <f>-IFERROR('4. NPV'!IIX23/'4. NPV'!IIX$8,0)</f>
        <v>-0.0</v>
      </c>
      <c r="IIX53" s="5">
        <f>-IFERROR('4. NPV'!IIY23/'4. NPV'!IIY$8,0)</f>
        <v>-0.0</v>
      </c>
      <c r="IIY53" s="5">
        <f>-IFERROR('4. NPV'!IIZ23/'4. NPV'!IIZ$8,0)</f>
        <v>-0.0</v>
      </c>
      <c r="IIZ53" s="5">
        <f>-IFERROR('4. NPV'!IJA23/'4. NPV'!IJA$8,0)</f>
        <v>-0.0</v>
      </c>
      <c r="IJA53" s="5">
        <f>-IFERROR('4. NPV'!IJB23/'4. NPV'!IJB$8,0)</f>
        <v>-0.0</v>
      </c>
      <c r="IJB53" s="5">
        <f>-IFERROR('4. NPV'!IJC23/'4. NPV'!IJC$8,0)</f>
        <v>-0.0</v>
      </c>
      <c r="IJC53" s="5">
        <f>-IFERROR('4. NPV'!IJD23/'4. NPV'!IJD$8,0)</f>
        <v>-0.0</v>
      </c>
      <c r="IJD53" s="5">
        <f>-IFERROR('4. NPV'!IJE23/'4. NPV'!IJE$8,0)</f>
        <v>-0.0</v>
      </c>
      <c r="IJE53" s="5">
        <f>-IFERROR('4. NPV'!IJF23/'4. NPV'!IJF$8,0)</f>
        <v>-0.0</v>
      </c>
      <c r="IJF53" s="5">
        <f>-IFERROR('4. NPV'!IJG23/'4. NPV'!IJG$8,0)</f>
        <v>-0.0</v>
      </c>
      <c r="IJG53" s="5">
        <f>-IFERROR('4. NPV'!IJH23/'4. NPV'!IJH$8,0)</f>
        <v>-0.0</v>
      </c>
      <c r="IJH53" s="5">
        <f>-IFERROR('4. NPV'!IJI23/'4. NPV'!IJI$8,0)</f>
        <v>-0.0</v>
      </c>
      <c r="IJI53" s="5">
        <f>-IFERROR('4. NPV'!IJJ23/'4. NPV'!IJJ$8,0)</f>
        <v>-0.0</v>
      </c>
      <c r="IJJ53" s="5">
        <f>-IFERROR('4. NPV'!IJK23/'4. NPV'!IJK$8,0)</f>
        <v>-0.0</v>
      </c>
      <c r="IJK53" s="5">
        <f>-IFERROR('4. NPV'!IJL23/'4. NPV'!IJL$8,0)</f>
        <v>-0.0</v>
      </c>
      <c r="IJL53" s="5">
        <f>-IFERROR('4. NPV'!IJM23/'4. NPV'!IJM$8,0)</f>
        <v>-0.0</v>
      </c>
      <c r="IJM53" s="5">
        <f>-IFERROR('4. NPV'!IJN23/'4. NPV'!IJN$8,0)</f>
        <v>-0.0</v>
      </c>
      <c r="IJN53" s="5">
        <f>-IFERROR('4. NPV'!IJO23/'4. NPV'!IJO$8,0)</f>
        <v>-0.0</v>
      </c>
      <c r="IJO53" s="5">
        <f>-IFERROR('4. NPV'!IJP23/'4. NPV'!IJP$8,0)</f>
        <v>-0.0</v>
      </c>
      <c r="IJP53" s="5">
        <f>-IFERROR('4. NPV'!IJQ23/'4. NPV'!IJQ$8,0)</f>
        <v>-0.0</v>
      </c>
      <c r="IJQ53" s="5">
        <f>-IFERROR('4. NPV'!IJR23/'4. NPV'!IJR$8,0)</f>
        <v>-0.0</v>
      </c>
      <c r="IJR53" s="5">
        <f>-IFERROR('4. NPV'!IJS23/'4. NPV'!IJS$8,0)</f>
        <v>-0.0</v>
      </c>
      <c r="IJS53" s="5">
        <f>-IFERROR('4. NPV'!IJT23/'4. NPV'!IJT$8,0)</f>
        <v>-0.0</v>
      </c>
      <c r="IJT53" s="5">
        <f>-IFERROR('4. NPV'!IJU23/'4. NPV'!IJU$8,0)</f>
        <v>-0.0</v>
      </c>
      <c r="IJU53" s="5">
        <f>-IFERROR('4. NPV'!IJV23/'4. NPV'!IJV$8,0)</f>
        <v>-0.0</v>
      </c>
      <c r="IJV53" s="5">
        <f>-IFERROR('4. NPV'!IJW23/'4. NPV'!IJW$8,0)</f>
        <v>-0.0</v>
      </c>
      <c r="IJW53" s="5">
        <f>-IFERROR('4. NPV'!IJX23/'4. NPV'!IJX$8,0)</f>
        <v>-0.0</v>
      </c>
      <c r="IJX53" s="5">
        <f>-IFERROR('4. NPV'!IJY23/'4. NPV'!IJY$8,0)</f>
        <v>-0.0</v>
      </c>
      <c r="IJY53" s="5">
        <f>-IFERROR('4. NPV'!IJZ23/'4. NPV'!IJZ$8,0)</f>
        <v>-0.0</v>
      </c>
      <c r="IJZ53" s="5">
        <f>-IFERROR('4. NPV'!IKA23/'4. NPV'!IKA$8,0)</f>
        <v>-0.0</v>
      </c>
      <c r="IKA53" s="5">
        <f>-IFERROR('4. NPV'!IKB23/'4. NPV'!IKB$8,0)</f>
        <v>-0.0</v>
      </c>
      <c r="IKB53" s="5">
        <f>-IFERROR('4. NPV'!IKC23/'4. NPV'!IKC$8,0)</f>
        <v>-0.0</v>
      </c>
      <c r="IKC53" s="5">
        <f>-IFERROR('4. NPV'!IKD23/'4. NPV'!IKD$8,0)</f>
        <v>-0.0</v>
      </c>
      <c r="IKD53" s="5">
        <f>-IFERROR('4. NPV'!IKE23/'4. NPV'!IKE$8,0)</f>
        <v>-0.0</v>
      </c>
      <c r="IKE53" s="5">
        <f>-IFERROR('4. NPV'!IKF23/'4. NPV'!IKF$8,0)</f>
        <v>-0.0</v>
      </c>
      <c r="IKF53" s="5">
        <f>-IFERROR('4. NPV'!IKG23/'4. NPV'!IKG$8,0)</f>
        <v>-0.0</v>
      </c>
      <c r="IKG53" s="5">
        <f>-IFERROR('4. NPV'!IKH23/'4. NPV'!IKH$8,0)</f>
        <v>-0.0</v>
      </c>
      <c r="IKH53" s="5">
        <f>-IFERROR('4. NPV'!IKI23/'4. NPV'!IKI$8,0)</f>
        <v>-0.0</v>
      </c>
      <c r="IKI53" s="5">
        <f>-IFERROR('4. NPV'!IKJ23/'4. NPV'!IKJ$8,0)</f>
        <v>-0.0</v>
      </c>
      <c r="IKJ53" s="5">
        <f>-IFERROR('4. NPV'!IKK23/'4. NPV'!IKK$8,0)</f>
        <v>-0.0</v>
      </c>
      <c r="IKK53" s="5">
        <f>-IFERROR('4. NPV'!IKL23/'4. NPV'!IKL$8,0)</f>
        <v>-0.0</v>
      </c>
      <c r="IKL53" s="5">
        <f>-IFERROR('4. NPV'!IKM23/'4. NPV'!IKM$8,0)</f>
        <v>-0.0</v>
      </c>
      <c r="IKM53" s="5">
        <f>-IFERROR('4. NPV'!IKN23/'4. NPV'!IKN$8,0)</f>
        <v>-0.0</v>
      </c>
      <c r="IKN53" s="5">
        <f>-IFERROR('4. NPV'!IKO23/'4. NPV'!IKO$8,0)</f>
        <v>-0.0</v>
      </c>
      <c r="IKO53" s="5">
        <f>-IFERROR('4. NPV'!IKP23/'4. NPV'!IKP$8,0)</f>
        <v>-0.0</v>
      </c>
      <c r="IKP53" s="5">
        <f>-IFERROR('4. NPV'!IKQ23/'4. NPV'!IKQ$8,0)</f>
        <v>-0.0</v>
      </c>
      <c r="IKQ53" s="5">
        <f>-IFERROR('4. NPV'!IKR23/'4. NPV'!IKR$8,0)</f>
        <v>-0.0</v>
      </c>
      <c r="IKR53" s="5">
        <f>-IFERROR('4. NPV'!IKS23/'4. NPV'!IKS$8,0)</f>
        <v>-0.0</v>
      </c>
      <c r="IKS53" s="5">
        <f>-IFERROR('4. NPV'!IKT23/'4. NPV'!IKT$8,0)</f>
        <v>-0.0</v>
      </c>
      <c r="IKT53" s="5">
        <f>-IFERROR('4. NPV'!IKU23/'4. NPV'!IKU$8,0)</f>
        <v>-0.0</v>
      </c>
      <c r="IKU53" s="5">
        <f>-IFERROR('4. NPV'!IKV23/'4. NPV'!IKV$8,0)</f>
        <v>-0.0</v>
      </c>
      <c r="IKV53" s="5">
        <f>-IFERROR('4. NPV'!IKW23/'4. NPV'!IKW$8,0)</f>
        <v>-0.0</v>
      </c>
      <c r="IKW53" s="5">
        <f>-IFERROR('4. NPV'!IKX23/'4. NPV'!IKX$8,0)</f>
        <v>-0.0</v>
      </c>
      <c r="IKX53" s="5">
        <f>-IFERROR('4. NPV'!IKY23/'4. NPV'!IKY$8,0)</f>
        <v>-0.0</v>
      </c>
      <c r="IKY53" s="5">
        <f>-IFERROR('4. NPV'!IKZ23/'4. NPV'!IKZ$8,0)</f>
        <v>-0.0</v>
      </c>
      <c r="IKZ53" s="5">
        <f>-IFERROR('4. NPV'!ILA23/'4. NPV'!ILA$8,0)</f>
        <v>-0.0</v>
      </c>
      <c r="ILA53" s="5">
        <f>-IFERROR('4. NPV'!ILB23/'4. NPV'!ILB$8,0)</f>
        <v>-0.0</v>
      </c>
      <c r="ILB53" s="5">
        <f>-IFERROR('4. NPV'!ILC23/'4. NPV'!ILC$8,0)</f>
        <v>-0.0</v>
      </c>
      <c r="ILC53" s="5">
        <f>-IFERROR('4. NPV'!ILD23/'4. NPV'!ILD$8,0)</f>
        <v>-0.0</v>
      </c>
      <c r="ILD53" s="5">
        <f>-IFERROR('4. NPV'!ILE23/'4. NPV'!ILE$8,0)</f>
        <v>-0.0</v>
      </c>
      <c r="ILE53" s="5">
        <f>-IFERROR('4. NPV'!ILF23/'4. NPV'!ILF$8,0)</f>
        <v>-0.0</v>
      </c>
      <c r="ILF53" s="5">
        <f>-IFERROR('4. NPV'!ILG23/'4. NPV'!ILG$8,0)</f>
        <v>-0.0</v>
      </c>
      <c r="ILG53" s="5">
        <f>-IFERROR('4. NPV'!ILH23/'4. NPV'!ILH$8,0)</f>
        <v>-0.0</v>
      </c>
      <c r="ILH53" s="5">
        <f>-IFERROR('4. NPV'!ILI23/'4. NPV'!ILI$8,0)</f>
        <v>-0.0</v>
      </c>
      <c r="ILI53" s="5">
        <f>-IFERROR('4. NPV'!ILJ23/'4. NPV'!ILJ$8,0)</f>
        <v>-0.0</v>
      </c>
      <c r="ILJ53" s="5">
        <f>-IFERROR('4. NPV'!ILK23/'4. NPV'!ILK$8,0)</f>
        <v>-0.0</v>
      </c>
      <c r="ILK53" s="5">
        <f>-IFERROR('4. NPV'!ILL23/'4. NPV'!ILL$8,0)</f>
        <v>-0.0</v>
      </c>
      <c r="ILL53" s="5">
        <f>-IFERROR('4. NPV'!ILM23/'4. NPV'!ILM$8,0)</f>
        <v>-0.0</v>
      </c>
      <c r="ILM53" s="5">
        <f>-IFERROR('4. NPV'!ILN23/'4. NPV'!ILN$8,0)</f>
        <v>-0.0</v>
      </c>
      <c r="ILN53" s="5">
        <f>-IFERROR('4. NPV'!ILO23/'4. NPV'!ILO$8,0)</f>
        <v>-0.0</v>
      </c>
      <c r="ILO53" s="5">
        <f>-IFERROR('4. NPV'!ILP23/'4. NPV'!ILP$8,0)</f>
        <v>-0.0</v>
      </c>
      <c r="ILP53" s="5">
        <f>-IFERROR('4. NPV'!ILQ23/'4. NPV'!ILQ$8,0)</f>
        <v>-0.0</v>
      </c>
      <c r="ILQ53" s="5">
        <f>-IFERROR('4. NPV'!ILR23/'4. NPV'!ILR$8,0)</f>
        <v>-0.0</v>
      </c>
      <c r="ILR53" s="5">
        <f>-IFERROR('4. NPV'!ILS23/'4. NPV'!ILS$8,0)</f>
        <v>-0.0</v>
      </c>
      <c r="ILS53" s="5">
        <f>-IFERROR('4. NPV'!ILT23/'4. NPV'!ILT$8,0)</f>
        <v>-0.0</v>
      </c>
      <c r="ILT53" s="5">
        <f>-IFERROR('4. NPV'!ILU23/'4. NPV'!ILU$8,0)</f>
        <v>-0.0</v>
      </c>
      <c r="ILU53" s="5">
        <f>-IFERROR('4. NPV'!ILV23/'4. NPV'!ILV$8,0)</f>
        <v>-0.0</v>
      </c>
      <c r="ILV53" s="5">
        <f>-IFERROR('4. NPV'!ILW23/'4. NPV'!ILW$8,0)</f>
        <v>-0.0</v>
      </c>
      <c r="ILW53" s="5">
        <f>-IFERROR('4. NPV'!ILX23/'4. NPV'!ILX$8,0)</f>
        <v>-0.0</v>
      </c>
      <c r="ILX53" s="5">
        <f>-IFERROR('4. NPV'!ILY23/'4. NPV'!ILY$8,0)</f>
        <v>-0.0</v>
      </c>
      <c r="ILY53" s="5">
        <f>-IFERROR('4. NPV'!ILZ23/'4. NPV'!ILZ$8,0)</f>
        <v>-0.0</v>
      </c>
      <c r="ILZ53" s="5">
        <f>-IFERROR('4. NPV'!IMA23/'4. NPV'!IMA$8,0)</f>
        <v>-0.0</v>
      </c>
      <c r="IMA53" s="5">
        <f>-IFERROR('4. NPV'!IMB23/'4. NPV'!IMB$8,0)</f>
        <v>-0.0</v>
      </c>
      <c r="IMB53" s="5">
        <f>-IFERROR('4. NPV'!IMC23/'4. NPV'!IMC$8,0)</f>
        <v>-0.0</v>
      </c>
      <c r="IMC53" s="5">
        <f>-IFERROR('4. NPV'!IMD23/'4. NPV'!IMD$8,0)</f>
        <v>-0.0</v>
      </c>
      <c r="IMD53" s="5">
        <f>-IFERROR('4. NPV'!IME23/'4. NPV'!IME$8,0)</f>
        <v>-0.0</v>
      </c>
      <c r="IME53" s="5">
        <f>-IFERROR('4. NPV'!IMF23/'4. NPV'!IMF$8,0)</f>
        <v>-0.0</v>
      </c>
      <c r="IMF53" s="5">
        <f>-IFERROR('4. NPV'!IMG23/'4. NPV'!IMG$8,0)</f>
        <v>-0.0</v>
      </c>
      <c r="IMG53" s="5">
        <f>-IFERROR('4. NPV'!IMH23/'4. NPV'!IMH$8,0)</f>
        <v>-0.0</v>
      </c>
      <c r="IMH53" s="5">
        <f>-IFERROR('4. NPV'!IMI23/'4. NPV'!IMI$8,0)</f>
        <v>-0.0</v>
      </c>
      <c r="IMI53" s="5">
        <f>-IFERROR('4. NPV'!IMJ23/'4. NPV'!IMJ$8,0)</f>
        <v>-0.0</v>
      </c>
      <c r="IMJ53" s="5">
        <f>-IFERROR('4. NPV'!IMK23/'4. NPV'!IMK$8,0)</f>
        <v>-0.0</v>
      </c>
      <c r="IMK53" s="5">
        <f>-IFERROR('4. NPV'!IML23/'4. NPV'!IML$8,0)</f>
        <v>-0.0</v>
      </c>
      <c r="IML53" s="5">
        <f>-IFERROR('4. NPV'!IMM23/'4. NPV'!IMM$8,0)</f>
        <v>-0.0</v>
      </c>
      <c r="IMM53" s="5">
        <f>-IFERROR('4. NPV'!IMN23/'4. NPV'!IMN$8,0)</f>
        <v>-0.0</v>
      </c>
      <c r="IMN53" s="5">
        <f>-IFERROR('4. NPV'!IMO23/'4. NPV'!IMO$8,0)</f>
        <v>-0.0</v>
      </c>
      <c r="IMO53" s="5">
        <f>-IFERROR('4. NPV'!IMP23/'4. NPV'!IMP$8,0)</f>
        <v>-0.0</v>
      </c>
      <c r="IMP53" s="5">
        <f>-IFERROR('4. NPV'!IMQ23/'4. NPV'!IMQ$8,0)</f>
        <v>-0.0</v>
      </c>
      <c r="IMQ53" s="5">
        <f>-IFERROR('4. NPV'!IMR23/'4. NPV'!IMR$8,0)</f>
        <v>-0.0</v>
      </c>
      <c r="IMR53" s="5">
        <f>-IFERROR('4. NPV'!IMS23/'4. NPV'!IMS$8,0)</f>
        <v>-0.0</v>
      </c>
      <c r="IMS53" s="5">
        <f>-IFERROR('4. NPV'!IMT23/'4. NPV'!IMT$8,0)</f>
        <v>-0.0</v>
      </c>
      <c r="IMT53" s="5">
        <f>-IFERROR('4. NPV'!IMU23/'4. NPV'!IMU$8,0)</f>
        <v>-0.0</v>
      </c>
      <c r="IMU53" s="5">
        <f>-IFERROR('4. NPV'!IMV23/'4. NPV'!IMV$8,0)</f>
        <v>-0.0</v>
      </c>
      <c r="IMV53" s="5">
        <f>-IFERROR('4. NPV'!IMW23/'4. NPV'!IMW$8,0)</f>
        <v>-0.0</v>
      </c>
      <c r="IMW53" s="5">
        <f>-IFERROR('4. NPV'!IMX23/'4. NPV'!IMX$8,0)</f>
        <v>-0.0</v>
      </c>
      <c r="IMX53" s="5">
        <f>-IFERROR('4. NPV'!IMY23/'4. NPV'!IMY$8,0)</f>
        <v>-0.0</v>
      </c>
      <c r="IMY53" s="5">
        <f>-IFERROR('4. NPV'!IMZ23/'4. NPV'!IMZ$8,0)</f>
        <v>-0.0</v>
      </c>
      <c r="IMZ53" s="5">
        <f>-IFERROR('4. NPV'!INA23/'4. NPV'!INA$8,0)</f>
        <v>-0.0</v>
      </c>
      <c r="INA53" s="5">
        <f>-IFERROR('4. NPV'!INB23/'4. NPV'!INB$8,0)</f>
        <v>-0.0</v>
      </c>
      <c r="INB53" s="5">
        <f>-IFERROR('4. NPV'!INC23/'4. NPV'!INC$8,0)</f>
        <v>-0.0</v>
      </c>
      <c r="INC53" s="5">
        <f>-IFERROR('4. NPV'!IND23/'4. NPV'!IND$8,0)</f>
        <v>-0.0</v>
      </c>
      <c r="IND53" s="5">
        <f>-IFERROR('4. NPV'!INE23/'4. NPV'!INE$8,0)</f>
        <v>-0.0</v>
      </c>
      <c r="INE53" s="5">
        <f>-IFERROR('4. NPV'!INF23/'4. NPV'!INF$8,0)</f>
        <v>-0.0</v>
      </c>
      <c r="INF53" s="5">
        <f>-IFERROR('4. NPV'!ING23/'4. NPV'!ING$8,0)</f>
        <v>-0.0</v>
      </c>
      <c r="ING53" s="5">
        <f>-IFERROR('4. NPV'!INH23/'4. NPV'!INH$8,0)</f>
        <v>-0.0</v>
      </c>
      <c r="INH53" s="5">
        <f>-IFERROR('4. NPV'!INI23/'4. NPV'!INI$8,0)</f>
        <v>-0.0</v>
      </c>
      <c r="INI53" s="5">
        <f>-IFERROR('4. NPV'!INJ23/'4. NPV'!INJ$8,0)</f>
        <v>-0.0</v>
      </c>
      <c r="INJ53" s="5">
        <f>-IFERROR('4. NPV'!INK23/'4. NPV'!INK$8,0)</f>
        <v>-0.0</v>
      </c>
      <c r="INK53" s="5">
        <f>-IFERROR('4. NPV'!INL23/'4. NPV'!INL$8,0)</f>
        <v>-0.0</v>
      </c>
      <c r="INL53" s="5">
        <f>-IFERROR('4. NPV'!INM23/'4. NPV'!INM$8,0)</f>
        <v>-0.0</v>
      </c>
      <c r="INM53" s="5">
        <f>-IFERROR('4. NPV'!INN23/'4. NPV'!INN$8,0)</f>
        <v>-0.0</v>
      </c>
      <c r="INN53" s="5">
        <f>-IFERROR('4. NPV'!INO23/'4. NPV'!INO$8,0)</f>
        <v>-0.0</v>
      </c>
      <c r="INO53" s="5">
        <f>-IFERROR('4. NPV'!INP23/'4. NPV'!INP$8,0)</f>
        <v>-0.0</v>
      </c>
      <c r="INP53" s="5">
        <f>-IFERROR('4. NPV'!INQ23/'4. NPV'!INQ$8,0)</f>
        <v>-0.0</v>
      </c>
      <c r="INQ53" s="5">
        <f>-IFERROR('4. NPV'!INR23/'4. NPV'!INR$8,0)</f>
        <v>-0.0</v>
      </c>
      <c r="INR53" s="5">
        <f>-IFERROR('4. NPV'!INS23/'4. NPV'!INS$8,0)</f>
        <v>-0.0</v>
      </c>
      <c r="INS53" s="5">
        <f>-IFERROR('4. NPV'!INT23/'4. NPV'!INT$8,0)</f>
        <v>-0.0</v>
      </c>
      <c r="INT53" s="5">
        <f>-IFERROR('4. NPV'!INU23/'4. NPV'!INU$8,0)</f>
        <v>-0.0</v>
      </c>
      <c r="INU53" s="5">
        <f>-IFERROR('4. NPV'!INV23/'4. NPV'!INV$8,0)</f>
        <v>-0.0</v>
      </c>
      <c r="INV53" s="5">
        <f>-IFERROR('4. NPV'!INW23/'4. NPV'!INW$8,0)</f>
        <v>-0.0</v>
      </c>
      <c r="INW53" s="5">
        <f>-IFERROR('4. NPV'!INX23/'4. NPV'!INX$8,0)</f>
        <v>-0.0</v>
      </c>
      <c r="INX53" s="5">
        <f>-IFERROR('4. NPV'!INY23/'4. NPV'!INY$8,0)</f>
        <v>-0.0</v>
      </c>
      <c r="INY53" s="5">
        <f>-IFERROR('4. NPV'!INZ23/'4. NPV'!INZ$8,0)</f>
        <v>-0.0</v>
      </c>
      <c r="INZ53" s="5">
        <f>-IFERROR('4. NPV'!IOA23/'4. NPV'!IOA$8,0)</f>
        <v>-0.0</v>
      </c>
      <c r="IOA53" s="5">
        <f>-IFERROR('4. NPV'!IOB23/'4. NPV'!IOB$8,0)</f>
        <v>-0.0</v>
      </c>
      <c r="IOB53" s="5">
        <f>-IFERROR('4. NPV'!IOC23/'4. NPV'!IOC$8,0)</f>
        <v>-0.0</v>
      </c>
      <c r="IOC53" s="5">
        <f>-IFERROR('4. NPV'!IOD23/'4. NPV'!IOD$8,0)</f>
        <v>-0.0</v>
      </c>
      <c r="IOD53" s="5">
        <f>-IFERROR('4. NPV'!IOE23/'4. NPV'!IOE$8,0)</f>
        <v>-0.0</v>
      </c>
      <c r="IOE53" s="5">
        <f>-IFERROR('4. NPV'!IOF23/'4. NPV'!IOF$8,0)</f>
        <v>-0.0</v>
      </c>
      <c r="IOF53" s="5">
        <f>-IFERROR('4. NPV'!IOG23/'4. NPV'!IOG$8,0)</f>
        <v>-0.0</v>
      </c>
      <c r="IOG53" s="5">
        <f>-IFERROR('4. NPV'!IOH23/'4. NPV'!IOH$8,0)</f>
        <v>-0.0</v>
      </c>
      <c r="IOH53" s="5">
        <f>-IFERROR('4. NPV'!IOI23/'4. NPV'!IOI$8,0)</f>
        <v>-0.0</v>
      </c>
      <c r="IOI53" s="5">
        <f>-IFERROR('4. NPV'!IOJ23/'4. NPV'!IOJ$8,0)</f>
        <v>-0.0</v>
      </c>
      <c r="IOJ53" s="5">
        <f>-IFERROR('4. NPV'!IOK23/'4. NPV'!IOK$8,0)</f>
        <v>-0.0</v>
      </c>
      <c r="IOK53" s="5">
        <f>-IFERROR('4. NPV'!IOL23/'4. NPV'!IOL$8,0)</f>
        <v>-0.0</v>
      </c>
      <c r="IOL53" s="5">
        <f>-IFERROR('4. NPV'!IOM23/'4. NPV'!IOM$8,0)</f>
        <v>-0.0</v>
      </c>
      <c r="IOM53" s="5">
        <f>-IFERROR('4. NPV'!ION23/'4. NPV'!ION$8,0)</f>
        <v>-0.0</v>
      </c>
      <c r="ION53" s="5">
        <f>-IFERROR('4. NPV'!IOO23/'4. NPV'!IOO$8,0)</f>
        <v>-0.0</v>
      </c>
      <c r="IOO53" s="5">
        <f>-IFERROR('4. NPV'!IOP23/'4. NPV'!IOP$8,0)</f>
        <v>-0.0</v>
      </c>
      <c r="IOP53" s="5">
        <f>-IFERROR('4. NPV'!IOQ23/'4. NPV'!IOQ$8,0)</f>
        <v>-0.0</v>
      </c>
      <c r="IOQ53" s="5">
        <f>-IFERROR('4. NPV'!IOR23/'4. NPV'!IOR$8,0)</f>
        <v>-0.0</v>
      </c>
      <c r="IOR53" s="5">
        <f>-IFERROR('4. NPV'!IOS23/'4. NPV'!IOS$8,0)</f>
        <v>-0.0</v>
      </c>
      <c r="IOS53" s="5">
        <f>-IFERROR('4. NPV'!IOT23/'4. NPV'!IOT$8,0)</f>
        <v>-0.0</v>
      </c>
      <c r="IOT53" s="5">
        <f>-IFERROR('4. NPV'!IOU23/'4. NPV'!IOU$8,0)</f>
        <v>-0.0</v>
      </c>
      <c r="IOU53" s="5">
        <f>-IFERROR('4. NPV'!IOV23/'4. NPV'!IOV$8,0)</f>
        <v>-0.0</v>
      </c>
      <c r="IOV53" s="5">
        <f>-IFERROR('4. NPV'!IOW23/'4. NPV'!IOW$8,0)</f>
        <v>-0.0</v>
      </c>
      <c r="IOW53" s="5">
        <f>-IFERROR('4. NPV'!IOX23/'4. NPV'!IOX$8,0)</f>
        <v>-0.0</v>
      </c>
      <c r="IOX53" s="5">
        <f>-IFERROR('4. NPV'!IOY23/'4. NPV'!IOY$8,0)</f>
        <v>-0.0</v>
      </c>
      <c r="IOY53" s="5">
        <f>-IFERROR('4. NPV'!IOZ23/'4. NPV'!IOZ$8,0)</f>
        <v>-0.0</v>
      </c>
      <c r="IOZ53" s="5">
        <f>-IFERROR('4. NPV'!IPA23/'4. NPV'!IPA$8,0)</f>
        <v>-0.0</v>
      </c>
      <c r="IPA53" s="5">
        <f>-IFERROR('4. NPV'!IPB23/'4. NPV'!IPB$8,0)</f>
        <v>-0.0</v>
      </c>
      <c r="IPB53" s="5">
        <f>-IFERROR('4. NPV'!IPC23/'4. NPV'!IPC$8,0)</f>
        <v>-0.0</v>
      </c>
      <c r="IPC53" s="5">
        <f>-IFERROR('4. NPV'!IPD23/'4. NPV'!IPD$8,0)</f>
        <v>-0.0</v>
      </c>
      <c r="IPD53" s="5">
        <f>-IFERROR('4. NPV'!IPE23/'4. NPV'!IPE$8,0)</f>
        <v>-0.0</v>
      </c>
      <c r="IPE53" s="5">
        <f>-IFERROR('4. NPV'!IPF23/'4. NPV'!IPF$8,0)</f>
        <v>-0.0</v>
      </c>
      <c r="IPF53" s="5">
        <f>-IFERROR('4. NPV'!IPG23/'4. NPV'!IPG$8,0)</f>
        <v>-0.0</v>
      </c>
      <c r="IPG53" s="5">
        <f>-IFERROR('4. NPV'!IPH23/'4. NPV'!IPH$8,0)</f>
        <v>-0.0</v>
      </c>
      <c r="IPH53" s="5">
        <f>-IFERROR('4. NPV'!IPI23/'4. NPV'!IPI$8,0)</f>
        <v>-0.0</v>
      </c>
      <c r="IPI53" s="5">
        <f>-IFERROR('4. NPV'!IPJ23/'4. NPV'!IPJ$8,0)</f>
        <v>-0.0</v>
      </c>
      <c r="IPJ53" s="5">
        <f>-IFERROR('4. NPV'!IPK23/'4. NPV'!IPK$8,0)</f>
        <v>-0.0</v>
      </c>
      <c r="IPK53" s="5">
        <f>-IFERROR('4. NPV'!IPL23/'4. NPV'!IPL$8,0)</f>
        <v>-0.0</v>
      </c>
      <c r="IPL53" s="5">
        <f>-IFERROR('4. NPV'!IPM23/'4. NPV'!IPM$8,0)</f>
        <v>-0.0</v>
      </c>
      <c r="IPM53" s="5">
        <f>-IFERROR('4. NPV'!IPN23/'4. NPV'!IPN$8,0)</f>
        <v>-0.0</v>
      </c>
      <c r="IPN53" s="5">
        <f>-IFERROR('4. NPV'!IPO23/'4. NPV'!IPO$8,0)</f>
        <v>-0.0</v>
      </c>
      <c r="IPO53" s="5">
        <f>-IFERROR('4. NPV'!IPP23/'4. NPV'!IPP$8,0)</f>
        <v>-0.0</v>
      </c>
      <c r="IPP53" s="5">
        <f>-IFERROR('4. NPV'!IPQ23/'4. NPV'!IPQ$8,0)</f>
        <v>-0.0</v>
      </c>
      <c r="IPQ53" s="5">
        <f>-IFERROR('4. NPV'!IPR23/'4. NPV'!IPR$8,0)</f>
        <v>-0.0</v>
      </c>
      <c r="IPR53" s="5">
        <f>-IFERROR('4. NPV'!IPS23/'4. NPV'!IPS$8,0)</f>
        <v>-0.0</v>
      </c>
      <c r="IPS53" s="5">
        <f>-IFERROR('4. NPV'!IPT23/'4. NPV'!IPT$8,0)</f>
        <v>-0.0</v>
      </c>
      <c r="IPT53" s="5">
        <f>-IFERROR('4. NPV'!IPU23/'4. NPV'!IPU$8,0)</f>
        <v>-0.0</v>
      </c>
      <c r="IPU53" s="5">
        <f>-IFERROR('4. NPV'!IPV23/'4. NPV'!IPV$8,0)</f>
        <v>-0.0</v>
      </c>
      <c r="IPV53" s="5">
        <f>-IFERROR('4. NPV'!IPW23/'4. NPV'!IPW$8,0)</f>
        <v>-0.0</v>
      </c>
      <c r="IPW53" s="5">
        <f>-IFERROR('4. NPV'!IPX23/'4. NPV'!IPX$8,0)</f>
        <v>-0.0</v>
      </c>
      <c r="IPX53" s="5">
        <f>-IFERROR('4. NPV'!IPY23/'4. NPV'!IPY$8,0)</f>
        <v>-0.0</v>
      </c>
      <c r="IPY53" s="5">
        <f>-IFERROR('4. NPV'!IPZ23/'4. NPV'!IPZ$8,0)</f>
        <v>-0.0</v>
      </c>
      <c r="IPZ53" s="5">
        <f>-IFERROR('4. NPV'!IQA23/'4. NPV'!IQA$8,0)</f>
        <v>-0.0</v>
      </c>
      <c r="IQA53" s="5">
        <f>-IFERROR('4. NPV'!IQB23/'4. NPV'!IQB$8,0)</f>
        <v>-0.0</v>
      </c>
      <c r="IQB53" s="5">
        <f>-IFERROR('4. NPV'!IQC23/'4. NPV'!IQC$8,0)</f>
        <v>-0.0</v>
      </c>
      <c r="IQC53" s="5">
        <f>-IFERROR('4. NPV'!IQD23/'4. NPV'!IQD$8,0)</f>
        <v>-0.0</v>
      </c>
      <c r="IQD53" s="5">
        <f>-IFERROR('4. NPV'!IQE23/'4. NPV'!IQE$8,0)</f>
        <v>-0.0</v>
      </c>
      <c r="IQE53" s="5">
        <f>-IFERROR('4. NPV'!IQF23/'4. NPV'!IQF$8,0)</f>
        <v>-0.0</v>
      </c>
      <c r="IQF53" s="5">
        <f>-IFERROR('4. NPV'!IQG23/'4. NPV'!IQG$8,0)</f>
        <v>-0.0</v>
      </c>
      <c r="IQG53" s="5">
        <f>-IFERROR('4. NPV'!IQH23/'4. NPV'!IQH$8,0)</f>
        <v>-0.0</v>
      </c>
      <c r="IQH53" s="5">
        <f>-IFERROR('4. NPV'!IQI23/'4. NPV'!IQI$8,0)</f>
        <v>-0.0</v>
      </c>
      <c r="IQI53" s="5">
        <f>-IFERROR('4. NPV'!IQJ23/'4. NPV'!IQJ$8,0)</f>
        <v>-0.0</v>
      </c>
      <c r="IQJ53" s="5">
        <f>-IFERROR('4. NPV'!IQK23/'4. NPV'!IQK$8,0)</f>
        <v>-0.0</v>
      </c>
      <c r="IQK53" s="5">
        <f>-IFERROR('4. NPV'!IQL23/'4. NPV'!IQL$8,0)</f>
        <v>-0.0</v>
      </c>
      <c r="IQL53" s="5">
        <f>-IFERROR('4. NPV'!IQM23/'4. NPV'!IQM$8,0)</f>
        <v>-0.0</v>
      </c>
      <c r="IQM53" s="5">
        <f>-IFERROR('4. NPV'!IQN23/'4. NPV'!IQN$8,0)</f>
        <v>-0.0</v>
      </c>
      <c r="IQN53" s="5">
        <f>-IFERROR('4. NPV'!IQO23/'4. NPV'!IQO$8,0)</f>
        <v>-0.0</v>
      </c>
      <c r="IQO53" s="5">
        <f>-IFERROR('4. NPV'!IQP23/'4. NPV'!IQP$8,0)</f>
        <v>-0.0</v>
      </c>
      <c r="IQP53" s="5">
        <f>-IFERROR('4. NPV'!IQQ23/'4. NPV'!IQQ$8,0)</f>
        <v>-0.0</v>
      </c>
      <c r="IQQ53" s="5">
        <f>-IFERROR('4. NPV'!IQR23/'4. NPV'!IQR$8,0)</f>
        <v>-0.0</v>
      </c>
      <c r="IQR53" s="5">
        <f>-IFERROR('4. NPV'!IQS23/'4. NPV'!IQS$8,0)</f>
        <v>-0.0</v>
      </c>
      <c r="IQS53" s="5">
        <f>-IFERROR('4. NPV'!IQT23/'4. NPV'!IQT$8,0)</f>
        <v>-0.0</v>
      </c>
      <c r="IQT53" s="5">
        <f>-IFERROR('4. NPV'!IQU23/'4. NPV'!IQU$8,0)</f>
        <v>-0.0</v>
      </c>
      <c r="IQU53" s="5">
        <f>-IFERROR('4. NPV'!IQV23/'4. NPV'!IQV$8,0)</f>
        <v>-0.0</v>
      </c>
      <c r="IQV53" s="5">
        <f>-IFERROR('4. NPV'!IQW23/'4. NPV'!IQW$8,0)</f>
        <v>-0.0</v>
      </c>
      <c r="IQW53" s="5">
        <f>-IFERROR('4. NPV'!IQX23/'4. NPV'!IQX$8,0)</f>
        <v>-0.0</v>
      </c>
      <c r="IQX53" s="5">
        <f>-IFERROR('4. NPV'!IQY23/'4. NPV'!IQY$8,0)</f>
        <v>-0.0</v>
      </c>
      <c r="IQY53" s="5">
        <f>-IFERROR('4. NPV'!IQZ23/'4. NPV'!IQZ$8,0)</f>
        <v>-0.0</v>
      </c>
      <c r="IQZ53" s="5">
        <f>-IFERROR('4. NPV'!IRA23/'4. NPV'!IRA$8,0)</f>
        <v>-0.0</v>
      </c>
      <c r="IRA53" s="5">
        <f>-IFERROR('4. NPV'!IRB23/'4. NPV'!IRB$8,0)</f>
        <v>-0.0</v>
      </c>
      <c r="IRB53" s="5">
        <f>-IFERROR('4. NPV'!IRC23/'4. NPV'!IRC$8,0)</f>
        <v>-0.0</v>
      </c>
      <c r="IRC53" s="5">
        <f>-IFERROR('4. NPV'!IRD23/'4. NPV'!IRD$8,0)</f>
        <v>-0.0</v>
      </c>
      <c r="IRD53" s="5">
        <f>-IFERROR('4. NPV'!IRE23/'4. NPV'!IRE$8,0)</f>
        <v>-0.0</v>
      </c>
      <c r="IRE53" s="5">
        <f>-IFERROR('4. NPV'!IRF23/'4. NPV'!IRF$8,0)</f>
        <v>-0.0</v>
      </c>
      <c r="IRF53" s="5">
        <f>-IFERROR('4. NPV'!IRG23/'4. NPV'!IRG$8,0)</f>
        <v>-0.0</v>
      </c>
      <c r="IRG53" s="5">
        <f>-IFERROR('4. NPV'!IRH23/'4. NPV'!IRH$8,0)</f>
        <v>-0.0</v>
      </c>
      <c r="IRH53" s="5">
        <f>-IFERROR('4. NPV'!IRI23/'4. NPV'!IRI$8,0)</f>
        <v>-0.0</v>
      </c>
      <c r="IRI53" s="5">
        <f>-IFERROR('4. NPV'!IRJ23/'4. NPV'!IRJ$8,0)</f>
        <v>-0.0</v>
      </c>
      <c r="IRJ53" s="5">
        <f>-IFERROR('4. NPV'!IRK23/'4. NPV'!IRK$8,0)</f>
        <v>-0.0</v>
      </c>
      <c r="IRK53" s="5">
        <f>-IFERROR('4. NPV'!IRL23/'4. NPV'!IRL$8,0)</f>
        <v>-0.0</v>
      </c>
      <c r="IRL53" s="5">
        <f>-IFERROR('4. NPV'!IRM23/'4. NPV'!IRM$8,0)</f>
        <v>-0.0</v>
      </c>
      <c r="IRM53" s="5">
        <f>-IFERROR('4. NPV'!IRN23/'4. NPV'!IRN$8,0)</f>
        <v>-0.0</v>
      </c>
      <c r="IRN53" s="5">
        <f>-IFERROR('4. NPV'!IRO23/'4. NPV'!IRO$8,0)</f>
        <v>-0.0</v>
      </c>
      <c r="IRO53" s="5">
        <f>-IFERROR('4. NPV'!IRP23/'4. NPV'!IRP$8,0)</f>
        <v>-0.0</v>
      </c>
      <c r="IRP53" s="5">
        <f>-IFERROR('4. NPV'!IRQ23/'4. NPV'!IRQ$8,0)</f>
        <v>-0.0</v>
      </c>
      <c r="IRQ53" s="5">
        <f>-IFERROR('4. NPV'!IRR23/'4. NPV'!IRR$8,0)</f>
        <v>-0.0</v>
      </c>
      <c r="IRR53" s="5">
        <f>-IFERROR('4. NPV'!IRS23/'4. NPV'!IRS$8,0)</f>
        <v>-0.0</v>
      </c>
      <c r="IRS53" s="5">
        <f>-IFERROR('4. NPV'!IRT23/'4. NPV'!IRT$8,0)</f>
        <v>-0.0</v>
      </c>
      <c r="IRT53" s="5">
        <f>-IFERROR('4. NPV'!IRU23/'4. NPV'!IRU$8,0)</f>
        <v>-0.0</v>
      </c>
      <c r="IRU53" s="5">
        <f>-IFERROR('4. NPV'!IRV23/'4. NPV'!IRV$8,0)</f>
        <v>-0.0</v>
      </c>
      <c r="IRV53" s="5">
        <f>-IFERROR('4. NPV'!IRW23/'4. NPV'!IRW$8,0)</f>
        <v>-0.0</v>
      </c>
      <c r="IRW53" s="5">
        <f>-IFERROR('4. NPV'!IRX23/'4. NPV'!IRX$8,0)</f>
        <v>-0.0</v>
      </c>
      <c r="IRX53" s="5">
        <f>-IFERROR('4. NPV'!IRY23/'4. NPV'!IRY$8,0)</f>
        <v>-0.0</v>
      </c>
      <c r="IRY53" s="5">
        <f>-IFERROR('4. NPV'!IRZ23/'4. NPV'!IRZ$8,0)</f>
        <v>-0.0</v>
      </c>
      <c r="IRZ53" s="5">
        <f>-IFERROR('4. NPV'!ISA23/'4. NPV'!ISA$8,0)</f>
        <v>-0.0</v>
      </c>
      <c r="ISA53" s="5">
        <f>-IFERROR('4. NPV'!ISB23/'4. NPV'!ISB$8,0)</f>
        <v>-0.0</v>
      </c>
      <c r="ISB53" s="5">
        <f>-IFERROR('4. NPV'!ISC23/'4. NPV'!ISC$8,0)</f>
        <v>-0.0</v>
      </c>
      <c r="ISC53" s="5">
        <f>-IFERROR('4. NPV'!ISD23/'4. NPV'!ISD$8,0)</f>
        <v>-0.0</v>
      </c>
      <c r="ISD53" s="5">
        <f>-IFERROR('4. NPV'!ISE23/'4. NPV'!ISE$8,0)</f>
        <v>-0.0</v>
      </c>
      <c r="ISE53" s="5">
        <f>-IFERROR('4. NPV'!ISF23/'4. NPV'!ISF$8,0)</f>
        <v>-0.0</v>
      </c>
      <c r="ISF53" s="5">
        <f>-IFERROR('4. NPV'!ISG23/'4. NPV'!ISG$8,0)</f>
        <v>-0.0</v>
      </c>
      <c r="ISG53" s="5">
        <f>-IFERROR('4. NPV'!ISH23/'4. NPV'!ISH$8,0)</f>
        <v>-0.0</v>
      </c>
      <c r="ISH53" s="5">
        <f>-IFERROR('4. NPV'!ISI23/'4. NPV'!ISI$8,0)</f>
        <v>-0.0</v>
      </c>
      <c r="ISI53" s="5">
        <f>-IFERROR('4. NPV'!ISJ23/'4. NPV'!ISJ$8,0)</f>
        <v>-0.0</v>
      </c>
      <c r="ISJ53" s="5">
        <f>-IFERROR('4. NPV'!ISK23/'4. NPV'!ISK$8,0)</f>
        <v>-0.0</v>
      </c>
      <c r="ISK53" s="5">
        <f>-IFERROR('4. NPV'!ISL23/'4. NPV'!ISL$8,0)</f>
        <v>-0.0</v>
      </c>
      <c r="ISL53" s="5">
        <f>-IFERROR('4. NPV'!ISM23/'4. NPV'!ISM$8,0)</f>
        <v>-0.0</v>
      </c>
      <c r="ISM53" s="5">
        <f>-IFERROR('4. NPV'!ISN23/'4. NPV'!ISN$8,0)</f>
        <v>-0.0</v>
      </c>
      <c r="ISN53" s="5">
        <f>-IFERROR('4. NPV'!ISO23/'4. NPV'!ISO$8,0)</f>
        <v>-0.0</v>
      </c>
      <c r="ISO53" s="5">
        <f>-IFERROR('4. NPV'!ISP23/'4. NPV'!ISP$8,0)</f>
        <v>-0.0</v>
      </c>
      <c r="ISP53" s="5">
        <f>-IFERROR('4. NPV'!ISQ23/'4. NPV'!ISQ$8,0)</f>
        <v>-0.0</v>
      </c>
      <c r="ISQ53" s="5">
        <f>-IFERROR('4. NPV'!ISR23/'4. NPV'!ISR$8,0)</f>
        <v>-0.0</v>
      </c>
      <c r="ISR53" s="5">
        <f>-IFERROR('4. NPV'!ISS23/'4. NPV'!ISS$8,0)</f>
        <v>-0.0</v>
      </c>
      <c r="ISS53" s="5">
        <f>-IFERROR('4. NPV'!IST23/'4. NPV'!IST$8,0)</f>
        <v>-0.0</v>
      </c>
      <c r="IST53" s="5">
        <f>-IFERROR('4. NPV'!ISU23/'4. NPV'!ISU$8,0)</f>
        <v>-0.0</v>
      </c>
      <c r="ISU53" s="5">
        <f>-IFERROR('4. NPV'!ISV23/'4. NPV'!ISV$8,0)</f>
        <v>-0.0</v>
      </c>
      <c r="ISV53" s="5">
        <f>-IFERROR('4. NPV'!ISW23/'4. NPV'!ISW$8,0)</f>
        <v>-0.0</v>
      </c>
      <c r="ISW53" s="5">
        <f>-IFERROR('4. NPV'!ISX23/'4. NPV'!ISX$8,0)</f>
        <v>-0.0</v>
      </c>
      <c r="ISX53" s="5">
        <f>-IFERROR('4. NPV'!ISY23/'4. NPV'!ISY$8,0)</f>
        <v>-0.0</v>
      </c>
      <c r="ISY53" s="5">
        <f>-IFERROR('4. NPV'!ISZ23/'4. NPV'!ISZ$8,0)</f>
        <v>-0.0</v>
      </c>
      <c r="ISZ53" s="5">
        <f>-IFERROR('4. NPV'!ITA23/'4. NPV'!ITA$8,0)</f>
        <v>-0.0</v>
      </c>
      <c r="ITA53" s="5">
        <f>-IFERROR('4. NPV'!ITB23/'4. NPV'!ITB$8,0)</f>
        <v>-0.0</v>
      </c>
      <c r="ITB53" s="5">
        <f>-IFERROR('4. NPV'!ITC23/'4. NPV'!ITC$8,0)</f>
        <v>-0.0</v>
      </c>
      <c r="ITC53" s="5">
        <f>-IFERROR('4. NPV'!ITD23/'4. NPV'!ITD$8,0)</f>
        <v>-0.0</v>
      </c>
      <c r="ITD53" s="5">
        <f>-IFERROR('4. NPV'!ITE23/'4. NPV'!ITE$8,0)</f>
        <v>-0.0</v>
      </c>
      <c r="ITE53" s="5">
        <f>-IFERROR('4. NPV'!ITF23/'4. NPV'!ITF$8,0)</f>
        <v>-0.0</v>
      </c>
      <c r="ITF53" s="5">
        <f>-IFERROR('4. NPV'!ITG23/'4. NPV'!ITG$8,0)</f>
        <v>-0.0</v>
      </c>
      <c r="ITG53" s="5">
        <f>-IFERROR('4. NPV'!ITH23/'4. NPV'!ITH$8,0)</f>
        <v>-0.0</v>
      </c>
      <c r="ITH53" s="5">
        <f>-IFERROR('4. NPV'!ITI23/'4. NPV'!ITI$8,0)</f>
        <v>-0.0</v>
      </c>
      <c r="ITI53" s="5">
        <f>-IFERROR('4. NPV'!ITJ23/'4. NPV'!ITJ$8,0)</f>
        <v>-0.0</v>
      </c>
      <c r="ITJ53" s="5">
        <f>-IFERROR('4. NPV'!ITK23/'4. NPV'!ITK$8,0)</f>
        <v>-0.0</v>
      </c>
      <c r="ITK53" s="5">
        <f>-IFERROR('4. NPV'!ITL23/'4. NPV'!ITL$8,0)</f>
        <v>-0.0</v>
      </c>
      <c r="ITL53" s="5">
        <f>-IFERROR('4. NPV'!ITM23/'4. NPV'!ITM$8,0)</f>
        <v>-0.0</v>
      </c>
      <c r="ITM53" s="5">
        <f>-IFERROR('4. NPV'!ITN23/'4. NPV'!ITN$8,0)</f>
        <v>-0.0</v>
      </c>
      <c r="ITN53" s="5">
        <f>-IFERROR('4. NPV'!ITO23/'4. NPV'!ITO$8,0)</f>
        <v>-0.0</v>
      </c>
      <c r="ITO53" s="5">
        <f>-IFERROR('4. NPV'!ITP23/'4. NPV'!ITP$8,0)</f>
        <v>-0.0</v>
      </c>
      <c r="ITP53" s="5">
        <f>-IFERROR('4. NPV'!ITQ23/'4. NPV'!ITQ$8,0)</f>
        <v>-0.0</v>
      </c>
      <c r="ITQ53" s="5">
        <f>-IFERROR('4. NPV'!ITR23/'4. NPV'!ITR$8,0)</f>
        <v>-0.0</v>
      </c>
      <c r="ITR53" s="5">
        <f>-IFERROR('4. NPV'!ITS23/'4. NPV'!ITS$8,0)</f>
        <v>-0.0</v>
      </c>
      <c r="ITS53" s="5">
        <f>-IFERROR('4. NPV'!ITT23/'4. NPV'!ITT$8,0)</f>
        <v>-0.0</v>
      </c>
      <c r="ITT53" s="5">
        <f>-IFERROR('4. NPV'!ITU23/'4. NPV'!ITU$8,0)</f>
        <v>-0.0</v>
      </c>
      <c r="ITU53" s="5">
        <f>-IFERROR('4. NPV'!ITV23/'4. NPV'!ITV$8,0)</f>
        <v>-0.0</v>
      </c>
      <c r="ITV53" s="5">
        <f>-IFERROR('4. NPV'!ITW23/'4. NPV'!ITW$8,0)</f>
        <v>-0.0</v>
      </c>
      <c r="ITW53" s="5">
        <f>-IFERROR('4. NPV'!ITX23/'4. NPV'!ITX$8,0)</f>
        <v>-0.0</v>
      </c>
      <c r="ITX53" s="5">
        <f>-IFERROR('4. NPV'!ITY23/'4. NPV'!ITY$8,0)</f>
        <v>-0.0</v>
      </c>
      <c r="ITY53" s="5">
        <f>-IFERROR('4. NPV'!ITZ23/'4. NPV'!ITZ$8,0)</f>
        <v>-0.0</v>
      </c>
      <c r="ITZ53" s="5">
        <f>-IFERROR('4. NPV'!IUA23/'4. NPV'!IUA$8,0)</f>
        <v>-0.0</v>
      </c>
      <c r="IUA53" s="5">
        <f>-IFERROR('4. NPV'!IUB23/'4. NPV'!IUB$8,0)</f>
        <v>-0.0</v>
      </c>
      <c r="IUB53" s="5">
        <f>-IFERROR('4. NPV'!IUC23/'4. NPV'!IUC$8,0)</f>
        <v>-0.0</v>
      </c>
      <c r="IUC53" s="5">
        <f>-IFERROR('4. NPV'!IUD23/'4. NPV'!IUD$8,0)</f>
        <v>-0.0</v>
      </c>
      <c r="IUD53" s="5">
        <f>-IFERROR('4. NPV'!IUE23/'4. NPV'!IUE$8,0)</f>
        <v>-0.0</v>
      </c>
      <c r="IUE53" s="5">
        <f>-IFERROR('4. NPV'!IUF23/'4. NPV'!IUF$8,0)</f>
        <v>-0.0</v>
      </c>
      <c r="IUF53" s="5">
        <f>-IFERROR('4. NPV'!IUG23/'4. NPV'!IUG$8,0)</f>
        <v>-0.0</v>
      </c>
      <c r="IUG53" s="5">
        <f>-IFERROR('4. NPV'!IUH23/'4. NPV'!IUH$8,0)</f>
        <v>-0.0</v>
      </c>
      <c r="IUH53" s="5">
        <f>-IFERROR('4. NPV'!IUI23/'4. NPV'!IUI$8,0)</f>
        <v>-0.0</v>
      </c>
      <c r="IUI53" s="5">
        <f>-IFERROR('4. NPV'!IUJ23/'4. NPV'!IUJ$8,0)</f>
        <v>-0.0</v>
      </c>
      <c r="IUJ53" s="5">
        <f>-IFERROR('4. NPV'!IUK23/'4. NPV'!IUK$8,0)</f>
        <v>-0.0</v>
      </c>
      <c r="IUK53" s="5">
        <f>-IFERROR('4. NPV'!IUL23/'4. NPV'!IUL$8,0)</f>
        <v>-0.0</v>
      </c>
      <c r="IUL53" s="5">
        <f>-IFERROR('4. NPV'!IUM23/'4. NPV'!IUM$8,0)</f>
        <v>-0.0</v>
      </c>
      <c r="IUM53" s="5">
        <f>-IFERROR('4. NPV'!IUN23/'4. NPV'!IUN$8,0)</f>
        <v>-0.0</v>
      </c>
      <c r="IUN53" s="5">
        <f>-IFERROR('4. NPV'!IUO23/'4. NPV'!IUO$8,0)</f>
        <v>-0.0</v>
      </c>
      <c r="IUO53" s="5">
        <f>-IFERROR('4. NPV'!IUP23/'4. NPV'!IUP$8,0)</f>
        <v>-0.0</v>
      </c>
      <c r="IUP53" s="5">
        <f>-IFERROR('4. NPV'!IUQ23/'4. NPV'!IUQ$8,0)</f>
        <v>-0.0</v>
      </c>
      <c r="IUQ53" s="5">
        <f>-IFERROR('4. NPV'!IUR23/'4. NPV'!IUR$8,0)</f>
        <v>-0.0</v>
      </c>
      <c r="IUR53" s="5">
        <f>-IFERROR('4. NPV'!IUS23/'4. NPV'!IUS$8,0)</f>
        <v>-0.0</v>
      </c>
      <c r="IUS53" s="5">
        <f>-IFERROR('4. NPV'!IUT23/'4. NPV'!IUT$8,0)</f>
        <v>-0.0</v>
      </c>
      <c r="IUT53" s="5">
        <f>-IFERROR('4. NPV'!IUU23/'4. NPV'!IUU$8,0)</f>
        <v>-0.0</v>
      </c>
      <c r="IUU53" s="5">
        <f>-IFERROR('4. NPV'!IUV23/'4. NPV'!IUV$8,0)</f>
        <v>-0.0</v>
      </c>
      <c r="IUV53" s="5">
        <f>-IFERROR('4. NPV'!IUW23/'4. NPV'!IUW$8,0)</f>
        <v>-0.0</v>
      </c>
      <c r="IUW53" s="5">
        <f>-IFERROR('4. NPV'!IUX23/'4. NPV'!IUX$8,0)</f>
        <v>-0.0</v>
      </c>
      <c r="IUX53" s="5">
        <f>-IFERROR('4. NPV'!IUY23/'4. NPV'!IUY$8,0)</f>
        <v>-0.0</v>
      </c>
      <c r="IUY53" s="5">
        <f>-IFERROR('4. NPV'!IUZ23/'4. NPV'!IUZ$8,0)</f>
        <v>-0.0</v>
      </c>
      <c r="IUZ53" s="5">
        <f>-IFERROR('4. NPV'!IVA23/'4. NPV'!IVA$8,0)</f>
        <v>-0.0</v>
      </c>
      <c r="IVA53" s="5">
        <f>-IFERROR('4. NPV'!IVB23/'4. NPV'!IVB$8,0)</f>
        <v>-0.0</v>
      </c>
      <c r="IVB53" s="5">
        <f>-IFERROR('4. NPV'!IVC23/'4. NPV'!IVC$8,0)</f>
        <v>-0.0</v>
      </c>
      <c r="IVC53" s="5">
        <f>-IFERROR('4. NPV'!IVD23/'4. NPV'!IVD$8,0)</f>
        <v>-0.0</v>
      </c>
      <c r="IVD53" s="5">
        <f>-IFERROR('4. NPV'!IVE23/'4. NPV'!IVE$8,0)</f>
        <v>-0.0</v>
      </c>
      <c r="IVE53" s="5">
        <f>-IFERROR('4. NPV'!IVF23/'4. NPV'!IVF$8,0)</f>
        <v>-0.0</v>
      </c>
      <c r="IVF53" s="5">
        <f>-IFERROR('4. NPV'!IVG23/'4. NPV'!IVG$8,0)</f>
        <v>-0.0</v>
      </c>
      <c r="IVG53" s="5">
        <f>-IFERROR('4. NPV'!IVH23/'4. NPV'!IVH$8,0)</f>
        <v>-0.0</v>
      </c>
      <c r="IVH53" s="5">
        <f>-IFERROR('4. NPV'!IVI23/'4. NPV'!IVI$8,0)</f>
        <v>-0.0</v>
      </c>
      <c r="IVI53" s="5">
        <f>-IFERROR('4. NPV'!IVJ23/'4. NPV'!IVJ$8,0)</f>
        <v>-0.0</v>
      </c>
      <c r="IVJ53" s="5">
        <f>-IFERROR('4. NPV'!IVK23/'4. NPV'!IVK$8,0)</f>
        <v>-0.0</v>
      </c>
      <c r="IVK53" s="5">
        <f>-IFERROR('4. NPV'!IVL23/'4. NPV'!IVL$8,0)</f>
        <v>-0.0</v>
      </c>
      <c r="IVL53" s="5">
        <f>-IFERROR('4. NPV'!IVM23/'4. NPV'!IVM$8,0)</f>
        <v>-0.0</v>
      </c>
      <c r="IVM53" s="5">
        <f>-IFERROR('4. NPV'!IVN23/'4. NPV'!IVN$8,0)</f>
        <v>-0.0</v>
      </c>
      <c r="IVN53" s="5">
        <f>-IFERROR('4. NPV'!IVO23/'4. NPV'!IVO$8,0)</f>
        <v>-0.0</v>
      </c>
      <c r="IVO53" s="5">
        <f>-IFERROR('4. NPV'!IVP23/'4. NPV'!IVP$8,0)</f>
        <v>-0.0</v>
      </c>
      <c r="IVP53" s="5">
        <f>-IFERROR('4. NPV'!IVQ23/'4. NPV'!IVQ$8,0)</f>
        <v>-0.0</v>
      </c>
      <c r="IVQ53" s="5">
        <f>-IFERROR('4. NPV'!IVR23/'4. NPV'!IVR$8,0)</f>
        <v>-0.0</v>
      </c>
      <c r="IVR53" s="5">
        <f>-IFERROR('4. NPV'!IVS23/'4. NPV'!IVS$8,0)</f>
        <v>-0.0</v>
      </c>
      <c r="IVS53" s="5">
        <f>-IFERROR('4. NPV'!IVT23/'4. NPV'!IVT$8,0)</f>
        <v>-0.0</v>
      </c>
      <c r="IVT53" s="5">
        <f>-IFERROR('4. NPV'!IVU23/'4. NPV'!IVU$8,0)</f>
        <v>-0.0</v>
      </c>
      <c r="IVU53" s="5">
        <f>-IFERROR('4. NPV'!IVV23/'4. NPV'!IVV$8,0)</f>
        <v>-0.0</v>
      </c>
      <c r="IVV53" s="5">
        <f>-IFERROR('4. NPV'!IVW23/'4. NPV'!IVW$8,0)</f>
        <v>-0.0</v>
      </c>
      <c r="IVW53" s="5">
        <f>-IFERROR('4. NPV'!IVX23/'4. NPV'!IVX$8,0)</f>
        <v>-0.0</v>
      </c>
      <c r="IVX53" s="5">
        <f>-IFERROR('4. NPV'!IVY23/'4. NPV'!IVY$8,0)</f>
        <v>-0.0</v>
      </c>
      <c r="IVY53" s="5">
        <f>-IFERROR('4. NPV'!IVZ23/'4. NPV'!IVZ$8,0)</f>
        <v>-0.0</v>
      </c>
      <c r="IVZ53" s="5">
        <f>-IFERROR('4. NPV'!IWA23/'4. NPV'!IWA$8,0)</f>
        <v>-0.0</v>
      </c>
      <c r="IWA53" s="5">
        <f>-IFERROR('4. NPV'!IWB23/'4. NPV'!IWB$8,0)</f>
        <v>-0.0</v>
      </c>
      <c r="IWB53" s="5">
        <f>-IFERROR('4. NPV'!IWC23/'4. NPV'!IWC$8,0)</f>
        <v>-0.0</v>
      </c>
      <c r="IWC53" s="5">
        <f>-IFERROR('4. NPV'!IWD23/'4. NPV'!IWD$8,0)</f>
        <v>-0.0</v>
      </c>
      <c r="IWD53" s="5">
        <f>-IFERROR('4. NPV'!IWE23/'4. NPV'!IWE$8,0)</f>
        <v>-0.0</v>
      </c>
      <c r="IWE53" s="5">
        <f>-IFERROR('4. NPV'!IWF23/'4. NPV'!IWF$8,0)</f>
        <v>-0.0</v>
      </c>
      <c r="IWF53" s="5">
        <f>-IFERROR('4. NPV'!IWG23/'4. NPV'!IWG$8,0)</f>
        <v>-0.0</v>
      </c>
      <c r="IWG53" s="5">
        <f>-IFERROR('4. NPV'!IWH23/'4. NPV'!IWH$8,0)</f>
        <v>-0.0</v>
      </c>
      <c r="IWH53" s="5">
        <f>-IFERROR('4. NPV'!IWI23/'4. NPV'!IWI$8,0)</f>
        <v>-0.0</v>
      </c>
      <c r="IWI53" s="5">
        <f>-IFERROR('4. NPV'!IWJ23/'4. NPV'!IWJ$8,0)</f>
        <v>-0.0</v>
      </c>
      <c r="IWJ53" s="5">
        <f>-IFERROR('4. NPV'!IWK23/'4. NPV'!IWK$8,0)</f>
        <v>-0.0</v>
      </c>
      <c r="IWK53" s="5">
        <f>-IFERROR('4. NPV'!IWL23/'4. NPV'!IWL$8,0)</f>
        <v>-0.0</v>
      </c>
      <c r="IWL53" s="5">
        <f>-IFERROR('4. NPV'!IWM23/'4. NPV'!IWM$8,0)</f>
        <v>-0.0</v>
      </c>
      <c r="IWM53" s="5">
        <f>-IFERROR('4. NPV'!IWN23/'4. NPV'!IWN$8,0)</f>
        <v>-0.0</v>
      </c>
      <c r="IWN53" s="5">
        <f>-IFERROR('4. NPV'!IWO23/'4. NPV'!IWO$8,0)</f>
        <v>-0.0</v>
      </c>
      <c r="IWO53" s="5">
        <f>-IFERROR('4. NPV'!IWP23/'4. NPV'!IWP$8,0)</f>
        <v>-0.0</v>
      </c>
      <c r="IWP53" s="5">
        <f>-IFERROR('4. NPV'!IWQ23/'4. NPV'!IWQ$8,0)</f>
        <v>-0.0</v>
      </c>
      <c r="IWQ53" s="5">
        <f>-IFERROR('4. NPV'!IWR23/'4. NPV'!IWR$8,0)</f>
        <v>-0.0</v>
      </c>
      <c r="IWR53" s="5">
        <f>-IFERROR('4. NPV'!IWS23/'4. NPV'!IWS$8,0)</f>
        <v>-0.0</v>
      </c>
      <c r="IWS53" s="5">
        <f>-IFERROR('4. NPV'!IWT23/'4. NPV'!IWT$8,0)</f>
        <v>-0.0</v>
      </c>
      <c r="IWT53" s="5">
        <f>-IFERROR('4. NPV'!IWU23/'4. NPV'!IWU$8,0)</f>
        <v>-0.0</v>
      </c>
      <c r="IWU53" s="5">
        <f>-IFERROR('4. NPV'!IWV23/'4. NPV'!IWV$8,0)</f>
        <v>-0.0</v>
      </c>
      <c r="IWV53" s="5">
        <f>-IFERROR('4. NPV'!IWW23/'4. NPV'!IWW$8,0)</f>
        <v>-0.0</v>
      </c>
      <c r="IWW53" s="5">
        <f>-IFERROR('4. NPV'!IWX23/'4. NPV'!IWX$8,0)</f>
        <v>-0.0</v>
      </c>
      <c r="IWX53" s="5">
        <f>-IFERROR('4. NPV'!IWY23/'4. NPV'!IWY$8,0)</f>
        <v>-0.0</v>
      </c>
      <c r="IWY53" s="5">
        <f>-IFERROR('4. NPV'!IWZ23/'4. NPV'!IWZ$8,0)</f>
        <v>-0.0</v>
      </c>
      <c r="IWZ53" s="5">
        <f>-IFERROR('4. NPV'!IXA23/'4. NPV'!IXA$8,0)</f>
        <v>-0.0</v>
      </c>
      <c r="IXA53" s="5">
        <f>-IFERROR('4. NPV'!IXB23/'4. NPV'!IXB$8,0)</f>
        <v>-0.0</v>
      </c>
      <c r="IXB53" s="5">
        <f>-IFERROR('4. NPV'!IXC23/'4. NPV'!IXC$8,0)</f>
        <v>-0.0</v>
      </c>
      <c r="IXC53" s="5">
        <f>-IFERROR('4. NPV'!IXD23/'4. NPV'!IXD$8,0)</f>
        <v>-0.0</v>
      </c>
      <c r="IXD53" s="5">
        <f>-IFERROR('4. NPV'!IXE23/'4. NPV'!IXE$8,0)</f>
        <v>-0.0</v>
      </c>
      <c r="IXE53" s="5">
        <f>-IFERROR('4. NPV'!IXF23/'4. NPV'!IXF$8,0)</f>
        <v>-0.0</v>
      </c>
      <c r="IXF53" s="5">
        <f>-IFERROR('4. NPV'!IXG23/'4. NPV'!IXG$8,0)</f>
        <v>-0.0</v>
      </c>
      <c r="IXG53" s="5">
        <f>-IFERROR('4. NPV'!IXH23/'4. NPV'!IXH$8,0)</f>
        <v>-0.0</v>
      </c>
      <c r="IXH53" s="5">
        <f>-IFERROR('4. NPV'!IXI23/'4. NPV'!IXI$8,0)</f>
        <v>-0.0</v>
      </c>
      <c r="IXI53" s="5">
        <f>-IFERROR('4. NPV'!IXJ23/'4. NPV'!IXJ$8,0)</f>
        <v>-0.0</v>
      </c>
      <c r="IXJ53" s="5">
        <f>-IFERROR('4. NPV'!IXK23/'4. NPV'!IXK$8,0)</f>
        <v>-0.0</v>
      </c>
      <c r="IXK53" s="5">
        <f>-IFERROR('4. NPV'!IXL23/'4. NPV'!IXL$8,0)</f>
        <v>-0.0</v>
      </c>
      <c r="IXL53" s="5">
        <f>-IFERROR('4. NPV'!IXM23/'4. NPV'!IXM$8,0)</f>
        <v>-0.0</v>
      </c>
      <c r="IXM53" s="5">
        <f>-IFERROR('4. NPV'!IXN23/'4. NPV'!IXN$8,0)</f>
        <v>-0.0</v>
      </c>
      <c r="IXN53" s="5">
        <f>-IFERROR('4. NPV'!IXO23/'4. NPV'!IXO$8,0)</f>
        <v>-0.0</v>
      </c>
      <c r="IXO53" s="5">
        <f>-IFERROR('4. NPV'!IXP23/'4. NPV'!IXP$8,0)</f>
        <v>-0.0</v>
      </c>
      <c r="IXP53" s="5">
        <f>-IFERROR('4. NPV'!IXQ23/'4. NPV'!IXQ$8,0)</f>
        <v>-0.0</v>
      </c>
      <c r="IXQ53" s="5">
        <f>-IFERROR('4. NPV'!IXR23/'4. NPV'!IXR$8,0)</f>
        <v>-0.0</v>
      </c>
      <c r="IXR53" s="5">
        <f>-IFERROR('4. NPV'!IXS23/'4. NPV'!IXS$8,0)</f>
        <v>-0.0</v>
      </c>
      <c r="IXS53" s="5">
        <f>-IFERROR('4. NPV'!IXT23/'4. NPV'!IXT$8,0)</f>
        <v>-0.0</v>
      </c>
      <c r="IXT53" s="5">
        <f>-IFERROR('4. NPV'!IXU23/'4. NPV'!IXU$8,0)</f>
        <v>-0.0</v>
      </c>
      <c r="IXU53" s="5">
        <f>-IFERROR('4. NPV'!IXV23/'4. NPV'!IXV$8,0)</f>
        <v>-0.0</v>
      </c>
      <c r="IXV53" s="5">
        <f>-IFERROR('4. NPV'!IXW23/'4. NPV'!IXW$8,0)</f>
        <v>-0.0</v>
      </c>
      <c r="IXW53" s="5">
        <f>-IFERROR('4. NPV'!IXX23/'4. NPV'!IXX$8,0)</f>
        <v>-0.0</v>
      </c>
      <c r="IXX53" s="5">
        <f>-IFERROR('4. NPV'!IXY23/'4. NPV'!IXY$8,0)</f>
        <v>-0.0</v>
      </c>
      <c r="IXY53" s="5">
        <f>-IFERROR('4. NPV'!IXZ23/'4. NPV'!IXZ$8,0)</f>
        <v>-0.0</v>
      </c>
      <c r="IXZ53" s="5">
        <f>-IFERROR('4. NPV'!IYA23/'4. NPV'!IYA$8,0)</f>
        <v>-0.0</v>
      </c>
      <c r="IYA53" s="5">
        <f>-IFERROR('4. NPV'!IYB23/'4. NPV'!IYB$8,0)</f>
        <v>-0.0</v>
      </c>
      <c r="IYB53" s="5">
        <f>-IFERROR('4. NPV'!IYC23/'4. NPV'!IYC$8,0)</f>
        <v>-0.0</v>
      </c>
      <c r="IYC53" s="5">
        <f>-IFERROR('4. NPV'!IYD23/'4. NPV'!IYD$8,0)</f>
        <v>-0.0</v>
      </c>
      <c r="IYD53" s="5">
        <f>-IFERROR('4. NPV'!IYE23/'4. NPV'!IYE$8,0)</f>
        <v>-0.0</v>
      </c>
      <c r="IYE53" s="5">
        <f>-IFERROR('4. NPV'!IYF23/'4. NPV'!IYF$8,0)</f>
        <v>-0.0</v>
      </c>
      <c r="IYF53" s="5">
        <f>-IFERROR('4. NPV'!IYG23/'4. NPV'!IYG$8,0)</f>
        <v>-0.0</v>
      </c>
      <c r="IYG53" s="5">
        <f>-IFERROR('4. NPV'!IYH23/'4. NPV'!IYH$8,0)</f>
        <v>-0.0</v>
      </c>
      <c r="IYH53" s="5">
        <f>-IFERROR('4. NPV'!IYI23/'4. NPV'!IYI$8,0)</f>
        <v>-0.0</v>
      </c>
      <c r="IYI53" s="5">
        <f>-IFERROR('4. NPV'!IYJ23/'4. NPV'!IYJ$8,0)</f>
        <v>-0.0</v>
      </c>
      <c r="IYJ53" s="5">
        <f>-IFERROR('4. NPV'!IYK23/'4. NPV'!IYK$8,0)</f>
        <v>-0.0</v>
      </c>
      <c r="IYK53" s="5">
        <f>-IFERROR('4. NPV'!IYL23/'4. NPV'!IYL$8,0)</f>
        <v>-0.0</v>
      </c>
      <c r="IYL53" s="5">
        <f>-IFERROR('4. NPV'!IYM23/'4. NPV'!IYM$8,0)</f>
        <v>-0.0</v>
      </c>
      <c r="IYM53" s="5">
        <f>-IFERROR('4. NPV'!IYN23/'4. NPV'!IYN$8,0)</f>
        <v>-0.0</v>
      </c>
      <c r="IYN53" s="5">
        <f>-IFERROR('4. NPV'!IYO23/'4. NPV'!IYO$8,0)</f>
        <v>-0.0</v>
      </c>
      <c r="IYO53" s="5">
        <f>-IFERROR('4. NPV'!IYP23/'4. NPV'!IYP$8,0)</f>
        <v>-0.0</v>
      </c>
      <c r="IYP53" s="5">
        <f>-IFERROR('4. NPV'!IYQ23/'4. NPV'!IYQ$8,0)</f>
        <v>-0.0</v>
      </c>
      <c r="IYQ53" s="5">
        <f>-IFERROR('4. NPV'!IYR23/'4. NPV'!IYR$8,0)</f>
        <v>-0.0</v>
      </c>
      <c r="IYR53" s="5">
        <f>-IFERROR('4. NPV'!IYS23/'4. NPV'!IYS$8,0)</f>
        <v>-0.0</v>
      </c>
      <c r="IYS53" s="5">
        <f>-IFERROR('4. NPV'!IYT23/'4. NPV'!IYT$8,0)</f>
        <v>-0.0</v>
      </c>
      <c r="IYT53" s="5">
        <f>-IFERROR('4. NPV'!IYU23/'4. NPV'!IYU$8,0)</f>
        <v>-0.0</v>
      </c>
      <c r="IYU53" s="5">
        <f>-IFERROR('4. NPV'!IYV23/'4. NPV'!IYV$8,0)</f>
        <v>-0.0</v>
      </c>
      <c r="IYV53" s="5">
        <f>-IFERROR('4. NPV'!IYW23/'4. NPV'!IYW$8,0)</f>
        <v>-0.0</v>
      </c>
      <c r="IYW53" s="5">
        <f>-IFERROR('4. NPV'!IYX23/'4. NPV'!IYX$8,0)</f>
        <v>-0.0</v>
      </c>
      <c r="IYX53" s="5">
        <f>-IFERROR('4. NPV'!IYY23/'4. NPV'!IYY$8,0)</f>
        <v>-0.0</v>
      </c>
      <c r="IYY53" s="5">
        <f>-IFERROR('4. NPV'!IYZ23/'4. NPV'!IYZ$8,0)</f>
        <v>-0.0</v>
      </c>
      <c r="IYZ53" s="5">
        <f>-IFERROR('4. NPV'!IZA23/'4. NPV'!IZA$8,0)</f>
        <v>-0.0</v>
      </c>
      <c r="IZA53" s="5">
        <f>-IFERROR('4. NPV'!IZB23/'4. NPV'!IZB$8,0)</f>
        <v>-0.0</v>
      </c>
      <c r="IZB53" s="5">
        <f>-IFERROR('4. NPV'!IZC23/'4. NPV'!IZC$8,0)</f>
        <v>-0.0</v>
      </c>
      <c r="IZC53" s="5">
        <f>-IFERROR('4. NPV'!IZD23/'4. NPV'!IZD$8,0)</f>
        <v>-0.0</v>
      </c>
      <c r="IZD53" s="5">
        <f>-IFERROR('4. NPV'!IZE23/'4. NPV'!IZE$8,0)</f>
        <v>-0.0</v>
      </c>
      <c r="IZE53" s="5">
        <f>-IFERROR('4. NPV'!IZF23/'4. NPV'!IZF$8,0)</f>
        <v>-0.0</v>
      </c>
      <c r="IZF53" s="5">
        <f>-IFERROR('4. NPV'!IZG23/'4. NPV'!IZG$8,0)</f>
        <v>-0.0</v>
      </c>
      <c r="IZG53" s="5">
        <f>-IFERROR('4. NPV'!IZH23/'4. NPV'!IZH$8,0)</f>
        <v>-0.0</v>
      </c>
      <c r="IZH53" s="5">
        <f>-IFERROR('4. NPV'!IZI23/'4. NPV'!IZI$8,0)</f>
        <v>-0.0</v>
      </c>
      <c r="IZI53" s="5">
        <f>-IFERROR('4. NPV'!IZJ23/'4. NPV'!IZJ$8,0)</f>
        <v>-0.0</v>
      </c>
      <c r="IZJ53" s="5">
        <f>-IFERROR('4. NPV'!IZK23/'4. NPV'!IZK$8,0)</f>
        <v>-0.0</v>
      </c>
      <c r="IZK53" s="5">
        <f>-IFERROR('4. NPV'!IZL23/'4. NPV'!IZL$8,0)</f>
        <v>-0.0</v>
      </c>
      <c r="IZL53" s="5">
        <f>-IFERROR('4. NPV'!IZM23/'4. NPV'!IZM$8,0)</f>
        <v>-0.0</v>
      </c>
      <c r="IZM53" s="5">
        <f>-IFERROR('4. NPV'!IZN23/'4. NPV'!IZN$8,0)</f>
        <v>-0.0</v>
      </c>
      <c r="IZN53" s="5">
        <f>-IFERROR('4. NPV'!IZO23/'4. NPV'!IZO$8,0)</f>
        <v>-0.0</v>
      </c>
      <c r="IZO53" s="5">
        <f>-IFERROR('4. NPV'!IZP23/'4. NPV'!IZP$8,0)</f>
        <v>-0.0</v>
      </c>
      <c r="IZP53" s="5">
        <f>-IFERROR('4. NPV'!IZQ23/'4. NPV'!IZQ$8,0)</f>
        <v>-0.0</v>
      </c>
      <c r="IZQ53" s="5">
        <f>-IFERROR('4. NPV'!IZR23/'4. NPV'!IZR$8,0)</f>
        <v>-0.0</v>
      </c>
      <c r="IZR53" s="5">
        <f>-IFERROR('4. NPV'!IZS23/'4. NPV'!IZS$8,0)</f>
        <v>-0.0</v>
      </c>
      <c r="IZS53" s="5">
        <f>-IFERROR('4. NPV'!IZT23/'4. NPV'!IZT$8,0)</f>
        <v>-0.0</v>
      </c>
      <c r="IZT53" s="5">
        <f>-IFERROR('4. NPV'!IZU23/'4. NPV'!IZU$8,0)</f>
        <v>-0.0</v>
      </c>
      <c r="IZU53" s="5">
        <f>-IFERROR('4. NPV'!IZV23/'4. NPV'!IZV$8,0)</f>
        <v>-0.0</v>
      </c>
      <c r="IZV53" s="5">
        <f>-IFERROR('4. NPV'!IZW23/'4. NPV'!IZW$8,0)</f>
        <v>-0.0</v>
      </c>
      <c r="IZW53" s="5">
        <f>-IFERROR('4. NPV'!IZX23/'4. NPV'!IZX$8,0)</f>
        <v>-0.0</v>
      </c>
      <c r="IZX53" s="5">
        <f>-IFERROR('4. NPV'!IZY23/'4. NPV'!IZY$8,0)</f>
        <v>-0.0</v>
      </c>
      <c r="IZY53" s="5">
        <f>-IFERROR('4. NPV'!IZZ23/'4. NPV'!IZZ$8,0)</f>
        <v>-0.0</v>
      </c>
      <c r="IZZ53" s="5">
        <f>-IFERROR('4. NPV'!JAA23/'4. NPV'!JAA$8,0)</f>
        <v>-0.0</v>
      </c>
      <c r="JAA53" s="5">
        <f>-IFERROR('4. NPV'!JAB23/'4. NPV'!JAB$8,0)</f>
        <v>-0.0</v>
      </c>
      <c r="JAB53" s="5">
        <f>-IFERROR('4. NPV'!JAC23/'4. NPV'!JAC$8,0)</f>
        <v>-0.0</v>
      </c>
      <c r="JAC53" s="5">
        <f>-IFERROR('4. NPV'!JAD23/'4. NPV'!JAD$8,0)</f>
        <v>-0.0</v>
      </c>
      <c r="JAD53" s="5">
        <f>-IFERROR('4. NPV'!JAE23/'4. NPV'!JAE$8,0)</f>
        <v>-0.0</v>
      </c>
      <c r="JAE53" s="5">
        <f>-IFERROR('4. NPV'!JAF23/'4. NPV'!JAF$8,0)</f>
        <v>-0.0</v>
      </c>
      <c r="JAF53" s="5">
        <f>-IFERROR('4. NPV'!JAG23/'4. NPV'!JAG$8,0)</f>
        <v>-0.0</v>
      </c>
      <c r="JAG53" s="5">
        <f>-IFERROR('4. NPV'!JAH23/'4. NPV'!JAH$8,0)</f>
        <v>-0.0</v>
      </c>
      <c r="JAH53" s="5">
        <f>-IFERROR('4. NPV'!JAI23/'4. NPV'!JAI$8,0)</f>
        <v>-0.0</v>
      </c>
      <c r="JAI53" s="5">
        <f>-IFERROR('4. NPV'!JAJ23/'4. NPV'!JAJ$8,0)</f>
        <v>-0.0</v>
      </c>
      <c r="JAJ53" s="5">
        <f>-IFERROR('4. NPV'!JAK23/'4. NPV'!JAK$8,0)</f>
        <v>-0.0</v>
      </c>
      <c r="JAK53" s="5">
        <f>-IFERROR('4. NPV'!JAL23/'4. NPV'!JAL$8,0)</f>
        <v>-0.0</v>
      </c>
      <c r="JAL53" s="5">
        <f>-IFERROR('4. NPV'!JAM23/'4. NPV'!JAM$8,0)</f>
        <v>-0.0</v>
      </c>
      <c r="JAM53" s="5">
        <f>-IFERROR('4. NPV'!JAN23/'4. NPV'!JAN$8,0)</f>
        <v>-0.0</v>
      </c>
      <c r="JAN53" s="5">
        <f>-IFERROR('4. NPV'!JAO23/'4. NPV'!JAO$8,0)</f>
        <v>-0.0</v>
      </c>
      <c r="JAO53" s="5">
        <f>-IFERROR('4. NPV'!JAP23/'4. NPV'!JAP$8,0)</f>
        <v>-0.0</v>
      </c>
      <c r="JAP53" s="5">
        <f>-IFERROR('4. NPV'!JAQ23/'4. NPV'!JAQ$8,0)</f>
        <v>-0.0</v>
      </c>
      <c r="JAQ53" s="5">
        <f>-IFERROR('4. NPV'!JAR23/'4. NPV'!JAR$8,0)</f>
        <v>-0.0</v>
      </c>
      <c r="JAR53" s="5">
        <f>-IFERROR('4. NPV'!JAS23/'4. NPV'!JAS$8,0)</f>
        <v>-0.0</v>
      </c>
      <c r="JAS53" s="5">
        <f>-IFERROR('4. NPV'!JAT23/'4. NPV'!JAT$8,0)</f>
        <v>-0.0</v>
      </c>
      <c r="JAT53" s="5">
        <f>-IFERROR('4. NPV'!JAU23/'4. NPV'!JAU$8,0)</f>
        <v>-0.0</v>
      </c>
      <c r="JAU53" s="5">
        <f>-IFERROR('4. NPV'!JAV23/'4. NPV'!JAV$8,0)</f>
        <v>-0.0</v>
      </c>
      <c r="JAV53" s="5">
        <f>-IFERROR('4. NPV'!JAW23/'4. NPV'!JAW$8,0)</f>
        <v>-0.0</v>
      </c>
      <c r="JAW53" s="5">
        <f>-IFERROR('4. NPV'!JAX23/'4. NPV'!JAX$8,0)</f>
        <v>-0.0</v>
      </c>
      <c r="JAX53" s="5">
        <f>-IFERROR('4. NPV'!JAY23/'4. NPV'!JAY$8,0)</f>
        <v>-0.0</v>
      </c>
      <c r="JAY53" s="5">
        <f>-IFERROR('4. NPV'!JAZ23/'4. NPV'!JAZ$8,0)</f>
        <v>-0.0</v>
      </c>
      <c r="JAZ53" s="5">
        <f>-IFERROR('4. NPV'!JBA23/'4. NPV'!JBA$8,0)</f>
        <v>-0.0</v>
      </c>
      <c r="JBA53" s="5">
        <f>-IFERROR('4. NPV'!JBB23/'4. NPV'!JBB$8,0)</f>
        <v>-0.0</v>
      </c>
      <c r="JBB53" s="5">
        <f>-IFERROR('4. NPV'!JBC23/'4. NPV'!JBC$8,0)</f>
        <v>-0.0</v>
      </c>
      <c r="JBC53" s="5">
        <f>-IFERROR('4. NPV'!JBD23/'4. NPV'!JBD$8,0)</f>
        <v>-0.0</v>
      </c>
      <c r="JBD53" s="5">
        <f>-IFERROR('4. NPV'!JBE23/'4. NPV'!JBE$8,0)</f>
        <v>-0.0</v>
      </c>
      <c r="JBE53" s="5">
        <f>-IFERROR('4. NPV'!JBF23/'4. NPV'!JBF$8,0)</f>
        <v>-0.0</v>
      </c>
      <c r="JBF53" s="5">
        <f>-IFERROR('4. NPV'!JBG23/'4. NPV'!JBG$8,0)</f>
        <v>-0.0</v>
      </c>
      <c r="JBG53" s="5">
        <f>-IFERROR('4. NPV'!JBH23/'4. NPV'!JBH$8,0)</f>
        <v>-0.0</v>
      </c>
      <c r="JBH53" s="5">
        <f>-IFERROR('4. NPV'!JBI23/'4. NPV'!JBI$8,0)</f>
        <v>-0.0</v>
      </c>
      <c r="JBI53" s="5">
        <f>-IFERROR('4. NPV'!JBJ23/'4. NPV'!JBJ$8,0)</f>
        <v>-0.0</v>
      </c>
      <c r="JBJ53" s="5">
        <f>-IFERROR('4. NPV'!JBK23/'4. NPV'!JBK$8,0)</f>
        <v>-0.0</v>
      </c>
      <c r="JBK53" s="5">
        <f>-IFERROR('4. NPV'!JBL23/'4. NPV'!JBL$8,0)</f>
        <v>-0.0</v>
      </c>
      <c r="JBL53" s="5">
        <f>-IFERROR('4. NPV'!JBM23/'4. NPV'!JBM$8,0)</f>
        <v>-0.0</v>
      </c>
      <c r="JBM53" s="5">
        <f>-IFERROR('4. NPV'!JBN23/'4. NPV'!JBN$8,0)</f>
        <v>-0.0</v>
      </c>
      <c r="JBN53" s="5">
        <f>-IFERROR('4. NPV'!JBO23/'4. NPV'!JBO$8,0)</f>
        <v>-0.0</v>
      </c>
      <c r="JBO53" s="5">
        <f>-IFERROR('4. NPV'!JBP23/'4. NPV'!JBP$8,0)</f>
        <v>-0.0</v>
      </c>
      <c r="JBP53" s="5">
        <f>-IFERROR('4. NPV'!JBQ23/'4. NPV'!JBQ$8,0)</f>
        <v>-0.0</v>
      </c>
      <c r="JBQ53" s="5">
        <f>-IFERROR('4. NPV'!JBR23/'4. NPV'!JBR$8,0)</f>
        <v>-0.0</v>
      </c>
      <c r="JBR53" s="5">
        <f>-IFERROR('4. NPV'!JBS23/'4. NPV'!JBS$8,0)</f>
        <v>-0.0</v>
      </c>
      <c r="JBS53" s="5">
        <f>-IFERROR('4. NPV'!JBT23/'4. NPV'!JBT$8,0)</f>
        <v>-0.0</v>
      </c>
      <c r="JBT53" s="5">
        <f>-IFERROR('4. NPV'!JBU23/'4. NPV'!JBU$8,0)</f>
        <v>-0.0</v>
      </c>
      <c r="JBU53" s="5">
        <f>-IFERROR('4. NPV'!JBV23/'4. NPV'!JBV$8,0)</f>
        <v>-0.0</v>
      </c>
      <c r="JBV53" s="5">
        <f>-IFERROR('4. NPV'!JBW23/'4. NPV'!JBW$8,0)</f>
        <v>-0.0</v>
      </c>
      <c r="JBW53" s="5">
        <f>-IFERROR('4. NPV'!JBX23/'4. NPV'!JBX$8,0)</f>
        <v>-0.0</v>
      </c>
      <c r="JBX53" s="5">
        <f>-IFERROR('4. NPV'!JBY23/'4. NPV'!JBY$8,0)</f>
        <v>-0.0</v>
      </c>
      <c r="JBY53" s="5">
        <f>-IFERROR('4. NPV'!JBZ23/'4. NPV'!JBZ$8,0)</f>
        <v>-0.0</v>
      </c>
      <c r="JBZ53" s="5">
        <f>-IFERROR('4. NPV'!JCA23/'4. NPV'!JCA$8,0)</f>
        <v>-0.0</v>
      </c>
      <c r="JCA53" s="5">
        <f>-IFERROR('4. NPV'!JCB23/'4. NPV'!JCB$8,0)</f>
        <v>-0.0</v>
      </c>
      <c r="JCB53" s="5">
        <f>-IFERROR('4. NPV'!JCC23/'4. NPV'!JCC$8,0)</f>
        <v>-0.0</v>
      </c>
      <c r="JCC53" s="5">
        <f>-IFERROR('4. NPV'!JCD23/'4. NPV'!JCD$8,0)</f>
        <v>-0.0</v>
      </c>
      <c r="JCD53" s="5">
        <f>-IFERROR('4. NPV'!JCE23/'4. NPV'!JCE$8,0)</f>
        <v>-0.0</v>
      </c>
      <c r="JCE53" s="5">
        <f>-IFERROR('4. NPV'!JCF23/'4. NPV'!JCF$8,0)</f>
        <v>-0.0</v>
      </c>
      <c r="JCF53" s="5">
        <f>-IFERROR('4. NPV'!JCG23/'4. NPV'!JCG$8,0)</f>
        <v>-0.0</v>
      </c>
      <c r="JCG53" s="5">
        <f>-IFERROR('4. NPV'!JCH23/'4. NPV'!JCH$8,0)</f>
        <v>-0.0</v>
      </c>
      <c r="JCH53" s="5">
        <f>-IFERROR('4. NPV'!JCI23/'4. NPV'!JCI$8,0)</f>
        <v>-0.0</v>
      </c>
      <c r="JCI53" s="5">
        <f>-IFERROR('4. NPV'!JCJ23/'4. NPV'!JCJ$8,0)</f>
        <v>-0.0</v>
      </c>
      <c r="JCJ53" s="5">
        <f>-IFERROR('4. NPV'!JCK23/'4. NPV'!JCK$8,0)</f>
        <v>-0.0</v>
      </c>
      <c r="JCK53" s="5">
        <f>-IFERROR('4. NPV'!JCL23/'4. NPV'!JCL$8,0)</f>
        <v>-0.0</v>
      </c>
      <c r="JCL53" s="5">
        <f>-IFERROR('4. NPV'!JCM23/'4. NPV'!JCM$8,0)</f>
        <v>-0.0</v>
      </c>
      <c r="JCM53" s="5">
        <f>-IFERROR('4. NPV'!JCN23/'4. NPV'!JCN$8,0)</f>
        <v>-0.0</v>
      </c>
      <c r="JCN53" s="5">
        <f>-IFERROR('4. NPV'!JCO23/'4. NPV'!JCO$8,0)</f>
        <v>-0.0</v>
      </c>
      <c r="JCO53" s="5">
        <f>-IFERROR('4. NPV'!JCP23/'4. NPV'!JCP$8,0)</f>
        <v>-0.0</v>
      </c>
      <c r="JCP53" s="5">
        <f>-IFERROR('4. NPV'!JCQ23/'4. NPV'!JCQ$8,0)</f>
        <v>-0.0</v>
      </c>
      <c r="JCQ53" s="5">
        <f>-IFERROR('4. NPV'!JCR23/'4. NPV'!JCR$8,0)</f>
        <v>-0.0</v>
      </c>
      <c r="JCR53" s="5">
        <f>-IFERROR('4. NPV'!JCS23/'4. NPV'!JCS$8,0)</f>
        <v>-0.0</v>
      </c>
      <c r="JCS53" s="5">
        <f>-IFERROR('4. NPV'!JCT23/'4. NPV'!JCT$8,0)</f>
        <v>-0.0</v>
      </c>
      <c r="JCT53" s="5">
        <f>-IFERROR('4. NPV'!JCU23/'4. NPV'!JCU$8,0)</f>
        <v>-0.0</v>
      </c>
      <c r="JCU53" s="5">
        <f>-IFERROR('4. NPV'!JCV23/'4. NPV'!JCV$8,0)</f>
        <v>-0.0</v>
      </c>
      <c r="JCV53" s="5">
        <f>-IFERROR('4. NPV'!JCW23/'4. NPV'!JCW$8,0)</f>
        <v>-0.0</v>
      </c>
      <c r="JCW53" s="5">
        <f>-IFERROR('4. NPV'!JCX23/'4. NPV'!JCX$8,0)</f>
        <v>-0.0</v>
      </c>
      <c r="JCX53" s="5">
        <f>-IFERROR('4. NPV'!JCY23/'4. NPV'!JCY$8,0)</f>
        <v>-0.0</v>
      </c>
      <c r="JCY53" s="5">
        <f>-IFERROR('4. NPV'!JCZ23/'4. NPV'!JCZ$8,0)</f>
        <v>-0.0</v>
      </c>
      <c r="JCZ53" s="5">
        <f>-IFERROR('4. NPV'!JDA23/'4. NPV'!JDA$8,0)</f>
        <v>-0.0</v>
      </c>
      <c r="JDA53" s="5">
        <f>-IFERROR('4. NPV'!JDB23/'4. NPV'!JDB$8,0)</f>
        <v>-0.0</v>
      </c>
      <c r="JDB53" s="5">
        <f>-IFERROR('4. NPV'!JDC23/'4. NPV'!JDC$8,0)</f>
        <v>-0.0</v>
      </c>
      <c r="JDC53" s="5">
        <f>-IFERROR('4. NPV'!JDD23/'4. NPV'!JDD$8,0)</f>
        <v>-0.0</v>
      </c>
      <c r="JDD53" s="5">
        <f>-IFERROR('4. NPV'!JDE23/'4. NPV'!JDE$8,0)</f>
        <v>-0.0</v>
      </c>
      <c r="JDE53" s="5">
        <f>-IFERROR('4. NPV'!JDF23/'4. NPV'!JDF$8,0)</f>
        <v>-0.0</v>
      </c>
      <c r="JDF53" s="5">
        <f>-IFERROR('4. NPV'!JDG23/'4. NPV'!JDG$8,0)</f>
        <v>-0.0</v>
      </c>
      <c r="JDG53" s="5">
        <f>-IFERROR('4. NPV'!JDH23/'4. NPV'!JDH$8,0)</f>
        <v>-0.0</v>
      </c>
      <c r="JDH53" s="5">
        <f>-IFERROR('4. NPV'!JDI23/'4. NPV'!JDI$8,0)</f>
        <v>-0.0</v>
      </c>
      <c r="JDI53" s="5">
        <f>-IFERROR('4. NPV'!JDJ23/'4. NPV'!JDJ$8,0)</f>
        <v>-0.0</v>
      </c>
      <c r="JDJ53" s="5">
        <f>-IFERROR('4. NPV'!JDK23/'4. NPV'!JDK$8,0)</f>
        <v>-0.0</v>
      </c>
      <c r="JDK53" s="5">
        <f>-IFERROR('4. NPV'!JDL23/'4. NPV'!JDL$8,0)</f>
        <v>-0.0</v>
      </c>
      <c r="JDL53" s="5">
        <f>-IFERROR('4. NPV'!JDM23/'4. NPV'!JDM$8,0)</f>
        <v>-0.0</v>
      </c>
      <c r="JDM53" s="5">
        <f>-IFERROR('4. NPV'!JDN23/'4. NPV'!JDN$8,0)</f>
        <v>-0.0</v>
      </c>
      <c r="JDN53" s="5">
        <f>-IFERROR('4. NPV'!JDO23/'4. NPV'!JDO$8,0)</f>
        <v>-0.0</v>
      </c>
      <c r="JDO53" s="5">
        <f>-IFERROR('4. NPV'!JDP23/'4. NPV'!JDP$8,0)</f>
        <v>-0.0</v>
      </c>
      <c r="JDP53" s="5">
        <f>-IFERROR('4. NPV'!JDQ23/'4. NPV'!JDQ$8,0)</f>
        <v>-0.0</v>
      </c>
      <c r="JDQ53" s="5">
        <f>-IFERROR('4. NPV'!JDR23/'4. NPV'!JDR$8,0)</f>
        <v>-0.0</v>
      </c>
      <c r="JDR53" s="5">
        <f>-IFERROR('4. NPV'!JDS23/'4. NPV'!JDS$8,0)</f>
        <v>-0.0</v>
      </c>
      <c r="JDS53" s="5">
        <f>-IFERROR('4. NPV'!JDT23/'4. NPV'!JDT$8,0)</f>
        <v>-0.0</v>
      </c>
      <c r="JDT53" s="5">
        <f>-IFERROR('4. NPV'!JDU23/'4. NPV'!JDU$8,0)</f>
        <v>-0.0</v>
      </c>
      <c r="JDU53" s="5">
        <f>-IFERROR('4. NPV'!JDV23/'4. NPV'!JDV$8,0)</f>
        <v>-0.0</v>
      </c>
      <c r="JDV53" s="5">
        <f>-IFERROR('4. NPV'!JDW23/'4. NPV'!JDW$8,0)</f>
        <v>-0.0</v>
      </c>
      <c r="JDW53" s="5">
        <f>-IFERROR('4. NPV'!JDX23/'4. NPV'!JDX$8,0)</f>
        <v>-0.0</v>
      </c>
      <c r="JDX53" s="5">
        <f>-IFERROR('4. NPV'!JDY23/'4. NPV'!JDY$8,0)</f>
        <v>-0.0</v>
      </c>
      <c r="JDY53" s="5">
        <f>-IFERROR('4. NPV'!JDZ23/'4. NPV'!JDZ$8,0)</f>
        <v>-0.0</v>
      </c>
      <c r="JDZ53" s="5">
        <f>-IFERROR('4. NPV'!JEA23/'4. NPV'!JEA$8,0)</f>
        <v>-0.0</v>
      </c>
      <c r="JEA53" s="5">
        <f>-IFERROR('4. NPV'!JEB23/'4. NPV'!JEB$8,0)</f>
        <v>-0.0</v>
      </c>
      <c r="JEB53" s="5">
        <f>-IFERROR('4. NPV'!JEC23/'4. NPV'!JEC$8,0)</f>
        <v>-0.0</v>
      </c>
      <c r="JEC53" s="5">
        <f>-IFERROR('4. NPV'!JED23/'4. NPV'!JED$8,0)</f>
        <v>-0.0</v>
      </c>
      <c r="JED53" s="5">
        <f>-IFERROR('4. NPV'!JEE23/'4. NPV'!JEE$8,0)</f>
        <v>-0.0</v>
      </c>
      <c r="JEE53" s="5">
        <f>-IFERROR('4. NPV'!JEF23/'4. NPV'!JEF$8,0)</f>
        <v>-0.0</v>
      </c>
      <c r="JEF53" s="5">
        <f>-IFERROR('4. NPV'!JEG23/'4. NPV'!JEG$8,0)</f>
        <v>-0.0</v>
      </c>
      <c r="JEG53" s="5">
        <f>-IFERROR('4. NPV'!JEH23/'4. NPV'!JEH$8,0)</f>
        <v>-0.0</v>
      </c>
      <c r="JEH53" s="5">
        <f>-IFERROR('4. NPV'!JEI23/'4. NPV'!JEI$8,0)</f>
        <v>-0.0</v>
      </c>
      <c r="JEI53" s="5">
        <f>-IFERROR('4. NPV'!JEJ23/'4. NPV'!JEJ$8,0)</f>
        <v>-0.0</v>
      </c>
      <c r="JEJ53" s="5">
        <f>-IFERROR('4. NPV'!JEK23/'4. NPV'!JEK$8,0)</f>
        <v>-0.0</v>
      </c>
      <c r="JEK53" s="5">
        <f>-IFERROR('4. NPV'!JEL23/'4. NPV'!JEL$8,0)</f>
        <v>-0.0</v>
      </c>
      <c r="JEL53" s="5">
        <f>-IFERROR('4. NPV'!JEM23/'4. NPV'!JEM$8,0)</f>
        <v>-0.0</v>
      </c>
      <c r="JEM53" s="5">
        <f>-IFERROR('4. NPV'!JEN23/'4. NPV'!JEN$8,0)</f>
        <v>-0.0</v>
      </c>
      <c r="JEN53" s="5">
        <f>-IFERROR('4. NPV'!JEO23/'4. NPV'!JEO$8,0)</f>
        <v>-0.0</v>
      </c>
      <c r="JEO53" s="5">
        <f>-IFERROR('4. NPV'!JEP23/'4. NPV'!JEP$8,0)</f>
        <v>-0.0</v>
      </c>
      <c r="JEP53" s="5">
        <f>-IFERROR('4. NPV'!JEQ23/'4. NPV'!JEQ$8,0)</f>
        <v>-0.0</v>
      </c>
      <c r="JEQ53" s="5">
        <f>-IFERROR('4. NPV'!JER23/'4. NPV'!JER$8,0)</f>
        <v>-0.0</v>
      </c>
      <c r="JER53" s="5">
        <f>-IFERROR('4. NPV'!JES23/'4. NPV'!JES$8,0)</f>
        <v>-0.0</v>
      </c>
      <c r="JES53" s="5">
        <f>-IFERROR('4. NPV'!JET23/'4. NPV'!JET$8,0)</f>
        <v>-0.0</v>
      </c>
      <c r="JET53" s="5">
        <f>-IFERROR('4. NPV'!JEU23/'4. NPV'!JEU$8,0)</f>
        <v>-0.0</v>
      </c>
      <c r="JEU53" s="5">
        <f>-IFERROR('4. NPV'!JEV23/'4. NPV'!JEV$8,0)</f>
        <v>-0.0</v>
      </c>
      <c r="JEV53" s="5">
        <f>-IFERROR('4. NPV'!JEW23/'4. NPV'!JEW$8,0)</f>
        <v>-0.0</v>
      </c>
      <c r="JEW53" s="5">
        <f>-IFERROR('4. NPV'!JEX23/'4. NPV'!JEX$8,0)</f>
        <v>-0.0</v>
      </c>
      <c r="JEX53" s="5">
        <f>-IFERROR('4. NPV'!JEY23/'4. NPV'!JEY$8,0)</f>
        <v>-0.0</v>
      </c>
      <c r="JEY53" s="5">
        <f>-IFERROR('4. NPV'!JEZ23/'4. NPV'!JEZ$8,0)</f>
        <v>-0.0</v>
      </c>
      <c r="JEZ53" s="5">
        <f>-IFERROR('4. NPV'!JFA23/'4. NPV'!JFA$8,0)</f>
        <v>-0.0</v>
      </c>
      <c r="JFA53" s="5">
        <f>-IFERROR('4. NPV'!JFB23/'4. NPV'!JFB$8,0)</f>
        <v>-0.0</v>
      </c>
      <c r="JFB53" s="5">
        <f>-IFERROR('4. NPV'!JFC23/'4. NPV'!JFC$8,0)</f>
        <v>-0.0</v>
      </c>
      <c r="JFC53" s="5">
        <f>-IFERROR('4. NPV'!JFD23/'4. NPV'!JFD$8,0)</f>
        <v>-0.0</v>
      </c>
      <c r="JFD53" s="5">
        <f>-IFERROR('4. NPV'!JFE23/'4. NPV'!JFE$8,0)</f>
        <v>-0.0</v>
      </c>
      <c r="JFE53" s="5">
        <f>-IFERROR('4. NPV'!JFF23/'4. NPV'!JFF$8,0)</f>
        <v>-0.0</v>
      </c>
      <c r="JFF53" s="5">
        <f>-IFERROR('4. NPV'!JFG23/'4. NPV'!JFG$8,0)</f>
        <v>-0.0</v>
      </c>
      <c r="JFG53" s="5">
        <f>-IFERROR('4. NPV'!JFH23/'4. NPV'!JFH$8,0)</f>
        <v>-0.0</v>
      </c>
      <c r="JFH53" s="5">
        <f>-IFERROR('4. NPV'!JFI23/'4. NPV'!JFI$8,0)</f>
        <v>-0.0</v>
      </c>
      <c r="JFI53" s="5">
        <f>-IFERROR('4. NPV'!JFJ23/'4. NPV'!JFJ$8,0)</f>
        <v>-0.0</v>
      </c>
      <c r="JFJ53" s="5">
        <f>-IFERROR('4. NPV'!JFK23/'4. NPV'!JFK$8,0)</f>
        <v>-0.0</v>
      </c>
      <c r="JFK53" s="5">
        <f>-IFERROR('4. NPV'!JFL23/'4. NPV'!JFL$8,0)</f>
        <v>-0.0</v>
      </c>
      <c r="JFL53" s="5">
        <f>-IFERROR('4. NPV'!JFM23/'4. NPV'!JFM$8,0)</f>
        <v>-0.0</v>
      </c>
      <c r="JFM53" s="5">
        <f>-IFERROR('4. NPV'!JFN23/'4. NPV'!JFN$8,0)</f>
        <v>-0.0</v>
      </c>
      <c r="JFN53" s="5">
        <f>-IFERROR('4. NPV'!JFO23/'4. NPV'!JFO$8,0)</f>
        <v>-0.0</v>
      </c>
      <c r="JFO53" s="5">
        <f>-IFERROR('4. NPV'!JFP23/'4. NPV'!JFP$8,0)</f>
        <v>-0.0</v>
      </c>
      <c r="JFP53" s="5">
        <f>-IFERROR('4. NPV'!JFQ23/'4. NPV'!JFQ$8,0)</f>
        <v>-0.0</v>
      </c>
      <c r="JFQ53" s="5">
        <f>-IFERROR('4. NPV'!JFR23/'4. NPV'!JFR$8,0)</f>
        <v>-0.0</v>
      </c>
      <c r="JFR53" s="5">
        <f>-IFERROR('4. NPV'!JFS23/'4. NPV'!JFS$8,0)</f>
        <v>-0.0</v>
      </c>
      <c r="JFS53" s="5">
        <f>-IFERROR('4. NPV'!JFT23/'4. NPV'!JFT$8,0)</f>
        <v>-0.0</v>
      </c>
      <c r="JFT53" s="5">
        <f>-IFERROR('4. NPV'!JFU23/'4. NPV'!JFU$8,0)</f>
        <v>-0.0</v>
      </c>
      <c r="JFU53" s="5">
        <f>-IFERROR('4. NPV'!JFV23/'4. NPV'!JFV$8,0)</f>
        <v>-0.0</v>
      </c>
      <c r="JFV53" s="5">
        <f>-IFERROR('4. NPV'!JFW23/'4. NPV'!JFW$8,0)</f>
        <v>-0.0</v>
      </c>
      <c r="JFW53" s="5">
        <f>-IFERROR('4. NPV'!JFX23/'4. NPV'!JFX$8,0)</f>
        <v>-0.0</v>
      </c>
      <c r="JFX53" s="5">
        <f>-IFERROR('4. NPV'!JFY23/'4. NPV'!JFY$8,0)</f>
        <v>-0.0</v>
      </c>
      <c r="JFY53" s="5">
        <f>-IFERROR('4. NPV'!JFZ23/'4. NPV'!JFZ$8,0)</f>
        <v>-0.0</v>
      </c>
      <c r="JFZ53" s="5">
        <f>-IFERROR('4. NPV'!JGA23/'4. NPV'!JGA$8,0)</f>
        <v>-0.0</v>
      </c>
      <c r="JGA53" s="5">
        <f>-IFERROR('4. NPV'!JGB23/'4. NPV'!JGB$8,0)</f>
        <v>-0.0</v>
      </c>
      <c r="JGB53" s="5">
        <f>-IFERROR('4. NPV'!JGC23/'4. NPV'!JGC$8,0)</f>
        <v>-0.0</v>
      </c>
      <c r="JGC53" s="5">
        <f>-IFERROR('4. NPV'!JGD23/'4. NPV'!JGD$8,0)</f>
        <v>-0.0</v>
      </c>
      <c r="JGD53" s="5">
        <f>-IFERROR('4. NPV'!JGE23/'4. NPV'!JGE$8,0)</f>
        <v>-0.0</v>
      </c>
      <c r="JGE53" s="5">
        <f>-IFERROR('4. NPV'!JGF23/'4. NPV'!JGF$8,0)</f>
        <v>-0.0</v>
      </c>
      <c r="JGF53" s="5">
        <f>-IFERROR('4. NPV'!JGG23/'4. NPV'!JGG$8,0)</f>
        <v>-0.0</v>
      </c>
      <c r="JGG53" s="5">
        <f>-IFERROR('4. NPV'!JGH23/'4. NPV'!JGH$8,0)</f>
        <v>-0.0</v>
      </c>
      <c r="JGH53" s="5">
        <f>-IFERROR('4. NPV'!JGI23/'4. NPV'!JGI$8,0)</f>
        <v>-0.0</v>
      </c>
      <c r="JGI53" s="5">
        <f>-IFERROR('4. NPV'!JGJ23/'4. NPV'!JGJ$8,0)</f>
        <v>-0.0</v>
      </c>
      <c r="JGJ53" s="5">
        <f>-IFERROR('4. NPV'!JGK23/'4. NPV'!JGK$8,0)</f>
        <v>-0.0</v>
      </c>
      <c r="JGK53" s="5">
        <f>-IFERROR('4. NPV'!JGL23/'4. NPV'!JGL$8,0)</f>
        <v>-0.0</v>
      </c>
      <c r="JGL53" s="5">
        <f>-IFERROR('4. NPV'!JGM23/'4. NPV'!JGM$8,0)</f>
        <v>-0.0</v>
      </c>
      <c r="JGM53" s="5">
        <f>-IFERROR('4. NPV'!JGN23/'4. NPV'!JGN$8,0)</f>
        <v>-0.0</v>
      </c>
      <c r="JGN53" s="5">
        <f>-IFERROR('4. NPV'!JGO23/'4. NPV'!JGO$8,0)</f>
        <v>-0.0</v>
      </c>
      <c r="JGO53" s="5">
        <f>-IFERROR('4. NPV'!JGP23/'4. NPV'!JGP$8,0)</f>
        <v>-0.0</v>
      </c>
      <c r="JGP53" s="5">
        <f>-IFERROR('4. NPV'!JGQ23/'4. NPV'!JGQ$8,0)</f>
        <v>-0.0</v>
      </c>
      <c r="JGQ53" s="5">
        <f>-IFERROR('4. NPV'!JGR23/'4. NPV'!JGR$8,0)</f>
        <v>-0.0</v>
      </c>
      <c r="JGR53" s="5">
        <f>-IFERROR('4. NPV'!JGS23/'4. NPV'!JGS$8,0)</f>
        <v>-0.0</v>
      </c>
      <c r="JGS53" s="5">
        <f>-IFERROR('4. NPV'!JGT23/'4. NPV'!JGT$8,0)</f>
        <v>-0.0</v>
      </c>
      <c r="JGT53" s="5">
        <f>-IFERROR('4. NPV'!JGU23/'4. NPV'!JGU$8,0)</f>
        <v>-0.0</v>
      </c>
      <c r="JGU53" s="5">
        <f>-IFERROR('4. NPV'!JGV23/'4. NPV'!JGV$8,0)</f>
        <v>-0.0</v>
      </c>
      <c r="JGV53" s="5">
        <f>-IFERROR('4. NPV'!JGW23/'4. NPV'!JGW$8,0)</f>
        <v>-0.0</v>
      </c>
      <c r="JGW53" s="5">
        <f>-IFERROR('4. NPV'!JGX23/'4. NPV'!JGX$8,0)</f>
        <v>-0.0</v>
      </c>
      <c r="JGX53" s="5">
        <f>-IFERROR('4. NPV'!JGY23/'4. NPV'!JGY$8,0)</f>
        <v>-0.0</v>
      </c>
      <c r="JGY53" s="5">
        <f>-IFERROR('4. NPV'!JGZ23/'4. NPV'!JGZ$8,0)</f>
        <v>-0.0</v>
      </c>
      <c r="JGZ53" s="5">
        <f>-IFERROR('4. NPV'!JHA23/'4. NPV'!JHA$8,0)</f>
        <v>-0.0</v>
      </c>
      <c r="JHA53" s="5">
        <f>-IFERROR('4. NPV'!JHB23/'4. NPV'!JHB$8,0)</f>
        <v>-0.0</v>
      </c>
      <c r="JHB53" s="5">
        <f>-IFERROR('4. NPV'!JHC23/'4. NPV'!JHC$8,0)</f>
        <v>-0.0</v>
      </c>
      <c r="JHC53" s="5">
        <f>-IFERROR('4. NPV'!JHD23/'4. NPV'!JHD$8,0)</f>
        <v>-0.0</v>
      </c>
      <c r="JHD53" s="5">
        <f>-IFERROR('4. NPV'!JHE23/'4. NPV'!JHE$8,0)</f>
        <v>-0.0</v>
      </c>
      <c r="JHE53" s="5">
        <f>-IFERROR('4. NPV'!JHF23/'4. NPV'!JHF$8,0)</f>
        <v>-0.0</v>
      </c>
      <c r="JHF53" s="5">
        <f>-IFERROR('4. NPV'!JHG23/'4. NPV'!JHG$8,0)</f>
        <v>-0.0</v>
      </c>
      <c r="JHG53" s="5">
        <f>-IFERROR('4. NPV'!JHH23/'4. NPV'!JHH$8,0)</f>
        <v>-0.0</v>
      </c>
      <c r="JHH53" s="5">
        <f>-IFERROR('4. NPV'!JHI23/'4. NPV'!JHI$8,0)</f>
        <v>-0.0</v>
      </c>
      <c r="JHI53" s="5">
        <f>-IFERROR('4. NPV'!JHJ23/'4. NPV'!JHJ$8,0)</f>
        <v>-0.0</v>
      </c>
      <c r="JHJ53" s="5">
        <f>-IFERROR('4. NPV'!JHK23/'4. NPV'!JHK$8,0)</f>
        <v>-0.0</v>
      </c>
      <c r="JHK53" s="5">
        <f>-IFERROR('4. NPV'!JHL23/'4. NPV'!JHL$8,0)</f>
        <v>-0.0</v>
      </c>
      <c r="JHL53" s="5">
        <f>-IFERROR('4. NPV'!JHM23/'4. NPV'!JHM$8,0)</f>
        <v>-0.0</v>
      </c>
      <c r="JHM53" s="5">
        <f>-IFERROR('4. NPV'!JHN23/'4. NPV'!JHN$8,0)</f>
        <v>-0.0</v>
      </c>
      <c r="JHN53" s="5">
        <f>-IFERROR('4. NPV'!JHO23/'4. NPV'!JHO$8,0)</f>
        <v>-0.0</v>
      </c>
      <c r="JHO53" s="5">
        <f>-IFERROR('4. NPV'!JHP23/'4. NPV'!JHP$8,0)</f>
        <v>-0.0</v>
      </c>
      <c r="JHP53" s="5">
        <f>-IFERROR('4. NPV'!JHQ23/'4. NPV'!JHQ$8,0)</f>
        <v>-0.0</v>
      </c>
      <c r="JHQ53" s="5">
        <f>-IFERROR('4. NPV'!JHR23/'4. NPV'!JHR$8,0)</f>
        <v>-0.0</v>
      </c>
      <c r="JHR53" s="5">
        <f>-IFERROR('4. NPV'!JHS23/'4. NPV'!JHS$8,0)</f>
        <v>-0.0</v>
      </c>
      <c r="JHS53" s="5">
        <f>-IFERROR('4. NPV'!JHT23/'4. NPV'!JHT$8,0)</f>
        <v>-0.0</v>
      </c>
      <c r="JHT53" s="5">
        <f>-IFERROR('4. NPV'!JHU23/'4. NPV'!JHU$8,0)</f>
        <v>-0.0</v>
      </c>
      <c r="JHU53" s="5">
        <f>-IFERROR('4. NPV'!JHV23/'4. NPV'!JHV$8,0)</f>
        <v>-0.0</v>
      </c>
      <c r="JHV53" s="5">
        <f>-IFERROR('4. NPV'!JHW23/'4. NPV'!JHW$8,0)</f>
        <v>-0.0</v>
      </c>
      <c r="JHW53" s="5">
        <f>-IFERROR('4. NPV'!JHX23/'4. NPV'!JHX$8,0)</f>
        <v>-0.0</v>
      </c>
      <c r="JHX53" s="5">
        <f>-IFERROR('4. NPV'!JHY23/'4. NPV'!JHY$8,0)</f>
        <v>-0.0</v>
      </c>
      <c r="JHY53" s="5">
        <f>-IFERROR('4. NPV'!JHZ23/'4. NPV'!JHZ$8,0)</f>
        <v>-0.0</v>
      </c>
      <c r="JHZ53" s="5">
        <f>-IFERROR('4. NPV'!JIA23/'4. NPV'!JIA$8,0)</f>
        <v>-0.0</v>
      </c>
      <c r="JIA53" s="5">
        <f>-IFERROR('4. NPV'!JIB23/'4. NPV'!JIB$8,0)</f>
        <v>-0.0</v>
      </c>
      <c r="JIB53" s="5">
        <f>-IFERROR('4. NPV'!JIC23/'4. NPV'!JIC$8,0)</f>
        <v>-0.0</v>
      </c>
      <c r="JIC53" s="5">
        <f>-IFERROR('4. NPV'!JID23/'4. NPV'!JID$8,0)</f>
        <v>-0.0</v>
      </c>
      <c r="JID53" s="5">
        <f>-IFERROR('4. NPV'!JIE23/'4. NPV'!JIE$8,0)</f>
        <v>-0.0</v>
      </c>
      <c r="JIE53" s="5">
        <f>-IFERROR('4. NPV'!JIF23/'4. NPV'!JIF$8,0)</f>
        <v>-0.0</v>
      </c>
      <c r="JIF53" s="5">
        <f>-IFERROR('4. NPV'!JIG23/'4. NPV'!JIG$8,0)</f>
        <v>-0.0</v>
      </c>
      <c r="JIG53" s="5">
        <f>-IFERROR('4. NPV'!JIH23/'4. NPV'!JIH$8,0)</f>
        <v>-0.0</v>
      </c>
      <c r="JIH53" s="5">
        <f>-IFERROR('4. NPV'!JII23/'4. NPV'!JII$8,0)</f>
        <v>-0.0</v>
      </c>
      <c r="JII53" s="5">
        <f>-IFERROR('4. NPV'!JIJ23/'4. NPV'!JIJ$8,0)</f>
        <v>-0.0</v>
      </c>
      <c r="JIJ53" s="5">
        <f>-IFERROR('4. NPV'!JIK23/'4. NPV'!JIK$8,0)</f>
        <v>-0.0</v>
      </c>
      <c r="JIK53" s="5">
        <f>-IFERROR('4. NPV'!JIL23/'4. NPV'!JIL$8,0)</f>
        <v>-0.0</v>
      </c>
      <c r="JIL53" s="5">
        <f>-IFERROR('4. NPV'!JIM23/'4. NPV'!JIM$8,0)</f>
        <v>-0.0</v>
      </c>
      <c r="JIM53" s="5">
        <f>-IFERROR('4. NPV'!JIN23/'4. NPV'!JIN$8,0)</f>
        <v>-0.0</v>
      </c>
      <c r="JIN53" s="5">
        <f>-IFERROR('4. NPV'!JIO23/'4. NPV'!JIO$8,0)</f>
        <v>-0.0</v>
      </c>
      <c r="JIO53" s="5">
        <f>-IFERROR('4. NPV'!JIP23/'4. NPV'!JIP$8,0)</f>
        <v>-0.0</v>
      </c>
      <c r="JIP53" s="5">
        <f>-IFERROR('4. NPV'!JIQ23/'4. NPV'!JIQ$8,0)</f>
        <v>-0.0</v>
      </c>
      <c r="JIQ53" s="5">
        <f>-IFERROR('4. NPV'!JIR23/'4. NPV'!JIR$8,0)</f>
        <v>-0.0</v>
      </c>
      <c r="JIR53" s="5">
        <f>-IFERROR('4. NPV'!JIS23/'4. NPV'!JIS$8,0)</f>
        <v>-0.0</v>
      </c>
      <c r="JIS53" s="5">
        <f>-IFERROR('4. NPV'!JIT23/'4. NPV'!JIT$8,0)</f>
        <v>-0.0</v>
      </c>
      <c r="JIT53" s="5">
        <f>-IFERROR('4. NPV'!JIU23/'4. NPV'!JIU$8,0)</f>
        <v>-0.0</v>
      </c>
      <c r="JIU53" s="5">
        <f>-IFERROR('4. NPV'!JIV23/'4. NPV'!JIV$8,0)</f>
        <v>-0.0</v>
      </c>
      <c r="JIV53" s="5">
        <f>-IFERROR('4. NPV'!JIW23/'4. NPV'!JIW$8,0)</f>
        <v>-0.0</v>
      </c>
      <c r="JIW53" s="5">
        <f>-IFERROR('4. NPV'!JIX23/'4. NPV'!JIX$8,0)</f>
        <v>-0.0</v>
      </c>
      <c r="JIX53" s="5">
        <f>-IFERROR('4. NPV'!JIY23/'4. NPV'!JIY$8,0)</f>
        <v>-0.0</v>
      </c>
      <c r="JIY53" s="5">
        <f>-IFERROR('4. NPV'!JIZ23/'4. NPV'!JIZ$8,0)</f>
        <v>-0.0</v>
      </c>
      <c r="JIZ53" s="5">
        <f>-IFERROR('4. NPV'!JJA23/'4. NPV'!JJA$8,0)</f>
        <v>-0.0</v>
      </c>
      <c r="JJA53" s="5">
        <f>-IFERROR('4. NPV'!JJB23/'4. NPV'!JJB$8,0)</f>
        <v>-0.0</v>
      </c>
      <c r="JJB53" s="5">
        <f>-IFERROR('4. NPV'!JJC23/'4. NPV'!JJC$8,0)</f>
        <v>-0.0</v>
      </c>
      <c r="JJC53" s="5">
        <f>-IFERROR('4. NPV'!JJD23/'4. NPV'!JJD$8,0)</f>
        <v>-0.0</v>
      </c>
      <c r="JJD53" s="5">
        <f>-IFERROR('4. NPV'!JJE23/'4. NPV'!JJE$8,0)</f>
        <v>-0.0</v>
      </c>
      <c r="JJE53" s="5">
        <f>-IFERROR('4. NPV'!JJF23/'4. NPV'!JJF$8,0)</f>
        <v>-0.0</v>
      </c>
      <c r="JJF53" s="5">
        <f>-IFERROR('4. NPV'!JJG23/'4. NPV'!JJG$8,0)</f>
        <v>-0.0</v>
      </c>
      <c r="JJG53" s="5">
        <f>-IFERROR('4. NPV'!JJH23/'4. NPV'!JJH$8,0)</f>
        <v>-0.0</v>
      </c>
      <c r="JJH53" s="5">
        <f>-IFERROR('4. NPV'!JJI23/'4. NPV'!JJI$8,0)</f>
        <v>-0.0</v>
      </c>
      <c r="JJI53" s="5">
        <f>-IFERROR('4. NPV'!JJJ23/'4. NPV'!JJJ$8,0)</f>
        <v>-0.0</v>
      </c>
      <c r="JJJ53" s="5">
        <f>-IFERROR('4. NPV'!JJK23/'4. NPV'!JJK$8,0)</f>
        <v>-0.0</v>
      </c>
      <c r="JJK53" s="5">
        <f>-IFERROR('4. NPV'!JJL23/'4. NPV'!JJL$8,0)</f>
        <v>-0.0</v>
      </c>
      <c r="JJL53" s="5">
        <f>-IFERROR('4. NPV'!JJM23/'4. NPV'!JJM$8,0)</f>
        <v>-0.0</v>
      </c>
      <c r="JJM53" s="5">
        <f>-IFERROR('4. NPV'!JJN23/'4. NPV'!JJN$8,0)</f>
        <v>-0.0</v>
      </c>
      <c r="JJN53" s="5">
        <f>-IFERROR('4. NPV'!JJO23/'4. NPV'!JJO$8,0)</f>
        <v>-0.0</v>
      </c>
      <c r="JJO53" s="5">
        <f>-IFERROR('4. NPV'!JJP23/'4. NPV'!JJP$8,0)</f>
        <v>-0.0</v>
      </c>
      <c r="JJP53" s="5">
        <f>-IFERROR('4. NPV'!JJQ23/'4. NPV'!JJQ$8,0)</f>
        <v>-0.0</v>
      </c>
      <c r="JJQ53" s="5">
        <f>-IFERROR('4. NPV'!JJR23/'4. NPV'!JJR$8,0)</f>
        <v>-0.0</v>
      </c>
      <c r="JJR53" s="5">
        <f>-IFERROR('4. NPV'!JJS23/'4. NPV'!JJS$8,0)</f>
        <v>-0.0</v>
      </c>
      <c r="JJS53" s="5">
        <f>-IFERROR('4. NPV'!JJT23/'4. NPV'!JJT$8,0)</f>
        <v>-0.0</v>
      </c>
      <c r="JJT53" s="5">
        <f>-IFERROR('4. NPV'!JJU23/'4. NPV'!JJU$8,0)</f>
        <v>-0.0</v>
      </c>
      <c r="JJU53" s="5">
        <f>-IFERROR('4. NPV'!JJV23/'4. NPV'!JJV$8,0)</f>
        <v>-0.0</v>
      </c>
      <c r="JJV53" s="5">
        <f>-IFERROR('4. NPV'!JJW23/'4. NPV'!JJW$8,0)</f>
        <v>-0.0</v>
      </c>
      <c r="JJW53" s="5">
        <f>-IFERROR('4. NPV'!JJX23/'4. NPV'!JJX$8,0)</f>
        <v>-0.0</v>
      </c>
      <c r="JJX53" s="5">
        <f>-IFERROR('4. NPV'!JJY23/'4. NPV'!JJY$8,0)</f>
        <v>-0.0</v>
      </c>
      <c r="JJY53" s="5">
        <f>-IFERROR('4. NPV'!JJZ23/'4. NPV'!JJZ$8,0)</f>
        <v>-0.0</v>
      </c>
      <c r="JJZ53" s="5">
        <f>-IFERROR('4. NPV'!JKA23/'4. NPV'!JKA$8,0)</f>
        <v>-0.0</v>
      </c>
      <c r="JKA53" s="5">
        <f>-IFERROR('4. NPV'!JKB23/'4. NPV'!JKB$8,0)</f>
        <v>-0.0</v>
      </c>
      <c r="JKB53" s="5">
        <f>-IFERROR('4. NPV'!JKC23/'4. NPV'!JKC$8,0)</f>
        <v>-0.0</v>
      </c>
      <c r="JKC53" s="5">
        <f>-IFERROR('4. NPV'!JKD23/'4. NPV'!JKD$8,0)</f>
        <v>-0.0</v>
      </c>
      <c r="JKD53" s="5">
        <f>-IFERROR('4. NPV'!JKE23/'4. NPV'!JKE$8,0)</f>
        <v>-0.0</v>
      </c>
      <c r="JKE53" s="5">
        <f>-IFERROR('4. NPV'!JKF23/'4. NPV'!JKF$8,0)</f>
        <v>-0.0</v>
      </c>
      <c r="JKF53" s="5">
        <f>-IFERROR('4. NPV'!JKG23/'4. NPV'!JKG$8,0)</f>
        <v>-0.0</v>
      </c>
      <c r="JKG53" s="5">
        <f>-IFERROR('4. NPV'!JKH23/'4. NPV'!JKH$8,0)</f>
        <v>-0.0</v>
      </c>
      <c r="JKH53" s="5">
        <f>-IFERROR('4. NPV'!JKI23/'4. NPV'!JKI$8,0)</f>
        <v>-0.0</v>
      </c>
      <c r="JKI53" s="5">
        <f>-IFERROR('4. NPV'!JKJ23/'4. NPV'!JKJ$8,0)</f>
        <v>-0.0</v>
      </c>
      <c r="JKJ53" s="5">
        <f>-IFERROR('4. NPV'!JKK23/'4. NPV'!JKK$8,0)</f>
        <v>-0.0</v>
      </c>
      <c r="JKK53" s="5">
        <f>-IFERROR('4. NPV'!JKL23/'4. NPV'!JKL$8,0)</f>
        <v>-0.0</v>
      </c>
      <c r="JKL53" s="5">
        <f>-IFERROR('4. NPV'!JKM23/'4. NPV'!JKM$8,0)</f>
        <v>-0.0</v>
      </c>
      <c r="JKM53" s="5">
        <f>-IFERROR('4. NPV'!JKN23/'4. NPV'!JKN$8,0)</f>
        <v>-0.0</v>
      </c>
      <c r="JKN53" s="5">
        <f>-IFERROR('4. NPV'!JKO23/'4. NPV'!JKO$8,0)</f>
        <v>-0.0</v>
      </c>
      <c r="JKO53" s="5">
        <f>-IFERROR('4. NPV'!JKP23/'4. NPV'!JKP$8,0)</f>
        <v>-0.0</v>
      </c>
      <c r="JKP53" s="5">
        <f>-IFERROR('4. NPV'!JKQ23/'4. NPV'!JKQ$8,0)</f>
        <v>-0.0</v>
      </c>
      <c r="JKQ53" s="5">
        <f>-IFERROR('4. NPV'!JKR23/'4. NPV'!JKR$8,0)</f>
        <v>-0.0</v>
      </c>
      <c r="JKR53" s="5">
        <f>-IFERROR('4. NPV'!JKS23/'4. NPV'!JKS$8,0)</f>
        <v>-0.0</v>
      </c>
      <c r="JKS53" s="5">
        <f>-IFERROR('4. NPV'!JKT23/'4. NPV'!JKT$8,0)</f>
        <v>-0.0</v>
      </c>
      <c r="JKT53" s="5">
        <f>-IFERROR('4. NPV'!JKU23/'4. NPV'!JKU$8,0)</f>
        <v>-0.0</v>
      </c>
      <c r="JKU53" s="5">
        <f>-IFERROR('4. NPV'!JKV23/'4. NPV'!JKV$8,0)</f>
        <v>-0.0</v>
      </c>
      <c r="JKV53" s="5">
        <f>-IFERROR('4. NPV'!JKW23/'4. NPV'!JKW$8,0)</f>
        <v>-0.0</v>
      </c>
      <c r="JKW53" s="5">
        <f>-IFERROR('4. NPV'!JKX23/'4. NPV'!JKX$8,0)</f>
        <v>-0.0</v>
      </c>
      <c r="JKX53" s="5">
        <f>-IFERROR('4. NPV'!JKY23/'4. NPV'!JKY$8,0)</f>
        <v>-0.0</v>
      </c>
      <c r="JKY53" s="5">
        <f>-IFERROR('4. NPV'!JKZ23/'4. NPV'!JKZ$8,0)</f>
        <v>-0.0</v>
      </c>
      <c r="JKZ53" s="5">
        <f>-IFERROR('4. NPV'!JLA23/'4. NPV'!JLA$8,0)</f>
        <v>-0.0</v>
      </c>
      <c r="JLA53" s="5">
        <f>-IFERROR('4. NPV'!JLB23/'4. NPV'!JLB$8,0)</f>
        <v>-0.0</v>
      </c>
      <c r="JLB53" s="5">
        <f>-IFERROR('4. NPV'!JLC23/'4. NPV'!JLC$8,0)</f>
        <v>-0.0</v>
      </c>
      <c r="JLC53" s="5">
        <f>-IFERROR('4. NPV'!JLD23/'4. NPV'!JLD$8,0)</f>
        <v>-0.0</v>
      </c>
      <c r="JLD53" s="5">
        <f>-IFERROR('4. NPV'!JLE23/'4. NPV'!JLE$8,0)</f>
        <v>-0.0</v>
      </c>
      <c r="JLE53" s="5">
        <f>-IFERROR('4. NPV'!JLF23/'4. NPV'!JLF$8,0)</f>
        <v>-0.0</v>
      </c>
      <c r="JLF53" s="5">
        <f>-IFERROR('4. NPV'!JLG23/'4. NPV'!JLG$8,0)</f>
        <v>-0.0</v>
      </c>
      <c r="JLG53" s="5">
        <f>-IFERROR('4. NPV'!JLH23/'4. NPV'!JLH$8,0)</f>
        <v>-0.0</v>
      </c>
      <c r="JLH53" s="5">
        <f>-IFERROR('4. NPV'!JLI23/'4. NPV'!JLI$8,0)</f>
        <v>-0.0</v>
      </c>
      <c r="JLI53" s="5">
        <f>-IFERROR('4. NPV'!JLJ23/'4. NPV'!JLJ$8,0)</f>
        <v>-0.0</v>
      </c>
      <c r="JLJ53" s="5">
        <f>-IFERROR('4. NPV'!JLK23/'4. NPV'!JLK$8,0)</f>
        <v>-0.0</v>
      </c>
      <c r="JLK53" s="5">
        <f>-IFERROR('4. NPV'!JLL23/'4. NPV'!JLL$8,0)</f>
        <v>-0.0</v>
      </c>
      <c r="JLL53" s="5">
        <f>-IFERROR('4. NPV'!JLM23/'4. NPV'!JLM$8,0)</f>
        <v>-0.0</v>
      </c>
      <c r="JLM53" s="5">
        <f>-IFERROR('4. NPV'!JLN23/'4. NPV'!JLN$8,0)</f>
        <v>-0.0</v>
      </c>
      <c r="JLN53" s="5">
        <f>-IFERROR('4. NPV'!JLO23/'4. NPV'!JLO$8,0)</f>
        <v>-0.0</v>
      </c>
      <c r="JLO53" s="5">
        <f>-IFERROR('4. NPV'!JLP23/'4. NPV'!JLP$8,0)</f>
        <v>-0.0</v>
      </c>
      <c r="JLP53" s="5">
        <f>-IFERROR('4. NPV'!JLQ23/'4. NPV'!JLQ$8,0)</f>
        <v>-0.0</v>
      </c>
      <c r="JLQ53" s="5">
        <f>-IFERROR('4. NPV'!JLR23/'4. NPV'!JLR$8,0)</f>
        <v>-0.0</v>
      </c>
      <c r="JLR53" s="5">
        <f>-IFERROR('4. NPV'!JLS23/'4. NPV'!JLS$8,0)</f>
        <v>-0.0</v>
      </c>
      <c r="JLS53" s="5">
        <f>-IFERROR('4. NPV'!JLT23/'4. NPV'!JLT$8,0)</f>
        <v>-0.0</v>
      </c>
      <c r="JLT53" s="5">
        <f>-IFERROR('4. NPV'!JLU23/'4. NPV'!JLU$8,0)</f>
        <v>-0.0</v>
      </c>
      <c r="JLU53" s="5">
        <f>-IFERROR('4. NPV'!JLV23/'4. NPV'!JLV$8,0)</f>
        <v>-0.0</v>
      </c>
      <c r="JLV53" s="5">
        <f>-IFERROR('4. NPV'!JLW23/'4. NPV'!JLW$8,0)</f>
        <v>-0.0</v>
      </c>
      <c r="JLW53" s="5">
        <f>-IFERROR('4. NPV'!JLX23/'4. NPV'!JLX$8,0)</f>
        <v>-0.0</v>
      </c>
      <c r="JLX53" s="5">
        <f>-IFERROR('4. NPV'!JLY23/'4. NPV'!JLY$8,0)</f>
        <v>-0.0</v>
      </c>
      <c r="JLY53" s="5">
        <f>-IFERROR('4. NPV'!JLZ23/'4. NPV'!JLZ$8,0)</f>
        <v>-0.0</v>
      </c>
      <c r="JLZ53" s="5">
        <f>-IFERROR('4. NPV'!JMA23/'4. NPV'!JMA$8,0)</f>
        <v>-0.0</v>
      </c>
      <c r="JMA53" s="5">
        <f>-IFERROR('4. NPV'!JMB23/'4. NPV'!JMB$8,0)</f>
        <v>-0.0</v>
      </c>
      <c r="JMB53" s="5">
        <f>-IFERROR('4. NPV'!JMC23/'4. NPV'!JMC$8,0)</f>
        <v>-0.0</v>
      </c>
      <c r="JMC53" s="5">
        <f>-IFERROR('4. NPV'!JMD23/'4. NPV'!JMD$8,0)</f>
        <v>-0.0</v>
      </c>
      <c r="JMD53" s="5">
        <f>-IFERROR('4. NPV'!JME23/'4. NPV'!JME$8,0)</f>
        <v>-0.0</v>
      </c>
      <c r="JME53" s="5">
        <f>-IFERROR('4. NPV'!JMF23/'4. NPV'!JMF$8,0)</f>
        <v>-0.0</v>
      </c>
      <c r="JMF53" s="5">
        <f>-IFERROR('4. NPV'!JMG23/'4. NPV'!JMG$8,0)</f>
        <v>-0.0</v>
      </c>
      <c r="JMG53" s="5">
        <f>-IFERROR('4. NPV'!JMH23/'4. NPV'!JMH$8,0)</f>
        <v>-0.0</v>
      </c>
      <c r="JMH53" s="5">
        <f>-IFERROR('4. NPV'!JMI23/'4. NPV'!JMI$8,0)</f>
        <v>-0.0</v>
      </c>
      <c r="JMI53" s="5">
        <f>-IFERROR('4. NPV'!JMJ23/'4. NPV'!JMJ$8,0)</f>
        <v>-0.0</v>
      </c>
      <c r="JMJ53" s="5">
        <f>-IFERROR('4. NPV'!JMK23/'4. NPV'!JMK$8,0)</f>
        <v>-0.0</v>
      </c>
      <c r="JMK53" s="5">
        <f>-IFERROR('4. NPV'!JML23/'4. NPV'!JML$8,0)</f>
        <v>-0.0</v>
      </c>
      <c r="JML53" s="5">
        <f>-IFERROR('4. NPV'!JMM23/'4. NPV'!JMM$8,0)</f>
        <v>-0.0</v>
      </c>
      <c r="JMM53" s="5">
        <f>-IFERROR('4. NPV'!JMN23/'4. NPV'!JMN$8,0)</f>
        <v>-0.0</v>
      </c>
      <c r="JMN53" s="5">
        <f>-IFERROR('4. NPV'!JMO23/'4. NPV'!JMO$8,0)</f>
        <v>-0.0</v>
      </c>
      <c r="JMO53" s="5">
        <f>-IFERROR('4. NPV'!JMP23/'4. NPV'!JMP$8,0)</f>
        <v>-0.0</v>
      </c>
      <c r="JMP53" s="5">
        <f>-IFERROR('4. NPV'!JMQ23/'4. NPV'!JMQ$8,0)</f>
        <v>-0.0</v>
      </c>
      <c r="JMQ53" s="5">
        <f>-IFERROR('4. NPV'!JMR23/'4. NPV'!JMR$8,0)</f>
        <v>-0.0</v>
      </c>
      <c r="JMR53" s="5">
        <f>-IFERROR('4. NPV'!JMS23/'4. NPV'!JMS$8,0)</f>
        <v>-0.0</v>
      </c>
      <c r="JMS53" s="5">
        <f>-IFERROR('4. NPV'!JMT23/'4. NPV'!JMT$8,0)</f>
        <v>-0.0</v>
      </c>
      <c r="JMT53" s="5">
        <f>-IFERROR('4. NPV'!JMU23/'4. NPV'!JMU$8,0)</f>
        <v>-0.0</v>
      </c>
      <c r="JMU53" s="5">
        <f>-IFERROR('4. NPV'!JMV23/'4. NPV'!JMV$8,0)</f>
        <v>-0.0</v>
      </c>
      <c r="JMV53" s="5">
        <f>-IFERROR('4. NPV'!JMW23/'4. NPV'!JMW$8,0)</f>
        <v>-0.0</v>
      </c>
      <c r="JMW53" s="5">
        <f>-IFERROR('4. NPV'!JMX23/'4. NPV'!JMX$8,0)</f>
        <v>-0.0</v>
      </c>
      <c r="JMX53" s="5">
        <f>-IFERROR('4. NPV'!JMY23/'4. NPV'!JMY$8,0)</f>
        <v>-0.0</v>
      </c>
      <c r="JMY53" s="5">
        <f>-IFERROR('4. NPV'!JMZ23/'4. NPV'!JMZ$8,0)</f>
        <v>-0.0</v>
      </c>
      <c r="JMZ53" s="5">
        <f>-IFERROR('4. NPV'!JNA23/'4. NPV'!JNA$8,0)</f>
        <v>-0.0</v>
      </c>
      <c r="JNA53" s="5">
        <f>-IFERROR('4. NPV'!JNB23/'4. NPV'!JNB$8,0)</f>
        <v>-0.0</v>
      </c>
      <c r="JNB53" s="5">
        <f>-IFERROR('4. NPV'!JNC23/'4. NPV'!JNC$8,0)</f>
        <v>-0.0</v>
      </c>
      <c r="JNC53" s="5">
        <f>-IFERROR('4. NPV'!JND23/'4. NPV'!JND$8,0)</f>
        <v>-0.0</v>
      </c>
      <c r="JND53" s="5">
        <f>-IFERROR('4. NPV'!JNE23/'4. NPV'!JNE$8,0)</f>
        <v>-0.0</v>
      </c>
      <c r="JNE53" s="5">
        <f>-IFERROR('4. NPV'!JNF23/'4. NPV'!JNF$8,0)</f>
        <v>-0.0</v>
      </c>
      <c r="JNF53" s="5">
        <f>-IFERROR('4. NPV'!JNG23/'4. NPV'!JNG$8,0)</f>
        <v>-0.0</v>
      </c>
      <c r="JNG53" s="5">
        <f>-IFERROR('4. NPV'!JNH23/'4. NPV'!JNH$8,0)</f>
        <v>-0.0</v>
      </c>
      <c r="JNH53" s="5">
        <f>-IFERROR('4. NPV'!JNI23/'4. NPV'!JNI$8,0)</f>
        <v>-0.0</v>
      </c>
      <c r="JNI53" s="5">
        <f>-IFERROR('4. NPV'!JNJ23/'4. NPV'!JNJ$8,0)</f>
        <v>-0.0</v>
      </c>
      <c r="JNJ53" s="5">
        <f>-IFERROR('4. NPV'!JNK23/'4. NPV'!JNK$8,0)</f>
        <v>-0.0</v>
      </c>
      <c r="JNK53" s="5">
        <f>-IFERROR('4. NPV'!JNL23/'4. NPV'!JNL$8,0)</f>
        <v>-0.0</v>
      </c>
      <c r="JNL53" s="5">
        <f>-IFERROR('4. NPV'!JNM23/'4. NPV'!JNM$8,0)</f>
        <v>-0.0</v>
      </c>
      <c r="JNM53" s="5">
        <f>-IFERROR('4. NPV'!JNN23/'4. NPV'!JNN$8,0)</f>
        <v>-0.0</v>
      </c>
      <c r="JNN53" s="5">
        <f>-IFERROR('4. NPV'!JNO23/'4. NPV'!JNO$8,0)</f>
        <v>-0.0</v>
      </c>
      <c r="JNO53" s="5">
        <f>-IFERROR('4. NPV'!JNP23/'4. NPV'!JNP$8,0)</f>
        <v>-0.0</v>
      </c>
      <c r="JNP53" s="5">
        <f>-IFERROR('4. NPV'!JNQ23/'4. NPV'!JNQ$8,0)</f>
        <v>-0.0</v>
      </c>
      <c r="JNQ53" s="5">
        <f>-IFERROR('4. NPV'!JNR23/'4. NPV'!JNR$8,0)</f>
        <v>-0.0</v>
      </c>
      <c r="JNR53" s="5">
        <f>-IFERROR('4. NPV'!JNS23/'4. NPV'!JNS$8,0)</f>
        <v>-0.0</v>
      </c>
      <c r="JNS53" s="5">
        <f>-IFERROR('4. NPV'!JNT23/'4. NPV'!JNT$8,0)</f>
        <v>-0.0</v>
      </c>
      <c r="JNT53" s="5">
        <f>-IFERROR('4. NPV'!JNU23/'4. NPV'!JNU$8,0)</f>
        <v>-0.0</v>
      </c>
      <c r="JNU53" s="5">
        <f>-IFERROR('4. NPV'!JNV23/'4. NPV'!JNV$8,0)</f>
        <v>-0.0</v>
      </c>
      <c r="JNV53" s="5">
        <f>-IFERROR('4. NPV'!JNW23/'4. NPV'!JNW$8,0)</f>
        <v>-0.0</v>
      </c>
      <c r="JNW53" s="5">
        <f>-IFERROR('4. NPV'!JNX23/'4. NPV'!JNX$8,0)</f>
        <v>-0.0</v>
      </c>
      <c r="JNX53" s="5">
        <f>-IFERROR('4. NPV'!JNY23/'4. NPV'!JNY$8,0)</f>
        <v>-0.0</v>
      </c>
      <c r="JNY53" s="5">
        <f>-IFERROR('4. NPV'!JNZ23/'4. NPV'!JNZ$8,0)</f>
        <v>-0.0</v>
      </c>
      <c r="JNZ53" s="5">
        <f>-IFERROR('4. NPV'!JOA23/'4. NPV'!JOA$8,0)</f>
        <v>-0.0</v>
      </c>
      <c r="JOA53" s="5">
        <f>-IFERROR('4. NPV'!JOB23/'4. NPV'!JOB$8,0)</f>
        <v>-0.0</v>
      </c>
      <c r="JOB53" s="5">
        <f>-IFERROR('4. NPV'!JOC23/'4. NPV'!JOC$8,0)</f>
        <v>-0.0</v>
      </c>
      <c r="JOC53" s="5">
        <f>-IFERROR('4. NPV'!JOD23/'4. NPV'!JOD$8,0)</f>
        <v>-0.0</v>
      </c>
      <c r="JOD53" s="5">
        <f>-IFERROR('4. NPV'!JOE23/'4. NPV'!JOE$8,0)</f>
        <v>-0.0</v>
      </c>
      <c r="JOE53" s="5">
        <f>-IFERROR('4. NPV'!JOF23/'4. NPV'!JOF$8,0)</f>
        <v>-0.0</v>
      </c>
      <c r="JOF53" s="5">
        <f>-IFERROR('4. NPV'!JOG23/'4. NPV'!JOG$8,0)</f>
        <v>-0.0</v>
      </c>
      <c r="JOG53" s="5">
        <f>-IFERROR('4. NPV'!JOH23/'4. NPV'!JOH$8,0)</f>
        <v>-0.0</v>
      </c>
      <c r="JOH53" s="5">
        <f>-IFERROR('4. NPV'!JOI23/'4. NPV'!JOI$8,0)</f>
        <v>-0.0</v>
      </c>
      <c r="JOI53" s="5">
        <f>-IFERROR('4. NPV'!JOJ23/'4. NPV'!JOJ$8,0)</f>
        <v>-0.0</v>
      </c>
      <c r="JOJ53" s="5">
        <f>-IFERROR('4. NPV'!JOK23/'4. NPV'!JOK$8,0)</f>
        <v>-0.0</v>
      </c>
      <c r="JOK53" s="5">
        <f>-IFERROR('4. NPV'!JOL23/'4. NPV'!JOL$8,0)</f>
        <v>-0.0</v>
      </c>
      <c r="JOL53" s="5">
        <f>-IFERROR('4. NPV'!JOM23/'4. NPV'!JOM$8,0)</f>
        <v>-0.0</v>
      </c>
      <c r="JOM53" s="5">
        <f>-IFERROR('4. NPV'!JON23/'4. NPV'!JON$8,0)</f>
        <v>-0.0</v>
      </c>
      <c r="JON53" s="5">
        <f>-IFERROR('4. NPV'!JOO23/'4. NPV'!JOO$8,0)</f>
        <v>-0.0</v>
      </c>
      <c r="JOO53" s="5">
        <f>-IFERROR('4. NPV'!JOP23/'4. NPV'!JOP$8,0)</f>
        <v>-0.0</v>
      </c>
      <c r="JOP53" s="5">
        <f>-IFERROR('4. NPV'!JOQ23/'4. NPV'!JOQ$8,0)</f>
        <v>-0.0</v>
      </c>
      <c r="JOQ53" s="5">
        <f>-IFERROR('4. NPV'!JOR23/'4. NPV'!JOR$8,0)</f>
        <v>-0.0</v>
      </c>
      <c r="JOR53" s="5">
        <f>-IFERROR('4. NPV'!JOS23/'4. NPV'!JOS$8,0)</f>
        <v>-0.0</v>
      </c>
      <c r="JOS53" s="5">
        <f>-IFERROR('4. NPV'!JOT23/'4. NPV'!JOT$8,0)</f>
        <v>-0.0</v>
      </c>
      <c r="JOT53" s="5">
        <f>-IFERROR('4. NPV'!JOU23/'4. NPV'!JOU$8,0)</f>
        <v>-0.0</v>
      </c>
      <c r="JOU53" s="5">
        <f>-IFERROR('4. NPV'!JOV23/'4. NPV'!JOV$8,0)</f>
        <v>-0.0</v>
      </c>
      <c r="JOV53" s="5">
        <f>-IFERROR('4. NPV'!JOW23/'4. NPV'!JOW$8,0)</f>
        <v>-0.0</v>
      </c>
      <c r="JOW53" s="5">
        <f>-IFERROR('4. NPV'!JOX23/'4. NPV'!JOX$8,0)</f>
        <v>-0.0</v>
      </c>
      <c r="JOX53" s="5">
        <f>-IFERROR('4. NPV'!JOY23/'4. NPV'!JOY$8,0)</f>
        <v>-0.0</v>
      </c>
      <c r="JOY53" s="5">
        <f>-IFERROR('4. NPV'!JOZ23/'4. NPV'!JOZ$8,0)</f>
        <v>-0.0</v>
      </c>
      <c r="JOZ53" s="5">
        <f>-IFERROR('4. NPV'!JPA23/'4. NPV'!JPA$8,0)</f>
        <v>-0.0</v>
      </c>
      <c r="JPA53" s="5">
        <f>-IFERROR('4. NPV'!JPB23/'4. NPV'!JPB$8,0)</f>
        <v>-0.0</v>
      </c>
      <c r="JPB53" s="5">
        <f>-IFERROR('4. NPV'!JPC23/'4. NPV'!JPC$8,0)</f>
        <v>-0.0</v>
      </c>
      <c r="JPC53" s="5">
        <f>-IFERROR('4. NPV'!JPD23/'4. NPV'!JPD$8,0)</f>
        <v>-0.0</v>
      </c>
      <c r="JPD53" s="5">
        <f>-IFERROR('4. NPV'!JPE23/'4. NPV'!JPE$8,0)</f>
        <v>-0.0</v>
      </c>
      <c r="JPE53" s="5">
        <f>-IFERROR('4. NPV'!JPF23/'4. NPV'!JPF$8,0)</f>
        <v>-0.0</v>
      </c>
      <c r="JPF53" s="5">
        <f>-IFERROR('4. NPV'!JPG23/'4. NPV'!JPG$8,0)</f>
        <v>-0.0</v>
      </c>
      <c r="JPG53" s="5">
        <f>-IFERROR('4. NPV'!JPH23/'4. NPV'!JPH$8,0)</f>
        <v>-0.0</v>
      </c>
      <c r="JPH53" s="5">
        <f>-IFERROR('4. NPV'!JPI23/'4. NPV'!JPI$8,0)</f>
        <v>-0.0</v>
      </c>
      <c r="JPI53" s="5">
        <f>-IFERROR('4. NPV'!JPJ23/'4. NPV'!JPJ$8,0)</f>
        <v>-0.0</v>
      </c>
      <c r="JPJ53" s="5">
        <f>-IFERROR('4. NPV'!JPK23/'4. NPV'!JPK$8,0)</f>
        <v>-0.0</v>
      </c>
      <c r="JPK53" s="5">
        <f>-IFERROR('4. NPV'!JPL23/'4. NPV'!JPL$8,0)</f>
        <v>-0.0</v>
      </c>
      <c r="JPL53" s="5">
        <f>-IFERROR('4. NPV'!JPM23/'4. NPV'!JPM$8,0)</f>
        <v>-0.0</v>
      </c>
      <c r="JPM53" s="5">
        <f>-IFERROR('4. NPV'!JPN23/'4. NPV'!JPN$8,0)</f>
        <v>-0.0</v>
      </c>
      <c r="JPN53" s="5">
        <f>-IFERROR('4. NPV'!JPO23/'4. NPV'!JPO$8,0)</f>
        <v>-0.0</v>
      </c>
      <c r="JPO53" s="5">
        <f>-IFERROR('4. NPV'!JPP23/'4. NPV'!JPP$8,0)</f>
        <v>-0.0</v>
      </c>
      <c r="JPP53" s="5">
        <f>-IFERROR('4. NPV'!JPQ23/'4. NPV'!JPQ$8,0)</f>
        <v>-0.0</v>
      </c>
      <c r="JPQ53" s="5">
        <f>-IFERROR('4. NPV'!JPR23/'4. NPV'!JPR$8,0)</f>
        <v>-0.0</v>
      </c>
      <c r="JPR53" s="5">
        <f>-IFERROR('4. NPV'!JPS23/'4. NPV'!JPS$8,0)</f>
        <v>-0.0</v>
      </c>
      <c r="JPS53" s="5">
        <f>-IFERROR('4. NPV'!JPT23/'4. NPV'!JPT$8,0)</f>
        <v>-0.0</v>
      </c>
      <c r="JPT53" s="5">
        <f>-IFERROR('4. NPV'!JPU23/'4. NPV'!JPU$8,0)</f>
        <v>-0.0</v>
      </c>
      <c r="JPU53" s="5">
        <f>-IFERROR('4. NPV'!JPV23/'4. NPV'!JPV$8,0)</f>
        <v>-0.0</v>
      </c>
      <c r="JPV53" s="5">
        <f>-IFERROR('4. NPV'!JPW23/'4. NPV'!JPW$8,0)</f>
        <v>-0.0</v>
      </c>
      <c r="JPW53" s="5">
        <f>-IFERROR('4. NPV'!JPX23/'4. NPV'!JPX$8,0)</f>
        <v>-0.0</v>
      </c>
      <c r="JPX53" s="5">
        <f>-IFERROR('4. NPV'!JPY23/'4. NPV'!JPY$8,0)</f>
        <v>-0.0</v>
      </c>
      <c r="JPY53" s="5">
        <f>-IFERROR('4. NPV'!JPZ23/'4. NPV'!JPZ$8,0)</f>
        <v>-0.0</v>
      </c>
      <c r="JPZ53" s="5">
        <f>-IFERROR('4. NPV'!JQA23/'4. NPV'!JQA$8,0)</f>
        <v>-0.0</v>
      </c>
      <c r="JQA53" s="5">
        <f>-IFERROR('4. NPV'!JQB23/'4. NPV'!JQB$8,0)</f>
        <v>-0.0</v>
      </c>
      <c r="JQB53" s="5">
        <f>-IFERROR('4. NPV'!JQC23/'4. NPV'!JQC$8,0)</f>
        <v>-0.0</v>
      </c>
      <c r="JQC53" s="5">
        <f>-IFERROR('4. NPV'!JQD23/'4. NPV'!JQD$8,0)</f>
        <v>-0.0</v>
      </c>
      <c r="JQD53" s="5">
        <f>-IFERROR('4. NPV'!JQE23/'4. NPV'!JQE$8,0)</f>
        <v>-0.0</v>
      </c>
      <c r="JQE53" s="5">
        <f>-IFERROR('4. NPV'!JQF23/'4. NPV'!JQF$8,0)</f>
        <v>-0.0</v>
      </c>
      <c r="JQF53" s="5">
        <f>-IFERROR('4. NPV'!JQG23/'4. NPV'!JQG$8,0)</f>
        <v>-0.0</v>
      </c>
      <c r="JQG53" s="5">
        <f>-IFERROR('4. NPV'!JQH23/'4. NPV'!JQH$8,0)</f>
        <v>-0.0</v>
      </c>
      <c r="JQH53" s="5">
        <f>-IFERROR('4. NPV'!JQI23/'4. NPV'!JQI$8,0)</f>
        <v>-0.0</v>
      </c>
      <c r="JQI53" s="5">
        <f>-IFERROR('4. NPV'!JQJ23/'4. NPV'!JQJ$8,0)</f>
        <v>-0.0</v>
      </c>
      <c r="JQJ53" s="5">
        <f>-IFERROR('4. NPV'!JQK23/'4. NPV'!JQK$8,0)</f>
        <v>-0.0</v>
      </c>
      <c r="JQK53" s="5">
        <f>-IFERROR('4. NPV'!JQL23/'4. NPV'!JQL$8,0)</f>
        <v>-0.0</v>
      </c>
      <c r="JQL53" s="5">
        <f>-IFERROR('4. NPV'!JQM23/'4. NPV'!JQM$8,0)</f>
        <v>-0.0</v>
      </c>
      <c r="JQM53" s="5">
        <f>-IFERROR('4. NPV'!JQN23/'4. NPV'!JQN$8,0)</f>
        <v>-0.0</v>
      </c>
      <c r="JQN53" s="5">
        <f>-IFERROR('4. NPV'!JQO23/'4. NPV'!JQO$8,0)</f>
        <v>-0.0</v>
      </c>
      <c r="JQO53" s="5">
        <f>-IFERROR('4. NPV'!JQP23/'4. NPV'!JQP$8,0)</f>
        <v>-0.0</v>
      </c>
      <c r="JQP53" s="5">
        <f>-IFERROR('4. NPV'!JQQ23/'4. NPV'!JQQ$8,0)</f>
        <v>-0.0</v>
      </c>
      <c r="JQQ53" s="5">
        <f>-IFERROR('4. NPV'!JQR23/'4. NPV'!JQR$8,0)</f>
        <v>-0.0</v>
      </c>
      <c r="JQR53" s="5">
        <f>-IFERROR('4. NPV'!JQS23/'4. NPV'!JQS$8,0)</f>
        <v>-0.0</v>
      </c>
      <c r="JQS53" s="5">
        <f>-IFERROR('4. NPV'!JQT23/'4. NPV'!JQT$8,0)</f>
        <v>-0.0</v>
      </c>
      <c r="JQT53" s="5">
        <f>-IFERROR('4. NPV'!JQU23/'4. NPV'!JQU$8,0)</f>
        <v>-0.0</v>
      </c>
      <c r="JQU53" s="5">
        <f>-IFERROR('4. NPV'!JQV23/'4. NPV'!JQV$8,0)</f>
        <v>-0.0</v>
      </c>
      <c r="JQV53" s="5">
        <f>-IFERROR('4. NPV'!JQW23/'4. NPV'!JQW$8,0)</f>
        <v>-0.0</v>
      </c>
      <c r="JQW53" s="5">
        <f>-IFERROR('4. NPV'!JQX23/'4. NPV'!JQX$8,0)</f>
        <v>-0.0</v>
      </c>
      <c r="JQX53" s="5">
        <f>-IFERROR('4. NPV'!JQY23/'4. NPV'!JQY$8,0)</f>
        <v>-0.0</v>
      </c>
      <c r="JQY53" s="5">
        <f>-IFERROR('4. NPV'!JQZ23/'4. NPV'!JQZ$8,0)</f>
        <v>-0.0</v>
      </c>
      <c r="JQZ53" s="5">
        <f>-IFERROR('4. NPV'!JRA23/'4. NPV'!JRA$8,0)</f>
        <v>-0.0</v>
      </c>
      <c r="JRA53" s="5">
        <f>-IFERROR('4. NPV'!JRB23/'4. NPV'!JRB$8,0)</f>
        <v>-0.0</v>
      </c>
      <c r="JRB53" s="5">
        <f>-IFERROR('4. NPV'!JRC23/'4. NPV'!JRC$8,0)</f>
        <v>-0.0</v>
      </c>
      <c r="JRC53" s="5">
        <f>-IFERROR('4. NPV'!JRD23/'4. NPV'!JRD$8,0)</f>
        <v>-0.0</v>
      </c>
      <c r="JRD53" s="5">
        <f>-IFERROR('4. NPV'!JRE23/'4. NPV'!JRE$8,0)</f>
        <v>-0.0</v>
      </c>
      <c r="JRE53" s="5">
        <f>-IFERROR('4. NPV'!JRF23/'4. NPV'!JRF$8,0)</f>
        <v>-0.0</v>
      </c>
      <c r="JRF53" s="5">
        <f>-IFERROR('4. NPV'!JRG23/'4. NPV'!JRG$8,0)</f>
        <v>-0.0</v>
      </c>
      <c r="JRG53" s="5">
        <f>-IFERROR('4. NPV'!JRH23/'4. NPV'!JRH$8,0)</f>
        <v>-0.0</v>
      </c>
      <c r="JRH53" s="5">
        <f>-IFERROR('4. NPV'!JRI23/'4. NPV'!JRI$8,0)</f>
        <v>-0.0</v>
      </c>
      <c r="JRI53" s="5">
        <f>-IFERROR('4. NPV'!JRJ23/'4. NPV'!JRJ$8,0)</f>
        <v>-0.0</v>
      </c>
      <c r="JRJ53" s="5">
        <f>-IFERROR('4. NPV'!JRK23/'4. NPV'!JRK$8,0)</f>
        <v>-0.0</v>
      </c>
      <c r="JRK53" s="5">
        <f>-IFERROR('4. NPV'!JRL23/'4. NPV'!JRL$8,0)</f>
        <v>-0.0</v>
      </c>
      <c r="JRL53" s="5">
        <f>-IFERROR('4. NPV'!JRM23/'4. NPV'!JRM$8,0)</f>
        <v>-0.0</v>
      </c>
      <c r="JRM53" s="5">
        <f>-IFERROR('4. NPV'!JRN23/'4. NPV'!JRN$8,0)</f>
        <v>-0.0</v>
      </c>
      <c r="JRN53" s="5">
        <f>-IFERROR('4. NPV'!JRO23/'4. NPV'!JRO$8,0)</f>
        <v>-0.0</v>
      </c>
      <c r="JRO53" s="5">
        <f>-IFERROR('4. NPV'!JRP23/'4. NPV'!JRP$8,0)</f>
        <v>-0.0</v>
      </c>
      <c r="JRP53" s="5">
        <f>-IFERROR('4. NPV'!JRQ23/'4. NPV'!JRQ$8,0)</f>
        <v>-0.0</v>
      </c>
      <c r="JRQ53" s="5">
        <f>-IFERROR('4. NPV'!JRR23/'4. NPV'!JRR$8,0)</f>
        <v>-0.0</v>
      </c>
      <c r="JRR53" s="5">
        <f>-IFERROR('4. NPV'!JRS23/'4. NPV'!JRS$8,0)</f>
        <v>-0.0</v>
      </c>
      <c r="JRS53" s="5">
        <f>-IFERROR('4. NPV'!JRT23/'4. NPV'!JRT$8,0)</f>
        <v>-0.0</v>
      </c>
      <c r="JRT53" s="5">
        <f>-IFERROR('4. NPV'!JRU23/'4. NPV'!JRU$8,0)</f>
        <v>-0.0</v>
      </c>
      <c r="JRU53" s="5">
        <f>-IFERROR('4. NPV'!JRV23/'4. NPV'!JRV$8,0)</f>
        <v>-0.0</v>
      </c>
      <c r="JRV53" s="5">
        <f>-IFERROR('4. NPV'!JRW23/'4. NPV'!JRW$8,0)</f>
        <v>-0.0</v>
      </c>
      <c r="JRW53" s="5">
        <f>-IFERROR('4. NPV'!JRX23/'4. NPV'!JRX$8,0)</f>
        <v>-0.0</v>
      </c>
      <c r="JRX53" s="5">
        <f>-IFERROR('4. NPV'!JRY23/'4. NPV'!JRY$8,0)</f>
        <v>-0.0</v>
      </c>
      <c r="JRY53" s="5">
        <f>-IFERROR('4. NPV'!JRZ23/'4. NPV'!JRZ$8,0)</f>
        <v>-0.0</v>
      </c>
      <c r="JRZ53" s="5">
        <f>-IFERROR('4. NPV'!JSA23/'4. NPV'!JSA$8,0)</f>
        <v>-0.0</v>
      </c>
      <c r="JSA53" s="5">
        <f>-IFERROR('4. NPV'!JSB23/'4. NPV'!JSB$8,0)</f>
        <v>-0.0</v>
      </c>
      <c r="JSB53" s="5">
        <f>-IFERROR('4. NPV'!JSC23/'4. NPV'!JSC$8,0)</f>
        <v>-0.0</v>
      </c>
      <c r="JSC53" s="5">
        <f>-IFERROR('4. NPV'!JSD23/'4. NPV'!JSD$8,0)</f>
        <v>-0.0</v>
      </c>
      <c r="JSD53" s="5">
        <f>-IFERROR('4. NPV'!JSE23/'4. NPV'!JSE$8,0)</f>
        <v>-0.0</v>
      </c>
      <c r="JSE53" s="5">
        <f>-IFERROR('4. NPV'!JSF23/'4. NPV'!JSF$8,0)</f>
        <v>-0.0</v>
      </c>
      <c r="JSF53" s="5">
        <f>-IFERROR('4. NPV'!JSG23/'4. NPV'!JSG$8,0)</f>
        <v>-0.0</v>
      </c>
      <c r="JSG53" s="5">
        <f>-IFERROR('4. NPV'!JSH23/'4. NPV'!JSH$8,0)</f>
        <v>-0.0</v>
      </c>
      <c r="JSH53" s="5">
        <f>-IFERROR('4. NPV'!JSI23/'4. NPV'!JSI$8,0)</f>
        <v>-0.0</v>
      </c>
      <c r="JSI53" s="5">
        <f>-IFERROR('4. NPV'!JSJ23/'4. NPV'!JSJ$8,0)</f>
        <v>-0.0</v>
      </c>
      <c r="JSJ53" s="5">
        <f>-IFERROR('4. NPV'!JSK23/'4. NPV'!JSK$8,0)</f>
        <v>-0.0</v>
      </c>
      <c r="JSK53" s="5">
        <f>-IFERROR('4. NPV'!JSL23/'4. NPV'!JSL$8,0)</f>
        <v>-0.0</v>
      </c>
      <c r="JSL53" s="5">
        <f>-IFERROR('4. NPV'!JSM23/'4. NPV'!JSM$8,0)</f>
        <v>-0.0</v>
      </c>
      <c r="JSM53" s="5">
        <f>-IFERROR('4. NPV'!JSN23/'4. NPV'!JSN$8,0)</f>
        <v>-0.0</v>
      </c>
      <c r="JSN53" s="5">
        <f>-IFERROR('4. NPV'!JSO23/'4. NPV'!JSO$8,0)</f>
        <v>-0.0</v>
      </c>
      <c r="JSO53" s="5">
        <f>-IFERROR('4. NPV'!JSP23/'4. NPV'!JSP$8,0)</f>
        <v>-0.0</v>
      </c>
      <c r="JSP53" s="5">
        <f>-IFERROR('4. NPV'!JSQ23/'4. NPV'!JSQ$8,0)</f>
        <v>-0.0</v>
      </c>
      <c r="JSQ53" s="5">
        <f>-IFERROR('4. NPV'!JSR23/'4. NPV'!JSR$8,0)</f>
        <v>-0.0</v>
      </c>
      <c r="JSR53" s="5">
        <f>-IFERROR('4. NPV'!JSS23/'4. NPV'!JSS$8,0)</f>
        <v>-0.0</v>
      </c>
      <c r="JSS53" s="5">
        <f>-IFERROR('4. NPV'!JST23/'4. NPV'!JST$8,0)</f>
        <v>-0.0</v>
      </c>
      <c r="JST53" s="5">
        <f>-IFERROR('4. NPV'!JSU23/'4. NPV'!JSU$8,0)</f>
        <v>-0.0</v>
      </c>
      <c r="JSU53" s="5">
        <f>-IFERROR('4. NPV'!JSV23/'4. NPV'!JSV$8,0)</f>
        <v>-0.0</v>
      </c>
      <c r="JSV53" s="5">
        <f>-IFERROR('4. NPV'!JSW23/'4. NPV'!JSW$8,0)</f>
        <v>-0.0</v>
      </c>
      <c r="JSW53" s="5">
        <f>-IFERROR('4. NPV'!JSX23/'4. NPV'!JSX$8,0)</f>
        <v>-0.0</v>
      </c>
      <c r="JSX53" s="5">
        <f>-IFERROR('4. NPV'!JSY23/'4. NPV'!JSY$8,0)</f>
        <v>-0.0</v>
      </c>
      <c r="JSY53" s="5">
        <f>-IFERROR('4. NPV'!JSZ23/'4. NPV'!JSZ$8,0)</f>
        <v>-0.0</v>
      </c>
      <c r="JSZ53" s="5">
        <f>-IFERROR('4. NPV'!JTA23/'4. NPV'!JTA$8,0)</f>
        <v>-0.0</v>
      </c>
      <c r="JTA53" s="5">
        <f>-IFERROR('4. NPV'!JTB23/'4. NPV'!JTB$8,0)</f>
        <v>-0.0</v>
      </c>
      <c r="JTB53" s="5">
        <f>-IFERROR('4. NPV'!JTC23/'4. NPV'!JTC$8,0)</f>
        <v>-0.0</v>
      </c>
      <c r="JTC53" s="5">
        <f>-IFERROR('4. NPV'!JTD23/'4. NPV'!JTD$8,0)</f>
        <v>-0.0</v>
      </c>
      <c r="JTD53" s="5">
        <f>-IFERROR('4. NPV'!JTE23/'4. NPV'!JTE$8,0)</f>
        <v>-0.0</v>
      </c>
      <c r="JTE53" s="5">
        <f>-IFERROR('4. NPV'!JTF23/'4. NPV'!JTF$8,0)</f>
        <v>-0.0</v>
      </c>
      <c r="JTF53" s="5">
        <f>-IFERROR('4. NPV'!JTG23/'4. NPV'!JTG$8,0)</f>
        <v>-0.0</v>
      </c>
      <c r="JTG53" s="5">
        <f>-IFERROR('4. NPV'!JTH23/'4. NPV'!JTH$8,0)</f>
        <v>-0.0</v>
      </c>
      <c r="JTH53" s="5">
        <f>-IFERROR('4. NPV'!JTI23/'4. NPV'!JTI$8,0)</f>
        <v>-0.0</v>
      </c>
      <c r="JTI53" s="5">
        <f>-IFERROR('4. NPV'!JTJ23/'4. NPV'!JTJ$8,0)</f>
        <v>-0.0</v>
      </c>
      <c r="JTJ53" s="5">
        <f>-IFERROR('4. NPV'!JTK23/'4. NPV'!JTK$8,0)</f>
        <v>-0.0</v>
      </c>
      <c r="JTK53" s="5">
        <f>-IFERROR('4. NPV'!JTL23/'4. NPV'!JTL$8,0)</f>
        <v>-0.0</v>
      </c>
      <c r="JTL53" s="5">
        <f>-IFERROR('4. NPV'!JTM23/'4. NPV'!JTM$8,0)</f>
        <v>-0.0</v>
      </c>
      <c r="JTM53" s="5">
        <f>-IFERROR('4. NPV'!JTN23/'4. NPV'!JTN$8,0)</f>
        <v>-0.0</v>
      </c>
      <c r="JTN53" s="5">
        <f>-IFERROR('4. NPV'!JTO23/'4. NPV'!JTO$8,0)</f>
        <v>-0.0</v>
      </c>
      <c r="JTO53" s="5">
        <f>-IFERROR('4. NPV'!JTP23/'4. NPV'!JTP$8,0)</f>
        <v>-0.0</v>
      </c>
      <c r="JTP53" s="5">
        <f>-IFERROR('4. NPV'!JTQ23/'4. NPV'!JTQ$8,0)</f>
        <v>-0.0</v>
      </c>
      <c r="JTQ53" s="5">
        <f>-IFERROR('4. NPV'!JTR23/'4. NPV'!JTR$8,0)</f>
        <v>-0.0</v>
      </c>
      <c r="JTR53" s="5">
        <f>-IFERROR('4. NPV'!JTS23/'4. NPV'!JTS$8,0)</f>
        <v>-0.0</v>
      </c>
      <c r="JTS53" s="5">
        <f>-IFERROR('4. NPV'!JTT23/'4. NPV'!JTT$8,0)</f>
        <v>-0.0</v>
      </c>
      <c r="JTT53" s="5">
        <f>-IFERROR('4. NPV'!JTU23/'4. NPV'!JTU$8,0)</f>
        <v>-0.0</v>
      </c>
      <c r="JTU53" s="5">
        <f>-IFERROR('4. NPV'!JTV23/'4. NPV'!JTV$8,0)</f>
        <v>-0.0</v>
      </c>
      <c r="JTV53" s="5">
        <f>-IFERROR('4. NPV'!JTW23/'4. NPV'!JTW$8,0)</f>
        <v>-0.0</v>
      </c>
      <c r="JTW53" s="5">
        <f>-IFERROR('4. NPV'!JTX23/'4. NPV'!JTX$8,0)</f>
        <v>-0.0</v>
      </c>
      <c r="JTX53" s="5">
        <f>-IFERROR('4. NPV'!JTY23/'4. NPV'!JTY$8,0)</f>
        <v>-0.0</v>
      </c>
      <c r="JTY53" s="5">
        <f>-IFERROR('4. NPV'!JTZ23/'4. NPV'!JTZ$8,0)</f>
        <v>-0.0</v>
      </c>
      <c r="JTZ53" s="5">
        <f>-IFERROR('4. NPV'!JUA23/'4. NPV'!JUA$8,0)</f>
        <v>-0.0</v>
      </c>
      <c r="JUA53" s="5">
        <f>-IFERROR('4. NPV'!JUB23/'4. NPV'!JUB$8,0)</f>
        <v>-0.0</v>
      </c>
      <c r="JUB53" s="5">
        <f>-IFERROR('4. NPV'!JUC23/'4. NPV'!JUC$8,0)</f>
        <v>-0.0</v>
      </c>
      <c r="JUC53" s="5">
        <f>-IFERROR('4. NPV'!JUD23/'4. NPV'!JUD$8,0)</f>
        <v>-0.0</v>
      </c>
      <c r="JUD53" s="5">
        <f>-IFERROR('4. NPV'!JUE23/'4. NPV'!JUE$8,0)</f>
        <v>-0.0</v>
      </c>
      <c r="JUE53" s="5">
        <f>-IFERROR('4. NPV'!JUF23/'4. NPV'!JUF$8,0)</f>
        <v>-0.0</v>
      </c>
      <c r="JUF53" s="5">
        <f>-IFERROR('4. NPV'!JUG23/'4. NPV'!JUG$8,0)</f>
        <v>-0.0</v>
      </c>
      <c r="JUG53" s="5">
        <f>-IFERROR('4. NPV'!JUH23/'4. NPV'!JUH$8,0)</f>
        <v>-0.0</v>
      </c>
      <c r="JUH53" s="5">
        <f>-IFERROR('4. NPV'!JUI23/'4. NPV'!JUI$8,0)</f>
        <v>-0.0</v>
      </c>
      <c r="JUI53" s="5">
        <f>-IFERROR('4. NPV'!JUJ23/'4. NPV'!JUJ$8,0)</f>
        <v>-0.0</v>
      </c>
      <c r="JUJ53" s="5">
        <f>-IFERROR('4. NPV'!JUK23/'4. NPV'!JUK$8,0)</f>
        <v>-0.0</v>
      </c>
      <c r="JUK53" s="5">
        <f>-IFERROR('4. NPV'!JUL23/'4. NPV'!JUL$8,0)</f>
        <v>-0.0</v>
      </c>
      <c r="JUL53" s="5">
        <f>-IFERROR('4. NPV'!JUM23/'4. NPV'!JUM$8,0)</f>
        <v>-0.0</v>
      </c>
      <c r="JUM53" s="5">
        <f>-IFERROR('4. NPV'!JUN23/'4. NPV'!JUN$8,0)</f>
        <v>-0.0</v>
      </c>
      <c r="JUN53" s="5">
        <f>-IFERROR('4. NPV'!JUO23/'4. NPV'!JUO$8,0)</f>
        <v>-0.0</v>
      </c>
      <c r="JUO53" s="5">
        <f>-IFERROR('4. NPV'!JUP23/'4. NPV'!JUP$8,0)</f>
        <v>-0.0</v>
      </c>
      <c r="JUP53" s="5">
        <f>-IFERROR('4. NPV'!JUQ23/'4. NPV'!JUQ$8,0)</f>
        <v>-0.0</v>
      </c>
      <c r="JUQ53" s="5">
        <f>-IFERROR('4. NPV'!JUR23/'4. NPV'!JUR$8,0)</f>
        <v>-0.0</v>
      </c>
      <c r="JUR53" s="5">
        <f>-IFERROR('4. NPV'!JUS23/'4. NPV'!JUS$8,0)</f>
        <v>-0.0</v>
      </c>
      <c r="JUS53" s="5">
        <f>-IFERROR('4. NPV'!JUT23/'4. NPV'!JUT$8,0)</f>
        <v>-0.0</v>
      </c>
      <c r="JUT53" s="5">
        <f>-IFERROR('4. NPV'!JUU23/'4. NPV'!JUU$8,0)</f>
        <v>-0.0</v>
      </c>
      <c r="JUU53" s="5">
        <f>-IFERROR('4. NPV'!JUV23/'4. NPV'!JUV$8,0)</f>
        <v>-0.0</v>
      </c>
      <c r="JUV53" s="5">
        <f>-IFERROR('4. NPV'!JUW23/'4. NPV'!JUW$8,0)</f>
        <v>-0.0</v>
      </c>
      <c r="JUW53" s="5">
        <f>-IFERROR('4. NPV'!JUX23/'4. NPV'!JUX$8,0)</f>
        <v>-0.0</v>
      </c>
      <c r="JUX53" s="5">
        <f>-IFERROR('4. NPV'!JUY23/'4. NPV'!JUY$8,0)</f>
        <v>-0.0</v>
      </c>
      <c r="JUY53" s="5">
        <f>-IFERROR('4. NPV'!JUZ23/'4. NPV'!JUZ$8,0)</f>
        <v>-0.0</v>
      </c>
      <c r="JUZ53" s="5">
        <f>-IFERROR('4. NPV'!JVA23/'4. NPV'!JVA$8,0)</f>
        <v>-0.0</v>
      </c>
      <c r="JVA53" s="5">
        <f>-IFERROR('4. NPV'!JVB23/'4. NPV'!JVB$8,0)</f>
        <v>-0.0</v>
      </c>
      <c r="JVB53" s="5">
        <f>-IFERROR('4. NPV'!JVC23/'4. NPV'!JVC$8,0)</f>
        <v>-0.0</v>
      </c>
      <c r="JVC53" s="5">
        <f>-IFERROR('4. NPV'!JVD23/'4. NPV'!JVD$8,0)</f>
        <v>-0.0</v>
      </c>
      <c r="JVD53" s="5">
        <f>-IFERROR('4. NPV'!JVE23/'4. NPV'!JVE$8,0)</f>
        <v>-0.0</v>
      </c>
      <c r="JVE53" s="5">
        <f>-IFERROR('4. NPV'!JVF23/'4. NPV'!JVF$8,0)</f>
        <v>-0.0</v>
      </c>
      <c r="JVF53" s="5">
        <f>-IFERROR('4. NPV'!JVG23/'4. NPV'!JVG$8,0)</f>
        <v>-0.0</v>
      </c>
      <c r="JVG53" s="5">
        <f>-IFERROR('4. NPV'!JVH23/'4. NPV'!JVH$8,0)</f>
        <v>-0.0</v>
      </c>
      <c r="JVH53" s="5">
        <f>-IFERROR('4. NPV'!JVI23/'4. NPV'!JVI$8,0)</f>
        <v>-0.0</v>
      </c>
      <c r="JVI53" s="5">
        <f>-IFERROR('4. NPV'!JVJ23/'4. NPV'!JVJ$8,0)</f>
        <v>-0.0</v>
      </c>
      <c r="JVJ53" s="5">
        <f>-IFERROR('4. NPV'!JVK23/'4. NPV'!JVK$8,0)</f>
        <v>-0.0</v>
      </c>
      <c r="JVK53" s="5">
        <f>-IFERROR('4. NPV'!JVL23/'4. NPV'!JVL$8,0)</f>
        <v>-0.0</v>
      </c>
      <c r="JVL53" s="5">
        <f>-IFERROR('4. NPV'!JVM23/'4. NPV'!JVM$8,0)</f>
        <v>-0.0</v>
      </c>
      <c r="JVM53" s="5">
        <f>-IFERROR('4. NPV'!JVN23/'4. NPV'!JVN$8,0)</f>
        <v>-0.0</v>
      </c>
      <c r="JVN53" s="5">
        <f>-IFERROR('4. NPV'!JVO23/'4. NPV'!JVO$8,0)</f>
        <v>-0.0</v>
      </c>
      <c r="JVO53" s="5">
        <f>-IFERROR('4. NPV'!JVP23/'4. NPV'!JVP$8,0)</f>
        <v>-0.0</v>
      </c>
      <c r="JVP53" s="5">
        <f>-IFERROR('4. NPV'!JVQ23/'4. NPV'!JVQ$8,0)</f>
        <v>-0.0</v>
      </c>
      <c r="JVQ53" s="5">
        <f>-IFERROR('4. NPV'!JVR23/'4. NPV'!JVR$8,0)</f>
        <v>-0.0</v>
      </c>
      <c r="JVR53" s="5">
        <f>-IFERROR('4. NPV'!JVS23/'4. NPV'!JVS$8,0)</f>
        <v>-0.0</v>
      </c>
      <c r="JVS53" s="5">
        <f>-IFERROR('4. NPV'!JVT23/'4. NPV'!JVT$8,0)</f>
        <v>-0.0</v>
      </c>
      <c r="JVT53" s="5">
        <f>-IFERROR('4. NPV'!JVU23/'4. NPV'!JVU$8,0)</f>
        <v>-0.0</v>
      </c>
      <c r="JVU53" s="5">
        <f>-IFERROR('4. NPV'!JVV23/'4. NPV'!JVV$8,0)</f>
        <v>-0.0</v>
      </c>
      <c r="JVV53" s="5">
        <f>-IFERROR('4. NPV'!JVW23/'4. NPV'!JVW$8,0)</f>
        <v>-0.0</v>
      </c>
      <c r="JVW53" s="5">
        <f>-IFERROR('4. NPV'!JVX23/'4. NPV'!JVX$8,0)</f>
        <v>-0.0</v>
      </c>
      <c r="JVX53" s="5">
        <f>-IFERROR('4. NPV'!JVY23/'4. NPV'!JVY$8,0)</f>
        <v>-0.0</v>
      </c>
      <c r="JVY53" s="5">
        <f>-IFERROR('4. NPV'!JVZ23/'4. NPV'!JVZ$8,0)</f>
        <v>-0.0</v>
      </c>
      <c r="JVZ53" s="5">
        <f>-IFERROR('4. NPV'!JWA23/'4. NPV'!JWA$8,0)</f>
        <v>-0.0</v>
      </c>
      <c r="JWA53" s="5">
        <f>-IFERROR('4. NPV'!JWB23/'4. NPV'!JWB$8,0)</f>
        <v>-0.0</v>
      </c>
      <c r="JWB53" s="5">
        <f>-IFERROR('4. NPV'!JWC23/'4. NPV'!JWC$8,0)</f>
        <v>-0.0</v>
      </c>
      <c r="JWC53" s="5">
        <f>-IFERROR('4. NPV'!JWD23/'4. NPV'!JWD$8,0)</f>
        <v>-0.0</v>
      </c>
      <c r="JWD53" s="5">
        <f>-IFERROR('4. NPV'!JWE23/'4. NPV'!JWE$8,0)</f>
        <v>-0.0</v>
      </c>
      <c r="JWE53" s="5">
        <f>-IFERROR('4. NPV'!JWF23/'4. NPV'!JWF$8,0)</f>
        <v>-0.0</v>
      </c>
      <c r="JWF53" s="5">
        <f>-IFERROR('4. NPV'!JWG23/'4. NPV'!JWG$8,0)</f>
        <v>-0.0</v>
      </c>
      <c r="JWG53" s="5">
        <f>-IFERROR('4. NPV'!JWH23/'4. NPV'!JWH$8,0)</f>
        <v>-0.0</v>
      </c>
      <c r="JWH53" s="5">
        <f>-IFERROR('4. NPV'!JWI23/'4. NPV'!JWI$8,0)</f>
        <v>-0.0</v>
      </c>
      <c r="JWI53" s="5">
        <f>-IFERROR('4. NPV'!JWJ23/'4. NPV'!JWJ$8,0)</f>
        <v>-0.0</v>
      </c>
      <c r="JWJ53" s="5">
        <f>-IFERROR('4. NPV'!JWK23/'4. NPV'!JWK$8,0)</f>
        <v>-0.0</v>
      </c>
      <c r="JWK53" s="5">
        <f>-IFERROR('4. NPV'!JWL23/'4. NPV'!JWL$8,0)</f>
        <v>-0.0</v>
      </c>
      <c r="JWL53" s="5">
        <f>-IFERROR('4. NPV'!JWM23/'4. NPV'!JWM$8,0)</f>
        <v>-0.0</v>
      </c>
      <c r="JWM53" s="5">
        <f>-IFERROR('4. NPV'!JWN23/'4. NPV'!JWN$8,0)</f>
        <v>-0.0</v>
      </c>
      <c r="JWN53" s="5">
        <f>-IFERROR('4. NPV'!JWO23/'4. NPV'!JWO$8,0)</f>
        <v>-0.0</v>
      </c>
      <c r="JWO53" s="5">
        <f>-IFERROR('4. NPV'!JWP23/'4. NPV'!JWP$8,0)</f>
        <v>-0.0</v>
      </c>
      <c r="JWP53" s="5">
        <f>-IFERROR('4. NPV'!JWQ23/'4. NPV'!JWQ$8,0)</f>
        <v>-0.0</v>
      </c>
      <c r="JWQ53" s="5">
        <f>-IFERROR('4. NPV'!JWR23/'4. NPV'!JWR$8,0)</f>
        <v>-0.0</v>
      </c>
      <c r="JWR53" s="5">
        <f>-IFERROR('4. NPV'!JWS23/'4. NPV'!JWS$8,0)</f>
        <v>-0.0</v>
      </c>
      <c r="JWS53" s="5">
        <f>-IFERROR('4. NPV'!JWT23/'4. NPV'!JWT$8,0)</f>
        <v>-0.0</v>
      </c>
      <c r="JWT53" s="5">
        <f>-IFERROR('4. NPV'!JWU23/'4. NPV'!JWU$8,0)</f>
        <v>-0.0</v>
      </c>
      <c r="JWU53" s="5">
        <f>-IFERROR('4. NPV'!JWV23/'4. NPV'!JWV$8,0)</f>
        <v>-0.0</v>
      </c>
      <c r="JWV53" s="5">
        <f>-IFERROR('4. NPV'!JWW23/'4. NPV'!JWW$8,0)</f>
        <v>-0.0</v>
      </c>
      <c r="JWW53" s="5">
        <f>-IFERROR('4. NPV'!JWX23/'4. NPV'!JWX$8,0)</f>
        <v>-0.0</v>
      </c>
      <c r="JWX53" s="5">
        <f>-IFERROR('4. NPV'!JWY23/'4. NPV'!JWY$8,0)</f>
        <v>-0.0</v>
      </c>
      <c r="JWY53" s="5">
        <f>-IFERROR('4. NPV'!JWZ23/'4. NPV'!JWZ$8,0)</f>
        <v>-0.0</v>
      </c>
      <c r="JWZ53" s="5">
        <f>-IFERROR('4. NPV'!JXA23/'4. NPV'!JXA$8,0)</f>
        <v>-0.0</v>
      </c>
      <c r="JXA53" s="5">
        <f>-IFERROR('4. NPV'!JXB23/'4. NPV'!JXB$8,0)</f>
        <v>-0.0</v>
      </c>
      <c r="JXB53" s="5">
        <f>-IFERROR('4. NPV'!JXC23/'4. NPV'!JXC$8,0)</f>
        <v>-0.0</v>
      </c>
      <c r="JXC53" s="5">
        <f>-IFERROR('4. NPV'!JXD23/'4. NPV'!JXD$8,0)</f>
        <v>-0.0</v>
      </c>
      <c r="JXD53" s="5">
        <f>-IFERROR('4. NPV'!JXE23/'4. NPV'!JXE$8,0)</f>
        <v>-0.0</v>
      </c>
      <c r="JXE53" s="5">
        <f>-IFERROR('4. NPV'!JXF23/'4. NPV'!JXF$8,0)</f>
        <v>-0.0</v>
      </c>
      <c r="JXF53" s="5">
        <f>-IFERROR('4. NPV'!JXG23/'4. NPV'!JXG$8,0)</f>
        <v>-0.0</v>
      </c>
      <c r="JXG53" s="5">
        <f>-IFERROR('4. NPV'!JXH23/'4. NPV'!JXH$8,0)</f>
        <v>-0.0</v>
      </c>
      <c r="JXH53" s="5">
        <f>-IFERROR('4. NPV'!JXI23/'4. NPV'!JXI$8,0)</f>
        <v>-0.0</v>
      </c>
      <c r="JXI53" s="5">
        <f>-IFERROR('4. NPV'!JXJ23/'4. NPV'!JXJ$8,0)</f>
        <v>-0.0</v>
      </c>
      <c r="JXJ53" s="5">
        <f>-IFERROR('4. NPV'!JXK23/'4. NPV'!JXK$8,0)</f>
        <v>-0.0</v>
      </c>
      <c r="JXK53" s="5">
        <f>-IFERROR('4. NPV'!JXL23/'4. NPV'!JXL$8,0)</f>
        <v>-0.0</v>
      </c>
      <c r="JXL53" s="5">
        <f>-IFERROR('4. NPV'!JXM23/'4. NPV'!JXM$8,0)</f>
        <v>-0.0</v>
      </c>
      <c r="JXM53" s="5">
        <f>-IFERROR('4. NPV'!JXN23/'4. NPV'!JXN$8,0)</f>
        <v>-0.0</v>
      </c>
      <c r="JXN53" s="5">
        <f>-IFERROR('4. NPV'!JXO23/'4. NPV'!JXO$8,0)</f>
        <v>-0.0</v>
      </c>
      <c r="JXO53" s="5">
        <f>-IFERROR('4. NPV'!JXP23/'4. NPV'!JXP$8,0)</f>
        <v>-0.0</v>
      </c>
      <c r="JXP53" s="5">
        <f>-IFERROR('4. NPV'!JXQ23/'4. NPV'!JXQ$8,0)</f>
        <v>-0.0</v>
      </c>
      <c r="JXQ53" s="5">
        <f>-IFERROR('4. NPV'!JXR23/'4. NPV'!JXR$8,0)</f>
        <v>-0.0</v>
      </c>
      <c r="JXR53" s="5">
        <f>-IFERROR('4. NPV'!JXS23/'4. NPV'!JXS$8,0)</f>
        <v>-0.0</v>
      </c>
      <c r="JXS53" s="5">
        <f>-IFERROR('4. NPV'!JXT23/'4. NPV'!JXT$8,0)</f>
        <v>-0.0</v>
      </c>
      <c r="JXT53" s="5">
        <f>-IFERROR('4. NPV'!JXU23/'4. NPV'!JXU$8,0)</f>
        <v>-0.0</v>
      </c>
      <c r="JXU53" s="5">
        <f>-IFERROR('4. NPV'!JXV23/'4. NPV'!JXV$8,0)</f>
        <v>-0.0</v>
      </c>
      <c r="JXV53" s="5">
        <f>-IFERROR('4. NPV'!JXW23/'4. NPV'!JXW$8,0)</f>
        <v>-0.0</v>
      </c>
      <c r="JXW53" s="5">
        <f>-IFERROR('4. NPV'!JXX23/'4. NPV'!JXX$8,0)</f>
        <v>-0.0</v>
      </c>
      <c r="JXX53" s="5">
        <f>-IFERROR('4. NPV'!JXY23/'4. NPV'!JXY$8,0)</f>
        <v>-0.0</v>
      </c>
      <c r="JXY53" s="5">
        <f>-IFERROR('4. NPV'!JXZ23/'4. NPV'!JXZ$8,0)</f>
        <v>-0.0</v>
      </c>
      <c r="JXZ53" s="5">
        <f>-IFERROR('4. NPV'!JYA23/'4. NPV'!JYA$8,0)</f>
        <v>-0.0</v>
      </c>
      <c r="JYA53" s="5">
        <f>-IFERROR('4. NPV'!JYB23/'4. NPV'!JYB$8,0)</f>
        <v>-0.0</v>
      </c>
      <c r="JYB53" s="5">
        <f>-IFERROR('4. NPV'!JYC23/'4. NPV'!JYC$8,0)</f>
        <v>-0.0</v>
      </c>
      <c r="JYC53" s="5">
        <f>-IFERROR('4. NPV'!JYD23/'4. NPV'!JYD$8,0)</f>
        <v>-0.0</v>
      </c>
      <c r="JYD53" s="5">
        <f>-IFERROR('4. NPV'!JYE23/'4. NPV'!JYE$8,0)</f>
        <v>-0.0</v>
      </c>
      <c r="JYE53" s="5">
        <f>-IFERROR('4. NPV'!JYF23/'4. NPV'!JYF$8,0)</f>
        <v>-0.0</v>
      </c>
      <c r="JYF53" s="5">
        <f>-IFERROR('4. NPV'!JYG23/'4. NPV'!JYG$8,0)</f>
        <v>-0.0</v>
      </c>
      <c r="JYG53" s="5">
        <f>-IFERROR('4. NPV'!JYH23/'4. NPV'!JYH$8,0)</f>
        <v>-0.0</v>
      </c>
      <c r="JYH53" s="5">
        <f>-IFERROR('4. NPV'!JYI23/'4. NPV'!JYI$8,0)</f>
        <v>-0.0</v>
      </c>
      <c r="JYI53" s="5">
        <f>-IFERROR('4. NPV'!JYJ23/'4. NPV'!JYJ$8,0)</f>
        <v>-0.0</v>
      </c>
      <c r="JYJ53" s="5">
        <f>-IFERROR('4. NPV'!JYK23/'4. NPV'!JYK$8,0)</f>
        <v>-0.0</v>
      </c>
      <c r="JYK53" s="5">
        <f>-IFERROR('4. NPV'!JYL23/'4. NPV'!JYL$8,0)</f>
        <v>-0.0</v>
      </c>
      <c r="JYL53" s="5">
        <f>-IFERROR('4. NPV'!JYM23/'4. NPV'!JYM$8,0)</f>
        <v>-0.0</v>
      </c>
      <c r="JYM53" s="5">
        <f>-IFERROR('4. NPV'!JYN23/'4. NPV'!JYN$8,0)</f>
        <v>-0.0</v>
      </c>
      <c r="JYN53" s="5">
        <f>-IFERROR('4. NPV'!JYO23/'4. NPV'!JYO$8,0)</f>
        <v>-0.0</v>
      </c>
      <c r="JYO53" s="5">
        <f>-IFERROR('4. NPV'!JYP23/'4. NPV'!JYP$8,0)</f>
        <v>-0.0</v>
      </c>
      <c r="JYP53" s="5">
        <f>-IFERROR('4. NPV'!JYQ23/'4. NPV'!JYQ$8,0)</f>
        <v>-0.0</v>
      </c>
      <c r="JYQ53" s="5">
        <f>-IFERROR('4. NPV'!JYR23/'4. NPV'!JYR$8,0)</f>
        <v>-0.0</v>
      </c>
      <c r="JYR53" s="5">
        <f>-IFERROR('4. NPV'!JYS23/'4. NPV'!JYS$8,0)</f>
        <v>-0.0</v>
      </c>
      <c r="JYS53" s="5">
        <f>-IFERROR('4. NPV'!JYT23/'4. NPV'!JYT$8,0)</f>
        <v>-0.0</v>
      </c>
      <c r="JYT53" s="5">
        <f>-IFERROR('4. NPV'!JYU23/'4. NPV'!JYU$8,0)</f>
        <v>-0.0</v>
      </c>
      <c r="JYU53" s="5">
        <f>-IFERROR('4. NPV'!JYV23/'4. NPV'!JYV$8,0)</f>
        <v>-0.0</v>
      </c>
      <c r="JYV53" s="5">
        <f>-IFERROR('4. NPV'!JYW23/'4. NPV'!JYW$8,0)</f>
        <v>-0.0</v>
      </c>
      <c r="JYW53" s="5">
        <f>-IFERROR('4. NPV'!JYX23/'4. NPV'!JYX$8,0)</f>
        <v>-0.0</v>
      </c>
      <c r="JYX53" s="5">
        <f>-IFERROR('4. NPV'!JYY23/'4. NPV'!JYY$8,0)</f>
        <v>-0.0</v>
      </c>
      <c r="JYY53" s="5">
        <f>-IFERROR('4. NPV'!JYZ23/'4. NPV'!JYZ$8,0)</f>
        <v>-0.0</v>
      </c>
      <c r="JYZ53" s="5">
        <f>-IFERROR('4. NPV'!JZA23/'4. NPV'!JZA$8,0)</f>
        <v>-0.0</v>
      </c>
      <c r="JZA53" s="5">
        <f>-IFERROR('4. NPV'!JZB23/'4. NPV'!JZB$8,0)</f>
        <v>-0.0</v>
      </c>
      <c r="JZB53" s="5">
        <f>-IFERROR('4. NPV'!JZC23/'4. NPV'!JZC$8,0)</f>
        <v>-0.0</v>
      </c>
      <c r="JZC53" s="5">
        <f>-IFERROR('4. NPV'!JZD23/'4. NPV'!JZD$8,0)</f>
        <v>-0.0</v>
      </c>
      <c r="JZD53" s="5">
        <f>-IFERROR('4. NPV'!JZE23/'4. NPV'!JZE$8,0)</f>
        <v>-0.0</v>
      </c>
      <c r="JZE53" s="5">
        <f>-IFERROR('4. NPV'!JZF23/'4. NPV'!JZF$8,0)</f>
        <v>-0.0</v>
      </c>
      <c r="JZF53" s="5">
        <f>-IFERROR('4. NPV'!JZG23/'4. NPV'!JZG$8,0)</f>
        <v>-0.0</v>
      </c>
      <c r="JZG53" s="5">
        <f>-IFERROR('4. NPV'!JZH23/'4. NPV'!JZH$8,0)</f>
        <v>-0.0</v>
      </c>
      <c r="JZH53" s="5">
        <f>-IFERROR('4. NPV'!JZI23/'4. NPV'!JZI$8,0)</f>
        <v>-0.0</v>
      </c>
      <c r="JZI53" s="5">
        <f>-IFERROR('4. NPV'!JZJ23/'4. NPV'!JZJ$8,0)</f>
        <v>-0.0</v>
      </c>
      <c r="JZJ53" s="5">
        <f>-IFERROR('4. NPV'!JZK23/'4. NPV'!JZK$8,0)</f>
        <v>-0.0</v>
      </c>
      <c r="JZK53" s="5">
        <f>-IFERROR('4. NPV'!JZL23/'4. NPV'!JZL$8,0)</f>
        <v>-0.0</v>
      </c>
      <c r="JZL53" s="5">
        <f>-IFERROR('4. NPV'!JZM23/'4. NPV'!JZM$8,0)</f>
        <v>-0.0</v>
      </c>
      <c r="JZM53" s="5">
        <f>-IFERROR('4. NPV'!JZN23/'4. NPV'!JZN$8,0)</f>
        <v>-0.0</v>
      </c>
      <c r="JZN53" s="5">
        <f>-IFERROR('4. NPV'!JZO23/'4. NPV'!JZO$8,0)</f>
        <v>-0.0</v>
      </c>
      <c r="JZO53" s="5">
        <f>-IFERROR('4. NPV'!JZP23/'4. NPV'!JZP$8,0)</f>
        <v>-0.0</v>
      </c>
      <c r="JZP53" s="5">
        <f>-IFERROR('4. NPV'!JZQ23/'4. NPV'!JZQ$8,0)</f>
        <v>-0.0</v>
      </c>
      <c r="JZQ53" s="5">
        <f>-IFERROR('4. NPV'!JZR23/'4. NPV'!JZR$8,0)</f>
        <v>-0.0</v>
      </c>
      <c r="JZR53" s="5">
        <f>-IFERROR('4. NPV'!JZS23/'4. NPV'!JZS$8,0)</f>
        <v>-0.0</v>
      </c>
      <c r="JZS53" s="5">
        <f>-IFERROR('4. NPV'!JZT23/'4. NPV'!JZT$8,0)</f>
        <v>-0.0</v>
      </c>
      <c r="JZT53" s="5">
        <f>-IFERROR('4. NPV'!JZU23/'4. NPV'!JZU$8,0)</f>
        <v>-0.0</v>
      </c>
      <c r="JZU53" s="5">
        <f>-IFERROR('4. NPV'!JZV23/'4. NPV'!JZV$8,0)</f>
        <v>-0.0</v>
      </c>
      <c r="JZV53" s="5">
        <f>-IFERROR('4. NPV'!JZW23/'4. NPV'!JZW$8,0)</f>
        <v>-0.0</v>
      </c>
      <c r="JZW53" s="5">
        <f>-IFERROR('4. NPV'!JZX23/'4. NPV'!JZX$8,0)</f>
        <v>-0.0</v>
      </c>
      <c r="JZX53" s="5">
        <f>-IFERROR('4. NPV'!JZY23/'4. NPV'!JZY$8,0)</f>
        <v>-0.0</v>
      </c>
      <c r="JZY53" s="5">
        <f>-IFERROR('4. NPV'!JZZ23/'4. NPV'!JZZ$8,0)</f>
        <v>-0.0</v>
      </c>
      <c r="JZZ53" s="5">
        <f>-IFERROR('4. NPV'!KAA23/'4. NPV'!KAA$8,0)</f>
        <v>-0.0</v>
      </c>
      <c r="KAA53" s="5">
        <f>-IFERROR('4. NPV'!KAB23/'4. NPV'!KAB$8,0)</f>
        <v>-0.0</v>
      </c>
      <c r="KAB53" s="5">
        <f>-IFERROR('4. NPV'!KAC23/'4. NPV'!KAC$8,0)</f>
        <v>-0.0</v>
      </c>
      <c r="KAC53" s="5">
        <f>-IFERROR('4. NPV'!KAD23/'4. NPV'!KAD$8,0)</f>
        <v>-0.0</v>
      </c>
      <c r="KAD53" s="5">
        <f>-IFERROR('4. NPV'!KAE23/'4. NPV'!KAE$8,0)</f>
        <v>-0.0</v>
      </c>
      <c r="KAE53" s="5">
        <f>-IFERROR('4. NPV'!KAF23/'4. NPV'!KAF$8,0)</f>
        <v>-0.0</v>
      </c>
      <c r="KAF53" s="5">
        <f>-IFERROR('4. NPV'!KAG23/'4. NPV'!KAG$8,0)</f>
        <v>-0.0</v>
      </c>
      <c r="KAG53" s="5">
        <f>-IFERROR('4. NPV'!KAH23/'4. NPV'!KAH$8,0)</f>
        <v>-0.0</v>
      </c>
      <c r="KAH53" s="5">
        <f>-IFERROR('4. NPV'!KAI23/'4. NPV'!KAI$8,0)</f>
        <v>-0.0</v>
      </c>
      <c r="KAI53" s="5">
        <f>-IFERROR('4. NPV'!KAJ23/'4. NPV'!KAJ$8,0)</f>
        <v>-0.0</v>
      </c>
      <c r="KAJ53" s="5">
        <f>-IFERROR('4. NPV'!KAK23/'4. NPV'!KAK$8,0)</f>
        <v>-0.0</v>
      </c>
      <c r="KAK53" s="5">
        <f>-IFERROR('4. NPV'!KAL23/'4. NPV'!KAL$8,0)</f>
        <v>-0.0</v>
      </c>
      <c r="KAL53" s="5">
        <f>-IFERROR('4. NPV'!KAM23/'4. NPV'!KAM$8,0)</f>
        <v>-0.0</v>
      </c>
      <c r="KAM53" s="5">
        <f>-IFERROR('4. NPV'!KAN23/'4. NPV'!KAN$8,0)</f>
        <v>-0.0</v>
      </c>
      <c r="KAN53" s="5">
        <f>-IFERROR('4. NPV'!KAO23/'4. NPV'!KAO$8,0)</f>
        <v>-0.0</v>
      </c>
      <c r="KAO53" s="5">
        <f>-IFERROR('4. NPV'!KAP23/'4. NPV'!KAP$8,0)</f>
        <v>-0.0</v>
      </c>
      <c r="KAP53" s="5">
        <f>-IFERROR('4. NPV'!KAQ23/'4. NPV'!KAQ$8,0)</f>
        <v>-0.0</v>
      </c>
      <c r="KAQ53" s="5">
        <f>-IFERROR('4. NPV'!KAR23/'4. NPV'!KAR$8,0)</f>
        <v>-0.0</v>
      </c>
      <c r="KAR53" s="5">
        <f>-IFERROR('4. NPV'!KAS23/'4. NPV'!KAS$8,0)</f>
        <v>-0.0</v>
      </c>
      <c r="KAS53" s="5">
        <f>-IFERROR('4. NPV'!KAT23/'4. NPV'!KAT$8,0)</f>
        <v>-0.0</v>
      </c>
      <c r="KAT53" s="5">
        <f>-IFERROR('4. NPV'!KAU23/'4. NPV'!KAU$8,0)</f>
        <v>-0.0</v>
      </c>
      <c r="KAU53" s="5">
        <f>-IFERROR('4. NPV'!KAV23/'4. NPV'!KAV$8,0)</f>
        <v>-0.0</v>
      </c>
      <c r="KAV53" s="5">
        <f>-IFERROR('4. NPV'!KAW23/'4. NPV'!KAW$8,0)</f>
        <v>-0.0</v>
      </c>
      <c r="KAW53" s="5">
        <f>-IFERROR('4. NPV'!KAX23/'4. NPV'!KAX$8,0)</f>
        <v>-0.0</v>
      </c>
      <c r="KAX53" s="5">
        <f>-IFERROR('4. NPV'!KAY23/'4. NPV'!KAY$8,0)</f>
        <v>-0.0</v>
      </c>
      <c r="KAY53" s="5">
        <f>-IFERROR('4. NPV'!KAZ23/'4. NPV'!KAZ$8,0)</f>
        <v>-0.0</v>
      </c>
      <c r="KAZ53" s="5">
        <f>-IFERROR('4. NPV'!KBA23/'4. NPV'!KBA$8,0)</f>
        <v>-0.0</v>
      </c>
      <c r="KBA53" s="5">
        <f>-IFERROR('4. NPV'!KBB23/'4. NPV'!KBB$8,0)</f>
        <v>-0.0</v>
      </c>
      <c r="KBB53" s="5">
        <f>-IFERROR('4. NPV'!KBC23/'4. NPV'!KBC$8,0)</f>
        <v>-0.0</v>
      </c>
      <c r="KBC53" s="5">
        <f>-IFERROR('4. NPV'!KBD23/'4. NPV'!KBD$8,0)</f>
        <v>-0.0</v>
      </c>
      <c r="KBD53" s="5">
        <f>-IFERROR('4. NPV'!KBE23/'4. NPV'!KBE$8,0)</f>
        <v>-0.0</v>
      </c>
      <c r="KBE53" s="5">
        <f>-IFERROR('4. NPV'!KBF23/'4. NPV'!KBF$8,0)</f>
        <v>-0.0</v>
      </c>
      <c r="KBF53" s="5">
        <f>-IFERROR('4. NPV'!KBG23/'4. NPV'!KBG$8,0)</f>
        <v>-0.0</v>
      </c>
      <c r="KBG53" s="5">
        <f>-IFERROR('4. NPV'!KBH23/'4. NPV'!KBH$8,0)</f>
        <v>-0.0</v>
      </c>
      <c r="KBH53" s="5">
        <f>-IFERROR('4. NPV'!KBI23/'4. NPV'!KBI$8,0)</f>
        <v>-0.0</v>
      </c>
      <c r="KBI53" s="5">
        <f>-IFERROR('4. NPV'!KBJ23/'4. NPV'!KBJ$8,0)</f>
        <v>-0.0</v>
      </c>
      <c r="KBJ53" s="5">
        <f>-IFERROR('4. NPV'!KBK23/'4. NPV'!KBK$8,0)</f>
        <v>-0.0</v>
      </c>
      <c r="KBK53" s="5">
        <f>-IFERROR('4. NPV'!KBL23/'4. NPV'!KBL$8,0)</f>
        <v>-0.0</v>
      </c>
      <c r="KBL53" s="5">
        <f>-IFERROR('4. NPV'!KBM23/'4. NPV'!KBM$8,0)</f>
        <v>-0.0</v>
      </c>
      <c r="KBM53" s="5">
        <f>-IFERROR('4. NPV'!KBN23/'4. NPV'!KBN$8,0)</f>
        <v>-0.0</v>
      </c>
      <c r="KBN53" s="5">
        <f>-IFERROR('4. NPV'!KBO23/'4. NPV'!KBO$8,0)</f>
        <v>-0.0</v>
      </c>
      <c r="KBO53" s="5">
        <f>-IFERROR('4. NPV'!KBP23/'4. NPV'!KBP$8,0)</f>
        <v>-0.0</v>
      </c>
      <c r="KBP53" s="5">
        <f>-IFERROR('4. NPV'!KBQ23/'4. NPV'!KBQ$8,0)</f>
        <v>-0.0</v>
      </c>
      <c r="KBQ53" s="5">
        <f>-IFERROR('4. NPV'!KBR23/'4. NPV'!KBR$8,0)</f>
        <v>-0.0</v>
      </c>
      <c r="KBR53" s="5">
        <f>-IFERROR('4. NPV'!KBS23/'4. NPV'!KBS$8,0)</f>
        <v>-0.0</v>
      </c>
      <c r="KBS53" s="5">
        <f>-IFERROR('4. NPV'!KBT23/'4. NPV'!KBT$8,0)</f>
        <v>-0.0</v>
      </c>
      <c r="KBT53" s="5">
        <f>-IFERROR('4. NPV'!KBU23/'4. NPV'!KBU$8,0)</f>
        <v>-0.0</v>
      </c>
      <c r="KBU53" s="5">
        <f>-IFERROR('4. NPV'!KBV23/'4. NPV'!KBV$8,0)</f>
        <v>-0.0</v>
      </c>
      <c r="KBV53" s="5">
        <f>-IFERROR('4. NPV'!KBW23/'4. NPV'!KBW$8,0)</f>
        <v>-0.0</v>
      </c>
      <c r="KBW53" s="5">
        <f>-IFERROR('4. NPV'!KBX23/'4. NPV'!KBX$8,0)</f>
        <v>-0.0</v>
      </c>
      <c r="KBX53" s="5">
        <f>-IFERROR('4. NPV'!KBY23/'4. NPV'!KBY$8,0)</f>
        <v>-0.0</v>
      </c>
      <c r="KBY53" s="5">
        <f>-IFERROR('4. NPV'!KBZ23/'4. NPV'!KBZ$8,0)</f>
        <v>-0.0</v>
      </c>
      <c r="KBZ53" s="5">
        <f>-IFERROR('4. NPV'!KCA23/'4. NPV'!KCA$8,0)</f>
        <v>-0.0</v>
      </c>
      <c r="KCA53" s="5">
        <f>-IFERROR('4. NPV'!KCB23/'4. NPV'!KCB$8,0)</f>
        <v>-0.0</v>
      </c>
      <c r="KCB53" s="5">
        <f>-IFERROR('4. NPV'!KCC23/'4. NPV'!KCC$8,0)</f>
        <v>-0.0</v>
      </c>
      <c r="KCC53" s="5">
        <f>-IFERROR('4. NPV'!KCD23/'4. NPV'!KCD$8,0)</f>
        <v>-0.0</v>
      </c>
      <c r="KCD53" s="5">
        <f>-IFERROR('4. NPV'!KCE23/'4. NPV'!KCE$8,0)</f>
        <v>-0.0</v>
      </c>
      <c r="KCE53" s="5">
        <f>-IFERROR('4. NPV'!KCF23/'4. NPV'!KCF$8,0)</f>
        <v>-0.0</v>
      </c>
      <c r="KCF53" s="5">
        <f>-IFERROR('4. NPV'!KCG23/'4. NPV'!KCG$8,0)</f>
        <v>-0.0</v>
      </c>
      <c r="KCG53" s="5">
        <f>-IFERROR('4. NPV'!KCH23/'4. NPV'!KCH$8,0)</f>
        <v>-0.0</v>
      </c>
      <c r="KCH53" s="5">
        <f>-IFERROR('4. NPV'!KCI23/'4. NPV'!KCI$8,0)</f>
        <v>-0.0</v>
      </c>
      <c r="KCI53" s="5">
        <f>-IFERROR('4. NPV'!KCJ23/'4. NPV'!KCJ$8,0)</f>
        <v>-0.0</v>
      </c>
      <c r="KCJ53" s="5">
        <f>-IFERROR('4. NPV'!KCK23/'4. NPV'!KCK$8,0)</f>
        <v>-0.0</v>
      </c>
      <c r="KCK53" s="5">
        <f>-IFERROR('4. NPV'!KCL23/'4. NPV'!KCL$8,0)</f>
        <v>-0.0</v>
      </c>
      <c r="KCL53" s="5">
        <f>-IFERROR('4. NPV'!KCM23/'4. NPV'!KCM$8,0)</f>
        <v>-0.0</v>
      </c>
      <c r="KCM53" s="5">
        <f>-IFERROR('4. NPV'!KCN23/'4. NPV'!KCN$8,0)</f>
        <v>-0.0</v>
      </c>
      <c r="KCN53" s="5">
        <f>-IFERROR('4. NPV'!KCO23/'4. NPV'!KCO$8,0)</f>
        <v>-0.0</v>
      </c>
      <c r="KCO53" s="5">
        <f>-IFERROR('4. NPV'!KCP23/'4. NPV'!KCP$8,0)</f>
        <v>-0.0</v>
      </c>
      <c r="KCP53" s="5">
        <f>-IFERROR('4. NPV'!KCQ23/'4. NPV'!KCQ$8,0)</f>
        <v>-0.0</v>
      </c>
      <c r="KCQ53" s="5">
        <f>-IFERROR('4. NPV'!KCR23/'4. NPV'!KCR$8,0)</f>
        <v>-0.0</v>
      </c>
      <c r="KCR53" s="5">
        <f>-IFERROR('4. NPV'!KCS23/'4. NPV'!KCS$8,0)</f>
        <v>-0.0</v>
      </c>
      <c r="KCS53" s="5">
        <f>-IFERROR('4. NPV'!KCT23/'4. NPV'!KCT$8,0)</f>
        <v>-0.0</v>
      </c>
      <c r="KCT53" s="5">
        <f>-IFERROR('4. NPV'!KCU23/'4. NPV'!KCU$8,0)</f>
        <v>-0.0</v>
      </c>
      <c r="KCU53" s="5">
        <f>-IFERROR('4. NPV'!KCV23/'4. NPV'!KCV$8,0)</f>
        <v>-0.0</v>
      </c>
      <c r="KCV53" s="5">
        <f>-IFERROR('4. NPV'!KCW23/'4. NPV'!KCW$8,0)</f>
        <v>-0.0</v>
      </c>
      <c r="KCW53" s="5">
        <f>-IFERROR('4. NPV'!KCX23/'4. NPV'!KCX$8,0)</f>
        <v>-0.0</v>
      </c>
      <c r="KCX53" s="5">
        <f>-IFERROR('4. NPV'!KCY23/'4. NPV'!KCY$8,0)</f>
        <v>-0.0</v>
      </c>
      <c r="KCY53" s="5">
        <f>-IFERROR('4. NPV'!KCZ23/'4. NPV'!KCZ$8,0)</f>
        <v>-0.0</v>
      </c>
      <c r="KCZ53" s="5">
        <f>-IFERROR('4. NPV'!KDA23/'4. NPV'!KDA$8,0)</f>
        <v>-0.0</v>
      </c>
      <c r="KDA53" s="5">
        <f>-IFERROR('4. NPV'!KDB23/'4. NPV'!KDB$8,0)</f>
        <v>-0.0</v>
      </c>
      <c r="KDB53" s="5">
        <f>-IFERROR('4. NPV'!KDC23/'4. NPV'!KDC$8,0)</f>
        <v>-0.0</v>
      </c>
      <c r="KDC53" s="5">
        <f>-IFERROR('4. NPV'!KDD23/'4. NPV'!KDD$8,0)</f>
        <v>-0.0</v>
      </c>
      <c r="KDD53" s="5">
        <f>-IFERROR('4. NPV'!KDE23/'4. NPV'!KDE$8,0)</f>
        <v>-0.0</v>
      </c>
      <c r="KDE53" s="5">
        <f>-IFERROR('4. NPV'!KDF23/'4. NPV'!KDF$8,0)</f>
        <v>-0.0</v>
      </c>
      <c r="KDF53" s="5">
        <f>-IFERROR('4. NPV'!KDG23/'4. NPV'!KDG$8,0)</f>
        <v>-0.0</v>
      </c>
      <c r="KDG53" s="5">
        <f>-IFERROR('4. NPV'!KDH23/'4. NPV'!KDH$8,0)</f>
        <v>-0.0</v>
      </c>
      <c r="KDH53" s="5">
        <f>-IFERROR('4. NPV'!KDI23/'4. NPV'!KDI$8,0)</f>
        <v>-0.0</v>
      </c>
      <c r="KDI53" s="5">
        <f>-IFERROR('4. NPV'!KDJ23/'4. NPV'!KDJ$8,0)</f>
        <v>-0.0</v>
      </c>
      <c r="KDJ53" s="5">
        <f>-IFERROR('4. NPV'!KDK23/'4. NPV'!KDK$8,0)</f>
        <v>-0.0</v>
      </c>
      <c r="KDK53" s="5">
        <f>-IFERROR('4. NPV'!KDL23/'4. NPV'!KDL$8,0)</f>
        <v>-0.0</v>
      </c>
      <c r="KDL53" s="5">
        <f>-IFERROR('4. NPV'!KDM23/'4. NPV'!KDM$8,0)</f>
        <v>-0.0</v>
      </c>
      <c r="KDM53" s="5">
        <f>-IFERROR('4. NPV'!KDN23/'4. NPV'!KDN$8,0)</f>
        <v>-0.0</v>
      </c>
      <c r="KDN53" s="5">
        <f>-IFERROR('4. NPV'!KDO23/'4. NPV'!KDO$8,0)</f>
        <v>-0.0</v>
      </c>
      <c r="KDO53" s="5">
        <f>-IFERROR('4. NPV'!KDP23/'4. NPV'!KDP$8,0)</f>
        <v>-0.0</v>
      </c>
      <c r="KDP53" s="5">
        <f>-IFERROR('4. NPV'!KDQ23/'4. NPV'!KDQ$8,0)</f>
        <v>-0.0</v>
      </c>
      <c r="KDQ53" s="5">
        <f>-IFERROR('4. NPV'!KDR23/'4. NPV'!KDR$8,0)</f>
        <v>-0.0</v>
      </c>
      <c r="KDR53" s="5">
        <f>-IFERROR('4. NPV'!KDS23/'4. NPV'!KDS$8,0)</f>
        <v>-0.0</v>
      </c>
      <c r="KDS53" s="5">
        <f>-IFERROR('4. NPV'!KDT23/'4. NPV'!KDT$8,0)</f>
        <v>-0.0</v>
      </c>
      <c r="KDT53" s="5">
        <f>-IFERROR('4. NPV'!KDU23/'4. NPV'!KDU$8,0)</f>
        <v>-0.0</v>
      </c>
      <c r="KDU53" s="5">
        <f>-IFERROR('4. NPV'!KDV23/'4. NPV'!KDV$8,0)</f>
        <v>-0.0</v>
      </c>
      <c r="KDV53" s="5">
        <f>-IFERROR('4. NPV'!KDW23/'4. NPV'!KDW$8,0)</f>
        <v>-0.0</v>
      </c>
      <c r="KDW53" s="5">
        <f>-IFERROR('4. NPV'!KDX23/'4. NPV'!KDX$8,0)</f>
        <v>-0.0</v>
      </c>
      <c r="KDX53" s="5">
        <f>-IFERROR('4. NPV'!KDY23/'4. NPV'!KDY$8,0)</f>
        <v>-0.0</v>
      </c>
      <c r="KDY53" s="5">
        <f>-IFERROR('4. NPV'!KDZ23/'4. NPV'!KDZ$8,0)</f>
        <v>-0.0</v>
      </c>
      <c r="KDZ53" s="5">
        <f>-IFERROR('4. NPV'!KEA23/'4. NPV'!KEA$8,0)</f>
        <v>-0.0</v>
      </c>
      <c r="KEA53" s="5">
        <f>-IFERROR('4. NPV'!KEB23/'4. NPV'!KEB$8,0)</f>
        <v>-0.0</v>
      </c>
      <c r="KEB53" s="5">
        <f>-IFERROR('4. NPV'!KEC23/'4. NPV'!KEC$8,0)</f>
        <v>-0.0</v>
      </c>
      <c r="KEC53" s="5">
        <f>-IFERROR('4. NPV'!KED23/'4. NPV'!KED$8,0)</f>
        <v>-0.0</v>
      </c>
      <c r="KED53" s="5">
        <f>-IFERROR('4. NPV'!KEE23/'4. NPV'!KEE$8,0)</f>
        <v>-0.0</v>
      </c>
      <c r="KEE53" s="5">
        <f>-IFERROR('4. NPV'!KEF23/'4. NPV'!KEF$8,0)</f>
        <v>-0.0</v>
      </c>
      <c r="KEF53" s="5">
        <f>-IFERROR('4. NPV'!KEG23/'4. NPV'!KEG$8,0)</f>
        <v>-0.0</v>
      </c>
      <c r="KEG53" s="5">
        <f>-IFERROR('4. NPV'!KEH23/'4. NPV'!KEH$8,0)</f>
        <v>-0.0</v>
      </c>
      <c r="KEH53" s="5">
        <f>-IFERROR('4. NPV'!KEI23/'4. NPV'!KEI$8,0)</f>
        <v>-0.0</v>
      </c>
      <c r="KEI53" s="5">
        <f>-IFERROR('4. NPV'!KEJ23/'4. NPV'!KEJ$8,0)</f>
        <v>-0.0</v>
      </c>
      <c r="KEJ53" s="5">
        <f>-IFERROR('4. NPV'!KEK23/'4. NPV'!KEK$8,0)</f>
        <v>-0.0</v>
      </c>
      <c r="KEK53" s="5">
        <f>-IFERROR('4. NPV'!KEL23/'4. NPV'!KEL$8,0)</f>
        <v>-0.0</v>
      </c>
      <c r="KEL53" s="5">
        <f>-IFERROR('4. NPV'!KEM23/'4. NPV'!KEM$8,0)</f>
        <v>-0.0</v>
      </c>
      <c r="KEM53" s="5">
        <f>-IFERROR('4. NPV'!KEN23/'4. NPV'!KEN$8,0)</f>
        <v>-0.0</v>
      </c>
      <c r="KEN53" s="5">
        <f>-IFERROR('4. NPV'!KEO23/'4. NPV'!KEO$8,0)</f>
        <v>-0.0</v>
      </c>
      <c r="KEO53" s="5">
        <f>-IFERROR('4. NPV'!KEP23/'4. NPV'!KEP$8,0)</f>
        <v>-0.0</v>
      </c>
      <c r="KEP53" s="5">
        <f>-IFERROR('4. NPV'!KEQ23/'4. NPV'!KEQ$8,0)</f>
        <v>-0.0</v>
      </c>
      <c r="KEQ53" s="5">
        <f>-IFERROR('4. NPV'!KER23/'4. NPV'!KER$8,0)</f>
        <v>-0.0</v>
      </c>
      <c r="KER53" s="5">
        <f>-IFERROR('4. NPV'!KES23/'4. NPV'!KES$8,0)</f>
        <v>-0.0</v>
      </c>
      <c r="KES53" s="5">
        <f>-IFERROR('4. NPV'!KET23/'4. NPV'!KET$8,0)</f>
        <v>-0.0</v>
      </c>
      <c r="KET53" s="5">
        <f>-IFERROR('4. NPV'!KEU23/'4. NPV'!KEU$8,0)</f>
        <v>-0.0</v>
      </c>
      <c r="KEU53" s="5">
        <f>-IFERROR('4. NPV'!KEV23/'4. NPV'!KEV$8,0)</f>
        <v>-0.0</v>
      </c>
      <c r="KEV53" s="5">
        <f>-IFERROR('4. NPV'!KEW23/'4. NPV'!KEW$8,0)</f>
        <v>-0.0</v>
      </c>
      <c r="KEW53" s="5">
        <f>-IFERROR('4. NPV'!KEX23/'4. NPV'!KEX$8,0)</f>
        <v>-0.0</v>
      </c>
      <c r="KEX53" s="5">
        <f>-IFERROR('4. NPV'!KEY23/'4. NPV'!KEY$8,0)</f>
        <v>-0.0</v>
      </c>
      <c r="KEY53" s="5">
        <f>-IFERROR('4. NPV'!KEZ23/'4. NPV'!KEZ$8,0)</f>
        <v>-0.0</v>
      </c>
      <c r="KEZ53" s="5">
        <f>-IFERROR('4. NPV'!KFA23/'4. NPV'!KFA$8,0)</f>
        <v>-0.0</v>
      </c>
      <c r="KFA53" s="5">
        <f>-IFERROR('4. NPV'!KFB23/'4. NPV'!KFB$8,0)</f>
        <v>-0.0</v>
      </c>
      <c r="KFB53" s="5">
        <f>-IFERROR('4. NPV'!KFC23/'4. NPV'!KFC$8,0)</f>
        <v>-0.0</v>
      </c>
      <c r="KFC53" s="5">
        <f>-IFERROR('4. NPV'!KFD23/'4. NPV'!KFD$8,0)</f>
        <v>-0.0</v>
      </c>
      <c r="KFD53" s="5">
        <f>-IFERROR('4. NPV'!KFE23/'4. NPV'!KFE$8,0)</f>
        <v>-0.0</v>
      </c>
      <c r="KFE53" s="5">
        <f>-IFERROR('4. NPV'!KFF23/'4. NPV'!KFF$8,0)</f>
        <v>-0.0</v>
      </c>
      <c r="KFF53" s="5">
        <f>-IFERROR('4. NPV'!KFG23/'4. NPV'!KFG$8,0)</f>
        <v>-0.0</v>
      </c>
      <c r="KFG53" s="5">
        <f>-IFERROR('4. NPV'!KFH23/'4. NPV'!KFH$8,0)</f>
        <v>-0.0</v>
      </c>
      <c r="KFH53" s="5">
        <f>-IFERROR('4. NPV'!KFI23/'4. NPV'!KFI$8,0)</f>
        <v>-0.0</v>
      </c>
      <c r="KFI53" s="5">
        <f>-IFERROR('4. NPV'!KFJ23/'4. NPV'!KFJ$8,0)</f>
        <v>-0.0</v>
      </c>
      <c r="KFJ53" s="5">
        <f>-IFERROR('4. NPV'!KFK23/'4. NPV'!KFK$8,0)</f>
        <v>-0.0</v>
      </c>
      <c r="KFK53" s="5">
        <f>-IFERROR('4. NPV'!KFL23/'4. NPV'!KFL$8,0)</f>
        <v>-0.0</v>
      </c>
      <c r="KFL53" s="5">
        <f>-IFERROR('4. NPV'!KFM23/'4. NPV'!KFM$8,0)</f>
        <v>-0.0</v>
      </c>
      <c r="KFM53" s="5">
        <f>-IFERROR('4. NPV'!KFN23/'4. NPV'!KFN$8,0)</f>
        <v>-0.0</v>
      </c>
      <c r="KFN53" s="5">
        <f>-IFERROR('4. NPV'!KFO23/'4. NPV'!KFO$8,0)</f>
        <v>-0.0</v>
      </c>
      <c r="KFO53" s="5">
        <f>-IFERROR('4. NPV'!KFP23/'4. NPV'!KFP$8,0)</f>
        <v>-0.0</v>
      </c>
      <c r="KFP53" s="5">
        <f>-IFERROR('4. NPV'!KFQ23/'4. NPV'!KFQ$8,0)</f>
        <v>-0.0</v>
      </c>
      <c r="KFQ53" s="5">
        <f>-IFERROR('4. NPV'!KFR23/'4. NPV'!KFR$8,0)</f>
        <v>-0.0</v>
      </c>
      <c r="KFR53" s="5">
        <f>-IFERROR('4. NPV'!KFS23/'4. NPV'!KFS$8,0)</f>
        <v>-0.0</v>
      </c>
      <c r="KFS53" s="5">
        <f>-IFERROR('4. NPV'!KFT23/'4. NPV'!KFT$8,0)</f>
        <v>-0.0</v>
      </c>
      <c r="KFT53" s="5">
        <f>-IFERROR('4. NPV'!KFU23/'4. NPV'!KFU$8,0)</f>
        <v>-0.0</v>
      </c>
      <c r="KFU53" s="5">
        <f>-IFERROR('4. NPV'!KFV23/'4. NPV'!KFV$8,0)</f>
        <v>-0.0</v>
      </c>
      <c r="KFV53" s="5">
        <f>-IFERROR('4. NPV'!KFW23/'4. NPV'!KFW$8,0)</f>
        <v>-0.0</v>
      </c>
      <c r="KFW53" s="5">
        <f>-IFERROR('4. NPV'!KFX23/'4. NPV'!KFX$8,0)</f>
        <v>-0.0</v>
      </c>
      <c r="KFX53" s="5">
        <f>-IFERROR('4. NPV'!KFY23/'4. NPV'!KFY$8,0)</f>
        <v>-0.0</v>
      </c>
      <c r="KFY53" s="5">
        <f>-IFERROR('4. NPV'!KFZ23/'4. NPV'!KFZ$8,0)</f>
        <v>-0.0</v>
      </c>
      <c r="KFZ53" s="5">
        <f>-IFERROR('4. NPV'!KGA23/'4. NPV'!KGA$8,0)</f>
        <v>-0.0</v>
      </c>
      <c r="KGA53" s="5">
        <f>-IFERROR('4. NPV'!KGB23/'4. NPV'!KGB$8,0)</f>
        <v>-0.0</v>
      </c>
      <c r="KGB53" s="5">
        <f>-IFERROR('4. NPV'!KGC23/'4. NPV'!KGC$8,0)</f>
        <v>-0.0</v>
      </c>
      <c r="KGC53" s="5">
        <f>-IFERROR('4. NPV'!KGD23/'4. NPV'!KGD$8,0)</f>
        <v>-0.0</v>
      </c>
      <c r="KGD53" s="5">
        <f>-IFERROR('4. NPV'!KGE23/'4. NPV'!KGE$8,0)</f>
        <v>-0.0</v>
      </c>
      <c r="KGE53" s="5">
        <f>-IFERROR('4. NPV'!KGF23/'4. NPV'!KGF$8,0)</f>
        <v>-0.0</v>
      </c>
      <c r="KGF53" s="5">
        <f>-IFERROR('4. NPV'!KGG23/'4. NPV'!KGG$8,0)</f>
        <v>-0.0</v>
      </c>
      <c r="KGG53" s="5">
        <f>-IFERROR('4. NPV'!KGH23/'4. NPV'!KGH$8,0)</f>
        <v>-0.0</v>
      </c>
      <c r="KGH53" s="5">
        <f>-IFERROR('4. NPV'!KGI23/'4. NPV'!KGI$8,0)</f>
        <v>-0.0</v>
      </c>
      <c r="KGI53" s="5">
        <f>-IFERROR('4. NPV'!KGJ23/'4. NPV'!KGJ$8,0)</f>
        <v>-0.0</v>
      </c>
      <c r="KGJ53" s="5">
        <f>-IFERROR('4. NPV'!KGK23/'4. NPV'!KGK$8,0)</f>
        <v>-0.0</v>
      </c>
      <c r="KGK53" s="5">
        <f>-IFERROR('4. NPV'!KGL23/'4. NPV'!KGL$8,0)</f>
        <v>-0.0</v>
      </c>
      <c r="KGL53" s="5">
        <f>-IFERROR('4. NPV'!KGM23/'4. NPV'!KGM$8,0)</f>
        <v>-0.0</v>
      </c>
      <c r="KGM53" s="5">
        <f>-IFERROR('4. NPV'!KGN23/'4. NPV'!KGN$8,0)</f>
        <v>-0.0</v>
      </c>
      <c r="KGN53" s="5">
        <f>-IFERROR('4. NPV'!KGO23/'4. NPV'!KGO$8,0)</f>
        <v>-0.0</v>
      </c>
      <c r="KGO53" s="5">
        <f>-IFERROR('4. NPV'!KGP23/'4. NPV'!KGP$8,0)</f>
        <v>-0.0</v>
      </c>
      <c r="KGP53" s="5">
        <f>-IFERROR('4. NPV'!KGQ23/'4. NPV'!KGQ$8,0)</f>
        <v>-0.0</v>
      </c>
      <c r="KGQ53" s="5">
        <f>-IFERROR('4. NPV'!KGR23/'4. NPV'!KGR$8,0)</f>
        <v>-0.0</v>
      </c>
      <c r="KGR53" s="5">
        <f>-IFERROR('4. NPV'!KGS23/'4. NPV'!KGS$8,0)</f>
        <v>-0.0</v>
      </c>
      <c r="KGS53" s="5">
        <f>-IFERROR('4. NPV'!KGT23/'4. NPV'!KGT$8,0)</f>
        <v>-0.0</v>
      </c>
      <c r="KGT53" s="5">
        <f>-IFERROR('4. NPV'!KGU23/'4. NPV'!KGU$8,0)</f>
        <v>-0.0</v>
      </c>
      <c r="KGU53" s="5">
        <f>-IFERROR('4. NPV'!KGV23/'4. NPV'!KGV$8,0)</f>
        <v>-0.0</v>
      </c>
      <c r="KGV53" s="5">
        <f>-IFERROR('4. NPV'!KGW23/'4. NPV'!KGW$8,0)</f>
        <v>-0.0</v>
      </c>
      <c r="KGW53" s="5">
        <f>-IFERROR('4. NPV'!KGX23/'4. NPV'!KGX$8,0)</f>
        <v>-0.0</v>
      </c>
      <c r="KGX53" s="5">
        <f>-IFERROR('4. NPV'!KGY23/'4. NPV'!KGY$8,0)</f>
        <v>-0.0</v>
      </c>
      <c r="KGY53" s="5">
        <f>-IFERROR('4. NPV'!KGZ23/'4. NPV'!KGZ$8,0)</f>
        <v>-0.0</v>
      </c>
      <c r="KGZ53" s="5">
        <f>-IFERROR('4. NPV'!KHA23/'4. NPV'!KHA$8,0)</f>
        <v>-0.0</v>
      </c>
      <c r="KHA53" s="5">
        <f>-IFERROR('4. NPV'!KHB23/'4. NPV'!KHB$8,0)</f>
        <v>-0.0</v>
      </c>
      <c r="KHB53" s="5">
        <f>-IFERROR('4. NPV'!KHC23/'4. NPV'!KHC$8,0)</f>
        <v>-0.0</v>
      </c>
      <c r="KHC53" s="5">
        <f>-IFERROR('4. NPV'!KHD23/'4. NPV'!KHD$8,0)</f>
        <v>-0.0</v>
      </c>
      <c r="KHD53" s="5">
        <f>-IFERROR('4. NPV'!KHE23/'4. NPV'!KHE$8,0)</f>
        <v>-0.0</v>
      </c>
      <c r="KHE53" s="5">
        <f>-IFERROR('4. NPV'!KHF23/'4. NPV'!KHF$8,0)</f>
        <v>-0.0</v>
      </c>
      <c r="KHF53" s="5">
        <f>-IFERROR('4. NPV'!KHG23/'4. NPV'!KHG$8,0)</f>
        <v>-0.0</v>
      </c>
      <c r="KHG53" s="5">
        <f>-IFERROR('4. NPV'!KHH23/'4. NPV'!KHH$8,0)</f>
        <v>-0.0</v>
      </c>
      <c r="KHH53" s="5">
        <f>-IFERROR('4. NPV'!KHI23/'4. NPV'!KHI$8,0)</f>
        <v>-0.0</v>
      </c>
      <c r="KHI53" s="5">
        <f>-IFERROR('4. NPV'!KHJ23/'4. NPV'!KHJ$8,0)</f>
        <v>-0.0</v>
      </c>
      <c r="KHJ53" s="5">
        <f>-IFERROR('4. NPV'!KHK23/'4. NPV'!KHK$8,0)</f>
        <v>-0.0</v>
      </c>
      <c r="KHK53" s="5">
        <f>-IFERROR('4. NPV'!KHL23/'4. NPV'!KHL$8,0)</f>
        <v>-0.0</v>
      </c>
      <c r="KHL53" s="5">
        <f>-IFERROR('4. NPV'!KHM23/'4. NPV'!KHM$8,0)</f>
        <v>-0.0</v>
      </c>
      <c r="KHM53" s="5">
        <f>-IFERROR('4. NPV'!KHN23/'4. NPV'!KHN$8,0)</f>
        <v>-0.0</v>
      </c>
      <c r="KHN53" s="5">
        <f>-IFERROR('4. NPV'!KHO23/'4. NPV'!KHO$8,0)</f>
        <v>-0.0</v>
      </c>
      <c r="KHO53" s="5">
        <f>-IFERROR('4. NPV'!KHP23/'4. NPV'!KHP$8,0)</f>
        <v>-0.0</v>
      </c>
      <c r="KHP53" s="5">
        <f>-IFERROR('4. NPV'!KHQ23/'4. NPV'!KHQ$8,0)</f>
        <v>-0.0</v>
      </c>
      <c r="KHQ53" s="5">
        <f>-IFERROR('4. NPV'!KHR23/'4. NPV'!KHR$8,0)</f>
        <v>-0.0</v>
      </c>
      <c r="KHR53" s="5">
        <f>-IFERROR('4. NPV'!KHS23/'4. NPV'!KHS$8,0)</f>
        <v>-0.0</v>
      </c>
      <c r="KHS53" s="5">
        <f>-IFERROR('4. NPV'!KHT23/'4. NPV'!KHT$8,0)</f>
        <v>-0.0</v>
      </c>
      <c r="KHT53" s="5">
        <f>-IFERROR('4. NPV'!KHU23/'4. NPV'!KHU$8,0)</f>
        <v>-0.0</v>
      </c>
      <c r="KHU53" s="5">
        <f>-IFERROR('4. NPV'!KHV23/'4. NPV'!KHV$8,0)</f>
        <v>-0.0</v>
      </c>
      <c r="KHV53" s="5">
        <f>-IFERROR('4. NPV'!KHW23/'4. NPV'!KHW$8,0)</f>
        <v>-0.0</v>
      </c>
      <c r="KHW53" s="5">
        <f>-IFERROR('4. NPV'!KHX23/'4. NPV'!KHX$8,0)</f>
        <v>-0.0</v>
      </c>
      <c r="KHX53" s="5">
        <f>-IFERROR('4. NPV'!KHY23/'4. NPV'!KHY$8,0)</f>
        <v>-0.0</v>
      </c>
      <c r="KHY53" s="5">
        <f>-IFERROR('4. NPV'!KHZ23/'4. NPV'!KHZ$8,0)</f>
        <v>-0.0</v>
      </c>
      <c r="KHZ53" s="5">
        <f>-IFERROR('4. NPV'!KIA23/'4. NPV'!KIA$8,0)</f>
        <v>-0.0</v>
      </c>
      <c r="KIA53" s="5">
        <f>-IFERROR('4. NPV'!KIB23/'4. NPV'!KIB$8,0)</f>
        <v>-0.0</v>
      </c>
      <c r="KIB53" s="5">
        <f>-IFERROR('4. NPV'!KIC23/'4. NPV'!KIC$8,0)</f>
        <v>-0.0</v>
      </c>
      <c r="KIC53" s="5">
        <f>-IFERROR('4. NPV'!KID23/'4. NPV'!KID$8,0)</f>
        <v>-0.0</v>
      </c>
      <c r="KID53" s="5">
        <f>-IFERROR('4. NPV'!KIE23/'4. NPV'!KIE$8,0)</f>
        <v>-0.0</v>
      </c>
      <c r="KIE53" s="5">
        <f>-IFERROR('4. NPV'!KIF23/'4. NPV'!KIF$8,0)</f>
        <v>-0.0</v>
      </c>
      <c r="KIF53" s="5">
        <f>-IFERROR('4. NPV'!KIG23/'4. NPV'!KIG$8,0)</f>
        <v>-0.0</v>
      </c>
      <c r="KIG53" s="5">
        <f>-IFERROR('4. NPV'!KIH23/'4. NPV'!KIH$8,0)</f>
        <v>-0.0</v>
      </c>
      <c r="KIH53" s="5">
        <f>-IFERROR('4. NPV'!KII23/'4. NPV'!KII$8,0)</f>
        <v>-0.0</v>
      </c>
      <c r="KII53" s="5">
        <f>-IFERROR('4. NPV'!KIJ23/'4. NPV'!KIJ$8,0)</f>
        <v>-0.0</v>
      </c>
      <c r="KIJ53" s="5">
        <f>-IFERROR('4. NPV'!KIK23/'4. NPV'!KIK$8,0)</f>
        <v>-0.0</v>
      </c>
      <c r="KIK53" s="5">
        <f>-IFERROR('4. NPV'!KIL23/'4. NPV'!KIL$8,0)</f>
        <v>-0.0</v>
      </c>
      <c r="KIL53" s="5">
        <f>-IFERROR('4. NPV'!KIM23/'4. NPV'!KIM$8,0)</f>
        <v>-0.0</v>
      </c>
      <c r="KIM53" s="5">
        <f>-IFERROR('4. NPV'!KIN23/'4. NPV'!KIN$8,0)</f>
        <v>-0.0</v>
      </c>
      <c r="KIN53" s="5">
        <f>-IFERROR('4. NPV'!KIO23/'4. NPV'!KIO$8,0)</f>
        <v>-0.0</v>
      </c>
      <c r="KIO53" s="5">
        <f>-IFERROR('4. NPV'!KIP23/'4. NPV'!KIP$8,0)</f>
        <v>-0.0</v>
      </c>
      <c r="KIP53" s="5">
        <f>-IFERROR('4. NPV'!KIQ23/'4. NPV'!KIQ$8,0)</f>
        <v>-0.0</v>
      </c>
      <c r="KIQ53" s="5">
        <f>-IFERROR('4. NPV'!KIR23/'4. NPV'!KIR$8,0)</f>
        <v>-0.0</v>
      </c>
      <c r="KIR53" s="5">
        <f>-IFERROR('4. NPV'!KIS23/'4. NPV'!KIS$8,0)</f>
        <v>-0.0</v>
      </c>
      <c r="KIS53" s="5">
        <f>-IFERROR('4. NPV'!KIT23/'4. NPV'!KIT$8,0)</f>
        <v>-0.0</v>
      </c>
      <c r="KIT53" s="5">
        <f>-IFERROR('4. NPV'!KIU23/'4. NPV'!KIU$8,0)</f>
        <v>-0.0</v>
      </c>
      <c r="KIU53" s="5">
        <f>-IFERROR('4. NPV'!KIV23/'4. NPV'!KIV$8,0)</f>
        <v>-0.0</v>
      </c>
      <c r="KIV53" s="5">
        <f>-IFERROR('4. NPV'!KIW23/'4. NPV'!KIW$8,0)</f>
        <v>-0.0</v>
      </c>
      <c r="KIW53" s="5">
        <f>-IFERROR('4. NPV'!KIX23/'4. NPV'!KIX$8,0)</f>
        <v>-0.0</v>
      </c>
      <c r="KIX53" s="5">
        <f>-IFERROR('4. NPV'!KIY23/'4. NPV'!KIY$8,0)</f>
        <v>-0.0</v>
      </c>
      <c r="KIY53" s="5">
        <f>-IFERROR('4. NPV'!KIZ23/'4. NPV'!KIZ$8,0)</f>
        <v>-0.0</v>
      </c>
      <c r="KIZ53" s="5">
        <f>-IFERROR('4. NPV'!KJA23/'4. NPV'!KJA$8,0)</f>
        <v>-0.0</v>
      </c>
      <c r="KJA53" s="5">
        <f>-IFERROR('4. NPV'!KJB23/'4. NPV'!KJB$8,0)</f>
        <v>-0.0</v>
      </c>
      <c r="KJB53" s="5">
        <f>-IFERROR('4. NPV'!KJC23/'4. NPV'!KJC$8,0)</f>
        <v>-0.0</v>
      </c>
      <c r="KJC53" s="5">
        <f>-IFERROR('4. NPV'!KJD23/'4. NPV'!KJD$8,0)</f>
        <v>-0.0</v>
      </c>
      <c r="KJD53" s="5">
        <f>-IFERROR('4. NPV'!KJE23/'4. NPV'!KJE$8,0)</f>
        <v>-0.0</v>
      </c>
      <c r="KJE53" s="5">
        <f>-IFERROR('4. NPV'!KJF23/'4. NPV'!KJF$8,0)</f>
        <v>-0.0</v>
      </c>
      <c r="KJF53" s="5">
        <f>-IFERROR('4. NPV'!KJG23/'4. NPV'!KJG$8,0)</f>
        <v>-0.0</v>
      </c>
      <c r="KJG53" s="5">
        <f>-IFERROR('4. NPV'!KJH23/'4. NPV'!KJH$8,0)</f>
        <v>-0.0</v>
      </c>
      <c r="KJH53" s="5">
        <f>-IFERROR('4. NPV'!KJI23/'4. NPV'!KJI$8,0)</f>
        <v>-0.0</v>
      </c>
      <c r="KJI53" s="5">
        <f>-IFERROR('4. NPV'!KJJ23/'4. NPV'!KJJ$8,0)</f>
        <v>-0.0</v>
      </c>
      <c r="KJJ53" s="5">
        <f>-IFERROR('4. NPV'!KJK23/'4. NPV'!KJK$8,0)</f>
        <v>-0.0</v>
      </c>
      <c r="KJK53" s="5">
        <f>-IFERROR('4. NPV'!KJL23/'4. NPV'!KJL$8,0)</f>
        <v>-0.0</v>
      </c>
      <c r="KJL53" s="5">
        <f>-IFERROR('4. NPV'!KJM23/'4. NPV'!KJM$8,0)</f>
        <v>-0.0</v>
      </c>
      <c r="KJM53" s="5">
        <f>-IFERROR('4. NPV'!KJN23/'4. NPV'!KJN$8,0)</f>
        <v>-0.0</v>
      </c>
      <c r="KJN53" s="5">
        <f>-IFERROR('4. NPV'!KJO23/'4. NPV'!KJO$8,0)</f>
        <v>-0.0</v>
      </c>
      <c r="KJO53" s="5">
        <f>-IFERROR('4. NPV'!KJP23/'4. NPV'!KJP$8,0)</f>
        <v>-0.0</v>
      </c>
      <c r="KJP53" s="5">
        <f>-IFERROR('4. NPV'!KJQ23/'4. NPV'!KJQ$8,0)</f>
        <v>-0.0</v>
      </c>
      <c r="KJQ53" s="5">
        <f>-IFERROR('4. NPV'!KJR23/'4. NPV'!KJR$8,0)</f>
        <v>-0.0</v>
      </c>
      <c r="KJR53" s="5">
        <f>-IFERROR('4. NPV'!KJS23/'4. NPV'!KJS$8,0)</f>
        <v>-0.0</v>
      </c>
      <c r="KJS53" s="5">
        <f>-IFERROR('4. NPV'!KJT23/'4. NPV'!KJT$8,0)</f>
        <v>-0.0</v>
      </c>
      <c r="KJT53" s="5">
        <f>-IFERROR('4. NPV'!KJU23/'4. NPV'!KJU$8,0)</f>
        <v>-0.0</v>
      </c>
      <c r="KJU53" s="5">
        <f>-IFERROR('4. NPV'!KJV23/'4. NPV'!KJV$8,0)</f>
        <v>-0.0</v>
      </c>
      <c r="KJV53" s="5">
        <f>-IFERROR('4. NPV'!KJW23/'4. NPV'!KJW$8,0)</f>
        <v>-0.0</v>
      </c>
      <c r="KJW53" s="5">
        <f>-IFERROR('4. NPV'!KJX23/'4. NPV'!KJX$8,0)</f>
        <v>-0.0</v>
      </c>
      <c r="KJX53" s="5">
        <f>-IFERROR('4. NPV'!KJY23/'4. NPV'!KJY$8,0)</f>
        <v>-0.0</v>
      </c>
      <c r="KJY53" s="5">
        <f>-IFERROR('4. NPV'!KJZ23/'4. NPV'!KJZ$8,0)</f>
        <v>-0.0</v>
      </c>
      <c r="KJZ53" s="5">
        <f>-IFERROR('4. NPV'!KKA23/'4. NPV'!KKA$8,0)</f>
        <v>-0.0</v>
      </c>
      <c r="KKA53" s="5">
        <f>-IFERROR('4. NPV'!KKB23/'4. NPV'!KKB$8,0)</f>
        <v>-0.0</v>
      </c>
      <c r="KKB53" s="5">
        <f>-IFERROR('4. NPV'!KKC23/'4. NPV'!KKC$8,0)</f>
        <v>-0.0</v>
      </c>
      <c r="KKC53" s="5">
        <f>-IFERROR('4. NPV'!KKD23/'4. NPV'!KKD$8,0)</f>
        <v>-0.0</v>
      </c>
      <c r="KKD53" s="5">
        <f>-IFERROR('4. NPV'!KKE23/'4. NPV'!KKE$8,0)</f>
        <v>-0.0</v>
      </c>
      <c r="KKE53" s="5">
        <f>-IFERROR('4. NPV'!KKF23/'4. NPV'!KKF$8,0)</f>
        <v>-0.0</v>
      </c>
      <c r="KKF53" s="5">
        <f>-IFERROR('4. NPV'!KKG23/'4. NPV'!KKG$8,0)</f>
        <v>-0.0</v>
      </c>
      <c r="KKG53" s="5">
        <f>-IFERROR('4. NPV'!KKH23/'4. NPV'!KKH$8,0)</f>
        <v>-0.0</v>
      </c>
      <c r="KKH53" s="5">
        <f>-IFERROR('4. NPV'!KKI23/'4. NPV'!KKI$8,0)</f>
        <v>-0.0</v>
      </c>
      <c r="KKI53" s="5">
        <f>-IFERROR('4. NPV'!KKJ23/'4. NPV'!KKJ$8,0)</f>
        <v>-0.0</v>
      </c>
      <c r="KKJ53" s="5">
        <f>-IFERROR('4. NPV'!KKK23/'4. NPV'!KKK$8,0)</f>
        <v>-0.0</v>
      </c>
      <c r="KKK53" s="5">
        <f>-IFERROR('4. NPV'!KKL23/'4. NPV'!KKL$8,0)</f>
        <v>-0.0</v>
      </c>
      <c r="KKL53" s="5">
        <f>-IFERROR('4. NPV'!KKM23/'4. NPV'!KKM$8,0)</f>
        <v>-0.0</v>
      </c>
      <c r="KKM53" s="5">
        <f>-IFERROR('4. NPV'!KKN23/'4. NPV'!KKN$8,0)</f>
        <v>-0.0</v>
      </c>
      <c r="KKN53" s="5">
        <f>-IFERROR('4. NPV'!KKO23/'4. NPV'!KKO$8,0)</f>
        <v>-0.0</v>
      </c>
      <c r="KKO53" s="5">
        <f>-IFERROR('4. NPV'!KKP23/'4. NPV'!KKP$8,0)</f>
        <v>-0.0</v>
      </c>
      <c r="KKP53" s="5">
        <f>-IFERROR('4. NPV'!KKQ23/'4. NPV'!KKQ$8,0)</f>
        <v>-0.0</v>
      </c>
      <c r="KKQ53" s="5">
        <f>-IFERROR('4. NPV'!KKR23/'4. NPV'!KKR$8,0)</f>
        <v>-0.0</v>
      </c>
      <c r="KKR53" s="5">
        <f>-IFERROR('4. NPV'!KKS23/'4. NPV'!KKS$8,0)</f>
        <v>-0.0</v>
      </c>
      <c r="KKS53" s="5">
        <f>-IFERROR('4. NPV'!KKT23/'4. NPV'!KKT$8,0)</f>
        <v>-0.0</v>
      </c>
      <c r="KKT53" s="5">
        <f>-IFERROR('4. NPV'!KKU23/'4. NPV'!KKU$8,0)</f>
        <v>-0.0</v>
      </c>
      <c r="KKU53" s="5">
        <f>-IFERROR('4. NPV'!KKV23/'4. NPV'!KKV$8,0)</f>
        <v>-0.0</v>
      </c>
      <c r="KKV53" s="5">
        <f>-IFERROR('4. NPV'!KKW23/'4. NPV'!KKW$8,0)</f>
        <v>-0.0</v>
      </c>
      <c r="KKW53" s="5">
        <f>-IFERROR('4. NPV'!KKX23/'4. NPV'!KKX$8,0)</f>
        <v>-0.0</v>
      </c>
      <c r="KKX53" s="5">
        <f>-IFERROR('4. NPV'!KKY23/'4. NPV'!KKY$8,0)</f>
        <v>-0.0</v>
      </c>
      <c r="KKY53" s="5">
        <f>-IFERROR('4. NPV'!KKZ23/'4. NPV'!KKZ$8,0)</f>
        <v>-0.0</v>
      </c>
      <c r="KKZ53" s="5">
        <f>-IFERROR('4. NPV'!KLA23/'4. NPV'!KLA$8,0)</f>
        <v>-0.0</v>
      </c>
      <c r="KLA53" s="5">
        <f>-IFERROR('4. NPV'!KLB23/'4. NPV'!KLB$8,0)</f>
        <v>-0.0</v>
      </c>
      <c r="KLB53" s="5">
        <f>-IFERROR('4. NPV'!KLC23/'4. NPV'!KLC$8,0)</f>
        <v>-0.0</v>
      </c>
      <c r="KLC53" s="5">
        <f>-IFERROR('4. NPV'!KLD23/'4. NPV'!KLD$8,0)</f>
        <v>-0.0</v>
      </c>
      <c r="KLD53" s="5">
        <f>-IFERROR('4. NPV'!KLE23/'4. NPV'!KLE$8,0)</f>
        <v>-0.0</v>
      </c>
      <c r="KLE53" s="5">
        <f>-IFERROR('4. NPV'!KLF23/'4. NPV'!KLF$8,0)</f>
        <v>-0.0</v>
      </c>
      <c r="KLF53" s="5">
        <f>-IFERROR('4. NPV'!KLG23/'4. NPV'!KLG$8,0)</f>
        <v>-0.0</v>
      </c>
      <c r="KLG53" s="5">
        <f>-IFERROR('4. NPV'!KLH23/'4. NPV'!KLH$8,0)</f>
        <v>-0.0</v>
      </c>
      <c r="KLH53" s="5">
        <f>-IFERROR('4. NPV'!KLI23/'4. NPV'!KLI$8,0)</f>
        <v>-0.0</v>
      </c>
      <c r="KLI53" s="5">
        <f>-IFERROR('4. NPV'!KLJ23/'4. NPV'!KLJ$8,0)</f>
        <v>-0.0</v>
      </c>
      <c r="KLJ53" s="5">
        <f>-IFERROR('4. NPV'!KLK23/'4. NPV'!KLK$8,0)</f>
        <v>-0.0</v>
      </c>
      <c r="KLK53" s="5">
        <f>-IFERROR('4. NPV'!KLL23/'4. NPV'!KLL$8,0)</f>
        <v>-0.0</v>
      </c>
      <c r="KLL53" s="5">
        <f>-IFERROR('4. NPV'!KLM23/'4. NPV'!KLM$8,0)</f>
        <v>-0.0</v>
      </c>
      <c r="KLM53" s="5">
        <f>-IFERROR('4. NPV'!KLN23/'4. NPV'!KLN$8,0)</f>
        <v>-0.0</v>
      </c>
      <c r="KLN53" s="5">
        <f>-IFERROR('4. NPV'!KLO23/'4. NPV'!KLO$8,0)</f>
        <v>-0.0</v>
      </c>
      <c r="KLO53" s="5">
        <f>-IFERROR('4. NPV'!KLP23/'4. NPV'!KLP$8,0)</f>
        <v>-0.0</v>
      </c>
      <c r="KLP53" s="5">
        <f>-IFERROR('4. NPV'!KLQ23/'4. NPV'!KLQ$8,0)</f>
        <v>-0.0</v>
      </c>
      <c r="KLQ53" s="5">
        <f>-IFERROR('4. NPV'!KLR23/'4. NPV'!KLR$8,0)</f>
        <v>-0.0</v>
      </c>
      <c r="KLR53" s="5">
        <f>-IFERROR('4. NPV'!KLS23/'4. NPV'!KLS$8,0)</f>
        <v>-0.0</v>
      </c>
      <c r="KLS53" s="5">
        <f>-IFERROR('4. NPV'!KLT23/'4. NPV'!KLT$8,0)</f>
        <v>-0.0</v>
      </c>
      <c r="KLT53" s="5">
        <f>-IFERROR('4. NPV'!KLU23/'4. NPV'!KLU$8,0)</f>
        <v>-0.0</v>
      </c>
      <c r="KLU53" s="5">
        <f>-IFERROR('4. NPV'!KLV23/'4. NPV'!KLV$8,0)</f>
        <v>-0.0</v>
      </c>
      <c r="KLV53" s="5">
        <f>-IFERROR('4. NPV'!KLW23/'4. NPV'!KLW$8,0)</f>
        <v>-0.0</v>
      </c>
      <c r="KLW53" s="5">
        <f>-IFERROR('4. NPV'!KLX23/'4. NPV'!KLX$8,0)</f>
        <v>-0.0</v>
      </c>
      <c r="KLX53" s="5">
        <f>-IFERROR('4. NPV'!KLY23/'4. NPV'!KLY$8,0)</f>
        <v>-0.0</v>
      </c>
      <c r="KLY53" s="5">
        <f>-IFERROR('4. NPV'!KLZ23/'4. NPV'!KLZ$8,0)</f>
        <v>-0.0</v>
      </c>
      <c r="KLZ53" s="5">
        <f>-IFERROR('4. NPV'!KMA23/'4. NPV'!KMA$8,0)</f>
        <v>-0.0</v>
      </c>
      <c r="KMA53" s="5">
        <f>-IFERROR('4. NPV'!KMB23/'4. NPV'!KMB$8,0)</f>
        <v>-0.0</v>
      </c>
      <c r="KMB53" s="5">
        <f>-IFERROR('4. NPV'!KMC23/'4. NPV'!KMC$8,0)</f>
        <v>-0.0</v>
      </c>
      <c r="KMC53" s="5">
        <f>-IFERROR('4. NPV'!KMD23/'4. NPV'!KMD$8,0)</f>
        <v>-0.0</v>
      </c>
      <c r="KMD53" s="5">
        <f>-IFERROR('4. NPV'!KME23/'4. NPV'!KME$8,0)</f>
        <v>-0.0</v>
      </c>
      <c r="KME53" s="5">
        <f>-IFERROR('4. NPV'!KMF23/'4. NPV'!KMF$8,0)</f>
        <v>-0.0</v>
      </c>
      <c r="KMF53" s="5">
        <f>-IFERROR('4. NPV'!KMG23/'4. NPV'!KMG$8,0)</f>
        <v>-0.0</v>
      </c>
      <c r="KMG53" s="5">
        <f>-IFERROR('4. NPV'!KMH23/'4. NPV'!KMH$8,0)</f>
        <v>-0.0</v>
      </c>
      <c r="KMH53" s="5">
        <f>-IFERROR('4. NPV'!KMI23/'4. NPV'!KMI$8,0)</f>
        <v>-0.0</v>
      </c>
      <c r="KMI53" s="5">
        <f>-IFERROR('4. NPV'!KMJ23/'4. NPV'!KMJ$8,0)</f>
        <v>-0.0</v>
      </c>
      <c r="KMJ53" s="5">
        <f>-IFERROR('4. NPV'!KMK23/'4. NPV'!KMK$8,0)</f>
        <v>-0.0</v>
      </c>
      <c r="KMK53" s="5">
        <f>-IFERROR('4. NPV'!KML23/'4. NPV'!KML$8,0)</f>
        <v>-0.0</v>
      </c>
      <c r="KML53" s="5">
        <f>-IFERROR('4. NPV'!KMM23/'4. NPV'!KMM$8,0)</f>
        <v>-0.0</v>
      </c>
      <c r="KMM53" s="5">
        <f>-IFERROR('4. NPV'!KMN23/'4. NPV'!KMN$8,0)</f>
        <v>-0.0</v>
      </c>
      <c r="KMN53" s="5">
        <f>-IFERROR('4. NPV'!KMO23/'4. NPV'!KMO$8,0)</f>
        <v>-0.0</v>
      </c>
      <c r="KMO53" s="5">
        <f>-IFERROR('4. NPV'!KMP23/'4. NPV'!KMP$8,0)</f>
        <v>-0.0</v>
      </c>
      <c r="KMP53" s="5">
        <f>-IFERROR('4. NPV'!KMQ23/'4. NPV'!KMQ$8,0)</f>
        <v>-0.0</v>
      </c>
      <c r="KMQ53" s="5">
        <f>-IFERROR('4. NPV'!KMR23/'4. NPV'!KMR$8,0)</f>
        <v>-0.0</v>
      </c>
      <c r="KMR53" s="5">
        <f>-IFERROR('4. NPV'!KMS23/'4. NPV'!KMS$8,0)</f>
        <v>-0.0</v>
      </c>
      <c r="KMS53" s="5">
        <f>-IFERROR('4. NPV'!KMT23/'4. NPV'!KMT$8,0)</f>
        <v>-0.0</v>
      </c>
      <c r="KMT53" s="5">
        <f>-IFERROR('4. NPV'!KMU23/'4. NPV'!KMU$8,0)</f>
        <v>-0.0</v>
      </c>
      <c r="KMU53" s="5">
        <f>-IFERROR('4. NPV'!KMV23/'4. NPV'!KMV$8,0)</f>
        <v>-0.0</v>
      </c>
      <c r="KMV53" s="5">
        <f>-IFERROR('4. NPV'!KMW23/'4. NPV'!KMW$8,0)</f>
        <v>-0.0</v>
      </c>
      <c r="KMW53" s="5">
        <f>-IFERROR('4. NPV'!KMX23/'4. NPV'!KMX$8,0)</f>
        <v>-0.0</v>
      </c>
      <c r="KMX53" s="5">
        <f>-IFERROR('4. NPV'!KMY23/'4. NPV'!KMY$8,0)</f>
        <v>-0.0</v>
      </c>
      <c r="KMY53" s="5">
        <f>-IFERROR('4. NPV'!KMZ23/'4. NPV'!KMZ$8,0)</f>
        <v>-0.0</v>
      </c>
      <c r="KMZ53" s="5">
        <f>-IFERROR('4. NPV'!KNA23/'4. NPV'!KNA$8,0)</f>
        <v>-0.0</v>
      </c>
      <c r="KNA53" s="5">
        <f>-IFERROR('4. NPV'!KNB23/'4. NPV'!KNB$8,0)</f>
        <v>-0.0</v>
      </c>
      <c r="KNB53" s="5">
        <f>-IFERROR('4. NPV'!KNC23/'4. NPV'!KNC$8,0)</f>
        <v>-0.0</v>
      </c>
      <c r="KNC53" s="5">
        <f>-IFERROR('4. NPV'!KND23/'4. NPV'!KND$8,0)</f>
        <v>-0.0</v>
      </c>
      <c r="KND53" s="5">
        <f>-IFERROR('4. NPV'!KNE23/'4. NPV'!KNE$8,0)</f>
        <v>-0.0</v>
      </c>
      <c r="KNE53" s="5">
        <f>-IFERROR('4. NPV'!KNF23/'4. NPV'!KNF$8,0)</f>
        <v>-0.0</v>
      </c>
      <c r="KNF53" s="5">
        <f>-IFERROR('4. NPV'!KNG23/'4. NPV'!KNG$8,0)</f>
        <v>-0.0</v>
      </c>
      <c r="KNG53" s="5">
        <f>-IFERROR('4. NPV'!KNH23/'4. NPV'!KNH$8,0)</f>
        <v>-0.0</v>
      </c>
      <c r="KNH53" s="5">
        <f>-IFERROR('4. NPV'!KNI23/'4. NPV'!KNI$8,0)</f>
        <v>-0.0</v>
      </c>
      <c r="KNI53" s="5">
        <f>-IFERROR('4. NPV'!KNJ23/'4. NPV'!KNJ$8,0)</f>
        <v>-0.0</v>
      </c>
      <c r="KNJ53" s="5">
        <f>-IFERROR('4. NPV'!KNK23/'4. NPV'!KNK$8,0)</f>
        <v>-0.0</v>
      </c>
      <c r="KNK53" s="5">
        <f>-IFERROR('4. NPV'!KNL23/'4. NPV'!KNL$8,0)</f>
        <v>-0.0</v>
      </c>
      <c r="KNL53" s="5">
        <f>-IFERROR('4. NPV'!KNM23/'4. NPV'!KNM$8,0)</f>
        <v>-0.0</v>
      </c>
      <c r="KNM53" s="5">
        <f>-IFERROR('4. NPV'!KNN23/'4. NPV'!KNN$8,0)</f>
        <v>-0.0</v>
      </c>
      <c r="KNN53" s="5">
        <f>-IFERROR('4. NPV'!KNO23/'4. NPV'!KNO$8,0)</f>
        <v>-0.0</v>
      </c>
      <c r="KNO53" s="5">
        <f>-IFERROR('4. NPV'!KNP23/'4. NPV'!KNP$8,0)</f>
        <v>-0.0</v>
      </c>
      <c r="KNP53" s="5">
        <f>-IFERROR('4. NPV'!KNQ23/'4. NPV'!KNQ$8,0)</f>
        <v>-0.0</v>
      </c>
      <c r="KNQ53" s="5">
        <f>-IFERROR('4. NPV'!KNR23/'4. NPV'!KNR$8,0)</f>
        <v>-0.0</v>
      </c>
      <c r="KNR53" s="5">
        <f>-IFERROR('4. NPV'!KNS23/'4. NPV'!KNS$8,0)</f>
        <v>-0.0</v>
      </c>
      <c r="KNS53" s="5">
        <f>-IFERROR('4. NPV'!KNT23/'4. NPV'!KNT$8,0)</f>
        <v>-0.0</v>
      </c>
      <c r="KNT53" s="5">
        <f>-IFERROR('4. NPV'!KNU23/'4. NPV'!KNU$8,0)</f>
        <v>-0.0</v>
      </c>
      <c r="KNU53" s="5">
        <f>-IFERROR('4. NPV'!KNV23/'4. NPV'!KNV$8,0)</f>
        <v>-0.0</v>
      </c>
      <c r="KNV53" s="5">
        <f>-IFERROR('4. NPV'!KNW23/'4. NPV'!KNW$8,0)</f>
        <v>-0.0</v>
      </c>
      <c r="KNW53" s="5">
        <f>-IFERROR('4. NPV'!KNX23/'4. NPV'!KNX$8,0)</f>
        <v>-0.0</v>
      </c>
      <c r="KNX53" s="5">
        <f>-IFERROR('4. NPV'!KNY23/'4. NPV'!KNY$8,0)</f>
        <v>-0.0</v>
      </c>
      <c r="KNY53" s="5">
        <f>-IFERROR('4. NPV'!KNZ23/'4. NPV'!KNZ$8,0)</f>
        <v>-0.0</v>
      </c>
      <c r="KNZ53" s="5">
        <f>-IFERROR('4. NPV'!KOA23/'4. NPV'!KOA$8,0)</f>
        <v>-0.0</v>
      </c>
      <c r="KOA53" s="5">
        <f>-IFERROR('4. NPV'!KOB23/'4. NPV'!KOB$8,0)</f>
        <v>-0.0</v>
      </c>
      <c r="KOB53" s="5">
        <f>-IFERROR('4. NPV'!KOC23/'4. NPV'!KOC$8,0)</f>
        <v>-0.0</v>
      </c>
      <c r="KOC53" s="5">
        <f>-IFERROR('4. NPV'!KOD23/'4. NPV'!KOD$8,0)</f>
        <v>-0.0</v>
      </c>
      <c r="KOD53" s="5">
        <f>-IFERROR('4. NPV'!KOE23/'4. NPV'!KOE$8,0)</f>
        <v>-0.0</v>
      </c>
      <c r="KOE53" s="5">
        <f>-IFERROR('4. NPV'!KOF23/'4. NPV'!KOF$8,0)</f>
        <v>-0.0</v>
      </c>
      <c r="KOF53" s="5">
        <f>-IFERROR('4. NPV'!KOG23/'4. NPV'!KOG$8,0)</f>
        <v>-0.0</v>
      </c>
      <c r="KOG53" s="5">
        <f>-IFERROR('4. NPV'!KOH23/'4. NPV'!KOH$8,0)</f>
        <v>-0.0</v>
      </c>
      <c r="KOH53" s="5">
        <f>-IFERROR('4. NPV'!KOI23/'4. NPV'!KOI$8,0)</f>
        <v>-0.0</v>
      </c>
      <c r="KOI53" s="5">
        <f>-IFERROR('4. NPV'!KOJ23/'4. NPV'!KOJ$8,0)</f>
        <v>-0.0</v>
      </c>
      <c r="KOJ53" s="5">
        <f>-IFERROR('4. NPV'!KOK23/'4. NPV'!KOK$8,0)</f>
        <v>-0.0</v>
      </c>
      <c r="KOK53" s="5">
        <f>-IFERROR('4. NPV'!KOL23/'4. NPV'!KOL$8,0)</f>
        <v>-0.0</v>
      </c>
      <c r="KOL53" s="5">
        <f>-IFERROR('4. NPV'!KOM23/'4. NPV'!KOM$8,0)</f>
        <v>-0.0</v>
      </c>
      <c r="KOM53" s="5">
        <f>-IFERROR('4. NPV'!KON23/'4. NPV'!KON$8,0)</f>
        <v>-0.0</v>
      </c>
      <c r="KON53" s="5">
        <f>-IFERROR('4. NPV'!KOO23/'4. NPV'!KOO$8,0)</f>
        <v>-0.0</v>
      </c>
      <c r="KOO53" s="5">
        <f>-IFERROR('4. NPV'!KOP23/'4. NPV'!KOP$8,0)</f>
        <v>-0.0</v>
      </c>
      <c r="KOP53" s="5">
        <f>-IFERROR('4. NPV'!KOQ23/'4. NPV'!KOQ$8,0)</f>
        <v>-0.0</v>
      </c>
      <c r="KOQ53" s="5">
        <f>-IFERROR('4. NPV'!KOR23/'4. NPV'!KOR$8,0)</f>
        <v>-0.0</v>
      </c>
      <c r="KOR53" s="5">
        <f>-IFERROR('4. NPV'!KOS23/'4. NPV'!KOS$8,0)</f>
        <v>-0.0</v>
      </c>
      <c r="KOS53" s="5">
        <f>-IFERROR('4. NPV'!KOT23/'4. NPV'!KOT$8,0)</f>
        <v>-0.0</v>
      </c>
      <c r="KOT53" s="5">
        <f>-IFERROR('4. NPV'!KOU23/'4. NPV'!KOU$8,0)</f>
        <v>-0.0</v>
      </c>
      <c r="KOU53" s="5">
        <f>-IFERROR('4. NPV'!KOV23/'4. NPV'!KOV$8,0)</f>
        <v>-0.0</v>
      </c>
      <c r="KOV53" s="5">
        <f>-IFERROR('4. NPV'!KOW23/'4. NPV'!KOW$8,0)</f>
        <v>-0.0</v>
      </c>
      <c r="KOW53" s="5">
        <f>-IFERROR('4. NPV'!KOX23/'4. NPV'!KOX$8,0)</f>
        <v>-0.0</v>
      </c>
      <c r="KOX53" s="5">
        <f>-IFERROR('4. NPV'!KOY23/'4. NPV'!KOY$8,0)</f>
        <v>-0.0</v>
      </c>
      <c r="KOY53" s="5">
        <f>-IFERROR('4. NPV'!KOZ23/'4. NPV'!KOZ$8,0)</f>
        <v>-0.0</v>
      </c>
      <c r="KOZ53" s="5">
        <f>-IFERROR('4. NPV'!KPA23/'4. NPV'!KPA$8,0)</f>
        <v>-0.0</v>
      </c>
      <c r="KPA53" s="5">
        <f>-IFERROR('4. NPV'!KPB23/'4. NPV'!KPB$8,0)</f>
        <v>-0.0</v>
      </c>
      <c r="KPB53" s="5">
        <f>-IFERROR('4. NPV'!KPC23/'4. NPV'!KPC$8,0)</f>
        <v>-0.0</v>
      </c>
      <c r="KPC53" s="5">
        <f>-IFERROR('4. NPV'!KPD23/'4. NPV'!KPD$8,0)</f>
        <v>-0.0</v>
      </c>
      <c r="KPD53" s="5">
        <f>-IFERROR('4. NPV'!KPE23/'4. NPV'!KPE$8,0)</f>
        <v>-0.0</v>
      </c>
      <c r="KPE53" s="5">
        <f>-IFERROR('4. NPV'!KPF23/'4. NPV'!KPF$8,0)</f>
        <v>-0.0</v>
      </c>
      <c r="KPF53" s="5">
        <f>-IFERROR('4. NPV'!KPG23/'4. NPV'!KPG$8,0)</f>
        <v>-0.0</v>
      </c>
      <c r="KPG53" s="5">
        <f>-IFERROR('4. NPV'!KPH23/'4. NPV'!KPH$8,0)</f>
        <v>-0.0</v>
      </c>
      <c r="KPH53" s="5">
        <f>-IFERROR('4. NPV'!KPI23/'4. NPV'!KPI$8,0)</f>
        <v>-0.0</v>
      </c>
      <c r="KPI53" s="5">
        <f>-IFERROR('4. NPV'!KPJ23/'4. NPV'!KPJ$8,0)</f>
        <v>-0.0</v>
      </c>
      <c r="KPJ53" s="5">
        <f>-IFERROR('4. NPV'!KPK23/'4. NPV'!KPK$8,0)</f>
        <v>-0.0</v>
      </c>
      <c r="KPK53" s="5">
        <f>-IFERROR('4. NPV'!KPL23/'4. NPV'!KPL$8,0)</f>
        <v>-0.0</v>
      </c>
      <c r="KPL53" s="5">
        <f>-IFERROR('4. NPV'!KPM23/'4. NPV'!KPM$8,0)</f>
        <v>-0.0</v>
      </c>
      <c r="KPM53" s="5">
        <f>-IFERROR('4. NPV'!KPN23/'4. NPV'!KPN$8,0)</f>
        <v>-0.0</v>
      </c>
      <c r="KPN53" s="5">
        <f>-IFERROR('4. NPV'!KPO23/'4. NPV'!KPO$8,0)</f>
        <v>-0.0</v>
      </c>
      <c r="KPO53" s="5">
        <f>-IFERROR('4. NPV'!KPP23/'4. NPV'!KPP$8,0)</f>
        <v>-0.0</v>
      </c>
      <c r="KPP53" s="5">
        <f>-IFERROR('4. NPV'!KPQ23/'4. NPV'!KPQ$8,0)</f>
        <v>-0.0</v>
      </c>
      <c r="KPQ53" s="5">
        <f>-IFERROR('4. NPV'!KPR23/'4. NPV'!KPR$8,0)</f>
        <v>-0.0</v>
      </c>
      <c r="KPR53" s="5">
        <f>-IFERROR('4. NPV'!KPS23/'4. NPV'!KPS$8,0)</f>
        <v>-0.0</v>
      </c>
      <c r="KPS53" s="5">
        <f>-IFERROR('4. NPV'!KPT23/'4. NPV'!KPT$8,0)</f>
        <v>-0.0</v>
      </c>
      <c r="KPT53" s="5">
        <f>-IFERROR('4. NPV'!KPU23/'4. NPV'!KPU$8,0)</f>
        <v>-0.0</v>
      </c>
      <c r="KPU53" s="5">
        <f>-IFERROR('4. NPV'!KPV23/'4. NPV'!KPV$8,0)</f>
        <v>-0.0</v>
      </c>
      <c r="KPV53" s="5">
        <f>-IFERROR('4. NPV'!KPW23/'4. NPV'!KPW$8,0)</f>
        <v>-0.0</v>
      </c>
      <c r="KPW53" s="5">
        <f>-IFERROR('4. NPV'!KPX23/'4. NPV'!KPX$8,0)</f>
        <v>-0.0</v>
      </c>
      <c r="KPX53" s="5">
        <f>-IFERROR('4. NPV'!KPY23/'4. NPV'!KPY$8,0)</f>
        <v>-0.0</v>
      </c>
      <c r="KPY53" s="5">
        <f>-IFERROR('4. NPV'!KPZ23/'4. NPV'!KPZ$8,0)</f>
        <v>-0.0</v>
      </c>
      <c r="KPZ53" s="5">
        <f>-IFERROR('4. NPV'!KQA23/'4. NPV'!KQA$8,0)</f>
        <v>-0.0</v>
      </c>
      <c r="KQA53" s="5">
        <f>-IFERROR('4. NPV'!KQB23/'4. NPV'!KQB$8,0)</f>
        <v>-0.0</v>
      </c>
      <c r="KQB53" s="5">
        <f>-IFERROR('4. NPV'!KQC23/'4. NPV'!KQC$8,0)</f>
        <v>-0.0</v>
      </c>
      <c r="KQC53" s="5">
        <f>-IFERROR('4. NPV'!KQD23/'4. NPV'!KQD$8,0)</f>
        <v>-0.0</v>
      </c>
      <c r="KQD53" s="5">
        <f>-IFERROR('4. NPV'!KQE23/'4. NPV'!KQE$8,0)</f>
        <v>-0.0</v>
      </c>
      <c r="KQE53" s="5">
        <f>-IFERROR('4. NPV'!KQF23/'4. NPV'!KQF$8,0)</f>
        <v>-0.0</v>
      </c>
      <c r="KQF53" s="5">
        <f>-IFERROR('4. NPV'!KQG23/'4. NPV'!KQG$8,0)</f>
        <v>-0.0</v>
      </c>
      <c r="KQG53" s="5">
        <f>-IFERROR('4. NPV'!KQH23/'4. NPV'!KQH$8,0)</f>
        <v>-0.0</v>
      </c>
      <c r="KQH53" s="5">
        <f>-IFERROR('4. NPV'!KQI23/'4. NPV'!KQI$8,0)</f>
        <v>-0.0</v>
      </c>
      <c r="KQI53" s="5">
        <f>-IFERROR('4. NPV'!KQJ23/'4. NPV'!KQJ$8,0)</f>
        <v>-0.0</v>
      </c>
      <c r="KQJ53" s="5">
        <f>-IFERROR('4. NPV'!KQK23/'4. NPV'!KQK$8,0)</f>
        <v>-0.0</v>
      </c>
      <c r="KQK53" s="5">
        <f>-IFERROR('4. NPV'!KQL23/'4. NPV'!KQL$8,0)</f>
        <v>-0.0</v>
      </c>
      <c r="KQL53" s="5">
        <f>-IFERROR('4. NPV'!KQM23/'4. NPV'!KQM$8,0)</f>
        <v>-0.0</v>
      </c>
      <c r="KQM53" s="5">
        <f>-IFERROR('4. NPV'!KQN23/'4. NPV'!KQN$8,0)</f>
        <v>-0.0</v>
      </c>
      <c r="KQN53" s="5">
        <f>-IFERROR('4. NPV'!KQO23/'4. NPV'!KQO$8,0)</f>
        <v>-0.0</v>
      </c>
      <c r="KQO53" s="5">
        <f>-IFERROR('4. NPV'!KQP23/'4. NPV'!KQP$8,0)</f>
        <v>-0.0</v>
      </c>
      <c r="KQP53" s="5">
        <f>-IFERROR('4. NPV'!KQQ23/'4. NPV'!KQQ$8,0)</f>
        <v>-0.0</v>
      </c>
      <c r="KQQ53" s="5">
        <f>-IFERROR('4. NPV'!KQR23/'4. NPV'!KQR$8,0)</f>
        <v>-0.0</v>
      </c>
      <c r="KQR53" s="5">
        <f>-IFERROR('4. NPV'!KQS23/'4. NPV'!KQS$8,0)</f>
        <v>-0.0</v>
      </c>
      <c r="KQS53" s="5">
        <f>-IFERROR('4. NPV'!KQT23/'4. NPV'!KQT$8,0)</f>
        <v>-0.0</v>
      </c>
      <c r="KQT53" s="5">
        <f>-IFERROR('4. NPV'!KQU23/'4. NPV'!KQU$8,0)</f>
        <v>-0.0</v>
      </c>
      <c r="KQU53" s="5">
        <f>-IFERROR('4. NPV'!KQV23/'4. NPV'!KQV$8,0)</f>
        <v>-0.0</v>
      </c>
      <c r="KQV53" s="5">
        <f>-IFERROR('4. NPV'!KQW23/'4. NPV'!KQW$8,0)</f>
        <v>-0.0</v>
      </c>
      <c r="KQW53" s="5">
        <f>-IFERROR('4. NPV'!KQX23/'4. NPV'!KQX$8,0)</f>
        <v>-0.0</v>
      </c>
      <c r="KQX53" s="5">
        <f>-IFERROR('4. NPV'!KQY23/'4. NPV'!KQY$8,0)</f>
        <v>-0.0</v>
      </c>
      <c r="KQY53" s="5">
        <f>-IFERROR('4. NPV'!KQZ23/'4. NPV'!KQZ$8,0)</f>
        <v>-0.0</v>
      </c>
      <c r="KQZ53" s="5">
        <f>-IFERROR('4. NPV'!KRA23/'4. NPV'!KRA$8,0)</f>
        <v>-0.0</v>
      </c>
      <c r="KRA53" s="5">
        <f>-IFERROR('4. NPV'!KRB23/'4. NPV'!KRB$8,0)</f>
        <v>-0.0</v>
      </c>
      <c r="KRB53" s="5">
        <f>-IFERROR('4. NPV'!KRC23/'4. NPV'!KRC$8,0)</f>
        <v>-0.0</v>
      </c>
      <c r="KRC53" s="5">
        <f>-IFERROR('4. NPV'!KRD23/'4. NPV'!KRD$8,0)</f>
        <v>-0.0</v>
      </c>
      <c r="KRD53" s="5">
        <f>-IFERROR('4. NPV'!KRE23/'4. NPV'!KRE$8,0)</f>
        <v>-0.0</v>
      </c>
      <c r="KRE53" s="5">
        <f>-IFERROR('4. NPV'!KRF23/'4. NPV'!KRF$8,0)</f>
        <v>-0.0</v>
      </c>
      <c r="KRF53" s="5">
        <f>-IFERROR('4. NPV'!KRG23/'4. NPV'!KRG$8,0)</f>
        <v>-0.0</v>
      </c>
      <c r="KRG53" s="5">
        <f>-IFERROR('4. NPV'!KRH23/'4. NPV'!KRH$8,0)</f>
        <v>-0.0</v>
      </c>
      <c r="KRH53" s="5">
        <f>-IFERROR('4. NPV'!KRI23/'4. NPV'!KRI$8,0)</f>
        <v>-0.0</v>
      </c>
      <c r="KRI53" s="5">
        <f>-IFERROR('4. NPV'!KRJ23/'4. NPV'!KRJ$8,0)</f>
        <v>-0.0</v>
      </c>
      <c r="KRJ53" s="5">
        <f>-IFERROR('4. NPV'!KRK23/'4. NPV'!KRK$8,0)</f>
        <v>-0.0</v>
      </c>
      <c r="KRK53" s="5">
        <f>-IFERROR('4. NPV'!KRL23/'4. NPV'!KRL$8,0)</f>
        <v>-0.0</v>
      </c>
      <c r="KRL53" s="5">
        <f>-IFERROR('4. NPV'!KRM23/'4. NPV'!KRM$8,0)</f>
        <v>-0.0</v>
      </c>
      <c r="KRM53" s="5">
        <f>-IFERROR('4. NPV'!KRN23/'4. NPV'!KRN$8,0)</f>
        <v>-0.0</v>
      </c>
      <c r="KRN53" s="5">
        <f>-IFERROR('4. NPV'!KRO23/'4. NPV'!KRO$8,0)</f>
        <v>-0.0</v>
      </c>
      <c r="KRO53" s="5">
        <f>-IFERROR('4. NPV'!KRP23/'4. NPV'!KRP$8,0)</f>
        <v>-0.0</v>
      </c>
      <c r="KRP53" s="5">
        <f>-IFERROR('4. NPV'!KRQ23/'4. NPV'!KRQ$8,0)</f>
        <v>-0.0</v>
      </c>
      <c r="KRQ53" s="5">
        <f>-IFERROR('4. NPV'!KRR23/'4. NPV'!KRR$8,0)</f>
        <v>-0.0</v>
      </c>
      <c r="KRR53" s="5">
        <f>-IFERROR('4. NPV'!KRS23/'4. NPV'!KRS$8,0)</f>
        <v>-0.0</v>
      </c>
      <c r="KRS53" s="5">
        <f>-IFERROR('4. NPV'!KRT23/'4. NPV'!KRT$8,0)</f>
        <v>-0.0</v>
      </c>
      <c r="KRT53" s="5">
        <f>-IFERROR('4. NPV'!KRU23/'4. NPV'!KRU$8,0)</f>
        <v>-0.0</v>
      </c>
      <c r="KRU53" s="5">
        <f>-IFERROR('4. NPV'!KRV23/'4. NPV'!KRV$8,0)</f>
        <v>-0.0</v>
      </c>
      <c r="KRV53" s="5">
        <f>-IFERROR('4. NPV'!KRW23/'4. NPV'!KRW$8,0)</f>
        <v>-0.0</v>
      </c>
      <c r="KRW53" s="5">
        <f>-IFERROR('4. NPV'!KRX23/'4. NPV'!KRX$8,0)</f>
        <v>-0.0</v>
      </c>
      <c r="KRX53" s="5">
        <f>-IFERROR('4. NPV'!KRY23/'4. NPV'!KRY$8,0)</f>
        <v>-0.0</v>
      </c>
      <c r="KRY53" s="5">
        <f>-IFERROR('4. NPV'!KRZ23/'4. NPV'!KRZ$8,0)</f>
        <v>-0.0</v>
      </c>
      <c r="KRZ53" s="5">
        <f>-IFERROR('4. NPV'!KSA23/'4. NPV'!KSA$8,0)</f>
        <v>-0.0</v>
      </c>
      <c r="KSA53" s="5">
        <f>-IFERROR('4. NPV'!KSB23/'4. NPV'!KSB$8,0)</f>
        <v>-0.0</v>
      </c>
      <c r="KSB53" s="5">
        <f>-IFERROR('4. NPV'!KSC23/'4. NPV'!KSC$8,0)</f>
        <v>-0.0</v>
      </c>
      <c r="KSC53" s="5">
        <f>-IFERROR('4. NPV'!KSD23/'4. NPV'!KSD$8,0)</f>
        <v>-0.0</v>
      </c>
      <c r="KSD53" s="5">
        <f>-IFERROR('4. NPV'!KSE23/'4. NPV'!KSE$8,0)</f>
        <v>-0.0</v>
      </c>
      <c r="KSE53" s="5">
        <f>-IFERROR('4. NPV'!KSF23/'4. NPV'!KSF$8,0)</f>
        <v>-0.0</v>
      </c>
      <c r="KSF53" s="5">
        <f>-IFERROR('4. NPV'!KSG23/'4. NPV'!KSG$8,0)</f>
        <v>-0.0</v>
      </c>
      <c r="KSG53" s="5">
        <f>-IFERROR('4. NPV'!KSH23/'4. NPV'!KSH$8,0)</f>
        <v>-0.0</v>
      </c>
      <c r="KSH53" s="5">
        <f>-IFERROR('4. NPV'!KSI23/'4. NPV'!KSI$8,0)</f>
        <v>-0.0</v>
      </c>
      <c r="KSI53" s="5">
        <f>-IFERROR('4. NPV'!KSJ23/'4. NPV'!KSJ$8,0)</f>
        <v>-0.0</v>
      </c>
      <c r="KSJ53" s="5">
        <f>-IFERROR('4. NPV'!KSK23/'4. NPV'!KSK$8,0)</f>
        <v>-0.0</v>
      </c>
      <c r="KSK53" s="5">
        <f>-IFERROR('4. NPV'!KSL23/'4. NPV'!KSL$8,0)</f>
        <v>-0.0</v>
      </c>
      <c r="KSL53" s="5">
        <f>-IFERROR('4. NPV'!KSM23/'4. NPV'!KSM$8,0)</f>
        <v>-0.0</v>
      </c>
      <c r="KSM53" s="5">
        <f>-IFERROR('4. NPV'!KSN23/'4. NPV'!KSN$8,0)</f>
        <v>-0.0</v>
      </c>
      <c r="KSN53" s="5">
        <f>-IFERROR('4. NPV'!KSO23/'4. NPV'!KSO$8,0)</f>
        <v>-0.0</v>
      </c>
      <c r="KSO53" s="5">
        <f>-IFERROR('4. NPV'!KSP23/'4. NPV'!KSP$8,0)</f>
        <v>-0.0</v>
      </c>
      <c r="KSP53" s="5">
        <f>-IFERROR('4. NPV'!KSQ23/'4. NPV'!KSQ$8,0)</f>
        <v>-0.0</v>
      </c>
      <c r="KSQ53" s="5">
        <f>-IFERROR('4. NPV'!KSR23/'4. NPV'!KSR$8,0)</f>
        <v>-0.0</v>
      </c>
      <c r="KSR53" s="5">
        <f>-IFERROR('4. NPV'!KSS23/'4. NPV'!KSS$8,0)</f>
        <v>-0.0</v>
      </c>
      <c r="KSS53" s="5">
        <f>-IFERROR('4. NPV'!KST23/'4. NPV'!KST$8,0)</f>
        <v>-0.0</v>
      </c>
      <c r="KST53" s="5">
        <f>-IFERROR('4. NPV'!KSU23/'4. NPV'!KSU$8,0)</f>
        <v>-0.0</v>
      </c>
      <c r="KSU53" s="5">
        <f>-IFERROR('4. NPV'!KSV23/'4. NPV'!KSV$8,0)</f>
        <v>-0.0</v>
      </c>
      <c r="KSV53" s="5">
        <f>-IFERROR('4. NPV'!KSW23/'4. NPV'!KSW$8,0)</f>
        <v>-0.0</v>
      </c>
      <c r="KSW53" s="5">
        <f>-IFERROR('4. NPV'!KSX23/'4. NPV'!KSX$8,0)</f>
        <v>-0.0</v>
      </c>
      <c r="KSX53" s="5">
        <f>-IFERROR('4. NPV'!KSY23/'4. NPV'!KSY$8,0)</f>
        <v>-0.0</v>
      </c>
      <c r="KSY53" s="5">
        <f>-IFERROR('4. NPV'!KSZ23/'4. NPV'!KSZ$8,0)</f>
        <v>-0.0</v>
      </c>
      <c r="KSZ53" s="5">
        <f>-IFERROR('4. NPV'!KTA23/'4. NPV'!KTA$8,0)</f>
        <v>-0.0</v>
      </c>
      <c r="KTA53" s="5">
        <f>-IFERROR('4. NPV'!KTB23/'4. NPV'!KTB$8,0)</f>
        <v>-0.0</v>
      </c>
      <c r="KTB53" s="5">
        <f>-IFERROR('4. NPV'!KTC23/'4. NPV'!KTC$8,0)</f>
        <v>-0.0</v>
      </c>
      <c r="KTC53" s="5">
        <f>-IFERROR('4. NPV'!KTD23/'4. NPV'!KTD$8,0)</f>
        <v>-0.0</v>
      </c>
      <c r="KTD53" s="5">
        <f>-IFERROR('4. NPV'!KTE23/'4. NPV'!KTE$8,0)</f>
        <v>-0.0</v>
      </c>
      <c r="KTE53" s="5">
        <f>-IFERROR('4. NPV'!KTF23/'4. NPV'!KTF$8,0)</f>
        <v>-0.0</v>
      </c>
      <c r="KTF53" s="5">
        <f>-IFERROR('4. NPV'!KTG23/'4. NPV'!KTG$8,0)</f>
        <v>-0.0</v>
      </c>
      <c r="KTG53" s="5">
        <f>-IFERROR('4. NPV'!KTH23/'4. NPV'!KTH$8,0)</f>
        <v>-0.0</v>
      </c>
      <c r="KTH53" s="5">
        <f>-IFERROR('4. NPV'!KTI23/'4. NPV'!KTI$8,0)</f>
        <v>-0.0</v>
      </c>
      <c r="KTI53" s="5">
        <f>-IFERROR('4. NPV'!KTJ23/'4. NPV'!KTJ$8,0)</f>
        <v>-0.0</v>
      </c>
      <c r="KTJ53" s="5">
        <f>-IFERROR('4. NPV'!KTK23/'4. NPV'!KTK$8,0)</f>
        <v>-0.0</v>
      </c>
      <c r="KTK53" s="5">
        <f>-IFERROR('4. NPV'!KTL23/'4. NPV'!KTL$8,0)</f>
        <v>-0.0</v>
      </c>
      <c r="KTL53" s="5">
        <f>-IFERROR('4. NPV'!KTM23/'4. NPV'!KTM$8,0)</f>
        <v>-0.0</v>
      </c>
      <c r="KTM53" s="5">
        <f>-IFERROR('4. NPV'!KTN23/'4. NPV'!KTN$8,0)</f>
        <v>-0.0</v>
      </c>
      <c r="KTN53" s="5">
        <f>-IFERROR('4. NPV'!KTO23/'4. NPV'!KTO$8,0)</f>
        <v>-0.0</v>
      </c>
      <c r="KTO53" s="5">
        <f>-IFERROR('4. NPV'!KTP23/'4. NPV'!KTP$8,0)</f>
        <v>-0.0</v>
      </c>
      <c r="KTP53" s="5">
        <f>-IFERROR('4. NPV'!KTQ23/'4. NPV'!KTQ$8,0)</f>
        <v>-0.0</v>
      </c>
      <c r="KTQ53" s="5">
        <f>-IFERROR('4. NPV'!KTR23/'4. NPV'!KTR$8,0)</f>
        <v>-0.0</v>
      </c>
      <c r="KTR53" s="5">
        <f>-IFERROR('4. NPV'!KTS23/'4. NPV'!KTS$8,0)</f>
        <v>-0.0</v>
      </c>
      <c r="KTS53" s="5">
        <f>-IFERROR('4. NPV'!KTT23/'4. NPV'!KTT$8,0)</f>
        <v>-0.0</v>
      </c>
      <c r="KTT53" s="5">
        <f>-IFERROR('4. NPV'!KTU23/'4. NPV'!KTU$8,0)</f>
        <v>-0.0</v>
      </c>
      <c r="KTU53" s="5">
        <f>-IFERROR('4. NPV'!KTV23/'4. NPV'!KTV$8,0)</f>
        <v>-0.0</v>
      </c>
      <c r="KTV53" s="5">
        <f>-IFERROR('4. NPV'!KTW23/'4. NPV'!KTW$8,0)</f>
        <v>-0.0</v>
      </c>
      <c r="KTW53" s="5">
        <f>-IFERROR('4. NPV'!KTX23/'4. NPV'!KTX$8,0)</f>
        <v>-0.0</v>
      </c>
      <c r="KTX53" s="5">
        <f>-IFERROR('4. NPV'!KTY23/'4. NPV'!KTY$8,0)</f>
        <v>-0.0</v>
      </c>
      <c r="KTY53" s="5">
        <f>-IFERROR('4. NPV'!KTZ23/'4. NPV'!KTZ$8,0)</f>
        <v>-0.0</v>
      </c>
      <c r="KTZ53" s="5">
        <f>-IFERROR('4. NPV'!KUA23/'4. NPV'!KUA$8,0)</f>
        <v>-0.0</v>
      </c>
      <c r="KUA53" s="5">
        <f>-IFERROR('4. NPV'!KUB23/'4. NPV'!KUB$8,0)</f>
        <v>-0.0</v>
      </c>
      <c r="KUB53" s="5">
        <f>-IFERROR('4. NPV'!KUC23/'4. NPV'!KUC$8,0)</f>
        <v>-0.0</v>
      </c>
      <c r="KUC53" s="5">
        <f>-IFERROR('4. NPV'!KUD23/'4. NPV'!KUD$8,0)</f>
        <v>-0.0</v>
      </c>
      <c r="KUD53" s="5">
        <f>-IFERROR('4. NPV'!KUE23/'4. NPV'!KUE$8,0)</f>
        <v>-0.0</v>
      </c>
      <c r="KUE53" s="5">
        <f>-IFERROR('4. NPV'!KUF23/'4. NPV'!KUF$8,0)</f>
        <v>-0.0</v>
      </c>
      <c r="KUF53" s="5">
        <f>-IFERROR('4. NPV'!KUG23/'4. NPV'!KUG$8,0)</f>
        <v>-0.0</v>
      </c>
      <c r="KUG53" s="5">
        <f>-IFERROR('4. NPV'!KUH23/'4. NPV'!KUH$8,0)</f>
        <v>-0.0</v>
      </c>
      <c r="KUH53" s="5">
        <f>-IFERROR('4. NPV'!KUI23/'4. NPV'!KUI$8,0)</f>
        <v>-0.0</v>
      </c>
      <c r="KUI53" s="5">
        <f>-IFERROR('4. NPV'!KUJ23/'4. NPV'!KUJ$8,0)</f>
        <v>-0.0</v>
      </c>
      <c r="KUJ53" s="5">
        <f>-IFERROR('4. NPV'!KUK23/'4. NPV'!KUK$8,0)</f>
        <v>-0.0</v>
      </c>
      <c r="KUK53" s="5">
        <f>-IFERROR('4. NPV'!KUL23/'4. NPV'!KUL$8,0)</f>
        <v>-0.0</v>
      </c>
      <c r="KUL53" s="5">
        <f>-IFERROR('4. NPV'!KUM23/'4. NPV'!KUM$8,0)</f>
        <v>-0.0</v>
      </c>
      <c r="KUM53" s="5">
        <f>-IFERROR('4. NPV'!KUN23/'4. NPV'!KUN$8,0)</f>
        <v>-0.0</v>
      </c>
      <c r="KUN53" s="5">
        <f>-IFERROR('4. NPV'!KUO23/'4. NPV'!KUO$8,0)</f>
        <v>-0.0</v>
      </c>
      <c r="KUO53" s="5">
        <f>-IFERROR('4. NPV'!KUP23/'4. NPV'!KUP$8,0)</f>
        <v>-0.0</v>
      </c>
      <c r="KUP53" s="5">
        <f>-IFERROR('4. NPV'!KUQ23/'4. NPV'!KUQ$8,0)</f>
        <v>-0.0</v>
      </c>
      <c r="KUQ53" s="5">
        <f>-IFERROR('4. NPV'!KUR23/'4. NPV'!KUR$8,0)</f>
        <v>-0.0</v>
      </c>
      <c r="KUR53" s="5">
        <f>-IFERROR('4. NPV'!KUS23/'4. NPV'!KUS$8,0)</f>
        <v>-0.0</v>
      </c>
      <c r="KUS53" s="5">
        <f>-IFERROR('4. NPV'!KUT23/'4. NPV'!KUT$8,0)</f>
        <v>-0.0</v>
      </c>
      <c r="KUT53" s="5">
        <f>-IFERROR('4. NPV'!KUU23/'4. NPV'!KUU$8,0)</f>
        <v>-0.0</v>
      </c>
      <c r="KUU53" s="5">
        <f>-IFERROR('4. NPV'!KUV23/'4. NPV'!KUV$8,0)</f>
        <v>-0.0</v>
      </c>
      <c r="KUV53" s="5">
        <f>-IFERROR('4. NPV'!KUW23/'4. NPV'!KUW$8,0)</f>
        <v>-0.0</v>
      </c>
      <c r="KUW53" s="5">
        <f>-IFERROR('4. NPV'!KUX23/'4. NPV'!KUX$8,0)</f>
        <v>-0.0</v>
      </c>
      <c r="KUX53" s="5">
        <f>-IFERROR('4. NPV'!KUY23/'4. NPV'!KUY$8,0)</f>
        <v>-0.0</v>
      </c>
      <c r="KUY53" s="5">
        <f>-IFERROR('4. NPV'!KUZ23/'4. NPV'!KUZ$8,0)</f>
        <v>-0.0</v>
      </c>
      <c r="KUZ53" s="5">
        <f>-IFERROR('4. NPV'!KVA23/'4. NPV'!KVA$8,0)</f>
        <v>-0.0</v>
      </c>
      <c r="KVA53" s="5">
        <f>-IFERROR('4. NPV'!KVB23/'4. NPV'!KVB$8,0)</f>
        <v>-0.0</v>
      </c>
      <c r="KVB53" s="5">
        <f>-IFERROR('4. NPV'!KVC23/'4. NPV'!KVC$8,0)</f>
        <v>-0.0</v>
      </c>
      <c r="KVC53" s="5">
        <f>-IFERROR('4. NPV'!KVD23/'4. NPV'!KVD$8,0)</f>
        <v>-0.0</v>
      </c>
      <c r="KVD53" s="5">
        <f>-IFERROR('4. NPV'!KVE23/'4. NPV'!KVE$8,0)</f>
        <v>-0.0</v>
      </c>
      <c r="KVE53" s="5">
        <f>-IFERROR('4. NPV'!KVF23/'4. NPV'!KVF$8,0)</f>
        <v>-0.0</v>
      </c>
      <c r="KVF53" s="5">
        <f>-IFERROR('4. NPV'!KVG23/'4. NPV'!KVG$8,0)</f>
        <v>-0.0</v>
      </c>
      <c r="KVG53" s="5">
        <f>-IFERROR('4. NPV'!KVH23/'4. NPV'!KVH$8,0)</f>
        <v>-0.0</v>
      </c>
      <c r="KVH53" s="5">
        <f>-IFERROR('4. NPV'!KVI23/'4. NPV'!KVI$8,0)</f>
        <v>-0.0</v>
      </c>
      <c r="KVI53" s="5">
        <f>-IFERROR('4. NPV'!KVJ23/'4. NPV'!KVJ$8,0)</f>
        <v>-0.0</v>
      </c>
      <c r="KVJ53" s="5">
        <f>-IFERROR('4. NPV'!KVK23/'4. NPV'!KVK$8,0)</f>
        <v>-0.0</v>
      </c>
      <c r="KVK53" s="5">
        <f>-IFERROR('4. NPV'!KVL23/'4. NPV'!KVL$8,0)</f>
        <v>-0.0</v>
      </c>
      <c r="KVL53" s="5">
        <f>-IFERROR('4. NPV'!KVM23/'4. NPV'!KVM$8,0)</f>
        <v>-0.0</v>
      </c>
      <c r="KVM53" s="5">
        <f>-IFERROR('4. NPV'!KVN23/'4. NPV'!KVN$8,0)</f>
        <v>-0.0</v>
      </c>
      <c r="KVN53" s="5">
        <f>-IFERROR('4. NPV'!KVO23/'4. NPV'!KVO$8,0)</f>
        <v>-0.0</v>
      </c>
      <c r="KVO53" s="5">
        <f>-IFERROR('4. NPV'!KVP23/'4. NPV'!KVP$8,0)</f>
        <v>-0.0</v>
      </c>
      <c r="KVP53" s="5">
        <f>-IFERROR('4. NPV'!KVQ23/'4. NPV'!KVQ$8,0)</f>
        <v>-0.0</v>
      </c>
      <c r="KVQ53" s="5">
        <f>-IFERROR('4. NPV'!KVR23/'4. NPV'!KVR$8,0)</f>
        <v>-0.0</v>
      </c>
      <c r="KVR53" s="5">
        <f>-IFERROR('4. NPV'!KVS23/'4. NPV'!KVS$8,0)</f>
        <v>-0.0</v>
      </c>
      <c r="KVS53" s="5">
        <f>-IFERROR('4. NPV'!KVT23/'4. NPV'!KVT$8,0)</f>
        <v>-0.0</v>
      </c>
      <c r="KVT53" s="5">
        <f>-IFERROR('4. NPV'!KVU23/'4. NPV'!KVU$8,0)</f>
        <v>-0.0</v>
      </c>
      <c r="KVU53" s="5">
        <f>-IFERROR('4. NPV'!KVV23/'4. NPV'!KVV$8,0)</f>
        <v>-0.0</v>
      </c>
      <c r="KVV53" s="5">
        <f>-IFERROR('4. NPV'!KVW23/'4. NPV'!KVW$8,0)</f>
        <v>-0.0</v>
      </c>
      <c r="KVW53" s="5">
        <f>-IFERROR('4. NPV'!KVX23/'4. NPV'!KVX$8,0)</f>
        <v>-0.0</v>
      </c>
      <c r="KVX53" s="5">
        <f>-IFERROR('4. NPV'!KVY23/'4. NPV'!KVY$8,0)</f>
        <v>-0.0</v>
      </c>
      <c r="KVY53" s="5">
        <f>-IFERROR('4. NPV'!KVZ23/'4. NPV'!KVZ$8,0)</f>
        <v>-0.0</v>
      </c>
      <c r="KVZ53" s="5">
        <f>-IFERROR('4. NPV'!KWA23/'4. NPV'!KWA$8,0)</f>
        <v>-0.0</v>
      </c>
      <c r="KWA53" s="5">
        <f>-IFERROR('4. NPV'!KWB23/'4. NPV'!KWB$8,0)</f>
        <v>-0.0</v>
      </c>
      <c r="KWB53" s="5">
        <f>-IFERROR('4. NPV'!KWC23/'4. NPV'!KWC$8,0)</f>
        <v>-0.0</v>
      </c>
      <c r="KWC53" s="5">
        <f>-IFERROR('4. NPV'!KWD23/'4. NPV'!KWD$8,0)</f>
        <v>-0.0</v>
      </c>
      <c r="KWD53" s="5">
        <f>-IFERROR('4. NPV'!KWE23/'4. NPV'!KWE$8,0)</f>
        <v>-0.0</v>
      </c>
      <c r="KWE53" s="5">
        <f>-IFERROR('4. NPV'!KWF23/'4. NPV'!KWF$8,0)</f>
        <v>-0.0</v>
      </c>
      <c r="KWF53" s="5">
        <f>-IFERROR('4. NPV'!KWG23/'4. NPV'!KWG$8,0)</f>
        <v>-0.0</v>
      </c>
      <c r="KWG53" s="5">
        <f>-IFERROR('4. NPV'!KWH23/'4. NPV'!KWH$8,0)</f>
        <v>-0.0</v>
      </c>
      <c r="KWH53" s="5">
        <f>-IFERROR('4. NPV'!KWI23/'4. NPV'!KWI$8,0)</f>
        <v>-0.0</v>
      </c>
      <c r="KWI53" s="5">
        <f>-IFERROR('4. NPV'!KWJ23/'4. NPV'!KWJ$8,0)</f>
        <v>-0.0</v>
      </c>
      <c r="KWJ53" s="5">
        <f>-IFERROR('4. NPV'!KWK23/'4. NPV'!KWK$8,0)</f>
        <v>-0.0</v>
      </c>
      <c r="KWK53" s="5">
        <f>-IFERROR('4. NPV'!KWL23/'4. NPV'!KWL$8,0)</f>
        <v>-0.0</v>
      </c>
      <c r="KWL53" s="5">
        <f>-IFERROR('4. NPV'!KWM23/'4. NPV'!KWM$8,0)</f>
        <v>-0.0</v>
      </c>
      <c r="KWM53" s="5">
        <f>-IFERROR('4. NPV'!KWN23/'4. NPV'!KWN$8,0)</f>
        <v>-0.0</v>
      </c>
      <c r="KWN53" s="5">
        <f>-IFERROR('4. NPV'!KWO23/'4. NPV'!KWO$8,0)</f>
        <v>-0.0</v>
      </c>
      <c r="KWO53" s="5">
        <f>-IFERROR('4. NPV'!KWP23/'4. NPV'!KWP$8,0)</f>
        <v>-0.0</v>
      </c>
      <c r="KWP53" s="5">
        <f>-IFERROR('4. NPV'!KWQ23/'4. NPV'!KWQ$8,0)</f>
        <v>-0.0</v>
      </c>
      <c r="KWQ53" s="5">
        <f>-IFERROR('4. NPV'!KWR23/'4. NPV'!KWR$8,0)</f>
        <v>-0.0</v>
      </c>
      <c r="KWR53" s="5">
        <f>-IFERROR('4. NPV'!KWS23/'4. NPV'!KWS$8,0)</f>
        <v>-0.0</v>
      </c>
      <c r="KWS53" s="5">
        <f>-IFERROR('4. NPV'!KWT23/'4. NPV'!KWT$8,0)</f>
        <v>-0.0</v>
      </c>
      <c r="KWT53" s="5">
        <f>-IFERROR('4. NPV'!KWU23/'4. NPV'!KWU$8,0)</f>
        <v>-0.0</v>
      </c>
      <c r="KWU53" s="5">
        <f>-IFERROR('4. NPV'!KWV23/'4. NPV'!KWV$8,0)</f>
        <v>-0.0</v>
      </c>
      <c r="KWV53" s="5">
        <f>-IFERROR('4. NPV'!KWW23/'4. NPV'!KWW$8,0)</f>
        <v>-0.0</v>
      </c>
      <c r="KWW53" s="5">
        <f>-IFERROR('4. NPV'!KWX23/'4. NPV'!KWX$8,0)</f>
        <v>-0.0</v>
      </c>
      <c r="KWX53" s="5">
        <f>-IFERROR('4. NPV'!KWY23/'4. NPV'!KWY$8,0)</f>
        <v>-0.0</v>
      </c>
      <c r="KWY53" s="5">
        <f>-IFERROR('4. NPV'!KWZ23/'4. NPV'!KWZ$8,0)</f>
        <v>-0.0</v>
      </c>
      <c r="KWZ53" s="5">
        <f>-IFERROR('4. NPV'!KXA23/'4. NPV'!KXA$8,0)</f>
        <v>-0.0</v>
      </c>
      <c r="KXA53" s="5">
        <f>-IFERROR('4. NPV'!KXB23/'4. NPV'!KXB$8,0)</f>
        <v>-0.0</v>
      </c>
      <c r="KXB53" s="5">
        <f>-IFERROR('4. NPV'!KXC23/'4. NPV'!KXC$8,0)</f>
        <v>-0.0</v>
      </c>
      <c r="KXC53" s="5">
        <f>-IFERROR('4. NPV'!KXD23/'4. NPV'!KXD$8,0)</f>
        <v>-0.0</v>
      </c>
      <c r="KXD53" s="5">
        <f>-IFERROR('4. NPV'!KXE23/'4. NPV'!KXE$8,0)</f>
        <v>-0.0</v>
      </c>
      <c r="KXE53" s="5">
        <f>-IFERROR('4. NPV'!KXF23/'4. NPV'!KXF$8,0)</f>
        <v>-0.0</v>
      </c>
      <c r="KXF53" s="5">
        <f>-IFERROR('4. NPV'!KXG23/'4. NPV'!KXG$8,0)</f>
        <v>-0.0</v>
      </c>
      <c r="KXG53" s="5">
        <f>-IFERROR('4. NPV'!KXH23/'4. NPV'!KXH$8,0)</f>
        <v>-0.0</v>
      </c>
      <c r="KXH53" s="5">
        <f>-IFERROR('4. NPV'!KXI23/'4. NPV'!KXI$8,0)</f>
        <v>-0.0</v>
      </c>
      <c r="KXI53" s="5">
        <f>-IFERROR('4. NPV'!KXJ23/'4. NPV'!KXJ$8,0)</f>
        <v>-0.0</v>
      </c>
      <c r="KXJ53" s="5">
        <f>-IFERROR('4. NPV'!KXK23/'4. NPV'!KXK$8,0)</f>
        <v>-0.0</v>
      </c>
      <c r="KXK53" s="5">
        <f>-IFERROR('4. NPV'!KXL23/'4. NPV'!KXL$8,0)</f>
        <v>-0.0</v>
      </c>
      <c r="KXL53" s="5">
        <f>-IFERROR('4. NPV'!KXM23/'4. NPV'!KXM$8,0)</f>
        <v>-0.0</v>
      </c>
      <c r="KXM53" s="5">
        <f>-IFERROR('4. NPV'!KXN23/'4. NPV'!KXN$8,0)</f>
        <v>-0.0</v>
      </c>
      <c r="KXN53" s="5">
        <f>-IFERROR('4. NPV'!KXO23/'4. NPV'!KXO$8,0)</f>
        <v>-0.0</v>
      </c>
      <c r="KXO53" s="5">
        <f>-IFERROR('4. NPV'!KXP23/'4. NPV'!KXP$8,0)</f>
        <v>-0.0</v>
      </c>
      <c r="KXP53" s="5">
        <f>-IFERROR('4. NPV'!KXQ23/'4. NPV'!KXQ$8,0)</f>
        <v>-0.0</v>
      </c>
      <c r="KXQ53" s="5">
        <f>-IFERROR('4. NPV'!KXR23/'4. NPV'!KXR$8,0)</f>
        <v>-0.0</v>
      </c>
      <c r="KXR53" s="5">
        <f>-IFERROR('4. NPV'!KXS23/'4. NPV'!KXS$8,0)</f>
        <v>-0.0</v>
      </c>
      <c r="KXS53" s="5">
        <f>-IFERROR('4. NPV'!KXT23/'4. NPV'!KXT$8,0)</f>
        <v>-0.0</v>
      </c>
      <c r="KXT53" s="5">
        <f>-IFERROR('4. NPV'!KXU23/'4. NPV'!KXU$8,0)</f>
        <v>-0.0</v>
      </c>
      <c r="KXU53" s="5">
        <f>-IFERROR('4. NPV'!KXV23/'4. NPV'!KXV$8,0)</f>
        <v>-0.0</v>
      </c>
      <c r="KXV53" s="5">
        <f>-IFERROR('4. NPV'!KXW23/'4. NPV'!KXW$8,0)</f>
        <v>-0.0</v>
      </c>
      <c r="KXW53" s="5">
        <f>-IFERROR('4. NPV'!KXX23/'4. NPV'!KXX$8,0)</f>
        <v>-0.0</v>
      </c>
      <c r="KXX53" s="5">
        <f>-IFERROR('4. NPV'!KXY23/'4. NPV'!KXY$8,0)</f>
        <v>-0.0</v>
      </c>
      <c r="KXY53" s="5">
        <f>-IFERROR('4. NPV'!KXZ23/'4. NPV'!KXZ$8,0)</f>
        <v>-0.0</v>
      </c>
      <c r="KXZ53" s="5">
        <f>-IFERROR('4. NPV'!KYA23/'4. NPV'!KYA$8,0)</f>
        <v>-0.0</v>
      </c>
      <c r="KYA53" s="5">
        <f>-IFERROR('4. NPV'!KYB23/'4. NPV'!KYB$8,0)</f>
        <v>-0.0</v>
      </c>
      <c r="KYB53" s="5">
        <f>-IFERROR('4. NPV'!KYC23/'4. NPV'!KYC$8,0)</f>
        <v>-0.0</v>
      </c>
      <c r="KYC53" s="5">
        <f>-IFERROR('4. NPV'!KYD23/'4. NPV'!KYD$8,0)</f>
        <v>-0.0</v>
      </c>
      <c r="KYD53" s="5">
        <f>-IFERROR('4. NPV'!KYE23/'4. NPV'!KYE$8,0)</f>
        <v>-0.0</v>
      </c>
      <c r="KYE53" s="5">
        <f>-IFERROR('4. NPV'!KYF23/'4. NPV'!KYF$8,0)</f>
        <v>-0.0</v>
      </c>
      <c r="KYF53" s="5">
        <f>-IFERROR('4. NPV'!KYG23/'4. NPV'!KYG$8,0)</f>
        <v>-0.0</v>
      </c>
      <c r="KYG53" s="5">
        <f>-IFERROR('4. NPV'!KYH23/'4. NPV'!KYH$8,0)</f>
        <v>-0.0</v>
      </c>
      <c r="KYH53" s="5">
        <f>-IFERROR('4. NPV'!KYI23/'4. NPV'!KYI$8,0)</f>
        <v>-0.0</v>
      </c>
      <c r="KYI53" s="5">
        <f>-IFERROR('4. NPV'!KYJ23/'4. NPV'!KYJ$8,0)</f>
        <v>-0.0</v>
      </c>
      <c r="KYJ53" s="5">
        <f>-IFERROR('4. NPV'!KYK23/'4. NPV'!KYK$8,0)</f>
        <v>-0.0</v>
      </c>
      <c r="KYK53" s="5">
        <f>-IFERROR('4. NPV'!KYL23/'4. NPV'!KYL$8,0)</f>
        <v>-0.0</v>
      </c>
      <c r="KYL53" s="5">
        <f>-IFERROR('4. NPV'!KYM23/'4. NPV'!KYM$8,0)</f>
        <v>-0.0</v>
      </c>
      <c r="KYM53" s="5">
        <f>-IFERROR('4. NPV'!KYN23/'4. NPV'!KYN$8,0)</f>
        <v>-0.0</v>
      </c>
      <c r="KYN53" s="5">
        <f>-IFERROR('4. NPV'!KYO23/'4. NPV'!KYO$8,0)</f>
        <v>-0.0</v>
      </c>
      <c r="KYO53" s="5">
        <f>-IFERROR('4. NPV'!KYP23/'4. NPV'!KYP$8,0)</f>
        <v>-0.0</v>
      </c>
      <c r="KYP53" s="5">
        <f>-IFERROR('4. NPV'!KYQ23/'4. NPV'!KYQ$8,0)</f>
        <v>-0.0</v>
      </c>
      <c r="KYQ53" s="5">
        <f>-IFERROR('4. NPV'!KYR23/'4. NPV'!KYR$8,0)</f>
        <v>-0.0</v>
      </c>
      <c r="KYR53" s="5">
        <f>-IFERROR('4. NPV'!KYS23/'4. NPV'!KYS$8,0)</f>
        <v>-0.0</v>
      </c>
      <c r="KYS53" s="5">
        <f>-IFERROR('4. NPV'!KYT23/'4. NPV'!KYT$8,0)</f>
        <v>-0.0</v>
      </c>
      <c r="KYT53" s="5">
        <f>-IFERROR('4. NPV'!KYU23/'4. NPV'!KYU$8,0)</f>
        <v>-0.0</v>
      </c>
      <c r="KYU53" s="5">
        <f>-IFERROR('4. NPV'!KYV23/'4. NPV'!KYV$8,0)</f>
        <v>-0.0</v>
      </c>
      <c r="KYV53" s="5">
        <f>-IFERROR('4. NPV'!KYW23/'4. NPV'!KYW$8,0)</f>
        <v>-0.0</v>
      </c>
      <c r="KYW53" s="5">
        <f>-IFERROR('4. NPV'!KYX23/'4. NPV'!KYX$8,0)</f>
        <v>-0.0</v>
      </c>
      <c r="KYX53" s="5">
        <f>-IFERROR('4. NPV'!KYY23/'4. NPV'!KYY$8,0)</f>
        <v>-0.0</v>
      </c>
      <c r="KYY53" s="5">
        <f>-IFERROR('4. NPV'!KYZ23/'4. NPV'!KYZ$8,0)</f>
        <v>-0.0</v>
      </c>
      <c r="KYZ53" s="5">
        <f>-IFERROR('4. NPV'!KZA23/'4. NPV'!KZA$8,0)</f>
        <v>-0.0</v>
      </c>
      <c r="KZA53" s="5">
        <f>-IFERROR('4. NPV'!KZB23/'4. NPV'!KZB$8,0)</f>
        <v>-0.0</v>
      </c>
      <c r="KZB53" s="5">
        <f>-IFERROR('4. NPV'!KZC23/'4. NPV'!KZC$8,0)</f>
        <v>-0.0</v>
      </c>
      <c r="KZC53" s="5">
        <f>-IFERROR('4. NPV'!KZD23/'4. NPV'!KZD$8,0)</f>
        <v>-0.0</v>
      </c>
      <c r="KZD53" s="5">
        <f>-IFERROR('4. NPV'!KZE23/'4. NPV'!KZE$8,0)</f>
        <v>-0.0</v>
      </c>
      <c r="KZE53" s="5">
        <f>-IFERROR('4. NPV'!KZF23/'4. NPV'!KZF$8,0)</f>
        <v>-0.0</v>
      </c>
      <c r="KZF53" s="5">
        <f>-IFERROR('4. NPV'!KZG23/'4. NPV'!KZG$8,0)</f>
        <v>-0.0</v>
      </c>
      <c r="KZG53" s="5">
        <f>-IFERROR('4. NPV'!KZH23/'4. NPV'!KZH$8,0)</f>
        <v>-0.0</v>
      </c>
      <c r="KZH53" s="5">
        <f>-IFERROR('4. NPV'!KZI23/'4. NPV'!KZI$8,0)</f>
        <v>-0.0</v>
      </c>
      <c r="KZI53" s="5">
        <f>-IFERROR('4. NPV'!KZJ23/'4. NPV'!KZJ$8,0)</f>
        <v>-0.0</v>
      </c>
      <c r="KZJ53" s="5">
        <f>-IFERROR('4. NPV'!KZK23/'4. NPV'!KZK$8,0)</f>
        <v>-0.0</v>
      </c>
      <c r="KZK53" s="5">
        <f>-IFERROR('4. NPV'!KZL23/'4. NPV'!KZL$8,0)</f>
        <v>-0.0</v>
      </c>
      <c r="KZL53" s="5">
        <f>-IFERROR('4. NPV'!KZM23/'4. NPV'!KZM$8,0)</f>
        <v>-0.0</v>
      </c>
      <c r="KZM53" s="5">
        <f>-IFERROR('4. NPV'!KZN23/'4. NPV'!KZN$8,0)</f>
        <v>-0.0</v>
      </c>
      <c r="KZN53" s="5">
        <f>-IFERROR('4. NPV'!KZO23/'4. NPV'!KZO$8,0)</f>
        <v>-0.0</v>
      </c>
      <c r="KZO53" s="5">
        <f>-IFERROR('4. NPV'!KZP23/'4. NPV'!KZP$8,0)</f>
        <v>-0.0</v>
      </c>
      <c r="KZP53" s="5">
        <f>-IFERROR('4. NPV'!KZQ23/'4. NPV'!KZQ$8,0)</f>
        <v>-0.0</v>
      </c>
      <c r="KZQ53" s="5">
        <f>-IFERROR('4. NPV'!KZR23/'4. NPV'!KZR$8,0)</f>
        <v>-0.0</v>
      </c>
      <c r="KZR53" s="5">
        <f>-IFERROR('4. NPV'!KZS23/'4. NPV'!KZS$8,0)</f>
        <v>-0.0</v>
      </c>
      <c r="KZS53" s="5">
        <f>-IFERROR('4. NPV'!KZT23/'4. NPV'!KZT$8,0)</f>
        <v>-0.0</v>
      </c>
      <c r="KZT53" s="5">
        <f>-IFERROR('4. NPV'!KZU23/'4. NPV'!KZU$8,0)</f>
        <v>-0.0</v>
      </c>
      <c r="KZU53" s="5">
        <f>-IFERROR('4. NPV'!KZV23/'4. NPV'!KZV$8,0)</f>
        <v>-0.0</v>
      </c>
      <c r="KZV53" s="5">
        <f>-IFERROR('4. NPV'!KZW23/'4. NPV'!KZW$8,0)</f>
        <v>-0.0</v>
      </c>
      <c r="KZW53" s="5">
        <f>-IFERROR('4. NPV'!KZX23/'4. NPV'!KZX$8,0)</f>
        <v>-0.0</v>
      </c>
      <c r="KZX53" s="5">
        <f>-IFERROR('4. NPV'!KZY23/'4. NPV'!KZY$8,0)</f>
        <v>-0.0</v>
      </c>
      <c r="KZY53" s="5">
        <f>-IFERROR('4. NPV'!KZZ23/'4. NPV'!KZZ$8,0)</f>
        <v>-0.0</v>
      </c>
      <c r="KZZ53" s="5">
        <f>-IFERROR('4. NPV'!LAA23/'4. NPV'!LAA$8,0)</f>
        <v>-0.0</v>
      </c>
      <c r="LAA53" s="5">
        <f>-IFERROR('4. NPV'!LAB23/'4. NPV'!LAB$8,0)</f>
        <v>-0.0</v>
      </c>
      <c r="LAB53" s="5">
        <f>-IFERROR('4. NPV'!LAC23/'4. NPV'!LAC$8,0)</f>
        <v>-0.0</v>
      </c>
      <c r="LAC53" s="5">
        <f>-IFERROR('4. NPV'!LAD23/'4. NPV'!LAD$8,0)</f>
        <v>-0.0</v>
      </c>
      <c r="LAD53" s="5">
        <f>-IFERROR('4. NPV'!LAE23/'4. NPV'!LAE$8,0)</f>
        <v>-0.0</v>
      </c>
      <c r="LAE53" s="5">
        <f>-IFERROR('4. NPV'!LAF23/'4. NPV'!LAF$8,0)</f>
        <v>-0.0</v>
      </c>
      <c r="LAF53" s="5">
        <f>-IFERROR('4. NPV'!LAG23/'4. NPV'!LAG$8,0)</f>
        <v>-0.0</v>
      </c>
      <c r="LAG53" s="5">
        <f>-IFERROR('4. NPV'!LAH23/'4. NPV'!LAH$8,0)</f>
        <v>-0.0</v>
      </c>
      <c r="LAH53" s="5">
        <f>-IFERROR('4. NPV'!LAI23/'4. NPV'!LAI$8,0)</f>
        <v>-0.0</v>
      </c>
      <c r="LAI53" s="5">
        <f>-IFERROR('4. NPV'!LAJ23/'4. NPV'!LAJ$8,0)</f>
        <v>-0.0</v>
      </c>
      <c r="LAJ53" s="5">
        <f>-IFERROR('4. NPV'!LAK23/'4. NPV'!LAK$8,0)</f>
        <v>-0.0</v>
      </c>
      <c r="LAK53" s="5">
        <f>-IFERROR('4. NPV'!LAL23/'4. NPV'!LAL$8,0)</f>
        <v>-0.0</v>
      </c>
      <c r="LAL53" s="5">
        <f>-IFERROR('4. NPV'!LAM23/'4. NPV'!LAM$8,0)</f>
        <v>-0.0</v>
      </c>
      <c r="LAM53" s="5">
        <f>-IFERROR('4. NPV'!LAN23/'4. NPV'!LAN$8,0)</f>
        <v>-0.0</v>
      </c>
      <c r="LAN53" s="5">
        <f>-IFERROR('4. NPV'!LAO23/'4. NPV'!LAO$8,0)</f>
        <v>-0.0</v>
      </c>
      <c r="LAO53" s="5">
        <f>-IFERROR('4. NPV'!LAP23/'4. NPV'!LAP$8,0)</f>
        <v>-0.0</v>
      </c>
      <c r="LAP53" s="5">
        <f>-IFERROR('4. NPV'!LAQ23/'4. NPV'!LAQ$8,0)</f>
        <v>-0.0</v>
      </c>
      <c r="LAQ53" s="5">
        <f>-IFERROR('4. NPV'!LAR23/'4. NPV'!LAR$8,0)</f>
        <v>-0.0</v>
      </c>
      <c r="LAR53" s="5">
        <f>-IFERROR('4. NPV'!LAS23/'4. NPV'!LAS$8,0)</f>
        <v>-0.0</v>
      </c>
      <c r="LAS53" s="5">
        <f>-IFERROR('4. NPV'!LAT23/'4. NPV'!LAT$8,0)</f>
        <v>-0.0</v>
      </c>
      <c r="LAT53" s="5">
        <f>-IFERROR('4. NPV'!LAU23/'4. NPV'!LAU$8,0)</f>
        <v>-0.0</v>
      </c>
      <c r="LAU53" s="5">
        <f>-IFERROR('4. NPV'!LAV23/'4. NPV'!LAV$8,0)</f>
        <v>-0.0</v>
      </c>
      <c r="LAV53" s="5">
        <f>-IFERROR('4. NPV'!LAW23/'4. NPV'!LAW$8,0)</f>
        <v>-0.0</v>
      </c>
      <c r="LAW53" s="5">
        <f>-IFERROR('4. NPV'!LAX23/'4. NPV'!LAX$8,0)</f>
        <v>-0.0</v>
      </c>
      <c r="LAX53" s="5">
        <f>-IFERROR('4. NPV'!LAY23/'4. NPV'!LAY$8,0)</f>
        <v>-0.0</v>
      </c>
      <c r="LAY53" s="5">
        <f>-IFERROR('4. NPV'!LAZ23/'4. NPV'!LAZ$8,0)</f>
        <v>-0.0</v>
      </c>
      <c r="LAZ53" s="5">
        <f>-IFERROR('4. NPV'!LBA23/'4. NPV'!LBA$8,0)</f>
        <v>-0.0</v>
      </c>
      <c r="LBA53" s="5">
        <f>-IFERROR('4. NPV'!LBB23/'4. NPV'!LBB$8,0)</f>
        <v>-0.0</v>
      </c>
      <c r="LBB53" s="5">
        <f>-IFERROR('4. NPV'!LBC23/'4. NPV'!LBC$8,0)</f>
        <v>-0.0</v>
      </c>
      <c r="LBC53" s="5">
        <f>-IFERROR('4. NPV'!LBD23/'4. NPV'!LBD$8,0)</f>
        <v>-0.0</v>
      </c>
      <c r="LBD53" s="5">
        <f>-IFERROR('4. NPV'!LBE23/'4. NPV'!LBE$8,0)</f>
        <v>-0.0</v>
      </c>
      <c r="LBE53" s="5">
        <f>-IFERROR('4. NPV'!LBF23/'4. NPV'!LBF$8,0)</f>
        <v>-0.0</v>
      </c>
      <c r="LBF53" s="5">
        <f>-IFERROR('4. NPV'!LBG23/'4. NPV'!LBG$8,0)</f>
        <v>-0.0</v>
      </c>
      <c r="LBG53" s="5">
        <f>-IFERROR('4. NPV'!LBH23/'4. NPV'!LBH$8,0)</f>
        <v>-0.0</v>
      </c>
      <c r="LBH53" s="5">
        <f>-IFERROR('4. NPV'!LBI23/'4. NPV'!LBI$8,0)</f>
        <v>-0.0</v>
      </c>
      <c r="LBI53" s="5">
        <f>-IFERROR('4. NPV'!LBJ23/'4. NPV'!LBJ$8,0)</f>
        <v>-0.0</v>
      </c>
      <c r="LBJ53" s="5">
        <f>-IFERROR('4. NPV'!LBK23/'4. NPV'!LBK$8,0)</f>
        <v>-0.0</v>
      </c>
      <c r="LBK53" s="5">
        <f>-IFERROR('4. NPV'!LBL23/'4. NPV'!LBL$8,0)</f>
        <v>-0.0</v>
      </c>
      <c r="LBL53" s="5">
        <f>-IFERROR('4. NPV'!LBM23/'4. NPV'!LBM$8,0)</f>
        <v>-0.0</v>
      </c>
      <c r="LBM53" s="5">
        <f>-IFERROR('4. NPV'!LBN23/'4. NPV'!LBN$8,0)</f>
        <v>-0.0</v>
      </c>
      <c r="LBN53" s="5">
        <f>-IFERROR('4. NPV'!LBO23/'4. NPV'!LBO$8,0)</f>
        <v>-0.0</v>
      </c>
      <c r="LBO53" s="5">
        <f>-IFERROR('4. NPV'!LBP23/'4. NPV'!LBP$8,0)</f>
        <v>-0.0</v>
      </c>
      <c r="LBP53" s="5">
        <f>-IFERROR('4. NPV'!LBQ23/'4. NPV'!LBQ$8,0)</f>
        <v>-0.0</v>
      </c>
      <c r="LBQ53" s="5">
        <f>-IFERROR('4. NPV'!LBR23/'4. NPV'!LBR$8,0)</f>
        <v>-0.0</v>
      </c>
      <c r="LBR53" s="5">
        <f>-IFERROR('4. NPV'!LBS23/'4. NPV'!LBS$8,0)</f>
        <v>-0.0</v>
      </c>
      <c r="LBS53" s="5">
        <f>-IFERROR('4. NPV'!LBT23/'4. NPV'!LBT$8,0)</f>
        <v>-0.0</v>
      </c>
      <c r="LBT53" s="5">
        <f>-IFERROR('4. NPV'!LBU23/'4. NPV'!LBU$8,0)</f>
        <v>-0.0</v>
      </c>
      <c r="LBU53" s="5">
        <f>-IFERROR('4. NPV'!LBV23/'4. NPV'!LBV$8,0)</f>
        <v>-0.0</v>
      </c>
      <c r="LBV53" s="5">
        <f>-IFERROR('4. NPV'!LBW23/'4. NPV'!LBW$8,0)</f>
        <v>-0.0</v>
      </c>
      <c r="LBW53" s="5">
        <f>-IFERROR('4. NPV'!LBX23/'4. NPV'!LBX$8,0)</f>
        <v>-0.0</v>
      </c>
      <c r="LBX53" s="5">
        <f>-IFERROR('4. NPV'!LBY23/'4. NPV'!LBY$8,0)</f>
        <v>-0.0</v>
      </c>
      <c r="LBY53" s="5">
        <f>-IFERROR('4. NPV'!LBZ23/'4. NPV'!LBZ$8,0)</f>
        <v>-0.0</v>
      </c>
      <c r="LBZ53" s="5">
        <f>-IFERROR('4. NPV'!LCA23/'4. NPV'!LCA$8,0)</f>
        <v>-0.0</v>
      </c>
      <c r="LCA53" s="5">
        <f>-IFERROR('4. NPV'!LCB23/'4. NPV'!LCB$8,0)</f>
        <v>-0.0</v>
      </c>
      <c r="LCB53" s="5">
        <f>-IFERROR('4. NPV'!LCC23/'4. NPV'!LCC$8,0)</f>
        <v>-0.0</v>
      </c>
      <c r="LCC53" s="5">
        <f>-IFERROR('4. NPV'!LCD23/'4. NPV'!LCD$8,0)</f>
        <v>-0.0</v>
      </c>
      <c r="LCD53" s="5">
        <f>-IFERROR('4. NPV'!LCE23/'4. NPV'!LCE$8,0)</f>
        <v>-0.0</v>
      </c>
      <c r="LCE53" s="5">
        <f>-IFERROR('4. NPV'!LCF23/'4. NPV'!LCF$8,0)</f>
        <v>-0.0</v>
      </c>
      <c r="LCF53" s="5">
        <f>-IFERROR('4. NPV'!LCG23/'4. NPV'!LCG$8,0)</f>
        <v>-0.0</v>
      </c>
      <c r="LCG53" s="5">
        <f>-IFERROR('4. NPV'!LCH23/'4. NPV'!LCH$8,0)</f>
        <v>-0.0</v>
      </c>
      <c r="LCH53" s="5">
        <f>-IFERROR('4. NPV'!LCI23/'4. NPV'!LCI$8,0)</f>
        <v>-0.0</v>
      </c>
      <c r="LCI53" s="5">
        <f>-IFERROR('4. NPV'!LCJ23/'4. NPV'!LCJ$8,0)</f>
        <v>-0.0</v>
      </c>
      <c r="LCJ53" s="5">
        <f>-IFERROR('4. NPV'!LCK23/'4. NPV'!LCK$8,0)</f>
        <v>-0.0</v>
      </c>
      <c r="LCK53" s="5">
        <f>-IFERROR('4. NPV'!LCL23/'4. NPV'!LCL$8,0)</f>
        <v>-0.0</v>
      </c>
      <c r="LCL53" s="5">
        <f>-IFERROR('4. NPV'!LCM23/'4. NPV'!LCM$8,0)</f>
        <v>-0.0</v>
      </c>
      <c r="LCM53" s="5">
        <f>-IFERROR('4. NPV'!LCN23/'4. NPV'!LCN$8,0)</f>
        <v>-0.0</v>
      </c>
      <c r="LCN53" s="5">
        <f>-IFERROR('4. NPV'!LCO23/'4. NPV'!LCO$8,0)</f>
        <v>-0.0</v>
      </c>
      <c r="LCO53" s="5">
        <f>-IFERROR('4. NPV'!LCP23/'4. NPV'!LCP$8,0)</f>
        <v>-0.0</v>
      </c>
      <c r="LCP53" s="5">
        <f>-IFERROR('4. NPV'!LCQ23/'4. NPV'!LCQ$8,0)</f>
        <v>-0.0</v>
      </c>
      <c r="LCQ53" s="5">
        <f>-IFERROR('4. NPV'!LCR23/'4. NPV'!LCR$8,0)</f>
        <v>-0.0</v>
      </c>
      <c r="LCR53" s="5">
        <f>-IFERROR('4. NPV'!LCS23/'4. NPV'!LCS$8,0)</f>
        <v>-0.0</v>
      </c>
      <c r="LCS53" s="5">
        <f>-IFERROR('4. NPV'!LCT23/'4. NPV'!LCT$8,0)</f>
        <v>-0.0</v>
      </c>
      <c r="LCT53" s="5">
        <f>-IFERROR('4. NPV'!LCU23/'4. NPV'!LCU$8,0)</f>
        <v>-0.0</v>
      </c>
      <c r="LCU53" s="5">
        <f>-IFERROR('4. NPV'!LCV23/'4. NPV'!LCV$8,0)</f>
        <v>-0.0</v>
      </c>
      <c r="LCV53" s="5">
        <f>-IFERROR('4. NPV'!LCW23/'4. NPV'!LCW$8,0)</f>
        <v>-0.0</v>
      </c>
      <c r="LCW53" s="5">
        <f>-IFERROR('4. NPV'!LCX23/'4. NPV'!LCX$8,0)</f>
        <v>-0.0</v>
      </c>
      <c r="LCX53" s="5">
        <f>-IFERROR('4. NPV'!LCY23/'4. NPV'!LCY$8,0)</f>
        <v>-0.0</v>
      </c>
      <c r="LCY53" s="5">
        <f>-IFERROR('4. NPV'!LCZ23/'4. NPV'!LCZ$8,0)</f>
        <v>-0.0</v>
      </c>
      <c r="LCZ53" s="5">
        <f>-IFERROR('4. NPV'!LDA23/'4. NPV'!LDA$8,0)</f>
        <v>-0.0</v>
      </c>
      <c r="LDA53" s="5">
        <f>-IFERROR('4. NPV'!LDB23/'4. NPV'!LDB$8,0)</f>
        <v>-0.0</v>
      </c>
      <c r="LDB53" s="5">
        <f>-IFERROR('4. NPV'!LDC23/'4. NPV'!LDC$8,0)</f>
        <v>-0.0</v>
      </c>
      <c r="LDC53" s="5">
        <f>-IFERROR('4. NPV'!LDD23/'4. NPV'!LDD$8,0)</f>
        <v>-0.0</v>
      </c>
      <c r="LDD53" s="5">
        <f>-IFERROR('4. NPV'!LDE23/'4. NPV'!LDE$8,0)</f>
        <v>-0.0</v>
      </c>
      <c r="LDE53" s="5">
        <f>-IFERROR('4. NPV'!LDF23/'4. NPV'!LDF$8,0)</f>
        <v>-0.0</v>
      </c>
      <c r="LDF53" s="5">
        <f>-IFERROR('4. NPV'!LDG23/'4. NPV'!LDG$8,0)</f>
        <v>-0.0</v>
      </c>
      <c r="LDG53" s="5">
        <f>-IFERROR('4. NPV'!LDH23/'4. NPV'!LDH$8,0)</f>
        <v>-0.0</v>
      </c>
      <c r="LDH53" s="5">
        <f>-IFERROR('4. NPV'!LDI23/'4. NPV'!LDI$8,0)</f>
        <v>-0.0</v>
      </c>
      <c r="LDI53" s="5">
        <f>-IFERROR('4. NPV'!LDJ23/'4. NPV'!LDJ$8,0)</f>
        <v>-0.0</v>
      </c>
      <c r="LDJ53" s="5">
        <f>-IFERROR('4. NPV'!LDK23/'4. NPV'!LDK$8,0)</f>
        <v>-0.0</v>
      </c>
      <c r="LDK53" s="5">
        <f>-IFERROR('4. NPV'!LDL23/'4. NPV'!LDL$8,0)</f>
        <v>-0.0</v>
      </c>
      <c r="LDL53" s="5">
        <f>-IFERROR('4. NPV'!LDM23/'4. NPV'!LDM$8,0)</f>
        <v>-0.0</v>
      </c>
      <c r="LDM53" s="5">
        <f>-IFERROR('4. NPV'!LDN23/'4. NPV'!LDN$8,0)</f>
        <v>-0.0</v>
      </c>
      <c r="LDN53" s="5">
        <f>-IFERROR('4. NPV'!LDO23/'4. NPV'!LDO$8,0)</f>
        <v>-0.0</v>
      </c>
      <c r="LDO53" s="5">
        <f>-IFERROR('4. NPV'!LDP23/'4. NPV'!LDP$8,0)</f>
        <v>-0.0</v>
      </c>
      <c r="LDP53" s="5">
        <f>-IFERROR('4. NPV'!LDQ23/'4. NPV'!LDQ$8,0)</f>
        <v>-0.0</v>
      </c>
      <c r="LDQ53" s="5">
        <f>-IFERROR('4. NPV'!LDR23/'4. NPV'!LDR$8,0)</f>
        <v>-0.0</v>
      </c>
      <c r="LDR53" s="5">
        <f>-IFERROR('4. NPV'!LDS23/'4. NPV'!LDS$8,0)</f>
        <v>-0.0</v>
      </c>
      <c r="LDS53" s="5">
        <f>-IFERROR('4. NPV'!LDT23/'4. NPV'!LDT$8,0)</f>
        <v>-0.0</v>
      </c>
      <c r="LDT53" s="5">
        <f>-IFERROR('4. NPV'!LDU23/'4. NPV'!LDU$8,0)</f>
        <v>-0.0</v>
      </c>
      <c r="LDU53" s="5">
        <f>-IFERROR('4. NPV'!LDV23/'4. NPV'!LDV$8,0)</f>
        <v>-0.0</v>
      </c>
      <c r="LDV53" s="5">
        <f>-IFERROR('4. NPV'!LDW23/'4. NPV'!LDW$8,0)</f>
        <v>-0.0</v>
      </c>
      <c r="LDW53" s="5">
        <f>-IFERROR('4. NPV'!LDX23/'4. NPV'!LDX$8,0)</f>
        <v>-0.0</v>
      </c>
      <c r="LDX53" s="5">
        <f>-IFERROR('4. NPV'!LDY23/'4. NPV'!LDY$8,0)</f>
        <v>-0.0</v>
      </c>
      <c r="LDY53" s="5">
        <f>-IFERROR('4. NPV'!LDZ23/'4. NPV'!LDZ$8,0)</f>
        <v>-0.0</v>
      </c>
      <c r="LDZ53" s="5">
        <f>-IFERROR('4. NPV'!LEA23/'4. NPV'!LEA$8,0)</f>
        <v>-0.0</v>
      </c>
      <c r="LEA53" s="5">
        <f>-IFERROR('4. NPV'!LEB23/'4. NPV'!LEB$8,0)</f>
        <v>-0.0</v>
      </c>
      <c r="LEB53" s="5">
        <f>-IFERROR('4. NPV'!LEC23/'4. NPV'!LEC$8,0)</f>
        <v>-0.0</v>
      </c>
      <c r="LEC53" s="5">
        <f>-IFERROR('4. NPV'!LED23/'4. NPV'!LED$8,0)</f>
        <v>-0.0</v>
      </c>
      <c r="LED53" s="5">
        <f>-IFERROR('4. NPV'!LEE23/'4. NPV'!LEE$8,0)</f>
        <v>-0.0</v>
      </c>
      <c r="LEE53" s="5">
        <f>-IFERROR('4. NPV'!LEF23/'4. NPV'!LEF$8,0)</f>
        <v>-0.0</v>
      </c>
      <c r="LEF53" s="5">
        <f>-IFERROR('4. NPV'!LEG23/'4. NPV'!LEG$8,0)</f>
        <v>-0.0</v>
      </c>
      <c r="LEG53" s="5">
        <f>-IFERROR('4. NPV'!LEH23/'4. NPV'!LEH$8,0)</f>
        <v>-0.0</v>
      </c>
      <c r="LEH53" s="5">
        <f>-IFERROR('4. NPV'!LEI23/'4. NPV'!LEI$8,0)</f>
        <v>-0.0</v>
      </c>
      <c r="LEI53" s="5">
        <f>-IFERROR('4. NPV'!LEJ23/'4. NPV'!LEJ$8,0)</f>
        <v>-0.0</v>
      </c>
      <c r="LEJ53" s="5">
        <f>-IFERROR('4. NPV'!LEK23/'4. NPV'!LEK$8,0)</f>
        <v>-0.0</v>
      </c>
      <c r="LEK53" s="5">
        <f>-IFERROR('4. NPV'!LEL23/'4. NPV'!LEL$8,0)</f>
        <v>-0.0</v>
      </c>
      <c r="LEL53" s="5">
        <f>-IFERROR('4. NPV'!LEM23/'4. NPV'!LEM$8,0)</f>
        <v>-0.0</v>
      </c>
      <c r="LEM53" s="5">
        <f>-IFERROR('4. NPV'!LEN23/'4. NPV'!LEN$8,0)</f>
        <v>-0.0</v>
      </c>
      <c r="LEN53" s="5">
        <f>-IFERROR('4. NPV'!LEO23/'4. NPV'!LEO$8,0)</f>
        <v>-0.0</v>
      </c>
      <c r="LEO53" s="5">
        <f>-IFERROR('4. NPV'!LEP23/'4. NPV'!LEP$8,0)</f>
        <v>-0.0</v>
      </c>
      <c r="LEP53" s="5">
        <f>-IFERROR('4. NPV'!LEQ23/'4. NPV'!LEQ$8,0)</f>
        <v>-0.0</v>
      </c>
      <c r="LEQ53" s="5">
        <f>-IFERROR('4. NPV'!LER23/'4. NPV'!LER$8,0)</f>
        <v>-0.0</v>
      </c>
      <c r="LER53" s="5">
        <f>-IFERROR('4. NPV'!LES23/'4. NPV'!LES$8,0)</f>
        <v>-0.0</v>
      </c>
      <c r="LES53" s="5">
        <f>-IFERROR('4. NPV'!LET23/'4. NPV'!LET$8,0)</f>
        <v>-0.0</v>
      </c>
      <c r="LET53" s="5">
        <f>-IFERROR('4. NPV'!LEU23/'4. NPV'!LEU$8,0)</f>
        <v>-0.0</v>
      </c>
      <c r="LEU53" s="5">
        <f>-IFERROR('4. NPV'!LEV23/'4. NPV'!LEV$8,0)</f>
        <v>-0.0</v>
      </c>
      <c r="LEV53" s="5">
        <f>-IFERROR('4. NPV'!LEW23/'4. NPV'!LEW$8,0)</f>
        <v>-0.0</v>
      </c>
      <c r="LEW53" s="5">
        <f>-IFERROR('4. NPV'!LEX23/'4. NPV'!LEX$8,0)</f>
        <v>-0.0</v>
      </c>
      <c r="LEX53" s="5">
        <f>-IFERROR('4. NPV'!LEY23/'4. NPV'!LEY$8,0)</f>
        <v>-0.0</v>
      </c>
      <c r="LEY53" s="5">
        <f>-IFERROR('4. NPV'!LEZ23/'4. NPV'!LEZ$8,0)</f>
        <v>-0.0</v>
      </c>
      <c r="LEZ53" s="5">
        <f>-IFERROR('4. NPV'!LFA23/'4. NPV'!LFA$8,0)</f>
        <v>-0.0</v>
      </c>
      <c r="LFA53" s="5">
        <f>-IFERROR('4. NPV'!LFB23/'4. NPV'!LFB$8,0)</f>
        <v>-0.0</v>
      </c>
      <c r="LFB53" s="5">
        <f>-IFERROR('4. NPV'!LFC23/'4. NPV'!LFC$8,0)</f>
        <v>-0.0</v>
      </c>
      <c r="LFC53" s="5">
        <f>-IFERROR('4. NPV'!LFD23/'4. NPV'!LFD$8,0)</f>
        <v>-0.0</v>
      </c>
      <c r="LFD53" s="5">
        <f>-IFERROR('4. NPV'!LFE23/'4. NPV'!LFE$8,0)</f>
        <v>-0.0</v>
      </c>
      <c r="LFE53" s="5">
        <f>-IFERROR('4. NPV'!LFF23/'4. NPV'!LFF$8,0)</f>
        <v>-0.0</v>
      </c>
      <c r="LFF53" s="5">
        <f>-IFERROR('4. NPV'!LFG23/'4. NPV'!LFG$8,0)</f>
        <v>-0.0</v>
      </c>
      <c r="LFG53" s="5">
        <f>-IFERROR('4. NPV'!LFH23/'4. NPV'!LFH$8,0)</f>
        <v>-0.0</v>
      </c>
      <c r="LFH53" s="5">
        <f>-IFERROR('4. NPV'!LFI23/'4. NPV'!LFI$8,0)</f>
        <v>-0.0</v>
      </c>
      <c r="LFI53" s="5">
        <f>-IFERROR('4. NPV'!LFJ23/'4. NPV'!LFJ$8,0)</f>
        <v>-0.0</v>
      </c>
      <c r="LFJ53" s="5">
        <f>-IFERROR('4. NPV'!LFK23/'4. NPV'!LFK$8,0)</f>
        <v>-0.0</v>
      </c>
      <c r="LFK53" s="5">
        <f>-IFERROR('4. NPV'!LFL23/'4. NPV'!LFL$8,0)</f>
        <v>-0.0</v>
      </c>
      <c r="LFL53" s="5">
        <f>-IFERROR('4. NPV'!LFM23/'4. NPV'!LFM$8,0)</f>
        <v>-0.0</v>
      </c>
      <c r="LFM53" s="5">
        <f>-IFERROR('4. NPV'!LFN23/'4. NPV'!LFN$8,0)</f>
        <v>-0.0</v>
      </c>
      <c r="LFN53" s="5">
        <f>-IFERROR('4. NPV'!LFO23/'4. NPV'!LFO$8,0)</f>
        <v>-0.0</v>
      </c>
      <c r="LFO53" s="5">
        <f>-IFERROR('4. NPV'!LFP23/'4. NPV'!LFP$8,0)</f>
        <v>-0.0</v>
      </c>
      <c r="LFP53" s="5">
        <f>-IFERROR('4. NPV'!LFQ23/'4. NPV'!LFQ$8,0)</f>
        <v>-0.0</v>
      </c>
      <c r="LFQ53" s="5">
        <f>-IFERROR('4. NPV'!LFR23/'4. NPV'!LFR$8,0)</f>
        <v>-0.0</v>
      </c>
      <c r="LFR53" s="5">
        <f>-IFERROR('4. NPV'!LFS23/'4. NPV'!LFS$8,0)</f>
        <v>-0.0</v>
      </c>
      <c r="LFS53" s="5">
        <f>-IFERROR('4. NPV'!LFT23/'4. NPV'!LFT$8,0)</f>
        <v>-0.0</v>
      </c>
      <c r="LFT53" s="5">
        <f>-IFERROR('4. NPV'!LFU23/'4. NPV'!LFU$8,0)</f>
        <v>-0.0</v>
      </c>
      <c r="LFU53" s="5">
        <f>-IFERROR('4. NPV'!LFV23/'4. NPV'!LFV$8,0)</f>
        <v>-0.0</v>
      </c>
      <c r="LFV53" s="5">
        <f>-IFERROR('4. NPV'!LFW23/'4. NPV'!LFW$8,0)</f>
        <v>-0.0</v>
      </c>
      <c r="LFW53" s="5">
        <f>-IFERROR('4. NPV'!LFX23/'4. NPV'!LFX$8,0)</f>
        <v>-0.0</v>
      </c>
      <c r="LFX53" s="5">
        <f>-IFERROR('4. NPV'!LFY23/'4. NPV'!LFY$8,0)</f>
        <v>-0.0</v>
      </c>
      <c r="LFY53" s="5">
        <f>-IFERROR('4. NPV'!LFZ23/'4. NPV'!LFZ$8,0)</f>
        <v>-0.0</v>
      </c>
      <c r="LFZ53" s="5">
        <f>-IFERROR('4. NPV'!LGA23/'4. NPV'!LGA$8,0)</f>
        <v>-0.0</v>
      </c>
      <c r="LGA53" s="5">
        <f>-IFERROR('4. NPV'!LGB23/'4. NPV'!LGB$8,0)</f>
        <v>-0.0</v>
      </c>
      <c r="LGB53" s="5">
        <f>-IFERROR('4. NPV'!LGC23/'4. NPV'!LGC$8,0)</f>
        <v>-0.0</v>
      </c>
      <c r="LGC53" s="5">
        <f>-IFERROR('4. NPV'!LGD23/'4. NPV'!LGD$8,0)</f>
        <v>-0.0</v>
      </c>
      <c r="LGD53" s="5">
        <f>-IFERROR('4. NPV'!LGE23/'4. NPV'!LGE$8,0)</f>
        <v>-0.0</v>
      </c>
      <c r="LGE53" s="5">
        <f>-IFERROR('4. NPV'!LGF23/'4. NPV'!LGF$8,0)</f>
        <v>-0.0</v>
      </c>
      <c r="LGF53" s="5">
        <f>-IFERROR('4. NPV'!LGG23/'4. NPV'!LGG$8,0)</f>
        <v>-0.0</v>
      </c>
      <c r="LGG53" s="5">
        <f>-IFERROR('4. NPV'!LGH23/'4. NPV'!LGH$8,0)</f>
        <v>-0.0</v>
      </c>
      <c r="LGH53" s="5">
        <f>-IFERROR('4. NPV'!LGI23/'4. NPV'!LGI$8,0)</f>
        <v>-0.0</v>
      </c>
      <c r="LGI53" s="5">
        <f>-IFERROR('4. NPV'!LGJ23/'4. NPV'!LGJ$8,0)</f>
        <v>-0.0</v>
      </c>
      <c r="LGJ53" s="5">
        <f>-IFERROR('4. NPV'!LGK23/'4. NPV'!LGK$8,0)</f>
        <v>-0.0</v>
      </c>
      <c r="LGK53" s="5">
        <f>-IFERROR('4. NPV'!LGL23/'4. NPV'!LGL$8,0)</f>
        <v>-0.0</v>
      </c>
      <c r="LGL53" s="5">
        <f>-IFERROR('4. NPV'!LGM23/'4. NPV'!LGM$8,0)</f>
        <v>-0.0</v>
      </c>
      <c r="LGM53" s="5">
        <f>-IFERROR('4. NPV'!LGN23/'4. NPV'!LGN$8,0)</f>
        <v>-0.0</v>
      </c>
      <c r="LGN53" s="5">
        <f>-IFERROR('4. NPV'!LGO23/'4. NPV'!LGO$8,0)</f>
        <v>-0.0</v>
      </c>
      <c r="LGO53" s="5">
        <f>-IFERROR('4. NPV'!LGP23/'4. NPV'!LGP$8,0)</f>
        <v>-0.0</v>
      </c>
      <c r="LGP53" s="5">
        <f>-IFERROR('4. NPV'!LGQ23/'4. NPV'!LGQ$8,0)</f>
        <v>-0.0</v>
      </c>
      <c r="LGQ53" s="5">
        <f>-IFERROR('4. NPV'!LGR23/'4. NPV'!LGR$8,0)</f>
        <v>-0.0</v>
      </c>
      <c r="LGR53" s="5">
        <f>-IFERROR('4. NPV'!LGS23/'4. NPV'!LGS$8,0)</f>
        <v>-0.0</v>
      </c>
      <c r="LGS53" s="5">
        <f>-IFERROR('4. NPV'!LGT23/'4. NPV'!LGT$8,0)</f>
        <v>-0.0</v>
      </c>
      <c r="LGT53" s="5">
        <f>-IFERROR('4. NPV'!LGU23/'4. NPV'!LGU$8,0)</f>
        <v>-0.0</v>
      </c>
      <c r="LGU53" s="5">
        <f>-IFERROR('4. NPV'!LGV23/'4. NPV'!LGV$8,0)</f>
        <v>-0.0</v>
      </c>
      <c r="LGV53" s="5">
        <f>-IFERROR('4. NPV'!LGW23/'4. NPV'!LGW$8,0)</f>
        <v>-0.0</v>
      </c>
      <c r="LGW53" s="5">
        <f>-IFERROR('4. NPV'!LGX23/'4. NPV'!LGX$8,0)</f>
        <v>-0.0</v>
      </c>
      <c r="LGX53" s="5">
        <f>-IFERROR('4. NPV'!LGY23/'4. NPV'!LGY$8,0)</f>
        <v>-0.0</v>
      </c>
      <c r="LGY53" s="5">
        <f>-IFERROR('4. NPV'!LGZ23/'4. NPV'!LGZ$8,0)</f>
        <v>-0.0</v>
      </c>
      <c r="LGZ53" s="5">
        <f>-IFERROR('4. NPV'!LHA23/'4. NPV'!LHA$8,0)</f>
        <v>-0.0</v>
      </c>
      <c r="LHA53" s="5">
        <f>-IFERROR('4. NPV'!LHB23/'4. NPV'!LHB$8,0)</f>
        <v>-0.0</v>
      </c>
      <c r="LHB53" s="5">
        <f>-IFERROR('4. NPV'!LHC23/'4. NPV'!LHC$8,0)</f>
        <v>-0.0</v>
      </c>
      <c r="LHC53" s="5">
        <f>-IFERROR('4. NPV'!LHD23/'4. NPV'!LHD$8,0)</f>
        <v>-0.0</v>
      </c>
      <c r="LHD53" s="5">
        <f>-IFERROR('4. NPV'!LHE23/'4. NPV'!LHE$8,0)</f>
        <v>-0.0</v>
      </c>
      <c r="LHE53" s="5">
        <f>-IFERROR('4. NPV'!LHF23/'4. NPV'!LHF$8,0)</f>
        <v>-0.0</v>
      </c>
      <c r="LHF53" s="5">
        <f>-IFERROR('4. NPV'!LHG23/'4. NPV'!LHG$8,0)</f>
        <v>-0.0</v>
      </c>
      <c r="LHG53" s="5">
        <f>-IFERROR('4. NPV'!LHH23/'4. NPV'!LHH$8,0)</f>
        <v>-0.0</v>
      </c>
      <c r="LHH53" s="5">
        <f>-IFERROR('4. NPV'!LHI23/'4. NPV'!LHI$8,0)</f>
        <v>-0.0</v>
      </c>
      <c r="LHI53" s="5">
        <f>-IFERROR('4. NPV'!LHJ23/'4. NPV'!LHJ$8,0)</f>
        <v>-0.0</v>
      </c>
      <c r="LHJ53" s="5">
        <f>-IFERROR('4. NPV'!LHK23/'4. NPV'!LHK$8,0)</f>
        <v>-0.0</v>
      </c>
      <c r="LHK53" s="5">
        <f>-IFERROR('4. NPV'!LHL23/'4. NPV'!LHL$8,0)</f>
        <v>-0.0</v>
      </c>
      <c r="LHL53" s="5">
        <f>-IFERROR('4. NPV'!LHM23/'4. NPV'!LHM$8,0)</f>
        <v>-0.0</v>
      </c>
      <c r="LHM53" s="5">
        <f>-IFERROR('4. NPV'!LHN23/'4. NPV'!LHN$8,0)</f>
        <v>-0.0</v>
      </c>
      <c r="LHN53" s="5">
        <f>-IFERROR('4. NPV'!LHO23/'4. NPV'!LHO$8,0)</f>
        <v>-0.0</v>
      </c>
      <c r="LHO53" s="5">
        <f>-IFERROR('4. NPV'!LHP23/'4. NPV'!LHP$8,0)</f>
        <v>-0.0</v>
      </c>
      <c r="LHP53" s="5">
        <f>-IFERROR('4. NPV'!LHQ23/'4. NPV'!LHQ$8,0)</f>
        <v>-0.0</v>
      </c>
      <c r="LHQ53" s="5">
        <f>-IFERROR('4. NPV'!LHR23/'4. NPV'!LHR$8,0)</f>
        <v>-0.0</v>
      </c>
      <c r="LHR53" s="5">
        <f>-IFERROR('4. NPV'!LHS23/'4. NPV'!LHS$8,0)</f>
        <v>-0.0</v>
      </c>
      <c r="LHS53" s="5">
        <f>-IFERROR('4. NPV'!LHT23/'4. NPV'!LHT$8,0)</f>
        <v>-0.0</v>
      </c>
      <c r="LHT53" s="5">
        <f>-IFERROR('4. NPV'!LHU23/'4. NPV'!LHU$8,0)</f>
        <v>-0.0</v>
      </c>
      <c r="LHU53" s="5">
        <f>-IFERROR('4. NPV'!LHV23/'4. NPV'!LHV$8,0)</f>
        <v>-0.0</v>
      </c>
      <c r="LHV53" s="5">
        <f>-IFERROR('4. NPV'!LHW23/'4. NPV'!LHW$8,0)</f>
        <v>-0.0</v>
      </c>
      <c r="LHW53" s="5">
        <f>-IFERROR('4. NPV'!LHX23/'4. NPV'!LHX$8,0)</f>
        <v>-0.0</v>
      </c>
      <c r="LHX53" s="5">
        <f>-IFERROR('4. NPV'!LHY23/'4. NPV'!LHY$8,0)</f>
        <v>-0.0</v>
      </c>
      <c r="LHY53" s="5">
        <f>-IFERROR('4. NPV'!LHZ23/'4. NPV'!LHZ$8,0)</f>
        <v>-0.0</v>
      </c>
      <c r="LHZ53" s="5">
        <f>-IFERROR('4. NPV'!LIA23/'4. NPV'!LIA$8,0)</f>
        <v>-0.0</v>
      </c>
      <c r="LIA53" s="5">
        <f>-IFERROR('4. NPV'!LIB23/'4. NPV'!LIB$8,0)</f>
        <v>-0.0</v>
      </c>
      <c r="LIB53" s="5">
        <f>-IFERROR('4. NPV'!LIC23/'4. NPV'!LIC$8,0)</f>
        <v>-0.0</v>
      </c>
      <c r="LIC53" s="5">
        <f>-IFERROR('4. NPV'!LID23/'4. NPV'!LID$8,0)</f>
        <v>-0.0</v>
      </c>
      <c r="LID53" s="5">
        <f>-IFERROR('4. NPV'!LIE23/'4. NPV'!LIE$8,0)</f>
        <v>-0.0</v>
      </c>
      <c r="LIE53" s="5">
        <f>-IFERROR('4. NPV'!LIF23/'4. NPV'!LIF$8,0)</f>
        <v>-0.0</v>
      </c>
      <c r="LIF53" s="5">
        <f>-IFERROR('4. NPV'!LIG23/'4. NPV'!LIG$8,0)</f>
        <v>-0.0</v>
      </c>
      <c r="LIG53" s="5">
        <f>-IFERROR('4. NPV'!LIH23/'4. NPV'!LIH$8,0)</f>
        <v>-0.0</v>
      </c>
      <c r="LIH53" s="5">
        <f>-IFERROR('4. NPV'!LII23/'4. NPV'!LII$8,0)</f>
        <v>-0.0</v>
      </c>
      <c r="LII53" s="5">
        <f>-IFERROR('4. NPV'!LIJ23/'4. NPV'!LIJ$8,0)</f>
        <v>-0.0</v>
      </c>
      <c r="LIJ53" s="5">
        <f>-IFERROR('4. NPV'!LIK23/'4. NPV'!LIK$8,0)</f>
        <v>-0.0</v>
      </c>
      <c r="LIK53" s="5">
        <f>-IFERROR('4. NPV'!LIL23/'4. NPV'!LIL$8,0)</f>
        <v>-0.0</v>
      </c>
      <c r="LIL53" s="5">
        <f>-IFERROR('4. NPV'!LIM23/'4. NPV'!LIM$8,0)</f>
        <v>-0.0</v>
      </c>
      <c r="LIM53" s="5">
        <f>-IFERROR('4. NPV'!LIN23/'4. NPV'!LIN$8,0)</f>
        <v>-0.0</v>
      </c>
      <c r="LIN53" s="5">
        <f>-IFERROR('4. NPV'!LIO23/'4. NPV'!LIO$8,0)</f>
        <v>-0.0</v>
      </c>
      <c r="LIO53" s="5">
        <f>-IFERROR('4. NPV'!LIP23/'4. NPV'!LIP$8,0)</f>
        <v>-0.0</v>
      </c>
      <c r="LIP53" s="5">
        <f>-IFERROR('4. NPV'!LIQ23/'4. NPV'!LIQ$8,0)</f>
        <v>-0.0</v>
      </c>
      <c r="LIQ53" s="5">
        <f>-IFERROR('4. NPV'!LIR23/'4. NPV'!LIR$8,0)</f>
        <v>-0.0</v>
      </c>
      <c r="LIR53" s="5">
        <f>-IFERROR('4. NPV'!LIS23/'4. NPV'!LIS$8,0)</f>
        <v>-0.0</v>
      </c>
      <c r="LIS53" s="5">
        <f>-IFERROR('4. NPV'!LIT23/'4. NPV'!LIT$8,0)</f>
        <v>-0.0</v>
      </c>
      <c r="LIT53" s="5">
        <f>-IFERROR('4. NPV'!LIU23/'4. NPV'!LIU$8,0)</f>
        <v>-0.0</v>
      </c>
      <c r="LIU53" s="5">
        <f>-IFERROR('4. NPV'!LIV23/'4. NPV'!LIV$8,0)</f>
        <v>-0.0</v>
      </c>
      <c r="LIV53" s="5">
        <f>-IFERROR('4. NPV'!LIW23/'4. NPV'!LIW$8,0)</f>
        <v>-0.0</v>
      </c>
      <c r="LIW53" s="5">
        <f>-IFERROR('4. NPV'!LIX23/'4. NPV'!LIX$8,0)</f>
        <v>-0.0</v>
      </c>
      <c r="LIX53" s="5">
        <f>-IFERROR('4. NPV'!LIY23/'4. NPV'!LIY$8,0)</f>
        <v>-0.0</v>
      </c>
      <c r="LIY53" s="5">
        <f>-IFERROR('4. NPV'!LIZ23/'4. NPV'!LIZ$8,0)</f>
        <v>-0.0</v>
      </c>
      <c r="LIZ53" s="5">
        <f>-IFERROR('4. NPV'!LJA23/'4. NPV'!LJA$8,0)</f>
        <v>-0.0</v>
      </c>
      <c r="LJA53" s="5">
        <f>-IFERROR('4. NPV'!LJB23/'4. NPV'!LJB$8,0)</f>
        <v>-0.0</v>
      </c>
      <c r="LJB53" s="5">
        <f>-IFERROR('4. NPV'!LJC23/'4. NPV'!LJC$8,0)</f>
        <v>-0.0</v>
      </c>
      <c r="LJC53" s="5">
        <f>-IFERROR('4. NPV'!LJD23/'4. NPV'!LJD$8,0)</f>
        <v>-0.0</v>
      </c>
      <c r="LJD53" s="5">
        <f>-IFERROR('4. NPV'!LJE23/'4. NPV'!LJE$8,0)</f>
        <v>-0.0</v>
      </c>
      <c r="LJE53" s="5">
        <f>-IFERROR('4. NPV'!LJF23/'4. NPV'!LJF$8,0)</f>
        <v>-0.0</v>
      </c>
      <c r="LJF53" s="5">
        <f>-IFERROR('4. NPV'!LJG23/'4. NPV'!LJG$8,0)</f>
        <v>-0.0</v>
      </c>
      <c r="LJG53" s="5">
        <f>-IFERROR('4. NPV'!LJH23/'4. NPV'!LJH$8,0)</f>
        <v>-0.0</v>
      </c>
      <c r="LJH53" s="5">
        <f>-IFERROR('4. NPV'!LJI23/'4. NPV'!LJI$8,0)</f>
        <v>-0.0</v>
      </c>
      <c r="LJI53" s="5">
        <f>-IFERROR('4. NPV'!LJJ23/'4. NPV'!LJJ$8,0)</f>
        <v>-0.0</v>
      </c>
      <c r="LJJ53" s="5">
        <f>-IFERROR('4. NPV'!LJK23/'4. NPV'!LJK$8,0)</f>
        <v>-0.0</v>
      </c>
      <c r="LJK53" s="5">
        <f>-IFERROR('4. NPV'!LJL23/'4. NPV'!LJL$8,0)</f>
        <v>-0.0</v>
      </c>
      <c r="LJL53" s="5">
        <f>-IFERROR('4. NPV'!LJM23/'4. NPV'!LJM$8,0)</f>
        <v>-0.0</v>
      </c>
      <c r="LJM53" s="5">
        <f>-IFERROR('4. NPV'!LJN23/'4. NPV'!LJN$8,0)</f>
        <v>-0.0</v>
      </c>
      <c r="LJN53" s="5">
        <f>-IFERROR('4. NPV'!LJO23/'4. NPV'!LJO$8,0)</f>
        <v>-0.0</v>
      </c>
      <c r="LJO53" s="5">
        <f>-IFERROR('4. NPV'!LJP23/'4. NPV'!LJP$8,0)</f>
        <v>-0.0</v>
      </c>
      <c r="LJP53" s="5">
        <f>-IFERROR('4. NPV'!LJQ23/'4. NPV'!LJQ$8,0)</f>
        <v>-0.0</v>
      </c>
      <c r="LJQ53" s="5">
        <f>-IFERROR('4. NPV'!LJR23/'4. NPV'!LJR$8,0)</f>
        <v>-0.0</v>
      </c>
      <c r="LJR53" s="5">
        <f>-IFERROR('4. NPV'!LJS23/'4. NPV'!LJS$8,0)</f>
        <v>-0.0</v>
      </c>
      <c r="LJS53" s="5">
        <f>-IFERROR('4. NPV'!LJT23/'4. NPV'!LJT$8,0)</f>
        <v>-0.0</v>
      </c>
      <c r="LJT53" s="5">
        <f>-IFERROR('4. NPV'!LJU23/'4. NPV'!LJU$8,0)</f>
        <v>-0.0</v>
      </c>
      <c r="LJU53" s="5">
        <f>-IFERROR('4. NPV'!LJV23/'4. NPV'!LJV$8,0)</f>
        <v>-0.0</v>
      </c>
      <c r="LJV53" s="5">
        <f>-IFERROR('4. NPV'!LJW23/'4. NPV'!LJW$8,0)</f>
        <v>-0.0</v>
      </c>
      <c r="LJW53" s="5">
        <f>-IFERROR('4. NPV'!LJX23/'4. NPV'!LJX$8,0)</f>
        <v>-0.0</v>
      </c>
      <c r="LJX53" s="5">
        <f>-IFERROR('4. NPV'!LJY23/'4. NPV'!LJY$8,0)</f>
        <v>-0.0</v>
      </c>
      <c r="LJY53" s="5">
        <f>-IFERROR('4. NPV'!LJZ23/'4. NPV'!LJZ$8,0)</f>
        <v>-0.0</v>
      </c>
      <c r="LJZ53" s="5">
        <f>-IFERROR('4. NPV'!LKA23/'4. NPV'!LKA$8,0)</f>
        <v>-0.0</v>
      </c>
      <c r="LKA53" s="5">
        <f>-IFERROR('4. NPV'!LKB23/'4. NPV'!LKB$8,0)</f>
        <v>-0.0</v>
      </c>
      <c r="LKB53" s="5">
        <f>-IFERROR('4. NPV'!LKC23/'4. NPV'!LKC$8,0)</f>
        <v>-0.0</v>
      </c>
      <c r="LKC53" s="5">
        <f>-IFERROR('4. NPV'!LKD23/'4. NPV'!LKD$8,0)</f>
        <v>-0.0</v>
      </c>
      <c r="LKD53" s="5">
        <f>-IFERROR('4. NPV'!LKE23/'4. NPV'!LKE$8,0)</f>
        <v>-0.0</v>
      </c>
      <c r="LKE53" s="5">
        <f>-IFERROR('4. NPV'!LKF23/'4. NPV'!LKF$8,0)</f>
        <v>-0.0</v>
      </c>
      <c r="LKF53" s="5">
        <f>-IFERROR('4. NPV'!LKG23/'4. NPV'!LKG$8,0)</f>
        <v>-0.0</v>
      </c>
      <c r="LKG53" s="5">
        <f>-IFERROR('4. NPV'!LKH23/'4. NPV'!LKH$8,0)</f>
        <v>-0.0</v>
      </c>
      <c r="LKH53" s="5">
        <f>-IFERROR('4. NPV'!LKI23/'4. NPV'!LKI$8,0)</f>
        <v>-0.0</v>
      </c>
      <c r="LKI53" s="5">
        <f>-IFERROR('4. NPV'!LKJ23/'4. NPV'!LKJ$8,0)</f>
        <v>-0.0</v>
      </c>
      <c r="LKJ53" s="5">
        <f>-IFERROR('4. NPV'!LKK23/'4. NPV'!LKK$8,0)</f>
        <v>-0.0</v>
      </c>
      <c r="LKK53" s="5">
        <f>-IFERROR('4. NPV'!LKL23/'4. NPV'!LKL$8,0)</f>
        <v>-0.0</v>
      </c>
      <c r="LKL53" s="5">
        <f>-IFERROR('4. NPV'!LKM23/'4. NPV'!LKM$8,0)</f>
        <v>-0.0</v>
      </c>
      <c r="LKM53" s="5">
        <f>-IFERROR('4. NPV'!LKN23/'4. NPV'!LKN$8,0)</f>
        <v>-0.0</v>
      </c>
      <c r="LKN53" s="5">
        <f>-IFERROR('4. NPV'!LKO23/'4. NPV'!LKO$8,0)</f>
        <v>-0.0</v>
      </c>
      <c r="LKO53" s="5">
        <f>-IFERROR('4. NPV'!LKP23/'4. NPV'!LKP$8,0)</f>
        <v>-0.0</v>
      </c>
      <c r="LKP53" s="5">
        <f>-IFERROR('4. NPV'!LKQ23/'4. NPV'!LKQ$8,0)</f>
        <v>-0.0</v>
      </c>
      <c r="LKQ53" s="5">
        <f>-IFERROR('4. NPV'!LKR23/'4. NPV'!LKR$8,0)</f>
        <v>-0.0</v>
      </c>
      <c r="LKR53" s="5">
        <f>-IFERROR('4. NPV'!LKS23/'4. NPV'!LKS$8,0)</f>
        <v>-0.0</v>
      </c>
      <c r="LKS53" s="5">
        <f>-IFERROR('4. NPV'!LKT23/'4. NPV'!LKT$8,0)</f>
        <v>-0.0</v>
      </c>
      <c r="LKT53" s="5">
        <f>-IFERROR('4. NPV'!LKU23/'4. NPV'!LKU$8,0)</f>
        <v>-0.0</v>
      </c>
      <c r="LKU53" s="5">
        <f>-IFERROR('4. NPV'!LKV23/'4. NPV'!LKV$8,0)</f>
        <v>-0.0</v>
      </c>
      <c r="LKV53" s="5">
        <f>-IFERROR('4. NPV'!LKW23/'4. NPV'!LKW$8,0)</f>
        <v>-0.0</v>
      </c>
      <c r="LKW53" s="5">
        <f>-IFERROR('4. NPV'!LKX23/'4. NPV'!LKX$8,0)</f>
        <v>-0.0</v>
      </c>
      <c r="LKX53" s="5">
        <f>-IFERROR('4. NPV'!LKY23/'4. NPV'!LKY$8,0)</f>
        <v>-0.0</v>
      </c>
      <c r="LKY53" s="5">
        <f>-IFERROR('4. NPV'!LKZ23/'4. NPV'!LKZ$8,0)</f>
        <v>-0.0</v>
      </c>
      <c r="LKZ53" s="5">
        <f>-IFERROR('4. NPV'!LLA23/'4. NPV'!LLA$8,0)</f>
        <v>-0.0</v>
      </c>
      <c r="LLA53" s="5">
        <f>-IFERROR('4. NPV'!LLB23/'4. NPV'!LLB$8,0)</f>
        <v>-0.0</v>
      </c>
      <c r="LLB53" s="5">
        <f>-IFERROR('4. NPV'!LLC23/'4. NPV'!LLC$8,0)</f>
        <v>-0.0</v>
      </c>
      <c r="LLC53" s="5">
        <f>-IFERROR('4. NPV'!LLD23/'4. NPV'!LLD$8,0)</f>
        <v>-0.0</v>
      </c>
      <c r="LLD53" s="5">
        <f>-IFERROR('4. NPV'!LLE23/'4. NPV'!LLE$8,0)</f>
        <v>-0.0</v>
      </c>
      <c r="LLE53" s="5">
        <f>-IFERROR('4. NPV'!LLF23/'4. NPV'!LLF$8,0)</f>
        <v>-0.0</v>
      </c>
      <c r="LLF53" s="5">
        <f>-IFERROR('4. NPV'!LLG23/'4. NPV'!LLG$8,0)</f>
        <v>-0.0</v>
      </c>
      <c r="LLG53" s="5">
        <f>-IFERROR('4. NPV'!LLH23/'4. NPV'!LLH$8,0)</f>
        <v>-0.0</v>
      </c>
      <c r="LLH53" s="5">
        <f>-IFERROR('4. NPV'!LLI23/'4. NPV'!LLI$8,0)</f>
        <v>-0.0</v>
      </c>
      <c r="LLI53" s="5">
        <f>-IFERROR('4. NPV'!LLJ23/'4. NPV'!LLJ$8,0)</f>
        <v>-0.0</v>
      </c>
      <c r="LLJ53" s="5">
        <f>-IFERROR('4. NPV'!LLK23/'4. NPV'!LLK$8,0)</f>
        <v>-0.0</v>
      </c>
      <c r="LLK53" s="5">
        <f>-IFERROR('4. NPV'!LLL23/'4. NPV'!LLL$8,0)</f>
        <v>-0.0</v>
      </c>
      <c r="LLL53" s="5">
        <f>-IFERROR('4. NPV'!LLM23/'4. NPV'!LLM$8,0)</f>
        <v>-0.0</v>
      </c>
      <c r="LLM53" s="5">
        <f>-IFERROR('4. NPV'!LLN23/'4. NPV'!LLN$8,0)</f>
        <v>-0.0</v>
      </c>
      <c r="LLN53" s="5">
        <f>-IFERROR('4. NPV'!LLO23/'4. NPV'!LLO$8,0)</f>
        <v>-0.0</v>
      </c>
      <c r="LLO53" s="5">
        <f>-IFERROR('4. NPV'!LLP23/'4. NPV'!LLP$8,0)</f>
        <v>-0.0</v>
      </c>
      <c r="LLP53" s="5">
        <f>-IFERROR('4. NPV'!LLQ23/'4. NPV'!LLQ$8,0)</f>
        <v>-0.0</v>
      </c>
      <c r="LLQ53" s="5">
        <f>-IFERROR('4. NPV'!LLR23/'4. NPV'!LLR$8,0)</f>
        <v>-0.0</v>
      </c>
      <c r="LLR53" s="5">
        <f>-IFERROR('4. NPV'!LLS23/'4. NPV'!LLS$8,0)</f>
        <v>-0.0</v>
      </c>
      <c r="LLS53" s="5">
        <f>-IFERROR('4. NPV'!LLT23/'4. NPV'!LLT$8,0)</f>
        <v>-0.0</v>
      </c>
      <c r="LLT53" s="5">
        <f>-IFERROR('4. NPV'!LLU23/'4. NPV'!LLU$8,0)</f>
        <v>-0.0</v>
      </c>
      <c r="LLU53" s="5">
        <f>-IFERROR('4. NPV'!LLV23/'4. NPV'!LLV$8,0)</f>
        <v>-0.0</v>
      </c>
      <c r="LLV53" s="5">
        <f>-IFERROR('4. NPV'!LLW23/'4. NPV'!LLW$8,0)</f>
        <v>-0.0</v>
      </c>
      <c r="LLW53" s="5">
        <f>-IFERROR('4. NPV'!LLX23/'4. NPV'!LLX$8,0)</f>
        <v>-0.0</v>
      </c>
      <c r="LLX53" s="5">
        <f>-IFERROR('4. NPV'!LLY23/'4. NPV'!LLY$8,0)</f>
        <v>-0.0</v>
      </c>
      <c r="LLY53" s="5">
        <f>-IFERROR('4. NPV'!LLZ23/'4. NPV'!LLZ$8,0)</f>
        <v>-0.0</v>
      </c>
      <c r="LLZ53" s="5">
        <f>-IFERROR('4. NPV'!LMA23/'4. NPV'!LMA$8,0)</f>
        <v>-0.0</v>
      </c>
      <c r="LMA53" s="5">
        <f>-IFERROR('4. NPV'!LMB23/'4. NPV'!LMB$8,0)</f>
        <v>-0.0</v>
      </c>
      <c r="LMB53" s="5">
        <f>-IFERROR('4. NPV'!LMC23/'4. NPV'!LMC$8,0)</f>
        <v>-0.0</v>
      </c>
      <c r="LMC53" s="5">
        <f>-IFERROR('4. NPV'!LMD23/'4. NPV'!LMD$8,0)</f>
        <v>-0.0</v>
      </c>
      <c r="LMD53" s="5">
        <f>-IFERROR('4. NPV'!LME23/'4. NPV'!LME$8,0)</f>
        <v>-0.0</v>
      </c>
      <c r="LME53" s="5">
        <f>-IFERROR('4. NPV'!LMF23/'4. NPV'!LMF$8,0)</f>
        <v>-0.0</v>
      </c>
      <c r="LMF53" s="5">
        <f>-IFERROR('4. NPV'!LMG23/'4. NPV'!LMG$8,0)</f>
        <v>-0.0</v>
      </c>
      <c r="LMG53" s="5">
        <f>-IFERROR('4. NPV'!LMH23/'4. NPV'!LMH$8,0)</f>
        <v>-0.0</v>
      </c>
      <c r="LMH53" s="5">
        <f>-IFERROR('4. NPV'!LMI23/'4. NPV'!LMI$8,0)</f>
        <v>-0.0</v>
      </c>
      <c r="LMI53" s="5">
        <f>-IFERROR('4. NPV'!LMJ23/'4. NPV'!LMJ$8,0)</f>
        <v>-0.0</v>
      </c>
      <c r="LMJ53" s="5">
        <f>-IFERROR('4. NPV'!LMK23/'4. NPV'!LMK$8,0)</f>
        <v>-0.0</v>
      </c>
      <c r="LMK53" s="5">
        <f>-IFERROR('4. NPV'!LML23/'4. NPV'!LML$8,0)</f>
        <v>-0.0</v>
      </c>
      <c r="LML53" s="5">
        <f>-IFERROR('4. NPV'!LMM23/'4. NPV'!LMM$8,0)</f>
        <v>-0.0</v>
      </c>
      <c r="LMM53" s="5">
        <f>-IFERROR('4. NPV'!LMN23/'4. NPV'!LMN$8,0)</f>
        <v>-0.0</v>
      </c>
      <c r="LMN53" s="5">
        <f>-IFERROR('4. NPV'!LMO23/'4. NPV'!LMO$8,0)</f>
        <v>-0.0</v>
      </c>
      <c r="LMO53" s="5">
        <f>-IFERROR('4. NPV'!LMP23/'4. NPV'!LMP$8,0)</f>
        <v>-0.0</v>
      </c>
      <c r="LMP53" s="5">
        <f>-IFERROR('4. NPV'!LMQ23/'4. NPV'!LMQ$8,0)</f>
        <v>-0.0</v>
      </c>
      <c r="LMQ53" s="5">
        <f>-IFERROR('4. NPV'!LMR23/'4. NPV'!LMR$8,0)</f>
        <v>-0.0</v>
      </c>
      <c r="LMR53" s="5">
        <f>-IFERROR('4. NPV'!LMS23/'4. NPV'!LMS$8,0)</f>
        <v>-0.0</v>
      </c>
      <c r="LMS53" s="5">
        <f>-IFERROR('4. NPV'!LMT23/'4. NPV'!LMT$8,0)</f>
        <v>-0.0</v>
      </c>
      <c r="LMT53" s="5">
        <f>-IFERROR('4. NPV'!LMU23/'4. NPV'!LMU$8,0)</f>
        <v>-0.0</v>
      </c>
      <c r="LMU53" s="5">
        <f>-IFERROR('4. NPV'!LMV23/'4. NPV'!LMV$8,0)</f>
        <v>-0.0</v>
      </c>
      <c r="LMV53" s="5">
        <f>-IFERROR('4. NPV'!LMW23/'4. NPV'!LMW$8,0)</f>
        <v>-0.0</v>
      </c>
      <c r="LMW53" s="5">
        <f>-IFERROR('4. NPV'!LMX23/'4. NPV'!LMX$8,0)</f>
        <v>-0.0</v>
      </c>
      <c r="LMX53" s="5">
        <f>-IFERROR('4. NPV'!LMY23/'4. NPV'!LMY$8,0)</f>
        <v>-0.0</v>
      </c>
      <c r="LMY53" s="5">
        <f>-IFERROR('4. NPV'!LMZ23/'4. NPV'!LMZ$8,0)</f>
        <v>-0.0</v>
      </c>
      <c r="LMZ53" s="5">
        <f>-IFERROR('4. NPV'!LNA23/'4. NPV'!LNA$8,0)</f>
        <v>-0.0</v>
      </c>
      <c r="LNA53" s="5">
        <f>-IFERROR('4. NPV'!LNB23/'4. NPV'!LNB$8,0)</f>
        <v>-0.0</v>
      </c>
      <c r="LNB53" s="5">
        <f>-IFERROR('4. NPV'!LNC23/'4. NPV'!LNC$8,0)</f>
        <v>-0.0</v>
      </c>
      <c r="LNC53" s="5">
        <f>-IFERROR('4. NPV'!LND23/'4. NPV'!LND$8,0)</f>
        <v>-0.0</v>
      </c>
      <c r="LND53" s="5">
        <f>-IFERROR('4. NPV'!LNE23/'4. NPV'!LNE$8,0)</f>
        <v>-0.0</v>
      </c>
      <c r="LNE53" s="5">
        <f>-IFERROR('4. NPV'!LNF23/'4. NPV'!LNF$8,0)</f>
        <v>-0.0</v>
      </c>
      <c r="LNF53" s="5">
        <f>-IFERROR('4. NPV'!LNG23/'4. NPV'!LNG$8,0)</f>
        <v>-0.0</v>
      </c>
      <c r="LNG53" s="5">
        <f>-IFERROR('4. NPV'!LNH23/'4. NPV'!LNH$8,0)</f>
        <v>-0.0</v>
      </c>
      <c r="LNH53" s="5">
        <f>-IFERROR('4. NPV'!LNI23/'4. NPV'!LNI$8,0)</f>
        <v>-0.0</v>
      </c>
      <c r="LNI53" s="5">
        <f>-IFERROR('4. NPV'!LNJ23/'4. NPV'!LNJ$8,0)</f>
        <v>-0.0</v>
      </c>
      <c r="LNJ53" s="5">
        <f>-IFERROR('4. NPV'!LNK23/'4. NPV'!LNK$8,0)</f>
        <v>-0.0</v>
      </c>
      <c r="LNK53" s="5">
        <f>-IFERROR('4. NPV'!LNL23/'4. NPV'!LNL$8,0)</f>
        <v>-0.0</v>
      </c>
      <c r="LNL53" s="5">
        <f>-IFERROR('4. NPV'!LNM23/'4. NPV'!LNM$8,0)</f>
        <v>-0.0</v>
      </c>
      <c r="LNM53" s="5">
        <f>-IFERROR('4. NPV'!LNN23/'4. NPV'!LNN$8,0)</f>
        <v>-0.0</v>
      </c>
      <c r="LNN53" s="5">
        <f>-IFERROR('4. NPV'!LNO23/'4. NPV'!LNO$8,0)</f>
        <v>-0.0</v>
      </c>
      <c r="LNO53" s="5">
        <f>-IFERROR('4. NPV'!LNP23/'4. NPV'!LNP$8,0)</f>
        <v>-0.0</v>
      </c>
      <c r="LNP53" s="5">
        <f>-IFERROR('4. NPV'!LNQ23/'4. NPV'!LNQ$8,0)</f>
        <v>-0.0</v>
      </c>
      <c r="LNQ53" s="5">
        <f>-IFERROR('4. NPV'!LNR23/'4. NPV'!LNR$8,0)</f>
        <v>-0.0</v>
      </c>
      <c r="LNR53" s="5">
        <f>-IFERROR('4. NPV'!LNS23/'4. NPV'!LNS$8,0)</f>
        <v>-0.0</v>
      </c>
      <c r="LNS53" s="5">
        <f>-IFERROR('4. NPV'!LNT23/'4. NPV'!LNT$8,0)</f>
        <v>-0.0</v>
      </c>
      <c r="LNT53" s="5">
        <f>-IFERROR('4. NPV'!LNU23/'4. NPV'!LNU$8,0)</f>
        <v>-0.0</v>
      </c>
      <c r="LNU53" s="5">
        <f>-IFERROR('4. NPV'!LNV23/'4. NPV'!LNV$8,0)</f>
        <v>-0.0</v>
      </c>
      <c r="LNV53" s="5">
        <f>-IFERROR('4. NPV'!LNW23/'4. NPV'!LNW$8,0)</f>
        <v>-0.0</v>
      </c>
      <c r="LNW53" s="5">
        <f>-IFERROR('4. NPV'!LNX23/'4. NPV'!LNX$8,0)</f>
        <v>-0.0</v>
      </c>
      <c r="LNX53" s="5">
        <f>-IFERROR('4. NPV'!LNY23/'4. NPV'!LNY$8,0)</f>
        <v>-0.0</v>
      </c>
      <c r="LNY53" s="5">
        <f>-IFERROR('4. NPV'!LNZ23/'4. NPV'!LNZ$8,0)</f>
        <v>-0.0</v>
      </c>
      <c r="LNZ53" s="5">
        <f>-IFERROR('4. NPV'!LOA23/'4. NPV'!LOA$8,0)</f>
        <v>-0.0</v>
      </c>
      <c r="LOA53" s="5">
        <f>-IFERROR('4. NPV'!LOB23/'4. NPV'!LOB$8,0)</f>
        <v>-0.0</v>
      </c>
      <c r="LOB53" s="5">
        <f>-IFERROR('4. NPV'!LOC23/'4. NPV'!LOC$8,0)</f>
        <v>-0.0</v>
      </c>
      <c r="LOC53" s="5">
        <f>-IFERROR('4. NPV'!LOD23/'4. NPV'!LOD$8,0)</f>
        <v>-0.0</v>
      </c>
      <c r="LOD53" s="5">
        <f>-IFERROR('4. NPV'!LOE23/'4. NPV'!LOE$8,0)</f>
        <v>-0.0</v>
      </c>
      <c r="LOE53" s="5">
        <f>-IFERROR('4. NPV'!LOF23/'4. NPV'!LOF$8,0)</f>
        <v>-0.0</v>
      </c>
      <c r="LOF53" s="5">
        <f>-IFERROR('4. NPV'!LOG23/'4. NPV'!LOG$8,0)</f>
        <v>-0.0</v>
      </c>
      <c r="LOG53" s="5">
        <f>-IFERROR('4. NPV'!LOH23/'4. NPV'!LOH$8,0)</f>
        <v>-0.0</v>
      </c>
      <c r="LOH53" s="5">
        <f>-IFERROR('4. NPV'!LOI23/'4. NPV'!LOI$8,0)</f>
        <v>-0.0</v>
      </c>
      <c r="LOI53" s="5">
        <f>-IFERROR('4. NPV'!LOJ23/'4. NPV'!LOJ$8,0)</f>
        <v>-0.0</v>
      </c>
      <c r="LOJ53" s="5">
        <f>-IFERROR('4. NPV'!LOK23/'4. NPV'!LOK$8,0)</f>
        <v>-0.0</v>
      </c>
      <c r="LOK53" s="5">
        <f>-IFERROR('4. NPV'!LOL23/'4. NPV'!LOL$8,0)</f>
        <v>-0.0</v>
      </c>
      <c r="LOL53" s="5">
        <f>-IFERROR('4. NPV'!LOM23/'4. NPV'!LOM$8,0)</f>
        <v>-0.0</v>
      </c>
      <c r="LOM53" s="5">
        <f>-IFERROR('4. NPV'!LON23/'4. NPV'!LON$8,0)</f>
        <v>-0.0</v>
      </c>
      <c r="LON53" s="5">
        <f>-IFERROR('4. NPV'!LOO23/'4. NPV'!LOO$8,0)</f>
        <v>-0.0</v>
      </c>
      <c r="LOO53" s="5">
        <f>-IFERROR('4. NPV'!LOP23/'4. NPV'!LOP$8,0)</f>
        <v>-0.0</v>
      </c>
      <c r="LOP53" s="5">
        <f>-IFERROR('4. NPV'!LOQ23/'4. NPV'!LOQ$8,0)</f>
        <v>-0.0</v>
      </c>
      <c r="LOQ53" s="5">
        <f>-IFERROR('4. NPV'!LOR23/'4. NPV'!LOR$8,0)</f>
        <v>-0.0</v>
      </c>
      <c r="LOR53" s="5">
        <f>-IFERROR('4. NPV'!LOS23/'4. NPV'!LOS$8,0)</f>
        <v>-0.0</v>
      </c>
      <c r="LOS53" s="5">
        <f>-IFERROR('4. NPV'!LOT23/'4. NPV'!LOT$8,0)</f>
        <v>-0.0</v>
      </c>
      <c r="LOT53" s="5">
        <f>-IFERROR('4. NPV'!LOU23/'4. NPV'!LOU$8,0)</f>
        <v>-0.0</v>
      </c>
      <c r="LOU53" s="5">
        <f>-IFERROR('4. NPV'!LOV23/'4. NPV'!LOV$8,0)</f>
        <v>-0.0</v>
      </c>
      <c r="LOV53" s="5">
        <f>-IFERROR('4. NPV'!LOW23/'4. NPV'!LOW$8,0)</f>
        <v>-0.0</v>
      </c>
      <c r="LOW53" s="5">
        <f>-IFERROR('4. NPV'!LOX23/'4. NPV'!LOX$8,0)</f>
        <v>-0.0</v>
      </c>
      <c r="LOX53" s="5">
        <f>-IFERROR('4. NPV'!LOY23/'4. NPV'!LOY$8,0)</f>
        <v>-0.0</v>
      </c>
      <c r="LOY53" s="5">
        <f>-IFERROR('4. NPV'!LOZ23/'4. NPV'!LOZ$8,0)</f>
        <v>-0.0</v>
      </c>
      <c r="LOZ53" s="5">
        <f>-IFERROR('4. NPV'!LPA23/'4. NPV'!LPA$8,0)</f>
        <v>-0.0</v>
      </c>
      <c r="LPA53" s="5">
        <f>-IFERROR('4. NPV'!LPB23/'4. NPV'!LPB$8,0)</f>
        <v>-0.0</v>
      </c>
      <c r="LPB53" s="5">
        <f>-IFERROR('4. NPV'!LPC23/'4. NPV'!LPC$8,0)</f>
        <v>-0.0</v>
      </c>
      <c r="LPC53" s="5">
        <f>-IFERROR('4. NPV'!LPD23/'4. NPV'!LPD$8,0)</f>
        <v>-0.0</v>
      </c>
      <c r="LPD53" s="5">
        <f>-IFERROR('4. NPV'!LPE23/'4. NPV'!LPE$8,0)</f>
        <v>-0.0</v>
      </c>
      <c r="LPE53" s="5">
        <f>-IFERROR('4. NPV'!LPF23/'4. NPV'!LPF$8,0)</f>
        <v>-0.0</v>
      </c>
      <c r="LPF53" s="5">
        <f>-IFERROR('4. NPV'!LPG23/'4. NPV'!LPG$8,0)</f>
        <v>-0.0</v>
      </c>
      <c r="LPG53" s="5">
        <f>-IFERROR('4. NPV'!LPH23/'4. NPV'!LPH$8,0)</f>
        <v>-0.0</v>
      </c>
      <c r="LPH53" s="5">
        <f>-IFERROR('4. NPV'!LPI23/'4. NPV'!LPI$8,0)</f>
        <v>-0.0</v>
      </c>
      <c r="LPI53" s="5">
        <f>-IFERROR('4. NPV'!LPJ23/'4. NPV'!LPJ$8,0)</f>
        <v>-0.0</v>
      </c>
      <c r="LPJ53" s="5">
        <f>-IFERROR('4. NPV'!LPK23/'4. NPV'!LPK$8,0)</f>
        <v>-0.0</v>
      </c>
      <c r="LPK53" s="5">
        <f>-IFERROR('4. NPV'!LPL23/'4. NPV'!LPL$8,0)</f>
        <v>-0.0</v>
      </c>
      <c r="LPL53" s="5">
        <f>-IFERROR('4. NPV'!LPM23/'4. NPV'!LPM$8,0)</f>
        <v>-0.0</v>
      </c>
      <c r="LPM53" s="5">
        <f>-IFERROR('4. NPV'!LPN23/'4. NPV'!LPN$8,0)</f>
        <v>-0.0</v>
      </c>
      <c r="LPN53" s="5">
        <f>-IFERROR('4. NPV'!LPO23/'4. NPV'!LPO$8,0)</f>
        <v>-0.0</v>
      </c>
      <c r="LPO53" s="5">
        <f>-IFERROR('4. NPV'!LPP23/'4. NPV'!LPP$8,0)</f>
        <v>-0.0</v>
      </c>
      <c r="LPP53" s="5">
        <f>-IFERROR('4. NPV'!LPQ23/'4. NPV'!LPQ$8,0)</f>
        <v>-0.0</v>
      </c>
      <c r="LPQ53" s="5">
        <f>-IFERROR('4. NPV'!LPR23/'4. NPV'!LPR$8,0)</f>
        <v>-0.0</v>
      </c>
      <c r="LPR53" s="5">
        <f>-IFERROR('4. NPV'!LPS23/'4. NPV'!LPS$8,0)</f>
        <v>-0.0</v>
      </c>
      <c r="LPS53" s="5">
        <f>-IFERROR('4. NPV'!LPT23/'4. NPV'!LPT$8,0)</f>
        <v>-0.0</v>
      </c>
      <c r="LPT53" s="5">
        <f>-IFERROR('4. NPV'!LPU23/'4. NPV'!LPU$8,0)</f>
        <v>-0.0</v>
      </c>
      <c r="LPU53" s="5">
        <f>-IFERROR('4. NPV'!LPV23/'4. NPV'!LPV$8,0)</f>
        <v>-0.0</v>
      </c>
      <c r="LPV53" s="5">
        <f>-IFERROR('4. NPV'!LPW23/'4. NPV'!LPW$8,0)</f>
        <v>-0.0</v>
      </c>
      <c r="LPW53" s="5">
        <f>-IFERROR('4. NPV'!LPX23/'4. NPV'!LPX$8,0)</f>
        <v>-0.0</v>
      </c>
      <c r="LPX53" s="5">
        <f>-IFERROR('4. NPV'!LPY23/'4. NPV'!LPY$8,0)</f>
        <v>-0.0</v>
      </c>
      <c r="LPY53" s="5">
        <f>-IFERROR('4. NPV'!LPZ23/'4. NPV'!LPZ$8,0)</f>
        <v>-0.0</v>
      </c>
      <c r="LPZ53" s="5">
        <f>-IFERROR('4. NPV'!LQA23/'4. NPV'!LQA$8,0)</f>
        <v>-0.0</v>
      </c>
      <c r="LQA53" s="5">
        <f>-IFERROR('4. NPV'!LQB23/'4. NPV'!LQB$8,0)</f>
        <v>-0.0</v>
      </c>
      <c r="LQB53" s="5">
        <f>-IFERROR('4. NPV'!LQC23/'4. NPV'!LQC$8,0)</f>
        <v>-0.0</v>
      </c>
      <c r="LQC53" s="5">
        <f>-IFERROR('4. NPV'!LQD23/'4. NPV'!LQD$8,0)</f>
        <v>-0.0</v>
      </c>
      <c r="LQD53" s="5">
        <f>-IFERROR('4. NPV'!LQE23/'4. NPV'!LQE$8,0)</f>
        <v>-0.0</v>
      </c>
      <c r="LQE53" s="5">
        <f>-IFERROR('4. NPV'!LQF23/'4. NPV'!LQF$8,0)</f>
        <v>-0.0</v>
      </c>
      <c r="LQF53" s="5">
        <f>-IFERROR('4. NPV'!LQG23/'4. NPV'!LQG$8,0)</f>
        <v>-0.0</v>
      </c>
      <c r="LQG53" s="5">
        <f>-IFERROR('4. NPV'!LQH23/'4. NPV'!LQH$8,0)</f>
        <v>-0.0</v>
      </c>
      <c r="LQH53" s="5">
        <f>-IFERROR('4. NPV'!LQI23/'4. NPV'!LQI$8,0)</f>
        <v>-0.0</v>
      </c>
      <c r="LQI53" s="5">
        <f>-IFERROR('4. NPV'!LQJ23/'4. NPV'!LQJ$8,0)</f>
        <v>-0.0</v>
      </c>
      <c r="LQJ53" s="5">
        <f>-IFERROR('4. NPV'!LQK23/'4. NPV'!LQK$8,0)</f>
        <v>-0.0</v>
      </c>
      <c r="LQK53" s="5">
        <f>-IFERROR('4. NPV'!LQL23/'4. NPV'!LQL$8,0)</f>
        <v>-0.0</v>
      </c>
      <c r="LQL53" s="5">
        <f>-IFERROR('4. NPV'!LQM23/'4. NPV'!LQM$8,0)</f>
        <v>-0.0</v>
      </c>
      <c r="LQM53" s="5">
        <f>-IFERROR('4. NPV'!LQN23/'4. NPV'!LQN$8,0)</f>
        <v>-0.0</v>
      </c>
      <c r="LQN53" s="5">
        <f>-IFERROR('4. NPV'!LQO23/'4. NPV'!LQO$8,0)</f>
        <v>-0.0</v>
      </c>
      <c r="LQO53" s="5">
        <f>-IFERROR('4. NPV'!LQP23/'4. NPV'!LQP$8,0)</f>
        <v>-0.0</v>
      </c>
      <c r="LQP53" s="5">
        <f>-IFERROR('4. NPV'!LQQ23/'4. NPV'!LQQ$8,0)</f>
        <v>-0.0</v>
      </c>
      <c r="LQQ53" s="5">
        <f>-IFERROR('4. NPV'!LQR23/'4. NPV'!LQR$8,0)</f>
        <v>-0.0</v>
      </c>
      <c r="LQR53" s="5">
        <f>-IFERROR('4. NPV'!LQS23/'4. NPV'!LQS$8,0)</f>
        <v>-0.0</v>
      </c>
      <c r="LQS53" s="5">
        <f>-IFERROR('4. NPV'!LQT23/'4. NPV'!LQT$8,0)</f>
        <v>-0.0</v>
      </c>
      <c r="LQT53" s="5">
        <f>-IFERROR('4. NPV'!LQU23/'4. NPV'!LQU$8,0)</f>
        <v>-0.0</v>
      </c>
      <c r="LQU53" s="5">
        <f>-IFERROR('4. NPV'!LQV23/'4. NPV'!LQV$8,0)</f>
        <v>-0.0</v>
      </c>
      <c r="LQV53" s="5">
        <f>-IFERROR('4. NPV'!LQW23/'4. NPV'!LQW$8,0)</f>
        <v>-0.0</v>
      </c>
      <c r="LQW53" s="5">
        <f>-IFERROR('4. NPV'!LQX23/'4. NPV'!LQX$8,0)</f>
        <v>-0.0</v>
      </c>
      <c r="LQX53" s="5">
        <f>-IFERROR('4. NPV'!LQY23/'4. NPV'!LQY$8,0)</f>
        <v>-0.0</v>
      </c>
      <c r="LQY53" s="5">
        <f>-IFERROR('4. NPV'!LQZ23/'4. NPV'!LQZ$8,0)</f>
        <v>-0.0</v>
      </c>
      <c r="LQZ53" s="5">
        <f>-IFERROR('4. NPV'!LRA23/'4. NPV'!LRA$8,0)</f>
        <v>-0.0</v>
      </c>
      <c r="LRA53" s="5">
        <f>-IFERROR('4. NPV'!LRB23/'4. NPV'!LRB$8,0)</f>
        <v>-0.0</v>
      </c>
      <c r="LRB53" s="5">
        <f>-IFERROR('4. NPV'!LRC23/'4. NPV'!LRC$8,0)</f>
        <v>-0.0</v>
      </c>
      <c r="LRC53" s="5">
        <f>-IFERROR('4. NPV'!LRD23/'4. NPV'!LRD$8,0)</f>
        <v>-0.0</v>
      </c>
      <c r="LRD53" s="5">
        <f>-IFERROR('4. NPV'!LRE23/'4. NPV'!LRE$8,0)</f>
        <v>-0.0</v>
      </c>
      <c r="LRE53" s="5">
        <f>-IFERROR('4. NPV'!LRF23/'4. NPV'!LRF$8,0)</f>
        <v>-0.0</v>
      </c>
      <c r="LRF53" s="5">
        <f>-IFERROR('4. NPV'!LRG23/'4. NPV'!LRG$8,0)</f>
        <v>-0.0</v>
      </c>
      <c r="LRG53" s="5">
        <f>-IFERROR('4. NPV'!LRH23/'4. NPV'!LRH$8,0)</f>
        <v>-0.0</v>
      </c>
      <c r="LRH53" s="5">
        <f>-IFERROR('4. NPV'!LRI23/'4. NPV'!LRI$8,0)</f>
        <v>-0.0</v>
      </c>
      <c r="LRI53" s="5">
        <f>-IFERROR('4. NPV'!LRJ23/'4. NPV'!LRJ$8,0)</f>
        <v>-0.0</v>
      </c>
      <c r="LRJ53" s="5">
        <f>-IFERROR('4. NPV'!LRK23/'4. NPV'!LRK$8,0)</f>
        <v>-0.0</v>
      </c>
      <c r="LRK53" s="5">
        <f>-IFERROR('4. NPV'!LRL23/'4. NPV'!LRL$8,0)</f>
        <v>-0.0</v>
      </c>
      <c r="LRL53" s="5">
        <f>-IFERROR('4. NPV'!LRM23/'4. NPV'!LRM$8,0)</f>
        <v>-0.0</v>
      </c>
      <c r="LRM53" s="5">
        <f>-IFERROR('4. NPV'!LRN23/'4. NPV'!LRN$8,0)</f>
        <v>-0.0</v>
      </c>
      <c r="LRN53" s="5">
        <f>-IFERROR('4. NPV'!LRO23/'4. NPV'!LRO$8,0)</f>
        <v>-0.0</v>
      </c>
      <c r="LRO53" s="5">
        <f>-IFERROR('4. NPV'!LRP23/'4. NPV'!LRP$8,0)</f>
        <v>-0.0</v>
      </c>
      <c r="LRP53" s="5">
        <f>-IFERROR('4. NPV'!LRQ23/'4. NPV'!LRQ$8,0)</f>
        <v>-0.0</v>
      </c>
      <c r="LRQ53" s="5">
        <f>-IFERROR('4. NPV'!LRR23/'4. NPV'!LRR$8,0)</f>
        <v>-0.0</v>
      </c>
      <c r="LRR53" s="5">
        <f>-IFERROR('4. NPV'!LRS23/'4. NPV'!LRS$8,0)</f>
        <v>-0.0</v>
      </c>
      <c r="LRS53" s="5">
        <f>-IFERROR('4. NPV'!LRT23/'4. NPV'!LRT$8,0)</f>
        <v>-0.0</v>
      </c>
      <c r="LRT53" s="5">
        <f>-IFERROR('4. NPV'!LRU23/'4. NPV'!LRU$8,0)</f>
        <v>-0.0</v>
      </c>
      <c r="LRU53" s="5">
        <f>-IFERROR('4. NPV'!LRV23/'4. NPV'!LRV$8,0)</f>
        <v>-0.0</v>
      </c>
      <c r="LRV53" s="5">
        <f>-IFERROR('4. NPV'!LRW23/'4. NPV'!LRW$8,0)</f>
        <v>-0.0</v>
      </c>
      <c r="LRW53" s="5">
        <f>-IFERROR('4. NPV'!LRX23/'4. NPV'!LRX$8,0)</f>
        <v>-0.0</v>
      </c>
      <c r="LRX53" s="5">
        <f>-IFERROR('4. NPV'!LRY23/'4. NPV'!LRY$8,0)</f>
        <v>-0.0</v>
      </c>
      <c r="LRY53" s="5">
        <f>-IFERROR('4. NPV'!LRZ23/'4. NPV'!LRZ$8,0)</f>
        <v>-0.0</v>
      </c>
      <c r="LRZ53" s="5">
        <f>-IFERROR('4. NPV'!LSA23/'4. NPV'!LSA$8,0)</f>
        <v>-0.0</v>
      </c>
      <c r="LSA53" s="5">
        <f>-IFERROR('4. NPV'!LSB23/'4. NPV'!LSB$8,0)</f>
        <v>-0.0</v>
      </c>
      <c r="LSB53" s="5">
        <f>-IFERROR('4. NPV'!LSC23/'4. NPV'!LSC$8,0)</f>
        <v>-0.0</v>
      </c>
      <c r="LSC53" s="5">
        <f>-IFERROR('4. NPV'!LSD23/'4. NPV'!LSD$8,0)</f>
        <v>-0.0</v>
      </c>
      <c r="LSD53" s="5">
        <f>-IFERROR('4. NPV'!LSE23/'4. NPV'!LSE$8,0)</f>
        <v>-0.0</v>
      </c>
      <c r="LSE53" s="5">
        <f>-IFERROR('4. NPV'!LSF23/'4. NPV'!LSF$8,0)</f>
        <v>-0.0</v>
      </c>
      <c r="LSF53" s="5">
        <f>-IFERROR('4. NPV'!LSG23/'4. NPV'!LSG$8,0)</f>
        <v>-0.0</v>
      </c>
      <c r="LSG53" s="5">
        <f>-IFERROR('4. NPV'!LSH23/'4. NPV'!LSH$8,0)</f>
        <v>-0.0</v>
      </c>
      <c r="LSH53" s="5">
        <f>-IFERROR('4. NPV'!LSI23/'4. NPV'!LSI$8,0)</f>
        <v>-0.0</v>
      </c>
      <c r="LSI53" s="5">
        <f>-IFERROR('4. NPV'!LSJ23/'4. NPV'!LSJ$8,0)</f>
        <v>-0.0</v>
      </c>
      <c r="LSJ53" s="5">
        <f>-IFERROR('4. NPV'!LSK23/'4. NPV'!LSK$8,0)</f>
        <v>-0.0</v>
      </c>
      <c r="LSK53" s="5">
        <f>-IFERROR('4. NPV'!LSL23/'4. NPV'!LSL$8,0)</f>
        <v>-0.0</v>
      </c>
      <c r="LSL53" s="5">
        <f>-IFERROR('4. NPV'!LSM23/'4. NPV'!LSM$8,0)</f>
        <v>-0.0</v>
      </c>
      <c r="LSM53" s="5">
        <f>-IFERROR('4. NPV'!LSN23/'4. NPV'!LSN$8,0)</f>
        <v>-0.0</v>
      </c>
      <c r="LSN53" s="5">
        <f>-IFERROR('4. NPV'!LSO23/'4. NPV'!LSO$8,0)</f>
        <v>-0.0</v>
      </c>
      <c r="LSO53" s="5">
        <f>-IFERROR('4. NPV'!LSP23/'4. NPV'!LSP$8,0)</f>
        <v>-0.0</v>
      </c>
      <c r="LSP53" s="5">
        <f>-IFERROR('4. NPV'!LSQ23/'4. NPV'!LSQ$8,0)</f>
        <v>-0.0</v>
      </c>
      <c r="LSQ53" s="5">
        <f>-IFERROR('4. NPV'!LSR23/'4. NPV'!LSR$8,0)</f>
        <v>-0.0</v>
      </c>
      <c r="LSR53" s="5">
        <f>-IFERROR('4. NPV'!LSS23/'4. NPV'!LSS$8,0)</f>
        <v>-0.0</v>
      </c>
      <c r="LSS53" s="5">
        <f>-IFERROR('4. NPV'!LST23/'4. NPV'!LST$8,0)</f>
        <v>-0.0</v>
      </c>
      <c r="LST53" s="5">
        <f>-IFERROR('4. NPV'!LSU23/'4. NPV'!LSU$8,0)</f>
        <v>-0.0</v>
      </c>
      <c r="LSU53" s="5">
        <f>-IFERROR('4. NPV'!LSV23/'4. NPV'!LSV$8,0)</f>
        <v>-0.0</v>
      </c>
      <c r="LSV53" s="5">
        <f>-IFERROR('4. NPV'!LSW23/'4. NPV'!LSW$8,0)</f>
        <v>-0.0</v>
      </c>
      <c r="LSW53" s="5">
        <f>-IFERROR('4. NPV'!LSX23/'4. NPV'!LSX$8,0)</f>
        <v>-0.0</v>
      </c>
      <c r="LSX53" s="5">
        <f>-IFERROR('4. NPV'!LSY23/'4. NPV'!LSY$8,0)</f>
        <v>-0.0</v>
      </c>
      <c r="LSY53" s="5">
        <f>-IFERROR('4. NPV'!LSZ23/'4. NPV'!LSZ$8,0)</f>
        <v>-0.0</v>
      </c>
      <c r="LSZ53" s="5">
        <f>-IFERROR('4. NPV'!LTA23/'4. NPV'!LTA$8,0)</f>
        <v>-0.0</v>
      </c>
      <c r="LTA53" s="5">
        <f>-IFERROR('4. NPV'!LTB23/'4. NPV'!LTB$8,0)</f>
        <v>-0.0</v>
      </c>
      <c r="LTB53" s="5">
        <f>-IFERROR('4. NPV'!LTC23/'4. NPV'!LTC$8,0)</f>
        <v>-0.0</v>
      </c>
      <c r="LTC53" s="5">
        <f>-IFERROR('4. NPV'!LTD23/'4. NPV'!LTD$8,0)</f>
        <v>-0.0</v>
      </c>
      <c r="LTD53" s="5">
        <f>-IFERROR('4. NPV'!LTE23/'4. NPV'!LTE$8,0)</f>
        <v>-0.0</v>
      </c>
      <c r="LTE53" s="5">
        <f>-IFERROR('4. NPV'!LTF23/'4. NPV'!LTF$8,0)</f>
        <v>-0.0</v>
      </c>
      <c r="LTF53" s="5">
        <f>-IFERROR('4. NPV'!LTG23/'4. NPV'!LTG$8,0)</f>
        <v>-0.0</v>
      </c>
      <c r="LTG53" s="5">
        <f>-IFERROR('4. NPV'!LTH23/'4. NPV'!LTH$8,0)</f>
        <v>-0.0</v>
      </c>
      <c r="LTH53" s="5">
        <f>-IFERROR('4. NPV'!LTI23/'4. NPV'!LTI$8,0)</f>
        <v>-0.0</v>
      </c>
      <c r="LTI53" s="5">
        <f>-IFERROR('4. NPV'!LTJ23/'4. NPV'!LTJ$8,0)</f>
        <v>-0.0</v>
      </c>
      <c r="LTJ53" s="5">
        <f>-IFERROR('4. NPV'!LTK23/'4. NPV'!LTK$8,0)</f>
        <v>-0.0</v>
      </c>
      <c r="LTK53" s="5">
        <f>-IFERROR('4. NPV'!LTL23/'4. NPV'!LTL$8,0)</f>
        <v>-0.0</v>
      </c>
      <c r="LTL53" s="5">
        <f>-IFERROR('4. NPV'!LTM23/'4. NPV'!LTM$8,0)</f>
        <v>-0.0</v>
      </c>
      <c r="LTM53" s="5">
        <f>-IFERROR('4. NPV'!LTN23/'4. NPV'!LTN$8,0)</f>
        <v>-0.0</v>
      </c>
      <c r="LTN53" s="5">
        <f>-IFERROR('4. NPV'!LTO23/'4. NPV'!LTO$8,0)</f>
        <v>-0.0</v>
      </c>
      <c r="LTO53" s="5">
        <f>-IFERROR('4. NPV'!LTP23/'4. NPV'!LTP$8,0)</f>
        <v>-0.0</v>
      </c>
      <c r="LTP53" s="5">
        <f>-IFERROR('4. NPV'!LTQ23/'4. NPV'!LTQ$8,0)</f>
        <v>-0.0</v>
      </c>
      <c r="LTQ53" s="5">
        <f>-IFERROR('4. NPV'!LTR23/'4. NPV'!LTR$8,0)</f>
        <v>-0.0</v>
      </c>
      <c r="LTR53" s="5">
        <f>-IFERROR('4. NPV'!LTS23/'4. NPV'!LTS$8,0)</f>
        <v>-0.0</v>
      </c>
      <c r="LTS53" s="5">
        <f>-IFERROR('4. NPV'!LTT23/'4. NPV'!LTT$8,0)</f>
        <v>-0.0</v>
      </c>
      <c r="LTT53" s="5">
        <f>-IFERROR('4. NPV'!LTU23/'4. NPV'!LTU$8,0)</f>
        <v>-0.0</v>
      </c>
      <c r="LTU53" s="5">
        <f>-IFERROR('4. NPV'!LTV23/'4. NPV'!LTV$8,0)</f>
        <v>-0.0</v>
      </c>
      <c r="LTV53" s="5">
        <f>-IFERROR('4. NPV'!LTW23/'4. NPV'!LTW$8,0)</f>
        <v>-0.0</v>
      </c>
      <c r="LTW53" s="5">
        <f>-IFERROR('4. NPV'!LTX23/'4. NPV'!LTX$8,0)</f>
        <v>-0.0</v>
      </c>
      <c r="LTX53" s="5">
        <f>-IFERROR('4. NPV'!LTY23/'4. NPV'!LTY$8,0)</f>
        <v>-0.0</v>
      </c>
      <c r="LTY53" s="5">
        <f>-IFERROR('4. NPV'!LTZ23/'4. NPV'!LTZ$8,0)</f>
        <v>-0.0</v>
      </c>
      <c r="LTZ53" s="5">
        <f>-IFERROR('4. NPV'!LUA23/'4. NPV'!LUA$8,0)</f>
        <v>-0.0</v>
      </c>
      <c r="LUA53" s="5">
        <f>-IFERROR('4. NPV'!LUB23/'4. NPV'!LUB$8,0)</f>
        <v>-0.0</v>
      </c>
      <c r="LUB53" s="5">
        <f>-IFERROR('4. NPV'!LUC23/'4. NPV'!LUC$8,0)</f>
        <v>-0.0</v>
      </c>
      <c r="LUC53" s="5">
        <f>-IFERROR('4. NPV'!LUD23/'4. NPV'!LUD$8,0)</f>
        <v>-0.0</v>
      </c>
      <c r="LUD53" s="5">
        <f>-IFERROR('4. NPV'!LUE23/'4. NPV'!LUE$8,0)</f>
        <v>-0.0</v>
      </c>
      <c r="LUE53" s="5">
        <f>-IFERROR('4. NPV'!LUF23/'4. NPV'!LUF$8,0)</f>
        <v>-0.0</v>
      </c>
      <c r="LUF53" s="5">
        <f>-IFERROR('4. NPV'!LUG23/'4. NPV'!LUG$8,0)</f>
        <v>-0.0</v>
      </c>
      <c r="LUG53" s="5">
        <f>-IFERROR('4. NPV'!LUH23/'4. NPV'!LUH$8,0)</f>
        <v>-0.0</v>
      </c>
      <c r="LUH53" s="5">
        <f>-IFERROR('4. NPV'!LUI23/'4. NPV'!LUI$8,0)</f>
        <v>-0.0</v>
      </c>
      <c r="LUI53" s="5">
        <f>-IFERROR('4. NPV'!LUJ23/'4. NPV'!LUJ$8,0)</f>
        <v>-0.0</v>
      </c>
      <c r="LUJ53" s="5">
        <f>-IFERROR('4. NPV'!LUK23/'4. NPV'!LUK$8,0)</f>
        <v>-0.0</v>
      </c>
      <c r="LUK53" s="5">
        <f>-IFERROR('4. NPV'!LUL23/'4. NPV'!LUL$8,0)</f>
        <v>-0.0</v>
      </c>
      <c r="LUL53" s="5">
        <f>-IFERROR('4. NPV'!LUM23/'4. NPV'!LUM$8,0)</f>
        <v>-0.0</v>
      </c>
      <c r="LUM53" s="5">
        <f>-IFERROR('4. NPV'!LUN23/'4. NPV'!LUN$8,0)</f>
        <v>-0.0</v>
      </c>
      <c r="LUN53" s="5">
        <f>-IFERROR('4. NPV'!LUO23/'4. NPV'!LUO$8,0)</f>
        <v>-0.0</v>
      </c>
      <c r="LUO53" s="5">
        <f>-IFERROR('4. NPV'!LUP23/'4. NPV'!LUP$8,0)</f>
        <v>-0.0</v>
      </c>
      <c r="LUP53" s="5">
        <f>-IFERROR('4. NPV'!LUQ23/'4. NPV'!LUQ$8,0)</f>
        <v>-0.0</v>
      </c>
      <c r="LUQ53" s="5">
        <f>-IFERROR('4. NPV'!LUR23/'4. NPV'!LUR$8,0)</f>
        <v>-0.0</v>
      </c>
      <c r="LUR53" s="5">
        <f>-IFERROR('4. NPV'!LUS23/'4. NPV'!LUS$8,0)</f>
        <v>-0.0</v>
      </c>
      <c r="LUS53" s="5">
        <f>-IFERROR('4. NPV'!LUT23/'4. NPV'!LUT$8,0)</f>
        <v>-0.0</v>
      </c>
      <c r="LUT53" s="5">
        <f>-IFERROR('4. NPV'!LUU23/'4. NPV'!LUU$8,0)</f>
        <v>-0.0</v>
      </c>
      <c r="LUU53" s="5">
        <f>-IFERROR('4. NPV'!LUV23/'4. NPV'!LUV$8,0)</f>
        <v>-0.0</v>
      </c>
      <c r="LUV53" s="5">
        <f>-IFERROR('4. NPV'!LUW23/'4. NPV'!LUW$8,0)</f>
        <v>-0.0</v>
      </c>
      <c r="LUW53" s="5">
        <f>-IFERROR('4. NPV'!LUX23/'4. NPV'!LUX$8,0)</f>
        <v>-0.0</v>
      </c>
      <c r="LUX53" s="5">
        <f>-IFERROR('4. NPV'!LUY23/'4. NPV'!LUY$8,0)</f>
        <v>-0.0</v>
      </c>
      <c r="LUY53" s="5">
        <f>-IFERROR('4. NPV'!LUZ23/'4. NPV'!LUZ$8,0)</f>
        <v>-0.0</v>
      </c>
      <c r="LUZ53" s="5">
        <f>-IFERROR('4. NPV'!LVA23/'4. NPV'!LVA$8,0)</f>
        <v>-0.0</v>
      </c>
      <c r="LVA53" s="5">
        <f>-IFERROR('4. NPV'!LVB23/'4. NPV'!LVB$8,0)</f>
        <v>-0.0</v>
      </c>
      <c r="LVB53" s="5">
        <f>-IFERROR('4. NPV'!LVC23/'4. NPV'!LVC$8,0)</f>
        <v>-0.0</v>
      </c>
      <c r="LVC53" s="5">
        <f>-IFERROR('4. NPV'!LVD23/'4. NPV'!LVD$8,0)</f>
        <v>-0.0</v>
      </c>
      <c r="LVD53" s="5">
        <f>-IFERROR('4. NPV'!LVE23/'4. NPV'!LVE$8,0)</f>
        <v>-0.0</v>
      </c>
      <c r="LVE53" s="5">
        <f>-IFERROR('4. NPV'!LVF23/'4. NPV'!LVF$8,0)</f>
        <v>-0.0</v>
      </c>
      <c r="LVF53" s="5">
        <f>-IFERROR('4. NPV'!LVG23/'4. NPV'!LVG$8,0)</f>
        <v>-0.0</v>
      </c>
      <c r="LVG53" s="5">
        <f>-IFERROR('4. NPV'!LVH23/'4. NPV'!LVH$8,0)</f>
        <v>-0.0</v>
      </c>
      <c r="LVH53" s="5">
        <f>-IFERROR('4. NPV'!LVI23/'4. NPV'!LVI$8,0)</f>
        <v>-0.0</v>
      </c>
      <c r="LVI53" s="5">
        <f>-IFERROR('4. NPV'!LVJ23/'4. NPV'!LVJ$8,0)</f>
        <v>-0.0</v>
      </c>
      <c r="LVJ53" s="5">
        <f>-IFERROR('4. NPV'!LVK23/'4. NPV'!LVK$8,0)</f>
        <v>-0.0</v>
      </c>
      <c r="LVK53" s="5">
        <f>-IFERROR('4. NPV'!LVL23/'4. NPV'!LVL$8,0)</f>
        <v>-0.0</v>
      </c>
      <c r="LVL53" s="5">
        <f>-IFERROR('4. NPV'!LVM23/'4. NPV'!LVM$8,0)</f>
        <v>-0.0</v>
      </c>
      <c r="LVM53" s="5">
        <f>-IFERROR('4. NPV'!LVN23/'4. NPV'!LVN$8,0)</f>
        <v>-0.0</v>
      </c>
      <c r="LVN53" s="5">
        <f>-IFERROR('4. NPV'!LVO23/'4. NPV'!LVO$8,0)</f>
        <v>-0.0</v>
      </c>
      <c r="LVO53" s="5">
        <f>-IFERROR('4. NPV'!LVP23/'4. NPV'!LVP$8,0)</f>
        <v>-0.0</v>
      </c>
      <c r="LVP53" s="5">
        <f>-IFERROR('4. NPV'!LVQ23/'4. NPV'!LVQ$8,0)</f>
        <v>-0.0</v>
      </c>
      <c r="LVQ53" s="5">
        <f>-IFERROR('4. NPV'!LVR23/'4. NPV'!LVR$8,0)</f>
        <v>-0.0</v>
      </c>
      <c r="LVR53" s="5">
        <f>-IFERROR('4. NPV'!LVS23/'4. NPV'!LVS$8,0)</f>
        <v>-0.0</v>
      </c>
      <c r="LVS53" s="5">
        <f>-IFERROR('4. NPV'!LVT23/'4. NPV'!LVT$8,0)</f>
        <v>-0.0</v>
      </c>
      <c r="LVT53" s="5">
        <f>-IFERROR('4. NPV'!LVU23/'4. NPV'!LVU$8,0)</f>
        <v>-0.0</v>
      </c>
      <c r="LVU53" s="5">
        <f>-IFERROR('4. NPV'!LVV23/'4. NPV'!LVV$8,0)</f>
        <v>-0.0</v>
      </c>
      <c r="LVV53" s="5">
        <f>-IFERROR('4. NPV'!LVW23/'4. NPV'!LVW$8,0)</f>
        <v>-0.0</v>
      </c>
      <c r="LVW53" s="5">
        <f>-IFERROR('4. NPV'!LVX23/'4. NPV'!LVX$8,0)</f>
        <v>-0.0</v>
      </c>
      <c r="LVX53" s="5">
        <f>-IFERROR('4. NPV'!LVY23/'4. NPV'!LVY$8,0)</f>
        <v>-0.0</v>
      </c>
      <c r="LVY53" s="5">
        <f>-IFERROR('4. NPV'!LVZ23/'4. NPV'!LVZ$8,0)</f>
        <v>-0.0</v>
      </c>
      <c r="LVZ53" s="5">
        <f>-IFERROR('4. NPV'!LWA23/'4. NPV'!LWA$8,0)</f>
        <v>-0.0</v>
      </c>
      <c r="LWA53" s="5">
        <f>-IFERROR('4. NPV'!LWB23/'4. NPV'!LWB$8,0)</f>
        <v>-0.0</v>
      </c>
      <c r="LWB53" s="5">
        <f>-IFERROR('4. NPV'!LWC23/'4. NPV'!LWC$8,0)</f>
        <v>-0.0</v>
      </c>
      <c r="LWC53" s="5">
        <f>-IFERROR('4. NPV'!LWD23/'4. NPV'!LWD$8,0)</f>
        <v>-0.0</v>
      </c>
      <c r="LWD53" s="5">
        <f>-IFERROR('4. NPV'!LWE23/'4. NPV'!LWE$8,0)</f>
        <v>-0.0</v>
      </c>
      <c r="LWE53" s="5">
        <f>-IFERROR('4. NPV'!LWF23/'4. NPV'!LWF$8,0)</f>
        <v>-0.0</v>
      </c>
      <c r="LWF53" s="5">
        <f>-IFERROR('4. NPV'!LWG23/'4. NPV'!LWG$8,0)</f>
        <v>-0.0</v>
      </c>
      <c r="LWG53" s="5">
        <f>-IFERROR('4. NPV'!LWH23/'4. NPV'!LWH$8,0)</f>
        <v>-0.0</v>
      </c>
      <c r="LWH53" s="5">
        <f>-IFERROR('4. NPV'!LWI23/'4. NPV'!LWI$8,0)</f>
        <v>-0.0</v>
      </c>
      <c r="LWI53" s="5">
        <f>-IFERROR('4. NPV'!LWJ23/'4. NPV'!LWJ$8,0)</f>
        <v>-0.0</v>
      </c>
      <c r="LWJ53" s="5">
        <f>-IFERROR('4. NPV'!LWK23/'4. NPV'!LWK$8,0)</f>
        <v>-0.0</v>
      </c>
      <c r="LWK53" s="5">
        <f>-IFERROR('4. NPV'!LWL23/'4. NPV'!LWL$8,0)</f>
        <v>-0.0</v>
      </c>
      <c r="LWL53" s="5">
        <f>-IFERROR('4. NPV'!LWM23/'4. NPV'!LWM$8,0)</f>
        <v>-0.0</v>
      </c>
      <c r="LWM53" s="5">
        <f>-IFERROR('4. NPV'!LWN23/'4. NPV'!LWN$8,0)</f>
        <v>-0.0</v>
      </c>
      <c r="LWN53" s="5">
        <f>-IFERROR('4. NPV'!LWO23/'4. NPV'!LWO$8,0)</f>
        <v>-0.0</v>
      </c>
      <c r="LWO53" s="5">
        <f>-IFERROR('4. NPV'!LWP23/'4. NPV'!LWP$8,0)</f>
        <v>-0.0</v>
      </c>
      <c r="LWP53" s="5">
        <f>-IFERROR('4. NPV'!LWQ23/'4. NPV'!LWQ$8,0)</f>
        <v>-0.0</v>
      </c>
      <c r="LWQ53" s="5">
        <f>-IFERROR('4. NPV'!LWR23/'4. NPV'!LWR$8,0)</f>
        <v>-0.0</v>
      </c>
      <c r="LWR53" s="5">
        <f>-IFERROR('4. NPV'!LWS23/'4. NPV'!LWS$8,0)</f>
        <v>-0.0</v>
      </c>
      <c r="LWS53" s="5">
        <f>-IFERROR('4. NPV'!LWT23/'4. NPV'!LWT$8,0)</f>
        <v>-0.0</v>
      </c>
      <c r="LWT53" s="5">
        <f>-IFERROR('4. NPV'!LWU23/'4. NPV'!LWU$8,0)</f>
        <v>-0.0</v>
      </c>
      <c r="LWU53" s="5">
        <f>-IFERROR('4. NPV'!LWV23/'4. NPV'!LWV$8,0)</f>
        <v>-0.0</v>
      </c>
      <c r="LWV53" s="5">
        <f>-IFERROR('4. NPV'!LWW23/'4. NPV'!LWW$8,0)</f>
        <v>-0.0</v>
      </c>
      <c r="LWW53" s="5">
        <f>-IFERROR('4. NPV'!LWX23/'4. NPV'!LWX$8,0)</f>
        <v>-0.0</v>
      </c>
      <c r="LWX53" s="5">
        <f>-IFERROR('4. NPV'!LWY23/'4. NPV'!LWY$8,0)</f>
        <v>-0.0</v>
      </c>
      <c r="LWY53" s="5">
        <f>-IFERROR('4. NPV'!LWZ23/'4. NPV'!LWZ$8,0)</f>
        <v>-0.0</v>
      </c>
      <c r="LWZ53" s="5">
        <f>-IFERROR('4. NPV'!LXA23/'4. NPV'!LXA$8,0)</f>
        <v>-0.0</v>
      </c>
      <c r="LXA53" s="5">
        <f>-IFERROR('4. NPV'!LXB23/'4. NPV'!LXB$8,0)</f>
        <v>-0.0</v>
      </c>
      <c r="LXB53" s="5">
        <f>-IFERROR('4. NPV'!LXC23/'4. NPV'!LXC$8,0)</f>
        <v>-0.0</v>
      </c>
      <c r="LXC53" s="5">
        <f>-IFERROR('4. NPV'!LXD23/'4. NPV'!LXD$8,0)</f>
        <v>-0.0</v>
      </c>
      <c r="LXD53" s="5">
        <f>-IFERROR('4. NPV'!LXE23/'4. NPV'!LXE$8,0)</f>
        <v>-0.0</v>
      </c>
      <c r="LXE53" s="5">
        <f>-IFERROR('4. NPV'!LXF23/'4. NPV'!LXF$8,0)</f>
        <v>-0.0</v>
      </c>
      <c r="LXF53" s="5">
        <f>-IFERROR('4. NPV'!LXG23/'4. NPV'!LXG$8,0)</f>
        <v>-0.0</v>
      </c>
      <c r="LXG53" s="5">
        <f>-IFERROR('4. NPV'!LXH23/'4. NPV'!LXH$8,0)</f>
        <v>-0.0</v>
      </c>
      <c r="LXH53" s="5">
        <f>-IFERROR('4. NPV'!LXI23/'4. NPV'!LXI$8,0)</f>
        <v>-0.0</v>
      </c>
      <c r="LXI53" s="5">
        <f>-IFERROR('4. NPV'!LXJ23/'4. NPV'!LXJ$8,0)</f>
        <v>-0.0</v>
      </c>
      <c r="LXJ53" s="5">
        <f>-IFERROR('4. NPV'!LXK23/'4. NPV'!LXK$8,0)</f>
        <v>-0.0</v>
      </c>
      <c r="LXK53" s="5">
        <f>-IFERROR('4. NPV'!LXL23/'4. NPV'!LXL$8,0)</f>
        <v>-0.0</v>
      </c>
      <c r="LXL53" s="5">
        <f>-IFERROR('4. NPV'!LXM23/'4. NPV'!LXM$8,0)</f>
        <v>-0.0</v>
      </c>
      <c r="LXM53" s="5">
        <f>-IFERROR('4. NPV'!LXN23/'4. NPV'!LXN$8,0)</f>
        <v>-0.0</v>
      </c>
      <c r="LXN53" s="5">
        <f>-IFERROR('4. NPV'!LXO23/'4. NPV'!LXO$8,0)</f>
        <v>-0.0</v>
      </c>
      <c r="LXO53" s="5">
        <f>-IFERROR('4. NPV'!LXP23/'4. NPV'!LXP$8,0)</f>
        <v>-0.0</v>
      </c>
      <c r="LXP53" s="5">
        <f>-IFERROR('4. NPV'!LXQ23/'4. NPV'!LXQ$8,0)</f>
        <v>-0.0</v>
      </c>
      <c r="LXQ53" s="5">
        <f>-IFERROR('4. NPV'!LXR23/'4. NPV'!LXR$8,0)</f>
        <v>-0.0</v>
      </c>
      <c r="LXR53" s="5">
        <f>-IFERROR('4. NPV'!LXS23/'4. NPV'!LXS$8,0)</f>
        <v>-0.0</v>
      </c>
      <c r="LXS53" s="5">
        <f>-IFERROR('4. NPV'!LXT23/'4. NPV'!LXT$8,0)</f>
        <v>-0.0</v>
      </c>
      <c r="LXT53" s="5">
        <f>-IFERROR('4. NPV'!LXU23/'4. NPV'!LXU$8,0)</f>
        <v>-0.0</v>
      </c>
      <c r="LXU53" s="5">
        <f>-IFERROR('4. NPV'!LXV23/'4. NPV'!LXV$8,0)</f>
        <v>-0.0</v>
      </c>
      <c r="LXV53" s="5">
        <f>-IFERROR('4. NPV'!LXW23/'4. NPV'!LXW$8,0)</f>
        <v>-0.0</v>
      </c>
      <c r="LXW53" s="5">
        <f>-IFERROR('4. NPV'!LXX23/'4. NPV'!LXX$8,0)</f>
        <v>-0.0</v>
      </c>
      <c r="LXX53" s="5">
        <f>-IFERROR('4. NPV'!LXY23/'4. NPV'!LXY$8,0)</f>
        <v>-0.0</v>
      </c>
      <c r="LXY53" s="5">
        <f>-IFERROR('4. NPV'!LXZ23/'4. NPV'!LXZ$8,0)</f>
        <v>-0.0</v>
      </c>
      <c r="LXZ53" s="5">
        <f>-IFERROR('4. NPV'!LYA23/'4. NPV'!LYA$8,0)</f>
        <v>-0.0</v>
      </c>
      <c r="LYA53" s="5">
        <f>-IFERROR('4. NPV'!LYB23/'4. NPV'!LYB$8,0)</f>
        <v>-0.0</v>
      </c>
      <c r="LYB53" s="5">
        <f>-IFERROR('4. NPV'!LYC23/'4. NPV'!LYC$8,0)</f>
        <v>-0.0</v>
      </c>
      <c r="LYC53" s="5">
        <f>-IFERROR('4. NPV'!LYD23/'4. NPV'!LYD$8,0)</f>
        <v>-0.0</v>
      </c>
      <c r="LYD53" s="5">
        <f>-IFERROR('4. NPV'!LYE23/'4. NPV'!LYE$8,0)</f>
        <v>-0.0</v>
      </c>
      <c r="LYE53" s="5">
        <f>-IFERROR('4. NPV'!LYF23/'4. NPV'!LYF$8,0)</f>
        <v>-0.0</v>
      </c>
      <c r="LYF53" s="5">
        <f>-IFERROR('4. NPV'!LYG23/'4. NPV'!LYG$8,0)</f>
        <v>-0.0</v>
      </c>
      <c r="LYG53" s="5">
        <f>-IFERROR('4. NPV'!LYH23/'4. NPV'!LYH$8,0)</f>
        <v>-0.0</v>
      </c>
      <c r="LYH53" s="5">
        <f>-IFERROR('4. NPV'!LYI23/'4. NPV'!LYI$8,0)</f>
        <v>-0.0</v>
      </c>
      <c r="LYI53" s="5">
        <f>-IFERROR('4. NPV'!LYJ23/'4. NPV'!LYJ$8,0)</f>
        <v>-0.0</v>
      </c>
      <c r="LYJ53" s="5">
        <f>-IFERROR('4. NPV'!LYK23/'4. NPV'!LYK$8,0)</f>
        <v>-0.0</v>
      </c>
      <c r="LYK53" s="5">
        <f>-IFERROR('4. NPV'!LYL23/'4. NPV'!LYL$8,0)</f>
        <v>-0.0</v>
      </c>
      <c r="LYL53" s="5">
        <f>-IFERROR('4. NPV'!LYM23/'4. NPV'!LYM$8,0)</f>
        <v>-0.0</v>
      </c>
      <c r="LYM53" s="5">
        <f>-IFERROR('4. NPV'!LYN23/'4. NPV'!LYN$8,0)</f>
        <v>-0.0</v>
      </c>
      <c r="LYN53" s="5">
        <f>-IFERROR('4. NPV'!LYO23/'4. NPV'!LYO$8,0)</f>
        <v>-0.0</v>
      </c>
      <c r="LYO53" s="5">
        <f>-IFERROR('4. NPV'!LYP23/'4. NPV'!LYP$8,0)</f>
        <v>-0.0</v>
      </c>
      <c r="LYP53" s="5">
        <f>-IFERROR('4. NPV'!LYQ23/'4. NPV'!LYQ$8,0)</f>
        <v>-0.0</v>
      </c>
      <c r="LYQ53" s="5">
        <f>-IFERROR('4. NPV'!LYR23/'4. NPV'!LYR$8,0)</f>
        <v>-0.0</v>
      </c>
      <c r="LYR53" s="5">
        <f>-IFERROR('4. NPV'!LYS23/'4. NPV'!LYS$8,0)</f>
        <v>-0.0</v>
      </c>
      <c r="LYS53" s="5">
        <f>-IFERROR('4. NPV'!LYT23/'4. NPV'!LYT$8,0)</f>
        <v>-0.0</v>
      </c>
      <c r="LYT53" s="5">
        <f>-IFERROR('4. NPV'!LYU23/'4. NPV'!LYU$8,0)</f>
        <v>-0.0</v>
      </c>
      <c r="LYU53" s="5">
        <f>-IFERROR('4. NPV'!LYV23/'4. NPV'!LYV$8,0)</f>
        <v>-0.0</v>
      </c>
      <c r="LYV53" s="5">
        <f>-IFERROR('4. NPV'!LYW23/'4. NPV'!LYW$8,0)</f>
        <v>-0.0</v>
      </c>
      <c r="LYW53" s="5">
        <f>-IFERROR('4. NPV'!LYX23/'4. NPV'!LYX$8,0)</f>
        <v>-0.0</v>
      </c>
      <c r="LYX53" s="5">
        <f>-IFERROR('4. NPV'!LYY23/'4. NPV'!LYY$8,0)</f>
        <v>-0.0</v>
      </c>
      <c r="LYY53" s="5">
        <f>-IFERROR('4. NPV'!LYZ23/'4. NPV'!LYZ$8,0)</f>
        <v>-0.0</v>
      </c>
      <c r="LYZ53" s="5">
        <f>-IFERROR('4. NPV'!LZA23/'4. NPV'!LZA$8,0)</f>
        <v>-0.0</v>
      </c>
      <c r="LZA53" s="5">
        <f>-IFERROR('4. NPV'!LZB23/'4. NPV'!LZB$8,0)</f>
        <v>-0.0</v>
      </c>
      <c r="LZB53" s="5">
        <f>-IFERROR('4. NPV'!LZC23/'4. NPV'!LZC$8,0)</f>
        <v>-0.0</v>
      </c>
      <c r="LZC53" s="5">
        <f>-IFERROR('4. NPV'!LZD23/'4. NPV'!LZD$8,0)</f>
        <v>-0.0</v>
      </c>
      <c r="LZD53" s="5">
        <f>-IFERROR('4. NPV'!LZE23/'4. NPV'!LZE$8,0)</f>
        <v>-0.0</v>
      </c>
      <c r="LZE53" s="5">
        <f>-IFERROR('4. NPV'!LZF23/'4. NPV'!LZF$8,0)</f>
        <v>-0.0</v>
      </c>
      <c r="LZF53" s="5">
        <f>-IFERROR('4. NPV'!LZG23/'4. NPV'!LZG$8,0)</f>
        <v>-0.0</v>
      </c>
      <c r="LZG53" s="5">
        <f>-IFERROR('4. NPV'!LZH23/'4. NPV'!LZH$8,0)</f>
        <v>-0.0</v>
      </c>
      <c r="LZH53" s="5">
        <f>-IFERROR('4. NPV'!LZI23/'4. NPV'!LZI$8,0)</f>
        <v>-0.0</v>
      </c>
      <c r="LZI53" s="5">
        <f>-IFERROR('4. NPV'!LZJ23/'4. NPV'!LZJ$8,0)</f>
        <v>-0.0</v>
      </c>
      <c r="LZJ53" s="5">
        <f>-IFERROR('4. NPV'!LZK23/'4. NPV'!LZK$8,0)</f>
        <v>-0.0</v>
      </c>
      <c r="LZK53" s="5">
        <f>-IFERROR('4. NPV'!LZL23/'4. NPV'!LZL$8,0)</f>
        <v>-0.0</v>
      </c>
      <c r="LZL53" s="5">
        <f>-IFERROR('4. NPV'!LZM23/'4. NPV'!LZM$8,0)</f>
        <v>-0.0</v>
      </c>
      <c r="LZM53" s="5">
        <f>-IFERROR('4. NPV'!LZN23/'4. NPV'!LZN$8,0)</f>
        <v>-0.0</v>
      </c>
      <c r="LZN53" s="5">
        <f>-IFERROR('4. NPV'!LZO23/'4. NPV'!LZO$8,0)</f>
        <v>-0.0</v>
      </c>
      <c r="LZO53" s="5">
        <f>-IFERROR('4. NPV'!LZP23/'4. NPV'!LZP$8,0)</f>
        <v>-0.0</v>
      </c>
      <c r="LZP53" s="5">
        <f>-IFERROR('4. NPV'!LZQ23/'4. NPV'!LZQ$8,0)</f>
        <v>-0.0</v>
      </c>
      <c r="LZQ53" s="5">
        <f>-IFERROR('4. NPV'!LZR23/'4. NPV'!LZR$8,0)</f>
        <v>-0.0</v>
      </c>
      <c r="LZR53" s="5">
        <f>-IFERROR('4. NPV'!LZS23/'4. NPV'!LZS$8,0)</f>
        <v>-0.0</v>
      </c>
      <c r="LZS53" s="5">
        <f>-IFERROR('4. NPV'!LZT23/'4. NPV'!LZT$8,0)</f>
        <v>-0.0</v>
      </c>
      <c r="LZT53" s="5">
        <f>-IFERROR('4. NPV'!LZU23/'4. NPV'!LZU$8,0)</f>
        <v>-0.0</v>
      </c>
      <c r="LZU53" s="5">
        <f>-IFERROR('4. NPV'!LZV23/'4. NPV'!LZV$8,0)</f>
        <v>-0.0</v>
      </c>
      <c r="LZV53" s="5">
        <f>-IFERROR('4. NPV'!LZW23/'4. NPV'!LZW$8,0)</f>
        <v>-0.0</v>
      </c>
      <c r="LZW53" s="5">
        <f>-IFERROR('4. NPV'!LZX23/'4. NPV'!LZX$8,0)</f>
        <v>-0.0</v>
      </c>
      <c r="LZX53" s="5">
        <f>-IFERROR('4. NPV'!LZY23/'4. NPV'!LZY$8,0)</f>
        <v>-0.0</v>
      </c>
      <c r="LZY53" s="5">
        <f>-IFERROR('4. NPV'!LZZ23/'4. NPV'!LZZ$8,0)</f>
        <v>-0.0</v>
      </c>
      <c r="LZZ53" s="5">
        <f>-IFERROR('4. NPV'!MAA23/'4. NPV'!MAA$8,0)</f>
        <v>-0.0</v>
      </c>
      <c r="MAA53" s="5">
        <f>-IFERROR('4. NPV'!MAB23/'4. NPV'!MAB$8,0)</f>
        <v>-0.0</v>
      </c>
      <c r="MAB53" s="5">
        <f>-IFERROR('4. NPV'!MAC23/'4. NPV'!MAC$8,0)</f>
        <v>-0.0</v>
      </c>
      <c r="MAC53" s="5">
        <f>-IFERROR('4. NPV'!MAD23/'4. NPV'!MAD$8,0)</f>
        <v>-0.0</v>
      </c>
      <c r="MAD53" s="5">
        <f>-IFERROR('4. NPV'!MAE23/'4. NPV'!MAE$8,0)</f>
        <v>-0.0</v>
      </c>
      <c r="MAE53" s="5">
        <f>-IFERROR('4. NPV'!MAF23/'4. NPV'!MAF$8,0)</f>
        <v>-0.0</v>
      </c>
      <c r="MAF53" s="5">
        <f>-IFERROR('4. NPV'!MAG23/'4. NPV'!MAG$8,0)</f>
        <v>-0.0</v>
      </c>
      <c r="MAG53" s="5">
        <f>-IFERROR('4. NPV'!MAH23/'4. NPV'!MAH$8,0)</f>
        <v>-0.0</v>
      </c>
      <c r="MAH53" s="5">
        <f>-IFERROR('4. NPV'!MAI23/'4. NPV'!MAI$8,0)</f>
        <v>-0.0</v>
      </c>
      <c r="MAI53" s="5">
        <f>-IFERROR('4. NPV'!MAJ23/'4. NPV'!MAJ$8,0)</f>
        <v>-0.0</v>
      </c>
      <c r="MAJ53" s="5">
        <f>-IFERROR('4. NPV'!MAK23/'4. NPV'!MAK$8,0)</f>
        <v>-0.0</v>
      </c>
      <c r="MAK53" s="5">
        <f>-IFERROR('4. NPV'!MAL23/'4. NPV'!MAL$8,0)</f>
        <v>-0.0</v>
      </c>
      <c r="MAL53" s="5">
        <f>-IFERROR('4. NPV'!MAM23/'4. NPV'!MAM$8,0)</f>
        <v>-0.0</v>
      </c>
      <c r="MAM53" s="5">
        <f>-IFERROR('4. NPV'!MAN23/'4. NPV'!MAN$8,0)</f>
        <v>-0.0</v>
      </c>
      <c r="MAN53" s="5">
        <f>-IFERROR('4. NPV'!MAO23/'4. NPV'!MAO$8,0)</f>
        <v>-0.0</v>
      </c>
      <c r="MAO53" s="5">
        <f>-IFERROR('4. NPV'!MAP23/'4. NPV'!MAP$8,0)</f>
        <v>-0.0</v>
      </c>
      <c r="MAP53" s="5">
        <f>-IFERROR('4. NPV'!MAQ23/'4. NPV'!MAQ$8,0)</f>
        <v>-0.0</v>
      </c>
      <c r="MAQ53" s="5">
        <f>-IFERROR('4. NPV'!MAR23/'4. NPV'!MAR$8,0)</f>
        <v>-0.0</v>
      </c>
      <c r="MAR53" s="5">
        <f>-IFERROR('4. NPV'!MAS23/'4. NPV'!MAS$8,0)</f>
        <v>-0.0</v>
      </c>
      <c r="MAS53" s="5">
        <f>-IFERROR('4. NPV'!MAT23/'4. NPV'!MAT$8,0)</f>
        <v>-0.0</v>
      </c>
      <c r="MAT53" s="5">
        <f>-IFERROR('4. NPV'!MAU23/'4. NPV'!MAU$8,0)</f>
        <v>-0.0</v>
      </c>
      <c r="MAU53" s="5">
        <f>-IFERROR('4. NPV'!MAV23/'4. NPV'!MAV$8,0)</f>
        <v>-0.0</v>
      </c>
      <c r="MAV53" s="5">
        <f>-IFERROR('4. NPV'!MAW23/'4. NPV'!MAW$8,0)</f>
        <v>-0.0</v>
      </c>
      <c r="MAW53" s="5">
        <f>-IFERROR('4. NPV'!MAX23/'4. NPV'!MAX$8,0)</f>
        <v>-0.0</v>
      </c>
      <c r="MAX53" s="5">
        <f>-IFERROR('4. NPV'!MAY23/'4. NPV'!MAY$8,0)</f>
        <v>-0.0</v>
      </c>
      <c r="MAY53" s="5">
        <f>-IFERROR('4. NPV'!MAZ23/'4. NPV'!MAZ$8,0)</f>
        <v>-0.0</v>
      </c>
      <c r="MAZ53" s="5">
        <f>-IFERROR('4. NPV'!MBA23/'4. NPV'!MBA$8,0)</f>
        <v>-0.0</v>
      </c>
      <c r="MBA53" s="5">
        <f>-IFERROR('4. NPV'!MBB23/'4. NPV'!MBB$8,0)</f>
        <v>-0.0</v>
      </c>
      <c r="MBB53" s="5">
        <f>-IFERROR('4. NPV'!MBC23/'4. NPV'!MBC$8,0)</f>
        <v>-0.0</v>
      </c>
      <c r="MBC53" s="5">
        <f>-IFERROR('4. NPV'!MBD23/'4. NPV'!MBD$8,0)</f>
        <v>-0.0</v>
      </c>
      <c r="MBD53" s="5">
        <f>-IFERROR('4. NPV'!MBE23/'4. NPV'!MBE$8,0)</f>
        <v>-0.0</v>
      </c>
      <c r="MBE53" s="5">
        <f>-IFERROR('4. NPV'!MBF23/'4. NPV'!MBF$8,0)</f>
        <v>-0.0</v>
      </c>
      <c r="MBF53" s="5">
        <f>-IFERROR('4. NPV'!MBG23/'4. NPV'!MBG$8,0)</f>
        <v>-0.0</v>
      </c>
      <c r="MBG53" s="5">
        <f>-IFERROR('4. NPV'!MBH23/'4. NPV'!MBH$8,0)</f>
        <v>-0.0</v>
      </c>
      <c r="MBH53" s="5">
        <f>-IFERROR('4. NPV'!MBI23/'4. NPV'!MBI$8,0)</f>
        <v>-0.0</v>
      </c>
      <c r="MBI53" s="5">
        <f>-IFERROR('4. NPV'!MBJ23/'4. NPV'!MBJ$8,0)</f>
        <v>-0.0</v>
      </c>
      <c r="MBJ53" s="5">
        <f>-IFERROR('4. NPV'!MBK23/'4. NPV'!MBK$8,0)</f>
        <v>-0.0</v>
      </c>
      <c r="MBK53" s="5">
        <f>-IFERROR('4. NPV'!MBL23/'4. NPV'!MBL$8,0)</f>
        <v>-0.0</v>
      </c>
      <c r="MBL53" s="5">
        <f>-IFERROR('4. NPV'!MBM23/'4. NPV'!MBM$8,0)</f>
        <v>-0.0</v>
      </c>
      <c r="MBM53" s="5">
        <f>-IFERROR('4. NPV'!MBN23/'4. NPV'!MBN$8,0)</f>
        <v>-0.0</v>
      </c>
      <c r="MBN53" s="5">
        <f>-IFERROR('4. NPV'!MBO23/'4. NPV'!MBO$8,0)</f>
        <v>-0.0</v>
      </c>
      <c r="MBO53" s="5">
        <f>-IFERROR('4. NPV'!MBP23/'4. NPV'!MBP$8,0)</f>
        <v>-0.0</v>
      </c>
      <c r="MBP53" s="5">
        <f>-IFERROR('4. NPV'!MBQ23/'4. NPV'!MBQ$8,0)</f>
        <v>-0.0</v>
      </c>
      <c r="MBQ53" s="5">
        <f>-IFERROR('4. NPV'!MBR23/'4. NPV'!MBR$8,0)</f>
        <v>-0.0</v>
      </c>
      <c r="MBR53" s="5">
        <f>-IFERROR('4. NPV'!MBS23/'4. NPV'!MBS$8,0)</f>
        <v>-0.0</v>
      </c>
      <c r="MBS53" s="5">
        <f>-IFERROR('4. NPV'!MBT23/'4. NPV'!MBT$8,0)</f>
        <v>-0.0</v>
      </c>
      <c r="MBT53" s="5">
        <f>-IFERROR('4. NPV'!MBU23/'4. NPV'!MBU$8,0)</f>
        <v>-0.0</v>
      </c>
      <c r="MBU53" s="5">
        <f>-IFERROR('4. NPV'!MBV23/'4. NPV'!MBV$8,0)</f>
        <v>-0.0</v>
      </c>
      <c r="MBV53" s="5">
        <f>-IFERROR('4. NPV'!MBW23/'4. NPV'!MBW$8,0)</f>
        <v>-0.0</v>
      </c>
      <c r="MBW53" s="5">
        <f>-IFERROR('4. NPV'!MBX23/'4. NPV'!MBX$8,0)</f>
        <v>-0.0</v>
      </c>
      <c r="MBX53" s="5">
        <f>-IFERROR('4. NPV'!MBY23/'4. NPV'!MBY$8,0)</f>
        <v>-0.0</v>
      </c>
      <c r="MBY53" s="5">
        <f>-IFERROR('4. NPV'!MBZ23/'4. NPV'!MBZ$8,0)</f>
        <v>-0.0</v>
      </c>
      <c r="MBZ53" s="5">
        <f>-IFERROR('4. NPV'!MCA23/'4. NPV'!MCA$8,0)</f>
        <v>-0.0</v>
      </c>
      <c r="MCA53" s="5">
        <f>-IFERROR('4. NPV'!MCB23/'4. NPV'!MCB$8,0)</f>
        <v>-0.0</v>
      </c>
      <c r="MCB53" s="5">
        <f>-IFERROR('4. NPV'!MCC23/'4. NPV'!MCC$8,0)</f>
        <v>-0.0</v>
      </c>
      <c r="MCC53" s="5">
        <f>-IFERROR('4. NPV'!MCD23/'4. NPV'!MCD$8,0)</f>
        <v>-0.0</v>
      </c>
      <c r="MCD53" s="5">
        <f>-IFERROR('4. NPV'!MCE23/'4. NPV'!MCE$8,0)</f>
        <v>-0.0</v>
      </c>
      <c r="MCE53" s="5">
        <f>-IFERROR('4. NPV'!MCF23/'4. NPV'!MCF$8,0)</f>
        <v>-0.0</v>
      </c>
      <c r="MCF53" s="5">
        <f>-IFERROR('4. NPV'!MCG23/'4. NPV'!MCG$8,0)</f>
        <v>-0.0</v>
      </c>
      <c r="MCG53" s="5">
        <f>-IFERROR('4. NPV'!MCH23/'4. NPV'!MCH$8,0)</f>
        <v>-0.0</v>
      </c>
      <c r="MCH53" s="5">
        <f>-IFERROR('4. NPV'!MCI23/'4. NPV'!MCI$8,0)</f>
        <v>-0.0</v>
      </c>
      <c r="MCI53" s="5">
        <f>-IFERROR('4. NPV'!MCJ23/'4. NPV'!MCJ$8,0)</f>
        <v>-0.0</v>
      </c>
      <c r="MCJ53" s="5">
        <f>-IFERROR('4. NPV'!MCK23/'4. NPV'!MCK$8,0)</f>
        <v>-0.0</v>
      </c>
      <c r="MCK53" s="5">
        <f>-IFERROR('4. NPV'!MCL23/'4. NPV'!MCL$8,0)</f>
        <v>-0.0</v>
      </c>
      <c r="MCL53" s="5">
        <f>-IFERROR('4. NPV'!MCM23/'4. NPV'!MCM$8,0)</f>
        <v>-0.0</v>
      </c>
      <c r="MCM53" s="5">
        <f>-IFERROR('4. NPV'!MCN23/'4. NPV'!MCN$8,0)</f>
        <v>-0.0</v>
      </c>
      <c r="MCN53" s="5">
        <f>-IFERROR('4. NPV'!MCO23/'4. NPV'!MCO$8,0)</f>
        <v>-0.0</v>
      </c>
      <c r="MCO53" s="5">
        <f>-IFERROR('4. NPV'!MCP23/'4. NPV'!MCP$8,0)</f>
        <v>-0.0</v>
      </c>
      <c r="MCP53" s="5">
        <f>-IFERROR('4. NPV'!MCQ23/'4. NPV'!MCQ$8,0)</f>
        <v>-0.0</v>
      </c>
      <c r="MCQ53" s="5">
        <f>-IFERROR('4. NPV'!MCR23/'4. NPV'!MCR$8,0)</f>
        <v>-0.0</v>
      </c>
      <c r="MCR53" s="5">
        <f>-IFERROR('4. NPV'!MCS23/'4. NPV'!MCS$8,0)</f>
        <v>-0.0</v>
      </c>
      <c r="MCS53" s="5">
        <f>-IFERROR('4. NPV'!MCT23/'4. NPV'!MCT$8,0)</f>
        <v>-0.0</v>
      </c>
      <c r="MCT53" s="5">
        <f>-IFERROR('4. NPV'!MCU23/'4. NPV'!MCU$8,0)</f>
        <v>-0.0</v>
      </c>
      <c r="MCU53" s="5">
        <f>-IFERROR('4. NPV'!MCV23/'4. NPV'!MCV$8,0)</f>
        <v>-0.0</v>
      </c>
      <c r="MCV53" s="5">
        <f>-IFERROR('4. NPV'!MCW23/'4. NPV'!MCW$8,0)</f>
        <v>-0.0</v>
      </c>
      <c r="MCW53" s="5">
        <f>-IFERROR('4. NPV'!MCX23/'4. NPV'!MCX$8,0)</f>
        <v>-0.0</v>
      </c>
      <c r="MCX53" s="5">
        <f>-IFERROR('4. NPV'!MCY23/'4. NPV'!MCY$8,0)</f>
        <v>-0.0</v>
      </c>
      <c r="MCY53" s="5">
        <f>-IFERROR('4. NPV'!MCZ23/'4. NPV'!MCZ$8,0)</f>
        <v>-0.0</v>
      </c>
      <c r="MCZ53" s="5">
        <f>-IFERROR('4. NPV'!MDA23/'4. NPV'!MDA$8,0)</f>
        <v>-0.0</v>
      </c>
      <c r="MDA53" s="5">
        <f>-IFERROR('4. NPV'!MDB23/'4. NPV'!MDB$8,0)</f>
        <v>-0.0</v>
      </c>
      <c r="MDB53" s="5">
        <f>-IFERROR('4. NPV'!MDC23/'4. NPV'!MDC$8,0)</f>
        <v>-0.0</v>
      </c>
      <c r="MDC53" s="5">
        <f>-IFERROR('4. NPV'!MDD23/'4. NPV'!MDD$8,0)</f>
        <v>-0.0</v>
      </c>
      <c r="MDD53" s="5">
        <f>-IFERROR('4. NPV'!MDE23/'4. NPV'!MDE$8,0)</f>
        <v>-0.0</v>
      </c>
      <c r="MDE53" s="5">
        <f>-IFERROR('4. NPV'!MDF23/'4. NPV'!MDF$8,0)</f>
        <v>-0.0</v>
      </c>
      <c r="MDF53" s="5">
        <f>-IFERROR('4. NPV'!MDG23/'4. NPV'!MDG$8,0)</f>
        <v>-0.0</v>
      </c>
      <c r="MDG53" s="5">
        <f>-IFERROR('4. NPV'!MDH23/'4. NPV'!MDH$8,0)</f>
        <v>-0.0</v>
      </c>
      <c r="MDH53" s="5">
        <f>-IFERROR('4. NPV'!MDI23/'4. NPV'!MDI$8,0)</f>
        <v>-0.0</v>
      </c>
      <c r="MDI53" s="5">
        <f>-IFERROR('4. NPV'!MDJ23/'4. NPV'!MDJ$8,0)</f>
        <v>-0.0</v>
      </c>
      <c r="MDJ53" s="5">
        <f>-IFERROR('4. NPV'!MDK23/'4. NPV'!MDK$8,0)</f>
        <v>-0.0</v>
      </c>
      <c r="MDK53" s="5">
        <f>-IFERROR('4. NPV'!MDL23/'4. NPV'!MDL$8,0)</f>
        <v>-0.0</v>
      </c>
      <c r="MDL53" s="5">
        <f>-IFERROR('4. NPV'!MDM23/'4. NPV'!MDM$8,0)</f>
        <v>-0.0</v>
      </c>
      <c r="MDM53" s="5">
        <f>-IFERROR('4. NPV'!MDN23/'4. NPV'!MDN$8,0)</f>
        <v>-0.0</v>
      </c>
      <c r="MDN53" s="5">
        <f>-IFERROR('4. NPV'!MDO23/'4. NPV'!MDO$8,0)</f>
        <v>-0.0</v>
      </c>
      <c r="MDO53" s="5">
        <f>-IFERROR('4. NPV'!MDP23/'4. NPV'!MDP$8,0)</f>
        <v>-0.0</v>
      </c>
      <c r="MDP53" s="5">
        <f>-IFERROR('4. NPV'!MDQ23/'4. NPV'!MDQ$8,0)</f>
        <v>-0.0</v>
      </c>
      <c r="MDQ53" s="5">
        <f>-IFERROR('4. NPV'!MDR23/'4. NPV'!MDR$8,0)</f>
        <v>-0.0</v>
      </c>
      <c r="MDR53" s="5">
        <f>-IFERROR('4. NPV'!MDS23/'4. NPV'!MDS$8,0)</f>
        <v>-0.0</v>
      </c>
      <c r="MDS53" s="5">
        <f>-IFERROR('4. NPV'!MDT23/'4. NPV'!MDT$8,0)</f>
        <v>-0.0</v>
      </c>
      <c r="MDT53" s="5">
        <f>-IFERROR('4. NPV'!MDU23/'4. NPV'!MDU$8,0)</f>
        <v>-0.0</v>
      </c>
      <c r="MDU53" s="5">
        <f>-IFERROR('4. NPV'!MDV23/'4. NPV'!MDV$8,0)</f>
        <v>-0.0</v>
      </c>
      <c r="MDV53" s="5">
        <f>-IFERROR('4. NPV'!MDW23/'4. NPV'!MDW$8,0)</f>
        <v>-0.0</v>
      </c>
      <c r="MDW53" s="5">
        <f>-IFERROR('4. NPV'!MDX23/'4. NPV'!MDX$8,0)</f>
        <v>-0.0</v>
      </c>
      <c r="MDX53" s="5">
        <f>-IFERROR('4. NPV'!MDY23/'4. NPV'!MDY$8,0)</f>
        <v>-0.0</v>
      </c>
      <c r="MDY53" s="5">
        <f>-IFERROR('4. NPV'!MDZ23/'4. NPV'!MDZ$8,0)</f>
        <v>-0.0</v>
      </c>
      <c r="MDZ53" s="5">
        <f>-IFERROR('4. NPV'!MEA23/'4. NPV'!MEA$8,0)</f>
        <v>-0.0</v>
      </c>
      <c r="MEA53" s="5">
        <f>-IFERROR('4. NPV'!MEB23/'4. NPV'!MEB$8,0)</f>
        <v>-0.0</v>
      </c>
      <c r="MEB53" s="5">
        <f>-IFERROR('4. NPV'!MEC23/'4. NPV'!MEC$8,0)</f>
        <v>-0.0</v>
      </c>
      <c r="MEC53" s="5">
        <f>-IFERROR('4. NPV'!MED23/'4. NPV'!MED$8,0)</f>
        <v>-0.0</v>
      </c>
      <c r="MED53" s="5">
        <f>-IFERROR('4. NPV'!MEE23/'4. NPV'!MEE$8,0)</f>
        <v>-0.0</v>
      </c>
      <c r="MEE53" s="5">
        <f>-IFERROR('4. NPV'!MEF23/'4. NPV'!MEF$8,0)</f>
        <v>-0.0</v>
      </c>
      <c r="MEF53" s="5">
        <f>-IFERROR('4. NPV'!MEG23/'4. NPV'!MEG$8,0)</f>
        <v>-0.0</v>
      </c>
      <c r="MEG53" s="5">
        <f>-IFERROR('4. NPV'!MEH23/'4. NPV'!MEH$8,0)</f>
        <v>-0.0</v>
      </c>
      <c r="MEH53" s="5">
        <f>-IFERROR('4. NPV'!MEI23/'4. NPV'!MEI$8,0)</f>
        <v>-0.0</v>
      </c>
      <c r="MEI53" s="5">
        <f>-IFERROR('4. NPV'!MEJ23/'4. NPV'!MEJ$8,0)</f>
        <v>-0.0</v>
      </c>
      <c r="MEJ53" s="5">
        <f>-IFERROR('4. NPV'!MEK23/'4. NPV'!MEK$8,0)</f>
        <v>-0.0</v>
      </c>
      <c r="MEK53" s="5">
        <f>-IFERROR('4. NPV'!MEL23/'4. NPV'!MEL$8,0)</f>
        <v>-0.0</v>
      </c>
      <c r="MEL53" s="5">
        <f>-IFERROR('4. NPV'!MEM23/'4. NPV'!MEM$8,0)</f>
        <v>-0.0</v>
      </c>
      <c r="MEM53" s="5">
        <f>-IFERROR('4. NPV'!MEN23/'4. NPV'!MEN$8,0)</f>
        <v>-0.0</v>
      </c>
      <c r="MEN53" s="5">
        <f>-IFERROR('4. NPV'!MEO23/'4. NPV'!MEO$8,0)</f>
        <v>-0.0</v>
      </c>
      <c r="MEO53" s="5">
        <f>-IFERROR('4. NPV'!MEP23/'4. NPV'!MEP$8,0)</f>
        <v>-0.0</v>
      </c>
      <c r="MEP53" s="5">
        <f>-IFERROR('4. NPV'!MEQ23/'4. NPV'!MEQ$8,0)</f>
        <v>-0.0</v>
      </c>
      <c r="MEQ53" s="5">
        <f>-IFERROR('4. NPV'!MER23/'4. NPV'!MER$8,0)</f>
        <v>-0.0</v>
      </c>
      <c r="MER53" s="5">
        <f>-IFERROR('4. NPV'!MES23/'4. NPV'!MES$8,0)</f>
        <v>-0.0</v>
      </c>
      <c r="MES53" s="5">
        <f>-IFERROR('4. NPV'!MET23/'4. NPV'!MET$8,0)</f>
        <v>-0.0</v>
      </c>
      <c r="MET53" s="5">
        <f>-IFERROR('4. NPV'!MEU23/'4. NPV'!MEU$8,0)</f>
        <v>-0.0</v>
      </c>
      <c r="MEU53" s="5">
        <f>-IFERROR('4. NPV'!MEV23/'4. NPV'!MEV$8,0)</f>
        <v>-0.0</v>
      </c>
      <c r="MEV53" s="5">
        <f>-IFERROR('4. NPV'!MEW23/'4. NPV'!MEW$8,0)</f>
        <v>-0.0</v>
      </c>
      <c r="MEW53" s="5">
        <f>-IFERROR('4. NPV'!MEX23/'4. NPV'!MEX$8,0)</f>
        <v>-0.0</v>
      </c>
      <c r="MEX53" s="5">
        <f>-IFERROR('4. NPV'!MEY23/'4. NPV'!MEY$8,0)</f>
        <v>-0.0</v>
      </c>
      <c r="MEY53" s="5">
        <f>-IFERROR('4. NPV'!MEZ23/'4. NPV'!MEZ$8,0)</f>
        <v>-0.0</v>
      </c>
      <c r="MEZ53" s="5">
        <f>-IFERROR('4. NPV'!MFA23/'4. NPV'!MFA$8,0)</f>
        <v>-0.0</v>
      </c>
      <c r="MFA53" s="5">
        <f>-IFERROR('4. NPV'!MFB23/'4. NPV'!MFB$8,0)</f>
        <v>-0.0</v>
      </c>
      <c r="MFB53" s="5">
        <f>-IFERROR('4. NPV'!MFC23/'4. NPV'!MFC$8,0)</f>
        <v>-0.0</v>
      </c>
      <c r="MFC53" s="5">
        <f>-IFERROR('4. NPV'!MFD23/'4. NPV'!MFD$8,0)</f>
        <v>-0.0</v>
      </c>
      <c r="MFD53" s="5">
        <f>-IFERROR('4. NPV'!MFE23/'4. NPV'!MFE$8,0)</f>
        <v>-0.0</v>
      </c>
      <c r="MFE53" s="5">
        <f>-IFERROR('4. NPV'!MFF23/'4. NPV'!MFF$8,0)</f>
        <v>-0.0</v>
      </c>
      <c r="MFF53" s="5">
        <f>-IFERROR('4. NPV'!MFG23/'4. NPV'!MFG$8,0)</f>
        <v>-0.0</v>
      </c>
      <c r="MFG53" s="5">
        <f>-IFERROR('4. NPV'!MFH23/'4. NPV'!MFH$8,0)</f>
        <v>-0.0</v>
      </c>
      <c r="MFH53" s="5">
        <f>-IFERROR('4. NPV'!MFI23/'4. NPV'!MFI$8,0)</f>
        <v>-0.0</v>
      </c>
      <c r="MFI53" s="5">
        <f>-IFERROR('4. NPV'!MFJ23/'4. NPV'!MFJ$8,0)</f>
        <v>-0.0</v>
      </c>
      <c r="MFJ53" s="5">
        <f>-IFERROR('4. NPV'!MFK23/'4. NPV'!MFK$8,0)</f>
        <v>-0.0</v>
      </c>
      <c r="MFK53" s="5">
        <f>-IFERROR('4. NPV'!MFL23/'4. NPV'!MFL$8,0)</f>
        <v>-0.0</v>
      </c>
      <c r="MFL53" s="5">
        <f>-IFERROR('4. NPV'!MFM23/'4. NPV'!MFM$8,0)</f>
        <v>-0.0</v>
      </c>
      <c r="MFM53" s="5">
        <f>-IFERROR('4. NPV'!MFN23/'4. NPV'!MFN$8,0)</f>
        <v>-0.0</v>
      </c>
      <c r="MFN53" s="5">
        <f>-IFERROR('4. NPV'!MFO23/'4. NPV'!MFO$8,0)</f>
        <v>-0.0</v>
      </c>
      <c r="MFO53" s="5">
        <f>-IFERROR('4. NPV'!MFP23/'4. NPV'!MFP$8,0)</f>
        <v>-0.0</v>
      </c>
      <c r="MFP53" s="5">
        <f>-IFERROR('4. NPV'!MFQ23/'4. NPV'!MFQ$8,0)</f>
        <v>-0.0</v>
      </c>
      <c r="MFQ53" s="5">
        <f>-IFERROR('4. NPV'!MFR23/'4. NPV'!MFR$8,0)</f>
        <v>-0.0</v>
      </c>
      <c r="MFR53" s="5">
        <f>-IFERROR('4. NPV'!MFS23/'4. NPV'!MFS$8,0)</f>
        <v>-0.0</v>
      </c>
      <c r="MFS53" s="5">
        <f>-IFERROR('4. NPV'!MFT23/'4. NPV'!MFT$8,0)</f>
        <v>-0.0</v>
      </c>
      <c r="MFT53" s="5">
        <f>-IFERROR('4. NPV'!MFU23/'4. NPV'!MFU$8,0)</f>
        <v>-0.0</v>
      </c>
      <c r="MFU53" s="5">
        <f>-IFERROR('4. NPV'!MFV23/'4. NPV'!MFV$8,0)</f>
        <v>-0.0</v>
      </c>
      <c r="MFV53" s="5">
        <f>-IFERROR('4. NPV'!MFW23/'4. NPV'!MFW$8,0)</f>
        <v>-0.0</v>
      </c>
      <c r="MFW53" s="5">
        <f>-IFERROR('4. NPV'!MFX23/'4. NPV'!MFX$8,0)</f>
        <v>-0.0</v>
      </c>
      <c r="MFX53" s="5">
        <f>-IFERROR('4. NPV'!MFY23/'4. NPV'!MFY$8,0)</f>
        <v>-0.0</v>
      </c>
      <c r="MFY53" s="5">
        <f>-IFERROR('4. NPV'!MFZ23/'4. NPV'!MFZ$8,0)</f>
        <v>-0.0</v>
      </c>
      <c r="MFZ53" s="5">
        <f>-IFERROR('4. NPV'!MGA23/'4. NPV'!MGA$8,0)</f>
        <v>-0.0</v>
      </c>
      <c r="MGA53" s="5">
        <f>-IFERROR('4. NPV'!MGB23/'4. NPV'!MGB$8,0)</f>
        <v>-0.0</v>
      </c>
      <c r="MGB53" s="5">
        <f>-IFERROR('4. NPV'!MGC23/'4. NPV'!MGC$8,0)</f>
        <v>-0.0</v>
      </c>
      <c r="MGC53" s="5">
        <f>-IFERROR('4. NPV'!MGD23/'4. NPV'!MGD$8,0)</f>
        <v>-0.0</v>
      </c>
      <c r="MGD53" s="5">
        <f>-IFERROR('4. NPV'!MGE23/'4. NPV'!MGE$8,0)</f>
        <v>-0.0</v>
      </c>
      <c r="MGE53" s="5">
        <f>-IFERROR('4. NPV'!MGF23/'4. NPV'!MGF$8,0)</f>
        <v>-0.0</v>
      </c>
      <c r="MGF53" s="5">
        <f>-IFERROR('4. NPV'!MGG23/'4. NPV'!MGG$8,0)</f>
        <v>-0.0</v>
      </c>
      <c r="MGG53" s="5">
        <f>-IFERROR('4. NPV'!MGH23/'4. NPV'!MGH$8,0)</f>
        <v>-0.0</v>
      </c>
      <c r="MGH53" s="5">
        <f>-IFERROR('4. NPV'!MGI23/'4. NPV'!MGI$8,0)</f>
        <v>-0.0</v>
      </c>
      <c r="MGI53" s="5">
        <f>-IFERROR('4. NPV'!MGJ23/'4. NPV'!MGJ$8,0)</f>
        <v>-0.0</v>
      </c>
      <c r="MGJ53" s="5">
        <f>-IFERROR('4. NPV'!MGK23/'4. NPV'!MGK$8,0)</f>
        <v>-0.0</v>
      </c>
      <c r="MGK53" s="5">
        <f>-IFERROR('4. NPV'!MGL23/'4. NPV'!MGL$8,0)</f>
        <v>-0.0</v>
      </c>
      <c r="MGL53" s="5">
        <f>-IFERROR('4. NPV'!MGM23/'4. NPV'!MGM$8,0)</f>
        <v>-0.0</v>
      </c>
      <c r="MGM53" s="5">
        <f>-IFERROR('4. NPV'!MGN23/'4. NPV'!MGN$8,0)</f>
        <v>-0.0</v>
      </c>
      <c r="MGN53" s="5">
        <f>-IFERROR('4. NPV'!MGO23/'4. NPV'!MGO$8,0)</f>
        <v>-0.0</v>
      </c>
      <c r="MGO53" s="5">
        <f>-IFERROR('4. NPV'!MGP23/'4. NPV'!MGP$8,0)</f>
        <v>-0.0</v>
      </c>
      <c r="MGP53" s="5">
        <f>-IFERROR('4. NPV'!MGQ23/'4. NPV'!MGQ$8,0)</f>
        <v>-0.0</v>
      </c>
      <c r="MGQ53" s="5">
        <f>-IFERROR('4. NPV'!MGR23/'4. NPV'!MGR$8,0)</f>
        <v>-0.0</v>
      </c>
      <c r="MGR53" s="5">
        <f>-IFERROR('4. NPV'!MGS23/'4. NPV'!MGS$8,0)</f>
        <v>-0.0</v>
      </c>
      <c r="MGS53" s="5">
        <f>-IFERROR('4. NPV'!MGT23/'4. NPV'!MGT$8,0)</f>
        <v>-0.0</v>
      </c>
      <c r="MGT53" s="5">
        <f>-IFERROR('4. NPV'!MGU23/'4. NPV'!MGU$8,0)</f>
        <v>-0.0</v>
      </c>
      <c r="MGU53" s="5">
        <f>-IFERROR('4. NPV'!MGV23/'4. NPV'!MGV$8,0)</f>
        <v>-0.0</v>
      </c>
      <c r="MGV53" s="5">
        <f>-IFERROR('4. NPV'!MGW23/'4. NPV'!MGW$8,0)</f>
        <v>-0.0</v>
      </c>
      <c r="MGW53" s="5">
        <f>-IFERROR('4. NPV'!MGX23/'4. NPV'!MGX$8,0)</f>
        <v>-0.0</v>
      </c>
      <c r="MGX53" s="5">
        <f>-IFERROR('4. NPV'!MGY23/'4. NPV'!MGY$8,0)</f>
        <v>-0.0</v>
      </c>
      <c r="MGY53" s="5">
        <f>-IFERROR('4. NPV'!MGZ23/'4. NPV'!MGZ$8,0)</f>
        <v>-0.0</v>
      </c>
      <c r="MGZ53" s="5">
        <f>-IFERROR('4. NPV'!MHA23/'4. NPV'!MHA$8,0)</f>
        <v>-0.0</v>
      </c>
      <c r="MHA53" s="5">
        <f>-IFERROR('4. NPV'!MHB23/'4. NPV'!MHB$8,0)</f>
        <v>-0.0</v>
      </c>
      <c r="MHB53" s="5">
        <f>-IFERROR('4. NPV'!MHC23/'4. NPV'!MHC$8,0)</f>
        <v>-0.0</v>
      </c>
      <c r="MHC53" s="5">
        <f>-IFERROR('4. NPV'!MHD23/'4. NPV'!MHD$8,0)</f>
        <v>-0.0</v>
      </c>
      <c r="MHD53" s="5">
        <f>-IFERROR('4. NPV'!MHE23/'4. NPV'!MHE$8,0)</f>
        <v>-0.0</v>
      </c>
      <c r="MHE53" s="5">
        <f>-IFERROR('4. NPV'!MHF23/'4. NPV'!MHF$8,0)</f>
        <v>-0.0</v>
      </c>
      <c r="MHF53" s="5">
        <f>-IFERROR('4. NPV'!MHG23/'4. NPV'!MHG$8,0)</f>
        <v>-0.0</v>
      </c>
      <c r="MHG53" s="5">
        <f>-IFERROR('4. NPV'!MHH23/'4. NPV'!MHH$8,0)</f>
        <v>-0.0</v>
      </c>
      <c r="MHH53" s="5">
        <f>-IFERROR('4. NPV'!MHI23/'4. NPV'!MHI$8,0)</f>
        <v>-0.0</v>
      </c>
      <c r="MHI53" s="5">
        <f>-IFERROR('4. NPV'!MHJ23/'4. NPV'!MHJ$8,0)</f>
        <v>-0.0</v>
      </c>
      <c r="MHJ53" s="5">
        <f>-IFERROR('4. NPV'!MHK23/'4. NPV'!MHK$8,0)</f>
        <v>-0.0</v>
      </c>
      <c r="MHK53" s="5">
        <f>-IFERROR('4. NPV'!MHL23/'4. NPV'!MHL$8,0)</f>
        <v>-0.0</v>
      </c>
      <c r="MHL53" s="5">
        <f>-IFERROR('4. NPV'!MHM23/'4. NPV'!MHM$8,0)</f>
        <v>-0.0</v>
      </c>
      <c r="MHM53" s="5">
        <f>-IFERROR('4. NPV'!MHN23/'4. NPV'!MHN$8,0)</f>
        <v>-0.0</v>
      </c>
      <c r="MHN53" s="5">
        <f>-IFERROR('4. NPV'!MHO23/'4. NPV'!MHO$8,0)</f>
        <v>-0.0</v>
      </c>
      <c r="MHO53" s="5">
        <f>-IFERROR('4. NPV'!MHP23/'4. NPV'!MHP$8,0)</f>
        <v>-0.0</v>
      </c>
      <c r="MHP53" s="5">
        <f>-IFERROR('4. NPV'!MHQ23/'4. NPV'!MHQ$8,0)</f>
        <v>-0.0</v>
      </c>
      <c r="MHQ53" s="5">
        <f>-IFERROR('4. NPV'!MHR23/'4. NPV'!MHR$8,0)</f>
        <v>-0.0</v>
      </c>
      <c r="MHR53" s="5">
        <f>-IFERROR('4. NPV'!MHS23/'4. NPV'!MHS$8,0)</f>
        <v>-0.0</v>
      </c>
      <c r="MHS53" s="5">
        <f>-IFERROR('4. NPV'!MHT23/'4. NPV'!MHT$8,0)</f>
        <v>-0.0</v>
      </c>
      <c r="MHT53" s="5">
        <f>-IFERROR('4. NPV'!MHU23/'4. NPV'!MHU$8,0)</f>
        <v>-0.0</v>
      </c>
      <c r="MHU53" s="5">
        <f>-IFERROR('4. NPV'!MHV23/'4. NPV'!MHV$8,0)</f>
        <v>-0.0</v>
      </c>
      <c r="MHV53" s="5">
        <f>-IFERROR('4. NPV'!MHW23/'4. NPV'!MHW$8,0)</f>
        <v>-0.0</v>
      </c>
      <c r="MHW53" s="5">
        <f>-IFERROR('4. NPV'!MHX23/'4. NPV'!MHX$8,0)</f>
        <v>-0.0</v>
      </c>
      <c r="MHX53" s="5">
        <f>-IFERROR('4. NPV'!MHY23/'4. NPV'!MHY$8,0)</f>
        <v>-0.0</v>
      </c>
      <c r="MHY53" s="5">
        <f>-IFERROR('4. NPV'!MHZ23/'4. NPV'!MHZ$8,0)</f>
        <v>-0.0</v>
      </c>
      <c r="MHZ53" s="5">
        <f>-IFERROR('4. NPV'!MIA23/'4. NPV'!MIA$8,0)</f>
        <v>-0.0</v>
      </c>
      <c r="MIA53" s="5">
        <f>-IFERROR('4. NPV'!MIB23/'4. NPV'!MIB$8,0)</f>
        <v>-0.0</v>
      </c>
      <c r="MIB53" s="5">
        <f>-IFERROR('4. NPV'!MIC23/'4. NPV'!MIC$8,0)</f>
        <v>-0.0</v>
      </c>
      <c r="MIC53" s="5">
        <f>-IFERROR('4. NPV'!MID23/'4. NPV'!MID$8,0)</f>
        <v>-0.0</v>
      </c>
      <c r="MID53" s="5">
        <f>-IFERROR('4. NPV'!MIE23/'4. NPV'!MIE$8,0)</f>
        <v>-0.0</v>
      </c>
      <c r="MIE53" s="5">
        <f>-IFERROR('4. NPV'!MIF23/'4. NPV'!MIF$8,0)</f>
        <v>-0.0</v>
      </c>
      <c r="MIF53" s="5">
        <f>-IFERROR('4. NPV'!MIG23/'4. NPV'!MIG$8,0)</f>
        <v>-0.0</v>
      </c>
      <c r="MIG53" s="5">
        <f>-IFERROR('4. NPV'!MIH23/'4. NPV'!MIH$8,0)</f>
        <v>-0.0</v>
      </c>
      <c r="MIH53" s="5">
        <f>-IFERROR('4. NPV'!MII23/'4. NPV'!MII$8,0)</f>
        <v>-0.0</v>
      </c>
      <c r="MII53" s="5">
        <f>-IFERROR('4. NPV'!MIJ23/'4. NPV'!MIJ$8,0)</f>
        <v>-0.0</v>
      </c>
      <c r="MIJ53" s="5">
        <f>-IFERROR('4. NPV'!MIK23/'4. NPV'!MIK$8,0)</f>
        <v>-0.0</v>
      </c>
      <c r="MIK53" s="5">
        <f>-IFERROR('4. NPV'!MIL23/'4. NPV'!MIL$8,0)</f>
        <v>-0.0</v>
      </c>
      <c r="MIL53" s="5">
        <f>-IFERROR('4. NPV'!MIM23/'4. NPV'!MIM$8,0)</f>
        <v>-0.0</v>
      </c>
      <c r="MIM53" s="5">
        <f>-IFERROR('4. NPV'!MIN23/'4. NPV'!MIN$8,0)</f>
        <v>-0.0</v>
      </c>
      <c r="MIN53" s="5">
        <f>-IFERROR('4. NPV'!MIO23/'4. NPV'!MIO$8,0)</f>
        <v>-0.0</v>
      </c>
      <c r="MIO53" s="5">
        <f>-IFERROR('4. NPV'!MIP23/'4. NPV'!MIP$8,0)</f>
        <v>-0.0</v>
      </c>
      <c r="MIP53" s="5">
        <f>-IFERROR('4. NPV'!MIQ23/'4. NPV'!MIQ$8,0)</f>
        <v>-0.0</v>
      </c>
      <c r="MIQ53" s="5">
        <f>-IFERROR('4. NPV'!MIR23/'4. NPV'!MIR$8,0)</f>
        <v>-0.0</v>
      </c>
      <c r="MIR53" s="5">
        <f>-IFERROR('4. NPV'!MIS23/'4. NPV'!MIS$8,0)</f>
        <v>-0.0</v>
      </c>
      <c r="MIS53" s="5">
        <f>-IFERROR('4. NPV'!MIT23/'4. NPV'!MIT$8,0)</f>
        <v>-0.0</v>
      </c>
      <c r="MIT53" s="5">
        <f>-IFERROR('4. NPV'!MIU23/'4. NPV'!MIU$8,0)</f>
        <v>-0.0</v>
      </c>
      <c r="MIU53" s="5">
        <f>-IFERROR('4. NPV'!MIV23/'4. NPV'!MIV$8,0)</f>
        <v>-0.0</v>
      </c>
      <c r="MIV53" s="5">
        <f>-IFERROR('4. NPV'!MIW23/'4. NPV'!MIW$8,0)</f>
        <v>-0.0</v>
      </c>
      <c r="MIW53" s="5">
        <f>-IFERROR('4. NPV'!MIX23/'4. NPV'!MIX$8,0)</f>
        <v>-0.0</v>
      </c>
      <c r="MIX53" s="5">
        <f>-IFERROR('4. NPV'!MIY23/'4. NPV'!MIY$8,0)</f>
        <v>-0.0</v>
      </c>
      <c r="MIY53" s="5">
        <f>-IFERROR('4. NPV'!MIZ23/'4. NPV'!MIZ$8,0)</f>
        <v>-0.0</v>
      </c>
      <c r="MIZ53" s="5">
        <f>-IFERROR('4. NPV'!MJA23/'4. NPV'!MJA$8,0)</f>
        <v>-0.0</v>
      </c>
      <c r="MJA53" s="5">
        <f>-IFERROR('4. NPV'!MJB23/'4. NPV'!MJB$8,0)</f>
        <v>-0.0</v>
      </c>
      <c r="MJB53" s="5">
        <f>-IFERROR('4. NPV'!MJC23/'4. NPV'!MJC$8,0)</f>
        <v>-0.0</v>
      </c>
      <c r="MJC53" s="5">
        <f>-IFERROR('4. NPV'!MJD23/'4. NPV'!MJD$8,0)</f>
        <v>-0.0</v>
      </c>
      <c r="MJD53" s="5">
        <f>-IFERROR('4. NPV'!MJE23/'4. NPV'!MJE$8,0)</f>
        <v>-0.0</v>
      </c>
      <c r="MJE53" s="5">
        <f>-IFERROR('4. NPV'!MJF23/'4. NPV'!MJF$8,0)</f>
        <v>-0.0</v>
      </c>
      <c r="MJF53" s="5">
        <f>-IFERROR('4. NPV'!MJG23/'4. NPV'!MJG$8,0)</f>
        <v>-0.0</v>
      </c>
      <c r="MJG53" s="5">
        <f>-IFERROR('4. NPV'!MJH23/'4. NPV'!MJH$8,0)</f>
        <v>-0.0</v>
      </c>
      <c r="MJH53" s="5">
        <f>-IFERROR('4. NPV'!MJI23/'4. NPV'!MJI$8,0)</f>
        <v>-0.0</v>
      </c>
      <c r="MJI53" s="5">
        <f>-IFERROR('4. NPV'!MJJ23/'4. NPV'!MJJ$8,0)</f>
        <v>-0.0</v>
      </c>
      <c r="MJJ53" s="5">
        <f>-IFERROR('4. NPV'!MJK23/'4. NPV'!MJK$8,0)</f>
        <v>-0.0</v>
      </c>
      <c r="MJK53" s="5">
        <f>-IFERROR('4. NPV'!MJL23/'4. NPV'!MJL$8,0)</f>
        <v>-0.0</v>
      </c>
      <c r="MJL53" s="5">
        <f>-IFERROR('4. NPV'!MJM23/'4. NPV'!MJM$8,0)</f>
        <v>-0.0</v>
      </c>
      <c r="MJM53" s="5">
        <f>-IFERROR('4. NPV'!MJN23/'4. NPV'!MJN$8,0)</f>
        <v>-0.0</v>
      </c>
      <c r="MJN53" s="5">
        <f>-IFERROR('4. NPV'!MJO23/'4. NPV'!MJO$8,0)</f>
        <v>-0.0</v>
      </c>
      <c r="MJO53" s="5">
        <f>-IFERROR('4. NPV'!MJP23/'4. NPV'!MJP$8,0)</f>
        <v>-0.0</v>
      </c>
      <c r="MJP53" s="5">
        <f>-IFERROR('4. NPV'!MJQ23/'4. NPV'!MJQ$8,0)</f>
        <v>-0.0</v>
      </c>
      <c r="MJQ53" s="5">
        <f>-IFERROR('4. NPV'!MJR23/'4. NPV'!MJR$8,0)</f>
        <v>-0.0</v>
      </c>
      <c r="MJR53" s="5">
        <f>-IFERROR('4. NPV'!MJS23/'4. NPV'!MJS$8,0)</f>
        <v>-0.0</v>
      </c>
      <c r="MJS53" s="5">
        <f>-IFERROR('4. NPV'!MJT23/'4. NPV'!MJT$8,0)</f>
        <v>-0.0</v>
      </c>
      <c r="MJT53" s="5">
        <f>-IFERROR('4. NPV'!MJU23/'4. NPV'!MJU$8,0)</f>
        <v>-0.0</v>
      </c>
      <c r="MJU53" s="5">
        <f>-IFERROR('4. NPV'!MJV23/'4. NPV'!MJV$8,0)</f>
        <v>-0.0</v>
      </c>
      <c r="MJV53" s="5">
        <f>-IFERROR('4. NPV'!MJW23/'4. NPV'!MJW$8,0)</f>
        <v>-0.0</v>
      </c>
      <c r="MJW53" s="5">
        <f>-IFERROR('4. NPV'!MJX23/'4. NPV'!MJX$8,0)</f>
        <v>-0.0</v>
      </c>
      <c r="MJX53" s="5">
        <f>-IFERROR('4. NPV'!MJY23/'4. NPV'!MJY$8,0)</f>
        <v>-0.0</v>
      </c>
      <c r="MJY53" s="5">
        <f>-IFERROR('4. NPV'!MJZ23/'4. NPV'!MJZ$8,0)</f>
        <v>-0.0</v>
      </c>
      <c r="MJZ53" s="5">
        <f>-IFERROR('4. NPV'!MKA23/'4. NPV'!MKA$8,0)</f>
        <v>-0.0</v>
      </c>
      <c r="MKA53" s="5">
        <f>-IFERROR('4. NPV'!MKB23/'4. NPV'!MKB$8,0)</f>
        <v>-0.0</v>
      </c>
      <c r="MKB53" s="5">
        <f>-IFERROR('4. NPV'!MKC23/'4. NPV'!MKC$8,0)</f>
        <v>-0.0</v>
      </c>
      <c r="MKC53" s="5">
        <f>-IFERROR('4. NPV'!MKD23/'4. NPV'!MKD$8,0)</f>
        <v>-0.0</v>
      </c>
      <c r="MKD53" s="5">
        <f>-IFERROR('4. NPV'!MKE23/'4. NPV'!MKE$8,0)</f>
        <v>-0.0</v>
      </c>
      <c r="MKE53" s="5">
        <f>-IFERROR('4. NPV'!MKF23/'4. NPV'!MKF$8,0)</f>
        <v>-0.0</v>
      </c>
      <c r="MKF53" s="5">
        <f>-IFERROR('4. NPV'!MKG23/'4. NPV'!MKG$8,0)</f>
        <v>-0.0</v>
      </c>
      <c r="MKG53" s="5">
        <f>-IFERROR('4. NPV'!MKH23/'4. NPV'!MKH$8,0)</f>
        <v>-0.0</v>
      </c>
      <c r="MKH53" s="5">
        <f>-IFERROR('4. NPV'!MKI23/'4. NPV'!MKI$8,0)</f>
        <v>-0.0</v>
      </c>
      <c r="MKI53" s="5">
        <f>-IFERROR('4. NPV'!MKJ23/'4. NPV'!MKJ$8,0)</f>
        <v>-0.0</v>
      </c>
      <c r="MKJ53" s="5">
        <f>-IFERROR('4. NPV'!MKK23/'4. NPV'!MKK$8,0)</f>
        <v>-0.0</v>
      </c>
      <c r="MKK53" s="5">
        <f>-IFERROR('4. NPV'!MKL23/'4. NPV'!MKL$8,0)</f>
        <v>-0.0</v>
      </c>
      <c r="MKL53" s="5">
        <f>-IFERROR('4. NPV'!MKM23/'4. NPV'!MKM$8,0)</f>
        <v>-0.0</v>
      </c>
      <c r="MKM53" s="5">
        <f>-IFERROR('4. NPV'!MKN23/'4. NPV'!MKN$8,0)</f>
        <v>-0.0</v>
      </c>
      <c r="MKN53" s="5">
        <f>-IFERROR('4. NPV'!MKO23/'4. NPV'!MKO$8,0)</f>
        <v>-0.0</v>
      </c>
      <c r="MKO53" s="5">
        <f>-IFERROR('4. NPV'!MKP23/'4. NPV'!MKP$8,0)</f>
        <v>-0.0</v>
      </c>
      <c r="MKP53" s="5">
        <f>-IFERROR('4. NPV'!MKQ23/'4. NPV'!MKQ$8,0)</f>
        <v>-0.0</v>
      </c>
      <c r="MKQ53" s="5">
        <f>-IFERROR('4. NPV'!MKR23/'4. NPV'!MKR$8,0)</f>
        <v>-0.0</v>
      </c>
      <c r="MKR53" s="5">
        <f>-IFERROR('4. NPV'!MKS23/'4. NPV'!MKS$8,0)</f>
        <v>-0.0</v>
      </c>
      <c r="MKS53" s="5">
        <f>-IFERROR('4. NPV'!MKT23/'4. NPV'!MKT$8,0)</f>
        <v>-0.0</v>
      </c>
      <c r="MKT53" s="5">
        <f>-IFERROR('4. NPV'!MKU23/'4. NPV'!MKU$8,0)</f>
        <v>-0.0</v>
      </c>
      <c r="MKU53" s="5">
        <f>-IFERROR('4. NPV'!MKV23/'4. NPV'!MKV$8,0)</f>
        <v>-0.0</v>
      </c>
      <c r="MKV53" s="5">
        <f>-IFERROR('4. NPV'!MKW23/'4. NPV'!MKW$8,0)</f>
        <v>-0.0</v>
      </c>
      <c r="MKW53" s="5">
        <f>-IFERROR('4. NPV'!MKX23/'4. NPV'!MKX$8,0)</f>
        <v>-0.0</v>
      </c>
      <c r="MKX53" s="5">
        <f>-IFERROR('4. NPV'!MKY23/'4. NPV'!MKY$8,0)</f>
        <v>-0.0</v>
      </c>
      <c r="MKY53" s="5">
        <f>-IFERROR('4. NPV'!MKZ23/'4. NPV'!MKZ$8,0)</f>
        <v>-0.0</v>
      </c>
      <c r="MKZ53" s="5">
        <f>-IFERROR('4. NPV'!MLA23/'4. NPV'!MLA$8,0)</f>
        <v>-0.0</v>
      </c>
      <c r="MLA53" s="5">
        <f>-IFERROR('4. NPV'!MLB23/'4. NPV'!MLB$8,0)</f>
        <v>-0.0</v>
      </c>
      <c r="MLB53" s="5">
        <f>-IFERROR('4. NPV'!MLC23/'4. NPV'!MLC$8,0)</f>
        <v>-0.0</v>
      </c>
      <c r="MLC53" s="5">
        <f>-IFERROR('4. NPV'!MLD23/'4. NPV'!MLD$8,0)</f>
        <v>-0.0</v>
      </c>
      <c r="MLD53" s="5">
        <f>-IFERROR('4. NPV'!MLE23/'4. NPV'!MLE$8,0)</f>
        <v>-0.0</v>
      </c>
      <c r="MLE53" s="5">
        <f>-IFERROR('4. NPV'!MLF23/'4. NPV'!MLF$8,0)</f>
        <v>-0.0</v>
      </c>
      <c r="MLF53" s="5">
        <f>-IFERROR('4. NPV'!MLG23/'4. NPV'!MLG$8,0)</f>
        <v>-0.0</v>
      </c>
      <c r="MLG53" s="5">
        <f>-IFERROR('4. NPV'!MLH23/'4. NPV'!MLH$8,0)</f>
        <v>-0.0</v>
      </c>
      <c r="MLH53" s="5">
        <f>-IFERROR('4. NPV'!MLI23/'4. NPV'!MLI$8,0)</f>
        <v>-0.0</v>
      </c>
      <c r="MLI53" s="5">
        <f>-IFERROR('4. NPV'!MLJ23/'4. NPV'!MLJ$8,0)</f>
        <v>-0.0</v>
      </c>
      <c r="MLJ53" s="5">
        <f>-IFERROR('4. NPV'!MLK23/'4. NPV'!MLK$8,0)</f>
        <v>-0.0</v>
      </c>
      <c r="MLK53" s="5">
        <f>-IFERROR('4. NPV'!MLL23/'4. NPV'!MLL$8,0)</f>
        <v>-0.0</v>
      </c>
      <c r="MLL53" s="5">
        <f>-IFERROR('4. NPV'!MLM23/'4. NPV'!MLM$8,0)</f>
        <v>-0.0</v>
      </c>
      <c r="MLM53" s="5">
        <f>-IFERROR('4. NPV'!MLN23/'4. NPV'!MLN$8,0)</f>
        <v>-0.0</v>
      </c>
      <c r="MLN53" s="5">
        <f>-IFERROR('4. NPV'!MLO23/'4. NPV'!MLO$8,0)</f>
        <v>-0.0</v>
      </c>
      <c r="MLO53" s="5">
        <f>-IFERROR('4. NPV'!MLP23/'4. NPV'!MLP$8,0)</f>
        <v>-0.0</v>
      </c>
      <c r="MLP53" s="5">
        <f>-IFERROR('4. NPV'!MLQ23/'4. NPV'!MLQ$8,0)</f>
        <v>-0.0</v>
      </c>
      <c r="MLQ53" s="5">
        <f>-IFERROR('4. NPV'!MLR23/'4. NPV'!MLR$8,0)</f>
        <v>-0.0</v>
      </c>
      <c r="MLR53" s="5">
        <f>-IFERROR('4. NPV'!MLS23/'4. NPV'!MLS$8,0)</f>
        <v>-0.0</v>
      </c>
      <c r="MLS53" s="5">
        <f>-IFERROR('4. NPV'!MLT23/'4. NPV'!MLT$8,0)</f>
        <v>-0.0</v>
      </c>
      <c r="MLT53" s="5">
        <f>-IFERROR('4. NPV'!MLU23/'4. NPV'!MLU$8,0)</f>
        <v>-0.0</v>
      </c>
      <c r="MLU53" s="5">
        <f>-IFERROR('4. NPV'!MLV23/'4. NPV'!MLV$8,0)</f>
        <v>-0.0</v>
      </c>
      <c r="MLV53" s="5">
        <f>-IFERROR('4. NPV'!MLW23/'4. NPV'!MLW$8,0)</f>
        <v>-0.0</v>
      </c>
      <c r="MLW53" s="5">
        <f>-IFERROR('4. NPV'!MLX23/'4. NPV'!MLX$8,0)</f>
        <v>-0.0</v>
      </c>
      <c r="MLX53" s="5">
        <f>-IFERROR('4. NPV'!MLY23/'4. NPV'!MLY$8,0)</f>
        <v>-0.0</v>
      </c>
      <c r="MLY53" s="5">
        <f>-IFERROR('4. NPV'!MLZ23/'4. NPV'!MLZ$8,0)</f>
        <v>-0.0</v>
      </c>
      <c r="MLZ53" s="5">
        <f>-IFERROR('4. NPV'!MMA23/'4. NPV'!MMA$8,0)</f>
        <v>-0.0</v>
      </c>
      <c r="MMA53" s="5">
        <f>-IFERROR('4. NPV'!MMB23/'4. NPV'!MMB$8,0)</f>
        <v>-0.0</v>
      </c>
      <c r="MMB53" s="5">
        <f>-IFERROR('4. NPV'!MMC23/'4. NPV'!MMC$8,0)</f>
        <v>-0.0</v>
      </c>
      <c r="MMC53" s="5">
        <f>-IFERROR('4. NPV'!MMD23/'4. NPV'!MMD$8,0)</f>
        <v>-0.0</v>
      </c>
      <c r="MMD53" s="5">
        <f>-IFERROR('4. NPV'!MME23/'4. NPV'!MME$8,0)</f>
        <v>-0.0</v>
      </c>
      <c r="MME53" s="5">
        <f>-IFERROR('4. NPV'!MMF23/'4. NPV'!MMF$8,0)</f>
        <v>-0.0</v>
      </c>
      <c r="MMF53" s="5">
        <f>-IFERROR('4. NPV'!MMG23/'4. NPV'!MMG$8,0)</f>
        <v>-0.0</v>
      </c>
      <c r="MMG53" s="5">
        <f>-IFERROR('4. NPV'!MMH23/'4. NPV'!MMH$8,0)</f>
        <v>-0.0</v>
      </c>
      <c r="MMH53" s="5">
        <f>-IFERROR('4. NPV'!MMI23/'4. NPV'!MMI$8,0)</f>
        <v>-0.0</v>
      </c>
      <c r="MMI53" s="5">
        <f>-IFERROR('4. NPV'!MMJ23/'4. NPV'!MMJ$8,0)</f>
        <v>-0.0</v>
      </c>
      <c r="MMJ53" s="5">
        <f>-IFERROR('4. NPV'!MMK23/'4. NPV'!MMK$8,0)</f>
        <v>-0.0</v>
      </c>
      <c r="MMK53" s="5">
        <f>-IFERROR('4. NPV'!MML23/'4. NPV'!MML$8,0)</f>
        <v>-0.0</v>
      </c>
      <c r="MML53" s="5">
        <f>-IFERROR('4. NPV'!MMM23/'4. NPV'!MMM$8,0)</f>
        <v>-0.0</v>
      </c>
      <c r="MMM53" s="5">
        <f>-IFERROR('4. NPV'!MMN23/'4. NPV'!MMN$8,0)</f>
        <v>-0.0</v>
      </c>
      <c r="MMN53" s="5">
        <f>-IFERROR('4. NPV'!MMO23/'4. NPV'!MMO$8,0)</f>
        <v>-0.0</v>
      </c>
      <c r="MMO53" s="5">
        <f>-IFERROR('4. NPV'!MMP23/'4. NPV'!MMP$8,0)</f>
        <v>-0.0</v>
      </c>
      <c r="MMP53" s="5">
        <f>-IFERROR('4. NPV'!MMQ23/'4. NPV'!MMQ$8,0)</f>
        <v>-0.0</v>
      </c>
      <c r="MMQ53" s="5">
        <f>-IFERROR('4. NPV'!MMR23/'4. NPV'!MMR$8,0)</f>
        <v>-0.0</v>
      </c>
      <c r="MMR53" s="5">
        <f>-IFERROR('4. NPV'!MMS23/'4. NPV'!MMS$8,0)</f>
        <v>-0.0</v>
      </c>
      <c r="MMS53" s="5">
        <f>-IFERROR('4. NPV'!MMT23/'4. NPV'!MMT$8,0)</f>
        <v>-0.0</v>
      </c>
      <c r="MMT53" s="5">
        <f>-IFERROR('4. NPV'!MMU23/'4. NPV'!MMU$8,0)</f>
        <v>-0.0</v>
      </c>
      <c r="MMU53" s="5">
        <f>-IFERROR('4. NPV'!MMV23/'4. NPV'!MMV$8,0)</f>
        <v>-0.0</v>
      </c>
      <c r="MMV53" s="5">
        <f>-IFERROR('4. NPV'!MMW23/'4. NPV'!MMW$8,0)</f>
        <v>-0.0</v>
      </c>
      <c r="MMW53" s="5">
        <f>-IFERROR('4. NPV'!MMX23/'4. NPV'!MMX$8,0)</f>
        <v>-0.0</v>
      </c>
      <c r="MMX53" s="5">
        <f>-IFERROR('4. NPV'!MMY23/'4. NPV'!MMY$8,0)</f>
        <v>-0.0</v>
      </c>
      <c r="MMY53" s="5">
        <f>-IFERROR('4. NPV'!MMZ23/'4. NPV'!MMZ$8,0)</f>
        <v>-0.0</v>
      </c>
      <c r="MMZ53" s="5">
        <f>-IFERROR('4. NPV'!MNA23/'4. NPV'!MNA$8,0)</f>
        <v>-0.0</v>
      </c>
      <c r="MNA53" s="5">
        <f>-IFERROR('4. NPV'!MNB23/'4. NPV'!MNB$8,0)</f>
        <v>-0.0</v>
      </c>
      <c r="MNB53" s="5">
        <f>-IFERROR('4. NPV'!MNC23/'4. NPV'!MNC$8,0)</f>
        <v>-0.0</v>
      </c>
      <c r="MNC53" s="5">
        <f>-IFERROR('4. NPV'!MND23/'4. NPV'!MND$8,0)</f>
        <v>-0.0</v>
      </c>
      <c r="MND53" s="5">
        <f>-IFERROR('4. NPV'!MNE23/'4. NPV'!MNE$8,0)</f>
        <v>-0.0</v>
      </c>
      <c r="MNE53" s="5">
        <f>-IFERROR('4. NPV'!MNF23/'4. NPV'!MNF$8,0)</f>
        <v>-0.0</v>
      </c>
      <c r="MNF53" s="5">
        <f>-IFERROR('4. NPV'!MNG23/'4. NPV'!MNG$8,0)</f>
        <v>-0.0</v>
      </c>
      <c r="MNG53" s="5">
        <f>-IFERROR('4. NPV'!MNH23/'4. NPV'!MNH$8,0)</f>
        <v>-0.0</v>
      </c>
      <c r="MNH53" s="5">
        <f>-IFERROR('4. NPV'!MNI23/'4. NPV'!MNI$8,0)</f>
        <v>-0.0</v>
      </c>
      <c r="MNI53" s="5">
        <f>-IFERROR('4. NPV'!MNJ23/'4. NPV'!MNJ$8,0)</f>
        <v>-0.0</v>
      </c>
      <c r="MNJ53" s="5">
        <f>-IFERROR('4. NPV'!MNK23/'4. NPV'!MNK$8,0)</f>
        <v>-0.0</v>
      </c>
      <c r="MNK53" s="5">
        <f>-IFERROR('4. NPV'!MNL23/'4. NPV'!MNL$8,0)</f>
        <v>-0.0</v>
      </c>
      <c r="MNL53" s="5">
        <f>-IFERROR('4. NPV'!MNM23/'4. NPV'!MNM$8,0)</f>
        <v>-0.0</v>
      </c>
      <c r="MNM53" s="5">
        <f>-IFERROR('4. NPV'!MNN23/'4. NPV'!MNN$8,0)</f>
        <v>-0.0</v>
      </c>
      <c r="MNN53" s="5">
        <f>-IFERROR('4. NPV'!MNO23/'4. NPV'!MNO$8,0)</f>
        <v>-0.0</v>
      </c>
      <c r="MNO53" s="5">
        <f>-IFERROR('4. NPV'!MNP23/'4. NPV'!MNP$8,0)</f>
        <v>-0.0</v>
      </c>
      <c r="MNP53" s="5">
        <f>-IFERROR('4. NPV'!MNQ23/'4. NPV'!MNQ$8,0)</f>
        <v>-0.0</v>
      </c>
      <c r="MNQ53" s="5">
        <f>-IFERROR('4. NPV'!MNR23/'4. NPV'!MNR$8,0)</f>
        <v>-0.0</v>
      </c>
      <c r="MNR53" s="5">
        <f>-IFERROR('4. NPV'!MNS23/'4. NPV'!MNS$8,0)</f>
        <v>-0.0</v>
      </c>
      <c r="MNS53" s="5">
        <f>-IFERROR('4. NPV'!MNT23/'4. NPV'!MNT$8,0)</f>
        <v>-0.0</v>
      </c>
      <c r="MNT53" s="5">
        <f>-IFERROR('4. NPV'!MNU23/'4. NPV'!MNU$8,0)</f>
        <v>-0.0</v>
      </c>
      <c r="MNU53" s="5">
        <f>-IFERROR('4. NPV'!MNV23/'4. NPV'!MNV$8,0)</f>
        <v>-0.0</v>
      </c>
      <c r="MNV53" s="5">
        <f>-IFERROR('4. NPV'!MNW23/'4. NPV'!MNW$8,0)</f>
        <v>-0.0</v>
      </c>
      <c r="MNW53" s="5">
        <f>-IFERROR('4. NPV'!MNX23/'4. NPV'!MNX$8,0)</f>
        <v>-0.0</v>
      </c>
      <c r="MNX53" s="5">
        <f>-IFERROR('4. NPV'!MNY23/'4. NPV'!MNY$8,0)</f>
        <v>-0.0</v>
      </c>
      <c r="MNY53" s="5">
        <f>-IFERROR('4. NPV'!MNZ23/'4. NPV'!MNZ$8,0)</f>
        <v>-0.0</v>
      </c>
      <c r="MNZ53" s="5">
        <f>-IFERROR('4. NPV'!MOA23/'4. NPV'!MOA$8,0)</f>
        <v>-0.0</v>
      </c>
      <c r="MOA53" s="5">
        <f>-IFERROR('4. NPV'!MOB23/'4. NPV'!MOB$8,0)</f>
        <v>-0.0</v>
      </c>
      <c r="MOB53" s="5">
        <f>-IFERROR('4. NPV'!MOC23/'4. NPV'!MOC$8,0)</f>
        <v>-0.0</v>
      </c>
      <c r="MOC53" s="5">
        <f>-IFERROR('4. NPV'!MOD23/'4. NPV'!MOD$8,0)</f>
        <v>-0.0</v>
      </c>
      <c r="MOD53" s="5">
        <f>-IFERROR('4. NPV'!MOE23/'4. NPV'!MOE$8,0)</f>
        <v>-0.0</v>
      </c>
      <c r="MOE53" s="5">
        <f>-IFERROR('4. NPV'!MOF23/'4. NPV'!MOF$8,0)</f>
        <v>-0.0</v>
      </c>
      <c r="MOF53" s="5">
        <f>-IFERROR('4. NPV'!MOG23/'4. NPV'!MOG$8,0)</f>
        <v>-0.0</v>
      </c>
      <c r="MOG53" s="5">
        <f>-IFERROR('4. NPV'!MOH23/'4. NPV'!MOH$8,0)</f>
        <v>-0.0</v>
      </c>
      <c r="MOH53" s="5">
        <f>-IFERROR('4. NPV'!MOI23/'4. NPV'!MOI$8,0)</f>
        <v>-0.0</v>
      </c>
      <c r="MOI53" s="5">
        <f>-IFERROR('4. NPV'!MOJ23/'4. NPV'!MOJ$8,0)</f>
        <v>-0.0</v>
      </c>
      <c r="MOJ53" s="5">
        <f>-IFERROR('4. NPV'!MOK23/'4. NPV'!MOK$8,0)</f>
        <v>-0.0</v>
      </c>
      <c r="MOK53" s="5">
        <f>-IFERROR('4. NPV'!MOL23/'4. NPV'!MOL$8,0)</f>
        <v>-0.0</v>
      </c>
      <c r="MOL53" s="5">
        <f>-IFERROR('4. NPV'!MOM23/'4. NPV'!MOM$8,0)</f>
        <v>-0.0</v>
      </c>
      <c r="MOM53" s="5">
        <f>-IFERROR('4. NPV'!MON23/'4. NPV'!MON$8,0)</f>
        <v>-0.0</v>
      </c>
      <c r="MON53" s="5">
        <f>-IFERROR('4. NPV'!MOO23/'4. NPV'!MOO$8,0)</f>
        <v>-0.0</v>
      </c>
      <c r="MOO53" s="5">
        <f>-IFERROR('4. NPV'!MOP23/'4. NPV'!MOP$8,0)</f>
        <v>-0.0</v>
      </c>
      <c r="MOP53" s="5">
        <f>-IFERROR('4. NPV'!MOQ23/'4. NPV'!MOQ$8,0)</f>
        <v>-0.0</v>
      </c>
      <c r="MOQ53" s="5">
        <f>-IFERROR('4. NPV'!MOR23/'4. NPV'!MOR$8,0)</f>
        <v>-0.0</v>
      </c>
      <c r="MOR53" s="5">
        <f>-IFERROR('4. NPV'!MOS23/'4. NPV'!MOS$8,0)</f>
        <v>-0.0</v>
      </c>
      <c r="MOS53" s="5">
        <f>-IFERROR('4. NPV'!MOT23/'4. NPV'!MOT$8,0)</f>
        <v>-0.0</v>
      </c>
      <c r="MOT53" s="5">
        <f>-IFERROR('4. NPV'!MOU23/'4. NPV'!MOU$8,0)</f>
        <v>-0.0</v>
      </c>
      <c r="MOU53" s="5">
        <f>-IFERROR('4. NPV'!MOV23/'4. NPV'!MOV$8,0)</f>
        <v>-0.0</v>
      </c>
      <c r="MOV53" s="5">
        <f>-IFERROR('4. NPV'!MOW23/'4. NPV'!MOW$8,0)</f>
        <v>-0.0</v>
      </c>
      <c r="MOW53" s="5">
        <f>-IFERROR('4. NPV'!MOX23/'4. NPV'!MOX$8,0)</f>
        <v>-0.0</v>
      </c>
      <c r="MOX53" s="5">
        <f>-IFERROR('4. NPV'!MOY23/'4. NPV'!MOY$8,0)</f>
        <v>-0.0</v>
      </c>
      <c r="MOY53" s="5">
        <f>-IFERROR('4. NPV'!MOZ23/'4. NPV'!MOZ$8,0)</f>
        <v>-0.0</v>
      </c>
      <c r="MOZ53" s="5">
        <f>-IFERROR('4. NPV'!MPA23/'4. NPV'!MPA$8,0)</f>
        <v>-0.0</v>
      </c>
      <c r="MPA53" s="5">
        <f>-IFERROR('4. NPV'!MPB23/'4. NPV'!MPB$8,0)</f>
        <v>-0.0</v>
      </c>
      <c r="MPB53" s="5">
        <f>-IFERROR('4. NPV'!MPC23/'4. NPV'!MPC$8,0)</f>
        <v>-0.0</v>
      </c>
      <c r="MPC53" s="5">
        <f>-IFERROR('4. NPV'!MPD23/'4. NPV'!MPD$8,0)</f>
        <v>-0.0</v>
      </c>
      <c r="MPD53" s="5">
        <f>-IFERROR('4. NPV'!MPE23/'4. NPV'!MPE$8,0)</f>
        <v>-0.0</v>
      </c>
      <c r="MPE53" s="5">
        <f>-IFERROR('4. NPV'!MPF23/'4. NPV'!MPF$8,0)</f>
        <v>-0.0</v>
      </c>
      <c r="MPF53" s="5">
        <f>-IFERROR('4. NPV'!MPG23/'4. NPV'!MPG$8,0)</f>
        <v>-0.0</v>
      </c>
      <c r="MPG53" s="5">
        <f>-IFERROR('4. NPV'!MPH23/'4. NPV'!MPH$8,0)</f>
        <v>-0.0</v>
      </c>
      <c r="MPH53" s="5">
        <f>-IFERROR('4. NPV'!MPI23/'4. NPV'!MPI$8,0)</f>
        <v>-0.0</v>
      </c>
      <c r="MPI53" s="5">
        <f>-IFERROR('4. NPV'!MPJ23/'4. NPV'!MPJ$8,0)</f>
        <v>-0.0</v>
      </c>
      <c r="MPJ53" s="5">
        <f>-IFERROR('4. NPV'!MPK23/'4. NPV'!MPK$8,0)</f>
        <v>-0.0</v>
      </c>
      <c r="MPK53" s="5">
        <f>-IFERROR('4. NPV'!MPL23/'4. NPV'!MPL$8,0)</f>
        <v>-0.0</v>
      </c>
      <c r="MPL53" s="5">
        <f>-IFERROR('4. NPV'!MPM23/'4. NPV'!MPM$8,0)</f>
        <v>-0.0</v>
      </c>
      <c r="MPM53" s="5">
        <f>-IFERROR('4. NPV'!MPN23/'4. NPV'!MPN$8,0)</f>
        <v>-0.0</v>
      </c>
      <c r="MPN53" s="5">
        <f>-IFERROR('4. NPV'!MPO23/'4. NPV'!MPO$8,0)</f>
        <v>-0.0</v>
      </c>
      <c r="MPO53" s="5">
        <f>-IFERROR('4. NPV'!MPP23/'4. NPV'!MPP$8,0)</f>
        <v>-0.0</v>
      </c>
      <c r="MPP53" s="5">
        <f>-IFERROR('4. NPV'!MPQ23/'4. NPV'!MPQ$8,0)</f>
        <v>-0.0</v>
      </c>
      <c r="MPQ53" s="5">
        <f>-IFERROR('4. NPV'!MPR23/'4. NPV'!MPR$8,0)</f>
        <v>-0.0</v>
      </c>
      <c r="MPR53" s="5">
        <f>-IFERROR('4. NPV'!MPS23/'4. NPV'!MPS$8,0)</f>
        <v>-0.0</v>
      </c>
      <c r="MPS53" s="5">
        <f>-IFERROR('4. NPV'!MPT23/'4. NPV'!MPT$8,0)</f>
        <v>-0.0</v>
      </c>
      <c r="MPT53" s="5">
        <f>-IFERROR('4. NPV'!MPU23/'4. NPV'!MPU$8,0)</f>
        <v>-0.0</v>
      </c>
      <c r="MPU53" s="5">
        <f>-IFERROR('4. NPV'!MPV23/'4. NPV'!MPV$8,0)</f>
        <v>-0.0</v>
      </c>
      <c r="MPV53" s="5">
        <f>-IFERROR('4. NPV'!MPW23/'4. NPV'!MPW$8,0)</f>
        <v>-0.0</v>
      </c>
      <c r="MPW53" s="5">
        <f>-IFERROR('4. NPV'!MPX23/'4. NPV'!MPX$8,0)</f>
        <v>-0.0</v>
      </c>
      <c r="MPX53" s="5">
        <f>-IFERROR('4. NPV'!MPY23/'4. NPV'!MPY$8,0)</f>
        <v>-0.0</v>
      </c>
      <c r="MPY53" s="5">
        <f>-IFERROR('4. NPV'!MPZ23/'4. NPV'!MPZ$8,0)</f>
        <v>-0.0</v>
      </c>
      <c r="MPZ53" s="5">
        <f>-IFERROR('4. NPV'!MQA23/'4. NPV'!MQA$8,0)</f>
        <v>-0.0</v>
      </c>
      <c r="MQA53" s="5">
        <f>-IFERROR('4. NPV'!MQB23/'4. NPV'!MQB$8,0)</f>
        <v>-0.0</v>
      </c>
      <c r="MQB53" s="5">
        <f>-IFERROR('4. NPV'!MQC23/'4. NPV'!MQC$8,0)</f>
        <v>-0.0</v>
      </c>
      <c r="MQC53" s="5">
        <f>-IFERROR('4. NPV'!MQD23/'4. NPV'!MQD$8,0)</f>
        <v>-0.0</v>
      </c>
      <c r="MQD53" s="5">
        <f>-IFERROR('4. NPV'!MQE23/'4. NPV'!MQE$8,0)</f>
        <v>-0.0</v>
      </c>
      <c r="MQE53" s="5">
        <f>-IFERROR('4. NPV'!MQF23/'4. NPV'!MQF$8,0)</f>
        <v>-0.0</v>
      </c>
      <c r="MQF53" s="5">
        <f>-IFERROR('4. NPV'!MQG23/'4. NPV'!MQG$8,0)</f>
        <v>-0.0</v>
      </c>
      <c r="MQG53" s="5">
        <f>-IFERROR('4. NPV'!MQH23/'4. NPV'!MQH$8,0)</f>
        <v>-0.0</v>
      </c>
      <c r="MQH53" s="5">
        <f>-IFERROR('4. NPV'!MQI23/'4. NPV'!MQI$8,0)</f>
        <v>-0.0</v>
      </c>
      <c r="MQI53" s="5">
        <f>-IFERROR('4. NPV'!MQJ23/'4. NPV'!MQJ$8,0)</f>
        <v>-0.0</v>
      </c>
      <c r="MQJ53" s="5">
        <f>-IFERROR('4. NPV'!MQK23/'4. NPV'!MQK$8,0)</f>
        <v>-0.0</v>
      </c>
      <c r="MQK53" s="5">
        <f>-IFERROR('4. NPV'!MQL23/'4. NPV'!MQL$8,0)</f>
        <v>-0.0</v>
      </c>
      <c r="MQL53" s="5">
        <f>-IFERROR('4. NPV'!MQM23/'4. NPV'!MQM$8,0)</f>
        <v>-0.0</v>
      </c>
      <c r="MQM53" s="5">
        <f>-IFERROR('4. NPV'!MQN23/'4. NPV'!MQN$8,0)</f>
        <v>-0.0</v>
      </c>
      <c r="MQN53" s="5">
        <f>-IFERROR('4. NPV'!MQO23/'4. NPV'!MQO$8,0)</f>
        <v>-0.0</v>
      </c>
      <c r="MQO53" s="5">
        <f>-IFERROR('4. NPV'!MQP23/'4. NPV'!MQP$8,0)</f>
        <v>-0.0</v>
      </c>
      <c r="MQP53" s="5">
        <f>-IFERROR('4. NPV'!MQQ23/'4. NPV'!MQQ$8,0)</f>
        <v>-0.0</v>
      </c>
      <c r="MQQ53" s="5">
        <f>-IFERROR('4. NPV'!MQR23/'4. NPV'!MQR$8,0)</f>
        <v>-0.0</v>
      </c>
      <c r="MQR53" s="5">
        <f>-IFERROR('4. NPV'!MQS23/'4. NPV'!MQS$8,0)</f>
        <v>-0.0</v>
      </c>
      <c r="MQS53" s="5">
        <f>-IFERROR('4. NPV'!MQT23/'4. NPV'!MQT$8,0)</f>
        <v>-0.0</v>
      </c>
      <c r="MQT53" s="5">
        <f>-IFERROR('4. NPV'!MQU23/'4. NPV'!MQU$8,0)</f>
        <v>-0.0</v>
      </c>
      <c r="MQU53" s="5">
        <f>-IFERROR('4. NPV'!MQV23/'4. NPV'!MQV$8,0)</f>
        <v>-0.0</v>
      </c>
      <c r="MQV53" s="5">
        <f>-IFERROR('4. NPV'!MQW23/'4. NPV'!MQW$8,0)</f>
        <v>-0.0</v>
      </c>
      <c r="MQW53" s="5">
        <f>-IFERROR('4. NPV'!MQX23/'4. NPV'!MQX$8,0)</f>
        <v>-0.0</v>
      </c>
      <c r="MQX53" s="5">
        <f>-IFERROR('4. NPV'!MQY23/'4. NPV'!MQY$8,0)</f>
        <v>-0.0</v>
      </c>
      <c r="MQY53" s="5">
        <f>-IFERROR('4. NPV'!MQZ23/'4. NPV'!MQZ$8,0)</f>
        <v>-0.0</v>
      </c>
      <c r="MQZ53" s="5">
        <f>-IFERROR('4. NPV'!MRA23/'4. NPV'!MRA$8,0)</f>
        <v>-0.0</v>
      </c>
      <c r="MRA53" s="5">
        <f>-IFERROR('4. NPV'!MRB23/'4. NPV'!MRB$8,0)</f>
        <v>-0.0</v>
      </c>
      <c r="MRB53" s="5">
        <f>-IFERROR('4. NPV'!MRC23/'4. NPV'!MRC$8,0)</f>
        <v>-0.0</v>
      </c>
      <c r="MRC53" s="5">
        <f>-IFERROR('4. NPV'!MRD23/'4. NPV'!MRD$8,0)</f>
        <v>-0.0</v>
      </c>
      <c r="MRD53" s="5">
        <f>-IFERROR('4. NPV'!MRE23/'4. NPV'!MRE$8,0)</f>
        <v>-0.0</v>
      </c>
      <c r="MRE53" s="5">
        <f>-IFERROR('4. NPV'!MRF23/'4. NPV'!MRF$8,0)</f>
        <v>-0.0</v>
      </c>
      <c r="MRF53" s="5">
        <f>-IFERROR('4. NPV'!MRG23/'4. NPV'!MRG$8,0)</f>
        <v>-0.0</v>
      </c>
      <c r="MRG53" s="5">
        <f>-IFERROR('4. NPV'!MRH23/'4. NPV'!MRH$8,0)</f>
        <v>-0.0</v>
      </c>
      <c r="MRH53" s="5">
        <f>-IFERROR('4. NPV'!MRI23/'4. NPV'!MRI$8,0)</f>
        <v>-0.0</v>
      </c>
      <c r="MRI53" s="5">
        <f>-IFERROR('4. NPV'!MRJ23/'4. NPV'!MRJ$8,0)</f>
        <v>-0.0</v>
      </c>
      <c r="MRJ53" s="5">
        <f>-IFERROR('4. NPV'!MRK23/'4. NPV'!MRK$8,0)</f>
        <v>-0.0</v>
      </c>
      <c r="MRK53" s="5">
        <f>-IFERROR('4. NPV'!MRL23/'4. NPV'!MRL$8,0)</f>
        <v>-0.0</v>
      </c>
      <c r="MRL53" s="5">
        <f>-IFERROR('4. NPV'!MRM23/'4. NPV'!MRM$8,0)</f>
        <v>-0.0</v>
      </c>
      <c r="MRM53" s="5">
        <f>-IFERROR('4. NPV'!MRN23/'4. NPV'!MRN$8,0)</f>
        <v>-0.0</v>
      </c>
      <c r="MRN53" s="5">
        <f>-IFERROR('4. NPV'!MRO23/'4. NPV'!MRO$8,0)</f>
        <v>-0.0</v>
      </c>
      <c r="MRO53" s="5">
        <f>-IFERROR('4. NPV'!MRP23/'4. NPV'!MRP$8,0)</f>
        <v>-0.0</v>
      </c>
      <c r="MRP53" s="5">
        <f>-IFERROR('4. NPV'!MRQ23/'4. NPV'!MRQ$8,0)</f>
        <v>-0.0</v>
      </c>
      <c r="MRQ53" s="5">
        <f>-IFERROR('4. NPV'!MRR23/'4. NPV'!MRR$8,0)</f>
        <v>-0.0</v>
      </c>
      <c r="MRR53" s="5">
        <f>-IFERROR('4. NPV'!MRS23/'4. NPV'!MRS$8,0)</f>
        <v>-0.0</v>
      </c>
      <c r="MRS53" s="5">
        <f>-IFERROR('4. NPV'!MRT23/'4. NPV'!MRT$8,0)</f>
        <v>-0.0</v>
      </c>
      <c r="MRT53" s="5">
        <f>-IFERROR('4. NPV'!MRU23/'4. NPV'!MRU$8,0)</f>
        <v>-0.0</v>
      </c>
      <c r="MRU53" s="5">
        <f>-IFERROR('4. NPV'!MRV23/'4. NPV'!MRV$8,0)</f>
        <v>-0.0</v>
      </c>
      <c r="MRV53" s="5">
        <f>-IFERROR('4. NPV'!MRW23/'4. NPV'!MRW$8,0)</f>
        <v>-0.0</v>
      </c>
      <c r="MRW53" s="5">
        <f>-IFERROR('4. NPV'!MRX23/'4. NPV'!MRX$8,0)</f>
        <v>-0.0</v>
      </c>
      <c r="MRX53" s="5">
        <f>-IFERROR('4. NPV'!MRY23/'4. NPV'!MRY$8,0)</f>
        <v>-0.0</v>
      </c>
      <c r="MRY53" s="5">
        <f>-IFERROR('4. NPV'!MRZ23/'4. NPV'!MRZ$8,0)</f>
        <v>-0.0</v>
      </c>
      <c r="MRZ53" s="5">
        <f>-IFERROR('4. NPV'!MSA23/'4. NPV'!MSA$8,0)</f>
        <v>-0.0</v>
      </c>
      <c r="MSA53" s="5">
        <f>-IFERROR('4. NPV'!MSB23/'4. NPV'!MSB$8,0)</f>
        <v>-0.0</v>
      </c>
      <c r="MSB53" s="5">
        <f>-IFERROR('4. NPV'!MSC23/'4. NPV'!MSC$8,0)</f>
        <v>-0.0</v>
      </c>
      <c r="MSC53" s="5">
        <f>-IFERROR('4. NPV'!MSD23/'4. NPV'!MSD$8,0)</f>
        <v>-0.0</v>
      </c>
      <c r="MSD53" s="5">
        <f>-IFERROR('4. NPV'!MSE23/'4. NPV'!MSE$8,0)</f>
        <v>-0.0</v>
      </c>
      <c r="MSE53" s="5">
        <f>-IFERROR('4. NPV'!MSF23/'4. NPV'!MSF$8,0)</f>
        <v>-0.0</v>
      </c>
      <c r="MSF53" s="5">
        <f>-IFERROR('4. NPV'!MSG23/'4. NPV'!MSG$8,0)</f>
        <v>-0.0</v>
      </c>
      <c r="MSG53" s="5">
        <f>-IFERROR('4. NPV'!MSH23/'4. NPV'!MSH$8,0)</f>
        <v>-0.0</v>
      </c>
      <c r="MSH53" s="5">
        <f>-IFERROR('4. NPV'!MSI23/'4. NPV'!MSI$8,0)</f>
        <v>-0.0</v>
      </c>
      <c r="MSI53" s="5">
        <f>-IFERROR('4. NPV'!MSJ23/'4. NPV'!MSJ$8,0)</f>
        <v>-0.0</v>
      </c>
      <c r="MSJ53" s="5">
        <f>-IFERROR('4. NPV'!MSK23/'4. NPV'!MSK$8,0)</f>
        <v>-0.0</v>
      </c>
      <c r="MSK53" s="5">
        <f>-IFERROR('4. NPV'!MSL23/'4. NPV'!MSL$8,0)</f>
        <v>-0.0</v>
      </c>
      <c r="MSL53" s="5">
        <f>-IFERROR('4. NPV'!MSM23/'4. NPV'!MSM$8,0)</f>
        <v>-0.0</v>
      </c>
      <c r="MSM53" s="5">
        <f>-IFERROR('4. NPV'!MSN23/'4. NPV'!MSN$8,0)</f>
        <v>-0.0</v>
      </c>
      <c r="MSN53" s="5">
        <f>-IFERROR('4. NPV'!MSO23/'4. NPV'!MSO$8,0)</f>
        <v>-0.0</v>
      </c>
      <c r="MSO53" s="5">
        <f>-IFERROR('4. NPV'!MSP23/'4. NPV'!MSP$8,0)</f>
        <v>-0.0</v>
      </c>
      <c r="MSP53" s="5">
        <f>-IFERROR('4. NPV'!MSQ23/'4. NPV'!MSQ$8,0)</f>
        <v>-0.0</v>
      </c>
      <c r="MSQ53" s="5">
        <f>-IFERROR('4. NPV'!MSR23/'4. NPV'!MSR$8,0)</f>
        <v>-0.0</v>
      </c>
      <c r="MSR53" s="5">
        <f>-IFERROR('4. NPV'!MSS23/'4. NPV'!MSS$8,0)</f>
        <v>-0.0</v>
      </c>
      <c r="MSS53" s="5">
        <f>-IFERROR('4. NPV'!MST23/'4. NPV'!MST$8,0)</f>
        <v>-0.0</v>
      </c>
      <c r="MST53" s="5">
        <f>-IFERROR('4. NPV'!MSU23/'4. NPV'!MSU$8,0)</f>
        <v>-0.0</v>
      </c>
      <c r="MSU53" s="5">
        <f>-IFERROR('4. NPV'!MSV23/'4. NPV'!MSV$8,0)</f>
        <v>-0.0</v>
      </c>
      <c r="MSV53" s="5">
        <f>-IFERROR('4. NPV'!MSW23/'4. NPV'!MSW$8,0)</f>
        <v>-0.0</v>
      </c>
      <c r="MSW53" s="5">
        <f>-IFERROR('4. NPV'!MSX23/'4. NPV'!MSX$8,0)</f>
        <v>-0.0</v>
      </c>
      <c r="MSX53" s="5">
        <f>-IFERROR('4. NPV'!MSY23/'4. NPV'!MSY$8,0)</f>
        <v>-0.0</v>
      </c>
      <c r="MSY53" s="5">
        <f>-IFERROR('4. NPV'!MSZ23/'4. NPV'!MSZ$8,0)</f>
        <v>-0.0</v>
      </c>
      <c r="MSZ53" s="5">
        <f>-IFERROR('4. NPV'!MTA23/'4. NPV'!MTA$8,0)</f>
        <v>-0.0</v>
      </c>
      <c r="MTA53" s="5">
        <f>-IFERROR('4. NPV'!MTB23/'4. NPV'!MTB$8,0)</f>
        <v>-0.0</v>
      </c>
      <c r="MTB53" s="5">
        <f>-IFERROR('4. NPV'!MTC23/'4. NPV'!MTC$8,0)</f>
        <v>-0.0</v>
      </c>
      <c r="MTC53" s="5">
        <f>-IFERROR('4. NPV'!MTD23/'4. NPV'!MTD$8,0)</f>
        <v>-0.0</v>
      </c>
      <c r="MTD53" s="5">
        <f>-IFERROR('4. NPV'!MTE23/'4. NPV'!MTE$8,0)</f>
        <v>-0.0</v>
      </c>
      <c r="MTE53" s="5">
        <f>-IFERROR('4. NPV'!MTF23/'4. NPV'!MTF$8,0)</f>
        <v>-0.0</v>
      </c>
      <c r="MTF53" s="5">
        <f>-IFERROR('4. NPV'!MTG23/'4. NPV'!MTG$8,0)</f>
        <v>-0.0</v>
      </c>
      <c r="MTG53" s="5">
        <f>-IFERROR('4. NPV'!MTH23/'4. NPV'!MTH$8,0)</f>
        <v>-0.0</v>
      </c>
      <c r="MTH53" s="5">
        <f>-IFERROR('4. NPV'!MTI23/'4. NPV'!MTI$8,0)</f>
        <v>-0.0</v>
      </c>
      <c r="MTI53" s="5">
        <f>-IFERROR('4. NPV'!MTJ23/'4. NPV'!MTJ$8,0)</f>
        <v>-0.0</v>
      </c>
      <c r="MTJ53" s="5">
        <f>-IFERROR('4. NPV'!MTK23/'4. NPV'!MTK$8,0)</f>
        <v>-0.0</v>
      </c>
      <c r="MTK53" s="5">
        <f>-IFERROR('4. NPV'!MTL23/'4. NPV'!MTL$8,0)</f>
        <v>-0.0</v>
      </c>
      <c r="MTL53" s="5">
        <f>-IFERROR('4. NPV'!MTM23/'4. NPV'!MTM$8,0)</f>
        <v>-0.0</v>
      </c>
      <c r="MTM53" s="5">
        <f>-IFERROR('4. NPV'!MTN23/'4. NPV'!MTN$8,0)</f>
        <v>-0.0</v>
      </c>
      <c r="MTN53" s="5">
        <f>-IFERROR('4. NPV'!MTO23/'4. NPV'!MTO$8,0)</f>
        <v>-0.0</v>
      </c>
      <c r="MTO53" s="5">
        <f>-IFERROR('4. NPV'!MTP23/'4. NPV'!MTP$8,0)</f>
        <v>-0.0</v>
      </c>
      <c r="MTP53" s="5">
        <f>-IFERROR('4. NPV'!MTQ23/'4. NPV'!MTQ$8,0)</f>
        <v>-0.0</v>
      </c>
      <c r="MTQ53" s="5">
        <f>-IFERROR('4. NPV'!MTR23/'4. NPV'!MTR$8,0)</f>
        <v>-0.0</v>
      </c>
      <c r="MTR53" s="5">
        <f>-IFERROR('4. NPV'!MTS23/'4. NPV'!MTS$8,0)</f>
        <v>-0.0</v>
      </c>
      <c r="MTS53" s="5">
        <f>-IFERROR('4. NPV'!MTT23/'4. NPV'!MTT$8,0)</f>
        <v>-0.0</v>
      </c>
      <c r="MTT53" s="5">
        <f>-IFERROR('4. NPV'!MTU23/'4. NPV'!MTU$8,0)</f>
        <v>-0.0</v>
      </c>
      <c r="MTU53" s="5">
        <f>-IFERROR('4. NPV'!MTV23/'4. NPV'!MTV$8,0)</f>
        <v>-0.0</v>
      </c>
      <c r="MTV53" s="5">
        <f>-IFERROR('4. NPV'!MTW23/'4. NPV'!MTW$8,0)</f>
        <v>-0.0</v>
      </c>
      <c r="MTW53" s="5">
        <f>-IFERROR('4. NPV'!MTX23/'4. NPV'!MTX$8,0)</f>
        <v>-0.0</v>
      </c>
      <c r="MTX53" s="5">
        <f>-IFERROR('4. NPV'!MTY23/'4. NPV'!MTY$8,0)</f>
        <v>-0.0</v>
      </c>
      <c r="MTY53" s="5">
        <f>-IFERROR('4. NPV'!MTZ23/'4. NPV'!MTZ$8,0)</f>
        <v>-0.0</v>
      </c>
      <c r="MTZ53" s="5">
        <f>-IFERROR('4. NPV'!MUA23/'4. NPV'!MUA$8,0)</f>
        <v>-0.0</v>
      </c>
      <c r="MUA53" s="5">
        <f>-IFERROR('4. NPV'!MUB23/'4. NPV'!MUB$8,0)</f>
        <v>-0.0</v>
      </c>
      <c r="MUB53" s="5">
        <f>-IFERROR('4. NPV'!MUC23/'4. NPV'!MUC$8,0)</f>
        <v>-0.0</v>
      </c>
      <c r="MUC53" s="5">
        <f>-IFERROR('4. NPV'!MUD23/'4. NPV'!MUD$8,0)</f>
        <v>-0.0</v>
      </c>
      <c r="MUD53" s="5">
        <f>-IFERROR('4. NPV'!MUE23/'4. NPV'!MUE$8,0)</f>
        <v>-0.0</v>
      </c>
      <c r="MUE53" s="5">
        <f>-IFERROR('4. NPV'!MUF23/'4. NPV'!MUF$8,0)</f>
        <v>-0.0</v>
      </c>
      <c r="MUF53" s="5">
        <f>-IFERROR('4. NPV'!MUG23/'4. NPV'!MUG$8,0)</f>
        <v>-0.0</v>
      </c>
      <c r="MUG53" s="5">
        <f>-IFERROR('4. NPV'!MUH23/'4. NPV'!MUH$8,0)</f>
        <v>-0.0</v>
      </c>
      <c r="MUH53" s="5">
        <f>-IFERROR('4. NPV'!MUI23/'4. NPV'!MUI$8,0)</f>
        <v>-0.0</v>
      </c>
      <c r="MUI53" s="5">
        <f>-IFERROR('4. NPV'!MUJ23/'4. NPV'!MUJ$8,0)</f>
        <v>-0.0</v>
      </c>
      <c r="MUJ53" s="5">
        <f>-IFERROR('4. NPV'!MUK23/'4. NPV'!MUK$8,0)</f>
        <v>-0.0</v>
      </c>
      <c r="MUK53" s="5">
        <f>-IFERROR('4. NPV'!MUL23/'4. NPV'!MUL$8,0)</f>
        <v>-0.0</v>
      </c>
      <c r="MUL53" s="5">
        <f>-IFERROR('4. NPV'!MUM23/'4. NPV'!MUM$8,0)</f>
        <v>-0.0</v>
      </c>
      <c r="MUM53" s="5">
        <f>-IFERROR('4. NPV'!MUN23/'4. NPV'!MUN$8,0)</f>
        <v>-0.0</v>
      </c>
      <c r="MUN53" s="5">
        <f>-IFERROR('4. NPV'!MUO23/'4. NPV'!MUO$8,0)</f>
        <v>-0.0</v>
      </c>
      <c r="MUO53" s="5">
        <f>-IFERROR('4. NPV'!MUP23/'4. NPV'!MUP$8,0)</f>
        <v>-0.0</v>
      </c>
      <c r="MUP53" s="5">
        <f>-IFERROR('4. NPV'!MUQ23/'4. NPV'!MUQ$8,0)</f>
        <v>-0.0</v>
      </c>
      <c r="MUQ53" s="5">
        <f>-IFERROR('4. NPV'!MUR23/'4. NPV'!MUR$8,0)</f>
        <v>-0.0</v>
      </c>
      <c r="MUR53" s="5">
        <f>-IFERROR('4. NPV'!MUS23/'4. NPV'!MUS$8,0)</f>
        <v>-0.0</v>
      </c>
      <c r="MUS53" s="5">
        <f>-IFERROR('4. NPV'!MUT23/'4. NPV'!MUT$8,0)</f>
        <v>-0.0</v>
      </c>
      <c r="MUT53" s="5">
        <f>-IFERROR('4. NPV'!MUU23/'4. NPV'!MUU$8,0)</f>
        <v>-0.0</v>
      </c>
      <c r="MUU53" s="5">
        <f>-IFERROR('4. NPV'!MUV23/'4. NPV'!MUV$8,0)</f>
        <v>-0.0</v>
      </c>
      <c r="MUV53" s="5">
        <f>-IFERROR('4. NPV'!MUW23/'4. NPV'!MUW$8,0)</f>
        <v>-0.0</v>
      </c>
      <c r="MUW53" s="5">
        <f>-IFERROR('4. NPV'!MUX23/'4. NPV'!MUX$8,0)</f>
        <v>-0.0</v>
      </c>
      <c r="MUX53" s="5">
        <f>-IFERROR('4. NPV'!MUY23/'4. NPV'!MUY$8,0)</f>
        <v>-0.0</v>
      </c>
      <c r="MUY53" s="5">
        <f>-IFERROR('4. NPV'!MUZ23/'4. NPV'!MUZ$8,0)</f>
        <v>-0.0</v>
      </c>
      <c r="MUZ53" s="5">
        <f>-IFERROR('4. NPV'!MVA23/'4. NPV'!MVA$8,0)</f>
        <v>-0.0</v>
      </c>
      <c r="MVA53" s="5">
        <f>-IFERROR('4. NPV'!MVB23/'4. NPV'!MVB$8,0)</f>
        <v>-0.0</v>
      </c>
      <c r="MVB53" s="5">
        <f>-IFERROR('4. NPV'!MVC23/'4. NPV'!MVC$8,0)</f>
        <v>-0.0</v>
      </c>
      <c r="MVC53" s="5">
        <f>-IFERROR('4. NPV'!MVD23/'4. NPV'!MVD$8,0)</f>
        <v>-0.0</v>
      </c>
      <c r="MVD53" s="5">
        <f>-IFERROR('4. NPV'!MVE23/'4. NPV'!MVE$8,0)</f>
        <v>-0.0</v>
      </c>
      <c r="MVE53" s="5">
        <f>-IFERROR('4. NPV'!MVF23/'4. NPV'!MVF$8,0)</f>
        <v>-0.0</v>
      </c>
      <c r="MVF53" s="5">
        <f>-IFERROR('4. NPV'!MVG23/'4. NPV'!MVG$8,0)</f>
        <v>-0.0</v>
      </c>
      <c r="MVG53" s="5">
        <f>-IFERROR('4. NPV'!MVH23/'4. NPV'!MVH$8,0)</f>
        <v>-0.0</v>
      </c>
      <c r="MVH53" s="5">
        <f>-IFERROR('4. NPV'!MVI23/'4. NPV'!MVI$8,0)</f>
        <v>-0.0</v>
      </c>
      <c r="MVI53" s="5">
        <f>-IFERROR('4. NPV'!MVJ23/'4. NPV'!MVJ$8,0)</f>
        <v>-0.0</v>
      </c>
      <c r="MVJ53" s="5">
        <f>-IFERROR('4. NPV'!MVK23/'4. NPV'!MVK$8,0)</f>
        <v>-0.0</v>
      </c>
      <c r="MVK53" s="5">
        <f>-IFERROR('4. NPV'!MVL23/'4. NPV'!MVL$8,0)</f>
        <v>-0.0</v>
      </c>
      <c r="MVL53" s="5">
        <f>-IFERROR('4. NPV'!MVM23/'4. NPV'!MVM$8,0)</f>
        <v>-0.0</v>
      </c>
      <c r="MVM53" s="5">
        <f>-IFERROR('4. NPV'!MVN23/'4. NPV'!MVN$8,0)</f>
        <v>-0.0</v>
      </c>
      <c r="MVN53" s="5">
        <f>-IFERROR('4. NPV'!MVO23/'4. NPV'!MVO$8,0)</f>
        <v>-0.0</v>
      </c>
      <c r="MVO53" s="5">
        <f>-IFERROR('4. NPV'!MVP23/'4. NPV'!MVP$8,0)</f>
        <v>-0.0</v>
      </c>
      <c r="MVP53" s="5">
        <f>-IFERROR('4. NPV'!MVQ23/'4. NPV'!MVQ$8,0)</f>
        <v>-0.0</v>
      </c>
      <c r="MVQ53" s="5">
        <f>-IFERROR('4. NPV'!MVR23/'4. NPV'!MVR$8,0)</f>
        <v>-0.0</v>
      </c>
      <c r="MVR53" s="5">
        <f>-IFERROR('4. NPV'!MVS23/'4. NPV'!MVS$8,0)</f>
        <v>-0.0</v>
      </c>
      <c r="MVS53" s="5">
        <f>-IFERROR('4. NPV'!MVT23/'4. NPV'!MVT$8,0)</f>
        <v>-0.0</v>
      </c>
      <c r="MVT53" s="5">
        <f>-IFERROR('4. NPV'!MVU23/'4. NPV'!MVU$8,0)</f>
        <v>-0.0</v>
      </c>
      <c r="MVU53" s="5">
        <f>-IFERROR('4. NPV'!MVV23/'4. NPV'!MVV$8,0)</f>
        <v>-0.0</v>
      </c>
      <c r="MVV53" s="5">
        <f>-IFERROR('4. NPV'!MVW23/'4. NPV'!MVW$8,0)</f>
        <v>-0.0</v>
      </c>
      <c r="MVW53" s="5">
        <f>-IFERROR('4. NPV'!MVX23/'4. NPV'!MVX$8,0)</f>
        <v>-0.0</v>
      </c>
      <c r="MVX53" s="5">
        <f>-IFERROR('4. NPV'!MVY23/'4. NPV'!MVY$8,0)</f>
        <v>-0.0</v>
      </c>
      <c r="MVY53" s="5">
        <f>-IFERROR('4. NPV'!MVZ23/'4. NPV'!MVZ$8,0)</f>
        <v>-0.0</v>
      </c>
      <c r="MVZ53" s="5">
        <f>-IFERROR('4. NPV'!MWA23/'4. NPV'!MWA$8,0)</f>
        <v>-0.0</v>
      </c>
      <c r="MWA53" s="5">
        <f>-IFERROR('4. NPV'!MWB23/'4. NPV'!MWB$8,0)</f>
        <v>-0.0</v>
      </c>
      <c r="MWB53" s="5">
        <f>-IFERROR('4. NPV'!MWC23/'4. NPV'!MWC$8,0)</f>
        <v>-0.0</v>
      </c>
      <c r="MWC53" s="5">
        <f>-IFERROR('4. NPV'!MWD23/'4. NPV'!MWD$8,0)</f>
        <v>-0.0</v>
      </c>
      <c r="MWD53" s="5">
        <f>-IFERROR('4. NPV'!MWE23/'4. NPV'!MWE$8,0)</f>
        <v>-0.0</v>
      </c>
      <c r="MWE53" s="5">
        <f>-IFERROR('4. NPV'!MWF23/'4. NPV'!MWF$8,0)</f>
        <v>-0.0</v>
      </c>
      <c r="MWF53" s="5">
        <f>-IFERROR('4. NPV'!MWG23/'4. NPV'!MWG$8,0)</f>
        <v>-0.0</v>
      </c>
      <c r="MWG53" s="5">
        <f>-IFERROR('4. NPV'!MWH23/'4. NPV'!MWH$8,0)</f>
        <v>-0.0</v>
      </c>
      <c r="MWH53" s="5">
        <f>-IFERROR('4. NPV'!MWI23/'4. NPV'!MWI$8,0)</f>
        <v>-0.0</v>
      </c>
      <c r="MWI53" s="5">
        <f>-IFERROR('4. NPV'!MWJ23/'4. NPV'!MWJ$8,0)</f>
        <v>-0.0</v>
      </c>
      <c r="MWJ53" s="5">
        <f>-IFERROR('4. NPV'!MWK23/'4. NPV'!MWK$8,0)</f>
        <v>-0.0</v>
      </c>
      <c r="MWK53" s="5">
        <f>-IFERROR('4. NPV'!MWL23/'4. NPV'!MWL$8,0)</f>
        <v>-0.0</v>
      </c>
      <c r="MWL53" s="5">
        <f>-IFERROR('4. NPV'!MWM23/'4. NPV'!MWM$8,0)</f>
        <v>-0.0</v>
      </c>
      <c r="MWM53" s="5">
        <f>-IFERROR('4. NPV'!MWN23/'4. NPV'!MWN$8,0)</f>
        <v>-0.0</v>
      </c>
      <c r="MWN53" s="5">
        <f>-IFERROR('4. NPV'!MWO23/'4. NPV'!MWO$8,0)</f>
        <v>-0.0</v>
      </c>
      <c r="MWO53" s="5">
        <f>-IFERROR('4. NPV'!MWP23/'4. NPV'!MWP$8,0)</f>
        <v>-0.0</v>
      </c>
      <c r="MWP53" s="5">
        <f>-IFERROR('4. NPV'!MWQ23/'4. NPV'!MWQ$8,0)</f>
        <v>-0.0</v>
      </c>
      <c r="MWQ53" s="5">
        <f>-IFERROR('4. NPV'!MWR23/'4. NPV'!MWR$8,0)</f>
        <v>-0.0</v>
      </c>
      <c r="MWR53" s="5">
        <f>-IFERROR('4. NPV'!MWS23/'4. NPV'!MWS$8,0)</f>
        <v>-0.0</v>
      </c>
      <c r="MWS53" s="5">
        <f>-IFERROR('4. NPV'!MWT23/'4. NPV'!MWT$8,0)</f>
        <v>-0.0</v>
      </c>
      <c r="MWT53" s="5">
        <f>-IFERROR('4. NPV'!MWU23/'4. NPV'!MWU$8,0)</f>
        <v>-0.0</v>
      </c>
      <c r="MWU53" s="5">
        <f>-IFERROR('4. NPV'!MWV23/'4. NPV'!MWV$8,0)</f>
        <v>-0.0</v>
      </c>
      <c r="MWV53" s="5">
        <f>-IFERROR('4. NPV'!MWW23/'4. NPV'!MWW$8,0)</f>
        <v>-0.0</v>
      </c>
      <c r="MWW53" s="5">
        <f>-IFERROR('4. NPV'!MWX23/'4. NPV'!MWX$8,0)</f>
        <v>-0.0</v>
      </c>
      <c r="MWX53" s="5">
        <f>-IFERROR('4. NPV'!MWY23/'4. NPV'!MWY$8,0)</f>
        <v>-0.0</v>
      </c>
      <c r="MWY53" s="5">
        <f>-IFERROR('4. NPV'!MWZ23/'4. NPV'!MWZ$8,0)</f>
        <v>-0.0</v>
      </c>
      <c r="MWZ53" s="5">
        <f>-IFERROR('4. NPV'!MXA23/'4. NPV'!MXA$8,0)</f>
        <v>-0.0</v>
      </c>
      <c r="MXA53" s="5">
        <f>-IFERROR('4. NPV'!MXB23/'4. NPV'!MXB$8,0)</f>
        <v>-0.0</v>
      </c>
      <c r="MXB53" s="5">
        <f>-IFERROR('4. NPV'!MXC23/'4. NPV'!MXC$8,0)</f>
        <v>-0.0</v>
      </c>
      <c r="MXC53" s="5">
        <f>-IFERROR('4. NPV'!MXD23/'4. NPV'!MXD$8,0)</f>
        <v>-0.0</v>
      </c>
      <c r="MXD53" s="5">
        <f>-IFERROR('4. NPV'!MXE23/'4. NPV'!MXE$8,0)</f>
        <v>-0.0</v>
      </c>
      <c r="MXE53" s="5">
        <f>-IFERROR('4. NPV'!MXF23/'4. NPV'!MXF$8,0)</f>
        <v>-0.0</v>
      </c>
      <c r="MXF53" s="5">
        <f>-IFERROR('4. NPV'!MXG23/'4. NPV'!MXG$8,0)</f>
        <v>-0.0</v>
      </c>
      <c r="MXG53" s="5">
        <f>-IFERROR('4. NPV'!MXH23/'4. NPV'!MXH$8,0)</f>
        <v>-0.0</v>
      </c>
      <c r="MXH53" s="5">
        <f>-IFERROR('4. NPV'!MXI23/'4. NPV'!MXI$8,0)</f>
        <v>-0.0</v>
      </c>
      <c r="MXI53" s="5">
        <f>-IFERROR('4. NPV'!MXJ23/'4. NPV'!MXJ$8,0)</f>
        <v>-0.0</v>
      </c>
      <c r="MXJ53" s="5">
        <f>-IFERROR('4. NPV'!MXK23/'4. NPV'!MXK$8,0)</f>
        <v>-0.0</v>
      </c>
      <c r="MXK53" s="5">
        <f>-IFERROR('4. NPV'!MXL23/'4. NPV'!MXL$8,0)</f>
        <v>-0.0</v>
      </c>
      <c r="MXL53" s="5">
        <f>-IFERROR('4. NPV'!MXM23/'4. NPV'!MXM$8,0)</f>
        <v>-0.0</v>
      </c>
      <c r="MXM53" s="5">
        <f>-IFERROR('4. NPV'!MXN23/'4. NPV'!MXN$8,0)</f>
        <v>-0.0</v>
      </c>
      <c r="MXN53" s="5">
        <f>-IFERROR('4. NPV'!MXO23/'4. NPV'!MXO$8,0)</f>
        <v>-0.0</v>
      </c>
      <c r="MXO53" s="5">
        <f>-IFERROR('4. NPV'!MXP23/'4. NPV'!MXP$8,0)</f>
        <v>-0.0</v>
      </c>
      <c r="MXP53" s="5">
        <f>-IFERROR('4. NPV'!MXQ23/'4. NPV'!MXQ$8,0)</f>
        <v>-0.0</v>
      </c>
      <c r="MXQ53" s="5">
        <f>-IFERROR('4. NPV'!MXR23/'4. NPV'!MXR$8,0)</f>
        <v>-0.0</v>
      </c>
      <c r="MXR53" s="5">
        <f>-IFERROR('4. NPV'!MXS23/'4. NPV'!MXS$8,0)</f>
        <v>-0.0</v>
      </c>
      <c r="MXS53" s="5">
        <f>-IFERROR('4. NPV'!MXT23/'4. NPV'!MXT$8,0)</f>
        <v>-0.0</v>
      </c>
      <c r="MXT53" s="5">
        <f>-IFERROR('4. NPV'!MXU23/'4. NPV'!MXU$8,0)</f>
        <v>-0.0</v>
      </c>
      <c r="MXU53" s="5">
        <f>-IFERROR('4. NPV'!MXV23/'4. NPV'!MXV$8,0)</f>
        <v>-0.0</v>
      </c>
      <c r="MXV53" s="5">
        <f>-IFERROR('4. NPV'!MXW23/'4. NPV'!MXW$8,0)</f>
        <v>-0.0</v>
      </c>
      <c r="MXW53" s="5">
        <f>-IFERROR('4. NPV'!MXX23/'4. NPV'!MXX$8,0)</f>
        <v>-0.0</v>
      </c>
      <c r="MXX53" s="5">
        <f>-IFERROR('4. NPV'!MXY23/'4. NPV'!MXY$8,0)</f>
        <v>-0.0</v>
      </c>
      <c r="MXY53" s="5">
        <f>-IFERROR('4. NPV'!MXZ23/'4. NPV'!MXZ$8,0)</f>
        <v>-0.0</v>
      </c>
      <c r="MXZ53" s="5">
        <f>-IFERROR('4. NPV'!MYA23/'4. NPV'!MYA$8,0)</f>
        <v>-0.0</v>
      </c>
      <c r="MYA53" s="5">
        <f>-IFERROR('4. NPV'!MYB23/'4. NPV'!MYB$8,0)</f>
        <v>-0.0</v>
      </c>
      <c r="MYB53" s="5">
        <f>-IFERROR('4. NPV'!MYC23/'4. NPV'!MYC$8,0)</f>
        <v>-0.0</v>
      </c>
      <c r="MYC53" s="5">
        <f>-IFERROR('4. NPV'!MYD23/'4. NPV'!MYD$8,0)</f>
        <v>-0.0</v>
      </c>
      <c r="MYD53" s="5">
        <f>-IFERROR('4. NPV'!MYE23/'4. NPV'!MYE$8,0)</f>
        <v>-0.0</v>
      </c>
      <c r="MYE53" s="5">
        <f>-IFERROR('4. NPV'!MYF23/'4. NPV'!MYF$8,0)</f>
        <v>-0.0</v>
      </c>
      <c r="MYF53" s="5">
        <f>-IFERROR('4. NPV'!MYG23/'4. NPV'!MYG$8,0)</f>
        <v>-0.0</v>
      </c>
      <c r="MYG53" s="5">
        <f>-IFERROR('4. NPV'!MYH23/'4. NPV'!MYH$8,0)</f>
        <v>-0.0</v>
      </c>
      <c r="MYH53" s="5">
        <f>-IFERROR('4. NPV'!MYI23/'4. NPV'!MYI$8,0)</f>
        <v>-0.0</v>
      </c>
      <c r="MYI53" s="5">
        <f>-IFERROR('4. NPV'!MYJ23/'4. NPV'!MYJ$8,0)</f>
        <v>-0.0</v>
      </c>
      <c r="MYJ53" s="5">
        <f>-IFERROR('4. NPV'!MYK23/'4. NPV'!MYK$8,0)</f>
        <v>-0.0</v>
      </c>
      <c r="MYK53" s="5">
        <f>-IFERROR('4. NPV'!MYL23/'4. NPV'!MYL$8,0)</f>
        <v>-0.0</v>
      </c>
      <c r="MYL53" s="5">
        <f>-IFERROR('4. NPV'!MYM23/'4. NPV'!MYM$8,0)</f>
        <v>-0.0</v>
      </c>
      <c r="MYM53" s="5">
        <f>-IFERROR('4. NPV'!MYN23/'4. NPV'!MYN$8,0)</f>
        <v>-0.0</v>
      </c>
      <c r="MYN53" s="5">
        <f>-IFERROR('4. NPV'!MYO23/'4. NPV'!MYO$8,0)</f>
        <v>-0.0</v>
      </c>
      <c r="MYO53" s="5">
        <f>-IFERROR('4. NPV'!MYP23/'4. NPV'!MYP$8,0)</f>
        <v>-0.0</v>
      </c>
      <c r="MYP53" s="5">
        <f>-IFERROR('4. NPV'!MYQ23/'4. NPV'!MYQ$8,0)</f>
        <v>-0.0</v>
      </c>
      <c r="MYQ53" s="5">
        <f>-IFERROR('4. NPV'!MYR23/'4. NPV'!MYR$8,0)</f>
        <v>-0.0</v>
      </c>
      <c r="MYR53" s="5">
        <f>-IFERROR('4. NPV'!MYS23/'4. NPV'!MYS$8,0)</f>
        <v>-0.0</v>
      </c>
      <c r="MYS53" s="5">
        <f>-IFERROR('4. NPV'!MYT23/'4. NPV'!MYT$8,0)</f>
        <v>-0.0</v>
      </c>
      <c r="MYT53" s="5">
        <f>-IFERROR('4. NPV'!MYU23/'4. NPV'!MYU$8,0)</f>
        <v>-0.0</v>
      </c>
      <c r="MYU53" s="5">
        <f>-IFERROR('4. NPV'!MYV23/'4. NPV'!MYV$8,0)</f>
        <v>-0.0</v>
      </c>
      <c r="MYV53" s="5">
        <f>-IFERROR('4. NPV'!MYW23/'4. NPV'!MYW$8,0)</f>
        <v>-0.0</v>
      </c>
      <c r="MYW53" s="5">
        <f>-IFERROR('4. NPV'!MYX23/'4. NPV'!MYX$8,0)</f>
        <v>-0.0</v>
      </c>
      <c r="MYX53" s="5">
        <f>-IFERROR('4. NPV'!MYY23/'4. NPV'!MYY$8,0)</f>
        <v>-0.0</v>
      </c>
      <c r="MYY53" s="5">
        <f>-IFERROR('4. NPV'!MYZ23/'4. NPV'!MYZ$8,0)</f>
        <v>-0.0</v>
      </c>
      <c r="MYZ53" s="5">
        <f>-IFERROR('4. NPV'!MZA23/'4. NPV'!MZA$8,0)</f>
        <v>-0.0</v>
      </c>
      <c r="MZA53" s="5">
        <f>-IFERROR('4. NPV'!MZB23/'4. NPV'!MZB$8,0)</f>
        <v>-0.0</v>
      </c>
      <c r="MZB53" s="5">
        <f>-IFERROR('4. NPV'!MZC23/'4. NPV'!MZC$8,0)</f>
        <v>-0.0</v>
      </c>
      <c r="MZC53" s="5">
        <f>-IFERROR('4. NPV'!MZD23/'4. NPV'!MZD$8,0)</f>
        <v>-0.0</v>
      </c>
      <c r="MZD53" s="5">
        <f>-IFERROR('4. NPV'!MZE23/'4. NPV'!MZE$8,0)</f>
        <v>-0.0</v>
      </c>
      <c r="MZE53" s="5">
        <f>-IFERROR('4. NPV'!MZF23/'4. NPV'!MZF$8,0)</f>
        <v>-0.0</v>
      </c>
      <c r="MZF53" s="5">
        <f>-IFERROR('4. NPV'!MZG23/'4. NPV'!MZG$8,0)</f>
        <v>-0.0</v>
      </c>
      <c r="MZG53" s="5">
        <f>-IFERROR('4. NPV'!MZH23/'4. NPV'!MZH$8,0)</f>
        <v>-0.0</v>
      </c>
      <c r="MZH53" s="5">
        <f>-IFERROR('4. NPV'!MZI23/'4. NPV'!MZI$8,0)</f>
        <v>-0.0</v>
      </c>
      <c r="MZI53" s="5">
        <f>-IFERROR('4. NPV'!MZJ23/'4. NPV'!MZJ$8,0)</f>
        <v>-0.0</v>
      </c>
      <c r="MZJ53" s="5">
        <f>-IFERROR('4. NPV'!MZK23/'4. NPV'!MZK$8,0)</f>
        <v>-0.0</v>
      </c>
      <c r="MZK53" s="5">
        <f>-IFERROR('4. NPV'!MZL23/'4. NPV'!MZL$8,0)</f>
        <v>-0.0</v>
      </c>
      <c r="MZL53" s="5">
        <f>-IFERROR('4. NPV'!MZM23/'4. NPV'!MZM$8,0)</f>
        <v>-0.0</v>
      </c>
      <c r="MZM53" s="5">
        <f>-IFERROR('4. NPV'!MZN23/'4. NPV'!MZN$8,0)</f>
        <v>-0.0</v>
      </c>
      <c r="MZN53" s="5">
        <f>-IFERROR('4. NPV'!MZO23/'4. NPV'!MZO$8,0)</f>
        <v>-0.0</v>
      </c>
      <c r="MZO53" s="5">
        <f>-IFERROR('4. NPV'!MZP23/'4. NPV'!MZP$8,0)</f>
        <v>-0.0</v>
      </c>
      <c r="MZP53" s="5">
        <f>-IFERROR('4. NPV'!MZQ23/'4. NPV'!MZQ$8,0)</f>
        <v>-0.0</v>
      </c>
      <c r="MZQ53" s="5">
        <f>-IFERROR('4. NPV'!MZR23/'4. NPV'!MZR$8,0)</f>
        <v>-0.0</v>
      </c>
      <c r="MZR53" s="5">
        <f>-IFERROR('4. NPV'!MZS23/'4. NPV'!MZS$8,0)</f>
        <v>-0.0</v>
      </c>
      <c r="MZS53" s="5">
        <f>-IFERROR('4. NPV'!MZT23/'4. NPV'!MZT$8,0)</f>
        <v>-0.0</v>
      </c>
      <c r="MZT53" s="5">
        <f>-IFERROR('4. NPV'!MZU23/'4. NPV'!MZU$8,0)</f>
        <v>-0.0</v>
      </c>
      <c r="MZU53" s="5">
        <f>-IFERROR('4. NPV'!MZV23/'4. NPV'!MZV$8,0)</f>
        <v>-0.0</v>
      </c>
      <c r="MZV53" s="5">
        <f>-IFERROR('4. NPV'!MZW23/'4. NPV'!MZW$8,0)</f>
        <v>-0.0</v>
      </c>
      <c r="MZW53" s="5">
        <f>-IFERROR('4. NPV'!MZX23/'4. NPV'!MZX$8,0)</f>
        <v>-0.0</v>
      </c>
      <c r="MZX53" s="5">
        <f>-IFERROR('4. NPV'!MZY23/'4. NPV'!MZY$8,0)</f>
        <v>-0.0</v>
      </c>
      <c r="MZY53" s="5">
        <f>-IFERROR('4. NPV'!MZZ23/'4. NPV'!MZZ$8,0)</f>
        <v>-0.0</v>
      </c>
      <c r="MZZ53" s="5">
        <f>-IFERROR('4. NPV'!NAA23/'4. NPV'!NAA$8,0)</f>
        <v>-0.0</v>
      </c>
      <c r="NAA53" s="5">
        <f>-IFERROR('4. NPV'!NAB23/'4. NPV'!NAB$8,0)</f>
        <v>-0.0</v>
      </c>
      <c r="NAB53" s="5">
        <f>-IFERROR('4. NPV'!NAC23/'4. NPV'!NAC$8,0)</f>
        <v>-0.0</v>
      </c>
      <c r="NAC53" s="5">
        <f>-IFERROR('4. NPV'!NAD23/'4. NPV'!NAD$8,0)</f>
        <v>-0.0</v>
      </c>
      <c r="NAD53" s="5">
        <f>-IFERROR('4. NPV'!NAE23/'4. NPV'!NAE$8,0)</f>
        <v>-0.0</v>
      </c>
      <c r="NAE53" s="5">
        <f>-IFERROR('4. NPV'!NAF23/'4. NPV'!NAF$8,0)</f>
        <v>-0.0</v>
      </c>
      <c r="NAF53" s="5">
        <f>-IFERROR('4. NPV'!NAG23/'4. NPV'!NAG$8,0)</f>
        <v>-0.0</v>
      </c>
      <c r="NAG53" s="5">
        <f>-IFERROR('4. NPV'!NAH23/'4. NPV'!NAH$8,0)</f>
        <v>-0.0</v>
      </c>
      <c r="NAH53" s="5">
        <f>-IFERROR('4. NPV'!NAI23/'4. NPV'!NAI$8,0)</f>
        <v>-0.0</v>
      </c>
      <c r="NAI53" s="5">
        <f>-IFERROR('4. NPV'!NAJ23/'4. NPV'!NAJ$8,0)</f>
        <v>-0.0</v>
      </c>
      <c r="NAJ53" s="5">
        <f>-IFERROR('4. NPV'!NAK23/'4. NPV'!NAK$8,0)</f>
        <v>-0.0</v>
      </c>
      <c r="NAK53" s="5">
        <f>-IFERROR('4. NPV'!NAL23/'4. NPV'!NAL$8,0)</f>
        <v>-0.0</v>
      </c>
      <c r="NAL53" s="5">
        <f>-IFERROR('4. NPV'!NAM23/'4. NPV'!NAM$8,0)</f>
        <v>-0.0</v>
      </c>
      <c r="NAM53" s="5">
        <f>-IFERROR('4. NPV'!NAN23/'4. NPV'!NAN$8,0)</f>
        <v>-0.0</v>
      </c>
      <c r="NAN53" s="5">
        <f>-IFERROR('4. NPV'!NAO23/'4. NPV'!NAO$8,0)</f>
        <v>-0.0</v>
      </c>
      <c r="NAO53" s="5">
        <f>-IFERROR('4. NPV'!NAP23/'4. NPV'!NAP$8,0)</f>
        <v>-0.0</v>
      </c>
      <c r="NAP53" s="5">
        <f>-IFERROR('4. NPV'!NAQ23/'4. NPV'!NAQ$8,0)</f>
        <v>-0.0</v>
      </c>
      <c r="NAQ53" s="5">
        <f>-IFERROR('4. NPV'!NAR23/'4. NPV'!NAR$8,0)</f>
        <v>-0.0</v>
      </c>
      <c r="NAR53" s="5">
        <f>-IFERROR('4. NPV'!NAS23/'4. NPV'!NAS$8,0)</f>
        <v>-0.0</v>
      </c>
      <c r="NAS53" s="5">
        <f>-IFERROR('4. NPV'!NAT23/'4. NPV'!NAT$8,0)</f>
        <v>-0.0</v>
      </c>
      <c r="NAT53" s="5">
        <f>-IFERROR('4. NPV'!NAU23/'4. NPV'!NAU$8,0)</f>
        <v>-0.0</v>
      </c>
      <c r="NAU53" s="5">
        <f>-IFERROR('4. NPV'!NAV23/'4. NPV'!NAV$8,0)</f>
        <v>-0.0</v>
      </c>
      <c r="NAV53" s="5">
        <f>-IFERROR('4. NPV'!NAW23/'4. NPV'!NAW$8,0)</f>
        <v>-0.0</v>
      </c>
      <c r="NAW53" s="5">
        <f>-IFERROR('4. NPV'!NAX23/'4. NPV'!NAX$8,0)</f>
        <v>-0.0</v>
      </c>
      <c r="NAX53" s="5">
        <f>-IFERROR('4. NPV'!NAY23/'4. NPV'!NAY$8,0)</f>
        <v>-0.0</v>
      </c>
      <c r="NAY53" s="5">
        <f>-IFERROR('4. NPV'!NAZ23/'4. NPV'!NAZ$8,0)</f>
        <v>-0.0</v>
      </c>
      <c r="NAZ53" s="5">
        <f>-IFERROR('4. NPV'!NBA23/'4. NPV'!NBA$8,0)</f>
        <v>-0.0</v>
      </c>
      <c r="NBA53" s="5">
        <f>-IFERROR('4. NPV'!NBB23/'4. NPV'!NBB$8,0)</f>
        <v>-0.0</v>
      </c>
      <c r="NBB53" s="5">
        <f>-IFERROR('4. NPV'!NBC23/'4. NPV'!NBC$8,0)</f>
        <v>-0.0</v>
      </c>
      <c r="NBC53" s="5">
        <f>-IFERROR('4. NPV'!NBD23/'4. NPV'!NBD$8,0)</f>
        <v>-0.0</v>
      </c>
      <c r="NBD53" s="5">
        <f>-IFERROR('4. NPV'!NBE23/'4. NPV'!NBE$8,0)</f>
        <v>-0.0</v>
      </c>
      <c r="NBE53" s="5">
        <f>-IFERROR('4. NPV'!NBF23/'4. NPV'!NBF$8,0)</f>
        <v>-0.0</v>
      </c>
      <c r="NBF53" s="5">
        <f>-IFERROR('4. NPV'!NBG23/'4. NPV'!NBG$8,0)</f>
        <v>-0.0</v>
      </c>
      <c r="NBG53" s="5">
        <f>-IFERROR('4. NPV'!NBH23/'4. NPV'!NBH$8,0)</f>
        <v>-0.0</v>
      </c>
      <c r="NBH53" s="5">
        <f>-IFERROR('4. NPV'!NBI23/'4. NPV'!NBI$8,0)</f>
        <v>-0.0</v>
      </c>
      <c r="NBI53" s="5">
        <f>-IFERROR('4. NPV'!NBJ23/'4. NPV'!NBJ$8,0)</f>
        <v>-0.0</v>
      </c>
      <c r="NBJ53" s="5">
        <f>-IFERROR('4. NPV'!NBK23/'4. NPV'!NBK$8,0)</f>
        <v>-0.0</v>
      </c>
      <c r="NBK53" s="5">
        <f>-IFERROR('4. NPV'!NBL23/'4. NPV'!NBL$8,0)</f>
        <v>-0.0</v>
      </c>
      <c r="NBL53" s="5">
        <f>-IFERROR('4. NPV'!NBM23/'4. NPV'!NBM$8,0)</f>
        <v>-0.0</v>
      </c>
      <c r="NBM53" s="5">
        <f>-IFERROR('4. NPV'!NBN23/'4. NPV'!NBN$8,0)</f>
        <v>-0.0</v>
      </c>
      <c r="NBN53" s="5">
        <f>-IFERROR('4. NPV'!NBO23/'4. NPV'!NBO$8,0)</f>
        <v>-0.0</v>
      </c>
      <c r="NBO53" s="5">
        <f>-IFERROR('4. NPV'!NBP23/'4. NPV'!NBP$8,0)</f>
        <v>-0.0</v>
      </c>
      <c r="NBP53" s="5">
        <f>-IFERROR('4. NPV'!NBQ23/'4. NPV'!NBQ$8,0)</f>
        <v>-0.0</v>
      </c>
      <c r="NBQ53" s="5">
        <f>-IFERROR('4. NPV'!NBR23/'4. NPV'!NBR$8,0)</f>
        <v>-0.0</v>
      </c>
      <c r="NBR53" s="5">
        <f>-IFERROR('4. NPV'!NBS23/'4. NPV'!NBS$8,0)</f>
        <v>-0.0</v>
      </c>
      <c r="NBS53" s="5">
        <f>-IFERROR('4. NPV'!NBT23/'4. NPV'!NBT$8,0)</f>
        <v>-0.0</v>
      </c>
      <c r="NBT53" s="5">
        <f>-IFERROR('4. NPV'!NBU23/'4. NPV'!NBU$8,0)</f>
        <v>-0.0</v>
      </c>
      <c r="NBU53" s="5">
        <f>-IFERROR('4. NPV'!NBV23/'4. NPV'!NBV$8,0)</f>
        <v>-0.0</v>
      </c>
      <c r="NBV53" s="5">
        <f>-IFERROR('4. NPV'!NBW23/'4. NPV'!NBW$8,0)</f>
        <v>-0.0</v>
      </c>
      <c r="NBW53" s="5">
        <f>-IFERROR('4. NPV'!NBX23/'4. NPV'!NBX$8,0)</f>
        <v>-0.0</v>
      </c>
      <c r="NBX53" s="5">
        <f>-IFERROR('4. NPV'!NBY23/'4. NPV'!NBY$8,0)</f>
        <v>-0.0</v>
      </c>
      <c r="NBY53" s="5">
        <f>-IFERROR('4. NPV'!NBZ23/'4. NPV'!NBZ$8,0)</f>
        <v>-0.0</v>
      </c>
      <c r="NBZ53" s="5">
        <f>-IFERROR('4. NPV'!NCA23/'4. NPV'!NCA$8,0)</f>
        <v>-0.0</v>
      </c>
      <c r="NCA53" s="5">
        <f>-IFERROR('4. NPV'!NCB23/'4. NPV'!NCB$8,0)</f>
        <v>-0.0</v>
      </c>
      <c r="NCB53" s="5">
        <f>-IFERROR('4. NPV'!NCC23/'4. NPV'!NCC$8,0)</f>
        <v>-0.0</v>
      </c>
      <c r="NCC53" s="5">
        <f>-IFERROR('4. NPV'!NCD23/'4. NPV'!NCD$8,0)</f>
        <v>-0.0</v>
      </c>
      <c r="NCD53" s="5">
        <f>-IFERROR('4. NPV'!NCE23/'4. NPV'!NCE$8,0)</f>
        <v>-0.0</v>
      </c>
      <c r="NCE53" s="5">
        <f>-IFERROR('4. NPV'!NCF23/'4. NPV'!NCF$8,0)</f>
        <v>-0.0</v>
      </c>
      <c r="NCF53" s="5">
        <f>-IFERROR('4. NPV'!NCG23/'4. NPV'!NCG$8,0)</f>
        <v>-0.0</v>
      </c>
      <c r="NCG53" s="5">
        <f>-IFERROR('4. NPV'!NCH23/'4. NPV'!NCH$8,0)</f>
        <v>-0.0</v>
      </c>
      <c r="NCH53" s="5">
        <f>-IFERROR('4. NPV'!NCI23/'4. NPV'!NCI$8,0)</f>
        <v>-0.0</v>
      </c>
      <c r="NCI53" s="5">
        <f>-IFERROR('4. NPV'!NCJ23/'4. NPV'!NCJ$8,0)</f>
        <v>-0.0</v>
      </c>
      <c r="NCJ53" s="5">
        <f>-IFERROR('4. NPV'!NCK23/'4. NPV'!NCK$8,0)</f>
        <v>-0.0</v>
      </c>
      <c r="NCK53" s="5">
        <f>-IFERROR('4. NPV'!NCL23/'4. NPV'!NCL$8,0)</f>
        <v>-0.0</v>
      </c>
      <c r="NCL53" s="5">
        <f>-IFERROR('4. NPV'!NCM23/'4. NPV'!NCM$8,0)</f>
        <v>-0.0</v>
      </c>
      <c r="NCM53" s="5">
        <f>-IFERROR('4. NPV'!NCN23/'4. NPV'!NCN$8,0)</f>
        <v>-0.0</v>
      </c>
      <c r="NCN53" s="5">
        <f>-IFERROR('4. NPV'!NCO23/'4. NPV'!NCO$8,0)</f>
        <v>-0.0</v>
      </c>
      <c r="NCO53" s="5">
        <f>-IFERROR('4. NPV'!NCP23/'4. NPV'!NCP$8,0)</f>
        <v>-0.0</v>
      </c>
      <c r="NCP53" s="5">
        <f>-IFERROR('4. NPV'!NCQ23/'4. NPV'!NCQ$8,0)</f>
        <v>-0.0</v>
      </c>
      <c r="NCQ53" s="5">
        <f>-IFERROR('4. NPV'!NCR23/'4. NPV'!NCR$8,0)</f>
        <v>-0.0</v>
      </c>
      <c r="NCR53" s="5">
        <f>-IFERROR('4. NPV'!NCS23/'4. NPV'!NCS$8,0)</f>
        <v>-0.0</v>
      </c>
      <c r="NCS53" s="5">
        <f>-IFERROR('4. NPV'!NCT23/'4. NPV'!NCT$8,0)</f>
        <v>-0.0</v>
      </c>
      <c r="NCT53" s="5">
        <f>-IFERROR('4. NPV'!NCU23/'4. NPV'!NCU$8,0)</f>
        <v>-0.0</v>
      </c>
      <c r="NCU53" s="5">
        <f>-IFERROR('4. NPV'!NCV23/'4. NPV'!NCV$8,0)</f>
        <v>-0.0</v>
      </c>
      <c r="NCV53" s="5">
        <f>-IFERROR('4. NPV'!NCW23/'4. NPV'!NCW$8,0)</f>
        <v>-0.0</v>
      </c>
      <c r="NCW53" s="5">
        <f>-IFERROR('4. NPV'!NCX23/'4. NPV'!NCX$8,0)</f>
        <v>-0.0</v>
      </c>
      <c r="NCX53" s="5">
        <f>-IFERROR('4. NPV'!NCY23/'4. NPV'!NCY$8,0)</f>
        <v>-0.0</v>
      </c>
      <c r="NCY53" s="5">
        <f>-IFERROR('4. NPV'!NCZ23/'4. NPV'!NCZ$8,0)</f>
        <v>-0.0</v>
      </c>
      <c r="NCZ53" s="5">
        <f>-IFERROR('4. NPV'!NDA23/'4. NPV'!NDA$8,0)</f>
        <v>-0.0</v>
      </c>
      <c r="NDA53" s="5">
        <f>-IFERROR('4. NPV'!NDB23/'4. NPV'!NDB$8,0)</f>
        <v>-0.0</v>
      </c>
      <c r="NDB53" s="5">
        <f>-IFERROR('4. NPV'!NDC23/'4. NPV'!NDC$8,0)</f>
        <v>-0.0</v>
      </c>
      <c r="NDC53" s="5">
        <f>-IFERROR('4. NPV'!NDD23/'4. NPV'!NDD$8,0)</f>
        <v>-0.0</v>
      </c>
      <c r="NDD53" s="5">
        <f>-IFERROR('4. NPV'!NDE23/'4. NPV'!NDE$8,0)</f>
        <v>-0.0</v>
      </c>
      <c r="NDE53" s="5">
        <f>-IFERROR('4. NPV'!NDF23/'4. NPV'!NDF$8,0)</f>
        <v>-0.0</v>
      </c>
      <c r="NDF53" s="5">
        <f>-IFERROR('4. NPV'!NDG23/'4. NPV'!NDG$8,0)</f>
        <v>-0.0</v>
      </c>
      <c r="NDG53" s="5">
        <f>-IFERROR('4. NPV'!NDH23/'4. NPV'!NDH$8,0)</f>
        <v>-0.0</v>
      </c>
      <c r="NDH53" s="5">
        <f>-IFERROR('4. NPV'!NDI23/'4. NPV'!NDI$8,0)</f>
        <v>-0.0</v>
      </c>
      <c r="NDI53" s="5">
        <f>-IFERROR('4. NPV'!NDJ23/'4. NPV'!NDJ$8,0)</f>
        <v>-0.0</v>
      </c>
      <c r="NDJ53" s="5">
        <f>-IFERROR('4. NPV'!NDK23/'4. NPV'!NDK$8,0)</f>
        <v>-0.0</v>
      </c>
      <c r="NDK53" s="5">
        <f>-IFERROR('4. NPV'!NDL23/'4. NPV'!NDL$8,0)</f>
        <v>-0.0</v>
      </c>
      <c r="NDL53" s="5">
        <f>-IFERROR('4. NPV'!NDM23/'4. NPV'!NDM$8,0)</f>
        <v>-0.0</v>
      </c>
      <c r="NDM53" s="5">
        <f>-IFERROR('4. NPV'!NDN23/'4. NPV'!NDN$8,0)</f>
        <v>-0.0</v>
      </c>
      <c r="NDN53" s="5">
        <f>-IFERROR('4. NPV'!NDO23/'4. NPV'!NDO$8,0)</f>
        <v>-0.0</v>
      </c>
      <c r="NDO53" s="5">
        <f>-IFERROR('4. NPV'!NDP23/'4. NPV'!NDP$8,0)</f>
        <v>-0.0</v>
      </c>
      <c r="NDP53" s="5">
        <f>-IFERROR('4. NPV'!NDQ23/'4. NPV'!NDQ$8,0)</f>
        <v>-0.0</v>
      </c>
      <c r="NDQ53" s="5">
        <f>-IFERROR('4. NPV'!NDR23/'4. NPV'!NDR$8,0)</f>
        <v>-0.0</v>
      </c>
      <c r="NDR53" s="5">
        <f>-IFERROR('4. NPV'!NDS23/'4. NPV'!NDS$8,0)</f>
        <v>-0.0</v>
      </c>
      <c r="NDS53" s="5">
        <f>-IFERROR('4. NPV'!NDT23/'4. NPV'!NDT$8,0)</f>
        <v>-0.0</v>
      </c>
      <c r="NDT53" s="5">
        <f>-IFERROR('4. NPV'!NDU23/'4. NPV'!NDU$8,0)</f>
        <v>-0.0</v>
      </c>
      <c r="NDU53" s="5">
        <f>-IFERROR('4. NPV'!NDV23/'4. NPV'!NDV$8,0)</f>
        <v>-0.0</v>
      </c>
      <c r="NDV53" s="5">
        <f>-IFERROR('4. NPV'!NDW23/'4. NPV'!NDW$8,0)</f>
        <v>-0.0</v>
      </c>
      <c r="NDW53" s="5">
        <f>-IFERROR('4. NPV'!NDX23/'4. NPV'!NDX$8,0)</f>
        <v>-0.0</v>
      </c>
      <c r="NDX53" s="5">
        <f>-IFERROR('4. NPV'!NDY23/'4. NPV'!NDY$8,0)</f>
        <v>-0.0</v>
      </c>
      <c r="NDY53" s="5">
        <f>-IFERROR('4. NPV'!NDZ23/'4. NPV'!NDZ$8,0)</f>
        <v>-0.0</v>
      </c>
      <c r="NDZ53" s="5">
        <f>-IFERROR('4. NPV'!NEA23/'4. NPV'!NEA$8,0)</f>
        <v>-0.0</v>
      </c>
      <c r="NEA53" s="5">
        <f>-IFERROR('4. NPV'!NEB23/'4. NPV'!NEB$8,0)</f>
        <v>-0.0</v>
      </c>
      <c r="NEB53" s="5">
        <f>-IFERROR('4. NPV'!NEC23/'4. NPV'!NEC$8,0)</f>
        <v>-0.0</v>
      </c>
      <c r="NEC53" s="5">
        <f>-IFERROR('4. NPV'!NED23/'4. NPV'!NED$8,0)</f>
        <v>-0.0</v>
      </c>
      <c r="NED53" s="5">
        <f>-IFERROR('4. NPV'!NEE23/'4. NPV'!NEE$8,0)</f>
        <v>-0.0</v>
      </c>
      <c r="NEE53" s="5">
        <f>-IFERROR('4. NPV'!NEF23/'4. NPV'!NEF$8,0)</f>
        <v>-0.0</v>
      </c>
      <c r="NEF53" s="5">
        <f>-IFERROR('4. NPV'!NEG23/'4. NPV'!NEG$8,0)</f>
        <v>-0.0</v>
      </c>
      <c r="NEG53" s="5">
        <f>-IFERROR('4. NPV'!NEH23/'4. NPV'!NEH$8,0)</f>
        <v>-0.0</v>
      </c>
      <c r="NEH53" s="5">
        <f>-IFERROR('4. NPV'!NEI23/'4. NPV'!NEI$8,0)</f>
        <v>-0.0</v>
      </c>
      <c r="NEI53" s="5">
        <f>-IFERROR('4. NPV'!NEJ23/'4. NPV'!NEJ$8,0)</f>
        <v>-0.0</v>
      </c>
      <c r="NEJ53" s="5">
        <f>-IFERROR('4. NPV'!NEK23/'4. NPV'!NEK$8,0)</f>
        <v>-0.0</v>
      </c>
      <c r="NEK53" s="5">
        <f>-IFERROR('4. NPV'!NEL23/'4. NPV'!NEL$8,0)</f>
        <v>-0.0</v>
      </c>
      <c r="NEL53" s="5">
        <f>-IFERROR('4. NPV'!NEM23/'4. NPV'!NEM$8,0)</f>
        <v>-0.0</v>
      </c>
      <c r="NEM53" s="5">
        <f>-IFERROR('4. NPV'!NEN23/'4. NPV'!NEN$8,0)</f>
        <v>-0.0</v>
      </c>
      <c r="NEN53" s="5">
        <f>-IFERROR('4. NPV'!NEO23/'4. NPV'!NEO$8,0)</f>
        <v>-0.0</v>
      </c>
      <c r="NEO53" s="5">
        <f>-IFERROR('4. NPV'!NEP23/'4. NPV'!NEP$8,0)</f>
        <v>-0.0</v>
      </c>
      <c r="NEP53" s="5">
        <f>-IFERROR('4. NPV'!NEQ23/'4. NPV'!NEQ$8,0)</f>
        <v>-0.0</v>
      </c>
      <c r="NEQ53" s="5">
        <f>-IFERROR('4. NPV'!NER23/'4. NPV'!NER$8,0)</f>
        <v>-0.0</v>
      </c>
      <c r="NER53" s="5">
        <f>-IFERROR('4. NPV'!NES23/'4. NPV'!NES$8,0)</f>
        <v>-0.0</v>
      </c>
      <c r="NES53" s="5">
        <f>-IFERROR('4. NPV'!NET23/'4. NPV'!NET$8,0)</f>
        <v>-0.0</v>
      </c>
      <c r="NET53" s="5">
        <f>-IFERROR('4. NPV'!NEU23/'4. NPV'!NEU$8,0)</f>
        <v>-0.0</v>
      </c>
      <c r="NEU53" s="5">
        <f>-IFERROR('4. NPV'!NEV23/'4. NPV'!NEV$8,0)</f>
        <v>-0.0</v>
      </c>
      <c r="NEV53" s="5">
        <f>-IFERROR('4. NPV'!NEW23/'4. NPV'!NEW$8,0)</f>
        <v>-0.0</v>
      </c>
      <c r="NEW53" s="5">
        <f>-IFERROR('4. NPV'!NEX23/'4. NPV'!NEX$8,0)</f>
        <v>-0.0</v>
      </c>
      <c r="NEX53" s="5">
        <f>-IFERROR('4. NPV'!NEY23/'4. NPV'!NEY$8,0)</f>
        <v>-0.0</v>
      </c>
      <c r="NEY53" s="5">
        <f>-IFERROR('4. NPV'!NEZ23/'4. NPV'!NEZ$8,0)</f>
        <v>-0.0</v>
      </c>
      <c r="NEZ53" s="5">
        <f>-IFERROR('4. NPV'!NFA23/'4. NPV'!NFA$8,0)</f>
        <v>-0.0</v>
      </c>
      <c r="NFA53" s="5">
        <f>-IFERROR('4. NPV'!NFB23/'4. NPV'!NFB$8,0)</f>
        <v>-0.0</v>
      </c>
      <c r="NFB53" s="5">
        <f>-IFERROR('4. NPV'!NFC23/'4. NPV'!NFC$8,0)</f>
        <v>-0.0</v>
      </c>
      <c r="NFC53" s="5">
        <f>-IFERROR('4. NPV'!NFD23/'4. NPV'!NFD$8,0)</f>
        <v>-0.0</v>
      </c>
      <c r="NFD53" s="5">
        <f>-IFERROR('4. NPV'!NFE23/'4. NPV'!NFE$8,0)</f>
        <v>-0.0</v>
      </c>
      <c r="NFE53" s="5">
        <f>-IFERROR('4. NPV'!NFF23/'4. NPV'!NFF$8,0)</f>
        <v>-0.0</v>
      </c>
      <c r="NFF53" s="5">
        <f>-IFERROR('4. NPV'!NFG23/'4. NPV'!NFG$8,0)</f>
        <v>-0.0</v>
      </c>
      <c r="NFG53" s="5">
        <f>-IFERROR('4. NPV'!NFH23/'4. NPV'!NFH$8,0)</f>
        <v>-0.0</v>
      </c>
      <c r="NFH53" s="5">
        <f>-IFERROR('4. NPV'!NFI23/'4. NPV'!NFI$8,0)</f>
        <v>-0.0</v>
      </c>
      <c r="NFI53" s="5">
        <f>-IFERROR('4. NPV'!NFJ23/'4. NPV'!NFJ$8,0)</f>
        <v>-0.0</v>
      </c>
      <c r="NFJ53" s="5">
        <f>-IFERROR('4. NPV'!NFK23/'4. NPV'!NFK$8,0)</f>
        <v>-0.0</v>
      </c>
      <c r="NFK53" s="5">
        <f>-IFERROR('4. NPV'!NFL23/'4. NPV'!NFL$8,0)</f>
        <v>-0.0</v>
      </c>
      <c r="NFL53" s="5">
        <f>-IFERROR('4. NPV'!NFM23/'4. NPV'!NFM$8,0)</f>
        <v>-0.0</v>
      </c>
      <c r="NFM53" s="5">
        <f>-IFERROR('4. NPV'!NFN23/'4. NPV'!NFN$8,0)</f>
        <v>-0.0</v>
      </c>
      <c r="NFN53" s="5">
        <f>-IFERROR('4. NPV'!NFO23/'4. NPV'!NFO$8,0)</f>
        <v>-0.0</v>
      </c>
      <c r="NFO53" s="5">
        <f>-IFERROR('4. NPV'!NFP23/'4. NPV'!NFP$8,0)</f>
        <v>-0.0</v>
      </c>
      <c r="NFP53" s="5">
        <f>-IFERROR('4. NPV'!NFQ23/'4. NPV'!NFQ$8,0)</f>
        <v>-0.0</v>
      </c>
      <c r="NFQ53" s="5">
        <f>-IFERROR('4. NPV'!NFR23/'4. NPV'!NFR$8,0)</f>
        <v>-0.0</v>
      </c>
      <c r="NFR53" s="5">
        <f>-IFERROR('4. NPV'!NFS23/'4. NPV'!NFS$8,0)</f>
        <v>-0.0</v>
      </c>
      <c r="NFS53" s="5">
        <f>-IFERROR('4. NPV'!NFT23/'4. NPV'!NFT$8,0)</f>
        <v>-0.0</v>
      </c>
      <c r="NFT53" s="5">
        <f>-IFERROR('4. NPV'!NFU23/'4. NPV'!NFU$8,0)</f>
        <v>-0.0</v>
      </c>
      <c r="NFU53" s="5">
        <f>-IFERROR('4. NPV'!NFV23/'4. NPV'!NFV$8,0)</f>
        <v>-0.0</v>
      </c>
      <c r="NFV53" s="5">
        <f>-IFERROR('4. NPV'!NFW23/'4. NPV'!NFW$8,0)</f>
        <v>-0.0</v>
      </c>
      <c r="NFW53" s="5">
        <f>-IFERROR('4. NPV'!NFX23/'4. NPV'!NFX$8,0)</f>
        <v>-0.0</v>
      </c>
      <c r="NFX53" s="5">
        <f>-IFERROR('4. NPV'!NFY23/'4. NPV'!NFY$8,0)</f>
        <v>-0.0</v>
      </c>
      <c r="NFY53" s="5">
        <f>-IFERROR('4. NPV'!NFZ23/'4. NPV'!NFZ$8,0)</f>
        <v>-0.0</v>
      </c>
      <c r="NFZ53" s="5">
        <f>-IFERROR('4. NPV'!NGA23/'4. NPV'!NGA$8,0)</f>
        <v>-0.0</v>
      </c>
      <c r="NGA53" s="5">
        <f>-IFERROR('4. NPV'!NGB23/'4. NPV'!NGB$8,0)</f>
        <v>-0.0</v>
      </c>
      <c r="NGB53" s="5">
        <f>-IFERROR('4. NPV'!NGC23/'4. NPV'!NGC$8,0)</f>
        <v>-0.0</v>
      </c>
      <c r="NGC53" s="5">
        <f>-IFERROR('4. NPV'!NGD23/'4. NPV'!NGD$8,0)</f>
        <v>-0.0</v>
      </c>
      <c r="NGD53" s="5">
        <f>-IFERROR('4. NPV'!NGE23/'4. NPV'!NGE$8,0)</f>
        <v>-0.0</v>
      </c>
      <c r="NGE53" s="5">
        <f>-IFERROR('4. NPV'!NGF23/'4. NPV'!NGF$8,0)</f>
        <v>-0.0</v>
      </c>
      <c r="NGF53" s="5">
        <f>-IFERROR('4. NPV'!NGG23/'4. NPV'!NGG$8,0)</f>
        <v>-0.0</v>
      </c>
      <c r="NGG53" s="5">
        <f>-IFERROR('4. NPV'!NGH23/'4. NPV'!NGH$8,0)</f>
        <v>-0.0</v>
      </c>
      <c r="NGH53" s="5">
        <f>-IFERROR('4. NPV'!NGI23/'4. NPV'!NGI$8,0)</f>
        <v>-0.0</v>
      </c>
      <c r="NGI53" s="5">
        <f>-IFERROR('4. NPV'!NGJ23/'4. NPV'!NGJ$8,0)</f>
        <v>-0.0</v>
      </c>
      <c r="NGJ53" s="5">
        <f>-IFERROR('4. NPV'!NGK23/'4. NPV'!NGK$8,0)</f>
        <v>-0.0</v>
      </c>
      <c r="NGK53" s="5">
        <f>-IFERROR('4. NPV'!NGL23/'4. NPV'!NGL$8,0)</f>
        <v>-0.0</v>
      </c>
      <c r="NGL53" s="5">
        <f>-IFERROR('4. NPV'!NGM23/'4. NPV'!NGM$8,0)</f>
        <v>-0.0</v>
      </c>
      <c r="NGM53" s="5">
        <f>-IFERROR('4. NPV'!NGN23/'4. NPV'!NGN$8,0)</f>
        <v>-0.0</v>
      </c>
      <c r="NGN53" s="5">
        <f>-IFERROR('4. NPV'!NGO23/'4. NPV'!NGO$8,0)</f>
        <v>-0.0</v>
      </c>
      <c r="NGO53" s="5">
        <f>-IFERROR('4. NPV'!NGP23/'4. NPV'!NGP$8,0)</f>
        <v>-0.0</v>
      </c>
      <c r="NGP53" s="5">
        <f>-IFERROR('4. NPV'!NGQ23/'4. NPV'!NGQ$8,0)</f>
        <v>-0.0</v>
      </c>
      <c r="NGQ53" s="5">
        <f>-IFERROR('4. NPV'!NGR23/'4. NPV'!NGR$8,0)</f>
        <v>-0.0</v>
      </c>
      <c r="NGR53" s="5">
        <f>-IFERROR('4. NPV'!NGS23/'4. NPV'!NGS$8,0)</f>
        <v>-0.0</v>
      </c>
      <c r="NGS53" s="5">
        <f>-IFERROR('4. NPV'!NGT23/'4. NPV'!NGT$8,0)</f>
        <v>-0.0</v>
      </c>
      <c r="NGT53" s="5">
        <f>-IFERROR('4. NPV'!NGU23/'4. NPV'!NGU$8,0)</f>
        <v>-0.0</v>
      </c>
      <c r="NGU53" s="5">
        <f>-IFERROR('4. NPV'!NGV23/'4. NPV'!NGV$8,0)</f>
        <v>-0.0</v>
      </c>
      <c r="NGV53" s="5">
        <f>-IFERROR('4. NPV'!NGW23/'4. NPV'!NGW$8,0)</f>
        <v>-0.0</v>
      </c>
      <c r="NGW53" s="5">
        <f>-IFERROR('4. NPV'!NGX23/'4. NPV'!NGX$8,0)</f>
        <v>-0.0</v>
      </c>
      <c r="NGX53" s="5">
        <f>-IFERROR('4. NPV'!NGY23/'4. NPV'!NGY$8,0)</f>
        <v>-0.0</v>
      </c>
      <c r="NGY53" s="5">
        <f>-IFERROR('4. NPV'!NGZ23/'4. NPV'!NGZ$8,0)</f>
        <v>-0.0</v>
      </c>
      <c r="NGZ53" s="5">
        <f>-IFERROR('4. NPV'!NHA23/'4. NPV'!NHA$8,0)</f>
        <v>-0.0</v>
      </c>
      <c r="NHA53" s="5">
        <f>-IFERROR('4. NPV'!NHB23/'4. NPV'!NHB$8,0)</f>
        <v>-0.0</v>
      </c>
      <c r="NHB53" s="5">
        <f>-IFERROR('4. NPV'!NHC23/'4. NPV'!NHC$8,0)</f>
        <v>-0.0</v>
      </c>
      <c r="NHC53" s="5">
        <f>-IFERROR('4. NPV'!NHD23/'4. NPV'!NHD$8,0)</f>
        <v>-0.0</v>
      </c>
      <c r="NHD53" s="5">
        <f>-IFERROR('4. NPV'!NHE23/'4. NPV'!NHE$8,0)</f>
        <v>-0.0</v>
      </c>
      <c r="NHE53" s="5">
        <f>-IFERROR('4. NPV'!NHF23/'4. NPV'!NHF$8,0)</f>
        <v>-0.0</v>
      </c>
      <c r="NHF53" s="5">
        <f>-IFERROR('4. NPV'!NHG23/'4. NPV'!NHG$8,0)</f>
        <v>-0.0</v>
      </c>
      <c r="NHG53" s="5">
        <f>-IFERROR('4. NPV'!NHH23/'4. NPV'!NHH$8,0)</f>
        <v>-0.0</v>
      </c>
      <c r="NHH53" s="5">
        <f>-IFERROR('4. NPV'!NHI23/'4. NPV'!NHI$8,0)</f>
        <v>-0.0</v>
      </c>
      <c r="NHI53" s="5">
        <f>-IFERROR('4. NPV'!NHJ23/'4. NPV'!NHJ$8,0)</f>
        <v>-0.0</v>
      </c>
      <c r="NHJ53" s="5">
        <f>-IFERROR('4. NPV'!NHK23/'4. NPV'!NHK$8,0)</f>
        <v>-0.0</v>
      </c>
      <c r="NHK53" s="5">
        <f>-IFERROR('4. NPV'!NHL23/'4. NPV'!NHL$8,0)</f>
        <v>-0.0</v>
      </c>
      <c r="NHL53" s="5">
        <f>-IFERROR('4. NPV'!NHM23/'4. NPV'!NHM$8,0)</f>
        <v>-0.0</v>
      </c>
      <c r="NHM53" s="5">
        <f>-IFERROR('4. NPV'!NHN23/'4. NPV'!NHN$8,0)</f>
        <v>-0.0</v>
      </c>
      <c r="NHN53" s="5">
        <f>-IFERROR('4. NPV'!NHO23/'4. NPV'!NHO$8,0)</f>
        <v>-0.0</v>
      </c>
      <c r="NHO53" s="5">
        <f>-IFERROR('4. NPV'!NHP23/'4. NPV'!NHP$8,0)</f>
        <v>-0.0</v>
      </c>
      <c r="NHP53" s="5">
        <f>-IFERROR('4. NPV'!NHQ23/'4. NPV'!NHQ$8,0)</f>
        <v>-0.0</v>
      </c>
      <c r="NHQ53" s="5">
        <f>-IFERROR('4. NPV'!NHR23/'4. NPV'!NHR$8,0)</f>
        <v>-0.0</v>
      </c>
      <c r="NHR53" s="5">
        <f>-IFERROR('4. NPV'!NHS23/'4. NPV'!NHS$8,0)</f>
        <v>-0.0</v>
      </c>
      <c r="NHS53" s="5">
        <f>-IFERROR('4. NPV'!NHT23/'4. NPV'!NHT$8,0)</f>
        <v>-0.0</v>
      </c>
      <c r="NHT53" s="5">
        <f>-IFERROR('4. NPV'!NHU23/'4. NPV'!NHU$8,0)</f>
        <v>-0.0</v>
      </c>
      <c r="NHU53" s="5">
        <f>-IFERROR('4. NPV'!NHV23/'4. NPV'!NHV$8,0)</f>
        <v>-0.0</v>
      </c>
      <c r="NHV53" s="5">
        <f>-IFERROR('4. NPV'!NHW23/'4. NPV'!NHW$8,0)</f>
        <v>-0.0</v>
      </c>
      <c r="NHW53" s="5">
        <f>-IFERROR('4. NPV'!NHX23/'4. NPV'!NHX$8,0)</f>
        <v>-0.0</v>
      </c>
      <c r="NHX53" s="5">
        <f>-IFERROR('4. NPV'!NHY23/'4. NPV'!NHY$8,0)</f>
        <v>-0.0</v>
      </c>
      <c r="NHY53" s="5">
        <f>-IFERROR('4. NPV'!NHZ23/'4. NPV'!NHZ$8,0)</f>
        <v>-0.0</v>
      </c>
      <c r="NHZ53" s="5">
        <f>-IFERROR('4. NPV'!NIA23/'4. NPV'!NIA$8,0)</f>
        <v>-0.0</v>
      </c>
      <c r="NIA53" s="5">
        <f>-IFERROR('4. NPV'!NIB23/'4. NPV'!NIB$8,0)</f>
        <v>-0.0</v>
      </c>
      <c r="NIB53" s="5">
        <f>-IFERROR('4. NPV'!NIC23/'4. NPV'!NIC$8,0)</f>
        <v>-0.0</v>
      </c>
      <c r="NIC53" s="5">
        <f>-IFERROR('4. NPV'!NID23/'4. NPV'!NID$8,0)</f>
        <v>-0.0</v>
      </c>
      <c r="NID53" s="5">
        <f>-IFERROR('4. NPV'!NIE23/'4. NPV'!NIE$8,0)</f>
        <v>-0.0</v>
      </c>
      <c r="NIE53" s="5">
        <f>-IFERROR('4. NPV'!NIF23/'4. NPV'!NIF$8,0)</f>
        <v>-0.0</v>
      </c>
      <c r="NIF53" s="5">
        <f>-IFERROR('4. NPV'!NIG23/'4. NPV'!NIG$8,0)</f>
        <v>-0.0</v>
      </c>
      <c r="NIG53" s="5">
        <f>-IFERROR('4. NPV'!NIH23/'4. NPV'!NIH$8,0)</f>
        <v>-0.0</v>
      </c>
      <c r="NIH53" s="5">
        <f>-IFERROR('4. NPV'!NII23/'4. NPV'!NII$8,0)</f>
        <v>-0.0</v>
      </c>
      <c r="NII53" s="5">
        <f>-IFERROR('4. NPV'!NIJ23/'4. NPV'!NIJ$8,0)</f>
        <v>-0.0</v>
      </c>
      <c r="NIJ53" s="5">
        <f>-IFERROR('4. NPV'!NIK23/'4. NPV'!NIK$8,0)</f>
        <v>-0.0</v>
      </c>
      <c r="NIK53" s="5">
        <f>-IFERROR('4. NPV'!NIL23/'4. NPV'!NIL$8,0)</f>
        <v>-0.0</v>
      </c>
      <c r="NIL53" s="5">
        <f>-IFERROR('4. NPV'!NIM23/'4. NPV'!NIM$8,0)</f>
        <v>-0.0</v>
      </c>
      <c r="NIM53" s="5">
        <f>-IFERROR('4. NPV'!NIN23/'4. NPV'!NIN$8,0)</f>
        <v>-0.0</v>
      </c>
      <c r="NIN53" s="5">
        <f>-IFERROR('4. NPV'!NIO23/'4. NPV'!NIO$8,0)</f>
        <v>-0.0</v>
      </c>
      <c r="NIO53" s="5">
        <f>-IFERROR('4. NPV'!NIP23/'4. NPV'!NIP$8,0)</f>
        <v>-0.0</v>
      </c>
      <c r="NIP53" s="5">
        <f>-IFERROR('4. NPV'!NIQ23/'4. NPV'!NIQ$8,0)</f>
        <v>-0.0</v>
      </c>
      <c r="NIQ53" s="5">
        <f>-IFERROR('4. NPV'!NIR23/'4. NPV'!NIR$8,0)</f>
        <v>-0.0</v>
      </c>
      <c r="NIR53" s="5">
        <f>-IFERROR('4. NPV'!NIS23/'4. NPV'!NIS$8,0)</f>
        <v>-0.0</v>
      </c>
      <c r="NIS53" s="5">
        <f>-IFERROR('4. NPV'!NIT23/'4. NPV'!NIT$8,0)</f>
        <v>-0.0</v>
      </c>
      <c r="NIT53" s="5">
        <f>-IFERROR('4. NPV'!NIU23/'4. NPV'!NIU$8,0)</f>
        <v>-0.0</v>
      </c>
      <c r="NIU53" s="5">
        <f>-IFERROR('4. NPV'!NIV23/'4. NPV'!NIV$8,0)</f>
        <v>-0.0</v>
      </c>
      <c r="NIV53" s="5">
        <f>-IFERROR('4. NPV'!NIW23/'4. NPV'!NIW$8,0)</f>
        <v>-0.0</v>
      </c>
      <c r="NIW53" s="5">
        <f>-IFERROR('4. NPV'!NIX23/'4. NPV'!NIX$8,0)</f>
        <v>-0.0</v>
      </c>
      <c r="NIX53" s="5">
        <f>-IFERROR('4. NPV'!NIY23/'4. NPV'!NIY$8,0)</f>
        <v>-0.0</v>
      </c>
      <c r="NIY53" s="5">
        <f>-IFERROR('4. NPV'!NIZ23/'4. NPV'!NIZ$8,0)</f>
        <v>-0.0</v>
      </c>
      <c r="NIZ53" s="5">
        <f>-IFERROR('4. NPV'!NJA23/'4. NPV'!NJA$8,0)</f>
        <v>-0.0</v>
      </c>
      <c r="NJA53" s="5">
        <f>-IFERROR('4. NPV'!NJB23/'4. NPV'!NJB$8,0)</f>
        <v>-0.0</v>
      </c>
      <c r="NJB53" s="5">
        <f>-IFERROR('4. NPV'!NJC23/'4. NPV'!NJC$8,0)</f>
        <v>-0.0</v>
      </c>
      <c r="NJC53" s="5">
        <f>-IFERROR('4. NPV'!NJD23/'4. NPV'!NJD$8,0)</f>
        <v>-0.0</v>
      </c>
      <c r="NJD53" s="5">
        <f>-IFERROR('4. NPV'!NJE23/'4. NPV'!NJE$8,0)</f>
        <v>-0.0</v>
      </c>
      <c r="NJE53" s="5">
        <f>-IFERROR('4. NPV'!NJF23/'4. NPV'!NJF$8,0)</f>
        <v>-0.0</v>
      </c>
      <c r="NJF53" s="5">
        <f>-IFERROR('4. NPV'!NJG23/'4. NPV'!NJG$8,0)</f>
        <v>-0.0</v>
      </c>
      <c r="NJG53" s="5">
        <f>-IFERROR('4. NPV'!NJH23/'4. NPV'!NJH$8,0)</f>
        <v>-0.0</v>
      </c>
      <c r="NJH53" s="5">
        <f>-IFERROR('4. NPV'!NJI23/'4. NPV'!NJI$8,0)</f>
        <v>-0.0</v>
      </c>
      <c r="NJI53" s="5">
        <f>-IFERROR('4. NPV'!NJJ23/'4. NPV'!NJJ$8,0)</f>
        <v>-0.0</v>
      </c>
      <c r="NJJ53" s="5">
        <f>-IFERROR('4. NPV'!NJK23/'4. NPV'!NJK$8,0)</f>
        <v>-0.0</v>
      </c>
      <c r="NJK53" s="5">
        <f>-IFERROR('4. NPV'!NJL23/'4. NPV'!NJL$8,0)</f>
        <v>-0.0</v>
      </c>
      <c r="NJL53" s="5">
        <f>-IFERROR('4. NPV'!NJM23/'4. NPV'!NJM$8,0)</f>
        <v>-0.0</v>
      </c>
      <c r="NJM53" s="5">
        <f>-IFERROR('4. NPV'!NJN23/'4. NPV'!NJN$8,0)</f>
        <v>-0.0</v>
      </c>
      <c r="NJN53" s="5">
        <f>-IFERROR('4. NPV'!NJO23/'4. NPV'!NJO$8,0)</f>
        <v>-0.0</v>
      </c>
      <c r="NJO53" s="5">
        <f>-IFERROR('4. NPV'!NJP23/'4. NPV'!NJP$8,0)</f>
        <v>-0.0</v>
      </c>
      <c r="NJP53" s="5">
        <f>-IFERROR('4. NPV'!NJQ23/'4. NPV'!NJQ$8,0)</f>
        <v>-0.0</v>
      </c>
      <c r="NJQ53" s="5">
        <f>-IFERROR('4. NPV'!NJR23/'4. NPV'!NJR$8,0)</f>
        <v>-0.0</v>
      </c>
      <c r="NJR53" s="5">
        <f>-IFERROR('4. NPV'!NJS23/'4. NPV'!NJS$8,0)</f>
        <v>-0.0</v>
      </c>
      <c r="NJS53" s="5">
        <f>-IFERROR('4. NPV'!NJT23/'4. NPV'!NJT$8,0)</f>
        <v>-0.0</v>
      </c>
      <c r="NJT53" s="5">
        <f>-IFERROR('4. NPV'!NJU23/'4. NPV'!NJU$8,0)</f>
        <v>-0.0</v>
      </c>
      <c r="NJU53" s="5">
        <f>-IFERROR('4. NPV'!NJV23/'4. NPV'!NJV$8,0)</f>
        <v>-0.0</v>
      </c>
      <c r="NJV53" s="5">
        <f>-IFERROR('4. NPV'!NJW23/'4. NPV'!NJW$8,0)</f>
        <v>-0.0</v>
      </c>
      <c r="NJW53" s="5">
        <f>-IFERROR('4. NPV'!NJX23/'4. NPV'!NJX$8,0)</f>
        <v>-0.0</v>
      </c>
      <c r="NJX53" s="5">
        <f>-IFERROR('4. NPV'!NJY23/'4. NPV'!NJY$8,0)</f>
        <v>-0.0</v>
      </c>
      <c r="NJY53" s="5">
        <f>-IFERROR('4. NPV'!NJZ23/'4. NPV'!NJZ$8,0)</f>
        <v>-0.0</v>
      </c>
      <c r="NJZ53" s="5">
        <f>-IFERROR('4. NPV'!NKA23/'4. NPV'!NKA$8,0)</f>
        <v>-0.0</v>
      </c>
      <c r="NKA53" s="5">
        <f>-IFERROR('4. NPV'!NKB23/'4. NPV'!NKB$8,0)</f>
        <v>-0.0</v>
      </c>
      <c r="NKB53" s="5">
        <f>-IFERROR('4. NPV'!NKC23/'4. NPV'!NKC$8,0)</f>
        <v>-0.0</v>
      </c>
      <c r="NKC53" s="5">
        <f>-IFERROR('4. NPV'!NKD23/'4. NPV'!NKD$8,0)</f>
        <v>-0.0</v>
      </c>
      <c r="NKD53" s="5">
        <f>-IFERROR('4. NPV'!NKE23/'4. NPV'!NKE$8,0)</f>
        <v>-0.0</v>
      </c>
      <c r="NKE53" s="5">
        <f>-IFERROR('4. NPV'!NKF23/'4. NPV'!NKF$8,0)</f>
        <v>-0.0</v>
      </c>
      <c r="NKF53" s="5">
        <f>-IFERROR('4. NPV'!NKG23/'4. NPV'!NKG$8,0)</f>
        <v>-0.0</v>
      </c>
      <c r="NKG53" s="5">
        <f>-IFERROR('4. NPV'!NKH23/'4. NPV'!NKH$8,0)</f>
        <v>-0.0</v>
      </c>
      <c r="NKH53" s="5">
        <f>-IFERROR('4. NPV'!NKI23/'4. NPV'!NKI$8,0)</f>
        <v>-0.0</v>
      </c>
      <c r="NKI53" s="5">
        <f>-IFERROR('4. NPV'!NKJ23/'4. NPV'!NKJ$8,0)</f>
        <v>-0.0</v>
      </c>
      <c r="NKJ53" s="5">
        <f>-IFERROR('4. NPV'!NKK23/'4. NPV'!NKK$8,0)</f>
        <v>-0.0</v>
      </c>
      <c r="NKK53" s="5">
        <f>-IFERROR('4. NPV'!NKL23/'4. NPV'!NKL$8,0)</f>
        <v>-0.0</v>
      </c>
      <c r="NKL53" s="5">
        <f>-IFERROR('4. NPV'!NKM23/'4. NPV'!NKM$8,0)</f>
        <v>-0.0</v>
      </c>
      <c r="NKM53" s="5">
        <f>-IFERROR('4. NPV'!NKN23/'4. NPV'!NKN$8,0)</f>
        <v>-0.0</v>
      </c>
      <c r="NKN53" s="5">
        <f>-IFERROR('4. NPV'!NKO23/'4. NPV'!NKO$8,0)</f>
        <v>-0.0</v>
      </c>
      <c r="NKO53" s="5">
        <f>-IFERROR('4. NPV'!NKP23/'4. NPV'!NKP$8,0)</f>
        <v>-0.0</v>
      </c>
      <c r="NKP53" s="5">
        <f>-IFERROR('4. NPV'!NKQ23/'4. NPV'!NKQ$8,0)</f>
        <v>-0.0</v>
      </c>
      <c r="NKQ53" s="5">
        <f>-IFERROR('4. NPV'!NKR23/'4. NPV'!NKR$8,0)</f>
        <v>-0.0</v>
      </c>
      <c r="NKR53" s="5">
        <f>-IFERROR('4. NPV'!NKS23/'4. NPV'!NKS$8,0)</f>
        <v>-0.0</v>
      </c>
      <c r="NKS53" s="5">
        <f>-IFERROR('4. NPV'!NKT23/'4. NPV'!NKT$8,0)</f>
        <v>-0.0</v>
      </c>
      <c r="NKT53" s="5">
        <f>-IFERROR('4. NPV'!NKU23/'4. NPV'!NKU$8,0)</f>
        <v>-0.0</v>
      </c>
      <c r="NKU53" s="5">
        <f>-IFERROR('4. NPV'!NKV23/'4. NPV'!NKV$8,0)</f>
        <v>-0.0</v>
      </c>
      <c r="NKV53" s="5">
        <f>-IFERROR('4. NPV'!NKW23/'4. NPV'!NKW$8,0)</f>
        <v>-0.0</v>
      </c>
      <c r="NKW53" s="5">
        <f>-IFERROR('4. NPV'!NKX23/'4. NPV'!NKX$8,0)</f>
        <v>-0.0</v>
      </c>
      <c r="NKX53" s="5">
        <f>-IFERROR('4. NPV'!NKY23/'4. NPV'!NKY$8,0)</f>
        <v>-0.0</v>
      </c>
      <c r="NKY53" s="5">
        <f>-IFERROR('4. NPV'!NKZ23/'4. NPV'!NKZ$8,0)</f>
        <v>-0.0</v>
      </c>
      <c r="NKZ53" s="5">
        <f>-IFERROR('4. NPV'!NLA23/'4. NPV'!NLA$8,0)</f>
        <v>-0.0</v>
      </c>
      <c r="NLA53" s="5">
        <f>-IFERROR('4. NPV'!NLB23/'4. NPV'!NLB$8,0)</f>
        <v>-0.0</v>
      </c>
      <c r="NLB53" s="5">
        <f>-IFERROR('4. NPV'!NLC23/'4. NPV'!NLC$8,0)</f>
        <v>-0.0</v>
      </c>
      <c r="NLC53" s="5">
        <f>-IFERROR('4. NPV'!NLD23/'4. NPV'!NLD$8,0)</f>
        <v>-0.0</v>
      </c>
      <c r="NLD53" s="5">
        <f>-IFERROR('4. NPV'!NLE23/'4. NPV'!NLE$8,0)</f>
        <v>-0.0</v>
      </c>
      <c r="NLE53" s="5">
        <f>-IFERROR('4. NPV'!NLF23/'4. NPV'!NLF$8,0)</f>
        <v>-0.0</v>
      </c>
      <c r="NLF53" s="5">
        <f>-IFERROR('4. NPV'!NLG23/'4. NPV'!NLG$8,0)</f>
        <v>-0.0</v>
      </c>
      <c r="NLG53" s="5">
        <f>-IFERROR('4. NPV'!NLH23/'4. NPV'!NLH$8,0)</f>
        <v>-0.0</v>
      </c>
      <c r="NLH53" s="5">
        <f>-IFERROR('4. NPV'!NLI23/'4. NPV'!NLI$8,0)</f>
        <v>-0.0</v>
      </c>
      <c r="NLI53" s="5">
        <f>-IFERROR('4. NPV'!NLJ23/'4. NPV'!NLJ$8,0)</f>
        <v>-0.0</v>
      </c>
      <c r="NLJ53" s="5">
        <f>-IFERROR('4. NPV'!NLK23/'4. NPV'!NLK$8,0)</f>
        <v>-0.0</v>
      </c>
      <c r="NLK53" s="5">
        <f>-IFERROR('4. NPV'!NLL23/'4. NPV'!NLL$8,0)</f>
        <v>-0.0</v>
      </c>
      <c r="NLL53" s="5">
        <f>-IFERROR('4. NPV'!NLM23/'4. NPV'!NLM$8,0)</f>
        <v>-0.0</v>
      </c>
      <c r="NLM53" s="5">
        <f>-IFERROR('4. NPV'!NLN23/'4. NPV'!NLN$8,0)</f>
        <v>-0.0</v>
      </c>
      <c r="NLN53" s="5">
        <f>-IFERROR('4. NPV'!NLO23/'4. NPV'!NLO$8,0)</f>
        <v>-0.0</v>
      </c>
      <c r="NLO53" s="5">
        <f>-IFERROR('4. NPV'!NLP23/'4. NPV'!NLP$8,0)</f>
        <v>-0.0</v>
      </c>
      <c r="NLP53" s="5">
        <f>-IFERROR('4. NPV'!NLQ23/'4. NPV'!NLQ$8,0)</f>
        <v>-0.0</v>
      </c>
      <c r="NLQ53" s="5">
        <f>-IFERROR('4. NPV'!NLR23/'4. NPV'!NLR$8,0)</f>
        <v>-0.0</v>
      </c>
      <c r="NLR53" s="5">
        <f>-IFERROR('4. NPV'!NLS23/'4. NPV'!NLS$8,0)</f>
        <v>-0.0</v>
      </c>
      <c r="NLS53" s="5">
        <f>-IFERROR('4. NPV'!NLT23/'4. NPV'!NLT$8,0)</f>
        <v>-0.0</v>
      </c>
      <c r="NLT53" s="5">
        <f>-IFERROR('4. NPV'!NLU23/'4. NPV'!NLU$8,0)</f>
        <v>-0.0</v>
      </c>
      <c r="NLU53" s="5">
        <f>-IFERROR('4. NPV'!NLV23/'4. NPV'!NLV$8,0)</f>
        <v>-0.0</v>
      </c>
      <c r="NLV53" s="5">
        <f>-IFERROR('4. NPV'!NLW23/'4. NPV'!NLW$8,0)</f>
        <v>-0.0</v>
      </c>
      <c r="NLW53" s="5">
        <f>-IFERROR('4. NPV'!NLX23/'4. NPV'!NLX$8,0)</f>
        <v>-0.0</v>
      </c>
      <c r="NLX53" s="5">
        <f>-IFERROR('4. NPV'!NLY23/'4. NPV'!NLY$8,0)</f>
        <v>-0.0</v>
      </c>
      <c r="NLY53" s="5">
        <f>-IFERROR('4. NPV'!NLZ23/'4. NPV'!NLZ$8,0)</f>
        <v>-0.0</v>
      </c>
      <c r="NLZ53" s="5">
        <f>-IFERROR('4. NPV'!NMA23/'4. NPV'!NMA$8,0)</f>
        <v>-0.0</v>
      </c>
      <c r="NMA53" s="5">
        <f>-IFERROR('4. NPV'!NMB23/'4. NPV'!NMB$8,0)</f>
        <v>-0.0</v>
      </c>
      <c r="NMB53" s="5">
        <f>-IFERROR('4. NPV'!NMC23/'4. NPV'!NMC$8,0)</f>
        <v>-0.0</v>
      </c>
      <c r="NMC53" s="5">
        <f>-IFERROR('4. NPV'!NMD23/'4. NPV'!NMD$8,0)</f>
        <v>-0.0</v>
      </c>
      <c r="NMD53" s="5">
        <f>-IFERROR('4. NPV'!NME23/'4. NPV'!NME$8,0)</f>
        <v>-0.0</v>
      </c>
      <c r="NME53" s="5">
        <f>-IFERROR('4. NPV'!NMF23/'4. NPV'!NMF$8,0)</f>
        <v>-0.0</v>
      </c>
      <c r="NMF53" s="5">
        <f>-IFERROR('4. NPV'!NMG23/'4. NPV'!NMG$8,0)</f>
        <v>-0.0</v>
      </c>
      <c r="NMG53" s="5">
        <f>-IFERROR('4. NPV'!NMH23/'4. NPV'!NMH$8,0)</f>
        <v>-0.0</v>
      </c>
      <c r="NMH53" s="5">
        <f>-IFERROR('4. NPV'!NMI23/'4. NPV'!NMI$8,0)</f>
        <v>-0.0</v>
      </c>
      <c r="NMI53" s="5">
        <f>-IFERROR('4. NPV'!NMJ23/'4. NPV'!NMJ$8,0)</f>
        <v>-0.0</v>
      </c>
      <c r="NMJ53" s="5">
        <f>-IFERROR('4. NPV'!NMK23/'4. NPV'!NMK$8,0)</f>
        <v>-0.0</v>
      </c>
      <c r="NMK53" s="5">
        <f>-IFERROR('4. NPV'!NML23/'4. NPV'!NML$8,0)</f>
        <v>-0.0</v>
      </c>
      <c r="NML53" s="5">
        <f>-IFERROR('4. NPV'!NMM23/'4. NPV'!NMM$8,0)</f>
        <v>-0.0</v>
      </c>
      <c r="NMM53" s="5">
        <f>-IFERROR('4. NPV'!NMN23/'4. NPV'!NMN$8,0)</f>
        <v>-0.0</v>
      </c>
      <c r="NMN53" s="5">
        <f>-IFERROR('4. NPV'!NMO23/'4. NPV'!NMO$8,0)</f>
        <v>-0.0</v>
      </c>
      <c r="NMO53" s="5">
        <f>-IFERROR('4. NPV'!NMP23/'4. NPV'!NMP$8,0)</f>
        <v>-0.0</v>
      </c>
      <c r="NMP53" s="5">
        <f>-IFERROR('4. NPV'!NMQ23/'4. NPV'!NMQ$8,0)</f>
        <v>-0.0</v>
      </c>
      <c r="NMQ53" s="5">
        <f>-IFERROR('4. NPV'!NMR23/'4. NPV'!NMR$8,0)</f>
        <v>-0.0</v>
      </c>
      <c r="NMR53" s="5">
        <f>-IFERROR('4. NPV'!NMS23/'4. NPV'!NMS$8,0)</f>
        <v>-0.0</v>
      </c>
      <c r="NMS53" s="5">
        <f>-IFERROR('4. NPV'!NMT23/'4. NPV'!NMT$8,0)</f>
        <v>-0.0</v>
      </c>
      <c r="NMT53" s="5">
        <f>-IFERROR('4. NPV'!NMU23/'4. NPV'!NMU$8,0)</f>
        <v>-0.0</v>
      </c>
      <c r="NMU53" s="5">
        <f>-IFERROR('4. NPV'!NMV23/'4. NPV'!NMV$8,0)</f>
        <v>-0.0</v>
      </c>
      <c r="NMV53" s="5">
        <f>-IFERROR('4. NPV'!NMW23/'4. NPV'!NMW$8,0)</f>
        <v>-0.0</v>
      </c>
      <c r="NMW53" s="5">
        <f>-IFERROR('4. NPV'!NMX23/'4. NPV'!NMX$8,0)</f>
        <v>-0.0</v>
      </c>
      <c r="NMX53" s="5">
        <f>-IFERROR('4. NPV'!NMY23/'4. NPV'!NMY$8,0)</f>
        <v>-0.0</v>
      </c>
      <c r="NMY53" s="5">
        <f>-IFERROR('4. NPV'!NMZ23/'4. NPV'!NMZ$8,0)</f>
        <v>-0.0</v>
      </c>
      <c r="NMZ53" s="5">
        <f>-IFERROR('4. NPV'!NNA23/'4. NPV'!NNA$8,0)</f>
        <v>-0.0</v>
      </c>
      <c r="NNA53" s="5">
        <f>-IFERROR('4. NPV'!NNB23/'4. NPV'!NNB$8,0)</f>
        <v>-0.0</v>
      </c>
      <c r="NNB53" s="5">
        <f>-IFERROR('4. NPV'!NNC23/'4. NPV'!NNC$8,0)</f>
        <v>-0.0</v>
      </c>
      <c r="NNC53" s="5">
        <f>-IFERROR('4. NPV'!NND23/'4. NPV'!NND$8,0)</f>
        <v>-0.0</v>
      </c>
      <c r="NND53" s="5">
        <f>-IFERROR('4. NPV'!NNE23/'4. NPV'!NNE$8,0)</f>
        <v>-0.0</v>
      </c>
      <c r="NNE53" s="5">
        <f>-IFERROR('4. NPV'!NNF23/'4. NPV'!NNF$8,0)</f>
        <v>-0.0</v>
      </c>
      <c r="NNF53" s="5">
        <f>-IFERROR('4. NPV'!NNG23/'4. NPV'!NNG$8,0)</f>
        <v>-0.0</v>
      </c>
      <c r="NNG53" s="5">
        <f>-IFERROR('4. NPV'!NNH23/'4. NPV'!NNH$8,0)</f>
        <v>-0.0</v>
      </c>
      <c r="NNH53" s="5">
        <f>-IFERROR('4. NPV'!NNI23/'4. NPV'!NNI$8,0)</f>
        <v>-0.0</v>
      </c>
      <c r="NNI53" s="5">
        <f>-IFERROR('4. NPV'!NNJ23/'4. NPV'!NNJ$8,0)</f>
        <v>-0.0</v>
      </c>
      <c r="NNJ53" s="5">
        <f>-IFERROR('4. NPV'!NNK23/'4. NPV'!NNK$8,0)</f>
        <v>-0.0</v>
      </c>
      <c r="NNK53" s="5">
        <f>-IFERROR('4. NPV'!NNL23/'4. NPV'!NNL$8,0)</f>
        <v>-0.0</v>
      </c>
      <c r="NNL53" s="5">
        <f>-IFERROR('4. NPV'!NNM23/'4. NPV'!NNM$8,0)</f>
        <v>-0.0</v>
      </c>
      <c r="NNM53" s="5">
        <f>-IFERROR('4. NPV'!NNN23/'4. NPV'!NNN$8,0)</f>
        <v>-0.0</v>
      </c>
      <c r="NNN53" s="5">
        <f>-IFERROR('4. NPV'!NNO23/'4. NPV'!NNO$8,0)</f>
        <v>-0.0</v>
      </c>
      <c r="NNO53" s="5">
        <f>-IFERROR('4. NPV'!NNP23/'4. NPV'!NNP$8,0)</f>
        <v>-0.0</v>
      </c>
      <c r="NNP53" s="5">
        <f>-IFERROR('4. NPV'!NNQ23/'4. NPV'!NNQ$8,0)</f>
        <v>-0.0</v>
      </c>
      <c r="NNQ53" s="5">
        <f>-IFERROR('4. NPV'!NNR23/'4. NPV'!NNR$8,0)</f>
        <v>-0.0</v>
      </c>
      <c r="NNR53" s="5">
        <f>-IFERROR('4. NPV'!NNS23/'4. NPV'!NNS$8,0)</f>
        <v>-0.0</v>
      </c>
      <c r="NNS53" s="5">
        <f>-IFERROR('4. NPV'!NNT23/'4. NPV'!NNT$8,0)</f>
        <v>-0.0</v>
      </c>
      <c r="NNT53" s="5">
        <f>-IFERROR('4. NPV'!NNU23/'4. NPV'!NNU$8,0)</f>
        <v>-0.0</v>
      </c>
      <c r="NNU53" s="5">
        <f>-IFERROR('4. NPV'!NNV23/'4. NPV'!NNV$8,0)</f>
        <v>-0.0</v>
      </c>
      <c r="NNV53" s="5">
        <f>-IFERROR('4. NPV'!NNW23/'4. NPV'!NNW$8,0)</f>
        <v>-0.0</v>
      </c>
      <c r="NNW53" s="5">
        <f>-IFERROR('4. NPV'!NNX23/'4. NPV'!NNX$8,0)</f>
        <v>-0.0</v>
      </c>
      <c r="NNX53" s="5">
        <f>-IFERROR('4. NPV'!NNY23/'4. NPV'!NNY$8,0)</f>
        <v>-0.0</v>
      </c>
      <c r="NNY53" s="5">
        <f>-IFERROR('4. NPV'!NNZ23/'4. NPV'!NNZ$8,0)</f>
        <v>-0.0</v>
      </c>
      <c r="NNZ53" s="5">
        <f>-IFERROR('4. NPV'!NOA23/'4. NPV'!NOA$8,0)</f>
        <v>-0.0</v>
      </c>
      <c r="NOA53" s="5">
        <f>-IFERROR('4. NPV'!NOB23/'4. NPV'!NOB$8,0)</f>
        <v>-0.0</v>
      </c>
      <c r="NOB53" s="5">
        <f>-IFERROR('4. NPV'!NOC23/'4. NPV'!NOC$8,0)</f>
        <v>-0.0</v>
      </c>
      <c r="NOC53" s="5">
        <f>-IFERROR('4. NPV'!NOD23/'4. NPV'!NOD$8,0)</f>
        <v>-0.0</v>
      </c>
      <c r="NOD53" s="5">
        <f>-IFERROR('4. NPV'!NOE23/'4. NPV'!NOE$8,0)</f>
        <v>-0.0</v>
      </c>
      <c r="NOE53" s="5">
        <f>-IFERROR('4. NPV'!NOF23/'4. NPV'!NOF$8,0)</f>
        <v>-0.0</v>
      </c>
      <c r="NOF53" s="5">
        <f>-IFERROR('4. NPV'!NOG23/'4. NPV'!NOG$8,0)</f>
        <v>-0.0</v>
      </c>
      <c r="NOG53" s="5">
        <f>-IFERROR('4. NPV'!NOH23/'4. NPV'!NOH$8,0)</f>
        <v>-0.0</v>
      </c>
      <c r="NOH53" s="5">
        <f>-IFERROR('4. NPV'!NOI23/'4. NPV'!NOI$8,0)</f>
        <v>-0.0</v>
      </c>
      <c r="NOI53" s="5">
        <f>-IFERROR('4. NPV'!NOJ23/'4. NPV'!NOJ$8,0)</f>
        <v>-0.0</v>
      </c>
      <c r="NOJ53" s="5">
        <f>-IFERROR('4. NPV'!NOK23/'4. NPV'!NOK$8,0)</f>
        <v>-0.0</v>
      </c>
      <c r="NOK53" s="5">
        <f>-IFERROR('4. NPV'!NOL23/'4. NPV'!NOL$8,0)</f>
        <v>-0.0</v>
      </c>
      <c r="NOL53" s="5">
        <f>-IFERROR('4. NPV'!NOM23/'4. NPV'!NOM$8,0)</f>
        <v>-0.0</v>
      </c>
      <c r="NOM53" s="5">
        <f>-IFERROR('4. NPV'!NON23/'4. NPV'!NON$8,0)</f>
        <v>-0.0</v>
      </c>
      <c r="NON53" s="5">
        <f>-IFERROR('4. NPV'!NOO23/'4. NPV'!NOO$8,0)</f>
        <v>-0.0</v>
      </c>
      <c r="NOO53" s="5">
        <f>-IFERROR('4. NPV'!NOP23/'4. NPV'!NOP$8,0)</f>
        <v>-0.0</v>
      </c>
      <c r="NOP53" s="5">
        <f>-IFERROR('4. NPV'!NOQ23/'4. NPV'!NOQ$8,0)</f>
        <v>-0.0</v>
      </c>
      <c r="NOQ53" s="5">
        <f>-IFERROR('4. NPV'!NOR23/'4. NPV'!NOR$8,0)</f>
        <v>-0.0</v>
      </c>
      <c r="NOR53" s="5">
        <f>-IFERROR('4. NPV'!NOS23/'4. NPV'!NOS$8,0)</f>
        <v>-0.0</v>
      </c>
      <c r="NOS53" s="5">
        <f>-IFERROR('4. NPV'!NOT23/'4. NPV'!NOT$8,0)</f>
        <v>-0.0</v>
      </c>
      <c r="NOT53" s="5">
        <f>-IFERROR('4. NPV'!NOU23/'4. NPV'!NOU$8,0)</f>
        <v>-0.0</v>
      </c>
      <c r="NOU53" s="5">
        <f>-IFERROR('4. NPV'!NOV23/'4. NPV'!NOV$8,0)</f>
        <v>-0.0</v>
      </c>
      <c r="NOV53" s="5">
        <f>-IFERROR('4. NPV'!NOW23/'4. NPV'!NOW$8,0)</f>
        <v>-0.0</v>
      </c>
      <c r="NOW53" s="5">
        <f>-IFERROR('4. NPV'!NOX23/'4. NPV'!NOX$8,0)</f>
        <v>-0.0</v>
      </c>
      <c r="NOX53" s="5">
        <f>-IFERROR('4. NPV'!NOY23/'4. NPV'!NOY$8,0)</f>
        <v>-0.0</v>
      </c>
      <c r="NOY53" s="5">
        <f>-IFERROR('4. NPV'!NOZ23/'4. NPV'!NOZ$8,0)</f>
        <v>-0.0</v>
      </c>
      <c r="NOZ53" s="5">
        <f>-IFERROR('4. NPV'!NPA23/'4. NPV'!NPA$8,0)</f>
        <v>-0.0</v>
      </c>
      <c r="NPA53" s="5">
        <f>-IFERROR('4. NPV'!NPB23/'4. NPV'!NPB$8,0)</f>
        <v>-0.0</v>
      </c>
      <c r="NPB53" s="5">
        <f>-IFERROR('4. NPV'!NPC23/'4. NPV'!NPC$8,0)</f>
        <v>-0.0</v>
      </c>
      <c r="NPC53" s="5">
        <f>-IFERROR('4. NPV'!NPD23/'4. NPV'!NPD$8,0)</f>
        <v>-0.0</v>
      </c>
      <c r="NPD53" s="5">
        <f>-IFERROR('4. NPV'!NPE23/'4. NPV'!NPE$8,0)</f>
        <v>-0.0</v>
      </c>
      <c r="NPE53" s="5">
        <f>-IFERROR('4. NPV'!NPF23/'4. NPV'!NPF$8,0)</f>
        <v>-0.0</v>
      </c>
      <c r="NPF53" s="5">
        <f>-IFERROR('4. NPV'!NPG23/'4. NPV'!NPG$8,0)</f>
        <v>-0.0</v>
      </c>
      <c r="NPG53" s="5">
        <f>-IFERROR('4. NPV'!NPH23/'4. NPV'!NPH$8,0)</f>
        <v>-0.0</v>
      </c>
      <c r="NPH53" s="5">
        <f>-IFERROR('4. NPV'!NPI23/'4. NPV'!NPI$8,0)</f>
        <v>-0.0</v>
      </c>
      <c r="NPI53" s="5">
        <f>-IFERROR('4. NPV'!NPJ23/'4. NPV'!NPJ$8,0)</f>
        <v>-0.0</v>
      </c>
      <c r="NPJ53" s="5">
        <f>-IFERROR('4. NPV'!NPK23/'4. NPV'!NPK$8,0)</f>
        <v>-0.0</v>
      </c>
      <c r="NPK53" s="5">
        <f>-IFERROR('4. NPV'!NPL23/'4. NPV'!NPL$8,0)</f>
        <v>-0.0</v>
      </c>
      <c r="NPL53" s="5">
        <f>-IFERROR('4. NPV'!NPM23/'4. NPV'!NPM$8,0)</f>
        <v>-0.0</v>
      </c>
      <c r="NPM53" s="5">
        <f>-IFERROR('4. NPV'!NPN23/'4. NPV'!NPN$8,0)</f>
        <v>-0.0</v>
      </c>
      <c r="NPN53" s="5">
        <f>-IFERROR('4. NPV'!NPO23/'4. NPV'!NPO$8,0)</f>
        <v>-0.0</v>
      </c>
      <c r="NPO53" s="5">
        <f>-IFERROR('4. NPV'!NPP23/'4. NPV'!NPP$8,0)</f>
        <v>-0.0</v>
      </c>
      <c r="NPP53" s="5">
        <f>-IFERROR('4. NPV'!NPQ23/'4. NPV'!NPQ$8,0)</f>
        <v>-0.0</v>
      </c>
      <c r="NPQ53" s="5">
        <f>-IFERROR('4. NPV'!NPR23/'4. NPV'!NPR$8,0)</f>
        <v>-0.0</v>
      </c>
      <c r="NPR53" s="5">
        <f>-IFERROR('4. NPV'!NPS23/'4. NPV'!NPS$8,0)</f>
        <v>-0.0</v>
      </c>
      <c r="NPS53" s="5">
        <f>-IFERROR('4. NPV'!NPT23/'4. NPV'!NPT$8,0)</f>
        <v>-0.0</v>
      </c>
      <c r="NPT53" s="5">
        <f>-IFERROR('4. NPV'!NPU23/'4. NPV'!NPU$8,0)</f>
        <v>-0.0</v>
      </c>
      <c r="NPU53" s="5">
        <f>-IFERROR('4. NPV'!NPV23/'4. NPV'!NPV$8,0)</f>
        <v>-0.0</v>
      </c>
      <c r="NPV53" s="5">
        <f>-IFERROR('4. NPV'!NPW23/'4. NPV'!NPW$8,0)</f>
        <v>-0.0</v>
      </c>
      <c r="NPW53" s="5">
        <f>-IFERROR('4. NPV'!NPX23/'4. NPV'!NPX$8,0)</f>
        <v>-0.0</v>
      </c>
      <c r="NPX53" s="5">
        <f>-IFERROR('4. NPV'!NPY23/'4. NPV'!NPY$8,0)</f>
        <v>-0.0</v>
      </c>
      <c r="NPY53" s="5">
        <f>-IFERROR('4. NPV'!NPZ23/'4. NPV'!NPZ$8,0)</f>
        <v>-0.0</v>
      </c>
      <c r="NPZ53" s="5">
        <f>-IFERROR('4. NPV'!NQA23/'4. NPV'!NQA$8,0)</f>
        <v>-0.0</v>
      </c>
      <c r="NQA53" s="5">
        <f>-IFERROR('4. NPV'!NQB23/'4. NPV'!NQB$8,0)</f>
        <v>-0.0</v>
      </c>
      <c r="NQB53" s="5">
        <f>-IFERROR('4. NPV'!NQC23/'4. NPV'!NQC$8,0)</f>
        <v>-0.0</v>
      </c>
      <c r="NQC53" s="5">
        <f>-IFERROR('4. NPV'!NQD23/'4. NPV'!NQD$8,0)</f>
        <v>-0.0</v>
      </c>
      <c r="NQD53" s="5">
        <f>-IFERROR('4. NPV'!NQE23/'4. NPV'!NQE$8,0)</f>
        <v>-0.0</v>
      </c>
      <c r="NQE53" s="5">
        <f>-IFERROR('4. NPV'!NQF23/'4. NPV'!NQF$8,0)</f>
        <v>-0.0</v>
      </c>
      <c r="NQF53" s="5">
        <f>-IFERROR('4. NPV'!NQG23/'4. NPV'!NQG$8,0)</f>
        <v>-0.0</v>
      </c>
      <c r="NQG53" s="5">
        <f>-IFERROR('4. NPV'!NQH23/'4. NPV'!NQH$8,0)</f>
        <v>-0.0</v>
      </c>
      <c r="NQH53" s="5">
        <f>-IFERROR('4. NPV'!NQI23/'4. NPV'!NQI$8,0)</f>
        <v>-0.0</v>
      </c>
      <c r="NQI53" s="5">
        <f>-IFERROR('4. NPV'!NQJ23/'4. NPV'!NQJ$8,0)</f>
        <v>-0.0</v>
      </c>
      <c r="NQJ53" s="5">
        <f>-IFERROR('4. NPV'!NQK23/'4. NPV'!NQK$8,0)</f>
        <v>-0.0</v>
      </c>
      <c r="NQK53" s="5">
        <f>-IFERROR('4. NPV'!NQL23/'4. NPV'!NQL$8,0)</f>
        <v>-0.0</v>
      </c>
      <c r="NQL53" s="5">
        <f>-IFERROR('4. NPV'!NQM23/'4. NPV'!NQM$8,0)</f>
        <v>-0.0</v>
      </c>
      <c r="NQM53" s="5">
        <f>-IFERROR('4. NPV'!NQN23/'4. NPV'!NQN$8,0)</f>
        <v>-0.0</v>
      </c>
      <c r="NQN53" s="5">
        <f>-IFERROR('4. NPV'!NQO23/'4. NPV'!NQO$8,0)</f>
        <v>-0.0</v>
      </c>
      <c r="NQO53" s="5">
        <f>-IFERROR('4. NPV'!NQP23/'4. NPV'!NQP$8,0)</f>
        <v>-0.0</v>
      </c>
      <c r="NQP53" s="5">
        <f>-IFERROR('4. NPV'!NQQ23/'4. NPV'!NQQ$8,0)</f>
        <v>-0.0</v>
      </c>
      <c r="NQQ53" s="5">
        <f>-IFERROR('4. NPV'!NQR23/'4. NPV'!NQR$8,0)</f>
        <v>-0.0</v>
      </c>
      <c r="NQR53" s="5">
        <f>-IFERROR('4. NPV'!NQS23/'4. NPV'!NQS$8,0)</f>
        <v>-0.0</v>
      </c>
      <c r="NQS53" s="5">
        <f>-IFERROR('4. NPV'!NQT23/'4. NPV'!NQT$8,0)</f>
        <v>-0.0</v>
      </c>
      <c r="NQT53" s="5">
        <f>-IFERROR('4. NPV'!NQU23/'4. NPV'!NQU$8,0)</f>
        <v>-0.0</v>
      </c>
      <c r="NQU53" s="5">
        <f>-IFERROR('4. NPV'!NQV23/'4. NPV'!NQV$8,0)</f>
        <v>-0.0</v>
      </c>
      <c r="NQV53" s="5">
        <f>-IFERROR('4. NPV'!NQW23/'4. NPV'!NQW$8,0)</f>
        <v>-0.0</v>
      </c>
      <c r="NQW53" s="5">
        <f>-IFERROR('4. NPV'!NQX23/'4. NPV'!NQX$8,0)</f>
        <v>-0.0</v>
      </c>
      <c r="NQX53" s="5">
        <f>-IFERROR('4. NPV'!NQY23/'4. NPV'!NQY$8,0)</f>
        <v>-0.0</v>
      </c>
      <c r="NQY53" s="5">
        <f>-IFERROR('4. NPV'!NQZ23/'4. NPV'!NQZ$8,0)</f>
        <v>-0.0</v>
      </c>
      <c r="NQZ53" s="5">
        <f>-IFERROR('4. NPV'!NRA23/'4. NPV'!NRA$8,0)</f>
        <v>-0.0</v>
      </c>
      <c r="NRA53" s="5">
        <f>-IFERROR('4. NPV'!NRB23/'4. NPV'!NRB$8,0)</f>
        <v>-0.0</v>
      </c>
      <c r="NRB53" s="5">
        <f>-IFERROR('4. NPV'!NRC23/'4. NPV'!NRC$8,0)</f>
        <v>-0.0</v>
      </c>
      <c r="NRC53" s="5">
        <f>-IFERROR('4. NPV'!NRD23/'4. NPV'!NRD$8,0)</f>
        <v>-0.0</v>
      </c>
      <c r="NRD53" s="5">
        <f>-IFERROR('4. NPV'!NRE23/'4. NPV'!NRE$8,0)</f>
        <v>-0.0</v>
      </c>
      <c r="NRE53" s="5">
        <f>-IFERROR('4. NPV'!NRF23/'4. NPV'!NRF$8,0)</f>
        <v>-0.0</v>
      </c>
      <c r="NRF53" s="5">
        <f>-IFERROR('4. NPV'!NRG23/'4. NPV'!NRG$8,0)</f>
        <v>-0.0</v>
      </c>
      <c r="NRG53" s="5">
        <f>-IFERROR('4. NPV'!NRH23/'4. NPV'!NRH$8,0)</f>
        <v>-0.0</v>
      </c>
      <c r="NRH53" s="5">
        <f>-IFERROR('4. NPV'!NRI23/'4. NPV'!NRI$8,0)</f>
        <v>-0.0</v>
      </c>
      <c r="NRI53" s="5">
        <f>-IFERROR('4. NPV'!NRJ23/'4. NPV'!NRJ$8,0)</f>
        <v>-0.0</v>
      </c>
      <c r="NRJ53" s="5">
        <f>-IFERROR('4. NPV'!NRK23/'4. NPV'!NRK$8,0)</f>
        <v>-0.0</v>
      </c>
      <c r="NRK53" s="5">
        <f>-IFERROR('4. NPV'!NRL23/'4. NPV'!NRL$8,0)</f>
        <v>-0.0</v>
      </c>
      <c r="NRL53" s="5">
        <f>-IFERROR('4. NPV'!NRM23/'4. NPV'!NRM$8,0)</f>
        <v>-0.0</v>
      </c>
      <c r="NRM53" s="5">
        <f>-IFERROR('4. NPV'!NRN23/'4. NPV'!NRN$8,0)</f>
        <v>-0.0</v>
      </c>
      <c r="NRN53" s="5">
        <f>-IFERROR('4. NPV'!NRO23/'4. NPV'!NRO$8,0)</f>
        <v>-0.0</v>
      </c>
      <c r="NRO53" s="5">
        <f>-IFERROR('4. NPV'!NRP23/'4. NPV'!NRP$8,0)</f>
        <v>-0.0</v>
      </c>
      <c r="NRP53" s="5">
        <f>-IFERROR('4. NPV'!NRQ23/'4. NPV'!NRQ$8,0)</f>
        <v>-0.0</v>
      </c>
      <c r="NRQ53" s="5">
        <f>-IFERROR('4. NPV'!NRR23/'4. NPV'!NRR$8,0)</f>
        <v>-0.0</v>
      </c>
      <c r="NRR53" s="5">
        <f>-IFERROR('4. NPV'!NRS23/'4. NPV'!NRS$8,0)</f>
        <v>-0.0</v>
      </c>
      <c r="NRS53" s="5">
        <f>-IFERROR('4. NPV'!NRT23/'4. NPV'!NRT$8,0)</f>
        <v>-0.0</v>
      </c>
      <c r="NRT53" s="5">
        <f>-IFERROR('4. NPV'!NRU23/'4. NPV'!NRU$8,0)</f>
        <v>-0.0</v>
      </c>
      <c r="NRU53" s="5">
        <f>-IFERROR('4. NPV'!NRV23/'4. NPV'!NRV$8,0)</f>
        <v>-0.0</v>
      </c>
      <c r="NRV53" s="5">
        <f>-IFERROR('4. NPV'!NRW23/'4. NPV'!NRW$8,0)</f>
        <v>-0.0</v>
      </c>
      <c r="NRW53" s="5">
        <f>-IFERROR('4. NPV'!NRX23/'4. NPV'!NRX$8,0)</f>
        <v>-0.0</v>
      </c>
      <c r="NRX53" s="5">
        <f>-IFERROR('4. NPV'!NRY23/'4. NPV'!NRY$8,0)</f>
        <v>-0.0</v>
      </c>
      <c r="NRY53" s="5">
        <f>-IFERROR('4. NPV'!NRZ23/'4. NPV'!NRZ$8,0)</f>
        <v>-0.0</v>
      </c>
      <c r="NRZ53" s="5">
        <f>-IFERROR('4. NPV'!NSA23/'4. NPV'!NSA$8,0)</f>
        <v>-0.0</v>
      </c>
      <c r="NSA53" s="5">
        <f>-IFERROR('4. NPV'!NSB23/'4. NPV'!NSB$8,0)</f>
        <v>-0.0</v>
      </c>
      <c r="NSB53" s="5">
        <f>-IFERROR('4. NPV'!NSC23/'4. NPV'!NSC$8,0)</f>
        <v>-0.0</v>
      </c>
      <c r="NSC53" s="5">
        <f>-IFERROR('4. NPV'!NSD23/'4. NPV'!NSD$8,0)</f>
        <v>-0.0</v>
      </c>
      <c r="NSD53" s="5">
        <f>-IFERROR('4. NPV'!NSE23/'4. NPV'!NSE$8,0)</f>
        <v>-0.0</v>
      </c>
      <c r="NSE53" s="5">
        <f>-IFERROR('4. NPV'!NSF23/'4. NPV'!NSF$8,0)</f>
        <v>-0.0</v>
      </c>
      <c r="NSF53" s="5">
        <f>-IFERROR('4. NPV'!NSG23/'4. NPV'!NSG$8,0)</f>
        <v>-0.0</v>
      </c>
      <c r="NSG53" s="5">
        <f>-IFERROR('4. NPV'!NSH23/'4. NPV'!NSH$8,0)</f>
        <v>-0.0</v>
      </c>
      <c r="NSH53" s="5">
        <f>-IFERROR('4. NPV'!NSI23/'4. NPV'!NSI$8,0)</f>
        <v>-0.0</v>
      </c>
      <c r="NSI53" s="5">
        <f>-IFERROR('4. NPV'!NSJ23/'4. NPV'!NSJ$8,0)</f>
        <v>-0.0</v>
      </c>
      <c r="NSJ53" s="5">
        <f>-IFERROR('4. NPV'!NSK23/'4. NPV'!NSK$8,0)</f>
        <v>-0.0</v>
      </c>
      <c r="NSK53" s="5">
        <f>-IFERROR('4. NPV'!NSL23/'4. NPV'!NSL$8,0)</f>
        <v>-0.0</v>
      </c>
      <c r="NSL53" s="5">
        <f>-IFERROR('4. NPV'!NSM23/'4. NPV'!NSM$8,0)</f>
        <v>-0.0</v>
      </c>
      <c r="NSM53" s="5">
        <f>-IFERROR('4. NPV'!NSN23/'4. NPV'!NSN$8,0)</f>
        <v>-0.0</v>
      </c>
      <c r="NSN53" s="5">
        <f>-IFERROR('4. NPV'!NSO23/'4. NPV'!NSO$8,0)</f>
        <v>-0.0</v>
      </c>
      <c r="NSO53" s="5">
        <f>-IFERROR('4. NPV'!NSP23/'4. NPV'!NSP$8,0)</f>
        <v>-0.0</v>
      </c>
      <c r="NSP53" s="5">
        <f>-IFERROR('4. NPV'!NSQ23/'4. NPV'!NSQ$8,0)</f>
        <v>-0.0</v>
      </c>
      <c r="NSQ53" s="5">
        <f>-IFERROR('4. NPV'!NSR23/'4. NPV'!NSR$8,0)</f>
        <v>-0.0</v>
      </c>
      <c r="NSR53" s="5">
        <f>-IFERROR('4. NPV'!NSS23/'4. NPV'!NSS$8,0)</f>
        <v>-0.0</v>
      </c>
      <c r="NSS53" s="5">
        <f>-IFERROR('4. NPV'!NST23/'4. NPV'!NST$8,0)</f>
        <v>-0.0</v>
      </c>
      <c r="NST53" s="5">
        <f>-IFERROR('4. NPV'!NSU23/'4. NPV'!NSU$8,0)</f>
        <v>-0.0</v>
      </c>
      <c r="NSU53" s="5">
        <f>-IFERROR('4. NPV'!NSV23/'4. NPV'!NSV$8,0)</f>
        <v>-0.0</v>
      </c>
      <c r="NSV53" s="5">
        <f>-IFERROR('4. NPV'!NSW23/'4. NPV'!NSW$8,0)</f>
        <v>-0.0</v>
      </c>
      <c r="NSW53" s="5">
        <f>-IFERROR('4. NPV'!NSX23/'4. NPV'!NSX$8,0)</f>
        <v>-0.0</v>
      </c>
      <c r="NSX53" s="5">
        <f>-IFERROR('4. NPV'!NSY23/'4. NPV'!NSY$8,0)</f>
        <v>-0.0</v>
      </c>
      <c r="NSY53" s="5">
        <f>-IFERROR('4. NPV'!NSZ23/'4. NPV'!NSZ$8,0)</f>
        <v>-0.0</v>
      </c>
      <c r="NSZ53" s="5">
        <f>-IFERROR('4. NPV'!NTA23/'4. NPV'!NTA$8,0)</f>
        <v>-0.0</v>
      </c>
      <c r="NTA53" s="5">
        <f>-IFERROR('4. NPV'!NTB23/'4. NPV'!NTB$8,0)</f>
        <v>-0.0</v>
      </c>
      <c r="NTB53" s="5">
        <f>-IFERROR('4. NPV'!NTC23/'4. NPV'!NTC$8,0)</f>
        <v>-0.0</v>
      </c>
      <c r="NTC53" s="5">
        <f>-IFERROR('4. NPV'!NTD23/'4. NPV'!NTD$8,0)</f>
        <v>-0.0</v>
      </c>
      <c r="NTD53" s="5">
        <f>-IFERROR('4. NPV'!NTE23/'4. NPV'!NTE$8,0)</f>
        <v>-0.0</v>
      </c>
      <c r="NTE53" s="5">
        <f>-IFERROR('4. NPV'!NTF23/'4. NPV'!NTF$8,0)</f>
        <v>-0.0</v>
      </c>
      <c r="NTF53" s="5">
        <f>-IFERROR('4. NPV'!NTG23/'4. NPV'!NTG$8,0)</f>
        <v>-0.0</v>
      </c>
      <c r="NTG53" s="5">
        <f>-IFERROR('4. NPV'!NTH23/'4. NPV'!NTH$8,0)</f>
        <v>-0.0</v>
      </c>
      <c r="NTH53" s="5">
        <f>-IFERROR('4. NPV'!NTI23/'4. NPV'!NTI$8,0)</f>
        <v>-0.0</v>
      </c>
      <c r="NTI53" s="5">
        <f>-IFERROR('4. NPV'!NTJ23/'4. NPV'!NTJ$8,0)</f>
        <v>-0.0</v>
      </c>
      <c r="NTJ53" s="5">
        <f>-IFERROR('4. NPV'!NTK23/'4. NPV'!NTK$8,0)</f>
        <v>-0.0</v>
      </c>
      <c r="NTK53" s="5">
        <f>-IFERROR('4. NPV'!NTL23/'4. NPV'!NTL$8,0)</f>
        <v>-0.0</v>
      </c>
      <c r="NTL53" s="5">
        <f>-IFERROR('4. NPV'!NTM23/'4. NPV'!NTM$8,0)</f>
        <v>-0.0</v>
      </c>
      <c r="NTM53" s="5">
        <f>-IFERROR('4. NPV'!NTN23/'4. NPV'!NTN$8,0)</f>
        <v>-0.0</v>
      </c>
      <c r="NTN53" s="5">
        <f>-IFERROR('4. NPV'!NTO23/'4. NPV'!NTO$8,0)</f>
        <v>-0.0</v>
      </c>
      <c r="NTO53" s="5">
        <f>-IFERROR('4. NPV'!NTP23/'4. NPV'!NTP$8,0)</f>
        <v>-0.0</v>
      </c>
      <c r="NTP53" s="5">
        <f>-IFERROR('4. NPV'!NTQ23/'4. NPV'!NTQ$8,0)</f>
        <v>-0.0</v>
      </c>
      <c r="NTQ53" s="5">
        <f>-IFERROR('4. NPV'!NTR23/'4. NPV'!NTR$8,0)</f>
        <v>-0.0</v>
      </c>
      <c r="NTR53" s="5">
        <f>-IFERROR('4. NPV'!NTS23/'4. NPV'!NTS$8,0)</f>
        <v>-0.0</v>
      </c>
      <c r="NTS53" s="5">
        <f>-IFERROR('4. NPV'!NTT23/'4. NPV'!NTT$8,0)</f>
        <v>-0.0</v>
      </c>
      <c r="NTT53" s="5">
        <f>-IFERROR('4. NPV'!NTU23/'4. NPV'!NTU$8,0)</f>
        <v>-0.0</v>
      </c>
      <c r="NTU53" s="5">
        <f>-IFERROR('4. NPV'!NTV23/'4. NPV'!NTV$8,0)</f>
        <v>-0.0</v>
      </c>
      <c r="NTV53" s="5">
        <f>-IFERROR('4. NPV'!NTW23/'4. NPV'!NTW$8,0)</f>
        <v>-0.0</v>
      </c>
      <c r="NTW53" s="5">
        <f>-IFERROR('4. NPV'!NTX23/'4. NPV'!NTX$8,0)</f>
        <v>-0.0</v>
      </c>
      <c r="NTX53" s="5">
        <f>-IFERROR('4. NPV'!NTY23/'4. NPV'!NTY$8,0)</f>
        <v>-0.0</v>
      </c>
      <c r="NTY53" s="5">
        <f>-IFERROR('4. NPV'!NTZ23/'4. NPV'!NTZ$8,0)</f>
        <v>-0.0</v>
      </c>
      <c r="NTZ53" s="5">
        <f>-IFERROR('4. NPV'!NUA23/'4. NPV'!NUA$8,0)</f>
        <v>-0.0</v>
      </c>
      <c r="NUA53" s="5">
        <f>-IFERROR('4. NPV'!NUB23/'4. NPV'!NUB$8,0)</f>
        <v>-0.0</v>
      </c>
      <c r="NUB53" s="5">
        <f>-IFERROR('4. NPV'!NUC23/'4. NPV'!NUC$8,0)</f>
        <v>-0.0</v>
      </c>
      <c r="NUC53" s="5">
        <f>-IFERROR('4. NPV'!NUD23/'4. NPV'!NUD$8,0)</f>
        <v>-0.0</v>
      </c>
      <c r="NUD53" s="5">
        <f>-IFERROR('4. NPV'!NUE23/'4. NPV'!NUE$8,0)</f>
        <v>-0.0</v>
      </c>
      <c r="NUE53" s="5">
        <f>-IFERROR('4. NPV'!NUF23/'4. NPV'!NUF$8,0)</f>
        <v>-0.0</v>
      </c>
      <c r="NUF53" s="5">
        <f>-IFERROR('4. NPV'!NUG23/'4. NPV'!NUG$8,0)</f>
        <v>-0.0</v>
      </c>
      <c r="NUG53" s="5">
        <f>-IFERROR('4. NPV'!NUH23/'4. NPV'!NUH$8,0)</f>
        <v>-0.0</v>
      </c>
      <c r="NUH53" s="5">
        <f>-IFERROR('4. NPV'!NUI23/'4. NPV'!NUI$8,0)</f>
        <v>-0.0</v>
      </c>
      <c r="NUI53" s="5">
        <f>-IFERROR('4. NPV'!NUJ23/'4. NPV'!NUJ$8,0)</f>
        <v>-0.0</v>
      </c>
      <c r="NUJ53" s="5">
        <f>-IFERROR('4. NPV'!NUK23/'4. NPV'!NUK$8,0)</f>
        <v>-0.0</v>
      </c>
      <c r="NUK53" s="5">
        <f>-IFERROR('4. NPV'!NUL23/'4. NPV'!NUL$8,0)</f>
        <v>-0.0</v>
      </c>
      <c r="NUL53" s="5">
        <f>-IFERROR('4. NPV'!NUM23/'4. NPV'!NUM$8,0)</f>
        <v>-0.0</v>
      </c>
      <c r="NUM53" s="5">
        <f>-IFERROR('4. NPV'!NUN23/'4. NPV'!NUN$8,0)</f>
        <v>-0.0</v>
      </c>
      <c r="NUN53" s="5">
        <f>-IFERROR('4. NPV'!NUO23/'4. NPV'!NUO$8,0)</f>
        <v>-0.0</v>
      </c>
      <c r="NUO53" s="5">
        <f>-IFERROR('4. NPV'!NUP23/'4. NPV'!NUP$8,0)</f>
        <v>-0.0</v>
      </c>
      <c r="NUP53" s="5">
        <f>-IFERROR('4. NPV'!NUQ23/'4. NPV'!NUQ$8,0)</f>
        <v>-0.0</v>
      </c>
      <c r="NUQ53" s="5">
        <f>-IFERROR('4. NPV'!NUR23/'4. NPV'!NUR$8,0)</f>
        <v>-0.0</v>
      </c>
      <c r="NUR53" s="5">
        <f>-IFERROR('4. NPV'!NUS23/'4. NPV'!NUS$8,0)</f>
        <v>-0.0</v>
      </c>
      <c r="NUS53" s="5">
        <f>-IFERROR('4. NPV'!NUT23/'4. NPV'!NUT$8,0)</f>
        <v>-0.0</v>
      </c>
      <c r="NUT53" s="5">
        <f>-IFERROR('4. NPV'!NUU23/'4. NPV'!NUU$8,0)</f>
        <v>-0.0</v>
      </c>
      <c r="NUU53" s="5">
        <f>-IFERROR('4. NPV'!NUV23/'4. NPV'!NUV$8,0)</f>
        <v>-0.0</v>
      </c>
      <c r="NUV53" s="5">
        <f>-IFERROR('4. NPV'!NUW23/'4. NPV'!NUW$8,0)</f>
        <v>-0.0</v>
      </c>
      <c r="NUW53" s="5">
        <f>-IFERROR('4. NPV'!NUX23/'4. NPV'!NUX$8,0)</f>
        <v>-0.0</v>
      </c>
      <c r="NUX53" s="5">
        <f>-IFERROR('4. NPV'!NUY23/'4. NPV'!NUY$8,0)</f>
        <v>-0.0</v>
      </c>
      <c r="NUY53" s="5">
        <f>-IFERROR('4. NPV'!NUZ23/'4. NPV'!NUZ$8,0)</f>
        <v>-0.0</v>
      </c>
      <c r="NUZ53" s="5">
        <f>-IFERROR('4. NPV'!NVA23/'4. NPV'!NVA$8,0)</f>
        <v>-0.0</v>
      </c>
      <c r="NVA53" s="5">
        <f>-IFERROR('4. NPV'!NVB23/'4. NPV'!NVB$8,0)</f>
        <v>-0.0</v>
      </c>
      <c r="NVB53" s="5">
        <f>-IFERROR('4. NPV'!NVC23/'4. NPV'!NVC$8,0)</f>
        <v>-0.0</v>
      </c>
      <c r="NVC53" s="5">
        <f>-IFERROR('4. NPV'!NVD23/'4. NPV'!NVD$8,0)</f>
        <v>-0.0</v>
      </c>
      <c r="NVD53" s="5">
        <f>-IFERROR('4. NPV'!NVE23/'4. NPV'!NVE$8,0)</f>
        <v>-0.0</v>
      </c>
      <c r="NVE53" s="5">
        <f>-IFERROR('4. NPV'!NVF23/'4. NPV'!NVF$8,0)</f>
        <v>-0.0</v>
      </c>
      <c r="NVF53" s="5">
        <f>-IFERROR('4. NPV'!NVG23/'4. NPV'!NVG$8,0)</f>
        <v>-0.0</v>
      </c>
      <c r="NVG53" s="5">
        <f>-IFERROR('4. NPV'!NVH23/'4. NPV'!NVH$8,0)</f>
        <v>-0.0</v>
      </c>
      <c r="NVH53" s="5">
        <f>-IFERROR('4. NPV'!NVI23/'4. NPV'!NVI$8,0)</f>
        <v>-0.0</v>
      </c>
      <c r="NVI53" s="5">
        <f>-IFERROR('4. NPV'!NVJ23/'4. NPV'!NVJ$8,0)</f>
        <v>-0.0</v>
      </c>
      <c r="NVJ53" s="5">
        <f>-IFERROR('4. NPV'!NVK23/'4. NPV'!NVK$8,0)</f>
        <v>-0.0</v>
      </c>
      <c r="NVK53" s="5">
        <f>-IFERROR('4. NPV'!NVL23/'4. NPV'!NVL$8,0)</f>
        <v>-0.0</v>
      </c>
      <c r="NVL53" s="5">
        <f>-IFERROR('4. NPV'!NVM23/'4. NPV'!NVM$8,0)</f>
        <v>-0.0</v>
      </c>
      <c r="NVM53" s="5">
        <f>-IFERROR('4. NPV'!NVN23/'4. NPV'!NVN$8,0)</f>
        <v>-0.0</v>
      </c>
      <c r="NVN53" s="5">
        <f>-IFERROR('4. NPV'!NVO23/'4. NPV'!NVO$8,0)</f>
        <v>-0.0</v>
      </c>
      <c r="NVO53" s="5">
        <f>-IFERROR('4. NPV'!NVP23/'4. NPV'!NVP$8,0)</f>
        <v>-0.0</v>
      </c>
      <c r="NVP53" s="5">
        <f>-IFERROR('4. NPV'!NVQ23/'4. NPV'!NVQ$8,0)</f>
        <v>-0.0</v>
      </c>
      <c r="NVQ53" s="5">
        <f>-IFERROR('4. NPV'!NVR23/'4. NPV'!NVR$8,0)</f>
        <v>-0.0</v>
      </c>
      <c r="NVR53" s="5">
        <f>-IFERROR('4. NPV'!NVS23/'4. NPV'!NVS$8,0)</f>
        <v>-0.0</v>
      </c>
      <c r="NVS53" s="5">
        <f>-IFERROR('4. NPV'!NVT23/'4. NPV'!NVT$8,0)</f>
        <v>-0.0</v>
      </c>
      <c r="NVT53" s="5">
        <f>-IFERROR('4. NPV'!NVU23/'4. NPV'!NVU$8,0)</f>
        <v>-0.0</v>
      </c>
      <c r="NVU53" s="5">
        <f>-IFERROR('4. NPV'!NVV23/'4. NPV'!NVV$8,0)</f>
        <v>-0.0</v>
      </c>
      <c r="NVV53" s="5">
        <f>-IFERROR('4. NPV'!NVW23/'4. NPV'!NVW$8,0)</f>
        <v>-0.0</v>
      </c>
      <c r="NVW53" s="5">
        <f>-IFERROR('4. NPV'!NVX23/'4. NPV'!NVX$8,0)</f>
        <v>-0.0</v>
      </c>
      <c r="NVX53" s="5">
        <f>-IFERROR('4. NPV'!NVY23/'4. NPV'!NVY$8,0)</f>
        <v>-0.0</v>
      </c>
      <c r="NVY53" s="5">
        <f>-IFERROR('4. NPV'!NVZ23/'4. NPV'!NVZ$8,0)</f>
        <v>-0.0</v>
      </c>
      <c r="NVZ53" s="5">
        <f>-IFERROR('4. NPV'!NWA23/'4. NPV'!NWA$8,0)</f>
        <v>-0.0</v>
      </c>
      <c r="NWA53" s="5">
        <f>-IFERROR('4. NPV'!NWB23/'4. NPV'!NWB$8,0)</f>
        <v>-0.0</v>
      </c>
      <c r="NWB53" s="5">
        <f>-IFERROR('4. NPV'!NWC23/'4. NPV'!NWC$8,0)</f>
        <v>-0.0</v>
      </c>
      <c r="NWC53" s="5">
        <f>-IFERROR('4. NPV'!NWD23/'4. NPV'!NWD$8,0)</f>
        <v>-0.0</v>
      </c>
      <c r="NWD53" s="5">
        <f>-IFERROR('4. NPV'!NWE23/'4. NPV'!NWE$8,0)</f>
        <v>-0.0</v>
      </c>
      <c r="NWE53" s="5">
        <f>-IFERROR('4. NPV'!NWF23/'4. NPV'!NWF$8,0)</f>
        <v>-0.0</v>
      </c>
      <c r="NWF53" s="5">
        <f>-IFERROR('4. NPV'!NWG23/'4. NPV'!NWG$8,0)</f>
        <v>-0.0</v>
      </c>
      <c r="NWG53" s="5">
        <f>-IFERROR('4. NPV'!NWH23/'4. NPV'!NWH$8,0)</f>
        <v>-0.0</v>
      </c>
      <c r="NWH53" s="5">
        <f>-IFERROR('4. NPV'!NWI23/'4. NPV'!NWI$8,0)</f>
        <v>-0.0</v>
      </c>
      <c r="NWI53" s="5">
        <f>-IFERROR('4. NPV'!NWJ23/'4. NPV'!NWJ$8,0)</f>
        <v>-0.0</v>
      </c>
      <c r="NWJ53" s="5">
        <f>-IFERROR('4. NPV'!NWK23/'4. NPV'!NWK$8,0)</f>
        <v>-0.0</v>
      </c>
      <c r="NWK53" s="5">
        <f>-IFERROR('4. NPV'!NWL23/'4. NPV'!NWL$8,0)</f>
        <v>-0.0</v>
      </c>
      <c r="NWL53" s="5">
        <f>-IFERROR('4. NPV'!NWM23/'4. NPV'!NWM$8,0)</f>
        <v>-0.0</v>
      </c>
      <c r="NWM53" s="5">
        <f>-IFERROR('4. NPV'!NWN23/'4. NPV'!NWN$8,0)</f>
        <v>-0.0</v>
      </c>
      <c r="NWN53" s="5">
        <f>-IFERROR('4. NPV'!NWO23/'4. NPV'!NWO$8,0)</f>
        <v>-0.0</v>
      </c>
      <c r="NWO53" s="5">
        <f>-IFERROR('4. NPV'!NWP23/'4. NPV'!NWP$8,0)</f>
        <v>-0.0</v>
      </c>
      <c r="NWP53" s="5">
        <f>-IFERROR('4. NPV'!NWQ23/'4. NPV'!NWQ$8,0)</f>
        <v>-0.0</v>
      </c>
      <c r="NWQ53" s="5">
        <f>-IFERROR('4. NPV'!NWR23/'4. NPV'!NWR$8,0)</f>
        <v>-0.0</v>
      </c>
      <c r="NWR53" s="5">
        <f>-IFERROR('4. NPV'!NWS23/'4. NPV'!NWS$8,0)</f>
        <v>-0.0</v>
      </c>
      <c r="NWS53" s="5">
        <f>-IFERROR('4. NPV'!NWT23/'4. NPV'!NWT$8,0)</f>
        <v>-0.0</v>
      </c>
      <c r="NWT53" s="5">
        <f>-IFERROR('4. NPV'!NWU23/'4. NPV'!NWU$8,0)</f>
        <v>-0.0</v>
      </c>
      <c r="NWU53" s="5">
        <f>-IFERROR('4. NPV'!NWV23/'4. NPV'!NWV$8,0)</f>
        <v>-0.0</v>
      </c>
      <c r="NWV53" s="5">
        <f>-IFERROR('4. NPV'!NWW23/'4. NPV'!NWW$8,0)</f>
        <v>-0.0</v>
      </c>
      <c r="NWW53" s="5">
        <f>-IFERROR('4. NPV'!NWX23/'4. NPV'!NWX$8,0)</f>
        <v>-0.0</v>
      </c>
      <c r="NWX53" s="5">
        <f>-IFERROR('4. NPV'!NWY23/'4. NPV'!NWY$8,0)</f>
        <v>-0.0</v>
      </c>
      <c r="NWY53" s="5">
        <f>-IFERROR('4. NPV'!NWZ23/'4. NPV'!NWZ$8,0)</f>
        <v>-0.0</v>
      </c>
      <c r="NWZ53" s="5">
        <f>-IFERROR('4. NPV'!NXA23/'4. NPV'!NXA$8,0)</f>
        <v>-0.0</v>
      </c>
      <c r="NXA53" s="5">
        <f>-IFERROR('4. NPV'!NXB23/'4. NPV'!NXB$8,0)</f>
        <v>-0.0</v>
      </c>
      <c r="NXB53" s="5">
        <f>-IFERROR('4. NPV'!NXC23/'4. NPV'!NXC$8,0)</f>
        <v>-0.0</v>
      </c>
      <c r="NXC53" s="5">
        <f>-IFERROR('4. NPV'!NXD23/'4. NPV'!NXD$8,0)</f>
        <v>-0.0</v>
      </c>
      <c r="NXD53" s="5">
        <f>-IFERROR('4. NPV'!NXE23/'4. NPV'!NXE$8,0)</f>
        <v>-0.0</v>
      </c>
      <c r="NXE53" s="5">
        <f>-IFERROR('4. NPV'!NXF23/'4. NPV'!NXF$8,0)</f>
        <v>-0.0</v>
      </c>
      <c r="NXF53" s="5">
        <f>-IFERROR('4. NPV'!NXG23/'4. NPV'!NXG$8,0)</f>
        <v>-0.0</v>
      </c>
      <c r="NXG53" s="5">
        <f>-IFERROR('4. NPV'!NXH23/'4. NPV'!NXH$8,0)</f>
        <v>-0.0</v>
      </c>
      <c r="NXH53" s="5">
        <f>-IFERROR('4. NPV'!NXI23/'4. NPV'!NXI$8,0)</f>
        <v>-0.0</v>
      </c>
      <c r="NXI53" s="5">
        <f>-IFERROR('4. NPV'!NXJ23/'4. NPV'!NXJ$8,0)</f>
        <v>-0.0</v>
      </c>
      <c r="NXJ53" s="5">
        <f>-IFERROR('4. NPV'!NXK23/'4. NPV'!NXK$8,0)</f>
        <v>-0.0</v>
      </c>
      <c r="NXK53" s="5">
        <f>-IFERROR('4. NPV'!NXL23/'4. NPV'!NXL$8,0)</f>
        <v>-0.0</v>
      </c>
      <c r="NXL53" s="5">
        <f>-IFERROR('4. NPV'!NXM23/'4. NPV'!NXM$8,0)</f>
        <v>-0.0</v>
      </c>
      <c r="NXM53" s="5">
        <f>-IFERROR('4. NPV'!NXN23/'4. NPV'!NXN$8,0)</f>
        <v>-0.0</v>
      </c>
      <c r="NXN53" s="5">
        <f>-IFERROR('4. NPV'!NXO23/'4. NPV'!NXO$8,0)</f>
        <v>-0.0</v>
      </c>
      <c r="NXO53" s="5">
        <f>-IFERROR('4. NPV'!NXP23/'4. NPV'!NXP$8,0)</f>
        <v>-0.0</v>
      </c>
      <c r="NXP53" s="5">
        <f>-IFERROR('4. NPV'!NXQ23/'4. NPV'!NXQ$8,0)</f>
        <v>-0.0</v>
      </c>
      <c r="NXQ53" s="5">
        <f>-IFERROR('4. NPV'!NXR23/'4. NPV'!NXR$8,0)</f>
        <v>-0.0</v>
      </c>
      <c r="NXR53" s="5">
        <f>-IFERROR('4. NPV'!NXS23/'4. NPV'!NXS$8,0)</f>
        <v>-0.0</v>
      </c>
      <c r="NXS53" s="5">
        <f>-IFERROR('4. NPV'!NXT23/'4. NPV'!NXT$8,0)</f>
        <v>-0.0</v>
      </c>
      <c r="NXT53" s="5">
        <f>-IFERROR('4. NPV'!NXU23/'4. NPV'!NXU$8,0)</f>
        <v>-0.0</v>
      </c>
      <c r="NXU53" s="5">
        <f>-IFERROR('4. NPV'!NXV23/'4. NPV'!NXV$8,0)</f>
        <v>-0.0</v>
      </c>
      <c r="NXV53" s="5">
        <f>-IFERROR('4. NPV'!NXW23/'4. NPV'!NXW$8,0)</f>
        <v>-0.0</v>
      </c>
      <c r="NXW53" s="5">
        <f>-IFERROR('4. NPV'!NXX23/'4. NPV'!NXX$8,0)</f>
        <v>-0.0</v>
      </c>
      <c r="NXX53" s="5">
        <f>-IFERROR('4. NPV'!NXY23/'4. NPV'!NXY$8,0)</f>
        <v>-0.0</v>
      </c>
      <c r="NXY53" s="5">
        <f>-IFERROR('4. NPV'!NXZ23/'4. NPV'!NXZ$8,0)</f>
        <v>-0.0</v>
      </c>
      <c r="NXZ53" s="5">
        <f>-IFERROR('4. NPV'!NYA23/'4. NPV'!NYA$8,0)</f>
        <v>-0.0</v>
      </c>
      <c r="NYA53" s="5">
        <f>-IFERROR('4. NPV'!NYB23/'4. NPV'!NYB$8,0)</f>
        <v>-0.0</v>
      </c>
      <c r="NYB53" s="5">
        <f>-IFERROR('4. NPV'!NYC23/'4. NPV'!NYC$8,0)</f>
        <v>-0.0</v>
      </c>
      <c r="NYC53" s="5">
        <f>-IFERROR('4. NPV'!NYD23/'4. NPV'!NYD$8,0)</f>
        <v>-0.0</v>
      </c>
      <c r="NYD53" s="5">
        <f>-IFERROR('4. NPV'!NYE23/'4. NPV'!NYE$8,0)</f>
        <v>-0.0</v>
      </c>
      <c r="NYE53" s="5">
        <f>-IFERROR('4. NPV'!NYF23/'4. NPV'!NYF$8,0)</f>
        <v>-0.0</v>
      </c>
      <c r="NYF53" s="5">
        <f>-IFERROR('4. NPV'!NYG23/'4. NPV'!NYG$8,0)</f>
        <v>-0.0</v>
      </c>
      <c r="NYG53" s="5">
        <f>-IFERROR('4. NPV'!NYH23/'4. NPV'!NYH$8,0)</f>
        <v>-0.0</v>
      </c>
      <c r="NYH53" s="5">
        <f>-IFERROR('4. NPV'!NYI23/'4. NPV'!NYI$8,0)</f>
        <v>-0.0</v>
      </c>
      <c r="NYI53" s="5">
        <f>-IFERROR('4. NPV'!NYJ23/'4. NPV'!NYJ$8,0)</f>
        <v>-0.0</v>
      </c>
      <c r="NYJ53" s="5">
        <f>-IFERROR('4. NPV'!NYK23/'4. NPV'!NYK$8,0)</f>
        <v>-0.0</v>
      </c>
      <c r="NYK53" s="5">
        <f>-IFERROR('4. NPV'!NYL23/'4. NPV'!NYL$8,0)</f>
        <v>-0.0</v>
      </c>
      <c r="NYL53" s="5">
        <f>-IFERROR('4. NPV'!NYM23/'4. NPV'!NYM$8,0)</f>
        <v>-0.0</v>
      </c>
      <c r="NYM53" s="5">
        <f>-IFERROR('4. NPV'!NYN23/'4. NPV'!NYN$8,0)</f>
        <v>-0.0</v>
      </c>
      <c r="NYN53" s="5">
        <f>-IFERROR('4. NPV'!NYO23/'4. NPV'!NYO$8,0)</f>
        <v>-0.0</v>
      </c>
      <c r="NYO53" s="5">
        <f>-IFERROR('4. NPV'!NYP23/'4. NPV'!NYP$8,0)</f>
        <v>-0.0</v>
      </c>
      <c r="NYP53" s="5">
        <f>-IFERROR('4. NPV'!NYQ23/'4. NPV'!NYQ$8,0)</f>
        <v>-0.0</v>
      </c>
      <c r="NYQ53" s="5">
        <f>-IFERROR('4. NPV'!NYR23/'4. NPV'!NYR$8,0)</f>
        <v>-0.0</v>
      </c>
      <c r="NYR53" s="5">
        <f>-IFERROR('4. NPV'!NYS23/'4. NPV'!NYS$8,0)</f>
        <v>-0.0</v>
      </c>
      <c r="NYS53" s="5">
        <f>-IFERROR('4. NPV'!NYT23/'4. NPV'!NYT$8,0)</f>
        <v>-0.0</v>
      </c>
      <c r="NYT53" s="5">
        <f>-IFERROR('4. NPV'!NYU23/'4. NPV'!NYU$8,0)</f>
        <v>-0.0</v>
      </c>
      <c r="NYU53" s="5">
        <f>-IFERROR('4. NPV'!NYV23/'4. NPV'!NYV$8,0)</f>
        <v>-0.0</v>
      </c>
      <c r="NYV53" s="5">
        <f>-IFERROR('4. NPV'!NYW23/'4. NPV'!NYW$8,0)</f>
        <v>-0.0</v>
      </c>
      <c r="NYW53" s="5">
        <f>-IFERROR('4. NPV'!NYX23/'4. NPV'!NYX$8,0)</f>
        <v>-0.0</v>
      </c>
      <c r="NYX53" s="5">
        <f>-IFERROR('4. NPV'!NYY23/'4. NPV'!NYY$8,0)</f>
        <v>-0.0</v>
      </c>
      <c r="NYY53" s="5">
        <f>-IFERROR('4. NPV'!NYZ23/'4. NPV'!NYZ$8,0)</f>
        <v>-0.0</v>
      </c>
      <c r="NYZ53" s="5">
        <f>-IFERROR('4. NPV'!NZA23/'4. NPV'!NZA$8,0)</f>
        <v>-0.0</v>
      </c>
      <c r="NZA53" s="5">
        <f>-IFERROR('4. NPV'!NZB23/'4. NPV'!NZB$8,0)</f>
        <v>-0.0</v>
      </c>
      <c r="NZB53" s="5">
        <f>-IFERROR('4. NPV'!NZC23/'4. NPV'!NZC$8,0)</f>
        <v>-0.0</v>
      </c>
      <c r="NZC53" s="5">
        <f>-IFERROR('4. NPV'!NZD23/'4. NPV'!NZD$8,0)</f>
        <v>-0.0</v>
      </c>
      <c r="NZD53" s="5">
        <f>-IFERROR('4. NPV'!NZE23/'4. NPV'!NZE$8,0)</f>
        <v>-0.0</v>
      </c>
      <c r="NZE53" s="5">
        <f>-IFERROR('4. NPV'!NZF23/'4. NPV'!NZF$8,0)</f>
        <v>-0.0</v>
      </c>
      <c r="NZF53" s="5">
        <f>-IFERROR('4. NPV'!NZG23/'4. NPV'!NZG$8,0)</f>
        <v>-0.0</v>
      </c>
      <c r="NZG53" s="5">
        <f>-IFERROR('4. NPV'!NZH23/'4. NPV'!NZH$8,0)</f>
        <v>-0.0</v>
      </c>
      <c r="NZH53" s="5">
        <f>-IFERROR('4. NPV'!NZI23/'4. NPV'!NZI$8,0)</f>
        <v>-0.0</v>
      </c>
      <c r="NZI53" s="5">
        <f>-IFERROR('4. NPV'!NZJ23/'4. NPV'!NZJ$8,0)</f>
        <v>-0.0</v>
      </c>
      <c r="NZJ53" s="5">
        <f>-IFERROR('4. NPV'!NZK23/'4. NPV'!NZK$8,0)</f>
        <v>-0.0</v>
      </c>
      <c r="NZK53" s="5">
        <f>-IFERROR('4. NPV'!NZL23/'4. NPV'!NZL$8,0)</f>
        <v>-0.0</v>
      </c>
      <c r="NZL53" s="5">
        <f>-IFERROR('4. NPV'!NZM23/'4. NPV'!NZM$8,0)</f>
        <v>-0.0</v>
      </c>
      <c r="NZM53" s="5">
        <f>-IFERROR('4. NPV'!NZN23/'4. NPV'!NZN$8,0)</f>
        <v>-0.0</v>
      </c>
      <c r="NZN53" s="5">
        <f>-IFERROR('4. NPV'!NZO23/'4. NPV'!NZO$8,0)</f>
        <v>-0.0</v>
      </c>
      <c r="NZO53" s="5">
        <f>-IFERROR('4. NPV'!NZP23/'4. NPV'!NZP$8,0)</f>
        <v>-0.0</v>
      </c>
      <c r="NZP53" s="5">
        <f>-IFERROR('4. NPV'!NZQ23/'4. NPV'!NZQ$8,0)</f>
        <v>-0.0</v>
      </c>
      <c r="NZQ53" s="5">
        <f>-IFERROR('4. NPV'!NZR23/'4. NPV'!NZR$8,0)</f>
        <v>-0.0</v>
      </c>
      <c r="NZR53" s="5">
        <f>-IFERROR('4. NPV'!NZS23/'4. NPV'!NZS$8,0)</f>
        <v>-0.0</v>
      </c>
      <c r="NZS53" s="5">
        <f>-IFERROR('4. NPV'!NZT23/'4. NPV'!NZT$8,0)</f>
        <v>-0.0</v>
      </c>
      <c r="NZT53" s="5">
        <f>-IFERROR('4. NPV'!NZU23/'4. NPV'!NZU$8,0)</f>
        <v>-0.0</v>
      </c>
      <c r="NZU53" s="5">
        <f>-IFERROR('4. NPV'!NZV23/'4. NPV'!NZV$8,0)</f>
        <v>-0.0</v>
      </c>
      <c r="NZV53" s="5">
        <f>-IFERROR('4. NPV'!NZW23/'4. NPV'!NZW$8,0)</f>
        <v>-0.0</v>
      </c>
      <c r="NZW53" s="5">
        <f>-IFERROR('4. NPV'!NZX23/'4. NPV'!NZX$8,0)</f>
        <v>-0.0</v>
      </c>
      <c r="NZX53" s="5">
        <f>-IFERROR('4. NPV'!NZY23/'4. NPV'!NZY$8,0)</f>
        <v>-0.0</v>
      </c>
      <c r="NZY53" s="5">
        <f>-IFERROR('4. NPV'!NZZ23/'4. NPV'!NZZ$8,0)</f>
        <v>-0.0</v>
      </c>
      <c r="NZZ53" s="5">
        <f>-IFERROR('4. NPV'!OAA23/'4. NPV'!OAA$8,0)</f>
        <v>-0.0</v>
      </c>
      <c r="OAA53" s="5">
        <f>-IFERROR('4. NPV'!OAB23/'4. NPV'!OAB$8,0)</f>
        <v>-0.0</v>
      </c>
      <c r="OAB53" s="5">
        <f>-IFERROR('4. NPV'!OAC23/'4. NPV'!OAC$8,0)</f>
        <v>-0.0</v>
      </c>
      <c r="OAC53" s="5">
        <f>-IFERROR('4. NPV'!OAD23/'4. NPV'!OAD$8,0)</f>
        <v>-0.0</v>
      </c>
      <c r="OAD53" s="5">
        <f>-IFERROR('4. NPV'!OAE23/'4. NPV'!OAE$8,0)</f>
        <v>-0.0</v>
      </c>
      <c r="OAE53" s="5">
        <f>-IFERROR('4. NPV'!OAF23/'4. NPV'!OAF$8,0)</f>
        <v>-0.0</v>
      </c>
      <c r="OAF53" s="5">
        <f>-IFERROR('4. NPV'!OAG23/'4. NPV'!OAG$8,0)</f>
        <v>-0.0</v>
      </c>
      <c r="OAG53" s="5">
        <f>-IFERROR('4. NPV'!OAH23/'4. NPV'!OAH$8,0)</f>
        <v>-0.0</v>
      </c>
      <c r="OAH53" s="5">
        <f>-IFERROR('4. NPV'!OAI23/'4. NPV'!OAI$8,0)</f>
        <v>-0.0</v>
      </c>
      <c r="OAI53" s="5">
        <f>-IFERROR('4. NPV'!OAJ23/'4. NPV'!OAJ$8,0)</f>
        <v>-0.0</v>
      </c>
      <c r="OAJ53" s="5">
        <f>-IFERROR('4. NPV'!OAK23/'4. NPV'!OAK$8,0)</f>
        <v>-0.0</v>
      </c>
      <c r="OAK53" s="5">
        <f>-IFERROR('4. NPV'!OAL23/'4. NPV'!OAL$8,0)</f>
        <v>-0.0</v>
      </c>
      <c r="OAL53" s="5">
        <f>-IFERROR('4. NPV'!OAM23/'4. NPV'!OAM$8,0)</f>
        <v>-0.0</v>
      </c>
      <c r="OAM53" s="5">
        <f>-IFERROR('4. NPV'!OAN23/'4. NPV'!OAN$8,0)</f>
        <v>-0.0</v>
      </c>
      <c r="OAN53" s="5">
        <f>-IFERROR('4. NPV'!OAO23/'4. NPV'!OAO$8,0)</f>
        <v>-0.0</v>
      </c>
      <c r="OAO53" s="5">
        <f>-IFERROR('4. NPV'!OAP23/'4. NPV'!OAP$8,0)</f>
        <v>-0.0</v>
      </c>
      <c r="OAP53" s="5">
        <f>-IFERROR('4. NPV'!OAQ23/'4. NPV'!OAQ$8,0)</f>
        <v>-0.0</v>
      </c>
      <c r="OAQ53" s="5">
        <f>-IFERROR('4. NPV'!OAR23/'4. NPV'!OAR$8,0)</f>
        <v>-0.0</v>
      </c>
      <c r="OAR53" s="5">
        <f>-IFERROR('4. NPV'!OAS23/'4. NPV'!OAS$8,0)</f>
        <v>-0.0</v>
      </c>
      <c r="OAS53" s="5">
        <f>-IFERROR('4. NPV'!OAT23/'4. NPV'!OAT$8,0)</f>
        <v>-0.0</v>
      </c>
      <c r="OAT53" s="5">
        <f>-IFERROR('4. NPV'!OAU23/'4. NPV'!OAU$8,0)</f>
        <v>-0.0</v>
      </c>
      <c r="OAU53" s="5">
        <f>-IFERROR('4. NPV'!OAV23/'4. NPV'!OAV$8,0)</f>
        <v>-0.0</v>
      </c>
      <c r="OAV53" s="5">
        <f>-IFERROR('4. NPV'!OAW23/'4. NPV'!OAW$8,0)</f>
        <v>-0.0</v>
      </c>
      <c r="OAW53" s="5">
        <f>-IFERROR('4. NPV'!OAX23/'4. NPV'!OAX$8,0)</f>
        <v>-0.0</v>
      </c>
      <c r="OAX53" s="5">
        <f>-IFERROR('4. NPV'!OAY23/'4. NPV'!OAY$8,0)</f>
        <v>-0.0</v>
      </c>
      <c r="OAY53" s="5">
        <f>-IFERROR('4. NPV'!OAZ23/'4. NPV'!OAZ$8,0)</f>
        <v>-0.0</v>
      </c>
      <c r="OAZ53" s="5">
        <f>-IFERROR('4. NPV'!OBA23/'4. NPV'!OBA$8,0)</f>
        <v>-0.0</v>
      </c>
      <c r="OBA53" s="5">
        <f>-IFERROR('4. NPV'!OBB23/'4. NPV'!OBB$8,0)</f>
        <v>-0.0</v>
      </c>
      <c r="OBB53" s="5">
        <f>-IFERROR('4. NPV'!OBC23/'4. NPV'!OBC$8,0)</f>
        <v>-0.0</v>
      </c>
      <c r="OBC53" s="5">
        <f>-IFERROR('4. NPV'!OBD23/'4. NPV'!OBD$8,0)</f>
        <v>-0.0</v>
      </c>
      <c r="OBD53" s="5">
        <f>-IFERROR('4. NPV'!OBE23/'4. NPV'!OBE$8,0)</f>
        <v>-0.0</v>
      </c>
      <c r="OBE53" s="5">
        <f>-IFERROR('4. NPV'!OBF23/'4. NPV'!OBF$8,0)</f>
        <v>-0.0</v>
      </c>
      <c r="OBF53" s="5">
        <f>-IFERROR('4. NPV'!OBG23/'4. NPV'!OBG$8,0)</f>
        <v>-0.0</v>
      </c>
      <c r="OBG53" s="5">
        <f>-IFERROR('4. NPV'!OBH23/'4. NPV'!OBH$8,0)</f>
        <v>-0.0</v>
      </c>
      <c r="OBH53" s="5">
        <f>-IFERROR('4. NPV'!OBI23/'4. NPV'!OBI$8,0)</f>
        <v>-0.0</v>
      </c>
      <c r="OBI53" s="5">
        <f>-IFERROR('4. NPV'!OBJ23/'4. NPV'!OBJ$8,0)</f>
        <v>-0.0</v>
      </c>
      <c r="OBJ53" s="5">
        <f>-IFERROR('4. NPV'!OBK23/'4. NPV'!OBK$8,0)</f>
        <v>-0.0</v>
      </c>
      <c r="OBK53" s="5">
        <f>-IFERROR('4. NPV'!OBL23/'4. NPV'!OBL$8,0)</f>
        <v>-0.0</v>
      </c>
      <c r="OBL53" s="5">
        <f>-IFERROR('4. NPV'!OBM23/'4. NPV'!OBM$8,0)</f>
        <v>-0.0</v>
      </c>
      <c r="OBM53" s="5">
        <f>-IFERROR('4. NPV'!OBN23/'4. NPV'!OBN$8,0)</f>
        <v>-0.0</v>
      </c>
      <c r="OBN53" s="5">
        <f>-IFERROR('4. NPV'!OBO23/'4. NPV'!OBO$8,0)</f>
        <v>-0.0</v>
      </c>
      <c r="OBO53" s="5">
        <f>-IFERROR('4. NPV'!OBP23/'4. NPV'!OBP$8,0)</f>
        <v>-0.0</v>
      </c>
      <c r="OBP53" s="5">
        <f>-IFERROR('4. NPV'!OBQ23/'4. NPV'!OBQ$8,0)</f>
        <v>-0.0</v>
      </c>
      <c r="OBQ53" s="5">
        <f>-IFERROR('4. NPV'!OBR23/'4. NPV'!OBR$8,0)</f>
        <v>-0.0</v>
      </c>
      <c r="OBR53" s="5">
        <f>-IFERROR('4. NPV'!OBS23/'4. NPV'!OBS$8,0)</f>
        <v>-0.0</v>
      </c>
      <c r="OBS53" s="5">
        <f>-IFERROR('4. NPV'!OBT23/'4. NPV'!OBT$8,0)</f>
        <v>-0.0</v>
      </c>
      <c r="OBT53" s="5">
        <f>-IFERROR('4. NPV'!OBU23/'4. NPV'!OBU$8,0)</f>
        <v>-0.0</v>
      </c>
      <c r="OBU53" s="5">
        <f>-IFERROR('4. NPV'!OBV23/'4. NPV'!OBV$8,0)</f>
        <v>-0.0</v>
      </c>
      <c r="OBV53" s="5">
        <f>-IFERROR('4. NPV'!OBW23/'4. NPV'!OBW$8,0)</f>
        <v>-0.0</v>
      </c>
      <c r="OBW53" s="5">
        <f>-IFERROR('4. NPV'!OBX23/'4. NPV'!OBX$8,0)</f>
        <v>-0.0</v>
      </c>
      <c r="OBX53" s="5">
        <f>-IFERROR('4. NPV'!OBY23/'4. NPV'!OBY$8,0)</f>
        <v>-0.0</v>
      </c>
      <c r="OBY53" s="5">
        <f>-IFERROR('4. NPV'!OBZ23/'4. NPV'!OBZ$8,0)</f>
        <v>-0.0</v>
      </c>
      <c r="OBZ53" s="5">
        <f>-IFERROR('4. NPV'!OCA23/'4. NPV'!OCA$8,0)</f>
        <v>-0.0</v>
      </c>
      <c r="OCA53" s="5">
        <f>-IFERROR('4. NPV'!OCB23/'4. NPV'!OCB$8,0)</f>
        <v>-0.0</v>
      </c>
      <c r="OCB53" s="5">
        <f>-IFERROR('4. NPV'!OCC23/'4. NPV'!OCC$8,0)</f>
        <v>-0.0</v>
      </c>
      <c r="OCC53" s="5">
        <f>-IFERROR('4. NPV'!OCD23/'4. NPV'!OCD$8,0)</f>
        <v>-0.0</v>
      </c>
      <c r="OCD53" s="5">
        <f>-IFERROR('4. NPV'!OCE23/'4. NPV'!OCE$8,0)</f>
        <v>-0.0</v>
      </c>
      <c r="OCE53" s="5">
        <f>-IFERROR('4. NPV'!OCF23/'4. NPV'!OCF$8,0)</f>
        <v>-0.0</v>
      </c>
      <c r="OCF53" s="5">
        <f>-IFERROR('4. NPV'!OCG23/'4. NPV'!OCG$8,0)</f>
        <v>-0.0</v>
      </c>
      <c r="OCG53" s="5">
        <f>-IFERROR('4. NPV'!OCH23/'4. NPV'!OCH$8,0)</f>
        <v>-0.0</v>
      </c>
      <c r="OCH53" s="5">
        <f>-IFERROR('4. NPV'!OCI23/'4. NPV'!OCI$8,0)</f>
        <v>-0.0</v>
      </c>
      <c r="OCI53" s="5">
        <f>-IFERROR('4. NPV'!OCJ23/'4. NPV'!OCJ$8,0)</f>
        <v>-0.0</v>
      </c>
      <c r="OCJ53" s="5">
        <f>-IFERROR('4. NPV'!OCK23/'4. NPV'!OCK$8,0)</f>
        <v>-0.0</v>
      </c>
      <c r="OCK53" s="5">
        <f>-IFERROR('4. NPV'!OCL23/'4. NPV'!OCL$8,0)</f>
        <v>-0.0</v>
      </c>
      <c r="OCL53" s="5">
        <f>-IFERROR('4. NPV'!OCM23/'4. NPV'!OCM$8,0)</f>
        <v>-0.0</v>
      </c>
      <c r="OCM53" s="5">
        <f>-IFERROR('4. NPV'!OCN23/'4. NPV'!OCN$8,0)</f>
        <v>-0.0</v>
      </c>
      <c r="OCN53" s="5">
        <f>-IFERROR('4. NPV'!OCO23/'4. NPV'!OCO$8,0)</f>
        <v>-0.0</v>
      </c>
      <c r="OCO53" s="5">
        <f>-IFERROR('4. NPV'!OCP23/'4. NPV'!OCP$8,0)</f>
        <v>-0.0</v>
      </c>
      <c r="OCP53" s="5">
        <f>-IFERROR('4. NPV'!OCQ23/'4. NPV'!OCQ$8,0)</f>
        <v>-0.0</v>
      </c>
      <c r="OCQ53" s="5">
        <f>-IFERROR('4. NPV'!OCR23/'4. NPV'!OCR$8,0)</f>
        <v>-0.0</v>
      </c>
      <c r="OCR53" s="5">
        <f>-IFERROR('4. NPV'!OCS23/'4. NPV'!OCS$8,0)</f>
        <v>-0.0</v>
      </c>
      <c r="OCS53" s="5">
        <f>-IFERROR('4. NPV'!OCT23/'4. NPV'!OCT$8,0)</f>
        <v>-0.0</v>
      </c>
      <c r="OCT53" s="5">
        <f>-IFERROR('4. NPV'!OCU23/'4. NPV'!OCU$8,0)</f>
        <v>-0.0</v>
      </c>
      <c r="OCU53" s="5">
        <f>-IFERROR('4. NPV'!OCV23/'4. NPV'!OCV$8,0)</f>
        <v>-0.0</v>
      </c>
      <c r="OCV53" s="5">
        <f>-IFERROR('4. NPV'!OCW23/'4. NPV'!OCW$8,0)</f>
        <v>-0.0</v>
      </c>
      <c r="OCW53" s="5">
        <f>-IFERROR('4. NPV'!OCX23/'4. NPV'!OCX$8,0)</f>
        <v>-0.0</v>
      </c>
      <c r="OCX53" s="5">
        <f>-IFERROR('4. NPV'!OCY23/'4. NPV'!OCY$8,0)</f>
        <v>-0.0</v>
      </c>
      <c r="OCY53" s="5">
        <f>-IFERROR('4. NPV'!OCZ23/'4. NPV'!OCZ$8,0)</f>
        <v>-0.0</v>
      </c>
      <c r="OCZ53" s="5">
        <f>-IFERROR('4. NPV'!ODA23/'4. NPV'!ODA$8,0)</f>
        <v>-0.0</v>
      </c>
      <c r="ODA53" s="5">
        <f>-IFERROR('4. NPV'!ODB23/'4. NPV'!ODB$8,0)</f>
        <v>-0.0</v>
      </c>
      <c r="ODB53" s="5">
        <f>-IFERROR('4. NPV'!ODC23/'4. NPV'!ODC$8,0)</f>
        <v>-0.0</v>
      </c>
      <c r="ODC53" s="5">
        <f>-IFERROR('4. NPV'!ODD23/'4. NPV'!ODD$8,0)</f>
        <v>-0.0</v>
      </c>
      <c r="ODD53" s="5">
        <f>-IFERROR('4. NPV'!ODE23/'4. NPV'!ODE$8,0)</f>
        <v>-0.0</v>
      </c>
      <c r="ODE53" s="5">
        <f>-IFERROR('4. NPV'!ODF23/'4. NPV'!ODF$8,0)</f>
        <v>-0.0</v>
      </c>
      <c r="ODF53" s="5">
        <f>-IFERROR('4. NPV'!ODG23/'4. NPV'!ODG$8,0)</f>
        <v>-0.0</v>
      </c>
      <c r="ODG53" s="5">
        <f>-IFERROR('4. NPV'!ODH23/'4. NPV'!ODH$8,0)</f>
        <v>-0.0</v>
      </c>
      <c r="ODH53" s="5">
        <f>-IFERROR('4. NPV'!ODI23/'4. NPV'!ODI$8,0)</f>
        <v>-0.0</v>
      </c>
      <c r="ODI53" s="5">
        <f>-IFERROR('4. NPV'!ODJ23/'4. NPV'!ODJ$8,0)</f>
        <v>-0.0</v>
      </c>
      <c r="ODJ53" s="5">
        <f>-IFERROR('4. NPV'!ODK23/'4. NPV'!ODK$8,0)</f>
        <v>-0.0</v>
      </c>
      <c r="ODK53" s="5">
        <f>-IFERROR('4. NPV'!ODL23/'4. NPV'!ODL$8,0)</f>
        <v>-0.0</v>
      </c>
      <c r="ODL53" s="5">
        <f>-IFERROR('4. NPV'!ODM23/'4. NPV'!ODM$8,0)</f>
        <v>-0.0</v>
      </c>
      <c r="ODM53" s="5">
        <f>-IFERROR('4. NPV'!ODN23/'4. NPV'!ODN$8,0)</f>
        <v>-0.0</v>
      </c>
      <c r="ODN53" s="5">
        <f>-IFERROR('4. NPV'!ODO23/'4. NPV'!ODO$8,0)</f>
        <v>-0.0</v>
      </c>
      <c r="ODO53" s="5">
        <f>-IFERROR('4. NPV'!ODP23/'4. NPV'!ODP$8,0)</f>
        <v>-0.0</v>
      </c>
      <c r="ODP53" s="5">
        <f>-IFERROR('4. NPV'!ODQ23/'4. NPV'!ODQ$8,0)</f>
        <v>-0.0</v>
      </c>
      <c r="ODQ53" s="5">
        <f>-IFERROR('4. NPV'!ODR23/'4. NPV'!ODR$8,0)</f>
        <v>-0.0</v>
      </c>
      <c r="ODR53" s="5">
        <f>-IFERROR('4. NPV'!ODS23/'4. NPV'!ODS$8,0)</f>
        <v>-0.0</v>
      </c>
      <c r="ODS53" s="5">
        <f>-IFERROR('4. NPV'!ODT23/'4. NPV'!ODT$8,0)</f>
        <v>-0.0</v>
      </c>
      <c r="ODT53" s="5">
        <f>-IFERROR('4. NPV'!ODU23/'4. NPV'!ODU$8,0)</f>
        <v>-0.0</v>
      </c>
      <c r="ODU53" s="5">
        <f>-IFERROR('4. NPV'!ODV23/'4. NPV'!ODV$8,0)</f>
        <v>-0.0</v>
      </c>
      <c r="ODV53" s="5">
        <f>-IFERROR('4. NPV'!ODW23/'4. NPV'!ODW$8,0)</f>
        <v>-0.0</v>
      </c>
      <c r="ODW53" s="5">
        <f>-IFERROR('4. NPV'!ODX23/'4. NPV'!ODX$8,0)</f>
        <v>-0.0</v>
      </c>
      <c r="ODX53" s="5">
        <f>-IFERROR('4. NPV'!ODY23/'4. NPV'!ODY$8,0)</f>
        <v>-0.0</v>
      </c>
      <c r="ODY53" s="5">
        <f>-IFERROR('4. NPV'!ODZ23/'4. NPV'!ODZ$8,0)</f>
        <v>-0.0</v>
      </c>
      <c r="ODZ53" s="5">
        <f>-IFERROR('4. NPV'!OEA23/'4. NPV'!OEA$8,0)</f>
        <v>-0.0</v>
      </c>
      <c r="OEA53" s="5">
        <f>-IFERROR('4. NPV'!OEB23/'4. NPV'!OEB$8,0)</f>
        <v>-0.0</v>
      </c>
      <c r="OEB53" s="5">
        <f>-IFERROR('4. NPV'!OEC23/'4. NPV'!OEC$8,0)</f>
        <v>-0.0</v>
      </c>
      <c r="OEC53" s="5">
        <f>-IFERROR('4. NPV'!OED23/'4. NPV'!OED$8,0)</f>
        <v>-0.0</v>
      </c>
      <c r="OED53" s="5">
        <f>-IFERROR('4. NPV'!OEE23/'4. NPV'!OEE$8,0)</f>
        <v>-0.0</v>
      </c>
      <c r="OEE53" s="5">
        <f>-IFERROR('4. NPV'!OEF23/'4. NPV'!OEF$8,0)</f>
        <v>-0.0</v>
      </c>
      <c r="OEF53" s="5">
        <f>-IFERROR('4. NPV'!OEG23/'4. NPV'!OEG$8,0)</f>
        <v>-0.0</v>
      </c>
      <c r="OEG53" s="5">
        <f>-IFERROR('4. NPV'!OEH23/'4. NPV'!OEH$8,0)</f>
        <v>-0.0</v>
      </c>
      <c r="OEH53" s="5">
        <f>-IFERROR('4. NPV'!OEI23/'4. NPV'!OEI$8,0)</f>
        <v>-0.0</v>
      </c>
      <c r="OEI53" s="5">
        <f>-IFERROR('4. NPV'!OEJ23/'4. NPV'!OEJ$8,0)</f>
        <v>-0.0</v>
      </c>
      <c r="OEJ53" s="5">
        <f>-IFERROR('4. NPV'!OEK23/'4. NPV'!OEK$8,0)</f>
        <v>-0.0</v>
      </c>
      <c r="OEK53" s="5">
        <f>-IFERROR('4. NPV'!OEL23/'4. NPV'!OEL$8,0)</f>
        <v>-0.0</v>
      </c>
      <c r="OEL53" s="5">
        <f>-IFERROR('4. NPV'!OEM23/'4. NPV'!OEM$8,0)</f>
        <v>-0.0</v>
      </c>
      <c r="OEM53" s="5">
        <f>-IFERROR('4. NPV'!OEN23/'4. NPV'!OEN$8,0)</f>
        <v>-0.0</v>
      </c>
      <c r="OEN53" s="5">
        <f>-IFERROR('4. NPV'!OEO23/'4. NPV'!OEO$8,0)</f>
        <v>-0.0</v>
      </c>
      <c r="OEO53" s="5">
        <f>-IFERROR('4. NPV'!OEP23/'4. NPV'!OEP$8,0)</f>
        <v>-0.0</v>
      </c>
      <c r="OEP53" s="5">
        <f>-IFERROR('4. NPV'!OEQ23/'4. NPV'!OEQ$8,0)</f>
        <v>-0.0</v>
      </c>
      <c r="OEQ53" s="5">
        <f>-IFERROR('4. NPV'!OER23/'4. NPV'!OER$8,0)</f>
        <v>-0.0</v>
      </c>
      <c r="OER53" s="5">
        <f>-IFERROR('4. NPV'!OES23/'4. NPV'!OES$8,0)</f>
        <v>-0.0</v>
      </c>
      <c r="OES53" s="5">
        <f>-IFERROR('4. NPV'!OET23/'4. NPV'!OET$8,0)</f>
        <v>-0.0</v>
      </c>
      <c r="OET53" s="5">
        <f>-IFERROR('4. NPV'!OEU23/'4. NPV'!OEU$8,0)</f>
        <v>-0.0</v>
      </c>
      <c r="OEU53" s="5">
        <f>-IFERROR('4. NPV'!OEV23/'4. NPV'!OEV$8,0)</f>
        <v>-0.0</v>
      </c>
      <c r="OEV53" s="5">
        <f>-IFERROR('4. NPV'!OEW23/'4. NPV'!OEW$8,0)</f>
        <v>-0.0</v>
      </c>
      <c r="OEW53" s="5">
        <f>-IFERROR('4. NPV'!OEX23/'4. NPV'!OEX$8,0)</f>
        <v>-0.0</v>
      </c>
      <c r="OEX53" s="5">
        <f>-IFERROR('4. NPV'!OEY23/'4. NPV'!OEY$8,0)</f>
        <v>-0.0</v>
      </c>
      <c r="OEY53" s="5">
        <f>-IFERROR('4. NPV'!OEZ23/'4. NPV'!OEZ$8,0)</f>
        <v>-0.0</v>
      </c>
      <c r="OEZ53" s="5">
        <f>-IFERROR('4. NPV'!OFA23/'4. NPV'!OFA$8,0)</f>
        <v>-0.0</v>
      </c>
      <c r="OFA53" s="5">
        <f>-IFERROR('4. NPV'!OFB23/'4. NPV'!OFB$8,0)</f>
        <v>-0.0</v>
      </c>
      <c r="OFB53" s="5">
        <f>-IFERROR('4. NPV'!OFC23/'4. NPV'!OFC$8,0)</f>
        <v>-0.0</v>
      </c>
      <c r="OFC53" s="5">
        <f>-IFERROR('4. NPV'!OFD23/'4. NPV'!OFD$8,0)</f>
        <v>-0.0</v>
      </c>
      <c r="OFD53" s="5">
        <f>-IFERROR('4. NPV'!OFE23/'4. NPV'!OFE$8,0)</f>
        <v>-0.0</v>
      </c>
      <c r="OFE53" s="5">
        <f>-IFERROR('4. NPV'!OFF23/'4. NPV'!OFF$8,0)</f>
        <v>-0.0</v>
      </c>
      <c r="OFF53" s="5">
        <f>-IFERROR('4. NPV'!OFG23/'4. NPV'!OFG$8,0)</f>
        <v>-0.0</v>
      </c>
      <c r="OFG53" s="5">
        <f>-IFERROR('4. NPV'!OFH23/'4. NPV'!OFH$8,0)</f>
        <v>-0.0</v>
      </c>
      <c r="OFH53" s="5">
        <f>-IFERROR('4. NPV'!OFI23/'4. NPV'!OFI$8,0)</f>
        <v>-0.0</v>
      </c>
      <c r="OFI53" s="5">
        <f>-IFERROR('4. NPV'!OFJ23/'4. NPV'!OFJ$8,0)</f>
        <v>-0.0</v>
      </c>
      <c r="OFJ53" s="5">
        <f>-IFERROR('4. NPV'!OFK23/'4. NPV'!OFK$8,0)</f>
        <v>-0.0</v>
      </c>
      <c r="OFK53" s="5">
        <f>-IFERROR('4. NPV'!OFL23/'4. NPV'!OFL$8,0)</f>
        <v>-0.0</v>
      </c>
      <c r="OFL53" s="5">
        <f>-IFERROR('4. NPV'!OFM23/'4. NPV'!OFM$8,0)</f>
        <v>-0.0</v>
      </c>
      <c r="OFM53" s="5">
        <f>-IFERROR('4. NPV'!OFN23/'4. NPV'!OFN$8,0)</f>
        <v>-0.0</v>
      </c>
      <c r="OFN53" s="5">
        <f>-IFERROR('4. NPV'!OFO23/'4. NPV'!OFO$8,0)</f>
        <v>-0.0</v>
      </c>
      <c r="OFO53" s="5">
        <f>-IFERROR('4. NPV'!OFP23/'4. NPV'!OFP$8,0)</f>
        <v>-0.0</v>
      </c>
      <c r="OFP53" s="5">
        <f>-IFERROR('4. NPV'!OFQ23/'4. NPV'!OFQ$8,0)</f>
        <v>-0.0</v>
      </c>
      <c r="OFQ53" s="5">
        <f>-IFERROR('4. NPV'!OFR23/'4. NPV'!OFR$8,0)</f>
        <v>-0.0</v>
      </c>
      <c r="OFR53" s="5">
        <f>-IFERROR('4. NPV'!OFS23/'4. NPV'!OFS$8,0)</f>
        <v>-0.0</v>
      </c>
      <c r="OFS53" s="5">
        <f>-IFERROR('4. NPV'!OFT23/'4. NPV'!OFT$8,0)</f>
        <v>-0.0</v>
      </c>
      <c r="OFT53" s="5">
        <f>-IFERROR('4. NPV'!OFU23/'4. NPV'!OFU$8,0)</f>
        <v>-0.0</v>
      </c>
      <c r="OFU53" s="5">
        <f>-IFERROR('4. NPV'!OFV23/'4. NPV'!OFV$8,0)</f>
        <v>-0.0</v>
      </c>
      <c r="OFV53" s="5">
        <f>-IFERROR('4. NPV'!OFW23/'4. NPV'!OFW$8,0)</f>
        <v>-0.0</v>
      </c>
      <c r="OFW53" s="5">
        <f>-IFERROR('4. NPV'!OFX23/'4. NPV'!OFX$8,0)</f>
        <v>-0.0</v>
      </c>
      <c r="OFX53" s="5">
        <f>-IFERROR('4. NPV'!OFY23/'4. NPV'!OFY$8,0)</f>
        <v>-0.0</v>
      </c>
      <c r="OFY53" s="5">
        <f>-IFERROR('4. NPV'!OFZ23/'4. NPV'!OFZ$8,0)</f>
        <v>-0.0</v>
      </c>
      <c r="OFZ53" s="5">
        <f>-IFERROR('4. NPV'!OGA23/'4. NPV'!OGA$8,0)</f>
        <v>-0.0</v>
      </c>
      <c r="OGA53" s="5">
        <f>-IFERROR('4. NPV'!OGB23/'4. NPV'!OGB$8,0)</f>
        <v>-0.0</v>
      </c>
      <c r="OGB53" s="5">
        <f>-IFERROR('4. NPV'!OGC23/'4. NPV'!OGC$8,0)</f>
        <v>-0.0</v>
      </c>
      <c r="OGC53" s="5">
        <f>-IFERROR('4. NPV'!OGD23/'4. NPV'!OGD$8,0)</f>
        <v>-0.0</v>
      </c>
      <c r="OGD53" s="5">
        <f>-IFERROR('4. NPV'!OGE23/'4. NPV'!OGE$8,0)</f>
        <v>-0.0</v>
      </c>
      <c r="OGE53" s="5">
        <f>-IFERROR('4. NPV'!OGF23/'4. NPV'!OGF$8,0)</f>
        <v>-0.0</v>
      </c>
      <c r="OGF53" s="5">
        <f>-IFERROR('4. NPV'!OGG23/'4. NPV'!OGG$8,0)</f>
        <v>-0.0</v>
      </c>
      <c r="OGG53" s="5">
        <f>-IFERROR('4. NPV'!OGH23/'4. NPV'!OGH$8,0)</f>
        <v>-0.0</v>
      </c>
      <c r="OGH53" s="5">
        <f>-IFERROR('4. NPV'!OGI23/'4. NPV'!OGI$8,0)</f>
        <v>-0.0</v>
      </c>
      <c r="OGI53" s="5">
        <f>-IFERROR('4. NPV'!OGJ23/'4. NPV'!OGJ$8,0)</f>
        <v>-0.0</v>
      </c>
      <c r="OGJ53" s="5">
        <f>-IFERROR('4. NPV'!OGK23/'4. NPV'!OGK$8,0)</f>
        <v>-0.0</v>
      </c>
      <c r="OGK53" s="5">
        <f>-IFERROR('4. NPV'!OGL23/'4. NPV'!OGL$8,0)</f>
        <v>-0.0</v>
      </c>
      <c r="OGL53" s="5">
        <f>-IFERROR('4. NPV'!OGM23/'4. NPV'!OGM$8,0)</f>
        <v>-0.0</v>
      </c>
      <c r="OGM53" s="5">
        <f>-IFERROR('4. NPV'!OGN23/'4. NPV'!OGN$8,0)</f>
        <v>-0.0</v>
      </c>
      <c r="OGN53" s="5">
        <f>-IFERROR('4. NPV'!OGO23/'4. NPV'!OGO$8,0)</f>
        <v>-0.0</v>
      </c>
      <c r="OGO53" s="5">
        <f>-IFERROR('4. NPV'!OGP23/'4. NPV'!OGP$8,0)</f>
        <v>-0.0</v>
      </c>
      <c r="OGP53" s="5">
        <f>-IFERROR('4. NPV'!OGQ23/'4. NPV'!OGQ$8,0)</f>
        <v>-0.0</v>
      </c>
      <c r="OGQ53" s="5">
        <f>-IFERROR('4. NPV'!OGR23/'4. NPV'!OGR$8,0)</f>
        <v>-0.0</v>
      </c>
      <c r="OGR53" s="5">
        <f>-IFERROR('4. NPV'!OGS23/'4. NPV'!OGS$8,0)</f>
        <v>-0.0</v>
      </c>
      <c r="OGS53" s="5">
        <f>-IFERROR('4. NPV'!OGT23/'4. NPV'!OGT$8,0)</f>
        <v>-0.0</v>
      </c>
      <c r="OGT53" s="5">
        <f>-IFERROR('4. NPV'!OGU23/'4. NPV'!OGU$8,0)</f>
        <v>-0.0</v>
      </c>
      <c r="OGU53" s="5">
        <f>-IFERROR('4. NPV'!OGV23/'4. NPV'!OGV$8,0)</f>
        <v>-0.0</v>
      </c>
      <c r="OGV53" s="5">
        <f>-IFERROR('4. NPV'!OGW23/'4. NPV'!OGW$8,0)</f>
        <v>-0.0</v>
      </c>
      <c r="OGW53" s="5">
        <f>-IFERROR('4. NPV'!OGX23/'4. NPV'!OGX$8,0)</f>
        <v>-0.0</v>
      </c>
      <c r="OGX53" s="5">
        <f>-IFERROR('4. NPV'!OGY23/'4. NPV'!OGY$8,0)</f>
        <v>-0.0</v>
      </c>
      <c r="OGY53" s="5">
        <f>-IFERROR('4. NPV'!OGZ23/'4. NPV'!OGZ$8,0)</f>
        <v>-0.0</v>
      </c>
      <c r="OGZ53" s="5">
        <f>-IFERROR('4. NPV'!OHA23/'4. NPV'!OHA$8,0)</f>
        <v>-0.0</v>
      </c>
      <c r="OHA53" s="5">
        <f>-IFERROR('4. NPV'!OHB23/'4. NPV'!OHB$8,0)</f>
        <v>-0.0</v>
      </c>
      <c r="OHB53" s="5">
        <f>-IFERROR('4. NPV'!OHC23/'4. NPV'!OHC$8,0)</f>
        <v>-0.0</v>
      </c>
      <c r="OHC53" s="5">
        <f>-IFERROR('4. NPV'!OHD23/'4. NPV'!OHD$8,0)</f>
        <v>-0.0</v>
      </c>
      <c r="OHD53" s="5">
        <f>-IFERROR('4. NPV'!OHE23/'4. NPV'!OHE$8,0)</f>
        <v>-0.0</v>
      </c>
      <c r="OHE53" s="5">
        <f>-IFERROR('4. NPV'!OHF23/'4. NPV'!OHF$8,0)</f>
        <v>-0.0</v>
      </c>
      <c r="OHF53" s="5">
        <f>-IFERROR('4. NPV'!OHG23/'4. NPV'!OHG$8,0)</f>
        <v>-0.0</v>
      </c>
      <c r="OHG53" s="5">
        <f>-IFERROR('4. NPV'!OHH23/'4. NPV'!OHH$8,0)</f>
        <v>-0.0</v>
      </c>
      <c r="OHH53" s="5">
        <f>-IFERROR('4. NPV'!OHI23/'4. NPV'!OHI$8,0)</f>
        <v>-0.0</v>
      </c>
      <c r="OHI53" s="5">
        <f>-IFERROR('4. NPV'!OHJ23/'4. NPV'!OHJ$8,0)</f>
        <v>-0.0</v>
      </c>
      <c r="OHJ53" s="5">
        <f>-IFERROR('4. NPV'!OHK23/'4. NPV'!OHK$8,0)</f>
        <v>-0.0</v>
      </c>
      <c r="OHK53" s="5">
        <f>-IFERROR('4. NPV'!OHL23/'4. NPV'!OHL$8,0)</f>
        <v>-0.0</v>
      </c>
      <c r="OHL53" s="5">
        <f>-IFERROR('4. NPV'!OHM23/'4. NPV'!OHM$8,0)</f>
        <v>-0.0</v>
      </c>
      <c r="OHM53" s="5">
        <f>-IFERROR('4. NPV'!OHN23/'4. NPV'!OHN$8,0)</f>
        <v>-0.0</v>
      </c>
      <c r="OHN53" s="5">
        <f>-IFERROR('4. NPV'!OHO23/'4. NPV'!OHO$8,0)</f>
        <v>-0.0</v>
      </c>
      <c r="OHO53" s="5">
        <f>-IFERROR('4. NPV'!OHP23/'4. NPV'!OHP$8,0)</f>
        <v>-0.0</v>
      </c>
      <c r="OHP53" s="5">
        <f>-IFERROR('4. NPV'!OHQ23/'4. NPV'!OHQ$8,0)</f>
        <v>-0.0</v>
      </c>
      <c r="OHQ53" s="5">
        <f>-IFERROR('4. NPV'!OHR23/'4. NPV'!OHR$8,0)</f>
        <v>-0.0</v>
      </c>
      <c r="OHR53" s="5">
        <f>-IFERROR('4. NPV'!OHS23/'4. NPV'!OHS$8,0)</f>
        <v>-0.0</v>
      </c>
      <c r="OHS53" s="5">
        <f>-IFERROR('4. NPV'!OHT23/'4. NPV'!OHT$8,0)</f>
        <v>-0.0</v>
      </c>
      <c r="OHT53" s="5">
        <f>-IFERROR('4. NPV'!OHU23/'4. NPV'!OHU$8,0)</f>
        <v>-0.0</v>
      </c>
      <c r="OHU53" s="5">
        <f>-IFERROR('4. NPV'!OHV23/'4. NPV'!OHV$8,0)</f>
        <v>-0.0</v>
      </c>
      <c r="OHV53" s="5">
        <f>-IFERROR('4. NPV'!OHW23/'4. NPV'!OHW$8,0)</f>
        <v>-0.0</v>
      </c>
      <c r="OHW53" s="5">
        <f>-IFERROR('4. NPV'!OHX23/'4. NPV'!OHX$8,0)</f>
        <v>-0.0</v>
      </c>
      <c r="OHX53" s="5">
        <f>-IFERROR('4. NPV'!OHY23/'4. NPV'!OHY$8,0)</f>
        <v>-0.0</v>
      </c>
      <c r="OHY53" s="5">
        <f>-IFERROR('4. NPV'!OHZ23/'4. NPV'!OHZ$8,0)</f>
        <v>-0.0</v>
      </c>
      <c r="OHZ53" s="5">
        <f>-IFERROR('4. NPV'!OIA23/'4. NPV'!OIA$8,0)</f>
        <v>-0.0</v>
      </c>
      <c r="OIA53" s="5">
        <f>-IFERROR('4. NPV'!OIB23/'4. NPV'!OIB$8,0)</f>
        <v>-0.0</v>
      </c>
      <c r="OIB53" s="5">
        <f>-IFERROR('4. NPV'!OIC23/'4. NPV'!OIC$8,0)</f>
        <v>-0.0</v>
      </c>
      <c r="OIC53" s="5">
        <f>-IFERROR('4. NPV'!OID23/'4. NPV'!OID$8,0)</f>
        <v>-0.0</v>
      </c>
      <c r="OID53" s="5">
        <f>-IFERROR('4. NPV'!OIE23/'4. NPV'!OIE$8,0)</f>
        <v>-0.0</v>
      </c>
      <c r="OIE53" s="5">
        <f>-IFERROR('4. NPV'!OIF23/'4. NPV'!OIF$8,0)</f>
        <v>-0.0</v>
      </c>
      <c r="OIF53" s="5">
        <f>-IFERROR('4. NPV'!OIG23/'4. NPV'!OIG$8,0)</f>
        <v>-0.0</v>
      </c>
      <c r="OIG53" s="5">
        <f>-IFERROR('4. NPV'!OIH23/'4. NPV'!OIH$8,0)</f>
        <v>-0.0</v>
      </c>
      <c r="OIH53" s="5">
        <f>-IFERROR('4. NPV'!OII23/'4. NPV'!OII$8,0)</f>
        <v>-0.0</v>
      </c>
      <c r="OII53" s="5">
        <f>-IFERROR('4. NPV'!OIJ23/'4. NPV'!OIJ$8,0)</f>
        <v>-0.0</v>
      </c>
      <c r="OIJ53" s="5">
        <f>-IFERROR('4. NPV'!OIK23/'4. NPV'!OIK$8,0)</f>
        <v>-0.0</v>
      </c>
      <c r="OIK53" s="5">
        <f>-IFERROR('4. NPV'!OIL23/'4. NPV'!OIL$8,0)</f>
        <v>-0.0</v>
      </c>
      <c r="OIL53" s="5">
        <f>-IFERROR('4. NPV'!OIM23/'4. NPV'!OIM$8,0)</f>
        <v>-0.0</v>
      </c>
      <c r="OIM53" s="5">
        <f>-IFERROR('4. NPV'!OIN23/'4. NPV'!OIN$8,0)</f>
        <v>-0.0</v>
      </c>
      <c r="OIN53" s="5">
        <f>-IFERROR('4. NPV'!OIO23/'4. NPV'!OIO$8,0)</f>
        <v>-0.0</v>
      </c>
      <c r="OIO53" s="5">
        <f>-IFERROR('4. NPV'!OIP23/'4. NPV'!OIP$8,0)</f>
        <v>-0.0</v>
      </c>
      <c r="OIP53" s="5">
        <f>-IFERROR('4. NPV'!OIQ23/'4. NPV'!OIQ$8,0)</f>
        <v>-0.0</v>
      </c>
      <c r="OIQ53" s="5">
        <f>-IFERROR('4. NPV'!OIR23/'4. NPV'!OIR$8,0)</f>
        <v>-0.0</v>
      </c>
      <c r="OIR53" s="5">
        <f>-IFERROR('4. NPV'!OIS23/'4. NPV'!OIS$8,0)</f>
        <v>-0.0</v>
      </c>
      <c r="OIS53" s="5">
        <f>-IFERROR('4. NPV'!OIT23/'4. NPV'!OIT$8,0)</f>
        <v>-0.0</v>
      </c>
      <c r="OIT53" s="5">
        <f>-IFERROR('4. NPV'!OIU23/'4. NPV'!OIU$8,0)</f>
        <v>-0.0</v>
      </c>
      <c r="OIU53" s="5">
        <f>-IFERROR('4. NPV'!OIV23/'4. NPV'!OIV$8,0)</f>
        <v>-0.0</v>
      </c>
      <c r="OIV53" s="5">
        <f>-IFERROR('4. NPV'!OIW23/'4. NPV'!OIW$8,0)</f>
        <v>-0.0</v>
      </c>
      <c r="OIW53" s="5">
        <f>-IFERROR('4. NPV'!OIX23/'4. NPV'!OIX$8,0)</f>
        <v>-0.0</v>
      </c>
      <c r="OIX53" s="5">
        <f>-IFERROR('4. NPV'!OIY23/'4. NPV'!OIY$8,0)</f>
        <v>-0.0</v>
      </c>
      <c r="OIY53" s="5">
        <f>-IFERROR('4. NPV'!OIZ23/'4. NPV'!OIZ$8,0)</f>
        <v>-0.0</v>
      </c>
      <c r="OIZ53" s="5">
        <f>-IFERROR('4. NPV'!OJA23/'4. NPV'!OJA$8,0)</f>
        <v>-0.0</v>
      </c>
      <c r="OJA53" s="5">
        <f>-IFERROR('4. NPV'!OJB23/'4. NPV'!OJB$8,0)</f>
        <v>-0.0</v>
      </c>
      <c r="OJB53" s="5">
        <f>-IFERROR('4. NPV'!OJC23/'4. NPV'!OJC$8,0)</f>
        <v>-0.0</v>
      </c>
      <c r="OJC53" s="5">
        <f>-IFERROR('4. NPV'!OJD23/'4. NPV'!OJD$8,0)</f>
        <v>-0.0</v>
      </c>
      <c r="OJD53" s="5">
        <f>-IFERROR('4. NPV'!OJE23/'4. NPV'!OJE$8,0)</f>
        <v>-0.0</v>
      </c>
      <c r="OJE53" s="5">
        <f>-IFERROR('4. NPV'!OJF23/'4. NPV'!OJF$8,0)</f>
        <v>-0.0</v>
      </c>
      <c r="OJF53" s="5">
        <f>-IFERROR('4. NPV'!OJG23/'4. NPV'!OJG$8,0)</f>
        <v>-0.0</v>
      </c>
      <c r="OJG53" s="5">
        <f>-IFERROR('4. NPV'!OJH23/'4. NPV'!OJH$8,0)</f>
        <v>-0.0</v>
      </c>
      <c r="OJH53" s="5">
        <f>-IFERROR('4. NPV'!OJI23/'4. NPV'!OJI$8,0)</f>
        <v>-0.0</v>
      </c>
      <c r="OJI53" s="5">
        <f>-IFERROR('4. NPV'!OJJ23/'4. NPV'!OJJ$8,0)</f>
        <v>-0.0</v>
      </c>
      <c r="OJJ53" s="5">
        <f>-IFERROR('4. NPV'!OJK23/'4. NPV'!OJK$8,0)</f>
        <v>-0.0</v>
      </c>
      <c r="OJK53" s="5">
        <f>-IFERROR('4. NPV'!OJL23/'4. NPV'!OJL$8,0)</f>
        <v>-0.0</v>
      </c>
      <c r="OJL53" s="5">
        <f>-IFERROR('4. NPV'!OJM23/'4. NPV'!OJM$8,0)</f>
        <v>-0.0</v>
      </c>
      <c r="OJM53" s="5">
        <f>-IFERROR('4. NPV'!OJN23/'4. NPV'!OJN$8,0)</f>
        <v>-0.0</v>
      </c>
      <c r="OJN53" s="5">
        <f>-IFERROR('4. NPV'!OJO23/'4. NPV'!OJO$8,0)</f>
        <v>-0.0</v>
      </c>
      <c r="OJO53" s="5">
        <f>-IFERROR('4. NPV'!OJP23/'4. NPV'!OJP$8,0)</f>
        <v>-0.0</v>
      </c>
      <c r="OJP53" s="5">
        <f>-IFERROR('4. NPV'!OJQ23/'4. NPV'!OJQ$8,0)</f>
        <v>-0.0</v>
      </c>
      <c r="OJQ53" s="5">
        <f>-IFERROR('4. NPV'!OJR23/'4. NPV'!OJR$8,0)</f>
        <v>-0.0</v>
      </c>
      <c r="OJR53" s="5">
        <f>-IFERROR('4. NPV'!OJS23/'4. NPV'!OJS$8,0)</f>
        <v>-0.0</v>
      </c>
      <c r="OJS53" s="5">
        <f>-IFERROR('4. NPV'!OJT23/'4. NPV'!OJT$8,0)</f>
        <v>-0.0</v>
      </c>
      <c r="OJT53" s="5">
        <f>-IFERROR('4. NPV'!OJU23/'4. NPV'!OJU$8,0)</f>
        <v>-0.0</v>
      </c>
      <c r="OJU53" s="5">
        <f>-IFERROR('4. NPV'!OJV23/'4. NPV'!OJV$8,0)</f>
        <v>-0.0</v>
      </c>
      <c r="OJV53" s="5">
        <f>-IFERROR('4. NPV'!OJW23/'4. NPV'!OJW$8,0)</f>
        <v>-0.0</v>
      </c>
      <c r="OJW53" s="5">
        <f>-IFERROR('4. NPV'!OJX23/'4. NPV'!OJX$8,0)</f>
        <v>-0.0</v>
      </c>
      <c r="OJX53" s="5">
        <f>-IFERROR('4. NPV'!OJY23/'4. NPV'!OJY$8,0)</f>
        <v>-0.0</v>
      </c>
      <c r="OJY53" s="5">
        <f>-IFERROR('4. NPV'!OJZ23/'4. NPV'!OJZ$8,0)</f>
        <v>-0.0</v>
      </c>
      <c r="OJZ53" s="5">
        <f>-IFERROR('4. NPV'!OKA23/'4. NPV'!OKA$8,0)</f>
        <v>-0.0</v>
      </c>
      <c r="OKA53" s="5">
        <f>-IFERROR('4. NPV'!OKB23/'4. NPV'!OKB$8,0)</f>
        <v>-0.0</v>
      </c>
      <c r="OKB53" s="5">
        <f>-IFERROR('4. NPV'!OKC23/'4. NPV'!OKC$8,0)</f>
        <v>-0.0</v>
      </c>
      <c r="OKC53" s="5">
        <f>-IFERROR('4. NPV'!OKD23/'4. NPV'!OKD$8,0)</f>
        <v>-0.0</v>
      </c>
      <c r="OKD53" s="5">
        <f>-IFERROR('4. NPV'!OKE23/'4. NPV'!OKE$8,0)</f>
        <v>-0.0</v>
      </c>
      <c r="OKE53" s="5">
        <f>-IFERROR('4. NPV'!OKF23/'4. NPV'!OKF$8,0)</f>
        <v>-0.0</v>
      </c>
      <c r="OKF53" s="5">
        <f>-IFERROR('4. NPV'!OKG23/'4. NPV'!OKG$8,0)</f>
        <v>-0.0</v>
      </c>
      <c r="OKG53" s="5">
        <f>-IFERROR('4. NPV'!OKH23/'4. NPV'!OKH$8,0)</f>
        <v>-0.0</v>
      </c>
      <c r="OKH53" s="5">
        <f>-IFERROR('4. NPV'!OKI23/'4. NPV'!OKI$8,0)</f>
        <v>-0.0</v>
      </c>
      <c r="OKI53" s="5">
        <f>-IFERROR('4. NPV'!OKJ23/'4. NPV'!OKJ$8,0)</f>
        <v>-0.0</v>
      </c>
      <c r="OKJ53" s="5">
        <f>-IFERROR('4. NPV'!OKK23/'4. NPV'!OKK$8,0)</f>
        <v>-0.0</v>
      </c>
      <c r="OKK53" s="5">
        <f>-IFERROR('4. NPV'!OKL23/'4. NPV'!OKL$8,0)</f>
        <v>-0.0</v>
      </c>
      <c r="OKL53" s="5">
        <f>-IFERROR('4. NPV'!OKM23/'4. NPV'!OKM$8,0)</f>
        <v>-0.0</v>
      </c>
      <c r="OKM53" s="5">
        <f>-IFERROR('4. NPV'!OKN23/'4. NPV'!OKN$8,0)</f>
        <v>-0.0</v>
      </c>
      <c r="OKN53" s="5">
        <f>-IFERROR('4. NPV'!OKO23/'4. NPV'!OKO$8,0)</f>
        <v>-0.0</v>
      </c>
      <c r="OKO53" s="5">
        <f>-IFERROR('4. NPV'!OKP23/'4. NPV'!OKP$8,0)</f>
        <v>-0.0</v>
      </c>
      <c r="OKP53" s="5">
        <f>-IFERROR('4. NPV'!OKQ23/'4. NPV'!OKQ$8,0)</f>
        <v>-0.0</v>
      </c>
      <c r="OKQ53" s="5">
        <f>-IFERROR('4. NPV'!OKR23/'4. NPV'!OKR$8,0)</f>
        <v>-0.0</v>
      </c>
      <c r="OKR53" s="5">
        <f>-IFERROR('4. NPV'!OKS23/'4. NPV'!OKS$8,0)</f>
        <v>-0.0</v>
      </c>
      <c r="OKS53" s="5">
        <f>-IFERROR('4. NPV'!OKT23/'4. NPV'!OKT$8,0)</f>
        <v>-0.0</v>
      </c>
      <c r="OKT53" s="5">
        <f>-IFERROR('4. NPV'!OKU23/'4. NPV'!OKU$8,0)</f>
        <v>-0.0</v>
      </c>
      <c r="OKU53" s="5">
        <f>-IFERROR('4. NPV'!OKV23/'4. NPV'!OKV$8,0)</f>
        <v>-0.0</v>
      </c>
      <c r="OKV53" s="5">
        <f>-IFERROR('4. NPV'!OKW23/'4. NPV'!OKW$8,0)</f>
        <v>-0.0</v>
      </c>
      <c r="OKW53" s="5">
        <f>-IFERROR('4. NPV'!OKX23/'4. NPV'!OKX$8,0)</f>
        <v>-0.0</v>
      </c>
      <c r="OKX53" s="5">
        <f>-IFERROR('4. NPV'!OKY23/'4. NPV'!OKY$8,0)</f>
        <v>-0.0</v>
      </c>
      <c r="OKY53" s="5">
        <f>-IFERROR('4. NPV'!OKZ23/'4. NPV'!OKZ$8,0)</f>
        <v>-0.0</v>
      </c>
      <c r="OKZ53" s="5">
        <f>-IFERROR('4. NPV'!OLA23/'4. NPV'!OLA$8,0)</f>
        <v>-0.0</v>
      </c>
      <c r="OLA53" s="5">
        <f>-IFERROR('4. NPV'!OLB23/'4. NPV'!OLB$8,0)</f>
        <v>-0.0</v>
      </c>
      <c r="OLB53" s="5">
        <f>-IFERROR('4. NPV'!OLC23/'4. NPV'!OLC$8,0)</f>
        <v>-0.0</v>
      </c>
      <c r="OLC53" s="5">
        <f>-IFERROR('4. NPV'!OLD23/'4. NPV'!OLD$8,0)</f>
        <v>-0.0</v>
      </c>
      <c r="OLD53" s="5">
        <f>-IFERROR('4. NPV'!OLE23/'4. NPV'!OLE$8,0)</f>
        <v>-0.0</v>
      </c>
      <c r="OLE53" s="5">
        <f>-IFERROR('4. NPV'!OLF23/'4. NPV'!OLF$8,0)</f>
        <v>-0.0</v>
      </c>
      <c r="OLF53" s="5">
        <f>-IFERROR('4. NPV'!OLG23/'4. NPV'!OLG$8,0)</f>
        <v>-0.0</v>
      </c>
      <c r="OLG53" s="5">
        <f>-IFERROR('4. NPV'!OLH23/'4. NPV'!OLH$8,0)</f>
        <v>-0.0</v>
      </c>
      <c r="OLH53" s="5">
        <f>-IFERROR('4. NPV'!OLI23/'4. NPV'!OLI$8,0)</f>
        <v>-0.0</v>
      </c>
      <c r="OLI53" s="5">
        <f>-IFERROR('4. NPV'!OLJ23/'4. NPV'!OLJ$8,0)</f>
        <v>-0.0</v>
      </c>
      <c r="OLJ53" s="5">
        <f>-IFERROR('4. NPV'!OLK23/'4. NPV'!OLK$8,0)</f>
        <v>-0.0</v>
      </c>
      <c r="OLK53" s="5">
        <f>-IFERROR('4. NPV'!OLL23/'4. NPV'!OLL$8,0)</f>
        <v>-0.0</v>
      </c>
      <c r="OLL53" s="5">
        <f>-IFERROR('4. NPV'!OLM23/'4. NPV'!OLM$8,0)</f>
        <v>-0.0</v>
      </c>
      <c r="OLM53" s="5">
        <f>-IFERROR('4. NPV'!OLN23/'4. NPV'!OLN$8,0)</f>
        <v>-0.0</v>
      </c>
      <c r="OLN53" s="5">
        <f>-IFERROR('4. NPV'!OLO23/'4. NPV'!OLO$8,0)</f>
        <v>-0.0</v>
      </c>
      <c r="OLO53" s="5">
        <f>-IFERROR('4. NPV'!OLP23/'4. NPV'!OLP$8,0)</f>
        <v>-0.0</v>
      </c>
      <c r="OLP53" s="5">
        <f>-IFERROR('4. NPV'!OLQ23/'4. NPV'!OLQ$8,0)</f>
        <v>-0.0</v>
      </c>
      <c r="OLQ53" s="5">
        <f>-IFERROR('4. NPV'!OLR23/'4. NPV'!OLR$8,0)</f>
        <v>-0.0</v>
      </c>
      <c r="OLR53" s="5">
        <f>-IFERROR('4. NPV'!OLS23/'4. NPV'!OLS$8,0)</f>
        <v>-0.0</v>
      </c>
      <c r="OLS53" s="5">
        <f>-IFERROR('4. NPV'!OLT23/'4. NPV'!OLT$8,0)</f>
        <v>-0.0</v>
      </c>
      <c r="OLT53" s="5">
        <f>-IFERROR('4. NPV'!OLU23/'4. NPV'!OLU$8,0)</f>
        <v>-0.0</v>
      </c>
      <c r="OLU53" s="5">
        <f>-IFERROR('4. NPV'!OLV23/'4. NPV'!OLV$8,0)</f>
        <v>-0.0</v>
      </c>
      <c r="OLV53" s="5">
        <f>-IFERROR('4. NPV'!OLW23/'4. NPV'!OLW$8,0)</f>
        <v>-0.0</v>
      </c>
      <c r="OLW53" s="5">
        <f>-IFERROR('4. NPV'!OLX23/'4. NPV'!OLX$8,0)</f>
        <v>-0.0</v>
      </c>
      <c r="OLX53" s="5">
        <f>-IFERROR('4. NPV'!OLY23/'4. NPV'!OLY$8,0)</f>
        <v>-0.0</v>
      </c>
      <c r="OLY53" s="5">
        <f>-IFERROR('4. NPV'!OLZ23/'4. NPV'!OLZ$8,0)</f>
        <v>-0.0</v>
      </c>
      <c r="OLZ53" s="5">
        <f>-IFERROR('4. NPV'!OMA23/'4. NPV'!OMA$8,0)</f>
        <v>-0.0</v>
      </c>
      <c r="OMA53" s="5">
        <f>-IFERROR('4. NPV'!OMB23/'4. NPV'!OMB$8,0)</f>
        <v>-0.0</v>
      </c>
      <c r="OMB53" s="5">
        <f>-IFERROR('4. NPV'!OMC23/'4. NPV'!OMC$8,0)</f>
        <v>-0.0</v>
      </c>
      <c r="OMC53" s="5">
        <f>-IFERROR('4. NPV'!OMD23/'4. NPV'!OMD$8,0)</f>
        <v>-0.0</v>
      </c>
      <c r="OMD53" s="5">
        <f>-IFERROR('4. NPV'!OME23/'4. NPV'!OME$8,0)</f>
        <v>-0.0</v>
      </c>
      <c r="OME53" s="5">
        <f>-IFERROR('4. NPV'!OMF23/'4. NPV'!OMF$8,0)</f>
        <v>-0.0</v>
      </c>
      <c r="OMF53" s="5">
        <f>-IFERROR('4. NPV'!OMG23/'4. NPV'!OMG$8,0)</f>
        <v>-0.0</v>
      </c>
      <c r="OMG53" s="5">
        <f>-IFERROR('4. NPV'!OMH23/'4. NPV'!OMH$8,0)</f>
        <v>-0.0</v>
      </c>
      <c r="OMH53" s="5">
        <f>-IFERROR('4. NPV'!OMI23/'4. NPV'!OMI$8,0)</f>
        <v>-0.0</v>
      </c>
      <c r="OMI53" s="5">
        <f>-IFERROR('4. NPV'!OMJ23/'4. NPV'!OMJ$8,0)</f>
        <v>-0.0</v>
      </c>
      <c r="OMJ53" s="5">
        <f>-IFERROR('4. NPV'!OMK23/'4. NPV'!OMK$8,0)</f>
        <v>-0.0</v>
      </c>
      <c r="OMK53" s="5">
        <f>-IFERROR('4. NPV'!OML23/'4. NPV'!OML$8,0)</f>
        <v>-0.0</v>
      </c>
      <c r="OML53" s="5">
        <f>-IFERROR('4. NPV'!OMM23/'4. NPV'!OMM$8,0)</f>
        <v>-0.0</v>
      </c>
      <c r="OMM53" s="5">
        <f>-IFERROR('4. NPV'!OMN23/'4. NPV'!OMN$8,0)</f>
        <v>-0.0</v>
      </c>
      <c r="OMN53" s="5">
        <f>-IFERROR('4. NPV'!OMO23/'4. NPV'!OMO$8,0)</f>
        <v>-0.0</v>
      </c>
      <c r="OMO53" s="5">
        <f>-IFERROR('4. NPV'!OMP23/'4. NPV'!OMP$8,0)</f>
        <v>-0.0</v>
      </c>
      <c r="OMP53" s="5">
        <f>-IFERROR('4. NPV'!OMQ23/'4. NPV'!OMQ$8,0)</f>
        <v>-0.0</v>
      </c>
      <c r="OMQ53" s="5">
        <f>-IFERROR('4. NPV'!OMR23/'4. NPV'!OMR$8,0)</f>
        <v>-0.0</v>
      </c>
      <c r="OMR53" s="5">
        <f>-IFERROR('4. NPV'!OMS23/'4. NPV'!OMS$8,0)</f>
        <v>-0.0</v>
      </c>
      <c r="OMS53" s="5">
        <f>-IFERROR('4. NPV'!OMT23/'4. NPV'!OMT$8,0)</f>
        <v>-0.0</v>
      </c>
      <c r="OMT53" s="5">
        <f>-IFERROR('4. NPV'!OMU23/'4. NPV'!OMU$8,0)</f>
        <v>-0.0</v>
      </c>
      <c r="OMU53" s="5">
        <f>-IFERROR('4. NPV'!OMV23/'4. NPV'!OMV$8,0)</f>
        <v>-0.0</v>
      </c>
      <c r="OMV53" s="5">
        <f>-IFERROR('4. NPV'!OMW23/'4. NPV'!OMW$8,0)</f>
        <v>-0.0</v>
      </c>
      <c r="OMW53" s="5">
        <f>-IFERROR('4. NPV'!OMX23/'4. NPV'!OMX$8,0)</f>
        <v>-0.0</v>
      </c>
      <c r="OMX53" s="5">
        <f>-IFERROR('4. NPV'!OMY23/'4. NPV'!OMY$8,0)</f>
        <v>-0.0</v>
      </c>
      <c r="OMY53" s="5">
        <f>-IFERROR('4. NPV'!OMZ23/'4. NPV'!OMZ$8,0)</f>
        <v>-0.0</v>
      </c>
      <c r="OMZ53" s="5">
        <f>-IFERROR('4. NPV'!ONA23/'4. NPV'!ONA$8,0)</f>
        <v>-0.0</v>
      </c>
      <c r="ONA53" s="5">
        <f>-IFERROR('4. NPV'!ONB23/'4. NPV'!ONB$8,0)</f>
        <v>-0.0</v>
      </c>
      <c r="ONB53" s="5">
        <f>-IFERROR('4. NPV'!ONC23/'4. NPV'!ONC$8,0)</f>
        <v>-0.0</v>
      </c>
      <c r="ONC53" s="5">
        <f>-IFERROR('4. NPV'!OND23/'4. NPV'!OND$8,0)</f>
        <v>-0.0</v>
      </c>
      <c r="OND53" s="5">
        <f>-IFERROR('4. NPV'!ONE23/'4. NPV'!ONE$8,0)</f>
        <v>-0.0</v>
      </c>
      <c r="ONE53" s="5">
        <f>-IFERROR('4. NPV'!ONF23/'4. NPV'!ONF$8,0)</f>
        <v>-0.0</v>
      </c>
      <c r="ONF53" s="5">
        <f>-IFERROR('4. NPV'!ONG23/'4. NPV'!ONG$8,0)</f>
        <v>-0.0</v>
      </c>
      <c r="ONG53" s="5">
        <f>-IFERROR('4. NPV'!ONH23/'4. NPV'!ONH$8,0)</f>
        <v>-0.0</v>
      </c>
      <c r="ONH53" s="5">
        <f>-IFERROR('4. NPV'!ONI23/'4. NPV'!ONI$8,0)</f>
        <v>-0.0</v>
      </c>
      <c r="ONI53" s="5">
        <f>-IFERROR('4. NPV'!ONJ23/'4. NPV'!ONJ$8,0)</f>
        <v>-0.0</v>
      </c>
      <c r="ONJ53" s="5">
        <f>-IFERROR('4. NPV'!ONK23/'4. NPV'!ONK$8,0)</f>
        <v>-0.0</v>
      </c>
      <c r="ONK53" s="5">
        <f>-IFERROR('4. NPV'!ONL23/'4. NPV'!ONL$8,0)</f>
        <v>-0.0</v>
      </c>
      <c r="ONL53" s="5">
        <f>-IFERROR('4. NPV'!ONM23/'4. NPV'!ONM$8,0)</f>
        <v>-0.0</v>
      </c>
      <c r="ONM53" s="5">
        <f>-IFERROR('4. NPV'!ONN23/'4. NPV'!ONN$8,0)</f>
        <v>-0.0</v>
      </c>
      <c r="ONN53" s="5">
        <f>-IFERROR('4. NPV'!ONO23/'4. NPV'!ONO$8,0)</f>
        <v>-0.0</v>
      </c>
      <c r="ONO53" s="5">
        <f>-IFERROR('4. NPV'!ONP23/'4. NPV'!ONP$8,0)</f>
        <v>-0.0</v>
      </c>
      <c r="ONP53" s="5">
        <f>-IFERROR('4. NPV'!ONQ23/'4. NPV'!ONQ$8,0)</f>
        <v>-0.0</v>
      </c>
      <c r="ONQ53" s="5">
        <f>-IFERROR('4. NPV'!ONR23/'4. NPV'!ONR$8,0)</f>
        <v>-0.0</v>
      </c>
      <c r="ONR53" s="5">
        <f>-IFERROR('4. NPV'!ONS23/'4. NPV'!ONS$8,0)</f>
        <v>-0.0</v>
      </c>
      <c r="ONS53" s="5">
        <f>-IFERROR('4. NPV'!ONT23/'4. NPV'!ONT$8,0)</f>
        <v>-0.0</v>
      </c>
      <c r="ONT53" s="5">
        <f>-IFERROR('4. NPV'!ONU23/'4. NPV'!ONU$8,0)</f>
        <v>-0.0</v>
      </c>
      <c r="ONU53" s="5">
        <f>-IFERROR('4. NPV'!ONV23/'4. NPV'!ONV$8,0)</f>
        <v>-0.0</v>
      </c>
      <c r="ONV53" s="5">
        <f>-IFERROR('4. NPV'!ONW23/'4. NPV'!ONW$8,0)</f>
        <v>-0.0</v>
      </c>
      <c r="ONW53" s="5">
        <f>-IFERROR('4. NPV'!ONX23/'4. NPV'!ONX$8,0)</f>
        <v>-0.0</v>
      </c>
      <c r="ONX53" s="5">
        <f>-IFERROR('4. NPV'!ONY23/'4. NPV'!ONY$8,0)</f>
        <v>-0.0</v>
      </c>
      <c r="ONY53" s="5">
        <f>-IFERROR('4. NPV'!ONZ23/'4. NPV'!ONZ$8,0)</f>
        <v>-0.0</v>
      </c>
      <c r="ONZ53" s="5">
        <f>-IFERROR('4. NPV'!OOA23/'4. NPV'!OOA$8,0)</f>
        <v>-0.0</v>
      </c>
      <c r="OOA53" s="5">
        <f>-IFERROR('4. NPV'!OOB23/'4. NPV'!OOB$8,0)</f>
        <v>-0.0</v>
      </c>
      <c r="OOB53" s="5">
        <f>-IFERROR('4. NPV'!OOC23/'4. NPV'!OOC$8,0)</f>
        <v>-0.0</v>
      </c>
      <c r="OOC53" s="5">
        <f>-IFERROR('4. NPV'!OOD23/'4. NPV'!OOD$8,0)</f>
        <v>-0.0</v>
      </c>
      <c r="OOD53" s="5">
        <f>-IFERROR('4. NPV'!OOE23/'4. NPV'!OOE$8,0)</f>
        <v>-0.0</v>
      </c>
      <c r="OOE53" s="5">
        <f>-IFERROR('4. NPV'!OOF23/'4. NPV'!OOF$8,0)</f>
        <v>-0.0</v>
      </c>
      <c r="OOF53" s="5">
        <f>-IFERROR('4. NPV'!OOG23/'4. NPV'!OOG$8,0)</f>
        <v>-0.0</v>
      </c>
      <c r="OOG53" s="5">
        <f>-IFERROR('4. NPV'!OOH23/'4. NPV'!OOH$8,0)</f>
        <v>-0.0</v>
      </c>
      <c r="OOH53" s="5">
        <f>-IFERROR('4. NPV'!OOI23/'4. NPV'!OOI$8,0)</f>
        <v>-0.0</v>
      </c>
      <c r="OOI53" s="5">
        <f>-IFERROR('4. NPV'!OOJ23/'4. NPV'!OOJ$8,0)</f>
        <v>-0.0</v>
      </c>
      <c r="OOJ53" s="5">
        <f>-IFERROR('4. NPV'!OOK23/'4. NPV'!OOK$8,0)</f>
        <v>-0.0</v>
      </c>
      <c r="OOK53" s="5">
        <f>-IFERROR('4. NPV'!OOL23/'4. NPV'!OOL$8,0)</f>
        <v>-0.0</v>
      </c>
      <c r="OOL53" s="5">
        <f>-IFERROR('4. NPV'!OOM23/'4. NPV'!OOM$8,0)</f>
        <v>-0.0</v>
      </c>
      <c r="OOM53" s="5">
        <f>-IFERROR('4. NPV'!OON23/'4. NPV'!OON$8,0)</f>
        <v>-0.0</v>
      </c>
      <c r="OON53" s="5">
        <f>-IFERROR('4. NPV'!OOO23/'4. NPV'!OOO$8,0)</f>
        <v>-0.0</v>
      </c>
      <c r="OOO53" s="5">
        <f>-IFERROR('4. NPV'!OOP23/'4. NPV'!OOP$8,0)</f>
        <v>-0.0</v>
      </c>
      <c r="OOP53" s="5">
        <f>-IFERROR('4. NPV'!OOQ23/'4. NPV'!OOQ$8,0)</f>
        <v>-0.0</v>
      </c>
      <c r="OOQ53" s="5">
        <f>-IFERROR('4. NPV'!OOR23/'4. NPV'!OOR$8,0)</f>
        <v>-0.0</v>
      </c>
      <c r="OOR53" s="5">
        <f>-IFERROR('4. NPV'!OOS23/'4. NPV'!OOS$8,0)</f>
        <v>-0.0</v>
      </c>
      <c r="OOS53" s="5">
        <f>-IFERROR('4. NPV'!OOT23/'4. NPV'!OOT$8,0)</f>
        <v>-0.0</v>
      </c>
      <c r="OOT53" s="5">
        <f>-IFERROR('4. NPV'!OOU23/'4. NPV'!OOU$8,0)</f>
        <v>-0.0</v>
      </c>
      <c r="OOU53" s="5">
        <f>-IFERROR('4. NPV'!OOV23/'4. NPV'!OOV$8,0)</f>
        <v>-0.0</v>
      </c>
      <c r="OOV53" s="5">
        <f>-IFERROR('4. NPV'!OOW23/'4. NPV'!OOW$8,0)</f>
        <v>-0.0</v>
      </c>
      <c r="OOW53" s="5">
        <f>-IFERROR('4. NPV'!OOX23/'4. NPV'!OOX$8,0)</f>
        <v>-0.0</v>
      </c>
      <c r="OOX53" s="5">
        <f>-IFERROR('4. NPV'!OOY23/'4. NPV'!OOY$8,0)</f>
        <v>-0.0</v>
      </c>
      <c r="OOY53" s="5">
        <f>-IFERROR('4. NPV'!OOZ23/'4. NPV'!OOZ$8,0)</f>
        <v>-0.0</v>
      </c>
      <c r="OOZ53" s="5">
        <f>-IFERROR('4. NPV'!OPA23/'4. NPV'!OPA$8,0)</f>
        <v>-0.0</v>
      </c>
      <c r="OPA53" s="5">
        <f>-IFERROR('4. NPV'!OPB23/'4. NPV'!OPB$8,0)</f>
        <v>-0.0</v>
      </c>
      <c r="OPB53" s="5">
        <f>-IFERROR('4. NPV'!OPC23/'4. NPV'!OPC$8,0)</f>
        <v>-0.0</v>
      </c>
      <c r="OPC53" s="5">
        <f>-IFERROR('4. NPV'!OPD23/'4. NPV'!OPD$8,0)</f>
        <v>-0.0</v>
      </c>
      <c r="OPD53" s="5">
        <f>-IFERROR('4. NPV'!OPE23/'4. NPV'!OPE$8,0)</f>
        <v>-0.0</v>
      </c>
      <c r="OPE53" s="5">
        <f>-IFERROR('4. NPV'!OPF23/'4. NPV'!OPF$8,0)</f>
        <v>-0.0</v>
      </c>
      <c r="OPF53" s="5">
        <f>-IFERROR('4. NPV'!OPG23/'4. NPV'!OPG$8,0)</f>
        <v>-0.0</v>
      </c>
      <c r="OPG53" s="5">
        <f>-IFERROR('4. NPV'!OPH23/'4. NPV'!OPH$8,0)</f>
        <v>-0.0</v>
      </c>
      <c r="OPH53" s="5">
        <f>-IFERROR('4. NPV'!OPI23/'4. NPV'!OPI$8,0)</f>
        <v>-0.0</v>
      </c>
      <c r="OPI53" s="5">
        <f>-IFERROR('4. NPV'!OPJ23/'4. NPV'!OPJ$8,0)</f>
        <v>-0.0</v>
      </c>
      <c r="OPJ53" s="5">
        <f>-IFERROR('4. NPV'!OPK23/'4. NPV'!OPK$8,0)</f>
        <v>-0.0</v>
      </c>
      <c r="OPK53" s="5">
        <f>-IFERROR('4. NPV'!OPL23/'4. NPV'!OPL$8,0)</f>
        <v>-0.0</v>
      </c>
      <c r="OPL53" s="5">
        <f>-IFERROR('4. NPV'!OPM23/'4. NPV'!OPM$8,0)</f>
        <v>-0.0</v>
      </c>
      <c r="OPM53" s="5">
        <f>-IFERROR('4. NPV'!OPN23/'4. NPV'!OPN$8,0)</f>
        <v>-0.0</v>
      </c>
      <c r="OPN53" s="5">
        <f>-IFERROR('4. NPV'!OPO23/'4. NPV'!OPO$8,0)</f>
        <v>-0.0</v>
      </c>
      <c r="OPO53" s="5">
        <f>-IFERROR('4. NPV'!OPP23/'4. NPV'!OPP$8,0)</f>
        <v>-0.0</v>
      </c>
      <c r="OPP53" s="5">
        <f>-IFERROR('4. NPV'!OPQ23/'4. NPV'!OPQ$8,0)</f>
        <v>-0.0</v>
      </c>
      <c r="OPQ53" s="5">
        <f>-IFERROR('4. NPV'!OPR23/'4. NPV'!OPR$8,0)</f>
        <v>-0.0</v>
      </c>
      <c r="OPR53" s="5">
        <f>-IFERROR('4. NPV'!OPS23/'4. NPV'!OPS$8,0)</f>
        <v>-0.0</v>
      </c>
      <c r="OPS53" s="5">
        <f>-IFERROR('4. NPV'!OPT23/'4. NPV'!OPT$8,0)</f>
        <v>-0.0</v>
      </c>
      <c r="OPT53" s="5">
        <f>-IFERROR('4. NPV'!OPU23/'4. NPV'!OPU$8,0)</f>
        <v>-0.0</v>
      </c>
      <c r="OPU53" s="5">
        <f>-IFERROR('4. NPV'!OPV23/'4. NPV'!OPV$8,0)</f>
        <v>-0.0</v>
      </c>
      <c r="OPV53" s="5">
        <f>-IFERROR('4. NPV'!OPW23/'4. NPV'!OPW$8,0)</f>
        <v>-0.0</v>
      </c>
      <c r="OPW53" s="5">
        <f>-IFERROR('4. NPV'!OPX23/'4. NPV'!OPX$8,0)</f>
        <v>-0.0</v>
      </c>
      <c r="OPX53" s="5">
        <f>-IFERROR('4. NPV'!OPY23/'4. NPV'!OPY$8,0)</f>
        <v>-0.0</v>
      </c>
      <c r="OPY53" s="5">
        <f>-IFERROR('4. NPV'!OPZ23/'4. NPV'!OPZ$8,0)</f>
        <v>-0.0</v>
      </c>
      <c r="OPZ53" s="5">
        <f>-IFERROR('4. NPV'!OQA23/'4. NPV'!OQA$8,0)</f>
        <v>-0.0</v>
      </c>
      <c r="OQA53" s="5">
        <f>-IFERROR('4. NPV'!OQB23/'4. NPV'!OQB$8,0)</f>
        <v>-0.0</v>
      </c>
      <c r="OQB53" s="5">
        <f>-IFERROR('4. NPV'!OQC23/'4. NPV'!OQC$8,0)</f>
        <v>-0.0</v>
      </c>
      <c r="OQC53" s="5">
        <f>-IFERROR('4. NPV'!OQD23/'4. NPV'!OQD$8,0)</f>
        <v>-0.0</v>
      </c>
      <c r="OQD53" s="5">
        <f>-IFERROR('4. NPV'!OQE23/'4. NPV'!OQE$8,0)</f>
        <v>-0.0</v>
      </c>
      <c r="OQE53" s="5">
        <f>-IFERROR('4. NPV'!OQF23/'4. NPV'!OQF$8,0)</f>
        <v>-0.0</v>
      </c>
      <c r="OQF53" s="5">
        <f>-IFERROR('4. NPV'!OQG23/'4. NPV'!OQG$8,0)</f>
        <v>-0.0</v>
      </c>
      <c r="OQG53" s="5">
        <f>-IFERROR('4. NPV'!OQH23/'4. NPV'!OQH$8,0)</f>
        <v>-0.0</v>
      </c>
      <c r="OQH53" s="5">
        <f>-IFERROR('4. NPV'!OQI23/'4. NPV'!OQI$8,0)</f>
        <v>-0.0</v>
      </c>
      <c r="OQI53" s="5">
        <f>-IFERROR('4. NPV'!OQJ23/'4. NPV'!OQJ$8,0)</f>
        <v>-0.0</v>
      </c>
      <c r="OQJ53" s="5">
        <f>-IFERROR('4. NPV'!OQK23/'4. NPV'!OQK$8,0)</f>
        <v>-0.0</v>
      </c>
      <c r="OQK53" s="5">
        <f>-IFERROR('4. NPV'!OQL23/'4. NPV'!OQL$8,0)</f>
        <v>-0.0</v>
      </c>
      <c r="OQL53" s="5">
        <f>-IFERROR('4. NPV'!OQM23/'4. NPV'!OQM$8,0)</f>
        <v>-0.0</v>
      </c>
      <c r="OQM53" s="5">
        <f>-IFERROR('4. NPV'!OQN23/'4. NPV'!OQN$8,0)</f>
        <v>-0.0</v>
      </c>
      <c r="OQN53" s="5">
        <f>-IFERROR('4. NPV'!OQO23/'4. NPV'!OQO$8,0)</f>
        <v>-0.0</v>
      </c>
      <c r="OQO53" s="5">
        <f>-IFERROR('4. NPV'!OQP23/'4. NPV'!OQP$8,0)</f>
        <v>-0.0</v>
      </c>
      <c r="OQP53" s="5">
        <f>-IFERROR('4. NPV'!OQQ23/'4. NPV'!OQQ$8,0)</f>
        <v>-0.0</v>
      </c>
      <c r="OQQ53" s="5">
        <f>-IFERROR('4. NPV'!OQR23/'4. NPV'!OQR$8,0)</f>
        <v>-0.0</v>
      </c>
      <c r="OQR53" s="5">
        <f>-IFERROR('4. NPV'!OQS23/'4. NPV'!OQS$8,0)</f>
        <v>-0.0</v>
      </c>
      <c r="OQS53" s="5">
        <f>-IFERROR('4. NPV'!OQT23/'4. NPV'!OQT$8,0)</f>
        <v>-0.0</v>
      </c>
      <c r="OQT53" s="5">
        <f>-IFERROR('4. NPV'!OQU23/'4. NPV'!OQU$8,0)</f>
        <v>-0.0</v>
      </c>
      <c r="OQU53" s="5">
        <f>-IFERROR('4. NPV'!OQV23/'4. NPV'!OQV$8,0)</f>
        <v>-0.0</v>
      </c>
      <c r="OQV53" s="5">
        <f>-IFERROR('4. NPV'!OQW23/'4. NPV'!OQW$8,0)</f>
        <v>-0.0</v>
      </c>
      <c r="OQW53" s="5">
        <f>-IFERROR('4. NPV'!OQX23/'4. NPV'!OQX$8,0)</f>
        <v>-0.0</v>
      </c>
      <c r="OQX53" s="5">
        <f>-IFERROR('4. NPV'!OQY23/'4. NPV'!OQY$8,0)</f>
        <v>-0.0</v>
      </c>
      <c r="OQY53" s="5">
        <f>-IFERROR('4. NPV'!OQZ23/'4. NPV'!OQZ$8,0)</f>
        <v>-0.0</v>
      </c>
      <c r="OQZ53" s="5">
        <f>-IFERROR('4. NPV'!ORA23/'4. NPV'!ORA$8,0)</f>
        <v>-0.0</v>
      </c>
      <c r="ORA53" s="5">
        <f>-IFERROR('4. NPV'!ORB23/'4. NPV'!ORB$8,0)</f>
        <v>-0.0</v>
      </c>
      <c r="ORB53" s="5">
        <f>-IFERROR('4. NPV'!ORC23/'4. NPV'!ORC$8,0)</f>
        <v>-0.0</v>
      </c>
      <c r="ORC53" s="5">
        <f>-IFERROR('4. NPV'!ORD23/'4. NPV'!ORD$8,0)</f>
        <v>-0.0</v>
      </c>
      <c r="ORD53" s="5">
        <f>-IFERROR('4. NPV'!ORE23/'4. NPV'!ORE$8,0)</f>
        <v>-0.0</v>
      </c>
      <c r="ORE53" s="5">
        <f>-IFERROR('4. NPV'!ORF23/'4. NPV'!ORF$8,0)</f>
        <v>-0.0</v>
      </c>
      <c r="ORF53" s="5">
        <f>-IFERROR('4. NPV'!ORG23/'4. NPV'!ORG$8,0)</f>
        <v>-0.0</v>
      </c>
      <c r="ORG53" s="5">
        <f>-IFERROR('4. NPV'!ORH23/'4. NPV'!ORH$8,0)</f>
        <v>-0.0</v>
      </c>
      <c r="ORH53" s="5">
        <f>-IFERROR('4. NPV'!ORI23/'4. NPV'!ORI$8,0)</f>
        <v>-0.0</v>
      </c>
      <c r="ORI53" s="5">
        <f>-IFERROR('4. NPV'!ORJ23/'4. NPV'!ORJ$8,0)</f>
        <v>-0.0</v>
      </c>
      <c r="ORJ53" s="5">
        <f>-IFERROR('4. NPV'!ORK23/'4. NPV'!ORK$8,0)</f>
        <v>-0.0</v>
      </c>
      <c r="ORK53" s="5">
        <f>-IFERROR('4. NPV'!ORL23/'4. NPV'!ORL$8,0)</f>
        <v>-0.0</v>
      </c>
      <c r="ORL53" s="5">
        <f>-IFERROR('4. NPV'!ORM23/'4. NPV'!ORM$8,0)</f>
        <v>-0.0</v>
      </c>
      <c r="ORM53" s="5">
        <f>-IFERROR('4. NPV'!ORN23/'4. NPV'!ORN$8,0)</f>
        <v>-0.0</v>
      </c>
      <c r="ORN53" s="5">
        <f>-IFERROR('4. NPV'!ORO23/'4. NPV'!ORO$8,0)</f>
        <v>-0.0</v>
      </c>
      <c r="ORO53" s="5">
        <f>-IFERROR('4. NPV'!ORP23/'4. NPV'!ORP$8,0)</f>
        <v>-0.0</v>
      </c>
      <c r="ORP53" s="5">
        <f>-IFERROR('4. NPV'!ORQ23/'4. NPV'!ORQ$8,0)</f>
        <v>-0.0</v>
      </c>
      <c r="ORQ53" s="5">
        <f>-IFERROR('4. NPV'!ORR23/'4. NPV'!ORR$8,0)</f>
        <v>-0.0</v>
      </c>
      <c r="ORR53" s="5">
        <f>-IFERROR('4. NPV'!ORS23/'4. NPV'!ORS$8,0)</f>
        <v>-0.0</v>
      </c>
      <c r="ORS53" s="5">
        <f>-IFERROR('4. NPV'!ORT23/'4. NPV'!ORT$8,0)</f>
        <v>-0.0</v>
      </c>
      <c r="ORT53" s="5">
        <f>-IFERROR('4. NPV'!ORU23/'4. NPV'!ORU$8,0)</f>
        <v>-0.0</v>
      </c>
      <c r="ORU53" s="5">
        <f>-IFERROR('4. NPV'!ORV23/'4. NPV'!ORV$8,0)</f>
        <v>-0.0</v>
      </c>
      <c r="ORV53" s="5">
        <f>-IFERROR('4. NPV'!ORW23/'4. NPV'!ORW$8,0)</f>
        <v>-0.0</v>
      </c>
      <c r="ORW53" s="5">
        <f>-IFERROR('4. NPV'!ORX23/'4. NPV'!ORX$8,0)</f>
        <v>-0.0</v>
      </c>
      <c r="ORX53" s="5">
        <f>-IFERROR('4. NPV'!ORY23/'4. NPV'!ORY$8,0)</f>
        <v>-0.0</v>
      </c>
      <c r="ORY53" s="5">
        <f>-IFERROR('4. NPV'!ORZ23/'4. NPV'!ORZ$8,0)</f>
        <v>-0.0</v>
      </c>
      <c r="ORZ53" s="5">
        <f>-IFERROR('4. NPV'!OSA23/'4. NPV'!OSA$8,0)</f>
        <v>-0.0</v>
      </c>
      <c r="OSA53" s="5">
        <f>-IFERROR('4. NPV'!OSB23/'4. NPV'!OSB$8,0)</f>
        <v>-0.0</v>
      </c>
      <c r="OSB53" s="5">
        <f>-IFERROR('4. NPV'!OSC23/'4. NPV'!OSC$8,0)</f>
        <v>-0.0</v>
      </c>
      <c r="OSC53" s="5">
        <f>-IFERROR('4. NPV'!OSD23/'4. NPV'!OSD$8,0)</f>
        <v>-0.0</v>
      </c>
      <c r="OSD53" s="5">
        <f>-IFERROR('4. NPV'!OSE23/'4. NPV'!OSE$8,0)</f>
        <v>-0.0</v>
      </c>
      <c r="OSE53" s="5">
        <f>-IFERROR('4. NPV'!OSF23/'4. NPV'!OSF$8,0)</f>
        <v>-0.0</v>
      </c>
      <c r="OSF53" s="5">
        <f>-IFERROR('4. NPV'!OSG23/'4. NPV'!OSG$8,0)</f>
        <v>-0.0</v>
      </c>
      <c r="OSG53" s="5">
        <f>-IFERROR('4. NPV'!OSH23/'4. NPV'!OSH$8,0)</f>
        <v>-0.0</v>
      </c>
      <c r="OSH53" s="5">
        <f>-IFERROR('4. NPV'!OSI23/'4. NPV'!OSI$8,0)</f>
        <v>-0.0</v>
      </c>
      <c r="OSI53" s="5">
        <f>-IFERROR('4. NPV'!OSJ23/'4. NPV'!OSJ$8,0)</f>
        <v>-0.0</v>
      </c>
      <c r="OSJ53" s="5">
        <f>-IFERROR('4. NPV'!OSK23/'4. NPV'!OSK$8,0)</f>
        <v>-0.0</v>
      </c>
      <c r="OSK53" s="5">
        <f>-IFERROR('4. NPV'!OSL23/'4. NPV'!OSL$8,0)</f>
        <v>-0.0</v>
      </c>
      <c r="OSL53" s="5">
        <f>-IFERROR('4. NPV'!OSM23/'4. NPV'!OSM$8,0)</f>
        <v>-0.0</v>
      </c>
      <c r="OSM53" s="5">
        <f>-IFERROR('4. NPV'!OSN23/'4. NPV'!OSN$8,0)</f>
        <v>-0.0</v>
      </c>
      <c r="OSN53" s="5">
        <f>-IFERROR('4. NPV'!OSO23/'4. NPV'!OSO$8,0)</f>
        <v>-0.0</v>
      </c>
      <c r="OSO53" s="5">
        <f>-IFERROR('4. NPV'!OSP23/'4. NPV'!OSP$8,0)</f>
        <v>-0.0</v>
      </c>
      <c r="OSP53" s="5">
        <f>-IFERROR('4. NPV'!OSQ23/'4. NPV'!OSQ$8,0)</f>
        <v>-0.0</v>
      </c>
      <c r="OSQ53" s="5">
        <f>-IFERROR('4. NPV'!OSR23/'4. NPV'!OSR$8,0)</f>
        <v>-0.0</v>
      </c>
      <c r="OSR53" s="5">
        <f>-IFERROR('4. NPV'!OSS23/'4. NPV'!OSS$8,0)</f>
        <v>-0.0</v>
      </c>
      <c r="OSS53" s="5">
        <f>-IFERROR('4. NPV'!OST23/'4. NPV'!OST$8,0)</f>
        <v>-0.0</v>
      </c>
      <c r="OST53" s="5">
        <f>-IFERROR('4. NPV'!OSU23/'4. NPV'!OSU$8,0)</f>
        <v>-0.0</v>
      </c>
      <c r="OSU53" s="5">
        <f>-IFERROR('4. NPV'!OSV23/'4. NPV'!OSV$8,0)</f>
        <v>-0.0</v>
      </c>
      <c r="OSV53" s="5">
        <f>-IFERROR('4. NPV'!OSW23/'4. NPV'!OSW$8,0)</f>
        <v>-0.0</v>
      </c>
      <c r="OSW53" s="5">
        <f>-IFERROR('4. NPV'!OSX23/'4. NPV'!OSX$8,0)</f>
        <v>-0.0</v>
      </c>
      <c r="OSX53" s="5">
        <f>-IFERROR('4. NPV'!OSY23/'4. NPV'!OSY$8,0)</f>
        <v>-0.0</v>
      </c>
      <c r="OSY53" s="5">
        <f>-IFERROR('4. NPV'!OSZ23/'4. NPV'!OSZ$8,0)</f>
        <v>-0.0</v>
      </c>
      <c r="OSZ53" s="5">
        <f>-IFERROR('4. NPV'!OTA23/'4. NPV'!OTA$8,0)</f>
        <v>-0.0</v>
      </c>
      <c r="OTA53" s="5">
        <f>-IFERROR('4. NPV'!OTB23/'4. NPV'!OTB$8,0)</f>
        <v>-0.0</v>
      </c>
      <c r="OTB53" s="5">
        <f>-IFERROR('4. NPV'!OTC23/'4. NPV'!OTC$8,0)</f>
        <v>-0.0</v>
      </c>
      <c r="OTC53" s="5">
        <f>-IFERROR('4. NPV'!OTD23/'4. NPV'!OTD$8,0)</f>
        <v>-0.0</v>
      </c>
      <c r="OTD53" s="5">
        <f>-IFERROR('4. NPV'!OTE23/'4. NPV'!OTE$8,0)</f>
        <v>-0.0</v>
      </c>
      <c r="OTE53" s="5">
        <f>-IFERROR('4. NPV'!OTF23/'4. NPV'!OTF$8,0)</f>
        <v>-0.0</v>
      </c>
      <c r="OTF53" s="5">
        <f>-IFERROR('4. NPV'!OTG23/'4. NPV'!OTG$8,0)</f>
        <v>-0.0</v>
      </c>
      <c r="OTG53" s="5">
        <f>-IFERROR('4. NPV'!OTH23/'4. NPV'!OTH$8,0)</f>
        <v>-0.0</v>
      </c>
      <c r="OTH53" s="5">
        <f>-IFERROR('4. NPV'!OTI23/'4. NPV'!OTI$8,0)</f>
        <v>-0.0</v>
      </c>
      <c r="OTI53" s="5">
        <f>-IFERROR('4. NPV'!OTJ23/'4. NPV'!OTJ$8,0)</f>
        <v>-0.0</v>
      </c>
      <c r="OTJ53" s="5">
        <f>-IFERROR('4. NPV'!OTK23/'4. NPV'!OTK$8,0)</f>
        <v>-0.0</v>
      </c>
      <c r="OTK53" s="5">
        <f>-IFERROR('4. NPV'!OTL23/'4. NPV'!OTL$8,0)</f>
        <v>-0.0</v>
      </c>
      <c r="OTL53" s="5">
        <f>-IFERROR('4. NPV'!OTM23/'4. NPV'!OTM$8,0)</f>
        <v>-0.0</v>
      </c>
      <c r="OTM53" s="5">
        <f>-IFERROR('4. NPV'!OTN23/'4. NPV'!OTN$8,0)</f>
        <v>-0.0</v>
      </c>
      <c r="OTN53" s="5">
        <f>-IFERROR('4. NPV'!OTO23/'4. NPV'!OTO$8,0)</f>
        <v>-0.0</v>
      </c>
      <c r="OTO53" s="5">
        <f>-IFERROR('4. NPV'!OTP23/'4. NPV'!OTP$8,0)</f>
        <v>-0.0</v>
      </c>
      <c r="OTP53" s="5">
        <f>-IFERROR('4. NPV'!OTQ23/'4. NPV'!OTQ$8,0)</f>
        <v>-0.0</v>
      </c>
      <c r="OTQ53" s="5">
        <f>-IFERROR('4. NPV'!OTR23/'4. NPV'!OTR$8,0)</f>
        <v>-0.0</v>
      </c>
      <c r="OTR53" s="5">
        <f>-IFERROR('4. NPV'!OTS23/'4. NPV'!OTS$8,0)</f>
        <v>-0.0</v>
      </c>
      <c r="OTS53" s="5">
        <f>-IFERROR('4. NPV'!OTT23/'4. NPV'!OTT$8,0)</f>
        <v>-0.0</v>
      </c>
      <c r="OTT53" s="5">
        <f>-IFERROR('4. NPV'!OTU23/'4. NPV'!OTU$8,0)</f>
        <v>-0.0</v>
      </c>
      <c r="OTU53" s="5">
        <f>-IFERROR('4. NPV'!OTV23/'4. NPV'!OTV$8,0)</f>
        <v>-0.0</v>
      </c>
      <c r="OTV53" s="5">
        <f>-IFERROR('4. NPV'!OTW23/'4. NPV'!OTW$8,0)</f>
        <v>-0.0</v>
      </c>
      <c r="OTW53" s="5">
        <f>-IFERROR('4. NPV'!OTX23/'4. NPV'!OTX$8,0)</f>
        <v>-0.0</v>
      </c>
      <c r="OTX53" s="5">
        <f>-IFERROR('4. NPV'!OTY23/'4. NPV'!OTY$8,0)</f>
        <v>-0.0</v>
      </c>
      <c r="OTY53" s="5">
        <f>-IFERROR('4. NPV'!OTZ23/'4. NPV'!OTZ$8,0)</f>
        <v>-0.0</v>
      </c>
      <c r="OTZ53" s="5">
        <f>-IFERROR('4. NPV'!OUA23/'4. NPV'!OUA$8,0)</f>
        <v>-0.0</v>
      </c>
      <c r="OUA53" s="5">
        <f>-IFERROR('4. NPV'!OUB23/'4. NPV'!OUB$8,0)</f>
        <v>-0.0</v>
      </c>
      <c r="OUB53" s="5">
        <f>-IFERROR('4. NPV'!OUC23/'4. NPV'!OUC$8,0)</f>
        <v>-0.0</v>
      </c>
      <c r="OUC53" s="5">
        <f>-IFERROR('4. NPV'!OUD23/'4. NPV'!OUD$8,0)</f>
        <v>-0.0</v>
      </c>
      <c r="OUD53" s="5">
        <f>-IFERROR('4. NPV'!OUE23/'4. NPV'!OUE$8,0)</f>
        <v>-0.0</v>
      </c>
      <c r="OUE53" s="5">
        <f>-IFERROR('4. NPV'!OUF23/'4. NPV'!OUF$8,0)</f>
        <v>-0.0</v>
      </c>
      <c r="OUF53" s="5">
        <f>-IFERROR('4. NPV'!OUG23/'4. NPV'!OUG$8,0)</f>
        <v>-0.0</v>
      </c>
      <c r="OUG53" s="5">
        <f>-IFERROR('4. NPV'!OUH23/'4. NPV'!OUH$8,0)</f>
        <v>-0.0</v>
      </c>
      <c r="OUH53" s="5">
        <f>-IFERROR('4. NPV'!OUI23/'4. NPV'!OUI$8,0)</f>
        <v>-0.0</v>
      </c>
      <c r="OUI53" s="5">
        <f>-IFERROR('4. NPV'!OUJ23/'4. NPV'!OUJ$8,0)</f>
        <v>-0.0</v>
      </c>
      <c r="OUJ53" s="5">
        <f>-IFERROR('4. NPV'!OUK23/'4. NPV'!OUK$8,0)</f>
        <v>-0.0</v>
      </c>
      <c r="OUK53" s="5">
        <f>-IFERROR('4. NPV'!OUL23/'4. NPV'!OUL$8,0)</f>
        <v>-0.0</v>
      </c>
      <c r="OUL53" s="5">
        <f>-IFERROR('4. NPV'!OUM23/'4. NPV'!OUM$8,0)</f>
        <v>-0.0</v>
      </c>
      <c r="OUM53" s="5">
        <f>-IFERROR('4. NPV'!OUN23/'4. NPV'!OUN$8,0)</f>
        <v>-0.0</v>
      </c>
      <c r="OUN53" s="5">
        <f>-IFERROR('4. NPV'!OUO23/'4. NPV'!OUO$8,0)</f>
        <v>-0.0</v>
      </c>
      <c r="OUO53" s="5">
        <f>-IFERROR('4. NPV'!OUP23/'4. NPV'!OUP$8,0)</f>
        <v>-0.0</v>
      </c>
      <c r="OUP53" s="5">
        <f>-IFERROR('4. NPV'!OUQ23/'4. NPV'!OUQ$8,0)</f>
        <v>-0.0</v>
      </c>
      <c r="OUQ53" s="5">
        <f>-IFERROR('4. NPV'!OUR23/'4. NPV'!OUR$8,0)</f>
        <v>-0.0</v>
      </c>
      <c r="OUR53" s="5">
        <f>-IFERROR('4. NPV'!OUS23/'4. NPV'!OUS$8,0)</f>
        <v>-0.0</v>
      </c>
      <c r="OUS53" s="5">
        <f>-IFERROR('4. NPV'!OUT23/'4. NPV'!OUT$8,0)</f>
        <v>-0.0</v>
      </c>
      <c r="OUT53" s="5">
        <f>-IFERROR('4. NPV'!OUU23/'4. NPV'!OUU$8,0)</f>
        <v>-0.0</v>
      </c>
      <c r="OUU53" s="5">
        <f>-IFERROR('4. NPV'!OUV23/'4. NPV'!OUV$8,0)</f>
        <v>-0.0</v>
      </c>
      <c r="OUV53" s="5">
        <f>-IFERROR('4. NPV'!OUW23/'4. NPV'!OUW$8,0)</f>
        <v>-0.0</v>
      </c>
      <c r="OUW53" s="5">
        <f>-IFERROR('4. NPV'!OUX23/'4. NPV'!OUX$8,0)</f>
        <v>-0.0</v>
      </c>
      <c r="OUX53" s="5">
        <f>-IFERROR('4. NPV'!OUY23/'4. NPV'!OUY$8,0)</f>
        <v>-0.0</v>
      </c>
      <c r="OUY53" s="5">
        <f>-IFERROR('4. NPV'!OUZ23/'4. NPV'!OUZ$8,0)</f>
        <v>-0.0</v>
      </c>
      <c r="OUZ53" s="5">
        <f>-IFERROR('4. NPV'!OVA23/'4. NPV'!OVA$8,0)</f>
        <v>-0.0</v>
      </c>
      <c r="OVA53" s="5">
        <f>-IFERROR('4. NPV'!OVB23/'4. NPV'!OVB$8,0)</f>
        <v>-0.0</v>
      </c>
      <c r="OVB53" s="5">
        <f>-IFERROR('4. NPV'!OVC23/'4. NPV'!OVC$8,0)</f>
        <v>-0.0</v>
      </c>
      <c r="OVC53" s="5">
        <f>-IFERROR('4. NPV'!OVD23/'4. NPV'!OVD$8,0)</f>
        <v>-0.0</v>
      </c>
      <c r="OVD53" s="5">
        <f>-IFERROR('4. NPV'!OVE23/'4. NPV'!OVE$8,0)</f>
        <v>-0.0</v>
      </c>
      <c r="OVE53" s="5">
        <f>-IFERROR('4. NPV'!OVF23/'4. NPV'!OVF$8,0)</f>
        <v>-0.0</v>
      </c>
      <c r="OVF53" s="5">
        <f>-IFERROR('4. NPV'!OVG23/'4. NPV'!OVG$8,0)</f>
        <v>-0.0</v>
      </c>
      <c r="OVG53" s="5">
        <f>-IFERROR('4. NPV'!OVH23/'4. NPV'!OVH$8,0)</f>
        <v>-0.0</v>
      </c>
      <c r="OVH53" s="5">
        <f>-IFERROR('4. NPV'!OVI23/'4. NPV'!OVI$8,0)</f>
        <v>-0.0</v>
      </c>
      <c r="OVI53" s="5">
        <f>-IFERROR('4. NPV'!OVJ23/'4. NPV'!OVJ$8,0)</f>
        <v>-0.0</v>
      </c>
      <c r="OVJ53" s="5">
        <f>-IFERROR('4. NPV'!OVK23/'4. NPV'!OVK$8,0)</f>
        <v>-0.0</v>
      </c>
      <c r="OVK53" s="5">
        <f>-IFERROR('4. NPV'!OVL23/'4. NPV'!OVL$8,0)</f>
        <v>-0.0</v>
      </c>
      <c r="OVL53" s="5">
        <f>-IFERROR('4. NPV'!OVM23/'4. NPV'!OVM$8,0)</f>
        <v>-0.0</v>
      </c>
      <c r="OVM53" s="5">
        <f>-IFERROR('4. NPV'!OVN23/'4. NPV'!OVN$8,0)</f>
        <v>-0.0</v>
      </c>
      <c r="OVN53" s="5">
        <f>-IFERROR('4. NPV'!OVO23/'4. NPV'!OVO$8,0)</f>
        <v>-0.0</v>
      </c>
      <c r="OVO53" s="5">
        <f>-IFERROR('4. NPV'!OVP23/'4. NPV'!OVP$8,0)</f>
        <v>-0.0</v>
      </c>
      <c r="OVP53" s="5">
        <f>-IFERROR('4. NPV'!OVQ23/'4. NPV'!OVQ$8,0)</f>
        <v>-0.0</v>
      </c>
      <c r="OVQ53" s="5">
        <f>-IFERROR('4. NPV'!OVR23/'4. NPV'!OVR$8,0)</f>
        <v>-0.0</v>
      </c>
      <c r="OVR53" s="5">
        <f>-IFERROR('4. NPV'!OVS23/'4. NPV'!OVS$8,0)</f>
        <v>-0.0</v>
      </c>
      <c r="OVS53" s="5">
        <f>-IFERROR('4. NPV'!OVT23/'4. NPV'!OVT$8,0)</f>
        <v>-0.0</v>
      </c>
      <c r="OVT53" s="5">
        <f>-IFERROR('4. NPV'!OVU23/'4. NPV'!OVU$8,0)</f>
        <v>-0.0</v>
      </c>
      <c r="OVU53" s="5">
        <f>-IFERROR('4. NPV'!OVV23/'4. NPV'!OVV$8,0)</f>
        <v>-0.0</v>
      </c>
      <c r="OVV53" s="5">
        <f>-IFERROR('4. NPV'!OVW23/'4. NPV'!OVW$8,0)</f>
        <v>-0.0</v>
      </c>
      <c r="OVW53" s="5">
        <f>-IFERROR('4. NPV'!OVX23/'4. NPV'!OVX$8,0)</f>
        <v>-0.0</v>
      </c>
      <c r="OVX53" s="5">
        <f>-IFERROR('4. NPV'!OVY23/'4. NPV'!OVY$8,0)</f>
        <v>-0.0</v>
      </c>
      <c r="OVY53" s="5">
        <f>-IFERROR('4. NPV'!OVZ23/'4. NPV'!OVZ$8,0)</f>
        <v>-0.0</v>
      </c>
      <c r="OVZ53" s="5">
        <f>-IFERROR('4. NPV'!OWA23/'4. NPV'!OWA$8,0)</f>
        <v>-0.0</v>
      </c>
      <c r="OWA53" s="5">
        <f>-IFERROR('4. NPV'!OWB23/'4. NPV'!OWB$8,0)</f>
        <v>-0.0</v>
      </c>
      <c r="OWB53" s="5">
        <f>-IFERROR('4. NPV'!OWC23/'4. NPV'!OWC$8,0)</f>
        <v>-0.0</v>
      </c>
      <c r="OWC53" s="5">
        <f>-IFERROR('4. NPV'!OWD23/'4. NPV'!OWD$8,0)</f>
        <v>-0.0</v>
      </c>
      <c r="OWD53" s="5">
        <f>-IFERROR('4. NPV'!OWE23/'4. NPV'!OWE$8,0)</f>
        <v>-0.0</v>
      </c>
      <c r="OWE53" s="5">
        <f>-IFERROR('4. NPV'!OWF23/'4. NPV'!OWF$8,0)</f>
        <v>-0.0</v>
      </c>
      <c r="OWF53" s="5">
        <f>-IFERROR('4. NPV'!OWG23/'4. NPV'!OWG$8,0)</f>
        <v>-0.0</v>
      </c>
      <c r="OWG53" s="5">
        <f>-IFERROR('4. NPV'!OWH23/'4. NPV'!OWH$8,0)</f>
        <v>-0.0</v>
      </c>
      <c r="OWH53" s="5">
        <f>-IFERROR('4. NPV'!OWI23/'4. NPV'!OWI$8,0)</f>
        <v>-0.0</v>
      </c>
      <c r="OWI53" s="5">
        <f>-IFERROR('4. NPV'!OWJ23/'4. NPV'!OWJ$8,0)</f>
        <v>-0.0</v>
      </c>
      <c r="OWJ53" s="5">
        <f>-IFERROR('4. NPV'!OWK23/'4. NPV'!OWK$8,0)</f>
        <v>-0.0</v>
      </c>
      <c r="OWK53" s="5">
        <f>-IFERROR('4. NPV'!OWL23/'4. NPV'!OWL$8,0)</f>
        <v>-0.0</v>
      </c>
      <c r="OWL53" s="5">
        <f>-IFERROR('4. NPV'!OWM23/'4. NPV'!OWM$8,0)</f>
        <v>-0.0</v>
      </c>
      <c r="OWM53" s="5">
        <f>-IFERROR('4. NPV'!OWN23/'4. NPV'!OWN$8,0)</f>
        <v>-0.0</v>
      </c>
      <c r="OWN53" s="5">
        <f>-IFERROR('4. NPV'!OWO23/'4. NPV'!OWO$8,0)</f>
        <v>-0.0</v>
      </c>
      <c r="OWO53" s="5">
        <f>-IFERROR('4. NPV'!OWP23/'4. NPV'!OWP$8,0)</f>
        <v>-0.0</v>
      </c>
      <c r="OWP53" s="5">
        <f>-IFERROR('4. NPV'!OWQ23/'4. NPV'!OWQ$8,0)</f>
        <v>-0.0</v>
      </c>
      <c r="OWQ53" s="5">
        <f>-IFERROR('4. NPV'!OWR23/'4. NPV'!OWR$8,0)</f>
        <v>-0.0</v>
      </c>
      <c r="OWR53" s="5">
        <f>-IFERROR('4. NPV'!OWS23/'4. NPV'!OWS$8,0)</f>
        <v>-0.0</v>
      </c>
      <c r="OWS53" s="5">
        <f>-IFERROR('4. NPV'!OWT23/'4. NPV'!OWT$8,0)</f>
        <v>-0.0</v>
      </c>
      <c r="OWT53" s="5">
        <f>-IFERROR('4. NPV'!OWU23/'4. NPV'!OWU$8,0)</f>
        <v>-0.0</v>
      </c>
      <c r="OWU53" s="5">
        <f>-IFERROR('4. NPV'!OWV23/'4. NPV'!OWV$8,0)</f>
        <v>-0.0</v>
      </c>
      <c r="OWV53" s="5">
        <f>-IFERROR('4. NPV'!OWW23/'4. NPV'!OWW$8,0)</f>
        <v>-0.0</v>
      </c>
      <c r="OWW53" s="5">
        <f>-IFERROR('4. NPV'!OWX23/'4. NPV'!OWX$8,0)</f>
        <v>-0.0</v>
      </c>
      <c r="OWX53" s="5">
        <f>-IFERROR('4. NPV'!OWY23/'4. NPV'!OWY$8,0)</f>
        <v>-0.0</v>
      </c>
      <c r="OWY53" s="5">
        <f>-IFERROR('4. NPV'!OWZ23/'4. NPV'!OWZ$8,0)</f>
        <v>-0.0</v>
      </c>
      <c r="OWZ53" s="5">
        <f>-IFERROR('4. NPV'!OXA23/'4. NPV'!OXA$8,0)</f>
        <v>-0.0</v>
      </c>
      <c r="OXA53" s="5">
        <f>-IFERROR('4. NPV'!OXB23/'4. NPV'!OXB$8,0)</f>
        <v>-0.0</v>
      </c>
      <c r="OXB53" s="5">
        <f>-IFERROR('4. NPV'!OXC23/'4. NPV'!OXC$8,0)</f>
        <v>-0.0</v>
      </c>
      <c r="OXC53" s="5">
        <f>-IFERROR('4. NPV'!OXD23/'4. NPV'!OXD$8,0)</f>
        <v>-0.0</v>
      </c>
      <c r="OXD53" s="5">
        <f>-IFERROR('4. NPV'!OXE23/'4. NPV'!OXE$8,0)</f>
        <v>-0.0</v>
      </c>
      <c r="OXE53" s="5">
        <f>-IFERROR('4. NPV'!OXF23/'4. NPV'!OXF$8,0)</f>
        <v>-0.0</v>
      </c>
      <c r="OXF53" s="5">
        <f>-IFERROR('4. NPV'!OXG23/'4. NPV'!OXG$8,0)</f>
        <v>-0.0</v>
      </c>
      <c r="OXG53" s="5">
        <f>-IFERROR('4. NPV'!OXH23/'4. NPV'!OXH$8,0)</f>
        <v>-0.0</v>
      </c>
      <c r="OXH53" s="5">
        <f>-IFERROR('4. NPV'!OXI23/'4. NPV'!OXI$8,0)</f>
        <v>-0.0</v>
      </c>
      <c r="OXI53" s="5">
        <f>-IFERROR('4. NPV'!OXJ23/'4. NPV'!OXJ$8,0)</f>
        <v>-0.0</v>
      </c>
      <c r="OXJ53" s="5">
        <f>-IFERROR('4. NPV'!OXK23/'4. NPV'!OXK$8,0)</f>
        <v>-0.0</v>
      </c>
      <c r="OXK53" s="5">
        <f>-IFERROR('4. NPV'!OXL23/'4. NPV'!OXL$8,0)</f>
        <v>-0.0</v>
      </c>
      <c r="OXL53" s="5">
        <f>-IFERROR('4. NPV'!OXM23/'4. NPV'!OXM$8,0)</f>
        <v>-0.0</v>
      </c>
      <c r="OXM53" s="5">
        <f>-IFERROR('4. NPV'!OXN23/'4. NPV'!OXN$8,0)</f>
        <v>-0.0</v>
      </c>
      <c r="OXN53" s="5">
        <f>-IFERROR('4. NPV'!OXO23/'4. NPV'!OXO$8,0)</f>
        <v>-0.0</v>
      </c>
      <c r="OXO53" s="5">
        <f>-IFERROR('4. NPV'!OXP23/'4. NPV'!OXP$8,0)</f>
        <v>-0.0</v>
      </c>
      <c r="OXP53" s="5">
        <f>-IFERROR('4. NPV'!OXQ23/'4. NPV'!OXQ$8,0)</f>
        <v>-0.0</v>
      </c>
      <c r="OXQ53" s="5">
        <f>-IFERROR('4. NPV'!OXR23/'4. NPV'!OXR$8,0)</f>
        <v>-0.0</v>
      </c>
      <c r="OXR53" s="5">
        <f>-IFERROR('4. NPV'!OXS23/'4. NPV'!OXS$8,0)</f>
        <v>-0.0</v>
      </c>
      <c r="OXS53" s="5">
        <f>-IFERROR('4. NPV'!OXT23/'4. NPV'!OXT$8,0)</f>
        <v>-0.0</v>
      </c>
      <c r="OXT53" s="5">
        <f>-IFERROR('4. NPV'!OXU23/'4. NPV'!OXU$8,0)</f>
        <v>-0.0</v>
      </c>
      <c r="OXU53" s="5">
        <f>-IFERROR('4. NPV'!OXV23/'4. NPV'!OXV$8,0)</f>
        <v>-0.0</v>
      </c>
      <c r="OXV53" s="5">
        <f>-IFERROR('4. NPV'!OXW23/'4. NPV'!OXW$8,0)</f>
        <v>-0.0</v>
      </c>
      <c r="OXW53" s="5">
        <f>-IFERROR('4. NPV'!OXX23/'4. NPV'!OXX$8,0)</f>
        <v>-0.0</v>
      </c>
      <c r="OXX53" s="5">
        <f>-IFERROR('4. NPV'!OXY23/'4. NPV'!OXY$8,0)</f>
        <v>-0.0</v>
      </c>
      <c r="OXY53" s="5">
        <f>-IFERROR('4. NPV'!OXZ23/'4. NPV'!OXZ$8,0)</f>
        <v>-0.0</v>
      </c>
      <c r="OXZ53" s="5">
        <f>-IFERROR('4. NPV'!OYA23/'4. NPV'!OYA$8,0)</f>
        <v>-0.0</v>
      </c>
      <c r="OYA53" s="5">
        <f>-IFERROR('4. NPV'!OYB23/'4. NPV'!OYB$8,0)</f>
        <v>-0.0</v>
      </c>
      <c r="OYB53" s="5">
        <f>-IFERROR('4. NPV'!OYC23/'4. NPV'!OYC$8,0)</f>
        <v>-0.0</v>
      </c>
      <c r="OYC53" s="5">
        <f>-IFERROR('4. NPV'!OYD23/'4. NPV'!OYD$8,0)</f>
        <v>-0.0</v>
      </c>
      <c r="OYD53" s="5">
        <f>-IFERROR('4. NPV'!OYE23/'4. NPV'!OYE$8,0)</f>
        <v>-0.0</v>
      </c>
      <c r="OYE53" s="5">
        <f>-IFERROR('4. NPV'!OYF23/'4. NPV'!OYF$8,0)</f>
        <v>-0.0</v>
      </c>
      <c r="OYF53" s="5">
        <f>-IFERROR('4. NPV'!OYG23/'4. NPV'!OYG$8,0)</f>
        <v>-0.0</v>
      </c>
      <c r="OYG53" s="5">
        <f>-IFERROR('4. NPV'!OYH23/'4. NPV'!OYH$8,0)</f>
        <v>-0.0</v>
      </c>
      <c r="OYH53" s="5">
        <f>-IFERROR('4. NPV'!OYI23/'4. NPV'!OYI$8,0)</f>
        <v>-0.0</v>
      </c>
      <c r="OYI53" s="5">
        <f>-IFERROR('4. NPV'!OYJ23/'4. NPV'!OYJ$8,0)</f>
        <v>-0.0</v>
      </c>
      <c r="OYJ53" s="5">
        <f>-IFERROR('4. NPV'!OYK23/'4. NPV'!OYK$8,0)</f>
        <v>-0.0</v>
      </c>
      <c r="OYK53" s="5">
        <f>-IFERROR('4. NPV'!OYL23/'4. NPV'!OYL$8,0)</f>
        <v>-0.0</v>
      </c>
      <c r="OYL53" s="5">
        <f>-IFERROR('4. NPV'!OYM23/'4. NPV'!OYM$8,0)</f>
        <v>-0.0</v>
      </c>
      <c r="OYM53" s="5">
        <f>-IFERROR('4. NPV'!OYN23/'4. NPV'!OYN$8,0)</f>
        <v>-0.0</v>
      </c>
      <c r="OYN53" s="5">
        <f>-IFERROR('4. NPV'!OYO23/'4. NPV'!OYO$8,0)</f>
        <v>-0.0</v>
      </c>
      <c r="OYO53" s="5">
        <f>-IFERROR('4. NPV'!OYP23/'4. NPV'!OYP$8,0)</f>
        <v>-0.0</v>
      </c>
      <c r="OYP53" s="5">
        <f>-IFERROR('4. NPV'!OYQ23/'4. NPV'!OYQ$8,0)</f>
        <v>-0.0</v>
      </c>
      <c r="OYQ53" s="5">
        <f>-IFERROR('4. NPV'!OYR23/'4. NPV'!OYR$8,0)</f>
        <v>-0.0</v>
      </c>
      <c r="OYR53" s="5">
        <f>-IFERROR('4. NPV'!OYS23/'4. NPV'!OYS$8,0)</f>
        <v>-0.0</v>
      </c>
      <c r="OYS53" s="5">
        <f>-IFERROR('4. NPV'!OYT23/'4. NPV'!OYT$8,0)</f>
        <v>-0.0</v>
      </c>
      <c r="OYT53" s="5">
        <f>-IFERROR('4. NPV'!OYU23/'4. NPV'!OYU$8,0)</f>
        <v>-0.0</v>
      </c>
      <c r="OYU53" s="5">
        <f>-IFERROR('4. NPV'!OYV23/'4. NPV'!OYV$8,0)</f>
        <v>-0.0</v>
      </c>
      <c r="OYV53" s="5">
        <f>-IFERROR('4. NPV'!OYW23/'4. NPV'!OYW$8,0)</f>
        <v>-0.0</v>
      </c>
      <c r="OYW53" s="5">
        <f>-IFERROR('4. NPV'!OYX23/'4. NPV'!OYX$8,0)</f>
        <v>-0.0</v>
      </c>
      <c r="OYX53" s="5">
        <f>-IFERROR('4. NPV'!OYY23/'4. NPV'!OYY$8,0)</f>
        <v>-0.0</v>
      </c>
      <c r="OYY53" s="5">
        <f>-IFERROR('4. NPV'!OYZ23/'4. NPV'!OYZ$8,0)</f>
        <v>-0.0</v>
      </c>
      <c r="OYZ53" s="5">
        <f>-IFERROR('4. NPV'!OZA23/'4. NPV'!OZA$8,0)</f>
        <v>-0.0</v>
      </c>
      <c r="OZA53" s="5">
        <f>-IFERROR('4. NPV'!OZB23/'4. NPV'!OZB$8,0)</f>
        <v>-0.0</v>
      </c>
      <c r="OZB53" s="5">
        <f>-IFERROR('4. NPV'!OZC23/'4. NPV'!OZC$8,0)</f>
        <v>-0.0</v>
      </c>
      <c r="OZC53" s="5">
        <f>-IFERROR('4. NPV'!OZD23/'4. NPV'!OZD$8,0)</f>
        <v>-0.0</v>
      </c>
      <c r="OZD53" s="5">
        <f>-IFERROR('4. NPV'!OZE23/'4. NPV'!OZE$8,0)</f>
        <v>-0.0</v>
      </c>
      <c r="OZE53" s="5">
        <f>-IFERROR('4. NPV'!OZF23/'4. NPV'!OZF$8,0)</f>
        <v>-0.0</v>
      </c>
      <c r="OZF53" s="5">
        <f>-IFERROR('4. NPV'!OZG23/'4. NPV'!OZG$8,0)</f>
        <v>-0.0</v>
      </c>
      <c r="OZG53" s="5">
        <f>-IFERROR('4. NPV'!OZH23/'4. NPV'!OZH$8,0)</f>
        <v>-0.0</v>
      </c>
      <c r="OZH53" s="5">
        <f>-IFERROR('4. NPV'!OZI23/'4. NPV'!OZI$8,0)</f>
        <v>-0.0</v>
      </c>
      <c r="OZI53" s="5">
        <f>-IFERROR('4. NPV'!OZJ23/'4. NPV'!OZJ$8,0)</f>
        <v>-0.0</v>
      </c>
      <c r="OZJ53" s="5">
        <f>-IFERROR('4. NPV'!OZK23/'4. NPV'!OZK$8,0)</f>
        <v>-0.0</v>
      </c>
      <c r="OZK53" s="5">
        <f>-IFERROR('4. NPV'!OZL23/'4. NPV'!OZL$8,0)</f>
        <v>-0.0</v>
      </c>
      <c r="OZL53" s="5">
        <f>-IFERROR('4. NPV'!OZM23/'4. NPV'!OZM$8,0)</f>
        <v>-0.0</v>
      </c>
      <c r="OZM53" s="5">
        <f>-IFERROR('4. NPV'!OZN23/'4. NPV'!OZN$8,0)</f>
        <v>-0.0</v>
      </c>
      <c r="OZN53" s="5">
        <f>-IFERROR('4. NPV'!OZO23/'4. NPV'!OZO$8,0)</f>
        <v>-0.0</v>
      </c>
      <c r="OZO53" s="5">
        <f>-IFERROR('4. NPV'!OZP23/'4. NPV'!OZP$8,0)</f>
        <v>-0.0</v>
      </c>
      <c r="OZP53" s="5">
        <f>-IFERROR('4. NPV'!OZQ23/'4. NPV'!OZQ$8,0)</f>
        <v>-0.0</v>
      </c>
      <c r="OZQ53" s="5">
        <f>-IFERROR('4. NPV'!OZR23/'4. NPV'!OZR$8,0)</f>
        <v>-0.0</v>
      </c>
      <c r="OZR53" s="5">
        <f>-IFERROR('4. NPV'!OZS23/'4. NPV'!OZS$8,0)</f>
        <v>-0.0</v>
      </c>
      <c r="OZS53" s="5">
        <f>-IFERROR('4. NPV'!OZT23/'4. NPV'!OZT$8,0)</f>
        <v>-0.0</v>
      </c>
      <c r="OZT53" s="5">
        <f>-IFERROR('4. NPV'!OZU23/'4. NPV'!OZU$8,0)</f>
        <v>-0.0</v>
      </c>
      <c r="OZU53" s="5">
        <f>-IFERROR('4. NPV'!OZV23/'4. NPV'!OZV$8,0)</f>
        <v>-0.0</v>
      </c>
      <c r="OZV53" s="5">
        <f>-IFERROR('4. NPV'!OZW23/'4. NPV'!OZW$8,0)</f>
        <v>-0.0</v>
      </c>
      <c r="OZW53" s="5">
        <f>-IFERROR('4. NPV'!OZX23/'4. NPV'!OZX$8,0)</f>
        <v>-0.0</v>
      </c>
      <c r="OZX53" s="5">
        <f>-IFERROR('4. NPV'!OZY23/'4. NPV'!OZY$8,0)</f>
        <v>-0.0</v>
      </c>
      <c r="OZY53" s="5">
        <f>-IFERROR('4. NPV'!OZZ23/'4. NPV'!OZZ$8,0)</f>
        <v>-0.0</v>
      </c>
      <c r="OZZ53" s="5">
        <f>-IFERROR('4. NPV'!PAA23/'4. NPV'!PAA$8,0)</f>
        <v>-0.0</v>
      </c>
      <c r="PAA53" s="5">
        <f>-IFERROR('4. NPV'!PAB23/'4. NPV'!PAB$8,0)</f>
        <v>-0.0</v>
      </c>
      <c r="PAB53" s="5">
        <f>-IFERROR('4. NPV'!PAC23/'4. NPV'!PAC$8,0)</f>
        <v>-0.0</v>
      </c>
      <c r="PAC53" s="5">
        <f>-IFERROR('4. NPV'!PAD23/'4. NPV'!PAD$8,0)</f>
        <v>-0.0</v>
      </c>
      <c r="PAD53" s="5">
        <f>-IFERROR('4. NPV'!PAE23/'4. NPV'!PAE$8,0)</f>
        <v>-0.0</v>
      </c>
      <c r="PAE53" s="5">
        <f>-IFERROR('4. NPV'!PAF23/'4. NPV'!PAF$8,0)</f>
        <v>-0.0</v>
      </c>
      <c r="PAF53" s="5">
        <f>-IFERROR('4. NPV'!PAG23/'4. NPV'!PAG$8,0)</f>
        <v>-0.0</v>
      </c>
      <c r="PAG53" s="5">
        <f>-IFERROR('4. NPV'!PAH23/'4. NPV'!PAH$8,0)</f>
        <v>-0.0</v>
      </c>
      <c r="PAH53" s="5">
        <f>-IFERROR('4. NPV'!PAI23/'4. NPV'!PAI$8,0)</f>
        <v>-0.0</v>
      </c>
      <c r="PAI53" s="5">
        <f>-IFERROR('4. NPV'!PAJ23/'4. NPV'!PAJ$8,0)</f>
        <v>-0.0</v>
      </c>
      <c r="PAJ53" s="5">
        <f>-IFERROR('4. NPV'!PAK23/'4. NPV'!PAK$8,0)</f>
        <v>-0.0</v>
      </c>
      <c r="PAK53" s="5">
        <f>-IFERROR('4. NPV'!PAL23/'4. NPV'!PAL$8,0)</f>
        <v>-0.0</v>
      </c>
      <c r="PAL53" s="5">
        <f>-IFERROR('4. NPV'!PAM23/'4. NPV'!PAM$8,0)</f>
        <v>-0.0</v>
      </c>
      <c r="PAM53" s="5">
        <f>-IFERROR('4. NPV'!PAN23/'4. NPV'!PAN$8,0)</f>
        <v>-0.0</v>
      </c>
      <c r="PAN53" s="5">
        <f>-IFERROR('4. NPV'!PAO23/'4. NPV'!PAO$8,0)</f>
        <v>-0.0</v>
      </c>
      <c r="PAO53" s="5">
        <f>-IFERROR('4. NPV'!PAP23/'4. NPV'!PAP$8,0)</f>
        <v>-0.0</v>
      </c>
      <c r="PAP53" s="5">
        <f>-IFERROR('4. NPV'!PAQ23/'4. NPV'!PAQ$8,0)</f>
        <v>-0.0</v>
      </c>
      <c r="PAQ53" s="5">
        <f>-IFERROR('4. NPV'!PAR23/'4. NPV'!PAR$8,0)</f>
        <v>-0.0</v>
      </c>
      <c r="PAR53" s="5">
        <f>-IFERROR('4. NPV'!PAS23/'4. NPV'!PAS$8,0)</f>
        <v>-0.0</v>
      </c>
      <c r="PAS53" s="5">
        <f>-IFERROR('4. NPV'!PAT23/'4. NPV'!PAT$8,0)</f>
        <v>-0.0</v>
      </c>
      <c r="PAT53" s="5">
        <f>-IFERROR('4. NPV'!PAU23/'4. NPV'!PAU$8,0)</f>
        <v>-0.0</v>
      </c>
      <c r="PAU53" s="5">
        <f>-IFERROR('4. NPV'!PAV23/'4. NPV'!PAV$8,0)</f>
        <v>-0.0</v>
      </c>
      <c r="PAV53" s="5">
        <f>-IFERROR('4. NPV'!PAW23/'4. NPV'!PAW$8,0)</f>
        <v>-0.0</v>
      </c>
      <c r="PAW53" s="5">
        <f>-IFERROR('4. NPV'!PAX23/'4. NPV'!PAX$8,0)</f>
        <v>-0.0</v>
      </c>
      <c r="PAX53" s="5">
        <f>-IFERROR('4. NPV'!PAY23/'4. NPV'!PAY$8,0)</f>
        <v>-0.0</v>
      </c>
      <c r="PAY53" s="5">
        <f>-IFERROR('4. NPV'!PAZ23/'4. NPV'!PAZ$8,0)</f>
        <v>-0.0</v>
      </c>
      <c r="PAZ53" s="5">
        <f>-IFERROR('4. NPV'!PBA23/'4. NPV'!PBA$8,0)</f>
        <v>-0.0</v>
      </c>
      <c r="PBA53" s="5">
        <f>-IFERROR('4. NPV'!PBB23/'4. NPV'!PBB$8,0)</f>
        <v>-0.0</v>
      </c>
      <c r="PBB53" s="5">
        <f>-IFERROR('4. NPV'!PBC23/'4. NPV'!PBC$8,0)</f>
        <v>-0.0</v>
      </c>
      <c r="PBC53" s="5">
        <f>-IFERROR('4. NPV'!PBD23/'4. NPV'!PBD$8,0)</f>
        <v>-0.0</v>
      </c>
      <c r="PBD53" s="5">
        <f>-IFERROR('4. NPV'!PBE23/'4. NPV'!PBE$8,0)</f>
        <v>-0.0</v>
      </c>
      <c r="PBE53" s="5">
        <f>-IFERROR('4. NPV'!PBF23/'4. NPV'!PBF$8,0)</f>
        <v>-0.0</v>
      </c>
      <c r="PBF53" s="5">
        <f>-IFERROR('4. NPV'!PBG23/'4. NPV'!PBG$8,0)</f>
        <v>-0.0</v>
      </c>
      <c r="PBG53" s="5">
        <f>-IFERROR('4. NPV'!PBH23/'4. NPV'!PBH$8,0)</f>
        <v>-0.0</v>
      </c>
      <c r="PBH53" s="5">
        <f>-IFERROR('4. NPV'!PBI23/'4. NPV'!PBI$8,0)</f>
        <v>-0.0</v>
      </c>
      <c r="PBI53" s="5">
        <f>-IFERROR('4. NPV'!PBJ23/'4. NPV'!PBJ$8,0)</f>
        <v>-0.0</v>
      </c>
      <c r="PBJ53" s="5">
        <f>-IFERROR('4. NPV'!PBK23/'4. NPV'!PBK$8,0)</f>
        <v>-0.0</v>
      </c>
      <c r="PBK53" s="5">
        <f>-IFERROR('4. NPV'!PBL23/'4. NPV'!PBL$8,0)</f>
        <v>-0.0</v>
      </c>
      <c r="PBL53" s="5">
        <f>-IFERROR('4. NPV'!PBM23/'4. NPV'!PBM$8,0)</f>
        <v>-0.0</v>
      </c>
      <c r="PBM53" s="5">
        <f>-IFERROR('4. NPV'!PBN23/'4. NPV'!PBN$8,0)</f>
        <v>-0.0</v>
      </c>
      <c r="PBN53" s="5">
        <f>-IFERROR('4. NPV'!PBO23/'4. NPV'!PBO$8,0)</f>
        <v>-0.0</v>
      </c>
      <c r="PBO53" s="5">
        <f>-IFERROR('4. NPV'!PBP23/'4. NPV'!PBP$8,0)</f>
        <v>-0.0</v>
      </c>
      <c r="PBP53" s="5">
        <f>-IFERROR('4. NPV'!PBQ23/'4. NPV'!PBQ$8,0)</f>
        <v>-0.0</v>
      </c>
      <c r="PBQ53" s="5">
        <f>-IFERROR('4. NPV'!PBR23/'4. NPV'!PBR$8,0)</f>
        <v>-0.0</v>
      </c>
      <c r="PBR53" s="5">
        <f>-IFERROR('4. NPV'!PBS23/'4. NPV'!PBS$8,0)</f>
        <v>-0.0</v>
      </c>
      <c r="PBS53" s="5">
        <f>-IFERROR('4. NPV'!PBT23/'4. NPV'!PBT$8,0)</f>
        <v>-0.0</v>
      </c>
      <c r="PBT53" s="5">
        <f>-IFERROR('4. NPV'!PBU23/'4. NPV'!PBU$8,0)</f>
        <v>-0.0</v>
      </c>
      <c r="PBU53" s="5">
        <f>-IFERROR('4. NPV'!PBV23/'4. NPV'!PBV$8,0)</f>
        <v>-0.0</v>
      </c>
      <c r="PBV53" s="5">
        <f>-IFERROR('4. NPV'!PBW23/'4. NPV'!PBW$8,0)</f>
        <v>-0.0</v>
      </c>
      <c r="PBW53" s="5">
        <f>-IFERROR('4. NPV'!PBX23/'4. NPV'!PBX$8,0)</f>
        <v>-0.0</v>
      </c>
      <c r="PBX53" s="5">
        <f>-IFERROR('4. NPV'!PBY23/'4. NPV'!PBY$8,0)</f>
        <v>-0.0</v>
      </c>
      <c r="PBY53" s="5">
        <f>-IFERROR('4. NPV'!PBZ23/'4. NPV'!PBZ$8,0)</f>
        <v>-0.0</v>
      </c>
      <c r="PBZ53" s="5">
        <f>-IFERROR('4. NPV'!PCA23/'4. NPV'!PCA$8,0)</f>
        <v>-0.0</v>
      </c>
      <c r="PCA53" s="5">
        <f>-IFERROR('4. NPV'!PCB23/'4. NPV'!PCB$8,0)</f>
        <v>-0.0</v>
      </c>
      <c r="PCB53" s="5">
        <f>-IFERROR('4. NPV'!PCC23/'4. NPV'!PCC$8,0)</f>
        <v>-0.0</v>
      </c>
      <c r="PCC53" s="5">
        <f>-IFERROR('4. NPV'!PCD23/'4. NPV'!PCD$8,0)</f>
        <v>-0.0</v>
      </c>
      <c r="PCD53" s="5">
        <f>-IFERROR('4. NPV'!PCE23/'4. NPV'!PCE$8,0)</f>
        <v>-0.0</v>
      </c>
      <c r="PCE53" s="5">
        <f>-IFERROR('4. NPV'!PCF23/'4. NPV'!PCF$8,0)</f>
        <v>-0.0</v>
      </c>
      <c r="PCF53" s="5">
        <f>-IFERROR('4. NPV'!PCG23/'4. NPV'!PCG$8,0)</f>
        <v>-0.0</v>
      </c>
      <c r="PCG53" s="5">
        <f>-IFERROR('4. NPV'!PCH23/'4. NPV'!PCH$8,0)</f>
        <v>-0.0</v>
      </c>
      <c r="PCH53" s="5">
        <f>-IFERROR('4. NPV'!PCI23/'4. NPV'!PCI$8,0)</f>
        <v>-0.0</v>
      </c>
      <c r="PCI53" s="5">
        <f>-IFERROR('4. NPV'!PCJ23/'4. NPV'!PCJ$8,0)</f>
        <v>-0.0</v>
      </c>
      <c r="PCJ53" s="5">
        <f>-IFERROR('4. NPV'!PCK23/'4. NPV'!PCK$8,0)</f>
        <v>-0.0</v>
      </c>
      <c r="PCK53" s="5">
        <f>-IFERROR('4. NPV'!PCL23/'4. NPV'!PCL$8,0)</f>
        <v>-0.0</v>
      </c>
      <c r="PCL53" s="5">
        <f>-IFERROR('4. NPV'!PCM23/'4. NPV'!PCM$8,0)</f>
        <v>-0.0</v>
      </c>
      <c r="PCM53" s="5">
        <f>-IFERROR('4. NPV'!PCN23/'4. NPV'!PCN$8,0)</f>
        <v>-0.0</v>
      </c>
      <c r="PCN53" s="5">
        <f>-IFERROR('4. NPV'!PCO23/'4. NPV'!PCO$8,0)</f>
        <v>-0.0</v>
      </c>
      <c r="PCO53" s="5">
        <f>-IFERROR('4. NPV'!PCP23/'4. NPV'!PCP$8,0)</f>
        <v>-0.0</v>
      </c>
      <c r="PCP53" s="5">
        <f>-IFERROR('4. NPV'!PCQ23/'4. NPV'!PCQ$8,0)</f>
        <v>-0.0</v>
      </c>
      <c r="PCQ53" s="5">
        <f>-IFERROR('4. NPV'!PCR23/'4. NPV'!PCR$8,0)</f>
        <v>-0.0</v>
      </c>
      <c r="PCR53" s="5">
        <f>-IFERROR('4. NPV'!PCS23/'4. NPV'!PCS$8,0)</f>
        <v>-0.0</v>
      </c>
      <c r="PCS53" s="5">
        <f>-IFERROR('4. NPV'!PCT23/'4. NPV'!PCT$8,0)</f>
        <v>-0.0</v>
      </c>
      <c r="PCT53" s="5">
        <f>-IFERROR('4. NPV'!PCU23/'4. NPV'!PCU$8,0)</f>
        <v>-0.0</v>
      </c>
      <c r="PCU53" s="5">
        <f>-IFERROR('4. NPV'!PCV23/'4. NPV'!PCV$8,0)</f>
        <v>-0.0</v>
      </c>
      <c r="PCV53" s="5">
        <f>-IFERROR('4. NPV'!PCW23/'4. NPV'!PCW$8,0)</f>
        <v>-0.0</v>
      </c>
      <c r="PCW53" s="5">
        <f>-IFERROR('4. NPV'!PCX23/'4. NPV'!PCX$8,0)</f>
        <v>-0.0</v>
      </c>
      <c r="PCX53" s="5">
        <f>-IFERROR('4. NPV'!PCY23/'4. NPV'!PCY$8,0)</f>
        <v>-0.0</v>
      </c>
      <c r="PCY53" s="5">
        <f>-IFERROR('4. NPV'!PCZ23/'4. NPV'!PCZ$8,0)</f>
        <v>-0.0</v>
      </c>
      <c r="PCZ53" s="5">
        <f>-IFERROR('4. NPV'!PDA23/'4. NPV'!PDA$8,0)</f>
        <v>-0.0</v>
      </c>
      <c r="PDA53" s="5">
        <f>-IFERROR('4. NPV'!PDB23/'4. NPV'!PDB$8,0)</f>
        <v>-0.0</v>
      </c>
      <c r="PDB53" s="5">
        <f>-IFERROR('4. NPV'!PDC23/'4. NPV'!PDC$8,0)</f>
        <v>-0.0</v>
      </c>
      <c r="PDC53" s="5">
        <f>-IFERROR('4. NPV'!PDD23/'4. NPV'!PDD$8,0)</f>
        <v>-0.0</v>
      </c>
      <c r="PDD53" s="5">
        <f>-IFERROR('4. NPV'!PDE23/'4. NPV'!PDE$8,0)</f>
        <v>-0.0</v>
      </c>
      <c r="PDE53" s="5">
        <f>-IFERROR('4. NPV'!PDF23/'4. NPV'!PDF$8,0)</f>
        <v>-0.0</v>
      </c>
      <c r="PDF53" s="5">
        <f>-IFERROR('4. NPV'!PDG23/'4. NPV'!PDG$8,0)</f>
        <v>-0.0</v>
      </c>
      <c r="PDG53" s="5">
        <f>-IFERROR('4. NPV'!PDH23/'4. NPV'!PDH$8,0)</f>
        <v>-0.0</v>
      </c>
      <c r="PDH53" s="5">
        <f>-IFERROR('4. NPV'!PDI23/'4. NPV'!PDI$8,0)</f>
        <v>-0.0</v>
      </c>
      <c r="PDI53" s="5">
        <f>-IFERROR('4. NPV'!PDJ23/'4. NPV'!PDJ$8,0)</f>
        <v>-0.0</v>
      </c>
      <c r="PDJ53" s="5">
        <f>-IFERROR('4. NPV'!PDK23/'4. NPV'!PDK$8,0)</f>
        <v>-0.0</v>
      </c>
      <c r="PDK53" s="5">
        <f>-IFERROR('4. NPV'!PDL23/'4. NPV'!PDL$8,0)</f>
        <v>-0.0</v>
      </c>
      <c r="PDL53" s="5">
        <f>-IFERROR('4. NPV'!PDM23/'4. NPV'!PDM$8,0)</f>
        <v>-0.0</v>
      </c>
      <c r="PDM53" s="5">
        <f>-IFERROR('4. NPV'!PDN23/'4. NPV'!PDN$8,0)</f>
        <v>-0.0</v>
      </c>
      <c r="PDN53" s="5">
        <f>-IFERROR('4. NPV'!PDO23/'4. NPV'!PDO$8,0)</f>
        <v>-0.0</v>
      </c>
      <c r="PDO53" s="5">
        <f>-IFERROR('4. NPV'!PDP23/'4. NPV'!PDP$8,0)</f>
        <v>-0.0</v>
      </c>
      <c r="PDP53" s="5">
        <f>-IFERROR('4. NPV'!PDQ23/'4. NPV'!PDQ$8,0)</f>
        <v>-0.0</v>
      </c>
      <c r="PDQ53" s="5">
        <f>-IFERROR('4. NPV'!PDR23/'4. NPV'!PDR$8,0)</f>
        <v>-0.0</v>
      </c>
      <c r="PDR53" s="5">
        <f>-IFERROR('4. NPV'!PDS23/'4. NPV'!PDS$8,0)</f>
        <v>-0.0</v>
      </c>
      <c r="PDS53" s="5">
        <f>-IFERROR('4. NPV'!PDT23/'4. NPV'!PDT$8,0)</f>
        <v>-0.0</v>
      </c>
      <c r="PDT53" s="5">
        <f>-IFERROR('4. NPV'!PDU23/'4. NPV'!PDU$8,0)</f>
        <v>-0.0</v>
      </c>
      <c r="PDU53" s="5">
        <f>-IFERROR('4. NPV'!PDV23/'4. NPV'!PDV$8,0)</f>
        <v>-0.0</v>
      </c>
      <c r="PDV53" s="5">
        <f>-IFERROR('4. NPV'!PDW23/'4. NPV'!PDW$8,0)</f>
        <v>-0.0</v>
      </c>
      <c r="PDW53" s="5">
        <f>-IFERROR('4. NPV'!PDX23/'4. NPV'!PDX$8,0)</f>
        <v>-0.0</v>
      </c>
      <c r="PDX53" s="5">
        <f>-IFERROR('4. NPV'!PDY23/'4. NPV'!PDY$8,0)</f>
        <v>-0.0</v>
      </c>
      <c r="PDY53" s="5">
        <f>-IFERROR('4. NPV'!PDZ23/'4. NPV'!PDZ$8,0)</f>
        <v>-0.0</v>
      </c>
      <c r="PDZ53" s="5">
        <f>-IFERROR('4. NPV'!PEA23/'4. NPV'!PEA$8,0)</f>
        <v>-0.0</v>
      </c>
      <c r="PEA53" s="5">
        <f>-IFERROR('4. NPV'!PEB23/'4. NPV'!PEB$8,0)</f>
        <v>-0.0</v>
      </c>
      <c r="PEB53" s="5">
        <f>-IFERROR('4. NPV'!PEC23/'4. NPV'!PEC$8,0)</f>
        <v>-0.0</v>
      </c>
      <c r="PEC53" s="5">
        <f>-IFERROR('4. NPV'!PED23/'4. NPV'!PED$8,0)</f>
        <v>-0.0</v>
      </c>
      <c r="PED53" s="5">
        <f>-IFERROR('4. NPV'!PEE23/'4. NPV'!PEE$8,0)</f>
        <v>-0.0</v>
      </c>
      <c r="PEE53" s="5">
        <f>-IFERROR('4. NPV'!PEF23/'4. NPV'!PEF$8,0)</f>
        <v>-0.0</v>
      </c>
      <c r="PEF53" s="5">
        <f>-IFERROR('4. NPV'!PEG23/'4. NPV'!PEG$8,0)</f>
        <v>-0.0</v>
      </c>
      <c r="PEG53" s="5">
        <f>-IFERROR('4. NPV'!PEH23/'4. NPV'!PEH$8,0)</f>
        <v>-0.0</v>
      </c>
      <c r="PEH53" s="5">
        <f>-IFERROR('4. NPV'!PEI23/'4. NPV'!PEI$8,0)</f>
        <v>-0.0</v>
      </c>
      <c r="PEI53" s="5">
        <f>-IFERROR('4. NPV'!PEJ23/'4. NPV'!PEJ$8,0)</f>
        <v>-0.0</v>
      </c>
      <c r="PEJ53" s="5">
        <f>-IFERROR('4. NPV'!PEK23/'4. NPV'!PEK$8,0)</f>
        <v>-0.0</v>
      </c>
      <c r="PEK53" s="5">
        <f>-IFERROR('4. NPV'!PEL23/'4. NPV'!PEL$8,0)</f>
        <v>-0.0</v>
      </c>
      <c r="PEL53" s="5">
        <f>-IFERROR('4. NPV'!PEM23/'4. NPV'!PEM$8,0)</f>
        <v>-0.0</v>
      </c>
      <c r="PEM53" s="5">
        <f>-IFERROR('4. NPV'!PEN23/'4. NPV'!PEN$8,0)</f>
        <v>-0.0</v>
      </c>
      <c r="PEN53" s="5">
        <f>-IFERROR('4. NPV'!PEO23/'4. NPV'!PEO$8,0)</f>
        <v>-0.0</v>
      </c>
      <c r="PEO53" s="5">
        <f>-IFERROR('4. NPV'!PEP23/'4. NPV'!PEP$8,0)</f>
        <v>-0.0</v>
      </c>
      <c r="PEP53" s="5">
        <f>-IFERROR('4. NPV'!PEQ23/'4. NPV'!PEQ$8,0)</f>
        <v>-0.0</v>
      </c>
      <c r="PEQ53" s="5">
        <f>-IFERROR('4. NPV'!PER23/'4. NPV'!PER$8,0)</f>
        <v>-0.0</v>
      </c>
      <c r="PER53" s="5">
        <f>-IFERROR('4. NPV'!PES23/'4. NPV'!PES$8,0)</f>
        <v>-0.0</v>
      </c>
      <c r="PES53" s="5">
        <f>-IFERROR('4. NPV'!PET23/'4. NPV'!PET$8,0)</f>
        <v>-0.0</v>
      </c>
      <c r="PET53" s="5">
        <f>-IFERROR('4. NPV'!PEU23/'4. NPV'!PEU$8,0)</f>
        <v>-0.0</v>
      </c>
      <c r="PEU53" s="5">
        <f>-IFERROR('4. NPV'!PEV23/'4. NPV'!PEV$8,0)</f>
        <v>-0.0</v>
      </c>
      <c r="PEV53" s="5">
        <f>-IFERROR('4. NPV'!PEW23/'4. NPV'!PEW$8,0)</f>
        <v>-0.0</v>
      </c>
      <c r="PEW53" s="5">
        <f>-IFERROR('4. NPV'!PEX23/'4. NPV'!PEX$8,0)</f>
        <v>-0.0</v>
      </c>
      <c r="PEX53" s="5">
        <f>-IFERROR('4. NPV'!PEY23/'4. NPV'!PEY$8,0)</f>
        <v>-0.0</v>
      </c>
      <c r="PEY53" s="5">
        <f>-IFERROR('4. NPV'!PEZ23/'4. NPV'!PEZ$8,0)</f>
        <v>-0.0</v>
      </c>
      <c r="PEZ53" s="5">
        <f>-IFERROR('4. NPV'!PFA23/'4. NPV'!PFA$8,0)</f>
        <v>-0.0</v>
      </c>
      <c r="PFA53" s="5">
        <f>-IFERROR('4. NPV'!PFB23/'4. NPV'!PFB$8,0)</f>
        <v>-0.0</v>
      </c>
      <c r="PFB53" s="5">
        <f>-IFERROR('4. NPV'!PFC23/'4. NPV'!PFC$8,0)</f>
        <v>-0.0</v>
      </c>
      <c r="PFC53" s="5">
        <f>-IFERROR('4. NPV'!PFD23/'4. NPV'!PFD$8,0)</f>
        <v>-0.0</v>
      </c>
      <c r="PFD53" s="5">
        <f>-IFERROR('4. NPV'!PFE23/'4. NPV'!PFE$8,0)</f>
        <v>-0.0</v>
      </c>
      <c r="PFE53" s="5">
        <f>-IFERROR('4. NPV'!PFF23/'4. NPV'!PFF$8,0)</f>
        <v>-0.0</v>
      </c>
      <c r="PFF53" s="5">
        <f>-IFERROR('4. NPV'!PFG23/'4. NPV'!PFG$8,0)</f>
        <v>-0.0</v>
      </c>
      <c r="PFG53" s="5">
        <f>-IFERROR('4. NPV'!PFH23/'4. NPV'!PFH$8,0)</f>
        <v>-0.0</v>
      </c>
      <c r="PFH53" s="5">
        <f>-IFERROR('4. NPV'!PFI23/'4. NPV'!PFI$8,0)</f>
        <v>-0.0</v>
      </c>
      <c r="PFI53" s="5">
        <f>-IFERROR('4. NPV'!PFJ23/'4. NPV'!PFJ$8,0)</f>
        <v>-0.0</v>
      </c>
      <c r="PFJ53" s="5">
        <f>-IFERROR('4. NPV'!PFK23/'4. NPV'!PFK$8,0)</f>
        <v>-0.0</v>
      </c>
      <c r="PFK53" s="5">
        <f>-IFERROR('4. NPV'!PFL23/'4. NPV'!PFL$8,0)</f>
        <v>-0.0</v>
      </c>
      <c r="PFL53" s="5">
        <f>-IFERROR('4. NPV'!PFM23/'4. NPV'!PFM$8,0)</f>
        <v>-0.0</v>
      </c>
      <c r="PFM53" s="5">
        <f>-IFERROR('4. NPV'!PFN23/'4. NPV'!PFN$8,0)</f>
        <v>-0.0</v>
      </c>
      <c r="PFN53" s="5">
        <f>-IFERROR('4. NPV'!PFO23/'4. NPV'!PFO$8,0)</f>
        <v>-0.0</v>
      </c>
      <c r="PFO53" s="5">
        <f>-IFERROR('4. NPV'!PFP23/'4. NPV'!PFP$8,0)</f>
        <v>-0.0</v>
      </c>
      <c r="PFP53" s="5">
        <f>-IFERROR('4. NPV'!PFQ23/'4. NPV'!PFQ$8,0)</f>
        <v>-0.0</v>
      </c>
      <c r="PFQ53" s="5">
        <f>-IFERROR('4. NPV'!PFR23/'4. NPV'!PFR$8,0)</f>
        <v>-0.0</v>
      </c>
      <c r="PFR53" s="5">
        <f>-IFERROR('4. NPV'!PFS23/'4. NPV'!PFS$8,0)</f>
        <v>-0.0</v>
      </c>
      <c r="PFS53" s="5">
        <f>-IFERROR('4. NPV'!PFT23/'4. NPV'!PFT$8,0)</f>
        <v>-0.0</v>
      </c>
      <c r="PFT53" s="5">
        <f>-IFERROR('4. NPV'!PFU23/'4. NPV'!PFU$8,0)</f>
        <v>-0.0</v>
      </c>
      <c r="PFU53" s="5">
        <f>-IFERROR('4. NPV'!PFV23/'4. NPV'!PFV$8,0)</f>
        <v>-0.0</v>
      </c>
      <c r="PFV53" s="5">
        <f>-IFERROR('4. NPV'!PFW23/'4. NPV'!PFW$8,0)</f>
        <v>-0.0</v>
      </c>
      <c r="PFW53" s="5">
        <f>-IFERROR('4. NPV'!PFX23/'4. NPV'!PFX$8,0)</f>
        <v>-0.0</v>
      </c>
      <c r="PFX53" s="5">
        <f>-IFERROR('4. NPV'!PFY23/'4. NPV'!PFY$8,0)</f>
        <v>-0.0</v>
      </c>
      <c r="PFY53" s="5">
        <f>-IFERROR('4. NPV'!PFZ23/'4. NPV'!PFZ$8,0)</f>
        <v>-0.0</v>
      </c>
      <c r="PFZ53" s="5">
        <f>-IFERROR('4. NPV'!PGA23/'4. NPV'!PGA$8,0)</f>
        <v>-0.0</v>
      </c>
      <c r="PGA53" s="5">
        <f>-IFERROR('4. NPV'!PGB23/'4. NPV'!PGB$8,0)</f>
        <v>-0.0</v>
      </c>
      <c r="PGB53" s="5">
        <f>-IFERROR('4. NPV'!PGC23/'4. NPV'!PGC$8,0)</f>
        <v>-0.0</v>
      </c>
      <c r="PGC53" s="5">
        <f>-IFERROR('4. NPV'!PGD23/'4. NPV'!PGD$8,0)</f>
        <v>-0.0</v>
      </c>
      <c r="PGD53" s="5">
        <f>-IFERROR('4. NPV'!PGE23/'4. NPV'!PGE$8,0)</f>
        <v>-0.0</v>
      </c>
      <c r="PGE53" s="5">
        <f>-IFERROR('4. NPV'!PGF23/'4. NPV'!PGF$8,0)</f>
        <v>-0.0</v>
      </c>
      <c r="PGF53" s="5">
        <f>-IFERROR('4. NPV'!PGG23/'4. NPV'!PGG$8,0)</f>
        <v>-0.0</v>
      </c>
      <c r="PGG53" s="5">
        <f>-IFERROR('4. NPV'!PGH23/'4. NPV'!PGH$8,0)</f>
        <v>-0.0</v>
      </c>
      <c r="PGH53" s="5">
        <f>-IFERROR('4. NPV'!PGI23/'4. NPV'!PGI$8,0)</f>
        <v>-0.0</v>
      </c>
      <c r="PGI53" s="5">
        <f>-IFERROR('4. NPV'!PGJ23/'4. NPV'!PGJ$8,0)</f>
        <v>-0.0</v>
      </c>
      <c r="PGJ53" s="5">
        <f>-IFERROR('4. NPV'!PGK23/'4. NPV'!PGK$8,0)</f>
        <v>-0.0</v>
      </c>
      <c r="PGK53" s="5">
        <f>-IFERROR('4. NPV'!PGL23/'4. NPV'!PGL$8,0)</f>
        <v>-0.0</v>
      </c>
      <c r="PGL53" s="5">
        <f>-IFERROR('4. NPV'!PGM23/'4. NPV'!PGM$8,0)</f>
        <v>-0.0</v>
      </c>
      <c r="PGM53" s="5">
        <f>-IFERROR('4. NPV'!PGN23/'4. NPV'!PGN$8,0)</f>
        <v>-0.0</v>
      </c>
      <c r="PGN53" s="5">
        <f>-IFERROR('4. NPV'!PGO23/'4. NPV'!PGO$8,0)</f>
        <v>-0.0</v>
      </c>
      <c r="PGO53" s="5">
        <f>-IFERROR('4. NPV'!PGP23/'4. NPV'!PGP$8,0)</f>
        <v>-0.0</v>
      </c>
      <c r="PGP53" s="5">
        <f>-IFERROR('4. NPV'!PGQ23/'4. NPV'!PGQ$8,0)</f>
        <v>-0.0</v>
      </c>
      <c r="PGQ53" s="5">
        <f>-IFERROR('4. NPV'!PGR23/'4. NPV'!PGR$8,0)</f>
        <v>-0.0</v>
      </c>
      <c r="PGR53" s="5">
        <f>-IFERROR('4. NPV'!PGS23/'4. NPV'!PGS$8,0)</f>
        <v>-0.0</v>
      </c>
      <c r="PGS53" s="5">
        <f>-IFERROR('4. NPV'!PGT23/'4. NPV'!PGT$8,0)</f>
        <v>-0.0</v>
      </c>
      <c r="PGT53" s="5">
        <f>-IFERROR('4. NPV'!PGU23/'4. NPV'!PGU$8,0)</f>
        <v>-0.0</v>
      </c>
      <c r="PGU53" s="5">
        <f>-IFERROR('4. NPV'!PGV23/'4. NPV'!PGV$8,0)</f>
        <v>-0.0</v>
      </c>
      <c r="PGV53" s="5">
        <f>-IFERROR('4. NPV'!PGW23/'4. NPV'!PGW$8,0)</f>
        <v>-0.0</v>
      </c>
      <c r="PGW53" s="5">
        <f>-IFERROR('4. NPV'!PGX23/'4. NPV'!PGX$8,0)</f>
        <v>-0.0</v>
      </c>
      <c r="PGX53" s="5">
        <f>-IFERROR('4. NPV'!PGY23/'4. NPV'!PGY$8,0)</f>
        <v>-0.0</v>
      </c>
      <c r="PGY53" s="5">
        <f>-IFERROR('4. NPV'!PGZ23/'4. NPV'!PGZ$8,0)</f>
        <v>-0.0</v>
      </c>
      <c r="PGZ53" s="5">
        <f>-IFERROR('4. NPV'!PHA23/'4. NPV'!PHA$8,0)</f>
        <v>-0.0</v>
      </c>
      <c r="PHA53" s="5">
        <f>-IFERROR('4. NPV'!PHB23/'4. NPV'!PHB$8,0)</f>
        <v>-0.0</v>
      </c>
      <c r="PHB53" s="5">
        <f>-IFERROR('4. NPV'!PHC23/'4. NPV'!PHC$8,0)</f>
        <v>-0.0</v>
      </c>
      <c r="PHC53" s="5">
        <f>-IFERROR('4. NPV'!PHD23/'4. NPV'!PHD$8,0)</f>
        <v>-0.0</v>
      </c>
      <c r="PHD53" s="5">
        <f>-IFERROR('4. NPV'!PHE23/'4. NPV'!PHE$8,0)</f>
        <v>-0.0</v>
      </c>
      <c r="PHE53" s="5">
        <f>-IFERROR('4. NPV'!PHF23/'4. NPV'!PHF$8,0)</f>
        <v>-0.0</v>
      </c>
      <c r="PHF53" s="5">
        <f>-IFERROR('4. NPV'!PHG23/'4. NPV'!PHG$8,0)</f>
        <v>-0.0</v>
      </c>
      <c r="PHG53" s="5">
        <f>-IFERROR('4. NPV'!PHH23/'4. NPV'!PHH$8,0)</f>
        <v>-0.0</v>
      </c>
      <c r="PHH53" s="5">
        <f>-IFERROR('4. NPV'!PHI23/'4. NPV'!PHI$8,0)</f>
        <v>-0.0</v>
      </c>
      <c r="PHI53" s="5">
        <f>-IFERROR('4. NPV'!PHJ23/'4. NPV'!PHJ$8,0)</f>
        <v>-0.0</v>
      </c>
      <c r="PHJ53" s="5">
        <f>-IFERROR('4. NPV'!PHK23/'4. NPV'!PHK$8,0)</f>
        <v>-0.0</v>
      </c>
      <c r="PHK53" s="5">
        <f>-IFERROR('4. NPV'!PHL23/'4. NPV'!PHL$8,0)</f>
        <v>-0.0</v>
      </c>
      <c r="PHL53" s="5">
        <f>-IFERROR('4. NPV'!PHM23/'4. NPV'!PHM$8,0)</f>
        <v>-0.0</v>
      </c>
      <c r="PHM53" s="5">
        <f>-IFERROR('4. NPV'!PHN23/'4. NPV'!PHN$8,0)</f>
        <v>-0.0</v>
      </c>
      <c r="PHN53" s="5">
        <f>-IFERROR('4. NPV'!PHO23/'4. NPV'!PHO$8,0)</f>
        <v>-0.0</v>
      </c>
      <c r="PHO53" s="5">
        <f>-IFERROR('4. NPV'!PHP23/'4. NPV'!PHP$8,0)</f>
        <v>-0.0</v>
      </c>
      <c r="PHP53" s="5">
        <f>-IFERROR('4. NPV'!PHQ23/'4. NPV'!PHQ$8,0)</f>
        <v>-0.0</v>
      </c>
      <c r="PHQ53" s="5">
        <f>-IFERROR('4. NPV'!PHR23/'4. NPV'!PHR$8,0)</f>
        <v>-0.0</v>
      </c>
      <c r="PHR53" s="5">
        <f>-IFERROR('4. NPV'!PHS23/'4. NPV'!PHS$8,0)</f>
        <v>-0.0</v>
      </c>
      <c r="PHS53" s="5">
        <f>-IFERROR('4. NPV'!PHT23/'4. NPV'!PHT$8,0)</f>
        <v>-0.0</v>
      </c>
      <c r="PHT53" s="5">
        <f>-IFERROR('4. NPV'!PHU23/'4. NPV'!PHU$8,0)</f>
        <v>-0.0</v>
      </c>
      <c r="PHU53" s="5">
        <f>-IFERROR('4. NPV'!PHV23/'4. NPV'!PHV$8,0)</f>
        <v>-0.0</v>
      </c>
      <c r="PHV53" s="5">
        <f>-IFERROR('4. NPV'!PHW23/'4. NPV'!PHW$8,0)</f>
        <v>-0.0</v>
      </c>
      <c r="PHW53" s="5">
        <f>-IFERROR('4. NPV'!PHX23/'4. NPV'!PHX$8,0)</f>
        <v>-0.0</v>
      </c>
      <c r="PHX53" s="5">
        <f>-IFERROR('4. NPV'!PHY23/'4. NPV'!PHY$8,0)</f>
        <v>-0.0</v>
      </c>
      <c r="PHY53" s="5">
        <f>-IFERROR('4. NPV'!PHZ23/'4. NPV'!PHZ$8,0)</f>
        <v>-0.0</v>
      </c>
      <c r="PHZ53" s="5">
        <f>-IFERROR('4. NPV'!PIA23/'4. NPV'!PIA$8,0)</f>
        <v>-0.0</v>
      </c>
      <c r="PIA53" s="5">
        <f>-IFERROR('4. NPV'!PIB23/'4. NPV'!PIB$8,0)</f>
        <v>-0.0</v>
      </c>
      <c r="PIB53" s="5">
        <f>-IFERROR('4. NPV'!PIC23/'4. NPV'!PIC$8,0)</f>
        <v>-0.0</v>
      </c>
      <c r="PIC53" s="5">
        <f>-IFERROR('4. NPV'!PID23/'4. NPV'!PID$8,0)</f>
        <v>-0.0</v>
      </c>
      <c r="PID53" s="5">
        <f>-IFERROR('4. NPV'!PIE23/'4. NPV'!PIE$8,0)</f>
        <v>-0.0</v>
      </c>
      <c r="PIE53" s="5">
        <f>-IFERROR('4. NPV'!PIF23/'4. NPV'!PIF$8,0)</f>
        <v>-0.0</v>
      </c>
      <c r="PIF53" s="5">
        <f>-IFERROR('4. NPV'!PIG23/'4. NPV'!PIG$8,0)</f>
        <v>-0.0</v>
      </c>
      <c r="PIG53" s="5">
        <f>-IFERROR('4. NPV'!PIH23/'4. NPV'!PIH$8,0)</f>
        <v>-0.0</v>
      </c>
      <c r="PIH53" s="5">
        <f>-IFERROR('4. NPV'!PII23/'4. NPV'!PII$8,0)</f>
        <v>-0.0</v>
      </c>
      <c r="PII53" s="5">
        <f>-IFERROR('4. NPV'!PIJ23/'4. NPV'!PIJ$8,0)</f>
        <v>-0.0</v>
      </c>
      <c r="PIJ53" s="5">
        <f>-IFERROR('4. NPV'!PIK23/'4. NPV'!PIK$8,0)</f>
        <v>-0.0</v>
      </c>
      <c r="PIK53" s="5">
        <f>-IFERROR('4. NPV'!PIL23/'4. NPV'!PIL$8,0)</f>
        <v>-0.0</v>
      </c>
      <c r="PIL53" s="5">
        <f>-IFERROR('4. NPV'!PIM23/'4. NPV'!PIM$8,0)</f>
        <v>-0.0</v>
      </c>
      <c r="PIM53" s="5">
        <f>-IFERROR('4. NPV'!PIN23/'4. NPV'!PIN$8,0)</f>
        <v>-0.0</v>
      </c>
      <c r="PIN53" s="5">
        <f>-IFERROR('4. NPV'!PIO23/'4. NPV'!PIO$8,0)</f>
        <v>-0.0</v>
      </c>
      <c r="PIO53" s="5">
        <f>-IFERROR('4. NPV'!PIP23/'4. NPV'!PIP$8,0)</f>
        <v>-0.0</v>
      </c>
      <c r="PIP53" s="5">
        <f>-IFERROR('4. NPV'!PIQ23/'4. NPV'!PIQ$8,0)</f>
        <v>-0.0</v>
      </c>
      <c r="PIQ53" s="5">
        <f>-IFERROR('4. NPV'!PIR23/'4. NPV'!PIR$8,0)</f>
        <v>-0.0</v>
      </c>
      <c r="PIR53" s="5">
        <f>-IFERROR('4. NPV'!PIS23/'4. NPV'!PIS$8,0)</f>
        <v>-0.0</v>
      </c>
      <c r="PIS53" s="5">
        <f>-IFERROR('4. NPV'!PIT23/'4. NPV'!PIT$8,0)</f>
        <v>-0.0</v>
      </c>
      <c r="PIT53" s="5">
        <f>-IFERROR('4. NPV'!PIU23/'4. NPV'!PIU$8,0)</f>
        <v>-0.0</v>
      </c>
      <c r="PIU53" s="5">
        <f>-IFERROR('4. NPV'!PIV23/'4. NPV'!PIV$8,0)</f>
        <v>-0.0</v>
      </c>
      <c r="PIV53" s="5">
        <f>-IFERROR('4. NPV'!PIW23/'4. NPV'!PIW$8,0)</f>
        <v>-0.0</v>
      </c>
      <c r="PIW53" s="5">
        <f>-IFERROR('4. NPV'!PIX23/'4. NPV'!PIX$8,0)</f>
        <v>-0.0</v>
      </c>
      <c r="PIX53" s="5">
        <f>-IFERROR('4. NPV'!PIY23/'4. NPV'!PIY$8,0)</f>
        <v>-0.0</v>
      </c>
      <c r="PIY53" s="5">
        <f>-IFERROR('4. NPV'!PIZ23/'4. NPV'!PIZ$8,0)</f>
        <v>-0.0</v>
      </c>
      <c r="PIZ53" s="5">
        <f>-IFERROR('4. NPV'!PJA23/'4. NPV'!PJA$8,0)</f>
        <v>-0.0</v>
      </c>
      <c r="PJA53" s="5">
        <f>-IFERROR('4. NPV'!PJB23/'4. NPV'!PJB$8,0)</f>
        <v>-0.0</v>
      </c>
      <c r="PJB53" s="5">
        <f>-IFERROR('4. NPV'!PJC23/'4. NPV'!PJC$8,0)</f>
        <v>-0.0</v>
      </c>
      <c r="PJC53" s="5">
        <f>-IFERROR('4. NPV'!PJD23/'4. NPV'!PJD$8,0)</f>
        <v>-0.0</v>
      </c>
      <c r="PJD53" s="5">
        <f>-IFERROR('4. NPV'!PJE23/'4. NPV'!PJE$8,0)</f>
        <v>-0.0</v>
      </c>
      <c r="PJE53" s="5">
        <f>-IFERROR('4. NPV'!PJF23/'4. NPV'!PJF$8,0)</f>
        <v>-0.0</v>
      </c>
      <c r="PJF53" s="5">
        <f>-IFERROR('4. NPV'!PJG23/'4. NPV'!PJG$8,0)</f>
        <v>-0.0</v>
      </c>
      <c r="PJG53" s="5">
        <f>-IFERROR('4. NPV'!PJH23/'4. NPV'!PJH$8,0)</f>
        <v>-0.0</v>
      </c>
      <c r="PJH53" s="5">
        <f>-IFERROR('4. NPV'!PJI23/'4. NPV'!PJI$8,0)</f>
        <v>-0.0</v>
      </c>
      <c r="PJI53" s="5">
        <f>-IFERROR('4. NPV'!PJJ23/'4. NPV'!PJJ$8,0)</f>
        <v>-0.0</v>
      </c>
      <c r="PJJ53" s="5">
        <f>-IFERROR('4. NPV'!PJK23/'4. NPV'!PJK$8,0)</f>
        <v>-0.0</v>
      </c>
      <c r="PJK53" s="5">
        <f>-IFERROR('4. NPV'!PJL23/'4. NPV'!PJL$8,0)</f>
        <v>-0.0</v>
      </c>
      <c r="PJL53" s="5">
        <f>-IFERROR('4. NPV'!PJM23/'4. NPV'!PJM$8,0)</f>
        <v>-0.0</v>
      </c>
      <c r="PJM53" s="5">
        <f>-IFERROR('4. NPV'!PJN23/'4. NPV'!PJN$8,0)</f>
        <v>-0.0</v>
      </c>
      <c r="PJN53" s="5">
        <f>-IFERROR('4. NPV'!PJO23/'4. NPV'!PJO$8,0)</f>
        <v>-0.0</v>
      </c>
      <c r="PJO53" s="5">
        <f>-IFERROR('4. NPV'!PJP23/'4. NPV'!PJP$8,0)</f>
        <v>-0.0</v>
      </c>
      <c r="PJP53" s="5">
        <f>-IFERROR('4. NPV'!PJQ23/'4. NPV'!PJQ$8,0)</f>
        <v>-0.0</v>
      </c>
      <c r="PJQ53" s="5">
        <f>-IFERROR('4. NPV'!PJR23/'4. NPV'!PJR$8,0)</f>
        <v>-0.0</v>
      </c>
      <c r="PJR53" s="5">
        <f>-IFERROR('4. NPV'!PJS23/'4. NPV'!PJS$8,0)</f>
        <v>-0.0</v>
      </c>
      <c r="PJS53" s="5">
        <f>-IFERROR('4. NPV'!PJT23/'4. NPV'!PJT$8,0)</f>
        <v>-0.0</v>
      </c>
      <c r="PJT53" s="5">
        <f>-IFERROR('4. NPV'!PJU23/'4. NPV'!PJU$8,0)</f>
        <v>-0.0</v>
      </c>
      <c r="PJU53" s="5">
        <f>-IFERROR('4. NPV'!PJV23/'4. NPV'!PJV$8,0)</f>
        <v>-0.0</v>
      </c>
      <c r="PJV53" s="5">
        <f>-IFERROR('4. NPV'!PJW23/'4. NPV'!PJW$8,0)</f>
        <v>-0.0</v>
      </c>
      <c r="PJW53" s="5">
        <f>-IFERROR('4. NPV'!PJX23/'4. NPV'!PJX$8,0)</f>
        <v>-0.0</v>
      </c>
      <c r="PJX53" s="5">
        <f>-IFERROR('4. NPV'!PJY23/'4. NPV'!PJY$8,0)</f>
        <v>-0.0</v>
      </c>
      <c r="PJY53" s="5">
        <f>-IFERROR('4. NPV'!PJZ23/'4. NPV'!PJZ$8,0)</f>
        <v>-0.0</v>
      </c>
      <c r="PJZ53" s="5">
        <f>-IFERROR('4. NPV'!PKA23/'4. NPV'!PKA$8,0)</f>
        <v>-0.0</v>
      </c>
      <c r="PKA53" s="5">
        <f>-IFERROR('4. NPV'!PKB23/'4. NPV'!PKB$8,0)</f>
        <v>-0.0</v>
      </c>
      <c r="PKB53" s="5">
        <f>-IFERROR('4. NPV'!PKC23/'4. NPV'!PKC$8,0)</f>
        <v>-0.0</v>
      </c>
      <c r="PKC53" s="5">
        <f>-IFERROR('4. NPV'!PKD23/'4. NPV'!PKD$8,0)</f>
        <v>-0.0</v>
      </c>
      <c r="PKD53" s="5">
        <f>-IFERROR('4. NPV'!PKE23/'4. NPV'!PKE$8,0)</f>
        <v>-0.0</v>
      </c>
      <c r="PKE53" s="5">
        <f>-IFERROR('4. NPV'!PKF23/'4. NPV'!PKF$8,0)</f>
        <v>-0.0</v>
      </c>
      <c r="PKF53" s="5">
        <f>-IFERROR('4. NPV'!PKG23/'4. NPV'!PKG$8,0)</f>
        <v>-0.0</v>
      </c>
      <c r="PKG53" s="5">
        <f>-IFERROR('4. NPV'!PKH23/'4. NPV'!PKH$8,0)</f>
        <v>-0.0</v>
      </c>
      <c r="PKH53" s="5">
        <f>-IFERROR('4. NPV'!PKI23/'4. NPV'!PKI$8,0)</f>
        <v>-0.0</v>
      </c>
      <c r="PKI53" s="5">
        <f>-IFERROR('4. NPV'!PKJ23/'4. NPV'!PKJ$8,0)</f>
        <v>-0.0</v>
      </c>
      <c r="PKJ53" s="5">
        <f>-IFERROR('4. NPV'!PKK23/'4. NPV'!PKK$8,0)</f>
        <v>-0.0</v>
      </c>
      <c r="PKK53" s="5">
        <f>-IFERROR('4. NPV'!PKL23/'4. NPV'!PKL$8,0)</f>
        <v>-0.0</v>
      </c>
      <c r="PKL53" s="5">
        <f>-IFERROR('4. NPV'!PKM23/'4. NPV'!PKM$8,0)</f>
        <v>-0.0</v>
      </c>
      <c r="PKM53" s="5">
        <f>-IFERROR('4. NPV'!PKN23/'4. NPV'!PKN$8,0)</f>
        <v>-0.0</v>
      </c>
      <c r="PKN53" s="5">
        <f>-IFERROR('4. NPV'!PKO23/'4. NPV'!PKO$8,0)</f>
        <v>-0.0</v>
      </c>
      <c r="PKO53" s="5">
        <f>-IFERROR('4. NPV'!PKP23/'4. NPV'!PKP$8,0)</f>
        <v>-0.0</v>
      </c>
      <c r="PKP53" s="5">
        <f>-IFERROR('4. NPV'!PKQ23/'4. NPV'!PKQ$8,0)</f>
        <v>-0.0</v>
      </c>
      <c r="PKQ53" s="5">
        <f>-IFERROR('4. NPV'!PKR23/'4. NPV'!PKR$8,0)</f>
        <v>-0.0</v>
      </c>
      <c r="PKR53" s="5">
        <f>-IFERROR('4. NPV'!PKS23/'4. NPV'!PKS$8,0)</f>
        <v>-0.0</v>
      </c>
      <c r="PKS53" s="5">
        <f>-IFERROR('4. NPV'!PKT23/'4. NPV'!PKT$8,0)</f>
        <v>-0.0</v>
      </c>
      <c r="PKT53" s="5">
        <f>-IFERROR('4. NPV'!PKU23/'4. NPV'!PKU$8,0)</f>
        <v>-0.0</v>
      </c>
      <c r="PKU53" s="5">
        <f>-IFERROR('4. NPV'!PKV23/'4. NPV'!PKV$8,0)</f>
        <v>-0.0</v>
      </c>
      <c r="PKV53" s="5">
        <f>-IFERROR('4. NPV'!PKW23/'4. NPV'!PKW$8,0)</f>
        <v>-0.0</v>
      </c>
      <c r="PKW53" s="5">
        <f>-IFERROR('4. NPV'!PKX23/'4. NPV'!PKX$8,0)</f>
        <v>-0.0</v>
      </c>
      <c r="PKX53" s="5">
        <f>-IFERROR('4. NPV'!PKY23/'4. NPV'!PKY$8,0)</f>
        <v>-0.0</v>
      </c>
      <c r="PKY53" s="5">
        <f>-IFERROR('4. NPV'!PKZ23/'4. NPV'!PKZ$8,0)</f>
        <v>-0.0</v>
      </c>
      <c r="PKZ53" s="5">
        <f>-IFERROR('4. NPV'!PLA23/'4. NPV'!PLA$8,0)</f>
        <v>-0.0</v>
      </c>
      <c r="PLA53" s="5">
        <f>-IFERROR('4. NPV'!PLB23/'4. NPV'!PLB$8,0)</f>
        <v>-0.0</v>
      </c>
      <c r="PLB53" s="5">
        <f>-IFERROR('4. NPV'!PLC23/'4. NPV'!PLC$8,0)</f>
        <v>-0.0</v>
      </c>
      <c r="PLC53" s="5">
        <f>-IFERROR('4. NPV'!PLD23/'4. NPV'!PLD$8,0)</f>
        <v>-0.0</v>
      </c>
      <c r="PLD53" s="5">
        <f>-IFERROR('4. NPV'!PLE23/'4. NPV'!PLE$8,0)</f>
        <v>-0.0</v>
      </c>
      <c r="PLE53" s="5">
        <f>-IFERROR('4. NPV'!PLF23/'4. NPV'!PLF$8,0)</f>
        <v>-0.0</v>
      </c>
      <c r="PLF53" s="5">
        <f>-IFERROR('4. NPV'!PLG23/'4. NPV'!PLG$8,0)</f>
        <v>-0.0</v>
      </c>
      <c r="PLG53" s="5">
        <f>-IFERROR('4. NPV'!PLH23/'4. NPV'!PLH$8,0)</f>
        <v>-0.0</v>
      </c>
      <c r="PLH53" s="5">
        <f>-IFERROR('4. NPV'!PLI23/'4. NPV'!PLI$8,0)</f>
        <v>-0.0</v>
      </c>
      <c r="PLI53" s="5">
        <f>-IFERROR('4. NPV'!PLJ23/'4. NPV'!PLJ$8,0)</f>
        <v>-0.0</v>
      </c>
      <c r="PLJ53" s="5">
        <f>-IFERROR('4. NPV'!PLK23/'4. NPV'!PLK$8,0)</f>
        <v>-0.0</v>
      </c>
      <c r="PLK53" s="5">
        <f>-IFERROR('4. NPV'!PLL23/'4. NPV'!PLL$8,0)</f>
        <v>-0.0</v>
      </c>
      <c r="PLL53" s="5">
        <f>-IFERROR('4. NPV'!PLM23/'4. NPV'!PLM$8,0)</f>
        <v>-0.0</v>
      </c>
      <c r="PLM53" s="5">
        <f>-IFERROR('4. NPV'!PLN23/'4. NPV'!PLN$8,0)</f>
        <v>-0.0</v>
      </c>
      <c r="PLN53" s="5">
        <f>-IFERROR('4. NPV'!PLO23/'4. NPV'!PLO$8,0)</f>
        <v>-0.0</v>
      </c>
      <c r="PLO53" s="5">
        <f>-IFERROR('4. NPV'!PLP23/'4. NPV'!PLP$8,0)</f>
        <v>-0.0</v>
      </c>
      <c r="PLP53" s="5">
        <f>-IFERROR('4. NPV'!PLQ23/'4. NPV'!PLQ$8,0)</f>
        <v>-0.0</v>
      </c>
      <c r="PLQ53" s="5">
        <f>-IFERROR('4. NPV'!PLR23/'4. NPV'!PLR$8,0)</f>
        <v>-0.0</v>
      </c>
      <c r="PLR53" s="5">
        <f>-IFERROR('4. NPV'!PLS23/'4. NPV'!PLS$8,0)</f>
        <v>-0.0</v>
      </c>
      <c r="PLS53" s="5">
        <f>-IFERROR('4. NPV'!PLT23/'4. NPV'!PLT$8,0)</f>
        <v>-0.0</v>
      </c>
      <c r="PLT53" s="5">
        <f>-IFERROR('4. NPV'!PLU23/'4. NPV'!PLU$8,0)</f>
        <v>-0.0</v>
      </c>
      <c r="PLU53" s="5">
        <f>-IFERROR('4. NPV'!PLV23/'4. NPV'!PLV$8,0)</f>
        <v>-0.0</v>
      </c>
      <c r="PLV53" s="5">
        <f>-IFERROR('4. NPV'!PLW23/'4. NPV'!PLW$8,0)</f>
        <v>-0.0</v>
      </c>
      <c r="PLW53" s="5">
        <f>-IFERROR('4. NPV'!PLX23/'4. NPV'!PLX$8,0)</f>
        <v>-0.0</v>
      </c>
      <c r="PLX53" s="5">
        <f>-IFERROR('4. NPV'!PLY23/'4. NPV'!PLY$8,0)</f>
        <v>-0.0</v>
      </c>
      <c r="PLY53" s="5">
        <f>-IFERROR('4. NPV'!PLZ23/'4. NPV'!PLZ$8,0)</f>
        <v>-0.0</v>
      </c>
      <c r="PLZ53" s="5">
        <f>-IFERROR('4. NPV'!PMA23/'4. NPV'!PMA$8,0)</f>
        <v>-0.0</v>
      </c>
      <c r="PMA53" s="5">
        <f>-IFERROR('4. NPV'!PMB23/'4. NPV'!PMB$8,0)</f>
        <v>-0.0</v>
      </c>
      <c r="PMB53" s="5">
        <f>-IFERROR('4. NPV'!PMC23/'4. NPV'!PMC$8,0)</f>
        <v>-0.0</v>
      </c>
      <c r="PMC53" s="5">
        <f>-IFERROR('4. NPV'!PMD23/'4. NPV'!PMD$8,0)</f>
        <v>-0.0</v>
      </c>
      <c r="PMD53" s="5">
        <f>-IFERROR('4. NPV'!PME23/'4. NPV'!PME$8,0)</f>
        <v>-0.0</v>
      </c>
      <c r="PME53" s="5">
        <f>-IFERROR('4. NPV'!PMF23/'4. NPV'!PMF$8,0)</f>
        <v>-0.0</v>
      </c>
      <c r="PMF53" s="5">
        <f>-IFERROR('4. NPV'!PMG23/'4. NPV'!PMG$8,0)</f>
        <v>-0.0</v>
      </c>
      <c r="PMG53" s="5">
        <f>-IFERROR('4. NPV'!PMH23/'4. NPV'!PMH$8,0)</f>
        <v>-0.0</v>
      </c>
      <c r="PMH53" s="5">
        <f>-IFERROR('4. NPV'!PMI23/'4. NPV'!PMI$8,0)</f>
        <v>-0.0</v>
      </c>
      <c r="PMI53" s="5">
        <f>-IFERROR('4. NPV'!PMJ23/'4. NPV'!PMJ$8,0)</f>
        <v>-0.0</v>
      </c>
      <c r="PMJ53" s="5">
        <f>-IFERROR('4. NPV'!PMK23/'4. NPV'!PMK$8,0)</f>
        <v>-0.0</v>
      </c>
      <c r="PMK53" s="5">
        <f>-IFERROR('4. NPV'!PML23/'4. NPV'!PML$8,0)</f>
        <v>-0.0</v>
      </c>
      <c r="PML53" s="5">
        <f>-IFERROR('4. NPV'!PMM23/'4. NPV'!PMM$8,0)</f>
        <v>-0.0</v>
      </c>
      <c r="PMM53" s="5">
        <f>-IFERROR('4. NPV'!PMN23/'4. NPV'!PMN$8,0)</f>
        <v>-0.0</v>
      </c>
      <c r="PMN53" s="5">
        <f>-IFERROR('4. NPV'!PMO23/'4. NPV'!PMO$8,0)</f>
        <v>-0.0</v>
      </c>
      <c r="PMO53" s="5">
        <f>-IFERROR('4. NPV'!PMP23/'4. NPV'!PMP$8,0)</f>
        <v>-0.0</v>
      </c>
      <c r="PMP53" s="5">
        <f>-IFERROR('4. NPV'!PMQ23/'4. NPV'!PMQ$8,0)</f>
        <v>-0.0</v>
      </c>
      <c r="PMQ53" s="5">
        <f>-IFERROR('4. NPV'!PMR23/'4. NPV'!PMR$8,0)</f>
        <v>-0.0</v>
      </c>
      <c r="PMR53" s="5">
        <f>-IFERROR('4. NPV'!PMS23/'4. NPV'!PMS$8,0)</f>
        <v>-0.0</v>
      </c>
      <c r="PMS53" s="5">
        <f>-IFERROR('4. NPV'!PMT23/'4. NPV'!PMT$8,0)</f>
        <v>-0.0</v>
      </c>
      <c r="PMT53" s="5">
        <f>-IFERROR('4. NPV'!PMU23/'4. NPV'!PMU$8,0)</f>
        <v>-0.0</v>
      </c>
      <c r="PMU53" s="5">
        <f>-IFERROR('4. NPV'!PMV23/'4. NPV'!PMV$8,0)</f>
        <v>-0.0</v>
      </c>
      <c r="PMV53" s="5">
        <f>-IFERROR('4. NPV'!PMW23/'4. NPV'!PMW$8,0)</f>
        <v>-0.0</v>
      </c>
      <c r="PMW53" s="5">
        <f>-IFERROR('4. NPV'!PMX23/'4. NPV'!PMX$8,0)</f>
        <v>-0.0</v>
      </c>
      <c r="PMX53" s="5">
        <f>-IFERROR('4. NPV'!PMY23/'4. NPV'!PMY$8,0)</f>
        <v>-0.0</v>
      </c>
      <c r="PMY53" s="5">
        <f>-IFERROR('4. NPV'!PMZ23/'4. NPV'!PMZ$8,0)</f>
        <v>-0.0</v>
      </c>
      <c r="PMZ53" s="5">
        <f>-IFERROR('4. NPV'!PNA23/'4. NPV'!PNA$8,0)</f>
        <v>-0.0</v>
      </c>
      <c r="PNA53" s="5">
        <f>-IFERROR('4. NPV'!PNB23/'4. NPV'!PNB$8,0)</f>
        <v>-0.0</v>
      </c>
      <c r="PNB53" s="5">
        <f>-IFERROR('4. NPV'!PNC23/'4. NPV'!PNC$8,0)</f>
        <v>-0.0</v>
      </c>
      <c r="PNC53" s="5">
        <f>-IFERROR('4. NPV'!PND23/'4. NPV'!PND$8,0)</f>
        <v>-0.0</v>
      </c>
      <c r="PND53" s="5">
        <f>-IFERROR('4. NPV'!PNE23/'4. NPV'!PNE$8,0)</f>
        <v>-0.0</v>
      </c>
      <c r="PNE53" s="5">
        <f>-IFERROR('4. NPV'!PNF23/'4. NPV'!PNF$8,0)</f>
        <v>-0.0</v>
      </c>
      <c r="PNF53" s="5">
        <f>-IFERROR('4. NPV'!PNG23/'4. NPV'!PNG$8,0)</f>
        <v>-0.0</v>
      </c>
      <c r="PNG53" s="5">
        <f>-IFERROR('4. NPV'!PNH23/'4. NPV'!PNH$8,0)</f>
        <v>-0.0</v>
      </c>
      <c r="PNH53" s="5">
        <f>-IFERROR('4. NPV'!PNI23/'4. NPV'!PNI$8,0)</f>
        <v>-0.0</v>
      </c>
      <c r="PNI53" s="5">
        <f>-IFERROR('4. NPV'!PNJ23/'4. NPV'!PNJ$8,0)</f>
        <v>-0.0</v>
      </c>
      <c r="PNJ53" s="5">
        <f>-IFERROR('4. NPV'!PNK23/'4. NPV'!PNK$8,0)</f>
        <v>-0.0</v>
      </c>
      <c r="PNK53" s="5">
        <f>-IFERROR('4. NPV'!PNL23/'4. NPV'!PNL$8,0)</f>
        <v>-0.0</v>
      </c>
      <c r="PNL53" s="5">
        <f>-IFERROR('4. NPV'!PNM23/'4. NPV'!PNM$8,0)</f>
        <v>-0.0</v>
      </c>
      <c r="PNM53" s="5">
        <f>-IFERROR('4. NPV'!PNN23/'4. NPV'!PNN$8,0)</f>
        <v>-0.0</v>
      </c>
      <c r="PNN53" s="5">
        <f>-IFERROR('4. NPV'!PNO23/'4. NPV'!PNO$8,0)</f>
        <v>-0.0</v>
      </c>
      <c r="PNO53" s="5">
        <f>-IFERROR('4. NPV'!PNP23/'4. NPV'!PNP$8,0)</f>
        <v>-0.0</v>
      </c>
      <c r="PNP53" s="5">
        <f>-IFERROR('4. NPV'!PNQ23/'4. NPV'!PNQ$8,0)</f>
        <v>-0.0</v>
      </c>
      <c r="PNQ53" s="5">
        <f>-IFERROR('4. NPV'!PNR23/'4. NPV'!PNR$8,0)</f>
        <v>-0.0</v>
      </c>
      <c r="PNR53" s="5">
        <f>-IFERROR('4. NPV'!PNS23/'4. NPV'!PNS$8,0)</f>
        <v>-0.0</v>
      </c>
      <c r="PNS53" s="5">
        <f>-IFERROR('4. NPV'!PNT23/'4. NPV'!PNT$8,0)</f>
        <v>-0.0</v>
      </c>
      <c r="PNT53" s="5">
        <f>-IFERROR('4. NPV'!PNU23/'4. NPV'!PNU$8,0)</f>
        <v>-0.0</v>
      </c>
      <c r="PNU53" s="5">
        <f>-IFERROR('4. NPV'!PNV23/'4. NPV'!PNV$8,0)</f>
        <v>-0.0</v>
      </c>
      <c r="PNV53" s="5">
        <f>-IFERROR('4. NPV'!PNW23/'4. NPV'!PNW$8,0)</f>
        <v>-0.0</v>
      </c>
      <c r="PNW53" s="5">
        <f>-IFERROR('4. NPV'!PNX23/'4. NPV'!PNX$8,0)</f>
        <v>-0.0</v>
      </c>
      <c r="PNX53" s="5">
        <f>-IFERROR('4. NPV'!PNY23/'4. NPV'!PNY$8,0)</f>
        <v>-0.0</v>
      </c>
      <c r="PNY53" s="5">
        <f>-IFERROR('4. NPV'!PNZ23/'4. NPV'!PNZ$8,0)</f>
        <v>-0.0</v>
      </c>
      <c r="PNZ53" s="5">
        <f>-IFERROR('4. NPV'!POA23/'4. NPV'!POA$8,0)</f>
        <v>-0.0</v>
      </c>
      <c r="POA53" s="5">
        <f>-IFERROR('4. NPV'!POB23/'4. NPV'!POB$8,0)</f>
        <v>-0.0</v>
      </c>
      <c r="POB53" s="5">
        <f>-IFERROR('4. NPV'!POC23/'4. NPV'!POC$8,0)</f>
        <v>-0.0</v>
      </c>
      <c r="POC53" s="5">
        <f>-IFERROR('4. NPV'!POD23/'4. NPV'!POD$8,0)</f>
        <v>-0.0</v>
      </c>
      <c r="POD53" s="5">
        <f>-IFERROR('4. NPV'!POE23/'4. NPV'!POE$8,0)</f>
        <v>-0.0</v>
      </c>
      <c r="POE53" s="5">
        <f>-IFERROR('4. NPV'!POF23/'4. NPV'!POF$8,0)</f>
        <v>-0.0</v>
      </c>
      <c r="POF53" s="5">
        <f>-IFERROR('4. NPV'!POG23/'4. NPV'!POG$8,0)</f>
        <v>-0.0</v>
      </c>
      <c r="POG53" s="5">
        <f>-IFERROR('4. NPV'!POH23/'4. NPV'!POH$8,0)</f>
        <v>-0.0</v>
      </c>
      <c r="POH53" s="5">
        <f>-IFERROR('4. NPV'!POI23/'4. NPV'!POI$8,0)</f>
        <v>-0.0</v>
      </c>
      <c r="POI53" s="5">
        <f>-IFERROR('4. NPV'!POJ23/'4. NPV'!POJ$8,0)</f>
        <v>-0.0</v>
      </c>
      <c r="POJ53" s="5">
        <f>-IFERROR('4. NPV'!POK23/'4. NPV'!POK$8,0)</f>
        <v>-0.0</v>
      </c>
      <c r="POK53" s="5">
        <f>-IFERROR('4. NPV'!POL23/'4. NPV'!POL$8,0)</f>
        <v>-0.0</v>
      </c>
      <c r="POL53" s="5">
        <f>-IFERROR('4. NPV'!POM23/'4. NPV'!POM$8,0)</f>
        <v>-0.0</v>
      </c>
      <c r="POM53" s="5">
        <f>-IFERROR('4. NPV'!PON23/'4. NPV'!PON$8,0)</f>
        <v>-0.0</v>
      </c>
      <c r="PON53" s="5">
        <f>-IFERROR('4. NPV'!POO23/'4. NPV'!POO$8,0)</f>
        <v>-0.0</v>
      </c>
      <c r="POO53" s="5">
        <f>-IFERROR('4. NPV'!POP23/'4. NPV'!POP$8,0)</f>
        <v>-0.0</v>
      </c>
      <c r="POP53" s="5">
        <f>-IFERROR('4. NPV'!POQ23/'4. NPV'!POQ$8,0)</f>
        <v>-0.0</v>
      </c>
      <c r="POQ53" s="5">
        <f>-IFERROR('4. NPV'!POR23/'4. NPV'!POR$8,0)</f>
        <v>-0.0</v>
      </c>
      <c r="POR53" s="5">
        <f>-IFERROR('4. NPV'!POS23/'4. NPV'!POS$8,0)</f>
        <v>-0.0</v>
      </c>
      <c r="POS53" s="5">
        <f>-IFERROR('4. NPV'!POT23/'4. NPV'!POT$8,0)</f>
        <v>-0.0</v>
      </c>
      <c r="POT53" s="5">
        <f>-IFERROR('4. NPV'!POU23/'4. NPV'!POU$8,0)</f>
        <v>-0.0</v>
      </c>
      <c r="POU53" s="5">
        <f>-IFERROR('4. NPV'!POV23/'4. NPV'!POV$8,0)</f>
        <v>-0.0</v>
      </c>
      <c r="POV53" s="5">
        <f>-IFERROR('4. NPV'!POW23/'4. NPV'!POW$8,0)</f>
        <v>-0.0</v>
      </c>
      <c r="POW53" s="5">
        <f>-IFERROR('4. NPV'!POX23/'4. NPV'!POX$8,0)</f>
        <v>-0.0</v>
      </c>
      <c r="POX53" s="5">
        <f>-IFERROR('4. NPV'!POY23/'4. NPV'!POY$8,0)</f>
        <v>-0.0</v>
      </c>
      <c r="POY53" s="5">
        <f>-IFERROR('4. NPV'!POZ23/'4. NPV'!POZ$8,0)</f>
        <v>-0.0</v>
      </c>
      <c r="POZ53" s="5">
        <f>-IFERROR('4. NPV'!PPA23/'4. NPV'!PPA$8,0)</f>
        <v>-0.0</v>
      </c>
      <c r="PPA53" s="5">
        <f>-IFERROR('4. NPV'!PPB23/'4. NPV'!PPB$8,0)</f>
        <v>-0.0</v>
      </c>
      <c r="PPB53" s="5">
        <f>-IFERROR('4. NPV'!PPC23/'4. NPV'!PPC$8,0)</f>
        <v>-0.0</v>
      </c>
      <c r="PPC53" s="5">
        <f>-IFERROR('4. NPV'!PPD23/'4. NPV'!PPD$8,0)</f>
        <v>-0.0</v>
      </c>
      <c r="PPD53" s="5">
        <f>-IFERROR('4. NPV'!PPE23/'4. NPV'!PPE$8,0)</f>
        <v>-0.0</v>
      </c>
      <c r="PPE53" s="5">
        <f>-IFERROR('4. NPV'!PPF23/'4. NPV'!PPF$8,0)</f>
        <v>-0.0</v>
      </c>
      <c r="PPF53" s="5">
        <f>-IFERROR('4. NPV'!PPG23/'4. NPV'!PPG$8,0)</f>
        <v>-0.0</v>
      </c>
      <c r="PPG53" s="5">
        <f>-IFERROR('4. NPV'!PPH23/'4. NPV'!PPH$8,0)</f>
        <v>-0.0</v>
      </c>
      <c r="PPH53" s="5">
        <f>-IFERROR('4. NPV'!PPI23/'4. NPV'!PPI$8,0)</f>
        <v>-0.0</v>
      </c>
      <c r="PPI53" s="5">
        <f>-IFERROR('4. NPV'!PPJ23/'4. NPV'!PPJ$8,0)</f>
        <v>-0.0</v>
      </c>
      <c r="PPJ53" s="5">
        <f>-IFERROR('4. NPV'!PPK23/'4. NPV'!PPK$8,0)</f>
        <v>-0.0</v>
      </c>
      <c r="PPK53" s="5">
        <f>-IFERROR('4. NPV'!PPL23/'4. NPV'!PPL$8,0)</f>
        <v>-0.0</v>
      </c>
      <c r="PPL53" s="5">
        <f>-IFERROR('4. NPV'!PPM23/'4. NPV'!PPM$8,0)</f>
        <v>-0.0</v>
      </c>
      <c r="PPM53" s="5">
        <f>-IFERROR('4. NPV'!PPN23/'4. NPV'!PPN$8,0)</f>
        <v>-0.0</v>
      </c>
      <c r="PPN53" s="5">
        <f>-IFERROR('4. NPV'!PPO23/'4. NPV'!PPO$8,0)</f>
        <v>-0.0</v>
      </c>
      <c r="PPO53" s="5">
        <f>-IFERROR('4. NPV'!PPP23/'4. NPV'!PPP$8,0)</f>
        <v>-0.0</v>
      </c>
      <c r="PPP53" s="5">
        <f>-IFERROR('4. NPV'!PPQ23/'4. NPV'!PPQ$8,0)</f>
        <v>-0.0</v>
      </c>
      <c r="PPQ53" s="5">
        <f>-IFERROR('4. NPV'!PPR23/'4. NPV'!PPR$8,0)</f>
        <v>-0.0</v>
      </c>
      <c r="PPR53" s="5">
        <f>-IFERROR('4. NPV'!PPS23/'4. NPV'!PPS$8,0)</f>
        <v>-0.0</v>
      </c>
      <c r="PPS53" s="5">
        <f>-IFERROR('4. NPV'!PPT23/'4. NPV'!PPT$8,0)</f>
        <v>-0.0</v>
      </c>
      <c r="PPT53" s="5">
        <f>-IFERROR('4. NPV'!PPU23/'4. NPV'!PPU$8,0)</f>
        <v>-0.0</v>
      </c>
      <c r="PPU53" s="5">
        <f>-IFERROR('4. NPV'!PPV23/'4. NPV'!PPV$8,0)</f>
        <v>-0.0</v>
      </c>
      <c r="PPV53" s="5">
        <f>-IFERROR('4. NPV'!PPW23/'4. NPV'!PPW$8,0)</f>
        <v>-0.0</v>
      </c>
      <c r="PPW53" s="5">
        <f>-IFERROR('4. NPV'!PPX23/'4. NPV'!PPX$8,0)</f>
        <v>-0.0</v>
      </c>
      <c r="PPX53" s="5">
        <f>-IFERROR('4. NPV'!PPY23/'4. NPV'!PPY$8,0)</f>
        <v>-0.0</v>
      </c>
      <c r="PPY53" s="5">
        <f>-IFERROR('4. NPV'!PPZ23/'4. NPV'!PPZ$8,0)</f>
        <v>-0.0</v>
      </c>
      <c r="PPZ53" s="5">
        <f>-IFERROR('4. NPV'!PQA23/'4. NPV'!PQA$8,0)</f>
        <v>-0.0</v>
      </c>
      <c r="PQA53" s="5">
        <f>-IFERROR('4. NPV'!PQB23/'4. NPV'!PQB$8,0)</f>
        <v>-0.0</v>
      </c>
      <c r="PQB53" s="5">
        <f>-IFERROR('4. NPV'!PQC23/'4. NPV'!PQC$8,0)</f>
        <v>-0.0</v>
      </c>
      <c r="PQC53" s="5">
        <f>-IFERROR('4. NPV'!PQD23/'4. NPV'!PQD$8,0)</f>
        <v>-0.0</v>
      </c>
      <c r="PQD53" s="5">
        <f>-IFERROR('4. NPV'!PQE23/'4. NPV'!PQE$8,0)</f>
        <v>-0.0</v>
      </c>
      <c r="PQE53" s="5">
        <f>-IFERROR('4. NPV'!PQF23/'4. NPV'!PQF$8,0)</f>
        <v>-0.0</v>
      </c>
      <c r="PQF53" s="5">
        <f>-IFERROR('4. NPV'!PQG23/'4. NPV'!PQG$8,0)</f>
        <v>-0.0</v>
      </c>
      <c r="PQG53" s="5">
        <f>-IFERROR('4. NPV'!PQH23/'4. NPV'!PQH$8,0)</f>
        <v>-0.0</v>
      </c>
      <c r="PQH53" s="5">
        <f>-IFERROR('4. NPV'!PQI23/'4. NPV'!PQI$8,0)</f>
        <v>-0.0</v>
      </c>
      <c r="PQI53" s="5">
        <f>-IFERROR('4. NPV'!PQJ23/'4. NPV'!PQJ$8,0)</f>
        <v>-0.0</v>
      </c>
      <c r="PQJ53" s="5">
        <f>-IFERROR('4. NPV'!PQK23/'4. NPV'!PQK$8,0)</f>
        <v>-0.0</v>
      </c>
      <c r="PQK53" s="5">
        <f>-IFERROR('4. NPV'!PQL23/'4. NPV'!PQL$8,0)</f>
        <v>-0.0</v>
      </c>
      <c r="PQL53" s="5">
        <f>-IFERROR('4. NPV'!PQM23/'4. NPV'!PQM$8,0)</f>
        <v>-0.0</v>
      </c>
      <c r="PQM53" s="5">
        <f>-IFERROR('4. NPV'!PQN23/'4. NPV'!PQN$8,0)</f>
        <v>-0.0</v>
      </c>
      <c r="PQN53" s="5">
        <f>-IFERROR('4. NPV'!PQO23/'4. NPV'!PQO$8,0)</f>
        <v>-0.0</v>
      </c>
      <c r="PQO53" s="5">
        <f>-IFERROR('4. NPV'!PQP23/'4. NPV'!PQP$8,0)</f>
        <v>-0.0</v>
      </c>
      <c r="PQP53" s="5">
        <f>-IFERROR('4. NPV'!PQQ23/'4. NPV'!PQQ$8,0)</f>
        <v>-0.0</v>
      </c>
      <c r="PQQ53" s="5">
        <f>-IFERROR('4. NPV'!PQR23/'4. NPV'!PQR$8,0)</f>
        <v>-0.0</v>
      </c>
      <c r="PQR53" s="5">
        <f>-IFERROR('4. NPV'!PQS23/'4. NPV'!PQS$8,0)</f>
        <v>-0.0</v>
      </c>
      <c r="PQS53" s="5">
        <f>-IFERROR('4. NPV'!PQT23/'4. NPV'!PQT$8,0)</f>
        <v>-0.0</v>
      </c>
      <c r="PQT53" s="5">
        <f>-IFERROR('4. NPV'!PQU23/'4. NPV'!PQU$8,0)</f>
        <v>-0.0</v>
      </c>
      <c r="PQU53" s="5">
        <f>-IFERROR('4. NPV'!PQV23/'4. NPV'!PQV$8,0)</f>
        <v>-0.0</v>
      </c>
      <c r="PQV53" s="5">
        <f>-IFERROR('4. NPV'!PQW23/'4. NPV'!PQW$8,0)</f>
        <v>-0.0</v>
      </c>
      <c r="PQW53" s="5">
        <f>-IFERROR('4. NPV'!PQX23/'4. NPV'!PQX$8,0)</f>
        <v>-0.0</v>
      </c>
      <c r="PQX53" s="5">
        <f>-IFERROR('4. NPV'!PQY23/'4. NPV'!PQY$8,0)</f>
        <v>-0.0</v>
      </c>
      <c r="PQY53" s="5">
        <f>-IFERROR('4. NPV'!PQZ23/'4. NPV'!PQZ$8,0)</f>
        <v>-0.0</v>
      </c>
      <c r="PQZ53" s="5">
        <f>-IFERROR('4. NPV'!PRA23/'4. NPV'!PRA$8,0)</f>
        <v>-0.0</v>
      </c>
      <c r="PRA53" s="5">
        <f>-IFERROR('4. NPV'!PRB23/'4. NPV'!PRB$8,0)</f>
        <v>-0.0</v>
      </c>
      <c r="PRB53" s="5">
        <f>-IFERROR('4. NPV'!PRC23/'4. NPV'!PRC$8,0)</f>
        <v>-0.0</v>
      </c>
      <c r="PRC53" s="5">
        <f>-IFERROR('4. NPV'!PRD23/'4. NPV'!PRD$8,0)</f>
        <v>-0.0</v>
      </c>
      <c r="PRD53" s="5">
        <f>-IFERROR('4. NPV'!PRE23/'4. NPV'!PRE$8,0)</f>
        <v>-0.0</v>
      </c>
      <c r="PRE53" s="5">
        <f>-IFERROR('4. NPV'!PRF23/'4. NPV'!PRF$8,0)</f>
        <v>-0.0</v>
      </c>
      <c r="PRF53" s="5">
        <f>-IFERROR('4. NPV'!PRG23/'4. NPV'!PRG$8,0)</f>
        <v>-0.0</v>
      </c>
      <c r="PRG53" s="5">
        <f>-IFERROR('4. NPV'!PRH23/'4. NPV'!PRH$8,0)</f>
        <v>-0.0</v>
      </c>
      <c r="PRH53" s="5">
        <f>-IFERROR('4. NPV'!PRI23/'4. NPV'!PRI$8,0)</f>
        <v>-0.0</v>
      </c>
      <c r="PRI53" s="5">
        <f>-IFERROR('4. NPV'!PRJ23/'4. NPV'!PRJ$8,0)</f>
        <v>-0.0</v>
      </c>
      <c r="PRJ53" s="5">
        <f>-IFERROR('4. NPV'!PRK23/'4. NPV'!PRK$8,0)</f>
        <v>-0.0</v>
      </c>
      <c r="PRK53" s="5">
        <f>-IFERROR('4. NPV'!PRL23/'4. NPV'!PRL$8,0)</f>
        <v>-0.0</v>
      </c>
      <c r="PRL53" s="5">
        <f>-IFERROR('4. NPV'!PRM23/'4. NPV'!PRM$8,0)</f>
        <v>-0.0</v>
      </c>
      <c r="PRM53" s="5">
        <f>-IFERROR('4. NPV'!PRN23/'4. NPV'!PRN$8,0)</f>
        <v>-0.0</v>
      </c>
      <c r="PRN53" s="5">
        <f>-IFERROR('4. NPV'!PRO23/'4. NPV'!PRO$8,0)</f>
        <v>-0.0</v>
      </c>
      <c r="PRO53" s="5">
        <f>-IFERROR('4. NPV'!PRP23/'4. NPV'!PRP$8,0)</f>
        <v>-0.0</v>
      </c>
      <c r="PRP53" s="5">
        <f>-IFERROR('4. NPV'!PRQ23/'4. NPV'!PRQ$8,0)</f>
        <v>-0.0</v>
      </c>
      <c r="PRQ53" s="5">
        <f>-IFERROR('4. NPV'!PRR23/'4. NPV'!PRR$8,0)</f>
        <v>-0.0</v>
      </c>
      <c r="PRR53" s="5">
        <f>-IFERROR('4. NPV'!PRS23/'4. NPV'!PRS$8,0)</f>
        <v>-0.0</v>
      </c>
      <c r="PRS53" s="5">
        <f>-IFERROR('4. NPV'!PRT23/'4. NPV'!PRT$8,0)</f>
        <v>-0.0</v>
      </c>
      <c r="PRT53" s="5">
        <f>-IFERROR('4. NPV'!PRU23/'4. NPV'!PRU$8,0)</f>
        <v>-0.0</v>
      </c>
      <c r="PRU53" s="5">
        <f>-IFERROR('4. NPV'!PRV23/'4. NPV'!PRV$8,0)</f>
        <v>-0.0</v>
      </c>
      <c r="PRV53" s="5">
        <f>-IFERROR('4. NPV'!PRW23/'4. NPV'!PRW$8,0)</f>
        <v>-0.0</v>
      </c>
      <c r="PRW53" s="5">
        <f>-IFERROR('4. NPV'!PRX23/'4. NPV'!PRX$8,0)</f>
        <v>-0.0</v>
      </c>
      <c r="PRX53" s="5">
        <f>-IFERROR('4. NPV'!PRY23/'4. NPV'!PRY$8,0)</f>
        <v>-0.0</v>
      </c>
      <c r="PRY53" s="5">
        <f>-IFERROR('4. NPV'!PRZ23/'4. NPV'!PRZ$8,0)</f>
        <v>-0.0</v>
      </c>
      <c r="PRZ53" s="5">
        <f>-IFERROR('4. NPV'!PSA23/'4. NPV'!PSA$8,0)</f>
        <v>-0.0</v>
      </c>
      <c r="PSA53" s="5">
        <f>-IFERROR('4. NPV'!PSB23/'4. NPV'!PSB$8,0)</f>
        <v>-0.0</v>
      </c>
      <c r="PSB53" s="5">
        <f>-IFERROR('4. NPV'!PSC23/'4. NPV'!PSC$8,0)</f>
        <v>-0.0</v>
      </c>
      <c r="PSC53" s="5">
        <f>-IFERROR('4. NPV'!PSD23/'4. NPV'!PSD$8,0)</f>
        <v>-0.0</v>
      </c>
      <c r="PSD53" s="5">
        <f>-IFERROR('4. NPV'!PSE23/'4. NPV'!PSE$8,0)</f>
        <v>-0.0</v>
      </c>
      <c r="PSE53" s="5">
        <f>-IFERROR('4. NPV'!PSF23/'4. NPV'!PSF$8,0)</f>
        <v>-0.0</v>
      </c>
      <c r="PSF53" s="5">
        <f>-IFERROR('4. NPV'!PSG23/'4. NPV'!PSG$8,0)</f>
        <v>-0.0</v>
      </c>
      <c r="PSG53" s="5">
        <f>-IFERROR('4. NPV'!PSH23/'4. NPV'!PSH$8,0)</f>
        <v>-0.0</v>
      </c>
      <c r="PSH53" s="5">
        <f>-IFERROR('4. NPV'!PSI23/'4. NPV'!PSI$8,0)</f>
        <v>-0.0</v>
      </c>
      <c r="PSI53" s="5">
        <f>-IFERROR('4. NPV'!PSJ23/'4. NPV'!PSJ$8,0)</f>
        <v>-0.0</v>
      </c>
      <c r="PSJ53" s="5">
        <f>-IFERROR('4. NPV'!PSK23/'4. NPV'!PSK$8,0)</f>
        <v>-0.0</v>
      </c>
      <c r="PSK53" s="5">
        <f>-IFERROR('4. NPV'!PSL23/'4. NPV'!PSL$8,0)</f>
        <v>-0.0</v>
      </c>
      <c r="PSL53" s="5">
        <f>-IFERROR('4. NPV'!PSM23/'4. NPV'!PSM$8,0)</f>
        <v>-0.0</v>
      </c>
      <c r="PSM53" s="5">
        <f>-IFERROR('4. NPV'!PSN23/'4. NPV'!PSN$8,0)</f>
        <v>-0.0</v>
      </c>
      <c r="PSN53" s="5">
        <f>-IFERROR('4. NPV'!PSO23/'4. NPV'!PSO$8,0)</f>
        <v>-0.0</v>
      </c>
      <c r="PSO53" s="5">
        <f>-IFERROR('4. NPV'!PSP23/'4. NPV'!PSP$8,0)</f>
        <v>-0.0</v>
      </c>
      <c r="PSP53" s="5">
        <f>-IFERROR('4. NPV'!PSQ23/'4. NPV'!PSQ$8,0)</f>
        <v>-0.0</v>
      </c>
      <c r="PSQ53" s="5">
        <f>-IFERROR('4. NPV'!PSR23/'4. NPV'!PSR$8,0)</f>
        <v>-0.0</v>
      </c>
      <c r="PSR53" s="5">
        <f>-IFERROR('4. NPV'!PSS23/'4. NPV'!PSS$8,0)</f>
        <v>-0.0</v>
      </c>
      <c r="PSS53" s="5">
        <f>-IFERROR('4. NPV'!PST23/'4. NPV'!PST$8,0)</f>
        <v>-0.0</v>
      </c>
      <c r="PST53" s="5">
        <f>-IFERROR('4. NPV'!PSU23/'4. NPV'!PSU$8,0)</f>
        <v>-0.0</v>
      </c>
      <c r="PSU53" s="5">
        <f>-IFERROR('4. NPV'!PSV23/'4. NPV'!PSV$8,0)</f>
        <v>-0.0</v>
      </c>
      <c r="PSV53" s="5">
        <f>-IFERROR('4. NPV'!PSW23/'4. NPV'!PSW$8,0)</f>
        <v>-0.0</v>
      </c>
      <c r="PSW53" s="5">
        <f>-IFERROR('4. NPV'!PSX23/'4. NPV'!PSX$8,0)</f>
        <v>-0.0</v>
      </c>
      <c r="PSX53" s="5">
        <f>-IFERROR('4. NPV'!PSY23/'4. NPV'!PSY$8,0)</f>
        <v>-0.0</v>
      </c>
      <c r="PSY53" s="5">
        <f>-IFERROR('4. NPV'!PSZ23/'4. NPV'!PSZ$8,0)</f>
        <v>-0.0</v>
      </c>
      <c r="PSZ53" s="5">
        <f>-IFERROR('4. NPV'!PTA23/'4. NPV'!PTA$8,0)</f>
        <v>-0.0</v>
      </c>
      <c r="PTA53" s="5">
        <f>-IFERROR('4. NPV'!PTB23/'4. NPV'!PTB$8,0)</f>
        <v>-0.0</v>
      </c>
      <c r="PTB53" s="5">
        <f>-IFERROR('4. NPV'!PTC23/'4. NPV'!PTC$8,0)</f>
        <v>-0.0</v>
      </c>
      <c r="PTC53" s="5">
        <f>-IFERROR('4. NPV'!PTD23/'4. NPV'!PTD$8,0)</f>
        <v>-0.0</v>
      </c>
      <c r="PTD53" s="5">
        <f>-IFERROR('4. NPV'!PTE23/'4. NPV'!PTE$8,0)</f>
        <v>-0.0</v>
      </c>
      <c r="PTE53" s="5">
        <f>-IFERROR('4. NPV'!PTF23/'4. NPV'!PTF$8,0)</f>
        <v>-0.0</v>
      </c>
      <c r="PTF53" s="5">
        <f>-IFERROR('4. NPV'!PTG23/'4. NPV'!PTG$8,0)</f>
        <v>-0.0</v>
      </c>
      <c r="PTG53" s="5">
        <f>-IFERROR('4. NPV'!PTH23/'4. NPV'!PTH$8,0)</f>
        <v>-0.0</v>
      </c>
      <c r="PTH53" s="5">
        <f>-IFERROR('4. NPV'!PTI23/'4. NPV'!PTI$8,0)</f>
        <v>-0.0</v>
      </c>
      <c r="PTI53" s="5">
        <f>-IFERROR('4. NPV'!PTJ23/'4. NPV'!PTJ$8,0)</f>
        <v>-0.0</v>
      </c>
      <c r="PTJ53" s="5">
        <f>-IFERROR('4. NPV'!PTK23/'4. NPV'!PTK$8,0)</f>
        <v>-0.0</v>
      </c>
      <c r="PTK53" s="5">
        <f>-IFERROR('4. NPV'!PTL23/'4. NPV'!PTL$8,0)</f>
        <v>-0.0</v>
      </c>
      <c r="PTL53" s="5">
        <f>-IFERROR('4. NPV'!PTM23/'4. NPV'!PTM$8,0)</f>
        <v>-0.0</v>
      </c>
      <c r="PTM53" s="5">
        <f>-IFERROR('4. NPV'!PTN23/'4. NPV'!PTN$8,0)</f>
        <v>-0.0</v>
      </c>
      <c r="PTN53" s="5">
        <f>-IFERROR('4. NPV'!PTO23/'4. NPV'!PTO$8,0)</f>
        <v>-0.0</v>
      </c>
      <c r="PTO53" s="5">
        <f>-IFERROR('4. NPV'!PTP23/'4. NPV'!PTP$8,0)</f>
        <v>-0.0</v>
      </c>
      <c r="PTP53" s="5">
        <f>-IFERROR('4. NPV'!PTQ23/'4. NPV'!PTQ$8,0)</f>
        <v>-0.0</v>
      </c>
      <c r="PTQ53" s="5">
        <f>-IFERROR('4. NPV'!PTR23/'4. NPV'!PTR$8,0)</f>
        <v>-0.0</v>
      </c>
      <c r="PTR53" s="5">
        <f>-IFERROR('4. NPV'!PTS23/'4. NPV'!PTS$8,0)</f>
        <v>-0.0</v>
      </c>
      <c r="PTS53" s="5">
        <f>-IFERROR('4. NPV'!PTT23/'4. NPV'!PTT$8,0)</f>
        <v>-0.0</v>
      </c>
      <c r="PTT53" s="5">
        <f>-IFERROR('4. NPV'!PTU23/'4. NPV'!PTU$8,0)</f>
        <v>-0.0</v>
      </c>
      <c r="PTU53" s="5">
        <f>-IFERROR('4. NPV'!PTV23/'4. NPV'!PTV$8,0)</f>
        <v>-0.0</v>
      </c>
      <c r="PTV53" s="5">
        <f>-IFERROR('4. NPV'!PTW23/'4. NPV'!PTW$8,0)</f>
        <v>-0.0</v>
      </c>
      <c r="PTW53" s="5">
        <f>-IFERROR('4. NPV'!PTX23/'4. NPV'!PTX$8,0)</f>
        <v>-0.0</v>
      </c>
      <c r="PTX53" s="5">
        <f>-IFERROR('4. NPV'!PTY23/'4. NPV'!PTY$8,0)</f>
        <v>-0.0</v>
      </c>
      <c r="PTY53" s="5">
        <f>-IFERROR('4. NPV'!PTZ23/'4. NPV'!PTZ$8,0)</f>
        <v>-0.0</v>
      </c>
      <c r="PTZ53" s="5">
        <f>-IFERROR('4. NPV'!PUA23/'4. NPV'!PUA$8,0)</f>
        <v>-0.0</v>
      </c>
      <c r="PUA53" s="5">
        <f>-IFERROR('4. NPV'!PUB23/'4. NPV'!PUB$8,0)</f>
        <v>-0.0</v>
      </c>
      <c r="PUB53" s="5">
        <f>-IFERROR('4. NPV'!PUC23/'4. NPV'!PUC$8,0)</f>
        <v>-0.0</v>
      </c>
      <c r="PUC53" s="5">
        <f>-IFERROR('4. NPV'!PUD23/'4. NPV'!PUD$8,0)</f>
        <v>-0.0</v>
      </c>
      <c r="PUD53" s="5">
        <f>-IFERROR('4. NPV'!PUE23/'4. NPV'!PUE$8,0)</f>
        <v>-0.0</v>
      </c>
      <c r="PUE53" s="5">
        <f>-IFERROR('4. NPV'!PUF23/'4. NPV'!PUF$8,0)</f>
        <v>-0.0</v>
      </c>
      <c r="PUF53" s="5">
        <f>-IFERROR('4. NPV'!PUG23/'4. NPV'!PUG$8,0)</f>
        <v>-0.0</v>
      </c>
      <c r="PUG53" s="5">
        <f>-IFERROR('4. NPV'!PUH23/'4. NPV'!PUH$8,0)</f>
        <v>-0.0</v>
      </c>
      <c r="PUH53" s="5">
        <f>-IFERROR('4. NPV'!PUI23/'4. NPV'!PUI$8,0)</f>
        <v>-0.0</v>
      </c>
      <c r="PUI53" s="5">
        <f>-IFERROR('4. NPV'!PUJ23/'4. NPV'!PUJ$8,0)</f>
        <v>-0.0</v>
      </c>
      <c r="PUJ53" s="5">
        <f>-IFERROR('4. NPV'!PUK23/'4. NPV'!PUK$8,0)</f>
        <v>-0.0</v>
      </c>
      <c r="PUK53" s="5">
        <f>-IFERROR('4. NPV'!PUL23/'4. NPV'!PUL$8,0)</f>
        <v>-0.0</v>
      </c>
      <c r="PUL53" s="5">
        <f>-IFERROR('4. NPV'!PUM23/'4. NPV'!PUM$8,0)</f>
        <v>-0.0</v>
      </c>
      <c r="PUM53" s="5">
        <f>-IFERROR('4. NPV'!PUN23/'4. NPV'!PUN$8,0)</f>
        <v>-0.0</v>
      </c>
      <c r="PUN53" s="5">
        <f>-IFERROR('4. NPV'!PUO23/'4. NPV'!PUO$8,0)</f>
        <v>-0.0</v>
      </c>
      <c r="PUO53" s="5">
        <f>-IFERROR('4. NPV'!PUP23/'4. NPV'!PUP$8,0)</f>
        <v>-0.0</v>
      </c>
      <c r="PUP53" s="5">
        <f>-IFERROR('4. NPV'!PUQ23/'4. NPV'!PUQ$8,0)</f>
        <v>-0.0</v>
      </c>
      <c r="PUQ53" s="5">
        <f>-IFERROR('4. NPV'!PUR23/'4. NPV'!PUR$8,0)</f>
        <v>-0.0</v>
      </c>
      <c r="PUR53" s="5">
        <f>-IFERROR('4. NPV'!PUS23/'4. NPV'!PUS$8,0)</f>
        <v>-0.0</v>
      </c>
      <c r="PUS53" s="5">
        <f>-IFERROR('4. NPV'!PUT23/'4. NPV'!PUT$8,0)</f>
        <v>-0.0</v>
      </c>
      <c r="PUT53" s="5">
        <f>-IFERROR('4. NPV'!PUU23/'4. NPV'!PUU$8,0)</f>
        <v>-0.0</v>
      </c>
      <c r="PUU53" s="5">
        <f>-IFERROR('4. NPV'!PUV23/'4. NPV'!PUV$8,0)</f>
        <v>-0.0</v>
      </c>
      <c r="PUV53" s="5">
        <f>-IFERROR('4. NPV'!PUW23/'4. NPV'!PUW$8,0)</f>
        <v>-0.0</v>
      </c>
      <c r="PUW53" s="5">
        <f>-IFERROR('4. NPV'!PUX23/'4. NPV'!PUX$8,0)</f>
        <v>-0.0</v>
      </c>
      <c r="PUX53" s="5">
        <f>-IFERROR('4. NPV'!PUY23/'4. NPV'!PUY$8,0)</f>
        <v>-0.0</v>
      </c>
      <c r="PUY53" s="5">
        <f>-IFERROR('4. NPV'!PUZ23/'4. NPV'!PUZ$8,0)</f>
        <v>-0.0</v>
      </c>
      <c r="PUZ53" s="5">
        <f>-IFERROR('4. NPV'!PVA23/'4. NPV'!PVA$8,0)</f>
        <v>-0.0</v>
      </c>
      <c r="PVA53" s="5">
        <f>-IFERROR('4. NPV'!PVB23/'4. NPV'!PVB$8,0)</f>
        <v>-0.0</v>
      </c>
      <c r="PVB53" s="5">
        <f>-IFERROR('4. NPV'!PVC23/'4. NPV'!PVC$8,0)</f>
        <v>-0.0</v>
      </c>
      <c r="PVC53" s="5">
        <f>-IFERROR('4. NPV'!PVD23/'4. NPV'!PVD$8,0)</f>
        <v>-0.0</v>
      </c>
      <c r="PVD53" s="5">
        <f>-IFERROR('4. NPV'!PVE23/'4. NPV'!PVE$8,0)</f>
        <v>-0.0</v>
      </c>
      <c r="PVE53" s="5">
        <f>-IFERROR('4. NPV'!PVF23/'4. NPV'!PVF$8,0)</f>
        <v>-0.0</v>
      </c>
      <c r="PVF53" s="5">
        <f>-IFERROR('4. NPV'!PVG23/'4. NPV'!PVG$8,0)</f>
        <v>-0.0</v>
      </c>
      <c r="PVG53" s="5">
        <f>-IFERROR('4. NPV'!PVH23/'4. NPV'!PVH$8,0)</f>
        <v>-0.0</v>
      </c>
      <c r="PVH53" s="5">
        <f>-IFERROR('4. NPV'!PVI23/'4. NPV'!PVI$8,0)</f>
        <v>-0.0</v>
      </c>
      <c r="PVI53" s="5">
        <f>-IFERROR('4. NPV'!PVJ23/'4. NPV'!PVJ$8,0)</f>
        <v>-0.0</v>
      </c>
      <c r="PVJ53" s="5">
        <f>-IFERROR('4. NPV'!PVK23/'4. NPV'!PVK$8,0)</f>
        <v>-0.0</v>
      </c>
      <c r="PVK53" s="5">
        <f>-IFERROR('4. NPV'!PVL23/'4. NPV'!PVL$8,0)</f>
        <v>-0.0</v>
      </c>
      <c r="PVL53" s="5">
        <f>-IFERROR('4. NPV'!PVM23/'4. NPV'!PVM$8,0)</f>
        <v>-0.0</v>
      </c>
      <c r="PVM53" s="5">
        <f>-IFERROR('4. NPV'!PVN23/'4. NPV'!PVN$8,0)</f>
        <v>-0.0</v>
      </c>
      <c r="PVN53" s="5">
        <f>-IFERROR('4. NPV'!PVO23/'4. NPV'!PVO$8,0)</f>
        <v>-0.0</v>
      </c>
      <c r="PVO53" s="5">
        <f>-IFERROR('4. NPV'!PVP23/'4. NPV'!PVP$8,0)</f>
        <v>-0.0</v>
      </c>
      <c r="PVP53" s="5">
        <f>-IFERROR('4. NPV'!PVQ23/'4. NPV'!PVQ$8,0)</f>
        <v>-0.0</v>
      </c>
      <c r="PVQ53" s="5">
        <f>-IFERROR('4. NPV'!PVR23/'4. NPV'!PVR$8,0)</f>
        <v>-0.0</v>
      </c>
      <c r="PVR53" s="5">
        <f>-IFERROR('4. NPV'!PVS23/'4. NPV'!PVS$8,0)</f>
        <v>-0.0</v>
      </c>
      <c r="PVS53" s="5">
        <f>-IFERROR('4. NPV'!PVT23/'4. NPV'!PVT$8,0)</f>
        <v>-0.0</v>
      </c>
      <c r="PVT53" s="5">
        <f>-IFERROR('4. NPV'!PVU23/'4. NPV'!PVU$8,0)</f>
        <v>-0.0</v>
      </c>
      <c r="PVU53" s="5">
        <f>-IFERROR('4. NPV'!PVV23/'4. NPV'!PVV$8,0)</f>
        <v>-0.0</v>
      </c>
      <c r="PVV53" s="5">
        <f>-IFERROR('4. NPV'!PVW23/'4. NPV'!PVW$8,0)</f>
        <v>-0.0</v>
      </c>
      <c r="PVW53" s="5">
        <f>-IFERROR('4. NPV'!PVX23/'4. NPV'!PVX$8,0)</f>
        <v>-0.0</v>
      </c>
      <c r="PVX53" s="5">
        <f>-IFERROR('4. NPV'!PVY23/'4. NPV'!PVY$8,0)</f>
        <v>-0.0</v>
      </c>
      <c r="PVY53" s="5">
        <f>-IFERROR('4. NPV'!PVZ23/'4. NPV'!PVZ$8,0)</f>
        <v>-0.0</v>
      </c>
      <c r="PVZ53" s="5">
        <f>-IFERROR('4. NPV'!PWA23/'4. NPV'!PWA$8,0)</f>
        <v>-0.0</v>
      </c>
      <c r="PWA53" s="5">
        <f>-IFERROR('4. NPV'!PWB23/'4. NPV'!PWB$8,0)</f>
        <v>-0.0</v>
      </c>
      <c r="PWB53" s="5">
        <f>-IFERROR('4. NPV'!PWC23/'4. NPV'!PWC$8,0)</f>
        <v>-0.0</v>
      </c>
      <c r="PWC53" s="5">
        <f>-IFERROR('4. NPV'!PWD23/'4. NPV'!PWD$8,0)</f>
        <v>-0.0</v>
      </c>
      <c r="PWD53" s="5">
        <f>-IFERROR('4. NPV'!PWE23/'4. NPV'!PWE$8,0)</f>
        <v>-0.0</v>
      </c>
      <c r="PWE53" s="5">
        <f>-IFERROR('4. NPV'!PWF23/'4. NPV'!PWF$8,0)</f>
        <v>-0.0</v>
      </c>
      <c r="PWF53" s="5">
        <f>-IFERROR('4. NPV'!PWG23/'4. NPV'!PWG$8,0)</f>
        <v>-0.0</v>
      </c>
      <c r="PWG53" s="5">
        <f>-IFERROR('4. NPV'!PWH23/'4. NPV'!PWH$8,0)</f>
        <v>-0.0</v>
      </c>
      <c r="PWH53" s="5">
        <f>-IFERROR('4. NPV'!PWI23/'4. NPV'!PWI$8,0)</f>
        <v>-0.0</v>
      </c>
      <c r="PWI53" s="5">
        <f>-IFERROR('4. NPV'!PWJ23/'4. NPV'!PWJ$8,0)</f>
        <v>-0.0</v>
      </c>
      <c r="PWJ53" s="5">
        <f>-IFERROR('4. NPV'!PWK23/'4. NPV'!PWK$8,0)</f>
        <v>-0.0</v>
      </c>
      <c r="PWK53" s="5">
        <f>-IFERROR('4. NPV'!PWL23/'4. NPV'!PWL$8,0)</f>
        <v>-0.0</v>
      </c>
      <c r="PWL53" s="5">
        <f>-IFERROR('4. NPV'!PWM23/'4. NPV'!PWM$8,0)</f>
        <v>-0.0</v>
      </c>
      <c r="PWM53" s="5">
        <f>-IFERROR('4. NPV'!PWN23/'4. NPV'!PWN$8,0)</f>
        <v>-0.0</v>
      </c>
      <c r="PWN53" s="5">
        <f>-IFERROR('4. NPV'!PWO23/'4. NPV'!PWO$8,0)</f>
        <v>-0.0</v>
      </c>
      <c r="PWO53" s="5">
        <f>-IFERROR('4. NPV'!PWP23/'4. NPV'!PWP$8,0)</f>
        <v>-0.0</v>
      </c>
      <c r="PWP53" s="5">
        <f>-IFERROR('4. NPV'!PWQ23/'4. NPV'!PWQ$8,0)</f>
        <v>-0.0</v>
      </c>
      <c r="PWQ53" s="5">
        <f>-IFERROR('4. NPV'!PWR23/'4. NPV'!PWR$8,0)</f>
        <v>-0.0</v>
      </c>
      <c r="PWR53" s="5">
        <f>-IFERROR('4. NPV'!PWS23/'4. NPV'!PWS$8,0)</f>
        <v>-0.0</v>
      </c>
      <c r="PWS53" s="5">
        <f>-IFERROR('4. NPV'!PWT23/'4. NPV'!PWT$8,0)</f>
        <v>-0.0</v>
      </c>
      <c r="PWT53" s="5">
        <f>-IFERROR('4. NPV'!PWU23/'4. NPV'!PWU$8,0)</f>
        <v>-0.0</v>
      </c>
      <c r="PWU53" s="5">
        <f>-IFERROR('4. NPV'!PWV23/'4. NPV'!PWV$8,0)</f>
        <v>-0.0</v>
      </c>
      <c r="PWV53" s="5">
        <f>-IFERROR('4. NPV'!PWW23/'4. NPV'!PWW$8,0)</f>
        <v>-0.0</v>
      </c>
      <c r="PWW53" s="5">
        <f>-IFERROR('4. NPV'!PWX23/'4. NPV'!PWX$8,0)</f>
        <v>-0.0</v>
      </c>
      <c r="PWX53" s="5">
        <f>-IFERROR('4. NPV'!PWY23/'4. NPV'!PWY$8,0)</f>
        <v>-0.0</v>
      </c>
      <c r="PWY53" s="5">
        <f>-IFERROR('4. NPV'!PWZ23/'4. NPV'!PWZ$8,0)</f>
        <v>-0.0</v>
      </c>
      <c r="PWZ53" s="5">
        <f>-IFERROR('4. NPV'!PXA23/'4. NPV'!PXA$8,0)</f>
        <v>-0.0</v>
      </c>
      <c r="PXA53" s="5">
        <f>-IFERROR('4. NPV'!PXB23/'4. NPV'!PXB$8,0)</f>
        <v>-0.0</v>
      </c>
      <c r="PXB53" s="5">
        <f>-IFERROR('4. NPV'!PXC23/'4. NPV'!PXC$8,0)</f>
        <v>-0.0</v>
      </c>
      <c r="PXC53" s="5">
        <f>-IFERROR('4. NPV'!PXD23/'4. NPV'!PXD$8,0)</f>
        <v>-0.0</v>
      </c>
      <c r="PXD53" s="5">
        <f>-IFERROR('4. NPV'!PXE23/'4. NPV'!PXE$8,0)</f>
        <v>-0.0</v>
      </c>
      <c r="PXE53" s="5">
        <f>-IFERROR('4. NPV'!PXF23/'4. NPV'!PXF$8,0)</f>
        <v>-0.0</v>
      </c>
      <c r="PXF53" s="5">
        <f>-IFERROR('4. NPV'!PXG23/'4. NPV'!PXG$8,0)</f>
        <v>-0.0</v>
      </c>
      <c r="PXG53" s="5">
        <f>-IFERROR('4. NPV'!PXH23/'4. NPV'!PXH$8,0)</f>
        <v>-0.0</v>
      </c>
      <c r="PXH53" s="5">
        <f>-IFERROR('4. NPV'!PXI23/'4. NPV'!PXI$8,0)</f>
        <v>-0.0</v>
      </c>
      <c r="PXI53" s="5">
        <f>-IFERROR('4. NPV'!PXJ23/'4. NPV'!PXJ$8,0)</f>
        <v>-0.0</v>
      </c>
      <c r="PXJ53" s="5">
        <f>-IFERROR('4. NPV'!PXK23/'4. NPV'!PXK$8,0)</f>
        <v>-0.0</v>
      </c>
      <c r="PXK53" s="5">
        <f>-IFERROR('4. NPV'!PXL23/'4. NPV'!PXL$8,0)</f>
        <v>-0.0</v>
      </c>
      <c r="PXL53" s="5">
        <f>-IFERROR('4. NPV'!PXM23/'4. NPV'!PXM$8,0)</f>
        <v>-0.0</v>
      </c>
      <c r="PXM53" s="5">
        <f>-IFERROR('4. NPV'!PXN23/'4. NPV'!PXN$8,0)</f>
        <v>-0.0</v>
      </c>
      <c r="PXN53" s="5">
        <f>-IFERROR('4. NPV'!PXO23/'4. NPV'!PXO$8,0)</f>
        <v>-0.0</v>
      </c>
      <c r="PXO53" s="5">
        <f>-IFERROR('4. NPV'!PXP23/'4. NPV'!PXP$8,0)</f>
        <v>-0.0</v>
      </c>
      <c r="PXP53" s="5">
        <f>-IFERROR('4. NPV'!PXQ23/'4. NPV'!PXQ$8,0)</f>
        <v>-0.0</v>
      </c>
      <c r="PXQ53" s="5">
        <f>-IFERROR('4. NPV'!PXR23/'4. NPV'!PXR$8,0)</f>
        <v>-0.0</v>
      </c>
      <c r="PXR53" s="5">
        <f>-IFERROR('4. NPV'!PXS23/'4. NPV'!PXS$8,0)</f>
        <v>-0.0</v>
      </c>
      <c r="PXS53" s="5">
        <f>-IFERROR('4. NPV'!PXT23/'4. NPV'!PXT$8,0)</f>
        <v>-0.0</v>
      </c>
      <c r="PXT53" s="5">
        <f>-IFERROR('4. NPV'!PXU23/'4. NPV'!PXU$8,0)</f>
        <v>-0.0</v>
      </c>
      <c r="PXU53" s="5">
        <f>-IFERROR('4. NPV'!PXV23/'4. NPV'!PXV$8,0)</f>
        <v>-0.0</v>
      </c>
      <c r="PXV53" s="5">
        <f>-IFERROR('4. NPV'!PXW23/'4. NPV'!PXW$8,0)</f>
        <v>-0.0</v>
      </c>
      <c r="PXW53" s="5">
        <f>-IFERROR('4. NPV'!PXX23/'4. NPV'!PXX$8,0)</f>
        <v>-0.0</v>
      </c>
      <c r="PXX53" s="5">
        <f>-IFERROR('4. NPV'!PXY23/'4. NPV'!PXY$8,0)</f>
        <v>-0.0</v>
      </c>
      <c r="PXY53" s="5">
        <f>-IFERROR('4. NPV'!PXZ23/'4. NPV'!PXZ$8,0)</f>
        <v>-0.0</v>
      </c>
      <c r="PXZ53" s="5">
        <f>-IFERROR('4. NPV'!PYA23/'4. NPV'!PYA$8,0)</f>
        <v>-0.0</v>
      </c>
      <c r="PYA53" s="5">
        <f>-IFERROR('4. NPV'!PYB23/'4. NPV'!PYB$8,0)</f>
        <v>-0.0</v>
      </c>
      <c r="PYB53" s="5">
        <f>-IFERROR('4. NPV'!PYC23/'4. NPV'!PYC$8,0)</f>
        <v>-0.0</v>
      </c>
      <c r="PYC53" s="5">
        <f>-IFERROR('4. NPV'!PYD23/'4. NPV'!PYD$8,0)</f>
        <v>-0.0</v>
      </c>
      <c r="PYD53" s="5">
        <f>-IFERROR('4. NPV'!PYE23/'4. NPV'!PYE$8,0)</f>
        <v>-0.0</v>
      </c>
      <c r="PYE53" s="5">
        <f>-IFERROR('4. NPV'!PYF23/'4. NPV'!PYF$8,0)</f>
        <v>-0.0</v>
      </c>
      <c r="PYF53" s="5">
        <f>-IFERROR('4. NPV'!PYG23/'4. NPV'!PYG$8,0)</f>
        <v>-0.0</v>
      </c>
      <c r="PYG53" s="5">
        <f>-IFERROR('4. NPV'!PYH23/'4. NPV'!PYH$8,0)</f>
        <v>-0.0</v>
      </c>
      <c r="PYH53" s="5">
        <f>-IFERROR('4. NPV'!PYI23/'4. NPV'!PYI$8,0)</f>
        <v>-0.0</v>
      </c>
      <c r="PYI53" s="5">
        <f>-IFERROR('4. NPV'!PYJ23/'4. NPV'!PYJ$8,0)</f>
        <v>-0.0</v>
      </c>
      <c r="PYJ53" s="5">
        <f>-IFERROR('4. NPV'!PYK23/'4. NPV'!PYK$8,0)</f>
        <v>-0.0</v>
      </c>
      <c r="PYK53" s="5">
        <f>-IFERROR('4. NPV'!PYL23/'4. NPV'!PYL$8,0)</f>
        <v>-0.0</v>
      </c>
      <c r="PYL53" s="5">
        <f>-IFERROR('4. NPV'!PYM23/'4. NPV'!PYM$8,0)</f>
        <v>-0.0</v>
      </c>
      <c r="PYM53" s="5">
        <f>-IFERROR('4. NPV'!PYN23/'4. NPV'!PYN$8,0)</f>
        <v>-0.0</v>
      </c>
      <c r="PYN53" s="5">
        <f>-IFERROR('4. NPV'!PYO23/'4. NPV'!PYO$8,0)</f>
        <v>-0.0</v>
      </c>
      <c r="PYO53" s="5">
        <f>-IFERROR('4. NPV'!PYP23/'4. NPV'!PYP$8,0)</f>
        <v>-0.0</v>
      </c>
      <c r="PYP53" s="5">
        <f>-IFERROR('4. NPV'!PYQ23/'4. NPV'!PYQ$8,0)</f>
        <v>-0.0</v>
      </c>
      <c r="PYQ53" s="5">
        <f>-IFERROR('4. NPV'!PYR23/'4. NPV'!PYR$8,0)</f>
        <v>-0.0</v>
      </c>
      <c r="PYR53" s="5">
        <f>-IFERROR('4. NPV'!PYS23/'4. NPV'!PYS$8,0)</f>
        <v>-0.0</v>
      </c>
      <c r="PYS53" s="5">
        <f>-IFERROR('4. NPV'!PYT23/'4. NPV'!PYT$8,0)</f>
        <v>-0.0</v>
      </c>
      <c r="PYT53" s="5">
        <f>-IFERROR('4. NPV'!PYU23/'4. NPV'!PYU$8,0)</f>
        <v>-0.0</v>
      </c>
      <c r="PYU53" s="5">
        <f>-IFERROR('4. NPV'!PYV23/'4. NPV'!PYV$8,0)</f>
        <v>-0.0</v>
      </c>
      <c r="PYV53" s="5">
        <f>-IFERROR('4. NPV'!PYW23/'4. NPV'!PYW$8,0)</f>
        <v>-0.0</v>
      </c>
      <c r="PYW53" s="5">
        <f>-IFERROR('4. NPV'!PYX23/'4. NPV'!PYX$8,0)</f>
        <v>-0.0</v>
      </c>
      <c r="PYX53" s="5">
        <f>-IFERROR('4. NPV'!PYY23/'4. NPV'!PYY$8,0)</f>
        <v>-0.0</v>
      </c>
      <c r="PYY53" s="5">
        <f>-IFERROR('4. NPV'!PYZ23/'4. NPV'!PYZ$8,0)</f>
        <v>-0.0</v>
      </c>
      <c r="PYZ53" s="5">
        <f>-IFERROR('4. NPV'!PZA23/'4. NPV'!PZA$8,0)</f>
        <v>-0.0</v>
      </c>
      <c r="PZA53" s="5">
        <f>-IFERROR('4. NPV'!PZB23/'4. NPV'!PZB$8,0)</f>
        <v>-0.0</v>
      </c>
      <c r="PZB53" s="5">
        <f>-IFERROR('4. NPV'!PZC23/'4. NPV'!PZC$8,0)</f>
        <v>-0.0</v>
      </c>
      <c r="PZC53" s="5">
        <f>-IFERROR('4. NPV'!PZD23/'4. NPV'!PZD$8,0)</f>
        <v>-0.0</v>
      </c>
      <c r="PZD53" s="5">
        <f>-IFERROR('4. NPV'!PZE23/'4. NPV'!PZE$8,0)</f>
        <v>-0.0</v>
      </c>
      <c r="PZE53" s="5">
        <f>-IFERROR('4. NPV'!PZF23/'4. NPV'!PZF$8,0)</f>
        <v>-0.0</v>
      </c>
      <c r="PZF53" s="5">
        <f>-IFERROR('4. NPV'!PZG23/'4. NPV'!PZG$8,0)</f>
        <v>-0.0</v>
      </c>
      <c r="PZG53" s="5">
        <f>-IFERROR('4. NPV'!PZH23/'4. NPV'!PZH$8,0)</f>
        <v>-0.0</v>
      </c>
      <c r="PZH53" s="5">
        <f>-IFERROR('4. NPV'!PZI23/'4. NPV'!PZI$8,0)</f>
        <v>-0.0</v>
      </c>
      <c r="PZI53" s="5">
        <f>-IFERROR('4. NPV'!PZJ23/'4. NPV'!PZJ$8,0)</f>
        <v>-0.0</v>
      </c>
      <c r="PZJ53" s="5">
        <f>-IFERROR('4. NPV'!PZK23/'4. NPV'!PZK$8,0)</f>
        <v>-0.0</v>
      </c>
      <c r="PZK53" s="5">
        <f>-IFERROR('4. NPV'!PZL23/'4. NPV'!PZL$8,0)</f>
        <v>-0.0</v>
      </c>
      <c r="PZL53" s="5">
        <f>-IFERROR('4. NPV'!PZM23/'4. NPV'!PZM$8,0)</f>
        <v>-0.0</v>
      </c>
      <c r="PZM53" s="5">
        <f>-IFERROR('4. NPV'!PZN23/'4. NPV'!PZN$8,0)</f>
        <v>-0.0</v>
      </c>
      <c r="PZN53" s="5">
        <f>-IFERROR('4. NPV'!PZO23/'4. NPV'!PZO$8,0)</f>
        <v>-0.0</v>
      </c>
      <c r="PZO53" s="5">
        <f>-IFERROR('4. NPV'!PZP23/'4. NPV'!PZP$8,0)</f>
        <v>-0.0</v>
      </c>
      <c r="PZP53" s="5">
        <f>-IFERROR('4. NPV'!PZQ23/'4. NPV'!PZQ$8,0)</f>
        <v>-0.0</v>
      </c>
      <c r="PZQ53" s="5">
        <f>-IFERROR('4. NPV'!PZR23/'4. NPV'!PZR$8,0)</f>
        <v>-0.0</v>
      </c>
      <c r="PZR53" s="5">
        <f>-IFERROR('4. NPV'!PZS23/'4. NPV'!PZS$8,0)</f>
        <v>-0.0</v>
      </c>
      <c r="PZS53" s="5">
        <f>-IFERROR('4. NPV'!PZT23/'4. NPV'!PZT$8,0)</f>
        <v>-0.0</v>
      </c>
      <c r="PZT53" s="5">
        <f>-IFERROR('4. NPV'!PZU23/'4. NPV'!PZU$8,0)</f>
        <v>-0.0</v>
      </c>
      <c r="PZU53" s="5">
        <f>-IFERROR('4. NPV'!PZV23/'4. NPV'!PZV$8,0)</f>
        <v>-0.0</v>
      </c>
      <c r="PZV53" s="5">
        <f>-IFERROR('4. NPV'!PZW23/'4. NPV'!PZW$8,0)</f>
        <v>-0.0</v>
      </c>
      <c r="PZW53" s="5">
        <f>-IFERROR('4. NPV'!PZX23/'4. NPV'!PZX$8,0)</f>
        <v>-0.0</v>
      </c>
      <c r="PZX53" s="5">
        <f>-IFERROR('4. NPV'!PZY23/'4. NPV'!PZY$8,0)</f>
        <v>-0.0</v>
      </c>
      <c r="PZY53" s="5">
        <f>-IFERROR('4. NPV'!PZZ23/'4. NPV'!PZZ$8,0)</f>
        <v>-0.0</v>
      </c>
      <c r="PZZ53" s="5">
        <f>-IFERROR('4. NPV'!QAA23/'4. NPV'!QAA$8,0)</f>
        <v>-0.0</v>
      </c>
      <c r="QAA53" s="5">
        <f>-IFERROR('4. NPV'!QAB23/'4. NPV'!QAB$8,0)</f>
        <v>-0.0</v>
      </c>
      <c r="QAB53" s="5">
        <f>-IFERROR('4. NPV'!QAC23/'4. NPV'!QAC$8,0)</f>
        <v>-0.0</v>
      </c>
      <c r="QAC53" s="5">
        <f>-IFERROR('4. NPV'!QAD23/'4. NPV'!QAD$8,0)</f>
        <v>-0.0</v>
      </c>
      <c r="QAD53" s="5">
        <f>-IFERROR('4. NPV'!QAE23/'4. NPV'!QAE$8,0)</f>
        <v>-0.0</v>
      </c>
      <c r="QAE53" s="5">
        <f>-IFERROR('4. NPV'!QAF23/'4. NPV'!QAF$8,0)</f>
        <v>-0.0</v>
      </c>
      <c r="QAF53" s="5">
        <f>-IFERROR('4. NPV'!QAG23/'4. NPV'!QAG$8,0)</f>
        <v>-0.0</v>
      </c>
      <c r="QAG53" s="5">
        <f>-IFERROR('4. NPV'!QAH23/'4. NPV'!QAH$8,0)</f>
        <v>-0.0</v>
      </c>
      <c r="QAH53" s="5">
        <f>-IFERROR('4. NPV'!QAI23/'4. NPV'!QAI$8,0)</f>
        <v>-0.0</v>
      </c>
      <c r="QAI53" s="5">
        <f>-IFERROR('4. NPV'!QAJ23/'4. NPV'!QAJ$8,0)</f>
        <v>-0.0</v>
      </c>
      <c r="QAJ53" s="5">
        <f>-IFERROR('4. NPV'!QAK23/'4. NPV'!QAK$8,0)</f>
        <v>-0.0</v>
      </c>
      <c r="QAK53" s="5">
        <f>-IFERROR('4. NPV'!QAL23/'4. NPV'!QAL$8,0)</f>
        <v>-0.0</v>
      </c>
      <c r="QAL53" s="5">
        <f>-IFERROR('4. NPV'!QAM23/'4. NPV'!QAM$8,0)</f>
        <v>-0.0</v>
      </c>
      <c r="QAM53" s="5">
        <f>-IFERROR('4. NPV'!QAN23/'4. NPV'!QAN$8,0)</f>
        <v>-0.0</v>
      </c>
      <c r="QAN53" s="5">
        <f>-IFERROR('4. NPV'!QAO23/'4. NPV'!QAO$8,0)</f>
        <v>-0.0</v>
      </c>
      <c r="QAO53" s="5">
        <f>-IFERROR('4. NPV'!QAP23/'4. NPV'!QAP$8,0)</f>
        <v>-0.0</v>
      </c>
      <c r="QAP53" s="5">
        <f>-IFERROR('4. NPV'!QAQ23/'4. NPV'!QAQ$8,0)</f>
        <v>-0.0</v>
      </c>
      <c r="QAQ53" s="5">
        <f>-IFERROR('4. NPV'!QAR23/'4. NPV'!QAR$8,0)</f>
        <v>-0.0</v>
      </c>
      <c r="QAR53" s="5">
        <f>-IFERROR('4. NPV'!QAS23/'4. NPV'!QAS$8,0)</f>
        <v>-0.0</v>
      </c>
      <c r="QAS53" s="5">
        <f>-IFERROR('4. NPV'!QAT23/'4. NPV'!QAT$8,0)</f>
        <v>-0.0</v>
      </c>
      <c r="QAT53" s="5">
        <f>-IFERROR('4. NPV'!QAU23/'4. NPV'!QAU$8,0)</f>
        <v>-0.0</v>
      </c>
      <c r="QAU53" s="5">
        <f>-IFERROR('4. NPV'!QAV23/'4. NPV'!QAV$8,0)</f>
        <v>-0.0</v>
      </c>
      <c r="QAV53" s="5">
        <f>-IFERROR('4. NPV'!QAW23/'4. NPV'!QAW$8,0)</f>
        <v>-0.0</v>
      </c>
      <c r="QAW53" s="5">
        <f>-IFERROR('4. NPV'!QAX23/'4. NPV'!QAX$8,0)</f>
        <v>-0.0</v>
      </c>
      <c r="QAX53" s="5">
        <f>-IFERROR('4. NPV'!QAY23/'4. NPV'!QAY$8,0)</f>
        <v>-0.0</v>
      </c>
      <c r="QAY53" s="5">
        <f>-IFERROR('4. NPV'!QAZ23/'4. NPV'!QAZ$8,0)</f>
        <v>-0.0</v>
      </c>
      <c r="QAZ53" s="5">
        <f>-IFERROR('4. NPV'!QBA23/'4. NPV'!QBA$8,0)</f>
        <v>-0.0</v>
      </c>
      <c r="QBA53" s="5">
        <f>-IFERROR('4. NPV'!QBB23/'4. NPV'!QBB$8,0)</f>
        <v>-0.0</v>
      </c>
      <c r="QBB53" s="5">
        <f>-IFERROR('4. NPV'!QBC23/'4. NPV'!QBC$8,0)</f>
        <v>-0.0</v>
      </c>
      <c r="QBC53" s="5">
        <f>-IFERROR('4. NPV'!QBD23/'4. NPV'!QBD$8,0)</f>
        <v>-0.0</v>
      </c>
      <c r="QBD53" s="5">
        <f>-IFERROR('4. NPV'!QBE23/'4. NPV'!QBE$8,0)</f>
        <v>-0.0</v>
      </c>
      <c r="QBE53" s="5">
        <f>-IFERROR('4. NPV'!QBF23/'4. NPV'!QBF$8,0)</f>
        <v>-0.0</v>
      </c>
      <c r="QBF53" s="5">
        <f>-IFERROR('4. NPV'!QBG23/'4. NPV'!QBG$8,0)</f>
        <v>-0.0</v>
      </c>
      <c r="QBG53" s="5">
        <f>-IFERROR('4. NPV'!QBH23/'4. NPV'!QBH$8,0)</f>
        <v>-0.0</v>
      </c>
      <c r="QBH53" s="5">
        <f>-IFERROR('4. NPV'!QBI23/'4. NPV'!QBI$8,0)</f>
        <v>-0.0</v>
      </c>
      <c r="QBI53" s="5">
        <f>-IFERROR('4. NPV'!QBJ23/'4. NPV'!QBJ$8,0)</f>
        <v>-0.0</v>
      </c>
      <c r="QBJ53" s="5">
        <f>-IFERROR('4. NPV'!QBK23/'4. NPV'!QBK$8,0)</f>
        <v>-0.0</v>
      </c>
      <c r="QBK53" s="5">
        <f>-IFERROR('4. NPV'!QBL23/'4. NPV'!QBL$8,0)</f>
        <v>-0.0</v>
      </c>
      <c r="QBL53" s="5">
        <f>-IFERROR('4. NPV'!QBM23/'4. NPV'!QBM$8,0)</f>
        <v>-0.0</v>
      </c>
      <c r="QBM53" s="5">
        <f>-IFERROR('4. NPV'!QBN23/'4. NPV'!QBN$8,0)</f>
        <v>-0.0</v>
      </c>
      <c r="QBN53" s="5">
        <f>-IFERROR('4. NPV'!QBO23/'4. NPV'!QBO$8,0)</f>
        <v>-0.0</v>
      </c>
      <c r="QBO53" s="5">
        <f>-IFERROR('4. NPV'!QBP23/'4. NPV'!QBP$8,0)</f>
        <v>-0.0</v>
      </c>
      <c r="QBP53" s="5">
        <f>-IFERROR('4. NPV'!QBQ23/'4. NPV'!QBQ$8,0)</f>
        <v>-0.0</v>
      </c>
      <c r="QBQ53" s="5">
        <f>-IFERROR('4. NPV'!QBR23/'4. NPV'!QBR$8,0)</f>
        <v>-0.0</v>
      </c>
      <c r="QBR53" s="5">
        <f>-IFERROR('4. NPV'!QBS23/'4. NPV'!QBS$8,0)</f>
        <v>-0.0</v>
      </c>
      <c r="QBS53" s="5">
        <f>-IFERROR('4. NPV'!QBT23/'4. NPV'!QBT$8,0)</f>
        <v>-0.0</v>
      </c>
      <c r="QBT53" s="5">
        <f>-IFERROR('4. NPV'!QBU23/'4. NPV'!QBU$8,0)</f>
        <v>-0.0</v>
      </c>
      <c r="QBU53" s="5">
        <f>-IFERROR('4. NPV'!QBV23/'4. NPV'!QBV$8,0)</f>
        <v>-0.0</v>
      </c>
      <c r="QBV53" s="5">
        <f>-IFERROR('4. NPV'!QBW23/'4. NPV'!QBW$8,0)</f>
        <v>-0.0</v>
      </c>
      <c r="QBW53" s="5">
        <f>-IFERROR('4. NPV'!QBX23/'4. NPV'!QBX$8,0)</f>
        <v>-0.0</v>
      </c>
      <c r="QBX53" s="5">
        <f>-IFERROR('4. NPV'!QBY23/'4. NPV'!QBY$8,0)</f>
        <v>-0.0</v>
      </c>
      <c r="QBY53" s="5">
        <f>-IFERROR('4. NPV'!QBZ23/'4. NPV'!QBZ$8,0)</f>
        <v>-0.0</v>
      </c>
      <c r="QBZ53" s="5">
        <f>-IFERROR('4. NPV'!QCA23/'4. NPV'!QCA$8,0)</f>
        <v>-0.0</v>
      </c>
      <c r="QCA53" s="5">
        <f>-IFERROR('4. NPV'!QCB23/'4. NPV'!QCB$8,0)</f>
        <v>-0.0</v>
      </c>
      <c r="QCB53" s="5">
        <f>-IFERROR('4. NPV'!QCC23/'4. NPV'!QCC$8,0)</f>
        <v>-0.0</v>
      </c>
      <c r="QCC53" s="5">
        <f>-IFERROR('4. NPV'!QCD23/'4. NPV'!QCD$8,0)</f>
        <v>-0.0</v>
      </c>
      <c r="QCD53" s="5">
        <f>-IFERROR('4. NPV'!QCE23/'4. NPV'!QCE$8,0)</f>
        <v>-0.0</v>
      </c>
      <c r="QCE53" s="5">
        <f>-IFERROR('4. NPV'!QCF23/'4. NPV'!QCF$8,0)</f>
        <v>-0.0</v>
      </c>
      <c r="QCF53" s="5">
        <f>-IFERROR('4. NPV'!QCG23/'4. NPV'!QCG$8,0)</f>
        <v>-0.0</v>
      </c>
      <c r="QCG53" s="5">
        <f>-IFERROR('4. NPV'!QCH23/'4. NPV'!QCH$8,0)</f>
        <v>-0.0</v>
      </c>
      <c r="QCH53" s="5">
        <f>-IFERROR('4. NPV'!QCI23/'4. NPV'!QCI$8,0)</f>
        <v>-0.0</v>
      </c>
      <c r="QCI53" s="5">
        <f>-IFERROR('4. NPV'!QCJ23/'4. NPV'!QCJ$8,0)</f>
        <v>-0.0</v>
      </c>
      <c r="QCJ53" s="5">
        <f>-IFERROR('4. NPV'!QCK23/'4. NPV'!QCK$8,0)</f>
        <v>-0.0</v>
      </c>
      <c r="QCK53" s="5">
        <f>-IFERROR('4. NPV'!QCL23/'4. NPV'!QCL$8,0)</f>
        <v>-0.0</v>
      </c>
      <c r="QCL53" s="5">
        <f>-IFERROR('4. NPV'!QCM23/'4. NPV'!QCM$8,0)</f>
        <v>-0.0</v>
      </c>
      <c r="QCM53" s="5">
        <f>-IFERROR('4. NPV'!QCN23/'4. NPV'!QCN$8,0)</f>
        <v>-0.0</v>
      </c>
      <c r="QCN53" s="5">
        <f>-IFERROR('4. NPV'!QCO23/'4. NPV'!QCO$8,0)</f>
        <v>-0.0</v>
      </c>
      <c r="QCO53" s="5">
        <f>-IFERROR('4. NPV'!QCP23/'4. NPV'!QCP$8,0)</f>
        <v>-0.0</v>
      </c>
      <c r="QCP53" s="5">
        <f>-IFERROR('4. NPV'!QCQ23/'4. NPV'!QCQ$8,0)</f>
        <v>-0.0</v>
      </c>
      <c r="QCQ53" s="5">
        <f>-IFERROR('4. NPV'!QCR23/'4. NPV'!QCR$8,0)</f>
        <v>-0.0</v>
      </c>
      <c r="QCR53" s="5">
        <f>-IFERROR('4. NPV'!QCS23/'4. NPV'!QCS$8,0)</f>
        <v>-0.0</v>
      </c>
      <c r="QCS53" s="5">
        <f>-IFERROR('4. NPV'!QCT23/'4. NPV'!QCT$8,0)</f>
        <v>-0.0</v>
      </c>
      <c r="QCT53" s="5">
        <f>-IFERROR('4. NPV'!QCU23/'4. NPV'!QCU$8,0)</f>
        <v>-0.0</v>
      </c>
      <c r="QCU53" s="5">
        <f>-IFERROR('4. NPV'!QCV23/'4. NPV'!QCV$8,0)</f>
        <v>-0.0</v>
      </c>
      <c r="QCV53" s="5">
        <f>-IFERROR('4. NPV'!QCW23/'4. NPV'!QCW$8,0)</f>
        <v>-0.0</v>
      </c>
      <c r="QCW53" s="5">
        <f>-IFERROR('4. NPV'!QCX23/'4. NPV'!QCX$8,0)</f>
        <v>-0.0</v>
      </c>
      <c r="QCX53" s="5">
        <f>-IFERROR('4. NPV'!QCY23/'4. NPV'!QCY$8,0)</f>
        <v>-0.0</v>
      </c>
      <c r="QCY53" s="5">
        <f>-IFERROR('4. NPV'!QCZ23/'4. NPV'!QCZ$8,0)</f>
        <v>-0.0</v>
      </c>
      <c r="QCZ53" s="5">
        <f>-IFERROR('4. NPV'!QDA23/'4. NPV'!QDA$8,0)</f>
        <v>-0.0</v>
      </c>
      <c r="QDA53" s="5">
        <f>-IFERROR('4. NPV'!QDB23/'4. NPV'!QDB$8,0)</f>
        <v>-0.0</v>
      </c>
      <c r="QDB53" s="5">
        <f>-IFERROR('4. NPV'!QDC23/'4. NPV'!QDC$8,0)</f>
        <v>-0.0</v>
      </c>
      <c r="QDC53" s="5">
        <f>-IFERROR('4. NPV'!QDD23/'4. NPV'!QDD$8,0)</f>
        <v>-0.0</v>
      </c>
      <c r="QDD53" s="5">
        <f>-IFERROR('4. NPV'!QDE23/'4. NPV'!QDE$8,0)</f>
        <v>-0.0</v>
      </c>
      <c r="QDE53" s="5">
        <f>-IFERROR('4. NPV'!QDF23/'4. NPV'!QDF$8,0)</f>
        <v>-0.0</v>
      </c>
      <c r="QDF53" s="5">
        <f>-IFERROR('4. NPV'!QDG23/'4. NPV'!QDG$8,0)</f>
        <v>-0.0</v>
      </c>
      <c r="QDG53" s="5">
        <f>-IFERROR('4. NPV'!QDH23/'4. NPV'!QDH$8,0)</f>
        <v>-0.0</v>
      </c>
      <c r="QDH53" s="5">
        <f>-IFERROR('4. NPV'!QDI23/'4. NPV'!QDI$8,0)</f>
        <v>-0.0</v>
      </c>
      <c r="QDI53" s="5">
        <f>-IFERROR('4. NPV'!QDJ23/'4. NPV'!QDJ$8,0)</f>
        <v>-0.0</v>
      </c>
      <c r="QDJ53" s="5">
        <f>-IFERROR('4. NPV'!QDK23/'4. NPV'!QDK$8,0)</f>
        <v>-0.0</v>
      </c>
      <c r="QDK53" s="5">
        <f>-IFERROR('4. NPV'!QDL23/'4. NPV'!QDL$8,0)</f>
        <v>-0.0</v>
      </c>
      <c r="QDL53" s="5">
        <f>-IFERROR('4. NPV'!QDM23/'4. NPV'!QDM$8,0)</f>
        <v>-0.0</v>
      </c>
      <c r="QDM53" s="5">
        <f>-IFERROR('4. NPV'!QDN23/'4. NPV'!QDN$8,0)</f>
        <v>-0.0</v>
      </c>
      <c r="QDN53" s="5">
        <f>-IFERROR('4. NPV'!QDO23/'4. NPV'!QDO$8,0)</f>
        <v>-0.0</v>
      </c>
      <c r="QDO53" s="5">
        <f>-IFERROR('4. NPV'!QDP23/'4. NPV'!QDP$8,0)</f>
        <v>-0.0</v>
      </c>
      <c r="QDP53" s="5">
        <f>-IFERROR('4. NPV'!QDQ23/'4. NPV'!QDQ$8,0)</f>
        <v>-0.0</v>
      </c>
      <c r="QDQ53" s="5">
        <f>-IFERROR('4. NPV'!QDR23/'4. NPV'!QDR$8,0)</f>
        <v>-0.0</v>
      </c>
      <c r="QDR53" s="5">
        <f>-IFERROR('4. NPV'!QDS23/'4. NPV'!QDS$8,0)</f>
        <v>-0.0</v>
      </c>
      <c r="QDS53" s="5">
        <f>-IFERROR('4. NPV'!QDT23/'4. NPV'!QDT$8,0)</f>
        <v>-0.0</v>
      </c>
      <c r="QDT53" s="5">
        <f>-IFERROR('4. NPV'!QDU23/'4. NPV'!QDU$8,0)</f>
        <v>-0.0</v>
      </c>
      <c r="QDU53" s="5">
        <f>-IFERROR('4. NPV'!QDV23/'4. NPV'!QDV$8,0)</f>
        <v>-0.0</v>
      </c>
      <c r="QDV53" s="5">
        <f>-IFERROR('4. NPV'!QDW23/'4. NPV'!QDW$8,0)</f>
        <v>-0.0</v>
      </c>
      <c r="QDW53" s="5">
        <f>-IFERROR('4. NPV'!QDX23/'4. NPV'!QDX$8,0)</f>
        <v>-0.0</v>
      </c>
      <c r="QDX53" s="5">
        <f>-IFERROR('4. NPV'!QDY23/'4. NPV'!QDY$8,0)</f>
        <v>-0.0</v>
      </c>
      <c r="QDY53" s="5">
        <f>-IFERROR('4. NPV'!QDZ23/'4. NPV'!QDZ$8,0)</f>
        <v>-0.0</v>
      </c>
      <c r="QDZ53" s="5">
        <f>-IFERROR('4. NPV'!QEA23/'4. NPV'!QEA$8,0)</f>
        <v>-0.0</v>
      </c>
      <c r="QEA53" s="5">
        <f>-IFERROR('4. NPV'!QEB23/'4. NPV'!QEB$8,0)</f>
        <v>-0.0</v>
      </c>
      <c r="QEB53" s="5">
        <f>-IFERROR('4. NPV'!QEC23/'4. NPV'!QEC$8,0)</f>
        <v>-0.0</v>
      </c>
      <c r="QEC53" s="5">
        <f>-IFERROR('4. NPV'!QED23/'4. NPV'!QED$8,0)</f>
        <v>-0.0</v>
      </c>
      <c r="QED53" s="5">
        <f>-IFERROR('4. NPV'!QEE23/'4. NPV'!QEE$8,0)</f>
        <v>-0.0</v>
      </c>
      <c r="QEE53" s="5">
        <f>-IFERROR('4. NPV'!QEF23/'4. NPV'!QEF$8,0)</f>
        <v>-0.0</v>
      </c>
      <c r="QEF53" s="5">
        <f>-IFERROR('4. NPV'!QEG23/'4. NPV'!QEG$8,0)</f>
        <v>-0.0</v>
      </c>
      <c r="QEG53" s="5">
        <f>-IFERROR('4. NPV'!QEH23/'4. NPV'!QEH$8,0)</f>
        <v>-0.0</v>
      </c>
      <c r="QEH53" s="5">
        <f>-IFERROR('4. NPV'!QEI23/'4. NPV'!QEI$8,0)</f>
        <v>-0.0</v>
      </c>
      <c r="QEI53" s="5">
        <f>-IFERROR('4. NPV'!QEJ23/'4. NPV'!QEJ$8,0)</f>
        <v>-0.0</v>
      </c>
      <c r="QEJ53" s="5">
        <f>-IFERROR('4. NPV'!QEK23/'4. NPV'!QEK$8,0)</f>
        <v>-0.0</v>
      </c>
      <c r="QEK53" s="5">
        <f>-IFERROR('4. NPV'!QEL23/'4. NPV'!QEL$8,0)</f>
        <v>-0.0</v>
      </c>
      <c r="QEL53" s="5">
        <f>-IFERROR('4. NPV'!QEM23/'4. NPV'!QEM$8,0)</f>
        <v>-0.0</v>
      </c>
      <c r="QEM53" s="5">
        <f>-IFERROR('4. NPV'!QEN23/'4. NPV'!QEN$8,0)</f>
        <v>-0.0</v>
      </c>
      <c r="QEN53" s="5">
        <f>-IFERROR('4. NPV'!QEO23/'4. NPV'!QEO$8,0)</f>
        <v>-0.0</v>
      </c>
      <c r="QEO53" s="5">
        <f>-IFERROR('4. NPV'!QEP23/'4. NPV'!QEP$8,0)</f>
        <v>-0.0</v>
      </c>
      <c r="QEP53" s="5">
        <f>-IFERROR('4. NPV'!QEQ23/'4. NPV'!QEQ$8,0)</f>
        <v>-0.0</v>
      </c>
      <c r="QEQ53" s="5">
        <f>-IFERROR('4. NPV'!QER23/'4. NPV'!QER$8,0)</f>
        <v>-0.0</v>
      </c>
      <c r="QER53" s="5">
        <f>-IFERROR('4. NPV'!QES23/'4. NPV'!QES$8,0)</f>
        <v>-0.0</v>
      </c>
      <c r="QES53" s="5">
        <f>-IFERROR('4. NPV'!QET23/'4. NPV'!QET$8,0)</f>
        <v>-0.0</v>
      </c>
      <c r="QET53" s="5">
        <f>-IFERROR('4. NPV'!QEU23/'4. NPV'!QEU$8,0)</f>
        <v>-0.0</v>
      </c>
      <c r="QEU53" s="5">
        <f>-IFERROR('4. NPV'!QEV23/'4. NPV'!QEV$8,0)</f>
        <v>-0.0</v>
      </c>
      <c r="QEV53" s="5">
        <f>-IFERROR('4. NPV'!QEW23/'4. NPV'!QEW$8,0)</f>
        <v>-0.0</v>
      </c>
      <c r="QEW53" s="5">
        <f>-IFERROR('4. NPV'!QEX23/'4. NPV'!QEX$8,0)</f>
        <v>-0.0</v>
      </c>
      <c r="QEX53" s="5">
        <f>-IFERROR('4. NPV'!QEY23/'4. NPV'!QEY$8,0)</f>
        <v>-0.0</v>
      </c>
      <c r="QEY53" s="5">
        <f>-IFERROR('4. NPV'!QEZ23/'4. NPV'!QEZ$8,0)</f>
        <v>-0.0</v>
      </c>
      <c r="QEZ53" s="5">
        <f>-IFERROR('4. NPV'!QFA23/'4. NPV'!QFA$8,0)</f>
        <v>-0.0</v>
      </c>
      <c r="QFA53" s="5">
        <f>-IFERROR('4. NPV'!QFB23/'4. NPV'!QFB$8,0)</f>
        <v>-0.0</v>
      </c>
      <c r="QFB53" s="5">
        <f>-IFERROR('4. NPV'!QFC23/'4. NPV'!QFC$8,0)</f>
        <v>-0.0</v>
      </c>
      <c r="QFC53" s="5">
        <f>-IFERROR('4. NPV'!QFD23/'4. NPV'!QFD$8,0)</f>
        <v>-0.0</v>
      </c>
      <c r="QFD53" s="5">
        <f>-IFERROR('4. NPV'!QFE23/'4. NPV'!QFE$8,0)</f>
        <v>-0.0</v>
      </c>
      <c r="QFE53" s="5">
        <f>-IFERROR('4. NPV'!QFF23/'4. NPV'!QFF$8,0)</f>
        <v>-0.0</v>
      </c>
      <c r="QFF53" s="5">
        <f>-IFERROR('4. NPV'!QFG23/'4. NPV'!QFG$8,0)</f>
        <v>-0.0</v>
      </c>
      <c r="QFG53" s="5">
        <f>-IFERROR('4. NPV'!QFH23/'4. NPV'!QFH$8,0)</f>
        <v>-0.0</v>
      </c>
      <c r="QFH53" s="5">
        <f>-IFERROR('4. NPV'!QFI23/'4. NPV'!QFI$8,0)</f>
        <v>-0.0</v>
      </c>
      <c r="QFI53" s="5">
        <f>-IFERROR('4. NPV'!QFJ23/'4. NPV'!QFJ$8,0)</f>
        <v>-0.0</v>
      </c>
      <c r="QFJ53" s="5">
        <f>-IFERROR('4. NPV'!QFK23/'4. NPV'!QFK$8,0)</f>
        <v>-0.0</v>
      </c>
      <c r="QFK53" s="5">
        <f>-IFERROR('4. NPV'!QFL23/'4. NPV'!QFL$8,0)</f>
        <v>-0.0</v>
      </c>
      <c r="QFL53" s="5">
        <f>-IFERROR('4. NPV'!QFM23/'4. NPV'!QFM$8,0)</f>
        <v>-0.0</v>
      </c>
      <c r="QFM53" s="5">
        <f>-IFERROR('4. NPV'!QFN23/'4. NPV'!QFN$8,0)</f>
        <v>-0.0</v>
      </c>
      <c r="QFN53" s="5">
        <f>-IFERROR('4. NPV'!QFO23/'4. NPV'!QFO$8,0)</f>
        <v>-0.0</v>
      </c>
      <c r="QFO53" s="5">
        <f>-IFERROR('4. NPV'!QFP23/'4. NPV'!QFP$8,0)</f>
        <v>-0.0</v>
      </c>
      <c r="QFP53" s="5">
        <f>-IFERROR('4. NPV'!QFQ23/'4. NPV'!QFQ$8,0)</f>
        <v>-0.0</v>
      </c>
      <c r="QFQ53" s="5">
        <f>-IFERROR('4. NPV'!QFR23/'4. NPV'!QFR$8,0)</f>
        <v>-0.0</v>
      </c>
      <c r="QFR53" s="5">
        <f>-IFERROR('4. NPV'!QFS23/'4. NPV'!QFS$8,0)</f>
        <v>-0.0</v>
      </c>
      <c r="QFS53" s="5">
        <f>-IFERROR('4. NPV'!QFT23/'4. NPV'!QFT$8,0)</f>
        <v>-0.0</v>
      </c>
      <c r="QFT53" s="5">
        <f>-IFERROR('4. NPV'!QFU23/'4. NPV'!QFU$8,0)</f>
        <v>-0.0</v>
      </c>
      <c r="QFU53" s="5">
        <f>-IFERROR('4. NPV'!QFV23/'4. NPV'!QFV$8,0)</f>
        <v>-0.0</v>
      </c>
      <c r="QFV53" s="5">
        <f>-IFERROR('4. NPV'!QFW23/'4. NPV'!QFW$8,0)</f>
        <v>-0.0</v>
      </c>
      <c r="QFW53" s="5">
        <f>-IFERROR('4. NPV'!QFX23/'4. NPV'!QFX$8,0)</f>
        <v>-0.0</v>
      </c>
      <c r="QFX53" s="5">
        <f>-IFERROR('4. NPV'!QFY23/'4. NPV'!QFY$8,0)</f>
        <v>-0.0</v>
      </c>
      <c r="QFY53" s="5">
        <f>-IFERROR('4. NPV'!QFZ23/'4. NPV'!QFZ$8,0)</f>
        <v>-0.0</v>
      </c>
      <c r="QFZ53" s="5">
        <f>-IFERROR('4. NPV'!QGA23/'4. NPV'!QGA$8,0)</f>
        <v>-0.0</v>
      </c>
      <c r="QGA53" s="5">
        <f>-IFERROR('4. NPV'!QGB23/'4. NPV'!QGB$8,0)</f>
        <v>-0.0</v>
      </c>
      <c r="QGB53" s="5">
        <f>-IFERROR('4. NPV'!QGC23/'4. NPV'!QGC$8,0)</f>
        <v>-0.0</v>
      </c>
      <c r="QGC53" s="5">
        <f>-IFERROR('4. NPV'!QGD23/'4. NPV'!QGD$8,0)</f>
        <v>-0.0</v>
      </c>
      <c r="QGD53" s="5">
        <f>-IFERROR('4. NPV'!QGE23/'4. NPV'!QGE$8,0)</f>
        <v>-0.0</v>
      </c>
      <c r="QGE53" s="5">
        <f>-IFERROR('4. NPV'!QGF23/'4. NPV'!QGF$8,0)</f>
        <v>-0.0</v>
      </c>
      <c r="QGF53" s="5">
        <f>-IFERROR('4. NPV'!QGG23/'4. NPV'!QGG$8,0)</f>
        <v>-0.0</v>
      </c>
      <c r="QGG53" s="5">
        <f>-IFERROR('4. NPV'!QGH23/'4. NPV'!QGH$8,0)</f>
        <v>-0.0</v>
      </c>
      <c r="QGH53" s="5">
        <f>-IFERROR('4. NPV'!QGI23/'4. NPV'!QGI$8,0)</f>
        <v>-0.0</v>
      </c>
      <c r="QGI53" s="5">
        <f>-IFERROR('4. NPV'!QGJ23/'4. NPV'!QGJ$8,0)</f>
        <v>-0.0</v>
      </c>
      <c r="QGJ53" s="5">
        <f>-IFERROR('4. NPV'!QGK23/'4. NPV'!QGK$8,0)</f>
        <v>-0.0</v>
      </c>
      <c r="QGK53" s="5">
        <f>-IFERROR('4. NPV'!QGL23/'4. NPV'!QGL$8,0)</f>
        <v>-0.0</v>
      </c>
      <c r="QGL53" s="5">
        <f>-IFERROR('4. NPV'!QGM23/'4. NPV'!QGM$8,0)</f>
        <v>-0.0</v>
      </c>
      <c r="QGM53" s="5">
        <f>-IFERROR('4. NPV'!QGN23/'4. NPV'!QGN$8,0)</f>
        <v>-0.0</v>
      </c>
      <c r="QGN53" s="5">
        <f>-IFERROR('4. NPV'!QGO23/'4. NPV'!QGO$8,0)</f>
        <v>-0.0</v>
      </c>
      <c r="QGO53" s="5">
        <f>-IFERROR('4. NPV'!QGP23/'4. NPV'!QGP$8,0)</f>
        <v>-0.0</v>
      </c>
      <c r="QGP53" s="5">
        <f>-IFERROR('4. NPV'!QGQ23/'4. NPV'!QGQ$8,0)</f>
        <v>-0.0</v>
      </c>
      <c r="QGQ53" s="5">
        <f>-IFERROR('4. NPV'!QGR23/'4. NPV'!QGR$8,0)</f>
        <v>-0.0</v>
      </c>
      <c r="QGR53" s="5">
        <f>-IFERROR('4. NPV'!QGS23/'4. NPV'!QGS$8,0)</f>
        <v>-0.0</v>
      </c>
      <c r="QGS53" s="5">
        <f>-IFERROR('4. NPV'!QGT23/'4. NPV'!QGT$8,0)</f>
        <v>-0.0</v>
      </c>
      <c r="QGT53" s="5">
        <f>-IFERROR('4. NPV'!QGU23/'4. NPV'!QGU$8,0)</f>
        <v>-0.0</v>
      </c>
      <c r="QGU53" s="5">
        <f>-IFERROR('4. NPV'!QGV23/'4. NPV'!QGV$8,0)</f>
        <v>-0.0</v>
      </c>
      <c r="QGV53" s="5">
        <f>-IFERROR('4. NPV'!QGW23/'4. NPV'!QGW$8,0)</f>
        <v>-0.0</v>
      </c>
      <c r="QGW53" s="5">
        <f>-IFERROR('4. NPV'!QGX23/'4. NPV'!QGX$8,0)</f>
        <v>-0.0</v>
      </c>
      <c r="QGX53" s="5">
        <f>-IFERROR('4. NPV'!QGY23/'4. NPV'!QGY$8,0)</f>
        <v>-0.0</v>
      </c>
      <c r="QGY53" s="5">
        <f>-IFERROR('4. NPV'!QGZ23/'4. NPV'!QGZ$8,0)</f>
        <v>-0.0</v>
      </c>
      <c r="QGZ53" s="5">
        <f>-IFERROR('4. NPV'!QHA23/'4. NPV'!QHA$8,0)</f>
        <v>-0.0</v>
      </c>
      <c r="QHA53" s="5">
        <f>-IFERROR('4. NPV'!QHB23/'4. NPV'!QHB$8,0)</f>
        <v>-0.0</v>
      </c>
      <c r="QHB53" s="5">
        <f>-IFERROR('4. NPV'!QHC23/'4. NPV'!QHC$8,0)</f>
        <v>-0.0</v>
      </c>
      <c r="QHC53" s="5">
        <f>-IFERROR('4. NPV'!QHD23/'4. NPV'!QHD$8,0)</f>
        <v>-0.0</v>
      </c>
      <c r="QHD53" s="5">
        <f>-IFERROR('4. NPV'!QHE23/'4. NPV'!QHE$8,0)</f>
        <v>-0.0</v>
      </c>
      <c r="QHE53" s="5">
        <f>-IFERROR('4. NPV'!QHF23/'4. NPV'!QHF$8,0)</f>
        <v>-0.0</v>
      </c>
      <c r="QHF53" s="5">
        <f>-IFERROR('4. NPV'!QHG23/'4. NPV'!QHG$8,0)</f>
        <v>-0.0</v>
      </c>
      <c r="QHG53" s="5">
        <f>-IFERROR('4. NPV'!QHH23/'4. NPV'!QHH$8,0)</f>
        <v>-0.0</v>
      </c>
      <c r="QHH53" s="5">
        <f>-IFERROR('4. NPV'!QHI23/'4. NPV'!QHI$8,0)</f>
        <v>-0.0</v>
      </c>
      <c r="QHI53" s="5">
        <f>-IFERROR('4. NPV'!QHJ23/'4. NPV'!QHJ$8,0)</f>
        <v>-0.0</v>
      </c>
      <c r="QHJ53" s="5">
        <f>-IFERROR('4. NPV'!QHK23/'4. NPV'!QHK$8,0)</f>
        <v>-0.0</v>
      </c>
      <c r="QHK53" s="5">
        <f>-IFERROR('4. NPV'!QHL23/'4. NPV'!QHL$8,0)</f>
        <v>-0.0</v>
      </c>
      <c r="QHL53" s="5">
        <f>-IFERROR('4. NPV'!QHM23/'4. NPV'!QHM$8,0)</f>
        <v>-0.0</v>
      </c>
      <c r="QHM53" s="5">
        <f>-IFERROR('4. NPV'!QHN23/'4. NPV'!QHN$8,0)</f>
        <v>-0.0</v>
      </c>
      <c r="QHN53" s="5">
        <f>-IFERROR('4. NPV'!QHO23/'4. NPV'!QHO$8,0)</f>
        <v>-0.0</v>
      </c>
      <c r="QHO53" s="5">
        <f>-IFERROR('4. NPV'!QHP23/'4. NPV'!QHP$8,0)</f>
        <v>-0.0</v>
      </c>
      <c r="QHP53" s="5">
        <f>-IFERROR('4. NPV'!QHQ23/'4. NPV'!QHQ$8,0)</f>
        <v>-0.0</v>
      </c>
      <c r="QHQ53" s="5">
        <f>-IFERROR('4. NPV'!QHR23/'4. NPV'!QHR$8,0)</f>
        <v>-0.0</v>
      </c>
      <c r="QHR53" s="5">
        <f>-IFERROR('4. NPV'!QHS23/'4. NPV'!QHS$8,0)</f>
        <v>-0.0</v>
      </c>
      <c r="QHS53" s="5">
        <f>-IFERROR('4. NPV'!QHT23/'4. NPV'!QHT$8,0)</f>
        <v>-0.0</v>
      </c>
      <c r="QHT53" s="5">
        <f>-IFERROR('4. NPV'!QHU23/'4. NPV'!QHU$8,0)</f>
        <v>-0.0</v>
      </c>
      <c r="QHU53" s="5">
        <f>-IFERROR('4. NPV'!QHV23/'4. NPV'!QHV$8,0)</f>
        <v>-0.0</v>
      </c>
      <c r="QHV53" s="5">
        <f>-IFERROR('4. NPV'!QHW23/'4. NPV'!QHW$8,0)</f>
        <v>-0.0</v>
      </c>
      <c r="QHW53" s="5">
        <f>-IFERROR('4. NPV'!QHX23/'4. NPV'!QHX$8,0)</f>
        <v>-0.0</v>
      </c>
      <c r="QHX53" s="5">
        <f>-IFERROR('4. NPV'!QHY23/'4. NPV'!QHY$8,0)</f>
        <v>-0.0</v>
      </c>
      <c r="QHY53" s="5">
        <f>-IFERROR('4. NPV'!QHZ23/'4. NPV'!QHZ$8,0)</f>
        <v>-0.0</v>
      </c>
      <c r="QHZ53" s="5">
        <f>-IFERROR('4. NPV'!QIA23/'4. NPV'!QIA$8,0)</f>
        <v>-0.0</v>
      </c>
      <c r="QIA53" s="5">
        <f>-IFERROR('4. NPV'!QIB23/'4. NPV'!QIB$8,0)</f>
        <v>-0.0</v>
      </c>
      <c r="QIB53" s="5">
        <f>-IFERROR('4. NPV'!QIC23/'4. NPV'!QIC$8,0)</f>
        <v>-0.0</v>
      </c>
      <c r="QIC53" s="5">
        <f>-IFERROR('4. NPV'!QID23/'4. NPV'!QID$8,0)</f>
        <v>-0.0</v>
      </c>
      <c r="QID53" s="5">
        <f>-IFERROR('4. NPV'!QIE23/'4. NPV'!QIE$8,0)</f>
        <v>-0.0</v>
      </c>
      <c r="QIE53" s="5">
        <f>-IFERROR('4. NPV'!QIF23/'4. NPV'!QIF$8,0)</f>
        <v>-0.0</v>
      </c>
      <c r="QIF53" s="5">
        <f>-IFERROR('4. NPV'!QIG23/'4. NPV'!QIG$8,0)</f>
        <v>-0.0</v>
      </c>
      <c r="QIG53" s="5">
        <f>-IFERROR('4. NPV'!QIH23/'4. NPV'!QIH$8,0)</f>
        <v>-0.0</v>
      </c>
      <c r="QIH53" s="5">
        <f>-IFERROR('4. NPV'!QII23/'4. NPV'!QII$8,0)</f>
        <v>-0.0</v>
      </c>
      <c r="QII53" s="5">
        <f>-IFERROR('4. NPV'!QIJ23/'4. NPV'!QIJ$8,0)</f>
        <v>-0.0</v>
      </c>
      <c r="QIJ53" s="5">
        <f>-IFERROR('4. NPV'!QIK23/'4. NPV'!QIK$8,0)</f>
        <v>-0.0</v>
      </c>
      <c r="QIK53" s="5">
        <f>-IFERROR('4. NPV'!QIL23/'4. NPV'!QIL$8,0)</f>
        <v>-0.0</v>
      </c>
      <c r="QIL53" s="5">
        <f>-IFERROR('4. NPV'!QIM23/'4. NPV'!QIM$8,0)</f>
        <v>-0.0</v>
      </c>
      <c r="QIM53" s="5">
        <f>-IFERROR('4. NPV'!QIN23/'4. NPV'!QIN$8,0)</f>
        <v>-0.0</v>
      </c>
      <c r="QIN53" s="5">
        <f>-IFERROR('4. NPV'!QIO23/'4. NPV'!QIO$8,0)</f>
        <v>-0.0</v>
      </c>
      <c r="QIO53" s="5">
        <f>-IFERROR('4. NPV'!QIP23/'4. NPV'!QIP$8,0)</f>
        <v>-0.0</v>
      </c>
      <c r="QIP53" s="5">
        <f>-IFERROR('4. NPV'!QIQ23/'4. NPV'!QIQ$8,0)</f>
        <v>-0.0</v>
      </c>
      <c r="QIQ53" s="5">
        <f>-IFERROR('4. NPV'!QIR23/'4. NPV'!QIR$8,0)</f>
        <v>-0.0</v>
      </c>
      <c r="QIR53" s="5">
        <f>-IFERROR('4. NPV'!QIS23/'4. NPV'!QIS$8,0)</f>
        <v>-0.0</v>
      </c>
      <c r="QIS53" s="5">
        <f>-IFERROR('4. NPV'!QIT23/'4. NPV'!QIT$8,0)</f>
        <v>-0.0</v>
      </c>
      <c r="QIT53" s="5">
        <f>-IFERROR('4. NPV'!QIU23/'4. NPV'!QIU$8,0)</f>
        <v>-0.0</v>
      </c>
      <c r="QIU53" s="5">
        <f>-IFERROR('4. NPV'!QIV23/'4. NPV'!QIV$8,0)</f>
        <v>-0.0</v>
      </c>
      <c r="QIV53" s="5">
        <f>-IFERROR('4. NPV'!QIW23/'4. NPV'!QIW$8,0)</f>
        <v>-0.0</v>
      </c>
      <c r="QIW53" s="5">
        <f>-IFERROR('4. NPV'!QIX23/'4. NPV'!QIX$8,0)</f>
        <v>-0.0</v>
      </c>
      <c r="QIX53" s="5">
        <f>-IFERROR('4. NPV'!QIY23/'4. NPV'!QIY$8,0)</f>
        <v>-0.0</v>
      </c>
      <c r="QIY53" s="5">
        <f>-IFERROR('4. NPV'!QIZ23/'4. NPV'!QIZ$8,0)</f>
        <v>-0.0</v>
      </c>
      <c r="QIZ53" s="5">
        <f>-IFERROR('4. NPV'!QJA23/'4. NPV'!QJA$8,0)</f>
        <v>-0.0</v>
      </c>
      <c r="QJA53" s="5">
        <f>-IFERROR('4. NPV'!QJB23/'4. NPV'!QJB$8,0)</f>
        <v>-0.0</v>
      </c>
      <c r="QJB53" s="5">
        <f>-IFERROR('4. NPV'!QJC23/'4. NPV'!QJC$8,0)</f>
        <v>-0.0</v>
      </c>
      <c r="QJC53" s="5">
        <f>-IFERROR('4. NPV'!QJD23/'4. NPV'!QJD$8,0)</f>
        <v>-0.0</v>
      </c>
      <c r="QJD53" s="5">
        <f>-IFERROR('4. NPV'!QJE23/'4. NPV'!QJE$8,0)</f>
        <v>-0.0</v>
      </c>
      <c r="QJE53" s="5">
        <f>-IFERROR('4. NPV'!QJF23/'4. NPV'!QJF$8,0)</f>
        <v>-0.0</v>
      </c>
      <c r="QJF53" s="5">
        <f>-IFERROR('4. NPV'!QJG23/'4. NPV'!QJG$8,0)</f>
        <v>-0.0</v>
      </c>
      <c r="QJG53" s="5">
        <f>-IFERROR('4. NPV'!QJH23/'4. NPV'!QJH$8,0)</f>
        <v>-0.0</v>
      </c>
      <c r="QJH53" s="5">
        <f>-IFERROR('4. NPV'!QJI23/'4. NPV'!QJI$8,0)</f>
        <v>-0.0</v>
      </c>
      <c r="QJI53" s="5">
        <f>-IFERROR('4. NPV'!QJJ23/'4. NPV'!QJJ$8,0)</f>
        <v>-0.0</v>
      </c>
      <c r="QJJ53" s="5">
        <f>-IFERROR('4. NPV'!QJK23/'4. NPV'!QJK$8,0)</f>
        <v>-0.0</v>
      </c>
      <c r="QJK53" s="5">
        <f>-IFERROR('4. NPV'!QJL23/'4. NPV'!QJL$8,0)</f>
        <v>-0.0</v>
      </c>
      <c r="QJL53" s="5">
        <f>-IFERROR('4. NPV'!QJM23/'4. NPV'!QJM$8,0)</f>
        <v>-0.0</v>
      </c>
      <c r="QJM53" s="5">
        <f>-IFERROR('4. NPV'!QJN23/'4. NPV'!QJN$8,0)</f>
        <v>-0.0</v>
      </c>
      <c r="QJN53" s="5">
        <f>-IFERROR('4. NPV'!QJO23/'4. NPV'!QJO$8,0)</f>
        <v>-0.0</v>
      </c>
      <c r="QJO53" s="5">
        <f>-IFERROR('4. NPV'!QJP23/'4. NPV'!QJP$8,0)</f>
        <v>-0.0</v>
      </c>
      <c r="QJP53" s="5">
        <f>-IFERROR('4. NPV'!QJQ23/'4. NPV'!QJQ$8,0)</f>
        <v>-0.0</v>
      </c>
      <c r="QJQ53" s="5">
        <f>-IFERROR('4. NPV'!QJR23/'4. NPV'!QJR$8,0)</f>
        <v>-0.0</v>
      </c>
      <c r="QJR53" s="5">
        <f>-IFERROR('4. NPV'!QJS23/'4. NPV'!QJS$8,0)</f>
        <v>-0.0</v>
      </c>
      <c r="QJS53" s="5">
        <f>-IFERROR('4. NPV'!QJT23/'4. NPV'!QJT$8,0)</f>
        <v>-0.0</v>
      </c>
      <c r="QJT53" s="5">
        <f>-IFERROR('4. NPV'!QJU23/'4. NPV'!QJU$8,0)</f>
        <v>-0.0</v>
      </c>
      <c r="QJU53" s="5">
        <f>-IFERROR('4. NPV'!QJV23/'4. NPV'!QJV$8,0)</f>
        <v>-0.0</v>
      </c>
      <c r="QJV53" s="5">
        <f>-IFERROR('4. NPV'!QJW23/'4. NPV'!QJW$8,0)</f>
        <v>-0.0</v>
      </c>
      <c r="QJW53" s="5">
        <f>-IFERROR('4. NPV'!QJX23/'4. NPV'!QJX$8,0)</f>
        <v>-0.0</v>
      </c>
      <c r="QJX53" s="5">
        <f>-IFERROR('4. NPV'!QJY23/'4. NPV'!QJY$8,0)</f>
        <v>-0.0</v>
      </c>
      <c r="QJY53" s="5">
        <f>-IFERROR('4. NPV'!QJZ23/'4. NPV'!QJZ$8,0)</f>
        <v>-0.0</v>
      </c>
      <c r="QJZ53" s="5">
        <f>-IFERROR('4. NPV'!QKA23/'4. NPV'!QKA$8,0)</f>
        <v>-0.0</v>
      </c>
      <c r="QKA53" s="5">
        <f>-IFERROR('4. NPV'!QKB23/'4. NPV'!QKB$8,0)</f>
        <v>-0.0</v>
      </c>
      <c r="QKB53" s="5">
        <f>-IFERROR('4. NPV'!QKC23/'4. NPV'!QKC$8,0)</f>
        <v>-0.0</v>
      </c>
      <c r="QKC53" s="5">
        <f>-IFERROR('4. NPV'!QKD23/'4. NPV'!QKD$8,0)</f>
        <v>-0.0</v>
      </c>
      <c r="QKD53" s="5">
        <f>-IFERROR('4. NPV'!QKE23/'4. NPV'!QKE$8,0)</f>
        <v>-0.0</v>
      </c>
      <c r="QKE53" s="5">
        <f>-IFERROR('4. NPV'!QKF23/'4. NPV'!QKF$8,0)</f>
        <v>-0.0</v>
      </c>
      <c r="QKF53" s="5">
        <f>-IFERROR('4. NPV'!QKG23/'4. NPV'!QKG$8,0)</f>
        <v>-0.0</v>
      </c>
      <c r="QKG53" s="5">
        <f>-IFERROR('4. NPV'!QKH23/'4. NPV'!QKH$8,0)</f>
        <v>-0.0</v>
      </c>
      <c r="QKH53" s="5">
        <f>-IFERROR('4. NPV'!QKI23/'4. NPV'!QKI$8,0)</f>
        <v>-0.0</v>
      </c>
      <c r="QKI53" s="5">
        <f>-IFERROR('4. NPV'!QKJ23/'4. NPV'!QKJ$8,0)</f>
        <v>-0.0</v>
      </c>
      <c r="QKJ53" s="5">
        <f>-IFERROR('4. NPV'!QKK23/'4. NPV'!QKK$8,0)</f>
        <v>-0.0</v>
      </c>
      <c r="QKK53" s="5">
        <f>-IFERROR('4. NPV'!QKL23/'4. NPV'!QKL$8,0)</f>
        <v>-0.0</v>
      </c>
      <c r="QKL53" s="5">
        <f>-IFERROR('4. NPV'!QKM23/'4. NPV'!QKM$8,0)</f>
        <v>-0.0</v>
      </c>
      <c r="QKM53" s="5">
        <f>-IFERROR('4. NPV'!QKN23/'4. NPV'!QKN$8,0)</f>
        <v>-0.0</v>
      </c>
      <c r="QKN53" s="5">
        <f>-IFERROR('4. NPV'!QKO23/'4. NPV'!QKO$8,0)</f>
        <v>-0.0</v>
      </c>
      <c r="QKO53" s="5">
        <f>-IFERROR('4. NPV'!QKP23/'4. NPV'!QKP$8,0)</f>
        <v>-0.0</v>
      </c>
      <c r="QKP53" s="5">
        <f>-IFERROR('4. NPV'!QKQ23/'4. NPV'!QKQ$8,0)</f>
        <v>-0.0</v>
      </c>
      <c r="QKQ53" s="5">
        <f>-IFERROR('4. NPV'!QKR23/'4. NPV'!QKR$8,0)</f>
        <v>-0.0</v>
      </c>
      <c r="QKR53" s="5">
        <f>-IFERROR('4. NPV'!QKS23/'4. NPV'!QKS$8,0)</f>
        <v>-0.0</v>
      </c>
      <c r="QKS53" s="5">
        <f>-IFERROR('4. NPV'!QKT23/'4. NPV'!QKT$8,0)</f>
        <v>-0.0</v>
      </c>
      <c r="QKT53" s="5">
        <f>-IFERROR('4. NPV'!QKU23/'4. NPV'!QKU$8,0)</f>
        <v>-0.0</v>
      </c>
      <c r="QKU53" s="5">
        <f>-IFERROR('4. NPV'!QKV23/'4. NPV'!QKV$8,0)</f>
        <v>-0.0</v>
      </c>
      <c r="QKV53" s="5">
        <f>-IFERROR('4. NPV'!QKW23/'4. NPV'!QKW$8,0)</f>
        <v>-0.0</v>
      </c>
      <c r="QKW53" s="5">
        <f>-IFERROR('4. NPV'!QKX23/'4. NPV'!QKX$8,0)</f>
        <v>-0.0</v>
      </c>
      <c r="QKX53" s="5">
        <f>-IFERROR('4. NPV'!QKY23/'4. NPV'!QKY$8,0)</f>
        <v>-0.0</v>
      </c>
      <c r="QKY53" s="5">
        <f>-IFERROR('4. NPV'!QKZ23/'4. NPV'!QKZ$8,0)</f>
        <v>-0.0</v>
      </c>
      <c r="QKZ53" s="5">
        <f>-IFERROR('4. NPV'!QLA23/'4. NPV'!QLA$8,0)</f>
        <v>-0.0</v>
      </c>
      <c r="QLA53" s="5">
        <f>-IFERROR('4. NPV'!QLB23/'4. NPV'!QLB$8,0)</f>
        <v>-0.0</v>
      </c>
      <c r="QLB53" s="5">
        <f>-IFERROR('4. NPV'!QLC23/'4. NPV'!QLC$8,0)</f>
        <v>-0.0</v>
      </c>
      <c r="QLC53" s="5">
        <f>-IFERROR('4. NPV'!QLD23/'4. NPV'!QLD$8,0)</f>
        <v>-0.0</v>
      </c>
      <c r="QLD53" s="5">
        <f>-IFERROR('4. NPV'!QLE23/'4. NPV'!QLE$8,0)</f>
        <v>-0.0</v>
      </c>
      <c r="QLE53" s="5">
        <f>-IFERROR('4. NPV'!QLF23/'4. NPV'!QLF$8,0)</f>
        <v>-0.0</v>
      </c>
      <c r="QLF53" s="5">
        <f>-IFERROR('4. NPV'!QLG23/'4. NPV'!QLG$8,0)</f>
        <v>-0.0</v>
      </c>
      <c r="QLG53" s="5">
        <f>-IFERROR('4. NPV'!QLH23/'4. NPV'!QLH$8,0)</f>
        <v>-0.0</v>
      </c>
      <c r="QLH53" s="5">
        <f>-IFERROR('4. NPV'!QLI23/'4. NPV'!QLI$8,0)</f>
        <v>-0.0</v>
      </c>
      <c r="QLI53" s="5">
        <f>-IFERROR('4. NPV'!QLJ23/'4. NPV'!QLJ$8,0)</f>
        <v>-0.0</v>
      </c>
      <c r="QLJ53" s="5">
        <f>-IFERROR('4. NPV'!QLK23/'4. NPV'!QLK$8,0)</f>
        <v>-0.0</v>
      </c>
      <c r="QLK53" s="5">
        <f>-IFERROR('4. NPV'!QLL23/'4. NPV'!QLL$8,0)</f>
        <v>-0.0</v>
      </c>
      <c r="QLL53" s="5">
        <f>-IFERROR('4. NPV'!QLM23/'4. NPV'!QLM$8,0)</f>
        <v>-0.0</v>
      </c>
      <c r="QLM53" s="5">
        <f>-IFERROR('4. NPV'!QLN23/'4. NPV'!QLN$8,0)</f>
        <v>-0.0</v>
      </c>
      <c r="QLN53" s="5">
        <f>-IFERROR('4. NPV'!QLO23/'4. NPV'!QLO$8,0)</f>
        <v>-0.0</v>
      </c>
      <c r="QLO53" s="5">
        <f>-IFERROR('4. NPV'!QLP23/'4. NPV'!QLP$8,0)</f>
        <v>-0.0</v>
      </c>
      <c r="QLP53" s="5">
        <f>-IFERROR('4. NPV'!QLQ23/'4. NPV'!QLQ$8,0)</f>
        <v>-0.0</v>
      </c>
      <c r="QLQ53" s="5">
        <f>-IFERROR('4. NPV'!QLR23/'4. NPV'!QLR$8,0)</f>
        <v>-0.0</v>
      </c>
      <c r="QLR53" s="5">
        <f>-IFERROR('4. NPV'!QLS23/'4. NPV'!QLS$8,0)</f>
        <v>-0.0</v>
      </c>
      <c r="QLS53" s="5">
        <f>-IFERROR('4. NPV'!QLT23/'4. NPV'!QLT$8,0)</f>
        <v>-0.0</v>
      </c>
      <c r="QLT53" s="5">
        <f>-IFERROR('4. NPV'!QLU23/'4. NPV'!QLU$8,0)</f>
        <v>-0.0</v>
      </c>
      <c r="QLU53" s="5">
        <f>-IFERROR('4. NPV'!QLV23/'4. NPV'!QLV$8,0)</f>
        <v>-0.0</v>
      </c>
      <c r="QLV53" s="5">
        <f>-IFERROR('4. NPV'!QLW23/'4. NPV'!QLW$8,0)</f>
        <v>-0.0</v>
      </c>
      <c r="QLW53" s="5">
        <f>-IFERROR('4. NPV'!QLX23/'4. NPV'!QLX$8,0)</f>
        <v>-0.0</v>
      </c>
      <c r="QLX53" s="5">
        <f>-IFERROR('4. NPV'!QLY23/'4. NPV'!QLY$8,0)</f>
        <v>-0.0</v>
      </c>
      <c r="QLY53" s="5">
        <f>-IFERROR('4. NPV'!QLZ23/'4. NPV'!QLZ$8,0)</f>
        <v>-0.0</v>
      </c>
      <c r="QLZ53" s="5">
        <f>-IFERROR('4. NPV'!QMA23/'4. NPV'!QMA$8,0)</f>
        <v>-0.0</v>
      </c>
      <c r="QMA53" s="5">
        <f>-IFERROR('4. NPV'!QMB23/'4. NPV'!QMB$8,0)</f>
        <v>-0.0</v>
      </c>
      <c r="QMB53" s="5">
        <f>-IFERROR('4. NPV'!QMC23/'4. NPV'!QMC$8,0)</f>
        <v>-0.0</v>
      </c>
      <c r="QMC53" s="5">
        <f>-IFERROR('4. NPV'!QMD23/'4. NPV'!QMD$8,0)</f>
        <v>-0.0</v>
      </c>
      <c r="QMD53" s="5">
        <f>-IFERROR('4. NPV'!QME23/'4. NPV'!QME$8,0)</f>
        <v>-0.0</v>
      </c>
      <c r="QME53" s="5">
        <f>-IFERROR('4. NPV'!QMF23/'4. NPV'!QMF$8,0)</f>
        <v>-0.0</v>
      </c>
      <c r="QMF53" s="5">
        <f>-IFERROR('4. NPV'!QMG23/'4. NPV'!QMG$8,0)</f>
        <v>-0.0</v>
      </c>
      <c r="QMG53" s="5">
        <f>-IFERROR('4. NPV'!QMH23/'4. NPV'!QMH$8,0)</f>
        <v>-0.0</v>
      </c>
      <c r="QMH53" s="5">
        <f>-IFERROR('4. NPV'!QMI23/'4. NPV'!QMI$8,0)</f>
        <v>-0.0</v>
      </c>
      <c r="QMI53" s="5">
        <f>-IFERROR('4. NPV'!QMJ23/'4. NPV'!QMJ$8,0)</f>
        <v>-0.0</v>
      </c>
      <c r="QMJ53" s="5">
        <f>-IFERROR('4. NPV'!QMK23/'4. NPV'!QMK$8,0)</f>
        <v>-0.0</v>
      </c>
      <c r="QMK53" s="5">
        <f>-IFERROR('4. NPV'!QML23/'4. NPV'!QML$8,0)</f>
        <v>-0.0</v>
      </c>
      <c r="QML53" s="5">
        <f>-IFERROR('4. NPV'!QMM23/'4. NPV'!QMM$8,0)</f>
        <v>-0.0</v>
      </c>
      <c r="QMM53" s="5">
        <f>-IFERROR('4. NPV'!QMN23/'4. NPV'!QMN$8,0)</f>
        <v>-0.0</v>
      </c>
      <c r="QMN53" s="5">
        <f>-IFERROR('4. NPV'!QMO23/'4. NPV'!QMO$8,0)</f>
        <v>-0.0</v>
      </c>
      <c r="QMO53" s="5">
        <f>-IFERROR('4. NPV'!QMP23/'4. NPV'!QMP$8,0)</f>
        <v>-0.0</v>
      </c>
      <c r="QMP53" s="5">
        <f>-IFERROR('4. NPV'!QMQ23/'4. NPV'!QMQ$8,0)</f>
        <v>-0.0</v>
      </c>
      <c r="QMQ53" s="5">
        <f>-IFERROR('4. NPV'!QMR23/'4. NPV'!QMR$8,0)</f>
        <v>-0.0</v>
      </c>
      <c r="QMR53" s="5">
        <f>-IFERROR('4. NPV'!QMS23/'4. NPV'!QMS$8,0)</f>
        <v>-0.0</v>
      </c>
      <c r="QMS53" s="5">
        <f>-IFERROR('4. NPV'!QMT23/'4. NPV'!QMT$8,0)</f>
        <v>-0.0</v>
      </c>
      <c r="QMT53" s="5">
        <f>-IFERROR('4. NPV'!QMU23/'4. NPV'!QMU$8,0)</f>
        <v>-0.0</v>
      </c>
      <c r="QMU53" s="5">
        <f>-IFERROR('4. NPV'!QMV23/'4. NPV'!QMV$8,0)</f>
        <v>-0.0</v>
      </c>
      <c r="QMV53" s="5">
        <f>-IFERROR('4. NPV'!QMW23/'4. NPV'!QMW$8,0)</f>
        <v>-0.0</v>
      </c>
      <c r="QMW53" s="5">
        <f>-IFERROR('4. NPV'!QMX23/'4. NPV'!QMX$8,0)</f>
        <v>-0.0</v>
      </c>
      <c r="QMX53" s="5">
        <f>-IFERROR('4. NPV'!QMY23/'4. NPV'!QMY$8,0)</f>
        <v>-0.0</v>
      </c>
      <c r="QMY53" s="5">
        <f>-IFERROR('4. NPV'!QMZ23/'4. NPV'!QMZ$8,0)</f>
        <v>-0.0</v>
      </c>
      <c r="QMZ53" s="5">
        <f>-IFERROR('4. NPV'!QNA23/'4. NPV'!QNA$8,0)</f>
        <v>-0.0</v>
      </c>
      <c r="QNA53" s="5">
        <f>-IFERROR('4. NPV'!QNB23/'4. NPV'!QNB$8,0)</f>
        <v>-0.0</v>
      </c>
      <c r="QNB53" s="5">
        <f>-IFERROR('4. NPV'!QNC23/'4. NPV'!QNC$8,0)</f>
        <v>-0.0</v>
      </c>
      <c r="QNC53" s="5">
        <f>-IFERROR('4. NPV'!QND23/'4. NPV'!QND$8,0)</f>
        <v>-0.0</v>
      </c>
      <c r="QND53" s="5">
        <f>-IFERROR('4. NPV'!QNE23/'4. NPV'!QNE$8,0)</f>
        <v>-0.0</v>
      </c>
      <c r="QNE53" s="5">
        <f>-IFERROR('4. NPV'!QNF23/'4. NPV'!QNF$8,0)</f>
        <v>-0.0</v>
      </c>
      <c r="QNF53" s="5">
        <f>-IFERROR('4. NPV'!QNG23/'4. NPV'!QNG$8,0)</f>
        <v>-0.0</v>
      </c>
      <c r="QNG53" s="5">
        <f>-IFERROR('4. NPV'!QNH23/'4. NPV'!QNH$8,0)</f>
        <v>-0.0</v>
      </c>
      <c r="QNH53" s="5">
        <f>-IFERROR('4. NPV'!QNI23/'4. NPV'!QNI$8,0)</f>
        <v>-0.0</v>
      </c>
      <c r="QNI53" s="5">
        <f>-IFERROR('4. NPV'!QNJ23/'4. NPV'!QNJ$8,0)</f>
        <v>-0.0</v>
      </c>
      <c r="QNJ53" s="5">
        <f>-IFERROR('4. NPV'!QNK23/'4. NPV'!QNK$8,0)</f>
        <v>-0.0</v>
      </c>
      <c r="QNK53" s="5">
        <f>-IFERROR('4. NPV'!QNL23/'4. NPV'!QNL$8,0)</f>
        <v>-0.0</v>
      </c>
      <c r="QNL53" s="5">
        <f>-IFERROR('4. NPV'!QNM23/'4. NPV'!QNM$8,0)</f>
        <v>-0.0</v>
      </c>
      <c r="QNM53" s="5">
        <f>-IFERROR('4. NPV'!QNN23/'4. NPV'!QNN$8,0)</f>
        <v>-0.0</v>
      </c>
      <c r="QNN53" s="5">
        <f>-IFERROR('4. NPV'!QNO23/'4. NPV'!QNO$8,0)</f>
        <v>-0.0</v>
      </c>
      <c r="QNO53" s="5">
        <f>-IFERROR('4. NPV'!QNP23/'4. NPV'!QNP$8,0)</f>
        <v>-0.0</v>
      </c>
      <c r="QNP53" s="5">
        <f>-IFERROR('4. NPV'!QNQ23/'4. NPV'!QNQ$8,0)</f>
        <v>-0.0</v>
      </c>
      <c r="QNQ53" s="5">
        <f>-IFERROR('4. NPV'!QNR23/'4. NPV'!QNR$8,0)</f>
        <v>-0.0</v>
      </c>
      <c r="QNR53" s="5">
        <f>-IFERROR('4. NPV'!QNS23/'4. NPV'!QNS$8,0)</f>
        <v>-0.0</v>
      </c>
      <c r="QNS53" s="5">
        <f>-IFERROR('4. NPV'!QNT23/'4. NPV'!QNT$8,0)</f>
        <v>-0.0</v>
      </c>
      <c r="QNT53" s="5">
        <f>-IFERROR('4. NPV'!QNU23/'4. NPV'!QNU$8,0)</f>
        <v>-0.0</v>
      </c>
      <c r="QNU53" s="5">
        <f>-IFERROR('4. NPV'!QNV23/'4. NPV'!QNV$8,0)</f>
        <v>-0.0</v>
      </c>
      <c r="QNV53" s="5">
        <f>-IFERROR('4. NPV'!QNW23/'4. NPV'!QNW$8,0)</f>
        <v>-0.0</v>
      </c>
      <c r="QNW53" s="5">
        <f>-IFERROR('4. NPV'!QNX23/'4. NPV'!QNX$8,0)</f>
        <v>-0.0</v>
      </c>
      <c r="QNX53" s="5">
        <f>-IFERROR('4. NPV'!QNY23/'4. NPV'!QNY$8,0)</f>
        <v>-0.0</v>
      </c>
      <c r="QNY53" s="5">
        <f>-IFERROR('4. NPV'!QNZ23/'4. NPV'!QNZ$8,0)</f>
        <v>-0.0</v>
      </c>
      <c r="QNZ53" s="5">
        <f>-IFERROR('4. NPV'!QOA23/'4. NPV'!QOA$8,0)</f>
        <v>-0.0</v>
      </c>
      <c r="QOA53" s="5">
        <f>-IFERROR('4. NPV'!QOB23/'4. NPV'!QOB$8,0)</f>
        <v>-0.0</v>
      </c>
      <c r="QOB53" s="5">
        <f>-IFERROR('4. NPV'!QOC23/'4. NPV'!QOC$8,0)</f>
        <v>-0.0</v>
      </c>
      <c r="QOC53" s="5">
        <f>-IFERROR('4. NPV'!QOD23/'4. NPV'!QOD$8,0)</f>
        <v>-0.0</v>
      </c>
      <c r="QOD53" s="5">
        <f>-IFERROR('4. NPV'!QOE23/'4. NPV'!QOE$8,0)</f>
        <v>-0.0</v>
      </c>
      <c r="QOE53" s="5">
        <f>-IFERROR('4. NPV'!QOF23/'4. NPV'!QOF$8,0)</f>
        <v>-0.0</v>
      </c>
      <c r="QOF53" s="5">
        <f>-IFERROR('4. NPV'!QOG23/'4. NPV'!QOG$8,0)</f>
        <v>-0.0</v>
      </c>
      <c r="QOG53" s="5">
        <f>-IFERROR('4. NPV'!QOH23/'4. NPV'!QOH$8,0)</f>
        <v>-0.0</v>
      </c>
      <c r="QOH53" s="5">
        <f>-IFERROR('4. NPV'!QOI23/'4. NPV'!QOI$8,0)</f>
        <v>-0.0</v>
      </c>
      <c r="QOI53" s="5">
        <f>-IFERROR('4. NPV'!QOJ23/'4. NPV'!QOJ$8,0)</f>
        <v>-0.0</v>
      </c>
      <c r="QOJ53" s="5">
        <f>-IFERROR('4. NPV'!QOK23/'4. NPV'!QOK$8,0)</f>
        <v>-0.0</v>
      </c>
      <c r="QOK53" s="5">
        <f>-IFERROR('4. NPV'!QOL23/'4. NPV'!QOL$8,0)</f>
        <v>-0.0</v>
      </c>
      <c r="QOL53" s="5">
        <f>-IFERROR('4. NPV'!QOM23/'4. NPV'!QOM$8,0)</f>
        <v>-0.0</v>
      </c>
      <c r="QOM53" s="5">
        <f>-IFERROR('4. NPV'!QON23/'4. NPV'!QON$8,0)</f>
        <v>-0.0</v>
      </c>
      <c r="QON53" s="5">
        <f>-IFERROR('4. NPV'!QOO23/'4. NPV'!QOO$8,0)</f>
        <v>-0.0</v>
      </c>
      <c r="QOO53" s="5">
        <f>-IFERROR('4. NPV'!QOP23/'4. NPV'!QOP$8,0)</f>
        <v>-0.0</v>
      </c>
      <c r="QOP53" s="5">
        <f>-IFERROR('4. NPV'!QOQ23/'4. NPV'!QOQ$8,0)</f>
        <v>-0.0</v>
      </c>
      <c r="QOQ53" s="5">
        <f>-IFERROR('4. NPV'!QOR23/'4. NPV'!QOR$8,0)</f>
        <v>-0.0</v>
      </c>
      <c r="QOR53" s="5">
        <f>-IFERROR('4. NPV'!QOS23/'4. NPV'!QOS$8,0)</f>
        <v>-0.0</v>
      </c>
      <c r="QOS53" s="5">
        <f>-IFERROR('4. NPV'!QOT23/'4. NPV'!QOT$8,0)</f>
        <v>-0.0</v>
      </c>
      <c r="QOT53" s="5">
        <f>-IFERROR('4. NPV'!QOU23/'4. NPV'!QOU$8,0)</f>
        <v>-0.0</v>
      </c>
      <c r="QOU53" s="5">
        <f>-IFERROR('4. NPV'!QOV23/'4. NPV'!QOV$8,0)</f>
        <v>-0.0</v>
      </c>
      <c r="QOV53" s="5">
        <f>-IFERROR('4. NPV'!QOW23/'4. NPV'!QOW$8,0)</f>
        <v>-0.0</v>
      </c>
      <c r="QOW53" s="5">
        <f>-IFERROR('4. NPV'!QOX23/'4. NPV'!QOX$8,0)</f>
        <v>-0.0</v>
      </c>
      <c r="QOX53" s="5">
        <f>-IFERROR('4. NPV'!QOY23/'4. NPV'!QOY$8,0)</f>
        <v>-0.0</v>
      </c>
      <c r="QOY53" s="5">
        <f>-IFERROR('4. NPV'!QOZ23/'4. NPV'!QOZ$8,0)</f>
        <v>-0.0</v>
      </c>
      <c r="QOZ53" s="5">
        <f>-IFERROR('4. NPV'!QPA23/'4. NPV'!QPA$8,0)</f>
        <v>-0.0</v>
      </c>
      <c r="QPA53" s="5">
        <f>-IFERROR('4. NPV'!QPB23/'4. NPV'!QPB$8,0)</f>
        <v>-0.0</v>
      </c>
      <c r="QPB53" s="5">
        <f>-IFERROR('4. NPV'!QPC23/'4. NPV'!QPC$8,0)</f>
        <v>-0.0</v>
      </c>
      <c r="QPC53" s="5">
        <f>-IFERROR('4. NPV'!QPD23/'4. NPV'!QPD$8,0)</f>
        <v>-0.0</v>
      </c>
      <c r="QPD53" s="5">
        <f>-IFERROR('4. NPV'!QPE23/'4. NPV'!QPE$8,0)</f>
        <v>-0.0</v>
      </c>
      <c r="QPE53" s="5">
        <f>-IFERROR('4. NPV'!QPF23/'4. NPV'!QPF$8,0)</f>
        <v>-0.0</v>
      </c>
      <c r="QPF53" s="5">
        <f>-IFERROR('4. NPV'!QPG23/'4. NPV'!QPG$8,0)</f>
        <v>-0.0</v>
      </c>
      <c r="QPG53" s="5">
        <f>-IFERROR('4. NPV'!QPH23/'4. NPV'!QPH$8,0)</f>
        <v>-0.0</v>
      </c>
      <c r="QPH53" s="5">
        <f>-IFERROR('4. NPV'!QPI23/'4. NPV'!QPI$8,0)</f>
        <v>-0.0</v>
      </c>
      <c r="QPI53" s="5">
        <f>-IFERROR('4. NPV'!QPJ23/'4. NPV'!QPJ$8,0)</f>
        <v>-0.0</v>
      </c>
      <c r="QPJ53" s="5">
        <f>-IFERROR('4. NPV'!QPK23/'4. NPV'!QPK$8,0)</f>
        <v>-0.0</v>
      </c>
      <c r="QPK53" s="5">
        <f>-IFERROR('4. NPV'!QPL23/'4. NPV'!QPL$8,0)</f>
        <v>-0.0</v>
      </c>
      <c r="QPL53" s="5">
        <f>-IFERROR('4. NPV'!QPM23/'4. NPV'!QPM$8,0)</f>
        <v>-0.0</v>
      </c>
      <c r="QPM53" s="5">
        <f>-IFERROR('4. NPV'!QPN23/'4. NPV'!QPN$8,0)</f>
        <v>-0.0</v>
      </c>
      <c r="QPN53" s="5">
        <f>-IFERROR('4. NPV'!QPO23/'4. NPV'!QPO$8,0)</f>
        <v>-0.0</v>
      </c>
      <c r="QPO53" s="5">
        <f>-IFERROR('4. NPV'!QPP23/'4. NPV'!QPP$8,0)</f>
        <v>-0.0</v>
      </c>
      <c r="QPP53" s="5">
        <f>-IFERROR('4. NPV'!QPQ23/'4. NPV'!QPQ$8,0)</f>
        <v>-0.0</v>
      </c>
      <c r="QPQ53" s="5">
        <f>-IFERROR('4. NPV'!QPR23/'4. NPV'!QPR$8,0)</f>
        <v>-0.0</v>
      </c>
      <c r="QPR53" s="5">
        <f>-IFERROR('4. NPV'!QPS23/'4. NPV'!QPS$8,0)</f>
        <v>-0.0</v>
      </c>
      <c r="QPS53" s="5">
        <f>-IFERROR('4. NPV'!QPT23/'4. NPV'!QPT$8,0)</f>
        <v>-0.0</v>
      </c>
      <c r="QPT53" s="5">
        <f>-IFERROR('4. NPV'!QPU23/'4. NPV'!QPU$8,0)</f>
        <v>-0.0</v>
      </c>
      <c r="QPU53" s="5">
        <f>-IFERROR('4. NPV'!QPV23/'4. NPV'!QPV$8,0)</f>
        <v>-0.0</v>
      </c>
      <c r="QPV53" s="5">
        <f>-IFERROR('4. NPV'!QPW23/'4. NPV'!QPW$8,0)</f>
        <v>-0.0</v>
      </c>
      <c r="QPW53" s="5">
        <f>-IFERROR('4. NPV'!QPX23/'4. NPV'!QPX$8,0)</f>
        <v>-0.0</v>
      </c>
      <c r="QPX53" s="5">
        <f>-IFERROR('4. NPV'!QPY23/'4. NPV'!QPY$8,0)</f>
        <v>-0.0</v>
      </c>
      <c r="QPY53" s="5">
        <f>-IFERROR('4. NPV'!QPZ23/'4. NPV'!QPZ$8,0)</f>
        <v>-0.0</v>
      </c>
      <c r="QPZ53" s="5">
        <f>-IFERROR('4. NPV'!QQA23/'4. NPV'!QQA$8,0)</f>
        <v>-0.0</v>
      </c>
      <c r="QQA53" s="5">
        <f>-IFERROR('4. NPV'!QQB23/'4. NPV'!QQB$8,0)</f>
        <v>-0.0</v>
      </c>
      <c r="QQB53" s="5">
        <f>-IFERROR('4. NPV'!QQC23/'4. NPV'!QQC$8,0)</f>
        <v>-0.0</v>
      </c>
      <c r="QQC53" s="5">
        <f>-IFERROR('4. NPV'!QQD23/'4. NPV'!QQD$8,0)</f>
        <v>-0.0</v>
      </c>
      <c r="QQD53" s="5">
        <f>-IFERROR('4. NPV'!QQE23/'4. NPV'!QQE$8,0)</f>
        <v>-0.0</v>
      </c>
      <c r="QQE53" s="5">
        <f>-IFERROR('4. NPV'!QQF23/'4. NPV'!QQF$8,0)</f>
        <v>-0.0</v>
      </c>
      <c r="QQF53" s="5">
        <f>-IFERROR('4. NPV'!QQG23/'4. NPV'!QQG$8,0)</f>
        <v>-0.0</v>
      </c>
      <c r="QQG53" s="5">
        <f>-IFERROR('4. NPV'!QQH23/'4. NPV'!QQH$8,0)</f>
        <v>-0.0</v>
      </c>
      <c r="QQH53" s="5">
        <f>-IFERROR('4. NPV'!QQI23/'4. NPV'!QQI$8,0)</f>
        <v>-0.0</v>
      </c>
      <c r="QQI53" s="5">
        <f>-IFERROR('4. NPV'!QQJ23/'4. NPV'!QQJ$8,0)</f>
        <v>-0.0</v>
      </c>
      <c r="QQJ53" s="5">
        <f>-IFERROR('4. NPV'!QQK23/'4. NPV'!QQK$8,0)</f>
        <v>-0.0</v>
      </c>
      <c r="QQK53" s="5">
        <f>-IFERROR('4. NPV'!QQL23/'4. NPV'!QQL$8,0)</f>
        <v>-0.0</v>
      </c>
      <c r="QQL53" s="5">
        <f>-IFERROR('4. NPV'!QQM23/'4. NPV'!QQM$8,0)</f>
        <v>-0.0</v>
      </c>
      <c r="QQM53" s="5">
        <f>-IFERROR('4. NPV'!QQN23/'4. NPV'!QQN$8,0)</f>
        <v>-0.0</v>
      </c>
      <c r="QQN53" s="5">
        <f>-IFERROR('4. NPV'!QQO23/'4. NPV'!QQO$8,0)</f>
        <v>-0.0</v>
      </c>
      <c r="QQO53" s="5">
        <f>-IFERROR('4. NPV'!QQP23/'4. NPV'!QQP$8,0)</f>
        <v>-0.0</v>
      </c>
      <c r="QQP53" s="5">
        <f>-IFERROR('4. NPV'!QQQ23/'4. NPV'!QQQ$8,0)</f>
        <v>-0.0</v>
      </c>
      <c r="QQQ53" s="5">
        <f>-IFERROR('4. NPV'!QQR23/'4. NPV'!QQR$8,0)</f>
        <v>-0.0</v>
      </c>
      <c r="QQR53" s="5">
        <f>-IFERROR('4. NPV'!QQS23/'4. NPV'!QQS$8,0)</f>
        <v>-0.0</v>
      </c>
      <c r="QQS53" s="5">
        <f>-IFERROR('4. NPV'!QQT23/'4. NPV'!QQT$8,0)</f>
        <v>-0.0</v>
      </c>
      <c r="QQT53" s="5">
        <f>-IFERROR('4. NPV'!QQU23/'4. NPV'!QQU$8,0)</f>
        <v>-0.0</v>
      </c>
      <c r="QQU53" s="5">
        <f>-IFERROR('4. NPV'!QQV23/'4. NPV'!QQV$8,0)</f>
        <v>-0.0</v>
      </c>
      <c r="QQV53" s="5">
        <f>-IFERROR('4. NPV'!QQW23/'4. NPV'!QQW$8,0)</f>
        <v>-0.0</v>
      </c>
      <c r="QQW53" s="5">
        <f>-IFERROR('4. NPV'!QQX23/'4. NPV'!QQX$8,0)</f>
        <v>-0.0</v>
      </c>
      <c r="QQX53" s="5">
        <f>-IFERROR('4. NPV'!QQY23/'4. NPV'!QQY$8,0)</f>
        <v>-0.0</v>
      </c>
      <c r="QQY53" s="5">
        <f>-IFERROR('4. NPV'!QQZ23/'4. NPV'!QQZ$8,0)</f>
        <v>-0.0</v>
      </c>
      <c r="QQZ53" s="5">
        <f>-IFERROR('4. NPV'!QRA23/'4. NPV'!QRA$8,0)</f>
        <v>-0.0</v>
      </c>
      <c r="QRA53" s="5">
        <f>-IFERROR('4. NPV'!QRB23/'4. NPV'!QRB$8,0)</f>
        <v>-0.0</v>
      </c>
      <c r="QRB53" s="5">
        <f>-IFERROR('4. NPV'!QRC23/'4. NPV'!QRC$8,0)</f>
        <v>-0.0</v>
      </c>
      <c r="QRC53" s="5">
        <f>-IFERROR('4. NPV'!QRD23/'4. NPV'!QRD$8,0)</f>
        <v>-0.0</v>
      </c>
      <c r="QRD53" s="5">
        <f>-IFERROR('4. NPV'!QRE23/'4. NPV'!QRE$8,0)</f>
        <v>-0.0</v>
      </c>
      <c r="QRE53" s="5">
        <f>-IFERROR('4. NPV'!QRF23/'4. NPV'!QRF$8,0)</f>
        <v>-0.0</v>
      </c>
      <c r="QRF53" s="5">
        <f>-IFERROR('4. NPV'!QRG23/'4. NPV'!QRG$8,0)</f>
        <v>-0.0</v>
      </c>
      <c r="QRG53" s="5">
        <f>-IFERROR('4. NPV'!QRH23/'4. NPV'!QRH$8,0)</f>
        <v>-0.0</v>
      </c>
      <c r="QRH53" s="5">
        <f>-IFERROR('4. NPV'!QRI23/'4. NPV'!QRI$8,0)</f>
        <v>-0.0</v>
      </c>
      <c r="QRI53" s="5">
        <f>-IFERROR('4. NPV'!QRJ23/'4. NPV'!QRJ$8,0)</f>
        <v>-0.0</v>
      </c>
      <c r="QRJ53" s="5">
        <f>-IFERROR('4. NPV'!QRK23/'4. NPV'!QRK$8,0)</f>
        <v>-0.0</v>
      </c>
      <c r="QRK53" s="5">
        <f>-IFERROR('4. NPV'!QRL23/'4. NPV'!QRL$8,0)</f>
        <v>-0.0</v>
      </c>
      <c r="QRL53" s="5">
        <f>-IFERROR('4. NPV'!QRM23/'4. NPV'!QRM$8,0)</f>
        <v>-0.0</v>
      </c>
      <c r="QRM53" s="5">
        <f>-IFERROR('4. NPV'!QRN23/'4. NPV'!QRN$8,0)</f>
        <v>-0.0</v>
      </c>
      <c r="QRN53" s="5">
        <f>-IFERROR('4. NPV'!QRO23/'4. NPV'!QRO$8,0)</f>
        <v>-0.0</v>
      </c>
      <c r="QRO53" s="5">
        <f>-IFERROR('4. NPV'!QRP23/'4. NPV'!QRP$8,0)</f>
        <v>-0.0</v>
      </c>
      <c r="QRP53" s="5">
        <f>-IFERROR('4. NPV'!QRQ23/'4. NPV'!QRQ$8,0)</f>
        <v>-0.0</v>
      </c>
      <c r="QRQ53" s="5">
        <f>-IFERROR('4. NPV'!QRR23/'4. NPV'!QRR$8,0)</f>
        <v>-0.0</v>
      </c>
      <c r="QRR53" s="5">
        <f>-IFERROR('4. NPV'!QRS23/'4. NPV'!QRS$8,0)</f>
        <v>-0.0</v>
      </c>
      <c r="QRS53" s="5">
        <f>-IFERROR('4. NPV'!QRT23/'4. NPV'!QRT$8,0)</f>
        <v>-0.0</v>
      </c>
      <c r="QRT53" s="5">
        <f>-IFERROR('4. NPV'!QRU23/'4. NPV'!QRU$8,0)</f>
        <v>-0.0</v>
      </c>
      <c r="QRU53" s="5">
        <f>-IFERROR('4. NPV'!QRV23/'4. NPV'!QRV$8,0)</f>
        <v>-0.0</v>
      </c>
      <c r="QRV53" s="5">
        <f>-IFERROR('4. NPV'!QRW23/'4. NPV'!QRW$8,0)</f>
        <v>-0.0</v>
      </c>
      <c r="QRW53" s="5">
        <f>-IFERROR('4. NPV'!QRX23/'4. NPV'!QRX$8,0)</f>
        <v>-0.0</v>
      </c>
      <c r="QRX53" s="5">
        <f>-IFERROR('4. NPV'!QRY23/'4. NPV'!QRY$8,0)</f>
        <v>-0.0</v>
      </c>
      <c r="QRY53" s="5">
        <f>-IFERROR('4. NPV'!QRZ23/'4. NPV'!QRZ$8,0)</f>
        <v>-0.0</v>
      </c>
      <c r="QRZ53" s="5">
        <f>-IFERROR('4. NPV'!QSA23/'4. NPV'!QSA$8,0)</f>
        <v>-0.0</v>
      </c>
      <c r="QSA53" s="5">
        <f>-IFERROR('4. NPV'!QSB23/'4. NPV'!QSB$8,0)</f>
        <v>-0.0</v>
      </c>
      <c r="QSB53" s="5">
        <f>-IFERROR('4. NPV'!QSC23/'4. NPV'!QSC$8,0)</f>
        <v>-0.0</v>
      </c>
      <c r="QSC53" s="5">
        <f>-IFERROR('4. NPV'!QSD23/'4. NPV'!QSD$8,0)</f>
        <v>-0.0</v>
      </c>
      <c r="QSD53" s="5">
        <f>-IFERROR('4. NPV'!QSE23/'4. NPV'!QSE$8,0)</f>
        <v>-0.0</v>
      </c>
      <c r="QSE53" s="5">
        <f>-IFERROR('4. NPV'!QSF23/'4. NPV'!QSF$8,0)</f>
        <v>-0.0</v>
      </c>
      <c r="QSF53" s="5">
        <f>-IFERROR('4. NPV'!QSG23/'4. NPV'!QSG$8,0)</f>
        <v>-0.0</v>
      </c>
      <c r="QSG53" s="5">
        <f>-IFERROR('4. NPV'!QSH23/'4. NPV'!QSH$8,0)</f>
        <v>-0.0</v>
      </c>
      <c r="QSH53" s="5">
        <f>-IFERROR('4. NPV'!QSI23/'4. NPV'!QSI$8,0)</f>
        <v>-0.0</v>
      </c>
      <c r="QSI53" s="5">
        <f>-IFERROR('4. NPV'!QSJ23/'4. NPV'!QSJ$8,0)</f>
        <v>-0.0</v>
      </c>
      <c r="QSJ53" s="5">
        <f>-IFERROR('4. NPV'!QSK23/'4. NPV'!QSK$8,0)</f>
        <v>-0.0</v>
      </c>
      <c r="QSK53" s="5">
        <f>-IFERROR('4. NPV'!QSL23/'4. NPV'!QSL$8,0)</f>
        <v>-0.0</v>
      </c>
      <c r="QSL53" s="5">
        <f>-IFERROR('4. NPV'!QSM23/'4. NPV'!QSM$8,0)</f>
        <v>-0.0</v>
      </c>
      <c r="QSM53" s="5">
        <f>-IFERROR('4. NPV'!QSN23/'4. NPV'!QSN$8,0)</f>
        <v>-0.0</v>
      </c>
      <c r="QSN53" s="5">
        <f>-IFERROR('4. NPV'!QSO23/'4. NPV'!QSO$8,0)</f>
        <v>-0.0</v>
      </c>
      <c r="QSO53" s="5">
        <f>-IFERROR('4. NPV'!QSP23/'4. NPV'!QSP$8,0)</f>
        <v>-0.0</v>
      </c>
      <c r="QSP53" s="5">
        <f>-IFERROR('4. NPV'!QSQ23/'4. NPV'!QSQ$8,0)</f>
        <v>-0.0</v>
      </c>
      <c r="QSQ53" s="5">
        <f>-IFERROR('4. NPV'!QSR23/'4. NPV'!QSR$8,0)</f>
        <v>-0.0</v>
      </c>
      <c r="QSR53" s="5">
        <f>-IFERROR('4. NPV'!QSS23/'4. NPV'!QSS$8,0)</f>
        <v>-0.0</v>
      </c>
      <c r="QSS53" s="5">
        <f>-IFERROR('4. NPV'!QST23/'4. NPV'!QST$8,0)</f>
        <v>-0.0</v>
      </c>
      <c r="QST53" s="5">
        <f>-IFERROR('4. NPV'!QSU23/'4. NPV'!QSU$8,0)</f>
        <v>-0.0</v>
      </c>
      <c r="QSU53" s="5">
        <f>-IFERROR('4. NPV'!QSV23/'4. NPV'!QSV$8,0)</f>
        <v>-0.0</v>
      </c>
      <c r="QSV53" s="5">
        <f>-IFERROR('4. NPV'!QSW23/'4. NPV'!QSW$8,0)</f>
        <v>-0.0</v>
      </c>
      <c r="QSW53" s="5">
        <f>-IFERROR('4. NPV'!QSX23/'4. NPV'!QSX$8,0)</f>
        <v>-0.0</v>
      </c>
      <c r="QSX53" s="5">
        <f>-IFERROR('4. NPV'!QSY23/'4. NPV'!QSY$8,0)</f>
        <v>-0.0</v>
      </c>
      <c r="QSY53" s="5">
        <f>-IFERROR('4. NPV'!QSZ23/'4. NPV'!QSZ$8,0)</f>
        <v>-0.0</v>
      </c>
      <c r="QSZ53" s="5">
        <f>-IFERROR('4. NPV'!QTA23/'4. NPV'!QTA$8,0)</f>
        <v>-0.0</v>
      </c>
      <c r="QTA53" s="5">
        <f>-IFERROR('4. NPV'!QTB23/'4. NPV'!QTB$8,0)</f>
        <v>-0.0</v>
      </c>
      <c r="QTB53" s="5">
        <f>-IFERROR('4. NPV'!QTC23/'4. NPV'!QTC$8,0)</f>
        <v>-0.0</v>
      </c>
      <c r="QTC53" s="5">
        <f>-IFERROR('4. NPV'!QTD23/'4. NPV'!QTD$8,0)</f>
        <v>-0.0</v>
      </c>
      <c r="QTD53" s="5">
        <f>-IFERROR('4. NPV'!QTE23/'4. NPV'!QTE$8,0)</f>
        <v>-0.0</v>
      </c>
      <c r="QTE53" s="5">
        <f>-IFERROR('4. NPV'!QTF23/'4. NPV'!QTF$8,0)</f>
        <v>-0.0</v>
      </c>
      <c r="QTF53" s="5">
        <f>-IFERROR('4. NPV'!QTG23/'4. NPV'!QTG$8,0)</f>
        <v>-0.0</v>
      </c>
      <c r="QTG53" s="5">
        <f>-IFERROR('4. NPV'!QTH23/'4. NPV'!QTH$8,0)</f>
        <v>-0.0</v>
      </c>
      <c r="QTH53" s="5">
        <f>-IFERROR('4. NPV'!QTI23/'4. NPV'!QTI$8,0)</f>
        <v>-0.0</v>
      </c>
      <c r="QTI53" s="5">
        <f>-IFERROR('4. NPV'!QTJ23/'4. NPV'!QTJ$8,0)</f>
        <v>-0.0</v>
      </c>
      <c r="QTJ53" s="5">
        <f>-IFERROR('4. NPV'!QTK23/'4. NPV'!QTK$8,0)</f>
        <v>-0.0</v>
      </c>
      <c r="QTK53" s="5">
        <f>-IFERROR('4. NPV'!QTL23/'4. NPV'!QTL$8,0)</f>
        <v>-0.0</v>
      </c>
      <c r="QTL53" s="5">
        <f>-IFERROR('4. NPV'!QTM23/'4. NPV'!QTM$8,0)</f>
        <v>-0.0</v>
      </c>
      <c r="QTM53" s="5">
        <f>-IFERROR('4. NPV'!QTN23/'4. NPV'!QTN$8,0)</f>
        <v>-0.0</v>
      </c>
      <c r="QTN53" s="5">
        <f>-IFERROR('4. NPV'!QTO23/'4. NPV'!QTO$8,0)</f>
        <v>-0.0</v>
      </c>
      <c r="QTO53" s="5">
        <f>-IFERROR('4. NPV'!QTP23/'4. NPV'!QTP$8,0)</f>
        <v>-0.0</v>
      </c>
      <c r="QTP53" s="5">
        <f>-IFERROR('4. NPV'!QTQ23/'4. NPV'!QTQ$8,0)</f>
        <v>-0.0</v>
      </c>
      <c r="QTQ53" s="5">
        <f>-IFERROR('4. NPV'!QTR23/'4. NPV'!QTR$8,0)</f>
        <v>-0.0</v>
      </c>
      <c r="QTR53" s="5">
        <f>-IFERROR('4. NPV'!QTS23/'4. NPV'!QTS$8,0)</f>
        <v>-0.0</v>
      </c>
      <c r="QTS53" s="5">
        <f>-IFERROR('4. NPV'!QTT23/'4. NPV'!QTT$8,0)</f>
        <v>-0.0</v>
      </c>
      <c r="QTT53" s="5">
        <f>-IFERROR('4. NPV'!QTU23/'4. NPV'!QTU$8,0)</f>
        <v>-0.0</v>
      </c>
      <c r="QTU53" s="5">
        <f>-IFERROR('4. NPV'!QTV23/'4. NPV'!QTV$8,0)</f>
        <v>-0.0</v>
      </c>
      <c r="QTV53" s="5">
        <f>-IFERROR('4. NPV'!QTW23/'4. NPV'!QTW$8,0)</f>
        <v>-0.0</v>
      </c>
      <c r="QTW53" s="5">
        <f>-IFERROR('4. NPV'!QTX23/'4. NPV'!QTX$8,0)</f>
        <v>-0.0</v>
      </c>
      <c r="QTX53" s="5">
        <f>-IFERROR('4. NPV'!QTY23/'4. NPV'!QTY$8,0)</f>
        <v>-0.0</v>
      </c>
      <c r="QTY53" s="5">
        <f>-IFERROR('4. NPV'!QTZ23/'4. NPV'!QTZ$8,0)</f>
        <v>-0.0</v>
      </c>
      <c r="QTZ53" s="5">
        <f>-IFERROR('4. NPV'!QUA23/'4. NPV'!QUA$8,0)</f>
        <v>-0.0</v>
      </c>
      <c r="QUA53" s="5">
        <f>-IFERROR('4. NPV'!QUB23/'4. NPV'!QUB$8,0)</f>
        <v>-0.0</v>
      </c>
      <c r="QUB53" s="5">
        <f>-IFERROR('4. NPV'!QUC23/'4. NPV'!QUC$8,0)</f>
        <v>-0.0</v>
      </c>
      <c r="QUC53" s="5">
        <f>-IFERROR('4. NPV'!QUD23/'4. NPV'!QUD$8,0)</f>
        <v>-0.0</v>
      </c>
      <c r="QUD53" s="5">
        <f>-IFERROR('4. NPV'!QUE23/'4. NPV'!QUE$8,0)</f>
        <v>-0.0</v>
      </c>
      <c r="QUE53" s="5">
        <f>-IFERROR('4. NPV'!QUF23/'4. NPV'!QUF$8,0)</f>
        <v>-0.0</v>
      </c>
      <c r="QUF53" s="5">
        <f>-IFERROR('4. NPV'!QUG23/'4. NPV'!QUG$8,0)</f>
        <v>-0.0</v>
      </c>
      <c r="QUG53" s="5">
        <f>-IFERROR('4. NPV'!QUH23/'4. NPV'!QUH$8,0)</f>
        <v>-0.0</v>
      </c>
      <c r="QUH53" s="5">
        <f>-IFERROR('4. NPV'!QUI23/'4. NPV'!QUI$8,0)</f>
        <v>-0.0</v>
      </c>
      <c r="QUI53" s="5">
        <f>-IFERROR('4. NPV'!QUJ23/'4. NPV'!QUJ$8,0)</f>
        <v>-0.0</v>
      </c>
      <c r="QUJ53" s="5">
        <f>-IFERROR('4. NPV'!QUK23/'4. NPV'!QUK$8,0)</f>
        <v>-0.0</v>
      </c>
      <c r="QUK53" s="5">
        <f>-IFERROR('4. NPV'!QUL23/'4. NPV'!QUL$8,0)</f>
        <v>-0.0</v>
      </c>
      <c r="QUL53" s="5">
        <f>-IFERROR('4. NPV'!QUM23/'4. NPV'!QUM$8,0)</f>
        <v>-0.0</v>
      </c>
      <c r="QUM53" s="5">
        <f>-IFERROR('4. NPV'!QUN23/'4. NPV'!QUN$8,0)</f>
        <v>-0.0</v>
      </c>
      <c r="QUN53" s="5">
        <f>-IFERROR('4. NPV'!QUO23/'4. NPV'!QUO$8,0)</f>
        <v>-0.0</v>
      </c>
      <c r="QUO53" s="5">
        <f>-IFERROR('4. NPV'!QUP23/'4. NPV'!QUP$8,0)</f>
        <v>-0.0</v>
      </c>
      <c r="QUP53" s="5">
        <f>-IFERROR('4. NPV'!QUQ23/'4. NPV'!QUQ$8,0)</f>
        <v>-0.0</v>
      </c>
      <c r="QUQ53" s="5">
        <f>-IFERROR('4. NPV'!QUR23/'4. NPV'!QUR$8,0)</f>
        <v>-0.0</v>
      </c>
      <c r="QUR53" s="5">
        <f>-IFERROR('4. NPV'!QUS23/'4. NPV'!QUS$8,0)</f>
        <v>-0.0</v>
      </c>
      <c r="QUS53" s="5">
        <f>-IFERROR('4. NPV'!QUT23/'4. NPV'!QUT$8,0)</f>
        <v>-0.0</v>
      </c>
      <c r="QUT53" s="5">
        <f>-IFERROR('4. NPV'!QUU23/'4. NPV'!QUU$8,0)</f>
        <v>-0.0</v>
      </c>
      <c r="QUU53" s="5">
        <f>-IFERROR('4. NPV'!QUV23/'4. NPV'!QUV$8,0)</f>
        <v>-0.0</v>
      </c>
      <c r="QUV53" s="5">
        <f>-IFERROR('4. NPV'!QUW23/'4. NPV'!QUW$8,0)</f>
        <v>-0.0</v>
      </c>
      <c r="QUW53" s="5">
        <f>-IFERROR('4. NPV'!QUX23/'4. NPV'!QUX$8,0)</f>
        <v>-0.0</v>
      </c>
      <c r="QUX53" s="5">
        <f>-IFERROR('4. NPV'!QUY23/'4. NPV'!QUY$8,0)</f>
        <v>-0.0</v>
      </c>
      <c r="QUY53" s="5">
        <f>-IFERROR('4. NPV'!QUZ23/'4. NPV'!QUZ$8,0)</f>
        <v>-0.0</v>
      </c>
      <c r="QUZ53" s="5">
        <f>-IFERROR('4. NPV'!QVA23/'4. NPV'!QVA$8,0)</f>
        <v>-0.0</v>
      </c>
      <c r="QVA53" s="5">
        <f>-IFERROR('4. NPV'!QVB23/'4. NPV'!QVB$8,0)</f>
        <v>-0.0</v>
      </c>
      <c r="QVB53" s="5">
        <f>-IFERROR('4. NPV'!QVC23/'4. NPV'!QVC$8,0)</f>
        <v>-0.0</v>
      </c>
      <c r="QVC53" s="5">
        <f>-IFERROR('4. NPV'!QVD23/'4. NPV'!QVD$8,0)</f>
        <v>-0.0</v>
      </c>
      <c r="QVD53" s="5">
        <f>-IFERROR('4. NPV'!QVE23/'4. NPV'!QVE$8,0)</f>
        <v>-0.0</v>
      </c>
      <c r="QVE53" s="5">
        <f>-IFERROR('4. NPV'!QVF23/'4. NPV'!QVF$8,0)</f>
        <v>-0.0</v>
      </c>
      <c r="QVF53" s="5">
        <f>-IFERROR('4. NPV'!QVG23/'4. NPV'!QVG$8,0)</f>
        <v>-0.0</v>
      </c>
      <c r="QVG53" s="5">
        <f>-IFERROR('4. NPV'!QVH23/'4. NPV'!QVH$8,0)</f>
        <v>-0.0</v>
      </c>
      <c r="QVH53" s="5">
        <f>-IFERROR('4. NPV'!QVI23/'4. NPV'!QVI$8,0)</f>
        <v>-0.0</v>
      </c>
      <c r="QVI53" s="5">
        <f>-IFERROR('4. NPV'!QVJ23/'4. NPV'!QVJ$8,0)</f>
        <v>-0.0</v>
      </c>
      <c r="QVJ53" s="5">
        <f>-IFERROR('4. NPV'!QVK23/'4. NPV'!QVK$8,0)</f>
        <v>-0.0</v>
      </c>
      <c r="QVK53" s="5">
        <f>-IFERROR('4. NPV'!QVL23/'4. NPV'!QVL$8,0)</f>
        <v>-0.0</v>
      </c>
      <c r="QVL53" s="5">
        <f>-IFERROR('4. NPV'!QVM23/'4. NPV'!QVM$8,0)</f>
        <v>-0.0</v>
      </c>
      <c r="QVM53" s="5">
        <f>-IFERROR('4. NPV'!QVN23/'4. NPV'!QVN$8,0)</f>
        <v>-0.0</v>
      </c>
      <c r="QVN53" s="5">
        <f>-IFERROR('4. NPV'!QVO23/'4. NPV'!QVO$8,0)</f>
        <v>-0.0</v>
      </c>
      <c r="QVO53" s="5">
        <f>-IFERROR('4. NPV'!QVP23/'4. NPV'!QVP$8,0)</f>
        <v>-0.0</v>
      </c>
      <c r="QVP53" s="5">
        <f>-IFERROR('4. NPV'!QVQ23/'4. NPV'!QVQ$8,0)</f>
        <v>-0.0</v>
      </c>
      <c r="QVQ53" s="5">
        <f>-IFERROR('4. NPV'!QVR23/'4. NPV'!QVR$8,0)</f>
        <v>-0.0</v>
      </c>
      <c r="QVR53" s="5">
        <f>-IFERROR('4. NPV'!QVS23/'4. NPV'!QVS$8,0)</f>
        <v>-0.0</v>
      </c>
      <c r="QVS53" s="5">
        <f>-IFERROR('4. NPV'!QVT23/'4. NPV'!QVT$8,0)</f>
        <v>-0.0</v>
      </c>
      <c r="QVT53" s="5">
        <f>-IFERROR('4. NPV'!QVU23/'4. NPV'!QVU$8,0)</f>
        <v>-0.0</v>
      </c>
      <c r="QVU53" s="5">
        <f>-IFERROR('4. NPV'!QVV23/'4. NPV'!QVV$8,0)</f>
        <v>-0.0</v>
      </c>
      <c r="QVV53" s="5">
        <f>-IFERROR('4. NPV'!QVW23/'4. NPV'!QVW$8,0)</f>
        <v>-0.0</v>
      </c>
      <c r="QVW53" s="5">
        <f>-IFERROR('4. NPV'!QVX23/'4. NPV'!QVX$8,0)</f>
        <v>-0.0</v>
      </c>
      <c r="QVX53" s="5">
        <f>-IFERROR('4. NPV'!QVY23/'4. NPV'!QVY$8,0)</f>
        <v>-0.0</v>
      </c>
      <c r="QVY53" s="5">
        <f>-IFERROR('4. NPV'!QVZ23/'4. NPV'!QVZ$8,0)</f>
        <v>-0.0</v>
      </c>
      <c r="QVZ53" s="5">
        <f>-IFERROR('4. NPV'!QWA23/'4. NPV'!QWA$8,0)</f>
        <v>-0.0</v>
      </c>
      <c r="QWA53" s="5">
        <f>-IFERROR('4. NPV'!QWB23/'4. NPV'!QWB$8,0)</f>
        <v>-0.0</v>
      </c>
      <c r="QWB53" s="5">
        <f>-IFERROR('4. NPV'!QWC23/'4. NPV'!QWC$8,0)</f>
        <v>-0.0</v>
      </c>
      <c r="QWC53" s="5">
        <f>-IFERROR('4. NPV'!QWD23/'4. NPV'!QWD$8,0)</f>
        <v>-0.0</v>
      </c>
      <c r="QWD53" s="5">
        <f>-IFERROR('4. NPV'!QWE23/'4. NPV'!QWE$8,0)</f>
        <v>-0.0</v>
      </c>
      <c r="QWE53" s="5">
        <f>-IFERROR('4. NPV'!QWF23/'4. NPV'!QWF$8,0)</f>
        <v>-0.0</v>
      </c>
      <c r="QWF53" s="5">
        <f>-IFERROR('4. NPV'!QWG23/'4. NPV'!QWG$8,0)</f>
        <v>-0.0</v>
      </c>
      <c r="QWG53" s="5">
        <f>-IFERROR('4. NPV'!QWH23/'4. NPV'!QWH$8,0)</f>
        <v>-0.0</v>
      </c>
      <c r="QWH53" s="5">
        <f>-IFERROR('4. NPV'!QWI23/'4. NPV'!QWI$8,0)</f>
        <v>-0.0</v>
      </c>
      <c r="QWI53" s="5">
        <f>-IFERROR('4. NPV'!QWJ23/'4. NPV'!QWJ$8,0)</f>
        <v>-0.0</v>
      </c>
      <c r="QWJ53" s="5">
        <f>-IFERROR('4. NPV'!QWK23/'4. NPV'!QWK$8,0)</f>
        <v>-0.0</v>
      </c>
      <c r="QWK53" s="5">
        <f>-IFERROR('4. NPV'!QWL23/'4. NPV'!QWL$8,0)</f>
        <v>-0.0</v>
      </c>
      <c r="QWL53" s="5">
        <f>-IFERROR('4. NPV'!QWM23/'4. NPV'!QWM$8,0)</f>
        <v>-0.0</v>
      </c>
      <c r="QWM53" s="5">
        <f>-IFERROR('4. NPV'!QWN23/'4. NPV'!QWN$8,0)</f>
        <v>-0.0</v>
      </c>
      <c r="QWN53" s="5">
        <f>-IFERROR('4. NPV'!QWO23/'4. NPV'!QWO$8,0)</f>
        <v>-0.0</v>
      </c>
      <c r="QWO53" s="5">
        <f>-IFERROR('4. NPV'!QWP23/'4. NPV'!QWP$8,0)</f>
        <v>-0.0</v>
      </c>
      <c r="QWP53" s="5">
        <f>-IFERROR('4. NPV'!QWQ23/'4. NPV'!QWQ$8,0)</f>
        <v>-0.0</v>
      </c>
      <c r="QWQ53" s="5">
        <f>-IFERROR('4. NPV'!QWR23/'4. NPV'!QWR$8,0)</f>
        <v>-0.0</v>
      </c>
      <c r="QWR53" s="5">
        <f>-IFERROR('4. NPV'!QWS23/'4. NPV'!QWS$8,0)</f>
        <v>-0.0</v>
      </c>
      <c r="QWS53" s="5">
        <f>-IFERROR('4. NPV'!QWT23/'4. NPV'!QWT$8,0)</f>
        <v>-0.0</v>
      </c>
      <c r="QWT53" s="5">
        <f>-IFERROR('4. NPV'!QWU23/'4. NPV'!QWU$8,0)</f>
        <v>-0.0</v>
      </c>
      <c r="QWU53" s="5">
        <f>-IFERROR('4. NPV'!QWV23/'4. NPV'!QWV$8,0)</f>
        <v>-0.0</v>
      </c>
      <c r="QWV53" s="5">
        <f>-IFERROR('4. NPV'!QWW23/'4. NPV'!QWW$8,0)</f>
        <v>-0.0</v>
      </c>
      <c r="QWW53" s="5">
        <f>-IFERROR('4. NPV'!QWX23/'4. NPV'!QWX$8,0)</f>
        <v>-0.0</v>
      </c>
      <c r="QWX53" s="5">
        <f>-IFERROR('4. NPV'!QWY23/'4. NPV'!QWY$8,0)</f>
        <v>-0.0</v>
      </c>
      <c r="QWY53" s="5">
        <f>-IFERROR('4. NPV'!QWZ23/'4. NPV'!QWZ$8,0)</f>
        <v>-0.0</v>
      </c>
      <c r="QWZ53" s="5">
        <f>-IFERROR('4. NPV'!QXA23/'4. NPV'!QXA$8,0)</f>
        <v>-0.0</v>
      </c>
      <c r="QXA53" s="5">
        <f>-IFERROR('4. NPV'!QXB23/'4. NPV'!QXB$8,0)</f>
        <v>-0.0</v>
      </c>
      <c r="QXB53" s="5">
        <f>-IFERROR('4. NPV'!QXC23/'4. NPV'!QXC$8,0)</f>
        <v>-0.0</v>
      </c>
      <c r="QXC53" s="5">
        <f>-IFERROR('4. NPV'!QXD23/'4. NPV'!QXD$8,0)</f>
        <v>-0.0</v>
      </c>
      <c r="QXD53" s="5">
        <f>-IFERROR('4. NPV'!QXE23/'4. NPV'!QXE$8,0)</f>
        <v>-0.0</v>
      </c>
      <c r="QXE53" s="5">
        <f>-IFERROR('4. NPV'!QXF23/'4. NPV'!QXF$8,0)</f>
        <v>-0.0</v>
      </c>
      <c r="QXF53" s="5">
        <f>-IFERROR('4. NPV'!QXG23/'4. NPV'!QXG$8,0)</f>
        <v>-0.0</v>
      </c>
      <c r="QXG53" s="5">
        <f>-IFERROR('4. NPV'!QXH23/'4. NPV'!QXH$8,0)</f>
        <v>-0.0</v>
      </c>
      <c r="QXH53" s="5">
        <f>-IFERROR('4. NPV'!QXI23/'4. NPV'!QXI$8,0)</f>
        <v>-0.0</v>
      </c>
      <c r="QXI53" s="5">
        <f>-IFERROR('4. NPV'!QXJ23/'4. NPV'!QXJ$8,0)</f>
        <v>-0.0</v>
      </c>
      <c r="QXJ53" s="5">
        <f>-IFERROR('4. NPV'!QXK23/'4. NPV'!QXK$8,0)</f>
        <v>-0.0</v>
      </c>
      <c r="QXK53" s="5">
        <f>-IFERROR('4. NPV'!QXL23/'4. NPV'!QXL$8,0)</f>
        <v>-0.0</v>
      </c>
      <c r="QXL53" s="5">
        <f>-IFERROR('4. NPV'!QXM23/'4. NPV'!QXM$8,0)</f>
        <v>-0.0</v>
      </c>
      <c r="QXM53" s="5">
        <f>-IFERROR('4. NPV'!QXN23/'4. NPV'!QXN$8,0)</f>
        <v>-0.0</v>
      </c>
      <c r="QXN53" s="5">
        <f>-IFERROR('4. NPV'!QXO23/'4. NPV'!QXO$8,0)</f>
        <v>-0.0</v>
      </c>
      <c r="QXO53" s="5">
        <f>-IFERROR('4. NPV'!QXP23/'4. NPV'!QXP$8,0)</f>
        <v>-0.0</v>
      </c>
      <c r="QXP53" s="5">
        <f>-IFERROR('4. NPV'!QXQ23/'4. NPV'!QXQ$8,0)</f>
        <v>-0.0</v>
      </c>
      <c r="QXQ53" s="5">
        <f>-IFERROR('4. NPV'!QXR23/'4. NPV'!QXR$8,0)</f>
        <v>-0.0</v>
      </c>
      <c r="QXR53" s="5">
        <f>-IFERROR('4. NPV'!QXS23/'4. NPV'!QXS$8,0)</f>
        <v>-0.0</v>
      </c>
      <c r="QXS53" s="5">
        <f>-IFERROR('4. NPV'!QXT23/'4. NPV'!QXT$8,0)</f>
        <v>-0.0</v>
      </c>
      <c r="QXT53" s="5">
        <f>-IFERROR('4. NPV'!QXU23/'4. NPV'!QXU$8,0)</f>
        <v>-0.0</v>
      </c>
      <c r="QXU53" s="5">
        <f>-IFERROR('4. NPV'!QXV23/'4. NPV'!QXV$8,0)</f>
        <v>-0.0</v>
      </c>
      <c r="QXV53" s="5">
        <f>-IFERROR('4. NPV'!QXW23/'4. NPV'!QXW$8,0)</f>
        <v>-0.0</v>
      </c>
      <c r="QXW53" s="5">
        <f>-IFERROR('4. NPV'!QXX23/'4. NPV'!QXX$8,0)</f>
        <v>-0.0</v>
      </c>
      <c r="QXX53" s="5">
        <f>-IFERROR('4. NPV'!QXY23/'4. NPV'!QXY$8,0)</f>
        <v>-0.0</v>
      </c>
      <c r="QXY53" s="5">
        <f>-IFERROR('4. NPV'!QXZ23/'4. NPV'!QXZ$8,0)</f>
        <v>-0.0</v>
      </c>
      <c r="QXZ53" s="5">
        <f>-IFERROR('4. NPV'!QYA23/'4. NPV'!QYA$8,0)</f>
        <v>-0.0</v>
      </c>
      <c r="QYA53" s="5">
        <f>-IFERROR('4. NPV'!QYB23/'4. NPV'!QYB$8,0)</f>
        <v>-0.0</v>
      </c>
      <c r="QYB53" s="5">
        <f>-IFERROR('4. NPV'!QYC23/'4. NPV'!QYC$8,0)</f>
        <v>-0.0</v>
      </c>
      <c r="QYC53" s="5">
        <f>-IFERROR('4. NPV'!QYD23/'4. NPV'!QYD$8,0)</f>
        <v>-0.0</v>
      </c>
      <c r="QYD53" s="5">
        <f>-IFERROR('4. NPV'!QYE23/'4. NPV'!QYE$8,0)</f>
        <v>-0.0</v>
      </c>
      <c r="QYE53" s="5">
        <f>-IFERROR('4. NPV'!QYF23/'4. NPV'!QYF$8,0)</f>
        <v>-0.0</v>
      </c>
      <c r="QYF53" s="5">
        <f>-IFERROR('4. NPV'!QYG23/'4. NPV'!QYG$8,0)</f>
        <v>-0.0</v>
      </c>
      <c r="QYG53" s="5">
        <f>-IFERROR('4. NPV'!QYH23/'4. NPV'!QYH$8,0)</f>
        <v>-0.0</v>
      </c>
      <c r="QYH53" s="5">
        <f>-IFERROR('4. NPV'!QYI23/'4. NPV'!QYI$8,0)</f>
        <v>-0.0</v>
      </c>
      <c r="QYI53" s="5">
        <f>-IFERROR('4. NPV'!QYJ23/'4. NPV'!QYJ$8,0)</f>
        <v>-0.0</v>
      </c>
      <c r="QYJ53" s="5">
        <f>-IFERROR('4. NPV'!QYK23/'4. NPV'!QYK$8,0)</f>
        <v>-0.0</v>
      </c>
      <c r="QYK53" s="5">
        <f>-IFERROR('4. NPV'!QYL23/'4. NPV'!QYL$8,0)</f>
        <v>-0.0</v>
      </c>
      <c r="QYL53" s="5">
        <f>-IFERROR('4. NPV'!QYM23/'4. NPV'!QYM$8,0)</f>
        <v>-0.0</v>
      </c>
      <c r="QYM53" s="5">
        <f>-IFERROR('4. NPV'!QYN23/'4. NPV'!QYN$8,0)</f>
        <v>-0.0</v>
      </c>
      <c r="QYN53" s="5">
        <f>-IFERROR('4. NPV'!QYO23/'4. NPV'!QYO$8,0)</f>
        <v>-0.0</v>
      </c>
      <c r="QYO53" s="5">
        <f>-IFERROR('4. NPV'!QYP23/'4. NPV'!QYP$8,0)</f>
        <v>-0.0</v>
      </c>
      <c r="QYP53" s="5">
        <f>-IFERROR('4. NPV'!QYQ23/'4. NPV'!QYQ$8,0)</f>
        <v>-0.0</v>
      </c>
      <c r="QYQ53" s="5">
        <f>-IFERROR('4. NPV'!QYR23/'4. NPV'!QYR$8,0)</f>
        <v>-0.0</v>
      </c>
      <c r="QYR53" s="5">
        <f>-IFERROR('4. NPV'!QYS23/'4. NPV'!QYS$8,0)</f>
        <v>-0.0</v>
      </c>
      <c r="QYS53" s="5">
        <f>-IFERROR('4. NPV'!QYT23/'4. NPV'!QYT$8,0)</f>
        <v>-0.0</v>
      </c>
      <c r="QYT53" s="5">
        <f>-IFERROR('4. NPV'!QYU23/'4. NPV'!QYU$8,0)</f>
        <v>-0.0</v>
      </c>
      <c r="QYU53" s="5">
        <f>-IFERROR('4. NPV'!QYV23/'4. NPV'!QYV$8,0)</f>
        <v>-0.0</v>
      </c>
      <c r="QYV53" s="5">
        <f>-IFERROR('4. NPV'!QYW23/'4. NPV'!QYW$8,0)</f>
        <v>-0.0</v>
      </c>
      <c r="QYW53" s="5">
        <f>-IFERROR('4. NPV'!QYX23/'4. NPV'!QYX$8,0)</f>
        <v>-0.0</v>
      </c>
      <c r="QYX53" s="5">
        <f>-IFERROR('4. NPV'!QYY23/'4. NPV'!QYY$8,0)</f>
        <v>-0.0</v>
      </c>
      <c r="QYY53" s="5">
        <f>-IFERROR('4. NPV'!QYZ23/'4. NPV'!QYZ$8,0)</f>
        <v>-0.0</v>
      </c>
      <c r="QYZ53" s="5">
        <f>-IFERROR('4. NPV'!QZA23/'4. NPV'!QZA$8,0)</f>
        <v>-0.0</v>
      </c>
      <c r="QZA53" s="5">
        <f>-IFERROR('4. NPV'!QZB23/'4. NPV'!QZB$8,0)</f>
        <v>-0.0</v>
      </c>
      <c r="QZB53" s="5">
        <f>-IFERROR('4. NPV'!QZC23/'4. NPV'!QZC$8,0)</f>
        <v>-0.0</v>
      </c>
      <c r="QZC53" s="5">
        <f>-IFERROR('4. NPV'!QZD23/'4. NPV'!QZD$8,0)</f>
        <v>-0.0</v>
      </c>
      <c r="QZD53" s="5">
        <f>-IFERROR('4. NPV'!QZE23/'4. NPV'!QZE$8,0)</f>
        <v>-0.0</v>
      </c>
      <c r="QZE53" s="5">
        <f>-IFERROR('4. NPV'!QZF23/'4. NPV'!QZF$8,0)</f>
        <v>-0.0</v>
      </c>
      <c r="QZF53" s="5">
        <f>-IFERROR('4. NPV'!QZG23/'4. NPV'!QZG$8,0)</f>
        <v>-0.0</v>
      </c>
      <c r="QZG53" s="5">
        <f>-IFERROR('4. NPV'!QZH23/'4. NPV'!QZH$8,0)</f>
        <v>-0.0</v>
      </c>
      <c r="QZH53" s="5">
        <f>-IFERROR('4. NPV'!QZI23/'4. NPV'!QZI$8,0)</f>
        <v>-0.0</v>
      </c>
      <c r="QZI53" s="5">
        <f>-IFERROR('4. NPV'!QZJ23/'4. NPV'!QZJ$8,0)</f>
        <v>-0.0</v>
      </c>
      <c r="QZJ53" s="5">
        <f>-IFERROR('4. NPV'!QZK23/'4. NPV'!QZK$8,0)</f>
        <v>-0.0</v>
      </c>
      <c r="QZK53" s="5">
        <f>-IFERROR('4. NPV'!QZL23/'4. NPV'!QZL$8,0)</f>
        <v>-0.0</v>
      </c>
      <c r="QZL53" s="5">
        <f>-IFERROR('4. NPV'!QZM23/'4. NPV'!QZM$8,0)</f>
        <v>-0.0</v>
      </c>
      <c r="QZM53" s="5">
        <f>-IFERROR('4. NPV'!QZN23/'4. NPV'!QZN$8,0)</f>
        <v>-0.0</v>
      </c>
      <c r="QZN53" s="5">
        <f>-IFERROR('4. NPV'!QZO23/'4. NPV'!QZO$8,0)</f>
        <v>-0.0</v>
      </c>
      <c r="QZO53" s="5">
        <f>-IFERROR('4. NPV'!QZP23/'4. NPV'!QZP$8,0)</f>
        <v>-0.0</v>
      </c>
      <c r="QZP53" s="5">
        <f>-IFERROR('4. NPV'!QZQ23/'4. NPV'!QZQ$8,0)</f>
        <v>-0.0</v>
      </c>
      <c r="QZQ53" s="5">
        <f>-IFERROR('4. NPV'!QZR23/'4. NPV'!QZR$8,0)</f>
        <v>-0.0</v>
      </c>
      <c r="QZR53" s="5">
        <f>-IFERROR('4. NPV'!QZS23/'4. NPV'!QZS$8,0)</f>
        <v>-0.0</v>
      </c>
      <c r="QZS53" s="5">
        <f>-IFERROR('4. NPV'!QZT23/'4. NPV'!QZT$8,0)</f>
        <v>-0.0</v>
      </c>
      <c r="QZT53" s="5">
        <f>-IFERROR('4. NPV'!QZU23/'4. NPV'!QZU$8,0)</f>
        <v>-0.0</v>
      </c>
      <c r="QZU53" s="5">
        <f>-IFERROR('4. NPV'!QZV23/'4. NPV'!QZV$8,0)</f>
        <v>-0.0</v>
      </c>
      <c r="QZV53" s="5">
        <f>-IFERROR('4. NPV'!QZW23/'4. NPV'!QZW$8,0)</f>
        <v>-0.0</v>
      </c>
      <c r="QZW53" s="5">
        <f>-IFERROR('4. NPV'!QZX23/'4. NPV'!QZX$8,0)</f>
        <v>-0.0</v>
      </c>
      <c r="QZX53" s="5">
        <f>-IFERROR('4. NPV'!QZY23/'4. NPV'!QZY$8,0)</f>
        <v>-0.0</v>
      </c>
      <c r="QZY53" s="5">
        <f>-IFERROR('4. NPV'!QZZ23/'4. NPV'!QZZ$8,0)</f>
        <v>-0.0</v>
      </c>
      <c r="QZZ53" s="5">
        <f>-IFERROR('4. NPV'!RAA23/'4. NPV'!RAA$8,0)</f>
        <v>-0.0</v>
      </c>
      <c r="RAA53" s="5">
        <f>-IFERROR('4. NPV'!RAB23/'4. NPV'!RAB$8,0)</f>
        <v>-0.0</v>
      </c>
      <c r="RAB53" s="5">
        <f>-IFERROR('4. NPV'!RAC23/'4. NPV'!RAC$8,0)</f>
        <v>-0.0</v>
      </c>
      <c r="RAC53" s="5">
        <f>-IFERROR('4. NPV'!RAD23/'4. NPV'!RAD$8,0)</f>
        <v>-0.0</v>
      </c>
      <c r="RAD53" s="5">
        <f>-IFERROR('4. NPV'!RAE23/'4. NPV'!RAE$8,0)</f>
        <v>-0.0</v>
      </c>
      <c r="RAE53" s="5">
        <f>-IFERROR('4. NPV'!RAF23/'4. NPV'!RAF$8,0)</f>
        <v>-0.0</v>
      </c>
      <c r="RAF53" s="5">
        <f>-IFERROR('4. NPV'!RAG23/'4. NPV'!RAG$8,0)</f>
        <v>-0.0</v>
      </c>
      <c r="RAG53" s="5">
        <f>-IFERROR('4. NPV'!RAH23/'4. NPV'!RAH$8,0)</f>
        <v>-0.0</v>
      </c>
      <c r="RAH53" s="5">
        <f>-IFERROR('4. NPV'!RAI23/'4. NPV'!RAI$8,0)</f>
        <v>-0.0</v>
      </c>
      <c r="RAI53" s="5">
        <f>-IFERROR('4. NPV'!RAJ23/'4. NPV'!RAJ$8,0)</f>
        <v>-0.0</v>
      </c>
      <c r="RAJ53" s="5">
        <f>-IFERROR('4. NPV'!RAK23/'4. NPV'!RAK$8,0)</f>
        <v>-0.0</v>
      </c>
      <c r="RAK53" s="5">
        <f>-IFERROR('4. NPV'!RAL23/'4. NPV'!RAL$8,0)</f>
        <v>-0.0</v>
      </c>
      <c r="RAL53" s="5">
        <f>-IFERROR('4. NPV'!RAM23/'4. NPV'!RAM$8,0)</f>
        <v>-0.0</v>
      </c>
      <c r="RAM53" s="5">
        <f>-IFERROR('4. NPV'!RAN23/'4. NPV'!RAN$8,0)</f>
        <v>-0.0</v>
      </c>
      <c r="RAN53" s="5">
        <f>-IFERROR('4. NPV'!RAO23/'4. NPV'!RAO$8,0)</f>
        <v>-0.0</v>
      </c>
      <c r="RAO53" s="5">
        <f>-IFERROR('4. NPV'!RAP23/'4. NPV'!RAP$8,0)</f>
        <v>-0.0</v>
      </c>
      <c r="RAP53" s="5">
        <f>-IFERROR('4. NPV'!RAQ23/'4. NPV'!RAQ$8,0)</f>
        <v>-0.0</v>
      </c>
      <c r="RAQ53" s="5">
        <f>-IFERROR('4. NPV'!RAR23/'4. NPV'!RAR$8,0)</f>
        <v>-0.0</v>
      </c>
      <c r="RAR53" s="5">
        <f>-IFERROR('4. NPV'!RAS23/'4. NPV'!RAS$8,0)</f>
        <v>-0.0</v>
      </c>
      <c r="RAS53" s="5">
        <f>-IFERROR('4. NPV'!RAT23/'4. NPV'!RAT$8,0)</f>
        <v>-0.0</v>
      </c>
      <c r="RAT53" s="5">
        <f>-IFERROR('4. NPV'!RAU23/'4. NPV'!RAU$8,0)</f>
        <v>-0.0</v>
      </c>
      <c r="RAU53" s="5">
        <f>-IFERROR('4. NPV'!RAV23/'4. NPV'!RAV$8,0)</f>
        <v>-0.0</v>
      </c>
      <c r="RAV53" s="5">
        <f>-IFERROR('4. NPV'!RAW23/'4. NPV'!RAW$8,0)</f>
        <v>-0.0</v>
      </c>
      <c r="RAW53" s="5">
        <f>-IFERROR('4. NPV'!RAX23/'4. NPV'!RAX$8,0)</f>
        <v>-0.0</v>
      </c>
      <c r="RAX53" s="5">
        <f>-IFERROR('4. NPV'!RAY23/'4. NPV'!RAY$8,0)</f>
        <v>-0.0</v>
      </c>
      <c r="RAY53" s="5">
        <f>-IFERROR('4. NPV'!RAZ23/'4. NPV'!RAZ$8,0)</f>
        <v>-0.0</v>
      </c>
      <c r="RAZ53" s="5">
        <f>-IFERROR('4. NPV'!RBA23/'4. NPV'!RBA$8,0)</f>
        <v>-0.0</v>
      </c>
      <c r="RBA53" s="5">
        <f>-IFERROR('4. NPV'!RBB23/'4. NPV'!RBB$8,0)</f>
        <v>-0.0</v>
      </c>
      <c r="RBB53" s="5">
        <f>-IFERROR('4. NPV'!RBC23/'4. NPV'!RBC$8,0)</f>
        <v>-0.0</v>
      </c>
      <c r="RBC53" s="5">
        <f>-IFERROR('4. NPV'!RBD23/'4. NPV'!RBD$8,0)</f>
        <v>-0.0</v>
      </c>
      <c r="RBD53" s="5">
        <f>-IFERROR('4. NPV'!RBE23/'4. NPV'!RBE$8,0)</f>
        <v>-0.0</v>
      </c>
      <c r="RBE53" s="5">
        <f>-IFERROR('4. NPV'!RBF23/'4. NPV'!RBF$8,0)</f>
        <v>-0.0</v>
      </c>
      <c r="RBF53" s="5">
        <f>-IFERROR('4. NPV'!RBG23/'4. NPV'!RBG$8,0)</f>
        <v>-0.0</v>
      </c>
      <c r="RBG53" s="5">
        <f>-IFERROR('4. NPV'!RBH23/'4. NPV'!RBH$8,0)</f>
        <v>-0.0</v>
      </c>
      <c r="RBH53" s="5">
        <f>-IFERROR('4. NPV'!RBI23/'4. NPV'!RBI$8,0)</f>
        <v>-0.0</v>
      </c>
      <c r="RBI53" s="5">
        <f>-IFERROR('4. NPV'!RBJ23/'4. NPV'!RBJ$8,0)</f>
        <v>-0.0</v>
      </c>
      <c r="RBJ53" s="5">
        <f>-IFERROR('4. NPV'!RBK23/'4. NPV'!RBK$8,0)</f>
        <v>-0.0</v>
      </c>
      <c r="RBK53" s="5">
        <f>-IFERROR('4. NPV'!RBL23/'4. NPV'!RBL$8,0)</f>
        <v>-0.0</v>
      </c>
      <c r="RBL53" s="5">
        <f>-IFERROR('4. NPV'!RBM23/'4. NPV'!RBM$8,0)</f>
        <v>-0.0</v>
      </c>
      <c r="RBM53" s="5">
        <f>-IFERROR('4. NPV'!RBN23/'4. NPV'!RBN$8,0)</f>
        <v>-0.0</v>
      </c>
      <c r="RBN53" s="5">
        <f>-IFERROR('4. NPV'!RBO23/'4. NPV'!RBO$8,0)</f>
        <v>-0.0</v>
      </c>
      <c r="RBO53" s="5">
        <f>-IFERROR('4. NPV'!RBP23/'4. NPV'!RBP$8,0)</f>
        <v>-0.0</v>
      </c>
      <c r="RBP53" s="5">
        <f>-IFERROR('4. NPV'!RBQ23/'4. NPV'!RBQ$8,0)</f>
        <v>-0.0</v>
      </c>
      <c r="RBQ53" s="5">
        <f>-IFERROR('4. NPV'!RBR23/'4. NPV'!RBR$8,0)</f>
        <v>-0.0</v>
      </c>
      <c r="RBR53" s="5">
        <f>-IFERROR('4. NPV'!RBS23/'4. NPV'!RBS$8,0)</f>
        <v>-0.0</v>
      </c>
      <c r="RBS53" s="5">
        <f>-IFERROR('4. NPV'!RBT23/'4. NPV'!RBT$8,0)</f>
        <v>-0.0</v>
      </c>
      <c r="RBT53" s="5">
        <f>-IFERROR('4. NPV'!RBU23/'4. NPV'!RBU$8,0)</f>
        <v>-0.0</v>
      </c>
      <c r="RBU53" s="5">
        <f>-IFERROR('4. NPV'!RBV23/'4. NPV'!RBV$8,0)</f>
        <v>-0.0</v>
      </c>
      <c r="RBV53" s="5">
        <f>-IFERROR('4. NPV'!RBW23/'4. NPV'!RBW$8,0)</f>
        <v>-0.0</v>
      </c>
      <c r="RBW53" s="5">
        <f>-IFERROR('4. NPV'!RBX23/'4. NPV'!RBX$8,0)</f>
        <v>-0.0</v>
      </c>
      <c r="RBX53" s="5">
        <f>-IFERROR('4. NPV'!RBY23/'4. NPV'!RBY$8,0)</f>
        <v>-0.0</v>
      </c>
      <c r="RBY53" s="5">
        <f>-IFERROR('4. NPV'!RBZ23/'4. NPV'!RBZ$8,0)</f>
        <v>-0.0</v>
      </c>
      <c r="RBZ53" s="5">
        <f>-IFERROR('4. NPV'!RCA23/'4. NPV'!RCA$8,0)</f>
        <v>-0.0</v>
      </c>
      <c r="RCA53" s="5">
        <f>-IFERROR('4. NPV'!RCB23/'4. NPV'!RCB$8,0)</f>
        <v>-0.0</v>
      </c>
      <c r="RCB53" s="5">
        <f>-IFERROR('4. NPV'!RCC23/'4. NPV'!RCC$8,0)</f>
        <v>-0.0</v>
      </c>
      <c r="RCC53" s="5">
        <f>-IFERROR('4. NPV'!RCD23/'4. NPV'!RCD$8,0)</f>
        <v>-0.0</v>
      </c>
      <c r="RCD53" s="5">
        <f>-IFERROR('4. NPV'!RCE23/'4. NPV'!RCE$8,0)</f>
        <v>-0.0</v>
      </c>
      <c r="RCE53" s="5">
        <f>-IFERROR('4. NPV'!RCF23/'4. NPV'!RCF$8,0)</f>
        <v>-0.0</v>
      </c>
      <c r="RCF53" s="5">
        <f>-IFERROR('4. NPV'!RCG23/'4. NPV'!RCG$8,0)</f>
        <v>-0.0</v>
      </c>
      <c r="RCG53" s="5">
        <f>-IFERROR('4. NPV'!RCH23/'4. NPV'!RCH$8,0)</f>
        <v>-0.0</v>
      </c>
      <c r="RCH53" s="5">
        <f>-IFERROR('4. NPV'!RCI23/'4. NPV'!RCI$8,0)</f>
        <v>-0.0</v>
      </c>
      <c r="RCI53" s="5">
        <f>-IFERROR('4. NPV'!RCJ23/'4. NPV'!RCJ$8,0)</f>
        <v>-0.0</v>
      </c>
      <c r="RCJ53" s="5">
        <f>-IFERROR('4. NPV'!RCK23/'4. NPV'!RCK$8,0)</f>
        <v>-0.0</v>
      </c>
      <c r="RCK53" s="5">
        <f>-IFERROR('4. NPV'!RCL23/'4. NPV'!RCL$8,0)</f>
        <v>-0.0</v>
      </c>
      <c r="RCL53" s="5">
        <f>-IFERROR('4. NPV'!RCM23/'4. NPV'!RCM$8,0)</f>
        <v>-0.0</v>
      </c>
      <c r="RCM53" s="5">
        <f>-IFERROR('4. NPV'!RCN23/'4. NPV'!RCN$8,0)</f>
        <v>-0.0</v>
      </c>
      <c r="RCN53" s="5">
        <f>-IFERROR('4. NPV'!RCO23/'4. NPV'!RCO$8,0)</f>
        <v>-0.0</v>
      </c>
      <c r="RCO53" s="5">
        <f>-IFERROR('4. NPV'!RCP23/'4. NPV'!RCP$8,0)</f>
        <v>-0.0</v>
      </c>
      <c r="RCP53" s="5">
        <f>-IFERROR('4. NPV'!RCQ23/'4. NPV'!RCQ$8,0)</f>
        <v>-0.0</v>
      </c>
      <c r="RCQ53" s="5">
        <f>-IFERROR('4. NPV'!RCR23/'4. NPV'!RCR$8,0)</f>
        <v>-0.0</v>
      </c>
      <c r="RCR53" s="5">
        <f>-IFERROR('4. NPV'!RCS23/'4. NPV'!RCS$8,0)</f>
        <v>-0.0</v>
      </c>
      <c r="RCS53" s="5">
        <f>-IFERROR('4. NPV'!RCT23/'4. NPV'!RCT$8,0)</f>
        <v>-0.0</v>
      </c>
      <c r="RCT53" s="5">
        <f>-IFERROR('4. NPV'!RCU23/'4. NPV'!RCU$8,0)</f>
        <v>-0.0</v>
      </c>
      <c r="RCU53" s="5">
        <f>-IFERROR('4. NPV'!RCV23/'4. NPV'!RCV$8,0)</f>
        <v>-0.0</v>
      </c>
      <c r="RCV53" s="5">
        <f>-IFERROR('4. NPV'!RCW23/'4. NPV'!RCW$8,0)</f>
        <v>-0.0</v>
      </c>
      <c r="RCW53" s="5">
        <f>-IFERROR('4. NPV'!RCX23/'4. NPV'!RCX$8,0)</f>
        <v>-0.0</v>
      </c>
      <c r="RCX53" s="5">
        <f>-IFERROR('4. NPV'!RCY23/'4. NPV'!RCY$8,0)</f>
        <v>-0.0</v>
      </c>
      <c r="RCY53" s="5">
        <f>-IFERROR('4. NPV'!RCZ23/'4. NPV'!RCZ$8,0)</f>
        <v>-0.0</v>
      </c>
      <c r="RCZ53" s="5">
        <f>-IFERROR('4. NPV'!RDA23/'4. NPV'!RDA$8,0)</f>
        <v>-0.0</v>
      </c>
      <c r="RDA53" s="5">
        <f>-IFERROR('4. NPV'!RDB23/'4. NPV'!RDB$8,0)</f>
        <v>-0.0</v>
      </c>
      <c r="RDB53" s="5">
        <f>-IFERROR('4. NPV'!RDC23/'4. NPV'!RDC$8,0)</f>
        <v>-0.0</v>
      </c>
      <c r="RDC53" s="5">
        <f>-IFERROR('4. NPV'!RDD23/'4. NPV'!RDD$8,0)</f>
        <v>-0.0</v>
      </c>
      <c r="RDD53" s="5">
        <f>-IFERROR('4. NPV'!RDE23/'4. NPV'!RDE$8,0)</f>
        <v>-0.0</v>
      </c>
      <c r="RDE53" s="5">
        <f>-IFERROR('4. NPV'!RDF23/'4. NPV'!RDF$8,0)</f>
        <v>-0.0</v>
      </c>
      <c r="RDF53" s="5">
        <f>-IFERROR('4. NPV'!RDG23/'4. NPV'!RDG$8,0)</f>
        <v>-0.0</v>
      </c>
      <c r="RDG53" s="5">
        <f>-IFERROR('4. NPV'!RDH23/'4. NPV'!RDH$8,0)</f>
        <v>-0.0</v>
      </c>
      <c r="RDH53" s="5">
        <f>-IFERROR('4. NPV'!RDI23/'4. NPV'!RDI$8,0)</f>
        <v>-0.0</v>
      </c>
      <c r="RDI53" s="5">
        <f>-IFERROR('4. NPV'!RDJ23/'4. NPV'!RDJ$8,0)</f>
        <v>-0.0</v>
      </c>
      <c r="RDJ53" s="5">
        <f>-IFERROR('4. NPV'!RDK23/'4. NPV'!RDK$8,0)</f>
        <v>-0.0</v>
      </c>
      <c r="RDK53" s="5">
        <f>-IFERROR('4. NPV'!RDL23/'4. NPV'!RDL$8,0)</f>
        <v>-0.0</v>
      </c>
      <c r="RDL53" s="5">
        <f>-IFERROR('4. NPV'!RDM23/'4. NPV'!RDM$8,0)</f>
        <v>-0.0</v>
      </c>
      <c r="RDM53" s="5">
        <f>-IFERROR('4. NPV'!RDN23/'4. NPV'!RDN$8,0)</f>
        <v>-0.0</v>
      </c>
      <c r="RDN53" s="5">
        <f>-IFERROR('4. NPV'!RDO23/'4. NPV'!RDO$8,0)</f>
        <v>-0.0</v>
      </c>
      <c r="RDO53" s="5">
        <f>-IFERROR('4. NPV'!RDP23/'4. NPV'!RDP$8,0)</f>
        <v>-0.0</v>
      </c>
      <c r="RDP53" s="5">
        <f>-IFERROR('4. NPV'!RDQ23/'4. NPV'!RDQ$8,0)</f>
        <v>-0.0</v>
      </c>
      <c r="RDQ53" s="5">
        <f>-IFERROR('4. NPV'!RDR23/'4. NPV'!RDR$8,0)</f>
        <v>-0.0</v>
      </c>
      <c r="RDR53" s="5">
        <f>-IFERROR('4. NPV'!RDS23/'4. NPV'!RDS$8,0)</f>
        <v>-0.0</v>
      </c>
      <c r="RDS53" s="5">
        <f>-IFERROR('4. NPV'!RDT23/'4. NPV'!RDT$8,0)</f>
        <v>-0.0</v>
      </c>
      <c r="RDT53" s="5">
        <f>-IFERROR('4. NPV'!RDU23/'4. NPV'!RDU$8,0)</f>
        <v>-0.0</v>
      </c>
      <c r="RDU53" s="5">
        <f>-IFERROR('4. NPV'!RDV23/'4. NPV'!RDV$8,0)</f>
        <v>-0.0</v>
      </c>
      <c r="RDV53" s="5">
        <f>-IFERROR('4. NPV'!RDW23/'4. NPV'!RDW$8,0)</f>
        <v>-0.0</v>
      </c>
      <c r="RDW53" s="5">
        <f>-IFERROR('4. NPV'!RDX23/'4. NPV'!RDX$8,0)</f>
        <v>-0.0</v>
      </c>
      <c r="RDX53" s="5">
        <f>-IFERROR('4. NPV'!RDY23/'4. NPV'!RDY$8,0)</f>
        <v>-0.0</v>
      </c>
      <c r="RDY53" s="5">
        <f>-IFERROR('4. NPV'!RDZ23/'4. NPV'!RDZ$8,0)</f>
        <v>-0.0</v>
      </c>
      <c r="RDZ53" s="5">
        <f>-IFERROR('4. NPV'!REA23/'4. NPV'!REA$8,0)</f>
        <v>-0.0</v>
      </c>
      <c r="REA53" s="5">
        <f>-IFERROR('4. NPV'!REB23/'4. NPV'!REB$8,0)</f>
        <v>-0.0</v>
      </c>
      <c r="REB53" s="5">
        <f>-IFERROR('4. NPV'!REC23/'4. NPV'!REC$8,0)</f>
        <v>-0.0</v>
      </c>
      <c r="REC53" s="5">
        <f>-IFERROR('4. NPV'!RED23/'4. NPV'!RED$8,0)</f>
        <v>-0.0</v>
      </c>
      <c r="RED53" s="5">
        <f>-IFERROR('4. NPV'!REE23/'4. NPV'!REE$8,0)</f>
        <v>-0.0</v>
      </c>
      <c r="REE53" s="5">
        <f>-IFERROR('4. NPV'!REF23/'4. NPV'!REF$8,0)</f>
        <v>-0.0</v>
      </c>
      <c r="REF53" s="5">
        <f>-IFERROR('4. NPV'!REG23/'4. NPV'!REG$8,0)</f>
        <v>-0.0</v>
      </c>
      <c r="REG53" s="5">
        <f>-IFERROR('4. NPV'!REH23/'4. NPV'!REH$8,0)</f>
        <v>-0.0</v>
      </c>
      <c r="REH53" s="5">
        <f>-IFERROR('4. NPV'!REI23/'4. NPV'!REI$8,0)</f>
        <v>-0.0</v>
      </c>
      <c r="REI53" s="5">
        <f>-IFERROR('4. NPV'!REJ23/'4. NPV'!REJ$8,0)</f>
        <v>-0.0</v>
      </c>
      <c r="REJ53" s="5">
        <f>-IFERROR('4. NPV'!REK23/'4. NPV'!REK$8,0)</f>
        <v>-0.0</v>
      </c>
      <c r="REK53" s="5">
        <f>-IFERROR('4. NPV'!REL23/'4. NPV'!REL$8,0)</f>
        <v>-0.0</v>
      </c>
      <c r="REL53" s="5">
        <f>-IFERROR('4. NPV'!REM23/'4. NPV'!REM$8,0)</f>
        <v>-0.0</v>
      </c>
      <c r="REM53" s="5">
        <f>-IFERROR('4. NPV'!REN23/'4. NPV'!REN$8,0)</f>
        <v>-0.0</v>
      </c>
      <c r="REN53" s="5">
        <f>-IFERROR('4. NPV'!REO23/'4. NPV'!REO$8,0)</f>
        <v>-0.0</v>
      </c>
      <c r="REO53" s="5">
        <f>-IFERROR('4. NPV'!REP23/'4. NPV'!REP$8,0)</f>
        <v>-0.0</v>
      </c>
      <c r="REP53" s="5">
        <f>-IFERROR('4. NPV'!REQ23/'4. NPV'!REQ$8,0)</f>
        <v>-0.0</v>
      </c>
      <c r="REQ53" s="5">
        <f>-IFERROR('4. NPV'!RER23/'4. NPV'!RER$8,0)</f>
        <v>-0.0</v>
      </c>
      <c r="RER53" s="5">
        <f>-IFERROR('4. NPV'!RES23/'4. NPV'!RES$8,0)</f>
        <v>-0.0</v>
      </c>
      <c r="RES53" s="5">
        <f>-IFERROR('4. NPV'!RET23/'4. NPV'!RET$8,0)</f>
        <v>-0.0</v>
      </c>
      <c r="RET53" s="5">
        <f>-IFERROR('4. NPV'!REU23/'4. NPV'!REU$8,0)</f>
        <v>-0.0</v>
      </c>
      <c r="REU53" s="5">
        <f>-IFERROR('4. NPV'!REV23/'4. NPV'!REV$8,0)</f>
        <v>-0.0</v>
      </c>
      <c r="REV53" s="5">
        <f>-IFERROR('4. NPV'!REW23/'4. NPV'!REW$8,0)</f>
        <v>-0.0</v>
      </c>
      <c r="REW53" s="5">
        <f>-IFERROR('4. NPV'!REX23/'4. NPV'!REX$8,0)</f>
        <v>-0.0</v>
      </c>
      <c r="REX53" s="5">
        <f>-IFERROR('4. NPV'!REY23/'4. NPV'!REY$8,0)</f>
        <v>-0.0</v>
      </c>
      <c r="REY53" s="5">
        <f>-IFERROR('4. NPV'!REZ23/'4. NPV'!REZ$8,0)</f>
        <v>-0.0</v>
      </c>
      <c r="REZ53" s="5">
        <f>-IFERROR('4. NPV'!RFA23/'4. NPV'!RFA$8,0)</f>
        <v>-0.0</v>
      </c>
      <c r="RFA53" s="5">
        <f>-IFERROR('4. NPV'!RFB23/'4. NPV'!RFB$8,0)</f>
        <v>-0.0</v>
      </c>
      <c r="RFB53" s="5">
        <f>-IFERROR('4. NPV'!RFC23/'4. NPV'!RFC$8,0)</f>
        <v>-0.0</v>
      </c>
      <c r="RFC53" s="5">
        <f>-IFERROR('4. NPV'!RFD23/'4. NPV'!RFD$8,0)</f>
        <v>-0.0</v>
      </c>
      <c r="RFD53" s="5">
        <f>-IFERROR('4. NPV'!RFE23/'4. NPV'!RFE$8,0)</f>
        <v>-0.0</v>
      </c>
      <c r="RFE53" s="5">
        <f>-IFERROR('4. NPV'!RFF23/'4. NPV'!RFF$8,0)</f>
        <v>-0.0</v>
      </c>
      <c r="RFF53" s="5">
        <f>-IFERROR('4. NPV'!RFG23/'4. NPV'!RFG$8,0)</f>
        <v>-0.0</v>
      </c>
      <c r="RFG53" s="5">
        <f>-IFERROR('4. NPV'!RFH23/'4. NPV'!RFH$8,0)</f>
        <v>-0.0</v>
      </c>
      <c r="RFH53" s="5">
        <f>-IFERROR('4. NPV'!RFI23/'4. NPV'!RFI$8,0)</f>
        <v>-0.0</v>
      </c>
      <c r="RFI53" s="5">
        <f>-IFERROR('4. NPV'!RFJ23/'4. NPV'!RFJ$8,0)</f>
        <v>-0.0</v>
      </c>
      <c r="RFJ53" s="5">
        <f>-IFERROR('4. NPV'!RFK23/'4. NPV'!RFK$8,0)</f>
        <v>-0.0</v>
      </c>
      <c r="RFK53" s="5">
        <f>-IFERROR('4. NPV'!RFL23/'4. NPV'!RFL$8,0)</f>
        <v>-0.0</v>
      </c>
      <c r="RFL53" s="5">
        <f>-IFERROR('4. NPV'!RFM23/'4. NPV'!RFM$8,0)</f>
        <v>-0.0</v>
      </c>
      <c r="RFM53" s="5">
        <f>-IFERROR('4. NPV'!RFN23/'4. NPV'!RFN$8,0)</f>
        <v>-0.0</v>
      </c>
      <c r="RFN53" s="5">
        <f>-IFERROR('4. NPV'!RFO23/'4. NPV'!RFO$8,0)</f>
        <v>-0.0</v>
      </c>
      <c r="RFO53" s="5">
        <f>-IFERROR('4. NPV'!RFP23/'4. NPV'!RFP$8,0)</f>
        <v>-0.0</v>
      </c>
      <c r="RFP53" s="5">
        <f>-IFERROR('4. NPV'!RFQ23/'4. NPV'!RFQ$8,0)</f>
        <v>-0.0</v>
      </c>
      <c r="RFQ53" s="5">
        <f>-IFERROR('4. NPV'!RFR23/'4. NPV'!RFR$8,0)</f>
        <v>-0.0</v>
      </c>
      <c r="RFR53" s="5">
        <f>-IFERROR('4. NPV'!RFS23/'4. NPV'!RFS$8,0)</f>
        <v>-0.0</v>
      </c>
      <c r="RFS53" s="5">
        <f>-IFERROR('4. NPV'!RFT23/'4. NPV'!RFT$8,0)</f>
        <v>-0.0</v>
      </c>
      <c r="RFT53" s="5">
        <f>-IFERROR('4. NPV'!RFU23/'4. NPV'!RFU$8,0)</f>
        <v>-0.0</v>
      </c>
      <c r="RFU53" s="5">
        <f>-IFERROR('4. NPV'!RFV23/'4. NPV'!RFV$8,0)</f>
        <v>-0.0</v>
      </c>
      <c r="RFV53" s="5">
        <f>-IFERROR('4. NPV'!RFW23/'4. NPV'!RFW$8,0)</f>
        <v>-0.0</v>
      </c>
      <c r="RFW53" s="5">
        <f>-IFERROR('4. NPV'!RFX23/'4. NPV'!RFX$8,0)</f>
        <v>-0.0</v>
      </c>
      <c r="RFX53" s="5">
        <f>-IFERROR('4. NPV'!RFY23/'4. NPV'!RFY$8,0)</f>
        <v>-0.0</v>
      </c>
      <c r="RFY53" s="5">
        <f>-IFERROR('4. NPV'!RFZ23/'4. NPV'!RFZ$8,0)</f>
        <v>-0.0</v>
      </c>
      <c r="RFZ53" s="5">
        <f>-IFERROR('4. NPV'!RGA23/'4. NPV'!RGA$8,0)</f>
        <v>-0.0</v>
      </c>
      <c r="RGA53" s="5">
        <f>-IFERROR('4. NPV'!RGB23/'4. NPV'!RGB$8,0)</f>
        <v>-0.0</v>
      </c>
      <c r="RGB53" s="5">
        <f>-IFERROR('4. NPV'!RGC23/'4. NPV'!RGC$8,0)</f>
        <v>-0.0</v>
      </c>
      <c r="RGC53" s="5">
        <f>-IFERROR('4. NPV'!RGD23/'4. NPV'!RGD$8,0)</f>
        <v>-0.0</v>
      </c>
      <c r="RGD53" s="5">
        <f>-IFERROR('4. NPV'!RGE23/'4. NPV'!RGE$8,0)</f>
        <v>-0.0</v>
      </c>
      <c r="RGE53" s="5">
        <f>-IFERROR('4. NPV'!RGF23/'4. NPV'!RGF$8,0)</f>
        <v>-0.0</v>
      </c>
      <c r="RGF53" s="5">
        <f>-IFERROR('4. NPV'!RGG23/'4. NPV'!RGG$8,0)</f>
        <v>-0.0</v>
      </c>
      <c r="RGG53" s="5">
        <f>-IFERROR('4. NPV'!RGH23/'4. NPV'!RGH$8,0)</f>
        <v>-0.0</v>
      </c>
      <c r="RGH53" s="5">
        <f>-IFERROR('4. NPV'!RGI23/'4. NPV'!RGI$8,0)</f>
        <v>-0.0</v>
      </c>
      <c r="RGI53" s="5">
        <f>-IFERROR('4. NPV'!RGJ23/'4. NPV'!RGJ$8,0)</f>
        <v>-0.0</v>
      </c>
      <c r="RGJ53" s="5">
        <f>-IFERROR('4. NPV'!RGK23/'4. NPV'!RGK$8,0)</f>
        <v>-0.0</v>
      </c>
      <c r="RGK53" s="5">
        <f>-IFERROR('4. NPV'!RGL23/'4. NPV'!RGL$8,0)</f>
        <v>-0.0</v>
      </c>
      <c r="RGL53" s="5">
        <f>-IFERROR('4. NPV'!RGM23/'4. NPV'!RGM$8,0)</f>
        <v>-0.0</v>
      </c>
      <c r="RGM53" s="5">
        <f>-IFERROR('4. NPV'!RGN23/'4. NPV'!RGN$8,0)</f>
        <v>-0.0</v>
      </c>
      <c r="RGN53" s="5">
        <f>-IFERROR('4. NPV'!RGO23/'4. NPV'!RGO$8,0)</f>
        <v>-0.0</v>
      </c>
      <c r="RGO53" s="5">
        <f>-IFERROR('4. NPV'!RGP23/'4. NPV'!RGP$8,0)</f>
        <v>-0.0</v>
      </c>
      <c r="RGP53" s="5">
        <f>-IFERROR('4. NPV'!RGQ23/'4. NPV'!RGQ$8,0)</f>
        <v>-0.0</v>
      </c>
      <c r="RGQ53" s="5">
        <f>-IFERROR('4. NPV'!RGR23/'4. NPV'!RGR$8,0)</f>
        <v>-0.0</v>
      </c>
      <c r="RGR53" s="5">
        <f>-IFERROR('4. NPV'!RGS23/'4. NPV'!RGS$8,0)</f>
        <v>-0.0</v>
      </c>
      <c r="RGS53" s="5">
        <f>-IFERROR('4. NPV'!RGT23/'4. NPV'!RGT$8,0)</f>
        <v>-0.0</v>
      </c>
      <c r="RGT53" s="5">
        <f>-IFERROR('4. NPV'!RGU23/'4. NPV'!RGU$8,0)</f>
        <v>-0.0</v>
      </c>
      <c r="RGU53" s="5">
        <f>-IFERROR('4. NPV'!RGV23/'4. NPV'!RGV$8,0)</f>
        <v>-0.0</v>
      </c>
      <c r="RGV53" s="5">
        <f>-IFERROR('4. NPV'!RGW23/'4. NPV'!RGW$8,0)</f>
        <v>-0.0</v>
      </c>
      <c r="RGW53" s="5">
        <f>-IFERROR('4. NPV'!RGX23/'4. NPV'!RGX$8,0)</f>
        <v>-0.0</v>
      </c>
      <c r="RGX53" s="5">
        <f>-IFERROR('4. NPV'!RGY23/'4. NPV'!RGY$8,0)</f>
        <v>-0.0</v>
      </c>
      <c r="RGY53" s="5">
        <f>-IFERROR('4. NPV'!RGZ23/'4. NPV'!RGZ$8,0)</f>
        <v>-0.0</v>
      </c>
      <c r="RGZ53" s="5">
        <f>-IFERROR('4. NPV'!RHA23/'4. NPV'!RHA$8,0)</f>
        <v>-0.0</v>
      </c>
      <c r="RHA53" s="5">
        <f>-IFERROR('4. NPV'!RHB23/'4. NPV'!RHB$8,0)</f>
        <v>-0.0</v>
      </c>
      <c r="RHB53" s="5">
        <f>-IFERROR('4. NPV'!RHC23/'4. NPV'!RHC$8,0)</f>
        <v>-0.0</v>
      </c>
      <c r="RHC53" s="5">
        <f>-IFERROR('4. NPV'!RHD23/'4. NPV'!RHD$8,0)</f>
        <v>-0.0</v>
      </c>
      <c r="RHD53" s="5">
        <f>-IFERROR('4. NPV'!RHE23/'4. NPV'!RHE$8,0)</f>
        <v>-0.0</v>
      </c>
      <c r="RHE53" s="5">
        <f>-IFERROR('4. NPV'!RHF23/'4. NPV'!RHF$8,0)</f>
        <v>-0.0</v>
      </c>
      <c r="RHF53" s="5">
        <f>-IFERROR('4. NPV'!RHG23/'4. NPV'!RHG$8,0)</f>
        <v>-0.0</v>
      </c>
      <c r="RHG53" s="5">
        <f>-IFERROR('4. NPV'!RHH23/'4. NPV'!RHH$8,0)</f>
        <v>-0.0</v>
      </c>
      <c r="RHH53" s="5">
        <f>-IFERROR('4. NPV'!RHI23/'4. NPV'!RHI$8,0)</f>
        <v>-0.0</v>
      </c>
      <c r="RHI53" s="5">
        <f>-IFERROR('4. NPV'!RHJ23/'4. NPV'!RHJ$8,0)</f>
        <v>-0.0</v>
      </c>
      <c r="RHJ53" s="5">
        <f>-IFERROR('4. NPV'!RHK23/'4. NPV'!RHK$8,0)</f>
        <v>-0.0</v>
      </c>
      <c r="RHK53" s="5">
        <f>-IFERROR('4. NPV'!RHL23/'4. NPV'!RHL$8,0)</f>
        <v>-0.0</v>
      </c>
      <c r="RHL53" s="5">
        <f>-IFERROR('4. NPV'!RHM23/'4. NPV'!RHM$8,0)</f>
        <v>-0.0</v>
      </c>
      <c r="RHM53" s="5">
        <f>-IFERROR('4. NPV'!RHN23/'4. NPV'!RHN$8,0)</f>
        <v>-0.0</v>
      </c>
      <c r="RHN53" s="5">
        <f>-IFERROR('4. NPV'!RHO23/'4. NPV'!RHO$8,0)</f>
        <v>-0.0</v>
      </c>
      <c r="RHO53" s="5">
        <f>-IFERROR('4. NPV'!RHP23/'4. NPV'!RHP$8,0)</f>
        <v>-0.0</v>
      </c>
      <c r="RHP53" s="5">
        <f>-IFERROR('4. NPV'!RHQ23/'4. NPV'!RHQ$8,0)</f>
        <v>-0.0</v>
      </c>
      <c r="RHQ53" s="5">
        <f>-IFERROR('4. NPV'!RHR23/'4. NPV'!RHR$8,0)</f>
        <v>-0.0</v>
      </c>
      <c r="RHR53" s="5">
        <f>-IFERROR('4. NPV'!RHS23/'4. NPV'!RHS$8,0)</f>
        <v>-0.0</v>
      </c>
      <c r="RHS53" s="5">
        <f>-IFERROR('4. NPV'!RHT23/'4. NPV'!RHT$8,0)</f>
        <v>-0.0</v>
      </c>
      <c r="RHT53" s="5">
        <f>-IFERROR('4. NPV'!RHU23/'4. NPV'!RHU$8,0)</f>
        <v>-0.0</v>
      </c>
      <c r="RHU53" s="5">
        <f>-IFERROR('4. NPV'!RHV23/'4. NPV'!RHV$8,0)</f>
        <v>-0.0</v>
      </c>
      <c r="RHV53" s="5">
        <f>-IFERROR('4. NPV'!RHW23/'4. NPV'!RHW$8,0)</f>
        <v>-0.0</v>
      </c>
      <c r="RHW53" s="5">
        <f>-IFERROR('4. NPV'!RHX23/'4. NPV'!RHX$8,0)</f>
        <v>-0.0</v>
      </c>
      <c r="RHX53" s="5">
        <f>-IFERROR('4. NPV'!RHY23/'4. NPV'!RHY$8,0)</f>
        <v>-0.0</v>
      </c>
      <c r="RHY53" s="5">
        <f>-IFERROR('4. NPV'!RHZ23/'4. NPV'!RHZ$8,0)</f>
        <v>-0.0</v>
      </c>
      <c r="RHZ53" s="5">
        <f>-IFERROR('4. NPV'!RIA23/'4. NPV'!RIA$8,0)</f>
        <v>-0.0</v>
      </c>
      <c r="RIA53" s="5">
        <f>-IFERROR('4. NPV'!RIB23/'4. NPV'!RIB$8,0)</f>
        <v>-0.0</v>
      </c>
      <c r="RIB53" s="5">
        <f>-IFERROR('4. NPV'!RIC23/'4. NPV'!RIC$8,0)</f>
        <v>-0.0</v>
      </c>
      <c r="RIC53" s="5">
        <f>-IFERROR('4. NPV'!RID23/'4. NPV'!RID$8,0)</f>
        <v>-0.0</v>
      </c>
      <c r="RID53" s="5">
        <f>-IFERROR('4. NPV'!RIE23/'4. NPV'!RIE$8,0)</f>
        <v>-0.0</v>
      </c>
      <c r="RIE53" s="5">
        <f>-IFERROR('4. NPV'!RIF23/'4. NPV'!RIF$8,0)</f>
        <v>-0.0</v>
      </c>
      <c r="RIF53" s="5">
        <f>-IFERROR('4. NPV'!RIG23/'4. NPV'!RIG$8,0)</f>
        <v>-0.0</v>
      </c>
      <c r="RIG53" s="5">
        <f>-IFERROR('4. NPV'!RIH23/'4. NPV'!RIH$8,0)</f>
        <v>-0.0</v>
      </c>
      <c r="RIH53" s="5">
        <f>-IFERROR('4. NPV'!RII23/'4. NPV'!RII$8,0)</f>
        <v>-0.0</v>
      </c>
      <c r="RII53" s="5">
        <f>-IFERROR('4. NPV'!RIJ23/'4. NPV'!RIJ$8,0)</f>
        <v>-0.0</v>
      </c>
      <c r="RIJ53" s="5">
        <f>-IFERROR('4. NPV'!RIK23/'4. NPV'!RIK$8,0)</f>
        <v>-0.0</v>
      </c>
      <c r="RIK53" s="5">
        <f>-IFERROR('4. NPV'!RIL23/'4. NPV'!RIL$8,0)</f>
        <v>-0.0</v>
      </c>
      <c r="RIL53" s="5">
        <f>-IFERROR('4. NPV'!RIM23/'4. NPV'!RIM$8,0)</f>
        <v>-0.0</v>
      </c>
      <c r="RIM53" s="5">
        <f>-IFERROR('4. NPV'!RIN23/'4. NPV'!RIN$8,0)</f>
        <v>-0.0</v>
      </c>
      <c r="RIN53" s="5">
        <f>-IFERROR('4. NPV'!RIO23/'4. NPV'!RIO$8,0)</f>
        <v>-0.0</v>
      </c>
      <c r="RIO53" s="5">
        <f>-IFERROR('4. NPV'!RIP23/'4. NPV'!RIP$8,0)</f>
        <v>-0.0</v>
      </c>
      <c r="RIP53" s="5">
        <f>-IFERROR('4. NPV'!RIQ23/'4. NPV'!RIQ$8,0)</f>
        <v>-0.0</v>
      </c>
      <c r="RIQ53" s="5">
        <f>-IFERROR('4. NPV'!RIR23/'4. NPV'!RIR$8,0)</f>
        <v>-0.0</v>
      </c>
      <c r="RIR53" s="5">
        <f>-IFERROR('4. NPV'!RIS23/'4. NPV'!RIS$8,0)</f>
        <v>-0.0</v>
      </c>
      <c r="RIS53" s="5">
        <f>-IFERROR('4. NPV'!RIT23/'4. NPV'!RIT$8,0)</f>
        <v>-0.0</v>
      </c>
      <c r="RIT53" s="5">
        <f>-IFERROR('4. NPV'!RIU23/'4. NPV'!RIU$8,0)</f>
        <v>-0.0</v>
      </c>
      <c r="RIU53" s="5">
        <f>-IFERROR('4. NPV'!RIV23/'4. NPV'!RIV$8,0)</f>
        <v>-0.0</v>
      </c>
      <c r="RIV53" s="5">
        <f>-IFERROR('4. NPV'!RIW23/'4. NPV'!RIW$8,0)</f>
        <v>-0.0</v>
      </c>
      <c r="RIW53" s="5">
        <f>-IFERROR('4. NPV'!RIX23/'4. NPV'!RIX$8,0)</f>
        <v>-0.0</v>
      </c>
      <c r="RIX53" s="5">
        <f>-IFERROR('4. NPV'!RIY23/'4. NPV'!RIY$8,0)</f>
        <v>-0.0</v>
      </c>
      <c r="RIY53" s="5">
        <f>-IFERROR('4. NPV'!RIZ23/'4. NPV'!RIZ$8,0)</f>
        <v>-0.0</v>
      </c>
      <c r="RIZ53" s="5">
        <f>-IFERROR('4. NPV'!RJA23/'4. NPV'!RJA$8,0)</f>
        <v>-0.0</v>
      </c>
      <c r="RJA53" s="5">
        <f>-IFERROR('4. NPV'!RJB23/'4. NPV'!RJB$8,0)</f>
        <v>-0.0</v>
      </c>
      <c r="RJB53" s="5">
        <f>-IFERROR('4. NPV'!RJC23/'4. NPV'!RJC$8,0)</f>
        <v>-0.0</v>
      </c>
      <c r="RJC53" s="5">
        <f>-IFERROR('4. NPV'!RJD23/'4. NPV'!RJD$8,0)</f>
        <v>-0.0</v>
      </c>
      <c r="RJD53" s="5">
        <f>-IFERROR('4. NPV'!RJE23/'4. NPV'!RJE$8,0)</f>
        <v>-0.0</v>
      </c>
      <c r="RJE53" s="5">
        <f>-IFERROR('4. NPV'!RJF23/'4. NPV'!RJF$8,0)</f>
        <v>-0.0</v>
      </c>
      <c r="RJF53" s="5">
        <f>-IFERROR('4. NPV'!RJG23/'4. NPV'!RJG$8,0)</f>
        <v>-0.0</v>
      </c>
      <c r="RJG53" s="5">
        <f>-IFERROR('4. NPV'!RJH23/'4. NPV'!RJH$8,0)</f>
        <v>-0.0</v>
      </c>
      <c r="RJH53" s="5">
        <f>-IFERROR('4. NPV'!RJI23/'4. NPV'!RJI$8,0)</f>
        <v>-0.0</v>
      </c>
      <c r="RJI53" s="5">
        <f>-IFERROR('4. NPV'!RJJ23/'4. NPV'!RJJ$8,0)</f>
        <v>-0.0</v>
      </c>
      <c r="RJJ53" s="5">
        <f>-IFERROR('4. NPV'!RJK23/'4. NPV'!RJK$8,0)</f>
        <v>-0.0</v>
      </c>
      <c r="RJK53" s="5">
        <f>-IFERROR('4. NPV'!RJL23/'4. NPV'!RJL$8,0)</f>
        <v>-0.0</v>
      </c>
      <c r="RJL53" s="5">
        <f>-IFERROR('4. NPV'!RJM23/'4. NPV'!RJM$8,0)</f>
        <v>-0.0</v>
      </c>
      <c r="RJM53" s="5">
        <f>-IFERROR('4. NPV'!RJN23/'4. NPV'!RJN$8,0)</f>
        <v>-0.0</v>
      </c>
      <c r="RJN53" s="5">
        <f>-IFERROR('4. NPV'!RJO23/'4. NPV'!RJO$8,0)</f>
        <v>-0.0</v>
      </c>
      <c r="RJO53" s="5">
        <f>-IFERROR('4. NPV'!RJP23/'4. NPV'!RJP$8,0)</f>
        <v>-0.0</v>
      </c>
      <c r="RJP53" s="5">
        <f>-IFERROR('4. NPV'!RJQ23/'4. NPV'!RJQ$8,0)</f>
        <v>-0.0</v>
      </c>
      <c r="RJQ53" s="5">
        <f>-IFERROR('4. NPV'!RJR23/'4. NPV'!RJR$8,0)</f>
        <v>-0.0</v>
      </c>
      <c r="RJR53" s="5">
        <f>-IFERROR('4. NPV'!RJS23/'4. NPV'!RJS$8,0)</f>
        <v>-0.0</v>
      </c>
      <c r="RJS53" s="5">
        <f>-IFERROR('4. NPV'!RJT23/'4. NPV'!RJT$8,0)</f>
        <v>-0.0</v>
      </c>
      <c r="RJT53" s="5">
        <f>-IFERROR('4. NPV'!RJU23/'4. NPV'!RJU$8,0)</f>
        <v>-0.0</v>
      </c>
      <c r="RJU53" s="5">
        <f>-IFERROR('4. NPV'!RJV23/'4. NPV'!RJV$8,0)</f>
        <v>-0.0</v>
      </c>
      <c r="RJV53" s="5">
        <f>-IFERROR('4. NPV'!RJW23/'4. NPV'!RJW$8,0)</f>
        <v>-0.0</v>
      </c>
      <c r="RJW53" s="5">
        <f>-IFERROR('4. NPV'!RJX23/'4. NPV'!RJX$8,0)</f>
        <v>-0.0</v>
      </c>
      <c r="RJX53" s="5">
        <f>-IFERROR('4. NPV'!RJY23/'4. NPV'!RJY$8,0)</f>
        <v>-0.0</v>
      </c>
      <c r="RJY53" s="5">
        <f>-IFERROR('4. NPV'!RJZ23/'4. NPV'!RJZ$8,0)</f>
        <v>-0.0</v>
      </c>
      <c r="RJZ53" s="5">
        <f>-IFERROR('4. NPV'!RKA23/'4. NPV'!RKA$8,0)</f>
        <v>-0.0</v>
      </c>
      <c r="RKA53" s="5">
        <f>-IFERROR('4. NPV'!RKB23/'4. NPV'!RKB$8,0)</f>
        <v>-0.0</v>
      </c>
      <c r="RKB53" s="5">
        <f>-IFERROR('4. NPV'!RKC23/'4. NPV'!RKC$8,0)</f>
        <v>-0.0</v>
      </c>
      <c r="RKC53" s="5">
        <f>-IFERROR('4. NPV'!RKD23/'4. NPV'!RKD$8,0)</f>
        <v>-0.0</v>
      </c>
      <c r="RKD53" s="5">
        <f>-IFERROR('4. NPV'!RKE23/'4. NPV'!RKE$8,0)</f>
        <v>-0.0</v>
      </c>
      <c r="RKE53" s="5">
        <f>-IFERROR('4. NPV'!RKF23/'4. NPV'!RKF$8,0)</f>
        <v>-0.0</v>
      </c>
      <c r="RKF53" s="5">
        <f>-IFERROR('4. NPV'!RKG23/'4. NPV'!RKG$8,0)</f>
        <v>-0.0</v>
      </c>
      <c r="RKG53" s="5">
        <f>-IFERROR('4. NPV'!RKH23/'4. NPV'!RKH$8,0)</f>
        <v>-0.0</v>
      </c>
      <c r="RKH53" s="5">
        <f>-IFERROR('4. NPV'!RKI23/'4. NPV'!RKI$8,0)</f>
        <v>-0.0</v>
      </c>
      <c r="RKI53" s="5">
        <f>-IFERROR('4. NPV'!RKJ23/'4. NPV'!RKJ$8,0)</f>
        <v>-0.0</v>
      </c>
      <c r="RKJ53" s="5">
        <f>-IFERROR('4. NPV'!RKK23/'4. NPV'!RKK$8,0)</f>
        <v>-0.0</v>
      </c>
      <c r="RKK53" s="5">
        <f>-IFERROR('4. NPV'!RKL23/'4. NPV'!RKL$8,0)</f>
        <v>-0.0</v>
      </c>
      <c r="RKL53" s="5">
        <f>-IFERROR('4. NPV'!RKM23/'4. NPV'!RKM$8,0)</f>
        <v>-0.0</v>
      </c>
      <c r="RKM53" s="5">
        <f>-IFERROR('4. NPV'!RKN23/'4. NPV'!RKN$8,0)</f>
        <v>-0.0</v>
      </c>
      <c r="RKN53" s="5">
        <f>-IFERROR('4. NPV'!RKO23/'4. NPV'!RKO$8,0)</f>
        <v>-0.0</v>
      </c>
      <c r="RKO53" s="5">
        <f>-IFERROR('4. NPV'!RKP23/'4. NPV'!RKP$8,0)</f>
        <v>-0.0</v>
      </c>
      <c r="RKP53" s="5">
        <f>-IFERROR('4. NPV'!RKQ23/'4. NPV'!RKQ$8,0)</f>
        <v>-0.0</v>
      </c>
      <c r="RKQ53" s="5">
        <f>-IFERROR('4. NPV'!RKR23/'4. NPV'!RKR$8,0)</f>
        <v>-0.0</v>
      </c>
      <c r="RKR53" s="5">
        <f>-IFERROR('4. NPV'!RKS23/'4. NPV'!RKS$8,0)</f>
        <v>-0.0</v>
      </c>
      <c r="RKS53" s="5">
        <f>-IFERROR('4. NPV'!RKT23/'4. NPV'!RKT$8,0)</f>
        <v>-0.0</v>
      </c>
      <c r="RKT53" s="5">
        <f>-IFERROR('4. NPV'!RKU23/'4. NPV'!RKU$8,0)</f>
        <v>-0.0</v>
      </c>
      <c r="RKU53" s="5">
        <f>-IFERROR('4. NPV'!RKV23/'4. NPV'!RKV$8,0)</f>
        <v>-0.0</v>
      </c>
      <c r="RKV53" s="5">
        <f>-IFERROR('4. NPV'!RKW23/'4. NPV'!RKW$8,0)</f>
        <v>-0.0</v>
      </c>
      <c r="RKW53" s="5">
        <f>-IFERROR('4. NPV'!RKX23/'4. NPV'!RKX$8,0)</f>
        <v>-0.0</v>
      </c>
      <c r="RKX53" s="5">
        <f>-IFERROR('4. NPV'!RKY23/'4. NPV'!RKY$8,0)</f>
        <v>-0.0</v>
      </c>
      <c r="RKY53" s="5">
        <f>-IFERROR('4. NPV'!RKZ23/'4. NPV'!RKZ$8,0)</f>
        <v>-0.0</v>
      </c>
      <c r="RKZ53" s="5">
        <f>-IFERROR('4. NPV'!RLA23/'4. NPV'!RLA$8,0)</f>
        <v>-0.0</v>
      </c>
      <c r="RLA53" s="5">
        <f>-IFERROR('4. NPV'!RLB23/'4. NPV'!RLB$8,0)</f>
        <v>-0.0</v>
      </c>
      <c r="RLB53" s="5">
        <f>-IFERROR('4. NPV'!RLC23/'4. NPV'!RLC$8,0)</f>
        <v>-0.0</v>
      </c>
      <c r="RLC53" s="5">
        <f>-IFERROR('4. NPV'!RLD23/'4. NPV'!RLD$8,0)</f>
        <v>-0.0</v>
      </c>
      <c r="RLD53" s="5">
        <f>-IFERROR('4. NPV'!RLE23/'4. NPV'!RLE$8,0)</f>
        <v>-0.0</v>
      </c>
      <c r="RLE53" s="5">
        <f>-IFERROR('4. NPV'!RLF23/'4. NPV'!RLF$8,0)</f>
        <v>-0.0</v>
      </c>
      <c r="RLF53" s="5">
        <f>-IFERROR('4. NPV'!RLG23/'4. NPV'!RLG$8,0)</f>
        <v>-0.0</v>
      </c>
      <c r="RLG53" s="5">
        <f>-IFERROR('4. NPV'!RLH23/'4. NPV'!RLH$8,0)</f>
        <v>-0.0</v>
      </c>
      <c r="RLH53" s="5">
        <f>-IFERROR('4. NPV'!RLI23/'4. NPV'!RLI$8,0)</f>
        <v>-0.0</v>
      </c>
      <c r="RLI53" s="5">
        <f>-IFERROR('4. NPV'!RLJ23/'4. NPV'!RLJ$8,0)</f>
        <v>-0.0</v>
      </c>
      <c r="RLJ53" s="5">
        <f>-IFERROR('4. NPV'!RLK23/'4. NPV'!RLK$8,0)</f>
        <v>-0.0</v>
      </c>
      <c r="RLK53" s="5">
        <f>-IFERROR('4. NPV'!RLL23/'4. NPV'!RLL$8,0)</f>
        <v>-0.0</v>
      </c>
      <c r="RLL53" s="5">
        <f>-IFERROR('4. NPV'!RLM23/'4. NPV'!RLM$8,0)</f>
        <v>-0.0</v>
      </c>
      <c r="RLM53" s="5">
        <f>-IFERROR('4. NPV'!RLN23/'4. NPV'!RLN$8,0)</f>
        <v>-0.0</v>
      </c>
      <c r="RLN53" s="5">
        <f>-IFERROR('4. NPV'!RLO23/'4. NPV'!RLO$8,0)</f>
        <v>-0.0</v>
      </c>
      <c r="RLO53" s="5">
        <f>-IFERROR('4. NPV'!RLP23/'4. NPV'!RLP$8,0)</f>
        <v>-0.0</v>
      </c>
      <c r="RLP53" s="5">
        <f>-IFERROR('4. NPV'!RLQ23/'4. NPV'!RLQ$8,0)</f>
        <v>-0.0</v>
      </c>
      <c r="RLQ53" s="5">
        <f>-IFERROR('4. NPV'!RLR23/'4. NPV'!RLR$8,0)</f>
        <v>-0.0</v>
      </c>
      <c r="RLR53" s="5">
        <f>-IFERROR('4. NPV'!RLS23/'4. NPV'!RLS$8,0)</f>
        <v>-0.0</v>
      </c>
      <c r="RLS53" s="5">
        <f>-IFERROR('4. NPV'!RLT23/'4. NPV'!RLT$8,0)</f>
        <v>-0.0</v>
      </c>
      <c r="RLT53" s="5">
        <f>-IFERROR('4. NPV'!RLU23/'4. NPV'!RLU$8,0)</f>
        <v>-0.0</v>
      </c>
      <c r="RLU53" s="5">
        <f>-IFERROR('4. NPV'!RLV23/'4. NPV'!RLV$8,0)</f>
        <v>-0.0</v>
      </c>
      <c r="RLV53" s="5">
        <f>-IFERROR('4. NPV'!RLW23/'4. NPV'!RLW$8,0)</f>
        <v>-0.0</v>
      </c>
      <c r="RLW53" s="5">
        <f>-IFERROR('4. NPV'!RLX23/'4. NPV'!RLX$8,0)</f>
        <v>-0.0</v>
      </c>
      <c r="RLX53" s="5">
        <f>-IFERROR('4. NPV'!RLY23/'4. NPV'!RLY$8,0)</f>
        <v>-0.0</v>
      </c>
      <c r="RLY53" s="5">
        <f>-IFERROR('4. NPV'!RLZ23/'4. NPV'!RLZ$8,0)</f>
        <v>-0.0</v>
      </c>
      <c r="RLZ53" s="5">
        <f>-IFERROR('4. NPV'!RMA23/'4. NPV'!RMA$8,0)</f>
        <v>-0.0</v>
      </c>
      <c r="RMA53" s="5">
        <f>-IFERROR('4. NPV'!RMB23/'4. NPV'!RMB$8,0)</f>
        <v>-0.0</v>
      </c>
      <c r="RMB53" s="5">
        <f>-IFERROR('4. NPV'!RMC23/'4. NPV'!RMC$8,0)</f>
        <v>-0.0</v>
      </c>
      <c r="RMC53" s="5">
        <f>-IFERROR('4. NPV'!RMD23/'4. NPV'!RMD$8,0)</f>
        <v>-0.0</v>
      </c>
      <c r="RMD53" s="5">
        <f>-IFERROR('4. NPV'!RME23/'4. NPV'!RME$8,0)</f>
        <v>-0.0</v>
      </c>
      <c r="RME53" s="5">
        <f>-IFERROR('4. NPV'!RMF23/'4. NPV'!RMF$8,0)</f>
        <v>-0.0</v>
      </c>
      <c r="RMF53" s="5">
        <f>-IFERROR('4. NPV'!RMG23/'4. NPV'!RMG$8,0)</f>
        <v>-0.0</v>
      </c>
      <c r="RMG53" s="5">
        <f>-IFERROR('4. NPV'!RMH23/'4. NPV'!RMH$8,0)</f>
        <v>-0.0</v>
      </c>
      <c r="RMH53" s="5">
        <f>-IFERROR('4. NPV'!RMI23/'4. NPV'!RMI$8,0)</f>
        <v>-0.0</v>
      </c>
      <c r="RMI53" s="5">
        <f>-IFERROR('4. NPV'!RMJ23/'4. NPV'!RMJ$8,0)</f>
        <v>-0.0</v>
      </c>
      <c r="RMJ53" s="5">
        <f>-IFERROR('4. NPV'!RMK23/'4. NPV'!RMK$8,0)</f>
        <v>-0.0</v>
      </c>
      <c r="RMK53" s="5">
        <f>-IFERROR('4. NPV'!RML23/'4. NPV'!RML$8,0)</f>
        <v>-0.0</v>
      </c>
      <c r="RML53" s="5">
        <f>-IFERROR('4. NPV'!RMM23/'4. NPV'!RMM$8,0)</f>
        <v>-0.0</v>
      </c>
      <c r="RMM53" s="5">
        <f>-IFERROR('4. NPV'!RMN23/'4. NPV'!RMN$8,0)</f>
        <v>-0.0</v>
      </c>
      <c r="RMN53" s="5">
        <f>-IFERROR('4. NPV'!RMO23/'4. NPV'!RMO$8,0)</f>
        <v>-0.0</v>
      </c>
      <c r="RMO53" s="5">
        <f>-IFERROR('4. NPV'!RMP23/'4. NPV'!RMP$8,0)</f>
        <v>-0.0</v>
      </c>
      <c r="RMP53" s="5">
        <f>-IFERROR('4. NPV'!RMQ23/'4. NPV'!RMQ$8,0)</f>
        <v>-0.0</v>
      </c>
      <c r="RMQ53" s="5">
        <f>-IFERROR('4. NPV'!RMR23/'4. NPV'!RMR$8,0)</f>
        <v>-0.0</v>
      </c>
      <c r="RMR53" s="5">
        <f>-IFERROR('4. NPV'!RMS23/'4. NPV'!RMS$8,0)</f>
        <v>-0.0</v>
      </c>
      <c r="RMS53" s="5">
        <f>-IFERROR('4. NPV'!RMT23/'4. NPV'!RMT$8,0)</f>
        <v>-0.0</v>
      </c>
      <c r="RMT53" s="5">
        <f>-IFERROR('4. NPV'!RMU23/'4. NPV'!RMU$8,0)</f>
        <v>-0.0</v>
      </c>
      <c r="RMU53" s="5">
        <f>-IFERROR('4. NPV'!RMV23/'4. NPV'!RMV$8,0)</f>
        <v>-0.0</v>
      </c>
      <c r="RMV53" s="5">
        <f>-IFERROR('4. NPV'!RMW23/'4. NPV'!RMW$8,0)</f>
        <v>-0.0</v>
      </c>
      <c r="RMW53" s="5">
        <f>-IFERROR('4. NPV'!RMX23/'4. NPV'!RMX$8,0)</f>
        <v>-0.0</v>
      </c>
      <c r="RMX53" s="5">
        <f>-IFERROR('4. NPV'!RMY23/'4. NPV'!RMY$8,0)</f>
        <v>-0.0</v>
      </c>
      <c r="RMY53" s="5">
        <f>-IFERROR('4. NPV'!RMZ23/'4. NPV'!RMZ$8,0)</f>
        <v>-0.0</v>
      </c>
      <c r="RMZ53" s="5">
        <f>-IFERROR('4. NPV'!RNA23/'4. NPV'!RNA$8,0)</f>
        <v>-0.0</v>
      </c>
      <c r="RNA53" s="5">
        <f>-IFERROR('4. NPV'!RNB23/'4. NPV'!RNB$8,0)</f>
        <v>-0.0</v>
      </c>
      <c r="RNB53" s="5">
        <f>-IFERROR('4. NPV'!RNC23/'4. NPV'!RNC$8,0)</f>
        <v>-0.0</v>
      </c>
      <c r="RNC53" s="5">
        <f>-IFERROR('4. NPV'!RND23/'4. NPV'!RND$8,0)</f>
        <v>-0.0</v>
      </c>
      <c r="RND53" s="5">
        <f>-IFERROR('4. NPV'!RNE23/'4. NPV'!RNE$8,0)</f>
        <v>-0.0</v>
      </c>
      <c r="RNE53" s="5">
        <f>-IFERROR('4. NPV'!RNF23/'4. NPV'!RNF$8,0)</f>
        <v>-0.0</v>
      </c>
      <c r="RNF53" s="5">
        <f>-IFERROR('4. NPV'!RNG23/'4. NPV'!RNG$8,0)</f>
        <v>-0.0</v>
      </c>
      <c r="RNG53" s="5">
        <f>-IFERROR('4. NPV'!RNH23/'4. NPV'!RNH$8,0)</f>
        <v>-0.0</v>
      </c>
      <c r="RNH53" s="5">
        <f>-IFERROR('4. NPV'!RNI23/'4. NPV'!RNI$8,0)</f>
        <v>-0.0</v>
      </c>
      <c r="RNI53" s="5">
        <f>-IFERROR('4. NPV'!RNJ23/'4. NPV'!RNJ$8,0)</f>
        <v>-0.0</v>
      </c>
      <c r="RNJ53" s="5">
        <f>-IFERROR('4. NPV'!RNK23/'4. NPV'!RNK$8,0)</f>
        <v>-0.0</v>
      </c>
      <c r="RNK53" s="5">
        <f>-IFERROR('4. NPV'!RNL23/'4. NPV'!RNL$8,0)</f>
        <v>-0.0</v>
      </c>
      <c r="RNL53" s="5">
        <f>-IFERROR('4. NPV'!RNM23/'4. NPV'!RNM$8,0)</f>
        <v>-0.0</v>
      </c>
      <c r="RNM53" s="5">
        <f>-IFERROR('4. NPV'!RNN23/'4. NPV'!RNN$8,0)</f>
        <v>-0.0</v>
      </c>
      <c r="RNN53" s="5">
        <f>-IFERROR('4. NPV'!RNO23/'4. NPV'!RNO$8,0)</f>
        <v>-0.0</v>
      </c>
      <c r="RNO53" s="5">
        <f>-IFERROR('4. NPV'!RNP23/'4. NPV'!RNP$8,0)</f>
        <v>-0.0</v>
      </c>
      <c r="RNP53" s="5">
        <f>-IFERROR('4. NPV'!RNQ23/'4. NPV'!RNQ$8,0)</f>
        <v>-0.0</v>
      </c>
      <c r="RNQ53" s="5">
        <f>-IFERROR('4. NPV'!RNR23/'4. NPV'!RNR$8,0)</f>
        <v>-0.0</v>
      </c>
      <c r="RNR53" s="5">
        <f>-IFERROR('4. NPV'!RNS23/'4. NPV'!RNS$8,0)</f>
        <v>-0.0</v>
      </c>
      <c r="RNS53" s="5">
        <f>-IFERROR('4. NPV'!RNT23/'4. NPV'!RNT$8,0)</f>
        <v>-0.0</v>
      </c>
      <c r="RNT53" s="5">
        <f>-IFERROR('4. NPV'!RNU23/'4. NPV'!RNU$8,0)</f>
        <v>-0.0</v>
      </c>
      <c r="RNU53" s="5">
        <f>-IFERROR('4. NPV'!RNV23/'4. NPV'!RNV$8,0)</f>
        <v>-0.0</v>
      </c>
      <c r="RNV53" s="5">
        <f>-IFERROR('4. NPV'!RNW23/'4. NPV'!RNW$8,0)</f>
        <v>-0.0</v>
      </c>
      <c r="RNW53" s="5">
        <f>-IFERROR('4. NPV'!RNX23/'4. NPV'!RNX$8,0)</f>
        <v>-0.0</v>
      </c>
      <c r="RNX53" s="5">
        <f>-IFERROR('4. NPV'!RNY23/'4. NPV'!RNY$8,0)</f>
        <v>-0.0</v>
      </c>
      <c r="RNY53" s="5">
        <f>-IFERROR('4. NPV'!RNZ23/'4. NPV'!RNZ$8,0)</f>
        <v>-0.0</v>
      </c>
      <c r="RNZ53" s="5">
        <f>-IFERROR('4. NPV'!ROA23/'4. NPV'!ROA$8,0)</f>
        <v>-0.0</v>
      </c>
      <c r="ROA53" s="5">
        <f>-IFERROR('4. NPV'!ROB23/'4. NPV'!ROB$8,0)</f>
        <v>-0.0</v>
      </c>
      <c r="ROB53" s="5">
        <f>-IFERROR('4. NPV'!ROC23/'4. NPV'!ROC$8,0)</f>
        <v>-0.0</v>
      </c>
      <c r="ROC53" s="5">
        <f>-IFERROR('4. NPV'!ROD23/'4. NPV'!ROD$8,0)</f>
        <v>-0.0</v>
      </c>
      <c r="ROD53" s="5">
        <f>-IFERROR('4. NPV'!ROE23/'4. NPV'!ROE$8,0)</f>
        <v>-0.0</v>
      </c>
      <c r="ROE53" s="5">
        <f>-IFERROR('4. NPV'!ROF23/'4. NPV'!ROF$8,0)</f>
        <v>-0.0</v>
      </c>
      <c r="ROF53" s="5">
        <f>-IFERROR('4. NPV'!ROG23/'4. NPV'!ROG$8,0)</f>
        <v>-0.0</v>
      </c>
      <c r="ROG53" s="5">
        <f>-IFERROR('4. NPV'!ROH23/'4. NPV'!ROH$8,0)</f>
        <v>-0.0</v>
      </c>
      <c r="ROH53" s="5">
        <f>-IFERROR('4. NPV'!ROI23/'4. NPV'!ROI$8,0)</f>
        <v>-0.0</v>
      </c>
      <c r="ROI53" s="5">
        <f>-IFERROR('4. NPV'!ROJ23/'4. NPV'!ROJ$8,0)</f>
        <v>-0.0</v>
      </c>
      <c r="ROJ53" s="5">
        <f>-IFERROR('4. NPV'!ROK23/'4. NPV'!ROK$8,0)</f>
        <v>-0.0</v>
      </c>
      <c r="ROK53" s="5">
        <f>-IFERROR('4. NPV'!ROL23/'4. NPV'!ROL$8,0)</f>
        <v>-0.0</v>
      </c>
      <c r="ROL53" s="5">
        <f>-IFERROR('4. NPV'!ROM23/'4. NPV'!ROM$8,0)</f>
        <v>-0.0</v>
      </c>
      <c r="ROM53" s="5">
        <f>-IFERROR('4. NPV'!RON23/'4. NPV'!RON$8,0)</f>
        <v>-0.0</v>
      </c>
      <c r="RON53" s="5">
        <f>-IFERROR('4. NPV'!ROO23/'4. NPV'!ROO$8,0)</f>
        <v>-0.0</v>
      </c>
      <c r="ROO53" s="5">
        <f>-IFERROR('4. NPV'!ROP23/'4. NPV'!ROP$8,0)</f>
        <v>-0.0</v>
      </c>
      <c r="ROP53" s="5">
        <f>-IFERROR('4. NPV'!ROQ23/'4. NPV'!ROQ$8,0)</f>
        <v>-0.0</v>
      </c>
      <c r="ROQ53" s="5">
        <f>-IFERROR('4. NPV'!ROR23/'4. NPV'!ROR$8,0)</f>
        <v>-0.0</v>
      </c>
      <c r="ROR53" s="5">
        <f>-IFERROR('4. NPV'!ROS23/'4. NPV'!ROS$8,0)</f>
        <v>-0.0</v>
      </c>
      <c r="ROS53" s="5">
        <f>-IFERROR('4. NPV'!ROT23/'4. NPV'!ROT$8,0)</f>
        <v>-0.0</v>
      </c>
      <c r="ROT53" s="5">
        <f>-IFERROR('4. NPV'!ROU23/'4. NPV'!ROU$8,0)</f>
        <v>-0.0</v>
      </c>
      <c r="ROU53" s="5">
        <f>-IFERROR('4. NPV'!ROV23/'4. NPV'!ROV$8,0)</f>
        <v>-0.0</v>
      </c>
      <c r="ROV53" s="5">
        <f>-IFERROR('4. NPV'!ROW23/'4. NPV'!ROW$8,0)</f>
        <v>-0.0</v>
      </c>
      <c r="ROW53" s="5">
        <f>-IFERROR('4. NPV'!ROX23/'4. NPV'!ROX$8,0)</f>
        <v>-0.0</v>
      </c>
      <c r="ROX53" s="5">
        <f>-IFERROR('4. NPV'!ROY23/'4. NPV'!ROY$8,0)</f>
        <v>-0.0</v>
      </c>
      <c r="ROY53" s="5">
        <f>-IFERROR('4. NPV'!ROZ23/'4. NPV'!ROZ$8,0)</f>
        <v>-0.0</v>
      </c>
      <c r="ROZ53" s="5">
        <f>-IFERROR('4. NPV'!RPA23/'4. NPV'!RPA$8,0)</f>
        <v>-0.0</v>
      </c>
      <c r="RPA53" s="5">
        <f>-IFERROR('4. NPV'!RPB23/'4. NPV'!RPB$8,0)</f>
        <v>-0.0</v>
      </c>
      <c r="RPB53" s="5">
        <f>-IFERROR('4. NPV'!RPC23/'4. NPV'!RPC$8,0)</f>
        <v>-0.0</v>
      </c>
      <c r="RPC53" s="5">
        <f>-IFERROR('4. NPV'!RPD23/'4. NPV'!RPD$8,0)</f>
        <v>-0.0</v>
      </c>
      <c r="RPD53" s="5">
        <f>-IFERROR('4. NPV'!RPE23/'4. NPV'!RPE$8,0)</f>
        <v>-0.0</v>
      </c>
      <c r="RPE53" s="5">
        <f>-IFERROR('4. NPV'!RPF23/'4. NPV'!RPF$8,0)</f>
        <v>-0.0</v>
      </c>
      <c r="RPF53" s="5">
        <f>-IFERROR('4. NPV'!RPG23/'4. NPV'!RPG$8,0)</f>
        <v>-0.0</v>
      </c>
      <c r="RPG53" s="5">
        <f>-IFERROR('4. NPV'!RPH23/'4. NPV'!RPH$8,0)</f>
        <v>-0.0</v>
      </c>
      <c r="RPH53" s="5">
        <f>-IFERROR('4. NPV'!RPI23/'4. NPV'!RPI$8,0)</f>
        <v>-0.0</v>
      </c>
      <c r="RPI53" s="5">
        <f>-IFERROR('4. NPV'!RPJ23/'4. NPV'!RPJ$8,0)</f>
        <v>-0.0</v>
      </c>
      <c r="RPJ53" s="5">
        <f>-IFERROR('4. NPV'!RPK23/'4. NPV'!RPK$8,0)</f>
        <v>-0.0</v>
      </c>
      <c r="RPK53" s="5">
        <f>-IFERROR('4. NPV'!RPL23/'4. NPV'!RPL$8,0)</f>
        <v>-0.0</v>
      </c>
      <c r="RPL53" s="5">
        <f>-IFERROR('4. NPV'!RPM23/'4. NPV'!RPM$8,0)</f>
        <v>-0.0</v>
      </c>
      <c r="RPM53" s="5">
        <f>-IFERROR('4. NPV'!RPN23/'4. NPV'!RPN$8,0)</f>
        <v>-0.0</v>
      </c>
      <c r="RPN53" s="5">
        <f>-IFERROR('4. NPV'!RPO23/'4. NPV'!RPO$8,0)</f>
        <v>-0.0</v>
      </c>
      <c r="RPO53" s="5">
        <f>-IFERROR('4. NPV'!RPP23/'4. NPV'!RPP$8,0)</f>
        <v>-0.0</v>
      </c>
      <c r="RPP53" s="5">
        <f>-IFERROR('4. NPV'!RPQ23/'4. NPV'!RPQ$8,0)</f>
        <v>-0.0</v>
      </c>
      <c r="RPQ53" s="5">
        <f>-IFERROR('4. NPV'!RPR23/'4. NPV'!RPR$8,0)</f>
        <v>-0.0</v>
      </c>
      <c r="RPR53" s="5">
        <f>-IFERROR('4. NPV'!RPS23/'4. NPV'!RPS$8,0)</f>
        <v>-0.0</v>
      </c>
      <c r="RPS53" s="5">
        <f>-IFERROR('4. NPV'!RPT23/'4. NPV'!RPT$8,0)</f>
        <v>-0.0</v>
      </c>
      <c r="RPT53" s="5">
        <f>-IFERROR('4. NPV'!RPU23/'4. NPV'!RPU$8,0)</f>
        <v>-0.0</v>
      </c>
      <c r="RPU53" s="5">
        <f>-IFERROR('4. NPV'!RPV23/'4. NPV'!RPV$8,0)</f>
        <v>-0.0</v>
      </c>
      <c r="RPV53" s="5">
        <f>-IFERROR('4. NPV'!RPW23/'4. NPV'!RPW$8,0)</f>
        <v>-0.0</v>
      </c>
      <c r="RPW53" s="5">
        <f>-IFERROR('4. NPV'!RPX23/'4. NPV'!RPX$8,0)</f>
        <v>-0.0</v>
      </c>
      <c r="RPX53" s="5">
        <f>-IFERROR('4. NPV'!RPY23/'4. NPV'!RPY$8,0)</f>
        <v>-0.0</v>
      </c>
      <c r="RPY53" s="5">
        <f>-IFERROR('4. NPV'!RPZ23/'4. NPV'!RPZ$8,0)</f>
        <v>-0.0</v>
      </c>
      <c r="RPZ53" s="5">
        <f>-IFERROR('4. NPV'!RQA23/'4. NPV'!RQA$8,0)</f>
        <v>-0.0</v>
      </c>
      <c r="RQA53" s="5">
        <f>-IFERROR('4. NPV'!RQB23/'4. NPV'!RQB$8,0)</f>
        <v>-0.0</v>
      </c>
      <c r="RQB53" s="5">
        <f>-IFERROR('4. NPV'!RQC23/'4. NPV'!RQC$8,0)</f>
        <v>-0.0</v>
      </c>
      <c r="RQC53" s="5">
        <f>-IFERROR('4. NPV'!RQD23/'4. NPV'!RQD$8,0)</f>
        <v>-0.0</v>
      </c>
      <c r="RQD53" s="5">
        <f>-IFERROR('4. NPV'!RQE23/'4. NPV'!RQE$8,0)</f>
        <v>-0.0</v>
      </c>
      <c r="RQE53" s="5">
        <f>-IFERROR('4. NPV'!RQF23/'4. NPV'!RQF$8,0)</f>
        <v>-0.0</v>
      </c>
      <c r="RQF53" s="5">
        <f>-IFERROR('4. NPV'!RQG23/'4. NPV'!RQG$8,0)</f>
        <v>-0.0</v>
      </c>
      <c r="RQG53" s="5">
        <f>-IFERROR('4. NPV'!RQH23/'4. NPV'!RQH$8,0)</f>
        <v>-0.0</v>
      </c>
      <c r="RQH53" s="5">
        <f>-IFERROR('4. NPV'!RQI23/'4. NPV'!RQI$8,0)</f>
        <v>-0.0</v>
      </c>
      <c r="RQI53" s="5">
        <f>-IFERROR('4. NPV'!RQJ23/'4. NPV'!RQJ$8,0)</f>
        <v>-0.0</v>
      </c>
      <c r="RQJ53" s="5">
        <f>-IFERROR('4. NPV'!RQK23/'4. NPV'!RQK$8,0)</f>
        <v>-0.0</v>
      </c>
      <c r="RQK53" s="5">
        <f>-IFERROR('4. NPV'!RQL23/'4. NPV'!RQL$8,0)</f>
        <v>-0.0</v>
      </c>
      <c r="RQL53" s="5">
        <f>-IFERROR('4. NPV'!RQM23/'4. NPV'!RQM$8,0)</f>
        <v>-0.0</v>
      </c>
      <c r="RQM53" s="5">
        <f>-IFERROR('4. NPV'!RQN23/'4. NPV'!RQN$8,0)</f>
        <v>-0.0</v>
      </c>
      <c r="RQN53" s="5">
        <f>-IFERROR('4. NPV'!RQO23/'4. NPV'!RQO$8,0)</f>
        <v>-0.0</v>
      </c>
      <c r="RQO53" s="5">
        <f>-IFERROR('4. NPV'!RQP23/'4. NPV'!RQP$8,0)</f>
        <v>-0.0</v>
      </c>
      <c r="RQP53" s="5">
        <f>-IFERROR('4. NPV'!RQQ23/'4. NPV'!RQQ$8,0)</f>
        <v>-0.0</v>
      </c>
      <c r="RQQ53" s="5">
        <f>-IFERROR('4. NPV'!RQR23/'4. NPV'!RQR$8,0)</f>
        <v>-0.0</v>
      </c>
      <c r="RQR53" s="5">
        <f>-IFERROR('4. NPV'!RQS23/'4. NPV'!RQS$8,0)</f>
        <v>-0.0</v>
      </c>
      <c r="RQS53" s="5">
        <f>-IFERROR('4. NPV'!RQT23/'4. NPV'!RQT$8,0)</f>
        <v>-0.0</v>
      </c>
      <c r="RQT53" s="5">
        <f>-IFERROR('4. NPV'!RQU23/'4. NPV'!RQU$8,0)</f>
        <v>-0.0</v>
      </c>
      <c r="RQU53" s="5">
        <f>-IFERROR('4. NPV'!RQV23/'4. NPV'!RQV$8,0)</f>
        <v>-0.0</v>
      </c>
      <c r="RQV53" s="5">
        <f>-IFERROR('4. NPV'!RQW23/'4. NPV'!RQW$8,0)</f>
        <v>-0.0</v>
      </c>
      <c r="RQW53" s="5">
        <f>-IFERROR('4. NPV'!RQX23/'4. NPV'!RQX$8,0)</f>
        <v>-0.0</v>
      </c>
      <c r="RQX53" s="5">
        <f>-IFERROR('4. NPV'!RQY23/'4. NPV'!RQY$8,0)</f>
        <v>-0.0</v>
      </c>
      <c r="RQY53" s="5">
        <f>-IFERROR('4. NPV'!RQZ23/'4. NPV'!RQZ$8,0)</f>
        <v>-0.0</v>
      </c>
      <c r="RQZ53" s="5">
        <f>-IFERROR('4. NPV'!RRA23/'4. NPV'!RRA$8,0)</f>
        <v>-0.0</v>
      </c>
      <c r="RRA53" s="5">
        <f>-IFERROR('4. NPV'!RRB23/'4. NPV'!RRB$8,0)</f>
        <v>-0.0</v>
      </c>
      <c r="RRB53" s="5">
        <f>-IFERROR('4. NPV'!RRC23/'4. NPV'!RRC$8,0)</f>
        <v>-0.0</v>
      </c>
      <c r="RRC53" s="5">
        <f>-IFERROR('4. NPV'!RRD23/'4. NPV'!RRD$8,0)</f>
        <v>-0.0</v>
      </c>
      <c r="RRD53" s="5">
        <f>-IFERROR('4. NPV'!RRE23/'4. NPV'!RRE$8,0)</f>
        <v>-0.0</v>
      </c>
      <c r="RRE53" s="5">
        <f>-IFERROR('4. NPV'!RRF23/'4. NPV'!RRF$8,0)</f>
        <v>-0.0</v>
      </c>
      <c r="RRF53" s="5">
        <f>-IFERROR('4. NPV'!RRG23/'4. NPV'!RRG$8,0)</f>
        <v>-0.0</v>
      </c>
      <c r="RRG53" s="5">
        <f>-IFERROR('4. NPV'!RRH23/'4. NPV'!RRH$8,0)</f>
        <v>-0.0</v>
      </c>
      <c r="RRH53" s="5">
        <f>-IFERROR('4. NPV'!RRI23/'4. NPV'!RRI$8,0)</f>
        <v>-0.0</v>
      </c>
      <c r="RRI53" s="5">
        <f>-IFERROR('4. NPV'!RRJ23/'4. NPV'!RRJ$8,0)</f>
        <v>-0.0</v>
      </c>
      <c r="RRJ53" s="5">
        <f>-IFERROR('4. NPV'!RRK23/'4. NPV'!RRK$8,0)</f>
        <v>-0.0</v>
      </c>
      <c r="RRK53" s="5">
        <f>-IFERROR('4. NPV'!RRL23/'4. NPV'!RRL$8,0)</f>
        <v>-0.0</v>
      </c>
      <c r="RRL53" s="5">
        <f>-IFERROR('4. NPV'!RRM23/'4. NPV'!RRM$8,0)</f>
        <v>-0.0</v>
      </c>
      <c r="RRM53" s="5">
        <f>-IFERROR('4. NPV'!RRN23/'4. NPV'!RRN$8,0)</f>
        <v>-0.0</v>
      </c>
      <c r="RRN53" s="5">
        <f>-IFERROR('4. NPV'!RRO23/'4. NPV'!RRO$8,0)</f>
        <v>-0.0</v>
      </c>
      <c r="RRO53" s="5">
        <f>-IFERROR('4. NPV'!RRP23/'4. NPV'!RRP$8,0)</f>
        <v>-0.0</v>
      </c>
      <c r="RRP53" s="5">
        <f>-IFERROR('4. NPV'!RRQ23/'4. NPV'!RRQ$8,0)</f>
        <v>-0.0</v>
      </c>
      <c r="RRQ53" s="5">
        <f>-IFERROR('4. NPV'!RRR23/'4. NPV'!RRR$8,0)</f>
        <v>-0.0</v>
      </c>
      <c r="RRR53" s="5">
        <f>-IFERROR('4. NPV'!RRS23/'4. NPV'!RRS$8,0)</f>
        <v>-0.0</v>
      </c>
      <c r="RRS53" s="5">
        <f>-IFERROR('4. NPV'!RRT23/'4. NPV'!RRT$8,0)</f>
        <v>-0.0</v>
      </c>
      <c r="RRT53" s="5">
        <f>-IFERROR('4. NPV'!RRU23/'4. NPV'!RRU$8,0)</f>
        <v>-0.0</v>
      </c>
      <c r="RRU53" s="5">
        <f>-IFERROR('4. NPV'!RRV23/'4. NPV'!RRV$8,0)</f>
        <v>-0.0</v>
      </c>
      <c r="RRV53" s="5">
        <f>-IFERROR('4. NPV'!RRW23/'4. NPV'!RRW$8,0)</f>
        <v>-0.0</v>
      </c>
      <c r="RRW53" s="5">
        <f>-IFERROR('4. NPV'!RRX23/'4. NPV'!RRX$8,0)</f>
        <v>-0.0</v>
      </c>
      <c r="RRX53" s="5">
        <f>-IFERROR('4. NPV'!RRY23/'4. NPV'!RRY$8,0)</f>
        <v>-0.0</v>
      </c>
      <c r="RRY53" s="5">
        <f>-IFERROR('4. NPV'!RRZ23/'4. NPV'!RRZ$8,0)</f>
        <v>-0.0</v>
      </c>
      <c r="RRZ53" s="5">
        <f>-IFERROR('4. NPV'!RSA23/'4. NPV'!RSA$8,0)</f>
        <v>-0.0</v>
      </c>
      <c r="RSA53" s="5">
        <f>-IFERROR('4. NPV'!RSB23/'4. NPV'!RSB$8,0)</f>
        <v>-0.0</v>
      </c>
      <c r="RSB53" s="5">
        <f>-IFERROR('4. NPV'!RSC23/'4. NPV'!RSC$8,0)</f>
        <v>-0.0</v>
      </c>
      <c r="RSC53" s="5">
        <f>-IFERROR('4. NPV'!RSD23/'4. NPV'!RSD$8,0)</f>
        <v>-0.0</v>
      </c>
      <c r="RSD53" s="5">
        <f>-IFERROR('4. NPV'!RSE23/'4. NPV'!RSE$8,0)</f>
        <v>-0.0</v>
      </c>
      <c r="RSE53" s="5">
        <f>-IFERROR('4. NPV'!RSF23/'4. NPV'!RSF$8,0)</f>
        <v>-0.0</v>
      </c>
      <c r="RSF53" s="5">
        <f>-IFERROR('4. NPV'!RSG23/'4. NPV'!RSG$8,0)</f>
        <v>-0.0</v>
      </c>
      <c r="RSG53" s="5">
        <f>-IFERROR('4. NPV'!RSH23/'4. NPV'!RSH$8,0)</f>
        <v>-0.0</v>
      </c>
      <c r="RSH53" s="5">
        <f>-IFERROR('4. NPV'!RSI23/'4. NPV'!RSI$8,0)</f>
        <v>-0.0</v>
      </c>
      <c r="RSI53" s="5">
        <f>-IFERROR('4. NPV'!RSJ23/'4. NPV'!RSJ$8,0)</f>
        <v>-0.0</v>
      </c>
      <c r="RSJ53" s="5">
        <f>-IFERROR('4. NPV'!RSK23/'4. NPV'!RSK$8,0)</f>
        <v>-0.0</v>
      </c>
      <c r="RSK53" s="5">
        <f>-IFERROR('4. NPV'!RSL23/'4. NPV'!RSL$8,0)</f>
        <v>-0.0</v>
      </c>
      <c r="RSL53" s="5">
        <f>-IFERROR('4. NPV'!RSM23/'4. NPV'!RSM$8,0)</f>
        <v>-0.0</v>
      </c>
      <c r="RSM53" s="5">
        <f>-IFERROR('4. NPV'!RSN23/'4. NPV'!RSN$8,0)</f>
        <v>-0.0</v>
      </c>
      <c r="RSN53" s="5">
        <f>-IFERROR('4. NPV'!RSO23/'4. NPV'!RSO$8,0)</f>
        <v>-0.0</v>
      </c>
      <c r="RSO53" s="5">
        <f>-IFERROR('4. NPV'!RSP23/'4. NPV'!RSP$8,0)</f>
        <v>-0.0</v>
      </c>
      <c r="RSP53" s="5">
        <f>-IFERROR('4. NPV'!RSQ23/'4. NPV'!RSQ$8,0)</f>
        <v>-0.0</v>
      </c>
      <c r="RSQ53" s="5">
        <f>-IFERROR('4. NPV'!RSR23/'4. NPV'!RSR$8,0)</f>
        <v>-0.0</v>
      </c>
      <c r="RSR53" s="5">
        <f>-IFERROR('4. NPV'!RSS23/'4. NPV'!RSS$8,0)</f>
        <v>-0.0</v>
      </c>
      <c r="RSS53" s="5">
        <f>-IFERROR('4. NPV'!RST23/'4. NPV'!RST$8,0)</f>
        <v>-0.0</v>
      </c>
      <c r="RST53" s="5">
        <f>-IFERROR('4. NPV'!RSU23/'4. NPV'!RSU$8,0)</f>
        <v>-0.0</v>
      </c>
      <c r="RSU53" s="5">
        <f>-IFERROR('4. NPV'!RSV23/'4. NPV'!RSV$8,0)</f>
        <v>-0.0</v>
      </c>
      <c r="RSV53" s="5">
        <f>-IFERROR('4. NPV'!RSW23/'4. NPV'!RSW$8,0)</f>
        <v>-0.0</v>
      </c>
      <c r="RSW53" s="5">
        <f>-IFERROR('4. NPV'!RSX23/'4. NPV'!RSX$8,0)</f>
        <v>-0.0</v>
      </c>
      <c r="RSX53" s="5">
        <f>-IFERROR('4. NPV'!RSY23/'4. NPV'!RSY$8,0)</f>
        <v>-0.0</v>
      </c>
      <c r="RSY53" s="5">
        <f>-IFERROR('4. NPV'!RSZ23/'4. NPV'!RSZ$8,0)</f>
        <v>-0.0</v>
      </c>
      <c r="RSZ53" s="5">
        <f>-IFERROR('4. NPV'!RTA23/'4. NPV'!RTA$8,0)</f>
        <v>-0.0</v>
      </c>
      <c r="RTA53" s="5">
        <f>-IFERROR('4. NPV'!RTB23/'4. NPV'!RTB$8,0)</f>
        <v>-0.0</v>
      </c>
      <c r="RTB53" s="5">
        <f>-IFERROR('4. NPV'!RTC23/'4. NPV'!RTC$8,0)</f>
        <v>-0.0</v>
      </c>
      <c r="RTC53" s="5">
        <f>-IFERROR('4. NPV'!RTD23/'4. NPV'!RTD$8,0)</f>
        <v>-0.0</v>
      </c>
      <c r="RTD53" s="5">
        <f>-IFERROR('4. NPV'!RTE23/'4. NPV'!RTE$8,0)</f>
        <v>-0.0</v>
      </c>
      <c r="RTE53" s="5">
        <f>-IFERROR('4. NPV'!RTF23/'4. NPV'!RTF$8,0)</f>
        <v>-0.0</v>
      </c>
      <c r="RTF53" s="5">
        <f>-IFERROR('4. NPV'!RTG23/'4. NPV'!RTG$8,0)</f>
        <v>-0.0</v>
      </c>
      <c r="RTG53" s="5">
        <f>-IFERROR('4. NPV'!RTH23/'4. NPV'!RTH$8,0)</f>
        <v>-0.0</v>
      </c>
      <c r="RTH53" s="5">
        <f>-IFERROR('4. NPV'!RTI23/'4. NPV'!RTI$8,0)</f>
        <v>-0.0</v>
      </c>
      <c r="RTI53" s="5">
        <f>-IFERROR('4. NPV'!RTJ23/'4. NPV'!RTJ$8,0)</f>
        <v>-0.0</v>
      </c>
      <c r="RTJ53" s="5">
        <f>-IFERROR('4. NPV'!RTK23/'4. NPV'!RTK$8,0)</f>
        <v>-0.0</v>
      </c>
      <c r="RTK53" s="5">
        <f>-IFERROR('4. NPV'!RTL23/'4. NPV'!RTL$8,0)</f>
        <v>-0.0</v>
      </c>
      <c r="RTL53" s="5">
        <f>-IFERROR('4. NPV'!RTM23/'4. NPV'!RTM$8,0)</f>
        <v>-0.0</v>
      </c>
      <c r="RTM53" s="5">
        <f>-IFERROR('4. NPV'!RTN23/'4. NPV'!RTN$8,0)</f>
        <v>-0.0</v>
      </c>
      <c r="RTN53" s="5">
        <f>-IFERROR('4. NPV'!RTO23/'4. NPV'!RTO$8,0)</f>
        <v>-0.0</v>
      </c>
      <c r="RTO53" s="5">
        <f>-IFERROR('4. NPV'!RTP23/'4. NPV'!RTP$8,0)</f>
        <v>-0.0</v>
      </c>
      <c r="RTP53" s="5">
        <f>-IFERROR('4. NPV'!RTQ23/'4. NPV'!RTQ$8,0)</f>
        <v>-0.0</v>
      </c>
      <c r="RTQ53" s="5">
        <f>-IFERROR('4. NPV'!RTR23/'4. NPV'!RTR$8,0)</f>
        <v>-0.0</v>
      </c>
      <c r="RTR53" s="5">
        <f>-IFERROR('4. NPV'!RTS23/'4. NPV'!RTS$8,0)</f>
        <v>-0.0</v>
      </c>
      <c r="RTS53" s="5">
        <f>-IFERROR('4. NPV'!RTT23/'4. NPV'!RTT$8,0)</f>
        <v>-0.0</v>
      </c>
      <c r="RTT53" s="5">
        <f>-IFERROR('4. NPV'!RTU23/'4. NPV'!RTU$8,0)</f>
        <v>-0.0</v>
      </c>
      <c r="RTU53" s="5">
        <f>-IFERROR('4. NPV'!RTV23/'4. NPV'!RTV$8,0)</f>
        <v>-0.0</v>
      </c>
      <c r="RTV53" s="5">
        <f>-IFERROR('4. NPV'!RTW23/'4. NPV'!RTW$8,0)</f>
        <v>-0.0</v>
      </c>
      <c r="RTW53" s="5">
        <f>-IFERROR('4. NPV'!RTX23/'4. NPV'!RTX$8,0)</f>
        <v>-0.0</v>
      </c>
      <c r="RTX53" s="5">
        <f>-IFERROR('4. NPV'!RTY23/'4. NPV'!RTY$8,0)</f>
        <v>-0.0</v>
      </c>
      <c r="RTY53" s="5">
        <f>-IFERROR('4. NPV'!RTZ23/'4. NPV'!RTZ$8,0)</f>
        <v>-0.0</v>
      </c>
      <c r="RTZ53" s="5">
        <f>-IFERROR('4. NPV'!RUA23/'4. NPV'!RUA$8,0)</f>
        <v>-0.0</v>
      </c>
      <c r="RUA53" s="5">
        <f>-IFERROR('4. NPV'!RUB23/'4. NPV'!RUB$8,0)</f>
        <v>-0.0</v>
      </c>
      <c r="RUB53" s="5">
        <f>-IFERROR('4. NPV'!RUC23/'4. NPV'!RUC$8,0)</f>
        <v>-0.0</v>
      </c>
      <c r="RUC53" s="5">
        <f>-IFERROR('4. NPV'!RUD23/'4. NPV'!RUD$8,0)</f>
        <v>-0.0</v>
      </c>
      <c r="RUD53" s="5">
        <f>-IFERROR('4. NPV'!RUE23/'4. NPV'!RUE$8,0)</f>
        <v>-0.0</v>
      </c>
      <c r="RUE53" s="5">
        <f>-IFERROR('4. NPV'!RUF23/'4. NPV'!RUF$8,0)</f>
        <v>-0.0</v>
      </c>
      <c r="RUF53" s="5">
        <f>-IFERROR('4. NPV'!RUG23/'4. NPV'!RUG$8,0)</f>
        <v>-0.0</v>
      </c>
      <c r="RUG53" s="5">
        <f>-IFERROR('4. NPV'!RUH23/'4. NPV'!RUH$8,0)</f>
        <v>-0.0</v>
      </c>
      <c r="RUH53" s="5">
        <f>-IFERROR('4. NPV'!RUI23/'4. NPV'!RUI$8,0)</f>
        <v>-0.0</v>
      </c>
      <c r="RUI53" s="5">
        <f>-IFERROR('4. NPV'!RUJ23/'4. NPV'!RUJ$8,0)</f>
        <v>-0.0</v>
      </c>
      <c r="RUJ53" s="5">
        <f>-IFERROR('4. NPV'!RUK23/'4. NPV'!RUK$8,0)</f>
        <v>-0.0</v>
      </c>
      <c r="RUK53" s="5">
        <f>-IFERROR('4. NPV'!RUL23/'4. NPV'!RUL$8,0)</f>
        <v>-0.0</v>
      </c>
      <c r="RUL53" s="5">
        <f>-IFERROR('4. NPV'!RUM23/'4. NPV'!RUM$8,0)</f>
        <v>-0.0</v>
      </c>
      <c r="RUM53" s="5">
        <f>-IFERROR('4. NPV'!RUN23/'4. NPV'!RUN$8,0)</f>
        <v>-0.0</v>
      </c>
      <c r="RUN53" s="5">
        <f>-IFERROR('4. NPV'!RUO23/'4. NPV'!RUO$8,0)</f>
        <v>-0.0</v>
      </c>
      <c r="RUO53" s="5">
        <f>-IFERROR('4. NPV'!RUP23/'4. NPV'!RUP$8,0)</f>
        <v>-0.0</v>
      </c>
      <c r="RUP53" s="5">
        <f>-IFERROR('4. NPV'!RUQ23/'4. NPV'!RUQ$8,0)</f>
        <v>-0.0</v>
      </c>
      <c r="RUQ53" s="5">
        <f>-IFERROR('4. NPV'!RUR23/'4. NPV'!RUR$8,0)</f>
        <v>-0.0</v>
      </c>
      <c r="RUR53" s="5">
        <f>-IFERROR('4. NPV'!RUS23/'4. NPV'!RUS$8,0)</f>
        <v>-0.0</v>
      </c>
      <c r="RUS53" s="5">
        <f>-IFERROR('4. NPV'!RUT23/'4. NPV'!RUT$8,0)</f>
        <v>-0.0</v>
      </c>
      <c r="RUT53" s="5">
        <f>-IFERROR('4. NPV'!RUU23/'4. NPV'!RUU$8,0)</f>
        <v>-0.0</v>
      </c>
      <c r="RUU53" s="5">
        <f>-IFERROR('4. NPV'!RUV23/'4. NPV'!RUV$8,0)</f>
        <v>-0.0</v>
      </c>
      <c r="RUV53" s="5">
        <f>-IFERROR('4. NPV'!RUW23/'4. NPV'!RUW$8,0)</f>
        <v>-0.0</v>
      </c>
      <c r="RUW53" s="5">
        <f>-IFERROR('4. NPV'!RUX23/'4. NPV'!RUX$8,0)</f>
        <v>-0.0</v>
      </c>
      <c r="RUX53" s="5">
        <f>-IFERROR('4. NPV'!RUY23/'4. NPV'!RUY$8,0)</f>
        <v>-0.0</v>
      </c>
      <c r="RUY53" s="5">
        <f>-IFERROR('4. NPV'!RUZ23/'4. NPV'!RUZ$8,0)</f>
        <v>-0.0</v>
      </c>
      <c r="RUZ53" s="5">
        <f>-IFERROR('4. NPV'!RVA23/'4. NPV'!RVA$8,0)</f>
        <v>-0.0</v>
      </c>
      <c r="RVA53" s="5">
        <f>-IFERROR('4. NPV'!RVB23/'4. NPV'!RVB$8,0)</f>
        <v>-0.0</v>
      </c>
      <c r="RVB53" s="5">
        <f>-IFERROR('4. NPV'!RVC23/'4. NPV'!RVC$8,0)</f>
        <v>-0.0</v>
      </c>
      <c r="RVC53" s="5">
        <f>-IFERROR('4. NPV'!RVD23/'4. NPV'!RVD$8,0)</f>
        <v>-0.0</v>
      </c>
      <c r="RVD53" s="5">
        <f>-IFERROR('4. NPV'!RVE23/'4. NPV'!RVE$8,0)</f>
        <v>-0.0</v>
      </c>
      <c r="RVE53" s="5">
        <f>-IFERROR('4. NPV'!RVF23/'4. NPV'!RVF$8,0)</f>
        <v>-0.0</v>
      </c>
      <c r="RVF53" s="5">
        <f>-IFERROR('4. NPV'!RVG23/'4. NPV'!RVG$8,0)</f>
        <v>-0.0</v>
      </c>
      <c r="RVG53" s="5">
        <f>-IFERROR('4. NPV'!RVH23/'4. NPV'!RVH$8,0)</f>
        <v>-0.0</v>
      </c>
      <c r="RVH53" s="5">
        <f>-IFERROR('4. NPV'!RVI23/'4. NPV'!RVI$8,0)</f>
        <v>-0.0</v>
      </c>
      <c r="RVI53" s="5">
        <f>-IFERROR('4. NPV'!RVJ23/'4. NPV'!RVJ$8,0)</f>
        <v>-0.0</v>
      </c>
      <c r="RVJ53" s="5">
        <f>-IFERROR('4. NPV'!RVK23/'4. NPV'!RVK$8,0)</f>
        <v>-0.0</v>
      </c>
      <c r="RVK53" s="5">
        <f>-IFERROR('4. NPV'!RVL23/'4. NPV'!RVL$8,0)</f>
        <v>-0.0</v>
      </c>
      <c r="RVL53" s="5">
        <f>-IFERROR('4. NPV'!RVM23/'4. NPV'!RVM$8,0)</f>
        <v>-0.0</v>
      </c>
      <c r="RVM53" s="5">
        <f>-IFERROR('4. NPV'!RVN23/'4. NPV'!RVN$8,0)</f>
        <v>-0.0</v>
      </c>
      <c r="RVN53" s="5">
        <f>-IFERROR('4. NPV'!RVO23/'4. NPV'!RVO$8,0)</f>
        <v>-0.0</v>
      </c>
      <c r="RVO53" s="5">
        <f>-IFERROR('4. NPV'!RVP23/'4. NPV'!RVP$8,0)</f>
        <v>-0.0</v>
      </c>
      <c r="RVP53" s="5">
        <f>-IFERROR('4. NPV'!RVQ23/'4. NPV'!RVQ$8,0)</f>
        <v>-0.0</v>
      </c>
      <c r="RVQ53" s="5">
        <f>-IFERROR('4. NPV'!RVR23/'4. NPV'!RVR$8,0)</f>
        <v>-0.0</v>
      </c>
      <c r="RVR53" s="5">
        <f>-IFERROR('4. NPV'!RVS23/'4. NPV'!RVS$8,0)</f>
        <v>-0.0</v>
      </c>
      <c r="RVS53" s="5">
        <f>-IFERROR('4. NPV'!RVT23/'4. NPV'!RVT$8,0)</f>
        <v>-0.0</v>
      </c>
      <c r="RVT53" s="5">
        <f>-IFERROR('4. NPV'!RVU23/'4. NPV'!RVU$8,0)</f>
        <v>-0.0</v>
      </c>
      <c r="RVU53" s="5">
        <f>-IFERROR('4. NPV'!RVV23/'4. NPV'!RVV$8,0)</f>
        <v>-0.0</v>
      </c>
      <c r="RVV53" s="5">
        <f>-IFERROR('4. NPV'!RVW23/'4. NPV'!RVW$8,0)</f>
        <v>-0.0</v>
      </c>
      <c r="RVW53" s="5">
        <f>-IFERROR('4. NPV'!RVX23/'4. NPV'!RVX$8,0)</f>
        <v>-0.0</v>
      </c>
      <c r="RVX53" s="5">
        <f>-IFERROR('4. NPV'!RVY23/'4. NPV'!RVY$8,0)</f>
        <v>-0.0</v>
      </c>
      <c r="RVY53" s="5">
        <f>-IFERROR('4. NPV'!RVZ23/'4. NPV'!RVZ$8,0)</f>
        <v>-0.0</v>
      </c>
      <c r="RVZ53" s="5">
        <f>-IFERROR('4. NPV'!RWA23/'4. NPV'!RWA$8,0)</f>
        <v>-0.0</v>
      </c>
      <c r="RWA53" s="5">
        <f>-IFERROR('4. NPV'!RWB23/'4. NPV'!RWB$8,0)</f>
        <v>-0.0</v>
      </c>
      <c r="RWB53" s="5">
        <f>-IFERROR('4. NPV'!RWC23/'4. NPV'!RWC$8,0)</f>
        <v>-0.0</v>
      </c>
      <c r="RWC53" s="5">
        <f>-IFERROR('4. NPV'!RWD23/'4. NPV'!RWD$8,0)</f>
        <v>-0.0</v>
      </c>
      <c r="RWD53" s="5">
        <f>-IFERROR('4. NPV'!RWE23/'4. NPV'!RWE$8,0)</f>
        <v>-0.0</v>
      </c>
      <c r="RWE53" s="5">
        <f>-IFERROR('4. NPV'!RWF23/'4. NPV'!RWF$8,0)</f>
        <v>-0.0</v>
      </c>
      <c r="RWF53" s="5">
        <f>-IFERROR('4. NPV'!RWG23/'4. NPV'!RWG$8,0)</f>
        <v>-0.0</v>
      </c>
      <c r="RWG53" s="5">
        <f>-IFERROR('4. NPV'!RWH23/'4. NPV'!RWH$8,0)</f>
        <v>-0.0</v>
      </c>
      <c r="RWH53" s="5">
        <f>-IFERROR('4. NPV'!RWI23/'4. NPV'!RWI$8,0)</f>
        <v>-0.0</v>
      </c>
      <c r="RWI53" s="5">
        <f>-IFERROR('4. NPV'!RWJ23/'4. NPV'!RWJ$8,0)</f>
        <v>-0.0</v>
      </c>
      <c r="RWJ53" s="5">
        <f>-IFERROR('4. NPV'!RWK23/'4. NPV'!RWK$8,0)</f>
        <v>-0.0</v>
      </c>
      <c r="RWK53" s="5">
        <f>-IFERROR('4. NPV'!RWL23/'4. NPV'!RWL$8,0)</f>
        <v>-0.0</v>
      </c>
      <c r="RWL53" s="5">
        <f>-IFERROR('4. NPV'!RWM23/'4. NPV'!RWM$8,0)</f>
        <v>-0.0</v>
      </c>
      <c r="RWM53" s="5">
        <f>-IFERROR('4. NPV'!RWN23/'4. NPV'!RWN$8,0)</f>
        <v>-0.0</v>
      </c>
      <c r="RWN53" s="5">
        <f>-IFERROR('4. NPV'!RWO23/'4. NPV'!RWO$8,0)</f>
        <v>-0.0</v>
      </c>
      <c r="RWO53" s="5">
        <f>-IFERROR('4. NPV'!RWP23/'4. NPV'!RWP$8,0)</f>
        <v>-0.0</v>
      </c>
      <c r="RWP53" s="5">
        <f>-IFERROR('4. NPV'!RWQ23/'4. NPV'!RWQ$8,0)</f>
        <v>-0.0</v>
      </c>
      <c r="RWQ53" s="5">
        <f>-IFERROR('4. NPV'!RWR23/'4. NPV'!RWR$8,0)</f>
        <v>-0.0</v>
      </c>
      <c r="RWR53" s="5">
        <f>-IFERROR('4. NPV'!RWS23/'4. NPV'!RWS$8,0)</f>
        <v>-0.0</v>
      </c>
      <c r="RWS53" s="5">
        <f>-IFERROR('4. NPV'!RWT23/'4. NPV'!RWT$8,0)</f>
        <v>-0.0</v>
      </c>
      <c r="RWT53" s="5">
        <f>-IFERROR('4. NPV'!RWU23/'4. NPV'!RWU$8,0)</f>
        <v>-0.0</v>
      </c>
      <c r="RWU53" s="5">
        <f>-IFERROR('4. NPV'!RWV23/'4. NPV'!RWV$8,0)</f>
        <v>-0.0</v>
      </c>
      <c r="RWV53" s="5">
        <f>-IFERROR('4. NPV'!RWW23/'4. NPV'!RWW$8,0)</f>
        <v>-0.0</v>
      </c>
      <c r="RWW53" s="5">
        <f>-IFERROR('4. NPV'!RWX23/'4. NPV'!RWX$8,0)</f>
        <v>-0.0</v>
      </c>
      <c r="RWX53" s="5">
        <f>-IFERROR('4. NPV'!RWY23/'4. NPV'!RWY$8,0)</f>
        <v>-0.0</v>
      </c>
      <c r="RWY53" s="5">
        <f>-IFERROR('4. NPV'!RWZ23/'4. NPV'!RWZ$8,0)</f>
        <v>-0.0</v>
      </c>
      <c r="RWZ53" s="5">
        <f>-IFERROR('4. NPV'!RXA23/'4. NPV'!RXA$8,0)</f>
        <v>-0.0</v>
      </c>
      <c r="RXA53" s="5">
        <f>-IFERROR('4. NPV'!RXB23/'4. NPV'!RXB$8,0)</f>
        <v>-0.0</v>
      </c>
      <c r="RXB53" s="5">
        <f>-IFERROR('4. NPV'!RXC23/'4. NPV'!RXC$8,0)</f>
        <v>-0.0</v>
      </c>
      <c r="RXC53" s="5">
        <f>-IFERROR('4. NPV'!RXD23/'4. NPV'!RXD$8,0)</f>
        <v>-0.0</v>
      </c>
      <c r="RXD53" s="5">
        <f>-IFERROR('4. NPV'!RXE23/'4. NPV'!RXE$8,0)</f>
        <v>-0.0</v>
      </c>
      <c r="RXE53" s="5">
        <f>-IFERROR('4. NPV'!RXF23/'4. NPV'!RXF$8,0)</f>
        <v>-0.0</v>
      </c>
      <c r="RXF53" s="5">
        <f>-IFERROR('4. NPV'!RXG23/'4. NPV'!RXG$8,0)</f>
        <v>-0.0</v>
      </c>
      <c r="RXG53" s="5">
        <f>-IFERROR('4. NPV'!RXH23/'4. NPV'!RXH$8,0)</f>
        <v>-0.0</v>
      </c>
      <c r="RXH53" s="5">
        <f>-IFERROR('4. NPV'!RXI23/'4. NPV'!RXI$8,0)</f>
        <v>-0.0</v>
      </c>
      <c r="RXI53" s="5">
        <f>-IFERROR('4. NPV'!RXJ23/'4. NPV'!RXJ$8,0)</f>
        <v>-0.0</v>
      </c>
      <c r="RXJ53" s="5">
        <f>-IFERROR('4. NPV'!RXK23/'4. NPV'!RXK$8,0)</f>
        <v>-0.0</v>
      </c>
      <c r="RXK53" s="5">
        <f>-IFERROR('4. NPV'!RXL23/'4. NPV'!RXL$8,0)</f>
        <v>-0.0</v>
      </c>
      <c r="RXL53" s="5">
        <f>-IFERROR('4. NPV'!RXM23/'4. NPV'!RXM$8,0)</f>
        <v>-0.0</v>
      </c>
      <c r="RXM53" s="5">
        <f>-IFERROR('4. NPV'!RXN23/'4. NPV'!RXN$8,0)</f>
        <v>-0.0</v>
      </c>
      <c r="RXN53" s="5">
        <f>-IFERROR('4. NPV'!RXO23/'4. NPV'!RXO$8,0)</f>
        <v>-0.0</v>
      </c>
      <c r="RXO53" s="5">
        <f>-IFERROR('4. NPV'!RXP23/'4. NPV'!RXP$8,0)</f>
        <v>-0.0</v>
      </c>
      <c r="RXP53" s="5">
        <f>-IFERROR('4. NPV'!RXQ23/'4. NPV'!RXQ$8,0)</f>
        <v>-0.0</v>
      </c>
      <c r="RXQ53" s="5">
        <f>-IFERROR('4. NPV'!RXR23/'4. NPV'!RXR$8,0)</f>
        <v>-0.0</v>
      </c>
      <c r="RXR53" s="5">
        <f>-IFERROR('4. NPV'!RXS23/'4. NPV'!RXS$8,0)</f>
        <v>-0.0</v>
      </c>
      <c r="RXS53" s="5">
        <f>-IFERROR('4. NPV'!RXT23/'4. NPV'!RXT$8,0)</f>
        <v>-0.0</v>
      </c>
      <c r="RXT53" s="5">
        <f>-IFERROR('4. NPV'!RXU23/'4. NPV'!RXU$8,0)</f>
        <v>-0.0</v>
      </c>
      <c r="RXU53" s="5">
        <f>-IFERROR('4. NPV'!RXV23/'4. NPV'!RXV$8,0)</f>
        <v>-0.0</v>
      </c>
      <c r="RXV53" s="5">
        <f>-IFERROR('4. NPV'!RXW23/'4. NPV'!RXW$8,0)</f>
        <v>-0.0</v>
      </c>
      <c r="RXW53" s="5">
        <f>-IFERROR('4. NPV'!RXX23/'4. NPV'!RXX$8,0)</f>
        <v>-0.0</v>
      </c>
      <c r="RXX53" s="5">
        <f>-IFERROR('4. NPV'!RXY23/'4. NPV'!RXY$8,0)</f>
        <v>-0.0</v>
      </c>
      <c r="RXY53" s="5">
        <f>-IFERROR('4. NPV'!RXZ23/'4. NPV'!RXZ$8,0)</f>
        <v>-0.0</v>
      </c>
      <c r="RXZ53" s="5">
        <f>-IFERROR('4. NPV'!RYA23/'4. NPV'!RYA$8,0)</f>
        <v>-0.0</v>
      </c>
      <c r="RYA53" s="5">
        <f>-IFERROR('4. NPV'!RYB23/'4. NPV'!RYB$8,0)</f>
        <v>-0.0</v>
      </c>
      <c r="RYB53" s="5">
        <f>-IFERROR('4. NPV'!RYC23/'4. NPV'!RYC$8,0)</f>
        <v>-0.0</v>
      </c>
      <c r="RYC53" s="5">
        <f>-IFERROR('4. NPV'!RYD23/'4. NPV'!RYD$8,0)</f>
        <v>-0.0</v>
      </c>
      <c r="RYD53" s="5">
        <f>-IFERROR('4. NPV'!RYE23/'4. NPV'!RYE$8,0)</f>
        <v>-0.0</v>
      </c>
      <c r="RYE53" s="5">
        <f>-IFERROR('4. NPV'!RYF23/'4. NPV'!RYF$8,0)</f>
        <v>-0.0</v>
      </c>
      <c r="RYF53" s="5">
        <f>-IFERROR('4. NPV'!RYG23/'4. NPV'!RYG$8,0)</f>
        <v>-0.0</v>
      </c>
      <c r="RYG53" s="5">
        <f>-IFERROR('4. NPV'!RYH23/'4. NPV'!RYH$8,0)</f>
        <v>-0.0</v>
      </c>
      <c r="RYH53" s="5">
        <f>-IFERROR('4. NPV'!RYI23/'4. NPV'!RYI$8,0)</f>
        <v>-0.0</v>
      </c>
      <c r="RYI53" s="5">
        <f>-IFERROR('4. NPV'!RYJ23/'4. NPV'!RYJ$8,0)</f>
        <v>-0.0</v>
      </c>
      <c r="RYJ53" s="5">
        <f>-IFERROR('4. NPV'!RYK23/'4. NPV'!RYK$8,0)</f>
        <v>-0.0</v>
      </c>
      <c r="RYK53" s="5">
        <f>-IFERROR('4. NPV'!RYL23/'4. NPV'!RYL$8,0)</f>
        <v>-0.0</v>
      </c>
      <c r="RYL53" s="5">
        <f>-IFERROR('4. NPV'!RYM23/'4. NPV'!RYM$8,0)</f>
        <v>-0.0</v>
      </c>
      <c r="RYM53" s="5">
        <f>-IFERROR('4. NPV'!RYN23/'4. NPV'!RYN$8,0)</f>
        <v>-0.0</v>
      </c>
      <c r="RYN53" s="5">
        <f>-IFERROR('4. NPV'!RYO23/'4. NPV'!RYO$8,0)</f>
        <v>-0.0</v>
      </c>
      <c r="RYO53" s="5">
        <f>-IFERROR('4. NPV'!RYP23/'4. NPV'!RYP$8,0)</f>
        <v>-0.0</v>
      </c>
      <c r="RYP53" s="5">
        <f>-IFERROR('4. NPV'!RYQ23/'4. NPV'!RYQ$8,0)</f>
        <v>-0.0</v>
      </c>
      <c r="RYQ53" s="5">
        <f>-IFERROR('4. NPV'!RYR23/'4. NPV'!RYR$8,0)</f>
        <v>-0.0</v>
      </c>
      <c r="RYR53" s="5">
        <f>-IFERROR('4. NPV'!RYS23/'4. NPV'!RYS$8,0)</f>
        <v>-0.0</v>
      </c>
      <c r="RYS53" s="5">
        <f>-IFERROR('4. NPV'!RYT23/'4. NPV'!RYT$8,0)</f>
        <v>-0.0</v>
      </c>
      <c r="RYT53" s="5">
        <f>-IFERROR('4. NPV'!RYU23/'4. NPV'!RYU$8,0)</f>
        <v>-0.0</v>
      </c>
      <c r="RYU53" s="5">
        <f>-IFERROR('4. NPV'!RYV23/'4. NPV'!RYV$8,0)</f>
        <v>-0.0</v>
      </c>
      <c r="RYV53" s="5">
        <f>-IFERROR('4. NPV'!RYW23/'4. NPV'!RYW$8,0)</f>
        <v>-0.0</v>
      </c>
      <c r="RYW53" s="5">
        <f>-IFERROR('4. NPV'!RYX23/'4. NPV'!RYX$8,0)</f>
        <v>-0.0</v>
      </c>
      <c r="RYX53" s="5">
        <f>-IFERROR('4. NPV'!RYY23/'4. NPV'!RYY$8,0)</f>
        <v>-0.0</v>
      </c>
      <c r="RYY53" s="5">
        <f>-IFERROR('4. NPV'!RYZ23/'4. NPV'!RYZ$8,0)</f>
        <v>-0.0</v>
      </c>
      <c r="RYZ53" s="5">
        <f>-IFERROR('4. NPV'!RZA23/'4. NPV'!RZA$8,0)</f>
        <v>-0.0</v>
      </c>
      <c r="RZA53" s="5">
        <f>-IFERROR('4. NPV'!RZB23/'4. NPV'!RZB$8,0)</f>
        <v>-0.0</v>
      </c>
      <c r="RZB53" s="5">
        <f>-IFERROR('4. NPV'!RZC23/'4. NPV'!RZC$8,0)</f>
        <v>-0.0</v>
      </c>
      <c r="RZC53" s="5">
        <f>-IFERROR('4. NPV'!RZD23/'4. NPV'!RZD$8,0)</f>
        <v>-0.0</v>
      </c>
      <c r="RZD53" s="5">
        <f>-IFERROR('4. NPV'!RZE23/'4. NPV'!RZE$8,0)</f>
        <v>-0.0</v>
      </c>
      <c r="RZE53" s="5">
        <f>-IFERROR('4. NPV'!RZF23/'4. NPV'!RZF$8,0)</f>
        <v>-0.0</v>
      </c>
      <c r="RZF53" s="5">
        <f>-IFERROR('4. NPV'!RZG23/'4. NPV'!RZG$8,0)</f>
        <v>-0.0</v>
      </c>
      <c r="RZG53" s="5">
        <f>-IFERROR('4. NPV'!RZH23/'4. NPV'!RZH$8,0)</f>
        <v>-0.0</v>
      </c>
      <c r="RZH53" s="5">
        <f>-IFERROR('4. NPV'!RZI23/'4. NPV'!RZI$8,0)</f>
        <v>-0.0</v>
      </c>
      <c r="RZI53" s="5">
        <f>-IFERROR('4. NPV'!RZJ23/'4. NPV'!RZJ$8,0)</f>
        <v>-0.0</v>
      </c>
      <c r="RZJ53" s="5">
        <f>-IFERROR('4. NPV'!RZK23/'4. NPV'!RZK$8,0)</f>
        <v>-0.0</v>
      </c>
      <c r="RZK53" s="5">
        <f>-IFERROR('4. NPV'!RZL23/'4. NPV'!RZL$8,0)</f>
        <v>-0.0</v>
      </c>
      <c r="RZL53" s="5">
        <f>-IFERROR('4. NPV'!RZM23/'4. NPV'!RZM$8,0)</f>
        <v>-0.0</v>
      </c>
      <c r="RZM53" s="5">
        <f>-IFERROR('4. NPV'!RZN23/'4. NPV'!RZN$8,0)</f>
        <v>-0.0</v>
      </c>
      <c r="RZN53" s="5">
        <f>-IFERROR('4. NPV'!RZO23/'4. NPV'!RZO$8,0)</f>
        <v>-0.0</v>
      </c>
      <c r="RZO53" s="5">
        <f>-IFERROR('4. NPV'!RZP23/'4. NPV'!RZP$8,0)</f>
        <v>-0.0</v>
      </c>
      <c r="RZP53" s="5">
        <f>-IFERROR('4. NPV'!RZQ23/'4. NPV'!RZQ$8,0)</f>
        <v>-0.0</v>
      </c>
      <c r="RZQ53" s="5">
        <f>-IFERROR('4. NPV'!RZR23/'4. NPV'!RZR$8,0)</f>
        <v>-0.0</v>
      </c>
      <c r="RZR53" s="5">
        <f>-IFERROR('4. NPV'!RZS23/'4. NPV'!RZS$8,0)</f>
        <v>-0.0</v>
      </c>
      <c r="RZS53" s="5">
        <f>-IFERROR('4. NPV'!RZT23/'4. NPV'!RZT$8,0)</f>
        <v>-0.0</v>
      </c>
      <c r="RZT53" s="5">
        <f>-IFERROR('4. NPV'!RZU23/'4. NPV'!RZU$8,0)</f>
        <v>-0.0</v>
      </c>
      <c r="RZU53" s="5">
        <f>-IFERROR('4. NPV'!RZV23/'4. NPV'!RZV$8,0)</f>
        <v>-0.0</v>
      </c>
      <c r="RZV53" s="5">
        <f>-IFERROR('4. NPV'!RZW23/'4. NPV'!RZW$8,0)</f>
        <v>-0.0</v>
      </c>
      <c r="RZW53" s="5">
        <f>-IFERROR('4. NPV'!RZX23/'4. NPV'!RZX$8,0)</f>
        <v>-0.0</v>
      </c>
      <c r="RZX53" s="5">
        <f>-IFERROR('4. NPV'!RZY23/'4. NPV'!RZY$8,0)</f>
        <v>-0.0</v>
      </c>
      <c r="RZY53" s="5">
        <f>-IFERROR('4. NPV'!RZZ23/'4. NPV'!RZZ$8,0)</f>
        <v>-0.0</v>
      </c>
      <c r="RZZ53" s="5">
        <f>-IFERROR('4. NPV'!SAA23/'4. NPV'!SAA$8,0)</f>
        <v>-0.0</v>
      </c>
      <c r="SAA53" s="5">
        <f>-IFERROR('4. NPV'!SAB23/'4. NPV'!SAB$8,0)</f>
        <v>-0.0</v>
      </c>
      <c r="SAB53" s="5">
        <f>-IFERROR('4. NPV'!SAC23/'4. NPV'!SAC$8,0)</f>
        <v>-0.0</v>
      </c>
      <c r="SAC53" s="5">
        <f>-IFERROR('4. NPV'!SAD23/'4. NPV'!SAD$8,0)</f>
        <v>-0.0</v>
      </c>
      <c r="SAD53" s="5">
        <f>-IFERROR('4. NPV'!SAE23/'4. NPV'!SAE$8,0)</f>
        <v>-0.0</v>
      </c>
      <c r="SAE53" s="5">
        <f>-IFERROR('4. NPV'!SAF23/'4. NPV'!SAF$8,0)</f>
        <v>-0.0</v>
      </c>
      <c r="SAF53" s="5">
        <f>-IFERROR('4. NPV'!SAG23/'4. NPV'!SAG$8,0)</f>
        <v>-0.0</v>
      </c>
      <c r="SAG53" s="5">
        <f>-IFERROR('4. NPV'!SAH23/'4. NPV'!SAH$8,0)</f>
        <v>-0.0</v>
      </c>
      <c r="SAH53" s="5">
        <f>-IFERROR('4. NPV'!SAI23/'4. NPV'!SAI$8,0)</f>
        <v>-0.0</v>
      </c>
      <c r="SAI53" s="5">
        <f>-IFERROR('4. NPV'!SAJ23/'4. NPV'!SAJ$8,0)</f>
        <v>-0.0</v>
      </c>
      <c r="SAJ53" s="5">
        <f>-IFERROR('4. NPV'!SAK23/'4. NPV'!SAK$8,0)</f>
        <v>-0.0</v>
      </c>
      <c r="SAK53" s="5">
        <f>-IFERROR('4. NPV'!SAL23/'4. NPV'!SAL$8,0)</f>
        <v>-0.0</v>
      </c>
      <c r="SAL53" s="5">
        <f>-IFERROR('4. NPV'!SAM23/'4. NPV'!SAM$8,0)</f>
        <v>-0.0</v>
      </c>
      <c r="SAM53" s="5">
        <f>-IFERROR('4. NPV'!SAN23/'4. NPV'!SAN$8,0)</f>
        <v>-0.0</v>
      </c>
      <c r="SAN53" s="5">
        <f>-IFERROR('4. NPV'!SAO23/'4. NPV'!SAO$8,0)</f>
        <v>-0.0</v>
      </c>
      <c r="SAO53" s="5">
        <f>-IFERROR('4. NPV'!SAP23/'4. NPV'!SAP$8,0)</f>
        <v>-0.0</v>
      </c>
      <c r="SAP53" s="5">
        <f>-IFERROR('4. NPV'!SAQ23/'4. NPV'!SAQ$8,0)</f>
        <v>-0.0</v>
      </c>
      <c r="SAQ53" s="5">
        <f>-IFERROR('4. NPV'!SAR23/'4. NPV'!SAR$8,0)</f>
        <v>-0.0</v>
      </c>
      <c r="SAR53" s="5">
        <f>-IFERROR('4. NPV'!SAS23/'4. NPV'!SAS$8,0)</f>
        <v>-0.0</v>
      </c>
      <c r="SAS53" s="5">
        <f>-IFERROR('4. NPV'!SAT23/'4. NPV'!SAT$8,0)</f>
        <v>-0.0</v>
      </c>
      <c r="SAT53" s="5">
        <f>-IFERROR('4. NPV'!SAU23/'4. NPV'!SAU$8,0)</f>
        <v>-0.0</v>
      </c>
      <c r="SAU53" s="5">
        <f>-IFERROR('4. NPV'!SAV23/'4. NPV'!SAV$8,0)</f>
        <v>-0.0</v>
      </c>
      <c r="SAV53" s="5">
        <f>-IFERROR('4. NPV'!SAW23/'4. NPV'!SAW$8,0)</f>
        <v>-0.0</v>
      </c>
      <c r="SAW53" s="5">
        <f>-IFERROR('4. NPV'!SAX23/'4. NPV'!SAX$8,0)</f>
        <v>-0.0</v>
      </c>
      <c r="SAX53" s="5">
        <f>-IFERROR('4. NPV'!SAY23/'4. NPV'!SAY$8,0)</f>
        <v>-0.0</v>
      </c>
      <c r="SAY53" s="5">
        <f>-IFERROR('4. NPV'!SAZ23/'4. NPV'!SAZ$8,0)</f>
        <v>-0.0</v>
      </c>
      <c r="SAZ53" s="5">
        <f>-IFERROR('4. NPV'!SBA23/'4. NPV'!SBA$8,0)</f>
        <v>-0.0</v>
      </c>
      <c r="SBA53" s="5">
        <f>-IFERROR('4. NPV'!SBB23/'4. NPV'!SBB$8,0)</f>
        <v>-0.0</v>
      </c>
      <c r="SBB53" s="5">
        <f>-IFERROR('4. NPV'!SBC23/'4. NPV'!SBC$8,0)</f>
        <v>-0.0</v>
      </c>
      <c r="SBC53" s="5">
        <f>-IFERROR('4. NPV'!SBD23/'4. NPV'!SBD$8,0)</f>
        <v>-0.0</v>
      </c>
      <c r="SBD53" s="5">
        <f>-IFERROR('4. NPV'!SBE23/'4. NPV'!SBE$8,0)</f>
        <v>-0.0</v>
      </c>
      <c r="SBE53" s="5">
        <f>-IFERROR('4. NPV'!SBF23/'4. NPV'!SBF$8,0)</f>
        <v>-0.0</v>
      </c>
      <c r="SBF53" s="5">
        <f>-IFERROR('4. NPV'!SBG23/'4. NPV'!SBG$8,0)</f>
        <v>-0.0</v>
      </c>
      <c r="SBG53" s="5">
        <f>-IFERROR('4. NPV'!SBH23/'4. NPV'!SBH$8,0)</f>
        <v>-0.0</v>
      </c>
      <c r="SBH53" s="5">
        <f>-IFERROR('4. NPV'!SBI23/'4. NPV'!SBI$8,0)</f>
        <v>-0.0</v>
      </c>
      <c r="SBI53" s="5">
        <f>-IFERROR('4. NPV'!SBJ23/'4. NPV'!SBJ$8,0)</f>
        <v>-0.0</v>
      </c>
      <c r="SBJ53" s="5">
        <f>-IFERROR('4. NPV'!SBK23/'4. NPV'!SBK$8,0)</f>
        <v>-0.0</v>
      </c>
      <c r="SBK53" s="5">
        <f>-IFERROR('4. NPV'!SBL23/'4. NPV'!SBL$8,0)</f>
        <v>-0.0</v>
      </c>
      <c r="SBL53" s="5">
        <f>-IFERROR('4. NPV'!SBM23/'4. NPV'!SBM$8,0)</f>
        <v>-0.0</v>
      </c>
      <c r="SBM53" s="5">
        <f>-IFERROR('4. NPV'!SBN23/'4. NPV'!SBN$8,0)</f>
        <v>-0.0</v>
      </c>
      <c r="SBN53" s="5">
        <f>-IFERROR('4. NPV'!SBO23/'4. NPV'!SBO$8,0)</f>
        <v>-0.0</v>
      </c>
      <c r="SBO53" s="5">
        <f>-IFERROR('4. NPV'!SBP23/'4. NPV'!SBP$8,0)</f>
        <v>-0.0</v>
      </c>
      <c r="SBP53" s="5">
        <f>-IFERROR('4. NPV'!SBQ23/'4. NPV'!SBQ$8,0)</f>
        <v>-0.0</v>
      </c>
      <c r="SBQ53" s="5">
        <f>-IFERROR('4. NPV'!SBR23/'4. NPV'!SBR$8,0)</f>
        <v>-0.0</v>
      </c>
      <c r="SBR53" s="5">
        <f>-IFERROR('4. NPV'!SBS23/'4. NPV'!SBS$8,0)</f>
        <v>-0.0</v>
      </c>
      <c r="SBS53" s="5">
        <f>-IFERROR('4. NPV'!SBT23/'4. NPV'!SBT$8,0)</f>
        <v>-0.0</v>
      </c>
      <c r="SBT53" s="5">
        <f>-IFERROR('4. NPV'!SBU23/'4. NPV'!SBU$8,0)</f>
        <v>-0.0</v>
      </c>
      <c r="SBU53" s="5">
        <f>-IFERROR('4. NPV'!SBV23/'4. NPV'!SBV$8,0)</f>
        <v>-0.0</v>
      </c>
      <c r="SBV53" s="5">
        <f>-IFERROR('4. NPV'!SBW23/'4. NPV'!SBW$8,0)</f>
        <v>-0.0</v>
      </c>
      <c r="SBW53" s="5">
        <f>-IFERROR('4. NPV'!SBX23/'4. NPV'!SBX$8,0)</f>
        <v>-0.0</v>
      </c>
      <c r="SBX53" s="5">
        <f>-IFERROR('4. NPV'!SBY23/'4. NPV'!SBY$8,0)</f>
        <v>-0.0</v>
      </c>
      <c r="SBY53" s="5">
        <f>-IFERROR('4. NPV'!SBZ23/'4. NPV'!SBZ$8,0)</f>
        <v>-0.0</v>
      </c>
      <c r="SBZ53" s="5">
        <f>-IFERROR('4. NPV'!SCA23/'4. NPV'!SCA$8,0)</f>
        <v>-0.0</v>
      </c>
      <c r="SCA53" s="5">
        <f>-IFERROR('4. NPV'!SCB23/'4. NPV'!SCB$8,0)</f>
        <v>-0.0</v>
      </c>
      <c r="SCB53" s="5">
        <f>-IFERROR('4. NPV'!SCC23/'4. NPV'!SCC$8,0)</f>
        <v>-0.0</v>
      </c>
      <c r="SCC53" s="5">
        <f>-IFERROR('4. NPV'!SCD23/'4. NPV'!SCD$8,0)</f>
        <v>-0.0</v>
      </c>
      <c r="SCD53" s="5">
        <f>-IFERROR('4. NPV'!SCE23/'4. NPV'!SCE$8,0)</f>
        <v>-0.0</v>
      </c>
      <c r="SCE53" s="5">
        <f>-IFERROR('4. NPV'!SCF23/'4. NPV'!SCF$8,0)</f>
        <v>-0.0</v>
      </c>
      <c r="SCF53" s="5">
        <f>-IFERROR('4. NPV'!SCG23/'4. NPV'!SCG$8,0)</f>
        <v>-0.0</v>
      </c>
      <c r="SCG53" s="5">
        <f>-IFERROR('4. NPV'!SCH23/'4. NPV'!SCH$8,0)</f>
        <v>-0.0</v>
      </c>
      <c r="SCH53" s="5">
        <f>-IFERROR('4. NPV'!SCI23/'4. NPV'!SCI$8,0)</f>
        <v>-0.0</v>
      </c>
      <c r="SCI53" s="5">
        <f>-IFERROR('4. NPV'!SCJ23/'4. NPV'!SCJ$8,0)</f>
        <v>-0.0</v>
      </c>
      <c r="SCJ53" s="5">
        <f>-IFERROR('4. NPV'!SCK23/'4. NPV'!SCK$8,0)</f>
        <v>-0.0</v>
      </c>
      <c r="SCK53" s="5">
        <f>-IFERROR('4. NPV'!SCL23/'4. NPV'!SCL$8,0)</f>
        <v>-0.0</v>
      </c>
      <c r="SCL53" s="5">
        <f>-IFERROR('4. NPV'!SCM23/'4. NPV'!SCM$8,0)</f>
        <v>-0.0</v>
      </c>
      <c r="SCM53" s="5">
        <f>-IFERROR('4. NPV'!SCN23/'4. NPV'!SCN$8,0)</f>
        <v>-0.0</v>
      </c>
      <c r="SCN53" s="5">
        <f>-IFERROR('4. NPV'!SCO23/'4. NPV'!SCO$8,0)</f>
        <v>-0.0</v>
      </c>
      <c r="SCO53" s="5">
        <f>-IFERROR('4. NPV'!SCP23/'4. NPV'!SCP$8,0)</f>
        <v>-0.0</v>
      </c>
      <c r="SCP53" s="5">
        <f>-IFERROR('4. NPV'!SCQ23/'4. NPV'!SCQ$8,0)</f>
        <v>-0.0</v>
      </c>
      <c r="SCQ53" s="5">
        <f>-IFERROR('4. NPV'!SCR23/'4. NPV'!SCR$8,0)</f>
        <v>-0.0</v>
      </c>
      <c r="SCR53" s="5">
        <f>-IFERROR('4. NPV'!SCS23/'4. NPV'!SCS$8,0)</f>
        <v>-0.0</v>
      </c>
      <c r="SCS53" s="5">
        <f>-IFERROR('4. NPV'!SCT23/'4. NPV'!SCT$8,0)</f>
        <v>-0.0</v>
      </c>
      <c r="SCT53" s="5">
        <f>-IFERROR('4. NPV'!SCU23/'4. NPV'!SCU$8,0)</f>
        <v>-0.0</v>
      </c>
      <c r="SCU53" s="5">
        <f>-IFERROR('4. NPV'!SCV23/'4. NPV'!SCV$8,0)</f>
        <v>-0.0</v>
      </c>
      <c r="SCV53" s="5">
        <f>-IFERROR('4. NPV'!SCW23/'4. NPV'!SCW$8,0)</f>
        <v>-0.0</v>
      </c>
      <c r="SCW53" s="5">
        <f>-IFERROR('4. NPV'!SCX23/'4. NPV'!SCX$8,0)</f>
        <v>-0.0</v>
      </c>
      <c r="SCX53" s="5">
        <f>-IFERROR('4. NPV'!SCY23/'4. NPV'!SCY$8,0)</f>
        <v>-0.0</v>
      </c>
      <c r="SCY53" s="5">
        <f>-IFERROR('4. NPV'!SCZ23/'4. NPV'!SCZ$8,0)</f>
        <v>-0.0</v>
      </c>
      <c r="SCZ53" s="5">
        <f>-IFERROR('4. NPV'!SDA23/'4. NPV'!SDA$8,0)</f>
        <v>-0.0</v>
      </c>
      <c r="SDA53" s="5">
        <f>-IFERROR('4. NPV'!SDB23/'4. NPV'!SDB$8,0)</f>
        <v>-0.0</v>
      </c>
      <c r="SDB53" s="5">
        <f>-IFERROR('4. NPV'!SDC23/'4. NPV'!SDC$8,0)</f>
        <v>-0.0</v>
      </c>
      <c r="SDC53" s="5">
        <f>-IFERROR('4. NPV'!SDD23/'4. NPV'!SDD$8,0)</f>
        <v>-0.0</v>
      </c>
      <c r="SDD53" s="5">
        <f>-IFERROR('4. NPV'!SDE23/'4. NPV'!SDE$8,0)</f>
        <v>-0.0</v>
      </c>
      <c r="SDE53" s="5">
        <f>-IFERROR('4. NPV'!SDF23/'4. NPV'!SDF$8,0)</f>
        <v>-0.0</v>
      </c>
      <c r="SDF53" s="5">
        <f>-IFERROR('4. NPV'!SDG23/'4. NPV'!SDG$8,0)</f>
        <v>-0.0</v>
      </c>
      <c r="SDG53" s="5">
        <f>-IFERROR('4. NPV'!SDH23/'4. NPV'!SDH$8,0)</f>
        <v>-0.0</v>
      </c>
      <c r="SDH53" s="5">
        <f>-IFERROR('4. NPV'!SDI23/'4. NPV'!SDI$8,0)</f>
        <v>-0.0</v>
      </c>
      <c r="SDI53" s="5">
        <f>-IFERROR('4. NPV'!SDJ23/'4. NPV'!SDJ$8,0)</f>
        <v>-0.0</v>
      </c>
      <c r="SDJ53" s="5">
        <f>-IFERROR('4. NPV'!SDK23/'4. NPV'!SDK$8,0)</f>
        <v>-0.0</v>
      </c>
      <c r="SDK53" s="5">
        <f>-IFERROR('4. NPV'!SDL23/'4. NPV'!SDL$8,0)</f>
        <v>-0.0</v>
      </c>
      <c r="SDL53" s="5">
        <f>-IFERROR('4. NPV'!SDM23/'4. NPV'!SDM$8,0)</f>
        <v>-0.0</v>
      </c>
      <c r="SDM53" s="5">
        <f>-IFERROR('4. NPV'!SDN23/'4. NPV'!SDN$8,0)</f>
        <v>-0.0</v>
      </c>
      <c r="SDN53" s="5">
        <f>-IFERROR('4. NPV'!SDO23/'4. NPV'!SDO$8,0)</f>
        <v>-0.0</v>
      </c>
      <c r="SDO53" s="5">
        <f>-IFERROR('4. NPV'!SDP23/'4. NPV'!SDP$8,0)</f>
        <v>-0.0</v>
      </c>
      <c r="SDP53" s="5">
        <f>-IFERROR('4. NPV'!SDQ23/'4. NPV'!SDQ$8,0)</f>
        <v>-0.0</v>
      </c>
      <c r="SDQ53" s="5">
        <f>-IFERROR('4. NPV'!SDR23/'4. NPV'!SDR$8,0)</f>
        <v>-0.0</v>
      </c>
      <c r="SDR53" s="5">
        <f>-IFERROR('4. NPV'!SDS23/'4. NPV'!SDS$8,0)</f>
        <v>-0.0</v>
      </c>
      <c r="SDS53" s="5">
        <f>-IFERROR('4. NPV'!SDT23/'4. NPV'!SDT$8,0)</f>
        <v>-0.0</v>
      </c>
      <c r="SDT53" s="5">
        <f>-IFERROR('4. NPV'!SDU23/'4. NPV'!SDU$8,0)</f>
        <v>-0.0</v>
      </c>
      <c r="SDU53" s="5">
        <f>-IFERROR('4. NPV'!SDV23/'4. NPV'!SDV$8,0)</f>
        <v>-0.0</v>
      </c>
      <c r="SDV53" s="5">
        <f>-IFERROR('4. NPV'!SDW23/'4. NPV'!SDW$8,0)</f>
        <v>-0.0</v>
      </c>
      <c r="SDW53" s="5">
        <f>-IFERROR('4. NPV'!SDX23/'4. NPV'!SDX$8,0)</f>
        <v>-0.0</v>
      </c>
      <c r="SDX53" s="5">
        <f>-IFERROR('4. NPV'!SDY23/'4. NPV'!SDY$8,0)</f>
        <v>-0.0</v>
      </c>
      <c r="SDY53" s="5">
        <f>-IFERROR('4. NPV'!SDZ23/'4. NPV'!SDZ$8,0)</f>
        <v>-0.0</v>
      </c>
      <c r="SDZ53" s="5">
        <f>-IFERROR('4. NPV'!SEA23/'4. NPV'!SEA$8,0)</f>
        <v>-0.0</v>
      </c>
      <c r="SEA53" s="5">
        <f>-IFERROR('4. NPV'!SEB23/'4. NPV'!SEB$8,0)</f>
        <v>-0.0</v>
      </c>
      <c r="SEB53" s="5">
        <f>-IFERROR('4. NPV'!SEC23/'4. NPV'!SEC$8,0)</f>
        <v>-0.0</v>
      </c>
      <c r="SEC53" s="5">
        <f>-IFERROR('4. NPV'!SED23/'4. NPV'!SED$8,0)</f>
        <v>-0.0</v>
      </c>
      <c r="SED53" s="5">
        <f>-IFERROR('4. NPV'!SEE23/'4. NPV'!SEE$8,0)</f>
        <v>-0.0</v>
      </c>
      <c r="SEE53" s="5">
        <f>-IFERROR('4. NPV'!SEF23/'4. NPV'!SEF$8,0)</f>
        <v>-0.0</v>
      </c>
      <c r="SEF53" s="5">
        <f>-IFERROR('4. NPV'!SEG23/'4. NPV'!SEG$8,0)</f>
        <v>-0.0</v>
      </c>
      <c r="SEG53" s="5">
        <f>-IFERROR('4. NPV'!SEH23/'4. NPV'!SEH$8,0)</f>
        <v>-0.0</v>
      </c>
      <c r="SEH53" s="5">
        <f>-IFERROR('4. NPV'!SEI23/'4. NPV'!SEI$8,0)</f>
        <v>-0.0</v>
      </c>
      <c r="SEI53" s="5">
        <f>-IFERROR('4. NPV'!SEJ23/'4. NPV'!SEJ$8,0)</f>
        <v>-0.0</v>
      </c>
      <c r="SEJ53" s="5">
        <f>-IFERROR('4. NPV'!SEK23/'4. NPV'!SEK$8,0)</f>
        <v>-0.0</v>
      </c>
      <c r="SEK53" s="5">
        <f>-IFERROR('4. NPV'!SEL23/'4. NPV'!SEL$8,0)</f>
        <v>-0.0</v>
      </c>
      <c r="SEL53" s="5">
        <f>-IFERROR('4. NPV'!SEM23/'4. NPV'!SEM$8,0)</f>
        <v>-0.0</v>
      </c>
      <c r="SEM53" s="5">
        <f>-IFERROR('4. NPV'!SEN23/'4. NPV'!SEN$8,0)</f>
        <v>-0.0</v>
      </c>
      <c r="SEN53" s="5">
        <f>-IFERROR('4. NPV'!SEO23/'4. NPV'!SEO$8,0)</f>
        <v>-0.0</v>
      </c>
      <c r="SEO53" s="5">
        <f>-IFERROR('4. NPV'!SEP23/'4. NPV'!SEP$8,0)</f>
        <v>-0.0</v>
      </c>
      <c r="SEP53" s="5">
        <f>-IFERROR('4. NPV'!SEQ23/'4. NPV'!SEQ$8,0)</f>
        <v>-0.0</v>
      </c>
      <c r="SEQ53" s="5">
        <f>-IFERROR('4. NPV'!SER23/'4. NPV'!SER$8,0)</f>
        <v>-0.0</v>
      </c>
      <c r="SER53" s="5">
        <f>-IFERROR('4. NPV'!SES23/'4. NPV'!SES$8,0)</f>
        <v>-0.0</v>
      </c>
      <c r="SES53" s="5">
        <f>-IFERROR('4. NPV'!SET23/'4. NPV'!SET$8,0)</f>
        <v>-0.0</v>
      </c>
      <c r="SET53" s="5">
        <f>-IFERROR('4. NPV'!SEU23/'4. NPV'!SEU$8,0)</f>
        <v>-0.0</v>
      </c>
      <c r="SEU53" s="5">
        <f>-IFERROR('4. NPV'!SEV23/'4. NPV'!SEV$8,0)</f>
        <v>-0.0</v>
      </c>
      <c r="SEV53" s="5">
        <f>-IFERROR('4. NPV'!SEW23/'4. NPV'!SEW$8,0)</f>
        <v>-0.0</v>
      </c>
      <c r="SEW53" s="5">
        <f>-IFERROR('4. NPV'!SEX23/'4. NPV'!SEX$8,0)</f>
        <v>-0.0</v>
      </c>
      <c r="SEX53" s="5">
        <f>-IFERROR('4. NPV'!SEY23/'4. NPV'!SEY$8,0)</f>
        <v>-0.0</v>
      </c>
      <c r="SEY53" s="5">
        <f>-IFERROR('4. NPV'!SEZ23/'4. NPV'!SEZ$8,0)</f>
        <v>-0.0</v>
      </c>
      <c r="SEZ53" s="5">
        <f>-IFERROR('4. NPV'!SFA23/'4. NPV'!SFA$8,0)</f>
        <v>-0.0</v>
      </c>
      <c r="SFA53" s="5">
        <f>-IFERROR('4. NPV'!SFB23/'4. NPV'!SFB$8,0)</f>
        <v>-0.0</v>
      </c>
      <c r="SFB53" s="5">
        <f>-IFERROR('4. NPV'!SFC23/'4. NPV'!SFC$8,0)</f>
        <v>-0.0</v>
      </c>
      <c r="SFC53" s="5">
        <f>-IFERROR('4. NPV'!SFD23/'4. NPV'!SFD$8,0)</f>
        <v>-0.0</v>
      </c>
      <c r="SFD53" s="5">
        <f>-IFERROR('4. NPV'!SFE23/'4. NPV'!SFE$8,0)</f>
        <v>-0.0</v>
      </c>
      <c r="SFE53" s="5">
        <f>-IFERROR('4. NPV'!SFF23/'4. NPV'!SFF$8,0)</f>
        <v>-0.0</v>
      </c>
      <c r="SFF53" s="5">
        <f>-IFERROR('4. NPV'!SFG23/'4. NPV'!SFG$8,0)</f>
        <v>-0.0</v>
      </c>
      <c r="SFG53" s="5">
        <f>-IFERROR('4. NPV'!SFH23/'4. NPV'!SFH$8,0)</f>
        <v>-0.0</v>
      </c>
      <c r="SFH53" s="5">
        <f>-IFERROR('4. NPV'!SFI23/'4. NPV'!SFI$8,0)</f>
        <v>-0.0</v>
      </c>
      <c r="SFI53" s="5">
        <f>-IFERROR('4. NPV'!SFJ23/'4. NPV'!SFJ$8,0)</f>
        <v>-0.0</v>
      </c>
      <c r="SFJ53" s="5">
        <f>-IFERROR('4. NPV'!SFK23/'4. NPV'!SFK$8,0)</f>
        <v>-0.0</v>
      </c>
      <c r="SFK53" s="5">
        <f>-IFERROR('4. NPV'!SFL23/'4. NPV'!SFL$8,0)</f>
        <v>-0.0</v>
      </c>
      <c r="SFL53" s="5">
        <f>-IFERROR('4. NPV'!SFM23/'4. NPV'!SFM$8,0)</f>
        <v>-0.0</v>
      </c>
      <c r="SFM53" s="5">
        <f>-IFERROR('4. NPV'!SFN23/'4. NPV'!SFN$8,0)</f>
        <v>-0.0</v>
      </c>
      <c r="SFN53" s="5">
        <f>-IFERROR('4. NPV'!SFO23/'4. NPV'!SFO$8,0)</f>
        <v>-0.0</v>
      </c>
      <c r="SFO53" s="5">
        <f>-IFERROR('4. NPV'!SFP23/'4. NPV'!SFP$8,0)</f>
        <v>-0.0</v>
      </c>
      <c r="SFP53" s="5">
        <f>-IFERROR('4. NPV'!SFQ23/'4. NPV'!SFQ$8,0)</f>
        <v>-0.0</v>
      </c>
      <c r="SFQ53" s="5">
        <f>-IFERROR('4. NPV'!SFR23/'4. NPV'!SFR$8,0)</f>
        <v>-0.0</v>
      </c>
      <c r="SFR53" s="5">
        <f>-IFERROR('4. NPV'!SFS23/'4. NPV'!SFS$8,0)</f>
        <v>-0.0</v>
      </c>
      <c r="SFS53" s="5">
        <f>-IFERROR('4. NPV'!SFT23/'4. NPV'!SFT$8,0)</f>
        <v>-0.0</v>
      </c>
      <c r="SFT53" s="5">
        <f>-IFERROR('4. NPV'!SFU23/'4. NPV'!SFU$8,0)</f>
        <v>-0.0</v>
      </c>
      <c r="SFU53" s="5">
        <f>-IFERROR('4. NPV'!SFV23/'4. NPV'!SFV$8,0)</f>
        <v>-0.0</v>
      </c>
      <c r="SFV53" s="5">
        <f>-IFERROR('4. NPV'!SFW23/'4. NPV'!SFW$8,0)</f>
        <v>-0.0</v>
      </c>
      <c r="SFW53" s="5">
        <f>-IFERROR('4. NPV'!SFX23/'4. NPV'!SFX$8,0)</f>
        <v>-0.0</v>
      </c>
      <c r="SFX53" s="5">
        <f>-IFERROR('4. NPV'!SFY23/'4. NPV'!SFY$8,0)</f>
        <v>-0.0</v>
      </c>
      <c r="SFY53" s="5">
        <f>-IFERROR('4. NPV'!SFZ23/'4. NPV'!SFZ$8,0)</f>
        <v>-0.0</v>
      </c>
      <c r="SFZ53" s="5">
        <f>-IFERROR('4. NPV'!SGA23/'4. NPV'!SGA$8,0)</f>
        <v>-0.0</v>
      </c>
      <c r="SGA53" s="5">
        <f>-IFERROR('4. NPV'!SGB23/'4. NPV'!SGB$8,0)</f>
        <v>-0.0</v>
      </c>
      <c r="SGB53" s="5">
        <f>-IFERROR('4. NPV'!SGC23/'4. NPV'!SGC$8,0)</f>
        <v>-0.0</v>
      </c>
      <c r="SGC53" s="5">
        <f>-IFERROR('4. NPV'!SGD23/'4. NPV'!SGD$8,0)</f>
        <v>-0.0</v>
      </c>
      <c r="SGD53" s="5">
        <f>-IFERROR('4. NPV'!SGE23/'4. NPV'!SGE$8,0)</f>
        <v>-0.0</v>
      </c>
      <c r="SGE53" s="5">
        <f>-IFERROR('4. NPV'!SGF23/'4. NPV'!SGF$8,0)</f>
        <v>-0.0</v>
      </c>
      <c r="SGF53" s="5">
        <f>-IFERROR('4. NPV'!SGG23/'4. NPV'!SGG$8,0)</f>
        <v>-0.0</v>
      </c>
      <c r="SGG53" s="5">
        <f>-IFERROR('4. NPV'!SGH23/'4. NPV'!SGH$8,0)</f>
        <v>-0.0</v>
      </c>
      <c r="SGH53" s="5">
        <f>-IFERROR('4. NPV'!SGI23/'4. NPV'!SGI$8,0)</f>
        <v>-0.0</v>
      </c>
      <c r="SGI53" s="5">
        <f>-IFERROR('4. NPV'!SGJ23/'4. NPV'!SGJ$8,0)</f>
        <v>-0.0</v>
      </c>
      <c r="SGJ53" s="5">
        <f>-IFERROR('4. NPV'!SGK23/'4. NPV'!SGK$8,0)</f>
        <v>-0.0</v>
      </c>
      <c r="SGK53" s="5">
        <f>-IFERROR('4. NPV'!SGL23/'4. NPV'!SGL$8,0)</f>
        <v>-0.0</v>
      </c>
      <c r="SGL53" s="5">
        <f>-IFERROR('4. NPV'!SGM23/'4. NPV'!SGM$8,0)</f>
        <v>-0.0</v>
      </c>
      <c r="SGM53" s="5">
        <f>-IFERROR('4. NPV'!SGN23/'4. NPV'!SGN$8,0)</f>
        <v>-0.0</v>
      </c>
      <c r="SGN53" s="5">
        <f>-IFERROR('4. NPV'!SGO23/'4. NPV'!SGO$8,0)</f>
        <v>-0.0</v>
      </c>
      <c r="SGO53" s="5">
        <f>-IFERROR('4. NPV'!SGP23/'4. NPV'!SGP$8,0)</f>
        <v>-0.0</v>
      </c>
      <c r="SGP53" s="5">
        <f>-IFERROR('4. NPV'!SGQ23/'4. NPV'!SGQ$8,0)</f>
        <v>-0.0</v>
      </c>
      <c r="SGQ53" s="5">
        <f>-IFERROR('4. NPV'!SGR23/'4. NPV'!SGR$8,0)</f>
        <v>-0.0</v>
      </c>
      <c r="SGR53" s="5">
        <f>-IFERROR('4. NPV'!SGS23/'4. NPV'!SGS$8,0)</f>
        <v>-0.0</v>
      </c>
      <c r="SGS53" s="5">
        <f>-IFERROR('4. NPV'!SGT23/'4. NPV'!SGT$8,0)</f>
        <v>-0.0</v>
      </c>
      <c r="SGT53" s="5">
        <f>-IFERROR('4. NPV'!SGU23/'4. NPV'!SGU$8,0)</f>
        <v>-0.0</v>
      </c>
      <c r="SGU53" s="5">
        <f>-IFERROR('4. NPV'!SGV23/'4. NPV'!SGV$8,0)</f>
        <v>-0.0</v>
      </c>
      <c r="SGV53" s="5">
        <f>-IFERROR('4. NPV'!SGW23/'4. NPV'!SGW$8,0)</f>
        <v>-0.0</v>
      </c>
      <c r="SGW53" s="5">
        <f>-IFERROR('4. NPV'!SGX23/'4. NPV'!SGX$8,0)</f>
        <v>-0.0</v>
      </c>
      <c r="SGX53" s="5">
        <f>-IFERROR('4. NPV'!SGY23/'4. NPV'!SGY$8,0)</f>
        <v>-0.0</v>
      </c>
      <c r="SGY53" s="5">
        <f>-IFERROR('4. NPV'!SGZ23/'4. NPV'!SGZ$8,0)</f>
        <v>-0.0</v>
      </c>
      <c r="SGZ53" s="5">
        <f>-IFERROR('4. NPV'!SHA23/'4. NPV'!SHA$8,0)</f>
        <v>-0.0</v>
      </c>
      <c r="SHA53" s="5">
        <f>-IFERROR('4. NPV'!SHB23/'4. NPV'!SHB$8,0)</f>
        <v>-0.0</v>
      </c>
      <c r="SHB53" s="5">
        <f>-IFERROR('4. NPV'!SHC23/'4. NPV'!SHC$8,0)</f>
        <v>-0.0</v>
      </c>
      <c r="SHC53" s="5">
        <f>-IFERROR('4. NPV'!SHD23/'4. NPV'!SHD$8,0)</f>
        <v>-0.0</v>
      </c>
      <c r="SHD53" s="5">
        <f>-IFERROR('4. NPV'!SHE23/'4. NPV'!SHE$8,0)</f>
        <v>-0.0</v>
      </c>
      <c r="SHE53" s="5">
        <f>-IFERROR('4. NPV'!SHF23/'4. NPV'!SHF$8,0)</f>
        <v>-0.0</v>
      </c>
      <c r="SHF53" s="5">
        <f>-IFERROR('4. NPV'!SHG23/'4. NPV'!SHG$8,0)</f>
        <v>-0.0</v>
      </c>
      <c r="SHG53" s="5">
        <f>-IFERROR('4. NPV'!SHH23/'4. NPV'!SHH$8,0)</f>
        <v>-0.0</v>
      </c>
      <c r="SHH53" s="5">
        <f>-IFERROR('4. NPV'!SHI23/'4. NPV'!SHI$8,0)</f>
        <v>-0.0</v>
      </c>
      <c r="SHI53" s="5">
        <f>-IFERROR('4. NPV'!SHJ23/'4. NPV'!SHJ$8,0)</f>
        <v>-0.0</v>
      </c>
      <c r="SHJ53" s="5">
        <f>-IFERROR('4. NPV'!SHK23/'4. NPV'!SHK$8,0)</f>
        <v>-0.0</v>
      </c>
      <c r="SHK53" s="5">
        <f>-IFERROR('4. NPV'!SHL23/'4. NPV'!SHL$8,0)</f>
        <v>-0.0</v>
      </c>
      <c r="SHL53" s="5">
        <f>-IFERROR('4. NPV'!SHM23/'4. NPV'!SHM$8,0)</f>
        <v>-0.0</v>
      </c>
      <c r="SHM53" s="5">
        <f>-IFERROR('4. NPV'!SHN23/'4. NPV'!SHN$8,0)</f>
        <v>-0.0</v>
      </c>
      <c r="SHN53" s="5">
        <f>-IFERROR('4. NPV'!SHO23/'4. NPV'!SHO$8,0)</f>
        <v>-0.0</v>
      </c>
      <c r="SHO53" s="5">
        <f>-IFERROR('4. NPV'!SHP23/'4. NPV'!SHP$8,0)</f>
        <v>-0.0</v>
      </c>
      <c r="SHP53" s="5">
        <f>-IFERROR('4. NPV'!SHQ23/'4. NPV'!SHQ$8,0)</f>
        <v>-0.0</v>
      </c>
      <c r="SHQ53" s="5">
        <f>-IFERROR('4. NPV'!SHR23/'4. NPV'!SHR$8,0)</f>
        <v>-0.0</v>
      </c>
      <c r="SHR53" s="5">
        <f>-IFERROR('4. NPV'!SHS23/'4. NPV'!SHS$8,0)</f>
        <v>-0.0</v>
      </c>
      <c r="SHS53" s="5">
        <f>-IFERROR('4. NPV'!SHT23/'4. NPV'!SHT$8,0)</f>
        <v>-0.0</v>
      </c>
      <c r="SHT53" s="5">
        <f>-IFERROR('4. NPV'!SHU23/'4. NPV'!SHU$8,0)</f>
        <v>-0.0</v>
      </c>
      <c r="SHU53" s="5">
        <f>-IFERROR('4. NPV'!SHV23/'4. NPV'!SHV$8,0)</f>
        <v>-0.0</v>
      </c>
      <c r="SHV53" s="5">
        <f>-IFERROR('4. NPV'!SHW23/'4. NPV'!SHW$8,0)</f>
        <v>-0.0</v>
      </c>
      <c r="SHW53" s="5">
        <f>-IFERROR('4. NPV'!SHX23/'4. NPV'!SHX$8,0)</f>
        <v>-0.0</v>
      </c>
      <c r="SHX53" s="5">
        <f>-IFERROR('4. NPV'!SHY23/'4. NPV'!SHY$8,0)</f>
        <v>-0.0</v>
      </c>
      <c r="SHY53" s="5">
        <f>-IFERROR('4. NPV'!SHZ23/'4. NPV'!SHZ$8,0)</f>
        <v>-0.0</v>
      </c>
      <c r="SHZ53" s="5">
        <f>-IFERROR('4. NPV'!SIA23/'4. NPV'!SIA$8,0)</f>
        <v>-0.0</v>
      </c>
      <c r="SIA53" s="5">
        <f>-IFERROR('4. NPV'!SIB23/'4. NPV'!SIB$8,0)</f>
        <v>-0.0</v>
      </c>
      <c r="SIB53" s="5">
        <f>-IFERROR('4. NPV'!SIC23/'4. NPV'!SIC$8,0)</f>
        <v>-0.0</v>
      </c>
      <c r="SIC53" s="5">
        <f>-IFERROR('4. NPV'!SID23/'4. NPV'!SID$8,0)</f>
        <v>-0.0</v>
      </c>
      <c r="SID53" s="5">
        <f>-IFERROR('4. NPV'!SIE23/'4. NPV'!SIE$8,0)</f>
        <v>-0.0</v>
      </c>
      <c r="SIE53" s="5">
        <f>-IFERROR('4. NPV'!SIF23/'4. NPV'!SIF$8,0)</f>
        <v>-0.0</v>
      </c>
      <c r="SIF53" s="5">
        <f>-IFERROR('4. NPV'!SIG23/'4. NPV'!SIG$8,0)</f>
        <v>-0.0</v>
      </c>
      <c r="SIG53" s="5">
        <f>-IFERROR('4. NPV'!SIH23/'4. NPV'!SIH$8,0)</f>
        <v>-0.0</v>
      </c>
      <c r="SIH53" s="5">
        <f>-IFERROR('4. NPV'!SII23/'4. NPV'!SII$8,0)</f>
        <v>-0.0</v>
      </c>
      <c r="SII53" s="5">
        <f>-IFERROR('4. NPV'!SIJ23/'4. NPV'!SIJ$8,0)</f>
        <v>-0.0</v>
      </c>
      <c r="SIJ53" s="5">
        <f>-IFERROR('4. NPV'!SIK23/'4. NPV'!SIK$8,0)</f>
        <v>-0.0</v>
      </c>
      <c r="SIK53" s="5">
        <f>-IFERROR('4. NPV'!SIL23/'4. NPV'!SIL$8,0)</f>
        <v>-0.0</v>
      </c>
      <c r="SIL53" s="5">
        <f>-IFERROR('4. NPV'!SIM23/'4. NPV'!SIM$8,0)</f>
        <v>-0.0</v>
      </c>
      <c r="SIM53" s="5">
        <f>-IFERROR('4. NPV'!SIN23/'4. NPV'!SIN$8,0)</f>
        <v>-0.0</v>
      </c>
      <c r="SIN53" s="5">
        <f>-IFERROR('4. NPV'!SIO23/'4. NPV'!SIO$8,0)</f>
        <v>-0.0</v>
      </c>
      <c r="SIO53" s="5">
        <f>-IFERROR('4. NPV'!SIP23/'4. NPV'!SIP$8,0)</f>
        <v>-0.0</v>
      </c>
      <c r="SIP53" s="5">
        <f>-IFERROR('4. NPV'!SIQ23/'4. NPV'!SIQ$8,0)</f>
        <v>-0.0</v>
      </c>
      <c r="SIQ53" s="5">
        <f>-IFERROR('4. NPV'!SIR23/'4. NPV'!SIR$8,0)</f>
        <v>-0.0</v>
      </c>
      <c r="SIR53" s="5">
        <f>-IFERROR('4. NPV'!SIS23/'4. NPV'!SIS$8,0)</f>
        <v>-0.0</v>
      </c>
      <c r="SIS53" s="5">
        <f>-IFERROR('4. NPV'!SIT23/'4. NPV'!SIT$8,0)</f>
        <v>-0.0</v>
      </c>
      <c r="SIT53" s="5">
        <f>-IFERROR('4. NPV'!SIU23/'4. NPV'!SIU$8,0)</f>
        <v>-0.0</v>
      </c>
      <c r="SIU53" s="5">
        <f>-IFERROR('4. NPV'!SIV23/'4. NPV'!SIV$8,0)</f>
        <v>-0.0</v>
      </c>
      <c r="SIV53" s="5">
        <f>-IFERROR('4. NPV'!SIW23/'4. NPV'!SIW$8,0)</f>
        <v>-0.0</v>
      </c>
      <c r="SIW53" s="5">
        <f>-IFERROR('4. NPV'!SIX23/'4. NPV'!SIX$8,0)</f>
        <v>-0.0</v>
      </c>
      <c r="SIX53" s="5">
        <f>-IFERROR('4. NPV'!SIY23/'4. NPV'!SIY$8,0)</f>
        <v>-0.0</v>
      </c>
      <c r="SIY53" s="5">
        <f>-IFERROR('4. NPV'!SIZ23/'4. NPV'!SIZ$8,0)</f>
        <v>-0.0</v>
      </c>
      <c r="SIZ53" s="5">
        <f>-IFERROR('4. NPV'!SJA23/'4. NPV'!SJA$8,0)</f>
        <v>-0.0</v>
      </c>
      <c r="SJA53" s="5">
        <f>-IFERROR('4. NPV'!SJB23/'4. NPV'!SJB$8,0)</f>
        <v>-0.0</v>
      </c>
      <c r="SJB53" s="5">
        <f>-IFERROR('4. NPV'!SJC23/'4. NPV'!SJC$8,0)</f>
        <v>-0.0</v>
      </c>
      <c r="SJC53" s="5">
        <f>-IFERROR('4. NPV'!SJD23/'4. NPV'!SJD$8,0)</f>
        <v>-0.0</v>
      </c>
      <c r="SJD53" s="5">
        <f>-IFERROR('4. NPV'!SJE23/'4. NPV'!SJE$8,0)</f>
        <v>-0.0</v>
      </c>
      <c r="SJE53" s="5">
        <f>-IFERROR('4. NPV'!SJF23/'4. NPV'!SJF$8,0)</f>
        <v>-0.0</v>
      </c>
      <c r="SJF53" s="5">
        <f>-IFERROR('4. NPV'!SJG23/'4. NPV'!SJG$8,0)</f>
        <v>-0.0</v>
      </c>
      <c r="SJG53" s="5">
        <f>-IFERROR('4. NPV'!SJH23/'4. NPV'!SJH$8,0)</f>
        <v>-0.0</v>
      </c>
      <c r="SJH53" s="5">
        <f>-IFERROR('4. NPV'!SJI23/'4. NPV'!SJI$8,0)</f>
        <v>-0.0</v>
      </c>
      <c r="SJI53" s="5">
        <f>-IFERROR('4. NPV'!SJJ23/'4. NPV'!SJJ$8,0)</f>
        <v>-0.0</v>
      </c>
      <c r="SJJ53" s="5">
        <f>-IFERROR('4. NPV'!SJK23/'4. NPV'!SJK$8,0)</f>
        <v>-0.0</v>
      </c>
      <c r="SJK53" s="5">
        <f>-IFERROR('4. NPV'!SJL23/'4. NPV'!SJL$8,0)</f>
        <v>-0.0</v>
      </c>
      <c r="SJL53" s="5">
        <f>-IFERROR('4. NPV'!SJM23/'4. NPV'!SJM$8,0)</f>
        <v>-0.0</v>
      </c>
      <c r="SJM53" s="5">
        <f>-IFERROR('4. NPV'!SJN23/'4. NPV'!SJN$8,0)</f>
        <v>-0.0</v>
      </c>
      <c r="SJN53" s="5">
        <f>-IFERROR('4. NPV'!SJO23/'4. NPV'!SJO$8,0)</f>
        <v>-0.0</v>
      </c>
      <c r="SJO53" s="5">
        <f>-IFERROR('4. NPV'!SJP23/'4. NPV'!SJP$8,0)</f>
        <v>-0.0</v>
      </c>
      <c r="SJP53" s="5">
        <f>-IFERROR('4. NPV'!SJQ23/'4. NPV'!SJQ$8,0)</f>
        <v>-0.0</v>
      </c>
      <c r="SJQ53" s="5">
        <f>-IFERROR('4. NPV'!SJR23/'4. NPV'!SJR$8,0)</f>
        <v>-0.0</v>
      </c>
      <c r="SJR53" s="5">
        <f>-IFERROR('4. NPV'!SJS23/'4. NPV'!SJS$8,0)</f>
        <v>-0.0</v>
      </c>
      <c r="SJS53" s="5">
        <f>-IFERROR('4. NPV'!SJT23/'4. NPV'!SJT$8,0)</f>
        <v>-0.0</v>
      </c>
      <c r="SJT53" s="5">
        <f>-IFERROR('4. NPV'!SJU23/'4. NPV'!SJU$8,0)</f>
        <v>-0.0</v>
      </c>
      <c r="SJU53" s="5">
        <f>-IFERROR('4. NPV'!SJV23/'4. NPV'!SJV$8,0)</f>
        <v>-0.0</v>
      </c>
      <c r="SJV53" s="5">
        <f>-IFERROR('4. NPV'!SJW23/'4. NPV'!SJW$8,0)</f>
        <v>-0.0</v>
      </c>
      <c r="SJW53" s="5">
        <f>-IFERROR('4. NPV'!SJX23/'4. NPV'!SJX$8,0)</f>
        <v>-0.0</v>
      </c>
      <c r="SJX53" s="5">
        <f>-IFERROR('4. NPV'!SJY23/'4. NPV'!SJY$8,0)</f>
        <v>-0.0</v>
      </c>
      <c r="SJY53" s="5">
        <f>-IFERROR('4. NPV'!SJZ23/'4. NPV'!SJZ$8,0)</f>
        <v>-0.0</v>
      </c>
      <c r="SJZ53" s="5">
        <f>-IFERROR('4. NPV'!SKA23/'4. NPV'!SKA$8,0)</f>
        <v>-0.0</v>
      </c>
      <c r="SKA53" s="5">
        <f>-IFERROR('4. NPV'!SKB23/'4. NPV'!SKB$8,0)</f>
        <v>-0.0</v>
      </c>
      <c r="SKB53" s="5">
        <f>-IFERROR('4. NPV'!SKC23/'4. NPV'!SKC$8,0)</f>
        <v>-0.0</v>
      </c>
      <c r="SKC53" s="5">
        <f>-IFERROR('4. NPV'!SKD23/'4. NPV'!SKD$8,0)</f>
        <v>-0.0</v>
      </c>
      <c r="SKD53" s="5">
        <f>-IFERROR('4. NPV'!SKE23/'4. NPV'!SKE$8,0)</f>
        <v>-0.0</v>
      </c>
      <c r="SKE53" s="5">
        <f>-IFERROR('4. NPV'!SKF23/'4. NPV'!SKF$8,0)</f>
        <v>-0.0</v>
      </c>
      <c r="SKF53" s="5">
        <f>-IFERROR('4. NPV'!SKG23/'4. NPV'!SKG$8,0)</f>
        <v>-0.0</v>
      </c>
      <c r="SKG53" s="5">
        <f>-IFERROR('4. NPV'!SKH23/'4. NPV'!SKH$8,0)</f>
        <v>-0.0</v>
      </c>
      <c r="SKH53" s="5">
        <f>-IFERROR('4. NPV'!SKI23/'4. NPV'!SKI$8,0)</f>
        <v>-0.0</v>
      </c>
      <c r="SKI53" s="5">
        <f>-IFERROR('4. NPV'!SKJ23/'4. NPV'!SKJ$8,0)</f>
        <v>-0.0</v>
      </c>
      <c r="SKJ53" s="5">
        <f>-IFERROR('4. NPV'!SKK23/'4. NPV'!SKK$8,0)</f>
        <v>-0.0</v>
      </c>
      <c r="SKK53" s="5">
        <f>-IFERROR('4. NPV'!SKL23/'4. NPV'!SKL$8,0)</f>
        <v>-0.0</v>
      </c>
      <c r="SKL53" s="5">
        <f>-IFERROR('4. NPV'!SKM23/'4. NPV'!SKM$8,0)</f>
        <v>-0.0</v>
      </c>
      <c r="SKM53" s="5">
        <f>-IFERROR('4. NPV'!SKN23/'4. NPV'!SKN$8,0)</f>
        <v>-0.0</v>
      </c>
      <c r="SKN53" s="5">
        <f>-IFERROR('4. NPV'!SKO23/'4. NPV'!SKO$8,0)</f>
        <v>-0.0</v>
      </c>
      <c r="SKO53" s="5">
        <f>-IFERROR('4. NPV'!SKP23/'4. NPV'!SKP$8,0)</f>
        <v>-0.0</v>
      </c>
      <c r="SKP53" s="5">
        <f>-IFERROR('4. NPV'!SKQ23/'4. NPV'!SKQ$8,0)</f>
        <v>-0.0</v>
      </c>
      <c r="SKQ53" s="5">
        <f>-IFERROR('4. NPV'!SKR23/'4. NPV'!SKR$8,0)</f>
        <v>-0.0</v>
      </c>
      <c r="SKR53" s="5">
        <f>-IFERROR('4. NPV'!SKS23/'4. NPV'!SKS$8,0)</f>
        <v>-0.0</v>
      </c>
      <c r="SKS53" s="5">
        <f>-IFERROR('4. NPV'!SKT23/'4. NPV'!SKT$8,0)</f>
        <v>-0.0</v>
      </c>
      <c r="SKT53" s="5">
        <f>-IFERROR('4. NPV'!SKU23/'4. NPV'!SKU$8,0)</f>
        <v>-0.0</v>
      </c>
      <c r="SKU53" s="5">
        <f>-IFERROR('4. NPV'!SKV23/'4. NPV'!SKV$8,0)</f>
        <v>-0.0</v>
      </c>
      <c r="SKV53" s="5">
        <f>-IFERROR('4. NPV'!SKW23/'4. NPV'!SKW$8,0)</f>
        <v>-0.0</v>
      </c>
      <c r="SKW53" s="5">
        <f>-IFERROR('4. NPV'!SKX23/'4. NPV'!SKX$8,0)</f>
        <v>-0.0</v>
      </c>
      <c r="SKX53" s="5">
        <f>-IFERROR('4. NPV'!SKY23/'4. NPV'!SKY$8,0)</f>
        <v>-0.0</v>
      </c>
      <c r="SKY53" s="5">
        <f>-IFERROR('4. NPV'!SKZ23/'4. NPV'!SKZ$8,0)</f>
        <v>-0.0</v>
      </c>
      <c r="SKZ53" s="5">
        <f>-IFERROR('4. NPV'!SLA23/'4. NPV'!SLA$8,0)</f>
        <v>-0.0</v>
      </c>
      <c r="SLA53" s="5">
        <f>-IFERROR('4. NPV'!SLB23/'4. NPV'!SLB$8,0)</f>
        <v>-0.0</v>
      </c>
      <c r="SLB53" s="5">
        <f>-IFERROR('4. NPV'!SLC23/'4. NPV'!SLC$8,0)</f>
        <v>-0.0</v>
      </c>
      <c r="SLC53" s="5">
        <f>-IFERROR('4. NPV'!SLD23/'4. NPV'!SLD$8,0)</f>
        <v>-0.0</v>
      </c>
      <c r="SLD53" s="5">
        <f>-IFERROR('4. NPV'!SLE23/'4. NPV'!SLE$8,0)</f>
        <v>-0.0</v>
      </c>
      <c r="SLE53" s="5">
        <f>-IFERROR('4. NPV'!SLF23/'4. NPV'!SLF$8,0)</f>
        <v>-0.0</v>
      </c>
      <c r="SLF53" s="5">
        <f>-IFERROR('4. NPV'!SLG23/'4. NPV'!SLG$8,0)</f>
        <v>-0.0</v>
      </c>
      <c r="SLG53" s="5">
        <f>-IFERROR('4. NPV'!SLH23/'4. NPV'!SLH$8,0)</f>
        <v>-0.0</v>
      </c>
      <c r="SLH53" s="5">
        <f>-IFERROR('4. NPV'!SLI23/'4. NPV'!SLI$8,0)</f>
        <v>-0.0</v>
      </c>
      <c r="SLI53" s="5">
        <f>-IFERROR('4. NPV'!SLJ23/'4. NPV'!SLJ$8,0)</f>
        <v>-0.0</v>
      </c>
      <c r="SLJ53" s="5">
        <f>-IFERROR('4. NPV'!SLK23/'4. NPV'!SLK$8,0)</f>
        <v>-0.0</v>
      </c>
      <c r="SLK53" s="5">
        <f>-IFERROR('4. NPV'!SLL23/'4. NPV'!SLL$8,0)</f>
        <v>-0.0</v>
      </c>
      <c r="SLL53" s="5">
        <f>-IFERROR('4. NPV'!SLM23/'4. NPV'!SLM$8,0)</f>
        <v>-0.0</v>
      </c>
      <c r="SLM53" s="5">
        <f>-IFERROR('4. NPV'!SLN23/'4. NPV'!SLN$8,0)</f>
        <v>-0.0</v>
      </c>
      <c r="SLN53" s="5">
        <f>-IFERROR('4. NPV'!SLO23/'4. NPV'!SLO$8,0)</f>
        <v>-0.0</v>
      </c>
      <c r="SLO53" s="5">
        <f>-IFERROR('4. NPV'!SLP23/'4. NPV'!SLP$8,0)</f>
        <v>-0.0</v>
      </c>
      <c r="SLP53" s="5">
        <f>-IFERROR('4. NPV'!SLQ23/'4. NPV'!SLQ$8,0)</f>
        <v>-0.0</v>
      </c>
      <c r="SLQ53" s="5">
        <f>-IFERROR('4. NPV'!SLR23/'4. NPV'!SLR$8,0)</f>
        <v>-0.0</v>
      </c>
      <c r="SLR53" s="5">
        <f>-IFERROR('4. NPV'!SLS23/'4. NPV'!SLS$8,0)</f>
        <v>-0.0</v>
      </c>
      <c r="SLS53" s="5">
        <f>-IFERROR('4. NPV'!SLT23/'4. NPV'!SLT$8,0)</f>
        <v>-0.0</v>
      </c>
      <c r="SLT53" s="5">
        <f>-IFERROR('4. NPV'!SLU23/'4. NPV'!SLU$8,0)</f>
        <v>-0.0</v>
      </c>
      <c r="SLU53" s="5">
        <f>-IFERROR('4. NPV'!SLV23/'4. NPV'!SLV$8,0)</f>
        <v>-0.0</v>
      </c>
      <c r="SLV53" s="5">
        <f>-IFERROR('4. NPV'!SLW23/'4. NPV'!SLW$8,0)</f>
        <v>-0.0</v>
      </c>
      <c r="SLW53" s="5">
        <f>-IFERROR('4. NPV'!SLX23/'4. NPV'!SLX$8,0)</f>
        <v>-0.0</v>
      </c>
      <c r="SLX53" s="5">
        <f>-IFERROR('4. NPV'!SLY23/'4. NPV'!SLY$8,0)</f>
        <v>-0.0</v>
      </c>
      <c r="SLY53" s="5">
        <f>-IFERROR('4. NPV'!SLZ23/'4. NPV'!SLZ$8,0)</f>
        <v>-0.0</v>
      </c>
      <c r="SLZ53" s="5">
        <f>-IFERROR('4. NPV'!SMA23/'4. NPV'!SMA$8,0)</f>
        <v>-0.0</v>
      </c>
      <c r="SMA53" s="5">
        <f>-IFERROR('4. NPV'!SMB23/'4. NPV'!SMB$8,0)</f>
        <v>-0.0</v>
      </c>
      <c r="SMB53" s="5">
        <f>-IFERROR('4. NPV'!SMC23/'4. NPV'!SMC$8,0)</f>
        <v>-0.0</v>
      </c>
      <c r="SMC53" s="5">
        <f>-IFERROR('4. NPV'!SMD23/'4. NPV'!SMD$8,0)</f>
        <v>-0.0</v>
      </c>
      <c r="SMD53" s="5">
        <f>-IFERROR('4. NPV'!SME23/'4. NPV'!SME$8,0)</f>
        <v>-0.0</v>
      </c>
      <c r="SME53" s="5">
        <f>-IFERROR('4. NPV'!SMF23/'4. NPV'!SMF$8,0)</f>
        <v>-0.0</v>
      </c>
      <c r="SMF53" s="5">
        <f>-IFERROR('4. NPV'!SMG23/'4. NPV'!SMG$8,0)</f>
        <v>-0.0</v>
      </c>
      <c r="SMG53" s="5">
        <f>-IFERROR('4. NPV'!SMH23/'4. NPV'!SMH$8,0)</f>
        <v>-0.0</v>
      </c>
      <c r="SMH53" s="5">
        <f>-IFERROR('4. NPV'!SMI23/'4. NPV'!SMI$8,0)</f>
        <v>-0.0</v>
      </c>
      <c r="SMI53" s="5">
        <f>-IFERROR('4. NPV'!SMJ23/'4. NPV'!SMJ$8,0)</f>
        <v>-0.0</v>
      </c>
      <c r="SMJ53" s="5">
        <f>-IFERROR('4. NPV'!SMK23/'4. NPV'!SMK$8,0)</f>
        <v>-0.0</v>
      </c>
      <c r="SMK53" s="5">
        <f>-IFERROR('4. NPV'!SML23/'4. NPV'!SML$8,0)</f>
        <v>-0.0</v>
      </c>
      <c r="SML53" s="5">
        <f>-IFERROR('4. NPV'!SMM23/'4. NPV'!SMM$8,0)</f>
        <v>-0.0</v>
      </c>
      <c r="SMM53" s="5">
        <f>-IFERROR('4. NPV'!SMN23/'4. NPV'!SMN$8,0)</f>
        <v>-0.0</v>
      </c>
      <c r="SMN53" s="5">
        <f>-IFERROR('4. NPV'!SMO23/'4. NPV'!SMO$8,0)</f>
        <v>-0.0</v>
      </c>
      <c r="SMO53" s="5">
        <f>-IFERROR('4. NPV'!SMP23/'4. NPV'!SMP$8,0)</f>
        <v>-0.0</v>
      </c>
      <c r="SMP53" s="5">
        <f>-IFERROR('4. NPV'!SMQ23/'4. NPV'!SMQ$8,0)</f>
        <v>-0.0</v>
      </c>
      <c r="SMQ53" s="5">
        <f>-IFERROR('4. NPV'!SMR23/'4. NPV'!SMR$8,0)</f>
        <v>-0.0</v>
      </c>
      <c r="SMR53" s="5">
        <f>-IFERROR('4. NPV'!SMS23/'4. NPV'!SMS$8,0)</f>
        <v>-0.0</v>
      </c>
      <c r="SMS53" s="5">
        <f>-IFERROR('4. NPV'!SMT23/'4. NPV'!SMT$8,0)</f>
        <v>-0.0</v>
      </c>
      <c r="SMT53" s="5">
        <f>-IFERROR('4. NPV'!SMU23/'4. NPV'!SMU$8,0)</f>
        <v>-0.0</v>
      </c>
      <c r="SMU53" s="5">
        <f>-IFERROR('4. NPV'!SMV23/'4. NPV'!SMV$8,0)</f>
        <v>-0.0</v>
      </c>
      <c r="SMV53" s="5">
        <f>-IFERROR('4. NPV'!SMW23/'4. NPV'!SMW$8,0)</f>
        <v>-0.0</v>
      </c>
      <c r="SMW53" s="5">
        <f>-IFERROR('4. NPV'!SMX23/'4. NPV'!SMX$8,0)</f>
        <v>-0.0</v>
      </c>
      <c r="SMX53" s="5">
        <f>-IFERROR('4. NPV'!SMY23/'4. NPV'!SMY$8,0)</f>
        <v>-0.0</v>
      </c>
      <c r="SMY53" s="5">
        <f>-IFERROR('4. NPV'!SMZ23/'4. NPV'!SMZ$8,0)</f>
        <v>-0.0</v>
      </c>
      <c r="SMZ53" s="5">
        <f>-IFERROR('4. NPV'!SNA23/'4. NPV'!SNA$8,0)</f>
        <v>-0.0</v>
      </c>
      <c r="SNA53" s="5">
        <f>-IFERROR('4. NPV'!SNB23/'4. NPV'!SNB$8,0)</f>
        <v>-0.0</v>
      </c>
      <c r="SNB53" s="5">
        <f>-IFERROR('4. NPV'!SNC23/'4. NPV'!SNC$8,0)</f>
        <v>-0.0</v>
      </c>
      <c r="SNC53" s="5">
        <f>-IFERROR('4. NPV'!SND23/'4. NPV'!SND$8,0)</f>
        <v>-0.0</v>
      </c>
      <c r="SND53" s="5">
        <f>-IFERROR('4. NPV'!SNE23/'4. NPV'!SNE$8,0)</f>
        <v>-0.0</v>
      </c>
      <c r="SNE53" s="5">
        <f>-IFERROR('4. NPV'!SNF23/'4. NPV'!SNF$8,0)</f>
        <v>-0.0</v>
      </c>
      <c r="SNF53" s="5">
        <f>-IFERROR('4. NPV'!SNG23/'4. NPV'!SNG$8,0)</f>
        <v>-0.0</v>
      </c>
      <c r="SNG53" s="5">
        <f>-IFERROR('4. NPV'!SNH23/'4. NPV'!SNH$8,0)</f>
        <v>-0.0</v>
      </c>
      <c r="SNH53" s="5">
        <f>-IFERROR('4. NPV'!SNI23/'4. NPV'!SNI$8,0)</f>
        <v>-0.0</v>
      </c>
      <c r="SNI53" s="5">
        <f>-IFERROR('4. NPV'!SNJ23/'4. NPV'!SNJ$8,0)</f>
        <v>-0.0</v>
      </c>
      <c r="SNJ53" s="5">
        <f>-IFERROR('4. NPV'!SNK23/'4. NPV'!SNK$8,0)</f>
        <v>-0.0</v>
      </c>
      <c r="SNK53" s="5">
        <f>-IFERROR('4. NPV'!SNL23/'4. NPV'!SNL$8,0)</f>
        <v>-0.0</v>
      </c>
      <c r="SNL53" s="5">
        <f>-IFERROR('4. NPV'!SNM23/'4. NPV'!SNM$8,0)</f>
        <v>-0.0</v>
      </c>
      <c r="SNM53" s="5">
        <f>-IFERROR('4. NPV'!SNN23/'4. NPV'!SNN$8,0)</f>
        <v>-0.0</v>
      </c>
      <c r="SNN53" s="5">
        <f>-IFERROR('4. NPV'!SNO23/'4. NPV'!SNO$8,0)</f>
        <v>-0.0</v>
      </c>
      <c r="SNO53" s="5">
        <f>-IFERROR('4. NPV'!SNP23/'4. NPV'!SNP$8,0)</f>
        <v>-0.0</v>
      </c>
      <c r="SNP53" s="5">
        <f>-IFERROR('4. NPV'!SNQ23/'4. NPV'!SNQ$8,0)</f>
        <v>-0.0</v>
      </c>
      <c r="SNQ53" s="5">
        <f>-IFERROR('4. NPV'!SNR23/'4. NPV'!SNR$8,0)</f>
        <v>-0.0</v>
      </c>
      <c r="SNR53" s="5">
        <f>-IFERROR('4. NPV'!SNS23/'4. NPV'!SNS$8,0)</f>
        <v>-0.0</v>
      </c>
      <c r="SNS53" s="5">
        <f>-IFERROR('4. NPV'!SNT23/'4. NPV'!SNT$8,0)</f>
        <v>-0.0</v>
      </c>
      <c r="SNT53" s="5">
        <f>-IFERROR('4. NPV'!SNU23/'4. NPV'!SNU$8,0)</f>
        <v>-0.0</v>
      </c>
      <c r="SNU53" s="5">
        <f>-IFERROR('4. NPV'!SNV23/'4. NPV'!SNV$8,0)</f>
        <v>-0.0</v>
      </c>
      <c r="SNV53" s="5">
        <f>-IFERROR('4. NPV'!SNW23/'4. NPV'!SNW$8,0)</f>
        <v>-0.0</v>
      </c>
      <c r="SNW53" s="5">
        <f>-IFERROR('4. NPV'!SNX23/'4. NPV'!SNX$8,0)</f>
        <v>-0.0</v>
      </c>
      <c r="SNX53" s="5">
        <f>-IFERROR('4. NPV'!SNY23/'4. NPV'!SNY$8,0)</f>
        <v>-0.0</v>
      </c>
      <c r="SNY53" s="5">
        <f>-IFERROR('4. NPV'!SNZ23/'4. NPV'!SNZ$8,0)</f>
        <v>-0.0</v>
      </c>
      <c r="SNZ53" s="5">
        <f>-IFERROR('4. NPV'!SOA23/'4. NPV'!SOA$8,0)</f>
        <v>-0.0</v>
      </c>
      <c r="SOA53" s="5">
        <f>-IFERROR('4. NPV'!SOB23/'4. NPV'!SOB$8,0)</f>
        <v>-0.0</v>
      </c>
      <c r="SOB53" s="5">
        <f>-IFERROR('4. NPV'!SOC23/'4. NPV'!SOC$8,0)</f>
        <v>-0.0</v>
      </c>
      <c r="SOC53" s="5">
        <f>-IFERROR('4. NPV'!SOD23/'4. NPV'!SOD$8,0)</f>
        <v>-0.0</v>
      </c>
      <c r="SOD53" s="5">
        <f>-IFERROR('4. NPV'!SOE23/'4. NPV'!SOE$8,0)</f>
        <v>-0.0</v>
      </c>
      <c r="SOE53" s="5">
        <f>-IFERROR('4. NPV'!SOF23/'4. NPV'!SOF$8,0)</f>
        <v>-0.0</v>
      </c>
      <c r="SOF53" s="5">
        <f>-IFERROR('4. NPV'!SOG23/'4. NPV'!SOG$8,0)</f>
        <v>-0.0</v>
      </c>
      <c r="SOG53" s="5">
        <f>-IFERROR('4. NPV'!SOH23/'4. NPV'!SOH$8,0)</f>
        <v>-0.0</v>
      </c>
      <c r="SOH53" s="5">
        <f>-IFERROR('4. NPV'!SOI23/'4. NPV'!SOI$8,0)</f>
        <v>-0.0</v>
      </c>
      <c r="SOI53" s="5">
        <f>-IFERROR('4. NPV'!SOJ23/'4. NPV'!SOJ$8,0)</f>
        <v>-0.0</v>
      </c>
      <c r="SOJ53" s="5">
        <f>-IFERROR('4. NPV'!SOK23/'4. NPV'!SOK$8,0)</f>
        <v>-0.0</v>
      </c>
      <c r="SOK53" s="5">
        <f>-IFERROR('4. NPV'!SOL23/'4. NPV'!SOL$8,0)</f>
        <v>-0.0</v>
      </c>
      <c r="SOL53" s="5">
        <f>-IFERROR('4. NPV'!SOM23/'4. NPV'!SOM$8,0)</f>
        <v>-0.0</v>
      </c>
      <c r="SOM53" s="5">
        <f>-IFERROR('4. NPV'!SON23/'4. NPV'!SON$8,0)</f>
        <v>-0.0</v>
      </c>
      <c r="SON53" s="5">
        <f>-IFERROR('4. NPV'!SOO23/'4. NPV'!SOO$8,0)</f>
        <v>-0.0</v>
      </c>
      <c r="SOO53" s="5">
        <f>-IFERROR('4. NPV'!SOP23/'4. NPV'!SOP$8,0)</f>
        <v>-0.0</v>
      </c>
      <c r="SOP53" s="5">
        <f>-IFERROR('4. NPV'!SOQ23/'4. NPV'!SOQ$8,0)</f>
        <v>-0.0</v>
      </c>
      <c r="SOQ53" s="5">
        <f>-IFERROR('4. NPV'!SOR23/'4. NPV'!SOR$8,0)</f>
        <v>-0.0</v>
      </c>
      <c r="SOR53" s="5">
        <f>-IFERROR('4. NPV'!SOS23/'4. NPV'!SOS$8,0)</f>
        <v>-0.0</v>
      </c>
      <c r="SOS53" s="5">
        <f>-IFERROR('4. NPV'!SOT23/'4. NPV'!SOT$8,0)</f>
        <v>-0.0</v>
      </c>
      <c r="SOT53" s="5">
        <f>-IFERROR('4. NPV'!SOU23/'4. NPV'!SOU$8,0)</f>
        <v>-0.0</v>
      </c>
      <c r="SOU53" s="5">
        <f>-IFERROR('4. NPV'!SOV23/'4. NPV'!SOV$8,0)</f>
        <v>-0.0</v>
      </c>
      <c r="SOV53" s="5">
        <f>-IFERROR('4. NPV'!SOW23/'4. NPV'!SOW$8,0)</f>
        <v>-0.0</v>
      </c>
      <c r="SOW53" s="5">
        <f>-IFERROR('4. NPV'!SOX23/'4. NPV'!SOX$8,0)</f>
        <v>-0.0</v>
      </c>
      <c r="SOX53" s="5">
        <f>-IFERROR('4. NPV'!SOY23/'4. NPV'!SOY$8,0)</f>
        <v>-0.0</v>
      </c>
      <c r="SOY53" s="5">
        <f>-IFERROR('4. NPV'!SOZ23/'4. NPV'!SOZ$8,0)</f>
        <v>-0.0</v>
      </c>
      <c r="SOZ53" s="5">
        <f>-IFERROR('4. NPV'!SPA23/'4. NPV'!SPA$8,0)</f>
        <v>-0.0</v>
      </c>
      <c r="SPA53" s="5">
        <f>-IFERROR('4. NPV'!SPB23/'4. NPV'!SPB$8,0)</f>
        <v>-0.0</v>
      </c>
      <c r="SPB53" s="5">
        <f>-IFERROR('4. NPV'!SPC23/'4. NPV'!SPC$8,0)</f>
        <v>-0.0</v>
      </c>
      <c r="SPC53" s="5">
        <f>-IFERROR('4. NPV'!SPD23/'4. NPV'!SPD$8,0)</f>
        <v>-0.0</v>
      </c>
      <c r="SPD53" s="5">
        <f>-IFERROR('4. NPV'!SPE23/'4. NPV'!SPE$8,0)</f>
        <v>-0.0</v>
      </c>
      <c r="SPE53" s="5">
        <f>-IFERROR('4. NPV'!SPF23/'4. NPV'!SPF$8,0)</f>
        <v>-0.0</v>
      </c>
      <c r="SPF53" s="5">
        <f>-IFERROR('4. NPV'!SPG23/'4. NPV'!SPG$8,0)</f>
        <v>-0.0</v>
      </c>
      <c r="SPG53" s="5">
        <f>-IFERROR('4. NPV'!SPH23/'4. NPV'!SPH$8,0)</f>
        <v>-0.0</v>
      </c>
      <c r="SPH53" s="5">
        <f>-IFERROR('4. NPV'!SPI23/'4. NPV'!SPI$8,0)</f>
        <v>-0.0</v>
      </c>
      <c r="SPI53" s="5">
        <f>-IFERROR('4. NPV'!SPJ23/'4. NPV'!SPJ$8,0)</f>
        <v>-0.0</v>
      </c>
      <c r="SPJ53" s="5">
        <f>-IFERROR('4. NPV'!SPK23/'4. NPV'!SPK$8,0)</f>
        <v>-0.0</v>
      </c>
      <c r="SPK53" s="5">
        <f>-IFERROR('4. NPV'!SPL23/'4. NPV'!SPL$8,0)</f>
        <v>-0.0</v>
      </c>
      <c r="SPL53" s="5">
        <f>-IFERROR('4. NPV'!SPM23/'4. NPV'!SPM$8,0)</f>
        <v>-0.0</v>
      </c>
      <c r="SPM53" s="5">
        <f>-IFERROR('4. NPV'!SPN23/'4. NPV'!SPN$8,0)</f>
        <v>-0.0</v>
      </c>
      <c r="SPN53" s="5">
        <f>-IFERROR('4. NPV'!SPO23/'4. NPV'!SPO$8,0)</f>
        <v>-0.0</v>
      </c>
      <c r="SPO53" s="5">
        <f>-IFERROR('4. NPV'!SPP23/'4. NPV'!SPP$8,0)</f>
        <v>-0.0</v>
      </c>
      <c r="SPP53" s="5">
        <f>-IFERROR('4. NPV'!SPQ23/'4. NPV'!SPQ$8,0)</f>
        <v>-0.0</v>
      </c>
      <c r="SPQ53" s="5">
        <f>-IFERROR('4. NPV'!SPR23/'4. NPV'!SPR$8,0)</f>
        <v>-0.0</v>
      </c>
      <c r="SPR53" s="5">
        <f>-IFERROR('4. NPV'!SPS23/'4. NPV'!SPS$8,0)</f>
        <v>-0.0</v>
      </c>
      <c r="SPS53" s="5">
        <f>-IFERROR('4. NPV'!SPT23/'4. NPV'!SPT$8,0)</f>
        <v>-0.0</v>
      </c>
      <c r="SPT53" s="5">
        <f>-IFERROR('4. NPV'!SPU23/'4. NPV'!SPU$8,0)</f>
        <v>-0.0</v>
      </c>
      <c r="SPU53" s="5">
        <f>-IFERROR('4. NPV'!SPV23/'4. NPV'!SPV$8,0)</f>
        <v>-0.0</v>
      </c>
      <c r="SPV53" s="5">
        <f>-IFERROR('4. NPV'!SPW23/'4. NPV'!SPW$8,0)</f>
        <v>-0.0</v>
      </c>
      <c r="SPW53" s="5">
        <f>-IFERROR('4. NPV'!SPX23/'4. NPV'!SPX$8,0)</f>
        <v>-0.0</v>
      </c>
      <c r="SPX53" s="5">
        <f>-IFERROR('4. NPV'!SPY23/'4. NPV'!SPY$8,0)</f>
        <v>-0.0</v>
      </c>
      <c r="SPY53" s="5">
        <f>-IFERROR('4. NPV'!SPZ23/'4. NPV'!SPZ$8,0)</f>
        <v>-0.0</v>
      </c>
      <c r="SPZ53" s="5">
        <f>-IFERROR('4. NPV'!SQA23/'4. NPV'!SQA$8,0)</f>
        <v>-0.0</v>
      </c>
      <c r="SQA53" s="5">
        <f>-IFERROR('4. NPV'!SQB23/'4. NPV'!SQB$8,0)</f>
        <v>-0.0</v>
      </c>
      <c r="SQB53" s="5">
        <f>-IFERROR('4. NPV'!SQC23/'4. NPV'!SQC$8,0)</f>
        <v>-0.0</v>
      </c>
      <c r="SQC53" s="5">
        <f>-IFERROR('4. NPV'!SQD23/'4. NPV'!SQD$8,0)</f>
        <v>-0.0</v>
      </c>
      <c r="SQD53" s="5">
        <f>-IFERROR('4. NPV'!SQE23/'4. NPV'!SQE$8,0)</f>
        <v>-0.0</v>
      </c>
      <c r="SQE53" s="5">
        <f>-IFERROR('4. NPV'!SQF23/'4. NPV'!SQF$8,0)</f>
        <v>-0.0</v>
      </c>
      <c r="SQF53" s="5">
        <f>-IFERROR('4. NPV'!SQG23/'4. NPV'!SQG$8,0)</f>
        <v>-0.0</v>
      </c>
      <c r="SQG53" s="5">
        <f>-IFERROR('4. NPV'!SQH23/'4. NPV'!SQH$8,0)</f>
        <v>-0.0</v>
      </c>
      <c r="SQH53" s="5">
        <f>-IFERROR('4. NPV'!SQI23/'4. NPV'!SQI$8,0)</f>
        <v>-0.0</v>
      </c>
      <c r="SQI53" s="5">
        <f>-IFERROR('4. NPV'!SQJ23/'4. NPV'!SQJ$8,0)</f>
        <v>-0.0</v>
      </c>
      <c r="SQJ53" s="5">
        <f>-IFERROR('4. NPV'!SQK23/'4. NPV'!SQK$8,0)</f>
        <v>-0.0</v>
      </c>
      <c r="SQK53" s="5">
        <f>-IFERROR('4. NPV'!SQL23/'4. NPV'!SQL$8,0)</f>
        <v>-0.0</v>
      </c>
      <c r="SQL53" s="5">
        <f>-IFERROR('4. NPV'!SQM23/'4. NPV'!SQM$8,0)</f>
        <v>-0.0</v>
      </c>
      <c r="SQM53" s="5">
        <f>-IFERROR('4. NPV'!SQN23/'4. NPV'!SQN$8,0)</f>
        <v>-0.0</v>
      </c>
      <c r="SQN53" s="5">
        <f>-IFERROR('4. NPV'!SQO23/'4. NPV'!SQO$8,0)</f>
        <v>-0.0</v>
      </c>
      <c r="SQO53" s="5">
        <f>-IFERROR('4. NPV'!SQP23/'4. NPV'!SQP$8,0)</f>
        <v>-0.0</v>
      </c>
      <c r="SQP53" s="5">
        <f>-IFERROR('4. NPV'!SQQ23/'4. NPV'!SQQ$8,0)</f>
        <v>-0.0</v>
      </c>
      <c r="SQQ53" s="5">
        <f>-IFERROR('4. NPV'!SQR23/'4. NPV'!SQR$8,0)</f>
        <v>-0.0</v>
      </c>
      <c r="SQR53" s="5">
        <f>-IFERROR('4. NPV'!SQS23/'4. NPV'!SQS$8,0)</f>
        <v>-0.0</v>
      </c>
      <c r="SQS53" s="5">
        <f>-IFERROR('4. NPV'!SQT23/'4. NPV'!SQT$8,0)</f>
        <v>-0.0</v>
      </c>
      <c r="SQT53" s="5">
        <f>-IFERROR('4. NPV'!SQU23/'4. NPV'!SQU$8,0)</f>
        <v>-0.0</v>
      </c>
      <c r="SQU53" s="5">
        <f>-IFERROR('4. NPV'!SQV23/'4. NPV'!SQV$8,0)</f>
        <v>-0.0</v>
      </c>
      <c r="SQV53" s="5">
        <f>-IFERROR('4. NPV'!SQW23/'4. NPV'!SQW$8,0)</f>
        <v>-0.0</v>
      </c>
      <c r="SQW53" s="5">
        <f>-IFERROR('4. NPV'!SQX23/'4. NPV'!SQX$8,0)</f>
        <v>-0.0</v>
      </c>
      <c r="SQX53" s="5">
        <f>-IFERROR('4. NPV'!SQY23/'4. NPV'!SQY$8,0)</f>
        <v>-0.0</v>
      </c>
      <c r="SQY53" s="5">
        <f>-IFERROR('4. NPV'!SQZ23/'4. NPV'!SQZ$8,0)</f>
        <v>-0.0</v>
      </c>
      <c r="SQZ53" s="5">
        <f>-IFERROR('4. NPV'!SRA23/'4. NPV'!SRA$8,0)</f>
        <v>-0.0</v>
      </c>
      <c r="SRA53" s="5">
        <f>-IFERROR('4. NPV'!SRB23/'4. NPV'!SRB$8,0)</f>
        <v>-0.0</v>
      </c>
      <c r="SRB53" s="5">
        <f>-IFERROR('4. NPV'!SRC23/'4. NPV'!SRC$8,0)</f>
        <v>-0.0</v>
      </c>
      <c r="SRC53" s="5">
        <f>-IFERROR('4. NPV'!SRD23/'4. NPV'!SRD$8,0)</f>
        <v>-0.0</v>
      </c>
      <c r="SRD53" s="5">
        <f>-IFERROR('4. NPV'!SRE23/'4. NPV'!SRE$8,0)</f>
        <v>-0.0</v>
      </c>
      <c r="SRE53" s="5">
        <f>-IFERROR('4. NPV'!SRF23/'4. NPV'!SRF$8,0)</f>
        <v>-0.0</v>
      </c>
      <c r="SRF53" s="5">
        <f>-IFERROR('4. NPV'!SRG23/'4. NPV'!SRG$8,0)</f>
        <v>-0.0</v>
      </c>
      <c r="SRG53" s="5">
        <f>-IFERROR('4. NPV'!SRH23/'4. NPV'!SRH$8,0)</f>
        <v>-0.0</v>
      </c>
      <c r="SRH53" s="5">
        <f>-IFERROR('4. NPV'!SRI23/'4. NPV'!SRI$8,0)</f>
        <v>-0.0</v>
      </c>
      <c r="SRI53" s="5">
        <f>-IFERROR('4. NPV'!SRJ23/'4. NPV'!SRJ$8,0)</f>
        <v>-0.0</v>
      </c>
      <c r="SRJ53" s="5">
        <f>-IFERROR('4. NPV'!SRK23/'4. NPV'!SRK$8,0)</f>
        <v>-0.0</v>
      </c>
      <c r="SRK53" s="5">
        <f>-IFERROR('4. NPV'!SRL23/'4. NPV'!SRL$8,0)</f>
        <v>-0.0</v>
      </c>
      <c r="SRL53" s="5">
        <f>-IFERROR('4. NPV'!SRM23/'4. NPV'!SRM$8,0)</f>
        <v>-0.0</v>
      </c>
      <c r="SRM53" s="5">
        <f>-IFERROR('4. NPV'!SRN23/'4. NPV'!SRN$8,0)</f>
        <v>-0.0</v>
      </c>
      <c r="SRN53" s="5">
        <f>-IFERROR('4. NPV'!SRO23/'4. NPV'!SRO$8,0)</f>
        <v>-0.0</v>
      </c>
      <c r="SRO53" s="5">
        <f>-IFERROR('4. NPV'!SRP23/'4. NPV'!SRP$8,0)</f>
        <v>-0.0</v>
      </c>
      <c r="SRP53" s="5">
        <f>-IFERROR('4. NPV'!SRQ23/'4. NPV'!SRQ$8,0)</f>
        <v>-0.0</v>
      </c>
      <c r="SRQ53" s="5">
        <f>-IFERROR('4. NPV'!SRR23/'4. NPV'!SRR$8,0)</f>
        <v>-0.0</v>
      </c>
      <c r="SRR53" s="5">
        <f>-IFERROR('4. NPV'!SRS23/'4. NPV'!SRS$8,0)</f>
        <v>-0.0</v>
      </c>
      <c r="SRS53" s="5">
        <f>-IFERROR('4. NPV'!SRT23/'4. NPV'!SRT$8,0)</f>
        <v>-0.0</v>
      </c>
      <c r="SRT53" s="5">
        <f>-IFERROR('4. NPV'!SRU23/'4. NPV'!SRU$8,0)</f>
        <v>-0.0</v>
      </c>
      <c r="SRU53" s="5">
        <f>-IFERROR('4. NPV'!SRV23/'4. NPV'!SRV$8,0)</f>
        <v>-0.0</v>
      </c>
      <c r="SRV53" s="5">
        <f>-IFERROR('4. NPV'!SRW23/'4. NPV'!SRW$8,0)</f>
        <v>-0.0</v>
      </c>
      <c r="SRW53" s="5">
        <f>-IFERROR('4. NPV'!SRX23/'4. NPV'!SRX$8,0)</f>
        <v>-0.0</v>
      </c>
      <c r="SRX53" s="5">
        <f>-IFERROR('4. NPV'!SRY23/'4. NPV'!SRY$8,0)</f>
        <v>-0.0</v>
      </c>
      <c r="SRY53" s="5">
        <f>-IFERROR('4. NPV'!SRZ23/'4. NPV'!SRZ$8,0)</f>
        <v>-0.0</v>
      </c>
      <c r="SRZ53" s="5">
        <f>-IFERROR('4. NPV'!SSA23/'4. NPV'!SSA$8,0)</f>
        <v>-0.0</v>
      </c>
      <c r="SSA53" s="5">
        <f>-IFERROR('4. NPV'!SSB23/'4. NPV'!SSB$8,0)</f>
        <v>-0.0</v>
      </c>
      <c r="SSB53" s="5">
        <f>-IFERROR('4. NPV'!SSC23/'4. NPV'!SSC$8,0)</f>
        <v>-0.0</v>
      </c>
      <c r="SSC53" s="5">
        <f>-IFERROR('4. NPV'!SSD23/'4. NPV'!SSD$8,0)</f>
        <v>-0.0</v>
      </c>
      <c r="SSD53" s="5">
        <f>-IFERROR('4. NPV'!SSE23/'4. NPV'!SSE$8,0)</f>
        <v>-0.0</v>
      </c>
      <c r="SSE53" s="5">
        <f>-IFERROR('4. NPV'!SSF23/'4. NPV'!SSF$8,0)</f>
        <v>-0.0</v>
      </c>
      <c r="SSF53" s="5">
        <f>-IFERROR('4. NPV'!SSG23/'4. NPV'!SSG$8,0)</f>
        <v>-0.0</v>
      </c>
      <c r="SSG53" s="5">
        <f>-IFERROR('4. NPV'!SSH23/'4. NPV'!SSH$8,0)</f>
        <v>-0.0</v>
      </c>
      <c r="SSH53" s="5">
        <f>-IFERROR('4. NPV'!SSI23/'4. NPV'!SSI$8,0)</f>
        <v>-0.0</v>
      </c>
      <c r="SSI53" s="5">
        <f>-IFERROR('4. NPV'!SSJ23/'4. NPV'!SSJ$8,0)</f>
        <v>-0.0</v>
      </c>
      <c r="SSJ53" s="5">
        <f>-IFERROR('4. NPV'!SSK23/'4. NPV'!SSK$8,0)</f>
        <v>-0.0</v>
      </c>
      <c r="SSK53" s="5">
        <f>-IFERROR('4. NPV'!SSL23/'4. NPV'!SSL$8,0)</f>
        <v>-0.0</v>
      </c>
      <c r="SSL53" s="5">
        <f>-IFERROR('4. NPV'!SSM23/'4. NPV'!SSM$8,0)</f>
        <v>-0.0</v>
      </c>
      <c r="SSM53" s="5">
        <f>-IFERROR('4. NPV'!SSN23/'4. NPV'!SSN$8,0)</f>
        <v>-0.0</v>
      </c>
      <c r="SSN53" s="5">
        <f>-IFERROR('4. NPV'!SSO23/'4. NPV'!SSO$8,0)</f>
        <v>-0.0</v>
      </c>
      <c r="SSO53" s="5">
        <f>-IFERROR('4. NPV'!SSP23/'4. NPV'!SSP$8,0)</f>
        <v>-0.0</v>
      </c>
      <c r="SSP53" s="5">
        <f>-IFERROR('4. NPV'!SSQ23/'4. NPV'!SSQ$8,0)</f>
        <v>-0.0</v>
      </c>
      <c r="SSQ53" s="5">
        <f>-IFERROR('4. NPV'!SSR23/'4. NPV'!SSR$8,0)</f>
        <v>-0.0</v>
      </c>
      <c r="SSR53" s="5">
        <f>-IFERROR('4. NPV'!SSS23/'4. NPV'!SSS$8,0)</f>
        <v>-0.0</v>
      </c>
      <c r="SSS53" s="5">
        <f>-IFERROR('4. NPV'!SST23/'4. NPV'!SST$8,0)</f>
        <v>-0.0</v>
      </c>
      <c r="SST53" s="5">
        <f>-IFERROR('4. NPV'!SSU23/'4. NPV'!SSU$8,0)</f>
        <v>-0.0</v>
      </c>
      <c r="SSU53" s="5">
        <f>-IFERROR('4. NPV'!SSV23/'4. NPV'!SSV$8,0)</f>
        <v>-0.0</v>
      </c>
      <c r="SSV53" s="5">
        <f>-IFERROR('4. NPV'!SSW23/'4. NPV'!SSW$8,0)</f>
        <v>-0.0</v>
      </c>
      <c r="SSW53" s="5">
        <f>-IFERROR('4. NPV'!SSX23/'4. NPV'!SSX$8,0)</f>
        <v>-0.0</v>
      </c>
      <c r="SSX53" s="5">
        <f>-IFERROR('4. NPV'!SSY23/'4. NPV'!SSY$8,0)</f>
        <v>-0.0</v>
      </c>
      <c r="SSY53" s="5">
        <f>-IFERROR('4. NPV'!SSZ23/'4. NPV'!SSZ$8,0)</f>
        <v>-0.0</v>
      </c>
      <c r="SSZ53" s="5">
        <f>-IFERROR('4. NPV'!STA23/'4. NPV'!STA$8,0)</f>
        <v>-0.0</v>
      </c>
      <c r="STA53" s="5">
        <f>-IFERROR('4. NPV'!STB23/'4. NPV'!STB$8,0)</f>
        <v>-0.0</v>
      </c>
      <c r="STB53" s="5">
        <f>-IFERROR('4. NPV'!STC23/'4. NPV'!STC$8,0)</f>
        <v>-0.0</v>
      </c>
      <c r="STC53" s="5">
        <f>-IFERROR('4. NPV'!STD23/'4. NPV'!STD$8,0)</f>
        <v>-0.0</v>
      </c>
      <c r="STD53" s="5">
        <f>-IFERROR('4. NPV'!STE23/'4. NPV'!STE$8,0)</f>
        <v>-0.0</v>
      </c>
      <c r="STE53" s="5">
        <f>-IFERROR('4. NPV'!STF23/'4. NPV'!STF$8,0)</f>
        <v>-0.0</v>
      </c>
      <c r="STF53" s="5">
        <f>-IFERROR('4. NPV'!STG23/'4. NPV'!STG$8,0)</f>
        <v>-0.0</v>
      </c>
      <c r="STG53" s="5">
        <f>-IFERROR('4. NPV'!STH23/'4. NPV'!STH$8,0)</f>
        <v>-0.0</v>
      </c>
      <c r="STH53" s="5">
        <f>-IFERROR('4. NPV'!STI23/'4. NPV'!STI$8,0)</f>
        <v>-0.0</v>
      </c>
      <c r="STI53" s="5">
        <f>-IFERROR('4. NPV'!STJ23/'4. NPV'!STJ$8,0)</f>
        <v>-0.0</v>
      </c>
      <c r="STJ53" s="5">
        <f>-IFERROR('4. NPV'!STK23/'4. NPV'!STK$8,0)</f>
        <v>-0.0</v>
      </c>
      <c r="STK53" s="5">
        <f>-IFERROR('4. NPV'!STL23/'4. NPV'!STL$8,0)</f>
        <v>-0.0</v>
      </c>
      <c r="STL53" s="5">
        <f>-IFERROR('4. NPV'!STM23/'4. NPV'!STM$8,0)</f>
        <v>-0.0</v>
      </c>
      <c r="STM53" s="5">
        <f>-IFERROR('4. NPV'!STN23/'4. NPV'!STN$8,0)</f>
        <v>-0.0</v>
      </c>
      <c r="STN53" s="5">
        <f>-IFERROR('4. NPV'!STO23/'4. NPV'!STO$8,0)</f>
        <v>-0.0</v>
      </c>
      <c r="STO53" s="5">
        <f>-IFERROR('4. NPV'!STP23/'4. NPV'!STP$8,0)</f>
        <v>-0.0</v>
      </c>
      <c r="STP53" s="5">
        <f>-IFERROR('4. NPV'!STQ23/'4. NPV'!STQ$8,0)</f>
        <v>-0.0</v>
      </c>
      <c r="STQ53" s="5">
        <f>-IFERROR('4. NPV'!STR23/'4. NPV'!STR$8,0)</f>
        <v>-0.0</v>
      </c>
      <c r="STR53" s="5">
        <f>-IFERROR('4. NPV'!STS23/'4. NPV'!STS$8,0)</f>
        <v>-0.0</v>
      </c>
      <c r="STS53" s="5">
        <f>-IFERROR('4. NPV'!STT23/'4. NPV'!STT$8,0)</f>
        <v>-0.0</v>
      </c>
      <c r="STT53" s="5">
        <f>-IFERROR('4. NPV'!STU23/'4. NPV'!STU$8,0)</f>
        <v>-0.0</v>
      </c>
      <c r="STU53" s="5">
        <f>-IFERROR('4. NPV'!STV23/'4. NPV'!STV$8,0)</f>
        <v>-0.0</v>
      </c>
      <c r="STV53" s="5">
        <f>-IFERROR('4. NPV'!STW23/'4. NPV'!STW$8,0)</f>
        <v>-0.0</v>
      </c>
      <c r="STW53" s="5">
        <f>-IFERROR('4. NPV'!STX23/'4. NPV'!STX$8,0)</f>
        <v>-0.0</v>
      </c>
      <c r="STX53" s="5">
        <f>-IFERROR('4. NPV'!STY23/'4. NPV'!STY$8,0)</f>
        <v>-0.0</v>
      </c>
      <c r="STY53" s="5">
        <f>-IFERROR('4. NPV'!STZ23/'4. NPV'!STZ$8,0)</f>
        <v>-0.0</v>
      </c>
      <c r="STZ53" s="5">
        <f>-IFERROR('4. NPV'!SUA23/'4. NPV'!SUA$8,0)</f>
        <v>-0.0</v>
      </c>
      <c r="SUA53" s="5">
        <f>-IFERROR('4. NPV'!SUB23/'4. NPV'!SUB$8,0)</f>
        <v>-0.0</v>
      </c>
      <c r="SUB53" s="5">
        <f>-IFERROR('4. NPV'!SUC23/'4. NPV'!SUC$8,0)</f>
        <v>-0.0</v>
      </c>
      <c r="SUC53" s="5">
        <f>-IFERROR('4. NPV'!SUD23/'4. NPV'!SUD$8,0)</f>
        <v>-0.0</v>
      </c>
      <c r="SUD53" s="5">
        <f>-IFERROR('4. NPV'!SUE23/'4. NPV'!SUE$8,0)</f>
        <v>-0.0</v>
      </c>
      <c r="SUE53" s="5">
        <f>-IFERROR('4. NPV'!SUF23/'4. NPV'!SUF$8,0)</f>
        <v>-0.0</v>
      </c>
      <c r="SUF53" s="5">
        <f>-IFERROR('4. NPV'!SUG23/'4. NPV'!SUG$8,0)</f>
        <v>-0.0</v>
      </c>
      <c r="SUG53" s="5">
        <f>-IFERROR('4. NPV'!SUH23/'4. NPV'!SUH$8,0)</f>
        <v>-0.0</v>
      </c>
      <c r="SUH53" s="5">
        <f>-IFERROR('4. NPV'!SUI23/'4. NPV'!SUI$8,0)</f>
        <v>-0.0</v>
      </c>
      <c r="SUI53" s="5">
        <f>-IFERROR('4. NPV'!SUJ23/'4. NPV'!SUJ$8,0)</f>
        <v>-0.0</v>
      </c>
      <c r="SUJ53" s="5">
        <f>-IFERROR('4. NPV'!SUK23/'4. NPV'!SUK$8,0)</f>
        <v>-0.0</v>
      </c>
      <c r="SUK53" s="5">
        <f>-IFERROR('4. NPV'!SUL23/'4. NPV'!SUL$8,0)</f>
        <v>-0.0</v>
      </c>
      <c r="SUL53" s="5">
        <f>-IFERROR('4. NPV'!SUM23/'4. NPV'!SUM$8,0)</f>
        <v>-0.0</v>
      </c>
      <c r="SUM53" s="5">
        <f>-IFERROR('4. NPV'!SUN23/'4. NPV'!SUN$8,0)</f>
        <v>-0.0</v>
      </c>
      <c r="SUN53" s="5">
        <f>-IFERROR('4. NPV'!SUO23/'4. NPV'!SUO$8,0)</f>
        <v>-0.0</v>
      </c>
      <c r="SUO53" s="5">
        <f>-IFERROR('4. NPV'!SUP23/'4. NPV'!SUP$8,0)</f>
        <v>-0.0</v>
      </c>
      <c r="SUP53" s="5">
        <f>-IFERROR('4. NPV'!SUQ23/'4. NPV'!SUQ$8,0)</f>
        <v>-0.0</v>
      </c>
      <c r="SUQ53" s="5">
        <f>-IFERROR('4. NPV'!SUR23/'4. NPV'!SUR$8,0)</f>
        <v>-0.0</v>
      </c>
      <c r="SUR53" s="5">
        <f>-IFERROR('4. NPV'!SUS23/'4. NPV'!SUS$8,0)</f>
        <v>-0.0</v>
      </c>
      <c r="SUS53" s="5">
        <f>-IFERROR('4. NPV'!SUT23/'4. NPV'!SUT$8,0)</f>
        <v>-0.0</v>
      </c>
      <c r="SUT53" s="5">
        <f>-IFERROR('4. NPV'!SUU23/'4. NPV'!SUU$8,0)</f>
        <v>-0.0</v>
      </c>
      <c r="SUU53" s="5">
        <f>-IFERROR('4. NPV'!SUV23/'4. NPV'!SUV$8,0)</f>
        <v>-0.0</v>
      </c>
      <c r="SUV53" s="5">
        <f>-IFERROR('4. NPV'!SUW23/'4. NPV'!SUW$8,0)</f>
        <v>-0.0</v>
      </c>
      <c r="SUW53" s="5">
        <f>-IFERROR('4. NPV'!SUX23/'4. NPV'!SUX$8,0)</f>
        <v>-0.0</v>
      </c>
      <c r="SUX53" s="5">
        <f>-IFERROR('4. NPV'!SUY23/'4. NPV'!SUY$8,0)</f>
        <v>-0.0</v>
      </c>
      <c r="SUY53" s="5">
        <f>-IFERROR('4. NPV'!SUZ23/'4. NPV'!SUZ$8,0)</f>
        <v>-0.0</v>
      </c>
      <c r="SUZ53" s="5">
        <f>-IFERROR('4. NPV'!SVA23/'4. NPV'!SVA$8,0)</f>
        <v>-0.0</v>
      </c>
      <c r="SVA53" s="5">
        <f>-IFERROR('4. NPV'!SVB23/'4. NPV'!SVB$8,0)</f>
        <v>-0.0</v>
      </c>
      <c r="SVB53" s="5">
        <f>-IFERROR('4. NPV'!SVC23/'4. NPV'!SVC$8,0)</f>
        <v>-0.0</v>
      </c>
      <c r="SVC53" s="5">
        <f>-IFERROR('4. NPV'!SVD23/'4. NPV'!SVD$8,0)</f>
        <v>-0.0</v>
      </c>
      <c r="SVD53" s="5">
        <f>-IFERROR('4. NPV'!SVE23/'4. NPV'!SVE$8,0)</f>
        <v>-0.0</v>
      </c>
      <c r="SVE53" s="5">
        <f>-IFERROR('4. NPV'!SVF23/'4. NPV'!SVF$8,0)</f>
        <v>-0.0</v>
      </c>
      <c r="SVF53" s="5">
        <f>-IFERROR('4. NPV'!SVG23/'4. NPV'!SVG$8,0)</f>
        <v>-0.0</v>
      </c>
      <c r="SVG53" s="5">
        <f>-IFERROR('4. NPV'!SVH23/'4. NPV'!SVH$8,0)</f>
        <v>-0.0</v>
      </c>
      <c r="SVH53" s="5">
        <f>-IFERROR('4. NPV'!SVI23/'4. NPV'!SVI$8,0)</f>
        <v>-0.0</v>
      </c>
      <c r="SVI53" s="5">
        <f>-IFERROR('4. NPV'!SVJ23/'4. NPV'!SVJ$8,0)</f>
        <v>-0.0</v>
      </c>
      <c r="SVJ53" s="5">
        <f>-IFERROR('4. NPV'!SVK23/'4. NPV'!SVK$8,0)</f>
        <v>-0.0</v>
      </c>
      <c r="SVK53" s="5">
        <f>-IFERROR('4. NPV'!SVL23/'4. NPV'!SVL$8,0)</f>
        <v>-0.0</v>
      </c>
      <c r="SVL53" s="5">
        <f>-IFERROR('4. NPV'!SVM23/'4. NPV'!SVM$8,0)</f>
        <v>-0.0</v>
      </c>
      <c r="SVM53" s="5">
        <f>-IFERROR('4. NPV'!SVN23/'4. NPV'!SVN$8,0)</f>
        <v>-0.0</v>
      </c>
      <c r="SVN53" s="5">
        <f>-IFERROR('4. NPV'!SVO23/'4. NPV'!SVO$8,0)</f>
        <v>-0.0</v>
      </c>
      <c r="SVO53" s="5">
        <f>-IFERROR('4. NPV'!SVP23/'4. NPV'!SVP$8,0)</f>
        <v>-0.0</v>
      </c>
      <c r="SVP53" s="5">
        <f>-IFERROR('4. NPV'!SVQ23/'4. NPV'!SVQ$8,0)</f>
        <v>-0.0</v>
      </c>
      <c r="SVQ53" s="5">
        <f>-IFERROR('4. NPV'!SVR23/'4. NPV'!SVR$8,0)</f>
        <v>-0.0</v>
      </c>
      <c r="SVR53" s="5">
        <f>-IFERROR('4. NPV'!SVS23/'4. NPV'!SVS$8,0)</f>
        <v>-0.0</v>
      </c>
      <c r="SVS53" s="5">
        <f>-IFERROR('4. NPV'!SVT23/'4. NPV'!SVT$8,0)</f>
        <v>-0.0</v>
      </c>
      <c r="SVT53" s="5">
        <f>-IFERROR('4. NPV'!SVU23/'4. NPV'!SVU$8,0)</f>
        <v>-0.0</v>
      </c>
      <c r="SVU53" s="5">
        <f>-IFERROR('4. NPV'!SVV23/'4. NPV'!SVV$8,0)</f>
        <v>-0.0</v>
      </c>
      <c r="SVV53" s="5">
        <f>-IFERROR('4. NPV'!SVW23/'4. NPV'!SVW$8,0)</f>
        <v>-0.0</v>
      </c>
      <c r="SVW53" s="5">
        <f>-IFERROR('4. NPV'!SVX23/'4. NPV'!SVX$8,0)</f>
        <v>-0.0</v>
      </c>
      <c r="SVX53" s="5">
        <f>-IFERROR('4. NPV'!SVY23/'4. NPV'!SVY$8,0)</f>
        <v>-0.0</v>
      </c>
      <c r="SVY53" s="5">
        <f>-IFERROR('4. NPV'!SVZ23/'4. NPV'!SVZ$8,0)</f>
        <v>-0.0</v>
      </c>
      <c r="SVZ53" s="5">
        <f>-IFERROR('4. NPV'!SWA23/'4. NPV'!SWA$8,0)</f>
        <v>-0.0</v>
      </c>
      <c r="SWA53" s="5">
        <f>-IFERROR('4. NPV'!SWB23/'4. NPV'!SWB$8,0)</f>
        <v>-0.0</v>
      </c>
      <c r="SWB53" s="5">
        <f>-IFERROR('4. NPV'!SWC23/'4. NPV'!SWC$8,0)</f>
        <v>-0.0</v>
      </c>
      <c r="SWC53" s="5">
        <f>-IFERROR('4. NPV'!SWD23/'4. NPV'!SWD$8,0)</f>
        <v>-0.0</v>
      </c>
      <c r="SWD53" s="5">
        <f>-IFERROR('4. NPV'!SWE23/'4. NPV'!SWE$8,0)</f>
        <v>-0.0</v>
      </c>
      <c r="SWE53" s="5">
        <f>-IFERROR('4. NPV'!SWF23/'4. NPV'!SWF$8,0)</f>
        <v>-0.0</v>
      </c>
      <c r="SWF53" s="5">
        <f>-IFERROR('4. NPV'!SWG23/'4. NPV'!SWG$8,0)</f>
        <v>-0.0</v>
      </c>
      <c r="SWG53" s="5">
        <f>-IFERROR('4. NPV'!SWH23/'4. NPV'!SWH$8,0)</f>
        <v>-0.0</v>
      </c>
      <c r="SWH53" s="5">
        <f>-IFERROR('4. NPV'!SWI23/'4. NPV'!SWI$8,0)</f>
        <v>-0.0</v>
      </c>
      <c r="SWI53" s="5">
        <f>-IFERROR('4. NPV'!SWJ23/'4. NPV'!SWJ$8,0)</f>
        <v>-0.0</v>
      </c>
      <c r="SWJ53" s="5">
        <f>-IFERROR('4. NPV'!SWK23/'4. NPV'!SWK$8,0)</f>
        <v>-0.0</v>
      </c>
      <c r="SWK53" s="5">
        <f>-IFERROR('4. NPV'!SWL23/'4. NPV'!SWL$8,0)</f>
        <v>-0.0</v>
      </c>
      <c r="SWL53" s="5">
        <f>-IFERROR('4. NPV'!SWM23/'4. NPV'!SWM$8,0)</f>
        <v>-0.0</v>
      </c>
      <c r="SWM53" s="5">
        <f>-IFERROR('4. NPV'!SWN23/'4. NPV'!SWN$8,0)</f>
        <v>-0.0</v>
      </c>
      <c r="SWN53" s="5">
        <f>-IFERROR('4. NPV'!SWO23/'4. NPV'!SWO$8,0)</f>
        <v>-0.0</v>
      </c>
      <c r="SWO53" s="5">
        <f>-IFERROR('4. NPV'!SWP23/'4. NPV'!SWP$8,0)</f>
        <v>-0.0</v>
      </c>
      <c r="SWP53" s="5">
        <f>-IFERROR('4. NPV'!SWQ23/'4. NPV'!SWQ$8,0)</f>
        <v>-0.0</v>
      </c>
      <c r="SWQ53" s="5">
        <f>-IFERROR('4. NPV'!SWR23/'4. NPV'!SWR$8,0)</f>
        <v>-0.0</v>
      </c>
      <c r="SWR53" s="5">
        <f>-IFERROR('4. NPV'!SWS23/'4. NPV'!SWS$8,0)</f>
        <v>-0.0</v>
      </c>
      <c r="SWS53" s="5">
        <f>-IFERROR('4. NPV'!SWT23/'4. NPV'!SWT$8,0)</f>
        <v>-0.0</v>
      </c>
      <c r="SWT53" s="5">
        <f>-IFERROR('4. NPV'!SWU23/'4. NPV'!SWU$8,0)</f>
        <v>-0.0</v>
      </c>
      <c r="SWU53" s="5">
        <f>-IFERROR('4. NPV'!SWV23/'4. NPV'!SWV$8,0)</f>
        <v>-0.0</v>
      </c>
      <c r="SWV53" s="5">
        <f>-IFERROR('4. NPV'!SWW23/'4. NPV'!SWW$8,0)</f>
        <v>-0.0</v>
      </c>
      <c r="SWW53" s="5">
        <f>-IFERROR('4. NPV'!SWX23/'4. NPV'!SWX$8,0)</f>
        <v>-0.0</v>
      </c>
      <c r="SWX53" s="5">
        <f>-IFERROR('4. NPV'!SWY23/'4. NPV'!SWY$8,0)</f>
        <v>-0.0</v>
      </c>
      <c r="SWY53" s="5">
        <f>-IFERROR('4. NPV'!SWZ23/'4. NPV'!SWZ$8,0)</f>
        <v>-0.0</v>
      </c>
      <c r="SWZ53" s="5">
        <f>-IFERROR('4. NPV'!SXA23/'4. NPV'!SXA$8,0)</f>
        <v>-0.0</v>
      </c>
      <c r="SXA53" s="5">
        <f>-IFERROR('4. NPV'!SXB23/'4. NPV'!SXB$8,0)</f>
        <v>-0.0</v>
      </c>
      <c r="SXB53" s="5">
        <f>-IFERROR('4. NPV'!SXC23/'4. NPV'!SXC$8,0)</f>
        <v>-0.0</v>
      </c>
      <c r="SXC53" s="5">
        <f>-IFERROR('4. NPV'!SXD23/'4. NPV'!SXD$8,0)</f>
        <v>-0.0</v>
      </c>
      <c r="SXD53" s="5">
        <f>-IFERROR('4. NPV'!SXE23/'4. NPV'!SXE$8,0)</f>
        <v>-0.0</v>
      </c>
      <c r="SXE53" s="5">
        <f>-IFERROR('4. NPV'!SXF23/'4. NPV'!SXF$8,0)</f>
        <v>-0.0</v>
      </c>
      <c r="SXF53" s="5">
        <f>-IFERROR('4. NPV'!SXG23/'4. NPV'!SXG$8,0)</f>
        <v>-0.0</v>
      </c>
      <c r="SXG53" s="5">
        <f>-IFERROR('4. NPV'!SXH23/'4. NPV'!SXH$8,0)</f>
        <v>-0.0</v>
      </c>
      <c r="SXH53" s="5">
        <f>-IFERROR('4. NPV'!SXI23/'4. NPV'!SXI$8,0)</f>
        <v>-0.0</v>
      </c>
      <c r="SXI53" s="5">
        <f>-IFERROR('4. NPV'!SXJ23/'4. NPV'!SXJ$8,0)</f>
        <v>-0.0</v>
      </c>
      <c r="SXJ53" s="5">
        <f>-IFERROR('4. NPV'!SXK23/'4. NPV'!SXK$8,0)</f>
        <v>-0.0</v>
      </c>
      <c r="SXK53" s="5">
        <f>-IFERROR('4. NPV'!SXL23/'4. NPV'!SXL$8,0)</f>
        <v>-0.0</v>
      </c>
      <c r="SXL53" s="5">
        <f>-IFERROR('4. NPV'!SXM23/'4. NPV'!SXM$8,0)</f>
        <v>-0.0</v>
      </c>
      <c r="SXM53" s="5">
        <f>-IFERROR('4. NPV'!SXN23/'4. NPV'!SXN$8,0)</f>
        <v>-0.0</v>
      </c>
      <c r="SXN53" s="5">
        <f>-IFERROR('4. NPV'!SXO23/'4. NPV'!SXO$8,0)</f>
        <v>-0.0</v>
      </c>
      <c r="SXO53" s="5">
        <f>-IFERROR('4. NPV'!SXP23/'4. NPV'!SXP$8,0)</f>
        <v>-0.0</v>
      </c>
      <c r="SXP53" s="5">
        <f>-IFERROR('4. NPV'!SXQ23/'4. NPV'!SXQ$8,0)</f>
        <v>-0.0</v>
      </c>
      <c r="SXQ53" s="5">
        <f>-IFERROR('4. NPV'!SXR23/'4. NPV'!SXR$8,0)</f>
        <v>-0.0</v>
      </c>
      <c r="SXR53" s="5">
        <f>-IFERROR('4. NPV'!SXS23/'4. NPV'!SXS$8,0)</f>
        <v>-0.0</v>
      </c>
      <c r="SXS53" s="5">
        <f>-IFERROR('4. NPV'!SXT23/'4. NPV'!SXT$8,0)</f>
        <v>-0.0</v>
      </c>
      <c r="SXT53" s="5">
        <f>-IFERROR('4. NPV'!SXU23/'4. NPV'!SXU$8,0)</f>
        <v>-0.0</v>
      </c>
      <c r="SXU53" s="5">
        <f>-IFERROR('4. NPV'!SXV23/'4. NPV'!SXV$8,0)</f>
        <v>-0.0</v>
      </c>
      <c r="SXV53" s="5">
        <f>-IFERROR('4. NPV'!SXW23/'4. NPV'!SXW$8,0)</f>
        <v>-0.0</v>
      </c>
      <c r="SXW53" s="5">
        <f>-IFERROR('4. NPV'!SXX23/'4. NPV'!SXX$8,0)</f>
        <v>-0.0</v>
      </c>
      <c r="SXX53" s="5">
        <f>-IFERROR('4. NPV'!SXY23/'4. NPV'!SXY$8,0)</f>
        <v>-0.0</v>
      </c>
      <c r="SXY53" s="5">
        <f>-IFERROR('4. NPV'!SXZ23/'4. NPV'!SXZ$8,0)</f>
        <v>-0.0</v>
      </c>
      <c r="SXZ53" s="5">
        <f>-IFERROR('4. NPV'!SYA23/'4. NPV'!SYA$8,0)</f>
        <v>-0.0</v>
      </c>
      <c r="SYA53" s="5">
        <f>-IFERROR('4. NPV'!SYB23/'4. NPV'!SYB$8,0)</f>
        <v>-0.0</v>
      </c>
      <c r="SYB53" s="5">
        <f>-IFERROR('4. NPV'!SYC23/'4. NPV'!SYC$8,0)</f>
        <v>-0.0</v>
      </c>
      <c r="SYC53" s="5">
        <f>-IFERROR('4. NPV'!SYD23/'4. NPV'!SYD$8,0)</f>
        <v>-0.0</v>
      </c>
      <c r="SYD53" s="5">
        <f>-IFERROR('4. NPV'!SYE23/'4. NPV'!SYE$8,0)</f>
        <v>-0.0</v>
      </c>
      <c r="SYE53" s="5">
        <f>-IFERROR('4. NPV'!SYF23/'4. NPV'!SYF$8,0)</f>
        <v>-0.0</v>
      </c>
      <c r="SYF53" s="5">
        <f>-IFERROR('4. NPV'!SYG23/'4. NPV'!SYG$8,0)</f>
        <v>-0.0</v>
      </c>
      <c r="SYG53" s="5">
        <f>-IFERROR('4. NPV'!SYH23/'4. NPV'!SYH$8,0)</f>
        <v>-0.0</v>
      </c>
      <c r="SYH53" s="5">
        <f>-IFERROR('4. NPV'!SYI23/'4. NPV'!SYI$8,0)</f>
        <v>-0.0</v>
      </c>
      <c r="SYI53" s="5">
        <f>-IFERROR('4. NPV'!SYJ23/'4. NPV'!SYJ$8,0)</f>
        <v>-0.0</v>
      </c>
      <c r="SYJ53" s="5">
        <f>-IFERROR('4. NPV'!SYK23/'4. NPV'!SYK$8,0)</f>
        <v>-0.0</v>
      </c>
      <c r="SYK53" s="5">
        <f>-IFERROR('4. NPV'!SYL23/'4. NPV'!SYL$8,0)</f>
        <v>-0.0</v>
      </c>
      <c r="SYL53" s="5">
        <f>-IFERROR('4. NPV'!SYM23/'4. NPV'!SYM$8,0)</f>
        <v>-0.0</v>
      </c>
      <c r="SYM53" s="5">
        <f>-IFERROR('4. NPV'!SYN23/'4. NPV'!SYN$8,0)</f>
        <v>-0.0</v>
      </c>
      <c r="SYN53" s="5">
        <f>-IFERROR('4. NPV'!SYO23/'4. NPV'!SYO$8,0)</f>
        <v>-0.0</v>
      </c>
      <c r="SYO53" s="5">
        <f>-IFERROR('4. NPV'!SYP23/'4. NPV'!SYP$8,0)</f>
        <v>-0.0</v>
      </c>
      <c r="SYP53" s="5">
        <f>-IFERROR('4. NPV'!SYQ23/'4. NPV'!SYQ$8,0)</f>
        <v>-0.0</v>
      </c>
      <c r="SYQ53" s="5">
        <f>-IFERROR('4. NPV'!SYR23/'4. NPV'!SYR$8,0)</f>
        <v>-0.0</v>
      </c>
      <c r="SYR53" s="5">
        <f>-IFERROR('4. NPV'!SYS23/'4. NPV'!SYS$8,0)</f>
        <v>-0.0</v>
      </c>
      <c r="SYS53" s="5">
        <f>-IFERROR('4. NPV'!SYT23/'4. NPV'!SYT$8,0)</f>
        <v>-0.0</v>
      </c>
      <c r="SYT53" s="5">
        <f>-IFERROR('4. NPV'!SYU23/'4. NPV'!SYU$8,0)</f>
        <v>-0.0</v>
      </c>
      <c r="SYU53" s="5">
        <f>-IFERROR('4. NPV'!SYV23/'4. NPV'!SYV$8,0)</f>
        <v>-0.0</v>
      </c>
      <c r="SYV53" s="5">
        <f>-IFERROR('4. NPV'!SYW23/'4. NPV'!SYW$8,0)</f>
        <v>-0.0</v>
      </c>
      <c r="SYW53" s="5">
        <f>-IFERROR('4. NPV'!SYX23/'4. NPV'!SYX$8,0)</f>
        <v>-0.0</v>
      </c>
      <c r="SYX53" s="5">
        <f>-IFERROR('4. NPV'!SYY23/'4. NPV'!SYY$8,0)</f>
        <v>-0.0</v>
      </c>
      <c r="SYY53" s="5">
        <f>-IFERROR('4. NPV'!SYZ23/'4. NPV'!SYZ$8,0)</f>
        <v>-0.0</v>
      </c>
      <c r="SYZ53" s="5">
        <f>-IFERROR('4. NPV'!SZA23/'4. NPV'!SZA$8,0)</f>
        <v>-0.0</v>
      </c>
      <c r="SZA53" s="5">
        <f>-IFERROR('4. NPV'!SZB23/'4. NPV'!SZB$8,0)</f>
        <v>-0.0</v>
      </c>
      <c r="SZB53" s="5">
        <f>-IFERROR('4. NPV'!SZC23/'4. NPV'!SZC$8,0)</f>
        <v>-0.0</v>
      </c>
      <c r="SZC53" s="5">
        <f>-IFERROR('4. NPV'!SZD23/'4. NPV'!SZD$8,0)</f>
        <v>-0.0</v>
      </c>
      <c r="SZD53" s="5">
        <f>-IFERROR('4. NPV'!SZE23/'4. NPV'!SZE$8,0)</f>
        <v>-0.0</v>
      </c>
      <c r="SZE53" s="5">
        <f>-IFERROR('4. NPV'!SZF23/'4. NPV'!SZF$8,0)</f>
        <v>-0.0</v>
      </c>
      <c r="SZF53" s="5">
        <f>-IFERROR('4. NPV'!SZG23/'4. NPV'!SZG$8,0)</f>
        <v>-0.0</v>
      </c>
      <c r="SZG53" s="5">
        <f>-IFERROR('4. NPV'!SZH23/'4. NPV'!SZH$8,0)</f>
        <v>-0.0</v>
      </c>
      <c r="SZH53" s="5">
        <f>-IFERROR('4. NPV'!SZI23/'4. NPV'!SZI$8,0)</f>
        <v>-0.0</v>
      </c>
      <c r="SZI53" s="5">
        <f>-IFERROR('4. NPV'!SZJ23/'4. NPV'!SZJ$8,0)</f>
        <v>-0.0</v>
      </c>
      <c r="SZJ53" s="5">
        <f>-IFERROR('4. NPV'!SZK23/'4. NPV'!SZK$8,0)</f>
        <v>-0.0</v>
      </c>
      <c r="SZK53" s="5">
        <f>-IFERROR('4. NPV'!SZL23/'4. NPV'!SZL$8,0)</f>
        <v>-0.0</v>
      </c>
      <c r="SZL53" s="5">
        <f>-IFERROR('4. NPV'!SZM23/'4. NPV'!SZM$8,0)</f>
        <v>-0.0</v>
      </c>
      <c r="SZM53" s="5">
        <f>-IFERROR('4. NPV'!SZN23/'4. NPV'!SZN$8,0)</f>
        <v>-0.0</v>
      </c>
      <c r="SZN53" s="5">
        <f>-IFERROR('4. NPV'!SZO23/'4. NPV'!SZO$8,0)</f>
        <v>-0.0</v>
      </c>
      <c r="SZO53" s="5">
        <f>-IFERROR('4. NPV'!SZP23/'4. NPV'!SZP$8,0)</f>
        <v>-0.0</v>
      </c>
      <c r="SZP53" s="5">
        <f>-IFERROR('4. NPV'!SZQ23/'4. NPV'!SZQ$8,0)</f>
        <v>-0.0</v>
      </c>
      <c r="SZQ53" s="5">
        <f>-IFERROR('4. NPV'!SZR23/'4. NPV'!SZR$8,0)</f>
        <v>-0.0</v>
      </c>
      <c r="SZR53" s="5">
        <f>-IFERROR('4. NPV'!SZS23/'4. NPV'!SZS$8,0)</f>
        <v>-0.0</v>
      </c>
      <c r="SZS53" s="5">
        <f>-IFERROR('4. NPV'!SZT23/'4. NPV'!SZT$8,0)</f>
        <v>-0.0</v>
      </c>
      <c r="SZT53" s="5">
        <f>-IFERROR('4. NPV'!SZU23/'4. NPV'!SZU$8,0)</f>
        <v>-0.0</v>
      </c>
      <c r="SZU53" s="5">
        <f>-IFERROR('4. NPV'!SZV23/'4. NPV'!SZV$8,0)</f>
        <v>-0.0</v>
      </c>
      <c r="SZV53" s="5">
        <f>-IFERROR('4. NPV'!SZW23/'4. NPV'!SZW$8,0)</f>
        <v>-0.0</v>
      </c>
      <c r="SZW53" s="5">
        <f>-IFERROR('4. NPV'!SZX23/'4. NPV'!SZX$8,0)</f>
        <v>-0.0</v>
      </c>
      <c r="SZX53" s="5">
        <f>-IFERROR('4. NPV'!SZY23/'4. NPV'!SZY$8,0)</f>
        <v>-0.0</v>
      </c>
      <c r="SZY53" s="5">
        <f>-IFERROR('4. NPV'!SZZ23/'4. NPV'!SZZ$8,0)</f>
        <v>-0.0</v>
      </c>
      <c r="SZZ53" s="5">
        <f>-IFERROR('4. NPV'!TAA23/'4. NPV'!TAA$8,0)</f>
        <v>-0.0</v>
      </c>
      <c r="TAA53" s="5">
        <f>-IFERROR('4. NPV'!TAB23/'4. NPV'!TAB$8,0)</f>
        <v>-0.0</v>
      </c>
      <c r="TAB53" s="5">
        <f>-IFERROR('4. NPV'!TAC23/'4. NPV'!TAC$8,0)</f>
        <v>-0.0</v>
      </c>
      <c r="TAC53" s="5">
        <f>-IFERROR('4. NPV'!TAD23/'4. NPV'!TAD$8,0)</f>
        <v>-0.0</v>
      </c>
      <c r="TAD53" s="5">
        <f>-IFERROR('4. NPV'!TAE23/'4. NPV'!TAE$8,0)</f>
        <v>-0.0</v>
      </c>
      <c r="TAE53" s="5">
        <f>-IFERROR('4. NPV'!TAF23/'4. NPV'!TAF$8,0)</f>
        <v>-0.0</v>
      </c>
      <c r="TAF53" s="5">
        <f>-IFERROR('4. NPV'!TAG23/'4. NPV'!TAG$8,0)</f>
        <v>-0.0</v>
      </c>
      <c r="TAG53" s="5">
        <f>-IFERROR('4. NPV'!TAH23/'4. NPV'!TAH$8,0)</f>
        <v>-0.0</v>
      </c>
      <c r="TAH53" s="5">
        <f>-IFERROR('4. NPV'!TAI23/'4. NPV'!TAI$8,0)</f>
        <v>-0.0</v>
      </c>
      <c r="TAI53" s="5">
        <f>-IFERROR('4. NPV'!TAJ23/'4. NPV'!TAJ$8,0)</f>
        <v>-0.0</v>
      </c>
      <c r="TAJ53" s="5">
        <f>-IFERROR('4. NPV'!TAK23/'4. NPV'!TAK$8,0)</f>
        <v>-0.0</v>
      </c>
      <c r="TAK53" s="5">
        <f>-IFERROR('4. NPV'!TAL23/'4. NPV'!TAL$8,0)</f>
        <v>-0.0</v>
      </c>
      <c r="TAL53" s="5">
        <f>-IFERROR('4. NPV'!TAM23/'4. NPV'!TAM$8,0)</f>
        <v>-0.0</v>
      </c>
      <c r="TAM53" s="5">
        <f>-IFERROR('4. NPV'!TAN23/'4. NPV'!TAN$8,0)</f>
        <v>-0.0</v>
      </c>
      <c r="TAN53" s="5">
        <f>-IFERROR('4. NPV'!TAO23/'4. NPV'!TAO$8,0)</f>
        <v>-0.0</v>
      </c>
      <c r="TAO53" s="5">
        <f>-IFERROR('4. NPV'!TAP23/'4. NPV'!TAP$8,0)</f>
        <v>-0.0</v>
      </c>
      <c r="TAP53" s="5">
        <f>-IFERROR('4. NPV'!TAQ23/'4. NPV'!TAQ$8,0)</f>
        <v>-0.0</v>
      </c>
      <c r="TAQ53" s="5">
        <f>-IFERROR('4. NPV'!TAR23/'4. NPV'!TAR$8,0)</f>
        <v>-0.0</v>
      </c>
      <c r="TAR53" s="5">
        <f>-IFERROR('4. NPV'!TAS23/'4. NPV'!TAS$8,0)</f>
        <v>-0.0</v>
      </c>
      <c r="TAS53" s="5">
        <f>-IFERROR('4. NPV'!TAT23/'4. NPV'!TAT$8,0)</f>
        <v>-0.0</v>
      </c>
      <c r="TAT53" s="5">
        <f>-IFERROR('4. NPV'!TAU23/'4. NPV'!TAU$8,0)</f>
        <v>-0.0</v>
      </c>
      <c r="TAU53" s="5">
        <f>-IFERROR('4. NPV'!TAV23/'4. NPV'!TAV$8,0)</f>
        <v>-0.0</v>
      </c>
      <c r="TAV53" s="5">
        <f>-IFERROR('4. NPV'!TAW23/'4. NPV'!TAW$8,0)</f>
        <v>-0.0</v>
      </c>
      <c r="TAW53" s="5">
        <f>-IFERROR('4. NPV'!TAX23/'4. NPV'!TAX$8,0)</f>
        <v>-0.0</v>
      </c>
      <c r="TAX53" s="5">
        <f>-IFERROR('4. NPV'!TAY23/'4. NPV'!TAY$8,0)</f>
        <v>-0.0</v>
      </c>
      <c r="TAY53" s="5">
        <f>-IFERROR('4. NPV'!TAZ23/'4. NPV'!TAZ$8,0)</f>
        <v>-0.0</v>
      </c>
      <c r="TAZ53" s="5">
        <f>-IFERROR('4. NPV'!TBA23/'4. NPV'!TBA$8,0)</f>
        <v>-0.0</v>
      </c>
      <c r="TBA53" s="5">
        <f>-IFERROR('4. NPV'!TBB23/'4. NPV'!TBB$8,0)</f>
        <v>-0.0</v>
      </c>
      <c r="TBB53" s="5">
        <f>-IFERROR('4. NPV'!TBC23/'4. NPV'!TBC$8,0)</f>
        <v>-0.0</v>
      </c>
      <c r="TBC53" s="5">
        <f>-IFERROR('4. NPV'!TBD23/'4. NPV'!TBD$8,0)</f>
        <v>-0.0</v>
      </c>
      <c r="TBD53" s="5">
        <f>-IFERROR('4. NPV'!TBE23/'4. NPV'!TBE$8,0)</f>
        <v>-0.0</v>
      </c>
      <c r="TBE53" s="5">
        <f>-IFERROR('4. NPV'!TBF23/'4. NPV'!TBF$8,0)</f>
        <v>-0.0</v>
      </c>
      <c r="TBF53" s="5">
        <f>-IFERROR('4. NPV'!TBG23/'4. NPV'!TBG$8,0)</f>
        <v>-0.0</v>
      </c>
      <c r="TBG53" s="5">
        <f>-IFERROR('4. NPV'!TBH23/'4. NPV'!TBH$8,0)</f>
        <v>-0.0</v>
      </c>
      <c r="TBH53" s="5">
        <f>-IFERROR('4. NPV'!TBI23/'4. NPV'!TBI$8,0)</f>
        <v>-0.0</v>
      </c>
      <c r="TBI53" s="5">
        <f>-IFERROR('4. NPV'!TBJ23/'4. NPV'!TBJ$8,0)</f>
        <v>-0.0</v>
      </c>
      <c r="TBJ53" s="5">
        <f>-IFERROR('4. NPV'!TBK23/'4. NPV'!TBK$8,0)</f>
        <v>-0.0</v>
      </c>
      <c r="TBK53" s="5">
        <f>-IFERROR('4. NPV'!TBL23/'4. NPV'!TBL$8,0)</f>
        <v>-0.0</v>
      </c>
      <c r="TBL53" s="5">
        <f>-IFERROR('4. NPV'!TBM23/'4. NPV'!TBM$8,0)</f>
        <v>-0.0</v>
      </c>
      <c r="TBM53" s="5">
        <f>-IFERROR('4. NPV'!TBN23/'4. NPV'!TBN$8,0)</f>
        <v>-0.0</v>
      </c>
      <c r="TBN53" s="5">
        <f>-IFERROR('4. NPV'!TBO23/'4. NPV'!TBO$8,0)</f>
        <v>-0.0</v>
      </c>
      <c r="TBO53" s="5">
        <f>-IFERROR('4. NPV'!TBP23/'4. NPV'!TBP$8,0)</f>
        <v>-0.0</v>
      </c>
      <c r="TBP53" s="5">
        <f>-IFERROR('4. NPV'!TBQ23/'4. NPV'!TBQ$8,0)</f>
        <v>-0.0</v>
      </c>
      <c r="TBQ53" s="5">
        <f>-IFERROR('4. NPV'!TBR23/'4. NPV'!TBR$8,0)</f>
        <v>-0.0</v>
      </c>
      <c r="TBR53" s="5">
        <f>-IFERROR('4. NPV'!TBS23/'4. NPV'!TBS$8,0)</f>
        <v>-0.0</v>
      </c>
      <c r="TBS53" s="5">
        <f>-IFERROR('4. NPV'!TBT23/'4. NPV'!TBT$8,0)</f>
        <v>-0.0</v>
      </c>
      <c r="TBT53" s="5">
        <f>-IFERROR('4. NPV'!TBU23/'4. NPV'!TBU$8,0)</f>
        <v>-0.0</v>
      </c>
      <c r="TBU53" s="5">
        <f>-IFERROR('4. NPV'!TBV23/'4. NPV'!TBV$8,0)</f>
        <v>-0.0</v>
      </c>
      <c r="TBV53" s="5">
        <f>-IFERROR('4. NPV'!TBW23/'4. NPV'!TBW$8,0)</f>
        <v>-0.0</v>
      </c>
      <c r="TBW53" s="5">
        <f>-IFERROR('4. NPV'!TBX23/'4. NPV'!TBX$8,0)</f>
        <v>-0.0</v>
      </c>
      <c r="TBX53" s="5">
        <f>-IFERROR('4. NPV'!TBY23/'4. NPV'!TBY$8,0)</f>
        <v>-0.0</v>
      </c>
      <c r="TBY53" s="5">
        <f>-IFERROR('4. NPV'!TBZ23/'4. NPV'!TBZ$8,0)</f>
        <v>-0.0</v>
      </c>
      <c r="TBZ53" s="5">
        <f>-IFERROR('4. NPV'!TCA23/'4. NPV'!TCA$8,0)</f>
        <v>-0.0</v>
      </c>
      <c r="TCA53" s="5">
        <f>-IFERROR('4. NPV'!TCB23/'4. NPV'!TCB$8,0)</f>
        <v>-0.0</v>
      </c>
      <c r="TCB53" s="5">
        <f>-IFERROR('4. NPV'!TCC23/'4. NPV'!TCC$8,0)</f>
        <v>-0.0</v>
      </c>
      <c r="TCC53" s="5">
        <f>-IFERROR('4. NPV'!TCD23/'4. NPV'!TCD$8,0)</f>
        <v>-0.0</v>
      </c>
      <c r="TCD53" s="5">
        <f>-IFERROR('4. NPV'!TCE23/'4. NPV'!TCE$8,0)</f>
        <v>-0.0</v>
      </c>
      <c r="TCE53" s="5">
        <f>-IFERROR('4. NPV'!TCF23/'4. NPV'!TCF$8,0)</f>
        <v>-0.0</v>
      </c>
      <c r="TCF53" s="5">
        <f>-IFERROR('4. NPV'!TCG23/'4. NPV'!TCG$8,0)</f>
        <v>-0.0</v>
      </c>
      <c r="TCG53" s="5">
        <f>-IFERROR('4. NPV'!TCH23/'4. NPV'!TCH$8,0)</f>
        <v>-0.0</v>
      </c>
      <c r="TCH53" s="5">
        <f>-IFERROR('4. NPV'!TCI23/'4. NPV'!TCI$8,0)</f>
        <v>-0.0</v>
      </c>
      <c r="TCI53" s="5">
        <f>-IFERROR('4. NPV'!TCJ23/'4. NPV'!TCJ$8,0)</f>
        <v>-0.0</v>
      </c>
      <c r="TCJ53" s="5">
        <f>-IFERROR('4. NPV'!TCK23/'4. NPV'!TCK$8,0)</f>
        <v>-0.0</v>
      </c>
      <c r="TCK53" s="5">
        <f>-IFERROR('4. NPV'!TCL23/'4. NPV'!TCL$8,0)</f>
        <v>-0.0</v>
      </c>
      <c r="TCL53" s="5">
        <f>-IFERROR('4. NPV'!TCM23/'4. NPV'!TCM$8,0)</f>
        <v>-0.0</v>
      </c>
      <c r="TCM53" s="5">
        <f>-IFERROR('4. NPV'!TCN23/'4. NPV'!TCN$8,0)</f>
        <v>-0.0</v>
      </c>
      <c r="TCN53" s="5">
        <f>-IFERROR('4. NPV'!TCO23/'4. NPV'!TCO$8,0)</f>
        <v>-0.0</v>
      </c>
      <c r="TCO53" s="5">
        <f>-IFERROR('4. NPV'!TCP23/'4. NPV'!TCP$8,0)</f>
        <v>-0.0</v>
      </c>
      <c r="TCP53" s="5">
        <f>-IFERROR('4. NPV'!TCQ23/'4. NPV'!TCQ$8,0)</f>
        <v>-0.0</v>
      </c>
      <c r="TCQ53" s="5">
        <f>-IFERROR('4. NPV'!TCR23/'4. NPV'!TCR$8,0)</f>
        <v>-0.0</v>
      </c>
      <c r="TCR53" s="5">
        <f>-IFERROR('4. NPV'!TCS23/'4. NPV'!TCS$8,0)</f>
        <v>-0.0</v>
      </c>
      <c r="TCS53" s="5">
        <f>-IFERROR('4. NPV'!TCT23/'4. NPV'!TCT$8,0)</f>
        <v>-0.0</v>
      </c>
      <c r="TCT53" s="5">
        <f>-IFERROR('4. NPV'!TCU23/'4. NPV'!TCU$8,0)</f>
        <v>-0.0</v>
      </c>
      <c r="TCU53" s="5">
        <f>-IFERROR('4. NPV'!TCV23/'4. NPV'!TCV$8,0)</f>
        <v>-0.0</v>
      </c>
      <c r="TCV53" s="5">
        <f>-IFERROR('4. NPV'!TCW23/'4. NPV'!TCW$8,0)</f>
        <v>-0.0</v>
      </c>
      <c r="TCW53" s="5">
        <f>-IFERROR('4. NPV'!TCX23/'4. NPV'!TCX$8,0)</f>
        <v>-0.0</v>
      </c>
      <c r="TCX53" s="5">
        <f>-IFERROR('4. NPV'!TCY23/'4. NPV'!TCY$8,0)</f>
        <v>-0.0</v>
      </c>
      <c r="TCY53" s="5">
        <f>-IFERROR('4. NPV'!TCZ23/'4. NPV'!TCZ$8,0)</f>
        <v>-0.0</v>
      </c>
      <c r="TCZ53" s="5">
        <f>-IFERROR('4. NPV'!TDA23/'4. NPV'!TDA$8,0)</f>
        <v>-0.0</v>
      </c>
      <c r="TDA53" s="5">
        <f>-IFERROR('4. NPV'!TDB23/'4. NPV'!TDB$8,0)</f>
        <v>-0.0</v>
      </c>
      <c r="TDB53" s="5">
        <f>-IFERROR('4. NPV'!TDC23/'4. NPV'!TDC$8,0)</f>
        <v>-0.0</v>
      </c>
      <c r="TDC53" s="5">
        <f>-IFERROR('4. NPV'!TDD23/'4. NPV'!TDD$8,0)</f>
        <v>-0.0</v>
      </c>
      <c r="TDD53" s="5">
        <f>-IFERROR('4. NPV'!TDE23/'4. NPV'!TDE$8,0)</f>
        <v>-0.0</v>
      </c>
      <c r="TDE53" s="5">
        <f>-IFERROR('4. NPV'!TDF23/'4. NPV'!TDF$8,0)</f>
        <v>-0.0</v>
      </c>
      <c r="TDF53" s="5">
        <f>-IFERROR('4. NPV'!TDG23/'4. NPV'!TDG$8,0)</f>
        <v>-0.0</v>
      </c>
      <c r="TDG53" s="5">
        <f>-IFERROR('4. NPV'!TDH23/'4. NPV'!TDH$8,0)</f>
        <v>-0.0</v>
      </c>
      <c r="TDH53" s="5">
        <f>-IFERROR('4. NPV'!TDI23/'4. NPV'!TDI$8,0)</f>
        <v>-0.0</v>
      </c>
      <c r="TDI53" s="5">
        <f>-IFERROR('4. NPV'!TDJ23/'4. NPV'!TDJ$8,0)</f>
        <v>-0.0</v>
      </c>
      <c r="TDJ53" s="5">
        <f>-IFERROR('4. NPV'!TDK23/'4. NPV'!TDK$8,0)</f>
        <v>-0.0</v>
      </c>
      <c r="TDK53" s="5">
        <f>-IFERROR('4. NPV'!TDL23/'4. NPV'!TDL$8,0)</f>
        <v>-0.0</v>
      </c>
      <c r="TDL53" s="5">
        <f>-IFERROR('4. NPV'!TDM23/'4. NPV'!TDM$8,0)</f>
        <v>-0.0</v>
      </c>
      <c r="TDM53" s="5">
        <f>-IFERROR('4. NPV'!TDN23/'4. NPV'!TDN$8,0)</f>
        <v>-0.0</v>
      </c>
      <c r="TDN53" s="5">
        <f>-IFERROR('4. NPV'!TDO23/'4. NPV'!TDO$8,0)</f>
        <v>-0.0</v>
      </c>
      <c r="TDO53" s="5">
        <f>-IFERROR('4. NPV'!TDP23/'4. NPV'!TDP$8,0)</f>
        <v>-0.0</v>
      </c>
      <c r="TDP53" s="5">
        <f>-IFERROR('4. NPV'!TDQ23/'4. NPV'!TDQ$8,0)</f>
        <v>-0.0</v>
      </c>
      <c r="TDQ53" s="5">
        <f>-IFERROR('4. NPV'!TDR23/'4. NPV'!TDR$8,0)</f>
        <v>-0.0</v>
      </c>
      <c r="TDR53" s="5">
        <f>-IFERROR('4. NPV'!TDS23/'4. NPV'!TDS$8,0)</f>
        <v>-0.0</v>
      </c>
      <c r="TDS53" s="5">
        <f>-IFERROR('4. NPV'!TDT23/'4. NPV'!TDT$8,0)</f>
        <v>-0.0</v>
      </c>
      <c r="TDT53" s="5">
        <f>-IFERROR('4. NPV'!TDU23/'4. NPV'!TDU$8,0)</f>
        <v>-0.0</v>
      </c>
      <c r="TDU53" s="5">
        <f>-IFERROR('4. NPV'!TDV23/'4. NPV'!TDV$8,0)</f>
        <v>-0.0</v>
      </c>
      <c r="TDV53" s="5">
        <f>-IFERROR('4. NPV'!TDW23/'4. NPV'!TDW$8,0)</f>
        <v>-0.0</v>
      </c>
      <c r="TDW53" s="5">
        <f>-IFERROR('4. NPV'!TDX23/'4. NPV'!TDX$8,0)</f>
        <v>-0.0</v>
      </c>
      <c r="TDX53" s="5">
        <f>-IFERROR('4. NPV'!TDY23/'4. NPV'!TDY$8,0)</f>
        <v>-0.0</v>
      </c>
      <c r="TDY53" s="5">
        <f>-IFERROR('4. NPV'!TDZ23/'4. NPV'!TDZ$8,0)</f>
        <v>-0.0</v>
      </c>
      <c r="TDZ53" s="5">
        <f>-IFERROR('4. NPV'!TEA23/'4. NPV'!TEA$8,0)</f>
        <v>-0.0</v>
      </c>
      <c r="TEA53" s="5">
        <f>-IFERROR('4. NPV'!TEB23/'4. NPV'!TEB$8,0)</f>
        <v>-0.0</v>
      </c>
      <c r="TEB53" s="5">
        <f>-IFERROR('4. NPV'!TEC23/'4. NPV'!TEC$8,0)</f>
        <v>-0.0</v>
      </c>
      <c r="TEC53" s="5">
        <f>-IFERROR('4. NPV'!TED23/'4. NPV'!TED$8,0)</f>
        <v>-0.0</v>
      </c>
      <c r="TED53" s="5">
        <f>-IFERROR('4. NPV'!TEE23/'4. NPV'!TEE$8,0)</f>
        <v>-0.0</v>
      </c>
      <c r="TEE53" s="5">
        <f>-IFERROR('4. NPV'!TEF23/'4. NPV'!TEF$8,0)</f>
        <v>-0.0</v>
      </c>
      <c r="TEF53" s="5">
        <f>-IFERROR('4. NPV'!TEG23/'4. NPV'!TEG$8,0)</f>
        <v>-0.0</v>
      </c>
      <c r="TEG53" s="5">
        <f>-IFERROR('4. NPV'!TEH23/'4. NPV'!TEH$8,0)</f>
        <v>-0.0</v>
      </c>
      <c r="TEH53" s="5">
        <f>-IFERROR('4. NPV'!TEI23/'4. NPV'!TEI$8,0)</f>
        <v>-0.0</v>
      </c>
      <c r="TEI53" s="5">
        <f>-IFERROR('4. NPV'!TEJ23/'4. NPV'!TEJ$8,0)</f>
        <v>-0.0</v>
      </c>
      <c r="TEJ53" s="5">
        <f>-IFERROR('4. NPV'!TEK23/'4. NPV'!TEK$8,0)</f>
        <v>-0.0</v>
      </c>
      <c r="TEK53" s="5">
        <f>-IFERROR('4. NPV'!TEL23/'4. NPV'!TEL$8,0)</f>
        <v>-0.0</v>
      </c>
      <c r="TEL53" s="5">
        <f>-IFERROR('4. NPV'!TEM23/'4. NPV'!TEM$8,0)</f>
        <v>-0.0</v>
      </c>
      <c r="TEM53" s="5">
        <f>-IFERROR('4. NPV'!TEN23/'4. NPV'!TEN$8,0)</f>
        <v>-0.0</v>
      </c>
      <c r="TEN53" s="5">
        <f>-IFERROR('4. NPV'!TEO23/'4. NPV'!TEO$8,0)</f>
        <v>-0.0</v>
      </c>
      <c r="TEO53" s="5">
        <f>-IFERROR('4. NPV'!TEP23/'4. NPV'!TEP$8,0)</f>
        <v>-0.0</v>
      </c>
      <c r="TEP53" s="5">
        <f>-IFERROR('4. NPV'!TEQ23/'4. NPV'!TEQ$8,0)</f>
        <v>-0.0</v>
      </c>
      <c r="TEQ53" s="5">
        <f>-IFERROR('4. NPV'!TER23/'4. NPV'!TER$8,0)</f>
        <v>-0.0</v>
      </c>
      <c r="TER53" s="5">
        <f>-IFERROR('4. NPV'!TES23/'4. NPV'!TES$8,0)</f>
        <v>-0.0</v>
      </c>
      <c r="TES53" s="5">
        <f>-IFERROR('4. NPV'!TET23/'4. NPV'!TET$8,0)</f>
        <v>-0.0</v>
      </c>
      <c r="TET53" s="5">
        <f>-IFERROR('4. NPV'!TEU23/'4. NPV'!TEU$8,0)</f>
        <v>-0.0</v>
      </c>
      <c r="TEU53" s="5">
        <f>-IFERROR('4. NPV'!TEV23/'4. NPV'!TEV$8,0)</f>
        <v>-0.0</v>
      </c>
      <c r="TEV53" s="5">
        <f>-IFERROR('4. NPV'!TEW23/'4. NPV'!TEW$8,0)</f>
        <v>-0.0</v>
      </c>
      <c r="TEW53" s="5">
        <f>-IFERROR('4. NPV'!TEX23/'4. NPV'!TEX$8,0)</f>
        <v>-0.0</v>
      </c>
      <c r="TEX53" s="5">
        <f>-IFERROR('4. NPV'!TEY23/'4. NPV'!TEY$8,0)</f>
        <v>-0.0</v>
      </c>
      <c r="TEY53" s="5">
        <f>-IFERROR('4. NPV'!TEZ23/'4. NPV'!TEZ$8,0)</f>
        <v>-0.0</v>
      </c>
      <c r="TEZ53" s="5">
        <f>-IFERROR('4. NPV'!TFA23/'4. NPV'!TFA$8,0)</f>
        <v>-0.0</v>
      </c>
      <c r="TFA53" s="5">
        <f>-IFERROR('4. NPV'!TFB23/'4. NPV'!TFB$8,0)</f>
        <v>-0.0</v>
      </c>
      <c r="TFB53" s="5">
        <f>-IFERROR('4. NPV'!TFC23/'4. NPV'!TFC$8,0)</f>
        <v>-0.0</v>
      </c>
      <c r="TFC53" s="5">
        <f>-IFERROR('4. NPV'!TFD23/'4. NPV'!TFD$8,0)</f>
        <v>-0.0</v>
      </c>
      <c r="TFD53" s="5">
        <f>-IFERROR('4. NPV'!TFE23/'4. NPV'!TFE$8,0)</f>
        <v>-0.0</v>
      </c>
      <c r="TFE53" s="5">
        <f>-IFERROR('4. NPV'!TFF23/'4. NPV'!TFF$8,0)</f>
        <v>-0.0</v>
      </c>
      <c r="TFF53" s="5">
        <f>-IFERROR('4. NPV'!TFG23/'4. NPV'!TFG$8,0)</f>
        <v>-0.0</v>
      </c>
      <c r="TFG53" s="5">
        <f>-IFERROR('4. NPV'!TFH23/'4. NPV'!TFH$8,0)</f>
        <v>-0.0</v>
      </c>
      <c r="TFH53" s="5">
        <f>-IFERROR('4. NPV'!TFI23/'4. NPV'!TFI$8,0)</f>
        <v>-0.0</v>
      </c>
      <c r="TFI53" s="5">
        <f>-IFERROR('4. NPV'!TFJ23/'4. NPV'!TFJ$8,0)</f>
        <v>-0.0</v>
      </c>
      <c r="TFJ53" s="5">
        <f>-IFERROR('4. NPV'!TFK23/'4. NPV'!TFK$8,0)</f>
        <v>-0.0</v>
      </c>
      <c r="TFK53" s="5">
        <f>-IFERROR('4. NPV'!TFL23/'4. NPV'!TFL$8,0)</f>
        <v>-0.0</v>
      </c>
      <c r="TFL53" s="5">
        <f>-IFERROR('4. NPV'!TFM23/'4. NPV'!TFM$8,0)</f>
        <v>-0.0</v>
      </c>
      <c r="TFM53" s="5">
        <f>-IFERROR('4. NPV'!TFN23/'4. NPV'!TFN$8,0)</f>
        <v>-0.0</v>
      </c>
      <c r="TFN53" s="5">
        <f>-IFERROR('4. NPV'!TFO23/'4. NPV'!TFO$8,0)</f>
        <v>-0.0</v>
      </c>
      <c r="TFO53" s="5">
        <f>-IFERROR('4. NPV'!TFP23/'4. NPV'!TFP$8,0)</f>
        <v>-0.0</v>
      </c>
      <c r="TFP53" s="5">
        <f>-IFERROR('4. NPV'!TFQ23/'4. NPV'!TFQ$8,0)</f>
        <v>-0.0</v>
      </c>
      <c r="TFQ53" s="5">
        <f>-IFERROR('4. NPV'!TFR23/'4. NPV'!TFR$8,0)</f>
        <v>-0.0</v>
      </c>
      <c r="TFR53" s="5">
        <f>-IFERROR('4. NPV'!TFS23/'4. NPV'!TFS$8,0)</f>
        <v>-0.0</v>
      </c>
      <c r="TFS53" s="5">
        <f>-IFERROR('4. NPV'!TFT23/'4. NPV'!TFT$8,0)</f>
        <v>-0.0</v>
      </c>
      <c r="TFT53" s="5">
        <f>-IFERROR('4. NPV'!TFU23/'4. NPV'!TFU$8,0)</f>
        <v>-0.0</v>
      </c>
      <c r="TFU53" s="5">
        <f>-IFERROR('4. NPV'!TFV23/'4. NPV'!TFV$8,0)</f>
        <v>-0.0</v>
      </c>
      <c r="TFV53" s="5">
        <f>-IFERROR('4. NPV'!TFW23/'4. NPV'!TFW$8,0)</f>
        <v>-0.0</v>
      </c>
      <c r="TFW53" s="5">
        <f>-IFERROR('4. NPV'!TFX23/'4. NPV'!TFX$8,0)</f>
        <v>-0.0</v>
      </c>
      <c r="TFX53" s="5">
        <f>-IFERROR('4. NPV'!TFY23/'4. NPV'!TFY$8,0)</f>
        <v>-0.0</v>
      </c>
      <c r="TFY53" s="5">
        <f>-IFERROR('4. NPV'!TFZ23/'4. NPV'!TFZ$8,0)</f>
        <v>-0.0</v>
      </c>
      <c r="TFZ53" s="5">
        <f>-IFERROR('4. NPV'!TGA23/'4. NPV'!TGA$8,0)</f>
        <v>-0.0</v>
      </c>
      <c r="TGA53" s="5">
        <f>-IFERROR('4. NPV'!TGB23/'4. NPV'!TGB$8,0)</f>
        <v>-0.0</v>
      </c>
      <c r="TGB53" s="5">
        <f>-IFERROR('4. NPV'!TGC23/'4. NPV'!TGC$8,0)</f>
        <v>-0.0</v>
      </c>
      <c r="TGC53" s="5">
        <f>-IFERROR('4. NPV'!TGD23/'4. NPV'!TGD$8,0)</f>
        <v>-0.0</v>
      </c>
      <c r="TGD53" s="5">
        <f>-IFERROR('4. NPV'!TGE23/'4. NPV'!TGE$8,0)</f>
        <v>-0.0</v>
      </c>
      <c r="TGE53" s="5">
        <f>-IFERROR('4. NPV'!TGF23/'4. NPV'!TGF$8,0)</f>
        <v>-0.0</v>
      </c>
      <c r="TGF53" s="5">
        <f>-IFERROR('4. NPV'!TGG23/'4. NPV'!TGG$8,0)</f>
        <v>-0.0</v>
      </c>
      <c r="TGG53" s="5">
        <f>-IFERROR('4. NPV'!TGH23/'4. NPV'!TGH$8,0)</f>
        <v>-0.0</v>
      </c>
      <c r="TGH53" s="5">
        <f>-IFERROR('4. NPV'!TGI23/'4. NPV'!TGI$8,0)</f>
        <v>-0.0</v>
      </c>
      <c r="TGI53" s="5">
        <f>-IFERROR('4. NPV'!TGJ23/'4. NPV'!TGJ$8,0)</f>
        <v>-0.0</v>
      </c>
      <c r="TGJ53" s="5">
        <f>-IFERROR('4. NPV'!TGK23/'4. NPV'!TGK$8,0)</f>
        <v>-0.0</v>
      </c>
      <c r="TGK53" s="5">
        <f>-IFERROR('4. NPV'!TGL23/'4. NPV'!TGL$8,0)</f>
        <v>-0.0</v>
      </c>
      <c r="TGL53" s="5">
        <f>-IFERROR('4. NPV'!TGM23/'4. NPV'!TGM$8,0)</f>
        <v>-0.0</v>
      </c>
      <c r="TGM53" s="5">
        <f>-IFERROR('4. NPV'!TGN23/'4. NPV'!TGN$8,0)</f>
        <v>-0.0</v>
      </c>
      <c r="TGN53" s="5">
        <f>-IFERROR('4. NPV'!TGO23/'4. NPV'!TGO$8,0)</f>
        <v>-0.0</v>
      </c>
      <c r="TGO53" s="5">
        <f>-IFERROR('4. NPV'!TGP23/'4. NPV'!TGP$8,0)</f>
        <v>-0.0</v>
      </c>
      <c r="TGP53" s="5">
        <f>-IFERROR('4. NPV'!TGQ23/'4. NPV'!TGQ$8,0)</f>
        <v>-0.0</v>
      </c>
      <c r="TGQ53" s="5">
        <f>-IFERROR('4. NPV'!TGR23/'4. NPV'!TGR$8,0)</f>
        <v>-0.0</v>
      </c>
      <c r="TGR53" s="5">
        <f>-IFERROR('4. NPV'!TGS23/'4. NPV'!TGS$8,0)</f>
        <v>-0.0</v>
      </c>
      <c r="TGS53" s="5">
        <f>-IFERROR('4. NPV'!TGT23/'4. NPV'!TGT$8,0)</f>
        <v>-0.0</v>
      </c>
      <c r="TGT53" s="5">
        <f>-IFERROR('4. NPV'!TGU23/'4. NPV'!TGU$8,0)</f>
        <v>-0.0</v>
      </c>
      <c r="TGU53" s="5">
        <f>-IFERROR('4. NPV'!TGV23/'4. NPV'!TGV$8,0)</f>
        <v>-0.0</v>
      </c>
      <c r="TGV53" s="5">
        <f>-IFERROR('4. NPV'!TGW23/'4. NPV'!TGW$8,0)</f>
        <v>-0.0</v>
      </c>
      <c r="TGW53" s="5">
        <f>-IFERROR('4. NPV'!TGX23/'4. NPV'!TGX$8,0)</f>
        <v>-0.0</v>
      </c>
      <c r="TGX53" s="5">
        <f>-IFERROR('4. NPV'!TGY23/'4. NPV'!TGY$8,0)</f>
        <v>-0.0</v>
      </c>
      <c r="TGY53" s="5">
        <f>-IFERROR('4. NPV'!TGZ23/'4. NPV'!TGZ$8,0)</f>
        <v>-0.0</v>
      </c>
      <c r="TGZ53" s="5">
        <f>-IFERROR('4. NPV'!THA23/'4. NPV'!THA$8,0)</f>
        <v>-0.0</v>
      </c>
      <c r="THA53" s="5">
        <f>-IFERROR('4. NPV'!THB23/'4. NPV'!THB$8,0)</f>
        <v>-0.0</v>
      </c>
      <c r="THB53" s="5">
        <f>-IFERROR('4. NPV'!THC23/'4. NPV'!THC$8,0)</f>
        <v>-0.0</v>
      </c>
      <c r="THC53" s="5">
        <f>-IFERROR('4. NPV'!THD23/'4. NPV'!THD$8,0)</f>
        <v>-0.0</v>
      </c>
      <c r="THD53" s="5">
        <f>-IFERROR('4. NPV'!THE23/'4. NPV'!THE$8,0)</f>
        <v>-0.0</v>
      </c>
      <c r="THE53" s="5">
        <f>-IFERROR('4. NPV'!THF23/'4. NPV'!THF$8,0)</f>
        <v>-0.0</v>
      </c>
      <c r="THF53" s="5">
        <f>-IFERROR('4. NPV'!THG23/'4. NPV'!THG$8,0)</f>
        <v>-0.0</v>
      </c>
      <c r="THG53" s="5">
        <f>-IFERROR('4. NPV'!THH23/'4. NPV'!THH$8,0)</f>
        <v>-0.0</v>
      </c>
      <c r="THH53" s="5">
        <f>-IFERROR('4. NPV'!THI23/'4. NPV'!THI$8,0)</f>
        <v>-0.0</v>
      </c>
      <c r="THI53" s="5">
        <f>-IFERROR('4. NPV'!THJ23/'4. NPV'!THJ$8,0)</f>
        <v>-0.0</v>
      </c>
      <c r="THJ53" s="5">
        <f>-IFERROR('4. NPV'!THK23/'4. NPV'!THK$8,0)</f>
        <v>-0.0</v>
      </c>
      <c r="THK53" s="5">
        <f>-IFERROR('4. NPV'!THL23/'4. NPV'!THL$8,0)</f>
        <v>-0.0</v>
      </c>
      <c r="THL53" s="5">
        <f>-IFERROR('4. NPV'!THM23/'4. NPV'!THM$8,0)</f>
        <v>-0.0</v>
      </c>
      <c r="THM53" s="5">
        <f>-IFERROR('4. NPV'!THN23/'4. NPV'!THN$8,0)</f>
        <v>-0.0</v>
      </c>
      <c r="THN53" s="5">
        <f>-IFERROR('4. NPV'!THO23/'4. NPV'!THO$8,0)</f>
        <v>-0.0</v>
      </c>
      <c r="THO53" s="5">
        <f>-IFERROR('4. NPV'!THP23/'4. NPV'!THP$8,0)</f>
        <v>-0.0</v>
      </c>
      <c r="THP53" s="5">
        <f>-IFERROR('4. NPV'!THQ23/'4. NPV'!THQ$8,0)</f>
        <v>-0.0</v>
      </c>
      <c r="THQ53" s="5">
        <f>-IFERROR('4. NPV'!THR23/'4. NPV'!THR$8,0)</f>
        <v>-0.0</v>
      </c>
      <c r="THR53" s="5">
        <f>-IFERROR('4. NPV'!THS23/'4. NPV'!THS$8,0)</f>
        <v>-0.0</v>
      </c>
      <c r="THS53" s="5">
        <f>-IFERROR('4. NPV'!THT23/'4. NPV'!THT$8,0)</f>
        <v>-0.0</v>
      </c>
      <c r="THT53" s="5">
        <f>-IFERROR('4. NPV'!THU23/'4. NPV'!THU$8,0)</f>
        <v>-0.0</v>
      </c>
      <c r="THU53" s="5">
        <f>-IFERROR('4. NPV'!THV23/'4. NPV'!THV$8,0)</f>
        <v>-0.0</v>
      </c>
      <c r="THV53" s="5">
        <f>-IFERROR('4. NPV'!THW23/'4. NPV'!THW$8,0)</f>
        <v>-0.0</v>
      </c>
      <c r="THW53" s="5">
        <f>-IFERROR('4. NPV'!THX23/'4. NPV'!THX$8,0)</f>
        <v>-0.0</v>
      </c>
      <c r="THX53" s="5">
        <f>-IFERROR('4. NPV'!THY23/'4. NPV'!THY$8,0)</f>
        <v>-0.0</v>
      </c>
      <c r="THY53" s="5">
        <f>-IFERROR('4. NPV'!THZ23/'4. NPV'!THZ$8,0)</f>
        <v>-0.0</v>
      </c>
      <c r="THZ53" s="5">
        <f>-IFERROR('4. NPV'!TIA23/'4. NPV'!TIA$8,0)</f>
        <v>-0.0</v>
      </c>
      <c r="TIA53" s="5">
        <f>-IFERROR('4. NPV'!TIB23/'4. NPV'!TIB$8,0)</f>
        <v>-0.0</v>
      </c>
      <c r="TIB53" s="5">
        <f>-IFERROR('4. NPV'!TIC23/'4. NPV'!TIC$8,0)</f>
        <v>-0.0</v>
      </c>
      <c r="TIC53" s="5">
        <f>-IFERROR('4. NPV'!TID23/'4. NPV'!TID$8,0)</f>
        <v>-0.0</v>
      </c>
      <c r="TID53" s="5">
        <f>-IFERROR('4. NPV'!TIE23/'4. NPV'!TIE$8,0)</f>
        <v>-0.0</v>
      </c>
      <c r="TIE53" s="5">
        <f>-IFERROR('4. NPV'!TIF23/'4. NPV'!TIF$8,0)</f>
        <v>-0.0</v>
      </c>
      <c r="TIF53" s="5">
        <f>-IFERROR('4. NPV'!TIG23/'4. NPV'!TIG$8,0)</f>
        <v>-0.0</v>
      </c>
      <c r="TIG53" s="5">
        <f>-IFERROR('4. NPV'!TIH23/'4. NPV'!TIH$8,0)</f>
        <v>-0.0</v>
      </c>
      <c r="TIH53" s="5">
        <f>-IFERROR('4. NPV'!TII23/'4. NPV'!TII$8,0)</f>
        <v>-0.0</v>
      </c>
      <c r="TII53" s="5">
        <f>-IFERROR('4. NPV'!TIJ23/'4. NPV'!TIJ$8,0)</f>
        <v>-0.0</v>
      </c>
      <c r="TIJ53" s="5">
        <f>-IFERROR('4. NPV'!TIK23/'4. NPV'!TIK$8,0)</f>
        <v>-0.0</v>
      </c>
      <c r="TIK53" s="5">
        <f>-IFERROR('4. NPV'!TIL23/'4. NPV'!TIL$8,0)</f>
        <v>-0.0</v>
      </c>
      <c r="TIL53" s="5">
        <f>-IFERROR('4. NPV'!TIM23/'4. NPV'!TIM$8,0)</f>
        <v>-0.0</v>
      </c>
      <c r="TIM53" s="5">
        <f>-IFERROR('4. NPV'!TIN23/'4. NPV'!TIN$8,0)</f>
        <v>-0.0</v>
      </c>
      <c r="TIN53" s="5">
        <f>-IFERROR('4. NPV'!TIO23/'4. NPV'!TIO$8,0)</f>
        <v>-0.0</v>
      </c>
      <c r="TIO53" s="5">
        <f>-IFERROR('4. NPV'!TIP23/'4. NPV'!TIP$8,0)</f>
        <v>-0.0</v>
      </c>
      <c r="TIP53" s="5">
        <f>-IFERROR('4. NPV'!TIQ23/'4. NPV'!TIQ$8,0)</f>
        <v>-0.0</v>
      </c>
      <c r="TIQ53" s="5">
        <f>-IFERROR('4. NPV'!TIR23/'4. NPV'!TIR$8,0)</f>
        <v>-0.0</v>
      </c>
      <c r="TIR53" s="5">
        <f>-IFERROR('4. NPV'!TIS23/'4. NPV'!TIS$8,0)</f>
        <v>-0.0</v>
      </c>
      <c r="TIS53" s="5">
        <f>-IFERROR('4. NPV'!TIT23/'4. NPV'!TIT$8,0)</f>
        <v>-0.0</v>
      </c>
      <c r="TIT53" s="5">
        <f>-IFERROR('4. NPV'!TIU23/'4. NPV'!TIU$8,0)</f>
        <v>-0.0</v>
      </c>
      <c r="TIU53" s="5">
        <f>-IFERROR('4. NPV'!TIV23/'4. NPV'!TIV$8,0)</f>
        <v>-0.0</v>
      </c>
      <c r="TIV53" s="5">
        <f>-IFERROR('4. NPV'!TIW23/'4. NPV'!TIW$8,0)</f>
        <v>-0.0</v>
      </c>
      <c r="TIW53" s="5">
        <f>-IFERROR('4. NPV'!TIX23/'4. NPV'!TIX$8,0)</f>
        <v>-0.0</v>
      </c>
      <c r="TIX53" s="5">
        <f>-IFERROR('4. NPV'!TIY23/'4. NPV'!TIY$8,0)</f>
        <v>-0.0</v>
      </c>
      <c r="TIY53" s="5">
        <f>-IFERROR('4. NPV'!TIZ23/'4. NPV'!TIZ$8,0)</f>
        <v>-0.0</v>
      </c>
      <c r="TIZ53" s="5">
        <f>-IFERROR('4. NPV'!TJA23/'4. NPV'!TJA$8,0)</f>
        <v>-0.0</v>
      </c>
      <c r="TJA53" s="5">
        <f>-IFERROR('4. NPV'!TJB23/'4. NPV'!TJB$8,0)</f>
        <v>-0.0</v>
      </c>
      <c r="TJB53" s="5">
        <f>-IFERROR('4. NPV'!TJC23/'4. NPV'!TJC$8,0)</f>
        <v>-0.0</v>
      </c>
      <c r="TJC53" s="5">
        <f>-IFERROR('4. NPV'!TJD23/'4. NPV'!TJD$8,0)</f>
        <v>-0.0</v>
      </c>
      <c r="TJD53" s="5">
        <f>-IFERROR('4. NPV'!TJE23/'4. NPV'!TJE$8,0)</f>
        <v>-0.0</v>
      </c>
      <c r="TJE53" s="5">
        <f>-IFERROR('4. NPV'!TJF23/'4. NPV'!TJF$8,0)</f>
        <v>-0.0</v>
      </c>
      <c r="TJF53" s="5">
        <f>-IFERROR('4. NPV'!TJG23/'4. NPV'!TJG$8,0)</f>
        <v>-0.0</v>
      </c>
      <c r="TJG53" s="5">
        <f>-IFERROR('4. NPV'!TJH23/'4. NPV'!TJH$8,0)</f>
        <v>-0.0</v>
      </c>
      <c r="TJH53" s="5">
        <f>-IFERROR('4. NPV'!TJI23/'4. NPV'!TJI$8,0)</f>
        <v>-0.0</v>
      </c>
      <c r="TJI53" s="5">
        <f>-IFERROR('4. NPV'!TJJ23/'4. NPV'!TJJ$8,0)</f>
        <v>-0.0</v>
      </c>
      <c r="TJJ53" s="5">
        <f>-IFERROR('4. NPV'!TJK23/'4. NPV'!TJK$8,0)</f>
        <v>-0.0</v>
      </c>
      <c r="TJK53" s="5">
        <f>-IFERROR('4. NPV'!TJL23/'4. NPV'!TJL$8,0)</f>
        <v>-0.0</v>
      </c>
      <c r="TJL53" s="5">
        <f>-IFERROR('4. NPV'!TJM23/'4. NPV'!TJM$8,0)</f>
        <v>-0.0</v>
      </c>
      <c r="TJM53" s="5">
        <f>-IFERROR('4. NPV'!TJN23/'4. NPV'!TJN$8,0)</f>
        <v>-0.0</v>
      </c>
      <c r="TJN53" s="5">
        <f>-IFERROR('4. NPV'!TJO23/'4. NPV'!TJO$8,0)</f>
        <v>-0.0</v>
      </c>
      <c r="TJO53" s="5">
        <f>-IFERROR('4. NPV'!TJP23/'4. NPV'!TJP$8,0)</f>
        <v>-0.0</v>
      </c>
      <c r="TJP53" s="5">
        <f>-IFERROR('4. NPV'!TJQ23/'4. NPV'!TJQ$8,0)</f>
        <v>-0.0</v>
      </c>
      <c r="TJQ53" s="5">
        <f>-IFERROR('4. NPV'!TJR23/'4. NPV'!TJR$8,0)</f>
        <v>-0.0</v>
      </c>
      <c r="TJR53" s="5">
        <f>-IFERROR('4. NPV'!TJS23/'4. NPV'!TJS$8,0)</f>
        <v>-0.0</v>
      </c>
      <c r="TJS53" s="5">
        <f>-IFERROR('4. NPV'!TJT23/'4. NPV'!TJT$8,0)</f>
        <v>-0.0</v>
      </c>
      <c r="TJT53" s="5">
        <f>-IFERROR('4. NPV'!TJU23/'4. NPV'!TJU$8,0)</f>
        <v>-0.0</v>
      </c>
      <c r="TJU53" s="5">
        <f>-IFERROR('4. NPV'!TJV23/'4. NPV'!TJV$8,0)</f>
        <v>-0.0</v>
      </c>
      <c r="TJV53" s="5">
        <f>-IFERROR('4. NPV'!TJW23/'4. NPV'!TJW$8,0)</f>
        <v>-0.0</v>
      </c>
      <c r="TJW53" s="5">
        <f>-IFERROR('4. NPV'!TJX23/'4. NPV'!TJX$8,0)</f>
        <v>-0.0</v>
      </c>
      <c r="TJX53" s="5">
        <f>-IFERROR('4. NPV'!TJY23/'4. NPV'!TJY$8,0)</f>
        <v>-0.0</v>
      </c>
      <c r="TJY53" s="5">
        <f>-IFERROR('4. NPV'!TJZ23/'4. NPV'!TJZ$8,0)</f>
        <v>-0.0</v>
      </c>
      <c r="TJZ53" s="5">
        <f>-IFERROR('4. NPV'!TKA23/'4. NPV'!TKA$8,0)</f>
        <v>-0.0</v>
      </c>
      <c r="TKA53" s="5">
        <f>-IFERROR('4. NPV'!TKB23/'4. NPV'!TKB$8,0)</f>
        <v>-0.0</v>
      </c>
      <c r="TKB53" s="5">
        <f>-IFERROR('4. NPV'!TKC23/'4. NPV'!TKC$8,0)</f>
        <v>-0.0</v>
      </c>
      <c r="TKC53" s="5">
        <f>-IFERROR('4. NPV'!TKD23/'4. NPV'!TKD$8,0)</f>
        <v>-0.0</v>
      </c>
      <c r="TKD53" s="5">
        <f>-IFERROR('4. NPV'!TKE23/'4. NPV'!TKE$8,0)</f>
        <v>-0.0</v>
      </c>
      <c r="TKE53" s="5">
        <f>-IFERROR('4. NPV'!TKF23/'4. NPV'!TKF$8,0)</f>
        <v>-0.0</v>
      </c>
      <c r="TKF53" s="5">
        <f>-IFERROR('4. NPV'!TKG23/'4. NPV'!TKG$8,0)</f>
        <v>-0.0</v>
      </c>
      <c r="TKG53" s="5">
        <f>-IFERROR('4. NPV'!TKH23/'4. NPV'!TKH$8,0)</f>
        <v>-0.0</v>
      </c>
      <c r="TKH53" s="5">
        <f>-IFERROR('4. NPV'!TKI23/'4. NPV'!TKI$8,0)</f>
        <v>-0.0</v>
      </c>
      <c r="TKI53" s="5">
        <f>-IFERROR('4. NPV'!TKJ23/'4. NPV'!TKJ$8,0)</f>
        <v>-0.0</v>
      </c>
      <c r="TKJ53" s="5">
        <f>-IFERROR('4. NPV'!TKK23/'4. NPV'!TKK$8,0)</f>
        <v>-0.0</v>
      </c>
      <c r="TKK53" s="5">
        <f>-IFERROR('4. NPV'!TKL23/'4. NPV'!TKL$8,0)</f>
        <v>-0.0</v>
      </c>
      <c r="TKL53" s="5">
        <f>-IFERROR('4. NPV'!TKM23/'4. NPV'!TKM$8,0)</f>
        <v>-0.0</v>
      </c>
      <c r="TKM53" s="5">
        <f>-IFERROR('4. NPV'!TKN23/'4. NPV'!TKN$8,0)</f>
        <v>-0.0</v>
      </c>
      <c r="TKN53" s="5">
        <f>-IFERROR('4. NPV'!TKO23/'4. NPV'!TKO$8,0)</f>
        <v>-0.0</v>
      </c>
      <c r="TKO53" s="5">
        <f>-IFERROR('4. NPV'!TKP23/'4. NPV'!TKP$8,0)</f>
        <v>-0.0</v>
      </c>
      <c r="TKP53" s="5">
        <f>-IFERROR('4. NPV'!TKQ23/'4. NPV'!TKQ$8,0)</f>
        <v>-0.0</v>
      </c>
      <c r="TKQ53" s="5">
        <f>-IFERROR('4. NPV'!TKR23/'4. NPV'!TKR$8,0)</f>
        <v>-0.0</v>
      </c>
      <c r="TKR53" s="5">
        <f>-IFERROR('4. NPV'!TKS23/'4. NPV'!TKS$8,0)</f>
        <v>-0.0</v>
      </c>
      <c r="TKS53" s="5">
        <f>-IFERROR('4. NPV'!TKT23/'4. NPV'!TKT$8,0)</f>
        <v>-0.0</v>
      </c>
      <c r="TKT53" s="5">
        <f>-IFERROR('4. NPV'!TKU23/'4. NPV'!TKU$8,0)</f>
        <v>-0.0</v>
      </c>
      <c r="TKU53" s="5">
        <f>-IFERROR('4. NPV'!TKV23/'4. NPV'!TKV$8,0)</f>
        <v>-0.0</v>
      </c>
      <c r="TKV53" s="5">
        <f>-IFERROR('4. NPV'!TKW23/'4. NPV'!TKW$8,0)</f>
        <v>-0.0</v>
      </c>
      <c r="TKW53" s="5">
        <f>-IFERROR('4. NPV'!TKX23/'4. NPV'!TKX$8,0)</f>
        <v>-0.0</v>
      </c>
      <c r="TKX53" s="5">
        <f>-IFERROR('4. NPV'!TKY23/'4. NPV'!TKY$8,0)</f>
        <v>-0.0</v>
      </c>
      <c r="TKY53" s="5">
        <f>-IFERROR('4. NPV'!TKZ23/'4. NPV'!TKZ$8,0)</f>
        <v>-0.0</v>
      </c>
      <c r="TKZ53" s="5">
        <f>-IFERROR('4. NPV'!TLA23/'4. NPV'!TLA$8,0)</f>
        <v>-0.0</v>
      </c>
      <c r="TLA53" s="5">
        <f>-IFERROR('4. NPV'!TLB23/'4. NPV'!TLB$8,0)</f>
        <v>-0.0</v>
      </c>
      <c r="TLB53" s="5">
        <f>-IFERROR('4. NPV'!TLC23/'4. NPV'!TLC$8,0)</f>
        <v>-0.0</v>
      </c>
      <c r="TLC53" s="5">
        <f>-IFERROR('4. NPV'!TLD23/'4. NPV'!TLD$8,0)</f>
        <v>-0.0</v>
      </c>
      <c r="TLD53" s="5">
        <f>-IFERROR('4. NPV'!TLE23/'4. NPV'!TLE$8,0)</f>
        <v>-0.0</v>
      </c>
      <c r="TLE53" s="5">
        <f>-IFERROR('4. NPV'!TLF23/'4. NPV'!TLF$8,0)</f>
        <v>-0.0</v>
      </c>
      <c r="TLF53" s="5">
        <f>-IFERROR('4. NPV'!TLG23/'4. NPV'!TLG$8,0)</f>
        <v>-0.0</v>
      </c>
      <c r="TLG53" s="5">
        <f>-IFERROR('4. NPV'!TLH23/'4. NPV'!TLH$8,0)</f>
        <v>-0.0</v>
      </c>
      <c r="TLH53" s="5">
        <f>-IFERROR('4. NPV'!TLI23/'4. NPV'!TLI$8,0)</f>
        <v>-0.0</v>
      </c>
      <c r="TLI53" s="5">
        <f>-IFERROR('4. NPV'!TLJ23/'4. NPV'!TLJ$8,0)</f>
        <v>-0.0</v>
      </c>
      <c r="TLJ53" s="5">
        <f>-IFERROR('4. NPV'!TLK23/'4. NPV'!TLK$8,0)</f>
        <v>-0.0</v>
      </c>
      <c r="TLK53" s="5">
        <f>-IFERROR('4. NPV'!TLL23/'4. NPV'!TLL$8,0)</f>
        <v>-0.0</v>
      </c>
      <c r="TLL53" s="5">
        <f>-IFERROR('4. NPV'!TLM23/'4. NPV'!TLM$8,0)</f>
        <v>-0.0</v>
      </c>
      <c r="TLM53" s="5">
        <f>-IFERROR('4. NPV'!TLN23/'4. NPV'!TLN$8,0)</f>
        <v>-0.0</v>
      </c>
      <c r="TLN53" s="5">
        <f>-IFERROR('4. NPV'!TLO23/'4. NPV'!TLO$8,0)</f>
        <v>-0.0</v>
      </c>
      <c r="TLO53" s="5">
        <f>-IFERROR('4. NPV'!TLP23/'4. NPV'!TLP$8,0)</f>
        <v>-0.0</v>
      </c>
      <c r="TLP53" s="5">
        <f>-IFERROR('4. NPV'!TLQ23/'4. NPV'!TLQ$8,0)</f>
        <v>-0.0</v>
      </c>
      <c r="TLQ53" s="5">
        <f>-IFERROR('4. NPV'!TLR23/'4. NPV'!TLR$8,0)</f>
        <v>-0.0</v>
      </c>
      <c r="TLR53" s="5">
        <f>-IFERROR('4. NPV'!TLS23/'4. NPV'!TLS$8,0)</f>
        <v>-0.0</v>
      </c>
      <c r="TLS53" s="5">
        <f>-IFERROR('4. NPV'!TLT23/'4. NPV'!TLT$8,0)</f>
        <v>-0.0</v>
      </c>
      <c r="TLT53" s="5">
        <f>-IFERROR('4. NPV'!TLU23/'4. NPV'!TLU$8,0)</f>
        <v>-0.0</v>
      </c>
      <c r="TLU53" s="5">
        <f>-IFERROR('4. NPV'!TLV23/'4. NPV'!TLV$8,0)</f>
        <v>-0.0</v>
      </c>
      <c r="TLV53" s="5">
        <f>-IFERROR('4. NPV'!TLW23/'4. NPV'!TLW$8,0)</f>
        <v>-0.0</v>
      </c>
      <c r="TLW53" s="5">
        <f>-IFERROR('4. NPV'!TLX23/'4. NPV'!TLX$8,0)</f>
        <v>-0.0</v>
      </c>
      <c r="TLX53" s="5">
        <f>-IFERROR('4. NPV'!TLY23/'4. NPV'!TLY$8,0)</f>
        <v>-0.0</v>
      </c>
      <c r="TLY53" s="5">
        <f>-IFERROR('4. NPV'!TLZ23/'4. NPV'!TLZ$8,0)</f>
        <v>-0.0</v>
      </c>
      <c r="TLZ53" s="5">
        <f>-IFERROR('4. NPV'!TMA23/'4. NPV'!TMA$8,0)</f>
        <v>-0.0</v>
      </c>
      <c r="TMA53" s="5">
        <f>-IFERROR('4. NPV'!TMB23/'4. NPV'!TMB$8,0)</f>
        <v>-0.0</v>
      </c>
      <c r="TMB53" s="5">
        <f>-IFERROR('4. NPV'!TMC23/'4. NPV'!TMC$8,0)</f>
        <v>-0.0</v>
      </c>
      <c r="TMC53" s="5">
        <f>-IFERROR('4. NPV'!TMD23/'4. NPV'!TMD$8,0)</f>
        <v>-0.0</v>
      </c>
      <c r="TMD53" s="5">
        <f>-IFERROR('4. NPV'!TME23/'4. NPV'!TME$8,0)</f>
        <v>-0.0</v>
      </c>
      <c r="TME53" s="5">
        <f>-IFERROR('4. NPV'!TMF23/'4. NPV'!TMF$8,0)</f>
        <v>-0.0</v>
      </c>
      <c r="TMF53" s="5">
        <f>-IFERROR('4. NPV'!TMG23/'4. NPV'!TMG$8,0)</f>
        <v>-0.0</v>
      </c>
      <c r="TMG53" s="5">
        <f>-IFERROR('4. NPV'!TMH23/'4. NPV'!TMH$8,0)</f>
        <v>-0.0</v>
      </c>
      <c r="TMH53" s="5">
        <f>-IFERROR('4. NPV'!TMI23/'4. NPV'!TMI$8,0)</f>
        <v>-0.0</v>
      </c>
      <c r="TMI53" s="5">
        <f>-IFERROR('4. NPV'!TMJ23/'4. NPV'!TMJ$8,0)</f>
        <v>-0.0</v>
      </c>
      <c r="TMJ53" s="5">
        <f>-IFERROR('4. NPV'!TMK23/'4. NPV'!TMK$8,0)</f>
        <v>-0.0</v>
      </c>
      <c r="TMK53" s="5">
        <f>-IFERROR('4. NPV'!TML23/'4. NPV'!TML$8,0)</f>
        <v>-0.0</v>
      </c>
      <c r="TML53" s="5">
        <f>-IFERROR('4. NPV'!TMM23/'4. NPV'!TMM$8,0)</f>
        <v>-0.0</v>
      </c>
      <c r="TMM53" s="5">
        <f>-IFERROR('4. NPV'!TMN23/'4. NPV'!TMN$8,0)</f>
        <v>-0.0</v>
      </c>
      <c r="TMN53" s="5">
        <f>-IFERROR('4. NPV'!TMO23/'4. NPV'!TMO$8,0)</f>
        <v>-0.0</v>
      </c>
      <c r="TMO53" s="5">
        <f>-IFERROR('4. NPV'!TMP23/'4. NPV'!TMP$8,0)</f>
        <v>-0.0</v>
      </c>
      <c r="TMP53" s="5">
        <f>-IFERROR('4. NPV'!TMQ23/'4. NPV'!TMQ$8,0)</f>
        <v>-0.0</v>
      </c>
      <c r="TMQ53" s="5">
        <f>-IFERROR('4. NPV'!TMR23/'4. NPV'!TMR$8,0)</f>
        <v>-0.0</v>
      </c>
      <c r="TMR53" s="5">
        <f>-IFERROR('4. NPV'!TMS23/'4. NPV'!TMS$8,0)</f>
        <v>-0.0</v>
      </c>
      <c r="TMS53" s="5">
        <f>-IFERROR('4. NPV'!TMT23/'4. NPV'!TMT$8,0)</f>
        <v>-0.0</v>
      </c>
      <c r="TMT53" s="5">
        <f>-IFERROR('4. NPV'!TMU23/'4. NPV'!TMU$8,0)</f>
        <v>-0.0</v>
      </c>
      <c r="TMU53" s="5">
        <f>-IFERROR('4. NPV'!TMV23/'4. NPV'!TMV$8,0)</f>
        <v>-0.0</v>
      </c>
      <c r="TMV53" s="5">
        <f>-IFERROR('4. NPV'!TMW23/'4. NPV'!TMW$8,0)</f>
        <v>-0.0</v>
      </c>
      <c r="TMW53" s="5">
        <f>-IFERROR('4. NPV'!TMX23/'4. NPV'!TMX$8,0)</f>
        <v>-0.0</v>
      </c>
      <c r="TMX53" s="5">
        <f>-IFERROR('4. NPV'!TMY23/'4. NPV'!TMY$8,0)</f>
        <v>-0.0</v>
      </c>
      <c r="TMY53" s="5">
        <f>-IFERROR('4. NPV'!TMZ23/'4. NPV'!TMZ$8,0)</f>
        <v>-0.0</v>
      </c>
      <c r="TMZ53" s="5">
        <f>-IFERROR('4. NPV'!TNA23/'4. NPV'!TNA$8,0)</f>
        <v>-0.0</v>
      </c>
      <c r="TNA53" s="5">
        <f>-IFERROR('4. NPV'!TNB23/'4. NPV'!TNB$8,0)</f>
        <v>-0.0</v>
      </c>
      <c r="TNB53" s="5">
        <f>-IFERROR('4. NPV'!TNC23/'4. NPV'!TNC$8,0)</f>
        <v>-0.0</v>
      </c>
      <c r="TNC53" s="5">
        <f>-IFERROR('4. NPV'!TND23/'4. NPV'!TND$8,0)</f>
        <v>-0.0</v>
      </c>
      <c r="TND53" s="5">
        <f>-IFERROR('4. NPV'!TNE23/'4. NPV'!TNE$8,0)</f>
        <v>-0.0</v>
      </c>
      <c r="TNE53" s="5">
        <f>-IFERROR('4. NPV'!TNF23/'4. NPV'!TNF$8,0)</f>
        <v>-0.0</v>
      </c>
      <c r="TNF53" s="5">
        <f>-IFERROR('4. NPV'!TNG23/'4. NPV'!TNG$8,0)</f>
        <v>-0.0</v>
      </c>
      <c r="TNG53" s="5">
        <f>-IFERROR('4. NPV'!TNH23/'4. NPV'!TNH$8,0)</f>
        <v>-0.0</v>
      </c>
      <c r="TNH53" s="5">
        <f>-IFERROR('4. NPV'!TNI23/'4. NPV'!TNI$8,0)</f>
        <v>-0.0</v>
      </c>
      <c r="TNI53" s="5">
        <f>-IFERROR('4. NPV'!TNJ23/'4. NPV'!TNJ$8,0)</f>
        <v>-0.0</v>
      </c>
      <c r="TNJ53" s="5">
        <f>-IFERROR('4. NPV'!TNK23/'4. NPV'!TNK$8,0)</f>
        <v>-0.0</v>
      </c>
      <c r="TNK53" s="5">
        <f>-IFERROR('4. NPV'!TNL23/'4. NPV'!TNL$8,0)</f>
        <v>-0.0</v>
      </c>
      <c r="TNL53" s="5">
        <f>-IFERROR('4. NPV'!TNM23/'4. NPV'!TNM$8,0)</f>
        <v>-0.0</v>
      </c>
      <c r="TNM53" s="5">
        <f>-IFERROR('4. NPV'!TNN23/'4. NPV'!TNN$8,0)</f>
        <v>-0.0</v>
      </c>
      <c r="TNN53" s="5">
        <f>-IFERROR('4. NPV'!TNO23/'4. NPV'!TNO$8,0)</f>
        <v>-0.0</v>
      </c>
      <c r="TNO53" s="5">
        <f>-IFERROR('4. NPV'!TNP23/'4. NPV'!TNP$8,0)</f>
        <v>-0.0</v>
      </c>
      <c r="TNP53" s="5">
        <f>-IFERROR('4. NPV'!TNQ23/'4. NPV'!TNQ$8,0)</f>
        <v>-0.0</v>
      </c>
      <c r="TNQ53" s="5">
        <f>-IFERROR('4. NPV'!TNR23/'4. NPV'!TNR$8,0)</f>
        <v>-0.0</v>
      </c>
      <c r="TNR53" s="5">
        <f>-IFERROR('4. NPV'!TNS23/'4. NPV'!TNS$8,0)</f>
        <v>-0.0</v>
      </c>
      <c r="TNS53" s="5">
        <f>-IFERROR('4. NPV'!TNT23/'4. NPV'!TNT$8,0)</f>
        <v>-0.0</v>
      </c>
      <c r="TNT53" s="5">
        <f>-IFERROR('4. NPV'!TNU23/'4. NPV'!TNU$8,0)</f>
        <v>-0.0</v>
      </c>
      <c r="TNU53" s="5">
        <f>-IFERROR('4. NPV'!TNV23/'4. NPV'!TNV$8,0)</f>
        <v>-0.0</v>
      </c>
      <c r="TNV53" s="5">
        <f>-IFERROR('4. NPV'!TNW23/'4. NPV'!TNW$8,0)</f>
        <v>-0.0</v>
      </c>
      <c r="TNW53" s="5">
        <f>-IFERROR('4. NPV'!TNX23/'4. NPV'!TNX$8,0)</f>
        <v>-0.0</v>
      </c>
      <c r="TNX53" s="5">
        <f>-IFERROR('4. NPV'!TNY23/'4. NPV'!TNY$8,0)</f>
        <v>-0.0</v>
      </c>
      <c r="TNY53" s="5">
        <f>-IFERROR('4. NPV'!TNZ23/'4. NPV'!TNZ$8,0)</f>
        <v>-0.0</v>
      </c>
      <c r="TNZ53" s="5">
        <f>-IFERROR('4. NPV'!TOA23/'4. NPV'!TOA$8,0)</f>
        <v>-0.0</v>
      </c>
      <c r="TOA53" s="5">
        <f>-IFERROR('4. NPV'!TOB23/'4. NPV'!TOB$8,0)</f>
        <v>-0.0</v>
      </c>
      <c r="TOB53" s="5">
        <f>-IFERROR('4. NPV'!TOC23/'4. NPV'!TOC$8,0)</f>
        <v>-0.0</v>
      </c>
      <c r="TOC53" s="5">
        <f>-IFERROR('4. NPV'!TOD23/'4. NPV'!TOD$8,0)</f>
        <v>-0.0</v>
      </c>
      <c r="TOD53" s="5">
        <f>-IFERROR('4. NPV'!TOE23/'4. NPV'!TOE$8,0)</f>
        <v>-0.0</v>
      </c>
      <c r="TOE53" s="5">
        <f>-IFERROR('4. NPV'!TOF23/'4. NPV'!TOF$8,0)</f>
        <v>-0.0</v>
      </c>
      <c r="TOF53" s="5">
        <f>-IFERROR('4. NPV'!TOG23/'4. NPV'!TOG$8,0)</f>
        <v>-0.0</v>
      </c>
      <c r="TOG53" s="5">
        <f>-IFERROR('4. NPV'!TOH23/'4. NPV'!TOH$8,0)</f>
        <v>-0.0</v>
      </c>
      <c r="TOH53" s="5">
        <f>-IFERROR('4. NPV'!TOI23/'4. NPV'!TOI$8,0)</f>
        <v>-0.0</v>
      </c>
      <c r="TOI53" s="5">
        <f>-IFERROR('4. NPV'!TOJ23/'4. NPV'!TOJ$8,0)</f>
        <v>-0.0</v>
      </c>
      <c r="TOJ53" s="5">
        <f>-IFERROR('4. NPV'!TOK23/'4. NPV'!TOK$8,0)</f>
        <v>-0.0</v>
      </c>
      <c r="TOK53" s="5">
        <f>-IFERROR('4. NPV'!TOL23/'4. NPV'!TOL$8,0)</f>
        <v>-0.0</v>
      </c>
      <c r="TOL53" s="5">
        <f>-IFERROR('4. NPV'!TOM23/'4. NPV'!TOM$8,0)</f>
        <v>-0.0</v>
      </c>
      <c r="TOM53" s="5">
        <f>-IFERROR('4. NPV'!TON23/'4. NPV'!TON$8,0)</f>
        <v>-0.0</v>
      </c>
      <c r="TON53" s="5">
        <f>-IFERROR('4. NPV'!TOO23/'4. NPV'!TOO$8,0)</f>
        <v>-0.0</v>
      </c>
      <c r="TOO53" s="5">
        <f>-IFERROR('4. NPV'!TOP23/'4. NPV'!TOP$8,0)</f>
        <v>-0.0</v>
      </c>
      <c r="TOP53" s="5">
        <f>-IFERROR('4. NPV'!TOQ23/'4. NPV'!TOQ$8,0)</f>
        <v>-0.0</v>
      </c>
      <c r="TOQ53" s="5">
        <f>-IFERROR('4. NPV'!TOR23/'4. NPV'!TOR$8,0)</f>
        <v>-0.0</v>
      </c>
      <c r="TOR53" s="5">
        <f>-IFERROR('4. NPV'!TOS23/'4. NPV'!TOS$8,0)</f>
        <v>-0.0</v>
      </c>
      <c r="TOS53" s="5">
        <f>-IFERROR('4. NPV'!TOT23/'4. NPV'!TOT$8,0)</f>
        <v>-0.0</v>
      </c>
      <c r="TOT53" s="5">
        <f>-IFERROR('4. NPV'!TOU23/'4. NPV'!TOU$8,0)</f>
        <v>-0.0</v>
      </c>
      <c r="TOU53" s="5">
        <f>-IFERROR('4. NPV'!TOV23/'4. NPV'!TOV$8,0)</f>
        <v>-0.0</v>
      </c>
      <c r="TOV53" s="5">
        <f>-IFERROR('4. NPV'!TOW23/'4. NPV'!TOW$8,0)</f>
        <v>-0.0</v>
      </c>
      <c r="TOW53" s="5">
        <f>-IFERROR('4. NPV'!TOX23/'4. NPV'!TOX$8,0)</f>
        <v>-0.0</v>
      </c>
      <c r="TOX53" s="5">
        <f>-IFERROR('4. NPV'!TOY23/'4. NPV'!TOY$8,0)</f>
        <v>-0.0</v>
      </c>
      <c r="TOY53" s="5">
        <f>-IFERROR('4. NPV'!TOZ23/'4. NPV'!TOZ$8,0)</f>
        <v>-0.0</v>
      </c>
      <c r="TOZ53" s="5">
        <f>-IFERROR('4. NPV'!TPA23/'4. NPV'!TPA$8,0)</f>
        <v>-0.0</v>
      </c>
      <c r="TPA53" s="5">
        <f>-IFERROR('4. NPV'!TPB23/'4. NPV'!TPB$8,0)</f>
        <v>-0.0</v>
      </c>
      <c r="TPB53" s="5">
        <f>-IFERROR('4. NPV'!TPC23/'4. NPV'!TPC$8,0)</f>
        <v>-0.0</v>
      </c>
      <c r="TPC53" s="5">
        <f>-IFERROR('4. NPV'!TPD23/'4. NPV'!TPD$8,0)</f>
        <v>-0.0</v>
      </c>
      <c r="TPD53" s="5">
        <f>-IFERROR('4. NPV'!TPE23/'4. NPV'!TPE$8,0)</f>
        <v>-0.0</v>
      </c>
      <c r="TPE53" s="5">
        <f>-IFERROR('4. NPV'!TPF23/'4. NPV'!TPF$8,0)</f>
        <v>-0.0</v>
      </c>
      <c r="TPF53" s="5">
        <f>-IFERROR('4. NPV'!TPG23/'4. NPV'!TPG$8,0)</f>
        <v>-0.0</v>
      </c>
      <c r="TPG53" s="5">
        <f>-IFERROR('4. NPV'!TPH23/'4. NPV'!TPH$8,0)</f>
        <v>-0.0</v>
      </c>
      <c r="TPH53" s="5">
        <f>-IFERROR('4. NPV'!TPI23/'4. NPV'!TPI$8,0)</f>
        <v>-0.0</v>
      </c>
      <c r="TPI53" s="5">
        <f>-IFERROR('4. NPV'!TPJ23/'4. NPV'!TPJ$8,0)</f>
        <v>-0.0</v>
      </c>
      <c r="TPJ53" s="5">
        <f>-IFERROR('4. NPV'!TPK23/'4. NPV'!TPK$8,0)</f>
        <v>-0.0</v>
      </c>
      <c r="TPK53" s="5">
        <f>-IFERROR('4. NPV'!TPL23/'4. NPV'!TPL$8,0)</f>
        <v>-0.0</v>
      </c>
      <c r="TPL53" s="5">
        <f>-IFERROR('4. NPV'!TPM23/'4. NPV'!TPM$8,0)</f>
        <v>-0.0</v>
      </c>
      <c r="TPM53" s="5">
        <f>-IFERROR('4. NPV'!TPN23/'4. NPV'!TPN$8,0)</f>
        <v>-0.0</v>
      </c>
      <c r="TPN53" s="5">
        <f>-IFERROR('4. NPV'!TPO23/'4. NPV'!TPO$8,0)</f>
        <v>-0.0</v>
      </c>
      <c r="TPO53" s="5">
        <f>-IFERROR('4. NPV'!TPP23/'4. NPV'!TPP$8,0)</f>
        <v>-0.0</v>
      </c>
      <c r="TPP53" s="5">
        <f>-IFERROR('4. NPV'!TPQ23/'4. NPV'!TPQ$8,0)</f>
        <v>-0.0</v>
      </c>
      <c r="TPQ53" s="5">
        <f>-IFERROR('4. NPV'!TPR23/'4. NPV'!TPR$8,0)</f>
        <v>-0.0</v>
      </c>
      <c r="TPR53" s="5">
        <f>-IFERROR('4. NPV'!TPS23/'4. NPV'!TPS$8,0)</f>
        <v>-0.0</v>
      </c>
      <c r="TPS53" s="5">
        <f>-IFERROR('4. NPV'!TPT23/'4. NPV'!TPT$8,0)</f>
        <v>-0.0</v>
      </c>
      <c r="TPT53" s="5">
        <f>-IFERROR('4. NPV'!TPU23/'4. NPV'!TPU$8,0)</f>
        <v>-0.0</v>
      </c>
      <c r="TPU53" s="5">
        <f>-IFERROR('4. NPV'!TPV23/'4. NPV'!TPV$8,0)</f>
        <v>-0.0</v>
      </c>
      <c r="TPV53" s="5">
        <f>-IFERROR('4. NPV'!TPW23/'4. NPV'!TPW$8,0)</f>
        <v>-0.0</v>
      </c>
      <c r="TPW53" s="5">
        <f>-IFERROR('4. NPV'!TPX23/'4. NPV'!TPX$8,0)</f>
        <v>-0.0</v>
      </c>
      <c r="TPX53" s="5">
        <f>-IFERROR('4. NPV'!TPY23/'4. NPV'!TPY$8,0)</f>
        <v>-0.0</v>
      </c>
      <c r="TPY53" s="5">
        <f>-IFERROR('4. NPV'!TPZ23/'4. NPV'!TPZ$8,0)</f>
        <v>-0.0</v>
      </c>
      <c r="TPZ53" s="5">
        <f>-IFERROR('4. NPV'!TQA23/'4. NPV'!TQA$8,0)</f>
        <v>-0.0</v>
      </c>
      <c r="TQA53" s="5">
        <f>-IFERROR('4. NPV'!TQB23/'4. NPV'!TQB$8,0)</f>
        <v>-0.0</v>
      </c>
      <c r="TQB53" s="5">
        <f>-IFERROR('4. NPV'!TQC23/'4. NPV'!TQC$8,0)</f>
        <v>-0.0</v>
      </c>
      <c r="TQC53" s="5">
        <f>-IFERROR('4. NPV'!TQD23/'4. NPV'!TQD$8,0)</f>
        <v>-0.0</v>
      </c>
      <c r="TQD53" s="5">
        <f>-IFERROR('4. NPV'!TQE23/'4. NPV'!TQE$8,0)</f>
        <v>-0.0</v>
      </c>
      <c r="TQE53" s="5">
        <f>-IFERROR('4. NPV'!TQF23/'4. NPV'!TQF$8,0)</f>
        <v>-0.0</v>
      </c>
      <c r="TQF53" s="5">
        <f>-IFERROR('4. NPV'!TQG23/'4. NPV'!TQG$8,0)</f>
        <v>-0.0</v>
      </c>
      <c r="TQG53" s="5">
        <f>-IFERROR('4. NPV'!TQH23/'4. NPV'!TQH$8,0)</f>
        <v>-0.0</v>
      </c>
      <c r="TQH53" s="5">
        <f>-IFERROR('4. NPV'!TQI23/'4. NPV'!TQI$8,0)</f>
        <v>-0.0</v>
      </c>
      <c r="TQI53" s="5">
        <f>-IFERROR('4. NPV'!TQJ23/'4. NPV'!TQJ$8,0)</f>
        <v>-0.0</v>
      </c>
      <c r="TQJ53" s="5">
        <f>-IFERROR('4. NPV'!TQK23/'4. NPV'!TQK$8,0)</f>
        <v>-0.0</v>
      </c>
      <c r="TQK53" s="5">
        <f>-IFERROR('4. NPV'!TQL23/'4. NPV'!TQL$8,0)</f>
        <v>-0.0</v>
      </c>
      <c r="TQL53" s="5">
        <f>-IFERROR('4. NPV'!TQM23/'4. NPV'!TQM$8,0)</f>
        <v>-0.0</v>
      </c>
      <c r="TQM53" s="5">
        <f>-IFERROR('4. NPV'!TQN23/'4. NPV'!TQN$8,0)</f>
        <v>-0.0</v>
      </c>
      <c r="TQN53" s="5">
        <f>-IFERROR('4. NPV'!TQO23/'4. NPV'!TQO$8,0)</f>
        <v>-0.0</v>
      </c>
      <c r="TQO53" s="5">
        <f>-IFERROR('4. NPV'!TQP23/'4. NPV'!TQP$8,0)</f>
        <v>-0.0</v>
      </c>
      <c r="TQP53" s="5">
        <f>-IFERROR('4. NPV'!TQQ23/'4. NPV'!TQQ$8,0)</f>
        <v>-0.0</v>
      </c>
      <c r="TQQ53" s="5">
        <f>-IFERROR('4. NPV'!TQR23/'4. NPV'!TQR$8,0)</f>
        <v>-0.0</v>
      </c>
      <c r="TQR53" s="5">
        <f>-IFERROR('4. NPV'!TQS23/'4. NPV'!TQS$8,0)</f>
        <v>-0.0</v>
      </c>
      <c r="TQS53" s="5">
        <f>-IFERROR('4. NPV'!TQT23/'4. NPV'!TQT$8,0)</f>
        <v>-0.0</v>
      </c>
      <c r="TQT53" s="5">
        <f>-IFERROR('4. NPV'!TQU23/'4. NPV'!TQU$8,0)</f>
        <v>-0.0</v>
      </c>
      <c r="TQU53" s="5">
        <f>-IFERROR('4. NPV'!TQV23/'4. NPV'!TQV$8,0)</f>
        <v>-0.0</v>
      </c>
      <c r="TQV53" s="5">
        <f>-IFERROR('4. NPV'!TQW23/'4. NPV'!TQW$8,0)</f>
        <v>-0.0</v>
      </c>
      <c r="TQW53" s="5">
        <f>-IFERROR('4. NPV'!TQX23/'4. NPV'!TQX$8,0)</f>
        <v>-0.0</v>
      </c>
      <c r="TQX53" s="5">
        <f>-IFERROR('4. NPV'!TQY23/'4. NPV'!TQY$8,0)</f>
        <v>-0.0</v>
      </c>
      <c r="TQY53" s="5">
        <f>-IFERROR('4. NPV'!TQZ23/'4. NPV'!TQZ$8,0)</f>
        <v>-0.0</v>
      </c>
      <c r="TQZ53" s="5">
        <f>-IFERROR('4. NPV'!TRA23/'4. NPV'!TRA$8,0)</f>
        <v>-0.0</v>
      </c>
      <c r="TRA53" s="5">
        <f>-IFERROR('4. NPV'!TRB23/'4. NPV'!TRB$8,0)</f>
        <v>-0.0</v>
      </c>
      <c r="TRB53" s="5">
        <f>-IFERROR('4. NPV'!TRC23/'4. NPV'!TRC$8,0)</f>
        <v>-0.0</v>
      </c>
      <c r="TRC53" s="5">
        <f>-IFERROR('4. NPV'!TRD23/'4. NPV'!TRD$8,0)</f>
        <v>-0.0</v>
      </c>
      <c r="TRD53" s="5">
        <f>-IFERROR('4. NPV'!TRE23/'4. NPV'!TRE$8,0)</f>
        <v>-0.0</v>
      </c>
      <c r="TRE53" s="5">
        <f>-IFERROR('4. NPV'!TRF23/'4. NPV'!TRF$8,0)</f>
        <v>-0.0</v>
      </c>
      <c r="TRF53" s="5">
        <f>-IFERROR('4. NPV'!TRG23/'4. NPV'!TRG$8,0)</f>
        <v>-0.0</v>
      </c>
      <c r="TRG53" s="5">
        <f>-IFERROR('4. NPV'!TRH23/'4. NPV'!TRH$8,0)</f>
        <v>-0.0</v>
      </c>
      <c r="TRH53" s="5">
        <f>-IFERROR('4. NPV'!TRI23/'4. NPV'!TRI$8,0)</f>
        <v>-0.0</v>
      </c>
      <c r="TRI53" s="5">
        <f>-IFERROR('4. NPV'!TRJ23/'4. NPV'!TRJ$8,0)</f>
        <v>-0.0</v>
      </c>
      <c r="TRJ53" s="5">
        <f>-IFERROR('4. NPV'!TRK23/'4. NPV'!TRK$8,0)</f>
        <v>-0.0</v>
      </c>
      <c r="TRK53" s="5">
        <f>-IFERROR('4. NPV'!TRL23/'4. NPV'!TRL$8,0)</f>
        <v>-0.0</v>
      </c>
      <c r="TRL53" s="5">
        <f>-IFERROR('4. NPV'!TRM23/'4. NPV'!TRM$8,0)</f>
        <v>-0.0</v>
      </c>
      <c r="TRM53" s="5">
        <f>-IFERROR('4. NPV'!TRN23/'4. NPV'!TRN$8,0)</f>
        <v>-0.0</v>
      </c>
      <c r="TRN53" s="5">
        <f>-IFERROR('4. NPV'!TRO23/'4. NPV'!TRO$8,0)</f>
        <v>-0.0</v>
      </c>
      <c r="TRO53" s="5">
        <f>-IFERROR('4. NPV'!TRP23/'4. NPV'!TRP$8,0)</f>
        <v>-0.0</v>
      </c>
      <c r="TRP53" s="5">
        <f>-IFERROR('4. NPV'!TRQ23/'4. NPV'!TRQ$8,0)</f>
        <v>-0.0</v>
      </c>
      <c r="TRQ53" s="5">
        <f>-IFERROR('4. NPV'!TRR23/'4. NPV'!TRR$8,0)</f>
        <v>-0.0</v>
      </c>
      <c r="TRR53" s="5">
        <f>-IFERROR('4. NPV'!TRS23/'4. NPV'!TRS$8,0)</f>
        <v>-0.0</v>
      </c>
      <c r="TRS53" s="5">
        <f>-IFERROR('4. NPV'!TRT23/'4. NPV'!TRT$8,0)</f>
        <v>-0.0</v>
      </c>
      <c r="TRT53" s="5">
        <f>-IFERROR('4. NPV'!TRU23/'4. NPV'!TRU$8,0)</f>
        <v>-0.0</v>
      </c>
      <c r="TRU53" s="5">
        <f>-IFERROR('4. NPV'!TRV23/'4. NPV'!TRV$8,0)</f>
        <v>-0.0</v>
      </c>
      <c r="TRV53" s="5">
        <f>-IFERROR('4. NPV'!TRW23/'4. NPV'!TRW$8,0)</f>
        <v>-0.0</v>
      </c>
      <c r="TRW53" s="5">
        <f>-IFERROR('4. NPV'!TRX23/'4. NPV'!TRX$8,0)</f>
        <v>-0.0</v>
      </c>
      <c r="TRX53" s="5">
        <f>-IFERROR('4. NPV'!TRY23/'4. NPV'!TRY$8,0)</f>
        <v>-0.0</v>
      </c>
      <c r="TRY53" s="5">
        <f>-IFERROR('4. NPV'!TRZ23/'4. NPV'!TRZ$8,0)</f>
        <v>-0.0</v>
      </c>
      <c r="TRZ53" s="5">
        <f>-IFERROR('4. NPV'!TSA23/'4. NPV'!TSA$8,0)</f>
        <v>-0.0</v>
      </c>
      <c r="TSA53" s="5">
        <f>-IFERROR('4. NPV'!TSB23/'4. NPV'!TSB$8,0)</f>
        <v>-0.0</v>
      </c>
      <c r="TSB53" s="5">
        <f>-IFERROR('4. NPV'!TSC23/'4. NPV'!TSC$8,0)</f>
        <v>-0.0</v>
      </c>
      <c r="TSC53" s="5">
        <f>-IFERROR('4. NPV'!TSD23/'4. NPV'!TSD$8,0)</f>
        <v>-0.0</v>
      </c>
      <c r="TSD53" s="5">
        <f>-IFERROR('4. NPV'!TSE23/'4. NPV'!TSE$8,0)</f>
        <v>-0.0</v>
      </c>
      <c r="TSE53" s="5">
        <f>-IFERROR('4. NPV'!TSF23/'4. NPV'!TSF$8,0)</f>
        <v>-0.0</v>
      </c>
      <c r="TSF53" s="5">
        <f>-IFERROR('4. NPV'!TSG23/'4. NPV'!TSG$8,0)</f>
        <v>-0.0</v>
      </c>
      <c r="TSG53" s="5">
        <f>-IFERROR('4. NPV'!TSH23/'4. NPV'!TSH$8,0)</f>
        <v>-0.0</v>
      </c>
      <c r="TSH53" s="5">
        <f>-IFERROR('4. NPV'!TSI23/'4. NPV'!TSI$8,0)</f>
        <v>-0.0</v>
      </c>
      <c r="TSI53" s="5">
        <f>-IFERROR('4. NPV'!TSJ23/'4. NPV'!TSJ$8,0)</f>
        <v>-0.0</v>
      </c>
      <c r="TSJ53" s="5">
        <f>-IFERROR('4. NPV'!TSK23/'4. NPV'!TSK$8,0)</f>
        <v>-0.0</v>
      </c>
      <c r="TSK53" s="5">
        <f>-IFERROR('4. NPV'!TSL23/'4. NPV'!TSL$8,0)</f>
        <v>-0.0</v>
      </c>
      <c r="TSL53" s="5">
        <f>-IFERROR('4. NPV'!TSM23/'4. NPV'!TSM$8,0)</f>
        <v>-0.0</v>
      </c>
      <c r="TSM53" s="5">
        <f>-IFERROR('4. NPV'!TSN23/'4. NPV'!TSN$8,0)</f>
        <v>-0.0</v>
      </c>
      <c r="TSN53" s="5">
        <f>-IFERROR('4. NPV'!TSO23/'4. NPV'!TSO$8,0)</f>
        <v>-0.0</v>
      </c>
      <c r="TSO53" s="5">
        <f>-IFERROR('4. NPV'!TSP23/'4. NPV'!TSP$8,0)</f>
        <v>-0.0</v>
      </c>
      <c r="TSP53" s="5">
        <f>-IFERROR('4. NPV'!TSQ23/'4. NPV'!TSQ$8,0)</f>
        <v>-0.0</v>
      </c>
      <c r="TSQ53" s="5">
        <f>-IFERROR('4. NPV'!TSR23/'4. NPV'!TSR$8,0)</f>
        <v>-0.0</v>
      </c>
      <c r="TSR53" s="5">
        <f>-IFERROR('4. NPV'!TSS23/'4. NPV'!TSS$8,0)</f>
        <v>-0.0</v>
      </c>
      <c r="TSS53" s="5">
        <f>-IFERROR('4. NPV'!TST23/'4. NPV'!TST$8,0)</f>
        <v>-0.0</v>
      </c>
      <c r="TST53" s="5">
        <f>-IFERROR('4. NPV'!TSU23/'4. NPV'!TSU$8,0)</f>
        <v>-0.0</v>
      </c>
      <c r="TSU53" s="5">
        <f>-IFERROR('4. NPV'!TSV23/'4. NPV'!TSV$8,0)</f>
        <v>-0.0</v>
      </c>
      <c r="TSV53" s="5">
        <f>-IFERROR('4. NPV'!TSW23/'4. NPV'!TSW$8,0)</f>
        <v>-0.0</v>
      </c>
      <c r="TSW53" s="5">
        <f>-IFERROR('4. NPV'!TSX23/'4. NPV'!TSX$8,0)</f>
        <v>-0.0</v>
      </c>
      <c r="TSX53" s="5">
        <f>-IFERROR('4. NPV'!TSY23/'4. NPV'!TSY$8,0)</f>
        <v>-0.0</v>
      </c>
      <c r="TSY53" s="5">
        <f>-IFERROR('4. NPV'!TSZ23/'4. NPV'!TSZ$8,0)</f>
        <v>-0.0</v>
      </c>
      <c r="TSZ53" s="5">
        <f>-IFERROR('4. NPV'!TTA23/'4. NPV'!TTA$8,0)</f>
        <v>-0.0</v>
      </c>
      <c r="TTA53" s="5">
        <f>-IFERROR('4. NPV'!TTB23/'4. NPV'!TTB$8,0)</f>
        <v>-0.0</v>
      </c>
      <c r="TTB53" s="5">
        <f>-IFERROR('4. NPV'!TTC23/'4. NPV'!TTC$8,0)</f>
        <v>-0.0</v>
      </c>
      <c r="TTC53" s="5">
        <f>-IFERROR('4. NPV'!TTD23/'4. NPV'!TTD$8,0)</f>
        <v>-0.0</v>
      </c>
      <c r="TTD53" s="5">
        <f>-IFERROR('4. NPV'!TTE23/'4. NPV'!TTE$8,0)</f>
        <v>-0.0</v>
      </c>
      <c r="TTE53" s="5">
        <f>-IFERROR('4. NPV'!TTF23/'4. NPV'!TTF$8,0)</f>
        <v>-0.0</v>
      </c>
      <c r="TTF53" s="5">
        <f>-IFERROR('4. NPV'!TTG23/'4. NPV'!TTG$8,0)</f>
        <v>-0.0</v>
      </c>
      <c r="TTG53" s="5">
        <f>-IFERROR('4. NPV'!TTH23/'4. NPV'!TTH$8,0)</f>
        <v>-0.0</v>
      </c>
      <c r="TTH53" s="5">
        <f>-IFERROR('4. NPV'!TTI23/'4. NPV'!TTI$8,0)</f>
        <v>-0.0</v>
      </c>
      <c r="TTI53" s="5">
        <f>-IFERROR('4. NPV'!TTJ23/'4. NPV'!TTJ$8,0)</f>
        <v>-0.0</v>
      </c>
      <c r="TTJ53" s="5">
        <f>-IFERROR('4. NPV'!TTK23/'4. NPV'!TTK$8,0)</f>
        <v>-0.0</v>
      </c>
      <c r="TTK53" s="5">
        <f>-IFERROR('4. NPV'!TTL23/'4. NPV'!TTL$8,0)</f>
        <v>-0.0</v>
      </c>
      <c r="TTL53" s="5">
        <f>-IFERROR('4. NPV'!TTM23/'4. NPV'!TTM$8,0)</f>
        <v>-0.0</v>
      </c>
      <c r="TTM53" s="5">
        <f>-IFERROR('4. NPV'!TTN23/'4. NPV'!TTN$8,0)</f>
        <v>-0.0</v>
      </c>
      <c r="TTN53" s="5">
        <f>-IFERROR('4. NPV'!TTO23/'4. NPV'!TTO$8,0)</f>
        <v>-0.0</v>
      </c>
      <c r="TTO53" s="5">
        <f>-IFERROR('4. NPV'!TTP23/'4. NPV'!TTP$8,0)</f>
        <v>-0.0</v>
      </c>
      <c r="TTP53" s="5">
        <f>-IFERROR('4. NPV'!TTQ23/'4. NPV'!TTQ$8,0)</f>
        <v>-0.0</v>
      </c>
      <c r="TTQ53" s="5">
        <f>-IFERROR('4. NPV'!TTR23/'4. NPV'!TTR$8,0)</f>
        <v>-0.0</v>
      </c>
      <c r="TTR53" s="5">
        <f>-IFERROR('4. NPV'!TTS23/'4. NPV'!TTS$8,0)</f>
        <v>-0.0</v>
      </c>
      <c r="TTS53" s="5">
        <f>-IFERROR('4. NPV'!TTT23/'4. NPV'!TTT$8,0)</f>
        <v>-0.0</v>
      </c>
      <c r="TTT53" s="5">
        <f>-IFERROR('4. NPV'!TTU23/'4. NPV'!TTU$8,0)</f>
        <v>-0.0</v>
      </c>
      <c r="TTU53" s="5">
        <f>-IFERROR('4. NPV'!TTV23/'4. NPV'!TTV$8,0)</f>
        <v>-0.0</v>
      </c>
      <c r="TTV53" s="5">
        <f>-IFERROR('4. NPV'!TTW23/'4. NPV'!TTW$8,0)</f>
        <v>-0.0</v>
      </c>
      <c r="TTW53" s="5">
        <f>-IFERROR('4. NPV'!TTX23/'4. NPV'!TTX$8,0)</f>
        <v>-0.0</v>
      </c>
      <c r="TTX53" s="5">
        <f>-IFERROR('4. NPV'!TTY23/'4. NPV'!TTY$8,0)</f>
        <v>-0.0</v>
      </c>
      <c r="TTY53" s="5">
        <f>-IFERROR('4. NPV'!TTZ23/'4. NPV'!TTZ$8,0)</f>
        <v>-0.0</v>
      </c>
      <c r="TTZ53" s="5">
        <f>-IFERROR('4. NPV'!TUA23/'4. NPV'!TUA$8,0)</f>
        <v>-0.0</v>
      </c>
      <c r="TUA53" s="5">
        <f>-IFERROR('4. NPV'!TUB23/'4. NPV'!TUB$8,0)</f>
        <v>-0.0</v>
      </c>
      <c r="TUB53" s="5">
        <f>-IFERROR('4. NPV'!TUC23/'4. NPV'!TUC$8,0)</f>
        <v>-0.0</v>
      </c>
      <c r="TUC53" s="5">
        <f>-IFERROR('4. NPV'!TUD23/'4. NPV'!TUD$8,0)</f>
        <v>-0.0</v>
      </c>
      <c r="TUD53" s="5">
        <f>-IFERROR('4. NPV'!TUE23/'4. NPV'!TUE$8,0)</f>
        <v>-0.0</v>
      </c>
      <c r="TUE53" s="5">
        <f>-IFERROR('4. NPV'!TUF23/'4. NPV'!TUF$8,0)</f>
        <v>-0.0</v>
      </c>
      <c r="TUF53" s="5">
        <f>-IFERROR('4. NPV'!TUG23/'4. NPV'!TUG$8,0)</f>
        <v>-0.0</v>
      </c>
      <c r="TUG53" s="5">
        <f>-IFERROR('4. NPV'!TUH23/'4. NPV'!TUH$8,0)</f>
        <v>-0.0</v>
      </c>
      <c r="TUH53" s="5">
        <f>-IFERROR('4. NPV'!TUI23/'4. NPV'!TUI$8,0)</f>
        <v>-0.0</v>
      </c>
      <c r="TUI53" s="5">
        <f>-IFERROR('4. NPV'!TUJ23/'4. NPV'!TUJ$8,0)</f>
        <v>-0.0</v>
      </c>
      <c r="TUJ53" s="5">
        <f>-IFERROR('4. NPV'!TUK23/'4. NPV'!TUK$8,0)</f>
        <v>-0.0</v>
      </c>
      <c r="TUK53" s="5">
        <f>-IFERROR('4. NPV'!TUL23/'4. NPV'!TUL$8,0)</f>
        <v>-0.0</v>
      </c>
      <c r="TUL53" s="5">
        <f>-IFERROR('4. NPV'!TUM23/'4. NPV'!TUM$8,0)</f>
        <v>-0.0</v>
      </c>
      <c r="TUM53" s="5">
        <f>-IFERROR('4. NPV'!TUN23/'4. NPV'!TUN$8,0)</f>
        <v>-0.0</v>
      </c>
      <c r="TUN53" s="5">
        <f>-IFERROR('4. NPV'!TUO23/'4. NPV'!TUO$8,0)</f>
        <v>-0.0</v>
      </c>
      <c r="TUO53" s="5">
        <f>-IFERROR('4. NPV'!TUP23/'4. NPV'!TUP$8,0)</f>
        <v>-0.0</v>
      </c>
      <c r="TUP53" s="5">
        <f>-IFERROR('4. NPV'!TUQ23/'4. NPV'!TUQ$8,0)</f>
        <v>-0.0</v>
      </c>
      <c r="TUQ53" s="5">
        <f>-IFERROR('4. NPV'!TUR23/'4. NPV'!TUR$8,0)</f>
        <v>-0.0</v>
      </c>
      <c r="TUR53" s="5">
        <f>-IFERROR('4. NPV'!TUS23/'4. NPV'!TUS$8,0)</f>
        <v>-0.0</v>
      </c>
      <c r="TUS53" s="5">
        <f>-IFERROR('4. NPV'!TUT23/'4. NPV'!TUT$8,0)</f>
        <v>-0.0</v>
      </c>
      <c r="TUT53" s="5">
        <f>-IFERROR('4. NPV'!TUU23/'4. NPV'!TUU$8,0)</f>
        <v>-0.0</v>
      </c>
      <c r="TUU53" s="5">
        <f>-IFERROR('4. NPV'!TUV23/'4. NPV'!TUV$8,0)</f>
        <v>-0.0</v>
      </c>
      <c r="TUV53" s="5">
        <f>-IFERROR('4. NPV'!TUW23/'4. NPV'!TUW$8,0)</f>
        <v>-0.0</v>
      </c>
      <c r="TUW53" s="5">
        <f>-IFERROR('4. NPV'!TUX23/'4. NPV'!TUX$8,0)</f>
        <v>-0.0</v>
      </c>
      <c r="TUX53" s="5">
        <f>-IFERROR('4. NPV'!TUY23/'4. NPV'!TUY$8,0)</f>
        <v>-0.0</v>
      </c>
      <c r="TUY53" s="5">
        <f>-IFERROR('4. NPV'!TUZ23/'4. NPV'!TUZ$8,0)</f>
        <v>-0.0</v>
      </c>
      <c r="TUZ53" s="5">
        <f>-IFERROR('4. NPV'!TVA23/'4. NPV'!TVA$8,0)</f>
        <v>-0.0</v>
      </c>
      <c r="TVA53" s="5">
        <f>-IFERROR('4. NPV'!TVB23/'4. NPV'!TVB$8,0)</f>
        <v>-0.0</v>
      </c>
      <c r="TVB53" s="5">
        <f>-IFERROR('4. NPV'!TVC23/'4. NPV'!TVC$8,0)</f>
        <v>-0.0</v>
      </c>
      <c r="TVC53" s="5">
        <f>-IFERROR('4. NPV'!TVD23/'4. NPV'!TVD$8,0)</f>
        <v>-0.0</v>
      </c>
      <c r="TVD53" s="5">
        <f>-IFERROR('4. NPV'!TVE23/'4. NPV'!TVE$8,0)</f>
        <v>-0.0</v>
      </c>
      <c r="TVE53" s="5">
        <f>-IFERROR('4. NPV'!TVF23/'4. NPV'!TVF$8,0)</f>
        <v>-0.0</v>
      </c>
      <c r="TVF53" s="5">
        <f>-IFERROR('4. NPV'!TVG23/'4. NPV'!TVG$8,0)</f>
        <v>-0.0</v>
      </c>
      <c r="TVG53" s="5">
        <f>-IFERROR('4. NPV'!TVH23/'4. NPV'!TVH$8,0)</f>
        <v>-0.0</v>
      </c>
      <c r="TVH53" s="5">
        <f>-IFERROR('4. NPV'!TVI23/'4. NPV'!TVI$8,0)</f>
        <v>-0.0</v>
      </c>
      <c r="TVI53" s="5">
        <f>-IFERROR('4. NPV'!TVJ23/'4. NPV'!TVJ$8,0)</f>
        <v>-0.0</v>
      </c>
      <c r="TVJ53" s="5">
        <f>-IFERROR('4. NPV'!TVK23/'4. NPV'!TVK$8,0)</f>
        <v>-0.0</v>
      </c>
      <c r="TVK53" s="5">
        <f>-IFERROR('4. NPV'!TVL23/'4. NPV'!TVL$8,0)</f>
        <v>-0.0</v>
      </c>
      <c r="TVL53" s="5">
        <f>-IFERROR('4. NPV'!TVM23/'4. NPV'!TVM$8,0)</f>
        <v>-0.0</v>
      </c>
      <c r="TVM53" s="5">
        <f>-IFERROR('4. NPV'!TVN23/'4. NPV'!TVN$8,0)</f>
        <v>-0.0</v>
      </c>
      <c r="TVN53" s="5">
        <f>-IFERROR('4. NPV'!TVO23/'4. NPV'!TVO$8,0)</f>
        <v>-0.0</v>
      </c>
      <c r="TVO53" s="5">
        <f>-IFERROR('4. NPV'!TVP23/'4. NPV'!TVP$8,0)</f>
        <v>-0.0</v>
      </c>
      <c r="TVP53" s="5">
        <f>-IFERROR('4. NPV'!TVQ23/'4. NPV'!TVQ$8,0)</f>
        <v>-0.0</v>
      </c>
      <c r="TVQ53" s="5">
        <f>-IFERROR('4. NPV'!TVR23/'4. NPV'!TVR$8,0)</f>
        <v>-0.0</v>
      </c>
      <c r="TVR53" s="5">
        <f>-IFERROR('4. NPV'!TVS23/'4. NPV'!TVS$8,0)</f>
        <v>-0.0</v>
      </c>
      <c r="TVS53" s="5">
        <f>-IFERROR('4. NPV'!TVT23/'4. NPV'!TVT$8,0)</f>
        <v>-0.0</v>
      </c>
      <c r="TVT53" s="5">
        <f>-IFERROR('4. NPV'!TVU23/'4. NPV'!TVU$8,0)</f>
        <v>-0.0</v>
      </c>
      <c r="TVU53" s="5">
        <f>-IFERROR('4. NPV'!TVV23/'4. NPV'!TVV$8,0)</f>
        <v>-0.0</v>
      </c>
      <c r="TVV53" s="5">
        <f>-IFERROR('4. NPV'!TVW23/'4. NPV'!TVW$8,0)</f>
        <v>-0.0</v>
      </c>
      <c r="TVW53" s="5">
        <f>-IFERROR('4. NPV'!TVX23/'4. NPV'!TVX$8,0)</f>
        <v>-0.0</v>
      </c>
      <c r="TVX53" s="5">
        <f>-IFERROR('4. NPV'!TVY23/'4. NPV'!TVY$8,0)</f>
        <v>-0.0</v>
      </c>
      <c r="TVY53" s="5">
        <f>-IFERROR('4. NPV'!TVZ23/'4. NPV'!TVZ$8,0)</f>
        <v>-0.0</v>
      </c>
      <c r="TVZ53" s="5">
        <f>-IFERROR('4. NPV'!TWA23/'4. NPV'!TWA$8,0)</f>
        <v>-0.0</v>
      </c>
      <c r="TWA53" s="5">
        <f>-IFERROR('4. NPV'!TWB23/'4. NPV'!TWB$8,0)</f>
        <v>-0.0</v>
      </c>
      <c r="TWB53" s="5">
        <f>-IFERROR('4. NPV'!TWC23/'4. NPV'!TWC$8,0)</f>
        <v>-0.0</v>
      </c>
      <c r="TWC53" s="5">
        <f>-IFERROR('4. NPV'!TWD23/'4. NPV'!TWD$8,0)</f>
        <v>-0.0</v>
      </c>
      <c r="TWD53" s="5">
        <f>-IFERROR('4. NPV'!TWE23/'4. NPV'!TWE$8,0)</f>
        <v>-0.0</v>
      </c>
      <c r="TWE53" s="5">
        <f>-IFERROR('4. NPV'!TWF23/'4. NPV'!TWF$8,0)</f>
        <v>-0.0</v>
      </c>
      <c r="TWF53" s="5">
        <f>-IFERROR('4. NPV'!TWG23/'4. NPV'!TWG$8,0)</f>
        <v>-0.0</v>
      </c>
      <c r="TWG53" s="5">
        <f>-IFERROR('4. NPV'!TWH23/'4. NPV'!TWH$8,0)</f>
        <v>-0.0</v>
      </c>
      <c r="TWH53" s="5">
        <f>-IFERROR('4. NPV'!TWI23/'4. NPV'!TWI$8,0)</f>
        <v>-0.0</v>
      </c>
      <c r="TWI53" s="5">
        <f>-IFERROR('4. NPV'!TWJ23/'4. NPV'!TWJ$8,0)</f>
        <v>-0.0</v>
      </c>
      <c r="TWJ53" s="5">
        <f>-IFERROR('4. NPV'!TWK23/'4. NPV'!TWK$8,0)</f>
        <v>-0.0</v>
      </c>
      <c r="TWK53" s="5">
        <f>-IFERROR('4. NPV'!TWL23/'4. NPV'!TWL$8,0)</f>
        <v>-0.0</v>
      </c>
      <c r="TWL53" s="5">
        <f>-IFERROR('4. NPV'!TWM23/'4. NPV'!TWM$8,0)</f>
        <v>-0.0</v>
      </c>
      <c r="TWM53" s="5">
        <f>-IFERROR('4. NPV'!TWN23/'4. NPV'!TWN$8,0)</f>
        <v>-0.0</v>
      </c>
      <c r="TWN53" s="5">
        <f>-IFERROR('4. NPV'!TWO23/'4. NPV'!TWO$8,0)</f>
        <v>-0.0</v>
      </c>
      <c r="TWO53" s="5">
        <f>-IFERROR('4. NPV'!TWP23/'4. NPV'!TWP$8,0)</f>
        <v>-0.0</v>
      </c>
      <c r="TWP53" s="5">
        <f>-IFERROR('4. NPV'!TWQ23/'4. NPV'!TWQ$8,0)</f>
        <v>-0.0</v>
      </c>
      <c r="TWQ53" s="5">
        <f>-IFERROR('4. NPV'!TWR23/'4. NPV'!TWR$8,0)</f>
        <v>-0.0</v>
      </c>
      <c r="TWR53" s="5">
        <f>-IFERROR('4. NPV'!TWS23/'4. NPV'!TWS$8,0)</f>
        <v>-0.0</v>
      </c>
      <c r="TWS53" s="5">
        <f>-IFERROR('4. NPV'!TWT23/'4. NPV'!TWT$8,0)</f>
        <v>-0.0</v>
      </c>
      <c r="TWT53" s="5">
        <f>-IFERROR('4. NPV'!TWU23/'4. NPV'!TWU$8,0)</f>
        <v>-0.0</v>
      </c>
      <c r="TWU53" s="5">
        <f>-IFERROR('4. NPV'!TWV23/'4. NPV'!TWV$8,0)</f>
        <v>-0.0</v>
      </c>
      <c r="TWV53" s="5">
        <f>-IFERROR('4. NPV'!TWW23/'4. NPV'!TWW$8,0)</f>
        <v>-0.0</v>
      </c>
      <c r="TWW53" s="5">
        <f>-IFERROR('4. NPV'!TWX23/'4. NPV'!TWX$8,0)</f>
        <v>-0.0</v>
      </c>
      <c r="TWX53" s="5">
        <f>-IFERROR('4. NPV'!TWY23/'4. NPV'!TWY$8,0)</f>
        <v>-0.0</v>
      </c>
      <c r="TWY53" s="5">
        <f>-IFERROR('4. NPV'!TWZ23/'4. NPV'!TWZ$8,0)</f>
        <v>-0.0</v>
      </c>
      <c r="TWZ53" s="5">
        <f>-IFERROR('4. NPV'!TXA23/'4. NPV'!TXA$8,0)</f>
        <v>-0.0</v>
      </c>
      <c r="TXA53" s="5">
        <f>-IFERROR('4. NPV'!TXB23/'4. NPV'!TXB$8,0)</f>
        <v>-0.0</v>
      </c>
      <c r="TXB53" s="5">
        <f>-IFERROR('4. NPV'!TXC23/'4. NPV'!TXC$8,0)</f>
        <v>-0.0</v>
      </c>
      <c r="TXC53" s="5">
        <f>-IFERROR('4. NPV'!TXD23/'4. NPV'!TXD$8,0)</f>
        <v>-0.0</v>
      </c>
      <c r="TXD53" s="5">
        <f>-IFERROR('4. NPV'!TXE23/'4. NPV'!TXE$8,0)</f>
        <v>-0.0</v>
      </c>
      <c r="TXE53" s="5">
        <f>-IFERROR('4. NPV'!TXF23/'4. NPV'!TXF$8,0)</f>
        <v>-0.0</v>
      </c>
      <c r="TXF53" s="5">
        <f>-IFERROR('4. NPV'!TXG23/'4. NPV'!TXG$8,0)</f>
        <v>-0.0</v>
      </c>
      <c r="TXG53" s="5">
        <f>-IFERROR('4. NPV'!TXH23/'4. NPV'!TXH$8,0)</f>
        <v>-0.0</v>
      </c>
      <c r="TXH53" s="5">
        <f>-IFERROR('4. NPV'!TXI23/'4. NPV'!TXI$8,0)</f>
        <v>-0.0</v>
      </c>
      <c r="TXI53" s="5">
        <f>-IFERROR('4. NPV'!TXJ23/'4. NPV'!TXJ$8,0)</f>
        <v>-0.0</v>
      </c>
      <c r="TXJ53" s="5">
        <f>-IFERROR('4. NPV'!TXK23/'4. NPV'!TXK$8,0)</f>
        <v>-0.0</v>
      </c>
      <c r="TXK53" s="5">
        <f>-IFERROR('4. NPV'!TXL23/'4. NPV'!TXL$8,0)</f>
        <v>-0.0</v>
      </c>
      <c r="TXL53" s="5">
        <f>-IFERROR('4. NPV'!TXM23/'4. NPV'!TXM$8,0)</f>
        <v>-0.0</v>
      </c>
      <c r="TXM53" s="5">
        <f>-IFERROR('4. NPV'!TXN23/'4. NPV'!TXN$8,0)</f>
        <v>-0.0</v>
      </c>
      <c r="TXN53" s="5">
        <f>-IFERROR('4. NPV'!TXO23/'4. NPV'!TXO$8,0)</f>
        <v>-0.0</v>
      </c>
      <c r="TXO53" s="5">
        <f>-IFERROR('4. NPV'!TXP23/'4. NPV'!TXP$8,0)</f>
        <v>-0.0</v>
      </c>
      <c r="TXP53" s="5">
        <f>-IFERROR('4. NPV'!TXQ23/'4. NPV'!TXQ$8,0)</f>
        <v>-0.0</v>
      </c>
      <c r="TXQ53" s="5">
        <f>-IFERROR('4. NPV'!TXR23/'4. NPV'!TXR$8,0)</f>
        <v>-0.0</v>
      </c>
      <c r="TXR53" s="5">
        <f>-IFERROR('4. NPV'!TXS23/'4. NPV'!TXS$8,0)</f>
        <v>-0.0</v>
      </c>
      <c r="TXS53" s="5">
        <f>-IFERROR('4. NPV'!TXT23/'4. NPV'!TXT$8,0)</f>
        <v>-0.0</v>
      </c>
      <c r="TXT53" s="5">
        <f>-IFERROR('4. NPV'!TXU23/'4. NPV'!TXU$8,0)</f>
        <v>-0.0</v>
      </c>
      <c r="TXU53" s="5">
        <f>-IFERROR('4. NPV'!TXV23/'4. NPV'!TXV$8,0)</f>
        <v>-0.0</v>
      </c>
      <c r="TXV53" s="5">
        <f>-IFERROR('4. NPV'!TXW23/'4. NPV'!TXW$8,0)</f>
        <v>-0.0</v>
      </c>
      <c r="TXW53" s="5">
        <f>-IFERROR('4. NPV'!TXX23/'4. NPV'!TXX$8,0)</f>
        <v>-0.0</v>
      </c>
      <c r="TXX53" s="5">
        <f>-IFERROR('4. NPV'!TXY23/'4. NPV'!TXY$8,0)</f>
        <v>-0.0</v>
      </c>
      <c r="TXY53" s="5">
        <f>-IFERROR('4. NPV'!TXZ23/'4. NPV'!TXZ$8,0)</f>
        <v>-0.0</v>
      </c>
      <c r="TXZ53" s="5">
        <f>-IFERROR('4. NPV'!TYA23/'4. NPV'!TYA$8,0)</f>
        <v>-0.0</v>
      </c>
      <c r="TYA53" s="5">
        <f>-IFERROR('4. NPV'!TYB23/'4. NPV'!TYB$8,0)</f>
        <v>-0.0</v>
      </c>
      <c r="TYB53" s="5">
        <f>-IFERROR('4. NPV'!TYC23/'4. NPV'!TYC$8,0)</f>
        <v>-0.0</v>
      </c>
      <c r="TYC53" s="5">
        <f>-IFERROR('4. NPV'!TYD23/'4. NPV'!TYD$8,0)</f>
        <v>-0.0</v>
      </c>
      <c r="TYD53" s="5">
        <f>-IFERROR('4. NPV'!TYE23/'4. NPV'!TYE$8,0)</f>
        <v>-0.0</v>
      </c>
      <c r="TYE53" s="5">
        <f>-IFERROR('4. NPV'!TYF23/'4. NPV'!TYF$8,0)</f>
        <v>-0.0</v>
      </c>
      <c r="TYF53" s="5">
        <f>-IFERROR('4. NPV'!TYG23/'4. NPV'!TYG$8,0)</f>
        <v>-0.0</v>
      </c>
      <c r="TYG53" s="5">
        <f>-IFERROR('4. NPV'!TYH23/'4. NPV'!TYH$8,0)</f>
        <v>-0.0</v>
      </c>
      <c r="TYH53" s="5">
        <f>-IFERROR('4. NPV'!TYI23/'4. NPV'!TYI$8,0)</f>
        <v>-0.0</v>
      </c>
      <c r="TYI53" s="5">
        <f>-IFERROR('4. NPV'!TYJ23/'4. NPV'!TYJ$8,0)</f>
        <v>-0.0</v>
      </c>
      <c r="TYJ53" s="5">
        <f>-IFERROR('4. NPV'!TYK23/'4. NPV'!TYK$8,0)</f>
        <v>-0.0</v>
      </c>
      <c r="TYK53" s="5">
        <f>-IFERROR('4. NPV'!TYL23/'4. NPV'!TYL$8,0)</f>
        <v>-0.0</v>
      </c>
      <c r="TYL53" s="5">
        <f>-IFERROR('4. NPV'!TYM23/'4. NPV'!TYM$8,0)</f>
        <v>-0.0</v>
      </c>
      <c r="TYM53" s="5">
        <f>-IFERROR('4. NPV'!TYN23/'4. NPV'!TYN$8,0)</f>
        <v>-0.0</v>
      </c>
      <c r="TYN53" s="5">
        <f>-IFERROR('4. NPV'!TYO23/'4. NPV'!TYO$8,0)</f>
        <v>-0.0</v>
      </c>
      <c r="TYO53" s="5">
        <f>-IFERROR('4. NPV'!TYP23/'4. NPV'!TYP$8,0)</f>
        <v>-0.0</v>
      </c>
      <c r="TYP53" s="5">
        <f>-IFERROR('4. NPV'!TYQ23/'4. NPV'!TYQ$8,0)</f>
        <v>-0.0</v>
      </c>
      <c r="TYQ53" s="5">
        <f>-IFERROR('4. NPV'!TYR23/'4. NPV'!TYR$8,0)</f>
        <v>-0.0</v>
      </c>
      <c r="TYR53" s="5">
        <f>-IFERROR('4. NPV'!TYS23/'4. NPV'!TYS$8,0)</f>
        <v>-0.0</v>
      </c>
      <c r="TYS53" s="5">
        <f>-IFERROR('4. NPV'!TYT23/'4. NPV'!TYT$8,0)</f>
        <v>-0.0</v>
      </c>
      <c r="TYT53" s="5">
        <f>-IFERROR('4. NPV'!TYU23/'4. NPV'!TYU$8,0)</f>
        <v>-0.0</v>
      </c>
      <c r="TYU53" s="5">
        <f>-IFERROR('4. NPV'!TYV23/'4. NPV'!TYV$8,0)</f>
        <v>-0.0</v>
      </c>
      <c r="TYV53" s="5">
        <f>-IFERROR('4. NPV'!TYW23/'4. NPV'!TYW$8,0)</f>
        <v>-0.0</v>
      </c>
      <c r="TYW53" s="5">
        <f>-IFERROR('4. NPV'!TYX23/'4. NPV'!TYX$8,0)</f>
        <v>-0.0</v>
      </c>
      <c r="TYX53" s="5">
        <f>-IFERROR('4. NPV'!TYY23/'4. NPV'!TYY$8,0)</f>
        <v>-0.0</v>
      </c>
      <c r="TYY53" s="5">
        <f>-IFERROR('4. NPV'!TYZ23/'4. NPV'!TYZ$8,0)</f>
        <v>-0.0</v>
      </c>
      <c r="TYZ53" s="5">
        <f>-IFERROR('4. NPV'!TZA23/'4. NPV'!TZA$8,0)</f>
        <v>-0.0</v>
      </c>
      <c r="TZA53" s="5">
        <f>-IFERROR('4. NPV'!TZB23/'4. NPV'!TZB$8,0)</f>
        <v>-0.0</v>
      </c>
      <c r="TZB53" s="5">
        <f>-IFERROR('4. NPV'!TZC23/'4. NPV'!TZC$8,0)</f>
        <v>-0.0</v>
      </c>
      <c r="TZC53" s="5">
        <f>-IFERROR('4. NPV'!TZD23/'4. NPV'!TZD$8,0)</f>
        <v>-0.0</v>
      </c>
      <c r="TZD53" s="5">
        <f>-IFERROR('4. NPV'!TZE23/'4. NPV'!TZE$8,0)</f>
        <v>-0.0</v>
      </c>
      <c r="TZE53" s="5">
        <f>-IFERROR('4. NPV'!TZF23/'4. NPV'!TZF$8,0)</f>
        <v>-0.0</v>
      </c>
      <c r="TZF53" s="5">
        <f>-IFERROR('4. NPV'!TZG23/'4. NPV'!TZG$8,0)</f>
        <v>-0.0</v>
      </c>
      <c r="TZG53" s="5">
        <f>-IFERROR('4. NPV'!TZH23/'4. NPV'!TZH$8,0)</f>
        <v>-0.0</v>
      </c>
      <c r="TZH53" s="5">
        <f>-IFERROR('4. NPV'!TZI23/'4. NPV'!TZI$8,0)</f>
        <v>-0.0</v>
      </c>
      <c r="TZI53" s="5">
        <f>-IFERROR('4. NPV'!TZJ23/'4. NPV'!TZJ$8,0)</f>
        <v>-0.0</v>
      </c>
      <c r="TZJ53" s="5">
        <f>-IFERROR('4. NPV'!TZK23/'4. NPV'!TZK$8,0)</f>
        <v>-0.0</v>
      </c>
      <c r="TZK53" s="5">
        <f>-IFERROR('4. NPV'!TZL23/'4. NPV'!TZL$8,0)</f>
        <v>-0.0</v>
      </c>
      <c r="TZL53" s="5">
        <f>-IFERROR('4. NPV'!TZM23/'4. NPV'!TZM$8,0)</f>
        <v>-0.0</v>
      </c>
      <c r="TZM53" s="5">
        <f>-IFERROR('4. NPV'!TZN23/'4. NPV'!TZN$8,0)</f>
        <v>-0.0</v>
      </c>
      <c r="TZN53" s="5">
        <f>-IFERROR('4. NPV'!TZO23/'4. NPV'!TZO$8,0)</f>
        <v>-0.0</v>
      </c>
      <c r="TZO53" s="5">
        <f>-IFERROR('4. NPV'!TZP23/'4. NPV'!TZP$8,0)</f>
        <v>-0.0</v>
      </c>
      <c r="TZP53" s="5">
        <f>-IFERROR('4. NPV'!TZQ23/'4. NPV'!TZQ$8,0)</f>
        <v>-0.0</v>
      </c>
      <c r="TZQ53" s="5">
        <f>-IFERROR('4. NPV'!TZR23/'4. NPV'!TZR$8,0)</f>
        <v>-0.0</v>
      </c>
      <c r="TZR53" s="5">
        <f>-IFERROR('4. NPV'!TZS23/'4. NPV'!TZS$8,0)</f>
        <v>-0.0</v>
      </c>
      <c r="TZS53" s="5">
        <f>-IFERROR('4. NPV'!TZT23/'4. NPV'!TZT$8,0)</f>
        <v>-0.0</v>
      </c>
      <c r="TZT53" s="5">
        <f>-IFERROR('4. NPV'!TZU23/'4. NPV'!TZU$8,0)</f>
        <v>-0.0</v>
      </c>
      <c r="TZU53" s="5">
        <f>-IFERROR('4. NPV'!TZV23/'4. NPV'!TZV$8,0)</f>
        <v>-0.0</v>
      </c>
      <c r="TZV53" s="5">
        <f>-IFERROR('4. NPV'!TZW23/'4. NPV'!TZW$8,0)</f>
        <v>-0.0</v>
      </c>
      <c r="TZW53" s="5">
        <f>-IFERROR('4. NPV'!TZX23/'4. NPV'!TZX$8,0)</f>
        <v>-0.0</v>
      </c>
      <c r="TZX53" s="5">
        <f>-IFERROR('4. NPV'!TZY23/'4. NPV'!TZY$8,0)</f>
        <v>-0.0</v>
      </c>
      <c r="TZY53" s="5">
        <f>-IFERROR('4. NPV'!TZZ23/'4. NPV'!TZZ$8,0)</f>
        <v>-0.0</v>
      </c>
      <c r="TZZ53" s="5">
        <f>-IFERROR('4. NPV'!UAA23/'4. NPV'!UAA$8,0)</f>
        <v>-0.0</v>
      </c>
      <c r="UAA53" s="5">
        <f>-IFERROR('4. NPV'!UAB23/'4. NPV'!UAB$8,0)</f>
        <v>-0.0</v>
      </c>
      <c r="UAB53" s="5">
        <f>-IFERROR('4. NPV'!UAC23/'4. NPV'!UAC$8,0)</f>
        <v>-0.0</v>
      </c>
      <c r="UAC53" s="5">
        <f>-IFERROR('4. NPV'!UAD23/'4. NPV'!UAD$8,0)</f>
        <v>-0.0</v>
      </c>
      <c r="UAD53" s="5">
        <f>-IFERROR('4. NPV'!UAE23/'4. NPV'!UAE$8,0)</f>
        <v>-0.0</v>
      </c>
      <c r="UAE53" s="5">
        <f>-IFERROR('4. NPV'!UAF23/'4. NPV'!UAF$8,0)</f>
        <v>-0.0</v>
      </c>
      <c r="UAF53" s="5">
        <f>-IFERROR('4. NPV'!UAG23/'4. NPV'!UAG$8,0)</f>
        <v>-0.0</v>
      </c>
      <c r="UAG53" s="5">
        <f>-IFERROR('4. NPV'!UAH23/'4. NPV'!UAH$8,0)</f>
        <v>-0.0</v>
      </c>
      <c r="UAH53" s="5">
        <f>-IFERROR('4. NPV'!UAI23/'4. NPV'!UAI$8,0)</f>
        <v>-0.0</v>
      </c>
      <c r="UAI53" s="5">
        <f>-IFERROR('4. NPV'!UAJ23/'4. NPV'!UAJ$8,0)</f>
        <v>-0.0</v>
      </c>
      <c r="UAJ53" s="5">
        <f>-IFERROR('4. NPV'!UAK23/'4. NPV'!UAK$8,0)</f>
        <v>-0.0</v>
      </c>
      <c r="UAK53" s="5">
        <f>-IFERROR('4. NPV'!UAL23/'4. NPV'!UAL$8,0)</f>
        <v>-0.0</v>
      </c>
      <c r="UAL53" s="5">
        <f>-IFERROR('4. NPV'!UAM23/'4. NPV'!UAM$8,0)</f>
        <v>-0.0</v>
      </c>
      <c r="UAM53" s="5">
        <f>-IFERROR('4. NPV'!UAN23/'4. NPV'!UAN$8,0)</f>
        <v>-0.0</v>
      </c>
      <c r="UAN53" s="5">
        <f>-IFERROR('4. NPV'!UAO23/'4. NPV'!UAO$8,0)</f>
        <v>-0.0</v>
      </c>
      <c r="UAO53" s="5">
        <f>-IFERROR('4. NPV'!UAP23/'4. NPV'!UAP$8,0)</f>
        <v>-0.0</v>
      </c>
      <c r="UAP53" s="5">
        <f>-IFERROR('4. NPV'!UAQ23/'4. NPV'!UAQ$8,0)</f>
        <v>-0.0</v>
      </c>
      <c r="UAQ53" s="5">
        <f>-IFERROR('4. NPV'!UAR23/'4. NPV'!UAR$8,0)</f>
        <v>-0.0</v>
      </c>
      <c r="UAR53" s="5">
        <f>-IFERROR('4. NPV'!UAS23/'4. NPV'!UAS$8,0)</f>
        <v>-0.0</v>
      </c>
      <c r="UAS53" s="5">
        <f>-IFERROR('4. NPV'!UAT23/'4. NPV'!UAT$8,0)</f>
        <v>-0.0</v>
      </c>
      <c r="UAT53" s="5">
        <f>-IFERROR('4. NPV'!UAU23/'4. NPV'!UAU$8,0)</f>
        <v>-0.0</v>
      </c>
      <c r="UAU53" s="5">
        <f>-IFERROR('4. NPV'!UAV23/'4. NPV'!UAV$8,0)</f>
        <v>-0.0</v>
      </c>
      <c r="UAV53" s="5">
        <f>-IFERROR('4. NPV'!UAW23/'4. NPV'!UAW$8,0)</f>
        <v>-0.0</v>
      </c>
      <c r="UAW53" s="5">
        <f>-IFERROR('4. NPV'!UAX23/'4. NPV'!UAX$8,0)</f>
        <v>-0.0</v>
      </c>
      <c r="UAX53" s="5">
        <f>-IFERROR('4. NPV'!UAY23/'4. NPV'!UAY$8,0)</f>
        <v>-0.0</v>
      </c>
      <c r="UAY53" s="5">
        <f>-IFERROR('4. NPV'!UAZ23/'4. NPV'!UAZ$8,0)</f>
        <v>-0.0</v>
      </c>
      <c r="UAZ53" s="5">
        <f>-IFERROR('4. NPV'!UBA23/'4. NPV'!UBA$8,0)</f>
        <v>-0.0</v>
      </c>
      <c r="UBA53" s="5">
        <f>-IFERROR('4. NPV'!UBB23/'4. NPV'!UBB$8,0)</f>
        <v>-0.0</v>
      </c>
      <c r="UBB53" s="5">
        <f>-IFERROR('4. NPV'!UBC23/'4. NPV'!UBC$8,0)</f>
        <v>-0.0</v>
      </c>
      <c r="UBC53" s="5">
        <f>-IFERROR('4. NPV'!UBD23/'4. NPV'!UBD$8,0)</f>
        <v>-0.0</v>
      </c>
      <c r="UBD53" s="5">
        <f>-IFERROR('4. NPV'!UBE23/'4. NPV'!UBE$8,0)</f>
        <v>-0.0</v>
      </c>
      <c r="UBE53" s="5">
        <f>-IFERROR('4. NPV'!UBF23/'4. NPV'!UBF$8,0)</f>
        <v>-0.0</v>
      </c>
      <c r="UBF53" s="5">
        <f>-IFERROR('4. NPV'!UBG23/'4. NPV'!UBG$8,0)</f>
        <v>-0.0</v>
      </c>
      <c r="UBG53" s="5">
        <f>-IFERROR('4. NPV'!UBH23/'4. NPV'!UBH$8,0)</f>
        <v>-0.0</v>
      </c>
      <c r="UBH53" s="5">
        <f>-IFERROR('4. NPV'!UBI23/'4. NPV'!UBI$8,0)</f>
        <v>-0.0</v>
      </c>
      <c r="UBI53" s="5">
        <f>-IFERROR('4. NPV'!UBJ23/'4. NPV'!UBJ$8,0)</f>
        <v>-0.0</v>
      </c>
      <c r="UBJ53" s="5">
        <f>-IFERROR('4. NPV'!UBK23/'4. NPV'!UBK$8,0)</f>
        <v>-0.0</v>
      </c>
      <c r="UBK53" s="5">
        <f>-IFERROR('4. NPV'!UBL23/'4. NPV'!UBL$8,0)</f>
        <v>-0.0</v>
      </c>
      <c r="UBL53" s="5">
        <f>-IFERROR('4. NPV'!UBM23/'4. NPV'!UBM$8,0)</f>
        <v>-0.0</v>
      </c>
      <c r="UBM53" s="5">
        <f>-IFERROR('4. NPV'!UBN23/'4. NPV'!UBN$8,0)</f>
        <v>-0.0</v>
      </c>
      <c r="UBN53" s="5">
        <f>-IFERROR('4. NPV'!UBO23/'4. NPV'!UBO$8,0)</f>
        <v>-0.0</v>
      </c>
      <c r="UBO53" s="5">
        <f>-IFERROR('4. NPV'!UBP23/'4. NPV'!UBP$8,0)</f>
        <v>-0.0</v>
      </c>
      <c r="UBP53" s="5">
        <f>-IFERROR('4. NPV'!UBQ23/'4. NPV'!UBQ$8,0)</f>
        <v>-0.0</v>
      </c>
      <c r="UBQ53" s="5">
        <f>-IFERROR('4. NPV'!UBR23/'4. NPV'!UBR$8,0)</f>
        <v>-0.0</v>
      </c>
      <c r="UBR53" s="5">
        <f>-IFERROR('4. NPV'!UBS23/'4. NPV'!UBS$8,0)</f>
        <v>-0.0</v>
      </c>
      <c r="UBS53" s="5">
        <f>-IFERROR('4. NPV'!UBT23/'4. NPV'!UBT$8,0)</f>
        <v>-0.0</v>
      </c>
      <c r="UBT53" s="5">
        <f>-IFERROR('4. NPV'!UBU23/'4. NPV'!UBU$8,0)</f>
        <v>-0.0</v>
      </c>
      <c r="UBU53" s="5">
        <f>-IFERROR('4. NPV'!UBV23/'4. NPV'!UBV$8,0)</f>
        <v>-0.0</v>
      </c>
      <c r="UBV53" s="5">
        <f>-IFERROR('4. NPV'!UBW23/'4. NPV'!UBW$8,0)</f>
        <v>-0.0</v>
      </c>
      <c r="UBW53" s="5">
        <f>-IFERROR('4. NPV'!UBX23/'4. NPV'!UBX$8,0)</f>
        <v>-0.0</v>
      </c>
      <c r="UBX53" s="5">
        <f>-IFERROR('4. NPV'!UBY23/'4. NPV'!UBY$8,0)</f>
        <v>-0.0</v>
      </c>
      <c r="UBY53" s="5">
        <f>-IFERROR('4. NPV'!UBZ23/'4. NPV'!UBZ$8,0)</f>
        <v>-0.0</v>
      </c>
      <c r="UBZ53" s="5">
        <f>-IFERROR('4. NPV'!UCA23/'4. NPV'!UCA$8,0)</f>
        <v>-0.0</v>
      </c>
      <c r="UCA53" s="5">
        <f>-IFERROR('4. NPV'!UCB23/'4. NPV'!UCB$8,0)</f>
        <v>-0.0</v>
      </c>
      <c r="UCB53" s="5">
        <f>-IFERROR('4. NPV'!UCC23/'4. NPV'!UCC$8,0)</f>
        <v>-0.0</v>
      </c>
      <c r="UCC53" s="5">
        <f>-IFERROR('4. NPV'!UCD23/'4. NPV'!UCD$8,0)</f>
        <v>-0.0</v>
      </c>
      <c r="UCD53" s="5">
        <f>-IFERROR('4. NPV'!UCE23/'4. NPV'!UCE$8,0)</f>
        <v>-0.0</v>
      </c>
      <c r="UCE53" s="5">
        <f>-IFERROR('4. NPV'!UCF23/'4. NPV'!UCF$8,0)</f>
        <v>-0.0</v>
      </c>
      <c r="UCF53" s="5">
        <f>-IFERROR('4. NPV'!UCG23/'4. NPV'!UCG$8,0)</f>
        <v>-0.0</v>
      </c>
      <c r="UCG53" s="5">
        <f>-IFERROR('4. NPV'!UCH23/'4. NPV'!UCH$8,0)</f>
        <v>-0.0</v>
      </c>
      <c r="UCH53" s="5">
        <f>-IFERROR('4. NPV'!UCI23/'4. NPV'!UCI$8,0)</f>
        <v>-0.0</v>
      </c>
      <c r="UCI53" s="5">
        <f>-IFERROR('4. NPV'!UCJ23/'4. NPV'!UCJ$8,0)</f>
        <v>-0.0</v>
      </c>
      <c r="UCJ53" s="5">
        <f>-IFERROR('4. NPV'!UCK23/'4. NPV'!UCK$8,0)</f>
        <v>-0.0</v>
      </c>
      <c r="UCK53" s="5">
        <f>-IFERROR('4. NPV'!UCL23/'4. NPV'!UCL$8,0)</f>
        <v>-0.0</v>
      </c>
      <c r="UCL53" s="5">
        <f>-IFERROR('4. NPV'!UCM23/'4. NPV'!UCM$8,0)</f>
        <v>-0.0</v>
      </c>
      <c r="UCM53" s="5">
        <f>-IFERROR('4. NPV'!UCN23/'4. NPV'!UCN$8,0)</f>
        <v>-0.0</v>
      </c>
      <c r="UCN53" s="5">
        <f>-IFERROR('4. NPV'!UCO23/'4. NPV'!UCO$8,0)</f>
        <v>-0.0</v>
      </c>
      <c r="UCO53" s="5">
        <f>-IFERROR('4. NPV'!UCP23/'4. NPV'!UCP$8,0)</f>
        <v>-0.0</v>
      </c>
      <c r="UCP53" s="5">
        <f>-IFERROR('4. NPV'!UCQ23/'4. NPV'!UCQ$8,0)</f>
        <v>-0.0</v>
      </c>
      <c r="UCQ53" s="5">
        <f>-IFERROR('4. NPV'!UCR23/'4. NPV'!UCR$8,0)</f>
        <v>-0.0</v>
      </c>
      <c r="UCR53" s="5">
        <f>-IFERROR('4. NPV'!UCS23/'4. NPV'!UCS$8,0)</f>
        <v>-0.0</v>
      </c>
      <c r="UCS53" s="5">
        <f>-IFERROR('4. NPV'!UCT23/'4. NPV'!UCT$8,0)</f>
        <v>-0.0</v>
      </c>
      <c r="UCT53" s="5">
        <f>-IFERROR('4. NPV'!UCU23/'4. NPV'!UCU$8,0)</f>
        <v>-0.0</v>
      </c>
      <c r="UCU53" s="5">
        <f>-IFERROR('4. NPV'!UCV23/'4. NPV'!UCV$8,0)</f>
        <v>-0.0</v>
      </c>
      <c r="UCV53" s="5">
        <f>-IFERROR('4. NPV'!UCW23/'4. NPV'!UCW$8,0)</f>
        <v>-0.0</v>
      </c>
      <c r="UCW53" s="5">
        <f>-IFERROR('4. NPV'!UCX23/'4. NPV'!UCX$8,0)</f>
        <v>-0.0</v>
      </c>
      <c r="UCX53" s="5">
        <f>-IFERROR('4. NPV'!UCY23/'4. NPV'!UCY$8,0)</f>
        <v>-0.0</v>
      </c>
      <c r="UCY53" s="5">
        <f>-IFERROR('4. NPV'!UCZ23/'4. NPV'!UCZ$8,0)</f>
        <v>-0.0</v>
      </c>
      <c r="UCZ53" s="5">
        <f>-IFERROR('4. NPV'!UDA23/'4. NPV'!UDA$8,0)</f>
        <v>-0.0</v>
      </c>
      <c r="UDA53" s="5">
        <f>-IFERROR('4. NPV'!UDB23/'4. NPV'!UDB$8,0)</f>
        <v>-0.0</v>
      </c>
      <c r="UDB53" s="5">
        <f>-IFERROR('4. NPV'!UDC23/'4. NPV'!UDC$8,0)</f>
        <v>-0.0</v>
      </c>
      <c r="UDC53" s="5">
        <f>-IFERROR('4. NPV'!UDD23/'4. NPV'!UDD$8,0)</f>
        <v>-0.0</v>
      </c>
      <c r="UDD53" s="5">
        <f>-IFERROR('4. NPV'!UDE23/'4. NPV'!UDE$8,0)</f>
        <v>-0.0</v>
      </c>
      <c r="UDE53" s="5">
        <f>-IFERROR('4. NPV'!UDF23/'4. NPV'!UDF$8,0)</f>
        <v>-0.0</v>
      </c>
      <c r="UDF53" s="5">
        <f>-IFERROR('4. NPV'!UDG23/'4. NPV'!UDG$8,0)</f>
        <v>-0.0</v>
      </c>
      <c r="UDG53" s="5">
        <f>-IFERROR('4. NPV'!UDH23/'4. NPV'!UDH$8,0)</f>
        <v>-0.0</v>
      </c>
      <c r="UDH53" s="5">
        <f>-IFERROR('4. NPV'!UDI23/'4. NPV'!UDI$8,0)</f>
        <v>-0.0</v>
      </c>
      <c r="UDI53" s="5">
        <f>-IFERROR('4. NPV'!UDJ23/'4. NPV'!UDJ$8,0)</f>
        <v>-0.0</v>
      </c>
      <c r="UDJ53" s="5">
        <f>-IFERROR('4. NPV'!UDK23/'4. NPV'!UDK$8,0)</f>
        <v>-0.0</v>
      </c>
      <c r="UDK53" s="5">
        <f>-IFERROR('4. NPV'!UDL23/'4. NPV'!UDL$8,0)</f>
        <v>-0.0</v>
      </c>
      <c r="UDL53" s="5">
        <f>-IFERROR('4. NPV'!UDM23/'4. NPV'!UDM$8,0)</f>
        <v>-0.0</v>
      </c>
      <c r="UDM53" s="5">
        <f>-IFERROR('4. NPV'!UDN23/'4. NPV'!UDN$8,0)</f>
        <v>-0.0</v>
      </c>
      <c r="UDN53" s="5">
        <f>-IFERROR('4. NPV'!UDO23/'4. NPV'!UDO$8,0)</f>
        <v>-0.0</v>
      </c>
      <c r="UDO53" s="5">
        <f>-IFERROR('4. NPV'!UDP23/'4. NPV'!UDP$8,0)</f>
        <v>-0.0</v>
      </c>
      <c r="UDP53" s="5">
        <f>-IFERROR('4. NPV'!UDQ23/'4. NPV'!UDQ$8,0)</f>
        <v>-0.0</v>
      </c>
      <c r="UDQ53" s="5">
        <f>-IFERROR('4. NPV'!UDR23/'4. NPV'!UDR$8,0)</f>
        <v>-0.0</v>
      </c>
      <c r="UDR53" s="5">
        <f>-IFERROR('4. NPV'!UDS23/'4. NPV'!UDS$8,0)</f>
        <v>-0.0</v>
      </c>
      <c r="UDS53" s="5">
        <f>-IFERROR('4. NPV'!UDT23/'4. NPV'!UDT$8,0)</f>
        <v>-0.0</v>
      </c>
      <c r="UDT53" s="5">
        <f>-IFERROR('4. NPV'!UDU23/'4. NPV'!UDU$8,0)</f>
        <v>-0.0</v>
      </c>
      <c r="UDU53" s="5">
        <f>-IFERROR('4. NPV'!UDV23/'4. NPV'!UDV$8,0)</f>
        <v>-0.0</v>
      </c>
      <c r="UDV53" s="5">
        <f>-IFERROR('4. NPV'!UDW23/'4. NPV'!UDW$8,0)</f>
        <v>-0.0</v>
      </c>
      <c r="UDW53" s="5">
        <f>-IFERROR('4. NPV'!UDX23/'4. NPV'!UDX$8,0)</f>
        <v>-0.0</v>
      </c>
      <c r="UDX53" s="5">
        <f>-IFERROR('4. NPV'!UDY23/'4. NPV'!UDY$8,0)</f>
        <v>-0.0</v>
      </c>
      <c r="UDY53" s="5">
        <f>-IFERROR('4. NPV'!UDZ23/'4. NPV'!UDZ$8,0)</f>
        <v>-0.0</v>
      </c>
      <c r="UDZ53" s="5">
        <f>-IFERROR('4. NPV'!UEA23/'4. NPV'!UEA$8,0)</f>
        <v>-0.0</v>
      </c>
      <c r="UEA53" s="5">
        <f>-IFERROR('4. NPV'!UEB23/'4. NPV'!UEB$8,0)</f>
        <v>-0.0</v>
      </c>
      <c r="UEB53" s="5">
        <f>-IFERROR('4. NPV'!UEC23/'4. NPV'!UEC$8,0)</f>
        <v>-0.0</v>
      </c>
      <c r="UEC53" s="5">
        <f>-IFERROR('4. NPV'!UED23/'4. NPV'!UED$8,0)</f>
        <v>-0.0</v>
      </c>
      <c r="UED53" s="5">
        <f>-IFERROR('4. NPV'!UEE23/'4. NPV'!UEE$8,0)</f>
        <v>-0.0</v>
      </c>
      <c r="UEE53" s="5">
        <f>-IFERROR('4. NPV'!UEF23/'4. NPV'!UEF$8,0)</f>
        <v>-0.0</v>
      </c>
      <c r="UEF53" s="5">
        <f>-IFERROR('4. NPV'!UEG23/'4. NPV'!UEG$8,0)</f>
        <v>-0.0</v>
      </c>
      <c r="UEG53" s="5">
        <f>-IFERROR('4. NPV'!UEH23/'4. NPV'!UEH$8,0)</f>
        <v>-0.0</v>
      </c>
      <c r="UEH53" s="5">
        <f>-IFERROR('4. NPV'!UEI23/'4. NPV'!UEI$8,0)</f>
        <v>-0.0</v>
      </c>
      <c r="UEI53" s="5">
        <f>-IFERROR('4. NPV'!UEJ23/'4. NPV'!UEJ$8,0)</f>
        <v>-0.0</v>
      </c>
      <c r="UEJ53" s="5">
        <f>-IFERROR('4. NPV'!UEK23/'4. NPV'!UEK$8,0)</f>
        <v>-0.0</v>
      </c>
      <c r="UEK53" s="5">
        <f>-IFERROR('4. NPV'!UEL23/'4. NPV'!UEL$8,0)</f>
        <v>-0.0</v>
      </c>
      <c r="UEL53" s="5">
        <f>-IFERROR('4. NPV'!UEM23/'4. NPV'!UEM$8,0)</f>
        <v>-0.0</v>
      </c>
      <c r="UEM53" s="5">
        <f>-IFERROR('4. NPV'!UEN23/'4. NPV'!UEN$8,0)</f>
        <v>-0.0</v>
      </c>
      <c r="UEN53" s="5">
        <f>-IFERROR('4. NPV'!UEO23/'4. NPV'!UEO$8,0)</f>
        <v>-0.0</v>
      </c>
      <c r="UEO53" s="5">
        <f>-IFERROR('4. NPV'!UEP23/'4. NPV'!UEP$8,0)</f>
        <v>-0.0</v>
      </c>
      <c r="UEP53" s="5">
        <f>-IFERROR('4. NPV'!UEQ23/'4. NPV'!UEQ$8,0)</f>
        <v>-0.0</v>
      </c>
      <c r="UEQ53" s="5">
        <f>-IFERROR('4. NPV'!UER23/'4. NPV'!UER$8,0)</f>
        <v>-0.0</v>
      </c>
      <c r="UER53" s="5">
        <f>-IFERROR('4. NPV'!UES23/'4. NPV'!UES$8,0)</f>
        <v>-0.0</v>
      </c>
      <c r="UES53" s="5">
        <f>-IFERROR('4. NPV'!UET23/'4. NPV'!UET$8,0)</f>
        <v>-0.0</v>
      </c>
      <c r="UET53" s="5">
        <f>-IFERROR('4. NPV'!UEU23/'4. NPV'!UEU$8,0)</f>
        <v>-0.0</v>
      </c>
      <c r="UEU53" s="5">
        <f>-IFERROR('4. NPV'!UEV23/'4. NPV'!UEV$8,0)</f>
        <v>-0.0</v>
      </c>
      <c r="UEV53" s="5">
        <f>-IFERROR('4. NPV'!UEW23/'4. NPV'!UEW$8,0)</f>
        <v>-0.0</v>
      </c>
      <c r="UEW53" s="5">
        <f>-IFERROR('4. NPV'!UEX23/'4. NPV'!UEX$8,0)</f>
        <v>-0.0</v>
      </c>
      <c r="UEX53" s="5">
        <f>-IFERROR('4. NPV'!UEY23/'4. NPV'!UEY$8,0)</f>
        <v>-0.0</v>
      </c>
      <c r="UEY53" s="5">
        <f>-IFERROR('4. NPV'!UEZ23/'4. NPV'!UEZ$8,0)</f>
        <v>-0.0</v>
      </c>
      <c r="UEZ53" s="5">
        <f>-IFERROR('4. NPV'!UFA23/'4. NPV'!UFA$8,0)</f>
        <v>-0.0</v>
      </c>
      <c r="UFA53" s="5">
        <f>-IFERROR('4. NPV'!UFB23/'4. NPV'!UFB$8,0)</f>
        <v>-0.0</v>
      </c>
      <c r="UFB53" s="5">
        <f>-IFERROR('4. NPV'!UFC23/'4. NPV'!UFC$8,0)</f>
        <v>-0.0</v>
      </c>
      <c r="UFC53" s="5">
        <f>-IFERROR('4. NPV'!UFD23/'4. NPV'!UFD$8,0)</f>
        <v>-0.0</v>
      </c>
      <c r="UFD53" s="5">
        <f>-IFERROR('4. NPV'!UFE23/'4. NPV'!UFE$8,0)</f>
        <v>-0.0</v>
      </c>
      <c r="UFE53" s="5">
        <f>-IFERROR('4. NPV'!UFF23/'4. NPV'!UFF$8,0)</f>
        <v>-0.0</v>
      </c>
      <c r="UFF53" s="5">
        <f>-IFERROR('4. NPV'!UFG23/'4. NPV'!UFG$8,0)</f>
        <v>-0.0</v>
      </c>
      <c r="UFG53" s="5">
        <f>-IFERROR('4. NPV'!UFH23/'4. NPV'!UFH$8,0)</f>
        <v>-0.0</v>
      </c>
      <c r="UFH53" s="5">
        <f>-IFERROR('4. NPV'!UFI23/'4. NPV'!UFI$8,0)</f>
        <v>-0.0</v>
      </c>
      <c r="UFI53" s="5">
        <f>-IFERROR('4. NPV'!UFJ23/'4. NPV'!UFJ$8,0)</f>
        <v>-0.0</v>
      </c>
      <c r="UFJ53" s="5">
        <f>-IFERROR('4. NPV'!UFK23/'4. NPV'!UFK$8,0)</f>
        <v>-0.0</v>
      </c>
      <c r="UFK53" s="5">
        <f>-IFERROR('4. NPV'!UFL23/'4. NPV'!UFL$8,0)</f>
        <v>-0.0</v>
      </c>
      <c r="UFL53" s="5">
        <f>-IFERROR('4. NPV'!UFM23/'4. NPV'!UFM$8,0)</f>
        <v>-0.0</v>
      </c>
      <c r="UFM53" s="5">
        <f>-IFERROR('4. NPV'!UFN23/'4. NPV'!UFN$8,0)</f>
        <v>-0.0</v>
      </c>
      <c r="UFN53" s="5">
        <f>-IFERROR('4. NPV'!UFO23/'4. NPV'!UFO$8,0)</f>
        <v>-0.0</v>
      </c>
      <c r="UFO53" s="5">
        <f>-IFERROR('4. NPV'!UFP23/'4. NPV'!UFP$8,0)</f>
        <v>-0.0</v>
      </c>
      <c r="UFP53" s="5">
        <f>-IFERROR('4. NPV'!UFQ23/'4. NPV'!UFQ$8,0)</f>
        <v>-0.0</v>
      </c>
      <c r="UFQ53" s="5">
        <f>-IFERROR('4. NPV'!UFR23/'4. NPV'!UFR$8,0)</f>
        <v>-0.0</v>
      </c>
      <c r="UFR53" s="5">
        <f>-IFERROR('4. NPV'!UFS23/'4. NPV'!UFS$8,0)</f>
        <v>-0.0</v>
      </c>
      <c r="UFS53" s="5">
        <f>-IFERROR('4. NPV'!UFT23/'4. NPV'!UFT$8,0)</f>
        <v>-0.0</v>
      </c>
      <c r="UFT53" s="5">
        <f>-IFERROR('4. NPV'!UFU23/'4. NPV'!UFU$8,0)</f>
        <v>-0.0</v>
      </c>
      <c r="UFU53" s="5">
        <f>-IFERROR('4. NPV'!UFV23/'4. NPV'!UFV$8,0)</f>
        <v>-0.0</v>
      </c>
      <c r="UFV53" s="5">
        <f>-IFERROR('4. NPV'!UFW23/'4. NPV'!UFW$8,0)</f>
        <v>-0.0</v>
      </c>
      <c r="UFW53" s="5">
        <f>-IFERROR('4. NPV'!UFX23/'4. NPV'!UFX$8,0)</f>
        <v>-0.0</v>
      </c>
      <c r="UFX53" s="5">
        <f>-IFERROR('4. NPV'!UFY23/'4. NPV'!UFY$8,0)</f>
        <v>-0.0</v>
      </c>
      <c r="UFY53" s="5">
        <f>-IFERROR('4. NPV'!UFZ23/'4. NPV'!UFZ$8,0)</f>
        <v>-0.0</v>
      </c>
      <c r="UFZ53" s="5">
        <f>-IFERROR('4. NPV'!UGA23/'4. NPV'!UGA$8,0)</f>
        <v>-0.0</v>
      </c>
      <c r="UGA53" s="5">
        <f>-IFERROR('4. NPV'!UGB23/'4. NPV'!UGB$8,0)</f>
        <v>-0.0</v>
      </c>
      <c r="UGB53" s="5">
        <f>-IFERROR('4. NPV'!UGC23/'4. NPV'!UGC$8,0)</f>
        <v>-0.0</v>
      </c>
      <c r="UGC53" s="5">
        <f>-IFERROR('4. NPV'!UGD23/'4. NPV'!UGD$8,0)</f>
        <v>-0.0</v>
      </c>
      <c r="UGD53" s="5">
        <f>-IFERROR('4. NPV'!UGE23/'4. NPV'!UGE$8,0)</f>
        <v>-0.0</v>
      </c>
      <c r="UGE53" s="5">
        <f>-IFERROR('4. NPV'!UGF23/'4. NPV'!UGF$8,0)</f>
        <v>-0.0</v>
      </c>
      <c r="UGF53" s="5">
        <f>-IFERROR('4. NPV'!UGG23/'4. NPV'!UGG$8,0)</f>
        <v>-0.0</v>
      </c>
      <c r="UGG53" s="5">
        <f>-IFERROR('4. NPV'!UGH23/'4. NPV'!UGH$8,0)</f>
        <v>-0.0</v>
      </c>
      <c r="UGH53" s="5">
        <f>-IFERROR('4. NPV'!UGI23/'4. NPV'!UGI$8,0)</f>
        <v>-0.0</v>
      </c>
      <c r="UGI53" s="5">
        <f>-IFERROR('4. NPV'!UGJ23/'4. NPV'!UGJ$8,0)</f>
        <v>-0.0</v>
      </c>
      <c r="UGJ53" s="5">
        <f>-IFERROR('4. NPV'!UGK23/'4. NPV'!UGK$8,0)</f>
        <v>-0.0</v>
      </c>
      <c r="UGK53" s="5">
        <f>-IFERROR('4. NPV'!UGL23/'4. NPV'!UGL$8,0)</f>
        <v>-0.0</v>
      </c>
      <c r="UGL53" s="5">
        <f>-IFERROR('4. NPV'!UGM23/'4. NPV'!UGM$8,0)</f>
        <v>-0.0</v>
      </c>
      <c r="UGM53" s="5">
        <f>-IFERROR('4. NPV'!UGN23/'4. NPV'!UGN$8,0)</f>
        <v>-0.0</v>
      </c>
      <c r="UGN53" s="5">
        <f>-IFERROR('4. NPV'!UGO23/'4. NPV'!UGO$8,0)</f>
        <v>-0.0</v>
      </c>
      <c r="UGO53" s="5">
        <f>-IFERROR('4. NPV'!UGP23/'4. NPV'!UGP$8,0)</f>
        <v>-0.0</v>
      </c>
      <c r="UGP53" s="5">
        <f>-IFERROR('4. NPV'!UGQ23/'4. NPV'!UGQ$8,0)</f>
        <v>-0.0</v>
      </c>
      <c r="UGQ53" s="5">
        <f>-IFERROR('4. NPV'!UGR23/'4. NPV'!UGR$8,0)</f>
        <v>-0.0</v>
      </c>
      <c r="UGR53" s="5">
        <f>-IFERROR('4. NPV'!UGS23/'4. NPV'!UGS$8,0)</f>
        <v>-0.0</v>
      </c>
      <c r="UGS53" s="5">
        <f>-IFERROR('4. NPV'!UGT23/'4. NPV'!UGT$8,0)</f>
        <v>-0.0</v>
      </c>
      <c r="UGT53" s="5">
        <f>-IFERROR('4. NPV'!UGU23/'4. NPV'!UGU$8,0)</f>
        <v>-0.0</v>
      </c>
      <c r="UGU53" s="5">
        <f>-IFERROR('4. NPV'!UGV23/'4. NPV'!UGV$8,0)</f>
        <v>-0.0</v>
      </c>
      <c r="UGV53" s="5">
        <f>-IFERROR('4. NPV'!UGW23/'4. NPV'!UGW$8,0)</f>
        <v>-0.0</v>
      </c>
      <c r="UGW53" s="5">
        <f>-IFERROR('4. NPV'!UGX23/'4. NPV'!UGX$8,0)</f>
        <v>-0.0</v>
      </c>
      <c r="UGX53" s="5">
        <f>-IFERROR('4. NPV'!UGY23/'4. NPV'!UGY$8,0)</f>
        <v>-0.0</v>
      </c>
      <c r="UGY53" s="5">
        <f>-IFERROR('4. NPV'!UGZ23/'4. NPV'!UGZ$8,0)</f>
        <v>-0.0</v>
      </c>
      <c r="UGZ53" s="5">
        <f>-IFERROR('4. NPV'!UHA23/'4. NPV'!UHA$8,0)</f>
        <v>-0.0</v>
      </c>
      <c r="UHA53" s="5">
        <f>-IFERROR('4. NPV'!UHB23/'4. NPV'!UHB$8,0)</f>
        <v>-0.0</v>
      </c>
      <c r="UHB53" s="5">
        <f>-IFERROR('4. NPV'!UHC23/'4. NPV'!UHC$8,0)</f>
        <v>-0.0</v>
      </c>
      <c r="UHC53" s="5">
        <f>-IFERROR('4. NPV'!UHD23/'4. NPV'!UHD$8,0)</f>
        <v>-0.0</v>
      </c>
      <c r="UHD53" s="5">
        <f>-IFERROR('4. NPV'!UHE23/'4. NPV'!UHE$8,0)</f>
        <v>-0.0</v>
      </c>
      <c r="UHE53" s="5">
        <f>-IFERROR('4. NPV'!UHF23/'4. NPV'!UHF$8,0)</f>
        <v>-0.0</v>
      </c>
      <c r="UHF53" s="5">
        <f>-IFERROR('4. NPV'!UHG23/'4. NPV'!UHG$8,0)</f>
        <v>-0.0</v>
      </c>
      <c r="UHG53" s="5">
        <f>-IFERROR('4. NPV'!UHH23/'4. NPV'!UHH$8,0)</f>
        <v>-0.0</v>
      </c>
      <c r="UHH53" s="5">
        <f>-IFERROR('4. NPV'!UHI23/'4. NPV'!UHI$8,0)</f>
        <v>-0.0</v>
      </c>
      <c r="UHI53" s="5">
        <f>-IFERROR('4. NPV'!UHJ23/'4. NPV'!UHJ$8,0)</f>
        <v>-0.0</v>
      </c>
      <c r="UHJ53" s="5">
        <f>-IFERROR('4. NPV'!UHK23/'4. NPV'!UHK$8,0)</f>
        <v>-0.0</v>
      </c>
      <c r="UHK53" s="5">
        <f>-IFERROR('4. NPV'!UHL23/'4. NPV'!UHL$8,0)</f>
        <v>-0.0</v>
      </c>
      <c r="UHL53" s="5">
        <f>-IFERROR('4. NPV'!UHM23/'4. NPV'!UHM$8,0)</f>
        <v>-0.0</v>
      </c>
      <c r="UHM53" s="5">
        <f>-IFERROR('4. NPV'!UHN23/'4. NPV'!UHN$8,0)</f>
        <v>-0.0</v>
      </c>
      <c r="UHN53" s="5">
        <f>-IFERROR('4. NPV'!UHO23/'4. NPV'!UHO$8,0)</f>
        <v>-0.0</v>
      </c>
      <c r="UHO53" s="5">
        <f>-IFERROR('4. NPV'!UHP23/'4. NPV'!UHP$8,0)</f>
        <v>-0.0</v>
      </c>
      <c r="UHP53" s="5">
        <f>-IFERROR('4. NPV'!UHQ23/'4. NPV'!UHQ$8,0)</f>
        <v>-0.0</v>
      </c>
      <c r="UHQ53" s="5">
        <f>-IFERROR('4. NPV'!UHR23/'4. NPV'!UHR$8,0)</f>
        <v>-0.0</v>
      </c>
      <c r="UHR53" s="5">
        <f>-IFERROR('4. NPV'!UHS23/'4. NPV'!UHS$8,0)</f>
        <v>-0.0</v>
      </c>
      <c r="UHS53" s="5">
        <f>-IFERROR('4. NPV'!UHT23/'4. NPV'!UHT$8,0)</f>
        <v>-0.0</v>
      </c>
      <c r="UHT53" s="5">
        <f>-IFERROR('4. NPV'!UHU23/'4. NPV'!UHU$8,0)</f>
        <v>-0.0</v>
      </c>
      <c r="UHU53" s="5">
        <f>-IFERROR('4. NPV'!UHV23/'4. NPV'!UHV$8,0)</f>
        <v>-0.0</v>
      </c>
      <c r="UHV53" s="5">
        <f>-IFERROR('4. NPV'!UHW23/'4. NPV'!UHW$8,0)</f>
        <v>-0.0</v>
      </c>
      <c r="UHW53" s="5">
        <f>-IFERROR('4. NPV'!UHX23/'4. NPV'!UHX$8,0)</f>
        <v>-0.0</v>
      </c>
      <c r="UHX53" s="5">
        <f>-IFERROR('4. NPV'!UHY23/'4. NPV'!UHY$8,0)</f>
        <v>-0.0</v>
      </c>
      <c r="UHY53" s="5">
        <f>-IFERROR('4. NPV'!UHZ23/'4. NPV'!UHZ$8,0)</f>
        <v>-0.0</v>
      </c>
      <c r="UHZ53" s="5">
        <f>-IFERROR('4. NPV'!UIA23/'4. NPV'!UIA$8,0)</f>
        <v>-0.0</v>
      </c>
      <c r="UIA53" s="5">
        <f>-IFERROR('4. NPV'!UIB23/'4. NPV'!UIB$8,0)</f>
        <v>-0.0</v>
      </c>
      <c r="UIB53" s="5">
        <f>-IFERROR('4. NPV'!UIC23/'4. NPV'!UIC$8,0)</f>
        <v>-0.0</v>
      </c>
      <c r="UIC53" s="5">
        <f>-IFERROR('4. NPV'!UID23/'4. NPV'!UID$8,0)</f>
        <v>-0.0</v>
      </c>
      <c r="UID53" s="5">
        <f>-IFERROR('4. NPV'!UIE23/'4. NPV'!UIE$8,0)</f>
        <v>-0.0</v>
      </c>
      <c r="UIE53" s="5">
        <f>-IFERROR('4. NPV'!UIF23/'4. NPV'!UIF$8,0)</f>
        <v>-0.0</v>
      </c>
      <c r="UIF53" s="5">
        <f>-IFERROR('4. NPV'!UIG23/'4. NPV'!UIG$8,0)</f>
        <v>-0.0</v>
      </c>
      <c r="UIG53" s="5">
        <f>-IFERROR('4. NPV'!UIH23/'4. NPV'!UIH$8,0)</f>
        <v>-0.0</v>
      </c>
      <c r="UIH53" s="5">
        <f>-IFERROR('4. NPV'!UII23/'4. NPV'!UII$8,0)</f>
        <v>-0.0</v>
      </c>
      <c r="UII53" s="5">
        <f>-IFERROR('4. NPV'!UIJ23/'4. NPV'!UIJ$8,0)</f>
        <v>-0.0</v>
      </c>
      <c r="UIJ53" s="5">
        <f>-IFERROR('4. NPV'!UIK23/'4. NPV'!UIK$8,0)</f>
        <v>-0.0</v>
      </c>
      <c r="UIK53" s="5">
        <f>-IFERROR('4. NPV'!UIL23/'4. NPV'!UIL$8,0)</f>
        <v>-0.0</v>
      </c>
      <c r="UIL53" s="5">
        <f>-IFERROR('4. NPV'!UIM23/'4. NPV'!UIM$8,0)</f>
        <v>-0.0</v>
      </c>
      <c r="UIM53" s="5">
        <f>-IFERROR('4. NPV'!UIN23/'4. NPV'!UIN$8,0)</f>
        <v>-0.0</v>
      </c>
      <c r="UIN53" s="5">
        <f>-IFERROR('4. NPV'!UIO23/'4. NPV'!UIO$8,0)</f>
        <v>-0.0</v>
      </c>
      <c r="UIO53" s="5">
        <f>-IFERROR('4. NPV'!UIP23/'4. NPV'!UIP$8,0)</f>
        <v>-0.0</v>
      </c>
      <c r="UIP53" s="5">
        <f>-IFERROR('4. NPV'!UIQ23/'4. NPV'!UIQ$8,0)</f>
        <v>-0.0</v>
      </c>
      <c r="UIQ53" s="5">
        <f>-IFERROR('4. NPV'!UIR23/'4. NPV'!UIR$8,0)</f>
        <v>-0.0</v>
      </c>
      <c r="UIR53" s="5">
        <f>-IFERROR('4. NPV'!UIS23/'4. NPV'!UIS$8,0)</f>
        <v>-0.0</v>
      </c>
      <c r="UIS53" s="5">
        <f>-IFERROR('4. NPV'!UIT23/'4. NPV'!UIT$8,0)</f>
        <v>-0.0</v>
      </c>
      <c r="UIT53" s="5">
        <f>-IFERROR('4. NPV'!UIU23/'4. NPV'!UIU$8,0)</f>
        <v>-0.0</v>
      </c>
      <c r="UIU53" s="5">
        <f>-IFERROR('4. NPV'!UIV23/'4. NPV'!UIV$8,0)</f>
        <v>-0.0</v>
      </c>
      <c r="UIV53" s="5">
        <f>-IFERROR('4. NPV'!UIW23/'4. NPV'!UIW$8,0)</f>
        <v>-0.0</v>
      </c>
      <c r="UIW53" s="5">
        <f>-IFERROR('4. NPV'!UIX23/'4. NPV'!UIX$8,0)</f>
        <v>-0.0</v>
      </c>
      <c r="UIX53" s="5">
        <f>-IFERROR('4. NPV'!UIY23/'4. NPV'!UIY$8,0)</f>
        <v>-0.0</v>
      </c>
      <c r="UIY53" s="5">
        <f>-IFERROR('4. NPV'!UIZ23/'4. NPV'!UIZ$8,0)</f>
        <v>-0.0</v>
      </c>
      <c r="UIZ53" s="5">
        <f>-IFERROR('4. NPV'!UJA23/'4. NPV'!UJA$8,0)</f>
        <v>-0.0</v>
      </c>
      <c r="UJA53" s="5">
        <f>-IFERROR('4. NPV'!UJB23/'4. NPV'!UJB$8,0)</f>
        <v>-0.0</v>
      </c>
      <c r="UJB53" s="5">
        <f>-IFERROR('4. NPV'!UJC23/'4. NPV'!UJC$8,0)</f>
        <v>-0.0</v>
      </c>
      <c r="UJC53" s="5">
        <f>-IFERROR('4. NPV'!UJD23/'4. NPV'!UJD$8,0)</f>
        <v>-0.0</v>
      </c>
      <c r="UJD53" s="5">
        <f>-IFERROR('4. NPV'!UJE23/'4. NPV'!UJE$8,0)</f>
        <v>-0.0</v>
      </c>
      <c r="UJE53" s="5">
        <f>-IFERROR('4. NPV'!UJF23/'4. NPV'!UJF$8,0)</f>
        <v>-0.0</v>
      </c>
      <c r="UJF53" s="5">
        <f>-IFERROR('4. NPV'!UJG23/'4. NPV'!UJG$8,0)</f>
        <v>-0.0</v>
      </c>
      <c r="UJG53" s="5">
        <f>-IFERROR('4. NPV'!UJH23/'4. NPV'!UJH$8,0)</f>
        <v>-0.0</v>
      </c>
      <c r="UJH53" s="5">
        <f>-IFERROR('4. NPV'!UJI23/'4. NPV'!UJI$8,0)</f>
        <v>-0.0</v>
      </c>
      <c r="UJI53" s="5">
        <f>-IFERROR('4. NPV'!UJJ23/'4. NPV'!UJJ$8,0)</f>
        <v>-0.0</v>
      </c>
      <c r="UJJ53" s="5">
        <f>-IFERROR('4. NPV'!UJK23/'4. NPV'!UJK$8,0)</f>
        <v>-0.0</v>
      </c>
      <c r="UJK53" s="5">
        <f>-IFERROR('4. NPV'!UJL23/'4. NPV'!UJL$8,0)</f>
        <v>-0.0</v>
      </c>
      <c r="UJL53" s="5">
        <f>-IFERROR('4. NPV'!UJM23/'4. NPV'!UJM$8,0)</f>
        <v>-0.0</v>
      </c>
      <c r="UJM53" s="5">
        <f>-IFERROR('4. NPV'!UJN23/'4. NPV'!UJN$8,0)</f>
        <v>-0.0</v>
      </c>
      <c r="UJN53" s="5">
        <f>-IFERROR('4. NPV'!UJO23/'4. NPV'!UJO$8,0)</f>
        <v>-0.0</v>
      </c>
      <c r="UJO53" s="5">
        <f>-IFERROR('4. NPV'!UJP23/'4. NPV'!UJP$8,0)</f>
        <v>-0.0</v>
      </c>
      <c r="UJP53" s="5">
        <f>-IFERROR('4. NPV'!UJQ23/'4. NPV'!UJQ$8,0)</f>
        <v>-0.0</v>
      </c>
      <c r="UJQ53" s="5">
        <f>-IFERROR('4. NPV'!UJR23/'4. NPV'!UJR$8,0)</f>
        <v>-0.0</v>
      </c>
      <c r="UJR53" s="5">
        <f>-IFERROR('4. NPV'!UJS23/'4. NPV'!UJS$8,0)</f>
        <v>-0.0</v>
      </c>
      <c r="UJS53" s="5">
        <f>-IFERROR('4. NPV'!UJT23/'4. NPV'!UJT$8,0)</f>
        <v>-0.0</v>
      </c>
      <c r="UJT53" s="5">
        <f>-IFERROR('4. NPV'!UJU23/'4. NPV'!UJU$8,0)</f>
        <v>-0.0</v>
      </c>
      <c r="UJU53" s="5">
        <f>-IFERROR('4. NPV'!UJV23/'4. NPV'!UJV$8,0)</f>
        <v>-0.0</v>
      </c>
      <c r="UJV53" s="5">
        <f>-IFERROR('4. NPV'!UJW23/'4. NPV'!UJW$8,0)</f>
        <v>-0.0</v>
      </c>
      <c r="UJW53" s="5">
        <f>-IFERROR('4. NPV'!UJX23/'4. NPV'!UJX$8,0)</f>
        <v>-0.0</v>
      </c>
      <c r="UJX53" s="5">
        <f>-IFERROR('4. NPV'!UJY23/'4. NPV'!UJY$8,0)</f>
        <v>-0.0</v>
      </c>
      <c r="UJY53" s="5">
        <f>-IFERROR('4. NPV'!UJZ23/'4. NPV'!UJZ$8,0)</f>
        <v>-0.0</v>
      </c>
      <c r="UJZ53" s="5">
        <f>-IFERROR('4. NPV'!UKA23/'4. NPV'!UKA$8,0)</f>
        <v>-0.0</v>
      </c>
      <c r="UKA53" s="5">
        <f>-IFERROR('4. NPV'!UKB23/'4. NPV'!UKB$8,0)</f>
        <v>-0.0</v>
      </c>
      <c r="UKB53" s="5">
        <f>-IFERROR('4. NPV'!UKC23/'4. NPV'!UKC$8,0)</f>
        <v>-0.0</v>
      </c>
      <c r="UKC53" s="5">
        <f>-IFERROR('4. NPV'!UKD23/'4. NPV'!UKD$8,0)</f>
        <v>-0.0</v>
      </c>
      <c r="UKD53" s="5">
        <f>-IFERROR('4. NPV'!UKE23/'4. NPV'!UKE$8,0)</f>
        <v>-0.0</v>
      </c>
      <c r="UKE53" s="5">
        <f>-IFERROR('4. NPV'!UKF23/'4. NPV'!UKF$8,0)</f>
        <v>-0.0</v>
      </c>
      <c r="UKF53" s="5">
        <f>-IFERROR('4. NPV'!UKG23/'4. NPV'!UKG$8,0)</f>
        <v>-0.0</v>
      </c>
      <c r="UKG53" s="5">
        <f>-IFERROR('4. NPV'!UKH23/'4. NPV'!UKH$8,0)</f>
        <v>-0.0</v>
      </c>
      <c r="UKH53" s="5">
        <f>-IFERROR('4. NPV'!UKI23/'4. NPV'!UKI$8,0)</f>
        <v>-0.0</v>
      </c>
      <c r="UKI53" s="5">
        <f>-IFERROR('4. NPV'!UKJ23/'4. NPV'!UKJ$8,0)</f>
        <v>-0.0</v>
      </c>
      <c r="UKJ53" s="5">
        <f>-IFERROR('4. NPV'!UKK23/'4. NPV'!UKK$8,0)</f>
        <v>-0.0</v>
      </c>
      <c r="UKK53" s="5">
        <f>-IFERROR('4. NPV'!UKL23/'4. NPV'!UKL$8,0)</f>
        <v>-0.0</v>
      </c>
      <c r="UKL53" s="5">
        <f>-IFERROR('4. NPV'!UKM23/'4. NPV'!UKM$8,0)</f>
        <v>-0.0</v>
      </c>
      <c r="UKM53" s="5">
        <f>-IFERROR('4. NPV'!UKN23/'4. NPV'!UKN$8,0)</f>
        <v>-0.0</v>
      </c>
      <c r="UKN53" s="5">
        <f>-IFERROR('4. NPV'!UKO23/'4. NPV'!UKO$8,0)</f>
        <v>-0.0</v>
      </c>
      <c r="UKO53" s="5">
        <f>-IFERROR('4. NPV'!UKP23/'4. NPV'!UKP$8,0)</f>
        <v>-0.0</v>
      </c>
      <c r="UKP53" s="5">
        <f>-IFERROR('4. NPV'!UKQ23/'4. NPV'!UKQ$8,0)</f>
        <v>-0.0</v>
      </c>
      <c r="UKQ53" s="5">
        <f>-IFERROR('4. NPV'!UKR23/'4. NPV'!UKR$8,0)</f>
        <v>-0.0</v>
      </c>
      <c r="UKR53" s="5">
        <f>-IFERROR('4. NPV'!UKS23/'4. NPV'!UKS$8,0)</f>
        <v>-0.0</v>
      </c>
      <c r="UKS53" s="5">
        <f>-IFERROR('4. NPV'!UKT23/'4. NPV'!UKT$8,0)</f>
        <v>-0.0</v>
      </c>
      <c r="UKT53" s="5">
        <f>-IFERROR('4. NPV'!UKU23/'4. NPV'!UKU$8,0)</f>
        <v>-0.0</v>
      </c>
      <c r="UKU53" s="5">
        <f>-IFERROR('4. NPV'!UKV23/'4. NPV'!UKV$8,0)</f>
        <v>-0.0</v>
      </c>
      <c r="UKV53" s="5">
        <f>-IFERROR('4. NPV'!UKW23/'4. NPV'!UKW$8,0)</f>
        <v>-0.0</v>
      </c>
      <c r="UKW53" s="5">
        <f>-IFERROR('4. NPV'!UKX23/'4. NPV'!UKX$8,0)</f>
        <v>-0.0</v>
      </c>
      <c r="UKX53" s="5">
        <f>-IFERROR('4. NPV'!UKY23/'4. NPV'!UKY$8,0)</f>
        <v>-0.0</v>
      </c>
      <c r="UKY53" s="5">
        <f>-IFERROR('4. NPV'!UKZ23/'4. NPV'!UKZ$8,0)</f>
        <v>-0.0</v>
      </c>
      <c r="UKZ53" s="5">
        <f>-IFERROR('4. NPV'!ULA23/'4. NPV'!ULA$8,0)</f>
        <v>-0.0</v>
      </c>
      <c r="ULA53" s="5">
        <f>-IFERROR('4. NPV'!ULB23/'4. NPV'!ULB$8,0)</f>
        <v>-0.0</v>
      </c>
      <c r="ULB53" s="5">
        <f>-IFERROR('4. NPV'!ULC23/'4. NPV'!ULC$8,0)</f>
        <v>-0.0</v>
      </c>
      <c r="ULC53" s="5">
        <f>-IFERROR('4. NPV'!ULD23/'4. NPV'!ULD$8,0)</f>
        <v>-0.0</v>
      </c>
      <c r="ULD53" s="5">
        <f>-IFERROR('4. NPV'!ULE23/'4. NPV'!ULE$8,0)</f>
        <v>-0.0</v>
      </c>
      <c r="ULE53" s="5">
        <f>-IFERROR('4. NPV'!ULF23/'4. NPV'!ULF$8,0)</f>
        <v>-0.0</v>
      </c>
      <c r="ULF53" s="5">
        <f>-IFERROR('4. NPV'!ULG23/'4. NPV'!ULG$8,0)</f>
        <v>-0.0</v>
      </c>
      <c r="ULG53" s="5">
        <f>-IFERROR('4. NPV'!ULH23/'4. NPV'!ULH$8,0)</f>
        <v>-0.0</v>
      </c>
      <c r="ULH53" s="5">
        <f>-IFERROR('4. NPV'!ULI23/'4. NPV'!ULI$8,0)</f>
        <v>-0.0</v>
      </c>
      <c r="ULI53" s="5">
        <f>-IFERROR('4. NPV'!ULJ23/'4. NPV'!ULJ$8,0)</f>
        <v>-0.0</v>
      </c>
      <c r="ULJ53" s="5">
        <f>-IFERROR('4. NPV'!ULK23/'4. NPV'!ULK$8,0)</f>
        <v>-0.0</v>
      </c>
      <c r="ULK53" s="5">
        <f>-IFERROR('4. NPV'!ULL23/'4. NPV'!ULL$8,0)</f>
        <v>-0.0</v>
      </c>
      <c r="ULL53" s="5">
        <f>-IFERROR('4. NPV'!ULM23/'4. NPV'!ULM$8,0)</f>
        <v>-0.0</v>
      </c>
      <c r="ULM53" s="5">
        <f>-IFERROR('4. NPV'!ULN23/'4. NPV'!ULN$8,0)</f>
        <v>-0.0</v>
      </c>
      <c r="ULN53" s="5">
        <f>-IFERROR('4. NPV'!ULO23/'4. NPV'!ULO$8,0)</f>
        <v>-0.0</v>
      </c>
      <c r="ULO53" s="5">
        <f>-IFERROR('4. NPV'!ULP23/'4. NPV'!ULP$8,0)</f>
        <v>-0.0</v>
      </c>
      <c r="ULP53" s="5">
        <f>-IFERROR('4. NPV'!ULQ23/'4. NPV'!ULQ$8,0)</f>
        <v>-0.0</v>
      </c>
      <c r="ULQ53" s="5">
        <f>-IFERROR('4. NPV'!ULR23/'4. NPV'!ULR$8,0)</f>
        <v>-0.0</v>
      </c>
      <c r="ULR53" s="5">
        <f>-IFERROR('4. NPV'!ULS23/'4. NPV'!ULS$8,0)</f>
        <v>-0.0</v>
      </c>
      <c r="ULS53" s="5">
        <f>-IFERROR('4. NPV'!ULT23/'4. NPV'!ULT$8,0)</f>
        <v>-0.0</v>
      </c>
      <c r="ULT53" s="5">
        <f>-IFERROR('4. NPV'!ULU23/'4. NPV'!ULU$8,0)</f>
        <v>-0.0</v>
      </c>
      <c r="ULU53" s="5">
        <f>-IFERROR('4. NPV'!ULV23/'4. NPV'!ULV$8,0)</f>
        <v>-0.0</v>
      </c>
      <c r="ULV53" s="5">
        <f>-IFERROR('4. NPV'!ULW23/'4. NPV'!ULW$8,0)</f>
        <v>-0.0</v>
      </c>
      <c r="ULW53" s="5">
        <f>-IFERROR('4. NPV'!ULX23/'4. NPV'!ULX$8,0)</f>
        <v>-0.0</v>
      </c>
      <c r="ULX53" s="5">
        <f>-IFERROR('4. NPV'!ULY23/'4. NPV'!ULY$8,0)</f>
        <v>-0.0</v>
      </c>
      <c r="ULY53" s="5">
        <f>-IFERROR('4. NPV'!ULZ23/'4. NPV'!ULZ$8,0)</f>
        <v>-0.0</v>
      </c>
      <c r="ULZ53" s="5">
        <f>-IFERROR('4. NPV'!UMA23/'4. NPV'!UMA$8,0)</f>
        <v>-0.0</v>
      </c>
      <c r="UMA53" s="5">
        <f>-IFERROR('4. NPV'!UMB23/'4. NPV'!UMB$8,0)</f>
        <v>-0.0</v>
      </c>
      <c r="UMB53" s="5">
        <f>-IFERROR('4. NPV'!UMC23/'4. NPV'!UMC$8,0)</f>
        <v>-0.0</v>
      </c>
      <c r="UMC53" s="5">
        <f>-IFERROR('4. NPV'!UMD23/'4. NPV'!UMD$8,0)</f>
        <v>-0.0</v>
      </c>
      <c r="UMD53" s="5">
        <f>-IFERROR('4. NPV'!UME23/'4. NPV'!UME$8,0)</f>
        <v>-0.0</v>
      </c>
      <c r="UME53" s="5">
        <f>-IFERROR('4. NPV'!UMF23/'4. NPV'!UMF$8,0)</f>
        <v>-0.0</v>
      </c>
      <c r="UMF53" s="5">
        <f>-IFERROR('4. NPV'!UMG23/'4. NPV'!UMG$8,0)</f>
        <v>-0.0</v>
      </c>
      <c r="UMG53" s="5">
        <f>-IFERROR('4. NPV'!UMH23/'4. NPV'!UMH$8,0)</f>
        <v>-0.0</v>
      </c>
      <c r="UMH53" s="5">
        <f>-IFERROR('4. NPV'!UMI23/'4. NPV'!UMI$8,0)</f>
        <v>-0.0</v>
      </c>
      <c r="UMI53" s="5">
        <f>-IFERROR('4. NPV'!UMJ23/'4. NPV'!UMJ$8,0)</f>
        <v>-0.0</v>
      </c>
      <c r="UMJ53" s="5">
        <f>-IFERROR('4. NPV'!UMK23/'4. NPV'!UMK$8,0)</f>
        <v>-0.0</v>
      </c>
      <c r="UMK53" s="5">
        <f>-IFERROR('4. NPV'!UML23/'4. NPV'!UML$8,0)</f>
        <v>-0.0</v>
      </c>
      <c r="UML53" s="5">
        <f>-IFERROR('4. NPV'!UMM23/'4. NPV'!UMM$8,0)</f>
        <v>-0.0</v>
      </c>
      <c r="UMM53" s="5">
        <f>-IFERROR('4. NPV'!UMN23/'4. NPV'!UMN$8,0)</f>
        <v>-0.0</v>
      </c>
      <c r="UMN53" s="5">
        <f>-IFERROR('4. NPV'!UMO23/'4. NPV'!UMO$8,0)</f>
        <v>-0.0</v>
      </c>
      <c r="UMO53" s="5">
        <f>-IFERROR('4. NPV'!UMP23/'4. NPV'!UMP$8,0)</f>
        <v>-0.0</v>
      </c>
      <c r="UMP53" s="5">
        <f>-IFERROR('4. NPV'!UMQ23/'4. NPV'!UMQ$8,0)</f>
        <v>-0.0</v>
      </c>
      <c r="UMQ53" s="5">
        <f>-IFERROR('4. NPV'!UMR23/'4. NPV'!UMR$8,0)</f>
        <v>-0.0</v>
      </c>
      <c r="UMR53" s="5">
        <f>-IFERROR('4. NPV'!UMS23/'4. NPV'!UMS$8,0)</f>
        <v>-0.0</v>
      </c>
      <c r="UMS53" s="5">
        <f>-IFERROR('4. NPV'!UMT23/'4. NPV'!UMT$8,0)</f>
        <v>-0.0</v>
      </c>
      <c r="UMT53" s="5">
        <f>-IFERROR('4. NPV'!UMU23/'4. NPV'!UMU$8,0)</f>
        <v>-0.0</v>
      </c>
      <c r="UMU53" s="5">
        <f>-IFERROR('4. NPV'!UMV23/'4. NPV'!UMV$8,0)</f>
        <v>-0.0</v>
      </c>
      <c r="UMV53" s="5">
        <f>-IFERROR('4. NPV'!UMW23/'4. NPV'!UMW$8,0)</f>
        <v>-0.0</v>
      </c>
      <c r="UMW53" s="5">
        <f>-IFERROR('4. NPV'!UMX23/'4. NPV'!UMX$8,0)</f>
        <v>-0.0</v>
      </c>
      <c r="UMX53" s="5">
        <f>-IFERROR('4. NPV'!UMY23/'4. NPV'!UMY$8,0)</f>
        <v>-0.0</v>
      </c>
      <c r="UMY53" s="5">
        <f>-IFERROR('4. NPV'!UMZ23/'4. NPV'!UMZ$8,0)</f>
        <v>-0.0</v>
      </c>
      <c r="UMZ53" s="5">
        <f>-IFERROR('4. NPV'!UNA23/'4. NPV'!UNA$8,0)</f>
        <v>-0.0</v>
      </c>
      <c r="UNA53" s="5">
        <f>-IFERROR('4. NPV'!UNB23/'4. NPV'!UNB$8,0)</f>
        <v>-0.0</v>
      </c>
      <c r="UNB53" s="5">
        <f>-IFERROR('4. NPV'!UNC23/'4. NPV'!UNC$8,0)</f>
        <v>-0.0</v>
      </c>
      <c r="UNC53" s="5">
        <f>-IFERROR('4. NPV'!UND23/'4. NPV'!UND$8,0)</f>
        <v>-0.0</v>
      </c>
      <c r="UND53" s="5">
        <f>-IFERROR('4. NPV'!UNE23/'4. NPV'!UNE$8,0)</f>
        <v>-0.0</v>
      </c>
      <c r="UNE53" s="5">
        <f>-IFERROR('4. NPV'!UNF23/'4. NPV'!UNF$8,0)</f>
        <v>-0.0</v>
      </c>
      <c r="UNF53" s="5">
        <f>-IFERROR('4. NPV'!UNG23/'4. NPV'!UNG$8,0)</f>
        <v>-0.0</v>
      </c>
      <c r="UNG53" s="5">
        <f>-IFERROR('4. NPV'!UNH23/'4. NPV'!UNH$8,0)</f>
        <v>-0.0</v>
      </c>
      <c r="UNH53" s="5">
        <f>-IFERROR('4. NPV'!UNI23/'4. NPV'!UNI$8,0)</f>
        <v>-0.0</v>
      </c>
      <c r="UNI53" s="5">
        <f>-IFERROR('4. NPV'!UNJ23/'4. NPV'!UNJ$8,0)</f>
        <v>-0.0</v>
      </c>
      <c r="UNJ53" s="5">
        <f>-IFERROR('4. NPV'!UNK23/'4. NPV'!UNK$8,0)</f>
        <v>-0.0</v>
      </c>
      <c r="UNK53" s="5">
        <f>-IFERROR('4. NPV'!UNL23/'4. NPV'!UNL$8,0)</f>
        <v>-0.0</v>
      </c>
      <c r="UNL53" s="5">
        <f>-IFERROR('4. NPV'!UNM23/'4. NPV'!UNM$8,0)</f>
        <v>-0.0</v>
      </c>
      <c r="UNM53" s="5">
        <f>-IFERROR('4. NPV'!UNN23/'4. NPV'!UNN$8,0)</f>
        <v>-0.0</v>
      </c>
      <c r="UNN53" s="5">
        <f>-IFERROR('4. NPV'!UNO23/'4. NPV'!UNO$8,0)</f>
        <v>-0.0</v>
      </c>
      <c r="UNO53" s="5">
        <f>-IFERROR('4. NPV'!UNP23/'4. NPV'!UNP$8,0)</f>
        <v>-0.0</v>
      </c>
      <c r="UNP53" s="5">
        <f>-IFERROR('4. NPV'!UNQ23/'4. NPV'!UNQ$8,0)</f>
        <v>-0.0</v>
      </c>
      <c r="UNQ53" s="5">
        <f>-IFERROR('4. NPV'!UNR23/'4. NPV'!UNR$8,0)</f>
        <v>-0.0</v>
      </c>
      <c r="UNR53" s="5">
        <f>-IFERROR('4. NPV'!UNS23/'4. NPV'!UNS$8,0)</f>
        <v>-0.0</v>
      </c>
      <c r="UNS53" s="5">
        <f>-IFERROR('4. NPV'!UNT23/'4. NPV'!UNT$8,0)</f>
        <v>-0.0</v>
      </c>
      <c r="UNT53" s="5">
        <f>-IFERROR('4. NPV'!UNU23/'4. NPV'!UNU$8,0)</f>
        <v>-0.0</v>
      </c>
      <c r="UNU53" s="5">
        <f>-IFERROR('4. NPV'!UNV23/'4. NPV'!UNV$8,0)</f>
        <v>-0.0</v>
      </c>
      <c r="UNV53" s="5">
        <f>-IFERROR('4. NPV'!UNW23/'4. NPV'!UNW$8,0)</f>
        <v>-0.0</v>
      </c>
      <c r="UNW53" s="5">
        <f>-IFERROR('4. NPV'!UNX23/'4. NPV'!UNX$8,0)</f>
        <v>-0.0</v>
      </c>
      <c r="UNX53" s="5">
        <f>-IFERROR('4. NPV'!UNY23/'4. NPV'!UNY$8,0)</f>
        <v>-0.0</v>
      </c>
      <c r="UNY53" s="5">
        <f>-IFERROR('4. NPV'!UNZ23/'4. NPV'!UNZ$8,0)</f>
        <v>-0.0</v>
      </c>
      <c r="UNZ53" s="5">
        <f>-IFERROR('4. NPV'!UOA23/'4. NPV'!UOA$8,0)</f>
        <v>-0.0</v>
      </c>
      <c r="UOA53" s="5">
        <f>-IFERROR('4. NPV'!UOB23/'4. NPV'!UOB$8,0)</f>
        <v>-0.0</v>
      </c>
      <c r="UOB53" s="5">
        <f>-IFERROR('4. NPV'!UOC23/'4. NPV'!UOC$8,0)</f>
        <v>-0.0</v>
      </c>
      <c r="UOC53" s="5">
        <f>-IFERROR('4. NPV'!UOD23/'4. NPV'!UOD$8,0)</f>
        <v>-0.0</v>
      </c>
      <c r="UOD53" s="5">
        <f>-IFERROR('4. NPV'!UOE23/'4. NPV'!UOE$8,0)</f>
        <v>-0.0</v>
      </c>
      <c r="UOE53" s="5">
        <f>-IFERROR('4. NPV'!UOF23/'4. NPV'!UOF$8,0)</f>
        <v>-0.0</v>
      </c>
      <c r="UOF53" s="5">
        <f>-IFERROR('4. NPV'!UOG23/'4. NPV'!UOG$8,0)</f>
        <v>-0.0</v>
      </c>
      <c r="UOG53" s="5">
        <f>-IFERROR('4. NPV'!UOH23/'4. NPV'!UOH$8,0)</f>
        <v>-0.0</v>
      </c>
      <c r="UOH53" s="5">
        <f>-IFERROR('4. NPV'!UOI23/'4. NPV'!UOI$8,0)</f>
        <v>-0.0</v>
      </c>
      <c r="UOI53" s="5">
        <f>-IFERROR('4. NPV'!UOJ23/'4. NPV'!UOJ$8,0)</f>
        <v>-0.0</v>
      </c>
      <c r="UOJ53" s="5">
        <f>-IFERROR('4. NPV'!UOK23/'4. NPV'!UOK$8,0)</f>
        <v>-0.0</v>
      </c>
      <c r="UOK53" s="5">
        <f>-IFERROR('4. NPV'!UOL23/'4. NPV'!UOL$8,0)</f>
        <v>-0.0</v>
      </c>
      <c r="UOL53" s="5">
        <f>-IFERROR('4. NPV'!UOM23/'4. NPV'!UOM$8,0)</f>
        <v>-0.0</v>
      </c>
      <c r="UOM53" s="5">
        <f>-IFERROR('4. NPV'!UON23/'4. NPV'!UON$8,0)</f>
        <v>-0.0</v>
      </c>
      <c r="UON53" s="5">
        <f>-IFERROR('4. NPV'!UOO23/'4. NPV'!UOO$8,0)</f>
        <v>-0.0</v>
      </c>
      <c r="UOO53" s="5">
        <f>-IFERROR('4. NPV'!UOP23/'4. NPV'!UOP$8,0)</f>
        <v>-0.0</v>
      </c>
      <c r="UOP53" s="5">
        <f>-IFERROR('4. NPV'!UOQ23/'4. NPV'!UOQ$8,0)</f>
        <v>-0.0</v>
      </c>
      <c r="UOQ53" s="5">
        <f>-IFERROR('4. NPV'!UOR23/'4. NPV'!UOR$8,0)</f>
        <v>-0.0</v>
      </c>
      <c r="UOR53" s="5">
        <f>-IFERROR('4. NPV'!UOS23/'4. NPV'!UOS$8,0)</f>
        <v>-0.0</v>
      </c>
      <c r="UOS53" s="5">
        <f>-IFERROR('4. NPV'!UOT23/'4. NPV'!UOT$8,0)</f>
        <v>-0.0</v>
      </c>
      <c r="UOT53" s="5">
        <f>-IFERROR('4. NPV'!UOU23/'4. NPV'!UOU$8,0)</f>
        <v>-0.0</v>
      </c>
      <c r="UOU53" s="5">
        <f>-IFERROR('4. NPV'!UOV23/'4. NPV'!UOV$8,0)</f>
        <v>-0.0</v>
      </c>
      <c r="UOV53" s="5">
        <f>-IFERROR('4. NPV'!UOW23/'4. NPV'!UOW$8,0)</f>
        <v>-0.0</v>
      </c>
      <c r="UOW53" s="5">
        <f>-IFERROR('4. NPV'!UOX23/'4. NPV'!UOX$8,0)</f>
        <v>-0.0</v>
      </c>
      <c r="UOX53" s="5">
        <f>-IFERROR('4. NPV'!UOY23/'4. NPV'!UOY$8,0)</f>
        <v>-0.0</v>
      </c>
      <c r="UOY53" s="5">
        <f>-IFERROR('4. NPV'!UOZ23/'4. NPV'!UOZ$8,0)</f>
        <v>-0.0</v>
      </c>
      <c r="UOZ53" s="5">
        <f>-IFERROR('4. NPV'!UPA23/'4. NPV'!UPA$8,0)</f>
        <v>-0.0</v>
      </c>
      <c r="UPA53" s="5">
        <f>-IFERROR('4. NPV'!UPB23/'4. NPV'!UPB$8,0)</f>
        <v>-0.0</v>
      </c>
      <c r="UPB53" s="5">
        <f>-IFERROR('4. NPV'!UPC23/'4. NPV'!UPC$8,0)</f>
        <v>-0.0</v>
      </c>
      <c r="UPC53" s="5">
        <f>-IFERROR('4. NPV'!UPD23/'4. NPV'!UPD$8,0)</f>
        <v>-0.0</v>
      </c>
      <c r="UPD53" s="5">
        <f>-IFERROR('4. NPV'!UPE23/'4. NPV'!UPE$8,0)</f>
        <v>-0.0</v>
      </c>
      <c r="UPE53" s="5">
        <f>-IFERROR('4. NPV'!UPF23/'4. NPV'!UPF$8,0)</f>
        <v>-0.0</v>
      </c>
      <c r="UPF53" s="5">
        <f>-IFERROR('4. NPV'!UPG23/'4. NPV'!UPG$8,0)</f>
        <v>-0.0</v>
      </c>
      <c r="UPG53" s="5">
        <f>-IFERROR('4. NPV'!UPH23/'4. NPV'!UPH$8,0)</f>
        <v>-0.0</v>
      </c>
      <c r="UPH53" s="5">
        <f>-IFERROR('4. NPV'!UPI23/'4. NPV'!UPI$8,0)</f>
        <v>-0.0</v>
      </c>
      <c r="UPI53" s="5">
        <f>-IFERROR('4. NPV'!UPJ23/'4. NPV'!UPJ$8,0)</f>
        <v>-0.0</v>
      </c>
      <c r="UPJ53" s="5">
        <f>-IFERROR('4. NPV'!UPK23/'4. NPV'!UPK$8,0)</f>
        <v>-0.0</v>
      </c>
      <c r="UPK53" s="5">
        <f>-IFERROR('4. NPV'!UPL23/'4. NPV'!UPL$8,0)</f>
        <v>-0.0</v>
      </c>
      <c r="UPL53" s="5">
        <f>-IFERROR('4. NPV'!UPM23/'4. NPV'!UPM$8,0)</f>
        <v>-0.0</v>
      </c>
      <c r="UPM53" s="5">
        <f>-IFERROR('4. NPV'!UPN23/'4. NPV'!UPN$8,0)</f>
        <v>-0.0</v>
      </c>
      <c r="UPN53" s="5">
        <f>-IFERROR('4. NPV'!UPO23/'4. NPV'!UPO$8,0)</f>
        <v>-0.0</v>
      </c>
      <c r="UPO53" s="5">
        <f>-IFERROR('4. NPV'!UPP23/'4. NPV'!UPP$8,0)</f>
        <v>-0.0</v>
      </c>
      <c r="UPP53" s="5">
        <f>-IFERROR('4. NPV'!UPQ23/'4. NPV'!UPQ$8,0)</f>
        <v>-0.0</v>
      </c>
      <c r="UPQ53" s="5">
        <f>-IFERROR('4. NPV'!UPR23/'4. NPV'!UPR$8,0)</f>
        <v>-0.0</v>
      </c>
      <c r="UPR53" s="5">
        <f>-IFERROR('4. NPV'!UPS23/'4. NPV'!UPS$8,0)</f>
        <v>-0.0</v>
      </c>
      <c r="UPS53" s="5">
        <f>-IFERROR('4. NPV'!UPT23/'4. NPV'!UPT$8,0)</f>
        <v>-0.0</v>
      </c>
      <c r="UPT53" s="5">
        <f>-IFERROR('4. NPV'!UPU23/'4. NPV'!UPU$8,0)</f>
        <v>-0.0</v>
      </c>
      <c r="UPU53" s="5">
        <f>-IFERROR('4. NPV'!UPV23/'4. NPV'!UPV$8,0)</f>
        <v>-0.0</v>
      </c>
      <c r="UPV53" s="5">
        <f>-IFERROR('4. NPV'!UPW23/'4. NPV'!UPW$8,0)</f>
        <v>-0.0</v>
      </c>
      <c r="UPW53" s="5">
        <f>-IFERROR('4. NPV'!UPX23/'4. NPV'!UPX$8,0)</f>
        <v>-0.0</v>
      </c>
      <c r="UPX53" s="5">
        <f>-IFERROR('4. NPV'!UPY23/'4. NPV'!UPY$8,0)</f>
        <v>-0.0</v>
      </c>
      <c r="UPY53" s="5">
        <f>-IFERROR('4. NPV'!UPZ23/'4. NPV'!UPZ$8,0)</f>
        <v>-0.0</v>
      </c>
      <c r="UPZ53" s="5">
        <f>-IFERROR('4. NPV'!UQA23/'4. NPV'!UQA$8,0)</f>
        <v>-0.0</v>
      </c>
      <c r="UQA53" s="5">
        <f>-IFERROR('4. NPV'!UQB23/'4. NPV'!UQB$8,0)</f>
        <v>-0.0</v>
      </c>
      <c r="UQB53" s="5">
        <f>-IFERROR('4. NPV'!UQC23/'4. NPV'!UQC$8,0)</f>
        <v>-0.0</v>
      </c>
      <c r="UQC53" s="5">
        <f>-IFERROR('4. NPV'!UQD23/'4. NPV'!UQD$8,0)</f>
        <v>-0.0</v>
      </c>
      <c r="UQD53" s="5">
        <f>-IFERROR('4. NPV'!UQE23/'4. NPV'!UQE$8,0)</f>
        <v>-0.0</v>
      </c>
      <c r="UQE53" s="5">
        <f>-IFERROR('4. NPV'!UQF23/'4. NPV'!UQF$8,0)</f>
        <v>-0.0</v>
      </c>
      <c r="UQF53" s="5">
        <f>-IFERROR('4. NPV'!UQG23/'4. NPV'!UQG$8,0)</f>
        <v>-0.0</v>
      </c>
      <c r="UQG53" s="5">
        <f>-IFERROR('4. NPV'!UQH23/'4. NPV'!UQH$8,0)</f>
        <v>-0.0</v>
      </c>
      <c r="UQH53" s="5">
        <f>-IFERROR('4. NPV'!UQI23/'4. NPV'!UQI$8,0)</f>
        <v>-0.0</v>
      </c>
      <c r="UQI53" s="5">
        <f>-IFERROR('4. NPV'!UQJ23/'4. NPV'!UQJ$8,0)</f>
        <v>-0.0</v>
      </c>
      <c r="UQJ53" s="5">
        <f>-IFERROR('4. NPV'!UQK23/'4. NPV'!UQK$8,0)</f>
        <v>-0.0</v>
      </c>
      <c r="UQK53" s="5">
        <f>-IFERROR('4. NPV'!UQL23/'4. NPV'!UQL$8,0)</f>
        <v>-0.0</v>
      </c>
      <c r="UQL53" s="5">
        <f>-IFERROR('4. NPV'!UQM23/'4. NPV'!UQM$8,0)</f>
        <v>-0.0</v>
      </c>
      <c r="UQM53" s="5">
        <f>-IFERROR('4. NPV'!UQN23/'4. NPV'!UQN$8,0)</f>
        <v>-0.0</v>
      </c>
      <c r="UQN53" s="5">
        <f>-IFERROR('4. NPV'!UQO23/'4. NPV'!UQO$8,0)</f>
        <v>-0.0</v>
      </c>
      <c r="UQO53" s="5">
        <f>-IFERROR('4. NPV'!UQP23/'4. NPV'!UQP$8,0)</f>
        <v>-0.0</v>
      </c>
      <c r="UQP53" s="5">
        <f>-IFERROR('4. NPV'!UQQ23/'4. NPV'!UQQ$8,0)</f>
        <v>-0.0</v>
      </c>
      <c r="UQQ53" s="5">
        <f>-IFERROR('4. NPV'!UQR23/'4. NPV'!UQR$8,0)</f>
        <v>-0.0</v>
      </c>
      <c r="UQR53" s="5">
        <f>-IFERROR('4. NPV'!UQS23/'4. NPV'!UQS$8,0)</f>
        <v>-0.0</v>
      </c>
      <c r="UQS53" s="5">
        <f>-IFERROR('4. NPV'!UQT23/'4. NPV'!UQT$8,0)</f>
        <v>-0.0</v>
      </c>
      <c r="UQT53" s="5">
        <f>-IFERROR('4. NPV'!UQU23/'4. NPV'!UQU$8,0)</f>
        <v>-0.0</v>
      </c>
      <c r="UQU53" s="5">
        <f>-IFERROR('4. NPV'!UQV23/'4. NPV'!UQV$8,0)</f>
        <v>-0.0</v>
      </c>
      <c r="UQV53" s="5">
        <f>-IFERROR('4. NPV'!UQW23/'4. NPV'!UQW$8,0)</f>
        <v>-0.0</v>
      </c>
      <c r="UQW53" s="5">
        <f>-IFERROR('4. NPV'!UQX23/'4. NPV'!UQX$8,0)</f>
        <v>-0.0</v>
      </c>
      <c r="UQX53" s="5">
        <f>-IFERROR('4. NPV'!UQY23/'4. NPV'!UQY$8,0)</f>
        <v>-0.0</v>
      </c>
      <c r="UQY53" s="5">
        <f>-IFERROR('4. NPV'!UQZ23/'4. NPV'!UQZ$8,0)</f>
        <v>-0.0</v>
      </c>
      <c r="UQZ53" s="5">
        <f>-IFERROR('4. NPV'!URA23/'4. NPV'!URA$8,0)</f>
        <v>-0.0</v>
      </c>
      <c r="URA53" s="5">
        <f>-IFERROR('4. NPV'!URB23/'4. NPV'!URB$8,0)</f>
        <v>-0.0</v>
      </c>
      <c r="URB53" s="5">
        <f>-IFERROR('4. NPV'!URC23/'4. NPV'!URC$8,0)</f>
        <v>-0.0</v>
      </c>
      <c r="URC53" s="5">
        <f>-IFERROR('4. NPV'!URD23/'4. NPV'!URD$8,0)</f>
        <v>-0.0</v>
      </c>
      <c r="URD53" s="5">
        <f>-IFERROR('4. NPV'!URE23/'4. NPV'!URE$8,0)</f>
        <v>-0.0</v>
      </c>
      <c r="URE53" s="5">
        <f>-IFERROR('4. NPV'!URF23/'4. NPV'!URF$8,0)</f>
        <v>-0.0</v>
      </c>
      <c r="URF53" s="5">
        <f>-IFERROR('4. NPV'!URG23/'4. NPV'!URG$8,0)</f>
        <v>-0.0</v>
      </c>
      <c r="URG53" s="5">
        <f>-IFERROR('4. NPV'!URH23/'4. NPV'!URH$8,0)</f>
        <v>-0.0</v>
      </c>
      <c r="URH53" s="5">
        <f>-IFERROR('4. NPV'!URI23/'4. NPV'!URI$8,0)</f>
        <v>-0.0</v>
      </c>
      <c r="URI53" s="5">
        <f>-IFERROR('4. NPV'!URJ23/'4. NPV'!URJ$8,0)</f>
        <v>-0.0</v>
      </c>
      <c r="URJ53" s="5">
        <f>-IFERROR('4. NPV'!URK23/'4. NPV'!URK$8,0)</f>
        <v>-0.0</v>
      </c>
      <c r="URK53" s="5">
        <f>-IFERROR('4. NPV'!URL23/'4. NPV'!URL$8,0)</f>
        <v>-0.0</v>
      </c>
      <c r="URL53" s="5">
        <f>-IFERROR('4. NPV'!URM23/'4. NPV'!URM$8,0)</f>
        <v>-0.0</v>
      </c>
      <c r="URM53" s="5">
        <f>-IFERROR('4. NPV'!URN23/'4. NPV'!URN$8,0)</f>
        <v>-0.0</v>
      </c>
      <c r="URN53" s="5">
        <f>-IFERROR('4. NPV'!URO23/'4. NPV'!URO$8,0)</f>
        <v>-0.0</v>
      </c>
      <c r="URO53" s="5">
        <f>-IFERROR('4. NPV'!URP23/'4. NPV'!URP$8,0)</f>
        <v>-0.0</v>
      </c>
      <c r="URP53" s="5">
        <f>-IFERROR('4. NPV'!URQ23/'4. NPV'!URQ$8,0)</f>
        <v>-0.0</v>
      </c>
      <c r="URQ53" s="5">
        <f>-IFERROR('4. NPV'!URR23/'4. NPV'!URR$8,0)</f>
        <v>-0.0</v>
      </c>
      <c r="URR53" s="5">
        <f>-IFERROR('4. NPV'!URS23/'4. NPV'!URS$8,0)</f>
        <v>-0.0</v>
      </c>
      <c r="URS53" s="5">
        <f>-IFERROR('4. NPV'!URT23/'4. NPV'!URT$8,0)</f>
        <v>-0.0</v>
      </c>
      <c r="URT53" s="5">
        <f>-IFERROR('4. NPV'!URU23/'4. NPV'!URU$8,0)</f>
        <v>-0.0</v>
      </c>
      <c r="URU53" s="5">
        <f>-IFERROR('4. NPV'!URV23/'4. NPV'!URV$8,0)</f>
        <v>-0.0</v>
      </c>
      <c r="URV53" s="5">
        <f>-IFERROR('4. NPV'!URW23/'4. NPV'!URW$8,0)</f>
        <v>-0.0</v>
      </c>
      <c r="URW53" s="5">
        <f>-IFERROR('4. NPV'!URX23/'4. NPV'!URX$8,0)</f>
        <v>-0.0</v>
      </c>
      <c r="URX53" s="5">
        <f>-IFERROR('4. NPV'!URY23/'4. NPV'!URY$8,0)</f>
        <v>-0.0</v>
      </c>
      <c r="URY53" s="5">
        <f>-IFERROR('4. NPV'!URZ23/'4. NPV'!URZ$8,0)</f>
        <v>-0.0</v>
      </c>
      <c r="URZ53" s="5">
        <f>-IFERROR('4. NPV'!USA23/'4. NPV'!USA$8,0)</f>
        <v>-0.0</v>
      </c>
      <c r="USA53" s="5">
        <f>-IFERROR('4. NPV'!USB23/'4. NPV'!USB$8,0)</f>
        <v>-0.0</v>
      </c>
      <c r="USB53" s="5">
        <f>-IFERROR('4. NPV'!USC23/'4. NPV'!USC$8,0)</f>
        <v>-0.0</v>
      </c>
      <c r="USC53" s="5">
        <f>-IFERROR('4. NPV'!USD23/'4. NPV'!USD$8,0)</f>
        <v>-0.0</v>
      </c>
      <c r="USD53" s="5">
        <f>-IFERROR('4. NPV'!USE23/'4. NPV'!USE$8,0)</f>
        <v>-0.0</v>
      </c>
      <c r="USE53" s="5">
        <f>-IFERROR('4. NPV'!USF23/'4. NPV'!USF$8,0)</f>
        <v>-0.0</v>
      </c>
      <c r="USF53" s="5">
        <f>-IFERROR('4. NPV'!USG23/'4. NPV'!USG$8,0)</f>
        <v>-0.0</v>
      </c>
      <c r="USG53" s="5">
        <f>-IFERROR('4. NPV'!USH23/'4. NPV'!USH$8,0)</f>
        <v>-0.0</v>
      </c>
      <c r="USH53" s="5">
        <f>-IFERROR('4. NPV'!USI23/'4. NPV'!USI$8,0)</f>
        <v>-0.0</v>
      </c>
      <c r="USI53" s="5">
        <f>-IFERROR('4. NPV'!USJ23/'4. NPV'!USJ$8,0)</f>
        <v>-0.0</v>
      </c>
      <c r="USJ53" s="5">
        <f>-IFERROR('4. NPV'!USK23/'4. NPV'!USK$8,0)</f>
        <v>-0.0</v>
      </c>
      <c r="USK53" s="5">
        <f>-IFERROR('4. NPV'!USL23/'4. NPV'!USL$8,0)</f>
        <v>-0.0</v>
      </c>
      <c r="USL53" s="5">
        <f>-IFERROR('4. NPV'!USM23/'4. NPV'!USM$8,0)</f>
        <v>-0.0</v>
      </c>
      <c r="USM53" s="5">
        <f>-IFERROR('4. NPV'!USN23/'4. NPV'!USN$8,0)</f>
        <v>-0.0</v>
      </c>
      <c r="USN53" s="5">
        <f>-IFERROR('4. NPV'!USO23/'4. NPV'!USO$8,0)</f>
        <v>-0.0</v>
      </c>
      <c r="USO53" s="5">
        <f>-IFERROR('4. NPV'!USP23/'4. NPV'!USP$8,0)</f>
        <v>-0.0</v>
      </c>
      <c r="USP53" s="5">
        <f>-IFERROR('4. NPV'!USQ23/'4. NPV'!USQ$8,0)</f>
        <v>-0.0</v>
      </c>
      <c r="USQ53" s="5">
        <f>-IFERROR('4. NPV'!USR23/'4. NPV'!USR$8,0)</f>
        <v>-0.0</v>
      </c>
      <c r="USR53" s="5">
        <f>-IFERROR('4. NPV'!USS23/'4. NPV'!USS$8,0)</f>
        <v>-0.0</v>
      </c>
      <c r="USS53" s="5">
        <f>-IFERROR('4. NPV'!UST23/'4. NPV'!UST$8,0)</f>
        <v>-0.0</v>
      </c>
      <c r="UST53" s="5">
        <f>-IFERROR('4. NPV'!USU23/'4. NPV'!USU$8,0)</f>
        <v>-0.0</v>
      </c>
      <c r="USU53" s="5">
        <f>-IFERROR('4. NPV'!USV23/'4. NPV'!USV$8,0)</f>
        <v>-0.0</v>
      </c>
      <c r="USV53" s="5">
        <f>-IFERROR('4. NPV'!USW23/'4. NPV'!USW$8,0)</f>
        <v>-0.0</v>
      </c>
      <c r="USW53" s="5">
        <f>-IFERROR('4. NPV'!USX23/'4. NPV'!USX$8,0)</f>
        <v>-0.0</v>
      </c>
      <c r="USX53" s="5">
        <f>-IFERROR('4. NPV'!USY23/'4. NPV'!USY$8,0)</f>
        <v>-0.0</v>
      </c>
      <c r="USY53" s="5">
        <f>-IFERROR('4. NPV'!USZ23/'4. NPV'!USZ$8,0)</f>
        <v>-0.0</v>
      </c>
      <c r="USZ53" s="5">
        <f>-IFERROR('4. NPV'!UTA23/'4. NPV'!UTA$8,0)</f>
        <v>-0.0</v>
      </c>
      <c r="UTA53" s="5">
        <f>-IFERROR('4. NPV'!UTB23/'4. NPV'!UTB$8,0)</f>
        <v>-0.0</v>
      </c>
      <c r="UTB53" s="5">
        <f>-IFERROR('4. NPV'!UTC23/'4. NPV'!UTC$8,0)</f>
        <v>-0.0</v>
      </c>
      <c r="UTC53" s="5">
        <f>-IFERROR('4. NPV'!UTD23/'4. NPV'!UTD$8,0)</f>
        <v>-0.0</v>
      </c>
      <c r="UTD53" s="5">
        <f>-IFERROR('4. NPV'!UTE23/'4. NPV'!UTE$8,0)</f>
        <v>-0.0</v>
      </c>
      <c r="UTE53" s="5">
        <f>-IFERROR('4. NPV'!UTF23/'4. NPV'!UTF$8,0)</f>
        <v>-0.0</v>
      </c>
      <c r="UTF53" s="5">
        <f>-IFERROR('4. NPV'!UTG23/'4. NPV'!UTG$8,0)</f>
        <v>-0.0</v>
      </c>
      <c r="UTG53" s="5">
        <f>-IFERROR('4. NPV'!UTH23/'4. NPV'!UTH$8,0)</f>
        <v>-0.0</v>
      </c>
      <c r="UTH53" s="5">
        <f>-IFERROR('4. NPV'!UTI23/'4. NPV'!UTI$8,0)</f>
        <v>-0.0</v>
      </c>
      <c r="UTI53" s="5">
        <f>-IFERROR('4. NPV'!UTJ23/'4. NPV'!UTJ$8,0)</f>
        <v>-0.0</v>
      </c>
      <c r="UTJ53" s="5">
        <f>-IFERROR('4. NPV'!UTK23/'4. NPV'!UTK$8,0)</f>
        <v>-0.0</v>
      </c>
      <c r="UTK53" s="5">
        <f>-IFERROR('4. NPV'!UTL23/'4. NPV'!UTL$8,0)</f>
        <v>-0.0</v>
      </c>
      <c r="UTL53" s="5">
        <f>-IFERROR('4. NPV'!UTM23/'4. NPV'!UTM$8,0)</f>
        <v>-0.0</v>
      </c>
      <c r="UTM53" s="5">
        <f>-IFERROR('4. NPV'!UTN23/'4. NPV'!UTN$8,0)</f>
        <v>-0.0</v>
      </c>
      <c r="UTN53" s="5">
        <f>-IFERROR('4. NPV'!UTO23/'4. NPV'!UTO$8,0)</f>
        <v>-0.0</v>
      </c>
      <c r="UTO53" s="5">
        <f>-IFERROR('4. NPV'!UTP23/'4. NPV'!UTP$8,0)</f>
        <v>-0.0</v>
      </c>
      <c r="UTP53" s="5">
        <f>-IFERROR('4. NPV'!UTQ23/'4. NPV'!UTQ$8,0)</f>
        <v>-0.0</v>
      </c>
      <c r="UTQ53" s="5">
        <f>-IFERROR('4. NPV'!UTR23/'4. NPV'!UTR$8,0)</f>
        <v>-0.0</v>
      </c>
      <c r="UTR53" s="5">
        <f>-IFERROR('4. NPV'!UTS23/'4. NPV'!UTS$8,0)</f>
        <v>-0.0</v>
      </c>
      <c r="UTS53" s="5">
        <f>-IFERROR('4. NPV'!UTT23/'4. NPV'!UTT$8,0)</f>
        <v>-0.0</v>
      </c>
      <c r="UTT53" s="5">
        <f>-IFERROR('4. NPV'!UTU23/'4. NPV'!UTU$8,0)</f>
        <v>-0.0</v>
      </c>
      <c r="UTU53" s="5">
        <f>-IFERROR('4. NPV'!UTV23/'4. NPV'!UTV$8,0)</f>
        <v>-0.0</v>
      </c>
      <c r="UTV53" s="5">
        <f>-IFERROR('4. NPV'!UTW23/'4. NPV'!UTW$8,0)</f>
        <v>-0.0</v>
      </c>
      <c r="UTW53" s="5">
        <f>-IFERROR('4. NPV'!UTX23/'4. NPV'!UTX$8,0)</f>
        <v>-0.0</v>
      </c>
      <c r="UTX53" s="5">
        <f>-IFERROR('4. NPV'!UTY23/'4. NPV'!UTY$8,0)</f>
        <v>-0.0</v>
      </c>
      <c r="UTY53" s="5">
        <f>-IFERROR('4. NPV'!UTZ23/'4. NPV'!UTZ$8,0)</f>
        <v>-0.0</v>
      </c>
      <c r="UTZ53" s="5">
        <f>-IFERROR('4. NPV'!UUA23/'4. NPV'!UUA$8,0)</f>
        <v>-0.0</v>
      </c>
      <c r="UUA53" s="5">
        <f>-IFERROR('4. NPV'!UUB23/'4. NPV'!UUB$8,0)</f>
        <v>-0.0</v>
      </c>
      <c r="UUB53" s="5">
        <f>-IFERROR('4. NPV'!UUC23/'4. NPV'!UUC$8,0)</f>
        <v>-0.0</v>
      </c>
      <c r="UUC53" s="5">
        <f>-IFERROR('4. NPV'!UUD23/'4. NPV'!UUD$8,0)</f>
        <v>-0.0</v>
      </c>
      <c r="UUD53" s="5">
        <f>-IFERROR('4. NPV'!UUE23/'4. NPV'!UUE$8,0)</f>
        <v>-0.0</v>
      </c>
      <c r="UUE53" s="5">
        <f>-IFERROR('4. NPV'!UUF23/'4. NPV'!UUF$8,0)</f>
        <v>-0.0</v>
      </c>
      <c r="UUF53" s="5">
        <f>-IFERROR('4. NPV'!UUG23/'4. NPV'!UUG$8,0)</f>
        <v>-0.0</v>
      </c>
      <c r="UUG53" s="5">
        <f>-IFERROR('4. NPV'!UUH23/'4. NPV'!UUH$8,0)</f>
        <v>-0.0</v>
      </c>
      <c r="UUH53" s="5">
        <f>-IFERROR('4. NPV'!UUI23/'4. NPV'!UUI$8,0)</f>
        <v>-0.0</v>
      </c>
      <c r="UUI53" s="5">
        <f>-IFERROR('4. NPV'!UUJ23/'4. NPV'!UUJ$8,0)</f>
        <v>-0.0</v>
      </c>
      <c r="UUJ53" s="5">
        <f>-IFERROR('4. NPV'!UUK23/'4. NPV'!UUK$8,0)</f>
        <v>-0.0</v>
      </c>
      <c r="UUK53" s="5">
        <f>-IFERROR('4. NPV'!UUL23/'4. NPV'!UUL$8,0)</f>
        <v>-0.0</v>
      </c>
      <c r="UUL53" s="5">
        <f>-IFERROR('4. NPV'!UUM23/'4. NPV'!UUM$8,0)</f>
        <v>-0.0</v>
      </c>
      <c r="UUM53" s="5">
        <f>-IFERROR('4. NPV'!UUN23/'4. NPV'!UUN$8,0)</f>
        <v>-0.0</v>
      </c>
      <c r="UUN53" s="5">
        <f>-IFERROR('4. NPV'!UUO23/'4. NPV'!UUO$8,0)</f>
        <v>-0.0</v>
      </c>
      <c r="UUO53" s="5">
        <f>-IFERROR('4. NPV'!UUP23/'4. NPV'!UUP$8,0)</f>
        <v>-0.0</v>
      </c>
      <c r="UUP53" s="5">
        <f>-IFERROR('4. NPV'!UUQ23/'4. NPV'!UUQ$8,0)</f>
        <v>-0.0</v>
      </c>
      <c r="UUQ53" s="5">
        <f>-IFERROR('4. NPV'!UUR23/'4. NPV'!UUR$8,0)</f>
        <v>-0.0</v>
      </c>
      <c r="UUR53" s="5">
        <f>-IFERROR('4. NPV'!UUS23/'4. NPV'!UUS$8,0)</f>
        <v>-0.0</v>
      </c>
      <c r="UUS53" s="5">
        <f>-IFERROR('4. NPV'!UUT23/'4. NPV'!UUT$8,0)</f>
        <v>-0.0</v>
      </c>
      <c r="UUT53" s="5">
        <f>-IFERROR('4. NPV'!UUU23/'4. NPV'!UUU$8,0)</f>
        <v>-0.0</v>
      </c>
      <c r="UUU53" s="5">
        <f>-IFERROR('4. NPV'!UUV23/'4. NPV'!UUV$8,0)</f>
        <v>-0.0</v>
      </c>
      <c r="UUV53" s="5">
        <f>-IFERROR('4. NPV'!UUW23/'4. NPV'!UUW$8,0)</f>
        <v>-0.0</v>
      </c>
      <c r="UUW53" s="5">
        <f>-IFERROR('4. NPV'!UUX23/'4. NPV'!UUX$8,0)</f>
        <v>-0.0</v>
      </c>
      <c r="UUX53" s="5">
        <f>-IFERROR('4. NPV'!UUY23/'4. NPV'!UUY$8,0)</f>
        <v>-0.0</v>
      </c>
      <c r="UUY53" s="5">
        <f>-IFERROR('4. NPV'!UUZ23/'4. NPV'!UUZ$8,0)</f>
        <v>-0.0</v>
      </c>
      <c r="UUZ53" s="5">
        <f>-IFERROR('4. NPV'!UVA23/'4. NPV'!UVA$8,0)</f>
        <v>-0.0</v>
      </c>
      <c r="UVA53" s="5">
        <f>-IFERROR('4. NPV'!UVB23/'4. NPV'!UVB$8,0)</f>
        <v>-0.0</v>
      </c>
      <c r="UVB53" s="5">
        <f>-IFERROR('4. NPV'!UVC23/'4. NPV'!UVC$8,0)</f>
        <v>-0.0</v>
      </c>
      <c r="UVC53" s="5">
        <f>-IFERROR('4. NPV'!UVD23/'4. NPV'!UVD$8,0)</f>
        <v>-0.0</v>
      </c>
      <c r="UVD53" s="5">
        <f>-IFERROR('4. NPV'!UVE23/'4. NPV'!UVE$8,0)</f>
        <v>-0.0</v>
      </c>
      <c r="UVE53" s="5">
        <f>-IFERROR('4. NPV'!UVF23/'4. NPV'!UVF$8,0)</f>
        <v>-0.0</v>
      </c>
      <c r="UVF53" s="5">
        <f>-IFERROR('4. NPV'!UVG23/'4. NPV'!UVG$8,0)</f>
        <v>-0.0</v>
      </c>
      <c r="UVG53" s="5">
        <f>-IFERROR('4. NPV'!UVH23/'4. NPV'!UVH$8,0)</f>
        <v>-0.0</v>
      </c>
      <c r="UVH53" s="5">
        <f>-IFERROR('4. NPV'!UVI23/'4. NPV'!UVI$8,0)</f>
        <v>-0.0</v>
      </c>
      <c r="UVI53" s="5">
        <f>-IFERROR('4. NPV'!UVJ23/'4. NPV'!UVJ$8,0)</f>
        <v>-0.0</v>
      </c>
      <c r="UVJ53" s="5">
        <f>-IFERROR('4. NPV'!UVK23/'4. NPV'!UVK$8,0)</f>
        <v>-0.0</v>
      </c>
      <c r="UVK53" s="5">
        <f>-IFERROR('4. NPV'!UVL23/'4. NPV'!UVL$8,0)</f>
        <v>-0.0</v>
      </c>
      <c r="UVL53" s="5">
        <f>-IFERROR('4. NPV'!UVM23/'4. NPV'!UVM$8,0)</f>
        <v>-0.0</v>
      </c>
      <c r="UVM53" s="5">
        <f>-IFERROR('4. NPV'!UVN23/'4. NPV'!UVN$8,0)</f>
        <v>-0.0</v>
      </c>
      <c r="UVN53" s="5">
        <f>-IFERROR('4. NPV'!UVO23/'4. NPV'!UVO$8,0)</f>
        <v>-0.0</v>
      </c>
      <c r="UVO53" s="5">
        <f>-IFERROR('4. NPV'!UVP23/'4. NPV'!UVP$8,0)</f>
        <v>-0.0</v>
      </c>
      <c r="UVP53" s="5">
        <f>-IFERROR('4. NPV'!UVQ23/'4. NPV'!UVQ$8,0)</f>
        <v>-0.0</v>
      </c>
      <c r="UVQ53" s="5">
        <f>-IFERROR('4. NPV'!UVR23/'4. NPV'!UVR$8,0)</f>
        <v>-0.0</v>
      </c>
      <c r="UVR53" s="5">
        <f>-IFERROR('4. NPV'!UVS23/'4. NPV'!UVS$8,0)</f>
        <v>-0.0</v>
      </c>
      <c r="UVS53" s="5">
        <f>-IFERROR('4. NPV'!UVT23/'4. NPV'!UVT$8,0)</f>
        <v>-0.0</v>
      </c>
      <c r="UVT53" s="5">
        <f>-IFERROR('4. NPV'!UVU23/'4. NPV'!UVU$8,0)</f>
        <v>-0.0</v>
      </c>
      <c r="UVU53" s="5">
        <f>-IFERROR('4. NPV'!UVV23/'4. NPV'!UVV$8,0)</f>
        <v>-0.0</v>
      </c>
      <c r="UVV53" s="5">
        <f>-IFERROR('4. NPV'!UVW23/'4. NPV'!UVW$8,0)</f>
        <v>-0.0</v>
      </c>
      <c r="UVW53" s="5">
        <f>-IFERROR('4. NPV'!UVX23/'4. NPV'!UVX$8,0)</f>
        <v>-0.0</v>
      </c>
      <c r="UVX53" s="5">
        <f>-IFERROR('4. NPV'!UVY23/'4. NPV'!UVY$8,0)</f>
        <v>-0.0</v>
      </c>
      <c r="UVY53" s="5">
        <f>-IFERROR('4. NPV'!UVZ23/'4. NPV'!UVZ$8,0)</f>
        <v>-0.0</v>
      </c>
      <c r="UVZ53" s="5">
        <f>-IFERROR('4. NPV'!UWA23/'4. NPV'!UWA$8,0)</f>
        <v>-0.0</v>
      </c>
      <c r="UWA53" s="5">
        <f>-IFERROR('4. NPV'!UWB23/'4. NPV'!UWB$8,0)</f>
        <v>-0.0</v>
      </c>
      <c r="UWB53" s="5">
        <f>-IFERROR('4. NPV'!UWC23/'4. NPV'!UWC$8,0)</f>
        <v>-0.0</v>
      </c>
      <c r="UWC53" s="5">
        <f>-IFERROR('4. NPV'!UWD23/'4. NPV'!UWD$8,0)</f>
        <v>-0.0</v>
      </c>
      <c r="UWD53" s="5">
        <f>-IFERROR('4. NPV'!UWE23/'4. NPV'!UWE$8,0)</f>
        <v>-0.0</v>
      </c>
      <c r="UWE53" s="5">
        <f>-IFERROR('4. NPV'!UWF23/'4. NPV'!UWF$8,0)</f>
        <v>-0.0</v>
      </c>
      <c r="UWF53" s="5">
        <f>-IFERROR('4. NPV'!UWG23/'4. NPV'!UWG$8,0)</f>
        <v>-0.0</v>
      </c>
      <c r="UWG53" s="5">
        <f>-IFERROR('4. NPV'!UWH23/'4. NPV'!UWH$8,0)</f>
        <v>-0.0</v>
      </c>
      <c r="UWH53" s="5">
        <f>-IFERROR('4. NPV'!UWI23/'4. NPV'!UWI$8,0)</f>
        <v>-0.0</v>
      </c>
      <c r="UWI53" s="5">
        <f>-IFERROR('4. NPV'!UWJ23/'4. NPV'!UWJ$8,0)</f>
        <v>-0.0</v>
      </c>
      <c r="UWJ53" s="5">
        <f>-IFERROR('4. NPV'!UWK23/'4. NPV'!UWK$8,0)</f>
        <v>-0.0</v>
      </c>
      <c r="UWK53" s="5">
        <f>-IFERROR('4. NPV'!UWL23/'4. NPV'!UWL$8,0)</f>
        <v>-0.0</v>
      </c>
      <c r="UWL53" s="5">
        <f>-IFERROR('4. NPV'!UWM23/'4. NPV'!UWM$8,0)</f>
        <v>-0.0</v>
      </c>
      <c r="UWM53" s="5">
        <f>-IFERROR('4. NPV'!UWN23/'4. NPV'!UWN$8,0)</f>
        <v>-0.0</v>
      </c>
      <c r="UWN53" s="5">
        <f>-IFERROR('4. NPV'!UWO23/'4. NPV'!UWO$8,0)</f>
        <v>-0.0</v>
      </c>
      <c r="UWO53" s="5">
        <f>-IFERROR('4. NPV'!UWP23/'4. NPV'!UWP$8,0)</f>
        <v>-0.0</v>
      </c>
      <c r="UWP53" s="5">
        <f>-IFERROR('4. NPV'!UWQ23/'4. NPV'!UWQ$8,0)</f>
        <v>-0.0</v>
      </c>
      <c r="UWQ53" s="5">
        <f>-IFERROR('4. NPV'!UWR23/'4. NPV'!UWR$8,0)</f>
        <v>-0.0</v>
      </c>
      <c r="UWR53" s="5">
        <f>-IFERROR('4. NPV'!UWS23/'4. NPV'!UWS$8,0)</f>
        <v>-0.0</v>
      </c>
      <c r="UWS53" s="5">
        <f>-IFERROR('4. NPV'!UWT23/'4. NPV'!UWT$8,0)</f>
        <v>-0.0</v>
      </c>
      <c r="UWT53" s="5">
        <f>-IFERROR('4. NPV'!UWU23/'4. NPV'!UWU$8,0)</f>
        <v>-0.0</v>
      </c>
      <c r="UWU53" s="5">
        <f>-IFERROR('4. NPV'!UWV23/'4. NPV'!UWV$8,0)</f>
        <v>-0.0</v>
      </c>
      <c r="UWV53" s="5">
        <f>-IFERROR('4. NPV'!UWW23/'4. NPV'!UWW$8,0)</f>
        <v>-0.0</v>
      </c>
      <c r="UWW53" s="5">
        <f>-IFERROR('4. NPV'!UWX23/'4. NPV'!UWX$8,0)</f>
        <v>-0.0</v>
      </c>
      <c r="UWX53" s="5">
        <f>-IFERROR('4. NPV'!UWY23/'4. NPV'!UWY$8,0)</f>
        <v>-0.0</v>
      </c>
      <c r="UWY53" s="5">
        <f>-IFERROR('4. NPV'!UWZ23/'4. NPV'!UWZ$8,0)</f>
        <v>-0.0</v>
      </c>
      <c r="UWZ53" s="5">
        <f>-IFERROR('4. NPV'!UXA23/'4. NPV'!UXA$8,0)</f>
        <v>-0.0</v>
      </c>
      <c r="UXA53" s="5">
        <f>-IFERROR('4. NPV'!UXB23/'4. NPV'!UXB$8,0)</f>
        <v>-0.0</v>
      </c>
      <c r="UXB53" s="5">
        <f>-IFERROR('4. NPV'!UXC23/'4. NPV'!UXC$8,0)</f>
        <v>-0.0</v>
      </c>
      <c r="UXC53" s="5">
        <f>-IFERROR('4. NPV'!UXD23/'4. NPV'!UXD$8,0)</f>
        <v>-0.0</v>
      </c>
      <c r="UXD53" s="5">
        <f>-IFERROR('4. NPV'!UXE23/'4. NPV'!UXE$8,0)</f>
        <v>-0.0</v>
      </c>
      <c r="UXE53" s="5">
        <f>-IFERROR('4. NPV'!UXF23/'4. NPV'!UXF$8,0)</f>
        <v>-0.0</v>
      </c>
      <c r="UXF53" s="5">
        <f>-IFERROR('4. NPV'!UXG23/'4. NPV'!UXG$8,0)</f>
        <v>-0.0</v>
      </c>
      <c r="UXG53" s="5">
        <f>-IFERROR('4. NPV'!UXH23/'4. NPV'!UXH$8,0)</f>
        <v>-0.0</v>
      </c>
      <c r="UXH53" s="5">
        <f>-IFERROR('4. NPV'!UXI23/'4. NPV'!UXI$8,0)</f>
        <v>-0.0</v>
      </c>
      <c r="UXI53" s="5">
        <f>-IFERROR('4. NPV'!UXJ23/'4. NPV'!UXJ$8,0)</f>
        <v>-0.0</v>
      </c>
      <c r="UXJ53" s="5">
        <f>-IFERROR('4. NPV'!UXK23/'4. NPV'!UXK$8,0)</f>
        <v>-0.0</v>
      </c>
      <c r="UXK53" s="5">
        <f>-IFERROR('4. NPV'!UXL23/'4. NPV'!UXL$8,0)</f>
        <v>-0.0</v>
      </c>
      <c r="UXL53" s="5">
        <f>-IFERROR('4. NPV'!UXM23/'4. NPV'!UXM$8,0)</f>
        <v>-0.0</v>
      </c>
      <c r="UXM53" s="5">
        <f>-IFERROR('4. NPV'!UXN23/'4. NPV'!UXN$8,0)</f>
        <v>-0.0</v>
      </c>
      <c r="UXN53" s="5">
        <f>-IFERROR('4. NPV'!UXO23/'4. NPV'!UXO$8,0)</f>
        <v>-0.0</v>
      </c>
      <c r="UXO53" s="5">
        <f>-IFERROR('4. NPV'!UXP23/'4. NPV'!UXP$8,0)</f>
        <v>-0.0</v>
      </c>
      <c r="UXP53" s="5">
        <f>-IFERROR('4. NPV'!UXQ23/'4. NPV'!UXQ$8,0)</f>
        <v>-0.0</v>
      </c>
      <c r="UXQ53" s="5">
        <f>-IFERROR('4. NPV'!UXR23/'4. NPV'!UXR$8,0)</f>
        <v>-0.0</v>
      </c>
      <c r="UXR53" s="5">
        <f>-IFERROR('4. NPV'!UXS23/'4. NPV'!UXS$8,0)</f>
        <v>-0.0</v>
      </c>
      <c r="UXS53" s="5">
        <f>-IFERROR('4. NPV'!UXT23/'4. NPV'!UXT$8,0)</f>
        <v>-0.0</v>
      </c>
      <c r="UXT53" s="5">
        <f>-IFERROR('4. NPV'!UXU23/'4. NPV'!UXU$8,0)</f>
        <v>-0.0</v>
      </c>
      <c r="UXU53" s="5">
        <f>-IFERROR('4. NPV'!UXV23/'4. NPV'!UXV$8,0)</f>
        <v>-0.0</v>
      </c>
      <c r="UXV53" s="5">
        <f>-IFERROR('4. NPV'!UXW23/'4. NPV'!UXW$8,0)</f>
        <v>-0.0</v>
      </c>
      <c r="UXW53" s="5">
        <f>-IFERROR('4. NPV'!UXX23/'4. NPV'!UXX$8,0)</f>
        <v>-0.0</v>
      </c>
      <c r="UXX53" s="5">
        <f>-IFERROR('4. NPV'!UXY23/'4. NPV'!UXY$8,0)</f>
        <v>-0.0</v>
      </c>
      <c r="UXY53" s="5">
        <f>-IFERROR('4. NPV'!UXZ23/'4. NPV'!UXZ$8,0)</f>
        <v>-0.0</v>
      </c>
      <c r="UXZ53" s="5">
        <f>-IFERROR('4. NPV'!UYA23/'4. NPV'!UYA$8,0)</f>
        <v>-0.0</v>
      </c>
      <c r="UYA53" s="5">
        <f>-IFERROR('4. NPV'!UYB23/'4. NPV'!UYB$8,0)</f>
        <v>-0.0</v>
      </c>
      <c r="UYB53" s="5">
        <f>-IFERROR('4. NPV'!UYC23/'4. NPV'!UYC$8,0)</f>
        <v>-0.0</v>
      </c>
      <c r="UYC53" s="5">
        <f>-IFERROR('4. NPV'!UYD23/'4. NPV'!UYD$8,0)</f>
        <v>-0.0</v>
      </c>
      <c r="UYD53" s="5">
        <f>-IFERROR('4. NPV'!UYE23/'4. NPV'!UYE$8,0)</f>
        <v>-0.0</v>
      </c>
      <c r="UYE53" s="5">
        <f>-IFERROR('4. NPV'!UYF23/'4. NPV'!UYF$8,0)</f>
        <v>-0.0</v>
      </c>
      <c r="UYF53" s="5">
        <f>-IFERROR('4. NPV'!UYG23/'4. NPV'!UYG$8,0)</f>
        <v>-0.0</v>
      </c>
      <c r="UYG53" s="5">
        <f>-IFERROR('4. NPV'!UYH23/'4. NPV'!UYH$8,0)</f>
        <v>-0.0</v>
      </c>
      <c r="UYH53" s="5">
        <f>-IFERROR('4. NPV'!UYI23/'4. NPV'!UYI$8,0)</f>
        <v>-0.0</v>
      </c>
      <c r="UYI53" s="5">
        <f>-IFERROR('4. NPV'!UYJ23/'4. NPV'!UYJ$8,0)</f>
        <v>-0.0</v>
      </c>
      <c r="UYJ53" s="5">
        <f>-IFERROR('4. NPV'!UYK23/'4. NPV'!UYK$8,0)</f>
        <v>-0.0</v>
      </c>
      <c r="UYK53" s="5">
        <f>-IFERROR('4. NPV'!UYL23/'4. NPV'!UYL$8,0)</f>
        <v>-0.0</v>
      </c>
      <c r="UYL53" s="5">
        <f>-IFERROR('4. NPV'!UYM23/'4. NPV'!UYM$8,0)</f>
        <v>-0.0</v>
      </c>
      <c r="UYM53" s="5">
        <f>-IFERROR('4. NPV'!UYN23/'4. NPV'!UYN$8,0)</f>
        <v>-0.0</v>
      </c>
      <c r="UYN53" s="5">
        <f>-IFERROR('4. NPV'!UYO23/'4. NPV'!UYO$8,0)</f>
        <v>-0.0</v>
      </c>
      <c r="UYO53" s="5">
        <f>-IFERROR('4. NPV'!UYP23/'4. NPV'!UYP$8,0)</f>
        <v>-0.0</v>
      </c>
      <c r="UYP53" s="5">
        <f>-IFERROR('4. NPV'!UYQ23/'4. NPV'!UYQ$8,0)</f>
        <v>-0.0</v>
      </c>
      <c r="UYQ53" s="5">
        <f>-IFERROR('4. NPV'!UYR23/'4. NPV'!UYR$8,0)</f>
        <v>-0.0</v>
      </c>
      <c r="UYR53" s="5">
        <f>-IFERROR('4. NPV'!UYS23/'4. NPV'!UYS$8,0)</f>
        <v>-0.0</v>
      </c>
      <c r="UYS53" s="5">
        <f>-IFERROR('4. NPV'!UYT23/'4. NPV'!UYT$8,0)</f>
        <v>-0.0</v>
      </c>
      <c r="UYT53" s="5">
        <f>-IFERROR('4. NPV'!UYU23/'4. NPV'!UYU$8,0)</f>
        <v>-0.0</v>
      </c>
      <c r="UYU53" s="5">
        <f>-IFERROR('4. NPV'!UYV23/'4. NPV'!UYV$8,0)</f>
        <v>-0.0</v>
      </c>
      <c r="UYV53" s="5">
        <f>-IFERROR('4. NPV'!UYW23/'4. NPV'!UYW$8,0)</f>
        <v>-0.0</v>
      </c>
      <c r="UYW53" s="5">
        <f>-IFERROR('4. NPV'!UYX23/'4. NPV'!UYX$8,0)</f>
        <v>-0.0</v>
      </c>
      <c r="UYX53" s="5">
        <f>-IFERROR('4. NPV'!UYY23/'4. NPV'!UYY$8,0)</f>
        <v>-0.0</v>
      </c>
      <c r="UYY53" s="5">
        <f>-IFERROR('4. NPV'!UYZ23/'4. NPV'!UYZ$8,0)</f>
        <v>-0.0</v>
      </c>
      <c r="UYZ53" s="5">
        <f>-IFERROR('4. NPV'!UZA23/'4. NPV'!UZA$8,0)</f>
        <v>-0.0</v>
      </c>
      <c r="UZA53" s="5">
        <f>-IFERROR('4. NPV'!UZB23/'4. NPV'!UZB$8,0)</f>
        <v>-0.0</v>
      </c>
      <c r="UZB53" s="5">
        <f>-IFERROR('4. NPV'!UZC23/'4. NPV'!UZC$8,0)</f>
        <v>-0.0</v>
      </c>
      <c r="UZC53" s="5">
        <f>-IFERROR('4. NPV'!UZD23/'4. NPV'!UZD$8,0)</f>
        <v>-0.0</v>
      </c>
      <c r="UZD53" s="5">
        <f>-IFERROR('4. NPV'!UZE23/'4. NPV'!UZE$8,0)</f>
        <v>-0.0</v>
      </c>
      <c r="UZE53" s="5">
        <f>-IFERROR('4. NPV'!UZF23/'4. NPV'!UZF$8,0)</f>
        <v>-0.0</v>
      </c>
      <c r="UZF53" s="5">
        <f>-IFERROR('4. NPV'!UZG23/'4. NPV'!UZG$8,0)</f>
        <v>-0.0</v>
      </c>
      <c r="UZG53" s="5">
        <f>-IFERROR('4. NPV'!UZH23/'4. NPV'!UZH$8,0)</f>
        <v>-0.0</v>
      </c>
      <c r="UZH53" s="5">
        <f>-IFERROR('4. NPV'!UZI23/'4. NPV'!UZI$8,0)</f>
        <v>-0.0</v>
      </c>
      <c r="UZI53" s="5">
        <f>-IFERROR('4. NPV'!UZJ23/'4. NPV'!UZJ$8,0)</f>
        <v>-0.0</v>
      </c>
      <c r="UZJ53" s="5">
        <f>-IFERROR('4. NPV'!UZK23/'4. NPV'!UZK$8,0)</f>
        <v>-0.0</v>
      </c>
      <c r="UZK53" s="5">
        <f>-IFERROR('4. NPV'!UZL23/'4. NPV'!UZL$8,0)</f>
        <v>-0.0</v>
      </c>
      <c r="UZL53" s="5">
        <f>-IFERROR('4. NPV'!UZM23/'4. NPV'!UZM$8,0)</f>
        <v>-0.0</v>
      </c>
      <c r="UZM53" s="5">
        <f>-IFERROR('4. NPV'!UZN23/'4. NPV'!UZN$8,0)</f>
        <v>-0.0</v>
      </c>
      <c r="UZN53" s="5">
        <f>-IFERROR('4. NPV'!UZO23/'4. NPV'!UZO$8,0)</f>
        <v>-0.0</v>
      </c>
      <c r="UZO53" s="5">
        <f>-IFERROR('4. NPV'!UZP23/'4. NPV'!UZP$8,0)</f>
        <v>-0.0</v>
      </c>
      <c r="UZP53" s="5">
        <f>-IFERROR('4. NPV'!UZQ23/'4. NPV'!UZQ$8,0)</f>
        <v>-0.0</v>
      </c>
      <c r="UZQ53" s="5">
        <f>-IFERROR('4. NPV'!UZR23/'4. NPV'!UZR$8,0)</f>
        <v>-0.0</v>
      </c>
      <c r="UZR53" s="5">
        <f>-IFERROR('4. NPV'!UZS23/'4. NPV'!UZS$8,0)</f>
        <v>-0.0</v>
      </c>
      <c r="UZS53" s="5">
        <f>-IFERROR('4. NPV'!UZT23/'4. NPV'!UZT$8,0)</f>
        <v>-0.0</v>
      </c>
      <c r="UZT53" s="5">
        <f>-IFERROR('4. NPV'!UZU23/'4. NPV'!UZU$8,0)</f>
        <v>-0.0</v>
      </c>
      <c r="UZU53" s="5">
        <f>-IFERROR('4. NPV'!UZV23/'4. NPV'!UZV$8,0)</f>
        <v>-0.0</v>
      </c>
      <c r="UZV53" s="5">
        <f>-IFERROR('4. NPV'!UZW23/'4. NPV'!UZW$8,0)</f>
        <v>-0.0</v>
      </c>
      <c r="UZW53" s="5">
        <f>-IFERROR('4. NPV'!UZX23/'4. NPV'!UZX$8,0)</f>
        <v>-0.0</v>
      </c>
      <c r="UZX53" s="5">
        <f>-IFERROR('4. NPV'!UZY23/'4. NPV'!UZY$8,0)</f>
        <v>-0.0</v>
      </c>
      <c r="UZY53" s="5">
        <f>-IFERROR('4. NPV'!UZZ23/'4. NPV'!UZZ$8,0)</f>
        <v>-0.0</v>
      </c>
      <c r="UZZ53" s="5">
        <f>-IFERROR('4. NPV'!VAA23/'4. NPV'!VAA$8,0)</f>
        <v>-0.0</v>
      </c>
      <c r="VAA53" s="5">
        <f>-IFERROR('4. NPV'!VAB23/'4. NPV'!VAB$8,0)</f>
        <v>-0.0</v>
      </c>
      <c r="VAB53" s="5">
        <f>-IFERROR('4. NPV'!VAC23/'4. NPV'!VAC$8,0)</f>
        <v>-0.0</v>
      </c>
      <c r="VAC53" s="5">
        <f>-IFERROR('4. NPV'!VAD23/'4. NPV'!VAD$8,0)</f>
        <v>-0.0</v>
      </c>
      <c r="VAD53" s="5">
        <f>-IFERROR('4. NPV'!VAE23/'4. NPV'!VAE$8,0)</f>
        <v>-0.0</v>
      </c>
      <c r="VAE53" s="5">
        <f>-IFERROR('4. NPV'!VAF23/'4. NPV'!VAF$8,0)</f>
        <v>-0.0</v>
      </c>
      <c r="VAF53" s="5">
        <f>-IFERROR('4. NPV'!VAG23/'4. NPV'!VAG$8,0)</f>
        <v>-0.0</v>
      </c>
      <c r="VAG53" s="5">
        <f>-IFERROR('4. NPV'!VAH23/'4. NPV'!VAH$8,0)</f>
        <v>-0.0</v>
      </c>
      <c r="VAH53" s="5">
        <f>-IFERROR('4. NPV'!VAI23/'4. NPV'!VAI$8,0)</f>
        <v>-0.0</v>
      </c>
      <c r="VAI53" s="5">
        <f>-IFERROR('4. NPV'!VAJ23/'4. NPV'!VAJ$8,0)</f>
        <v>-0.0</v>
      </c>
      <c r="VAJ53" s="5">
        <f>-IFERROR('4. NPV'!VAK23/'4. NPV'!VAK$8,0)</f>
        <v>-0.0</v>
      </c>
      <c r="VAK53" s="5">
        <f>-IFERROR('4. NPV'!VAL23/'4. NPV'!VAL$8,0)</f>
        <v>-0.0</v>
      </c>
      <c r="VAL53" s="5">
        <f>-IFERROR('4. NPV'!VAM23/'4. NPV'!VAM$8,0)</f>
        <v>-0.0</v>
      </c>
      <c r="VAM53" s="5">
        <f>-IFERROR('4. NPV'!VAN23/'4. NPV'!VAN$8,0)</f>
        <v>-0.0</v>
      </c>
      <c r="VAN53" s="5">
        <f>-IFERROR('4. NPV'!VAO23/'4. NPV'!VAO$8,0)</f>
        <v>-0.0</v>
      </c>
      <c r="VAO53" s="5">
        <f>-IFERROR('4. NPV'!VAP23/'4. NPV'!VAP$8,0)</f>
        <v>-0.0</v>
      </c>
      <c r="VAP53" s="5">
        <f>-IFERROR('4. NPV'!VAQ23/'4. NPV'!VAQ$8,0)</f>
        <v>-0.0</v>
      </c>
      <c r="VAQ53" s="5">
        <f>-IFERROR('4. NPV'!VAR23/'4. NPV'!VAR$8,0)</f>
        <v>-0.0</v>
      </c>
      <c r="VAR53" s="5">
        <f>-IFERROR('4. NPV'!VAS23/'4. NPV'!VAS$8,0)</f>
        <v>-0.0</v>
      </c>
      <c r="VAS53" s="5">
        <f>-IFERROR('4. NPV'!VAT23/'4. NPV'!VAT$8,0)</f>
        <v>-0.0</v>
      </c>
      <c r="VAT53" s="5">
        <f>-IFERROR('4. NPV'!VAU23/'4. NPV'!VAU$8,0)</f>
        <v>-0.0</v>
      </c>
      <c r="VAU53" s="5">
        <f>-IFERROR('4. NPV'!VAV23/'4. NPV'!VAV$8,0)</f>
        <v>-0.0</v>
      </c>
      <c r="VAV53" s="5">
        <f>-IFERROR('4. NPV'!VAW23/'4. NPV'!VAW$8,0)</f>
        <v>-0.0</v>
      </c>
      <c r="VAW53" s="5">
        <f>-IFERROR('4. NPV'!VAX23/'4. NPV'!VAX$8,0)</f>
        <v>-0.0</v>
      </c>
      <c r="VAX53" s="5">
        <f>-IFERROR('4. NPV'!VAY23/'4. NPV'!VAY$8,0)</f>
        <v>-0.0</v>
      </c>
      <c r="VAY53" s="5">
        <f>-IFERROR('4. NPV'!VAZ23/'4. NPV'!VAZ$8,0)</f>
        <v>-0.0</v>
      </c>
      <c r="VAZ53" s="5">
        <f>-IFERROR('4. NPV'!VBA23/'4. NPV'!VBA$8,0)</f>
        <v>-0.0</v>
      </c>
      <c r="VBA53" s="5">
        <f>-IFERROR('4. NPV'!VBB23/'4. NPV'!VBB$8,0)</f>
        <v>-0.0</v>
      </c>
      <c r="VBB53" s="5">
        <f>-IFERROR('4. NPV'!VBC23/'4. NPV'!VBC$8,0)</f>
        <v>-0.0</v>
      </c>
      <c r="VBC53" s="5">
        <f>-IFERROR('4. NPV'!VBD23/'4. NPV'!VBD$8,0)</f>
        <v>-0.0</v>
      </c>
      <c r="VBD53" s="5">
        <f>-IFERROR('4. NPV'!VBE23/'4. NPV'!VBE$8,0)</f>
        <v>-0.0</v>
      </c>
      <c r="VBE53" s="5">
        <f>-IFERROR('4. NPV'!VBF23/'4. NPV'!VBF$8,0)</f>
        <v>-0.0</v>
      </c>
      <c r="VBF53" s="5">
        <f>-IFERROR('4. NPV'!VBG23/'4. NPV'!VBG$8,0)</f>
        <v>-0.0</v>
      </c>
      <c r="VBG53" s="5">
        <f>-IFERROR('4. NPV'!VBH23/'4. NPV'!VBH$8,0)</f>
        <v>-0.0</v>
      </c>
      <c r="VBH53" s="5">
        <f>-IFERROR('4. NPV'!VBI23/'4. NPV'!VBI$8,0)</f>
        <v>-0.0</v>
      </c>
      <c r="VBI53" s="5">
        <f>-IFERROR('4. NPV'!VBJ23/'4. NPV'!VBJ$8,0)</f>
        <v>-0.0</v>
      </c>
      <c r="VBJ53" s="5">
        <f>-IFERROR('4. NPV'!VBK23/'4. NPV'!VBK$8,0)</f>
        <v>-0.0</v>
      </c>
      <c r="VBK53" s="5">
        <f>-IFERROR('4. NPV'!VBL23/'4. NPV'!VBL$8,0)</f>
        <v>-0.0</v>
      </c>
      <c r="VBL53" s="5">
        <f>-IFERROR('4. NPV'!VBM23/'4. NPV'!VBM$8,0)</f>
        <v>-0.0</v>
      </c>
      <c r="VBM53" s="5">
        <f>-IFERROR('4. NPV'!VBN23/'4. NPV'!VBN$8,0)</f>
        <v>-0.0</v>
      </c>
      <c r="VBN53" s="5">
        <f>-IFERROR('4. NPV'!VBO23/'4. NPV'!VBO$8,0)</f>
        <v>-0.0</v>
      </c>
      <c r="VBO53" s="5">
        <f>-IFERROR('4. NPV'!VBP23/'4. NPV'!VBP$8,0)</f>
        <v>-0.0</v>
      </c>
      <c r="VBP53" s="5">
        <f>-IFERROR('4. NPV'!VBQ23/'4. NPV'!VBQ$8,0)</f>
        <v>-0.0</v>
      </c>
      <c r="VBQ53" s="5">
        <f>-IFERROR('4. NPV'!VBR23/'4. NPV'!VBR$8,0)</f>
        <v>-0.0</v>
      </c>
      <c r="VBR53" s="5">
        <f>-IFERROR('4. NPV'!VBS23/'4. NPV'!VBS$8,0)</f>
        <v>-0.0</v>
      </c>
      <c r="VBS53" s="5">
        <f>-IFERROR('4. NPV'!VBT23/'4. NPV'!VBT$8,0)</f>
        <v>-0.0</v>
      </c>
      <c r="VBT53" s="5">
        <f>-IFERROR('4. NPV'!VBU23/'4. NPV'!VBU$8,0)</f>
        <v>-0.0</v>
      </c>
      <c r="VBU53" s="5">
        <f>-IFERROR('4. NPV'!VBV23/'4. NPV'!VBV$8,0)</f>
        <v>-0.0</v>
      </c>
      <c r="VBV53" s="5">
        <f>-IFERROR('4. NPV'!VBW23/'4. NPV'!VBW$8,0)</f>
        <v>-0.0</v>
      </c>
      <c r="VBW53" s="5">
        <f>-IFERROR('4. NPV'!VBX23/'4. NPV'!VBX$8,0)</f>
        <v>-0.0</v>
      </c>
      <c r="VBX53" s="5">
        <f>-IFERROR('4. NPV'!VBY23/'4. NPV'!VBY$8,0)</f>
        <v>-0.0</v>
      </c>
      <c r="VBY53" s="5">
        <f>-IFERROR('4. NPV'!VBZ23/'4. NPV'!VBZ$8,0)</f>
        <v>-0.0</v>
      </c>
      <c r="VBZ53" s="5">
        <f>-IFERROR('4. NPV'!VCA23/'4. NPV'!VCA$8,0)</f>
        <v>-0.0</v>
      </c>
      <c r="VCA53" s="5">
        <f>-IFERROR('4. NPV'!VCB23/'4. NPV'!VCB$8,0)</f>
        <v>-0.0</v>
      </c>
      <c r="VCB53" s="5">
        <f>-IFERROR('4. NPV'!VCC23/'4. NPV'!VCC$8,0)</f>
        <v>-0.0</v>
      </c>
      <c r="VCC53" s="5">
        <f>-IFERROR('4. NPV'!VCD23/'4. NPV'!VCD$8,0)</f>
        <v>-0.0</v>
      </c>
      <c r="VCD53" s="5">
        <f>-IFERROR('4. NPV'!VCE23/'4. NPV'!VCE$8,0)</f>
        <v>-0.0</v>
      </c>
      <c r="VCE53" s="5">
        <f>-IFERROR('4. NPV'!VCF23/'4. NPV'!VCF$8,0)</f>
        <v>-0.0</v>
      </c>
      <c r="VCF53" s="5">
        <f>-IFERROR('4. NPV'!VCG23/'4. NPV'!VCG$8,0)</f>
        <v>-0.0</v>
      </c>
      <c r="VCG53" s="5">
        <f>-IFERROR('4. NPV'!VCH23/'4. NPV'!VCH$8,0)</f>
        <v>-0.0</v>
      </c>
      <c r="VCH53" s="5">
        <f>-IFERROR('4. NPV'!VCI23/'4. NPV'!VCI$8,0)</f>
        <v>-0.0</v>
      </c>
      <c r="VCI53" s="5">
        <f>-IFERROR('4. NPV'!VCJ23/'4. NPV'!VCJ$8,0)</f>
        <v>-0.0</v>
      </c>
      <c r="VCJ53" s="5">
        <f>-IFERROR('4. NPV'!VCK23/'4. NPV'!VCK$8,0)</f>
        <v>-0.0</v>
      </c>
      <c r="VCK53" s="5">
        <f>-IFERROR('4. NPV'!VCL23/'4. NPV'!VCL$8,0)</f>
        <v>-0.0</v>
      </c>
      <c r="VCL53" s="5">
        <f>-IFERROR('4. NPV'!VCM23/'4. NPV'!VCM$8,0)</f>
        <v>-0.0</v>
      </c>
      <c r="VCM53" s="5">
        <f>-IFERROR('4. NPV'!VCN23/'4. NPV'!VCN$8,0)</f>
        <v>-0.0</v>
      </c>
      <c r="VCN53" s="5">
        <f>-IFERROR('4. NPV'!VCO23/'4. NPV'!VCO$8,0)</f>
        <v>-0.0</v>
      </c>
      <c r="VCO53" s="5">
        <f>-IFERROR('4. NPV'!VCP23/'4. NPV'!VCP$8,0)</f>
        <v>-0.0</v>
      </c>
      <c r="VCP53" s="5">
        <f>-IFERROR('4. NPV'!VCQ23/'4. NPV'!VCQ$8,0)</f>
        <v>-0.0</v>
      </c>
      <c r="VCQ53" s="5">
        <f>-IFERROR('4. NPV'!VCR23/'4. NPV'!VCR$8,0)</f>
        <v>-0.0</v>
      </c>
      <c r="VCR53" s="5">
        <f>-IFERROR('4. NPV'!VCS23/'4. NPV'!VCS$8,0)</f>
        <v>-0.0</v>
      </c>
      <c r="VCS53" s="5">
        <f>-IFERROR('4. NPV'!VCT23/'4. NPV'!VCT$8,0)</f>
        <v>-0.0</v>
      </c>
      <c r="VCT53" s="5">
        <f>-IFERROR('4. NPV'!VCU23/'4. NPV'!VCU$8,0)</f>
        <v>-0.0</v>
      </c>
      <c r="VCU53" s="5">
        <f>-IFERROR('4. NPV'!VCV23/'4. NPV'!VCV$8,0)</f>
        <v>-0.0</v>
      </c>
      <c r="VCV53" s="5">
        <f>-IFERROR('4. NPV'!VCW23/'4. NPV'!VCW$8,0)</f>
        <v>-0.0</v>
      </c>
      <c r="VCW53" s="5">
        <f>-IFERROR('4. NPV'!VCX23/'4. NPV'!VCX$8,0)</f>
        <v>-0.0</v>
      </c>
      <c r="VCX53" s="5">
        <f>-IFERROR('4. NPV'!VCY23/'4. NPV'!VCY$8,0)</f>
        <v>-0.0</v>
      </c>
      <c r="VCY53" s="5">
        <f>-IFERROR('4. NPV'!VCZ23/'4. NPV'!VCZ$8,0)</f>
        <v>-0.0</v>
      </c>
      <c r="VCZ53" s="5">
        <f>-IFERROR('4. NPV'!VDA23/'4. NPV'!VDA$8,0)</f>
        <v>-0.0</v>
      </c>
      <c r="VDA53" s="5">
        <f>-IFERROR('4. NPV'!VDB23/'4. NPV'!VDB$8,0)</f>
        <v>-0.0</v>
      </c>
      <c r="VDB53" s="5">
        <f>-IFERROR('4. NPV'!VDC23/'4. NPV'!VDC$8,0)</f>
        <v>-0.0</v>
      </c>
      <c r="VDC53" s="5">
        <f>-IFERROR('4. NPV'!VDD23/'4. NPV'!VDD$8,0)</f>
        <v>-0.0</v>
      </c>
      <c r="VDD53" s="5">
        <f>-IFERROR('4. NPV'!VDE23/'4. NPV'!VDE$8,0)</f>
        <v>-0.0</v>
      </c>
      <c r="VDE53" s="5">
        <f>-IFERROR('4. NPV'!VDF23/'4. NPV'!VDF$8,0)</f>
        <v>-0.0</v>
      </c>
      <c r="VDF53" s="5">
        <f>-IFERROR('4. NPV'!VDG23/'4. NPV'!VDG$8,0)</f>
        <v>-0.0</v>
      </c>
      <c r="VDG53" s="5">
        <f>-IFERROR('4. NPV'!VDH23/'4. NPV'!VDH$8,0)</f>
        <v>-0.0</v>
      </c>
      <c r="VDH53" s="5">
        <f>-IFERROR('4. NPV'!VDI23/'4. NPV'!VDI$8,0)</f>
        <v>-0.0</v>
      </c>
      <c r="VDI53" s="5">
        <f>-IFERROR('4. NPV'!VDJ23/'4. NPV'!VDJ$8,0)</f>
        <v>-0.0</v>
      </c>
      <c r="VDJ53" s="5">
        <f>-IFERROR('4. NPV'!VDK23/'4. NPV'!VDK$8,0)</f>
        <v>-0.0</v>
      </c>
      <c r="VDK53" s="5">
        <f>-IFERROR('4. NPV'!VDL23/'4. NPV'!VDL$8,0)</f>
        <v>-0.0</v>
      </c>
      <c r="VDL53" s="5">
        <f>-IFERROR('4. NPV'!VDM23/'4. NPV'!VDM$8,0)</f>
        <v>-0.0</v>
      </c>
      <c r="VDM53" s="5">
        <f>-IFERROR('4. NPV'!VDN23/'4. NPV'!VDN$8,0)</f>
        <v>-0.0</v>
      </c>
      <c r="VDN53" s="5">
        <f>-IFERROR('4. NPV'!VDO23/'4. NPV'!VDO$8,0)</f>
        <v>-0.0</v>
      </c>
      <c r="VDO53" s="5">
        <f>-IFERROR('4. NPV'!VDP23/'4. NPV'!VDP$8,0)</f>
        <v>-0.0</v>
      </c>
      <c r="VDP53" s="5">
        <f>-IFERROR('4. NPV'!VDQ23/'4. NPV'!VDQ$8,0)</f>
        <v>-0.0</v>
      </c>
      <c r="VDQ53" s="5">
        <f>-IFERROR('4. NPV'!VDR23/'4. NPV'!VDR$8,0)</f>
        <v>-0.0</v>
      </c>
      <c r="VDR53" s="5">
        <f>-IFERROR('4. NPV'!VDS23/'4. NPV'!VDS$8,0)</f>
        <v>-0.0</v>
      </c>
      <c r="VDS53" s="5">
        <f>-IFERROR('4. NPV'!VDT23/'4. NPV'!VDT$8,0)</f>
        <v>-0.0</v>
      </c>
      <c r="VDT53" s="5">
        <f>-IFERROR('4. NPV'!VDU23/'4. NPV'!VDU$8,0)</f>
        <v>-0.0</v>
      </c>
      <c r="VDU53" s="5">
        <f>-IFERROR('4. NPV'!VDV23/'4. NPV'!VDV$8,0)</f>
        <v>-0.0</v>
      </c>
      <c r="VDV53" s="5">
        <f>-IFERROR('4. NPV'!VDW23/'4. NPV'!VDW$8,0)</f>
        <v>-0.0</v>
      </c>
      <c r="VDW53" s="5">
        <f>-IFERROR('4. NPV'!VDX23/'4. NPV'!VDX$8,0)</f>
        <v>-0.0</v>
      </c>
      <c r="VDX53" s="5">
        <f>-IFERROR('4. NPV'!VDY23/'4. NPV'!VDY$8,0)</f>
        <v>-0.0</v>
      </c>
      <c r="VDY53" s="5">
        <f>-IFERROR('4. NPV'!VDZ23/'4. NPV'!VDZ$8,0)</f>
        <v>-0.0</v>
      </c>
      <c r="VDZ53" s="5">
        <f>-IFERROR('4. NPV'!VEA23/'4. NPV'!VEA$8,0)</f>
        <v>-0.0</v>
      </c>
      <c r="VEA53" s="5">
        <f>-IFERROR('4. NPV'!VEB23/'4. NPV'!VEB$8,0)</f>
        <v>-0.0</v>
      </c>
      <c r="VEB53" s="5">
        <f>-IFERROR('4. NPV'!VEC23/'4. NPV'!VEC$8,0)</f>
        <v>-0.0</v>
      </c>
      <c r="VEC53" s="5">
        <f>-IFERROR('4. NPV'!VED23/'4. NPV'!VED$8,0)</f>
        <v>-0.0</v>
      </c>
      <c r="VED53" s="5">
        <f>-IFERROR('4. NPV'!VEE23/'4. NPV'!VEE$8,0)</f>
        <v>-0.0</v>
      </c>
      <c r="VEE53" s="5">
        <f>-IFERROR('4. NPV'!VEF23/'4. NPV'!VEF$8,0)</f>
        <v>-0.0</v>
      </c>
      <c r="VEF53" s="5">
        <f>-IFERROR('4. NPV'!VEG23/'4. NPV'!VEG$8,0)</f>
        <v>-0.0</v>
      </c>
      <c r="VEG53" s="5">
        <f>-IFERROR('4. NPV'!VEH23/'4. NPV'!VEH$8,0)</f>
        <v>-0.0</v>
      </c>
      <c r="VEH53" s="5">
        <f>-IFERROR('4. NPV'!VEI23/'4. NPV'!VEI$8,0)</f>
        <v>-0.0</v>
      </c>
      <c r="VEI53" s="5">
        <f>-IFERROR('4. NPV'!VEJ23/'4. NPV'!VEJ$8,0)</f>
        <v>-0.0</v>
      </c>
      <c r="VEJ53" s="5">
        <f>-IFERROR('4. NPV'!VEK23/'4. NPV'!VEK$8,0)</f>
        <v>-0.0</v>
      </c>
      <c r="VEK53" s="5">
        <f>-IFERROR('4. NPV'!VEL23/'4. NPV'!VEL$8,0)</f>
        <v>-0.0</v>
      </c>
      <c r="VEL53" s="5">
        <f>-IFERROR('4. NPV'!VEM23/'4. NPV'!VEM$8,0)</f>
        <v>-0.0</v>
      </c>
      <c r="VEM53" s="5">
        <f>-IFERROR('4. NPV'!VEN23/'4. NPV'!VEN$8,0)</f>
        <v>-0.0</v>
      </c>
      <c r="VEN53" s="5">
        <f>-IFERROR('4. NPV'!VEO23/'4. NPV'!VEO$8,0)</f>
        <v>-0.0</v>
      </c>
      <c r="VEO53" s="5">
        <f>-IFERROR('4. NPV'!VEP23/'4. NPV'!VEP$8,0)</f>
        <v>-0.0</v>
      </c>
      <c r="VEP53" s="5">
        <f>-IFERROR('4. NPV'!VEQ23/'4. NPV'!VEQ$8,0)</f>
        <v>-0.0</v>
      </c>
      <c r="VEQ53" s="5">
        <f>-IFERROR('4. NPV'!VER23/'4. NPV'!VER$8,0)</f>
        <v>-0.0</v>
      </c>
      <c r="VER53" s="5">
        <f>-IFERROR('4. NPV'!VES23/'4. NPV'!VES$8,0)</f>
        <v>-0.0</v>
      </c>
      <c r="VES53" s="5">
        <f>-IFERROR('4. NPV'!VET23/'4. NPV'!VET$8,0)</f>
        <v>-0.0</v>
      </c>
      <c r="VET53" s="5">
        <f>-IFERROR('4. NPV'!VEU23/'4. NPV'!VEU$8,0)</f>
        <v>-0.0</v>
      </c>
      <c r="VEU53" s="5">
        <f>-IFERROR('4. NPV'!VEV23/'4. NPV'!VEV$8,0)</f>
        <v>-0.0</v>
      </c>
      <c r="VEV53" s="5">
        <f>-IFERROR('4. NPV'!VEW23/'4. NPV'!VEW$8,0)</f>
        <v>-0.0</v>
      </c>
      <c r="VEW53" s="5">
        <f>-IFERROR('4. NPV'!VEX23/'4. NPV'!VEX$8,0)</f>
        <v>-0.0</v>
      </c>
      <c r="VEX53" s="5">
        <f>-IFERROR('4. NPV'!VEY23/'4. NPV'!VEY$8,0)</f>
        <v>-0.0</v>
      </c>
      <c r="VEY53" s="5">
        <f>-IFERROR('4. NPV'!VEZ23/'4. NPV'!VEZ$8,0)</f>
        <v>-0.0</v>
      </c>
      <c r="VEZ53" s="5">
        <f>-IFERROR('4. NPV'!VFA23/'4. NPV'!VFA$8,0)</f>
        <v>-0.0</v>
      </c>
      <c r="VFA53" s="5">
        <f>-IFERROR('4. NPV'!VFB23/'4. NPV'!VFB$8,0)</f>
        <v>-0.0</v>
      </c>
      <c r="VFB53" s="5">
        <f>-IFERROR('4. NPV'!VFC23/'4. NPV'!VFC$8,0)</f>
        <v>-0.0</v>
      </c>
      <c r="VFC53" s="5">
        <f>-IFERROR('4. NPV'!VFD23/'4. NPV'!VFD$8,0)</f>
        <v>-0.0</v>
      </c>
      <c r="VFD53" s="5">
        <f>-IFERROR('4. NPV'!VFE23/'4. NPV'!VFE$8,0)</f>
        <v>-0.0</v>
      </c>
      <c r="VFE53" s="5">
        <f>-IFERROR('4. NPV'!VFF23/'4. NPV'!VFF$8,0)</f>
        <v>-0.0</v>
      </c>
      <c r="VFF53" s="5">
        <f>-IFERROR('4. NPV'!VFG23/'4. NPV'!VFG$8,0)</f>
        <v>-0.0</v>
      </c>
      <c r="VFG53" s="5">
        <f>-IFERROR('4. NPV'!VFH23/'4. NPV'!VFH$8,0)</f>
        <v>-0.0</v>
      </c>
      <c r="VFH53" s="5">
        <f>-IFERROR('4. NPV'!VFI23/'4. NPV'!VFI$8,0)</f>
        <v>-0.0</v>
      </c>
      <c r="VFI53" s="5">
        <f>-IFERROR('4. NPV'!VFJ23/'4. NPV'!VFJ$8,0)</f>
        <v>-0.0</v>
      </c>
      <c r="VFJ53" s="5">
        <f>-IFERROR('4. NPV'!VFK23/'4. NPV'!VFK$8,0)</f>
        <v>-0.0</v>
      </c>
      <c r="VFK53" s="5">
        <f>-IFERROR('4. NPV'!VFL23/'4. NPV'!VFL$8,0)</f>
        <v>-0.0</v>
      </c>
      <c r="VFL53" s="5">
        <f>-IFERROR('4. NPV'!VFM23/'4. NPV'!VFM$8,0)</f>
        <v>-0.0</v>
      </c>
      <c r="VFM53" s="5">
        <f>-IFERROR('4. NPV'!VFN23/'4. NPV'!VFN$8,0)</f>
        <v>-0.0</v>
      </c>
      <c r="VFN53" s="5">
        <f>-IFERROR('4. NPV'!VFO23/'4. NPV'!VFO$8,0)</f>
        <v>-0.0</v>
      </c>
      <c r="VFO53" s="5">
        <f>-IFERROR('4. NPV'!VFP23/'4. NPV'!VFP$8,0)</f>
        <v>-0.0</v>
      </c>
      <c r="VFP53" s="5">
        <f>-IFERROR('4. NPV'!VFQ23/'4. NPV'!VFQ$8,0)</f>
        <v>-0.0</v>
      </c>
      <c r="VFQ53" s="5">
        <f>-IFERROR('4. NPV'!VFR23/'4. NPV'!VFR$8,0)</f>
        <v>-0.0</v>
      </c>
      <c r="VFR53" s="5">
        <f>-IFERROR('4. NPV'!VFS23/'4. NPV'!VFS$8,0)</f>
        <v>-0.0</v>
      </c>
      <c r="VFS53" s="5">
        <f>-IFERROR('4. NPV'!VFT23/'4. NPV'!VFT$8,0)</f>
        <v>-0.0</v>
      </c>
      <c r="VFT53" s="5">
        <f>-IFERROR('4. NPV'!VFU23/'4. NPV'!VFU$8,0)</f>
        <v>-0.0</v>
      </c>
      <c r="VFU53" s="5">
        <f>-IFERROR('4. NPV'!VFV23/'4. NPV'!VFV$8,0)</f>
        <v>-0.0</v>
      </c>
      <c r="VFV53" s="5">
        <f>-IFERROR('4. NPV'!VFW23/'4. NPV'!VFW$8,0)</f>
        <v>-0.0</v>
      </c>
      <c r="VFW53" s="5">
        <f>-IFERROR('4. NPV'!VFX23/'4. NPV'!VFX$8,0)</f>
        <v>-0.0</v>
      </c>
      <c r="VFX53" s="5">
        <f>-IFERROR('4. NPV'!VFY23/'4. NPV'!VFY$8,0)</f>
        <v>-0.0</v>
      </c>
      <c r="VFY53" s="5">
        <f>-IFERROR('4. NPV'!VFZ23/'4. NPV'!VFZ$8,0)</f>
        <v>-0.0</v>
      </c>
      <c r="VFZ53" s="5">
        <f>-IFERROR('4. NPV'!VGA23/'4. NPV'!VGA$8,0)</f>
        <v>-0.0</v>
      </c>
      <c r="VGA53" s="5">
        <f>-IFERROR('4. NPV'!VGB23/'4. NPV'!VGB$8,0)</f>
        <v>-0.0</v>
      </c>
      <c r="VGB53" s="5">
        <f>-IFERROR('4. NPV'!VGC23/'4. NPV'!VGC$8,0)</f>
        <v>-0.0</v>
      </c>
      <c r="VGC53" s="5">
        <f>-IFERROR('4. NPV'!VGD23/'4. NPV'!VGD$8,0)</f>
        <v>-0.0</v>
      </c>
      <c r="VGD53" s="5">
        <f>-IFERROR('4. NPV'!VGE23/'4. NPV'!VGE$8,0)</f>
        <v>-0.0</v>
      </c>
      <c r="VGE53" s="5">
        <f>-IFERROR('4. NPV'!VGF23/'4. NPV'!VGF$8,0)</f>
        <v>-0.0</v>
      </c>
      <c r="VGF53" s="5">
        <f>-IFERROR('4. NPV'!VGG23/'4. NPV'!VGG$8,0)</f>
        <v>-0.0</v>
      </c>
      <c r="VGG53" s="5">
        <f>-IFERROR('4. NPV'!VGH23/'4. NPV'!VGH$8,0)</f>
        <v>-0.0</v>
      </c>
      <c r="VGH53" s="5">
        <f>-IFERROR('4. NPV'!VGI23/'4. NPV'!VGI$8,0)</f>
        <v>-0.0</v>
      </c>
      <c r="VGI53" s="5">
        <f>-IFERROR('4. NPV'!VGJ23/'4. NPV'!VGJ$8,0)</f>
        <v>-0.0</v>
      </c>
      <c r="VGJ53" s="5">
        <f>-IFERROR('4. NPV'!VGK23/'4. NPV'!VGK$8,0)</f>
        <v>-0.0</v>
      </c>
      <c r="VGK53" s="5">
        <f>-IFERROR('4. NPV'!VGL23/'4. NPV'!VGL$8,0)</f>
        <v>-0.0</v>
      </c>
      <c r="VGL53" s="5">
        <f>-IFERROR('4. NPV'!VGM23/'4. NPV'!VGM$8,0)</f>
        <v>-0.0</v>
      </c>
      <c r="VGM53" s="5">
        <f>-IFERROR('4. NPV'!VGN23/'4. NPV'!VGN$8,0)</f>
        <v>-0.0</v>
      </c>
      <c r="VGN53" s="5">
        <f>-IFERROR('4. NPV'!VGO23/'4. NPV'!VGO$8,0)</f>
        <v>-0.0</v>
      </c>
      <c r="VGO53" s="5">
        <f>-IFERROR('4. NPV'!VGP23/'4. NPV'!VGP$8,0)</f>
        <v>-0.0</v>
      </c>
      <c r="VGP53" s="5">
        <f>-IFERROR('4. NPV'!VGQ23/'4. NPV'!VGQ$8,0)</f>
        <v>-0.0</v>
      </c>
      <c r="VGQ53" s="5">
        <f>-IFERROR('4. NPV'!VGR23/'4. NPV'!VGR$8,0)</f>
        <v>-0.0</v>
      </c>
      <c r="VGR53" s="5">
        <f>-IFERROR('4. NPV'!VGS23/'4. NPV'!VGS$8,0)</f>
        <v>-0.0</v>
      </c>
      <c r="VGS53" s="5">
        <f>-IFERROR('4. NPV'!VGT23/'4. NPV'!VGT$8,0)</f>
        <v>-0.0</v>
      </c>
      <c r="VGT53" s="5">
        <f>-IFERROR('4. NPV'!VGU23/'4. NPV'!VGU$8,0)</f>
        <v>-0.0</v>
      </c>
      <c r="VGU53" s="5">
        <f>-IFERROR('4. NPV'!VGV23/'4. NPV'!VGV$8,0)</f>
        <v>-0.0</v>
      </c>
      <c r="VGV53" s="5">
        <f>-IFERROR('4. NPV'!VGW23/'4. NPV'!VGW$8,0)</f>
        <v>-0.0</v>
      </c>
      <c r="VGW53" s="5">
        <f>-IFERROR('4. NPV'!VGX23/'4. NPV'!VGX$8,0)</f>
        <v>-0.0</v>
      </c>
      <c r="VGX53" s="5">
        <f>-IFERROR('4. NPV'!VGY23/'4. NPV'!VGY$8,0)</f>
        <v>-0.0</v>
      </c>
      <c r="VGY53" s="5">
        <f>-IFERROR('4. NPV'!VGZ23/'4. NPV'!VGZ$8,0)</f>
        <v>-0.0</v>
      </c>
      <c r="VGZ53" s="5">
        <f>-IFERROR('4. NPV'!VHA23/'4. NPV'!VHA$8,0)</f>
        <v>-0.0</v>
      </c>
      <c r="VHA53" s="5">
        <f>-IFERROR('4. NPV'!VHB23/'4. NPV'!VHB$8,0)</f>
        <v>-0.0</v>
      </c>
      <c r="VHB53" s="5">
        <f>-IFERROR('4. NPV'!VHC23/'4. NPV'!VHC$8,0)</f>
        <v>-0.0</v>
      </c>
      <c r="VHC53" s="5">
        <f>-IFERROR('4. NPV'!VHD23/'4. NPV'!VHD$8,0)</f>
        <v>-0.0</v>
      </c>
      <c r="VHD53" s="5">
        <f>-IFERROR('4. NPV'!VHE23/'4. NPV'!VHE$8,0)</f>
        <v>-0.0</v>
      </c>
      <c r="VHE53" s="5">
        <f>-IFERROR('4. NPV'!VHF23/'4. NPV'!VHF$8,0)</f>
        <v>-0.0</v>
      </c>
      <c r="VHF53" s="5">
        <f>-IFERROR('4. NPV'!VHG23/'4. NPV'!VHG$8,0)</f>
        <v>-0.0</v>
      </c>
      <c r="VHG53" s="5">
        <f>-IFERROR('4. NPV'!VHH23/'4. NPV'!VHH$8,0)</f>
        <v>-0.0</v>
      </c>
      <c r="VHH53" s="5">
        <f>-IFERROR('4. NPV'!VHI23/'4. NPV'!VHI$8,0)</f>
        <v>-0.0</v>
      </c>
      <c r="VHI53" s="5">
        <f>-IFERROR('4. NPV'!VHJ23/'4. NPV'!VHJ$8,0)</f>
        <v>-0.0</v>
      </c>
      <c r="VHJ53" s="5">
        <f>-IFERROR('4. NPV'!VHK23/'4. NPV'!VHK$8,0)</f>
        <v>-0.0</v>
      </c>
      <c r="VHK53" s="5">
        <f>-IFERROR('4. NPV'!VHL23/'4. NPV'!VHL$8,0)</f>
        <v>-0.0</v>
      </c>
      <c r="VHL53" s="5">
        <f>-IFERROR('4. NPV'!VHM23/'4. NPV'!VHM$8,0)</f>
        <v>-0.0</v>
      </c>
      <c r="VHM53" s="5">
        <f>-IFERROR('4. NPV'!VHN23/'4. NPV'!VHN$8,0)</f>
        <v>-0.0</v>
      </c>
      <c r="VHN53" s="5">
        <f>-IFERROR('4. NPV'!VHO23/'4. NPV'!VHO$8,0)</f>
        <v>-0.0</v>
      </c>
      <c r="VHO53" s="5">
        <f>-IFERROR('4. NPV'!VHP23/'4. NPV'!VHP$8,0)</f>
        <v>-0.0</v>
      </c>
      <c r="VHP53" s="5">
        <f>-IFERROR('4. NPV'!VHQ23/'4. NPV'!VHQ$8,0)</f>
        <v>-0.0</v>
      </c>
      <c r="VHQ53" s="5">
        <f>-IFERROR('4. NPV'!VHR23/'4. NPV'!VHR$8,0)</f>
        <v>-0.0</v>
      </c>
      <c r="VHR53" s="5">
        <f>-IFERROR('4. NPV'!VHS23/'4. NPV'!VHS$8,0)</f>
        <v>-0.0</v>
      </c>
      <c r="VHS53" s="5">
        <f>-IFERROR('4. NPV'!VHT23/'4. NPV'!VHT$8,0)</f>
        <v>-0.0</v>
      </c>
      <c r="VHT53" s="5">
        <f>-IFERROR('4. NPV'!VHU23/'4. NPV'!VHU$8,0)</f>
        <v>-0.0</v>
      </c>
      <c r="VHU53" s="5">
        <f>-IFERROR('4. NPV'!VHV23/'4. NPV'!VHV$8,0)</f>
        <v>-0.0</v>
      </c>
      <c r="VHV53" s="5">
        <f>-IFERROR('4. NPV'!VHW23/'4. NPV'!VHW$8,0)</f>
        <v>-0.0</v>
      </c>
      <c r="VHW53" s="5">
        <f>-IFERROR('4. NPV'!VHX23/'4. NPV'!VHX$8,0)</f>
        <v>-0.0</v>
      </c>
      <c r="VHX53" s="5">
        <f>-IFERROR('4. NPV'!VHY23/'4. NPV'!VHY$8,0)</f>
        <v>-0.0</v>
      </c>
      <c r="VHY53" s="5">
        <f>-IFERROR('4. NPV'!VHZ23/'4. NPV'!VHZ$8,0)</f>
        <v>-0.0</v>
      </c>
      <c r="VHZ53" s="5">
        <f>-IFERROR('4. NPV'!VIA23/'4. NPV'!VIA$8,0)</f>
        <v>-0.0</v>
      </c>
      <c r="VIA53" s="5">
        <f>-IFERROR('4. NPV'!VIB23/'4. NPV'!VIB$8,0)</f>
        <v>-0.0</v>
      </c>
      <c r="VIB53" s="5">
        <f>-IFERROR('4. NPV'!VIC23/'4. NPV'!VIC$8,0)</f>
        <v>-0.0</v>
      </c>
      <c r="VIC53" s="5">
        <f>-IFERROR('4. NPV'!VID23/'4. NPV'!VID$8,0)</f>
        <v>-0.0</v>
      </c>
      <c r="VID53" s="5">
        <f>-IFERROR('4. NPV'!VIE23/'4. NPV'!VIE$8,0)</f>
        <v>-0.0</v>
      </c>
      <c r="VIE53" s="5">
        <f>-IFERROR('4. NPV'!VIF23/'4. NPV'!VIF$8,0)</f>
        <v>-0.0</v>
      </c>
      <c r="VIF53" s="5">
        <f>-IFERROR('4. NPV'!VIG23/'4. NPV'!VIG$8,0)</f>
        <v>-0.0</v>
      </c>
      <c r="VIG53" s="5">
        <f>-IFERROR('4. NPV'!VIH23/'4. NPV'!VIH$8,0)</f>
        <v>-0.0</v>
      </c>
      <c r="VIH53" s="5">
        <f>-IFERROR('4. NPV'!VII23/'4. NPV'!VII$8,0)</f>
        <v>-0.0</v>
      </c>
      <c r="VII53" s="5">
        <f>-IFERROR('4. NPV'!VIJ23/'4. NPV'!VIJ$8,0)</f>
        <v>-0.0</v>
      </c>
      <c r="VIJ53" s="5">
        <f>-IFERROR('4. NPV'!VIK23/'4. NPV'!VIK$8,0)</f>
        <v>-0.0</v>
      </c>
      <c r="VIK53" s="5">
        <f>-IFERROR('4. NPV'!VIL23/'4. NPV'!VIL$8,0)</f>
        <v>-0.0</v>
      </c>
      <c r="VIL53" s="5">
        <f>-IFERROR('4. NPV'!VIM23/'4. NPV'!VIM$8,0)</f>
        <v>-0.0</v>
      </c>
      <c r="VIM53" s="5">
        <f>-IFERROR('4. NPV'!VIN23/'4. NPV'!VIN$8,0)</f>
        <v>-0.0</v>
      </c>
      <c r="VIN53" s="5">
        <f>-IFERROR('4. NPV'!VIO23/'4. NPV'!VIO$8,0)</f>
        <v>-0.0</v>
      </c>
      <c r="VIO53" s="5">
        <f>-IFERROR('4. NPV'!VIP23/'4. NPV'!VIP$8,0)</f>
        <v>-0.0</v>
      </c>
      <c r="VIP53" s="5">
        <f>-IFERROR('4. NPV'!VIQ23/'4. NPV'!VIQ$8,0)</f>
        <v>-0.0</v>
      </c>
      <c r="VIQ53" s="5">
        <f>-IFERROR('4. NPV'!VIR23/'4. NPV'!VIR$8,0)</f>
        <v>-0.0</v>
      </c>
      <c r="VIR53" s="5">
        <f>-IFERROR('4. NPV'!VIS23/'4. NPV'!VIS$8,0)</f>
        <v>-0.0</v>
      </c>
      <c r="VIS53" s="5">
        <f>-IFERROR('4. NPV'!VIT23/'4. NPV'!VIT$8,0)</f>
        <v>-0.0</v>
      </c>
      <c r="VIT53" s="5">
        <f>-IFERROR('4. NPV'!VIU23/'4. NPV'!VIU$8,0)</f>
        <v>-0.0</v>
      </c>
      <c r="VIU53" s="5">
        <f>-IFERROR('4. NPV'!VIV23/'4. NPV'!VIV$8,0)</f>
        <v>-0.0</v>
      </c>
      <c r="VIV53" s="5">
        <f>-IFERROR('4. NPV'!VIW23/'4. NPV'!VIW$8,0)</f>
        <v>-0.0</v>
      </c>
      <c r="VIW53" s="5">
        <f>-IFERROR('4. NPV'!VIX23/'4. NPV'!VIX$8,0)</f>
        <v>-0.0</v>
      </c>
      <c r="VIX53" s="5">
        <f>-IFERROR('4. NPV'!VIY23/'4. NPV'!VIY$8,0)</f>
        <v>-0.0</v>
      </c>
      <c r="VIY53" s="5">
        <f>-IFERROR('4. NPV'!VIZ23/'4. NPV'!VIZ$8,0)</f>
        <v>-0.0</v>
      </c>
      <c r="VIZ53" s="5">
        <f>-IFERROR('4. NPV'!VJA23/'4. NPV'!VJA$8,0)</f>
        <v>-0.0</v>
      </c>
      <c r="VJA53" s="5">
        <f>-IFERROR('4. NPV'!VJB23/'4. NPV'!VJB$8,0)</f>
        <v>-0.0</v>
      </c>
      <c r="VJB53" s="5">
        <f>-IFERROR('4. NPV'!VJC23/'4. NPV'!VJC$8,0)</f>
        <v>-0.0</v>
      </c>
      <c r="VJC53" s="5">
        <f>-IFERROR('4. NPV'!VJD23/'4. NPV'!VJD$8,0)</f>
        <v>-0.0</v>
      </c>
      <c r="VJD53" s="5">
        <f>-IFERROR('4. NPV'!VJE23/'4. NPV'!VJE$8,0)</f>
        <v>-0.0</v>
      </c>
      <c r="VJE53" s="5">
        <f>-IFERROR('4. NPV'!VJF23/'4. NPV'!VJF$8,0)</f>
        <v>-0.0</v>
      </c>
      <c r="VJF53" s="5">
        <f>-IFERROR('4. NPV'!VJG23/'4. NPV'!VJG$8,0)</f>
        <v>-0.0</v>
      </c>
      <c r="VJG53" s="5">
        <f>-IFERROR('4. NPV'!VJH23/'4. NPV'!VJH$8,0)</f>
        <v>-0.0</v>
      </c>
      <c r="VJH53" s="5">
        <f>-IFERROR('4. NPV'!VJI23/'4. NPV'!VJI$8,0)</f>
        <v>-0.0</v>
      </c>
      <c r="VJI53" s="5">
        <f>-IFERROR('4. NPV'!VJJ23/'4. NPV'!VJJ$8,0)</f>
        <v>-0.0</v>
      </c>
      <c r="VJJ53" s="5">
        <f>-IFERROR('4. NPV'!VJK23/'4. NPV'!VJK$8,0)</f>
        <v>-0.0</v>
      </c>
      <c r="VJK53" s="5">
        <f>-IFERROR('4. NPV'!VJL23/'4. NPV'!VJL$8,0)</f>
        <v>-0.0</v>
      </c>
      <c r="VJL53" s="5">
        <f>-IFERROR('4. NPV'!VJM23/'4. NPV'!VJM$8,0)</f>
        <v>-0.0</v>
      </c>
      <c r="VJM53" s="5">
        <f>-IFERROR('4. NPV'!VJN23/'4. NPV'!VJN$8,0)</f>
        <v>-0.0</v>
      </c>
      <c r="VJN53" s="5">
        <f>-IFERROR('4. NPV'!VJO23/'4. NPV'!VJO$8,0)</f>
        <v>-0.0</v>
      </c>
      <c r="VJO53" s="5">
        <f>-IFERROR('4. NPV'!VJP23/'4. NPV'!VJP$8,0)</f>
        <v>-0.0</v>
      </c>
      <c r="VJP53" s="5">
        <f>-IFERROR('4. NPV'!VJQ23/'4. NPV'!VJQ$8,0)</f>
        <v>-0.0</v>
      </c>
      <c r="VJQ53" s="5">
        <f>-IFERROR('4. NPV'!VJR23/'4. NPV'!VJR$8,0)</f>
        <v>-0.0</v>
      </c>
      <c r="VJR53" s="5">
        <f>-IFERROR('4. NPV'!VJS23/'4. NPV'!VJS$8,0)</f>
        <v>-0.0</v>
      </c>
      <c r="VJS53" s="5">
        <f>-IFERROR('4. NPV'!VJT23/'4. NPV'!VJT$8,0)</f>
        <v>-0.0</v>
      </c>
      <c r="VJT53" s="5">
        <f>-IFERROR('4. NPV'!VJU23/'4. NPV'!VJU$8,0)</f>
        <v>-0.0</v>
      </c>
      <c r="VJU53" s="5">
        <f>-IFERROR('4. NPV'!VJV23/'4. NPV'!VJV$8,0)</f>
        <v>-0.0</v>
      </c>
      <c r="VJV53" s="5">
        <f>-IFERROR('4. NPV'!VJW23/'4. NPV'!VJW$8,0)</f>
        <v>-0.0</v>
      </c>
      <c r="VJW53" s="5">
        <f>-IFERROR('4. NPV'!VJX23/'4. NPV'!VJX$8,0)</f>
        <v>-0.0</v>
      </c>
      <c r="VJX53" s="5">
        <f>-IFERROR('4. NPV'!VJY23/'4. NPV'!VJY$8,0)</f>
        <v>-0.0</v>
      </c>
      <c r="VJY53" s="5">
        <f>-IFERROR('4. NPV'!VJZ23/'4. NPV'!VJZ$8,0)</f>
        <v>-0.0</v>
      </c>
      <c r="VJZ53" s="5">
        <f>-IFERROR('4. NPV'!VKA23/'4. NPV'!VKA$8,0)</f>
        <v>-0.0</v>
      </c>
      <c r="VKA53" s="5">
        <f>-IFERROR('4. NPV'!VKB23/'4. NPV'!VKB$8,0)</f>
        <v>-0.0</v>
      </c>
      <c r="VKB53" s="5">
        <f>-IFERROR('4. NPV'!VKC23/'4. NPV'!VKC$8,0)</f>
        <v>-0.0</v>
      </c>
      <c r="VKC53" s="5">
        <f>-IFERROR('4. NPV'!VKD23/'4. NPV'!VKD$8,0)</f>
        <v>-0.0</v>
      </c>
      <c r="VKD53" s="5">
        <f>-IFERROR('4. NPV'!VKE23/'4. NPV'!VKE$8,0)</f>
        <v>-0.0</v>
      </c>
      <c r="VKE53" s="5">
        <f>-IFERROR('4. NPV'!VKF23/'4. NPV'!VKF$8,0)</f>
        <v>-0.0</v>
      </c>
      <c r="VKF53" s="5">
        <f>-IFERROR('4. NPV'!VKG23/'4. NPV'!VKG$8,0)</f>
        <v>-0.0</v>
      </c>
      <c r="VKG53" s="5">
        <f>-IFERROR('4. NPV'!VKH23/'4. NPV'!VKH$8,0)</f>
        <v>-0.0</v>
      </c>
      <c r="VKH53" s="5">
        <f>-IFERROR('4. NPV'!VKI23/'4. NPV'!VKI$8,0)</f>
        <v>-0.0</v>
      </c>
      <c r="VKI53" s="5">
        <f>-IFERROR('4. NPV'!VKJ23/'4. NPV'!VKJ$8,0)</f>
        <v>-0.0</v>
      </c>
      <c r="VKJ53" s="5">
        <f>-IFERROR('4. NPV'!VKK23/'4. NPV'!VKK$8,0)</f>
        <v>-0.0</v>
      </c>
      <c r="VKK53" s="5">
        <f>-IFERROR('4. NPV'!VKL23/'4. NPV'!VKL$8,0)</f>
        <v>-0.0</v>
      </c>
      <c r="VKL53" s="5">
        <f>-IFERROR('4. NPV'!VKM23/'4. NPV'!VKM$8,0)</f>
        <v>-0.0</v>
      </c>
      <c r="VKM53" s="5">
        <f>-IFERROR('4. NPV'!VKN23/'4. NPV'!VKN$8,0)</f>
        <v>-0.0</v>
      </c>
      <c r="VKN53" s="5">
        <f>-IFERROR('4. NPV'!VKO23/'4. NPV'!VKO$8,0)</f>
        <v>-0.0</v>
      </c>
      <c r="VKO53" s="5">
        <f>-IFERROR('4. NPV'!VKP23/'4. NPV'!VKP$8,0)</f>
        <v>-0.0</v>
      </c>
      <c r="VKP53" s="5">
        <f>-IFERROR('4. NPV'!VKQ23/'4. NPV'!VKQ$8,0)</f>
        <v>-0.0</v>
      </c>
      <c r="VKQ53" s="5">
        <f>-IFERROR('4. NPV'!VKR23/'4. NPV'!VKR$8,0)</f>
        <v>-0.0</v>
      </c>
      <c r="VKR53" s="5">
        <f>-IFERROR('4. NPV'!VKS23/'4. NPV'!VKS$8,0)</f>
        <v>-0.0</v>
      </c>
      <c r="VKS53" s="5">
        <f>-IFERROR('4. NPV'!VKT23/'4. NPV'!VKT$8,0)</f>
        <v>-0.0</v>
      </c>
      <c r="VKT53" s="5">
        <f>-IFERROR('4. NPV'!VKU23/'4. NPV'!VKU$8,0)</f>
        <v>-0.0</v>
      </c>
      <c r="VKU53" s="5">
        <f>-IFERROR('4. NPV'!VKV23/'4. NPV'!VKV$8,0)</f>
        <v>-0.0</v>
      </c>
      <c r="VKV53" s="5">
        <f>-IFERROR('4. NPV'!VKW23/'4. NPV'!VKW$8,0)</f>
        <v>-0.0</v>
      </c>
      <c r="VKW53" s="5">
        <f>-IFERROR('4. NPV'!VKX23/'4. NPV'!VKX$8,0)</f>
        <v>-0.0</v>
      </c>
      <c r="VKX53" s="5">
        <f>-IFERROR('4. NPV'!VKY23/'4. NPV'!VKY$8,0)</f>
        <v>-0.0</v>
      </c>
      <c r="VKY53" s="5">
        <f>-IFERROR('4. NPV'!VKZ23/'4. NPV'!VKZ$8,0)</f>
        <v>-0.0</v>
      </c>
      <c r="VKZ53" s="5">
        <f>-IFERROR('4. NPV'!VLA23/'4. NPV'!VLA$8,0)</f>
        <v>-0.0</v>
      </c>
      <c r="VLA53" s="5">
        <f>-IFERROR('4. NPV'!VLB23/'4. NPV'!VLB$8,0)</f>
        <v>-0.0</v>
      </c>
      <c r="VLB53" s="5">
        <f>-IFERROR('4. NPV'!VLC23/'4. NPV'!VLC$8,0)</f>
        <v>-0.0</v>
      </c>
      <c r="VLC53" s="5">
        <f>-IFERROR('4. NPV'!VLD23/'4. NPV'!VLD$8,0)</f>
        <v>-0.0</v>
      </c>
      <c r="VLD53" s="5">
        <f>-IFERROR('4. NPV'!VLE23/'4. NPV'!VLE$8,0)</f>
        <v>-0.0</v>
      </c>
      <c r="VLE53" s="5">
        <f>-IFERROR('4. NPV'!VLF23/'4. NPV'!VLF$8,0)</f>
        <v>-0.0</v>
      </c>
      <c r="VLF53" s="5">
        <f>-IFERROR('4. NPV'!VLG23/'4. NPV'!VLG$8,0)</f>
        <v>-0.0</v>
      </c>
      <c r="VLG53" s="5">
        <f>-IFERROR('4. NPV'!VLH23/'4. NPV'!VLH$8,0)</f>
        <v>-0.0</v>
      </c>
      <c r="VLH53" s="5">
        <f>-IFERROR('4. NPV'!VLI23/'4. NPV'!VLI$8,0)</f>
        <v>-0.0</v>
      </c>
      <c r="VLI53" s="5">
        <f>-IFERROR('4. NPV'!VLJ23/'4. NPV'!VLJ$8,0)</f>
        <v>-0.0</v>
      </c>
      <c r="VLJ53" s="5">
        <f>-IFERROR('4. NPV'!VLK23/'4. NPV'!VLK$8,0)</f>
        <v>-0.0</v>
      </c>
      <c r="VLK53" s="5">
        <f>-IFERROR('4. NPV'!VLL23/'4. NPV'!VLL$8,0)</f>
        <v>-0.0</v>
      </c>
      <c r="VLL53" s="5">
        <f>-IFERROR('4. NPV'!VLM23/'4. NPV'!VLM$8,0)</f>
        <v>-0.0</v>
      </c>
      <c r="VLM53" s="5">
        <f>-IFERROR('4. NPV'!VLN23/'4. NPV'!VLN$8,0)</f>
        <v>-0.0</v>
      </c>
      <c r="VLN53" s="5">
        <f>-IFERROR('4. NPV'!VLO23/'4. NPV'!VLO$8,0)</f>
        <v>-0.0</v>
      </c>
      <c r="VLO53" s="5">
        <f>-IFERROR('4. NPV'!VLP23/'4. NPV'!VLP$8,0)</f>
        <v>-0.0</v>
      </c>
      <c r="VLP53" s="5">
        <f>-IFERROR('4. NPV'!VLQ23/'4. NPV'!VLQ$8,0)</f>
        <v>-0.0</v>
      </c>
      <c r="VLQ53" s="5">
        <f>-IFERROR('4. NPV'!VLR23/'4. NPV'!VLR$8,0)</f>
        <v>-0.0</v>
      </c>
      <c r="VLR53" s="5">
        <f>-IFERROR('4. NPV'!VLS23/'4. NPV'!VLS$8,0)</f>
        <v>-0.0</v>
      </c>
      <c r="VLS53" s="5">
        <f>-IFERROR('4. NPV'!VLT23/'4. NPV'!VLT$8,0)</f>
        <v>-0.0</v>
      </c>
      <c r="VLT53" s="5">
        <f>-IFERROR('4. NPV'!VLU23/'4. NPV'!VLU$8,0)</f>
        <v>-0.0</v>
      </c>
      <c r="VLU53" s="5">
        <f>-IFERROR('4. NPV'!VLV23/'4. NPV'!VLV$8,0)</f>
        <v>-0.0</v>
      </c>
      <c r="VLV53" s="5">
        <f>-IFERROR('4. NPV'!VLW23/'4. NPV'!VLW$8,0)</f>
        <v>-0.0</v>
      </c>
      <c r="VLW53" s="5">
        <f>-IFERROR('4. NPV'!VLX23/'4. NPV'!VLX$8,0)</f>
        <v>-0.0</v>
      </c>
      <c r="VLX53" s="5">
        <f>-IFERROR('4. NPV'!VLY23/'4. NPV'!VLY$8,0)</f>
        <v>-0.0</v>
      </c>
      <c r="VLY53" s="5">
        <f>-IFERROR('4. NPV'!VLZ23/'4. NPV'!VLZ$8,0)</f>
        <v>-0.0</v>
      </c>
      <c r="VLZ53" s="5">
        <f>-IFERROR('4. NPV'!VMA23/'4. NPV'!VMA$8,0)</f>
        <v>-0.0</v>
      </c>
      <c r="VMA53" s="5">
        <f>-IFERROR('4. NPV'!VMB23/'4. NPV'!VMB$8,0)</f>
        <v>-0.0</v>
      </c>
      <c r="VMB53" s="5">
        <f>-IFERROR('4. NPV'!VMC23/'4. NPV'!VMC$8,0)</f>
        <v>-0.0</v>
      </c>
      <c r="VMC53" s="5">
        <f>-IFERROR('4. NPV'!VMD23/'4. NPV'!VMD$8,0)</f>
        <v>-0.0</v>
      </c>
      <c r="VMD53" s="5">
        <f>-IFERROR('4. NPV'!VME23/'4. NPV'!VME$8,0)</f>
        <v>-0.0</v>
      </c>
      <c r="VME53" s="5">
        <f>-IFERROR('4. NPV'!VMF23/'4. NPV'!VMF$8,0)</f>
        <v>-0.0</v>
      </c>
      <c r="VMF53" s="5">
        <f>-IFERROR('4. NPV'!VMG23/'4. NPV'!VMG$8,0)</f>
        <v>-0.0</v>
      </c>
      <c r="VMG53" s="5">
        <f>-IFERROR('4. NPV'!VMH23/'4. NPV'!VMH$8,0)</f>
        <v>-0.0</v>
      </c>
      <c r="VMH53" s="5">
        <f>-IFERROR('4. NPV'!VMI23/'4. NPV'!VMI$8,0)</f>
        <v>-0.0</v>
      </c>
      <c r="VMI53" s="5">
        <f>-IFERROR('4. NPV'!VMJ23/'4. NPV'!VMJ$8,0)</f>
        <v>-0.0</v>
      </c>
      <c r="VMJ53" s="5">
        <f>-IFERROR('4. NPV'!VMK23/'4. NPV'!VMK$8,0)</f>
        <v>-0.0</v>
      </c>
      <c r="VMK53" s="5">
        <f>-IFERROR('4. NPV'!VML23/'4. NPV'!VML$8,0)</f>
        <v>-0.0</v>
      </c>
      <c r="VML53" s="5">
        <f>-IFERROR('4. NPV'!VMM23/'4. NPV'!VMM$8,0)</f>
        <v>-0.0</v>
      </c>
      <c r="VMM53" s="5">
        <f>-IFERROR('4. NPV'!VMN23/'4. NPV'!VMN$8,0)</f>
        <v>-0.0</v>
      </c>
      <c r="VMN53" s="5">
        <f>-IFERROR('4. NPV'!VMO23/'4. NPV'!VMO$8,0)</f>
        <v>-0.0</v>
      </c>
      <c r="VMO53" s="5">
        <f>-IFERROR('4. NPV'!VMP23/'4. NPV'!VMP$8,0)</f>
        <v>-0.0</v>
      </c>
      <c r="VMP53" s="5">
        <f>-IFERROR('4. NPV'!VMQ23/'4. NPV'!VMQ$8,0)</f>
        <v>-0.0</v>
      </c>
      <c r="VMQ53" s="5">
        <f>-IFERROR('4. NPV'!VMR23/'4. NPV'!VMR$8,0)</f>
        <v>-0.0</v>
      </c>
      <c r="VMR53" s="5">
        <f>-IFERROR('4. NPV'!VMS23/'4. NPV'!VMS$8,0)</f>
        <v>-0.0</v>
      </c>
      <c r="VMS53" s="5">
        <f>-IFERROR('4. NPV'!VMT23/'4. NPV'!VMT$8,0)</f>
        <v>-0.0</v>
      </c>
      <c r="VMT53" s="5">
        <f>-IFERROR('4. NPV'!VMU23/'4. NPV'!VMU$8,0)</f>
        <v>-0.0</v>
      </c>
      <c r="VMU53" s="5">
        <f>-IFERROR('4. NPV'!VMV23/'4. NPV'!VMV$8,0)</f>
        <v>-0.0</v>
      </c>
      <c r="VMV53" s="5">
        <f>-IFERROR('4. NPV'!VMW23/'4. NPV'!VMW$8,0)</f>
        <v>-0.0</v>
      </c>
      <c r="VMW53" s="5">
        <f>-IFERROR('4. NPV'!VMX23/'4. NPV'!VMX$8,0)</f>
        <v>-0.0</v>
      </c>
      <c r="VMX53" s="5">
        <f>-IFERROR('4. NPV'!VMY23/'4. NPV'!VMY$8,0)</f>
        <v>-0.0</v>
      </c>
      <c r="VMY53" s="5">
        <f>-IFERROR('4. NPV'!VMZ23/'4. NPV'!VMZ$8,0)</f>
        <v>-0.0</v>
      </c>
      <c r="VMZ53" s="5">
        <f>-IFERROR('4. NPV'!VNA23/'4. NPV'!VNA$8,0)</f>
        <v>-0.0</v>
      </c>
      <c r="VNA53" s="5">
        <f>-IFERROR('4. NPV'!VNB23/'4. NPV'!VNB$8,0)</f>
        <v>-0.0</v>
      </c>
      <c r="VNB53" s="5">
        <f>-IFERROR('4. NPV'!VNC23/'4. NPV'!VNC$8,0)</f>
        <v>-0.0</v>
      </c>
      <c r="VNC53" s="5">
        <f>-IFERROR('4. NPV'!VND23/'4. NPV'!VND$8,0)</f>
        <v>-0.0</v>
      </c>
      <c r="VND53" s="5">
        <f>-IFERROR('4. NPV'!VNE23/'4. NPV'!VNE$8,0)</f>
        <v>-0.0</v>
      </c>
      <c r="VNE53" s="5">
        <f>-IFERROR('4. NPV'!VNF23/'4. NPV'!VNF$8,0)</f>
        <v>-0.0</v>
      </c>
      <c r="VNF53" s="5">
        <f>-IFERROR('4. NPV'!VNG23/'4. NPV'!VNG$8,0)</f>
        <v>-0.0</v>
      </c>
      <c r="VNG53" s="5">
        <f>-IFERROR('4. NPV'!VNH23/'4. NPV'!VNH$8,0)</f>
        <v>-0.0</v>
      </c>
      <c r="VNH53" s="5">
        <f>-IFERROR('4. NPV'!VNI23/'4. NPV'!VNI$8,0)</f>
        <v>-0.0</v>
      </c>
      <c r="VNI53" s="5">
        <f>-IFERROR('4. NPV'!VNJ23/'4. NPV'!VNJ$8,0)</f>
        <v>-0.0</v>
      </c>
      <c r="VNJ53" s="5">
        <f>-IFERROR('4. NPV'!VNK23/'4. NPV'!VNK$8,0)</f>
        <v>-0.0</v>
      </c>
      <c r="VNK53" s="5">
        <f>-IFERROR('4. NPV'!VNL23/'4. NPV'!VNL$8,0)</f>
        <v>-0.0</v>
      </c>
      <c r="VNL53" s="5">
        <f>-IFERROR('4. NPV'!VNM23/'4. NPV'!VNM$8,0)</f>
        <v>-0.0</v>
      </c>
      <c r="VNM53" s="5">
        <f>-IFERROR('4. NPV'!VNN23/'4. NPV'!VNN$8,0)</f>
        <v>-0.0</v>
      </c>
      <c r="VNN53" s="5">
        <f>-IFERROR('4. NPV'!VNO23/'4. NPV'!VNO$8,0)</f>
        <v>-0.0</v>
      </c>
      <c r="VNO53" s="5">
        <f>-IFERROR('4. NPV'!VNP23/'4. NPV'!VNP$8,0)</f>
        <v>-0.0</v>
      </c>
      <c r="VNP53" s="5">
        <f>-IFERROR('4. NPV'!VNQ23/'4. NPV'!VNQ$8,0)</f>
        <v>-0.0</v>
      </c>
      <c r="VNQ53" s="5">
        <f>-IFERROR('4. NPV'!VNR23/'4. NPV'!VNR$8,0)</f>
        <v>-0.0</v>
      </c>
      <c r="VNR53" s="5">
        <f>-IFERROR('4. NPV'!VNS23/'4. NPV'!VNS$8,0)</f>
        <v>-0.0</v>
      </c>
      <c r="VNS53" s="5">
        <f>-IFERROR('4. NPV'!VNT23/'4. NPV'!VNT$8,0)</f>
        <v>-0.0</v>
      </c>
      <c r="VNT53" s="5">
        <f>-IFERROR('4. NPV'!VNU23/'4. NPV'!VNU$8,0)</f>
        <v>-0.0</v>
      </c>
      <c r="VNU53" s="5">
        <f>-IFERROR('4. NPV'!VNV23/'4. NPV'!VNV$8,0)</f>
        <v>-0.0</v>
      </c>
      <c r="VNV53" s="5">
        <f>-IFERROR('4. NPV'!VNW23/'4. NPV'!VNW$8,0)</f>
        <v>-0.0</v>
      </c>
      <c r="VNW53" s="5">
        <f>-IFERROR('4. NPV'!VNX23/'4. NPV'!VNX$8,0)</f>
        <v>-0.0</v>
      </c>
      <c r="VNX53" s="5">
        <f>-IFERROR('4. NPV'!VNY23/'4. NPV'!VNY$8,0)</f>
        <v>-0.0</v>
      </c>
      <c r="VNY53" s="5">
        <f>-IFERROR('4. NPV'!VNZ23/'4. NPV'!VNZ$8,0)</f>
        <v>-0.0</v>
      </c>
      <c r="VNZ53" s="5">
        <f>-IFERROR('4. NPV'!VOA23/'4. NPV'!VOA$8,0)</f>
        <v>-0.0</v>
      </c>
      <c r="VOA53" s="5">
        <f>-IFERROR('4. NPV'!VOB23/'4. NPV'!VOB$8,0)</f>
        <v>-0.0</v>
      </c>
      <c r="VOB53" s="5">
        <f>-IFERROR('4. NPV'!VOC23/'4. NPV'!VOC$8,0)</f>
        <v>-0.0</v>
      </c>
      <c r="VOC53" s="5">
        <f>-IFERROR('4. NPV'!VOD23/'4. NPV'!VOD$8,0)</f>
        <v>-0.0</v>
      </c>
      <c r="VOD53" s="5">
        <f>-IFERROR('4. NPV'!VOE23/'4. NPV'!VOE$8,0)</f>
        <v>-0.0</v>
      </c>
      <c r="VOE53" s="5">
        <f>-IFERROR('4. NPV'!VOF23/'4. NPV'!VOF$8,0)</f>
        <v>-0.0</v>
      </c>
      <c r="VOF53" s="5">
        <f>-IFERROR('4. NPV'!VOG23/'4. NPV'!VOG$8,0)</f>
        <v>-0.0</v>
      </c>
      <c r="VOG53" s="5">
        <f>-IFERROR('4. NPV'!VOH23/'4. NPV'!VOH$8,0)</f>
        <v>-0.0</v>
      </c>
      <c r="VOH53" s="5">
        <f>-IFERROR('4. NPV'!VOI23/'4. NPV'!VOI$8,0)</f>
        <v>-0.0</v>
      </c>
      <c r="VOI53" s="5">
        <f>-IFERROR('4. NPV'!VOJ23/'4. NPV'!VOJ$8,0)</f>
        <v>-0.0</v>
      </c>
      <c r="VOJ53" s="5">
        <f>-IFERROR('4. NPV'!VOK23/'4. NPV'!VOK$8,0)</f>
        <v>-0.0</v>
      </c>
      <c r="VOK53" s="5">
        <f>-IFERROR('4. NPV'!VOL23/'4. NPV'!VOL$8,0)</f>
        <v>-0.0</v>
      </c>
      <c r="VOL53" s="5">
        <f>-IFERROR('4. NPV'!VOM23/'4. NPV'!VOM$8,0)</f>
        <v>-0.0</v>
      </c>
      <c r="VOM53" s="5">
        <f>-IFERROR('4. NPV'!VON23/'4. NPV'!VON$8,0)</f>
        <v>-0.0</v>
      </c>
      <c r="VON53" s="5">
        <f>-IFERROR('4. NPV'!VOO23/'4. NPV'!VOO$8,0)</f>
        <v>-0.0</v>
      </c>
      <c r="VOO53" s="5">
        <f>-IFERROR('4. NPV'!VOP23/'4. NPV'!VOP$8,0)</f>
        <v>-0.0</v>
      </c>
      <c r="VOP53" s="5">
        <f>-IFERROR('4. NPV'!VOQ23/'4. NPV'!VOQ$8,0)</f>
        <v>-0.0</v>
      </c>
      <c r="VOQ53" s="5">
        <f>-IFERROR('4. NPV'!VOR23/'4. NPV'!VOR$8,0)</f>
        <v>-0.0</v>
      </c>
      <c r="VOR53" s="5">
        <f>-IFERROR('4. NPV'!VOS23/'4. NPV'!VOS$8,0)</f>
        <v>-0.0</v>
      </c>
      <c r="VOS53" s="5">
        <f>-IFERROR('4. NPV'!VOT23/'4. NPV'!VOT$8,0)</f>
        <v>-0.0</v>
      </c>
      <c r="VOT53" s="5">
        <f>-IFERROR('4. NPV'!VOU23/'4. NPV'!VOU$8,0)</f>
        <v>-0.0</v>
      </c>
      <c r="VOU53" s="5">
        <f>-IFERROR('4. NPV'!VOV23/'4. NPV'!VOV$8,0)</f>
        <v>-0.0</v>
      </c>
      <c r="VOV53" s="5">
        <f>-IFERROR('4. NPV'!VOW23/'4. NPV'!VOW$8,0)</f>
        <v>-0.0</v>
      </c>
      <c r="VOW53" s="5">
        <f>-IFERROR('4. NPV'!VOX23/'4. NPV'!VOX$8,0)</f>
        <v>-0.0</v>
      </c>
      <c r="VOX53" s="5">
        <f>-IFERROR('4. NPV'!VOY23/'4. NPV'!VOY$8,0)</f>
        <v>-0.0</v>
      </c>
      <c r="VOY53" s="5">
        <f>-IFERROR('4. NPV'!VOZ23/'4. NPV'!VOZ$8,0)</f>
        <v>-0.0</v>
      </c>
      <c r="VOZ53" s="5">
        <f>-IFERROR('4. NPV'!VPA23/'4. NPV'!VPA$8,0)</f>
        <v>-0.0</v>
      </c>
      <c r="VPA53" s="5">
        <f>-IFERROR('4. NPV'!VPB23/'4. NPV'!VPB$8,0)</f>
        <v>-0.0</v>
      </c>
      <c r="VPB53" s="5">
        <f>-IFERROR('4. NPV'!VPC23/'4. NPV'!VPC$8,0)</f>
        <v>-0.0</v>
      </c>
      <c r="VPC53" s="5">
        <f>-IFERROR('4. NPV'!VPD23/'4. NPV'!VPD$8,0)</f>
        <v>-0.0</v>
      </c>
      <c r="VPD53" s="5">
        <f>-IFERROR('4. NPV'!VPE23/'4. NPV'!VPE$8,0)</f>
        <v>-0.0</v>
      </c>
      <c r="VPE53" s="5">
        <f>-IFERROR('4. NPV'!VPF23/'4. NPV'!VPF$8,0)</f>
        <v>-0.0</v>
      </c>
      <c r="VPF53" s="5">
        <f>-IFERROR('4. NPV'!VPG23/'4. NPV'!VPG$8,0)</f>
        <v>-0.0</v>
      </c>
      <c r="VPG53" s="5">
        <f>-IFERROR('4. NPV'!VPH23/'4. NPV'!VPH$8,0)</f>
        <v>-0.0</v>
      </c>
      <c r="VPH53" s="5">
        <f>-IFERROR('4. NPV'!VPI23/'4. NPV'!VPI$8,0)</f>
        <v>-0.0</v>
      </c>
      <c r="VPI53" s="5">
        <f>-IFERROR('4. NPV'!VPJ23/'4. NPV'!VPJ$8,0)</f>
        <v>-0.0</v>
      </c>
      <c r="VPJ53" s="5">
        <f>-IFERROR('4. NPV'!VPK23/'4. NPV'!VPK$8,0)</f>
        <v>-0.0</v>
      </c>
      <c r="VPK53" s="5">
        <f>-IFERROR('4. NPV'!VPL23/'4. NPV'!VPL$8,0)</f>
        <v>-0.0</v>
      </c>
      <c r="VPL53" s="5">
        <f>-IFERROR('4. NPV'!VPM23/'4. NPV'!VPM$8,0)</f>
        <v>-0.0</v>
      </c>
      <c r="VPM53" s="5">
        <f>-IFERROR('4. NPV'!VPN23/'4. NPV'!VPN$8,0)</f>
        <v>-0.0</v>
      </c>
      <c r="VPN53" s="5">
        <f>-IFERROR('4. NPV'!VPO23/'4. NPV'!VPO$8,0)</f>
        <v>-0.0</v>
      </c>
      <c r="VPO53" s="5">
        <f>-IFERROR('4. NPV'!VPP23/'4. NPV'!VPP$8,0)</f>
        <v>-0.0</v>
      </c>
      <c r="VPP53" s="5">
        <f>-IFERROR('4. NPV'!VPQ23/'4. NPV'!VPQ$8,0)</f>
        <v>-0.0</v>
      </c>
      <c r="VPQ53" s="5">
        <f>-IFERROR('4. NPV'!VPR23/'4. NPV'!VPR$8,0)</f>
        <v>-0.0</v>
      </c>
      <c r="VPR53" s="5">
        <f>-IFERROR('4. NPV'!VPS23/'4. NPV'!VPS$8,0)</f>
        <v>-0.0</v>
      </c>
      <c r="VPS53" s="5">
        <f>-IFERROR('4. NPV'!VPT23/'4. NPV'!VPT$8,0)</f>
        <v>-0.0</v>
      </c>
      <c r="VPT53" s="5">
        <f>-IFERROR('4. NPV'!VPU23/'4. NPV'!VPU$8,0)</f>
        <v>-0.0</v>
      </c>
      <c r="VPU53" s="5">
        <f>-IFERROR('4. NPV'!VPV23/'4. NPV'!VPV$8,0)</f>
        <v>-0.0</v>
      </c>
      <c r="VPV53" s="5">
        <f>-IFERROR('4. NPV'!VPW23/'4. NPV'!VPW$8,0)</f>
        <v>-0.0</v>
      </c>
      <c r="VPW53" s="5">
        <f>-IFERROR('4. NPV'!VPX23/'4. NPV'!VPX$8,0)</f>
        <v>-0.0</v>
      </c>
      <c r="VPX53" s="5">
        <f>-IFERROR('4. NPV'!VPY23/'4. NPV'!VPY$8,0)</f>
        <v>-0.0</v>
      </c>
      <c r="VPY53" s="5">
        <f>-IFERROR('4. NPV'!VPZ23/'4. NPV'!VPZ$8,0)</f>
        <v>-0.0</v>
      </c>
      <c r="VPZ53" s="5">
        <f>-IFERROR('4. NPV'!VQA23/'4. NPV'!VQA$8,0)</f>
        <v>-0.0</v>
      </c>
      <c r="VQA53" s="5">
        <f>-IFERROR('4. NPV'!VQB23/'4. NPV'!VQB$8,0)</f>
        <v>-0.0</v>
      </c>
      <c r="VQB53" s="5">
        <f>-IFERROR('4. NPV'!VQC23/'4. NPV'!VQC$8,0)</f>
        <v>-0.0</v>
      </c>
      <c r="VQC53" s="5">
        <f>-IFERROR('4. NPV'!VQD23/'4. NPV'!VQD$8,0)</f>
        <v>-0.0</v>
      </c>
      <c r="VQD53" s="5">
        <f>-IFERROR('4. NPV'!VQE23/'4. NPV'!VQE$8,0)</f>
        <v>-0.0</v>
      </c>
      <c r="VQE53" s="5">
        <f>-IFERROR('4. NPV'!VQF23/'4. NPV'!VQF$8,0)</f>
        <v>-0.0</v>
      </c>
      <c r="VQF53" s="5">
        <f>-IFERROR('4. NPV'!VQG23/'4. NPV'!VQG$8,0)</f>
        <v>-0.0</v>
      </c>
      <c r="VQG53" s="5">
        <f>-IFERROR('4. NPV'!VQH23/'4. NPV'!VQH$8,0)</f>
        <v>-0.0</v>
      </c>
      <c r="VQH53" s="5">
        <f>-IFERROR('4. NPV'!VQI23/'4. NPV'!VQI$8,0)</f>
        <v>-0.0</v>
      </c>
      <c r="VQI53" s="5">
        <f>-IFERROR('4. NPV'!VQJ23/'4. NPV'!VQJ$8,0)</f>
        <v>-0.0</v>
      </c>
      <c r="VQJ53" s="5">
        <f>-IFERROR('4. NPV'!VQK23/'4. NPV'!VQK$8,0)</f>
        <v>-0.0</v>
      </c>
      <c r="VQK53" s="5">
        <f>-IFERROR('4. NPV'!VQL23/'4. NPV'!VQL$8,0)</f>
        <v>-0.0</v>
      </c>
      <c r="VQL53" s="5">
        <f>-IFERROR('4. NPV'!VQM23/'4. NPV'!VQM$8,0)</f>
        <v>-0.0</v>
      </c>
      <c r="VQM53" s="5">
        <f>-IFERROR('4. NPV'!VQN23/'4. NPV'!VQN$8,0)</f>
        <v>-0.0</v>
      </c>
      <c r="VQN53" s="5">
        <f>-IFERROR('4. NPV'!VQO23/'4. NPV'!VQO$8,0)</f>
        <v>-0.0</v>
      </c>
      <c r="VQO53" s="5">
        <f>-IFERROR('4. NPV'!VQP23/'4. NPV'!VQP$8,0)</f>
        <v>-0.0</v>
      </c>
      <c r="VQP53" s="5">
        <f>-IFERROR('4. NPV'!VQQ23/'4. NPV'!VQQ$8,0)</f>
        <v>-0.0</v>
      </c>
      <c r="VQQ53" s="5">
        <f>-IFERROR('4. NPV'!VQR23/'4. NPV'!VQR$8,0)</f>
        <v>-0.0</v>
      </c>
      <c r="VQR53" s="5">
        <f>-IFERROR('4. NPV'!VQS23/'4. NPV'!VQS$8,0)</f>
        <v>-0.0</v>
      </c>
      <c r="VQS53" s="5">
        <f>-IFERROR('4. NPV'!VQT23/'4. NPV'!VQT$8,0)</f>
        <v>-0.0</v>
      </c>
      <c r="VQT53" s="5">
        <f>-IFERROR('4. NPV'!VQU23/'4. NPV'!VQU$8,0)</f>
        <v>-0.0</v>
      </c>
      <c r="VQU53" s="5">
        <f>-IFERROR('4. NPV'!VQV23/'4. NPV'!VQV$8,0)</f>
        <v>-0.0</v>
      </c>
      <c r="VQV53" s="5">
        <f>-IFERROR('4. NPV'!VQW23/'4. NPV'!VQW$8,0)</f>
        <v>-0.0</v>
      </c>
      <c r="VQW53" s="5">
        <f>-IFERROR('4. NPV'!VQX23/'4. NPV'!VQX$8,0)</f>
        <v>-0.0</v>
      </c>
      <c r="VQX53" s="5">
        <f>-IFERROR('4. NPV'!VQY23/'4. NPV'!VQY$8,0)</f>
        <v>-0.0</v>
      </c>
      <c r="VQY53" s="5">
        <f>-IFERROR('4. NPV'!VQZ23/'4. NPV'!VQZ$8,0)</f>
        <v>-0.0</v>
      </c>
      <c r="VQZ53" s="5">
        <f>-IFERROR('4. NPV'!VRA23/'4. NPV'!VRA$8,0)</f>
        <v>-0.0</v>
      </c>
      <c r="VRA53" s="5">
        <f>-IFERROR('4. NPV'!VRB23/'4. NPV'!VRB$8,0)</f>
        <v>-0.0</v>
      </c>
      <c r="VRB53" s="5">
        <f>-IFERROR('4. NPV'!VRC23/'4. NPV'!VRC$8,0)</f>
        <v>-0.0</v>
      </c>
      <c r="VRC53" s="5">
        <f>-IFERROR('4. NPV'!VRD23/'4. NPV'!VRD$8,0)</f>
        <v>-0.0</v>
      </c>
      <c r="VRD53" s="5">
        <f>-IFERROR('4. NPV'!VRE23/'4. NPV'!VRE$8,0)</f>
        <v>-0.0</v>
      </c>
      <c r="VRE53" s="5">
        <f>-IFERROR('4. NPV'!VRF23/'4. NPV'!VRF$8,0)</f>
        <v>-0.0</v>
      </c>
      <c r="VRF53" s="5">
        <f>-IFERROR('4. NPV'!VRG23/'4. NPV'!VRG$8,0)</f>
        <v>-0.0</v>
      </c>
      <c r="VRG53" s="5">
        <f>-IFERROR('4. NPV'!VRH23/'4. NPV'!VRH$8,0)</f>
        <v>-0.0</v>
      </c>
      <c r="VRH53" s="5">
        <f>-IFERROR('4. NPV'!VRI23/'4. NPV'!VRI$8,0)</f>
        <v>-0.0</v>
      </c>
      <c r="VRI53" s="5">
        <f>-IFERROR('4. NPV'!VRJ23/'4. NPV'!VRJ$8,0)</f>
        <v>-0.0</v>
      </c>
      <c r="VRJ53" s="5">
        <f>-IFERROR('4. NPV'!VRK23/'4. NPV'!VRK$8,0)</f>
        <v>-0.0</v>
      </c>
      <c r="VRK53" s="5">
        <f>-IFERROR('4. NPV'!VRL23/'4. NPV'!VRL$8,0)</f>
        <v>-0.0</v>
      </c>
      <c r="VRL53" s="5">
        <f>-IFERROR('4. NPV'!VRM23/'4. NPV'!VRM$8,0)</f>
        <v>-0.0</v>
      </c>
      <c r="VRM53" s="5">
        <f>-IFERROR('4. NPV'!VRN23/'4. NPV'!VRN$8,0)</f>
        <v>-0.0</v>
      </c>
      <c r="VRN53" s="5">
        <f>-IFERROR('4. NPV'!VRO23/'4. NPV'!VRO$8,0)</f>
        <v>-0.0</v>
      </c>
      <c r="VRO53" s="5">
        <f>-IFERROR('4. NPV'!VRP23/'4. NPV'!VRP$8,0)</f>
        <v>-0.0</v>
      </c>
      <c r="VRP53" s="5">
        <f>-IFERROR('4. NPV'!VRQ23/'4. NPV'!VRQ$8,0)</f>
        <v>-0.0</v>
      </c>
      <c r="VRQ53" s="5">
        <f>-IFERROR('4. NPV'!VRR23/'4. NPV'!VRR$8,0)</f>
        <v>-0.0</v>
      </c>
      <c r="VRR53" s="5">
        <f>-IFERROR('4. NPV'!VRS23/'4. NPV'!VRS$8,0)</f>
        <v>-0.0</v>
      </c>
      <c r="VRS53" s="5">
        <f>-IFERROR('4. NPV'!VRT23/'4. NPV'!VRT$8,0)</f>
        <v>-0.0</v>
      </c>
      <c r="VRT53" s="5">
        <f>-IFERROR('4. NPV'!VRU23/'4. NPV'!VRU$8,0)</f>
        <v>-0.0</v>
      </c>
      <c r="VRU53" s="5">
        <f>-IFERROR('4. NPV'!VRV23/'4. NPV'!VRV$8,0)</f>
        <v>-0.0</v>
      </c>
      <c r="VRV53" s="5">
        <f>-IFERROR('4. NPV'!VRW23/'4. NPV'!VRW$8,0)</f>
        <v>-0.0</v>
      </c>
      <c r="VRW53" s="5">
        <f>-IFERROR('4. NPV'!VRX23/'4. NPV'!VRX$8,0)</f>
        <v>-0.0</v>
      </c>
      <c r="VRX53" s="5">
        <f>-IFERROR('4. NPV'!VRY23/'4. NPV'!VRY$8,0)</f>
        <v>-0.0</v>
      </c>
      <c r="VRY53" s="5">
        <f>-IFERROR('4. NPV'!VRZ23/'4. NPV'!VRZ$8,0)</f>
        <v>-0.0</v>
      </c>
      <c r="VRZ53" s="5">
        <f>-IFERROR('4. NPV'!VSA23/'4. NPV'!VSA$8,0)</f>
        <v>-0.0</v>
      </c>
      <c r="VSA53" s="5">
        <f>-IFERROR('4. NPV'!VSB23/'4. NPV'!VSB$8,0)</f>
        <v>-0.0</v>
      </c>
      <c r="VSB53" s="5">
        <f>-IFERROR('4. NPV'!VSC23/'4. NPV'!VSC$8,0)</f>
        <v>-0.0</v>
      </c>
      <c r="VSC53" s="5">
        <f>-IFERROR('4. NPV'!VSD23/'4. NPV'!VSD$8,0)</f>
        <v>-0.0</v>
      </c>
      <c r="VSD53" s="5">
        <f>-IFERROR('4. NPV'!VSE23/'4. NPV'!VSE$8,0)</f>
        <v>-0.0</v>
      </c>
      <c r="VSE53" s="5">
        <f>-IFERROR('4. NPV'!VSF23/'4. NPV'!VSF$8,0)</f>
        <v>-0.0</v>
      </c>
      <c r="VSF53" s="5">
        <f>-IFERROR('4. NPV'!VSG23/'4. NPV'!VSG$8,0)</f>
        <v>-0.0</v>
      </c>
      <c r="VSG53" s="5">
        <f>-IFERROR('4. NPV'!VSH23/'4. NPV'!VSH$8,0)</f>
        <v>-0.0</v>
      </c>
      <c r="VSH53" s="5">
        <f>-IFERROR('4. NPV'!VSI23/'4. NPV'!VSI$8,0)</f>
        <v>-0.0</v>
      </c>
      <c r="VSI53" s="5">
        <f>-IFERROR('4. NPV'!VSJ23/'4. NPV'!VSJ$8,0)</f>
        <v>-0.0</v>
      </c>
      <c r="VSJ53" s="5">
        <f>-IFERROR('4. NPV'!VSK23/'4. NPV'!VSK$8,0)</f>
        <v>-0.0</v>
      </c>
      <c r="VSK53" s="5">
        <f>-IFERROR('4. NPV'!VSL23/'4. NPV'!VSL$8,0)</f>
        <v>-0.0</v>
      </c>
      <c r="VSL53" s="5">
        <f>-IFERROR('4. NPV'!VSM23/'4. NPV'!VSM$8,0)</f>
        <v>-0.0</v>
      </c>
      <c r="VSM53" s="5">
        <f>-IFERROR('4. NPV'!VSN23/'4. NPV'!VSN$8,0)</f>
        <v>-0.0</v>
      </c>
      <c r="VSN53" s="5">
        <f>-IFERROR('4. NPV'!VSO23/'4. NPV'!VSO$8,0)</f>
        <v>-0.0</v>
      </c>
      <c r="VSO53" s="5">
        <f>-IFERROR('4. NPV'!VSP23/'4. NPV'!VSP$8,0)</f>
        <v>-0.0</v>
      </c>
      <c r="VSP53" s="5">
        <f>-IFERROR('4. NPV'!VSQ23/'4. NPV'!VSQ$8,0)</f>
        <v>-0.0</v>
      </c>
      <c r="VSQ53" s="5">
        <f>-IFERROR('4. NPV'!VSR23/'4. NPV'!VSR$8,0)</f>
        <v>-0.0</v>
      </c>
      <c r="VSR53" s="5">
        <f>-IFERROR('4. NPV'!VSS23/'4. NPV'!VSS$8,0)</f>
        <v>-0.0</v>
      </c>
      <c r="VSS53" s="5">
        <f>-IFERROR('4. NPV'!VST23/'4. NPV'!VST$8,0)</f>
        <v>-0.0</v>
      </c>
      <c r="VST53" s="5">
        <f>-IFERROR('4. NPV'!VSU23/'4. NPV'!VSU$8,0)</f>
        <v>-0.0</v>
      </c>
      <c r="VSU53" s="5">
        <f>-IFERROR('4. NPV'!VSV23/'4. NPV'!VSV$8,0)</f>
        <v>-0.0</v>
      </c>
      <c r="VSV53" s="5">
        <f>-IFERROR('4. NPV'!VSW23/'4. NPV'!VSW$8,0)</f>
        <v>-0.0</v>
      </c>
      <c r="VSW53" s="5">
        <f>-IFERROR('4. NPV'!VSX23/'4. NPV'!VSX$8,0)</f>
        <v>-0.0</v>
      </c>
      <c r="VSX53" s="5">
        <f>-IFERROR('4. NPV'!VSY23/'4. NPV'!VSY$8,0)</f>
        <v>-0.0</v>
      </c>
      <c r="VSY53" s="5">
        <f>-IFERROR('4. NPV'!VSZ23/'4. NPV'!VSZ$8,0)</f>
        <v>-0.0</v>
      </c>
      <c r="VSZ53" s="5">
        <f>-IFERROR('4. NPV'!VTA23/'4. NPV'!VTA$8,0)</f>
        <v>-0.0</v>
      </c>
      <c r="VTA53" s="5">
        <f>-IFERROR('4. NPV'!VTB23/'4. NPV'!VTB$8,0)</f>
        <v>-0.0</v>
      </c>
      <c r="VTB53" s="5">
        <f>-IFERROR('4. NPV'!VTC23/'4. NPV'!VTC$8,0)</f>
        <v>-0.0</v>
      </c>
      <c r="VTC53" s="5">
        <f>-IFERROR('4. NPV'!VTD23/'4. NPV'!VTD$8,0)</f>
        <v>-0.0</v>
      </c>
      <c r="VTD53" s="5">
        <f>-IFERROR('4. NPV'!VTE23/'4. NPV'!VTE$8,0)</f>
        <v>-0.0</v>
      </c>
      <c r="VTE53" s="5">
        <f>-IFERROR('4. NPV'!VTF23/'4. NPV'!VTF$8,0)</f>
        <v>-0.0</v>
      </c>
      <c r="VTF53" s="5">
        <f>-IFERROR('4. NPV'!VTG23/'4. NPV'!VTG$8,0)</f>
        <v>-0.0</v>
      </c>
      <c r="VTG53" s="5">
        <f>-IFERROR('4. NPV'!VTH23/'4. NPV'!VTH$8,0)</f>
        <v>-0.0</v>
      </c>
      <c r="VTH53" s="5">
        <f>-IFERROR('4. NPV'!VTI23/'4. NPV'!VTI$8,0)</f>
        <v>-0.0</v>
      </c>
      <c r="VTI53" s="5">
        <f>-IFERROR('4. NPV'!VTJ23/'4. NPV'!VTJ$8,0)</f>
        <v>-0.0</v>
      </c>
      <c r="VTJ53" s="5">
        <f>-IFERROR('4. NPV'!VTK23/'4. NPV'!VTK$8,0)</f>
        <v>-0.0</v>
      </c>
      <c r="VTK53" s="5">
        <f>-IFERROR('4. NPV'!VTL23/'4. NPV'!VTL$8,0)</f>
        <v>-0.0</v>
      </c>
      <c r="VTL53" s="5">
        <f>-IFERROR('4. NPV'!VTM23/'4. NPV'!VTM$8,0)</f>
        <v>-0.0</v>
      </c>
      <c r="VTM53" s="5">
        <f>-IFERROR('4. NPV'!VTN23/'4. NPV'!VTN$8,0)</f>
        <v>-0.0</v>
      </c>
      <c r="VTN53" s="5">
        <f>-IFERROR('4. NPV'!VTO23/'4. NPV'!VTO$8,0)</f>
        <v>-0.0</v>
      </c>
      <c r="VTO53" s="5">
        <f>-IFERROR('4. NPV'!VTP23/'4. NPV'!VTP$8,0)</f>
        <v>-0.0</v>
      </c>
      <c r="VTP53" s="5">
        <f>-IFERROR('4. NPV'!VTQ23/'4. NPV'!VTQ$8,0)</f>
        <v>-0.0</v>
      </c>
      <c r="VTQ53" s="5">
        <f>-IFERROR('4. NPV'!VTR23/'4. NPV'!VTR$8,0)</f>
        <v>-0.0</v>
      </c>
      <c r="VTR53" s="5">
        <f>-IFERROR('4. NPV'!VTS23/'4. NPV'!VTS$8,0)</f>
        <v>-0.0</v>
      </c>
      <c r="VTS53" s="5">
        <f>-IFERROR('4. NPV'!VTT23/'4. NPV'!VTT$8,0)</f>
        <v>-0.0</v>
      </c>
      <c r="VTT53" s="5">
        <f>-IFERROR('4. NPV'!VTU23/'4. NPV'!VTU$8,0)</f>
        <v>-0.0</v>
      </c>
      <c r="VTU53" s="5">
        <f>-IFERROR('4. NPV'!VTV23/'4. NPV'!VTV$8,0)</f>
        <v>-0.0</v>
      </c>
      <c r="VTV53" s="5">
        <f>-IFERROR('4. NPV'!VTW23/'4. NPV'!VTW$8,0)</f>
        <v>-0.0</v>
      </c>
      <c r="VTW53" s="5">
        <f>-IFERROR('4. NPV'!VTX23/'4. NPV'!VTX$8,0)</f>
        <v>-0.0</v>
      </c>
      <c r="VTX53" s="5">
        <f>-IFERROR('4. NPV'!VTY23/'4. NPV'!VTY$8,0)</f>
        <v>-0.0</v>
      </c>
      <c r="VTY53" s="5">
        <f>-IFERROR('4. NPV'!VTZ23/'4. NPV'!VTZ$8,0)</f>
        <v>-0.0</v>
      </c>
      <c r="VTZ53" s="5">
        <f>-IFERROR('4. NPV'!VUA23/'4. NPV'!VUA$8,0)</f>
        <v>-0.0</v>
      </c>
      <c r="VUA53" s="5">
        <f>-IFERROR('4. NPV'!VUB23/'4. NPV'!VUB$8,0)</f>
        <v>-0.0</v>
      </c>
      <c r="VUB53" s="5">
        <f>-IFERROR('4. NPV'!VUC23/'4. NPV'!VUC$8,0)</f>
        <v>-0.0</v>
      </c>
      <c r="VUC53" s="5">
        <f>-IFERROR('4. NPV'!VUD23/'4. NPV'!VUD$8,0)</f>
        <v>-0.0</v>
      </c>
      <c r="VUD53" s="5">
        <f>-IFERROR('4. NPV'!VUE23/'4. NPV'!VUE$8,0)</f>
        <v>-0.0</v>
      </c>
      <c r="VUE53" s="5">
        <f>-IFERROR('4. NPV'!VUF23/'4. NPV'!VUF$8,0)</f>
        <v>-0.0</v>
      </c>
      <c r="VUF53" s="5">
        <f>-IFERROR('4. NPV'!VUG23/'4. NPV'!VUG$8,0)</f>
        <v>-0.0</v>
      </c>
      <c r="VUG53" s="5">
        <f>-IFERROR('4. NPV'!VUH23/'4. NPV'!VUH$8,0)</f>
        <v>-0.0</v>
      </c>
      <c r="VUH53" s="5">
        <f>-IFERROR('4. NPV'!VUI23/'4. NPV'!VUI$8,0)</f>
        <v>-0.0</v>
      </c>
      <c r="VUI53" s="5">
        <f>-IFERROR('4. NPV'!VUJ23/'4. NPV'!VUJ$8,0)</f>
        <v>-0.0</v>
      </c>
      <c r="VUJ53" s="5">
        <f>-IFERROR('4. NPV'!VUK23/'4. NPV'!VUK$8,0)</f>
        <v>-0.0</v>
      </c>
      <c r="VUK53" s="5">
        <f>-IFERROR('4. NPV'!VUL23/'4. NPV'!VUL$8,0)</f>
        <v>-0.0</v>
      </c>
      <c r="VUL53" s="5">
        <f>-IFERROR('4. NPV'!VUM23/'4. NPV'!VUM$8,0)</f>
        <v>-0.0</v>
      </c>
      <c r="VUM53" s="5">
        <f>-IFERROR('4. NPV'!VUN23/'4. NPV'!VUN$8,0)</f>
        <v>-0.0</v>
      </c>
      <c r="VUN53" s="5">
        <f>-IFERROR('4. NPV'!VUO23/'4. NPV'!VUO$8,0)</f>
        <v>-0.0</v>
      </c>
      <c r="VUO53" s="5">
        <f>-IFERROR('4. NPV'!VUP23/'4. NPV'!VUP$8,0)</f>
        <v>-0.0</v>
      </c>
      <c r="VUP53" s="5">
        <f>-IFERROR('4. NPV'!VUQ23/'4. NPV'!VUQ$8,0)</f>
        <v>-0.0</v>
      </c>
      <c r="VUQ53" s="5">
        <f>-IFERROR('4. NPV'!VUR23/'4. NPV'!VUR$8,0)</f>
        <v>-0.0</v>
      </c>
      <c r="VUR53" s="5">
        <f>-IFERROR('4. NPV'!VUS23/'4. NPV'!VUS$8,0)</f>
        <v>-0.0</v>
      </c>
      <c r="VUS53" s="5">
        <f>-IFERROR('4. NPV'!VUT23/'4. NPV'!VUT$8,0)</f>
        <v>-0.0</v>
      </c>
      <c r="VUT53" s="5">
        <f>-IFERROR('4. NPV'!VUU23/'4. NPV'!VUU$8,0)</f>
        <v>-0.0</v>
      </c>
      <c r="VUU53" s="5">
        <f>-IFERROR('4. NPV'!VUV23/'4. NPV'!VUV$8,0)</f>
        <v>-0.0</v>
      </c>
      <c r="VUV53" s="5">
        <f>-IFERROR('4. NPV'!VUW23/'4. NPV'!VUW$8,0)</f>
        <v>-0.0</v>
      </c>
      <c r="VUW53" s="5">
        <f>-IFERROR('4. NPV'!VUX23/'4. NPV'!VUX$8,0)</f>
        <v>-0.0</v>
      </c>
      <c r="VUX53" s="5">
        <f>-IFERROR('4. NPV'!VUY23/'4. NPV'!VUY$8,0)</f>
        <v>-0.0</v>
      </c>
      <c r="VUY53" s="5">
        <f>-IFERROR('4. NPV'!VUZ23/'4. NPV'!VUZ$8,0)</f>
        <v>-0.0</v>
      </c>
      <c r="VUZ53" s="5">
        <f>-IFERROR('4. NPV'!VVA23/'4. NPV'!VVA$8,0)</f>
        <v>-0.0</v>
      </c>
      <c r="VVA53" s="5">
        <f>-IFERROR('4. NPV'!VVB23/'4. NPV'!VVB$8,0)</f>
        <v>-0.0</v>
      </c>
      <c r="VVB53" s="5">
        <f>-IFERROR('4. NPV'!VVC23/'4. NPV'!VVC$8,0)</f>
        <v>-0.0</v>
      </c>
      <c r="VVC53" s="5">
        <f>-IFERROR('4. NPV'!VVD23/'4. NPV'!VVD$8,0)</f>
        <v>-0.0</v>
      </c>
      <c r="VVD53" s="5">
        <f>-IFERROR('4. NPV'!VVE23/'4. NPV'!VVE$8,0)</f>
        <v>-0.0</v>
      </c>
      <c r="VVE53" s="5">
        <f>-IFERROR('4. NPV'!VVF23/'4. NPV'!VVF$8,0)</f>
        <v>-0.0</v>
      </c>
      <c r="VVF53" s="5">
        <f>-IFERROR('4. NPV'!VVG23/'4. NPV'!VVG$8,0)</f>
        <v>-0.0</v>
      </c>
      <c r="VVG53" s="5">
        <f>-IFERROR('4. NPV'!VVH23/'4. NPV'!VVH$8,0)</f>
        <v>-0.0</v>
      </c>
      <c r="VVH53" s="5">
        <f>-IFERROR('4. NPV'!VVI23/'4. NPV'!VVI$8,0)</f>
        <v>-0.0</v>
      </c>
      <c r="VVI53" s="5">
        <f>-IFERROR('4. NPV'!VVJ23/'4. NPV'!VVJ$8,0)</f>
        <v>-0.0</v>
      </c>
      <c r="VVJ53" s="5">
        <f>-IFERROR('4. NPV'!VVK23/'4. NPV'!VVK$8,0)</f>
        <v>-0.0</v>
      </c>
      <c r="VVK53" s="5">
        <f>-IFERROR('4. NPV'!VVL23/'4. NPV'!VVL$8,0)</f>
        <v>-0.0</v>
      </c>
      <c r="VVL53" s="5">
        <f>-IFERROR('4. NPV'!VVM23/'4. NPV'!VVM$8,0)</f>
        <v>-0.0</v>
      </c>
      <c r="VVM53" s="5">
        <f>-IFERROR('4. NPV'!VVN23/'4. NPV'!VVN$8,0)</f>
        <v>-0.0</v>
      </c>
      <c r="VVN53" s="5">
        <f>-IFERROR('4. NPV'!VVO23/'4. NPV'!VVO$8,0)</f>
        <v>-0.0</v>
      </c>
      <c r="VVO53" s="5">
        <f>-IFERROR('4. NPV'!VVP23/'4. NPV'!VVP$8,0)</f>
        <v>-0.0</v>
      </c>
      <c r="VVP53" s="5">
        <f>-IFERROR('4. NPV'!VVQ23/'4. NPV'!VVQ$8,0)</f>
        <v>-0.0</v>
      </c>
      <c r="VVQ53" s="5">
        <f>-IFERROR('4. NPV'!VVR23/'4. NPV'!VVR$8,0)</f>
        <v>-0.0</v>
      </c>
      <c r="VVR53" s="5">
        <f>-IFERROR('4. NPV'!VVS23/'4. NPV'!VVS$8,0)</f>
        <v>-0.0</v>
      </c>
      <c r="VVS53" s="5">
        <f>-IFERROR('4. NPV'!VVT23/'4. NPV'!VVT$8,0)</f>
        <v>-0.0</v>
      </c>
      <c r="VVT53" s="5">
        <f>-IFERROR('4. NPV'!VVU23/'4. NPV'!VVU$8,0)</f>
        <v>-0.0</v>
      </c>
      <c r="VVU53" s="5">
        <f>-IFERROR('4. NPV'!VVV23/'4. NPV'!VVV$8,0)</f>
        <v>-0.0</v>
      </c>
      <c r="VVV53" s="5">
        <f>-IFERROR('4. NPV'!VVW23/'4. NPV'!VVW$8,0)</f>
        <v>-0.0</v>
      </c>
      <c r="VVW53" s="5">
        <f>-IFERROR('4. NPV'!VVX23/'4. NPV'!VVX$8,0)</f>
        <v>-0.0</v>
      </c>
      <c r="VVX53" s="5">
        <f>-IFERROR('4. NPV'!VVY23/'4. NPV'!VVY$8,0)</f>
        <v>-0.0</v>
      </c>
      <c r="VVY53" s="5">
        <f>-IFERROR('4. NPV'!VVZ23/'4. NPV'!VVZ$8,0)</f>
        <v>-0.0</v>
      </c>
      <c r="VVZ53" s="5">
        <f>-IFERROR('4. NPV'!VWA23/'4. NPV'!VWA$8,0)</f>
        <v>-0.0</v>
      </c>
      <c r="VWA53" s="5">
        <f>-IFERROR('4. NPV'!VWB23/'4. NPV'!VWB$8,0)</f>
        <v>-0.0</v>
      </c>
      <c r="VWB53" s="5">
        <f>-IFERROR('4. NPV'!VWC23/'4. NPV'!VWC$8,0)</f>
        <v>-0.0</v>
      </c>
      <c r="VWC53" s="5">
        <f>-IFERROR('4. NPV'!VWD23/'4. NPV'!VWD$8,0)</f>
        <v>-0.0</v>
      </c>
      <c r="VWD53" s="5">
        <f>-IFERROR('4. NPV'!VWE23/'4. NPV'!VWE$8,0)</f>
        <v>-0.0</v>
      </c>
      <c r="VWE53" s="5">
        <f>-IFERROR('4. NPV'!VWF23/'4. NPV'!VWF$8,0)</f>
        <v>-0.0</v>
      </c>
      <c r="VWF53" s="5">
        <f>-IFERROR('4. NPV'!VWG23/'4. NPV'!VWG$8,0)</f>
        <v>-0.0</v>
      </c>
      <c r="VWG53" s="5">
        <f>-IFERROR('4. NPV'!VWH23/'4. NPV'!VWH$8,0)</f>
        <v>-0.0</v>
      </c>
      <c r="VWH53" s="5">
        <f>-IFERROR('4. NPV'!VWI23/'4. NPV'!VWI$8,0)</f>
        <v>-0.0</v>
      </c>
      <c r="VWI53" s="5">
        <f>-IFERROR('4. NPV'!VWJ23/'4. NPV'!VWJ$8,0)</f>
        <v>-0.0</v>
      </c>
      <c r="VWJ53" s="5">
        <f>-IFERROR('4. NPV'!VWK23/'4. NPV'!VWK$8,0)</f>
        <v>-0.0</v>
      </c>
      <c r="VWK53" s="5">
        <f>-IFERROR('4. NPV'!VWL23/'4. NPV'!VWL$8,0)</f>
        <v>-0.0</v>
      </c>
      <c r="VWL53" s="5">
        <f>-IFERROR('4. NPV'!VWM23/'4. NPV'!VWM$8,0)</f>
        <v>-0.0</v>
      </c>
      <c r="VWM53" s="5">
        <f>-IFERROR('4. NPV'!VWN23/'4. NPV'!VWN$8,0)</f>
        <v>-0.0</v>
      </c>
      <c r="VWN53" s="5">
        <f>-IFERROR('4. NPV'!VWO23/'4. NPV'!VWO$8,0)</f>
        <v>-0.0</v>
      </c>
      <c r="VWO53" s="5">
        <f>-IFERROR('4. NPV'!VWP23/'4. NPV'!VWP$8,0)</f>
        <v>-0.0</v>
      </c>
      <c r="VWP53" s="5">
        <f>-IFERROR('4. NPV'!VWQ23/'4. NPV'!VWQ$8,0)</f>
        <v>-0.0</v>
      </c>
      <c r="VWQ53" s="5">
        <f>-IFERROR('4. NPV'!VWR23/'4. NPV'!VWR$8,0)</f>
        <v>-0.0</v>
      </c>
      <c r="VWR53" s="5">
        <f>-IFERROR('4. NPV'!VWS23/'4. NPV'!VWS$8,0)</f>
        <v>-0.0</v>
      </c>
      <c r="VWS53" s="5">
        <f>-IFERROR('4. NPV'!VWT23/'4. NPV'!VWT$8,0)</f>
        <v>-0.0</v>
      </c>
      <c r="VWT53" s="5">
        <f>-IFERROR('4. NPV'!VWU23/'4. NPV'!VWU$8,0)</f>
        <v>-0.0</v>
      </c>
      <c r="VWU53" s="5">
        <f>-IFERROR('4. NPV'!VWV23/'4. NPV'!VWV$8,0)</f>
        <v>-0.0</v>
      </c>
      <c r="VWV53" s="5">
        <f>-IFERROR('4. NPV'!VWW23/'4. NPV'!VWW$8,0)</f>
        <v>-0.0</v>
      </c>
      <c r="VWW53" s="5">
        <f>-IFERROR('4. NPV'!VWX23/'4. NPV'!VWX$8,0)</f>
        <v>-0.0</v>
      </c>
      <c r="VWX53" s="5">
        <f>-IFERROR('4. NPV'!VWY23/'4. NPV'!VWY$8,0)</f>
        <v>-0.0</v>
      </c>
      <c r="VWY53" s="5">
        <f>-IFERROR('4. NPV'!VWZ23/'4. NPV'!VWZ$8,0)</f>
        <v>-0.0</v>
      </c>
      <c r="VWZ53" s="5">
        <f>-IFERROR('4. NPV'!VXA23/'4. NPV'!VXA$8,0)</f>
        <v>-0.0</v>
      </c>
      <c r="VXA53" s="5">
        <f>-IFERROR('4. NPV'!VXB23/'4. NPV'!VXB$8,0)</f>
        <v>-0.0</v>
      </c>
      <c r="VXB53" s="5">
        <f>-IFERROR('4. NPV'!VXC23/'4. NPV'!VXC$8,0)</f>
        <v>-0.0</v>
      </c>
      <c r="VXC53" s="5">
        <f>-IFERROR('4. NPV'!VXD23/'4. NPV'!VXD$8,0)</f>
        <v>-0.0</v>
      </c>
      <c r="VXD53" s="5">
        <f>-IFERROR('4. NPV'!VXE23/'4. NPV'!VXE$8,0)</f>
        <v>-0.0</v>
      </c>
      <c r="VXE53" s="5">
        <f>-IFERROR('4. NPV'!VXF23/'4. NPV'!VXF$8,0)</f>
        <v>-0.0</v>
      </c>
      <c r="VXF53" s="5">
        <f>-IFERROR('4. NPV'!VXG23/'4. NPV'!VXG$8,0)</f>
        <v>-0.0</v>
      </c>
      <c r="VXG53" s="5">
        <f>-IFERROR('4. NPV'!VXH23/'4. NPV'!VXH$8,0)</f>
        <v>-0.0</v>
      </c>
      <c r="VXH53" s="5">
        <f>-IFERROR('4. NPV'!VXI23/'4. NPV'!VXI$8,0)</f>
        <v>-0.0</v>
      </c>
      <c r="VXI53" s="5">
        <f>-IFERROR('4. NPV'!VXJ23/'4. NPV'!VXJ$8,0)</f>
        <v>-0.0</v>
      </c>
      <c r="VXJ53" s="5">
        <f>-IFERROR('4. NPV'!VXK23/'4. NPV'!VXK$8,0)</f>
        <v>-0.0</v>
      </c>
      <c r="VXK53" s="5">
        <f>-IFERROR('4. NPV'!VXL23/'4. NPV'!VXL$8,0)</f>
        <v>-0.0</v>
      </c>
      <c r="VXL53" s="5">
        <f>-IFERROR('4. NPV'!VXM23/'4. NPV'!VXM$8,0)</f>
        <v>-0.0</v>
      </c>
      <c r="VXM53" s="5">
        <f>-IFERROR('4. NPV'!VXN23/'4. NPV'!VXN$8,0)</f>
        <v>-0.0</v>
      </c>
      <c r="VXN53" s="5">
        <f>-IFERROR('4. NPV'!VXO23/'4. NPV'!VXO$8,0)</f>
        <v>-0.0</v>
      </c>
      <c r="VXO53" s="5">
        <f>-IFERROR('4. NPV'!VXP23/'4. NPV'!VXP$8,0)</f>
        <v>-0.0</v>
      </c>
      <c r="VXP53" s="5">
        <f>-IFERROR('4. NPV'!VXQ23/'4. NPV'!VXQ$8,0)</f>
        <v>-0.0</v>
      </c>
      <c r="VXQ53" s="5">
        <f>-IFERROR('4. NPV'!VXR23/'4. NPV'!VXR$8,0)</f>
        <v>-0.0</v>
      </c>
      <c r="VXR53" s="5">
        <f>-IFERROR('4. NPV'!VXS23/'4. NPV'!VXS$8,0)</f>
        <v>-0.0</v>
      </c>
      <c r="VXS53" s="5">
        <f>-IFERROR('4. NPV'!VXT23/'4. NPV'!VXT$8,0)</f>
        <v>-0.0</v>
      </c>
      <c r="VXT53" s="5">
        <f>-IFERROR('4. NPV'!VXU23/'4. NPV'!VXU$8,0)</f>
        <v>-0.0</v>
      </c>
      <c r="VXU53" s="5">
        <f>-IFERROR('4. NPV'!VXV23/'4. NPV'!VXV$8,0)</f>
        <v>-0.0</v>
      </c>
      <c r="VXV53" s="5">
        <f>-IFERROR('4. NPV'!VXW23/'4. NPV'!VXW$8,0)</f>
        <v>-0.0</v>
      </c>
      <c r="VXW53" s="5">
        <f>-IFERROR('4. NPV'!VXX23/'4. NPV'!VXX$8,0)</f>
        <v>-0.0</v>
      </c>
      <c r="VXX53" s="5">
        <f>-IFERROR('4. NPV'!VXY23/'4. NPV'!VXY$8,0)</f>
        <v>-0.0</v>
      </c>
      <c r="VXY53" s="5">
        <f>-IFERROR('4. NPV'!VXZ23/'4. NPV'!VXZ$8,0)</f>
        <v>-0.0</v>
      </c>
      <c r="VXZ53" s="5">
        <f>-IFERROR('4. NPV'!VYA23/'4. NPV'!VYA$8,0)</f>
        <v>-0.0</v>
      </c>
      <c r="VYA53" s="5">
        <f>-IFERROR('4. NPV'!VYB23/'4. NPV'!VYB$8,0)</f>
        <v>-0.0</v>
      </c>
      <c r="VYB53" s="5">
        <f>-IFERROR('4. NPV'!VYC23/'4. NPV'!VYC$8,0)</f>
        <v>-0.0</v>
      </c>
      <c r="VYC53" s="5">
        <f>-IFERROR('4. NPV'!VYD23/'4. NPV'!VYD$8,0)</f>
        <v>-0.0</v>
      </c>
      <c r="VYD53" s="5">
        <f>-IFERROR('4. NPV'!VYE23/'4. NPV'!VYE$8,0)</f>
        <v>-0.0</v>
      </c>
      <c r="VYE53" s="5">
        <f>-IFERROR('4. NPV'!VYF23/'4. NPV'!VYF$8,0)</f>
        <v>-0.0</v>
      </c>
      <c r="VYF53" s="5">
        <f>-IFERROR('4. NPV'!VYG23/'4. NPV'!VYG$8,0)</f>
        <v>-0.0</v>
      </c>
      <c r="VYG53" s="5">
        <f>-IFERROR('4. NPV'!VYH23/'4. NPV'!VYH$8,0)</f>
        <v>-0.0</v>
      </c>
      <c r="VYH53" s="5">
        <f>-IFERROR('4. NPV'!VYI23/'4. NPV'!VYI$8,0)</f>
        <v>-0.0</v>
      </c>
      <c r="VYI53" s="5">
        <f>-IFERROR('4. NPV'!VYJ23/'4. NPV'!VYJ$8,0)</f>
        <v>-0.0</v>
      </c>
      <c r="VYJ53" s="5">
        <f>-IFERROR('4. NPV'!VYK23/'4. NPV'!VYK$8,0)</f>
        <v>-0.0</v>
      </c>
      <c r="VYK53" s="5">
        <f>-IFERROR('4. NPV'!VYL23/'4. NPV'!VYL$8,0)</f>
        <v>-0.0</v>
      </c>
      <c r="VYL53" s="5">
        <f>-IFERROR('4. NPV'!VYM23/'4. NPV'!VYM$8,0)</f>
        <v>-0.0</v>
      </c>
      <c r="VYM53" s="5">
        <f>-IFERROR('4. NPV'!VYN23/'4. NPV'!VYN$8,0)</f>
        <v>-0.0</v>
      </c>
      <c r="VYN53" s="5">
        <f>-IFERROR('4. NPV'!VYO23/'4. NPV'!VYO$8,0)</f>
        <v>-0.0</v>
      </c>
      <c r="VYO53" s="5">
        <f>-IFERROR('4. NPV'!VYP23/'4. NPV'!VYP$8,0)</f>
        <v>-0.0</v>
      </c>
      <c r="VYP53" s="5">
        <f>-IFERROR('4. NPV'!VYQ23/'4. NPV'!VYQ$8,0)</f>
        <v>-0.0</v>
      </c>
      <c r="VYQ53" s="5">
        <f>-IFERROR('4. NPV'!VYR23/'4. NPV'!VYR$8,0)</f>
        <v>-0.0</v>
      </c>
      <c r="VYR53" s="5">
        <f>-IFERROR('4. NPV'!VYS23/'4. NPV'!VYS$8,0)</f>
        <v>-0.0</v>
      </c>
      <c r="VYS53" s="5">
        <f>-IFERROR('4. NPV'!VYT23/'4. NPV'!VYT$8,0)</f>
        <v>-0.0</v>
      </c>
      <c r="VYT53" s="5">
        <f>-IFERROR('4. NPV'!VYU23/'4. NPV'!VYU$8,0)</f>
        <v>-0.0</v>
      </c>
      <c r="VYU53" s="5">
        <f>-IFERROR('4. NPV'!VYV23/'4. NPV'!VYV$8,0)</f>
        <v>-0.0</v>
      </c>
      <c r="VYV53" s="5">
        <f>-IFERROR('4. NPV'!VYW23/'4. NPV'!VYW$8,0)</f>
        <v>-0.0</v>
      </c>
      <c r="VYW53" s="5">
        <f>-IFERROR('4. NPV'!VYX23/'4. NPV'!VYX$8,0)</f>
        <v>-0.0</v>
      </c>
      <c r="VYX53" s="5">
        <f>-IFERROR('4. NPV'!VYY23/'4. NPV'!VYY$8,0)</f>
        <v>-0.0</v>
      </c>
      <c r="VYY53" s="5">
        <f>-IFERROR('4. NPV'!VYZ23/'4. NPV'!VYZ$8,0)</f>
        <v>-0.0</v>
      </c>
      <c r="VYZ53" s="5">
        <f>-IFERROR('4. NPV'!VZA23/'4. NPV'!VZA$8,0)</f>
        <v>-0.0</v>
      </c>
      <c r="VZA53" s="5">
        <f>-IFERROR('4. NPV'!VZB23/'4. NPV'!VZB$8,0)</f>
        <v>-0.0</v>
      </c>
      <c r="VZB53" s="5">
        <f>-IFERROR('4. NPV'!VZC23/'4. NPV'!VZC$8,0)</f>
        <v>-0.0</v>
      </c>
      <c r="VZC53" s="5">
        <f>-IFERROR('4. NPV'!VZD23/'4. NPV'!VZD$8,0)</f>
        <v>-0.0</v>
      </c>
      <c r="VZD53" s="5">
        <f>-IFERROR('4. NPV'!VZE23/'4. NPV'!VZE$8,0)</f>
        <v>-0.0</v>
      </c>
      <c r="VZE53" s="5">
        <f>-IFERROR('4. NPV'!VZF23/'4. NPV'!VZF$8,0)</f>
        <v>-0.0</v>
      </c>
      <c r="VZF53" s="5">
        <f>-IFERROR('4. NPV'!VZG23/'4. NPV'!VZG$8,0)</f>
        <v>-0.0</v>
      </c>
      <c r="VZG53" s="5">
        <f>-IFERROR('4. NPV'!VZH23/'4. NPV'!VZH$8,0)</f>
        <v>-0.0</v>
      </c>
      <c r="VZH53" s="5">
        <f>-IFERROR('4. NPV'!VZI23/'4. NPV'!VZI$8,0)</f>
        <v>-0.0</v>
      </c>
      <c r="VZI53" s="5">
        <f>-IFERROR('4. NPV'!VZJ23/'4. NPV'!VZJ$8,0)</f>
        <v>-0.0</v>
      </c>
      <c r="VZJ53" s="5">
        <f>-IFERROR('4. NPV'!VZK23/'4. NPV'!VZK$8,0)</f>
        <v>-0.0</v>
      </c>
      <c r="VZK53" s="5">
        <f>-IFERROR('4. NPV'!VZL23/'4. NPV'!VZL$8,0)</f>
        <v>-0.0</v>
      </c>
      <c r="VZL53" s="5">
        <f>-IFERROR('4. NPV'!VZM23/'4. NPV'!VZM$8,0)</f>
        <v>-0.0</v>
      </c>
      <c r="VZM53" s="5">
        <f>-IFERROR('4. NPV'!VZN23/'4. NPV'!VZN$8,0)</f>
        <v>-0.0</v>
      </c>
      <c r="VZN53" s="5">
        <f>-IFERROR('4. NPV'!VZO23/'4. NPV'!VZO$8,0)</f>
        <v>-0.0</v>
      </c>
      <c r="VZO53" s="5">
        <f>-IFERROR('4. NPV'!VZP23/'4. NPV'!VZP$8,0)</f>
        <v>-0.0</v>
      </c>
      <c r="VZP53" s="5">
        <f>-IFERROR('4. NPV'!VZQ23/'4. NPV'!VZQ$8,0)</f>
        <v>-0.0</v>
      </c>
      <c r="VZQ53" s="5">
        <f>-IFERROR('4. NPV'!VZR23/'4. NPV'!VZR$8,0)</f>
        <v>-0.0</v>
      </c>
      <c r="VZR53" s="5">
        <f>-IFERROR('4. NPV'!VZS23/'4. NPV'!VZS$8,0)</f>
        <v>-0.0</v>
      </c>
      <c r="VZS53" s="5">
        <f>-IFERROR('4. NPV'!VZT23/'4. NPV'!VZT$8,0)</f>
        <v>-0.0</v>
      </c>
      <c r="VZT53" s="5">
        <f>-IFERROR('4. NPV'!VZU23/'4. NPV'!VZU$8,0)</f>
        <v>-0.0</v>
      </c>
      <c r="VZU53" s="5">
        <f>-IFERROR('4. NPV'!VZV23/'4. NPV'!VZV$8,0)</f>
        <v>-0.0</v>
      </c>
      <c r="VZV53" s="5">
        <f>-IFERROR('4. NPV'!VZW23/'4. NPV'!VZW$8,0)</f>
        <v>-0.0</v>
      </c>
      <c r="VZW53" s="5">
        <f>-IFERROR('4. NPV'!VZX23/'4. NPV'!VZX$8,0)</f>
        <v>-0.0</v>
      </c>
      <c r="VZX53" s="5">
        <f>-IFERROR('4. NPV'!VZY23/'4. NPV'!VZY$8,0)</f>
        <v>-0.0</v>
      </c>
      <c r="VZY53" s="5">
        <f>-IFERROR('4. NPV'!VZZ23/'4. NPV'!VZZ$8,0)</f>
        <v>-0.0</v>
      </c>
      <c r="VZZ53" s="5">
        <f>-IFERROR('4. NPV'!WAA23/'4. NPV'!WAA$8,0)</f>
        <v>-0.0</v>
      </c>
      <c r="WAA53" s="5">
        <f>-IFERROR('4. NPV'!WAB23/'4. NPV'!WAB$8,0)</f>
        <v>-0.0</v>
      </c>
      <c r="WAB53" s="5">
        <f>-IFERROR('4. NPV'!WAC23/'4. NPV'!WAC$8,0)</f>
        <v>-0.0</v>
      </c>
      <c r="WAC53" s="5">
        <f>-IFERROR('4. NPV'!WAD23/'4. NPV'!WAD$8,0)</f>
        <v>-0.0</v>
      </c>
      <c r="WAD53" s="5">
        <f>-IFERROR('4. NPV'!WAE23/'4. NPV'!WAE$8,0)</f>
        <v>-0.0</v>
      </c>
      <c r="WAE53" s="5">
        <f>-IFERROR('4. NPV'!WAF23/'4. NPV'!WAF$8,0)</f>
        <v>-0.0</v>
      </c>
      <c r="WAF53" s="5">
        <f>-IFERROR('4. NPV'!WAG23/'4. NPV'!WAG$8,0)</f>
        <v>-0.0</v>
      </c>
      <c r="WAG53" s="5">
        <f>-IFERROR('4. NPV'!WAH23/'4. NPV'!WAH$8,0)</f>
        <v>-0.0</v>
      </c>
      <c r="WAH53" s="5">
        <f>-IFERROR('4. NPV'!WAI23/'4. NPV'!WAI$8,0)</f>
        <v>-0.0</v>
      </c>
      <c r="WAI53" s="5">
        <f>-IFERROR('4. NPV'!WAJ23/'4. NPV'!WAJ$8,0)</f>
        <v>-0.0</v>
      </c>
      <c r="WAJ53" s="5">
        <f>-IFERROR('4. NPV'!WAK23/'4. NPV'!WAK$8,0)</f>
        <v>-0.0</v>
      </c>
      <c r="WAK53" s="5">
        <f>-IFERROR('4. NPV'!WAL23/'4. NPV'!WAL$8,0)</f>
        <v>-0.0</v>
      </c>
      <c r="WAL53" s="5">
        <f>-IFERROR('4. NPV'!WAM23/'4. NPV'!WAM$8,0)</f>
        <v>-0.0</v>
      </c>
      <c r="WAM53" s="5">
        <f>-IFERROR('4. NPV'!WAN23/'4. NPV'!WAN$8,0)</f>
        <v>-0.0</v>
      </c>
      <c r="WAN53" s="5">
        <f>-IFERROR('4. NPV'!WAO23/'4. NPV'!WAO$8,0)</f>
        <v>-0.0</v>
      </c>
      <c r="WAO53" s="5">
        <f>-IFERROR('4. NPV'!WAP23/'4. NPV'!WAP$8,0)</f>
        <v>-0.0</v>
      </c>
      <c r="WAP53" s="5">
        <f>-IFERROR('4. NPV'!WAQ23/'4. NPV'!WAQ$8,0)</f>
        <v>-0.0</v>
      </c>
      <c r="WAQ53" s="5">
        <f>-IFERROR('4. NPV'!WAR23/'4. NPV'!WAR$8,0)</f>
        <v>-0.0</v>
      </c>
      <c r="WAR53" s="5">
        <f>-IFERROR('4. NPV'!WAS23/'4. NPV'!WAS$8,0)</f>
        <v>-0.0</v>
      </c>
      <c r="WAS53" s="5">
        <f>-IFERROR('4. NPV'!WAT23/'4. NPV'!WAT$8,0)</f>
        <v>-0.0</v>
      </c>
      <c r="WAT53" s="5">
        <f>-IFERROR('4. NPV'!WAU23/'4. NPV'!WAU$8,0)</f>
        <v>-0.0</v>
      </c>
      <c r="WAU53" s="5">
        <f>-IFERROR('4. NPV'!WAV23/'4. NPV'!WAV$8,0)</f>
        <v>-0.0</v>
      </c>
      <c r="WAV53" s="5">
        <f>-IFERROR('4. NPV'!WAW23/'4. NPV'!WAW$8,0)</f>
        <v>-0.0</v>
      </c>
      <c r="WAW53" s="5">
        <f>-IFERROR('4. NPV'!WAX23/'4. NPV'!WAX$8,0)</f>
        <v>-0.0</v>
      </c>
      <c r="WAX53" s="5">
        <f>-IFERROR('4. NPV'!WAY23/'4. NPV'!WAY$8,0)</f>
        <v>-0.0</v>
      </c>
      <c r="WAY53" s="5">
        <f>-IFERROR('4. NPV'!WAZ23/'4. NPV'!WAZ$8,0)</f>
        <v>-0.0</v>
      </c>
      <c r="WAZ53" s="5">
        <f>-IFERROR('4. NPV'!WBA23/'4. NPV'!WBA$8,0)</f>
        <v>-0.0</v>
      </c>
      <c r="WBA53" s="5">
        <f>-IFERROR('4. NPV'!WBB23/'4. NPV'!WBB$8,0)</f>
        <v>-0.0</v>
      </c>
      <c r="WBB53" s="5">
        <f>-IFERROR('4. NPV'!WBC23/'4. NPV'!WBC$8,0)</f>
        <v>-0.0</v>
      </c>
      <c r="WBC53" s="5">
        <f>-IFERROR('4. NPV'!WBD23/'4. NPV'!WBD$8,0)</f>
        <v>-0.0</v>
      </c>
      <c r="WBD53" s="5">
        <f>-IFERROR('4. NPV'!WBE23/'4. NPV'!WBE$8,0)</f>
        <v>-0.0</v>
      </c>
      <c r="WBE53" s="5">
        <f>-IFERROR('4. NPV'!WBF23/'4. NPV'!WBF$8,0)</f>
        <v>-0.0</v>
      </c>
      <c r="WBF53" s="5">
        <f>-IFERROR('4. NPV'!WBG23/'4. NPV'!WBG$8,0)</f>
        <v>-0.0</v>
      </c>
      <c r="WBG53" s="5">
        <f>-IFERROR('4. NPV'!WBH23/'4. NPV'!WBH$8,0)</f>
        <v>-0.0</v>
      </c>
      <c r="WBH53" s="5">
        <f>-IFERROR('4. NPV'!WBI23/'4. NPV'!WBI$8,0)</f>
        <v>-0.0</v>
      </c>
      <c r="WBI53" s="5">
        <f>-IFERROR('4. NPV'!WBJ23/'4. NPV'!WBJ$8,0)</f>
        <v>-0.0</v>
      </c>
      <c r="WBJ53" s="5">
        <f>-IFERROR('4. NPV'!WBK23/'4. NPV'!WBK$8,0)</f>
        <v>-0.0</v>
      </c>
      <c r="WBK53" s="5">
        <f>-IFERROR('4. NPV'!WBL23/'4. NPV'!WBL$8,0)</f>
        <v>-0.0</v>
      </c>
      <c r="WBL53" s="5">
        <f>-IFERROR('4. NPV'!WBM23/'4. NPV'!WBM$8,0)</f>
        <v>-0.0</v>
      </c>
      <c r="WBM53" s="5">
        <f>-IFERROR('4. NPV'!WBN23/'4. NPV'!WBN$8,0)</f>
        <v>-0.0</v>
      </c>
      <c r="WBN53" s="5">
        <f>-IFERROR('4. NPV'!WBO23/'4. NPV'!WBO$8,0)</f>
        <v>-0.0</v>
      </c>
      <c r="WBO53" s="5">
        <f>-IFERROR('4. NPV'!WBP23/'4. NPV'!WBP$8,0)</f>
        <v>-0.0</v>
      </c>
      <c r="WBP53" s="5">
        <f>-IFERROR('4. NPV'!WBQ23/'4. NPV'!WBQ$8,0)</f>
        <v>-0.0</v>
      </c>
      <c r="WBQ53" s="5">
        <f>-IFERROR('4. NPV'!WBR23/'4. NPV'!WBR$8,0)</f>
        <v>-0.0</v>
      </c>
      <c r="WBR53" s="5">
        <f>-IFERROR('4. NPV'!WBS23/'4. NPV'!WBS$8,0)</f>
        <v>-0.0</v>
      </c>
      <c r="WBS53" s="5">
        <f>-IFERROR('4. NPV'!WBT23/'4. NPV'!WBT$8,0)</f>
        <v>-0.0</v>
      </c>
      <c r="WBT53" s="5">
        <f>-IFERROR('4. NPV'!WBU23/'4. NPV'!WBU$8,0)</f>
        <v>-0.0</v>
      </c>
      <c r="WBU53" s="5">
        <f>-IFERROR('4. NPV'!WBV23/'4. NPV'!WBV$8,0)</f>
        <v>-0.0</v>
      </c>
      <c r="WBV53" s="5">
        <f>-IFERROR('4. NPV'!WBW23/'4. NPV'!WBW$8,0)</f>
        <v>-0.0</v>
      </c>
      <c r="WBW53" s="5">
        <f>-IFERROR('4. NPV'!WBX23/'4. NPV'!WBX$8,0)</f>
        <v>-0.0</v>
      </c>
      <c r="WBX53" s="5">
        <f>-IFERROR('4. NPV'!WBY23/'4. NPV'!WBY$8,0)</f>
        <v>-0.0</v>
      </c>
      <c r="WBY53" s="5">
        <f>-IFERROR('4. NPV'!WBZ23/'4. NPV'!WBZ$8,0)</f>
        <v>-0.0</v>
      </c>
      <c r="WBZ53" s="5">
        <f>-IFERROR('4. NPV'!WCA23/'4. NPV'!WCA$8,0)</f>
        <v>-0.0</v>
      </c>
      <c r="WCA53" s="5">
        <f>-IFERROR('4. NPV'!WCB23/'4. NPV'!WCB$8,0)</f>
        <v>-0.0</v>
      </c>
      <c r="WCB53" s="5">
        <f>-IFERROR('4. NPV'!WCC23/'4. NPV'!WCC$8,0)</f>
        <v>-0.0</v>
      </c>
      <c r="WCC53" s="5">
        <f>-IFERROR('4. NPV'!WCD23/'4. NPV'!WCD$8,0)</f>
        <v>-0.0</v>
      </c>
      <c r="WCD53" s="5">
        <f>-IFERROR('4. NPV'!WCE23/'4. NPV'!WCE$8,0)</f>
        <v>-0.0</v>
      </c>
      <c r="WCE53" s="5">
        <f>-IFERROR('4. NPV'!WCF23/'4. NPV'!WCF$8,0)</f>
        <v>-0.0</v>
      </c>
      <c r="WCF53" s="5">
        <f>-IFERROR('4. NPV'!WCG23/'4. NPV'!WCG$8,0)</f>
        <v>-0.0</v>
      </c>
      <c r="WCG53" s="5">
        <f>-IFERROR('4. NPV'!WCH23/'4. NPV'!WCH$8,0)</f>
        <v>-0.0</v>
      </c>
      <c r="WCH53" s="5">
        <f>-IFERROR('4. NPV'!WCI23/'4. NPV'!WCI$8,0)</f>
        <v>-0.0</v>
      </c>
      <c r="WCI53" s="5">
        <f>-IFERROR('4. NPV'!WCJ23/'4. NPV'!WCJ$8,0)</f>
        <v>-0.0</v>
      </c>
      <c r="WCJ53" s="5">
        <f>-IFERROR('4. NPV'!WCK23/'4. NPV'!WCK$8,0)</f>
        <v>-0.0</v>
      </c>
      <c r="WCK53" s="5">
        <f>-IFERROR('4. NPV'!WCL23/'4. NPV'!WCL$8,0)</f>
        <v>-0.0</v>
      </c>
      <c r="WCL53" s="5">
        <f>-IFERROR('4. NPV'!WCM23/'4. NPV'!WCM$8,0)</f>
        <v>-0.0</v>
      </c>
      <c r="WCM53" s="5">
        <f>-IFERROR('4. NPV'!WCN23/'4. NPV'!WCN$8,0)</f>
        <v>-0.0</v>
      </c>
      <c r="WCN53" s="5">
        <f>-IFERROR('4. NPV'!WCO23/'4. NPV'!WCO$8,0)</f>
        <v>-0.0</v>
      </c>
      <c r="WCO53" s="5">
        <f>-IFERROR('4. NPV'!WCP23/'4. NPV'!WCP$8,0)</f>
        <v>-0.0</v>
      </c>
      <c r="WCP53" s="5">
        <f>-IFERROR('4. NPV'!WCQ23/'4. NPV'!WCQ$8,0)</f>
        <v>-0.0</v>
      </c>
      <c r="WCQ53" s="5">
        <f>-IFERROR('4. NPV'!WCR23/'4. NPV'!WCR$8,0)</f>
        <v>-0.0</v>
      </c>
      <c r="WCR53" s="5">
        <f>-IFERROR('4. NPV'!WCS23/'4. NPV'!WCS$8,0)</f>
        <v>-0.0</v>
      </c>
      <c r="WCS53" s="5">
        <f>-IFERROR('4. NPV'!WCT23/'4. NPV'!WCT$8,0)</f>
        <v>-0.0</v>
      </c>
      <c r="WCT53" s="5">
        <f>-IFERROR('4. NPV'!WCU23/'4. NPV'!WCU$8,0)</f>
        <v>-0.0</v>
      </c>
      <c r="WCU53" s="5">
        <f>-IFERROR('4. NPV'!WCV23/'4. NPV'!WCV$8,0)</f>
        <v>-0.0</v>
      </c>
      <c r="WCV53" s="5">
        <f>-IFERROR('4. NPV'!WCW23/'4. NPV'!WCW$8,0)</f>
        <v>-0.0</v>
      </c>
      <c r="WCW53" s="5">
        <f>-IFERROR('4. NPV'!WCX23/'4. NPV'!WCX$8,0)</f>
        <v>-0.0</v>
      </c>
      <c r="WCX53" s="5">
        <f>-IFERROR('4. NPV'!WCY23/'4. NPV'!WCY$8,0)</f>
        <v>-0.0</v>
      </c>
      <c r="WCY53" s="5">
        <f>-IFERROR('4. NPV'!WCZ23/'4. NPV'!WCZ$8,0)</f>
        <v>-0.0</v>
      </c>
      <c r="WCZ53" s="5">
        <f>-IFERROR('4. NPV'!WDA23/'4. NPV'!WDA$8,0)</f>
        <v>-0.0</v>
      </c>
      <c r="WDA53" s="5">
        <f>-IFERROR('4. NPV'!WDB23/'4. NPV'!WDB$8,0)</f>
        <v>-0.0</v>
      </c>
      <c r="WDB53" s="5">
        <f>-IFERROR('4. NPV'!WDC23/'4. NPV'!WDC$8,0)</f>
        <v>-0.0</v>
      </c>
      <c r="WDC53" s="5">
        <f>-IFERROR('4. NPV'!WDD23/'4. NPV'!WDD$8,0)</f>
        <v>-0.0</v>
      </c>
      <c r="WDD53" s="5">
        <f>-IFERROR('4. NPV'!WDE23/'4. NPV'!WDE$8,0)</f>
        <v>-0.0</v>
      </c>
      <c r="WDE53" s="5">
        <f>-IFERROR('4. NPV'!WDF23/'4. NPV'!WDF$8,0)</f>
        <v>-0.0</v>
      </c>
      <c r="WDF53" s="5">
        <f>-IFERROR('4. NPV'!WDG23/'4. NPV'!WDG$8,0)</f>
        <v>-0.0</v>
      </c>
      <c r="WDG53" s="5">
        <f>-IFERROR('4. NPV'!WDH23/'4. NPV'!WDH$8,0)</f>
        <v>-0.0</v>
      </c>
      <c r="WDH53" s="5">
        <f>-IFERROR('4. NPV'!WDI23/'4. NPV'!WDI$8,0)</f>
        <v>-0.0</v>
      </c>
      <c r="WDI53" s="5">
        <f>-IFERROR('4. NPV'!WDJ23/'4. NPV'!WDJ$8,0)</f>
        <v>-0.0</v>
      </c>
      <c r="WDJ53" s="5">
        <f>-IFERROR('4. NPV'!WDK23/'4. NPV'!WDK$8,0)</f>
        <v>-0.0</v>
      </c>
      <c r="WDK53" s="5">
        <f>-IFERROR('4. NPV'!WDL23/'4. NPV'!WDL$8,0)</f>
        <v>-0.0</v>
      </c>
      <c r="WDL53" s="5">
        <f>-IFERROR('4. NPV'!WDM23/'4. NPV'!WDM$8,0)</f>
        <v>-0.0</v>
      </c>
      <c r="WDM53" s="5">
        <f>-IFERROR('4. NPV'!WDN23/'4. NPV'!WDN$8,0)</f>
        <v>-0.0</v>
      </c>
      <c r="WDN53" s="5">
        <f>-IFERROR('4. NPV'!WDO23/'4. NPV'!WDO$8,0)</f>
        <v>-0.0</v>
      </c>
      <c r="WDO53" s="5">
        <f>-IFERROR('4. NPV'!WDP23/'4. NPV'!WDP$8,0)</f>
        <v>-0.0</v>
      </c>
      <c r="WDP53" s="5">
        <f>-IFERROR('4. NPV'!WDQ23/'4. NPV'!WDQ$8,0)</f>
        <v>-0.0</v>
      </c>
      <c r="WDQ53" s="5">
        <f>-IFERROR('4. NPV'!WDR23/'4. NPV'!WDR$8,0)</f>
        <v>-0.0</v>
      </c>
      <c r="WDR53" s="5">
        <f>-IFERROR('4. NPV'!WDS23/'4. NPV'!WDS$8,0)</f>
        <v>-0.0</v>
      </c>
      <c r="WDS53" s="5">
        <f>-IFERROR('4. NPV'!WDT23/'4. NPV'!WDT$8,0)</f>
        <v>-0.0</v>
      </c>
      <c r="WDT53" s="5">
        <f>-IFERROR('4. NPV'!WDU23/'4. NPV'!WDU$8,0)</f>
        <v>-0.0</v>
      </c>
      <c r="WDU53" s="5">
        <f>-IFERROR('4. NPV'!WDV23/'4. NPV'!WDV$8,0)</f>
        <v>-0.0</v>
      </c>
      <c r="WDV53" s="5">
        <f>-IFERROR('4. NPV'!WDW23/'4. NPV'!WDW$8,0)</f>
        <v>-0.0</v>
      </c>
      <c r="WDW53" s="5">
        <f>-IFERROR('4. NPV'!WDX23/'4. NPV'!WDX$8,0)</f>
        <v>-0.0</v>
      </c>
      <c r="WDX53" s="5">
        <f>-IFERROR('4. NPV'!WDY23/'4. NPV'!WDY$8,0)</f>
        <v>-0.0</v>
      </c>
      <c r="WDY53" s="5">
        <f>-IFERROR('4. NPV'!WDZ23/'4. NPV'!WDZ$8,0)</f>
        <v>-0.0</v>
      </c>
      <c r="WDZ53" s="5">
        <f>-IFERROR('4. NPV'!WEA23/'4. NPV'!WEA$8,0)</f>
        <v>-0.0</v>
      </c>
      <c r="WEA53" s="5">
        <f>-IFERROR('4. NPV'!WEB23/'4. NPV'!WEB$8,0)</f>
        <v>-0.0</v>
      </c>
      <c r="WEB53" s="5">
        <f>-IFERROR('4. NPV'!WEC23/'4. NPV'!WEC$8,0)</f>
        <v>-0.0</v>
      </c>
      <c r="WEC53" s="5">
        <f>-IFERROR('4. NPV'!WED23/'4. NPV'!WED$8,0)</f>
        <v>-0.0</v>
      </c>
      <c r="WED53" s="5">
        <f>-IFERROR('4. NPV'!WEE23/'4. NPV'!WEE$8,0)</f>
        <v>-0.0</v>
      </c>
      <c r="WEE53" s="5">
        <f>-IFERROR('4. NPV'!WEF23/'4. NPV'!WEF$8,0)</f>
        <v>-0.0</v>
      </c>
      <c r="WEF53" s="5">
        <f>-IFERROR('4. NPV'!WEG23/'4. NPV'!WEG$8,0)</f>
        <v>-0.0</v>
      </c>
      <c r="WEG53" s="5">
        <f>-IFERROR('4. NPV'!WEH23/'4. NPV'!WEH$8,0)</f>
        <v>-0.0</v>
      </c>
      <c r="WEH53" s="5">
        <f>-IFERROR('4. NPV'!WEI23/'4. NPV'!WEI$8,0)</f>
        <v>-0.0</v>
      </c>
      <c r="WEI53" s="5">
        <f>-IFERROR('4. NPV'!WEJ23/'4. NPV'!WEJ$8,0)</f>
        <v>-0.0</v>
      </c>
      <c r="WEJ53" s="5">
        <f>-IFERROR('4. NPV'!WEK23/'4. NPV'!WEK$8,0)</f>
        <v>-0.0</v>
      </c>
      <c r="WEK53" s="5">
        <f>-IFERROR('4. NPV'!WEL23/'4. NPV'!WEL$8,0)</f>
        <v>-0.0</v>
      </c>
      <c r="WEL53" s="5">
        <f>-IFERROR('4. NPV'!WEM23/'4. NPV'!WEM$8,0)</f>
        <v>-0.0</v>
      </c>
      <c r="WEM53" s="5">
        <f>-IFERROR('4. NPV'!WEN23/'4. NPV'!WEN$8,0)</f>
        <v>-0.0</v>
      </c>
      <c r="WEN53" s="5">
        <f>-IFERROR('4. NPV'!WEO23/'4. NPV'!WEO$8,0)</f>
        <v>-0.0</v>
      </c>
      <c r="WEO53" s="5">
        <f>-IFERROR('4. NPV'!WEP23/'4. NPV'!WEP$8,0)</f>
        <v>-0.0</v>
      </c>
      <c r="WEP53" s="5">
        <f>-IFERROR('4. NPV'!WEQ23/'4. NPV'!WEQ$8,0)</f>
        <v>-0.0</v>
      </c>
      <c r="WEQ53" s="5">
        <f>-IFERROR('4. NPV'!WER23/'4. NPV'!WER$8,0)</f>
        <v>-0.0</v>
      </c>
      <c r="WER53" s="5">
        <f>-IFERROR('4. NPV'!WES23/'4. NPV'!WES$8,0)</f>
        <v>-0.0</v>
      </c>
      <c r="WES53" s="5">
        <f>-IFERROR('4. NPV'!WET23/'4. NPV'!WET$8,0)</f>
        <v>-0.0</v>
      </c>
      <c r="WET53" s="5">
        <f>-IFERROR('4. NPV'!WEU23/'4. NPV'!WEU$8,0)</f>
        <v>-0.0</v>
      </c>
      <c r="WEU53" s="5">
        <f>-IFERROR('4. NPV'!WEV23/'4. NPV'!WEV$8,0)</f>
        <v>-0.0</v>
      </c>
      <c r="WEV53" s="5">
        <f>-IFERROR('4. NPV'!WEW23/'4. NPV'!WEW$8,0)</f>
        <v>-0.0</v>
      </c>
      <c r="WEW53" s="5">
        <f>-IFERROR('4. NPV'!WEX23/'4. NPV'!WEX$8,0)</f>
        <v>-0.0</v>
      </c>
      <c r="WEX53" s="5">
        <f>-IFERROR('4. NPV'!WEY23/'4. NPV'!WEY$8,0)</f>
        <v>-0.0</v>
      </c>
      <c r="WEY53" s="5">
        <f>-IFERROR('4. NPV'!WEZ23/'4. NPV'!WEZ$8,0)</f>
        <v>-0.0</v>
      </c>
      <c r="WEZ53" s="5">
        <f>-IFERROR('4. NPV'!WFA23/'4. NPV'!WFA$8,0)</f>
        <v>-0.0</v>
      </c>
      <c r="WFA53" s="5">
        <f>-IFERROR('4. NPV'!WFB23/'4. NPV'!WFB$8,0)</f>
        <v>-0.0</v>
      </c>
      <c r="WFB53" s="5">
        <f>-IFERROR('4. NPV'!WFC23/'4. NPV'!WFC$8,0)</f>
        <v>-0.0</v>
      </c>
      <c r="WFC53" s="5">
        <f>-IFERROR('4. NPV'!WFD23/'4. NPV'!WFD$8,0)</f>
        <v>-0.0</v>
      </c>
      <c r="WFD53" s="5">
        <f>-IFERROR('4. NPV'!WFE23/'4. NPV'!WFE$8,0)</f>
        <v>-0.0</v>
      </c>
      <c r="WFE53" s="5">
        <f>-IFERROR('4. NPV'!WFF23/'4. NPV'!WFF$8,0)</f>
        <v>-0.0</v>
      </c>
      <c r="WFF53" s="5">
        <f>-IFERROR('4. NPV'!WFG23/'4. NPV'!WFG$8,0)</f>
        <v>-0.0</v>
      </c>
      <c r="WFG53" s="5">
        <f>-IFERROR('4. NPV'!WFH23/'4. NPV'!WFH$8,0)</f>
        <v>-0.0</v>
      </c>
      <c r="WFH53" s="5">
        <f>-IFERROR('4. NPV'!WFI23/'4. NPV'!WFI$8,0)</f>
        <v>-0.0</v>
      </c>
      <c r="WFI53" s="5">
        <f>-IFERROR('4. NPV'!WFJ23/'4. NPV'!WFJ$8,0)</f>
        <v>-0.0</v>
      </c>
      <c r="WFJ53" s="5">
        <f>-IFERROR('4. NPV'!WFK23/'4. NPV'!WFK$8,0)</f>
        <v>-0.0</v>
      </c>
      <c r="WFK53" s="5">
        <f>-IFERROR('4. NPV'!WFL23/'4. NPV'!WFL$8,0)</f>
        <v>-0.0</v>
      </c>
      <c r="WFL53" s="5">
        <f>-IFERROR('4. NPV'!WFM23/'4. NPV'!WFM$8,0)</f>
        <v>-0.0</v>
      </c>
      <c r="WFM53" s="5">
        <f>-IFERROR('4. NPV'!WFN23/'4. NPV'!WFN$8,0)</f>
        <v>-0.0</v>
      </c>
      <c r="WFN53" s="5">
        <f>-IFERROR('4. NPV'!WFO23/'4. NPV'!WFO$8,0)</f>
        <v>-0.0</v>
      </c>
      <c r="WFO53" s="5">
        <f>-IFERROR('4. NPV'!WFP23/'4. NPV'!WFP$8,0)</f>
        <v>-0.0</v>
      </c>
      <c r="WFP53" s="5">
        <f>-IFERROR('4. NPV'!WFQ23/'4. NPV'!WFQ$8,0)</f>
        <v>-0.0</v>
      </c>
      <c r="WFQ53" s="5">
        <f>-IFERROR('4. NPV'!WFR23/'4. NPV'!WFR$8,0)</f>
        <v>-0.0</v>
      </c>
      <c r="WFR53" s="5">
        <f>-IFERROR('4. NPV'!WFS23/'4. NPV'!WFS$8,0)</f>
        <v>-0.0</v>
      </c>
      <c r="WFS53" s="5">
        <f>-IFERROR('4. NPV'!WFT23/'4. NPV'!WFT$8,0)</f>
        <v>-0.0</v>
      </c>
      <c r="WFT53" s="5">
        <f>-IFERROR('4. NPV'!WFU23/'4. NPV'!WFU$8,0)</f>
        <v>-0.0</v>
      </c>
      <c r="WFU53" s="5">
        <f>-IFERROR('4. NPV'!WFV23/'4. NPV'!WFV$8,0)</f>
        <v>-0.0</v>
      </c>
      <c r="WFV53" s="5">
        <f>-IFERROR('4. NPV'!WFW23/'4. NPV'!WFW$8,0)</f>
        <v>-0.0</v>
      </c>
      <c r="WFW53" s="5">
        <f>-IFERROR('4. NPV'!WFX23/'4. NPV'!WFX$8,0)</f>
        <v>-0.0</v>
      </c>
      <c r="WFX53" s="5">
        <f>-IFERROR('4. NPV'!WFY23/'4. NPV'!WFY$8,0)</f>
        <v>-0.0</v>
      </c>
      <c r="WFY53" s="5">
        <f>-IFERROR('4. NPV'!WFZ23/'4. NPV'!WFZ$8,0)</f>
        <v>-0.0</v>
      </c>
      <c r="WFZ53" s="5">
        <f>-IFERROR('4. NPV'!WGA23/'4. NPV'!WGA$8,0)</f>
        <v>-0.0</v>
      </c>
      <c r="WGA53" s="5">
        <f>-IFERROR('4. NPV'!WGB23/'4. NPV'!WGB$8,0)</f>
        <v>-0.0</v>
      </c>
      <c r="WGB53" s="5">
        <f>-IFERROR('4. NPV'!WGC23/'4. NPV'!WGC$8,0)</f>
        <v>-0.0</v>
      </c>
      <c r="WGC53" s="5">
        <f>-IFERROR('4. NPV'!WGD23/'4. NPV'!WGD$8,0)</f>
        <v>-0.0</v>
      </c>
      <c r="WGD53" s="5">
        <f>-IFERROR('4. NPV'!WGE23/'4. NPV'!WGE$8,0)</f>
        <v>-0.0</v>
      </c>
      <c r="WGE53" s="5">
        <f>-IFERROR('4. NPV'!WGF23/'4. NPV'!WGF$8,0)</f>
        <v>-0.0</v>
      </c>
      <c r="WGF53" s="5">
        <f>-IFERROR('4. NPV'!WGG23/'4. NPV'!WGG$8,0)</f>
        <v>-0.0</v>
      </c>
      <c r="WGG53" s="5">
        <f>-IFERROR('4. NPV'!WGH23/'4. NPV'!WGH$8,0)</f>
        <v>-0.0</v>
      </c>
      <c r="WGH53" s="5">
        <f>-IFERROR('4. NPV'!WGI23/'4. NPV'!WGI$8,0)</f>
        <v>-0.0</v>
      </c>
      <c r="WGI53" s="5">
        <f>-IFERROR('4. NPV'!WGJ23/'4. NPV'!WGJ$8,0)</f>
        <v>-0.0</v>
      </c>
      <c r="WGJ53" s="5">
        <f>-IFERROR('4. NPV'!WGK23/'4. NPV'!WGK$8,0)</f>
        <v>-0.0</v>
      </c>
      <c r="WGK53" s="5">
        <f>-IFERROR('4. NPV'!WGL23/'4. NPV'!WGL$8,0)</f>
        <v>-0.0</v>
      </c>
      <c r="WGL53" s="5">
        <f>-IFERROR('4. NPV'!WGM23/'4. NPV'!WGM$8,0)</f>
        <v>-0.0</v>
      </c>
      <c r="WGM53" s="5">
        <f>-IFERROR('4. NPV'!WGN23/'4. NPV'!WGN$8,0)</f>
        <v>-0.0</v>
      </c>
      <c r="WGN53" s="5">
        <f>-IFERROR('4. NPV'!WGO23/'4. NPV'!WGO$8,0)</f>
        <v>-0.0</v>
      </c>
      <c r="WGO53" s="5">
        <f>-IFERROR('4. NPV'!WGP23/'4. NPV'!WGP$8,0)</f>
        <v>-0.0</v>
      </c>
      <c r="WGP53" s="5">
        <f>-IFERROR('4. NPV'!WGQ23/'4. NPV'!WGQ$8,0)</f>
        <v>-0.0</v>
      </c>
      <c r="WGQ53" s="5">
        <f>-IFERROR('4. NPV'!WGR23/'4. NPV'!WGR$8,0)</f>
        <v>-0.0</v>
      </c>
      <c r="WGR53" s="5">
        <f>-IFERROR('4. NPV'!WGS23/'4. NPV'!WGS$8,0)</f>
        <v>-0.0</v>
      </c>
      <c r="WGS53" s="5">
        <f>-IFERROR('4. NPV'!WGT23/'4. NPV'!WGT$8,0)</f>
        <v>-0.0</v>
      </c>
      <c r="WGT53" s="5">
        <f>-IFERROR('4. NPV'!WGU23/'4. NPV'!WGU$8,0)</f>
        <v>-0.0</v>
      </c>
      <c r="WGU53" s="5">
        <f>-IFERROR('4. NPV'!WGV23/'4. NPV'!WGV$8,0)</f>
        <v>-0.0</v>
      </c>
      <c r="WGV53" s="5">
        <f>-IFERROR('4. NPV'!WGW23/'4. NPV'!WGW$8,0)</f>
        <v>-0.0</v>
      </c>
      <c r="WGW53" s="5">
        <f>-IFERROR('4. NPV'!WGX23/'4. NPV'!WGX$8,0)</f>
        <v>-0.0</v>
      </c>
      <c r="WGX53" s="5">
        <f>-IFERROR('4. NPV'!WGY23/'4. NPV'!WGY$8,0)</f>
        <v>-0.0</v>
      </c>
      <c r="WGY53" s="5">
        <f>-IFERROR('4. NPV'!WGZ23/'4. NPV'!WGZ$8,0)</f>
        <v>-0.0</v>
      </c>
      <c r="WGZ53" s="5">
        <f>-IFERROR('4. NPV'!WHA23/'4. NPV'!WHA$8,0)</f>
        <v>-0.0</v>
      </c>
      <c r="WHA53" s="5">
        <f>-IFERROR('4. NPV'!WHB23/'4. NPV'!WHB$8,0)</f>
        <v>-0.0</v>
      </c>
      <c r="WHB53" s="5">
        <f>-IFERROR('4. NPV'!WHC23/'4. NPV'!WHC$8,0)</f>
        <v>-0.0</v>
      </c>
      <c r="WHC53" s="5">
        <f>-IFERROR('4. NPV'!WHD23/'4. NPV'!WHD$8,0)</f>
        <v>-0.0</v>
      </c>
      <c r="WHD53" s="5">
        <f>-IFERROR('4. NPV'!WHE23/'4. NPV'!WHE$8,0)</f>
        <v>-0.0</v>
      </c>
      <c r="WHE53" s="5">
        <f>-IFERROR('4. NPV'!WHF23/'4. NPV'!WHF$8,0)</f>
        <v>-0.0</v>
      </c>
      <c r="WHF53" s="5">
        <f>-IFERROR('4. NPV'!WHG23/'4. NPV'!WHG$8,0)</f>
        <v>-0.0</v>
      </c>
      <c r="WHG53" s="5">
        <f>-IFERROR('4. NPV'!WHH23/'4. NPV'!WHH$8,0)</f>
        <v>-0.0</v>
      </c>
      <c r="WHH53" s="5">
        <f>-IFERROR('4. NPV'!WHI23/'4. NPV'!WHI$8,0)</f>
        <v>-0.0</v>
      </c>
      <c r="WHI53" s="5">
        <f>-IFERROR('4. NPV'!WHJ23/'4. NPV'!WHJ$8,0)</f>
        <v>-0.0</v>
      </c>
      <c r="WHJ53" s="5">
        <f>-IFERROR('4. NPV'!WHK23/'4. NPV'!WHK$8,0)</f>
        <v>-0.0</v>
      </c>
      <c r="WHK53" s="5">
        <f>-IFERROR('4. NPV'!WHL23/'4. NPV'!WHL$8,0)</f>
        <v>-0.0</v>
      </c>
      <c r="WHL53" s="5">
        <f>-IFERROR('4. NPV'!WHM23/'4. NPV'!WHM$8,0)</f>
        <v>-0.0</v>
      </c>
      <c r="WHM53" s="5">
        <f>-IFERROR('4. NPV'!WHN23/'4. NPV'!WHN$8,0)</f>
        <v>-0.0</v>
      </c>
      <c r="WHN53" s="5">
        <f>-IFERROR('4. NPV'!WHO23/'4. NPV'!WHO$8,0)</f>
        <v>-0.0</v>
      </c>
      <c r="WHO53" s="5">
        <f>-IFERROR('4. NPV'!WHP23/'4. NPV'!WHP$8,0)</f>
        <v>-0.0</v>
      </c>
      <c r="WHP53" s="5">
        <f>-IFERROR('4. NPV'!WHQ23/'4. NPV'!WHQ$8,0)</f>
        <v>-0.0</v>
      </c>
      <c r="WHQ53" s="5">
        <f>-IFERROR('4. NPV'!WHR23/'4. NPV'!WHR$8,0)</f>
        <v>-0.0</v>
      </c>
      <c r="WHR53" s="5">
        <f>-IFERROR('4. NPV'!WHS23/'4. NPV'!WHS$8,0)</f>
        <v>-0.0</v>
      </c>
      <c r="WHS53" s="5">
        <f>-IFERROR('4. NPV'!WHT23/'4. NPV'!WHT$8,0)</f>
        <v>-0.0</v>
      </c>
      <c r="WHT53" s="5">
        <f>-IFERROR('4. NPV'!WHU23/'4. NPV'!WHU$8,0)</f>
        <v>-0.0</v>
      </c>
      <c r="WHU53" s="5">
        <f>-IFERROR('4. NPV'!WHV23/'4. NPV'!WHV$8,0)</f>
        <v>-0.0</v>
      </c>
      <c r="WHV53" s="5">
        <f>-IFERROR('4. NPV'!WHW23/'4. NPV'!WHW$8,0)</f>
        <v>-0.0</v>
      </c>
      <c r="WHW53" s="5">
        <f>-IFERROR('4. NPV'!WHX23/'4. NPV'!WHX$8,0)</f>
        <v>-0.0</v>
      </c>
      <c r="WHX53" s="5">
        <f>-IFERROR('4. NPV'!WHY23/'4. NPV'!WHY$8,0)</f>
        <v>-0.0</v>
      </c>
      <c r="WHY53" s="5">
        <f>-IFERROR('4. NPV'!WHZ23/'4. NPV'!WHZ$8,0)</f>
        <v>-0.0</v>
      </c>
      <c r="WHZ53" s="5">
        <f>-IFERROR('4. NPV'!WIA23/'4. NPV'!WIA$8,0)</f>
        <v>-0.0</v>
      </c>
      <c r="WIA53" s="5">
        <f>-IFERROR('4. NPV'!WIB23/'4. NPV'!WIB$8,0)</f>
        <v>-0.0</v>
      </c>
      <c r="WIB53" s="5">
        <f>-IFERROR('4. NPV'!WIC23/'4. NPV'!WIC$8,0)</f>
        <v>-0.0</v>
      </c>
      <c r="WIC53" s="5">
        <f>-IFERROR('4. NPV'!WID23/'4. NPV'!WID$8,0)</f>
        <v>-0.0</v>
      </c>
      <c r="WID53" s="5">
        <f>-IFERROR('4. NPV'!WIE23/'4. NPV'!WIE$8,0)</f>
        <v>-0.0</v>
      </c>
      <c r="WIE53" s="5">
        <f>-IFERROR('4. NPV'!WIF23/'4. NPV'!WIF$8,0)</f>
        <v>-0.0</v>
      </c>
      <c r="WIF53" s="5">
        <f>-IFERROR('4. NPV'!WIG23/'4. NPV'!WIG$8,0)</f>
        <v>-0.0</v>
      </c>
      <c r="WIG53" s="5">
        <f>-IFERROR('4. NPV'!WIH23/'4. NPV'!WIH$8,0)</f>
        <v>-0.0</v>
      </c>
      <c r="WIH53" s="5">
        <f>-IFERROR('4. NPV'!WII23/'4. NPV'!WII$8,0)</f>
        <v>-0.0</v>
      </c>
      <c r="WII53" s="5">
        <f>-IFERROR('4. NPV'!WIJ23/'4. NPV'!WIJ$8,0)</f>
        <v>-0.0</v>
      </c>
      <c r="WIJ53" s="5">
        <f>-IFERROR('4. NPV'!WIK23/'4. NPV'!WIK$8,0)</f>
        <v>-0.0</v>
      </c>
      <c r="WIK53" s="5">
        <f>-IFERROR('4. NPV'!WIL23/'4. NPV'!WIL$8,0)</f>
        <v>-0.0</v>
      </c>
      <c r="WIL53" s="5">
        <f>-IFERROR('4. NPV'!WIM23/'4. NPV'!WIM$8,0)</f>
        <v>-0.0</v>
      </c>
      <c r="WIM53" s="5">
        <f>-IFERROR('4. NPV'!WIN23/'4. NPV'!WIN$8,0)</f>
        <v>-0.0</v>
      </c>
      <c r="WIN53" s="5">
        <f>-IFERROR('4. NPV'!WIO23/'4. NPV'!WIO$8,0)</f>
        <v>-0.0</v>
      </c>
      <c r="WIO53" s="5">
        <f>-IFERROR('4. NPV'!WIP23/'4. NPV'!WIP$8,0)</f>
        <v>-0.0</v>
      </c>
      <c r="WIP53" s="5">
        <f>-IFERROR('4. NPV'!WIQ23/'4. NPV'!WIQ$8,0)</f>
        <v>-0.0</v>
      </c>
      <c r="WIQ53" s="5">
        <f>-IFERROR('4. NPV'!WIR23/'4. NPV'!WIR$8,0)</f>
        <v>-0.0</v>
      </c>
      <c r="WIR53" s="5">
        <f>-IFERROR('4. NPV'!WIS23/'4. NPV'!WIS$8,0)</f>
        <v>-0.0</v>
      </c>
      <c r="WIS53" s="5">
        <f>-IFERROR('4. NPV'!WIT23/'4. NPV'!WIT$8,0)</f>
        <v>-0.0</v>
      </c>
      <c r="WIT53" s="5">
        <f>-IFERROR('4. NPV'!WIU23/'4. NPV'!WIU$8,0)</f>
        <v>-0.0</v>
      </c>
      <c r="WIU53" s="5">
        <f>-IFERROR('4. NPV'!WIV23/'4. NPV'!WIV$8,0)</f>
        <v>-0.0</v>
      </c>
      <c r="WIV53" s="5">
        <f>-IFERROR('4. NPV'!WIW23/'4. NPV'!WIW$8,0)</f>
        <v>-0.0</v>
      </c>
      <c r="WIW53" s="5">
        <f>-IFERROR('4. NPV'!WIX23/'4. NPV'!WIX$8,0)</f>
        <v>-0.0</v>
      </c>
      <c r="WIX53" s="5">
        <f>-IFERROR('4. NPV'!WIY23/'4. NPV'!WIY$8,0)</f>
        <v>-0.0</v>
      </c>
      <c r="WIY53" s="5">
        <f>-IFERROR('4. NPV'!WIZ23/'4. NPV'!WIZ$8,0)</f>
        <v>-0.0</v>
      </c>
      <c r="WIZ53" s="5">
        <f>-IFERROR('4. NPV'!WJA23/'4. NPV'!WJA$8,0)</f>
        <v>-0.0</v>
      </c>
      <c r="WJA53" s="5">
        <f>-IFERROR('4. NPV'!WJB23/'4. NPV'!WJB$8,0)</f>
        <v>-0.0</v>
      </c>
      <c r="WJB53" s="5">
        <f>-IFERROR('4. NPV'!WJC23/'4. NPV'!WJC$8,0)</f>
        <v>-0.0</v>
      </c>
      <c r="WJC53" s="5">
        <f>-IFERROR('4. NPV'!WJD23/'4. NPV'!WJD$8,0)</f>
        <v>-0.0</v>
      </c>
      <c r="WJD53" s="5">
        <f>-IFERROR('4. NPV'!WJE23/'4. NPV'!WJE$8,0)</f>
        <v>-0.0</v>
      </c>
      <c r="WJE53" s="5">
        <f>-IFERROR('4. NPV'!WJF23/'4. NPV'!WJF$8,0)</f>
        <v>-0.0</v>
      </c>
      <c r="WJF53" s="5">
        <f>-IFERROR('4. NPV'!WJG23/'4. NPV'!WJG$8,0)</f>
        <v>-0.0</v>
      </c>
      <c r="WJG53" s="5">
        <f>-IFERROR('4. NPV'!WJH23/'4. NPV'!WJH$8,0)</f>
        <v>-0.0</v>
      </c>
      <c r="WJH53" s="5">
        <f>-IFERROR('4. NPV'!WJI23/'4. NPV'!WJI$8,0)</f>
        <v>-0.0</v>
      </c>
      <c r="WJI53" s="5">
        <f>-IFERROR('4. NPV'!WJJ23/'4. NPV'!WJJ$8,0)</f>
        <v>-0.0</v>
      </c>
      <c r="WJJ53" s="5">
        <f>-IFERROR('4. NPV'!WJK23/'4. NPV'!WJK$8,0)</f>
        <v>-0.0</v>
      </c>
      <c r="WJK53" s="5">
        <f>-IFERROR('4. NPV'!WJL23/'4. NPV'!WJL$8,0)</f>
        <v>-0.0</v>
      </c>
      <c r="WJL53" s="5">
        <f>-IFERROR('4. NPV'!WJM23/'4. NPV'!WJM$8,0)</f>
        <v>-0.0</v>
      </c>
      <c r="WJM53" s="5">
        <f>-IFERROR('4. NPV'!WJN23/'4. NPV'!WJN$8,0)</f>
        <v>-0.0</v>
      </c>
      <c r="WJN53" s="5">
        <f>-IFERROR('4. NPV'!WJO23/'4. NPV'!WJO$8,0)</f>
        <v>-0.0</v>
      </c>
      <c r="WJO53" s="5">
        <f>-IFERROR('4. NPV'!WJP23/'4. NPV'!WJP$8,0)</f>
        <v>-0.0</v>
      </c>
      <c r="WJP53" s="5">
        <f>-IFERROR('4. NPV'!WJQ23/'4. NPV'!WJQ$8,0)</f>
        <v>-0.0</v>
      </c>
      <c r="WJQ53" s="5">
        <f>-IFERROR('4. NPV'!WJR23/'4. NPV'!WJR$8,0)</f>
        <v>-0.0</v>
      </c>
      <c r="WJR53" s="5">
        <f>-IFERROR('4. NPV'!WJS23/'4. NPV'!WJS$8,0)</f>
        <v>-0.0</v>
      </c>
      <c r="WJS53" s="5">
        <f>-IFERROR('4. NPV'!WJT23/'4. NPV'!WJT$8,0)</f>
        <v>-0.0</v>
      </c>
      <c r="WJT53" s="5">
        <f>-IFERROR('4. NPV'!WJU23/'4. NPV'!WJU$8,0)</f>
        <v>-0.0</v>
      </c>
      <c r="WJU53" s="5">
        <f>-IFERROR('4. NPV'!WJV23/'4. NPV'!WJV$8,0)</f>
        <v>-0.0</v>
      </c>
      <c r="WJV53" s="5">
        <f>-IFERROR('4. NPV'!WJW23/'4. NPV'!WJW$8,0)</f>
        <v>-0.0</v>
      </c>
      <c r="WJW53" s="5">
        <f>-IFERROR('4. NPV'!WJX23/'4. NPV'!WJX$8,0)</f>
        <v>-0.0</v>
      </c>
      <c r="WJX53" s="5">
        <f>-IFERROR('4. NPV'!WJY23/'4. NPV'!WJY$8,0)</f>
        <v>-0.0</v>
      </c>
      <c r="WJY53" s="5">
        <f>-IFERROR('4. NPV'!WJZ23/'4. NPV'!WJZ$8,0)</f>
        <v>-0.0</v>
      </c>
      <c r="WJZ53" s="5">
        <f>-IFERROR('4. NPV'!WKA23/'4. NPV'!WKA$8,0)</f>
        <v>-0.0</v>
      </c>
      <c r="WKA53" s="5">
        <f>-IFERROR('4. NPV'!WKB23/'4. NPV'!WKB$8,0)</f>
        <v>-0.0</v>
      </c>
      <c r="WKB53" s="5">
        <f>-IFERROR('4. NPV'!WKC23/'4. NPV'!WKC$8,0)</f>
        <v>-0.0</v>
      </c>
      <c r="WKC53" s="5">
        <f>-IFERROR('4. NPV'!WKD23/'4. NPV'!WKD$8,0)</f>
        <v>-0.0</v>
      </c>
      <c r="WKD53" s="5">
        <f>-IFERROR('4. NPV'!WKE23/'4. NPV'!WKE$8,0)</f>
        <v>-0.0</v>
      </c>
      <c r="WKE53" s="5">
        <f>-IFERROR('4. NPV'!WKF23/'4. NPV'!WKF$8,0)</f>
        <v>-0.0</v>
      </c>
      <c r="WKF53" s="5">
        <f>-IFERROR('4. NPV'!WKG23/'4. NPV'!WKG$8,0)</f>
        <v>-0.0</v>
      </c>
      <c r="WKG53" s="5">
        <f>-IFERROR('4. NPV'!WKH23/'4. NPV'!WKH$8,0)</f>
        <v>-0.0</v>
      </c>
      <c r="WKH53" s="5">
        <f>-IFERROR('4. NPV'!WKI23/'4. NPV'!WKI$8,0)</f>
        <v>-0.0</v>
      </c>
      <c r="WKI53" s="5">
        <f>-IFERROR('4. NPV'!WKJ23/'4. NPV'!WKJ$8,0)</f>
        <v>-0.0</v>
      </c>
      <c r="WKJ53" s="5">
        <f>-IFERROR('4. NPV'!WKK23/'4. NPV'!WKK$8,0)</f>
        <v>-0.0</v>
      </c>
      <c r="WKK53" s="5">
        <f>-IFERROR('4. NPV'!WKL23/'4. NPV'!WKL$8,0)</f>
        <v>-0.0</v>
      </c>
      <c r="WKL53" s="5">
        <f>-IFERROR('4. NPV'!WKM23/'4. NPV'!WKM$8,0)</f>
        <v>-0.0</v>
      </c>
      <c r="WKM53" s="5">
        <f>-IFERROR('4. NPV'!WKN23/'4. NPV'!WKN$8,0)</f>
        <v>-0.0</v>
      </c>
      <c r="WKN53" s="5">
        <f>-IFERROR('4. NPV'!WKO23/'4. NPV'!WKO$8,0)</f>
        <v>-0.0</v>
      </c>
      <c r="WKO53" s="5">
        <f>-IFERROR('4. NPV'!WKP23/'4. NPV'!WKP$8,0)</f>
        <v>-0.0</v>
      </c>
      <c r="WKP53" s="5">
        <f>-IFERROR('4. NPV'!WKQ23/'4. NPV'!WKQ$8,0)</f>
        <v>-0.0</v>
      </c>
      <c r="WKQ53" s="5">
        <f>-IFERROR('4. NPV'!WKR23/'4. NPV'!WKR$8,0)</f>
        <v>-0.0</v>
      </c>
      <c r="WKR53" s="5">
        <f>-IFERROR('4. NPV'!WKS23/'4. NPV'!WKS$8,0)</f>
        <v>-0.0</v>
      </c>
      <c r="WKS53" s="5">
        <f>-IFERROR('4. NPV'!WKT23/'4. NPV'!WKT$8,0)</f>
        <v>-0.0</v>
      </c>
      <c r="WKT53" s="5">
        <f>-IFERROR('4. NPV'!WKU23/'4. NPV'!WKU$8,0)</f>
        <v>-0.0</v>
      </c>
      <c r="WKU53" s="5">
        <f>-IFERROR('4. NPV'!WKV23/'4. NPV'!WKV$8,0)</f>
        <v>-0.0</v>
      </c>
      <c r="WKV53" s="5">
        <f>-IFERROR('4. NPV'!WKW23/'4. NPV'!WKW$8,0)</f>
        <v>-0.0</v>
      </c>
      <c r="WKW53" s="5">
        <f>-IFERROR('4. NPV'!WKX23/'4. NPV'!WKX$8,0)</f>
        <v>-0.0</v>
      </c>
      <c r="WKX53" s="5">
        <f>-IFERROR('4. NPV'!WKY23/'4. NPV'!WKY$8,0)</f>
        <v>-0.0</v>
      </c>
      <c r="WKY53" s="5">
        <f>-IFERROR('4. NPV'!WKZ23/'4. NPV'!WKZ$8,0)</f>
        <v>-0.0</v>
      </c>
      <c r="WKZ53" s="5">
        <f>-IFERROR('4. NPV'!WLA23/'4. NPV'!WLA$8,0)</f>
        <v>-0.0</v>
      </c>
      <c r="WLA53" s="5">
        <f>-IFERROR('4. NPV'!WLB23/'4. NPV'!WLB$8,0)</f>
        <v>-0.0</v>
      </c>
      <c r="WLB53" s="5">
        <f>-IFERROR('4. NPV'!WLC23/'4. NPV'!WLC$8,0)</f>
        <v>-0.0</v>
      </c>
      <c r="WLC53" s="5">
        <f>-IFERROR('4. NPV'!WLD23/'4. NPV'!WLD$8,0)</f>
        <v>-0.0</v>
      </c>
      <c r="WLD53" s="5">
        <f>-IFERROR('4. NPV'!WLE23/'4. NPV'!WLE$8,0)</f>
        <v>-0.0</v>
      </c>
      <c r="WLE53" s="5">
        <f>-IFERROR('4. NPV'!WLF23/'4. NPV'!WLF$8,0)</f>
        <v>-0.0</v>
      </c>
      <c r="WLF53" s="5">
        <f>-IFERROR('4. NPV'!WLG23/'4. NPV'!WLG$8,0)</f>
        <v>-0.0</v>
      </c>
      <c r="WLG53" s="5">
        <f>-IFERROR('4. NPV'!WLH23/'4. NPV'!WLH$8,0)</f>
        <v>-0.0</v>
      </c>
      <c r="WLH53" s="5">
        <f>-IFERROR('4. NPV'!WLI23/'4. NPV'!WLI$8,0)</f>
        <v>-0.0</v>
      </c>
      <c r="WLI53" s="5">
        <f>-IFERROR('4. NPV'!WLJ23/'4. NPV'!WLJ$8,0)</f>
        <v>-0.0</v>
      </c>
      <c r="WLJ53" s="5">
        <f>-IFERROR('4. NPV'!WLK23/'4. NPV'!WLK$8,0)</f>
        <v>-0.0</v>
      </c>
      <c r="WLK53" s="5">
        <f>-IFERROR('4. NPV'!WLL23/'4. NPV'!WLL$8,0)</f>
        <v>-0.0</v>
      </c>
      <c r="WLL53" s="5">
        <f>-IFERROR('4. NPV'!WLM23/'4. NPV'!WLM$8,0)</f>
        <v>-0.0</v>
      </c>
      <c r="WLM53" s="5">
        <f>-IFERROR('4. NPV'!WLN23/'4. NPV'!WLN$8,0)</f>
        <v>-0.0</v>
      </c>
      <c r="WLN53" s="5">
        <f>-IFERROR('4. NPV'!WLO23/'4. NPV'!WLO$8,0)</f>
        <v>-0.0</v>
      </c>
      <c r="WLO53" s="5">
        <f>-IFERROR('4. NPV'!WLP23/'4. NPV'!WLP$8,0)</f>
        <v>-0.0</v>
      </c>
      <c r="WLP53" s="5">
        <f>-IFERROR('4. NPV'!WLQ23/'4. NPV'!WLQ$8,0)</f>
        <v>-0.0</v>
      </c>
      <c r="WLQ53" s="5">
        <f>-IFERROR('4. NPV'!WLR23/'4. NPV'!WLR$8,0)</f>
        <v>-0.0</v>
      </c>
      <c r="WLR53" s="5">
        <f>-IFERROR('4. NPV'!WLS23/'4. NPV'!WLS$8,0)</f>
        <v>-0.0</v>
      </c>
      <c r="WLS53" s="5">
        <f>-IFERROR('4. NPV'!WLT23/'4. NPV'!WLT$8,0)</f>
        <v>-0.0</v>
      </c>
      <c r="WLT53" s="5">
        <f>-IFERROR('4. NPV'!WLU23/'4. NPV'!WLU$8,0)</f>
        <v>-0.0</v>
      </c>
      <c r="WLU53" s="5">
        <f>-IFERROR('4. NPV'!WLV23/'4. NPV'!WLV$8,0)</f>
        <v>-0.0</v>
      </c>
      <c r="WLV53" s="5">
        <f>-IFERROR('4. NPV'!WLW23/'4. NPV'!WLW$8,0)</f>
        <v>-0.0</v>
      </c>
      <c r="WLW53" s="5">
        <f>-IFERROR('4. NPV'!WLX23/'4. NPV'!WLX$8,0)</f>
        <v>-0.0</v>
      </c>
      <c r="WLX53" s="5">
        <f>-IFERROR('4. NPV'!WLY23/'4. NPV'!WLY$8,0)</f>
        <v>-0.0</v>
      </c>
      <c r="WLY53" s="5">
        <f>-IFERROR('4. NPV'!WLZ23/'4. NPV'!WLZ$8,0)</f>
        <v>-0.0</v>
      </c>
      <c r="WLZ53" s="5">
        <f>-IFERROR('4. NPV'!WMA23/'4. NPV'!WMA$8,0)</f>
        <v>-0.0</v>
      </c>
      <c r="WMA53" s="5">
        <f>-IFERROR('4. NPV'!WMB23/'4. NPV'!WMB$8,0)</f>
        <v>-0.0</v>
      </c>
      <c r="WMB53" s="5">
        <f>-IFERROR('4. NPV'!WMC23/'4. NPV'!WMC$8,0)</f>
        <v>-0.0</v>
      </c>
      <c r="WMC53" s="5">
        <f>-IFERROR('4. NPV'!WMD23/'4. NPV'!WMD$8,0)</f>
        <v>-0.0</v>
      </c>
      <c r="WMD53" s="5">
        <f>-IFERROR('4. NPV'!WME23/'4. NPV'!WME$8,0)</f>
        <v>-0.0</v>
      </c>
      <c r="WME53" s="5">
        <f>-IFERROR('4. NPV'!WMF23/'4. NPV'!WMF$8,0)</f>
        <v>-0.0</v>
      </c>
      <c r="WMF53" s="5">
        <f>-IFERROR('4. NPV'!WMG23/'4. NPV'!WMG$8,0)</f>
        <v>-0.0</v>
      </c>
      <c r="WMG53" s="5">
        <f>-IFERROR('4. NPV'!WMH23/'4. NPV'!WMH$8,0)</f>
        <v>-0.0</v>
      </c>
      <c r="WMH53" s="5">
        <f>-IFERROR('4. NPV'!WMI23/'4. NPV'!WMI$8,0)</f>
        <v>-0.0</v>
      </c>
      <c r="WMI53" s="5">
        <f>-IFERROR('4. NPV'!WMJ23/'4. NPV'!WMJ$8,0)</f>
        <v>-0.0</v>
      </c>
      <c r="WMJ53" s="5">
        <f>-IFERROR('4. NPV'!WMK23/'4. NPV'!WMK$8,0)</f>
        <v>-0.0</v>
      </c>
      <c r="WMK53" s="5">
        <f>-IFERROR('4. NPV'!WML23/'4. NPV'!WML$8,0)</f>
        <v>-0.0</v>
      </c>
      <c r="WML53" s="5">
        <f>-IFERROR('4. NPV'!WMM23/'4. NPV'!WMM$8,0)</f>
        <v>-0.0</v>
      </c>
      <c r="WMM53" s="5">
        <f>-IFERROR('4. NPV'!WMN23/'4. NPV'!WMN$8,0)</f>
        <v>-0.0</v>
      </c>
      <c r="WMN53" s="5">
        <f>-IFERROR('4. NPV'!WMO23/'4. NPV'!WMO$8,0)</f>
        <v>-0.0</v>
      </c>
      <c r="WMO53" s="5">
        <f>-IFERROR('4. NPV'!WMP23/'4. NPV'!WMP$8,0)</f>
        <v>-0.0</v>
      </c>
      <c r="WMP53" s="5">
        <f>-IFERROR('4. NPV'!WMQ23/'4. NPV'!WMQ$8,0)</f>
        <v>-0.0</v>
      </c>
      <c r="WMQ53" s="5">
        <f>-IFERROR('4. NPV'!WMR23/'4. NPV'!WMR$8,0)</f>
        <v>-0.0</v>
      </c>
      <c r="WMR53" s="5">
        <f>-IFERROR('4. NPV'!WMS23/'4. NPV'!WMS$8,0)</f>
        <v>-0.0</v>
      </c>
      <c r="WMS53" s="5">
        <f>-IFERROR('4. NPV'!WMT23/'4. NPV'!WMT$8,0)</f>
        <v>-0.0</v>
      </c>
      <c r="WMT53" s="5">
        <f>-IFERROR('4. NPV'!WMU23/'4. NPV'!WMU$8,0)</f>
        <v>-0.0</v>
      </c>
      <c r="WMU53" s="5">
        <f>-IFERROR('4. NPV'!WMV23/'4. NPV'!WMV$8,0)</f>
        <v>-0.0</v>
      </c>
      <c r="WMV53" s="5">
        <f>-IFERROR('4. NPV'!WMW23/'4. NPV'!WMW$8,0)</f>
        <v>-0.0</v>
      </c>
      <c r="WMW53" s="5">
        <f>-IFERROR('4. NPV'!WMX23/'4. NPV'!WMX$8,0)</f>
        <v>-0.0</v>
      </c>
      <c r="WMX53" s="5">
        <f>-IFERROR('4. NPV'!WMY23/'4. NPV'!WMY$8,0)</f>
        <v>-0.0</v>
      </c>
      <c r="WMY53" s="5">
        <f>-IFERROR('4. NPV'!WMZ23/'4. NPV'!WMZ$8,0)</f>
        <v>-0.0</v>
      </c>
      <c r="WMZ53" s="5">
        <f>-IFERROR('4. NPV'!WNA23/'4. NPV'!WNA$8,0)</f>
        <v>-0.0</v>
      </c>
      <c r="WNA53" s="5">
        <f>-IFERROR('4. NPV'!WNB23/'4. NPV'!WNB$8,0)</f>
        <v>-0.0</v>
      </c>
      <c r="WNB53" s="5">
        <f>-IFERROR('4. NPV'!WNC23/'4. NPV'!WNC$8,0)</f>
        <v>-0.0</v>
      </c>
      <c r="WNC53" s="5">
        <f>-IFERROR('4. NPV'!WND23/'4. NPV'!WND$8,0)</f>
        <v>-0.0</v>
      </c>
      <c r="WND53" s="5">
        <f>-IFERROR('4. NPV'!WNE23/'4. NPV'!WNE$8,0)</f>
        <v>-0.0</v>
      </c>
      <c r="WNE53" s="5">
        <f>-IFERROR('4. NPV'!WNF23/'4. NPV'!WNF$8,0)</f>
        <v>-0.0</v>
      </c>
      <c r="WNF53" s="5">
        <f>-IFERROR('4. NPV'!WNG23/'4. NPV'!WNG$8,0)</f>
        <v>-0.0</v>
      </c>
      <c r="WNG53" s="5">
        <f>-IFERROR('4. NPV'!WNH23/'4. NPV'!WNH$8,0)</f>
        <v>-0.0</v>
      </c>
      <c r="WNH53" s="5">
        <f>-IFERROR('4. NPV'!WNI23/'4. NPV'!WNI$8,0)</f>
        <v>-0.0</v>
      </c>
      <c r="WNI53" s="5">
        <f>-IFERROR('4. NPV'!WNJ23/'4. NPV'!WNJ$8,0)</f>
        <v>-0.0</v>
      </c>
      <c r="WNJ53" s="5">
        <f>-IFERROR('4. NPV'!WNK23/'4. NPV'!WNK$8,0)</f>
        <v>-0.0</v>
      </c>
      <c r="WNK53" s="5">
        <f>-IFERROR('4. NPV'!WNL23/'4. NPV'!WNL$8,0)</f>
        <v>-0.0</v>
      </c>
      <c r="WNL53" s="5">
        <f>-IFERROR('4. NPV'!WNM23/'4. NPV'!WNM$8,0)</f>
        <v>-0.0</v>
      </c>
      <c r="WNM53" s="5">
        <f>-IFERROR('4. NPV'!WNN23/'4. NPV'!WNN$8,0)</f>
        <v>-0.0</v>
      </c>
      <c r="WNN53" s="5">
        <f>-IFERROR('4. NPV'!WNO23/'4. NPV'!WNO$8,0)</f>
        <v>-0.0</v>
      </c>
      <c r="WNO53" s="5">
        <f>-IFERROR('4. NPV'!WNP23/'4. NPV'!WNP$8,0)</f>
        <v>-0.0</v>
      </c>
      <c r="WNP53" s="5">
        <f>-IFERROR('4. NPV'!WNQ23/'4. NPV'!WNQ$8,0)</f>
        <v>-0.0</v>
      </c>
      <c r="WNQ53" s="5">
        <f>-IFERROR('4. NPV'!WNR23/'4. NPV'!WNR$8,0)</f>
        <v>-0.0</v>
      </c>
      <c r="WNR53" s="5">
        <f>-IFERROR('4. NPV'!WNS23/'4. NPV'!WNS$8,0)</f>
        <v>-0.0</v>
      </c>
      <c r="WNS53" s="5">
        <f>-IFERROR('4. NPV'!WNT23/'4. NPV'!WNT$8,0)</f>
        <v>-0.0</v>
      </c>
      <c r="WNT53" s="5">
        <f>-IFERROR('4. NPV'!WNU23/'4. NPV'!WNU$8,0)</f>
        <v>-0.0</v>
      </c>
      <c r="WNU53" s="5">
        <f>-IFERROR('4. NPV'!WNV23/'4. NPV'!WNV$8,0)</f>
        <v>-0.0</v>
      </c>
      <c r="WNV53" s="5">
        <f>-IFERROR('4. NPV'!WNW23/'4. NPV'!WNW$8,0)</f>
        <v>-0.0</v>
      </c>
      <c r="WNW53" s="5">
        <f>-IFERROR('4. NPV'!WNX23/'4. NPV'!WNX$8,0)</f>
        <v>-0.0</v>
      </c>
      <c r="WNX53" s="5">
        <f>-IFERROR('4. NPV'!WNY23/'4. NPV'!WNY$8,0)</f>
        <v>-0.0</v>
      </c>
      <c r="WNY53" s="5">
        <f>-IFERROR('4. NPV'!WNZ23/'4. NPV'!WNZ$8,0)</f>
        <v>-0.0</v>
      </c>
      <c r="WNZ53" s="5">
        <f>-IFERROR('4. NPV'!WOA23/'4. NPV'!WOA$8,0)</f>
        <v>-0.0</v>
      </c>
      <c r="WOA53" s="5">
        <f>-IFERROR('4. NPV'!WOB23/'4. NPV'!WOB$8,0)</f>
        <v>-0.0</v>
      </c>
      <c r="WOB53" s="5">
        <f>-IFERROR('4. NPV'!WOC23/'4. NPV'!WOC$8,0)</f>
        <v>-0.0</v>
      </c>
      <c r="WOC53" s="5">
        <f>-IFERROR('4. NPV'!WOD23/'4. NPV'!WOD$8,0)</f>
        <v>-0.0</v>
      </c>
      <c r="WOD53" s="5">
        <f>-IFERROR('4. NPV'!WOE23/'4. NPV'!WOE$8,0)</f>
        <v>-0.0</v>
      </c>
      <c r="WOE53" s="5">
        <f>-IFERROR('4. NPV'!WOF23/'4. NPV'!WOF$8,0)</f>
        <v>-0.0</v>
      </c>
      <c r="WOF53" s="5">
        <f>-IFERROR('4. NPV'!WOG23/'4. NPV'!WOG$8,0)</f>
        <v>-0.0</v>
      </c>
      <c r="WOG53" s="5">
        <f>-IFERROR('4. NPV'!WOH23/'4. NPV'!WOH$8,0)</f>
        <v>-0.0</v>
      </c>
      <c r="WOH53" s="5">
        <f>-IFERROR('4. NPV'!WOI23/'4. NPV'!WOI$8,0)</f>
        <v>-0.0</v>
      </c>
      <c r="WOI53" s="5">
        <f>-IFERROR('4. NPV'!WOJ23/'4. NPV'!WOJ$8,0)</f>
        <v>-0.0</v>
      </c>
      <c r="WOJ53" s="5">
        <f>-IFERROR('4. NPV'!WOK23/'4. NPV'!WOK$8,0)</f>
        <v>-0.0</v>
      </c>
      <c r="WOK53" s="5">
        <f>-IFERROR('4. NPV'!WOL23/'4. NPV'!WOL$8,0)</f>
        <v>-0.0</v>
      </c>
      <c r="WOL53" s="5">
        <f>-IFERROR('4. NPV'!WOM23/'4. NPV'!WOM$8,0)</f>
        <v>-0.0</v>
      </c>
      <c r="WOM53" s="5">
        <f>-IFERROR('4. NPV'!WON23/'4. NPV'!WON$8,0)</f>
        <v>-0.0</v>
      </c>
      <c r="WON53" s="5">
        <f>-IFERROR('4. NPV'!WOO23/'4. NPV'!WOO$8,0)</f>
        <v>-0.0</v>
      </c>
      <c r="WOO53" s="5">
        <f>-IFERROR('4. NPV'!WOP23/'4. NPV'!WOP$8,0)</f>
        <v>-0.0</v>
      </c>
      <c r="WOP53" s="5">
        <f>-IFERROR('4. NPV'!WOQ23/'4. NPV'!WOQ$8,0)</f>
        <v>-0.0</v>
      </c>
      <c r="WOQ53" s="5">
        <f>-IFERROR('4. NPV'!WOR23/'4. NPV'!WOR$8,0)</f>
        <v>-0.0</v>
      </c>
      <c r="WOR53" s="5">
        <f>-IFERROR('4. NPV'!WOS23/'4. NPV'!WOS$8,0)</f>
        <v>-0.0</v>
      </c>
      <c r="WOS53" s="5">
        <f>-IFERROR('4. NPV'!WOT23/'4. NPV'!WOT$8,0)</f>
        <v>-0.0</v>
      </c>
      <c r="WOT53" s="5">
        <f>-IFERROR('4. NPV'!WOU23/'4. NPV'!WOU$8,0)</f>
        <v>-0.0</v>
      </c>
      <c r="WOU53" s="5">
        <f>-IFERROR('4. NPV'!WOV23/'4. NPV'!WOV$8,0)</f>
        <v>-0.0</v>
      </c>
      <c r="WOV53" s="5">
        <f>-IFERROR('4. NPV'!WOW23/'4. NPV'!WOW$8,0)</f>
        <v>-0.0</v>
      </c>
      <c r="WOW53" s="5">
        <f>-IFERROR('4. NPV'!WOX23/'4. NPV'!WOX$8,0)</f>
        <v>-0.0</v>
      </c>
      <c r="WOX53" s="5">
        <f>-IFERROR('4. NPV'!WOY23/'4. NPV'!WOY$8,0)</f>
        <v>-0.0</v>
      </c>
      <c r="WOY53" s="5">
        <f>-IFERROR('4. NPV'!WOZ23/'4. NPV'!WOZ$8,0)</f>
        <v>-0.0</v>
      </c>
      <c r="WOZ53" s="5">
        <f>-IFERROR('4. NPV'!WPA23/'4. NPV'!WPA$8,0)</f>
        <v>-0.0</v>
      </c>
      <c r="WPA53" s="5">
        <f>-IFERROR('4. NPV'!WPB23/'4. NPV'!WPB$8,0)</f>
        <v>-0.0</v>
      </c>
      <c r="WPB53" s="5">
        <f>-IFERROR('4. NPV'!WPC23/'4. NPV'!WPC$8,0)</f>
        <v>-0.0</v>
      </c>
      <c r="WPC53" s="5">
        <f>-IFERROR('4. NPV'!WPD23/'4. NPV'!WPD$8,0)</f>
        <v>-0.0</v>
      </c>
      <c r="WPD53" s="5">
        <f>-IFERROR('4. NPV'!WPE23/'4. NPV'!WPE$8,0)</f>
        <v>-0.0</v>
      </c>
      <c r="WPE53" s="5">
        <f>-IFERROR('4. NPV'!WPF23/'4. NPV'!WPF$8,0)</f>
        <v>-0.0</v>
      </c>
      <c r="WPF53" s="5">
        <f>-IFERROR('4. NPV'!WPG23/'4. NPV'!WPG$8,0)</f>
        <v>-0.0</v>
      </c>
      <c r="WPG53" s="5">
        <f>-IFERROR('4. NPV'!WPH23/'4. NPV'!WPH$8,0)</f>
        <v>-0.0</v>
      </c>
      <c r="WPH53" s="5">
        <f>-IFERROR('4. NPV'!WPI23/'4. NPV'!WPI$8,0)</f>
        <v>-0.0</v>
      </c>
      <c r="WPI53" s="5">
        <f>-IFERROR('4. NPV'!WPJ23/'4. NPV'!WPJ$8,0)</f>
        <v>-0.0</v>
      </c>
      <c r="WPJ53" s="5">
        <f>-IFERROR('4. NPV'!WPK23/'4. NPV'!WPK$8,0)</f>
        <v>-0.0</v>
      </c>
      <c r="WPK53" s="5">
        <f>-IFERROR('4. NPV'!WPL23/'4. NPV'!WPL$8,0)</f>
        <v>-0.0</v>
      </c>
      <c r="WPL53" s="5">
        <f>-IFERROR('4. NPV'!WPM23/'4. NPV'!WPM$8,0)</f>
        <v>-0.0</v>
      </c>
      <c r="WPM53" s="5">
        <f>-IFERROR('4. NPV'!WPN23/'4. NPV'!WPN$8,0)</f>
        <v>-0.0</v>
      </c>
      <c r="WPN53" s="5">
        <f>-IFERROR('4. NPV'!WPO23/'4. NPV'!WPO$8,0)</f>
        <v>-0.0</v>
      </c>
      <c r="WPO53" s="5">
        <f>-IFERROR('4. NPV'!WPP23/'4. NPV'!WPP$8,0)</f>
        <v>-0.0</v>
      </c>
      <c r="WPP53" s="5">
        <f>-IFERROR('4. NPV'!WPQ23/'4. NPV'!WPQ$8,0)</f>
        <v>-0.0</v>
      </c>
      <c r="WPQ53" s="5">
        <f>-IFERROR('4. NPV'!WPR23/'4. NPV'!WPR$8,0)</f>
        <v>-0.0</v>
      </c>
      <c r="WPR53" s="5">
        <f>-IFERROR('4. NPV'!WPS23/'4. NPV'!WPS$8,0)</f>
        <v>-0.0</v>
      </c>
      <c r="WPS53" s="5">
        <f>-IFERROR('4. NPV'!WPT23/'4. NPV'!WPT$8,0)</f>
        <v>-0.0</v>
      </c>
      <c r="WPT53" s="5">
        <f>-IFERROR('4. NPV'!WPU23/'4. NPV'!WPU$8,0)</f>
        <v>-0.0</v>
      </c>
      <c r="WPU53" s="5">
        <f>-IFERROR('4. NPV'!WPV23/'4. NPV'!WPV$8,0)</f>
        <v>-0.0</v>
      </c>
      <c r="WPV53" s="5">
        <f>-IFERROR('4. NPV'!WPW23/'4. NPV'!WPW$8,0)</f>
        <v>-0.0</v>
      </c>
      <c r="WPW53" s="5">
        <f>-IFERROR('4. NPV'!WPX23/'4. NPV'!WPX$8,0)</f>
        <v>-0.0</v>
      </c>
      <c r="WPX53" s="5">
        <f>-IFERROR('4. NPV'!WPY23/'4. NPV'!WPY$8,0)</f>
        <v>-0.0</v>
      </c>
      <c r="WPY53" s="5">
        <f>-IFERROR('4. NPV'!WPZ23/'4. NPV'!WPZ$8,0)</f>
        <v>-0.0</v>
      </c>
      <c r="WPZ53" s="5">
        <f>-IFERROR('4. NPV'!WQA23/'4. NPV'!WQA$8,0)</f>
        <v>-0.0</v>
      </c>
      <c r="WQA53" s="5">
        <f>-IFERROR('4. NPV'!WQB23/'4. NPV'!WQB$8,0)</f>
        <v>-0.0</v>
      </c>
      <c r="WQB53" s="5">
        <f>-IFERROR('4. NPV'!WQC23/'4. NPV'!WQC$8,0)</f>
        <v>-0.0</v>
      </c>
      <c r="WQC53" s="5">
        <f>-IFERROR('4. NPV'!WQD23/'4. NPV'!WQD$8,0)</f>
        <v>-0.0</v>
      </c>
      <c r="WQD53" s="5">
        <f>-IFERROR('4. NPV'!WQE23/'4. NPV'!WQE$8,0)</f>
        <v>-0.0</v>
      </c>
      <c r="WQE53" s="5">
        <f>-IFERROR('4. NPV'!WQF23/'4. NPV'!WQF$8,0)</f>
        <v>-0.0</v>
      </c>
      <c r="WQF53" s="5">
        <f>-IFERROR('4. NPV'!WQG23/'4. NPV'!WQG$8,0)</f>
        <v>-0.0</v>
      </c>
      <c r="WQG53" s="5">
        <f>-IFERROR('4. NPV'!WQH23/'4. NPV'!WQH$8,0)</f>
        <v>-0.0</v>
      </c>
      <c r="WQH53" s="5">
        <f>-IFERROR('4. NPV'!WQI23/'4. NPV'!WQI$8,0)</f>
        <v>-0.0</v>
      </c>
      <c r="WQI53" s="5">
        <f>-IFERROR('4. NPV'!WQJ23/'4. NPV'!WQJ$8,0)</f>
        <v>-0.0</v>
      </c>
      <c r="WQJ53" s="5">
        <f>-IFERROR('4. NPV'!WQK23/'4. NPV'!WQK$8,0)</f>
        <v>-0.0</v>
      </c>
      <c r="WQK53" s="5">
        <f>-IFERROR('4. NPV'!WQL23/'4. NPV'!WQL$8,0)</f>
        <v>-0.0</v>
      </c>
      <c r="WQL53" s="5">
        <f>-IFERROR('4. NPV'!WQM23/'4. NPV'!WQM$8,0)</f>
        <v>-0.0</v>
      </c>
      <c r="WQM53" s="5">
        <f>-IFERROR('4. NPV'!WQN23/'4. NPV'!WQN$8,0)</f>
        <v>-0.0</v>
      </c>
      <c r="WQN53" s="5">
        <f>-IFERROR('4. NPV'!WQO23/'4. NPV'!WQO$8,0)</f>
        <v>-0.0</v>
      </c>
      <c r="WQO53" s="5">
        <f>-IFERROR('4. NPV'!WQP23/'4. NPV'!WQP$8,0)</f>
        <v>-0.0</v>
      </c>
      <c r="WQP53" s="5">
        <f>-IFERROR('4. NPV'!WQQ23/'4. NPV'!WQQ$8,0)</f>
        <v>-0.0</v>
      </c>
      <c r="WQQ53" s="5">
        <f>-IFERROR('4. NPV'!WQR23/'4. NPV'!WQR$8,0)</f>
        <v>-0.0</v>
      </c>
      <c r="WQR53" s="5">
        <f>-IFERROR('4. NPV'!WQS23/'4. NPV'!WQS$8,0)</f>
        <v>-0.0</v>
      </c>
      <c r="WQS53" s="5">
        <f>-IFERROR('4. NPV'!WQT23/'4. NPV'!WQT$8,0)</f>
        <v>-0.0</v>
      </c>
      <c r="WQT53" s="5">
        <f>-IFERROR('4. NPV'!WQU23/'4. NPV'!WQU$8,0)</f>
        <v>-0.0</v>
      </c>
      <c r="WQU53" s="5">
        <f>-IFERROR('4. NPV'!WQV23/'4. NPV'!WQV$8,0)</f>
        <v>-0.0</v>
      </c>
      <c r="WQV53" s="5">
        <f>-IFERROR('4. NPV'!WQW23/'4. NPV'!WQW$8,0)</f>
        <v>-0.0</v>
      </c>
      <c r="WQW53" s="5">
        <f>-IFERROR('4. NPV'!WQX23/'4. NPV'!WQX$8,0)</f>
        <v>-0.0</v>
      </c>
      <c r="WQX53" s="5">
        <f>-IFERROR('4. NPV'!WQY23/'4. NPV'!WQY$8,0)</f>
        <v>-0.0</v>
      </c>
      <c r="WQY53" s="5">
        <f>-IFERROR('4. NPV'!WQZ23/'4. NPV'!WQZ$8,0)</f>
        <v>-0.0</v>
      </c>
      <c r="WQZ53" s="5">
        <f>-IFERROR('4. NPV'!WRA23/'4. NPV'!WRA$8,0)</f>
        <v>-0.0</v>
      </c>
      <c r="WRA53" s="5">
        <f>-IFERROR('4. NPV'!WRB23/'4. NPV'!WRB$8,0)</f>
        <v>-0.0</v>
      </c>
      <c r="WRB53" s="5">
        <f>-IFERROR('4. NPV'!WRC23/'4. NPV'!WRC$8,0)</f>
        <v>-0.0</v>
      </c>
      <c r="WRC53" s="5">
        <f>-IFERROR('4. NPV'!WRD23/'4. NPV'!WRD$8,0)</f>
        <v>-0.0</v>
      </c>
      <c r="WRD53" s="5">
        <f>-IFERROR('4. NPV'!WRE23/'4. NPV'!WRE$8,0)</f>
        <v>-0.0</v>
      </c>
      <c r="WRE53" s="5">
        <f>-IFERROR('4. NPV'!WRF23/'4. NPV'!WRF$8,0)</f>
        <v>-0.0</v>
      </c>
      <c r="WRF53" s="5">
        <f>-IFERROR('4. NPV'!WRG23/'4. NPV'!WRG$8,0)</f>
        <v>-0.0</v>
      </c>
      <c r="WRG53" s="5">
        <f>-IFERROR('4. NPV'!WRH23/'4. NPV'!WRH$8,0)</f>
        <v>-0.0</v>
      </c>
      <c r="WRH53" s="5">
        <f>-IFERROR('4. NPV'!WRI23/'4. NPV'!WRI$8,0)</f>
        <v>-0.0</v>
      </c>
      <c r="WRI53" s="5">
        <f>-IFERROR('4. NPV'!WRJ23/'4. NPV'!WRJ$8,0)</f>
        <v>-0.0</v>
      </c>
      <c r="WRJ53" s="5">
        <f>-IFERROR('4. NPV'!WRK23/'4. NPV'!WRK$8,0)</f>
        <v>-0.0</v>
      </c>
      <c r="WRK53" s="5">
        <f>-IFERROR('4. NPV'!WRL23/'4. NPV'!WRL$8,0)</f>
        <v>-0.0</v>
      </c>
      <c r="WRL53" s="5">
        <f>-IFERROR('4. NPV'!WRM23/'4. NPV'!WRM$8,0)</f>
        <v>-0.0</v>
      </c>
      <c r="WRM53" s="5">
        <f>-IFERROR('4. NPV'!WRN23/'4. NPV'!WRN$8,0)</f>
        <v>-0.0</v>
      </c>
      <c r="WRN53" s="5">
        <f>-IFERROR('4. NPV'!WRO23/'4. NPV'!WRO$8,0)</f>
        <v>-0.0</v>
      </c>
      <c r="WRO53" s="5">
        <f>-IFERROR('4. NPV'!WRP23/'4. NPV'!WRP$8,0)</f>
        <v>-0.0</v>
      </c>
      <c r="WRP53" s="5">
        <f>-IFERROR('4. NPV'!WRQ23/'4. NPV'!WRQ$8,0)</f>
        <v>-0.0</v>
      </c>
      <c r="WRQ53" s="5">
        <f>-IFERROR('4. NPV'!WRR23/'4. NPV'!WRR$8,0)</f>
        <v>-0.0</v>
      </c>
      <c r="WRR53" s="5">
        <f>-IFERROR('4. NPV'!WRS23/'4. NPV'!WRS$8,0)</f>
        <v>-0.0</v>
      </c>
      <c r="WRS53" s="5">
        <f>-IFERROR('4. NPV'!WRT23/'4. NPV'!WRT$8,0)</f>
        <v>-0.0</v>
      </c>
      <c r="WRT53" s="5">
        <f>-IFERROR('4. NPV'!WRU23/'4. NPV'!WRU$8,0)</f>
        <v>-0.0</v>
      </c>
      <c r="WRU53" s="5">
        <f>-IFERROR('4. NPV'!WRV23/'4. NPV'!WRV$8,0)</f>
        <v>-0.0</v>
      </c>
      <c r="WRV53" s="5">
        <f>-IFERROR('4. NPV'!WRW23/'4. NPV'!WRW$8,0)</f>
        <v>-0.0</v>
      </c>
      <c r="WRW53" s="5">
        <f>-IFERROR('4. NPV'!WRX23/'4. NPV'!WRX$8,0)</f>
        <v>-0.0</v>
      </c>
      <c r="WRX53" s="5">
        <f>-IFERROR('4. NPV'!WRY23/'4. NPV'!WRY$8,0)</f>
        <v>-0.0</v>
      </c>
      <c r="WRY53" s="5">
        <f>-IFERROR('4. NPV'!WRZ23/'4. NPV'!WRZ$8,0)</f>
        <v>-0.0</v>
      </c>
      <c r="WRZ53" s="5">
        <f>-IFERROR('4. NPV'!WSA23/'4. NPV'!WSA$8,0)</f>
        <v>-0.0</v>
      </c>
      <c r="WSA53" s="5">
        <f>-IFERROR('4. NPV'!WSB23/'4. NPV'!WSB$8,0)</f>
        <v>-0.0</v>
      </c>
      <c r="WSB53" s="5">
        <f>-IFERROR('4. NPV'!WSC23/'4. NPV'!WSC$8,0)</f>
        <v>-0.0</v>
      </c>
      <c r="WSC53" s="5">
        <f>-IFERROR('4. NPV'!WSD23/'4. NPV'!WSD$8,0)</f>
        <v>-0.0</v>
      </c>
      <c r="WSD53" s="5">
        <f>-IFERROR('4. NPV'!WSE23/'4. NPV'!WSE$8,0)</f>
        <v>-0.0</v>
      </c>
      <c r="WSE53" s="5">
        <f>-IFERROR('4. NPV'!WSF23/'4. NPV'!WSF$8,0)</f>
        <v>-0.0</v>
      </c>
      <c r="WSF53" s="5">
        <f>-IFERROR('4. NPV'!WSG23/'4. NPV'!WSG$8,0)</f>
        <v>-0.0</v>
      </c>
      <c r="WSG53" s="5">
        <f>-IFERROR('4. NPV'!WSH23/'4. NPV'!WSH$8,0)</f>
        <v>-0.0</v>
      </c>
      <c r="WSH53" s="5">
        <f>-IFERROR('4. NPV'!WSI23/'4. NPV'!WSI$8,0)</f>
        <v>-0.0</v>
      </c>
      <c r="WSI53" s="5">
        <f>-IFERROR('4. NPV'!WSJ23/'4. NPV'!WSJ$8,0)</f>
        <v>-0.0</v>
      </c>
      <c r="WSJ53" s="5">
        <f>-IFERROR('4. NPV'!WSK23/'4. NPV'!WSK$8,0)</f>
        <v>-0.0</v>
      </c>
      <c r="WSK53" s="5">
        <f>-IFERROR('4. NPV'!WSL23/'4. NPV'!WSL$8,0)</f>
        <v>-0.0</v>
      </c>
      <c r="WSL53" s="5">
        <f>-IFERROR('4. NPV'!WSM23/'4. NPV'!WSM$8,0)</f>
        <v>-0.0</v>
      </c>
      <c r="WSM53" s="5">
        <f>-IFERROR('4. NPV'!WSN23/'4. NPV'!WSN$8,0)</f>
        <v>-0.0</v>
      </c>
      <c r="WSN53" s="5">
        <f>-IFERROR('4. NPV'!WSO23/'4. NPV'!WSO$8,0)</f>
        <v>-0.0</v>
      </c>
      <c r="WSO53" s="5">
        <f>-IFERROR('4. NPV'!WSP23/'4. NPV'!WSP$8,0)</f>
        <v>-0.0</v>
      </c>
      <c r="WSP53" s="5">
        <f>-IFERROR('4. NPV'!WSQ23/'4. NPV'!WSQ$8,0)</f>
        <v>-0.0</v>
      </c>
      <c r="WSQ53" s="5">
        <f>-IFERROR('4. NPV'!WSR23/'4. NPV'!WSR$8,0)</f>
        <v>-0.0</v>
      </c>
      <c r="WSR53" s="5">
        <f>-IFERROR('4. NPV'!WSS23/'4. NPV'!WSS$8,0)</f>
        <v>-0.0</v>
      </c>
      <c r="WSS53" s="5">
        <f>-IFERROR('4. NPV'!WST23/'4. NPV'!WST$8,0)</f>
        <v>-0.0</v>
      </c>
      <c r="WST53" s="5">
        <f>-IFERROR('4. NPV'!WSU23/'4. NPV'!WSU$8,0)</f>
        <v>-0.0</v>
      </c>
      <c r="WSU53" s="5">
        <f>-IFERROR('4. NPV'!WSV23/'4. NPV'!WSV$8,0)</f>
        <v>-0.0</v>
      </c>
      <c r="WSV53" s="5">
        <f>-IFERROR('4. NPV'!WSW23/'4. NPV'!WSW$8,0)</f>
        <v>-0.0</v>
      </c>
      <c r="WSW53" s="5">
        <f>-IFERROR('4. NPV'!WSX23/'4. NPV'!WSX$8,0)</f>
        <v>-0.0</v>
      </c>
      <c r="WSX53" s="5">
        <f>-IFERROR('4. NPV'!WSY23/'4. NPV'!WSY$8,0)</f>
        <v>-0.0</v>
      </c>
      <c r="WSY53" s="5">
        <f>-IFERROR('4. NPV'!WSZ23/'4. NPV'!WSZ$8,0)</f>
        <v>-0.0</v>
      </c>
      <c r="WSZ53" s="5">
        <f>-IFERROR('4. NPV'!WTA23/'4. NPV'!WTA$8,0)</f>
        <v>-0.0</v>
      </c>
      <c r="WTA53" s="5">
        <f>-IFERROR('4. NPV'!WTB23/'4. NPV'!WTB$8,0)</f>
        <v>-0.0</v>
      </c>
      <c r="WTB53" s="5">
        <f>-IFERROR('4. NPV'!WTC23/'4. NPV'!WTC$8,0)</f>
        <v>-0.0</v>
      </c>
      <c r="WTC53" s="5">
        <f>-IFERROR('4. NPV'!WTD23/'4. NPV'!WTD$8,0)</f>
        <v>-0.0</v>
      </c>
      <c r="WTD53" s="5">
        <f>-IFERROR('4. NPV'!WTE23/'4. NPV'!WTE$8,0)</f>
        <v>-0.0</v>
      </c>
      <c r="WTE53" s="5">
        <f>-IFERROR('4. NPV'!WTF23/'4. NPV'!WTF$8,0)</f>
        <v>-0.0</v>
      </c>
      <c r="WTF53" s="5">
        <f>-IFERROR('4. NPV'!WTG23/'4. NPV'!WTG$8,0)</f>
        <v>-0.0</v>
      </c>
      <c r="WTG53" s="5">
        <f>-IFERROR('4. NPV'!WTH23/'4. NPV'!WTH$8,0)</f>
        <v>-0.0</v>
      </c>
      <c r="WTH53" s="5">
        <f>-IFERROR('4. NPV'!WTI23/'4. NPV'!WTI$8,0)</f>
        <v>-0.0</v>
      </c>
      <c r="WTI53" s="5">
        <f>-IFERROR('4. NPV'!WTJ23/'4. NPV'!WTJ$8,0)</f>
        <v>-0.0</v>
      </c>
      <c r="WTJ53" s="5">
        <f>-IFERROR('4. NPV'!WTK23/'4. NPV'!WTK$8,0)</f>
        <v>-0.0</v>
      </c>
      <c r="WTK53" s="5">
        <f>-IFERROR('4. NPV'!WTL23/'4. NPV'!WTL$8,0)</f>
        <v>-0.0</v>
      </c>
      <c r="WTL53" s="5">
        <f>-IFERROR('4. NPV'!WTM23/'4. NPV'!WTM$8,0)</f>
        <v>-0.0</v>
      </c>
      <c r="WTM53" s="5">
        <f>-IFERROR('4. NPV'!WTN23/'4. NPV'!WTN$8,0)</f>
        <v>-0.0</v>
      </c>
      <c r="WTN53" s="5">
        <f>-IFERROR('4. NPV'!WTO23/'4. NPV'!WTO$8,0)</f>
        <v>-0.0</v>
      </c>
      <c r="WTO53" s="5">
        <f>-IFERROR('4. NPV'!WTP23/'4. NPV'!WTP$8,0)</f>
        <v>-0.0</v>
      </c>
      <c r="WTP53" s="5">
        <f>-IFERROR('4. NPV'!WTQ23/'4. NPV'!WTQ$8,0)</f>
        <v>-0.0</v>
      </c>
      <c r="WTQ53" s="5">
        <f>-IFERROR('4. NPV'!WTR23/'4. NPV'!WTR$8,0)</f>
        <v>-0.0</v>
      </c>
      <c r="WTR53" s="5">
        <f>-IFERROR('4. NPV'!WTS23/'4. NPV'!WTS$8,0)</f>
        <v>-0.0</v>
      </c>
      <c r="WTS53" s="5">
        <f>-IFERROR('4. NPV'!WTT23/'4. NPV'!WTT$8,0)</f>
        <v>-0.0</v>
      </c>
      <c r="WTT53" s="5">
        <f>-IFERROR('4. NPV'!WTU23/'4. NPV'!WTU$8,0)</f>
        <v>-0.0</v>
      </c>
      <c r="WTU53" s="5">
        <f>-IFERROR('4. NPV'!WTV23/'4. NPV'!WTV$8,0)</f>
        <v>-0.0</v>
      </c>
      <c r="WTV53" s="5">
        <f>-IFERROR('4. NPV'!WTW23/'4. NPV'!WTW$8,0)</f>
        <v>-0.0</v>
      </c>
      <c r="WTW53" s="5">
        <f>-IFERROR('4. NPV'!WTX23/'4. NPV'!WTX$8,0)</f>
        <v>-0.0</v>
      </c>
      <c r="WTX53" s="5">
        <f>-IFERROR('4. NPV'!WTY23/'4. NPV'!WTY$8,0)</f>
        <v>-0.0</v>
      </c>
      <c r="WTY53" s="5">
        <f>-IFERROR('4. NPV'!WTZ23/'4. NPV'!WTZ$8,0)</f>
        <v>-0.0</v>
      </c>
      <c r="WTZ53" s="5">
        <f>-IFERROR('4. NPV'!WUA23/'4. NPV'!WUA$8,0)</f>
        <v>-0.0</v>
      </c>
      <c r="WUA53" s="5">
        <f>-IFERROR('4. NPV'!WUB23/'4. NPV'!WUB$8,0)</f>
        <v>-0.0</v>
      </c>
      <c r="WUB53" s="5">
        <f>-IFERROR('4. NPV'!WUC23/'4. NPV'!WUC$8,0)</f>
        <v>-0.0</v>
      </c>
      <c r="WUC53" s="5">
        <f>-IFERROR('4. NPV'!WUD23/'4. NPV'!WUD$8,0)</f>
        <v>-0.0</v>
      </c>
      <c r="WUD53" s="5">
        <f>-IFERROR('4. NPV'!WUE23/'4. NPV'!WUE$8,0)</f>
        <v>-0.0</v>
      </c>
      <c r="WUE53" s="5">
        <f>-IFERROR('4. NPV'!WUF23/'4. NPV'!WUF$8,0)</f>
        <v>-0.0</v>
      </c>
      <c r="WUF53" s="5">
        <f>-IFERROR('4. NPV'!WUG23/'4. NPV'!WUG$8,0)</f>
        <v>-0.0</v>
      </c>
      <c r="WUG53" s="5">
        <f>-IFERROR('4. NPV'!WUH23/'4. NPV'!WUH$8,0)</f>
        <v>-0.0</v>
      </c>
      <c r="WUH53" s="5">
        <f>-IFERROR('4. NPV'!WUI23/'4. NPV'!WUI$8,0)</f>
        <v>-0.0</v>
      </c>
      <c r="WUI53" s="5">
        <f>-IFERROR('4. NPV'!WUJ23/'4. NPV'!WUJ$8,0)</f>
        <v>-0.0</v>
      </c>
      <c r="WUJ53" s="5">
        <f>-IFERROR('4. NPV'!WUK23/'4. NPV'!WUK$8,0)</f>
        <v>-0.0</v>
      </c>
      <c r="WUK53" s="5">
        <f>-IFERROR('4. NPV'!WUL23/'4. NPV'!WUL$8,0)</f>
        <v>-0.0</v>
      </c>
      <c r="WUL53" s="5">
        <f>-IFERROR('4. NPV'!WUM23/'4. NPV'!WUM$8,0)</f>
        <v>-0.0</v>
      </c>
      <c r="WUM53" s="5">
        <f>-IFERROR('4. NPV'!WUN23/'4. NPV'!WUN$8,0)</f>
        <v>-0.0</v>
      </c>
      <c r="WUN53" s="5">
        <f>-IFERROR('4. NPV'!WUO23/'4. NPV'!WUO$8,0)</f>
        <v>-0.0</v>
      </c>
      <c r="WUO53" s="5">
        <f>-IFERROR('4. NPV'!WUP23/'4. NPV'!WUP$8,0)</f>
        <v>-0.0</v>
      </c>
      <c r="WUP53" s="5">
        <f>-IFERROR('4. NPV'!WUQ23/'4. NPV'!WUQ$8,0)</f>
        <v>-0.0</v>
      </c>
      <c r="WUQ53" s="5">
        <f>-IFERROR('4. NPV'!WUR23/'4. NPV'!WUR$8,0)</f>
        <v>-0.0</v>
      </c>
      <c r="WUR53" s="5">
        <f>-IFERROR('4. NPV'!WUS23/'4. NPV'!WUS$8,0)</f>
        <v>-0.0</v>
      </c>
      <c r="WUS53" s="5">
        <f>-IFERROR('4. NPV'!WUT23/'4. NPV'!WUT$8,0)</f>
        <v>-0.0</v>
      </c>
      <c r="WUT53" s="5">
        <f>-IFERROR('4. NPV'!WUU23/'4. NPV'!WUU$8,0)</f>
        <v>-0.0</v>
      </c>
      <c r="WUU53" s="5">
        <f>-IFERROR('4. NPV'!WUV23/'4. NPV'!WUV$8,0)</f>
        <v>-0.0</v>
      </c>
      <c r="WUV53" s="5">
        <f>-IFERROR('4. NPV'!WUW23/'4. NPV'!WUW$8,0)</f>
        <v>-0.0</v>
      </c>
      <c r="WUW53" s="5">
        <f>-IFERROR('4. NPV'!WUX23/'4. NPV'!WUX$8,0)</f>
        <v>-0.0</v>
      </c>
      <c r="WUX53" s="5">
        <f>-IFERROR('4. NPV'!WUY23/'4. NPV'!WUY$8,0)</f>
        <v>-0.0</v>
      </c>
      <c r="WUY53" s="5">
        <f>-IFERROR('4. NPV'!WUZ23/'4. NPV'!WUZ$8,0)</f>
        <v>-0.0</v>
      </c>
      <c r="WUZ53" s="5">
        <f>-IFERROR('4. NPV'!WVA23/'4. NPV'!WVA$8,0)</f>
        <v>-0.0</v>
      </c>
      <c r="WVA53" s="5">
        <f>-IFERROR('4. NPV'!WVB23/'4. NPV'!WVB$8,0)</f>
        <v>-0.0</v>
      </c>
      <c r="WVB53" s="5">
        <f>-IFERROR('4. NPV'!WVC23/'4. NPV'!WVC$8,0)</f>
        <v>-0.0</v>
      </c>
      <c r="WVC53" s="5">
        <f>-IFERROR('4. NPV'!WVD23/'4. NPV'!WVD$8,0)</f>
        <v>-0.0</v>
      </c>
      <c r="WVD53" s="5">
        <f>-IFERROR('4. NPV'!WVE23/'4. NPV'!WVE$8,0)</f>
        <v>-0.0</v>
      </c>
      <c r="WVE53" s="5">
        <f>-IFERROR('4. NPV'!WVF23/'4. NPV'!WVF$8,0)</f>
        <v>-0.0</v>
      </c>
      <c r="WVF53" s="5">
        <f>-IFERROR('4. NPV'!WVG23/'4. NPV'!WVG$8,0)</f>
        <v>-0.0</v>
      </c>
      <c r="WVG53" s="5">
        <f>-IFERROR('4. NPV'!WVH23/'4. NPV'!WVH$8,0)</f>
        <v>-0.0</v>
      </c>
      <c r="WVH53" s="5">
        <f>-IFERROR('4. NPV'!WVI23/'4. NPV'!WVI$8,0)</f>
        <v>-0.0</v>
      </c>
      <c r="WVI53" s="5">
        <f>-IFERROR('4. NPV'!WVJ23/'4. NPV'!WVJ$8,0)</f>
        <v>-0.0</v>
      </c>
      <c r="WVJ53" s="5">
        <f>-IFERROR('4. NPV'!WVK23/'4. NPV'!WVK$8,0)</f>
        <v>-0.0</v>
      </c>
      <c r="WVK53" s="5">
        <f>-IFERROR('4. NPV'!WVL23/'4. NPV'!WVL$8,0)</f>
        <v>-0.0</v>
      </c>
      <c r="WVL53" s="5">
        <f>-IFERROR('4. NPV'!WVM23/'4. NPV'!WVM$8,0)</f>
        <v>-0.0</v>
      </c>
      <c r="WVM53" s="5">
        <f>-IFERROR('4. NPV'!WVN23/'4. NPV'!WVN$8,0)</f>
        <v>-0.0</v>
      </c>
      <c r="WVN53" s="5">
        <f>-IFERROR('4. NPV'!WVO23/'4. NPV'!WVO$8,0)</f>
        <v>-0.0</v>
      </c>
      <c r="WVO53" s="5">
        <f>-IFERROR('4. NPV'!WVP23/'4. NPV'!WVP$8,0)</f>
        <v>-0.0</v>
      </c>
      <c r="WVP53" s="5">
        <f>-IFERROR('4. NPV'!WVQ23/'4. NPV'!WVQ$8,0)</f>
        <v>-0.0</v>
      </c>
      <c r="WVQ53" s="5">
        <f>-IFERROR('4. NPV'!WVR23/'4. NPV'!WVR$8,0)</f>
        <v>-0.0</v>
      </c>
      <c r="WVR53" s="5">
        <f>-IFERROR('4. NPV'!WVS23/'4. NPV'!WVS$8,0)</f>
        <v>-0.0</v>
      </c>
      <c r="WVS53" s="5">
        <f>-IFERROR('4. NPV'!WVT23/'4. NPV'!WVT$8,0)</f>
        <v>-0.0</v>
      </c>
      <c r="WVT53" s="5">
        <f>-IFERROR('4. NPV'!WVU23/'4. NPV'!WVU$8,0)</f>
        <v>-0.0</v>
      </c>
      <c r="WVU53" s="5">
        <f>-IFERROR('4. NPV'!WVV23/'4. NPV'!WVV$8,0)</f>
        <v>-0.0</v>
      </c>
      <c r="WVV53" s="5">
        <f>-IFERROR('4. NPV'!WVW23/'4. NPV'!WVW$8,0)</f>
        <v>-0.0</v>
      </c>
      <c r="WVW53" s="5">
        <f>-IFERROR('4. NPV'!WVX23/'4. NPV'!WVX$8,0)</f>
        <v>-0.0</v>
      </c>
      <c r="WVX53" s="5">
        <f>-IFERROR('4. NPV'!WVY23/'4. NPV'!WVY$8,0)</f>
        <v>-0.0</v>
      </c>
      <c r="WVY53" s="5">
        <f>-IFERROR('4. NPV'!WVZ23/'4. NPV'!WVZ$8,0)</f>
        <v>-0.0</v>
      </c>
      <c r="WVZ53" s="5">
        <f>-IFERROR('4. NPV'!WWA23/'4. NPV'!WWA$8,0)</f>
        <v>-0.0</v>
      </c>
      <c r="WWA53" s="5">
        <f>-IFERROR('4. NPV'!WWB23/'4. NPV'!WWB$8,0)</f>
        <v>-0.0</v>
      </c>
      <c r="WWB53" s="5">
        <f>-IFERROR('4. NPV'!WWC23/'4. NPV'!WWC$8,0)</f>
        <v>-0.0</v>
      </c>
      <c r="WWC53" s="5">
        <f>-IFERROR('4. NPV'!WWD23/'4. NPV'!WWD$8,0)</f>
        <v>-0.0</v>
      </c>
      <c r="WWD53" s="5">
        <f>-IFERROR('4. NPV'!WWE23/'4. NPV'!WWE$8,0)</f>
        <v>-0.0</v>
      </c>
      <c r="WWE53" s="5">
        <f>-IFERROR('4. NPV'!WWF23/'4. NPV'!WWF$8,0)</f>
        <v>-0.0</v>
      </c>
      <c r="WWF53" s="5">
        <f>-IFERROR('4. NPV'!WWG23/'4. NPV'!WWG$8,0)</f>
        <v>-0.0</v>
      </c>
      <c r="WWG53" s="5">
        <f>-IFERROR('4. NPV'!WWH23/'4. NPV'!WWH$8,0)</f>
        <v>-0.0</v>
      </c>
      <c r="WWH53" s="5">
        <f>-IFERROR('4. NPV'!WWI23/'4. NPV'!WWI$8,0)</f>
        <v>-0.0</v>
      </c>
      <c r="WWI53" s="5">
        <f>-IFERROR('4. NPV'!WWJ23/'4. NPV'!WWJ$8,0)</f>
        <v>-0.0</v>
      </c>
      <c r="WWJ53" s="5">
        <f>-IFERROR('4. NPV'!WWK23/'4. NPV'!WWK$8,0)</f>
        <v>-0.0</v>
      </c>
      <c r="WWK53" s="5">
        <f>-IFERROR('4. NPV'!WWL23/'4. NPV'!WWL$8,0)</f>
        <v>-0.0</v>
      </c>
      <c r="WWL53" s="5">
        <f>-IFERROR('4. NPV'!WWM23/'4. NPV'!WWM$8,0)</f>
        <v>-0.0</v>
      </c>
      <c r="WWM53" s="5">
        <f>-IFERROR('4. NPV'!WWN23/'4. NPV'!WWN$8,0)</f>
        <v>-0.0</v>
      </c>
      <c r="WWN53" s="5">
        <f>-IFERROR('4. NPV'!WWO23/'4. NPV'!WWO$8,0)</f>
        <v>-0.0</v>
      </c>
      <c r="WWO53" s="5">
        <f>-IFERROR('4. NPV'!WWP23/'4. NPV'!WWP$8,0)</f>
        <v>-0.0</v>
      </c>
      <c r="WWP53" s="5">
        <f>-IFERROR('4. NPV'!WWQ23/'4. NPV'!WWQ$8,0)</f>
        <v>-0.0</v>
      </c>
      <c r="WWQ53" s="5">
        <f>-IFERROR('4. NPV'!WWR23/'4. NPV'!WWR$8,0)</f>
        <v>-0.0</v>
      </c>
      <c r="WWR53" s="5">
        <f>-IFERROR('4. NPV'!WWS23/'4. NPV'!WWS$8,0)</f>
        <v>-0.0</v>
      </c>
      <c r="WWS53" s="5">
        <f>-IFERROR('4. NPV'!WWT23/'4. NPV'!WWT$8,0)</f>
        <v>-0.0</v>
      </c>
      <c r="WWT53" s="5">
        <f>-IFERROR('4. NPV'!WWU23/'4. NPV'!WWU$8,0)</f>
        <v>-0.0</v>
      </c>
      <c r="WWU53" s="5">
        <f>-IFERROR('4. NPV'!WWV23/'4. NPV'!WWV$8,0)</f>
        <v>-0.0</v>
      </c>
      <c r="WWV53" s="5">
        <f>-IFERROR('4. NPV'!WWW23/'4. NPV'!WWW$8,0)</f>
        <v>-0.0</v>
      </c>
      <c r="WWW53" s="5">
        <f>-IFERROR('4. NPV'!WWX23/'4. NPV'!WWX$8,0)</f>
        <v>-0.0</v>
      </c>
      <c r="WWX53" s="5">
        <f>-IFERROR('4. NPV'!WWY23/'4. NPV'!WWY$8,0)</f>
        <v>-0.0</v>
      </c>
      <c r="WWY53" s="5">
        <f>-IFERROR('4. NPV'!WWZ23/'4. NPV'!WWZ$8,0)</f>
        <v>-0.0</v>
      </c>
      <c r="WWZ53" s="5">
        <f>-IFERROR('4. NPV'!WXA23/'4. NPV'!WXA$8,0)</f>
        <v>-0.0</v>
      </c>
      <c r="WXA53" s="5">
        <f>-IFERROR('4. NPV'!WXB23/'4. NPV'!WXB$8,0)</f>
        <v>-0.0</v>
      </c>
      <c r="WXB53" s="5">
        <f>-IFERROR('4. NPV'!WXC23/'4. NPV'!WXC$8,0)</f>
        <v>-0.0</v>
      </c>
      <c r="WXC53" s="5">
        <f>-IFERROR('4. NPV'!WXD23/'4. NPV'!WXD$8,0)</f>
        <v>-0.0</v>
      </c>
      <c r="WXD53" s="5">
        <f>-IFERROR('4. NPV'!WXE23/'4. NPV'!WXE$8,0)</f>
        <v>-0.0</v>
      </c>
      <c r="WXE53" s="5">
        <f>-IFERROR('4. NPV'!WXF23/'4. NPV'!WXF$8,0)</f>
        <v>-0.0</v>
      </c>
      <c r="WXF53" s="5">
        <f>-IFERROR('4. NPV'!WXG23/'4. NPV'!WXG$8,0)</f>
        <v>-0.0</v>
      </c>
      <c r="WXG53" s="5">
        <f>-IFERROR('4. NPV'!WXH23/'4. NPV'!WXH$8,0)</f>
        <v>-0.0</v>
      </c>
      <c r="WXH53" s="5">
        <f>-IFERROR('4. NPV'!WXI23/'4. NPV'!WXI$8,0)</f>
        <v>-0.0</v>
      </c>
      <c r="WXI53" s="5">
        <f>-IFERROR('4. NPV'!WXJ23/'4. NPV'!WXJ$8,0)</f>
        <v>-0.0</v>
      </c>
      <c r="WXJ53" s="5">
        <f>-IFERROR('4. NPV'!WXK23/'4. NPV'!WXK$8,0)</f>
        <v>-0.0</v>
      </c>
      <c r="WXK53" s="5">
        <f>-IFERROR('4. NPV'!WXL23/'4. NPV'!WXL$8,0)</f>
        <v>-0.0</v>
      </c>
      <c r="WXL53" s="5">
        <f>-IFERROR('4. NPV'!WXM23/'4. NPV'!WXM$8,0)</f>
        <v>-0.0</v>
      </c>
      <c r="WXM53" s="5">
        <f>-IFERROR('4. NPV'!WXN23/'4. NPV'!WXN$8,0)</f>
        <v>-0.0</v>
      </c>
      <c r="WXN53" s="5">
        <f>-IFERROR('4. NPV'!WXO23/'4. NPV'!WXO$8,0)</f>
        <v>-0.0</v>
      </c>
      <c r="WXO53" s="5">
        <f>-IFERROR('4. NPV'!WXP23/'4. NPV'!WXP$8,0)</f>
        <v>-0.0</v>
      </c>
      <c r="WXP53" s="5">
        <f>-IFERROR('4. NPV'!WXQ23/'4. NPV'!WXQ$8,0)</f>
        <v>-0.0</v>
      </c>
      <c r="WXQ53" s="5">
        <f>-IFERROR('4. NPV'!WXR23/'4. NPV'!WXR$8,0)</f>
        <v>-0.0</v>
      </c>
      <c r="WXR53" s="5">
        <f>-IFERROR('4. NPV'!WXS23/'4. NPV'!WXS$8,0)</f>
        <v>-0.0</v>
      </c>
      <c r="WXS53" s="5">
        <f>-IFERROR('4. NPV'!WXT23/'4. NPV'!WXT$8,0)</f>
        <v>-0.0</v>
      </c>
      <c r="WXT53" s="5">
        <f>-IFERROR('4. NPV'!WXU23/'4. NPV'!WXU$8,0)</f>
        <v>-0.0</v>
      </c>
      <c r="WXU53" s="5">
        <f>-IFERROR('4. NPV'!WXV23/'4. NPV'!WXV$8,0)</f>
        <v>-0.0</v>
      </c>
      <c r="WXV53" s="5">
        <f>-IFERROR('4. NPV'!WXW23/'4. NPV'!WXW$8,0)</f>
        <v>-0.0</v>
      </c>
      <c r="WXW53" s="5">
        <f>-IFERROR('4. NPV'!WXX23/'4. NPV'!WXX$8,0)</f>
        <v>-0.0</v>
      </c>
      <c r="WXX53" s="5">
        <f>-IFERROR('4. NPV'!WXY23/'4. NPV'!WXY$8,0)</f>
        <v>-0.0</v>
      </c>
      <c r="WXY53" s="5">
        <f>-IFERROR('4. NPV'!WXZ23/'4. NPV'!WXZ$8,0)</f>
        <v>-0.0</v>
      </c>
      <c r="WXZ53" s="5">
        <f>-IFERROR('4. NPV'!WYA23/'4. NPV'!WYA$8,0)</f>
        <v>-0.0</v>
      </c>
      <c r="WYA53" s="5">
        <f>-IFERROR('4. NPV'!WYB23/'4. NPV'!WYB$8,0)</f>
        <v>-0.0</v>
      </c>
      <c r="WYB53" s="5">
        <f>-IFERROR('4. NPV'!WYC23/'4. NPV'!WYC$8,0)</f>
        <v>-0.0</v>
      </c>
      <c r="WYC53" s="5">
        <f>-IFERROR('4. NPV'!WYD23/'4. NPV'!WYD$8,0)</f>
        <v>-0.0</v>
      </c>
      <c r="WYD53" s="5">
        <f>-IFERROR('4. NPV'!WYE23/'4. NPV'!WYE$8,0)</f>
        <v>-0.0</v>
      </c>
      <c r="WYE53" s="5">
        <f>-IFERROR('4. NPV'!WYF23/'4. NPV'!WYF$8,0)</f>
        <v>-0.0</v>
      </c>
      <c r="WYF53" s="5">
        <f>-IFERROR('4. NPV'!WYG23/'4. NPV'!WYG$8,0)</f>
        <v>-0.0</v>
      </c>
      <c r="WYG53" s="5">
        <f>-IFERROR('4. NPV'!WYH23/'4. NPV'!WYH$8,0)</f>
        <v>-0.0</v>
      </c>
      <c r="WYH53" s="5">
        <f>-IFERROR('4. NPV'!WYI23/'4. NPV'!WYI$8,0)</f>
        <v>-0.0</v>
      </c>
      <c r="WYI53" s="5">
        <f>-IFERROR('4. NPV'!WYJ23/'4. NPV'!WYJ$8,0)</f>
        <v>-0.0</v>
      </c>
      <c r="WYJ53" s="5">
        <f>-IFERROR('4. NPV'!WYK23/'4. NPV'!WYK$8,0)</f>
        <v>-0.0</v>
      </c>
      <c r="WYK53" s="5">
        <f>-IFERROR('4. NPV'!WYL23/'4. NPV'!WYL$8,0)</f>
        <v>-0.0</v>
      </c>
      <c r="WYL53" s="5">
        <f>-IFERROR('4. NPV'!WYM23/'4. NPV'!WYM$8,0)</f>
        <v>-0.0</v>
      </c>
      <c r="WYM53" s="5">
        <f>-IFERROR('4. NPV'!WYN23/'4. NPV'!WYN$8,0)</f>
        <v>-0.0</v>
      </c>
      <c r="WYN53" s="5">
        <f>-IFERROR('4. NPV'!WYO23/'4. NPV'!WYO$8,0)</f>
        <v>-0.0</v>
      </c>
      <c r="WYO53" s="5">
        <f>-IFERROR('4. NPV'!WYP23/'4. NPV'!WYP$8,0)</f>
        <v>-0.0</v>
      </c>
      <c r="WYP53" s="5">
        <f>-IFERROR('4. NPV'!WYQ23/'4. NPV'!WYQ$8,0)</f>
        <v>-0.0</v>
      </c>
      <c r="WYQ53" s="5">
        <f>-IFERROR('4. NPV'!WYR23/'4. NPV'!WYR$8,0)</f>
        <v>-0.0</v>
      </c>
      <c r="WYR53" s="5">
        <f>-IFERROR('4. NPV'!WYS23/'4. NPV'!WYS$8,0)</f>
        <v>-0.0</v>
      </c>
      <c r="WYS53" s="5">
        <f>-IFERROR('4. NPV'!WYT23/'4. NPV'!WYT$8,0)</f>
        <v>-0.0</v>
      </c>
      <c r="WYT53" s="5">
        <f>-IFERROR('4. NPV'!WYU23/'4. NPV'!WYU$8,0)</f>
        <v>-0.0</v>
      </c>
      <c r="WYU53" s="5">
        <f>-IFERROR('4. NPV'!WYV23/'4. NPV'!WYV$8,0)</f>
        <v>-0.0</v>
      </c>
      <c r="WYV53" s="5">
        <f>-IFERROR('4. NPV'!WYW23/'4. NPV'!WYW$8,0)</f>
        <v>-0.0</v>
      </c>
      <c r="WYW53" s="5">
        <f>-IFERROR('4. NPV'!WYX23/'4. NPV'!WYX$8,0)</f>
        <v>-0.0</v>
      </c>
      <c r="WYX53" s="5">
        <f>-IFERROR('4. NPV'!WYY23/'4. NPV'!WYY$8,0)</f>
        <v>-0.0</v>
      </c>
      <c r="WYY53" s="5">
        <f>-IFERROR('4. NPV'!WYZ23/'4. NPV'!WYZ$8,0)</f>
        <v>-0.0</v>
      </c>
      <c r="WYZ53" s="5">
        <f>-IFERROR('4. NPV'!WZA23/'4. NPV'!WZA$8,0)</f>
        <v>-0.0</v>
      </c>
      <c r="WZA53" s="5">
        <f>-IFERROR('4. NPV'!WZB23/'4. NPV'!WZB$8,0)</f>
        <v>-0.0</v>
      </c>
      <c r="WZB53" s="5">
        <f>-IFERROR('4. NPV'!WZC23/'4. NPV'!WZC$8,0)</f>
        <v>-0.0</v>
      </c>
      <c r="WZC53" s="5">
        <f>-IFERROR('4. NPV'!WZD23/'4. NPV'!WZD$8,0)</f>
        <v>-0.0</v>
      </c>
      <c r="WZD53" s="5">
        <f>-IFERROR('4. NPV'!WZE23/'4. NPV'!WZE$8,0)</f>
        <v>-0.0</v>
      </c>
      <c r="WZE53" s="5">
        <f>-IFERROR('4. NPV'!WZF23/'4. NPV'!WZF$8,0)</f>
        <v>-0.0</v>
      </c>
      <c r="WZF53" s="5">
        <f>-IFERROR('4. NPV'!WZG23/'4. NPV'!WZG$8,0)</f>
        <v>-0.0</v>
      </c>
      <c r="WZG53" s="5">
        <f>-IFERROR('4. NPV'!WZH23/'4. NPV'!WZH$8,0)</f>
        <v>-0.0</v>
      </c>
      <c r="WZH53" s="5">
        <f>-IFERROR('4. NPV'!WZI23/'4. NPV'!WZI$8,0)</f>
        <v>-0.0</v>
      </c>
      <c r="WZI53" s="5">
        <f>-IFERROR('4. NPV'!WZJ23/'4. NPV'!WZJ$8,0)</f>
        <v>-0.0</v>
      </c>
      <c r="WZJ53" s="5">
        <f>-IFERROR('4. NPV'!WZK23/'4. NPV'!WZK$8,0)</f>
        <v>-0.0</v>
      </c>
      <c r="WZK53" s="5">
        <f>-IFERROR('4. NPV'!WZL23/'4. NPV'!WZL$8,0)</f>
        <v>-0.0</v>
      </c>
      <c r="WZL53" s="5">
        <f>-IFERROR('4. NPV'!WZM23/'4. NPV'!WZM$8,0)</f>
        <v>-0.0</v>
      </c>
      <c r="WZM53" s="5">
        <f>-IFERROR('4. NPV'!WZN23/'4. NPV'!WZN$8,0)</f>
        <v>-0.0</v>
      </c>
      <c r="WZN53" s="5">
        <f>-IFERROR('4. NPV'!WZO23/'4. NPV'!WZO$8,0)</f>
        <v>-0.0</v>
      </c>
      <c r="WZO53" s="5">
        <f>-IFERROR('4. NPV'!WZP23/'4. NPV'!WZP$8,0)</f>
        <v>-0.0</v>
      </c>
      <c r="WZP53" s="5">
        <f>-IFERROR('4. NPV'!WZQ23/'4. NPV'!WZQ$8,0)</f>
        <v>-0.0</v>
      </c>
      <c r="WZQ53" s="5">
        <f>-IFERROR('4. NPV'!WZR23/'4. NPV'!WZR$8,0)</f>
        <v>-0.0</v>
      </c>
      <c r="WZR53" s="5">
        <f>-IFERROR('4. NPV'!WZS23/'4. NPV'!WZS$8,0)</f>
        <v>-0.0</v>
      </c>
      <c r="WZS53" s="5">
        <f>-IFERROR('4. NPV'!WZT23/'4. NPV'!WZT$8,0)</f>
        <v>-0.0</v>
      </c>
      <c r="WZT53" s="5">
        <f>-IFERROR('4. NPV'!WZU23/'4. NPV'!WZU$8,0)</f>
        <v>-0.0</v>
      </c>
      <c r="WZU53" s="5">
        <f>-IFERROR('4. NPV'!WZV23/'4. NPV'!WZV$8,0)</f>
        <v>-0.0</v>
      </c>
      <c r="WZV53" s="5">
        <f>-IFERROR('4. NPV'!WZW23/'4. NPV'!WZW$8,0)</f>
        <v>-0.0</v>
      </c>
      <c r="WZW53" s="5">
        <f>-IFERROR('4. NPV'!WZX23/'4. NPV'!WZX$8,0)</f>
        <v>-0.0</v>
      </c>
      <c r="WZX53" s="5">
        <f>-IFERROR('4. NPV'!WZY23/'4. NPV'!WZY$8,0)</f>
        <v>-0.0</v>
      </c>
      <c r="WZY53" s="5">
        <f>-IFERROR('4. NPV'!WZZ23/'4. NPV'!WZZ$8,0)</f>
        <v>-0.0</v>
      </c>
      <c r="WZZ53" s="5">
        <f>-IFERROR('4. NPV'!XAA23/'4. NPV'!XAA$8,0)</f>
        <v>-0.0</v>
      </c>
      <c r="XAA53" s="5">
        <f>-IFERROR('4. NPV'!XAB23/'4. NPV'!XAB$8,0)</f>
        <v>-0.0</v>
      </c>
      <c r="XAB53" s="5">
        <f>-IFERROR('4. NPV'!XAC23/'4. NPV'!XAC$8,0)</f>
        <v>-0.0</v>
      </c>
      <c r="XAC53" s="5">
        <f>-IFERROR('4. NPV'!XAD23/'4. NPV'!XAD$8,0)</f>
        <v>-0.0</v>
      </c>
      <c r="XAD53" s="5">
        <f>-IFERROR('4. NPV'!XAE23/'4. NPV'!XAE$8,0)</f>
        <v>-0.0</v>
      </c>
      <c r="XAE53" s="5">
        <f>-IFERROR('4. NPV'!XAF23/'4. NPV'!XAF$8,0)</f>
        <v>-0.0</v>
      </c>
      <c r="XAF53" s="5">
        <f>-IFERROR('4. NPV'!XAG23/'4. NPV'!XAG$8,0)</f>
        <v>-0.0</v>
      </c>
      <c r="XAG53" s="5">
        <f>-IFERROR('4. NPV'!XAH23/'4. NPV'!XAH$8,0)</f>
        <v>-0.0</v>
      </c>
      <c r="XAH53" s="5">
        <f>-IFERROR('4. NPV'!XAI23/'4. NPV'!XAI$8,0)</f>
        <v>-0.0</v>
      </c>
      <c r="XAI53" s="5">
        <f>-IFERROR('4. NPV'!XAJ23/'4. NPV'!XAJ$8,0)</f>
        <v>-0.0</v>
      </c>
      <c r="XAJ53" s="5">
        <f>-IFERROR('4. NPV'!XAK23/'4. NPV'!XAK$8,0)</f>
        <v>-0.0</v>
      </c>
      <c r="XAK53" s="5">
        <f>-IFERROR('4. NPV'!XAL23/'4. NPV'!XAL$8,0)</f>
        <v>-0.0</v>
      </c>
      <c r="XAL53" s="5">
        <f>-IFERROR('4. NPV'!XAM23/'4. NPV'!XAM$8,0)</f>
        <v>-0.0</v>
      </c>
      <c r="XAM53" s="5">
        <f>-IFERROR('4. NPV'!XAN23/'4. NPV'!XAN$8,0)</f>
        <v>-0.0</v>
      </c>
      <c r="XAN53" s="5">
        <f>-IFERROR('4. NPV'!XAO23/'4. NPV'!XAO$8,0)</f>
        <v>-0.0</v>
      </c>
      <c r="XAO53" s="5">
        <f>-IFERROR('4. NPV'!XAP23/'4. NPV'!XAP$8,0)</f>
        <v>-0.0</v>
      </c>
      <c r="XAP53" s="5">
        <f>-IFERROR('4. NPV'!XAQ23/'4. NPV'!XAQ$8,0)</f>
        <v>-0.0</v>
      </c>
      <c r="XAQ53" s="5">
        <f>-IFERROR('4. NPV'!XAR23/'4. NPV'!XAR$8,0)</f>
        <v>-0.0</v>
      </c>
      <c r="XAR53" s="5">
        <f>-IFERROR('4. NPV'!XAS23/'4. NPV'!XAS$8,0)</f>
        <v>-0.0</v>
      </c>
      <c r="XAS53" s="5">
        <f>-IFERROR('4. NPV'!XAT23/'4. NPV'!XAT$8,0)</f>
        <v>-0.0</v>
      </c>
      <c r="XAT53" s="5">
        <f>-IFERROR('4. NPV'!XAU23/'4. NPV'!XAU$8,0)</f>
        <v>-0.0</v>
      </c>
      <c r="XAU53" s="5">
        <f>-IFERROR('4. NPV'!XAV23/'4. NPV'!XAV$8,0)</f>
        <v>-0.0</v>
      </c>
      <c r="XAV53" s="5">
        <f>-IFERROR('4. NPV'!XAW23/'4. NPV'!XAW$8,0)</f>
        <v>-0.0</v>
      </c>
      <c r="XAW53" s="5">
        <f>-IFERROR('4. NPV'!XAX23/'4. NPV'!XAX$8,0)</f>
        <v>-0.0</v>
      </c>
      <c r="XAX53" s="5">
        <f>-IFERROR('4. NPV'!XAY23/'4. NPV'!XAY$8,0)</f>
        <v>-0.0</v>
      </c>
      <c r="XAY53" s="5">
        <f>-IFERROR('4. NPV'!XAZ23/'4. NPV'!XAZ$8,0)</f>
        <v>-0.0</v>
      </c>
      <c r="XAZ53" s="5">
        <f>-IFERROR('4. NPV'!XBA23/'4. NPV'!XBA$8,0)</f>
        <v>-0.0</v>
      </c>
      <c r="XBA53" s="5">
        <f>-IFERROR('4. NPV'!XBB23/'4. NPV'!XBB$8,0)</f>
        <v>-0.0</v>
      </c>
      <c r="XBB53" s="5">
        <f>-IFERROR('4. NPV'!XBC23/'4. NPV'!XBC$8,0)</f>
        <v>-0.0</v>
      </c>
      <c r="XBC53" s="5">
        <f>-IFERROR('4. NPV'!XBD23/'4. NPV'!XBD$8,0)</f>
        <v>-0.0</v>
      </c>
      <c r="XBD53" s="5">
        <f>-IFERROR('4. NPV'!XBE23/'4. NPV'!XBE$8,0)</f>
        <v>-0.0</v>
      </c>
      <c r="XBE53" s="5">
        <f>-IFERROR('4. NPV'!XBF23/'4. NPV'!XBF$8,0)</f>
        <v>-0.0</v>
      </c>
      <c r="XBF53" s="5">
        <f>-IFERROR('4. NPV'!XBG23/'4. NPV'!XBG$8,0)</f>
        <v>-0.0</v>
      </c>
      <c r="XBG53" s="5">
        <f>-IFERROR('4. NPV'!XBH23/'4. NPV'!XBH$8,0)</f>
        <v>-0.0</v>
      </c>
      <c r="XBH53" s="5">
        <f>-IFERROR('4. NPV'!XBI23/'4. NPV'!XBI$8,0)</f>
        <v>-0.0</v>
      </c>
      <c r="XBI53" s="5">
        <f>-IFERROR('4. NPV'!XBJ23/'4. NPV'!XBJ$8,0)</f>
        <v>-0.0</v>
      </c>
      <c r="XBJ53" s="5">
        <f>-IFERROR('4. NPV'!XBK23/'4. NPV'!XBK$8,0)</f>
        <v>-0.0</v>
      </c>
      <c r="XBK53" s="5">
        <f>-IFERROR('4. NPV'!XBL23/'4. NPV'!XBL$8,0)</f>
        <v>-0.0</v>
      </c>
      <c r="XBL53" s="5">
        <f>-IFERROR('4. NPV'!XBM23/'4. NPV'!XBM$8,0)</f>
        <v>-0.0</v>
      </c>
      <c r="XBM53" s="5">
        <f>-IFERROR('4. NPV'!XBN23/'4. NPV'!XBN$8,0)</f>
        <v>-0.0</v>
      </c>
      <c r="XBN53" s="5">
        <f>-IFERROR('4. NPV'!XBO23/'4. NPV'!XBO$8,0)</f>
        <v>-0.0</v>
      </c>
      <c r="XBO53" s="5">
        <f>-IFERROR('4. NPV'!XBP23/'4. NPV'!XBP$8,0)</f>
        <v>-0.0</v>
      </c>
      <c r="XBP53" s="5">
        <f>-IFERROR('4. NPV'!XBQ23/'4. NPV'!XBQ$8,0)</f>
        <v>-0.0</v>
      </c>
      <c r="XBQ53" s="5">
        <f>-IFERROR('4. NPV'!XBR23/'4. NPV'!XBR$8,0)</f>
        <v>-0.0</v>
      </c>
      <c r="XBR53" s="5">
        <f>-IFERROR('4. NPV'!XBS23/'4. NPV'!XBS$8,0)</f>
        <v>-0.0</v>
      </c>
      <c r="XBS53" s="5">
        <f>-IFERROR('4. NPV'!XBT23/'4. NPV'!XBT$8,0)</f>
        <v>-0.0</v>
      </c>
      <c r="XBT53" s="5">
        <f>-IFERROR('4. NPV'!XBU23/'4. NPV'!XBU$8,0)</f>
        <v>-0.0</v>
      </c>
      <c r="XBU53" s="5">
        <f>-IFERROR('4. NPV'!XBV23/'4. NPV'!XBV$8,0)</f>
        <v>-0.0</v>
      </c>
      <c r="XBV53" s="5">
        <f>-IFERROR('4. NPV'!XBW23/'4. NPV'!XBW$8,0)</f>
        <v>-0.0</v>
      </c>
      <c r="XBW53" s="5">
        <f>-IFERROR('4. NPV'!XBX23/'4. NPV'!XBX$8,0)</f>
        <v>-0.0</v>
      </c>
      <c r="XBX53" s="5">
        <f>-IFERROR('4. NPV'!XBY23/'4. NPV'!XBY$8,0)</f>
        <v>-0.0</v>
      </c>
      <c r="XBY53" s="5">
        <f>-IFERROR('4. NPV'!XBZ23/'4. NPV'!XBZ$8,0)</f>
        <v>-0.0</v>
      </c>
      <c r="XBZ53" s="5">
        <f>-IFERROR('4. NPV'!XCA23/'4. NPV'!XCA$8,0)</f>
        <v>-0.0</v>
      </c>
      <c r="XCA53" s="5">
        <f>-IFERROR('4. NPV'!XCB23/'4. NPV'!XCB$8,0)</f>
        <v>-0.0</v>
      </c>
      <c r="XCB53" s="5">
        <f>-IFERROR('4. NPV'!XCC23/'4. NPV'!XCC$8,0)</f>
        <v>-0.0</v>
      </c>
      <c r="XCC53" s="5">
        <f>-IFERROR('4. NPV'!XCD23/'4. NPV'!XCD$8,0)</f>
        <v>-0.0</v>
      </c>
      <c r="XCD53" s="5">
        <f>-IFERROR('4. NPV'!XCE23/'4. NPV'!XCE$8,0)</f>
        <v>-0.0</v>
      </c>
      <c r="XCE53" s="5">
        <f>-IFERROR('4. NPV'!XCF23/'4. NPV'!XCF$8,0)</f>
        <v>-0.0</v>
      </c>
      <c r="XCF53" s="5">
        <f>-IFERROR('4. NPV'!XCG23/'4. NPV'!XCG$8,0)</f>
        <v>-0.0</v>
      </c>
      <c r="XCG53" s="5">
        <f>-IFERROR('4. NPV'!XCH23/'4. NPV'!XCH$8,0)</f>
        <v>-0.0</v>
      </c>
      <c r="XCH53" s="5">
        <f>-IFERROR('4. NPV'!XCI23/'4. NPV'!XCI$8,0)</f>
        <v>-0.0</v>
      </c>
      <c r="XCI53" s="5">
        <f>-IFERROR('4. NPV'!XCJ23/'4. NPV'!XCJ$8,0)</f>
        <v>-0.0</v>
      </c>
      <c r="XCJ53" s="5">
        <f>-IFERROR('4. NPV'!XCK23/'4. NPV'!XCK$8,0)</f>
        <v>-0.0</v>
      </c>
      <c r="XCK53" s="5">
        <f>-IFERROR('4. NPV'!XCL23/'4. NPV'!XCL$8,0)</f>
        <v>-0.0</v>
      </c>
      <c r="XCL53" s="5">
        <f>-IFERROR('4. NPV'!XCM23/'4. NPV'!XCM$8,0)</f>
        <v>-0.0</v>
      </c>
      <c r="XCM53" s="5">
        <f>-IFERROR('4. NPV'!XCN23/'4. NPV'!XCN$8,0)</f>
        <v>-0.0</v>
      </c>
      <c r="XCN53" s="5">
        <f>-IFERROR('4. NPV'!XCO23/'4. NPV'!XCO$8,0)</f>
        <v>-0.0</v>
      </c>
      <c r="XCO53" s="5">
        <f>-IFERROR('4. NPV'!XCP23/'4. NPV'!XCP$8,0)</f>
        <v>-0.0</v>
      </c>
      <c r="XCP53" s="5">
        <f>-IFERROR('4. NPV'!XCQ23/'4. NPV'!XCQ$8,0)</f>
        <v>-0.0</v>
      </c>
      <c r="XCQ53" s="5">
        <f>-IFERROR('4. NPV'!XCR23/'4. NPV'!XCR$8,0)</f>
        <v>-0.0</v>
      </c>
      <c r="XCR53" s="5">
        <f>-IFERROR('4. NPV'!XCS23/'4. NPV'!XCS$8,0)</f>
        <v>-0.0</v>
      </c>
      <c r="XCS53" s="5">
        <f>-IFERROR('4. NPV'!XCT23/'4. NPV'!XCT$8,0)</f>
        <v>-0.0</v>
      </c>
      <c r="XCT53" s="5">
        <f>-IFERROR('4. NPV'!XCU23/'4. NPV'!XCU$8,0)</f>
        <v>-0.0</v>
      </c>
      <c r="XCU53" s="5">
        <f>-IFERROR('4. NPV'!XCV23/'4. NPV'!XCV$8,0)</f>
        <v>-0.0</v>
      </c>
      <c r="XCV53" s="5">
        <f>-IFERROR('4. NPV'!XCW23/'4. NPV'!XCW$8,0)</f>
        <v>-0.0</v>
      </c>
      <c r="XCW53" s="5">
        <f>-IFERROR('4. NPV'!XCX23/'4. NPV'!XCX$8,0)</f>
        <v>-0.0</v>
      </c>
      <c r="XCX53" s="5">
        <f>-IFERROR('4. NPV'!XCY23/'4. NPV'!XCY$8,0)</f>
        <v>-0.0</v>
      </c>
      <c r="XCY53" s="5">
        <f>-IFERROR('4. NPV'!XCZ23/'4. NPV'!XCZ$8,0)</f>
        <v>-0.0</v>
      </c>
      <c r="XCZ53" s="5">
        <f>-IFERROR('4. NPV'!XDA23/'4. NPV'!XDA$8,0)</f>
        <v>-0.0</v>
      </c>
      <c r="XDA53" s="5">
        <f>-IFERROR('4. NPV'!XDB23/'4. NPV'!XDB$8,0)</f>
        <v>-0.0</v>
      </c>
      <c r="XDB53" s="5">
        <f>-IFERROR('4. NPV'!XDC23/'4. NPV'!XDC$8,0)</f>
        <v>-0.0</v>
      </c>
      <c r="XDC53" s="5">
        <f>-IFERROR('4. NPV'!XDD23/'4. NPV'!XDD$8,0)</f>
        <v>-0.0</v>
      </c>
      <c r="XDD53" s="5">
        <f>-IFERROR('4. NPV'!XDE23/'4. NPV'!XDE$8,0)</f>
        <v>-0.0</v>
      </c>
      <c r="XDE53" s="5">
        <f>-IFERROR('4. NPV'!XDF23/'4. NPV'!XDF$8,0)</f>
        <v>-0.0</v>
      </c>
      <c r="XDF53" s="5">
        <f>-IFERROR('4. NPV'!XDG23/'4. NPV'!XDG$8,0)</f>
        <v>-0.0</v>
      </c>
      <c r="XDG53" s="5">
        <f>-IFERROR('4. NPV'!XDH23/'4. NPV'!XDH$8,0)</f>
        <v>-0.0</v>
      </c>
      <c r="XDH53" s="5">
        <f>-IFERROR('4. NPV'!XDI23/'4. NPV'!XDI$8,0)</f>
        <v>-0.0</v>
      </c>
      <c r="XDI53" s="5">
        <f>-IFERROR('4. NPV'!XDJ23/'4. NPV'!XDJ$8,0)</f>
        <v>-0.0</v>
      </c>
      <c r="XDJ53" s="5">
        <f>-IFERROR('4. NPV'!XDK23/'4. NPV'!XDK$8,0)</f>
        <v>-0.0</v>
      </c>
      <c r="XDK53" s="5">
        <f>-IFERROR('4. NPV'!XDL23/'4. NPV'!XDL$8,0)</f>
        <v>-0.0</v>
      </c>
      <c r="XDL53" s="5">
        <f>-IFERROR('4. NPV'!XDM23/'4. NPV'!XDM$8,0)</f>
        <v>-0.0</v>
      </c>
      <c r="XDM53" s="5">
        <f>-IFERROR('4. NPV'!XDN23/'4. NPV'!XDN$8,0)</f>
        <v>-0.0</v>
      </c>
      <c r="XDN53" s="5">
        <f>-IFERROR('4. NPV'!XDO23/'4. NPV'!XDO$8,0)</f>
        <v>-0.0</v>
      </c>
      <c r="XDO53" s="5">
        <f>-IFERROR('4. NPV'!XDP23/'4. NPV'!XDP$8,0)</f>
        <v>-0.0</v>
      </c>
      <c r="XDP53" s="5">
        <f>-IFERROR('4. NPV'!XDQ23/'4. NPV'!XDQ$8,0)</f>
        <v>-0.0</v>
      </c>
      <c r="XDQ53" s="5">
        <f>-IFERROR('4. NPV'!XDR23/'4. NPV'!XDR$8,0)</f>
        <v>-0.0</v>
      </c>
      <c r="XDR53" s="5">
        <f>-IFERROR('4. NPV'!XDS23/'4. NPV'!XDS$8,0)</f>
        <v>-0.0</v>
      </c>
      <c r="XDS53" s="5">
        <f>-IFERROR('4. NPV'!XDT23/'4. NPV'!XDT$8,0)</f>
        <v>-0.0</v>
      </c>
      <c r="XDT53" s="5">
        <f>-IFERROR('4. NPV'!XDU23/'4. NPV'!XDU$8,0)</f>
        <v>-0.0</v>
      </c>
      <c r="XDU53" s="5">
        <f>-IFERROR('4. NPV'!XDV23/'4. NPV'!XDV$8,0)</f>
        <v>-0.0</v>
      </c>
      <c r="XDV53" s="5">
        <f>-IFERROR('4. NPV'!XDW23/'4. NPV'!XDW$8,0)</f>
        <v>-0.0</v>
      </c>
      <c r="XDW53" s="5">
        <f>-IFERROR('4. NPV'!XDX23/'4. NPV'!XDX$8,0)</f>
        <v>-0.0</v>
      </c>
      <c r="XDX53" s="5">
        <f>-IFERROR('4. NPV'!XDY23/'4. NPV'!XDY$8,0)</f>
        <v>-0.0</v>
      </c>
      <c r="XDY53" s="5">
        <f>-IFERROR('4. NPV'!XDZ23/'4. NPV'!XDZ$8,0)</f>
        <v>-0.0</v>
      </c>
      <c r="XDZ53" s="5">
        <f>-IFERROR('4. NPV'!XEA23/'4. NPV'!XEA$8,0)</f>
        <v>-0.0</v>
      </c>
      <c r="XEA53" s="5">
        <f>-IFERROR('4. NPV'!XEB23/'4. NPV'!XEB$8,0)</f>
        <v>-0.0</v>
      </c>
      <c r="XEB53" s="5">
        <f>-IFERROR('4. NPV'!XEC23/'4. NPV'!XEC$8,0)</f>
        <v>-0.0</v>
      </c>
      <c r="XEC53" s="5">
        <f>-IFERROR('4. NPV'!XED23/'4. NPV'!XED$8,0)</f>
        <v>-0.0</v>
      </c>
      <c r="XED53" s="5">
        <f>-IFERROR('4. NPV'!XEE23/'4. NPV'!XEE$8,0)</f>
        <v>-0.0</v>
      </c>
      <c r="XEE53" s="5">
        <f>-IFERROR('4. NPV'!XEF23/'4. NPV'!XEF$8,0)</f>
        <v>-0.0</v>
      </c>
      <c r="XEF53" s="5">
        <f>-IFERROR('4. NPV'!XEG23/'4. NPV'!XEG$8,0)</f>
        <v>-0.0</v>
      </c>
      <c r="XEG53" s="5">
        <f>-IFERROR('4. NPV'!XEH23/'4. NPV'!XEH$8,0)</f>
        <v>-0.0</v>
      </c>
      <c r="XEH53" s="5">
        <f>-IFERROR('4. NPV'!XEI23/'4. NPV'!XEI$8,0)</f>
        <v>-0.0</v>
      </c>
      <c r="XEI53" s="5">
        <f>-IFERROR('4. NPV'!XEJ23/'4. NPV'!XEJ$8,0)</f>
        <v>-0.0</v>
      </c>
      <c r="XEJ53" s="5">
        <f>-IFERROR('4. NPV'!XEK23/'4. NPV'!XEK$8,0)</f>
        <v>-0.0</v>
      </c>
      <c r="XEK53" s="5">
        <f>-IFERROR('4. NPV'!XEL23/'4. NPV'!XEL$8,0)</f>
        <v>-0.0</v>
      </c>
      <c r="XEL53" s="5">
        <f>-IFERROR('4. NPV'!XEM23/'4. NPV'!XEM$8,0)</f>
        <v>-0.0</v>
      </c>
      <c r="XEM53" s="5">
        <f>-IFERROR('4. NPV'!XEN23/'4. NPV'!XEN$8,0)</f>
        <v>-0.0</v>
      </c>
      <c r="XEN53" s="5">
        <f>-IFERROR('4. NPV'!XEO23/'4. NPV'!XEO$8,0)</f>
        <v>-0.0</v>
      </c>
      <c r="XEO53" s="5">
        <f>-IFERROR('4. NPV'!XEP23/'4. NPV'!XEP$8,0)</f>
        <v>-0.0</v>
      </c>
      <c r="XEP53" s="5">
        <f>-IFERROR('4. NPV'!XEQ23/'4. NPV'!XEQ$8,0)</f>
        <v>-0.0</v>
      </c>
      <c r="XEQ53" s="5">
        <f>-IFERROR('4. NPV'!XER23/'4. NPV'!XER$8,0)</f>
        <v>-0.0</v>
      </c>
      <c r="XER53" s="5">
        <f>-IFERROR('4. NPV'!XES23/'4. NPV'!XES$8,0)</f>
        <v>-0.0</v>
      </c>
      <c r="XES53" s="5">
        <f>-IFERROR('4. NPV'!XET23/'4. NPV'!XET$8,0)</f>
        <v>-0.0</v>
      </c>
      <c r="XET53" s="5">
        <f>-IFERROR('4. NPV'!XEU23/'4. NPV'!XEU$8,0)</f>
        <v>-0.0</v>
      </c>
      <c r="XEU53" s="5">
        <f>-IFERROR('4. NPV'!XEV23/'4. NPV'!XEV$8,0)</f>
        <v>-0.0</v>
      </c>
      <c r="XEV53" s="5">
        <f>-IFERROR('4. NPV'!XEW23/'4. NPV'!XEW$8,0)</f>
        <v>-0.0</v>
      </c>
      <c r="XEW53" s="5">
        <f>-IFERROR('4. NPV'!XEX23/'4. NPV'!XEX$8,0)</f>
        <v>-0.0</v>
      </c>
      <c r="XEX53" s="5">
        <f>-IFERROR('4. NPV'!XEY23/'4. NPV'!XEY$8,0)</f>
        <v>-0.0</v>
      </c>
      <c r="XEY53" s="5">
        <f>-IFERROR('4. NPV'!XEZ23/'4. NPV'!XEZ$8,0)</f>
        <v>-0.0</v>
      </c>
      <c r="XEZ53" s="5">
        <f>-IFERROR('4. NPV'!XFA23/'4. NPV'!XFA$8,0)</f>
        <v>-0.0</v>
      </c>
      <c r="XFA53" s="5">
        <f>-IFERROR('4. NPV'!XFB23/'4. NPV'!XFB$8,0)</f>
        <v>-0.0</v>
      </c>
      <c r="XFB53" s="5">
        <f>-IFERROR('4. NPV'!XFC23/'4. NPV'!XFC$8,0)</f>
        <v>-0.0</v>
      </c>
      <c r="XFC53" s="5">
        <f>-IFERROR('4. NPV'!XFD23/'4. NPV'!XFD$8,0)</f>
        <v>-0.0</v>
      </c>
      <c r="XFD53"/>
    </row>
    <row r="54" spans="1:16384" customFormat="1" hidden="1">
      <c r="A54" s="778"/>
      <c r="B54" s="778"/>
      <c r="C54" s="778"/>
      <c r="D54" s="778"/>
      <c r="E54" s="778"/>
      <c r="F54" s="778"/>
      <c r="G54" s="778"/>
      <c r="H54" s="778"/>
      <c r="I54" s="778"/>
      <c r="J54" s="778"/>
      <c r="K54" s="778"/>
      <c r="L54" s="778"/>
      <c r="M54" s="778"/>
      <c r="N54" s="778"/>
      <c r="O54" s="778"/>
      <c r="P54" s="778"/>
      <c r="Q54" s="778"/>
      <c r="R54" s="778"/>
      <c r="S54" s="778"/>
      <c r="T54" s="778"/>
      <c r="U54" s="778"/>
      <c r="V54" s="778"/>
      <c r="W54" s="778"/>
    </row>
    <row r="55" spans="1:16384" s="5" customFormat="1" hidden="1">
      <c r="A55" s="772"/>
      <c r="B55" s="772" t="str">
        <f>'4. NPV'!B24</f>
        <v>Total Övriga förvaltningskostnader</v>
      </c>
      <c r="C55" s="774">
        <f>IFERROR('4. NPV'!D24/'4. NPV'!D$8,0)</f>
        <v>-405.0</v>
      </c>
      <c r="D55" s="774">
        <f>-IFERROR('4. NPV'!E24/'4. NPV'!E$8,0)</f>
        <v>413.1</v>
      </c>
      <c r="E55" s="774">
        <f>-IFERROR('4. NPV'!F24/'4. NPV'!F$8,0)</f>
        <v>421.362</v>
      </c>
      <c r="F55" s="774">
        <f>-IFERROR('4. NPV'!G24/'4. NPV'!G$8,0)</f>
        <v>429.78924000000006</v>
      </c>
      <c r="G55" s="774">
        <f>-IFERROR('4. NPV'!H24/'4. NPV'!H$8,0)</f>
        <v>438.3850248</v>
      </c>
      <c r="H55" s="774">
        <f>-IFERROR('4. NPV'!I24/'4. NPV'!I$8,0)</f>
        <v>447.15272529599997</v>
      </c>
      <c r="I55" s="774">
        <f>-IFERROR('4. NPV'!J24/'4. NPV'!J$8,0)</f>
        <v>456.09577980192006</v>
      </c>
      <c r="J55" s="774">
        <f>-IFERROR('4. NPV'!K24/'4. NPV'!K$8,0)</f>
        <v>465.2176953979584</v>
      </c>
      <c r="K55" s="774">
        <f>-IFERROR('4. NPV'!L24/'4. NPV'!L$8,0)</f>
        <v>474.5220493059176</v>
      </c>
      <c r="L55" s="774">
        <f>-IFERROR('4. NPV'!M24/'4. NPV'!M$8,0)</f>
        <v>484.012490292036</v>
      </c>
      <c r="M55" s="774">
        <f>-IFERROR('4. NPV'!N24/'4. NPV'!N$8,0)</f>
        <v>493.6927400978767</v>
      </c>
      <c r="N55" s="774">
        <f>-IFERROR('4. NPV'!O24/'4. NPV'!O$8,0)</f>
        <v>503.56659489983423</v>
      </c>
      <c r="O55" s="774">
        <f>-IFERROR('4. NPV'!P24/'4. NPV'!P$8,0)</f>
        <v>513.6379267978309</v>
      </c>
      <c r="P55" s="774">
        <f>-IFERROR('4. NPV'!Q24/'4. NPV'!Q$8,0)</f>
        <v>523.9106853337876</v>
      </c>
      <c r="Q55" s="774">
        <f>-IFERROR('4. NPV'!R24/'4. NPV'!R$8,0)</f>
        <v>534.3888990404633</v>
      </c>
      <c r="R55" s="774">
        <f>-IFERROR('4. NPV'!S24/'4. NPV'!S$8,0)</f>
        <v>545.0766770212726</v>
      </c>
      <c r="S55" s="774">
        <f>-IFERROR('4. NPV'!T24/'4. NPV'!T$8,0)</f>
        <v>555.9782105616981</v>
      </c>
      <c r="T55" s="774">
        <f>-IFERROR('4. NPV'!U24/'4. NPV'!U$8,0)</f>
        <v>567.0977747729321</v>
      </c>
      <c r="U55" s="774">
        <f>-IFERROR('4. NPV'!V24/'4. NPV'!V$8,0)</f>
        <v>578.4397302683907</v>
      </c>
      <c r="V55" s="774">
        <f>-IFERROR('4. NPV'!W24/'4. NPV'!W$8,0)</f>
        <v>590.0085248737586</v>
      </c>
      <c r="W55" s="774">
        <f>-IFERROR('4. NPV'!X24/'4. NPV'!X$8,0)</f>
        <v>601.8086953712337</v>
      </c>
      <c r="X55" s="6">
        <f>-IFERROR('4. NPV'!Y24/'4. NPV'!Y$8,0)</f>
        <v>-0.0</v>
      </c>
      <c r="Y55" s="6">
        <f>-IFERROR('4. NPV'!Z24/'4. NPV'!Z$8,0)</f>
        <v>-0.0</v>
      </c>
      <c r="Z55" s="6">
        <f>-IFERROR('4. NPV'!AA24/'4. NPV'!AA$8,0)</f>
        <v>-0.0</v>
      </c>
      <c r="AA55" s="6">
        <f>-IFERROR('4. NPV'!AB24/'4. NPV'!AB$8,0)</f>
        <v>-0.0</v>
      </c>
      <c r="AB55" s="6">
        <f>-IFERROR('4. NPV'!AC24/'4. NPV'!AC$8,0)</f>
        <v>-0.0</v>
      </c>
      <c r="AC55" s="6">
        <f>-IFERROR('4. NPV'!AD24/'4. NPV'!AD$8,0)</f>
        <v>-0.0</v>
      </c>
      <c r="AD55" s="6">
        <f>-IFERROR('4. NPV'!AE24/'4. NPV'!AE$8,0)</f>
        <v>-0.0</v>
      </c>
      <c r="AE55" s="6">
        <f>-IFERROR('4. NPV'!AF24/'4. NPV'!AF$8,0)</f>
        <v>-0.0</v>
      </c>
      <c r="AF55" s="6">
        <f>-IFERROR('4. NPV'!AG24/'4. NPV'!AG$8,0)</f>
        <v>-0.0</v>
      </c>
      <c r="AG55" s="6">
        <f>-IFERROR('4. NPV'!AH24/'4. NPV'!AH$8,0)</f>
        <v>-0.0</v>
      </c>
      <c r="AH55" s="6">
        <f>-IFERROR('4. NPV'!AI24/'4. NPV'!AI$8,0)</f>
        <v>-0.0</v>
      </c>
      <c r="AI55" s="6">
        <f>-IFERROR('4. NPV'!AJ24/'4. NPV'!AJ$8,0)</f>
        <v>-0.0</v>
      </c>
      <c r="AJ55" s="6">
        <f>-IFERROR('4. NPV'!AK24/'4. NPV'!AK$8,0)</f>
        <v>-0.0</v>
      </c>
      <c r="AK55" s="6">
        <f>-IFERROR('4. NPV'!AL24/'4. NPV'!AL$8,0)</f>
        <v>-0.0</v>
      </c>
      <c r="AL55" s="6">
        <f>-IFERROR('4. NPV'!AM24/'4. NPV'!AM$8,0)</f>
        <v>-0.0</v>
      </c>
      <c r="AM55" s="6">
        <f>-IFERROR('4. NPV'!AN24/'4. NPV'!AN$8,0)</f>
        <v>-0.0</v>
      </c>
      <c r="AN55" s="6">
        <f>-IFERROR('4. NPV'!AO24/'4. NPV'!AO$8,0)</f>
        <v>-0.0</v>
      </c>
      <c r="AO55" s="6">
        <f>-IFERROR('4. NPV'!AP24/'4. NPV'!AP$8,0)</f>
        <v>-0.0</v>
      </c>
      <c r="AP55" s="6">
        <f>-IFERROR('4. NPV'!AQ24/'4. NPV'!AQ$8,0)</f>
        <v>-0.0</v>
      </c>
      <c r="AQ55" s="6">
        <f>-IFERROR('4. NPV'!AR24/'4. NPV'!AR$8,0)</f>
        <v>-0.0</v>
      </c>
      <c r="AR55" s="6">
        <f>-IFERROR('4. NPV'!AS24/'4. NPV'!AS$8,0)</f>
        <v>-0.0</v>
      </c>
      <c r="AS55" s="6">
        <f>-IFERROR('4. NPV'!AT24/'4. NPV'!AT$8,0)</f>
        <v>-0.0</v>
      </c>
      <c r="AT55" s="6">
        <f>-IFERROR('4. NPV'!AU24/'4. NPV'!AU$8,0)</f>
        <v>-0.0</v>
      </c>
      <c r="AU55" s="6">
        <f>-IFERROR('4. NPV'!AV24/'4. NPV'!AV$8,0)</f>
        <v>-0.0</v>
      </c>
      <c r="AV55" s="6">
        <f>-IFERROR('4. NPV'!AW24/'4. NPV'!AW$8,0)</f>
        <v>-0.0</v>
      </c>
      <c r="AW55" s="6">
        <f>-IFERROR('4. NPV'!AX24/'4. NPV'!AX$8,0)</f>
        <v>-0.0</v>
      </c>
      <c r="AX55" s="6">
        <f>-IFERROR('4. NPV'!AY24/'4. NPV'!AY$8,0)</f>
        <v>-0.0</v>
      </c>
      <c r="AY55" s="6">
        <f>-IFERROR('4. NPV'!AZ24/'4. NPV'!AZ$8,0)</f>
        <v>-0.0</v>
      </c>
      <c r="AZ55" s="6">
        <f>-IFERROR('4. NPV'!BA24/'4. NPV'!BA$8,0)</f>
        <v>-0.0</v>
      </c>
      <c r="BA55" s="6">
        <f>-IFERROR('4. NPV'!BB24/'4. NPV'!BB$8,0)</f>
        <v>-0.0</v>
      </c>
      <c r="BB55" s="5">
        <f>-IFERROR('4. NPV'!BC24/'4. NPV'!BC$8,0)</f>
        <v>-0.0</v>
      </c>
      <c r="BC55" s="5">
        <f>-IFERROR('4. NPV'!BD24/'4. NPV'!BD$8,0)</f>
        <v>-0.0</v>
      </c>
      <c r="BD55" s="5">
        <f>-IFERROR('4. NPV'!BE24/'4. NPV'!BE$8,0)</f>
        <v>-0.0</v>
      </c>
      <c r="BE55" s="5">
        <f>-IFERROR('4. NPV'!BF24/'4. NPV'!BF$8,0)</f>
        <v>-0.0</v>
      </c>
      <c r="BF55" s="5">
        <f>-IFERROR('4. NPV'!BG24/'4. NPV'!BG$8,0)</f>
        <v>-0.0</v>
      </c>
      <c r="BG55" s="5">
        <f>-IFERROR('4. NPV'!BH24/'4. NPV'!BH$8,0)</f>
        <v>-0.0</v>
      </c>
      <c r="BH55" s="5">
        <f>-IFERROR('4. NPV'!BI24/'4. NPV'!BI$8,0)</f>
        <v>-0.0</v>
      </c>
      <c r="BI55" s="5">
        <f>-IFERROR('4. NPV'!BJ24/'4. NPV'!BJ$8,0)</f>
        <v>-0.0</v>
      </c>
      <c r="BJ55" s="5">
        <f>-IFERROR('4. NPV'!BK24/'4. NPV'!BK$8,0)</f>
        <v>-0.0</v>
      </c>
      <c r="BK55" s="5">
        <f>-IFERROR('4. NPV'!BL24/'4. NPV'!BL$8,0)</f>
        <v>-0.0</v>
      </c>
      <c r="BL55" s="5">
        <f>-IFERROR('4. NPV'!BM24/'4. NPV'!BM$8,0)</f>
        <v>-0.0</v>
      </c>
      <c r="BM55" s="5">
        <f>-IFERROR('4. NPV'!BN24/'4. NPV'!BN$8,0)</f>
        <v>-0.0</v>
      </c>
      <c r="BN55" s="5">
        <f>-IFERROR('4. NPV'!BO24/'4. NPV'!BO$8,0)</f>
        <v>-0.0</v>
      </c>
      <c r="BO55" s="5">
        <f>-IFERROR('4. NPV'!BP24/'4. NPV'!BP$8,0)</f>
        <v>-0.0</v>
      </c>
      <c r="BP55" s="5">
        <f>-IFERROR('4. NPV'!BQ24/'4. NPV'!BQ$8,0)</f>
        <v>-0.0</v>
      </c>
      <c r="BQ55" s="5">
        <f>-IFERROR('4. NPV'!BR24/'4. NPV'!BR$8,0)</f>
        <v>-0.0</v>
      </c>
      <c r="BR55" s="5">
        <f>-IFERROR('4. NPV'!BS24/'4. NPV'!BS$8,0)</f>
        <v>-0.0</v>
      </c>
      <c r="BS55" s="5">
        <f>-IFERROR('4. NPV'!BT24/'4. NPV'!BT$8,0)</f>
        <v>-0.0</v>
      </c>
      <c r="BT55" s="5">
        <f>-IFERROR('4. NPV'!BU24/'4. NPV'!BU$8,0)</f>
        <v>-0.0</v>
      </c>
      <c r="BU55" s="5">
        <f>-IFERROR('4. NPV'!BV24/'4. NPV'!BV$8,0)</f>
        <v>-0.0</v>
      </c>
      <c r="BV55" s="5">
        <f>-IFERROR('4. NPV'!BW24/'4. NPV'!BW$8,0)</f>
        <v>-0.0</v>
      </c>
      <c r="BW55" s="5">
        <f>-IFERROR('4. NPV'!BX24/'4. NPV'!BX$8,0)</f>
        <v>-0.0</v>
      </c>
      <c r="BX55" s="5">
        <f>-IFERROR('4. NPV'!BY24/'4. NPV'!BY$8,0)</f>
        <v>-0.0</v>
      </c>
      <c r="BY55" s="5">
        <f>-IFERROR('4. NPV'!BZ24/'4. NPV'!BZ$8,0)</f>
        <v>-0.0</v>
      </c>
      <c r="BZ55" s="5">
        <f>-IFERROR('4. NPV'!CA24/'4. NPV'!CA$8,0)</f>
        <v>-0.0</v>
      </c>
      <c r="CA55" s="5">
        <f>-IFERROR('4. NPV'!CB24/'4. NPV'!CB$8,0)</f>
        <v>-0.0</v>
      </c>
      <c r="CB55" s="5">
        <f>-IFERROR('4. NPV'!CC24/'4. NPV'!CC$8,0)</f>
        <v>-0.0</v>
      </c>
      <c r="CC55" s="5">
        <f>-IFERROR('4. NPV'!CD24/'4. NPV'!CD$8,0)</f>
        <v>-0.0</v>
      </c>
      <c r="CD55" s="5">
        <f>-IFERROR('4. NPV'!CE24/'4. NPV'!CE$8,0)</f>
        <v>-0.0</v>
      </c>
      <c r="CE55" s="5">
        <f>-IFERROR('4. NPV'!CF24/'4. NPV'!CF$8,0)</f>
        <v>-0.0</v>
      </c>
      <c r="CF55" s="5">
        <f>-IFERROR('4. NPV'!CG24/'4. NPV'!CG$8,0)</f>
        <v>-0.0</v>
      </c>
      <c r="CG55" s="5">
        <f>-IFERROR('4. NPV'!CH24/'4. NPV'!CH$8,0)</f>
        <v>-0.0</v>
      </c>
      <c r="CH55" s="5">
        <f>-IFERROR('4. NPV'!CI24/'4. NPV'!CI$8,0)</f>
        <v>-0.0</v>
      </c>
      <c r="CI55" s="5">
        <f>-IFERROR('4. NPV'!CJ24/'4. NPV'!CJ$8,0)</f>
        <v>-0.0</v>
      </c>
      <c r="CJ55" s="5">
        <f>-IFERROR('4. NPV'!CK24/'4. NPV'!CK$8,0)</f>
        <v>-0.0</v>
      </c>
      <c r="CK55" s="5">
        <f>-IFERROR('4. NPV'!CL24/'4. NPV'!CL$8,0)</f>
        <v>-0.0</v>
      </c>
      <c r="CL55" s="5">
        <f>-IFERROR('4. NPV'!CM24/'4. NPV'!CM$8,0)</f>
        <v>-0.0</v>
      </c>
      <c r="CM55" s="5">
        <f>-IFERROR('4. NPV'!CN24/'4. NPV'!CN$8,0)</f>
        <v>-0.0</v>
      </c>
      <c r="CN55" s="5">
        <f>-IFERROR('4. NPV'!CO24/'4. NPV'!CO$8,0)</f>
        <v>-0.0</v>
      </c>
      <c r="CO55" s="5">
        <f>-IFERROR('4. NPV'!CP24/'4. NPV'!CP$8,0)</f>
        <v>-0.0</v>
      </c>
      <c r="CP55" s="5">
        <f>-IFERROR('4. NPV'!CQ24/'4. NPV'!CQ$8,0)</f>
        <v>-0.0</v>
      </c>
      <c r="CQ55" s="5">
        <f>-IFERROR('4. NPV'!CR24/'4. NPV'!CR$8,0)</f>
        <v>-0.0</v>
      </c>
      <c r="CR55" s="5">
        <f>-IFERROR('4. NPV'!CS24/'4. NPV'!CS$8,0)</f>
        <v>-0.0</v>
      </c>
      <c r="CS55" s="5">
        <f>-IFERROR('4. NPV'!CT24/'4. NPV'!CT$8,0)</f>
        <v>-0.0</v>
      </c>
      <c r="CT55" s="5">
        <f>-IFERROR('4. NPV'!CU24/'4. NPV'!CU$8,0)</f>
        <v>-0.0</v>
      </c>
      <c r="CU55" s="5">
        <f>-IFERROR('4. NPV'!CV24/'4. NPV'!CV$8,0)</f>
        <v>-0.0</v>
      </c>
      <c r="CV55" s="5">
        <f>-IFERROR('4. NPV'!CW24/'4. NPV'!CW$8,0)</f>
        <v>-0.0</v>
      </c>
      <c r="CW55" s="5">
        <f>-IFERROR('4. NPV'!CX24/'4. NPV'!CX$8,0)</f>
        <v>-0.0</v>
      </c>
      <c r="CX55" s="5">
        <f>-IFERROR('4. NPV'!CY24/'4. NPV'!CY$8,0)</f>
        <v>-0.0</v>
      </c>
      <c r="CY55" s="5">
        <f>-IFERROR('4. NPV'!CZ24/'4. NPV'!CZ$8,0)</f>
        <v>-0.0</v>
      </c>
      <c r="CZ55" s="5">
        <f>-IFERROR('4. NPV'!DA24/'4. NPV'!DA$8,0)</f>
        <v>-0.0</v>
      </c>
      <c r="DA55" s="5">
        <f>-IFERROR('4. NPV'!DB24/'4. NPV'!DB$8,0)</f>
        <v>-0.0</v>
      </c>
      <c r="DB55" s="5">
        <f>-IFERROR('4. NPV'!DC24/'4. NPV'!DC$8,0)</f>
        <v>-0.0</v>
      </c>
      <c r="DC55" s="5">
        <f>-IFERROR('4. NPV'!DD24/'4. NPV'!DD$8,0)</f>
        <v>-0.0</v>
      </c>
      <c r="DD55" s="5">
        <f>-IFERROR('4. NPV'!DE24/'4. NPV'!DE$8,0)</f>
        <v>-0.0</v>
      </c>
      <c r="DE55" s="5">
        <f>-IFERROR('4. NPV'!DF24/'4. NPV'!DF$8,0)</f>
        <v>-0.0</v>
      </c>
      <c r="DF55" s="5">
        <f>-IFERROR('4. NPV'!DG24/'4. NPV'!DG$8,0)</f>
        <v>-0.0</v>
      </c>
      <c r="DG55" s="5">
        <f>-IFERROR('4. NPV'!DH24/'4. NPV'!DH$8,0)</f>
        <v>-0.0</v>
      </c>
      <c r="DH55" s="5">
        <f>-IFERROR('4. NPV'!DI24/'4. NPV'!DI$8,0)</f>
        <v>-0.0</v>
      </c>
      <c r="DI55" s="5">
        <f>-IFERROR('4. NPV'!DJ24/'4. NPV'!DJ$8,0)</f>
        <v>-0.0</v>
      </c>
      <c r="DJ55" s="5">
        <f>-IFERROR('4. NPV'!DK24/'4. NPV'!DK$8,0)</f>
        <v>-0.0</v>
      </c>
      <c r="DK55" s="5">
        <f>-IFERROR('4. NPV'!DL24/'4. NPV'!DL$8,0)</f>
        <v>-0.0</v>
      </c>
      <c r="DL55" s="5">
        <f>-IFERROR('4. NPV'!DM24/'4. NPV'!DM$8,0)</f>
        <v>-0.0</v>
      </c>
      <c r="DM55" s="5">
        <f>-IFERROR('4. NPV'!DN24/'4. NPV'!DN$8,0)</f>
        <v>-0.0</v>
      </c>
      <c r="DN55" s="5">
        <f>-IFERROR('4. NPV'!DO24/'4. NPV'!DO$8,0)</f>
        <v>-0.0</v>
      </c>
      <c r="DO55" s="5">
        <f>-IFERROR('4. NPV'!DP24/'4. NPV'!DP$8,0)</f>
        <v>-0.0</v>
      </c>
      <c r="DP55" s="5">
        <f>-IFERROR('4. NPV'!DQ24/'4. NPV'!DQ$8,0)</f>
        <v>-0.0</v>
      </c>
      <c r="DQ55" s="5">
        <f>-IFERROR('4. NPV'!DR24/'4. NPV'!DR$8,0)</f>
        <v>-0.0</v>
      </c>
      <c r="DR55" s="5">
        <f>-IFERROR('4. NPV'!DS24/'4. NPV'!DS$8,0)</f>
        <v>-0.0</v>
      </c>
      <c r="DS55" s="5">
        <f>-IFERROR('4. NPV'!DT24/'4. NPV'!DT$8,0)</f>
        <v>-0.0</v>
      </c>
      <c r="DT55" s="5">
        <f>-IFERROR('4. NPV'!DU24/'4. NPV'!DU$8,0)</f>
        <v>-0.0</v>
      </c>
      <c r="DU55" s="5">
        <f>-IFERROR('4. NPV'!DV24/'4. NPV'!DV$8,0)</f>
        <v>-0.0</v>
      </c>
      <c r="DV55" s="5">
        <f>-IFERROR('4. NPV'!DW24/'4. NPV'!DW$8,0)</f>
        <v>-0.0</v>
      </c>
      <c r="DW55" s="5">
        <f>-IFERROR('4. NPV'!DX24/'4. NPV'!DX$8,0)</f>
        <v>-0.0</v>
      </c>
      <c r="DX55" s="5">
        <f>-IFERROR('4. NPV'!DY24/'4. NPV'!DY$8,0)</f>
        <v>-0.0</v>
      </c>
      <c r="DY55" s="5">
        <f>-IFERROR('4. NPV'!DZ24/'4. NPV'!DZ$8,0)</f>
        <v>-0.0</v>
      </c>
      <c r="DZ55" s="5">
        <f>-IFERROR('4. NPV'!EA24/'4. NPV'!EA$8,0)</f>
        <v>-0.0</v>
      </c>
      <c r="EA55" s="5">
        <f>-IFERROR('4. NPV'!EB24/'4. NPV'!EB$8,0)</f>
        <v>-0.0</v>
      </c>
      <c r="EB55" s="5">
        <f>-IFERROR('4. NPV'!EC24/'4. NPV'!EC$8,0)</f>
        <v>-0.0</v>
      </c>
      <c r="EC55" s="5">
        <f>-IFERROR('4. NPV'!ED24/'4. NPV'!ED$8,0)</f>
        <v>-0.0</v>
      </c>
      <c r="ED55" s="5">
        <f>-IFERROR('4. NPV'!EE24/'4. NPV'!EE$8,0)</f>
        <v>-0.0</v>
      </c>
      <c r="EE55" s="5">
        <f>-IFERROR('4. NPV'!EF24/'4. NPV'!EF$8,0)</f>
        <v>-0.0</v>
      </c>
      <c r="EF55" s="5">
        <f>-IFERROR('4. NPV'!EG24/'4. NPV'!EG$8,0)</f>
        <v>-0.0</v>
      </c>
      <c r="EG55" s="5">
        <f>-IFERROR('4. NPV'!EH24/'4. NPV'!EH$8,0)</f>
        <v>-0.0</v>
      </c>
      <c r="EH55" s="5">
        <f>-IFERROR('4. NPV'!EI24/'4. NPV'!EI$8,0)</f>
        <v>-0.0</v>
      </c>
      <c r="EI55" s="5">
        <f>-IFERROR('4. NPV'!EJ24/'4. NPV'!EJ$8,0)</f>
        <v>-0.0</v>
      </c>
      <c r="EJ55" s="5">
        <f>-IFERROR('4. NPV'!EK24/'4. NPV'!EK$8,0)</f>
        <v>-0.0</v>
      </c>
      <c r="EK55" s="5">
        <f>-IFERROR('4. NPV'!EL24/'4. NPV'!EL$8,0)</f>
        <v>-0.0</v>
      </c>
      <c r="EL55" s="5">
        <f>-IFERROR('4. NPV'!EM24/'4. NPV'!EM$8,0)</f>
        <v>-0.0</v>
      </c>
      <c r="EM55" s="5">
        <f>-IFERROR('4. NPV'!EN24/'4. NPV'!EN$8,0)</f>
        <v>-0.0</v>
      </c>
      <c r="EN55" s="5">
        <f>-IFERROR('4. NPV'!EO24/'4. NPV'!EO$8,0)</f>
        <v>-0.0</v>
      </c>
      <c r="EO55" s="5">
        <f>-IFERROR('4. NPV'!EP24/'4. NPV'!EP$8,0)</f>
        <v>-0.0</v>
      </c>
      <c r="EP55" s="5">
        <f>-IFERROR('4. NPV'!EQ24/'4. NPV'!EQ$8,0)</f>
        <v>-0.0</v>
      </c>
      <c r="EQ55" s="5">
        <f>-IFERROR('4. NPV'!ER24/'4. NPV'!ER$8,0)</f>
        <v>-0.0</v>
      </c>
      <c r="ER55" s="5">
        <f>-IFERROR('4. NPV'!ES24/'4. NPV'!ES$8,0)</f>
        <v>-0.0</v>
      </c>
      <c r="ES55" s="5">
        <f>-IFERROR('4. NPV'!ET24/'4. NPV'!ET$8,0)</f>
        <v>-0.0</v>
      </c>
      <c r="ET55" s="5">
        <f>-IFERROR('4. NPV'!EU24/'4. NPV'!EU$8,0)</f>
        <v>-0.0</v>
      </c>
      <c r="EU55" s="5">
        <f>-IFERROR('4. NPV'!EV24/'4. NPV'!EV$8,0)</f>
        <v>-0.0</v>
      </c>
      <c r="EV55" s="5">
        <f>-IFERROR('4. NPV'!EW24/'4. NPV'!EW$8,0)</f>
        <v>-0.0</v>
      </c>
      <c r="EW55" s="5">
        <f>-IFERROR('4. NPV'!EX24/'4. NPV'!EX$8,0)</f>
        <v>-0.0</v>
      </c>
      <c r="EX55" s="5">
        <f>-IFERROR('4. NPV'!EY24/'4. NPV'!EY$8,0)</f>
        <v>-0.0</v>
      </c>
      <c r="EY55" s="5">
        <f>-IFERROR('4. NPV'!EZ24/'4. NPV'!EZ$8,0)</f>
        <v>-0.0</v>
      </c>
      <c r="EZ55" s="5">
        <f>-IFERROR('4. NPV'!FA24/'4. NPV'!FA$8,0)</f>
        <v>-0.0</v>
      </c>
      <c r="FA55" s="5">
        <f>-IFERROR('4. NPV'!FB24/'4. NPV'!FB$8,0)</f>
        <v>-0.0</v>
      </c>
      <c r="FB55" s="5">
        <f>-IFERROR('4. NPV'!FC24/'4. NPV'!FC$8,0)</f>
        <v>-0.0</v>
      </c>
      <c r="FC55" s="5">
        <f>-IFERROR('4. NPV'!FD24/'4. NPV'!FD$8,0)</f>
        <v>-0.0</v>
      </c>
      <c r="FD55" s="5">
        <f>-IFERROR('4. NPV'!FE24/'4. NPV'!FE$8,0)</f>
        <v>-0.0</v>
      </c>
      <c r="FE55" s="5">
        <f>-IFERROR('4. NPV'!FF24/'4. NPV'!FF$8,0)</f>
        <v>-0.0</v>
      </c>
      <c r="FF55" s="5">
        <f>-IFERROR('4. NPV'!FG24/'4. NPV'!FG$8,0)</f>
        <v>-0.0</v>
      </c>
      <c r="FG55" s="5">
        <f>-IFERROR('4. NPV'!FH24/'4. NPV'!FH$8,0)</f>
        <v>-0.0</v>
      </c>
      <c r="FH55" s="5">
        <f>-IFERROR('4. NPV'!FI24/'4. NPV'!FI$8,0)</f>
        <v>-0.0</v>
      </c>
      <c r="FI55" s="5">
        <f>-IFERROR('4. NPV'!FJ24/'4. NPV'!FJ$8,0)</f>
        <v>-0.0</v>
      </c>
      <c r="FJ55" s="5">
        <f>-IFERROR('4. NPV'!FK24/'4. NPV'!FK$8,0)</f>
        <v>-0.0</v>
      </c>
      <c r="FK55" s="5">
        <f>-IFERROR('4. NPV'!FL24/'4. NPV'!FL$8,0)</f>
        <v>-0.0</v>
      </c>
      <c r="FL55" s="5">
        <f>-IFERROR('4. NPV'!FM24/'4. NPV'!FM$8,0)</f>
        <v>-0.0</v>
      </c>
      <c r="FM55" s="5">
        <f>-IFERROR('4. NPV'!FN24/'4. NPV'!FN$8,0)</f>
        <v>-0.0</v>
      </c>
      <c r="FN55" s="5">
        <f>-IFERROR('4. NPV'!FO24/'4. NPV'!FO$8,0)</f>
        <v>-0.0</v>
      </c>
      <c r="FO55" s="5">
        <f>-IFERROR('4. NPV'!FP24/'4. NPV'!FP$8,0)</f>
        <v>-0.0</v>
      </c>
      <c r="FP55" s="5">
        <f>-IFERROR('4. NPV'!FQ24/'4. NPV'!FQ$8,0)</f>
        <v>-0.0</v>
      </c>
      <c r="FQ55" s="5">
        <f>-IFERROR('4. NPV'!FR24/'4. NPV'!FR$8,0)</f>
        <v>-0.0</v>
      </c>
      <c r="FR55" s="5">
        <f>-IFERROR('4. NPV'!FS24/'4. NPV'!FS$8,0)</f>
        <v>-0.0</v>
      </c>
      <c r="FS55" s="5">
        <f>-IFERROR('4. NPV'!FT24/'4. NPV'!FT$8,0)</f>
        <v>-0.0</v>
      </c>
      <c r="FT55" s="5">
        <f>-IFERROR('4. NPV'!FU24/'4. NPV'!FU$8,0)</f>
        <v>-0.0</v>
      </c>
      <c r="FU55" s="5">
        <f>-IFERROR('4. NPV'!FV24/'4. NPV'!FV$8,0)</f>
        <v>-0.0</v>
      </c>
      <c r="FV55" s="5">
        <f>-IFERROR('4. NPV'!FW24/'4. NPV'!FW$8,0)</f>
        <v>-0.0</v>
      </c>
      <c r="FW55" s="5">
        <f>-IFERROR('4. NPV'!FX24/'4. NPV'!FX$8,0)</f>
        <v>-0.0</v>
      </c>
      <c r="FX55" s="5">
        <f>-IFERROR('4. NPV'!FY24/'4. NPV'!FY$8,0)</f>
        <v>-0.0</v>
      </c>
      <c r="FY55" s="5">
        <f>-IFERROR('4. NPV'!FZ24/'4. NPV'!FZ$8,0)</f>
        <v>-0.0</v>
      </c>
      <c r="FZ55" s="5">
        <f>-IFERROR('4. NPV'!GA24/'4. NPV'!GA$8,0)</f>
        <v>-0.0</v>
      </c>
      <c r="GA55" s="5">
        <f>-IFERROR('4. NPV'!GB24/'4. NPV'!GB$8,0)</f>
        <v>-0.0</v>
      </c>
      <c r="GB55" s="5">
        <f>-IFERROR('4. NPV'!GC24/'4. NPV'!GC$8,0)</f>
        <v>-0.0</v>
      </c>
      <c r="GC55" s="5">
        <f>-IFERROR('4. NPV'!GD24/'4. NPV'!GD$8,0)</f>
        <v>-0.0</v>
      </c>
      <c r="GD55" s="5">
        <f>-IFERROR('4. NPV'!GE24/'4. NPV'!GE$8,0)</f>
        <v>-0.0</v>
      </c>
      <c r="GE55" s="5">
        <f>-IFERROR('4. NPV'!GF24/'4. NPV'!GF$8,0)</f>
        <v>-0.0</v>
      </c>
      <c r="GF55" s="5">
        <f>-IFERROR('4. NPV'!GG24/'4. NPV'!GG$8,0)</f>
        <v>-0.0</v>
      </c>
      <c r="GG55" s="5">
        <f>-IFERROR('4. NPV'!GH24/'4. NPV'!GH$8,0)</f>
        <v>-0.0</v>
      </c>
      <c r="GH55" s="5">
        <f>-IFERROR('4. NPV'!GI24/'4. NPV'!GI$8,0)</f>
        <v>-0.0</v>
      </c>
      <c r="GI55" s="5">
        <f>-IFERROR('4. NPV'!GJ24/'4. NPV'!GJ$8,0)</f>
        <v>-0.0</v>
      </c>
      <c r="GJ55" s="5">
        <f>-IFERROR('4. NPV'!GK24/'4. NPV'!GK$8,0)</f>
        <v>-0.0</v>
      </c>
      <c r="GK55" s="5">
        <f>-IFERROR('4. NPV'!GL24/'4. NPV'!GL$8,0)</f>
        <v>-0.0</v>
      </c>
      <c r="GL55" s="5">
        <f>-IFERROR('4. NPV'!GM24/'4. NPV'!GM$8,0)</f>
        <v>-0.0</v>
      </c>
      <c r="GM55" s="5">
        <f>-IFERROR('4. NPV'!GN24/'4. NPV'!GN$8,0)</f>
        <v>-0.0</v>
      </c>
      <c r="GN55" s="5">
        <f>-IFERROR('4. NPV'!GO24/'4. NPV'!GO$8,0)</f>
        <v>-0.0</v>
      </c>
      <c r="GO55" s="5">
        <f>-IFERROR('4. NPV'!GP24/'4. NPV'!GP$8,0)</f>
        <v>-0.0</v>
      </c>
      <c r="GP55" s="5">
        <f>-IFERROR('4. NPV'!GQ24/'4. NPV'!GQ$8,0)</f>
        <v>-0.0</v>
      </c>
      <c r="GQ55" s="5">
        <f>-IFERROR('4. NPV'!GR24/'4. NPV'!GR$8,0)</f>
        <v>-0.0</v>
      </c>
      <c r="GR55" s="5">
        <f>-IFERROR('4. NPV'!GS24/'4. NPV'!GS$8,0)</f>
        <v>-0.0</v>
      </c>
      <c r="GS55" s="5">
        <f>-IFERROR('4. NPV'!GT24/'4. NPV'!GT$8,0)</f>
        <v>-0.0</v>
      </c>
      <c r="GT55" s="5">
        <f>-IFERROR('4. NPV'!GU24/'4. NPV'!GU$8,0)</f>
        <v>-0.0</v>
      </c>
      <c r="GU55" s="5">
        <f>-IFERROR('4. NPV'!GV24/'4. NPV'!GV$8,0)</f>
        <v>-0.0</v>
      </c>
      <c r="GV55" s="5">
        <f>-IFERROR('4. NPV'!GW24/'4. NPV'!GW$8,0)</f>
        <v>-0.0</v>
      </c>
      <c r="GW55" s="5">
        <f>-IFERROR('4. NPV'!GX24/'4. NPV'!GX$8,0)</f>
        <v>-0.0</v>
      </c>
      <c r="GX55" s="5">
        <f>-IFERROR('4. NPV'!GY24/'4. NPV'!GY$8,0)</f>
        <v>-0.0</v>
      </c>
      <c r="GY55" s="5">
        <f>-IFERROR('4. NPV'!GZ24/'4. NPV'!GZ$8,0)</f>
        <v>-0.0</v>
      </c>
      <c r="GZ55" s="5">
        <f>-IFERROR('4. NPV'!HA24/'4. NPV'!HA$8,0)</f>
        <v>-0.0</v>
      </c>
      <c r="HA55" s="5">
        <f>-IFERROR('4. NPV'!HB24/'4. NPV'!HB$8,0)</f>
        <v>-0.0</v>
      </c>
      <c r="HB55" s="5">
        <f>-IFERROR('4. NPV'!HC24/'4. NPV'!HC$8,0)</f>
        <v>-0.0</v>
      </c>
      <c r="HC55" s="5">
        <f>-IFERROR('4. NPV'!HD24/'4. NPV'!HD$8,0)</f>
        <v>-0.0</v>
      </c>
      <c r="HD55" s="5">
        <f>-IFERROR('4. NPV'!HE24/'4. NPV'!HE$8,0)</f>
        <v>-0.0</v>
      </c>
      <c r="HE55" s="5">
        <f>-IFERROR('4. NPV'!HF24/'4. NPV'!HF$8,0)</f>
        <v>-0.0</v>
      </c>
      <c r="HF55" s="5">
        <f>-IFERROR('4. NPV'!HG24/'4. NPV'!HG$8,0)</f>
        <v>-0.0</v>
      </c>
      <c r="HG55" s="5">
        <f>-IFERROR('4. NPV'!HH24/'4. NPV'!HH$8,0)</f>
        <v>-0.0</v>
      </c>
      <c r="HH55" s="5">
        <f>-IFERROR('4. NPV'!HI24/'4. NPV'!HI$8,0)</f>
        <v>-0.0</v>
      </c>
      <c r="HI55" s="5">
        <f>-IFERROR('4. NPV'!HJ24/'4. NPV'!HJ$8,0)</f>
        <v>-0.0</v>
      </c>
      <c r="HJ55" s="5">
        <f>-IFERROR('4. NPV'!HK24/'4. NPV'!HK$8,0)</f>
        <v>-0.0</v>
      </c>
      <c r="HK55" s="5">
        <f>-IFERROR('4. NPV'!HL24/'4. NPV'!HL$8,0)</f>
        <v>-0.0</v>
      </c>
      <c r="HL55" s="5">
        <f>-IFERROR('4. NPV'!HM24/'4. NPV'!HM$8,0)</f>
        <v>-0.0</v>
      </c>
      <c r="HM55" s="5">
        <f>-IFERROR('4. NPV'!HN24/'4. NPV'!HN$8,0)</f>
        <v>-0.0</v>
      </c>
      <c r="HN55" s="5">
        <f>-IFERROR('4. NPV'!HO24/'4. NPV'!HO$8,0)</f>
        <v>-0.0</v>
      </c>
      <c r="HO55" s="5">
        <f>-IFERROR('4. NPV'!HP24/'4. NPV'!HP$8,0)</f>
        <v>-0.0</v>
      </c>
      <c r="HP55" s="5">
        <f>-IFERROR('4. NPV'!HQ24/'4. NPV'!HQ$8,0)</f>
        <v>-0.0</v>
      </c>
      <c r="HQ55" s="5">
        <f>-IFERROR('4. NPV'!HR24/'4. NPV'!HR$8,0)</f>
        <v>-0.0</v>
      </c>
      <c r="HR55" s="5">
        <f>-IFERROR('4. NPV'!HS24/'4. NPV'!HS$8,0)</f>
        <v>-0.0</v>
      </c>
      <c r="HS55" s="5">
        <f>-IFERROR('4. NPV'!HT24/'4. NPV'!HT$8,0)</f>
        <v>-0.0</v>
      </c>
      <c r="HT55" s="5">
        <f>-IFERROR('4. NPV'!HU24/'4. NPV'!HU$8,0)</f>
        <v>-0.0</v>
      </c>
      <c r="HU55" s="5">
        <f>-IFERROR('4. NPV'!HV24/'4. NPV'!HV$8,0)</f>
        <v>-0.0</v>
      </c>
      <c r="HV55" s="5">
        <f>-IFERROR('4. NPV'!HW24/'4. NPV'!HW$8,0)</f>
        <v>-0.0</v>
      </c>
      <c r="HW55" s="5">
        <f>-IFERROR('4. NPV'!HX24/'4. NPV'!HX$8,0)</f>
        <v>-0.0</v>
      </c>
      <c r="HX55" s="5">
        <f>-IFERROR('4. NPV'!HY24/'4. NPV'!HY$8,0)</f>
        <v>-0.0</v>
      </c>
      <c r="HY55" s="5">
        <f>-IFERROR('4. NPV'!HZ24/'4. NPV'!HZ$8,0)</f>
        <v>-0.0</v>
      </c>
      <c r="HZ55" s="5">
        <f>-IFERROR('4. NPV'!IA24/'4. NPV'!IA$8,0)</f>
        <v>-0.0</v>
      </c>
      <c r="IA55" s="5">
        <f>-IFERROR('4. NPV'!IB24/'4. NPV'!IB$8,0)</f>
        <v>-0.0</v>
      </c>
      <c r="IB55" s="5">
        <f>-IFERROR('4. NPV'!IC24/'4. NPV'!IC$8,0)</f>
        <v>-0.0</v>
      </c>
      <c r="IC55" s="5">
        <f>-IFERROR('4. NPV'!ID24/'4. NPV'!ID$8,0)</f>
        <v>-0.0</v>
      </c>
      <c r="ID55" s="5">
        <f>-IFERROR('4. NPV'!IE24/'4. NPV'!IE$8,0)</f>
        <v>-0.0</v>
      </c>
      <c r="IE55" s="5">
        <f>-IFERROR('4. NPV'!IF24/'4. NPV'!IF$8,0)</f>
        <v>-0.0</v>
      </c>
      <c r="IF55" s="5">
        <f>-IFERROR('4. NPV'!IG24/'4. NPV'!IG$8,0)</f>
        <v>-0.0</v>
      </c>
      <c r="IG55" s="5">
        <f>-IFERROR('4. NPV'!IH24/'4. NPV'!IH$8,0)</f>
        <v>-0.0</v>
      </c>
      <c r="IH55" s="5">
        <f>-IFERROR('4. NPV'!II24/'4. NPV'!II$8,0)</f>
        <v>-0.0</v>
      </c>
      <c r="II55" s="5">
        <f>-IFERROR('4. NPV'!IJ24/'4. NPV'!IJ$8,0)</f>
        <v>-0.0</v>
      </c>
      <c r="IJ55" s="5">
        <f>-IFERROR('4. NPV'!IK24/'4. NPV'!IK$8,0)</f>
        <v>-0.0</v>
      </c>
      <c r="IK55" s="5">
        <f>-IFERROR('4. NPV'!IL24/'4. NPV'!IL$8,0)</f>
        <v>-0.0</v>
      </c>
      <c r="IL55" s="5">
        <f>-IFERROR('4. NPV'!IM24/'4. NPV'!IM$8,0)</f>
        <v>-0.0</v>
      </c>
      <c r="IM55" s="5">
        <f>-IFERROR('4. NPV'!IN24/'4. NPV'!IN$8,0)</f>
        <v>-0.0</v>
      </c>
      <c r="IN55" s="5">
        <f>-IFERROR('4. NPV'!IO24/'4. NPV'!IO$8,0)</f>
        <v>-0.0</v>
      </c>
      <c r="IO55" s="5">
        <f>-IFERROR('4. NPV'!IP24/'4. NPV'!IP$8,0)</f>
        <v>-0.0</v>
      </c>
      <c r="IP55" s="5">
        <f>-IFERROR('4. NPV'!IQ24/'4. NPV'!IQ$8,0)</f>
        <v>-0.0</v>
      </c>
      <c r="IQ55" s="5">
        <f>-IFERROR('4. NPV'!IR24/'4. NPV'!IR$8,0)</f>
        <v>-0.0</v>
      </c>
      <c r="IR55" s="5">
        <f>-IFERROR('4. NPV'!IS24/'4. NPV'!IS$8,0)</f>
        <v>-0.0</v>
      </c>
      <c r="IS55" s="5">
        <f>-IFERROR('4. NPV'!IT24/'4. NPV'!IT$8,0)</f>
        <v>-0.0</v>
      </c>
      <c r="IT55" s="5">
        <f>-IFERROR('4. NPV'!IU24/'4. NPV'!IU$8,0)</f>
        <v>-0.0</v>
      </c>
      <c r="IU55" s="5">
        <f>-IFERROR('4. NPV'!IV24/'4. NPV'!IV$8,0)</f>
        <v>-0.0</v>
      </c>
      <c r="IV55" s="5">
        <f>-IFERROR('4. NPV'!IW24/'4. NPV'!IW$8,0)</f>
        <v>-0.0</v>
      </c>
      <c r="IW55" s="5">
        <f>-IFERROR('4. NPV'!IX24/'4. NPV'!IX$8,0)</f>
        <v>-0.0</v>
      </c>
      <c r="IX55" s="5">
        <f>-IFERROR('4. NPV'!IY24/'4. NPV'!IY$8,0)</f>
        <v>-0.0</v>
      </c>
      <c r="IY55" s="5">
        <f>-IFERROR('4. NPV'!IZ24/'4. NPV'!IZ$8,0)</f>
        <v>-0.0</v>
      </c>
      <c r="IZ55" s="5">
        <f>-IFERROR('4. NPV'!JA24/'4. NPV'!JA$8,0)</f>
        <v>-0.0</v>
      </c>
      <c r="JA55" s="5">
        <f>-IFERROR('4. NPV'!JB24/'4. NPV'!JB$8,0)</f>
        <v>-0.0</v>
      </c>
      <c r="JB55" s="5">
        <f>-IFERROR('4. NPV'!JC24/'4. NPV'!JC$8,0)</f>
        <v>-0.0</v>
      </c>
      <c r="JC55" s="5">
        <f>-IFERROR('4. NPV'!JD24/'4. NPV'!JD$8,0)</f>
        <v>-0.0</v>
      </c>
      <c r="JD55" s="5">
        <f>-IFERROR('4. NPV'!JE24/'4. NPV'!JE$8,0)</f>
        <v>-0.0</v>
      </c>
      <c r="JE55" s="5">
        <f>-IFERROR('4. NPV'!JF24/'4. NPV'!JF$8,0)</f>
        <v>-0.0</v>
      </c>
      <c r="JF55" s="5">
        <f>-IFERROR('4. NPV'!JG24/'4. NPV'!JG$8,0)</f>
        <v>-0.0</v>
      </c>
      <c r="JG55" s="5">
        <f>-IFERROR('4. NPV'!JH24/'4. NPV'!JH$8,0)</f>
        <v>-0.0</v>
      </c>
      <c r="JH55" s="5">
        <f>-IFERROR('4. NPV'!JI24/'4. NPV'!JI$8,0)</f>
        <v>-0.0</v>
      </c>
      <c r="JI55" s="5">
        <f>-IFERROR('4. NPV'!JJ24/'4. NPV'!JJ$8,0)</f>
        <v>-0.0</v>
      </c>
      <c r="JJ55" s="5">
        <f>-IFERROR('4. NPV'!JK24/'4. NPV'!JK$8,0)</f>
        <v>-0.0</v>
      </c>
      <c r="JK55" s="5">
        <f>-IFERROR('4. NPV'!JL24/'4. NPV'!JL$8,0)</f>
        <v>-0.0</v>
      </c>
      <c r="JL55" s="5">
        <f>-IFERROR('4. NPV'!JM24/'4. NPV'!JM$8,0)</f>
        <v>-0.0</v>
      </c>
      <c r="JM55" s="5">
        <f>-IFERROR('4. NPV'!JN24/'4. NPV'!JN$8,0)</f>
        <v>-0.0</v>
      </c>
      <c r="JN55" s="5">
        <f>-IFERROR('4. NPV'!JO24/'4. NPV'!JO$8,0)</f>
        <v>-0.0</v>
      </c>
      <c r="JO55" s="5">
        <f>-IFERROR('4. NPV'!JP24/'4. NPV'!JP$8,0)</f>
        <v>-0.0</v>
      </c>
      <c r="JP55" s="5">
        <f>-IFERROR('4. NPV'!JQ24/'4. NPV'!JQ$8,0)</f>
        <v>-0.0</v>
      </c>
      <c r="JQ55" s="5">
        <f>-IFERROR('4. NPV'!JR24/'4. NPV'!JR$8,0)</f>
        <v>-0.0</v>
      </c>
      <c r="JR55" s="5">
        <f>-IFERROR('4. NPV'!JS24/'4. NPV'!JS$8,0)</f>
        <v>-0.0</v>
      </c>
      <c r="JS55" s="5">
        <f>-IFERROR('4. NPV'!JT24/'4. NPV'!JT$8,0)</f>
        <v>-0.0</v>
      </c>
      <c r="JT55" s="5">
        <f>-IFERROR('4. NPV'!JU24/'4. NPV'!JU$8,0)</f>
        <v>-0.0</v>
      </c>
      <c r="JU55" s="5">
        <f>-IFERROR('4. NPV'!JV24/'4. NPV'!JV$8,0)</f>
        <v>-0.0</v>
      </c>
      <c r="JV55" s="5">
        <f>-IFERROR('4. NPV'!JW24/'4. NPV'!JW$8,0)</f>
        <v>-0.0</v>
      </c>
      <c r="JW55" s="5">
        <f>-IFERROR('4. NPV'!JX24/'4. NPV'!JX$8,0)</f>
        <v>-0.0</v>
      </c>
      <c r="JX55" s="5">
        <f>-IFERROR('4. NPV'!JY24/'4. NPV'!JY$8,0)</f>
        <v>-0.0</v>
      </c>
      <c r="JY55" s="5">
        <f>-IFERROR('4. NPV'!JZ24/'4. NPV'!JZ$8,0)</f>
        <v>-0.0</v>
      </c>
      <c r="JZ55" s="5">
        <f>-IFERROR('4. NPV'!KA24/'4. NPV'!KA$8,0)</f>
        <v>-0.0</v>
      </c>
      <c r="KA55" s="5">
        <f>-IFERROR('4. NPV'!KB24/'4. NPV'!KB$8,0)</f>
        <v>-0.0</v>
      </c>
      <c r="KB55" s="5">
        <f>-IFERROR('4. NPV'!KC24/'4. NPV'!KC$8,0)</f>
        <v>-0.0</v>
      </c>
      <c r="KC55" s="5">
        <f>-IFERROR('4. NPV'!KD24/'4. NPV'!KD$8,0)</f>
        <v>-0.0</v>
      </c>
      <c r="KD55" s="5">
        <f>-IFERROR('4. NPV'!KE24/'4. NPV'!KE$8,0)</f>
        <v>-0.0</v>
      </c>
      <c r="KE55" s="5">
        <f>-IFERROR('4. NPV'!KF24/'4. NPV'!KF$8,0)</f>
        <v>-0.0</v>
      </c>
      <c r="KF55" s="5">
        <f>-IFERROR('4. NPV'!KG24/'4. NPV'!KG$8,0)</f>
        <v>-0.0</v>
      </c>
      <c r="KG55" s="5">
        <f>-IFERROR('4. NPV'!KH24/'4. NPV'!KH$8,0)</f>
        <v>-0.0</v>
      </c>
      <c r="KH55" s="5">
        <f>-IFERROR('4. NPV'!KI24/'4. NPV'!KI$8,0)</f>
        <v>-0.0</v>
      </c>
      <c r="KI55" s="5">
        <f>-IFERROR('4. NPV'!KJ24/'4. NPV'!KJ$8,0)</f>
        <v>-0.0</v>
      </c>
      <c r="KJ55" s="5">
        <f>-IFERROR('4. NPV'!KK24/'4. NPV'!KK$8,0)</f>
        <v>-0.0</v>
      </c>
      <c r="KK55" s="5">
        <f>-IFERROR('4. NPV'!KL24/'4. NPV'!KL$8,0)</f>
        <v>-0.0</v>
      </c>
      <c r="KL55" s="5">
        <f>-IFERROR('4. NPV'!KM24/'4. NPV'!KM$8,0)</f>
        <v>-0.0</v>
      </c>
      <c r="KM55" s="5">
        <f>-IFERROR('4. NPV'!KN24/'4. NPV'!KN$8,0)</f>
        <v>-0.0</v>
      </c>
      <c r="KN55" s="5">
        <f>-IFERROR('4. NPV'!KO24/'4. NPV'!KO$8,0)</f>
        <v>-0.0</v>
      </c>
      <c r="KO55" s="5">
        <f>-IFERROR('4. NPV'!KP24/'4. NPV'!KP$8,0)</f>
        <v>-0.0</v>
      </c>
      <c r="KP55" s="5">
        <f>-IFERROR('4. NPV'!KQ24/'4. NPV'!KQ$8,0)</f>
        <v>-0.0</v>
      </c>
      <c r="KQ55" s="5">
        <f>-IFERROR('4. NPV'!KR24/'4. NPV'!KR$8,0)</f>
        <v>-0.0</v>
      </c>
      <c r="KR55" s="5">
        <f>-IFERROR('4. NPV'!KS24/'4. NPV'!KS$8,0)</f>
        <v>-0.0</v>
      </c>
      <c r="KS55" s="5">
        <f>-IFERROR('4. NPV'!KT24/'4. NPV'!KT$8,0)</f>
        <v>-0.0</v>
      </c>
      <c r="KT55" s="5">
        <f>-IFERROR('4. NPV'!KU24/'4. NPV'!KU$8,0)</f>
        <v>-0.0</v>
      </c>
      <c r="KU55" s="5">
        <f>-IFERROR('4. NPV'!KV24/'4. NPV'!KV$8,0)</f>
        <v>-0.0</v>
      </c>
      <c r="KV55" s="5">
        <f>-IFERROR('4. NPV'!KW24/'4. NPV'!KW$8,0)</f>
        <v>-0.0</v>
      </c>
      <c r="KW55" s="5">
        <f>-IFERROR('4. NPV'!KX24/'4. NPV'!KX$8,0)</f>
        <v>-0.0</v>
      </c>
      <c r="KX55" s="5">
        <f>-IFERROR('4. NPV'!KY24/'4. NPV'!KY$8,0)</f>
        <v>-0.0</v>
      </c>
      <c r="KY55" s="5">
        <f>-IFERROR('4. NPV'!KZ24/'4. NPV'!KZ$8,0)</f>
        <v>-0.0</v>
      </c>
      <c r="KZ55" s="5">
        <f>-IFERROR('4. NPV'!LA24/'4. NPV'!LA$8,0)</f>
        <v>-0.0</v>
      </c>
      <c r="LA55" s="5">
        <f>-IFERROR('4. NPV'!LB24/'4. NPV'!LB$8,0)</f>
        <v>-0.0</v>
      </c>
      <c r="LB55" s="5">
        <f>-IFERROR('4. NPV'!LC24/'4. NPV'!LC$8,0)</f>
        <v>-0.0</v>
      </c>
      <c r="LC55" s="5">
        <f>-IFERROR('4. NPV'!LD24/'4. NPV'!LD$8,0)</f>
        <v>-0.0</v>
      </c>
      <c r="LD55" s="5">
        <f>-IFERROR('4. NPV'!LE24/'4. NPV'!LE$8,0)</f>
        <v>-0.0</v>
      </c>
      <c r="LE55" s="5">
        <f>-IFERROR('4. NPV'!LF24/'4. NPV'!LF$8,0)</f>
        <v>-0.0</v>
      </c>
      <c r="LF55" s="5">
        <f>-IFERROR('4. NPV'!LG24/'4. NPV'!LG$8,0)</f>
        <v>-0.0</v>
      </c>
      <c r="LG55" s="5">
        <f>-IFERROR('4. NPV'!LH24/'4. NPV'!LH$8,0)</f>
        <v>-0.0</v>
      </c>
      <c r="LH55" s="5">
        <f>-IFERROR('4. NPV'!LI24/'4. NPV'!LI$8,0)</f>
        <v>-0.0</v>
      </c>
      <c r="LI55" s="5">
        <f>-IFERROR('4. NPV'!LJ24/'4. NPV'!LJ$8,0)</f>
        <v>-0.0</v>
      </c>
      <c r="LJ55" s="5">
        <f>-IFERROR('4. NPV'!LK24/'4. NPV'!LK$8,0)</f>
        <v>-0.0</v>
      </c>
      <c r="LK55" s="5">
        <f>-IFERROR('4. NPV'!LL24/'4. NPV'!LL$8,0)</f>
        <v>-0.0</v>
      </c>
      <c r="LL55" s="5">
        <f>-IFERROR('4. NPV'!LM24/'4. NPV'!LM$8,0)</f>
        <v>-0.0</v>
      </c>
      <c r="LM55" s="5">
        <f>-IFERROR('4. NPV'!LN24/'4. NPV'!LN$8,0)</f>
        <v>-0.0</v>
      </c>
      <c r="LN55" s="5">
        <f>-IFERROR('4. NPV'!LO24/'4. NPV'!LO$8,0)</f>
        <v>-0.0</v>
      </c>
      <c r="LO55" s="5">
        <f>-IFERROR('4. NPV'!LP24/'4. NPV'!LP$8,0)</f>
        <v>-0.0</v>
      </c>
      <c r="LP55" s="5">
        <f>-IFERROR('4. NPV'!LQ24/'4. NPV'!LQ$8,0)</f>
        <v>-0.0</v>
      </c>
      <c r="LQ55" s="5">
        <f>-IFERROR('4. NPV'!LR24/'4. NPV'!LR$8,0)</f>
        <v>-0.0</v>
      </c>
      <c r="LR55" s="5">
        <f>-IFERROR('4. NPV'!LS24/'4. NPV'!LS$8,0)</f>
        <v>-0.0</v>
      </c>
      <c r="LS55" s="5">
        <f>-IFERROR('4. NPV'!LT24/'4. NPV'!LT$8,0)</f>
        <v>-0.0</v>
      </c>
      <c r="LT55" s="5">
        <f>-IFERROR('4. NPV'!LU24/'4. NPV'!LU$8,0)</f>
        <v>-0.0</v>
      </c>
      <c r="LU55" s="5">
        <f>-IFERROR('4. NPV'!LV24/'4. NPV'!LV$8,0)</f>
        <v>-0.0</v>
      </c>
      <c r="LV55" s="5">
        <f>-IFERROR('4. NPV'!LW24/'4. NPV'!LW$8,0)</f>
        <v>-0.0</v>
      </c>
      <c r="LW55" s="5">
        <f>-IFERROR('4. NPV'!LX24/'4. NPV'!LX$8,0)</f>
        <v>-0.0</v>
      </c>
      <c r="LX55" s="5">
        <f>-IFERROR('4. NPV'!LY24/'4. NPV'!LY$8,0)</f>
        <v>-0.0</v>
      </c>
      <c r="LY55" s="5">
        <f>-IFERROR('4. NPV'!LZ24/'4. NPV'!LZ$8,0)</f>
        <v>-0.0</v>
      </c>
      <c r="LZ55" s="5">
        <f>-IFERROR('4. NPV'!MA24/'4. NPV'!MA$8,0)</f>
        <v>-0.0</v>
      </c>
      <c r="MA55" s="5">
        <f>-IFERROR('4. NPV'!MB24/'4. NPV'!MB$8,0)</f>
        <v>-0.0</v>
      </c>
      <c r="MB55" s="5">
        <f>-IFERROR('4. NPV'!MC24/'4. NPV'!MC$8,0)</f>
        <v>-0.0</v>
      </c>
      <c r="MC55" s="5">
        <f>-IFERROR('4. NPV'!MD24/'4. NPV'!MD$8,0)</f>
        <v>-0.0</v>
      </c>
      <c r="MD55" s="5">
        <f>-IFERROR('4. NPV'!ME24/'4. NPV'!ME$8,0)</f>
        <v>-0.0</v>
      </c>
      <c r="ME55" s="5">
        <f>-IFERROR('4. NPV'!MF24/'4. NPV'!MF$8,0)</f>
        <v>-0.0</v>
      </c>
      <c r="MF55" s="5">
        <f>-IFERROR('4. NPV'!MG24/'4. NPV'!MG$8,0)</f>
        <v>-0.0</v>
      </c>
      <c r="MG55" s="5">
        <f>-IFERROR('4. NPV'!MH24/'4. NPV'!MH$8,0)</f>
        <v>-0.0</v>
      </c>
      <c r="MH55" s="5">
        <f>-IFERROR('4. NPV'!MI24/'4. NPV'!MI$8,0)</f>
        <v>-0.0</v>
      </c>
      <c r="MI55" s="5">
        <f>-IFERROR('4. NPV'!MJ24/'4. NPV'!MJ$8,0)</f>
        <v>-0.0</v>
      </c>
      <c r="MJ55" s="5">
        <f>-IFERROR('4. NPV'!MK24/'4. NPV'!MK$8,0)</f>
        <v>-0.0</v>
      </c>
      <c r="MK55" s="5">
        <f>-IFERROR('4. NPV'!ML24/'4. NPV'!ML$8,0)</f>
        <v>-0.0</v>
      </c>
      <c r="ML55" s="5">
        <f>-IFERROR('4. NPV'!MM24/'4. NPV'!MM$8,0)</f>
        <v>-0.0</v>
      </c>
      <c r="MM55" s="5">
        <f>-IFERROR('4. NPV'!MN24/'4. NPV'!MN$8,0)</f>
        <v>-0.0</v>
      </c>
      <c r="MN55" s="5">
        <f>-IFERROR('4. NPV'!MO24/'4. NPV'!MO$8,0)</f>
        <v>-0.0</v>
      </c>
      <c r="MO55" s="5">
        <f>-IFERROR('4. NPV'!MP24/'4. NPV'!MP$8,0)</f>
        <v>-0.0</v>
      </c>
      <c r="MP55" s="5">
        <f>-IFERROR('4. NPV'!MQ24/'4. NPV'!MQ$8,0)</f>
        <v>-0.0</v>
      </c>
      <c r="MQ55" s="5">
        <f>-IFERROR('4. NPV'!MR24/'4. NPV'!MR$8,0)</f>
        <v>-0.0</v>
      </c>
      <c r="MR55" s="5">
        <f>-IFERROR('4. NPV'!MS24/'4. NPV'!MS$8,0)</f>
        <v>-0.0</v>
      </c>
      <c r="MS55" s="5">
        <f>-IFERROR('4. NPV'!MT24/'4. NPV'!MT$8,0)</f>
        <v>-0.0</v>
      </c>
      <c r="MT55" s="5">
        <f>-IFERROR('4. NPV'!MU24/'4. NPV'!MU$8,0)</f>
        <v>-0.0</v>
      </c>
      <c r="MU55" s="5">
        <f>-IFERROR('4. NPV'!MV24/'4. NPV'!MV$8,0)</f>
        <v>-0.0</v>
      </c>
      <c r="MV55" s="5">
        <f>-IFERROR('4. NPV'!MW24/'4. NPV'!MW$8,0)</f>
        <v>-0.0</v>
      </c>
      <c r="MW55" s="5">
        <f>-IFERROR('4. NPV'!MX24/'4. NPV'!MX$8,0)</f>
        <v>-0.0</v>
      </c>
      <c r="MX55" s="5">
        <f>-IFERROR('4. NPV'!MY24/'4. NPV'!MY$8,0)</f>
        <v>-0.0</v>
      </c>
      <c r="MY55" s="5">
        <f>-IFERROR('4. NPV'!MZ24/'4. NPV'!MZ$8,0)</f>
        <v>-0.0</v>
      </c>
      <c r="MZ55" s="5">
        <f>-IFERROR('4. NPV'!NA24/'4. NPV'!NA$8,0)</f>
        <v>-0.0</v>
      </c>
      <c r="NA55" s="5">
        <f>-IFERROR('4. NPV'!NB24/'4. NPV'!NB$8,0)</f>
        <v>-0.0</v>
      </c>
      <c r="NB55" s="5">
        <f>-IFERROR('4. NPV'!NC24/'4. NPV'!NC$8,0)</f>
        <v>-0.0</v>
      </c>
      <c r="NC55" s="5">
        <f>-IFERROR('4. NPV'!ND24/'4. NPV'!ND$8,0)</f>
        <v>-0.0</v>
      </c>
      <c r="ND55" s="5">
        <f>-IFERROR('4. NPV'!NE24/'4. NPV'!NE$8,0)</f>
        <v>-0.0</v>
      </c>
      <c r="NE55" s="5">
        <f>-IFERROR('4. NPV'!NF24/'4. NPV'!NF$8,0)</f>
        <v>-0.0</v>
      </c>
      <c r="NF55" s="5">
        <f>-IFERROR('4. NPV'!NG24/'4. NPV'!NG$8,0)</f>
        <v>-0.0</v>
      </c>
      <c r="NG55" s="5">
        <f>-IFERROR('4. NPV'!NH24/'4. NPV'!NH$8,0)</f>
        <v>-0.0</v>
      </c>
      <c r="NH55" s="5">
        <f>-IFERROR('4. NPV'!NI24/'4. NPV'!NI$8,0)</f>
        <v>-0.0</v>
      </c>
      <c r="NI55" s="5">
        <f>-IFERROR('4. NPV'!NJ24/'4. NPV'!NJ$8,0)</f>
        <v>-0.0</v>
      </c>
      <c r="NJ55" s="5">
        <f>-IFERROR('4. NPV'!NK24/'4. NPV'!NK$8,0)</f>
        <v>-0.0</v>
      </c>
      <c r="NK55" s="5">
        <f>-IFERROR('4. NPV'!NL24/'4. NPV'!NL$8,0)</f>
        <v>-0.0</v>
      </c>
      <c r="NL55" s="5">
        <f>-IFERROR('4. NPV'!NM24/'4. NPV'!NM$8,0)</f>
        <v>-0.0</v>
      </c>
      <c r="NM55" s="5">
        <f>-IFERROR('4. NPV'!NN24/'4. NPV'!NN$8,0)</f>
        <v>-0.0</v>
      </c>
      <c r="NN55" s="5">
        <f>-IFERROR('4. NPV'!NO24/'4. NPV'!NO$8,0)</f>
        <v>-0.0</v>
      </c>
      <c r="NO55" s="5">
        <f>-IFERROR('4. NPV'!NP24/'4. NPV'!NP$8,0)</f>
        <v>-0.0</v>
      </c>
      <c r="NP55" s="5">
        <f>-IFERROR('4. NPV'!NQ24/'4. NPV'!NQ$8,0)</f>
        <v>-0.0</v>
      </c>
      <c r="NQ55" s="5">
        <f>-IFERROR('4. NPV'!NR24/'4. NPV'!NR$8,0)</f>
        <v>-0.0</v>
      </c>
      <c r="NR55" s="5">
        <f>-IFERROR('4. NPV'!NS24/'4. NPV'!NS$8,0)</f>
        <v>-0.0</v>
      </c>
      <c r="NS55" s="5">
        <f>-IFERROR('4. NPV'!NT24/'4. NPV'!NT$8,0)</f>
        <v>-0.0</v>
      </c>
      <c r="NT55" s="5">
        <f>-IFERROR('4. NPV'!NU24/'4. NPV'!NU$8,0)</f>
        <v>-0.0</v>
      </c>
      <c r="NU55" s="5">
        <f>-IFERROR('4. NPV'!NV24/'4. NPV'!NV$8,0)</f>
        <v>-0.0</v>
      </c>
      <c r="NV55" s="5">
        <f>-IFERROR('4. NPV'!NW24/'4. NPV'!NW$8,0)</f>
        <v>-0.0</v>
      </c>
      <c r="NW55" s="5">
        <f>-IFERROR('4. NPV'!NX24/'4. NPV'!NX$8,0)</f>
        <v>-0.0</v>
      </c>
      <c r="NX55" s="5">
        <f>-IFERROR('4. NPV'!NY24/'4. NPV'!NY$8,0)</f>
        <v>-0.0</v>
      </c>
      <c r="NY55" s="5">
        <f>-IFERROR('4. NPV'!NZ24/'4. NPV'!NZ$8,0)</f>
        <v>-0.0</v>
      </c>
      <c r="NZ55" s="5">
        <f>-IFERROR('4. NPV'!OA24/'4. NPV'!OA$8,0)</f>
        <v>-0.0</v>
      </c>
      <c r="OA55" s="5">
        <f>-IFERROR('4. NPV'!OB24/'4. NPV'!OB$8,0)</f>
        <v>-0.0</v>
      </c>
      <c r="OB55" s="5">
        <f>-IFERROR('4. NPV'!OC24/'4. NPV'!OC$8,0)</f>
        <v>-0.0</v>
      </c>
      <c r="OC55" s="5">
        <f>-IFERROR('4. NPV'!OD24/'4. NPV'!OD$8,0)</f>
        <v>-0.0</v>
      </c>
      <c r="OD55" s="5">
        <f>-IFERROR('4. NPV'!OE24/'4. NPV'!OE$8,0)</f>
        <v>-0.0</v>
      </c>
      <c r="OE55" s="5">
        <f>-IFERROR('4. NPV'!OF24/'4. NPV'!OF$8,0)</f>
        <v>-0.0</v>
      </c>
      <c r="OF55" s="5">
        <f>-IFERROR('4. NPV'!OG24/'4. NPV'!OG$8,0)</f>
        <v>-0.0</v>
      </c>
      <c r="OG55" s="5">
        <f>-IFERROR('4. NPV'!OH24/'4. NPV'!OH$8,0)</f>
        <v>-0.0</v>
      </c>
      <c r="OH55" s="5">
        <f>-IFERROR('4. NPV'!OI24/'4. NPV'!OI$8,0)</f>
        <v>-0.0</v>
      </c>
      <c r="OI55" s="5">
        <f>-IFERROR('4. NPV'!OJ24/'4. NPV'!OJ$8,0)</f>
        <v>-0.0</v>
      </c>
      <c r="OJ55" s="5">
        <f>-IFERROR('4. NPV'!OK24/'4. NPV'!OK$8,0)</f>
        <v>-0.0</v>
      </c>
      <c r="OK55" s="5">
        <f>-IFERROR('4. NPV'!OL24/'4. NPV'!OL$8,0)</f>
        <v>-0.0</v>
      </c>
      <c r="OL55" s="5">
        <f>-IFERROR('4. NPV'!OM24/'4. NPV'!OM$8,0)</f>
        <v>-0.0</v>
      </c>
      <c r="OM55" s="5">
        <f>-IFERROR('4. NPV'!ON24/'4. NPV'!ON$8,0)</f>
        <v>-0.0</v>
      </c>
      <c r="ON55" s="5">
        <f>-IFERROR('4. NPV'!OO24/'4. NPV'!OO$8,0)</f>
        <v>-0.0</v>
      </c>
      <c r="OO55" s="5">
        <f>-IFERROR('4. NPV'!OP24/'4. NPV'!OP$8,0)</f>
        <v>-0.0</v>
      </c>
      <c r="OP55" s="5">
        <f>-IFERROR('4. NPV'!OQ24/'4. NPV'!OQ$8,0)</f>
        <v>-0.0</v>
      </c>
      <c r="OQ55" s="5">
        <f>-IFERROR('4. NPV'!OR24/'4. NPV'!OR$8,0)</f>
        <v>-0.0</v>
      </c>
      <c r="OR55" s="5">
        <f>-IFERROR('4. NPV'!OS24/'4. NPV'!OS$8,0)</f>
        <v>-0.0</v>
      </c>
      <c r="OS55" s="5">
        <f>-IFERROR('4. NPV'!OT24/'4. NPV'!OT$8,0)</f>
        <v>-0.0</v>
      </c>
      <c r="OT55" s="5">
        <f>-IFERROR('4. NPV'!OU24/'4. NPV'!OU$8,0)</f>
        <v>-0.0</v>
      </c>
      <c r="OU55" s="5">
        <f>-IFERROR('4. NPV'!OV24/'4. NPV'!OV$8,0)</f>
        <v>-0.0</v>
      </c>
      <c r="OV55" s="5">
        <f>-IFERROR('4. NPV'!OW24/'4. NPV'!OW$8,0)</f>
        <v>-0.0</v>
      </c>
      <c r="OW55" s="5">
        <f>-IFERROR('4. NPV'!OX24/'4. NPV'!OX$8,0)</f>
        <v>-0.0</v>
      </c>
      <c r="OX55" s="5">
        <f>-IFERROR('4. NPV'!OY24/'4. NPV'!OY$8,0)</f>
        <v>-0.0</v>
      </c>
      <c r="OY55" s="5">
        <f>-IFERROR('4. NPV'!OZ24/'4. NPV'!OZ$8,0)</f>
        <v>-0.0</v>
      </c>
      <c r="OZ55" s="5">
        <f>-IFERROR('4. NPV'!PA24/'4. NPV'!PA$8,0)</f>
        <v>-0.0</v>
      </c>
      <c r="PA55" s="5">
        <f>-IFERROR('4. NPV'!PB24/'4. NPV'!PB$8,0)</f>
        <v>-0.0</v>
      </c>
      <c r="PB55" s="5">
        <f>-IFERROR('4. NPV'!PC24/'4. NPV'!PC$8,0)</f>
        <v>-0.0</v>
      </c>
      <c r="PC55" s="5">
        <f>-IFERROR('4. NPV'!PD24/'4. NPV'!PD$8,0)</f>
        <v>-0.0</v>
      </c>
      <c r="PD55" s="5">
        <f>-IFERROR('4. NPV'!PE24/'4. NPV'!PE$8,0)</f>
        <v>-0.0</v>
      </c>
      <c r="PE55" s="5">
        <f>-IFERROR('4. NPV'!PF24/'4. NPV'!PF$8,0)</f>
        <v>-0.0</v>
      </c>
      <c r="PF55" s="5">
        <f>-IFERROR('4. NPV'!PG24/'4. NPV'!PG$8,0)</f>
        <v>-0.0</v>
      </c>
      <c r="PG55" s="5">
        <f>-IFERROR('4. NPV'!PH24/'4. NPV'!PH$8,0)</f>
        <v>-0.0</v>
      </c>
      <c r="PH55" s="5">
        <f>-IFERROR('4. NPV'!PI24/'4. NPV'!PI$8,0)</f>
        <v>-0.0</v>
      </c>
      <c r="PI55" s="5">
        <f>-IFERROR('4. NPV'!PJ24/'4. NPV'!PJ$8,0)</f>
        <v>-0.0</v>
      </c>
      <c r="PJ55" s="5">
        <f>-IFERROR('4. NPV'!PK24/'4. NPV'!PK$8,0)</f>
        <v>-0.0</v>
      </c>
      <c r="PK55" s="5">
        <f>-IFERROR('4. NPV'!PL24/'4. NPV'!PL$8,0)</f>
        <v>-0.0</v>
      </c>
      <c r="PL55" s="5">
        <f>-IFERROR('4. NPV'!PM24/'4. NPV'!PM$8,0)</f>
        <v>-0.0</v>
      </c>
      <c r="PM55" s="5">
        <f>-IFERROR('4. NPV'!PN24/'4. NPV'!PN$8,0)</f>
        <v>-0.0</v>
      </c>
      <c r="PN55" s="5">
        <f>-IFERROR('4. NPV'!PO24/'4. NPV'!PO$8,0)</f>
        <v>-0.0</v>
      </c>
      <c r="PO55" s="5">
        <f>-IFERROR('4. NPV'!PP24/'4. NPV'!PP$8,0)</f>
        <v>-0.0</v>
      </c>
      <c r="PP55" s="5">
        <f>-IFERROR('4. NPV'!PQ24/'4. NPV'!PQ$8,0)</f>
        <v>-0.0</v>
      </c>
      <c r="PQ55" s="5">
        <f>-IFERROR('4. NPV'!PR24/'4. NPV'!PR$8,0)</f>
        <v>-0.0</v>
      </c>
      <c r="PR55" s="5">
        <f>-IFERROR('4. NPV'!PS24/'4. NPV'!PS$8,0)</f>
        <v>-0.0</v>
      </c>
      <c r="PS55" s="5">
        <f>-IFERROR('4. NPV'!PT24/'4. NPV'!PT$8,0)</f>
        <v>-0.0</v>
      </c>
      <c r="PT55" s="5">
        <f>-IFERROR('4. NPV'!PU24/'4. NPV'!PU$8,0)</f>
        <v>-0.0</v>
      </c>
      <c r="PU55" s="5">
        <f>-IFERROR('4. NPV'!PV24/'4. NPV'!PV$8,0)</f>
        <v>-0.0</v>
      </c>
      <c r="PV55" s="5">
        <f>-IFERROR('4. NPV'!PW24/'4. NPV'!PW$8,0)</f>
        <v>-0.0</v>
      </c>
      <c r="PW55" s="5">
        <f>-IFERROR('4. NPV'!PX24/'4. NPV'!PX$8,0)</f>
        <v>-0.0</v>
      </c>
      <c r="PX55" s="5">
        <f>-IFERROR('4. NPV'!PY24/'4. NPV'!PY$8,0)</f>
        <v>-0.0</v>
      </c>
      <c r="PY55" s="5">
        <f>-IFERROR('4. NPV'!PZ24/'4. NPV'!PZ$8,0)</f>
        <v>-0.0</v>
      </c>
      <c r="PZ55" s="5">
        <f>-IFERROR('4. NPV'!QA24/'4. NPV'!QA$8,0)</f>
        <v>-0.0</v>
      </c>
      <c r="QA55" s="5">
        <f>-IFERROR('4. NPV'!QB24/'4. NPV'!QB$8,0)</f>
        <v>-0.0</v>
      </c>
      <c r="QB55" s="5">
        <f>-IFERROR('4. NPV'!QC24/'4. NPV'!QC$8,0)</f>
        <v>-0.0</v>
      </c>
      <c r="QC55" s="5">
        <f>-IFERROR('4. NPV'!QD24/'4. NPV'!QD$8,0)</f>
        <v>-0.0</v>
      </c>
      <c r="QD55" s="5">
        <f>-IFERROR('4. NPV'!QE24/'4. NPV'!QE$8,0)</f>
        <v>-0.0</v>
      </c>
      <c r="QE55" s="5">
        <f>-IFERROR('4. NPV'!QF24/'4. NPV'!QF$8,0)</f>
        <v>-0.0</v>
      </c>
      <c r="QF55" s="5">
        <f>-IFERROR('4. NPV'!QG24/'4. NPV'!QG$8,0)</f>
        <v>-0.0</v>
      </c>
      <c r="QG55" s="5">
        <f>-IFERROR('4. NPV'!QH24/'4. NPV'!QH$8,0)</f>
        <v>-0.0</v>
      </c>
      <c r="QH55" s="5">
        <f>-IFERROR('4. NPV'!QI24/'4. NPV'!QI$8,0)</f>
        <v>-0.0</v>
      </c>
      <c r="QI55" s="5">
        <f>-IFERROR('4. NPV'!QJ24/'4. NPV'!QJ$8,0)</f>
        <v>-0.0</v>
      </c>
      <c r="QJ55" s="5">
        <f>-IFERROR('4. NPV'!QK24/'4. NPV'!QK$8,0)</f>
        <v>-0.0</v>
      </c>
      <c r="QK55" s="5">
        <f>-IFERROR('4. NPV'!QL24/'4. NPV'!QL$8,0)</f>
        <v>-0.0</v>
      </c>
      <c r="QL55" s="5">
        <f>-IFERROR('4. NPV'!QM24/'4. NPV'!QM$8,0)</f>
        <v>-0.0</v>
      </c>
      <c r="QM55" s="5">
        <f>-IFERROR('4. NPV'!QN24/'4. NPV'!QN$8,0)</f>
        <v>-0.0</v>
      </c>
      <c r="QN55" s="5">
        <f>-IFERROR('4. NPV'!QO24/'4. NPV'!QO$8,0)</f>
        <v>-0.0</v>
      </c>
      <c r="QO55" s="5">
        <f>-IFERROR('4. NPV'!QP24/'4. NPV'!QP$8,0)</f>
        <v>-0.0</v>
      </c>
      <c r="QP55" s="5">
        <f>-IFERROR('4. NPV'!QQ24/'4. NPV'!QQ$8,0)</f>
        <v>-0.0</v>
      </c>
      <c r="QQ55" s="5">
        <f>-IFERROR('4. NPV'!QR24/'4. NPV'!QR$8,0)</f>
        <v>-0.0</v>
      </c>
      <c r="QR55" s="5">
        <f>-IFERROR('4. NPV'!QS24/'4. NPV'!QS$8,0)</f>
        <v>-0.0</v>
      </c>
      <c r="QS55" s="5">
        <f>-IFERROR('4. NPV'!QT24/'4. NPV'!QT$8,0)</f>
        <v>-0.0</v>
      </c>
      <c r="QT55" s="5">
        <f>-IFERROR('4. NPV'!QU24/'4. NPV'!QU$8,0)</f>
        <v>-0.0</v>
      </c>
      <c r="QU55" s="5">
        <f>-IFERROR('4. NPV'!QV24/'4. NPV'!QV$8,0)</f>
        <v>-0.0</v>
      </c>
      <c r="QV55" s="5">
        <f>-IFERROR('4. NPV'!QW24/'4. NPV'!QW$8,0)</f>
        <v>-0.0</v>
      </c>
      <c r="QW55" s="5">
        <f>-IFERROR('4. NPV'!QX24/'4. NPV'!QX$8,0)</f>
        <v>-0.0</v>
      </c>
      <c r="QX55" s="5">
        <f>-IFERROR('4. NPV'!QY24/'4. NPV'!QY$8,0)</f>
        <v>-0.0</v>
      </c>
      <c r="QY55" s="5">
        <f>-IFERROR('4. NPV'!QZ24/'4. NPV'!QZ$8,0)</f>
        <v>-0.0</v>
      </c>
      <c r="QZ55" s="5">
        <f>-IFERROR('4. NPV'!RA24/'4. NPV'!RA$8,0)</f>
        <v>-0.0</v>
      </c>
      <c r="RA55" s="5">
        <f>-IFERROR('4. NPV'!RB24/'4. NPV'!RB$8,0)</f>
        <v>-0.0</v>
      </c>
      <c r="RB55" s="5">
        <f>-IFERROR('4. NPV'!RC24/'4. NPV'!RC$8,0)</f>
        <v>-0.0</v>
      </c>
      <c r="RC55" s="5">
        <f>-IFERROR('4. NPV'!RD24/'4. NPV'!RD$8,0)</f>
        <v>-0.0</v>
      </c>
      <c r="RD55" s="5">
        <f>-IFERROR('4. NPV'!RE24/'4. NPV'!RE$8,0)</f>
        <v>-0.0</v>
      </c>
      <c r="RE55" s="5">
        <f>-IFERROR('4. NPV'!RF24/'4. NPV'!RF$8,0)</f>
        <v>-0.0</v>
      </c>
      <c r="RF55" s="5">
        <f>-IFERROR('4. NPV'!RG24/'4. NPV'!RG$8,0)</f>
        <v>-0.0</v>
      </c>
      <c r="RG55" s="5">
        <f>-IFERROR('4. NPV'!RH24/'4. NPV'!RH$8,0)</f>
        <v>-0.0</v>
      </c>
      <c r="RH55" s="5">
        <f>-IFERROR('4. NPV'!RI24/'4. NPV'!RI$8,0)</f>
        <v>-0.0</v>
      </c>
      <c r="RI55" s="5">
        <f>-IFERROR('4. NPV'!RJ24/'4. NPV'!RJ$8,0)</f>
        <v>-0.0</v>
      </c>
      <c r="RJ55" s="5">
        <f>-IFERROR('4. NPV'!RK24/'4. NPV'!RK$8,0)</f>
        <v>-0.0</v>
      </c>
      <c r="RK55" s="5">
        <f>-IFERROR('4. NPV'!RL24/'4. NPV'!RL$8,0)</f>
        <v>-0.0</v>
      </c>
      <c r="RL55" s="5">
        <f>-IFERROR('4. NPV'!RM24/'4. NPV'!RM$8,0)</f>
        <v>-0.0</v>
      </c>
      <c r="RM55" s="5">
        <f>-IFERROR('4. NPV'!RN24/'4. NPV'!RN$8,0)</f>
        <v>-0.0</v>
      </c>
      <c r="RN55" s="5">
        <f>-IFERROR('4. NPV'!RO24/'4. NPV'!RO$8,0)</f>
        <v>-0.0</v>
      </c>
      <c r="RO55" s="5">
        <f>-IFERROR('4. NPV'!RP24/'4. NPV'!RP$8,0)</f>
        <v>-0.0</v>
      </c>
      <c r="RP55" s="5">
        <f>-IFERROR('4. NPV'!RQ24/'4. NPV'!RQ$8,0)</f>
        <v>-0.0</v>
      </c>
      <c r="RQ55" s="5">
        <f>-IFERROR('4. NPV'!RR24/'4. NPV'!RR$8,0)</f>
        <v>-0.0</v>
      </c>
      <c r="RR55" s="5">
        <f>-IFERROR('4. NPV'!RS24/'4. NPV'!RS$8,0)</f>
        <v>-0.0</v>
      </c>
      <c r="RS55" s="5">
        <f>-IFERROR('4. NPV'!RT24/'4. NPV'!RT$8,0)</f>
        <v>-0.0</v>
      </c>
      <c r="RT55" s="5">
        <f>-IFERROR('4. NPV'!RU24/'4. NPV'!RU$8,0)</f>
        <v>-0.0</v>
      </c>
      <c r="RU55" s="5">
        <f>-IFERROR('4. NPV'!RV24/'4. NPV'!RV$8,0)</f>
        <v>-0.0</v>
      </c>
      <c r="RV55" s="5">
        <f>-IFERROR('4. NPV'!RW24/'4. NPV'!RW$8,0)</f>
        <v>-0.0</v>
      </c>
      <c r="RW55" s="5">
        <f>-IFERROR('4. NPV'!RX24/'4. NPV'!RX$8,0)</f>
        <v>-0.0</v>
      </c>
      <c r="RX55" s="5">
        <f>-IFERROR('4. NPV'!RY24/'4. NPV'!RY$8,0)</f>
        <v>-0.0</v>
      </c>
      <c r="RY55" s="5">
        <f>-IFERROR('4. NPV'!RZ24/'4. NPV'!RZ$8,0)</f>
        <v>-0.0</v>
      </c>
      <c r="RZ55" s="5">
        <f>-IFERROR('4. NPV'!SA24/'4. NPV'!SA$8,0)</f>
        <v>-0.0</v>
      </c>
      <c r="SA55" s="5">
        <f>-IFERROR('4. NPV'!SB24/'4. NPV'!SB$8,0)</f>
        <v>-0.0</v>
      </c>
      <c r="SB55" s="5">
        <f>-IFERROR('4. NPV'!SC24/'4. NPV'!SC$8,0)</f>
        <v>-0.0</v>
      </c>
      <c r="SC55" s="5">
        <f>-IFERROR('4. NPV'!SD24/'4. NPV'!SD$8,0)</f>
        <v>-0.0</v>
      </c>
      <c r="SD55" s="5">
        <f>-IFERROR('4. NPV'!SE24/'4. NPV'!SE$8,0)</f>
        <v>-0.0</v>
      </c>
      <c r="SE55" s="5">
        <f>-IFERROR('4. NPV'!SF24/'4. NPV'!SF$8,0)</f>
        <v>-0.0</v>
      </c>
      <c r="SF55" s="5">
        <f>-IFERROR('4. NPV'!SG24/'4. NPV'!SG$8,0)</f>
        <v>-0.0</v>
      </c>
      <c r="SG55" s="5">
        <f>-IFERROR('4. NPV'!SH24/'4. NPV'!SH$8,0)</f>
        <v>-0.0</v>
      </c>
      <c r="SH55" s="5">
        <f>-IFERROR('4. NPV'!SI24/'4. NPV'!SI$8,0)</f>
        <v>-0.0</v>
      </c>
      <c r="SI55" s="5">
        <f>-IFERROR('4. NPV'!SJ24/'4. NPV'!SJ$8,0)</f>
        <v>-0.0</v>
      </c>
      <c r="SJ55" s="5">
        <f>-IFERROR('4. NPV'!SK24/'4. NPV'!SK$8,0)</f>
        <v>-0.0</v>
      </c>
      <c r="SK55" s="5">
        <f>-IFERROR('4. NPV'!SL24/'4. NPV'!SL$8,0)</f>
        <v>-0.0</v>
      </c>
      <c r="SL55" s="5">
        <f>-IFERROR('4. NPV'!SM24/'4. NPV'!SM$8,0)</f>
        <v>-0.0</v>
      </c>
      <c r="SM55" s="5">
        <f>-IFERROR('4. NPV'!SN24/'4. NPV'!SN$8,0)</f>
        <v>-0.0</v>
      </c>
      <c r="SN55" s="5">
        <f>-IFERROR('4. NPV'!SO24/'4. NPV'!SO$8,0)</f>
        <v>-0.0</v>
      </c>
      <c r="SO55" s="5">
        <f>-IFERROR('4. NPV'!SP24/'4. NPV'!SP$8,0)</f>
        <v>-0.0</v>
      </c>
      <c r="SP55" s="5">
        <f>-IFERROR('4. NPV'!SQ24/'4. NPV'!SQ$8,0)</f>
        <v>-0.0</v>
      </c>
      <c r="SQ55" s="5">
        <f>-IFERROR('4. NPV'!SR24/'4. NPV'!SR$8,0)</f>
        <v>-0.0</v>
      </c>
      <c r="SR55" s="5">
        <f>-IFERROR('4. NPV'!SS24/'4. NPV'!SS$8,0)</f>
        <v>-0.0</v>
      </c>
      <c r="SS55" s="5">
        <f>-IFERROR('4. NPV'!ST24/'4. NPV'!ST$8,0)</f>
        <v>-0.0</v>
      </c>
      <c r="ST55" s="5">
        <f>-IFERROR('4. NPV'!SU24/'4. NPV'!SU$8,0)</f>
        <v>-0.0</v>
      </c>
      <c r="SU55" s="5">
        <f>-IFERROR('4. NPV'!SV24/'4. NPV'!SV$8,0)</f>
        <v>-0.0</v>
      </c>
      <c r="SV55" s="5">
        <f>-IFERROR('4. NPV'!SW24/'4. NPV'!SW$8,0)</f>
        <v>-0.0</v>
      </c>
      <c r="SW55" s="5">
        <f>-IFERROR('4. NPV'!SX24/'4. NPV'!SX$8,0)</f>
        <v>-0.0</v>
      </c>
      <c r="SX55" s="5">
        <f>-IFERROR('4. NPV'!SY24/'4. NPV'!SY$8,0)</f>
        <v>-0.0</v>
      </c>
      <c r="SY55" s="5">
        <f>-IFERROR('4. NPV'!SZ24/'4. NPV'!SZ$8,0)</f>
        <v>-0.0</v>
      </c>
      <c r="SZ55" s="5">
        <f>-IFERROR('4. NPV'!TA24/'4. NPV'!TA$8,0)</f>
        <v>-0.0</v>
      </c>
      <c r="TA55" s="5">
        <f>-IFERROR('4. NPV'!TB24/'4. NPV'!TB$8,0)</f>
        <v>-0.0</v>
      </c>
      <c r="TB55" s="5">
        <f>-IFERROR('4. NPV'!TC24/'4. NPV'!TC$8,0)</f>
        <v>-0.0</v>
      </c>
      <c r="TC55" s="5">
        <f>-IFERROR('4. NPV'!TD24/'4. NPV'!TD$8,0)</f>
        <v>-0.0</v>
      </c>
      <c r="TD55" s="5">
        <f>-IFERROR('4. NPV'!TE24/'4. NPV'!TE$8,0)</f>
        <v>-0.0</v>
      </c>
      <c r="TE55" s="5">
        <f>-IFERROR('4. NPV'!TF24/'4. NPV'!TF$8,0)</f>
        <v>-0.0</v>
      </c>
      <c r="TF55" s="5">
        <f>-IFERROR('4. NPV'!TG24/'4. NPV'!TG$8,0)</f>
        <v>-0.0</v>
      </c>
      <c r="TG55" s="5">
        <f>-IFERROR('4. NPV'!TH24/'4. NPV'!TH$8,0)</f>
        <v>-0.0</v>
      </c>
      <c r="TH55" s="5">
        <f>-IFERROR('4. NPV'!TI24/'4. NPV'!TI$8,0)</f>
        <v>-0.0</v>
      </c>
      <c r="TI55" s="5">
        <f>-IFERROR('4. NPV'!TJ24/'4. NPV'!TJ$8,0)</f>
        <v>-0.0</v>
      </c>
      <c r="TJ55" s="5">
        <f>-IFERROR('4. NPV'!TK24/'4. NPV'!TK$8,0)</f>
        <v>-0.0</v>
      </c>
      <c r="TK55" s="5">
        <f>-IFERROR('4. NPV'!TL24/'4. NPV'!TL$8,0)</f>
        <v>-0.0</v>
      </c>
      <c r="TL55" s="5">
        <f>-IFERROR('4. NPV'!TM24/'4. NPV'!TM$8,0)</f>
        <v>-0.0</v>
      </c>
      <c r="TM55" s="5">
        <f>-IFERROR('4. NPV'!TN24/'4. NPV'!TN$8,0)</f>
        <v>-0.0</v>
      </c>
      <c r="TN55" s="5">
        <f>-IFERROR('4. NPV'!TO24/'4. NPV'!TO$8,0)</f>
        <v>-0.0</v>
      </c>
      <c r="TO55" s="5">
        <f>-IFERROR('4. NPV'!TP24/'4. NPV'!TP$8,0)</f>
        <v>-0.0</v>
      </c>
      <c r="TP55" s="5">
        <f>-IFERROR('4. NPV'!TQ24/'4. NPV'!TQ$8,0)</f>
        <v>-0.0</v>
      </c>
      <c r="TQ55" s="5">
        <f>-IFERROR('4. NPV'!TR24/'4. NPV'!TR$8,0)</f>
        <v>-0.0</v>
      </c>
      <c r="TR55" s="5">
        <f>-IFERROR('4. NPV'!TS24/'4. NPV'!TS$8,0)</f>
        <v>-0.0</v>
      </c>
      <c r="TS55" s="5">
        <f>-IFERROR('4. NPV'!TT24/'4. NPV'!TT$8,0)</f>
        <v>-0.0</v>
      </c>
      <c r="TT55" s="5">
        <f>-IFERROR('4. NPV'!TU24/'4. NPV'!TU$8,0)</f>
        <v>-0.0</v>
      </c>
      <c r="TU55" s="5">
        <f>-IFERROR('4. NPV'!TV24/'4. NPV'!TV$8,0)</f>
        <v>-0.0</v>
      </c>
      <c r="TV55" s="5">
        <f>-IFERROR('4. NPV'!TW24/'4. NPV'!TW$8,0)</f>
        <v>-0.0</v>
      </c>
      <c r="TW55" s="5">
        <f>-IFERROR('4. NPV'!TX24/'4. NPV'!TX$8,0)</f>
        <v>-0.0</v>
      </c>
      <c r="TX55" s="5">
        <f>-IFERROR('4. NPV'!TY24/'4. NPV'!TY$8,0)</f>
        <v>-0.0</v>
      </c>
      <c r="TY55" s="5">
        <f>-IFERROR('4. NPV'!TZ24/'4. NPV'!TZ$8,0)</f>
        <v>-0.0</v>
      </c>
      <c r="TZ55" s="5">
        <f>-IFERROR('4. NPV'!UA24/'4. NPV'!UA$8,0)</f>
        <v>-0.0</v>
      </c>
      <c r="UA55" s="5">
        <f>-IFERROR('4. NPV'!UB24/'4. NPV'!UB$8,0)</f>
        <v>-0.0</v>
      </c>
      <c r="UB55" s="5">
        <f>-IFERROR('4. NPV'!UC24/'4. NPV'!UC$8,0)</f>
        <v>-0.0</v>
      </c>
      <c r="UC55" s="5">
        <f>-IFERROR('4. NPV'!UD24/'4. NPV'!UD$8,0)</f>
        <v>-0.0</v>
      </c>
      <c r="UD55" s="5">
        <f>-IFERROR('4. NPV'!UE24/'4. NPV'!UE$8,0)</f>
        <v>-0.0</v>
      </c>
      <c r="UE55" s="5">
        <f>-IFERROR('4. NPV'!UF24/'4. NPV'!UF$8,0)</f>
        <v>-0.0</v>
      </c>
      <c r="UF55" s="5">
        <f>-IFERROR('4. NPV'!UG24/'4. NPV'!UG$8,0)</f>
        <v>-0.0</v>
      </c>
      <c r="UG55" s="5">
        <f>-IFERROR('4. NPV'!UH24/'4. NPV'!UH$8,0)</f>
        <v>-0.0</v>
      </c>
      <c r="UH55" s="5">
        <f>-IFERROR('4. NPV'!UI24/'4. NPV'!UI$8,0)</f>
        <v>-0.0</v>
      </c>
      <c r="UI55" s="5">
        <f>-IFERROR('4. NPV'!UJ24/'4. NPV'!UJ$8,0)</f>
        <v>-0.0</v>
      </c>
      <c r="UJ55" s="5">
        <f>-IFERROR('4. NPV'!UK24/'4. NPV'!UK$8,0)</f>
        <v>-0.0</v>
      </c>
      <c r="UK55" s="5">
        <f>-IFERROR('4. NPV'!UL24/'4. NPV'!UL$8,0)</f>
        <v>-0.0</v>
      </c>
      <c r="UL55" s="5">
        <f>-IFERROR('4. NPV'!UM24/'4. NPV'!UM$8,0)</f>
        <v>-0.0</v>
      </c>
      <c r="UM55" s="5">
        <f>-IFERROR('4. NPV'!UN24/'4. NPV'!UN$8,0)</f>
        <v>-0.0</v>
      </c>
      <c r="UN55" s="5">
        <f>-IFERROR('4. NPV'!UO24/'4. NPV'!UO$8,0)</f>
        <v>-0.0</v>
      </c>
      <c r="UO55" s="5">
        <f>-IFERROR('4. NPV'!UP24/'4. NPV'!UP$8,0)</f>
        <v>-0.0</v>
      </c>
      <c r="UP55" s="5">
        <f>-IFERROR('4. NPV'!UQ24/'4. NPV'!UQ$8,0)</f>
        <v>-0.0</v>
      </c>
      <c r="UQ55" s="5">
        <f>-IFERROR('4. NPV'!UR24/'4. NPV'!UR$8,0)</f>
        <v>-0.0</v>
      </c>
      <c r="UR55" s="5">
        <f>-IFERROR('4. NPV'!US24/'4. NPV'!US$8,0)</f>
        <v>-0.0</v>
      </c>
      <c r="US55" s="5">
        <f>-IFERROR('4. NPV'!UT24/'4. NPV'!UT$8,0)</f>
        <v>-0.0</v>
      </c>
      <c r="UT55" s="5">
        <f>-IFERROR('4. NPV'!UU24/'4. NPV'!UU$8,0)</f>
        <v>-0.0</v>
      </c>
      <c r="UU55" s="5">
        <f>-IFERROR('4. NPV'!UV24/'4. NPV'!UV$8,0)</f>
        <v>-0.0</v>
      </c>
      <c r="UV55" s="5">
        <f>-IFERROR('4. NPV'!UW24/'4. NPV'!UW$8,0)</f>
        <v>-0.0</v>
      </c>
      <c r="UW55" s="5">
        <f>-IFERROR('4. NPV'!UX24/'4. NPV'!UX$8,0)</f>
        <v>-0.0</v>
      </c>
      <c r="UX55" s="5">
        <f>-IFERROR('4. NPV'!UY24/'4. NPV'!UY$8,0)</f>
        <v>-0.0</v>
      </c>
      <c r="UY55" s="5">
        <f>-IFERROR('4. NPV'!UZ24/'4. NPV'!UZ$8,0)</f>
        <v>-0.0</v>
      </c>
      <c r="UZ55" s="5">
        <f>-IFERROR('4. NPV'!VA24/'4. NPV'!VA$8,0)</f>
        <v>-0.0</v>
      </c>
      <c r="VA55" s="5">
        <f>-IFERROR('4. NPV'!VB24/'4. NPV'!VB$8,0)</f>
        <v>-0.0</v>
      </c>
      <c r="VB55" s="5">
        <f>-IFERROR('4. NPV'!VC24/'4. NPV'!VC$8,0)</f>
        <v>-0.0</v>
      </c>
      <c r="VC55" s="5">
        <f>-IFERROR('4. NPV'!VD24/'4. NPV'!VD$8,0)</f>
        <v>-0.0</v>
      </c>
      <c r="VD55" s="5">
        <f>-IFERROR('4. NPV'!VE24/'4. NPV'!VE$8,0)</f>
        <v>-0.0</v>
      </c>
      <c r="VE55" s="5">
        <f>-IFERROR('4. NPV'!VF24/'4. NPV'!VF$8,0)</f>
        <v>-0.0</v>
      </c>
      <c r="VF55" s="5">
        <f>-IFERROR('4. NPV'!VG24/'4. NPV'!VG$8,0)</f>
        <v>-0.0</v>
      </c>
      <c r="VG55" s="5">
        <f>-IFERROR('4. NPV'!VH24/'4. NPV'!VH$8,0)</f>
        <v>-0.0</v>
      </c>
      <c r="VH55" s="5">
        <f>-IFERROR('4. NPV'!VI24/'4. NPV'!VI$8,0)</f>
        <v>-0.0</v>
      </c>
      <c r="VI55" s="5">
        <f>-IFERROR('4. NPV'!VJ24/'4. NPV'!VJ$8,0)</f>
        <v>-0.0</v>
      </c>
      <c r="VJ55" s="5">
        <f>-IFERROR('4. NPV'!VK24/'4. NPV'!VK$8,0)</f>
        <v>-0.0</v>
      </c>
      <c r="VK55" s="5">
        <f>-IFERROR('4. NPV'!VL24/'4. NPV'!VL$8,0)</f>
        <v>-0.0</v>
      </c>
      <c r="VL55" s="5">
        <f>-IFERROR('4. NPV'!VM24/'4. NPV'!VM$8,0)</f>
        <v>-0.0</v>
      </c>
      <c r="VM55" s="5">
        <f>-IFERROR('4. NPV'!VN24/'4. NPV'!VN$8,0)</f>
        <v>-0.0</v>
      </c>
      <c r="VN55" s="5">
        <f>-IFERROR('4. NPV'!VO24/'4. NPV'!VO$8,0)</f>
        <v>-0.0</v>
      </c>
      <c r="VO55" s="5">
        <f>-IFERROR('4. NPV'!VP24/'4. NPV'!VP$8,0)</f>
        <v>-0.0</v>
      </c>
      <c r="VP55" s="5">
        <f>-IFERROR('4. NPV'!VQ24/'4. NPV'!VQ$8,0)</f>
        <v>-0.0</v>
      </c>
      <c r="VQ55" s="5">
        <f>-IFERROR('4. NPV'!VR24/'4. NPV'!VR$8,0)</f>
        <v>-0.0</v>
      </c>
      <c r="VR55" s="5">
        <f>-IFERROR('4. NPV'!VS24/'4. NPV'!VS$8,0)</f>
        <v>-0.0</v>
      </c>
      <c r="VS55" s="5">
        <f>-IFERROR('4. NPV'!VT24/'4. NPV'!VT$8,0)</f>
        <v>-0.0</v>
      </c>
      <c r="VT55" s="5">
        <f>-IFERROR('4. NPV'!VU24/'4. NPV'!VU$8,0)</f>
        <v>-0.0</v>
      </c>
      <c r="VU55" s="5">
        <f>-IFERROR('4. NPV'!VV24/'4. NPV'!VV$8,0)</f>
        <v>-0.0</v>
      </c>
      <c r="VV55" s="5">
        <f>-IFERROR('4. NPV'!VW24/'4. NPV'!VW$8,0)</f>
        <v>-0.0</v>
      </c>
      <c r="VW55" s="5">
        <f>-IFERROR('4. NPV'!VX24/'4. NPV'!VX$8,0)</f>
        <v>-0.0</v>
      </c>
      <c r="VX55" s="5">
        <f>-IFERROR('4. NPV'!VY24/'4. NPV'!VY$8,0)</f>
        <v>-0.0</v>
      </c>
      <c r="VY55" s="5">
        <f>-IFERROR('4. NPV'!VZ24/'4. NPV'!VZ$8,0)</f>
        <v>-0.0</v>
      </c>
      <c r="VZ55" s="5">
        <f>-IFERROR('4. NPV'!WA24/'4. NPV'!WA$8,0)</f>
        <v>-0.0</v>
      </c>
      <c r="WA55" s="5">
        <f>-IFERROR('4. NPV'!WB24/'4. NPV'!WB$8,0)</f>
        <v>-0.0</v>
      </c>
      <c r="WB55" s="5">
        <f>-IFERROR('4. NPV'!WC24/'4. NPV'!WC$8,0)</f>
        <v>-0.0</v>
      </c>
      <c r="WC55" s="5">
        <f>-IFERROR('4. NPV'!WD24/'4. NPV'!WD$8,0)</f>
        <v>-0.0</v>
      </c>
      <c r="WD55" s="5">
        <f>-IFERROR('4. NPV'!WE24/'4. NPV'!WE$8,0)</f>
        <v>-0.0</v>
      </c>
      <c r="WE55" s="5">
        <f>-IFERROR('4. NPV'!WF24/'4. NPV'!WF$8,0)</f>
        <v>-0.0</v>
      </c>
      <c r="WF55" s="5">
        <f>-IFERROR('4. NPV'!WG24/'4. NPV'!WG$8,0)</f>
        <v>-0.0</v>
      </c>
      <c r="WG55" s="5">
        <f>-IFERROR('4. NPV'!WH24/'4. NPV'!WH$8,0)</f>
        <v>-0.0</v>
      </c>
      <c r="WH55" s="5">
        <f>-IFERROR('4. NPV'!WI24/'4. NPV'!WI$8,0)</f>
        <v>-0.0</v>
      </c>
      <c r="WI55" s="5">
        <f>-IFERROR('4. NPV'!WJ24/'4. NPV'!WJ$8,0)</f>
        <v>-0.0</v>
      </c>
      <c r="WJ55" s="5">
        <f>-IFERROR('4. NPV'!WK24/'4. NPV'!WK$8,0)</f>
        <v>-0.0</v>
      </c>
      <c r="WK55" s="5">
        <f>-IFERROR('4. NPV'!WL24/'4. NPV'!WL$8,0)</f>
        <v>-0.0</v>
      </c>
      <c r="WL55" s="5">
        <f>-IFERROR('4. NPV'!WM24/'4. NPV'!WM$8,0)</f>
        <v>-0.0</v>
      </c>
      <c r="WM55" s="5">
        <f>-IFERROR('4. NPV'!WN24/'4. NPV'!WN$8,0)</f>
        <v>-0.0</v>
      </c>
      <c r="WN55" s="5">
        <f>-IFERROR('4. NPV'!WO24/'4. NPV'!WO$8,0)</f>
        <v>-0.0</v>
      </c>
      <c r="WO55" s="5">
        <f>-IFERROR('4. NPV'!WP24/'4. NPV'!WP$8,0)</f>
        <v>-0.0</v>
      </c>
      <c r="WP55" s="5">
        <f>-IFERROR('4. NPV'!WQ24/'4. NPV'!WQ$8,0)</f>
        <v>-0.0</v>
      </c>
      <c r="WQ55" s="5">
        <f>-IFERROR('4. NPV'!WR24/'4. NPV'!WR$8,0)</f>
        <v>-0.0</v>
      </c>
      <c r="WR55" s="5">
        <f>-IFERROR('4. NPV'!WS24/'4. NPV'!WS$8,0)</f>
        <v>-0.0</v>
      </c>
      <c r="WS55" s="5">
        <f>-IFERROR('4. NPV'!WT24/'4. NPV'!WT$8,0)</f>
        <v>-0.0</v>
      </c>
      <c r="WT55" s="5">
        <f>-IFERROR('4. NPV'!WU24/'4. NPV'!WU$8,0)</f>
        <v>-0.0</v>
      </c>
      <c r="WU55" s="5">
        <f>-IFERROR('4. NPV'!WV24/'4. NPV'!WV$8,0)</f>
        <v>-0.0</v>
      </c>
      <c r="WV55" s="5">
        <f>-IFERROR('4. NPV'!WW24/'4. NPV'!WW$8,0)</f>
        <v>-0.0</v>
      </c>
      <c r="WW55" s="5">
        <f>-IFERROR('4. NPV'!WX24/'4. NPV'!WX$8,0)</f>
        <v>-0.0</v>
      </c>
      <c r="WX55" s="5">
        <f>-IFERROR('4. NPV'!WY24/'4. NPV'!WY$8,0)</f>
        <v>-0.0</v>
      </c>
      <c r="WY55" s="5">
        <f>-IFERROR('4. NPV'!WZ24/'4. NPV'!WZ$8,0)</f>
        <v>-0.0</v>
      </c>
      <c r="WZ55" s="5">
        <f>-IFERROR('4. NPV'!XA24/'4. NPV'!XA$8,0)</f>
        <v>-0.0</v>
      </c>
      <c r="XA55" s="5">
        <f>-IFERROR('4. NPV'!XB24/'4. NPV'!XB$8,0)</f>
        <v>-0.0</v>
      </c>
      <c r="XB55" s="5">
        <f>-IFERROR('4. NPV'!XC24/'4. NPV'!XC$8,0)</f>
        <v>-0.0</v>
      </c>
      <c r="XC55" s="5">
        <f>-IFERROR('4. NPV'!XD24/'4. NPV'!XD$8,0)</f>
        <v>-0.0</v>
      </c>
      <c r="XD55" s="5">
        <f>-IFERROR('4. NPV'!XE24/'4. NPV'!XE$8,0)</f>
        <v>-0.0</v>
      </c>
      <c r="XE55" s="5">
        <f>-IFERROR('4. NPV'!XF24/'4. NPV'!XF$8,0)</f>
        <v>-0.0</v>
      </c>
      <c r="XF55" s="5">
        <f>-IFERROR('4. NPV'!XG24/'4. NPV'!XG$8,0)</f>
        <v>-0.0</v>
      </c>
      <c r="XG55" s="5">
        <f>-IFERROR('4. NPV'!XH24/'4. NPV'!XH$8,0)</f>
        <v>-0.0</v>
      </c>
      <c r="XH55" s="5">
        <f>-IFERROR('4. NPV'!XI24/'4. NPV'!XI$8,0)</f>
        <v>-0.0</v>
      </c>
      <c r="XI55" s="5">
        <f>-IFERROR('4. NPV'!XJ24/'4. NPV'!XJ$8,0)</f>
        <v>-0.0</v>
      </c>
      <c r="XJ55" s="5">
        <f>-IFERROR('4. NPV'!XK24/'4. NPV'!XK$8,0)</f>
        <v>-0.0</v>
      </c>
      <c r="XK55" s="5">
        <f>-IFERROR('4. NPV'!XL24/'4. NPV'!XL$8,0)</f>
        <v>-0.0</v>
      </c>
      <c r="XL55" s="5">
        <f>-IFERROR('4. NPV'!XM24/'4. NPV'!XM$8,0)</f>
        <v>-0.0</v>
      </c>
      <c r="XM55" s="5">
        <f>-IFERROR('4. NPV'!XN24/'4. NPV'!XN$8,0)</f>
        <v>-0.0</v>
      </c>
      <c r="XN55" s="5">
        <f>-IFERROR('4. NPV'!XO24/'4. NPV'!XO$8,0)</f>
        <v>-0.0</v>
      </c>
      <c r="XO55" s="5">
        <f>-IFERROR('4. NPV'!XP24/'4. NPV'!XP$8,0)</f>
        <v>-0.0</v>
      </c>
      <c r="XP55" s="5">
        <f>-IFERROR('4. NPV'!XQ24/'4. NPV'!XQ$8,0)</f>
        <v>-0.0</v>
      </c>
      <c r="XQ55" s="5">
        <f>-IFERROR('4. NPV'!XR24/'4. NPV'!XR$8,0)</f>
        <v>-0.0</v>
      </c>
      <c r="XR55" s="5">
        <f>-IFERROR('4. NPV'!XS24/'4. NPV'!XS$8,0)</f>
        <v>-0.0</v>
      </c>
      <c r="XS55" s="5">
        <f>-IFERROR('4. NPV'!XT24/'4. NPV'!XT$8,0)</f>
        <v>-0.0</v>
      </c>
      <c r="XT55" s="5">
        <f>-IFERROR('4. NPV'!XU24/'4. NPV'!XU$8,0)</f>
        <v>-0.0</v>
      </c>
      <c r="XU55" s="5">
        <f>-IFERROR('4. NPV'!XV24/'4. NPV'!XV$8,0)</f>
        <v>-0.0</v>
      </c>
      <c r="XV55" s="5">
        <f>-IFERROR('4. NPV'!XW24/'4. NPV'!XW$8,0)</f>
        <v>-0.0</v>
      </c>
      <c r="XW55" s="5">
        <f>-IFERROR('4. NPV'!XX24/'4. NPV'!XX$8,0)</f>
        <v>-0.0</v>
      </c>
      <c r="XX55" s="5">
        <f>-IFERROR('4. NPV'!XY24/'4. NPV'!XY$8,0)</f>
        <v>-0.0</v>
      </c>
      <c r="XY55" s="5">
        <f>-IFERROR('4. NPV'!XZ24/'4. NPV'!XZ$8,0)</f>
        <v>-0.0</v>
      </c>
      <c r="XZ55" s="5">
        <f>-IFERROR('4. NPV'!YA24/'4. NPV'!YA$8,0)</f>
        <v>-0.0</v>
      </c>
      <c r="YA55" s="5">
        <f>-IFERROR('4. NPV'!YB24/'4. NPV'!YB$8,0)</f>
        <v>-0.0</v>
      </c>
      <c r="YB55" s="5">
        <f>-IFERROR('4. NPV'!YC24/'4. NPV'!YC$8,0)</f>
        <v>-0.0</v>
      </c>
      <c r="YC55" s="5">
        <f>-IFERROR('4. NPV'!YD24/'4. NPV'!YD$8,0)</f>
        <v>-0.0</v>
      </c>
      <c r="YD55" s="5">
        <f>-IFERROR('4. NPV'!YE24/'4. NPV'!YE$8,0)</f>
        <v>-0.0</v>
      </c>
      <c r="YE55" s="5">
        <f>-IFERROR('4. NPV'!YF24/'4. NPV'!YF$8,0)</f>
        <v>-0.0</v>
      </c>
      <c r="YF55" s="5">
        <f>-IFERROR('4. NPV'!YG24/'4. NPV'!YG$8,0)</f>
        <v>-0.0</v>
      </c>
      <c r="YG55" s="5">
        <f>-IFERROR('4. NPV'!YH24/'4. NPV'!YH$8,0)</f>
        <v>-0.0</v>
      </c>
      <c r="YH55" s="5">
        <f>-IFERROR('4. NPV'!YI24/'4. NPV'!YI$8,0)</f>
        <v>-0.0</v>
      </c>
      <c r="YI55" s="5">
        <f>-IFERROR('4. NPV'!YJ24/'4. NPV'!YJ$8,0)</f>
        <v>-0.0</v>
      </c>
      <c r="YJ55" s="5">
        <f>-IFERROR('4. NPV'!YK24/'4. NPV'!YK$8,0)</f>
        <v>-0.0</v>
      </c>
      <c r="YK55" s="5">
        <f>-IFERROR('4. NPV'!YL24/'4. NPV'!YL$8,0)</f>
        <v>-0.0</v>
      </c>
      <c r="YL55" s="5">
        <f>-IFERROR('4. NPV'!YM24/'4. NPV'!YM$8,0)</f>
        <v>-0.0</v>
      </c>
      <c r="YM55" s="5">
        <f>-IFERROR('4. NPV'!YN24/'4. NPV'!YN$8,0)</f>
        <v>-0.0</v>
      </c>
      <c r="YN55" s="5">
        <f>-IFERROR('4. NPV'!YO24/'4. NPV'!YO$8,0)</f>
        <v>-0.0</v>
      </c>
      <c r="YO55" s="5">
        <f>-IFERROR('4. NPV'!YP24/'4. NPV'!YP$8,0)</f>
        <v>-0.0</v>
      </c>
      <c r="YP55" s="5">
        <f>-IFERROR('4. NPV'!YQ24/'4. NPV'!YQ$8,0)</f>
        <v>-0.0</v>
      </c>
      <c r="YQ55" s="5">
        <f>-IFERROR('4. NPV'!YR24/'4. NPV'!YR$8,0)</f>
        <v>-0.0</v>
      </c>
      <c r="YR55" s="5">
        <f>-IFERROR('4. NPV'!YS24/'4. NPV'!YS$8,0)</f>
        <v>-0.0</v>
      </c>
      <c r="YS55" s="5">
        <f>-IFERROR('4. NPV'!YT24/'4. NPV'!YT$8,0)</f>
        <v>-0.0</v>
      </c>
      <c r="YT55" s="5">
        <f>-IFERROR('4. NPV'!YU24/'4. NPV'!YU$8,0)</f>
        <v>-0.0</v>
      </c>
      <c r="YU55" s="5">
        <f>-IFERROR('4. NPV'!YV24/'4. NPV'!YV$8,0)</f>
        <v>-0.0</v>
      </c>
      <c r="YV55" s="5">
        <f>-IFERROR('4. NPV'!YW24/'4. NPV'!YW$8,0)</f>
        <v>-0.0</v>
      </c>
      <c r="YW55" s="5">
        <f>-IFERROR('4. NPV'!YX24/'4. NPV'!YX$8,0)</f>
        <v>-0.0</v>
      </c>
      <c r="YX55" s="5">
        <f>-IFERROR('4. NPV'!YY24/'4. NPV'!YY$8,0)</f>
        <v>-0.0</v>
      </c>
      <c r="YY55" s="5">
        <f>-IFERROR('4. NPV'!YZ24/'4. NPV'!YZ$8,0)</f>
        <v>-0.0</v>
      </c>
      <c r="YZ55" s="5">
        <f>-IFERROR('4. NPV'!ZA24/'4. NPV'!ZA$8,0)</f>
        <v>-0.0</v>
      </c>
      <c r="ZA55" s="5">
        <f>-IFERROR('4. NPV'!ZB24/'4. NPV'!ZB$8,0)</f>
        <v>-0.0</v>
      </c>
      <c r="ZB55" s="5">
        <f>-IFERROR('4. NPV'!ZC24/'4. NPV'!ZC$8,0)</f>
        <v>-0.0</v>
      </c>
      <c r="ZC55" s="5">
        <f>-IFERROR('4. NPV'!ZD24/'4. NPV'!ZD$8,0)</f>
        <v>-0.0</v>
      </c>
      <c r="ZD55" s="5">
        <f>-IFERROR('4. NPV'!ZE24/'4. NPV'!ZE$8,0)</f>
        <v>-0.0</v>
      </c>
      <c r="ZE55" s="5">
        <f>-IFERROR('4. NPV'!ZF24/'4. NPV'!ZF$8,0)</f>
        <v>-0.0</v>
      </c>
      <c r="ZF55" s="5">
        <f>-IFERROR('4. NPV'!ZG24/'4. NPV'!ZG$8,0)</f>
        <v>-0.0</v>
      </c>
      <c r="ZG55" s="5">
        <f>-IFERROR('4. NPV'!ZH24/'4. NPV'!ZH$8,0)</f>
        <v>-0.0</v>
      </c>
      <c r="ZH55" s="5">
        <f>-IFERROR('4. NPV'!ZI24/'4. NPV'!ZI$8,0)</f>
        <v>-0.0</v>
      </c>
      <c r="ZI55" s="5">
        <f>-IFERROR('4. NPV'!ZJ24/'4. NPV'!ZJ$8,0)</f>
        <v>-0.0</v>
      </c>
      <c r="ZJ55" s="5">
        <f>-IFERROR('4. NPV'!ZK24/'4. NPV'!ZK$8,0)</f>
        <v>-0.0</v>
      </c>
      <c r="ZK55" s="5">
        <f>-IFERROR('4. NPV'!ZL24/'4. NPV'!ZL$8,0)</f>
        <v>-0.0</v>
      </c>
      <c r="ZL55" s="5">
        <f>-IFERROR('4. NPV'!ZM24/'4. NPV'!ZM$8,0)</f>
        <v>-0.0</v>
      </c>
      <c r="ZM55" s="5">
        <f>-IFERROR('4. NPV'!ZN24/'4. NPV'!ZN$8,0)</f>
        <v>-0.0</v>
      </c>
      <c r="ZN55" s="5">
        <f>-IFERROR('4. NPV'!ZO24/'4. NPV'!ZO$8,0)</f>
        <v>-0.0</v>
      </c>
      <c r="ZO55" s="5">
        <f>-IFERROR('4. NPV'!ZP24/'4. NPV'!ZP$8,0)</f>
        <v>-0.0</v>
      </c>
      <c r="ZP55" s="5">
        <f>-IFERROR('4. NPV'!ZQ24/'4. NPV'!ZQ$8,0)</f>
        <v>-0.0</v>
      </c>
      <c r="ZQ55" s="5">
        <f>-IFERROR('4. NPV'!ZR24/'4. NPV'!ZR$8,0)</f>
        <v>-0.0</v>
      </c>
      <c r="ZR55" s="5">
        <f>-IFERROR('4. NPV'!ZS24/'4. NPV'!ZS$8,0)</f>
        <v>-0.0</v>
      </c>
      <c r="ZS55" s="5">
        <f>-IFERROR('4. NPV'!ZT24/'4. NPV'!ZT$8,0)</f>
        <v>-0.0</v>
      </c>
      <c r="ZT55" s="5">
        <f>-IFERROR('4. NPV'!ZU24/'4. NPV'!ZU$8,0)</f>
        <v>-0.0</v>
      </c>
      <c r="ZU55" s="5">
        <f>-IFERROR('4. NPV'!ZV24/'4. NPV'!ZV$8,0)</f>
        <v>-0.0</v>
      </c>
      <c r="ZV55" s="5">
        <f>-IFERROR('4. NPV'!ZW24/'4. NPV'!ZW$8,0)</f>
        <v>-0.0</v>
      </c>
      <c r="ZW55" s="5">
        <f>-IFERROR('4. NPV'!ZX24/'4. NPV'!ZX$8,0)</f>
        <v>-0.0</v>
      </c>
      <c r="ZX55" s="5">
        <f>-IFERROR('4. NPV'!ZY24/'4. NPV'!ZY$8,0)</f>
        <v>-0.0</v>
      </c>
      <c r="ZY55" s="5">
        <f>-IFERROR('4. NPV'!ZZ24/'4. NPV'!ZZ$8,0)</f>
        <v>-0.0</v>
      </c>
      <c r="ZZ55" s="5">
        <f>-IFERROR('4. NPV'!AAA24/'4. NPV'!AAA$8,0)</f>
        <v>-0.0</v>
      </c>
      <c r="AAA55" s="5">
        <f>-IFERROR('4. NPV'!AAB24/'4. NPV'!AAB$8,0)</f>
        <v>-0.0</v>
      </c>
      <c r="AAB55" s="5">
        <f>-IFERROR('4. NPV'!AAC24/'4. NPV'!AAC$8,0)</f>
        <v>-0.0</v>
      </c>
      <c r="AAC55" s="5">
        <f>-IFERROR('4. NPV'!AAD24/'4. NPV'!AAD$8,0)</f>
        <v>-0.0</v>
      </c>
      <c r="AAD55" s="5">
        <f>-IFERROR('4. NPV'!AAE24/'4. NPV'!AAE$8,0)</f>
        <v>-0.0</v>
      </c>
      <c r="AAE55" s="5">
        <f>-IFERROR('4. NPV'!AAF24/'4. NPV'!AAF$8,0)</f>
        <v>-0.0</v>
      </c>
      <c r="AAF55" s="5">
        <f>-IFERROR('4. NPV'!AAG24/'4. NPV'!AAG$8,0)</f>
        <v>-0.0</v>
      </c>
      <c r="AAG55" s="5">
        <f>-IFERROR('4. NPV'!AAH24/'4. NPV'!AAH$8,0)</f>
        <v>-0.0</v>
      </c>
      <c r="AAH55" s="5">
        <f>-IFERROR('4. NPV'!AAI24/'4. NPV'!AAI$8,0)</f>
        <v>-0.0</v>
      </c>
      <c r="AAI55" s="5">
        <f>-IFERROR('4. NPV'!AAJ24/'4. NPV'!AAJ$8,0)</f>
        <v>-0.0</v>
      </c>
      <c r="AAJ55" s="5">
        <f>-IFERROR('4. NPV'!AAK24/'4. NPV'!AAK$8,0)</f>
        <v>-0.0</v>
      </c>
      <c r="AAK55" s="5">
        <f>-IFERROR('4. NPV'!AAL24/'4. NPV'!AAL$8,0)</f>
        <v>-0.0</v>
      </c>
      <c r="AAL55" s="5">
        <f>-IFERROR('4. NPV'!AAM24/'4. NPV'!AAM$8,0)</f>
        <v>-0.0</v>
      </c>
      <c r="AAM55" s="5">
        <f>-IFERROR('4. NPV'!AAN24/'4. NPV'!AAN$8,0)</f>
        <v>-0.0</v>
      </c>
      <c r="AAN55" s="5">
        <f>-IFERROR('4. NPV'!AAO24/'4. NPV'!AAO$8,0)</f>
        <v>-0.0</v>
      </c>
      <c r="AAO55" s="5">
        <f>-IFERROR('4. NPV'!AAP24/'4. NPV'!AAP$8,0)</f>
        <v>-0.0</v>
      </c>
      <c r="AAP55" s="5">
        <f>-IFERROR('4. NPV'!AAQ24/'4. NPV'!AAQ$8,0)</f>
        <v>-0.0</v>
      </c>
      <c r="AAQ55" s="5">
        <f>-IFERROR('4. NPV'!AAR24/'4. NPV'!AAR$8,0)</f>
        <v>-0.0</v>
      </c>
      <c r="AAR55" s="5">
        <f>-IFERROR('4. NPV'!AAS24/'4. NPV'!AAS$8,0)</f>
        <v>-0.0</v>
      </c>
      <c r="AAS55" s="5">
        <f>-IFERROR('4. NPV'!AAT24/'4. NPV'!AAT$8,0)</f>
        <v>-0.0</v>
      </c>
      <c r="AAT55" s="5">
        <f>-IFERROR('4. NPV'!AAU24/'4. NPV'!AAU$8,0)</f>
        <v>-0.0</v>
      </c>
      <c r="AAU55" s="5">
        <f>-IFERROR('4. NPV'!AAV24/'4. NPV'!AAV$8,0)</f>
        <v>-0.0</v>
      </c>
      <c r="AAV55" s="5">
        <f>-IFERROR('4. NPV'!AAW24/'4. NPV'!AAW$8,0)</f>
        <v>-0.0</v>
      </c>
      <c r="AAW55" s="5">
        <f>-IFERROR('4. NPV'!AAX24/'4. NPV'!AAX$8,0)</f>
        <v>-0.0</v>
      </c>
      <c r="AAX55" s="5">
        <f>-IFERROR('4. NPV'!AAY24/'4. NPV'!AAY$8,0)</f>
        <v>-0.0</v>
      </c>
      <c r="AAY55" s="5">
        <f>-IFERROR('4. NPV'!AAZ24/'4. NPV'!AAZ$8,0)</f>
        <v>-0.0</v>
      </c>
      <c r="AAZ55" s="5">
        <f>-IFERROR('4. NPV'!ABA24/'4. NPV'!ABA$8,0)</f>
        <v>-0.0</v>
      </c>
      <c r="ABA55" s="5">
        <f>-IFERROR('4. NPV'!ABB24/'4. NPV'!ABB$8,0)</f>
        <v>-0.0</v>
      </c>
      <c r="ABB55" s="5">
        <f>-IFERROR('4. NPV'!ABC24/'4. NPV'!ABC$8,0)</f>
        <v>-0.0</v>
      </c>
      <c r="ABC55" s="5">
        <f>-IFERROR('4. NPV'!ABD24/'4. NPV'!ABD$8,0)</f>
        <v>-0.0</v>
      </c>
      <c r="ABD55" s="5">
        <f>-IFERROR('4. NPV'!ABE24/'4. NPV'!ABE$8,0)</f>
        <v>-0.0</v>
      </c>
      <c r="ABE55" s="5">
        <f>-IFERROR('4. NPV'!ABF24/'4. NPV'!ABF$8,0)</f>
        <v>-0.0</v>
      </c>
      <c r="ABF55" s="5">
        <f>-IFERROR('4. NPV'!ABG24/'4. NPV'!ABG$8,0)</f>
        <v>-0.0</v>
      </c>
      <c r="ABG55" s="5">
        <f>-IFERROR('4. NPV'!ABH24/'4. NPV'!ABH$8,0)</f>
        <v>-0.0</v>
      </c>
      <c r="ABH55" s="5">
        <f>-IFERROR('4. NPV'!ABI24/'4. NPV'!ABI$8,0)</f>
        <v>-0.0</v>
      </c>
      <c r="ABI55" s="5">
        <f>-IFERROR('4. NPV'!ABJ24/'4. NPV'!ABJ$8,0)</f>
        <v>-0.0</v>
      </c>
      <c r="ABJ55" s="5">
        <f>-IFERROR('4. NPV'!ABK24/'4. NPV'!ABK$8,0)</f>
        <v>-0.0</v>
      </c>
      <c r="ABK55" s="5">
        <f>-IFERROR('4. NPV'!ABL24/'4. NPV'!ABL$8,0)</f>
        <v>-0.0</v>
      </c>
      <c r="ABL55" s="5">
        <f>-IFERROR('4. NPV'!ABM24/'4. NPV'!ABM$8,0)</f>
        <v>-0.0</v>
      </c>
      <c r="ABM55" s="5">
        <f>-IFERROR('4. NPV'!ABN24/'4. NPV'!ABN$8,0)</f>
        <v>-0.0</v>
      </c>
      <c r="ABN55" s="5">
        <f>-IFERROR('4. NPV'!ABO24/'4. NPV'!ABO$8,0)</f>
        <v>-0.0</v>
      </c>
      <c r="ABO55" s="5">
        <f>-IFERROR('4. NPV'!ABP24/'4. NPV'!ABP$8,0)</f>
        <v>-0.0</v>
      </c>
      <c r="ABP55" s="5">
        <f>-IFERROR('4. NPV'!ABQ24/'4. NPV'!ABQ$8,0)</f>
        <v>-0.0</v>
      </c>
      <c r="ABQ55" s="5">
        <f>-IFERROR('4. NPV'!ABR24/'4. NPV'!ABR$8,0)</f>
        <v>-0.0</v>
      </c>
      <c r="ABR55" s="5">
        <f>-IFERROR('4. NPV'!ABS24/'4. NPV'!ABS$8,0)</f>
        <v>-0.0</v>
      </c>
      <c r="ABS55" s="5">
        <f>-IFERROR('4. NPV'!ABT24/'4. NPV'!ABT$8,0)</f>
        <v>-0.0</v>
      </c>
      <c r="ABT55" s="5">
        <f>-IFERROR('4. NPV'!ABU24/'4. NPV'!ABU$8,0)</f>
        <v>-0.0</v>
      </c>
      <c r="ABU55" s="5">
        <f>-IFERROR('4. NPV'!ABV24/'4. NPV'!ABV$8,0)</f>
        <v>-0.0</v>
      </c>
      <c r="ABV55" s="5">
        <f>-IFERROR('4. NPV'!ABW24/'4. NPV'!ABW$8,0)</f>
        <v>-0.0</v>
      </c>
      <c r="ABW55" s="5">
        <f>-IFERROR('4. NPV'!ABX24/'4. NPV'!ABX$8,0)</f>
        <v>-0.0</v>
      </c>
      <c r="ABX55" s="5">
        <f>-IFERROR('4. NPV'!ABY24/'4. NPV'!ABY$8,0)</f>
        <v>-0.0</v>
      </c>
      <c r="ABY55" s="5">
        <f>-IFERROR('4. NPV'!ABZ24/'4. NPV'!ABZ$8,0)</f>
        <v>-0.0</v>
      </c>
      <c r="ABZ55" s="5">
        <f>-IFERROR('4. NPV'!ACA24/'4. NPV'!ACA$8,0)</f>
        <v>-0.0</v>
      </c>
      <c r="ACA55" s="5">
        <f>-IFERROR('4. NPV'!ACB24/'4. NPV'!ACB$8,0)</f>
        <v>-0.0</v>
      </c>
      <c r="ACB55" s="5">
        <f>-IFERROR('4. NPV'!ACC24/'4. NPV'!ACC$8,0)</f>
        <v>-0.0</v>
      </c>
      <c r="ACC55" s="5">
        <f>-IFERROR('4. NPV'!ACD24/'4. NPV'!ACD$8,0)</f>
        <v>-0.0</v>
      </c>
      <c r="ACD55" s="5">
        <f>-IFERROR('4. NPV'!ACE24/'4. NPV'!ACE$8,0)</f>
        <v>-0.0</v>
      </c>
      <c r="ACE55" s="5">
        <f>-IFERROR('4. NPV'!ACF24/'4. NPV'!ACF$8,0)</f>
        <v>-0.0</v>
      </c>
      <c r="ACF55" s="5">
        <f>-IFERROR('4. NPV'!ACG24/'4. NPV'!ACG$8,0)</f>
        <v>-0.0</v>
      </c>
      <c r="ACG55" s="5">
        <f>-IFERROR('4. NPV'!ACH24/'4. NPV'!ACH$8,0)</f>
        <v>-0.0</v>
      </c>
      <c r="ACH55" s="5">
        <f>-IFERROR('4. NPV'!ACI24/'4. NPV'!ACI$8,0)</f>
        <v>-0.0</v>
      </c>
      <c r="ACI55" s="5">
        <f>-IFERROR('4. NPV'!ACJ24/'4. NPV'!ACJ$8,0)</f>
        <v>-0.0</v>
      </c>
      <c r="ACJ55" s="5">
        <f>-IFERROR('4. NPV'!ACK24/'4. NPV'!ACK$8,0)</f>
        <v>-0.0</v>
      </c>
      <c r="ACK55" s="5">
        <f>-IFERROR('4. NPV'!ACL24/'4. NPV'!ACL$8,0)</f>
        <v>-0.0</v>
      </c>
      <c r="ACL55" s="5">
        <f>-IFERROR('4. NPV'!ACM24/'4. NPV'!ACM$8,0)</f>
        <v>-0.0</v>
      </c>
      <c r="ACM55" s="5">
        <f>-IFERROR('4. NPV'!ACN24/'4. NPV'!ACN$8,0)</f>
        <v>-0.0</v>
      </c>
      <c r="ACN55" s="5">
        <f>-IFERROR('4. NPV'!ACO24/'4. NPV'!ACO$8,0)</f>
        <v>-0.0</v>
      </c>
      <c r="ACO55" s="5">
        <f>-IFERROR('4. NPV'!ACP24/'4. NPV'!ACP$8,0)</f>
        <v>-0.0</v>
      </c>
      <c r="ACP55" s="5">
        <f>-IFERROR('4. NPV'!ACQ24/'4. NPV'!ACQ$8,0)</f>
        <v>-0.0</v>
      </c>
      <c r="ACQ55" s="5">
        <f>-IFERROR('4. NPV'!ACR24/'4. NPV'!ACR$8,0)</f>
        <v>-0.0</v>
      </c>
      <c r="ACR55" s="5">
        <f>-IFERROR('4. NPV'!ACS24/'4. NPV'!ACS$8,0)</f>
        <v>-0.0</v>
      </c>
      <c r="ACS55" s="5">
        <f>-IFERROR('4. NPV'!ACT24/'4. NPV'!ACT$8,0)</f>
        <v>-0.0</v>
      </c>
      <c r="ACT55" s="5">
        <f>-IFERROR('4. NPV'!ACU24/'4. NPV'!ACU$8,0)</f>
        <v>-0.0</v>
      </c>
      <c r="ACU55" s="5">
        <f>-IFERROR('4. NPV'!ACV24/'4. NPV'!ACV$8,0)</f>
        <v>-0.0</v>
      </c>
      <c r="ACV55" s="5">
        <f>-IFERROR('4. NPV'!ACW24/'4. NPV'!ACW$8,0)</f>
        <v>-0.0</v>
      </c>
      <c r="ACW55" s="5">
        <f>-IFERROR('4. NPV'!ACX24/'4. NPV'!ACX$8,0)</f>
        <v>-0.0</v>
      </c>
      <c r="ACX55" s="5">
        <f>-IFERROR('4. NPV'!ACY24/'4. NPV'!ACY$8,0)</f>
        <v>-0.0</v>
      </c>
      <c r="ACY55" s="5">
        <f>-IFERROR('4. NPV'!ACZ24/'4. NPV'!ACZ$8,0)</f>
        <v>-0.0</v>
      </c>
      <c r="ACZ55" s="5">
        <f>-IFERROR('4. NPV'!ADA24/'4. NPV'!ADA$8,0)</f>
        <v>-0.0</v>
      </c>
      <c r="ADA55" s="5">
        <f>-IFERROR('4. NPV'!ADB24/'4. NPV'!ADB$8,0)</f>
        <v>-0.0</v>
      </c>
      <c r="ADB55" s="5">
        <f>-IFERROR('4. NPV'!ADC24/'4. NPV'!ADC$8,0)</f>
        <v>-0.0</v>
      </c>
      <c r="ADC55" s="5">
        <f>-IFERROR('4. NPV'!ADD24/'4. NPV'!ADD$8,0)</f>
        <v>-0.0</v>
      </c>
      <c r="ADD55" s="5">
        <f>-IFERROR('4. NPV'!ADE24/'4. NPV'!ADE$8,0)</f>
        <v>-0.0</v>
      </c>
      <c r="ADE55" s="5">
        <f>-IFERROR('4. NPV'!ADF24/'4. NPV'!ADF$8,0)</f>
        <v>-0.0</v>
      </c>
      <c r="ADF55" s="5">
        <f>-IFERROR('4. NPV'!ADG24/'4. NPV'!ADG$8,0)</f>
        <v>-0.0</v>
      </c>
      <c r="ADG55" s="5">
        <f>-IFERROR('4. NPV'!ADH24/'4. NPV'!ADH$8,0)</f>
        <v>-0.0</v>
      </c>
      <c r="ADH55" s="5">
        <f>-IFERROR('4. NPV'!ADI24/'4. NPV'!ADI$8,0)</f>
        <v>-0.0</v>
      </c>
      <c r="ADI55" s="5">
        <f>-IFERROR('4. NPV'!ADJ24/'4. NPV'!ADJ$8,0)</f>
        <v>-0.0</v>
      </c>
      <c r="ADJ55" s="5">
        <f>-IFERROR('4. NPV'!ADK24/'4. NPV'!ADK$8,0)</f>
        <v>-0.0</v>
      </c>
      <c r="ADK55" s="5">
        <f>-IFERROR('4. NPV'!ADL24/'4. NPV'!ADL$8,0)</f>
        <v>-0.0</v>
      </c>
      <c r="ADL55" s="5">
        <f>-IFERROR('4. NPV'!ADM24/'4. NPV'!ADM$8,0)</f>
        <v>-0.0</v>
      </c>
      <c r="ADM55" s="5">
        <f>-IFERROR('4. NPV'!ADN24/'4. NPV'!ADN$8,0)</f>
        <v>-0.0</v>
      </c>
      <c r="ADN55" s="5">
        <f>-IFERROR('4. NPV'!ADO24/'4. NPV'!ADO$8,0)</f>
        <v>-0.0</v>
      </c>
      <c r="ADO55" s="5">
        <f>-IFERROR('4. NPV'!ADP24/'4. NPV'!ADP$8,0)</f>
        <v>-0.0</v>
      </c>
      <c r="ADP55" s="5">
        <f>-IFERROR('4. NPV'!ADQ24/'4. NPV'!ADQ$8,0)</f>
        <v>-0.0</v>
      </c>
      <c r="ADQ55" s="5">
        <f>-IFERROR('4. NPV'!ADR24/'4. NPV'!ADR$8,0)</f>
        <v>-0.0</v>
      </c>
      <c r="ADR55" s="5">
        <f>-IFERROR('4. NPV'!ADS24/'4. NPV'!ADS$8,0)</f>
        <v>-0.0</v>
      </c>
      <c r="ADS55" s="5">
        <f>-IFERROR('4. NPV'!ADT24/'4. NPV'!ADT$8,0)</f>
        <v>-0.0</v>
      </c>
      <c r="ADT55" s="5">
        <f>-IFERROR('4. NPV'!ADU24/'4. NPV'!ADU$8,0)</f>
        <v>-0.0</v>
      </c>
      <c r="ADU55" s="5">
        <f>-IFERROR('4. NPV'!ADV24/'4. NPV'!ADV$8,0)</f>
        <v>-0.0</v>
      </c>
      <c r="ADV55" s="5">
        <f>-IFERROR('4. NPV'!ADW24/'4. NPV'!ADW$8,0)</f>
        <v>-0.0</v>
      </c>
      <c r="ADW55" s="5">
        <f>-IFERROR('4. NPV'!ADX24/'4. NPV'!ADX$8,0)</f>
        <v>-0.0</v>
      </c>
      <c r="ADX55" s="5">
        <f>-IFERROR('4. NPV'!ADY24/'4. NPV'!ADY$8,0)</f>
        <v>-0.0</v>
      </c>
      <c r="ADY55" s="5">
        <f>-IFERROR('4. NPV'!ADZ24/'4. NPV'!ADZ$8,0)</f>
        <v>-0.0</v>
      </c>
      <c r="ADZ55" s="5">
        <f>-IFERROR('4. NPV'!AEA24/'4. NPV'!AEA$8,0)</f>
        <v>-0.0</v>
      </c>
      <c r="AEA55" s="5">
        <f>-IFERROR('4. NPV'!AEB24/'4. NPV'!AEB$8,0)</f>
        <v>-0.0</v>
      </c>
      <c r="AEB55" s="5">
        <f>-IFERROR('4. NPV'!AEC24/'4. NPV'!AEC$8,0)</f>
        <v>-0.0</v>
      </c>
      <c r="AEC55" s="5">
        <f>-IFERROR('4. NPV'!AED24/'4. NPV'!AED$8,0)</f>
        <v>-0.0</v>
      </c>
      <c r="AED55" s="5">
        <f>-IFERROR('4. NPV'!AEE24/'4. NPV'!AEE$8,0)</f>
        <v>-0.0</v>
      </c>
      <c r="AEE55" s="5">
        <f>-IFERROR('4. NPV'!AEF24/'4. NPV'!AEF$8,0)</f>
        <v>-0.0</v>
      </c>
      <c r="AEF55" s="5">
        <f>-IFERROR('4. NPV'!AEG24/'4. NPV'!AEG$8,0)</f>
        <v>-0.0</v>
      </c>
      <c r="AEG55" s="5">
        <f>-IFERROR('4. NPV'!AEH24/'4. NPV'!AEH$8,0)</f>
        <v>-0.0</v>
      </c>
      <c r="AEH55" s="5">
        <f>-IFERROR('4. NPV'!AEI24/'4. NPV'!AEI$8,0)</f>
        <v>-0.0</v>
      </c>
      <c r="AEI55" s="5">
        <f>-IFERROR('4. NPV'!AEJ24/'4. NPV'!AEJ$8,0)</f>
        <v>-0.0</v>
      </c>
      <c r="AEJ55" s="5">
        <f>-IFERROR('4. NPV'!AEK24/'4. NPV'!AEK$8,0)</f>
        <v>-0.0</v>
      </c>
      <c r="AEK55" s="5">
        <f>-IFERROR('4. NPV'!AEL24/'4. NPV'!AEL$8,0)</f>
        <v>-0.0</v>
      </c>
      <c r="AEL55" s="5">
        <f>-IFERROR('4. NPV'!AEM24/'4. NPV'!AEM$8,0)</f>
        <v>-0.0</v>
      </c>
      <c r="AEM55" s="5">
        <f>-IFERROR('4. NPV'!AEN24/'4. NPV'!AEN$8,0)</f>
        <v>-0.0</v>
      </c>
      <c r="AEN55" s="5">
        <f>-IFERROR('4. NPV'!AEO24/'4. NPV'!AEO$8,0)</f>
        <v>-0.0</v>
      </c>
      <c r="AEO55" s="5">
        <f>-IFERROR('4. NPV'!AEP24/'4. NPV'!AEP$8,0)</f>
        <v>-0.0</v>
      </c>
      <c r="AEP55" s="5">
        <f>-IFERROR('4. NPV'!AEQ24/'4. NPV'!AEQ$8,0)</f>
        <v>-0.0</v>
      </c>
      <c r="AEQ55" s="5">
        <f>-IFERROR('4. NPV'!AER24/'4. NPV'!AER$8,0)</f>
        <v>-0.0</v>
      </c>
      <c r="AER55" s="5">
        <f>-IFERROR('4. NPV'!AES24/'4. NPV'!AES$8,0)</f>
        <v>-0.0</v>
      </c>
      <c r="AES55" s="5">
        <f>-IFERROR('4. NPV'!AET24/'4. NPV'!AET$8,0)</f>
        <v>-0.0</v>
      </c>
      <c r="AET55" s="5">
        <f>-IFERROR('4. NPV'!AEU24/'4. NPV'!AEU$8,0)</f>
        <v>-0.0</v>
      </c>
      <c r="AEU55" s="5">
        <f>-IFERROR('4. NPV'!AEV24/'4. NPV'!AEV$8,0)</f>
        <v>-0.0</v>
      </c>
      <c r="AEV55" s="5">
        <f>-IFERROR('4. NPV'!AEW24/'4. NPV'!AEW$8,0)</f>
        <v>-0.0</v>
      </c>
      <c r="AEW55" s="5">
        <f>-IFERROR('4. NPV'!AEX24/'4. NPV'!AEX$8,0)</f>
        <v>-0.0</v>
      </c>
      <c r="AEX55" s="5">
        <f>-IFERROR('4. NPV'!AEY24/'4. NPV'!AEY$8,0)</f>
        <v>-0.0</v>
      </c>
      <c r="AEY55" s="5">
        <f>-IFERROR('4. NPV'!AEZ24/'4. NPV'!AEZ$8,0)</f>
        <v>-0.0</v>
      </c>
      <c r="AEZ55" s="5">
        <f>-IFERROR('4. NPV'!AFA24/'4. NPV'!AFA$8,0)</f>
        <v>-0.0</v>
      </c>
      <c r="AFA55" s="5">
        <f>-IFERROR('4. NPV'!AFB24/'4. NPV'!AFB$8,0)</f>
        <v>-0.0</v>
      </c>
      <c r="AFB55" s="5">
        <f>-IFERROR('4. NPV'!AFC24/'4. NPV'!AFC$8,0)</f>
        <v>-0.0</v>
      </c>
      <c r="AFC55" s="5">
        <f>-IFERROR('4. NPV'!AFD24/'4. NPV'!AFD$8,0)</f>
        <v>-0.0</v>
      </c>
      <c r="AFD55" s="5">
        <f>-IFERROR('4. NPV'!AFE24/'4. NPV'!AFE$8,0)</f>
        <v>-0.0</v>
      </c>
      <c r="AFE55" s="5">
        <f>-IFERROR('4. NPV'!AFF24/'4. NPV'!AFF$8,0)</f>
        <v>-0.0</v>
      </c>
      <c r="AFF55" s="5">
        <f>-IFERROR('4. NPV'!AFG24/'4. NPV'!AFG$8,0)</f>
        <v>-0.0</v>
      </c>
      <c r="AFG55" s="5">
        <f>-IFERROR('4. NPV'!AFH24/'4. NPV'!AFH$8,0)</f>
        <v>-0.0</v>
      </c>
      <c r="AFH55" s="5">
        <f>-IFERROR('4. NPV'!AFI24/'4. NPV'!AFI$8,0)</f>
        <v>-0.0</v>
      </c>
      <c r="AFI55" s="5">
        <f>-IFERROR('4. NPV'!AFJ24/'4. NPV'!AFJ$8,0)</f>
        <v>-0.0</v>
      </c>
      <c r="AFJ55" s="5">
        <f>-IFERROR('4. NPV'!AFK24/'4. NPV'!AFK$8,0)</f>
        <v>-0.0</v>
      </c>
      <c r="AFK55" s="5">
        <f>-IFERROR('4. NPV'!AFL24/'4. NPV'!AFL$8,0)</f>
        <v>-0.0</v>
      </c>
      <c r="AFL55" s="5">
        <f>-IFERROR('4. NPV'!AFM24/'4. NPV'!AFM$8,0)</f>
        <v>-0.0</v>
      </c>
      <c r="AFM55" s="5">
        <f>-IFERROR('4. NPV'!AFN24/'4. NPV'!AFN$8,0)</f>
        <v>-0.0</v>
      </c>
      <c r="AFN55" s="5">
        <f>-IFERROR('4. NPV'!AFO24/'4. NPV'!AFO$8,0)</f>
        <v>-0.0</v>
      </c>
      <c r="AFO55" s="5">
        <f>-IFERROR('4. NPV'!AFP24/'4. NPV'!AFP$8,0)</f>
        <v>-0.0</v>
      </c>
      <c r="AFP55" s="5">
        <f>-IFERROR('4. NPV'!AFQ24/'4. NPV'!AFQ$8,0)</f>
        <v>-0.0</v>
      </c>
      <c r="AFQ55" s="5">
        <f>-IFERROR('4. NPV'!AFR24/'4. NPV'!AFR$8,0)</f>
        <v>-0.0</v>
      </c>
      <c r="AFR55" s="5">
        <f>-IFERROR('4. NPV'!AFS24/'4. NPV'!AFS$8,0)</f>
        <v>-0.0</v>
      </c>
      <c r="AFS55" s="5">
        <f>-IFERROR('4. NPV'!AFT24/'4. NPV'!AFT$8,0)</f>
        <v>-0.0</v>
      </c>
      <c r="AFT55" s="5">
        <f>-IFERROR('4. NPV'!AFU24/'4. NPV'!AFU$8,0)</f>
        <v>-0.0</v>
      </c>
      <c r="AFU55" s="5">
        <f>-IFERROR('4. NPV'!AFV24/'4. NPV'!AFV$8,0)</f>
        <v>-0.0</v>
      </c>
      <c r="AFV55" s="5">
        <f>-IFERROR('4. NPV'!AFW24/'4. NPV'!AFW$8,0)</f>
        <v>-0.0</v>
      </c>
      <c r="AFW55" s="5">
        <f>-IFERROR('4. NPV'!AFX24/'4. NPV'!AFX$8,0)</f>
        <v>-0.0</v>
      </c>
      <c r="AFX55" s="5">
        <f>-IFERROR('4. NPV'!AFY24/'4. NPV'!AFY$8,0)</f>
        <v>-0.0</v>
      </c>
      <c r="AFY55" s="5">
        <f>-IFERROR('4. NPV'!AFZ24/'4. NPV'!AFZ$8,0)</f>
        <v>-0.0</v>
      </c>
      <c r="AFZ55" s="5">
        <f>-IFERROR('4. NPV'!AGA24/'4. NPV'!AGA$8,0)</f>
        <v>-0.0</v>
      </c>
      <c r="AGA55" s="5">
        <f>-IFERROR('4. NPV'!AGB24/'4. NPV'!AGB$8,0)</f>
        <v>-0.0</v>
      </c>
      <c r="AGB55" s="5">
        <f>-IFERROR('4. NPV'!AGC24/'4. NPV'!AGC$8,0)</f>
        <v>-0.0</v>
      </c>
      <c r="AGC55" s="5">
        <f>-IFERROR('4. NPV'!AGD24/'4. NPV'!AGD$8,0)</f>
        <v>-0.0</v>
      </c>
      <c r="AGD55" s="5">
        <f>-IFERROR('4. NPV'!AGE24/'4. NPV'!AGE$8,0)</f>
        <v>-0.0</v>
      </c>
      <c r="AGE55" s="5">
        <f>-IFERROR('4. NPV'!AGF24/'4. NPV'!AGF$8,0)</f>
        <v>-0.0</v>
      </c>
      <c r="AGF55" s="5">
        <f>-IFERROR('4. NPV'!AGG24/'4. NPV'!AGG$8,0)</f>
        <v>-0.0</v>
      </c>
      <c r="AGG55" s="5">
        <f>-IFERROR('4. NPV'!AGH24/'4. NPV'!AGH$8,0)</f>
        <v>-0.0</v>
      </c>
      <c r="AGH55" s="5">
        <f>-IFERROR('4. NPV'!AGI24/'4. NPV'!AGI$8,0)</f>
        <v>-0.0</v>
      </c>
      <c r="AGI55" s="5">
        <f>-IFERROR('4. NPV'!AGJ24/'4. NPV'!AGJ$8,0)</f>
        <v>-0.0</v>
      </c>
      <c r="AGJ55" s="5">
        <f>-IFERROR('4. NPV'!AGK24/'4. NPV'!AGK$8,0)</f>
        <v>-0.0</v>
      </c>
      <c r="AGK55" s="5">
        <f>-IFERROR('4. NPV'!AGL24/'4. NPV'!AGL$8,0)</f>
        <v>-0.0</v>
      </c>
      <c r="AGL55" s="5">
        <f>-IFERROR('4. NPV'!AGM24/'4. NPV'!AGM$8,0)</f>
        <v>-0.0</v>
      </c>
      <c r="AGM55" s="5">
        <f>-IFERROR('4. NPV'!AGN24/'4. NPV'!AGN$8,0)</f>
        <v>-0.0</v>
      </c>
      <c r="AGN55" s="5">
        <f>-IFERROR('4. NPV'!AGO24/'4. NPV'!AGO$8,0)</f>
        <v>-0.0</v>
      </c>
      <c r="AGO55" s="5">
        <f>-IFERROR('4. NPV'!AGP24/'4. NPV'!AGP$8,0)</f>
        <v>-0.0</v>
      </c>
      <c r="AGP55" s="5">
        <f>-IFERROR('4. NPV'!AGQ24/'4. NPV'!AGQ$8,0)</f>
        <v>-0.0</v>
      </c>
      <c r="AGQ55" s="5">
        <f>-IFERROR('4. NPV'!AGR24/'4. NPV'!AGR$8,0)</f>
        <v>-0.0</v>
      </c>
      <c r="AGR55" s="5">
        <f>-IFERROR('4. NPV'!AGS24/'4. NPV'!AGS$8,0)</f>
        <v>-0.0</v>
      </c>
      <c r="AGS55" s="5">
        <f>-IFERROR('4. NPV'!AGT24/'4. NPV'!AGT$8,0)</f>
        <v>-0.0</v>
      </c>
      <c r="AGT55" s="5">
        <f>-IFERROR('4. NPV'!AGU24/'4. NPV'!AGU$8,0)</f>
        <v>-0.0</v>
      </c>
      <c r="AGU55" s="5">
        <f>-IFERROR('4. NPV'!AGV24/'4. NPV'!AGV$8,0)</f>
        <v>-0.0</v>
      </c>
      <c r="AGV55" s="5">
        <f>-IFERROR('4. NPV'!AGW24/'4. NPV'!AGW$8,0)</f>
        <v>-0.0</v>
      </c>
      <c r="AGW55" s="5">
        <f>-IFERROR('4. NPV'!AGX24/'4. NPV'!AGX$8,0)</f>
        <v>-0.0</v>
      </c>
      <c r="AGX55" s="5">
        <f>-IFERROR('4. NPV'!AGY24/'4. NPV'!AGY$8,0)</f>
        <v>-0.0</v>
      </c>
      <c r="AGY55" s="5">
        <f>-IFERROR('4. NPV'!AGZ24/'4. NPV'!AGZ$8,0)</f>
        <v>-0.0</v>
      </c>
      <c r="AGZ55" s="5">
        <f>-IFERROR('4. NPV'!AHA24/'4. NPV'!AHA$8,0)</f>
        <v>-0.0</v>
      </c>
      <c r="AHA55" s="5">
        <f>-IFERROR('4. NPV'!AHB24/'4. NPV'!AHB$8,0)</f>
        <v>-0.0</v>
      </c>
      <c r="AHB55" s="5">
        <f>-IFERROR('4. NPV'!AHC24/'4. NPV'!AHC$8,0)</f>
        <v>-0.0</v>
      </c>
      <c r="AHC55" s="5">
        <f>-IFERROR('4. NPV'!AHD24/'4. NPV'!AHD$8,0)</f>
        <v>-0.0</v>
      </c>
      <c r="AHD55" s="5">
        <f>-IFERROR('4. NPV'!AHE24/'4. NPV'!AHE$8,0)</f>
        <v>-0.0</v>
      </c>
      <c r="AHE55" s="5">
        <f>-IFERROR('4. NPV'!AHF24/'4. NPV'!AHF$8,0)</f>
        <v>-0.0</v>
      </c>
      <c r="AHF55" s="5">
        <f>-IFERROR('4. NPV'!AHG24/'4. NPV'!AHG$8,0)</f>
        <v>-0.0</v>
      </c>
      <c r="AHG55" s="5">
        <f>-IFERROR('4. NPV'!AHH24/'4. NPV'!AHH$8,0)</f>
        <v>-0.0</v>
      </c>
      <c r="AHH55" s="5">
        <f>-IFERROR('4. NPV'!AHI24/'4. NPV'!AHI$8,0)</f>
        <v>-0.0</v>
      </c>
      <c r="AHI55" s="5">
        <f>-IFERROR('4. NPV'!AHJ24/'4. NPV'!AHJ$8,0)</f>
        <v>-0.0</v>
      </c>
      <c r="AHJ55" s="5">
        <f>-IFERROR('4. NPV'!AHK24/'4. NPV'!AHK$8,0)</f>
        <v>-0.0</v>
      </c>
      <c r="AHK55" s="5">
        <f>-IFERROR('4. NPV'!AHL24/'4. NPV'!AHL$8,0)</f>
        <v>-0.0</v>
      </c>
      <c r="AHL55" s="5">
        <f>-IFERROR('4. NPV'!AHM24/'4. NPV'!AHM$8,0)</f>
        <v>-0.0</v>
      </c>
      <c r="AHM55" s="5">
        <f>-IFERROR('4. NPV'!AHN24/'4. NPV'!AHN$8,0)</f>
        <v>-0.0</v>
      </c>
      <c r="AHN55" s="5">
        <f>-IFERROR('4. NPV'!AHO24/'4. NPV'!AHO$8,0)</f>
        <v>-0.0</v>
      </c>
      <c r="AHO55" s="5">
        <f>-IFERROR('4. NPV'!AHP24/'4. NPV'!AHP$8,0)</f>
        <v>-0.0</v>
      </c>
      <c r="AHP55" s="5">
        <f>-IFERROR('4. NPV'!AHQ24/'4. NPV'!AHQ$8,0)</f>
        <v>-0.0</v>
      </c>
      <c r="AHQ55" s="5">
        <f>-IFERROR('4. NPV'!AHR24/'4. NPV'!AHR$8,0)</f>
        <v>-0.0</v>
      </c>
      <c r="AHR55" s="5">
        <f>-IFERROR('4. NPV'!AHS24/'4. NPV'!AHS$8,0)</f>
        <v>-0.0</v>
      </c>
      <c r="AHS55" s="5">
        <f>-IFERROR('4. NPV'!AHT24/'4. NPV'!AHT$8,0)</f>
        <v>-0.0</v>
      </c>
      <c r="AHT55" s="5">
        <f>-IFERROR('4. NPV'!AHU24/'4. NPV'!AHU$8,0)</f>
        <v>-0.0</v>
      </c>
      <c r="AHU55" s="5">
        <f>-IFERROR('4. NPV'!AHV24/'4. NPV'!AHV$8,0)</f>
        <v>-0.0</v>
      </c>
      <c r="AHV55" s="5">
        <f>-IFERROR('4. NPV'!AHW24/'4. NPV'!AHW$8,0)</f>
        <v>-0.0</v>
      </c>
      <c r="AHW55" s="5">
        <f>-IFERROR('4. NPV'!AHX24/'4. NPV'!AHX$8,0)</f>
        <v>-0.0</v>
      </c>
      <c r="AHX55" s="5">
        <f>-IFERROR('4. NPV'!AHY24/'4. NPV'!AHY$8,0)</f>
        <v>-0.0</v>
      </c>
      <c r="AHY55" s="5">
        <f>-IFERROR('4. NPV'!AHZ24/'4. NPV'!AHZ$8,0)</f>
        <v>-0.0</v>
      </c>
      <c r="AHZ55" s="5">
        <f>-IFERROR('4. NPV'!AIA24/'4. NPV'!AIA$8,0)</f>
        <v>-0.0</v>
      </c>
      <c r="AIA55" s="5">
        <f>-IFERROR('4. NPV'!AIB24/'4. NPV'!AIB$8,0)</f>
        <v>-0.0</v>
      </c>
      <c r="AIB55" s="5">
        <f>-IFERROR('4. NPV'!AIC24/'4. NPV'!AIC$8,0)</f>
        <v>-0.0</v>
      </c>
      <c r="AIC55" s="5">
        <f>-IFERROR('4. NPV'!AID24/'4. NPV'!AID$8,0)</f>
        <v>-0.0</v>
      </c>
      <c r="AID55" s="5">
        <f>-IFERROR('4. NPV'!AIE24/'4. NPV'!AIE$8,0)</f>
        <v>-0.0</v>
      </c>
      <c r="AIE55" s="5">
        <f>-IFERROR('4. NPV'!AIF24/'4. NPV'!AIF$8,0)</f>
        <v>-0.0</v>
      </c>
      <c r="AIF55" s="5">
        <f>-IFERROR('4. NPV'!AIG24/'4. NPV'!AIG$8,0)</f>
        <v>-0.0</v>
      </c>
      <c r="AIG55" s="5">
        <f>-IFERROR('4. NPV'!AIH24/'4. NPV'!AIH$8,0)</f>
        <v>-0.0</v>
      </c>
      <c r="AIH55" s="5">
        <f>-IFERROR('4. NPV'!AII24/'4. NPV'!AII$8,0)</f>
        <v>-0.0</v>
      </c>
      <c r="AII55" s="5">
        <f>-IFERROR('4. NPV'!AIJ24/'4. NPV'!AIJ$8,0)</f>
        <v>-0.0</v>
      </c>
      <c r="AIJ55" s="5">
        <f>-IFERROR('4. NPV'!AIK24/'4. NPV'!AIK$8,0)</f>
        <v>-0.0</v>
      </c>
      <c r="AIK55" s="5">
        <f>-IFERROR('4. NPV'!AIL24/'4. NPV'!AIL$8,0)</f>
        <v>-0.0</v>
      </c>
      <c r="AIL55" s="5">
        <f>-IFERROR('4. NPV'!AIM24/'4. NPV'!AIM$8,0)</f>
        <v>-0.0</v>
      </c>
      <c r="AIM55" s="5">
        <f>-IFERROR('4. NPV'!AIN24/'4. NPV'!AIN$8,0)</f>
        <v>-0.0</v>
      </c>
      <c r="AIN55" s="5">
        <f>-IFERROR('4. NPV'!AIO24/'4. NPV'!AIO$8,0)</f>
        <v>-0.0</v>
      </c>
      <c r="AIO55" s="5">
        <f>-IFERROR('4. NPV'!AIP24/'4. NPV'!AIP$8,0)</f>
        <v>-0.0</v>
      </c>
      <c r="AIP55" s="5">
        <f>-IFERROR('4. NPV'!AIQ24/'4. NPV'!AIQ$8,0)</f>
        <v>-0.0</v>
      </c>
      <c r="AIQ55" s="5">
        <f>-IFERROR('4. NPV'!AIR24/'4. NPV'!AIR$8,0)</f>
        <v>-0.0</v>
      </c>
      <c r="AIR55" s="5">
        <f>-IFERROR('4. NPV'!AIS24/'4. NPV'!AIS$8,0)</f>
        <v>-0.0</v>
      </c>
      <c r="AIS55" s="5">
        <f>-IFERROR('4. NPV'!AIT24/'4. NPV'!AIT$8,0)</f>
        <v>-0.0</v>
      </c>
      <c r="AIT55" s="5">
        <f>-IFERROR('4. NPV'!AIU24/'4. NPV'!AIU$8,0)</f>
        <v>-0.0</v>
      </c>
      <c r="AIU55" s="5">
        <f>-IFERROR('4. NPV'!AIV24/'4. NPV'!AIV$8,0)</f>
        <v>-0.0</v>
      </c>
      <c r="AIV55" s="5">
        <f>-IFERROR('4. NPV'!AIW24/'4. NPV'!AIW$8,0)</f>
        <v>-0.0</v>
      </c>
      <c r="AIW55" s="5">
        <f>-IFERROR('4. NPV'!AIX24/'4. NPV'!AIX$8,0)</f>
        <v>-0.0</v>
      </c>
      <c r="AIX55" s="5">
        <f>-IFERROR('4. NPV'!AIY24/'4. NPV'!AIY$8,0)</f>
        <v>-0.0</v>
      </c>
      <c r="AIY55" s="5">
        <f>-IFERROR('4. NPV'!AIZ24/'4. NPV'!AIZ$8,0)</f>
        <v>-0.0</v>
      </c>
      <c r="AIZ55" s="5">
        <f>-IFERROR('4. NPV'!AJA24/'4. NPV'!AJA$8,0)</f>
        <v>-0.0</v>
      </c>
      <c r="AJA55" s="5">
        <f>-IFERROR('4. NPV'!AJB24/'4. NPV'!AJB$8,0)</f>
        <v>-0.0</v>
      </c>
      <c r="AJB55" s="5">
        <f>-IFERROR('4. NPV'!AJC24/'4. NPV'!AJC$8,0)</f>
        <v>-0.0</v>
      </c>
      <c r="AJC55" s="5">
        <f>-IFERROR('4. NPV'!AJD24/'4. NPV'!AJD$8,0)</f>
        <v>-0.0</v>
      </c>
      <c r="AJD55" s="5">
        <f>-IFERROR('4. NPV'!AJE24/'4. NPV'!AJE$8,0)</f>
        <v>-0.0</v>
      </c>
      <c r="AJE55" s="5">
        <f>-IFERROR('4. NPV'!AJF24/'4. NPV'!AJF$8,0)</f>
        <v>-0.0</v>
      </c>
      <c r="AJF55" s="5">
        <f>-IFERROR('4. NPV'!AJG24/'4. NPV'!AJG$8,0)</f>
        <v>-0.0</v>
      </c>
      <c r="AJG55" s="5">
        <f>-IFERROR('4. NPV'!AJH24/'4. NPV'!AJH$8,0)</f>
        <v>-0.0</v>
      </c>
      <c r="AJH55" s="5">
        <f>-IFERROR('4. NPV'!AJI24/'4. NPV'!AJI$8,0)</f>
        <v>-0.0</v>
      </c>
      <c r="AJI55" s="5">
        <f>-IFERROR('4. NPV'!AJJ24/'4. NPV'!AJJ$8,0)</f>
        <v>-0.0</v>
      </c>
      <c r="AJJ55" s="5">
        <f>-IFERROR('4. NPV'!AJK24/'4. NPV'!AJK$8,0)</f>
        <v>-0.0</v>
      </c>
      <c r="AJK55" s="5">
        <f>-IFERROR('4. NPV'!AJL24/'4. NPV'!AJL$8,0)</f>
        <v>-0.0</v>
      </c>
      <c r="AJL55" s="5">
        <f>-IFERROR('4. NPV'!AJM24/'4. NPV'!AJM$8,0)</f>
        <v>-0.0</v>
      </c>
      <c r="AJM55" s="5">
        <f>-IFERROR('4. NPV'!AJN24/'4. NPV'!AJN$8,0)</f>
        <v>-0.0</v>
      </c>
      <c r="AJN55" s="5">
        <f>-IFERROR('4. NPV'!AJO24/'4. NPV'!AJO$8,0)</f>
        <v>-0.0</v>
      </c>
      <c r="AJO55" s="5">
        <f>-IFERROR('4. NPV'!AJP24/'4. NPV'!AJP$8,0)</f>
        <v>-0.0</v>
      </c>
      <c r="AJP55" s="5">
        <f>-IFERROR('4. NPV'!AJQ24/'4. NPV'!AJQ$8,0)</f>
        <v>-0.0</v>
      </c>
      <c r="AJQ55" s="5">
        <f>-IFERROR('4. NPV'!AJR24/'4. NPV'!AJR$8,0)</f>
        <v>-0.0</v>
      </c>
      <c r="AJR55" s="5">
        <f>-IFERROR('4. NPV'!AJS24/'4. NPV'!AJS$8,0)</f>
        <v>-0.0</v>
      </c>
      <c r="AJS55" s="5">
        <f>-IFERROR('4. NPV'!AJT24/'4. NPV'!AJT$8,0)</f>
        <v>-0.0</v>
      </c>
      <c r="AJT55" s="5">
        <f>-IFERROR('4. NPV'!AJU24/'4. NPV'!AJU$8,0)</f>
        <v>-0.0</v>
      </c>
      <c r="AJU55" s="5">
        <f>-IFERROR('4. NPV'!AJV24/'4. NPV'!AJV$8,0)</f>
        <v>-0.0</v>
      </c>
      <c r="AJV55" s="5">
        <f>-IFERROR('4. NPV'!AJW24/'4. NPV'!AJW$8,0)</f>
        <v>-0.0</v>
      </c>
      <c r="AJW55" s="5">
        <f>-IFERROR('4. NPV'!AJX24/'4. NPV'!AJX$8,0)</f>
        <v>-0.0</v>
      </c>
      <c r="AJX55" s="5">
        <f>-IFERROR('4. NPV'!AJY24/'4. NPV'!AJY$8,0)</f>
        <v>-0.0</v>
      </c>
      <c r="AJY55" s="5">
        <f>-IFERROR('4. NPV'!AJZ24/'4. NPV'!AJZ$8,0)</f>
        <v>-0.0</v>
      </c>
      <c r="AJZ55" s="5">
        <f>-IFERROR('4. NPV'!AKA24/'4. NPV'!AKA$8,0)</f>
        <v>-0.0</v>
      </c>
      <c r="AKA55" s="5">
        <f>-IFERROR('4. NPV'!AKB24/'4. NPV'!AKB$8,0)</f>
        <v>-0.0</v>
      </c>
      <c r="AKB55" s="5">
        <f>-IFERROR('4. NPV'!AKC24/'4. NPV'!AKC$8,0)</f>
        <v>-0.0</v>
      </c>
      <c r="AKC55" s="5">
        <f>-IFERROR('4. NPV'!AKD24/'4. NPV'!AKD$8,0)</f>
        <v>-0.0</v>
      </c>
      <c r="AKD55" s="5">
        <f>-IFERROR('4. NPV'!AKE24/'4. NPV'!AKE$8,0)</f>
        <v>-0.0</v>
      </c>
      <c r="AKE55" s="5">
        <f>-IFERROR('4. NPV'!AKF24/'4. NPV'!AKF$8,0)</f>
        <v>-0.0</v>
      </c>
      <c r="AKF55" s="5">
        <f>-IFERROR('4. NPV'!AKG24/'4. NPV'!AKG$8,0)</f>
        <v>-0.0</v>
      </c>
      <c r="AKG55" s="5">
        <f>-IFERROR('4. NPV'!AKH24/'4. NPV'!AKH$8,0)</f>
        <v>-0.0</v>
      </c>
      <c r="AKH55" s="5">
        <f>-IFERROR('4. NPV'!AKI24/'4. NPV'!AKI$8,0)</f>
        <v>-0.0</v>
      </c>
      <c r="AKI55" s="5">
        <f>-IFERROR('4. NPV'!AKJ24/'4. NPV'!AKJ$8,0)</f>
        <v>-0.0</v>
      </c>
      <c r="AKJ55" s="5">
        <f>-IFERROR('4. NPV'!AKK24/'4. NPV'!AKK$8,0)</f>
        <v>-0.0</v>
      </c>
      <c r="AKK55" s="5">
        <f>-IFERROR('4. NPV'!AKL24/'4. NPV'!AKL$8,0)</f>
        <v>-0.0</v>
      </c>
      <c r="AKL55" s="5">
        <f>-IFERROR('4. NPV'!AKM24/'4. NPV'!AKM$8,0)</f>
        <v>-0.0</v>
      </c>
      <c r="AKM55" s="5">
        <f>-IFERROR('4. NPV'!AKN24/'4. NPV'!AKN$8,0)</f>
        <v>-0.0</v>
      </c>
      <c r="AKN55" s="5">
        <f>-IFERROR('4. NPV'!AKO24/'4. NPV'!AKO$8,0)</f>
        <v>-0.0</v>
      </c>
      <c r="AKO55" s="5">
        <f>-IFERROR('4. NPV'!AKP24/'4. NPV'!AKP$8,0)</f>
        <v>-0.0</v>
      </c>
      <c r="AKP55" s="5">
        <f>-IFERROR('4. NPV'!AKQ24/'4. NPV'!AKQ$8,0)</f>
        <v>-0.0</v>
      </c>
      <c r="AKQ55" s="5">
        <f>-IFERROR('4. NPV'!AKR24/'4. NPV'!AKR$8,0)</f>
        <v>-0.0</v>
      </c>
      <c r="AKR55" s="5">
        <f>-IFERROR('4. NPV'!AKS24/'4. NPV'!AKS$8,0)</f>
        <v>-0.0</v>
      </c>
      <c r="AKS55" s="5">
        <f>-IFERROR('4. NPV'!AKT24/'4. NPV'!AKT$8,0)</f>
        <v>-0.0</v>
      </c>
      <c r="AKT55" s="5">
        <f>-IFERROR('4. NPV'!AKU24/'4. NPV'!AKU$8,0)</f>
        <v>-0.0</v>
      </c>
      <c r="AKU55" s="5">
        <f>-IFERROR('4. NPV'!AKV24/'4. NPV'!AKV$8,0)</f>
        <v>-0.0</v>
      </c>
      <c r="AKV55" s="5">
        <f>-IFERROR('4. NPV'!AKW24/'4. NPV'!AKW$8,0)</f>
        <v>-0.0</v>
      </c>
      <c r="AKW55" s="5">
        <f>-IFERROR('4. NPV'!AKX24/'4. NPV'!AKX$8,0)</f>
        <v>-0.0</v>
      </c>
      <c r="AKX55" s="5">
        <f>-IFERROR('4. NPV'!AKY24/'4. NPV'!AKY$8,0)</f>
        <v>-0.0</v>
      </c>
      <c r="AKY55" s="5">
        <f>-IFERROR('4. NPV'!AKZ24/'4. NPV'!AKZ$8,0)</f>
        <v>-0.0</v>
      </c>
      <c r="AKZ55" s="5">
        <f>-IFERROR('4. NPV'!ALA24/'4. NPV'!ALA$8,0)</f>
        <v>-0.0</v>
      </c>
      <c r="ALA55" s="5">
        <f>-IFERROR('4. NPV'!ALB24/'4. NPV'!ALB$8,0)</f>
        <v>-0.0</v>
      </c>
      <c r="ALB55" s="5">
        <f>-IFERROR('4. NPV'!ALC24/'4. NPV'!ALC$8,0)</f>
        <v>-0.0</v>
      </c>
      <c r="ALC55" s="5">
        <f>-IFERROR('4. NPV'!ALD24/'4. NPV'!ALD$8,0)</f>
        <v>-0.0</v>
      </c>
      <c r="ALD55" s="5">
        <f>-IFERROR('4. NPV'!ALE24/'4. NPV'!ALE$8,0)</f>
        <v>-0.0</v>
      </c>
      <c r="ALE55" s="5">
        <f>-IFERROR('4. NPV'!ALF24/'4. NPV'!ALF$8,0)</f>
        <v>-0.0</v>
      </c>
      <c r="ALF55" s="5">
        <f>-IFERROR('4. NPV'!ALG24/'4. NPV'!ALG$8,0)</f>
        <v>-0.0</v>
      </c>
      <c r="ALG55" s="5">
        <f>-IFERROR('4. NPV'!ALH24/'4. NPV'!ALH$8,0)</f>
        <v>-0.0</v>
      </c>
      <c r="ALH55" s="5">
        <f>-IFERROR('4. NPV'!ALI24/'4. NPV'!ALI$8,0)</f>
        <v>-0.0</v>
      </c>
      <c r="ALI55" s="5">
        <f>-IFERROR('4. NPV'!ALJ24/'4. NPV'!ALJ$8,0)</f>
        <v>-0.0</v>
      </c>
      <c r="ALJ55" s="5">
        <f>-IFERROR('4. NPV'!ALK24/'4. NPV'!ALK$8,0)</f>
        <v>-0.0</v>
      </c>
      <c r="ALK55" s="5">
        <f>-IFERROR('4. NPV'!ALL24/'4. NPV'!ALL$8,0)</f>
        <v>-0.0</v>
      </c>
      <c r="ALL55" s="5">
        <f>-IFERROR('4. NPV'!ALM24/'4. NPV'!ALM$8,0)</f>
        <v>-0.0</v>
      </c>
      <c r="ALM55" s="5">
        <f>-IFERROR('4. NPV'!ALN24/'4. NPV'!ALN$8,0)</f>
        <v>-0.0</v>
      </c>
      <c r="ALN55" s="5">
        <f>-IFERROR('4. NPV'!ALO24/'4. NPV'!ALO$8,0)</f>
        <v>-0.0</v>
      </c>
      <c r="ALO55" s="5">
        <f>-IFERROR('4. NPV'!ALP24/'4. NPV'!ALP$8,0)</f>
        <v>-0.0</v>
      </c>
      <c r="ALP55" s="5">
        <f>-IFERROR('4. NPV'!ALQ24/'4. NPV'!ALQ$8,0)</f>
        <v>-0.0</v>
      </c>
      <c r="ALQ55" s="5">
        <f>-IFERROR('4. NPV'!ALR24/'4. NPV'!ALR$8,0)</f>
        <v>-0.0</v>
      </c>
      <c r="ALR55" s="5">
        <f>-IFERROR('4. NPV'!ALS24/'4. NPV'!ALS$8,0)</f>
        <v>-0.0</v>
      </c>
      <c r="ALS55" s="5">
        <f>-IFERROR('4. NPV'!ALT24/'4. NPV'!ALT$8,0)</f>
        <v>-0.0</v>
      </c>
      <c r="ALT55" s="5">
        <f>-IFERROR('4. NPV'!ALU24/'4. NPV'!ALU$8,0)</f>
        <v>-0.0</v>
      </c>
      <c r="ALU55" s="5">
        <f>-IFERROR('4. NPV'!ALV24/'4. NPV'!ALV$8,0)</f>
        <v>-0.0</v>
      </c>
      <c r="ALV55" s="5">
        <f>-IFERROR('4. NPV'!ALW24/'4. NPV'!ALW$8,0)</f>
        <v>-0.0</v>
      </c>
      <c r="ALW55" s="5">
        <f>-IFERROR('4. NPV'!ALX24/'4. NPV'!ALX$8,0)</f>
        <v>-0.0</v>
      </c>
      <c r="ALX55" s="5">
        <f>-IFERROR('4. NPV'!ALY24/'4. NPV'!ALY$8,0)</f>
        <v>-0.0</v>
      </c>
      <c r="ALY55" s="5">
        <f>-IFERROR('4. NPV'!ALZ24/'4. NPV'!ALZ$8,0)</f>
        <v>-0.0</v>
      </c>
      <c r="ALZ55" s="5">
        <f>-IFERROR('4. NPV'!AMA24/'4. NPV'!AMA$8,0)</f>
        <v>-0.0</v>
      </c>
      <c r="AMA55" s="5">
        <f>-IFERROR('4. NPV'!AMB24/'4. NPV'!AMB$8,0)</f>
        <v>-0.0</v>
      </c>
      <c r="AMB55" s="5">
        <f>-IFERROR('4. NPV'!AMC24/'4. NPV'!AMC$8,0)</f>
        <v>-0.0</v>
      </c>
      <c r="AMC55" s="5">
        <f>-IFERROR('4. NPV'!AMD24/'4. NPV'!AMD$8,0)</f>
        <v>-0.0</v>
      </c>
      <c r="AMD55" s="5">
        <f>-IFERROR('4. NPV'!AME24/'4. NPV'!AME$8,0)</f>
        <v>-0.0</v>
      </c>
      <c r="AME55" s="5">
        <f>-IFERROR('4. NPV'!AMF24/'4. NPV'!AMF$8,0)</f>
        <v>-0.0</v>
      </c>
      <c r="AMF55" s="5">
        <f>-IFERROR('4. NPV'!AMG24/'4. NPV'!AMG$8,0)</f>
        <v>-0.0</v>
      </c>
      <c r="AMG55" s="5">
        <f>-IFERROR('4. NPV'!AMH24/'4. NPV'!AMH$8,0)</f>
        <v>-0.0</v>
      </c>
      <c r="AMH55" s="5">
        <f>-IFERROR('4. NPV'!AMI24/'4. NPV'!AMI$8,0)</f>
        <v>-0.0</v>
      </c>
      <c r="AMI55" s="5">
        <f>-IFERROR('4. NPV'!AMJ24/'4. NPV'!AMJ$8,0)</f>
        <v>-0.0</v>
      </c>
      <c r="AMJ55" s="5">
        <f>-IFERROR('4. NPV'!AMK24/'4. NPV'!AMK$8,0)</f>
        <v>-0.0</v>
      </c>
      <c r="AMK55" s="5">
        <f>-IFERROR('4. NPV'!AML24/'4. NPV'!AML$8,0)</f>
        <v>-0.0</v>
      </c>
      <c r="AML55" s="5">
        <f>-IFERROR('4. NPV'!AMM24/'4. NPV'!AMM$8,0)</f>
        <v>-0.0</v>
      </c>
      <c r="AMM55" s="5">
        <f>-IFERROR('4. NPV'!AMN24/'4. NPV'!AMN$8,0)</f>
        <v>-0.0</v>
      </c>
      <c r="AMN55" s="5">
        <f>-IFERROR('4. NPV'!AMO24/'4. NPV'!AMO$8,0)</f>
        <v>-0.0</v>
      </c>
      <c r="AMO55" s="5">
        <f>-IFERROR('4. NPV'!AMP24/'4. NPV'!AMP$8,0)</f>
        <v>-0.0</v>
      </c>
      <c r="AMP55" s="5">
        <f>-IFERROR('4. NPV'!AMQ24/'4. NPV'!AMQ$8,0)</f>
        <v>-0.0</v>
      </c>
      <c r="AMQ55" s="5">
        <f>-IFERROR('4. NPV'!AMR24/'4. NPV'!AMR$8,0)</f>
        <v>-0.0</v>
      </c>
      <c r="AMR55" s="5">
        <f>-IFERROR('4. NPV'!AMS24/'4. NPV'!AMS$8,0)</f>
        <v>-0.0</v>
      </c>
      <c r="AMS55" s="5">
        <f>-IFERROR('4. NPV'!AMT24/'4. NPV'!AMT$8,0)</f>
        <v>-0.0</v>
      </c>
      <c r="AMT55" s="5">
        <f>-IFERROR('4. NPV'!AMU24/'4. NPV'!AMU$8,0)</f>
        <v>-0.0</v>
      </c>
      <c r="AMU55" s="5">
        <f>-IFERROR('4. NPV'!AMV24/'4. NPV'!AMV$8,0)</f>
        <v>-0.0</v>
      </c>
      <c r="AMV55" s="5">
        <f>-IFERROR('4. NPV'!AMW24/'4. NPV'!AMW$8,0)</f>
        <v>-0.0</v>
      </c>
      <c r="AMW55" s="5">
        <f>-IFERROR('4. NPV'!AMX24/'4. NPV'!AMX$8,0)</f>
        <v>-0.0</v>
      </c>
      <c r="AMX55" s="5">
        <f>-IFERROR('4. NPV'!AMY24/'4. NPV'!AMY$8,0)</f>
        <v>-0.0</v>
      </c>
      <c r="AMY55" s="5">
        <f>-IFERROR('4. NPV'!AMZ24/'4. NPV'!AMZ$8,0)</f>
        <v>-0.0</v>
      </c>
      <c r="AMZ55" s="5">
        <f>-IFERROR('4. NPV'!ANA24/'4. NPV'!ANA$8,0)</f>
        <v>-0.0</v>
      </c>
      <c r="ANA55" s="5">
        <f>-IFERROR('4. NPV'!ANB24/'4. NPV'!ANB$8,0)</f>
        <v>-0.0</v>
      </c>
      <c r="ANB55" s="5">
        <f>-IFERROR('4. NPV'!ANC24/'4. NPV'!ANC$8,0)</f>
        <v>-0.0</v>
      </c>
      <c r="ANC55" s="5">
        <f>-IFERROR('4. NPV'!AND24/'4. NPV'!AND$8,0)</f>
        <v>-0.0</v>
      </c>
      <c r="AND55" s="5">
        <f>-IFERROR('4. NPV'!ANE24/'4. NPV'!ANE$8,0)</f>
        <v>-0.0</v>
      </c>
      <c r="ANE55" s="5">
        <f>-IFERROR('4. NPV'!ANF24/'4. NPV'!ANF$8,0)</f>
        <v>-0.0</v>
      </c>
      <c r="ANF55" s="5">
        <f>-IFERROR('4. NPV'!ANG24/'4. NPV'!ANG$8,0)</f>
        <v>-0.0</v>
      </c>
      <c r="ANG55" s="5">
        <f>-IFERROR('4. NPV'!ANH24/'4. NPV'!ANH$8,0)</f>
        <v>-0.0</v>
      </c>
      <c r="ANH55" s="5">
        <f>-IFERROR('4. NPV'!ANI24/'4. NPV'!ANI$8,0)</f>
        <v>-0.0</v>
      </c>
      <c r="ANI55" s="5">
        <f>-IFERROR('4. NPV'!ANJ24/'4. NPV'!ANJ$8,0)</f>
        <v>-0.0</v>
      </c>
      <c r="ANJ55" s="5">
        <f>-IFERROR('4. NPV'!ANK24/'4. NPV'!ANK$8,0)</f>
        <v>-0.0</v>
      </c>
      <c r="ANK55" s="5">
        <f>-IFERROR('4. NPV'!ANL24/'4. NPV'!ANL$8,0)</f>
        <v>-0.0</v>
      </c>
      <c r="ANL55" s="5">
        <f>-IFERROR('4. NPV'!ANM24/'4. NPV'!ANM$8,0)</f>
        <v>-0.0</v>
      </c>
      <c r="ANM55" s="5">
        <f>-IFERROR('4. NPV'!ANN24/'4. NPV'!ANN$8,0)</f>
        <v>-0.0</v>
      </c>
      <c r="ANN55" s="5">
        <f>-IFERROR('4. NPV'!ANO24/'4. NPV'!ANO$8,0)</f>
        <v>-0.0</v>
      </c>
      <c r="ANO55" s="5">
        <f>-IFERROR('4. NPV'!ANP24/'4. NPV'!ANP$8,0)</f>
        <v>-0.0</v>
      </c>
      <c r="ANP55" s="5">
        <f>-IFERROR('4. NPV'!ANQ24/'4. NPV'!ANQ$8,0)</f>
        <v>-0.0</v>
      </c>
      <c r="ANQ55" s="5">
        <f>-IFERROR('4. NPV'!ANR24/'4. NPV'!ANR$8,0)</f>
        <v>-0.0</v>
      </c>
      <c r="ANR55" s="5">
        <f>-IFERROR('4. NPV'!ANS24/'4. NPV'!ANS$8,0)</f>
        <v>-0.0</v>
      </c>
      <c r="ANS55" s="5">
        <f>-IFERROR('4. NPV'!ANT24/'4. NPV'!ANT$8,0)</f>
        <v>-0.0</v>
      </c>
      <c r="ANT55" s="5">
        <f>-IFERROR('4. NPV'!ANU24/'4. NPV'!ANU$8,0)</f>
        <v>-0.0</v>
      </c>
      <c r="ANU55" s="5">
        <f>-IFERROR('4. NPV'!ANV24/'4. NPV'!ANV$8,0)</f>
        <v>-0.0</v>
      </c>
      <c r="ANV55" s="5">
        <f>-IFERROR('4. NPV'!ANW24/'4. NPV'!ANW$8,0)</f>
        <v>-0.0</v>
      </c>
      <c r="ANW55" s="5">
        <f>-IFERROR('4. NPV'!ANX24/'4. NPV'!ANX$8,0)</f>
        <v>-0.0</v>
      </c>
      <c r="ANX55" s="5">
        <f>-IFERROR('4. NPV'!ANY24/'4. NPV'!ANY$8,0)</f>
        <v>-0.0</v>
      </c>
      <c r="ANY55" s="5">
        <f>-IFERROR('4. NPV'!ANZ24/'4. NPV'!ANZ$8,0)</f>
        <v>-0.0</v>
      </c>
      <c r="ANZ55" s="5">
        <f>-IFERROR('4. NPV'!AOA24/'4. NPV'!AOA$8,0)</f>
        <v>-0.0</v>
      </c>
      <c r="AOA55" s="5">
        <f>-IFERROR('4. NPV'!AOB24/'4. NPV'!AOB$8,0)</f>
        <v>-0.0</v>
      </c>
      <c r="AOB55" s="5">
        <f>-IFERROR('4. NPV'!AOC24/'4. NPV'!AOC$8,0)</f>
        <v>-0.0</v>
      </c>
      <c r="AOC55" s="5">
        <f>-IFERROR('4. NPV'!AOD24/'4. NPV'!AOD$8,0)</f>
        <v>-0.0</v>
      </c>
      <c r="AOD55" s="5">
        <f>-IFERROR('4. NPV'!AOE24/'4. NPV'!AOE$8,0)</f>
        <v>-0.0</v>
      </c>
      <c r="AOE55" s="5">
        <f>-IFERROR('4. NPV'!AOF24/'4. NPV'!AOF$8,0)</f>
        <v>-0.0</v>
      </c>
      <c r="AOF55" s="5">
        <f>-IFERROR('4. NPV'!AOG24/'4. NPV'!AOG$8,0)</f>
        <v>-0.0</v>
      </c>
      <c r="AOG55" s="5">
        <f>-IFERROR('4. NPV'!AOH24/'4. NPV'!AOH$8,0)</f>
        <v>-0.0</v>
      </c>
      <c r="AOH55" s="5">
        <f>-IFERROR('4. NPV'!AOI24/'4. NPV'!AOI$8,0)</f>
        <v>-0.0</v>
      </c>
      <c r="AOI55" s="5">
        <f>-IFERROR('4. NPV'!AOJ24/'4. NPV'!AOJ$8,0)</f>
        <v>-0.0</v>
      </c>
      <c r="AOJ55" s="5">
        <f>-IFERROR('4. NPV'!AOK24/'4. NPV'!AOK$8,0)</f>
        <v>-0.0</v>
      </c>
      <c r="AOK55" s="5">
        <f>-IFERROR('4. NPV'!AOL24/'4. NPV'!AOL$8,0)</f>
        <v>-0.0</v>
      </c>
      <c r="AOL55" s="5">
        <f>-IFERROR('4. NPV'!AOM24/'4. NPV'!AOM$8,0)</f>
        <v>-0.0</v>
      </c>
      <c r="AOM55" s="5">
        <f>-IFERROR('4. NPV'!AON24/'4. NPV'!AON$8,0)</f>
        <v>-0.0</v>
      </c>
      <c r="AON55" s="5">
        <f>-IFERROR('4. NPV'!AOO24/'4. NPV'!AOO$8,0)</f>
        <v>-0.0</v>
      </c>
      <c r="AOO55" s="5">
        <f>-IFERROR('4. NPV'!AOP24/'4. NPV'!AOP$8,0)</f>
        <v>-0.0</v>
      </c>
      <c r="AOP55" s="5">
        <f>-IFERROR('4. NPV'!AOQ24/'4. NPV'!AOQ$8,0)</f>
        <v>-0.0</v>
      </c>
      <c r="AOQ55" s="5">
        <f>-IFERROR('4. NPV'!AOR24/'4. NPV'!AOR$8,0)</f>
        <v>-0.0</v>
      </c>
      <c r="AOR55" s="5">
        <f>-IFERROR('4. NPV'!AOS24/'4. NPV'!AOS$8,0)</f>
        <v>-0.0</v>
      </c>
      <c r="AOS55" s="5">
        <f>-IFERROR('4. NPV'!AOT24/'4. NPV'!AOT$8,0)</f>
        <v>-0.0</v>
      </c>
      <c r="AOT55" s="5">
        <f>-IFERROR('4. NPV'!AOU24/'4. NPV'!AOU$8,0)</f>
        <v>-0.0</v>
      </c>
      <c r="AOU55" s="5">
        <f>-IFERROR('4. NPV'!AOV24/'4. NPV'!AOV$8,0)</f>
        <v>-0.0</v>
      </c>
      <c r="AOV55" s="5">
        <f>-IFERROR('4. NPV'!AOW24/'4. NPV'!AOW$8,0)</f>
        <v>-0.0</v>
      </c>
      <c r="AOW55" s="5">
        <f>-IFERROR('4. NPV'!AOX24/'4. NPV'!AOX$8,0)</f>
        <v>-0.0</v>
      </c>
      <c r="AOX55" s="5">
        <f>-IFERROR('4. NPV'!AOY24/'4. NPV'!AOY$8,0)</f>
        <v>-0.0</v>
      </c>
      <c r="AOY55" s="5">
        <f>-IFERROR('4. NPV'!AOZ24/'4. NPV'!AOZ$8,0)</f>
        <v>-0.0</v>
      </c>
      <c r="AOZ55" s="5">
        <f>-IFERROR('4. NPV'!APA24/'4. NPV'!APA$8,0)</f>
        <v>-0.0</v>
      </c>
      <c r="APA55" s="5">
        <f>-IFERROR('4. NPV'!APB24/'4. NPV'!APB$8,0)</f>
        <v>-0.0</v>
      </c>
      <c r="APB55" s="5">
        <f>-IFERROR('4. NPV'!APC24/'4. NPV'!APC$8,0)</f>
        <v>-0.0</v>
      </c>
      <c r="APC55" s="5">
        <f>-IFERROR('4. NPV'!APD24/'4. NPV'!APD$8,0)</f>
        <v>-0.0</v>
      </c>
      <c r="APD55" s="5">
        <f>-IFERROR('4. NPV'!APE24/'4. NPV'!APE$8,0)</f>
        <v>-0.0</v>
      </c>
      <c r="APE55" s="5">
        <f>-IFERROR('4. NPV'!APF24/'4. NPV'!APF$8,0)</f>
        <v>-0.0</v>
      </c>
      <c r="APF55" s="5">
        <f>-IFERROR('4. NPV'!APG24/'4. NPV'!APG$8,0)</f>
        <v>-0.0</v>
      </c>
      <c r="APG55" s="5">
        <f>-IFERROR('4. NPV'!APH24/'4. NPV'!APH$8,0)</f>
        <v>-0.0</v>
      </c>
      <c r="APH55" s="5">
        <f>-IFERROR('4. NPV'!API24/'4. NPV'!API$8,0)</f>
        <v>-0.0</v>
      </c>
      <c r="API55" s="5">
        <f>-IFERROR('4. NPV'!APJ24/'4. NPV'!APJ$8,0)</f>
        <v>-0.0</v>
      </c>
      <c r="APJ55" s="5">
        <f>-IFERROR('4. NPV'!APK24/'4. NPV'!APK$8,0)</f>
        <v>-0.0</v>
      </c>
      <c r="APK55" s="5">
        <f>-IFERROR('4. NPV'!APL24/'4. NPV'!APL$8,0)</f>
        <v>-0.0</v>
      </c>
      <c r="APL55" s="5">
        <f>-IFERROR('4. NPV'!APM24/'4. NPV'!APM$8,0)</f>
        <v>-0.0</v>
      </c>
      <c r="APM55" s="5">
        <f>-IFERROR('4. NPV'!APN24/'4. NPV'!APN$8,0)</f>
        <v>-0.0</v>
      </c>
      <c r="APN55" s="5">
        <f>-IFERROR('4. NPV'!APO24/'4. NPV'!APO$8,0)</f>
        <v>-0.0</v>
      </c>
      <c r="APO55" s="5">
        <f>-IFERROR('4. NPV'!APP24/'4. NPV'!APP$8,0)</f>
        <v>-0.0</v>
      </c>
      <c r="APP55" s="5">
        <f>-IFERROR('4. NPV'!APQ24/'4. NPV'!APQ$8,0)</f>
        <v>-0.0</v>
      </c>
      <c r="APQ55" s="5">
        <f>-IFERROR('4. NPV'!APR24/'4. NPV'!APR$8,0)</f>
        <v>-0.0</v>
      </c>
      <c r="APR55" s="5">
        <f>-IFERROR('4. NPV'!APS24/'4. NPV'!APS$8,0)</f>
        <v>-0.0</v>
      </c>
      <c r="APS55" s="5">
        <f>-IFERROR('4. NPV'!APT24/'4. NPV'!APT$8,0)</f>
        <v>-0.0</v>
      </c>
      <c r="APT55" s="5">
        <f>-IFERROR('4. NPV'!APU24/'4. NPV'!APU$8,0)</f>
        <v>-0.0</v>
      </c>
      <c r="APU55" s="5">
        <f>-IFERROR('4. NPV'!APV24/'4. NPV'!APV$8,0)</f>
        <v>-0.0</v>
      </c>
      <c r="APV55" s="5">
        <f>-IFERROR('4. NPV'!APW24/'4. NPV'!APW$8,0)</f>
        <v>-0.0</v>
      </c>
      <c r="APW55" s="5">
        <f>-IFERROR('4. NPV'!APX24/'4. NPV'!APX$8,0)</f>
        <v>-0.0</v>
      </c>
      <c r="APX55" s="5">
        <f>-IFERROR('4. NPV'!APY24/'4. NPV'!APY$8,0)</f>
        <v>-0.0</v>
      </c>
      <c r="APY55" s="5">
        <f>-IFERROR('4. NPV'!APZ24/'4. NPV'!APZ$8,0)</f>
        <v>-0.0</v>
      </c>
      <c r="APZ55" s="5">
        <f>-IFERROR('4. NPV'!AQA24/'4. NPV'!AQA$8,0)</f>
        <v>-0.0</v>
      </c>
      <c r="AQA55" s="5">
        <f>-IFERROR('4. NPV'!AQB24/'4. NPV'!AQB$8,0)</f>
        <v>-0.0</v>
      </c>
      <c r="AQB55" s="5">
        <f>-IFERROR('4. NPV'!AQC24/'4. NPV'!AQC$8,0)</f>
        <v>-0.0</v>
      </c>
      <c r="AQC55" s="5">
        <f>-IFERROR('4. NPV'!AQD24/'4. NPV'!AQD$8,0)</f>
        <v>-0.0</v>
      </c>
      <c r="AQD55" s="5">
        <f>-IFERROR('4. NPV'!AQE24/'4. NPV'!AQE$8,0)</f>
        <v>-0.0</v>
      </c>
      <c r="AQE55" s="5">
        <f>-IFERROR('4. NPV'!AQF24/'4. NPV'!AQF$8,0)</f>
        <v>-0.0</v>
      </c>
      <c r="AQF55" s="5">
        <f>-IFERROR('4. NPV'!AQG24/'4. NPV'!AQG$8,0)</f>
        <v>-0.0</v>
      </c>
      <c r="AQG55" s="5">
        <f>-IFERROR('4. NPV'!AQH24/'4. NPV'!AQH$8,0)</f>
        <v>-0.0</v>
      </c>
      <c r="AQH55" s="5">
        <f>-IFERROR('4. NPV'!AQI24/'4. NPV'!AQI$8,0)</f>
        <v>-0.0</v>
      </c>
      <c r="AQI55" s="5">
        <f>-IFERROR('4. NPV'!AQJ24/'4. NPV'!AQJ$8,0)</f>
        <v>-0.0</v>
      </c>
      <c r="AQJ55" s="5">
        <f>-IFERROR('4. NPV'!AQK24/'4. NPV'!AQK$8,0)</f>
        <v>-0.0</v>
      </c>
      <c r="AQK55" s="5">
        <f>-IFERROR('4. NPV'!AQL24/'4. NPV'!AQL$8,0)</f>
        <v>-0.0</v>
      </c>
      <c r="AQL55" s="5">
        <f>-IFERROR('4. NPV'!AQM24/'4. NPV'!AQM$8,0)</f>
        <v>-0.0</v>
      </c>
      <c r="AQM55" s="5">
        <f>-IFERROR('4. NPV'!AQN24/'4. NPV'!AQN$8,0)</f>
        <v>-0.0</v>
      </c>
      <c r="AQN55" s="5">
        <f>-IFERROR('4. NPV'!AQO24/'4. NPV'!AQO$8,0)</f>
        <v>-0.0</v>
      </c>
      <c r="AQO55" s="5">
        <f>-IFERROR('4. NPV'!AQP24/'4. NPV'!AQP$8,0)</f>
        <v>-0.0</v>
      </c>
      <c r="AQP55" s="5">
        <f>-IFERROR('4. NPV'!AQQ24/'4. NPV'!AQQ$8,0)</f>
        <v>-0.0</v>
      </c>
      <c r="AQQ55" s="5">
        <f>-IFERROR('4. NPV'!AQR24/'4. NPV'!AQR$8,0)</f>
        <v>-0.0</v>
      </c>
      <c r="AQR55" s="5">
        <f>-IFERROR('4. NPV'!AQS24/'4. NPV'!AQS$8,0)</f>
        <v>-0.0</v>
      </c>
      <c r="AQS55" s="5">
        <f>-IFERROR('4. NPV'!AQT24/'4. NPV'!AQT$8,0)</f>
        <v>-0.0</v>
      </c>
      <c r="AQT55" s="5">
        <f>-IFERROR('4. NPV'!AQU24/'4. NPV'!AQU$8,0)</f>
        <v>-0.0</v>
      </c>
      <c r="AQU55" s="5">
        <f>-IFERROR('4. NPV'!AQV24/'4. NPV'!AQV$8,0)</f>
        <v>-0.0</v>
      </c>
      <c r="AQV55" s="5">
        <f>-IFERROR('4. NPV'!AQW24/'4. NPV'!AQW$8,0)</f>
        <v>-0.0</v>
      </c>
      <c r="AQW55" s="5">
        <f>-IFERROR('4. NPV'!AQX24/'4. NPV'!AQX$8,0)</f>
        <v>-0.0</v>
      </c>
      <c r="AQX55" s="5">
        <f>-IFERROR('4. NPV'!AQY24/'4. NPV'!AQY$8,0)</f>
        <v>-0.0</v>
      </c>
      <c r="AQY55" s="5">
        <f>-IFERROR('4. NPV'!AQZ24/'4. NPV'!AQZ$8,0)</f>
        <v>-0.0</v>
      </c>
      <c r="AQZ55" s="5">
        <f>-IFERROR('4. NPV'!ARA24/'4. NPV'!ARA$8,0)</f>
        <v>-0.0</v>
      </c>
      <c r="ARA55" s="5">
        <f>-IFERROR('4. NPV'!ARB24/'4. NPV'!ARB$8,0)</f>
        <v>-0.0</v>
      </c>
      <c r="ARB55" s="5">
        <f>-IFERROR('4. NPV'!ARC24/'4. NPV'!ARC$8,0)</f>
        <v>-0.0</v>
      </c>
      <c r="ARC55" s="5">
        <f>-IFERROR('4. NPV'!ARD24/'4. NPV'!ARD$8,0)</f>
        <v>-0.0</v>
      </c>
      <c r="ARD55" s="5">
        <f>-IFERROR('4. NPV'!ARE24/'4. NPV'!ARE$8,0)</f>
        <v>-0.0</v>
      </c>
      <c r="ARE55" s="5">
        <f>-IFERROR('4. NPV'!ARF24/'4. NPV'!ARF$8,0)</f>
        <v>-0.0</v>
      </c>
      <c r="ARF55" s="5">
        <f>-IFERROR('4. NPV'!ARG24/'4. NPV'!ARG$8,0)</f>
        <v>-0.0</v>
      </c>
      <c r="ARG55" s="5">
        <f>-IFERROR('4. NPV'!ARH24/'4. NPV'!ARH$8,0)</f>
        <v>-0.0</v>
      </c>
      <c r="ARH55" s="5">
        <f>-IFERROR('4. NPV'!ARI24/'4. NPV'!ARI$8,0)</f>
        <v>-0.0</v>
      </c>
      <c r="ARI55" s="5">
        <f>-IFERROR('4. NPV'!ARJ24/'4. NPV'!ARJ$8,0)</f>
        <v>-0.0</v>
      </c>
      <c r="ARJ55" s="5">
        <f>-IFERROR('4. NPV'!ARK24/'4. NPV'!ARK$8,0)</f>
        <v>-0.0</v>
      </c>
      <c r="ARK55" s="5">
        <f>-IFERROR('4. NPV'!ARL24/'4. NPV'!ARL$8,0)</f>
        <v>-0.0</v>
      </c>
      <c r="ARL55" s="5">
        <f>-IFERROR('4. NPV'!ARM24/'4. NPV'!ARM$8,0)</f>
        <v>-0.0</v>
      </c>
      <c r="ARM55" s="5">
        <f>-IFERROR('4. NPV'!ARN24/'4. NPV'!ARN$8,0)</f>
        <v>-0.0</v>
      </c>
      <c r="ARN55" s="5">
        <f>-IFERROR('4. NPV'!ARO24/'4. NPV'!ARO$8,0)</f>
        <v>-0.0</v>
      </c>
      <c r="ARO55" s="5">
        <f>-IFERROR('4. NPV'!ARP24/'4. NPV'!ARP$8,0)</f>
        <v>-0.0</v>
      </c>
      <c r="ARP55" s="5">
        <f>-IFERROR('4. NPV'!ARQ24/'4. NPV'!ARQ$8,0)</f>
        <v>-0.0</v>
      </c>
      <c r="ARQ55" s="5">
        <f>-IFERROR('4. NPV'!ARR24/'4. NPV'!ARR$8,0)</f>
        <v>-0.0</v>
      </c>
      <c r="ARR55" s="5">
        <f>-IFERROR('4. NPV'!ARS24/'4. NPV'!ARS$8,0)</f>
        <v>-0.0</v>
      </c>
      <c r="ARS55" s="5">
        <f>-IFERROR('4. NPV'!ART24/'4. NPV'!ART$8,0)</f>
        <v>-0.0</v>
      </c>
      <c r="ART55" s="5">
        <f>-IFERROR('4. NPV'!ARU24/'4. NPV'!ARU$8,0)</f>
        <v>-0.0</v>
      </c>
      <c r="ARU55" s="5">
        <f>-IFERROR('4. NPV'!ARV24/'4. NPV'!ARV$8,0)</f>
        <v>-0.0</v>
      </c>
      <c r="ARV55" s="5">
        <f>-IFERROR('4. NPV'!ARW24/'4. NPV'!ARW$8,0)</f>
        <v>-0.0</v>
      </c>
      <c r="ARW55" s="5">
        <f>-IFERROR('4. NPV'!ARX24/'4. NPV'!ARX$8,0)</f>
        <v>-0.0</v>
      </c>
      <c r="ARX55" s="5">
        <f>-IFERROR('4. NPV'!ARY24/'4. NPV'!ARY$8,0)</f>
        <v>-0.0</v>
      </c>
      <c r="ARY55" s="5">
        <f>-IFERROR('4. NPV'!ARZ24/'4. NPV'!ARZ$8,0)</f>
        <v>-0.0</v>
      </c>
      <c r="ARZ55" s="5">
        <f>-IFERROR('4. NPV'!ASA24/'4. NPV'!ASA$8,0)</f>
        <v>-0.0</v>
      </c>
      <c r="ASA55" s="5">
        <f>-IFERROR('4. NPV'!ASB24/'4. NPV'!ASB$8,0)</f>
        <v>-0.0</v>
      </c>
      <c r="ASB55" s="5">
        <f>-IFERROR('4. NPV'!ASC24/'4. NPV'!ASC$8,0)</f>
        <v>-0.0</v>
      </c>
      <c r="ASC55" s="5">
        <f>-IFERROR('4. NPV'!ASD24/'4. NPV'!ASD$8,0)</f>
        <v>-0.0</v>
      </c>
      <c r="ASD55" s="5">
        <f>-IFERROR('4. NPV'!ASE24/'4. NPV'!ASE$8,0)</f>
        <v>-0.0</v>
      </c>
      <c r="ASE55" s="5">
        <f>-IFERROR('4. NPV'!ASF24/'4. NPV'!ASF$8,0)</f>
        <v>-0.0</v>
      </c>
      <c r="ASF55" s="5">
        <f>-IFERROR('4. NPV'!ASG24/'4. NPV'!ASG$8,0)</f>
        <v>-0.0</v>
      </c>
      <c r="ASG55" s="5">
        <f>-IFERROR('4. NPV'!ASH24/'4. NPV'!ASH$8,0)</f>
        <v>-0.0</v>
      </c>
      <c r="ASH55" s="5">
        <f>-IFERROR('4. NPV'!ASI24/'4. NPV'!ASI$8,0)</f>
        <v>-0.0</v>
      </c>
      <c r="ASI55" s="5">
        <f>-IFERROR('4. NPV'!ASJ24/'4. NPV'!ASJ$8,0)</f>
        <v>-0.0</v>
      </c>
      <c r="ASJ55" s="5">
        <f>-IFERROR('4. NPV'!ASK24/'4. NPV'!ASK$8,0)</f>
        <v>-0.0</v>
      </c>
      <c r="ASK55" s="5">
        <f>-IFERROR('4. NPV'!ASL24/'4. NPV'!ASL$8,0)</f>
        <v>-0.0</v>
      </c>
      <c r="ASL55" s="5">
        <f>-IFERROR('4. NPV'!ASM24/'4. NPV'!ASM$8,0)</f>
        <v>-0.0</v>
      </c>
      <c r="ASM55" s="5">
        <f>-IFERROR('4. NPV'!ASN24/'4. NPV'!ASN$8,0)</f>
        <v>-0.0</v>
      </c>
      <c r="ASN55" s="5">
        <f>-IFERROR('4. NPV'!ASO24/'4. NPV'!ASO$8,0)</f>
        <v>-0.0</v>
      </c>
      <c r="ASO55" s="5">
        <f>-IFERROR('4. NPV'!ASP24/'4. NPV'!ASP$8,0)</f>
        <v>-0.0</v>
      </c>
      <c r="ASP55" s="5">
        <f>-IFERROR('4. NPV'!ASQ24/'4. NPV'!ASQ$8,0)</f>
        <v>-0.0</v>
      </c>
      <c r="ASQ55" s="5">
        <f>-IFERROR('4. NPV'!ASR24/'4. NPV'!ASR$8,0)</f>
        <v>-0.0</v>
      </c>
      <c r="ASR55" s="5">
        <f>-IFERROR('4. NPV'!ASS24/'4. NPV'!ASS$8,0)</f>
        <v>-0.0</v>
      </c>
      <c r="ASS55" s="5">
        <f>-IFERROR('4. NPV'!AST24/'4. NPV'!AST$8,0)</f>
        <v>-0.0</v>
      </c>
      <c r="AST55" s="5">
        <f>-IFERROR('4. NPV'!ASU24/'4. NPV'!ASU$8,0)</f>
        <v>-0.0</v>
      </c>
      <c r="ASU55" s="5">
        <f>-IFERROR('4. NPV'!ASV24/'4. NPV'!ASV$8,0)</f>
        <v>-0.0</v>
      </c>
      <c r="ASV55" s="5">
        <f>-IFERROR('4. NPV'!ASW24/'4. NPV'!ASW$8,0)</f>
        <v>-0.0</v>
      </c>
      <c r="ASW55" s="5">
        <f>-IFERROR('4. NPV'!ASX24/'4. NPV'!ASX$8,0)</f>
        <v>-0.0</v>
      </c>
      <c r="ASX55" s="5">
        <f>-IFERROR('4. NPV'!ASY24/'4. NPV'!ASY$8,0)</f>
        <v>-0.0</v>
      </c>
      <c r="ASY55" s="5">
        <f>-IFERROR('4. NPV'!ASZ24/'4. NPV'!ASZ$8,0)</f>
        <v>-0.0</v>
      </c>
      <c r="ASZ55" s="5">
        <f>-IFERROR('4. NPV'!ATA24/'4. NPV'!ATA$8,0)</f>
        <v>-0.0</v>
      </c>
      <c r="ATA55" s="5">
        <f>-IFERROR('4. NPV'!ATB24/'4. NPV'!ATB$8,0)</f>
        <v>-0.0</v>
      </c>
      <c r="ATB55" s="5">
        <f>-IFERROR('4. NPV'!ATC24/'4. NPV'!ATC$8,0)</f>
        <v>-0.0</v>
      </c>
      <c r="ATC55" s="5">
        <f>-IFERROR('4. NPV'!ATD24/'4. NPV'!ATD$8,0)</f>
        <v>-0.0</v>
      </c>
      <c r="ATD55" s="5">
        <f>-IFERROR('4. NPV'!ATE24/'4. NPV'!ATE$8,0)</f>
        <v>-0.0</v>
      </c>
      <c r="ATE55" s="5">
        <f>-IFERROR('4. NPV'!ATF24/'4. NPV'!ATF$8,0)</f>
        <v>-0.0</v>
      </c>
      <c r="ATF55" s="5">
        <f>-IFERROR('4. NPV'!ATG24/'4. NPV'!ATG$8,0)</f>
        <v>-0.0</v>
      </c>
      <c r="ATG55" s="5">
        <f>-IFERROR('4. NPV'!ATH24/'4. NPV'!ATH$8,0)</f>
        <v>-0.0</v>
      </c>
      <c r="ATH55" s="5">
        <f>-IFERROR('4. NPV'!ATI24/'4. NPV'!ATI$8,0)</f>
        <v>-0.0</v>
      </c>
      <c r="ATI55" s="5">
        <f>-IFERROR('4. NPV'!ATJ24/'4. NPV'!ATJ$8,0)</f>
        <v>-0.0</v>
      </c>
      <c r="ATJ55" s="5">
        <f>-IFERROR('4. NPV'!ATK24/'4. NPV'!ATK$8,0)</f>
        <v>-0.0</v>
      </c>
      <c r="ATK55" s="5">
        <f>-IFERROR('4. NPV'!ATL24/'4. NPV'!ATL$8,0)</f>
        <v>-0.0</v>
      </c>
      <c r="ATL55" s="5">
        <f>-IFERROR('4. NPV'!ATM24/'4. NPV'!ATM$8,0)</f>
        <v>-0.0</v>
      </c>
      <c r="ATM55" s="5">
        <f>-IFERROR('4. NPV'!ATN24/'4. NPV'!ATN$8,0)</f>
        <v>-0.0</v>
      </c>
      <c r="ATN55" s="5">
        <f>-IFERROR('4. NPV'!ATO24/'4. NPV'!ATO$8,0)</f>
        <v>-0.0</v>
      </c>
      <c r="ATO55" s="5">
        <f>-IFERROR('4. NPV'!ATP24/'4. NPV'!ATP$8,0)</f>
        <v>-0.0</v>
      </c>
      <c r="ATP55" s="5">
        <f>-IFERROR('4. NPV'!ATQ24/'4. NPV'!ATQ$8,0)</f>
        <v>-0.0</v>
      </c>
      <c r="ATQ55" s="5">
        <f>-IFERROR('4. NPV'!ATR24/'4. NPV'!ATR$8,0)</f>
        <v>-0.0</v>
      </c>
      <c r="ATR55" s="5">
        <f>-IFERROR('4. NPV'!ATS24/'4. NPV'!ATS$8,0)</f>
        <v>-0.0</v>
      </c>
      <c r="ATS55" s="5">
        <f>-IFERROR('4. NPV'!ATT24/'4. NPV'!ATT$8,0)</f>
        <v>-0.0</v>
      </c>
      <c r="ATT55" s="5">
        <f>-IFERROR('4. NPV'!ATU24/'4. NPV'!ATU$8,0)</f>
        <v>-0.0</v>
      </c>
      <c r="ATU55" s="5">
        <f>-IFERROR('4. NPV'!ATV24/'4. NPV'!ATV$8,0)</f>
        <v>-0.0</v>
      </c>
      <c r="ATV55" s="5">
        <f>-IFERROR('4. NPV'!ATW24/'4. NPV'!ATW$8,0)</f>
        <v>-0.0</v>
      </c>
      <c r="ATW55" s="5">
        <f>-IFERROR('4. NPV'!ATX24/'4. NPV'!ATX$8,0)</f>
        <v>-0.0</v>
      </c>
      <c r="ATX55" s="5">
        <f>-IFERROR('4. NPV'!ATY24/'4. NPV'!ATY$8,0)</f>
        <v>-0.0</v>
      </c>
      <c r="ATY55" s="5">
        <f>-IFERROR('4. NPV'!ATZ24/'4. NPV'!ATZ$8,0)</f>
        <v>-0.0</v>
      </c>
      <c r="ATZ55" s="5">
        <f>-IFERROR('4. NPV'!AUA24/'4. NPV'!AUA$8,0)</f>
        <v>-0.0</v>
      </c>
      <c r="AUA55" s="5">
        <f>-IFERROR('4. NPV'!AUB24/'4. NPV'!AUB$8,0)</f>
        <v>-0.0</v>
      </c>
      <c r="AUB55" s="5">
        <f>-IFERROR('4. NPV'!AUC24/'4. NPV'!AUC$8,0)</f>
        <v>-0.0</v>
      </c>
      <c r="AUC55" s="5">
        <f>-IFERROR('4. NPV'!AUD24/'4. NPV'!AUD$8,0)</f>
        <v>-0.0</v>
      </c>
      <c r="AUD55" s="5">
        <f>-IFERROR('4. NPV'!AUE24/'4. NPV'!AUE$8,0)</f>
        <v>-0.0</v>
      </c>
      <c r="AUE55" s="5">
        <f>-IFERROR('4. NPV'!AUF24/'4. NPV'!AUF$8,0)</f>
        <v>-0.0</v>
      </c>
      <c r="AUF55" s="5">
        <f>-IFERROR('4. NPV'!AUG24/'4. NPV'!AUG$8,0)</f>
        <v>-0.0</v>
      </c>
      <c r="AUG55" s="5">
        <f>-IFERROR('4. NPV'!AUH24/'4. NPV'!AUH$8,0)</f>
        <v>-0.0</v>
      </c>
      <c r="AUH55" s="5">
        <f>-IFERROR('4. NPV'!AUI24/'4. NPV'!AUI$8,0)</f>
        <v>-0.0</v>
      </c>
      <c r="AUI55" s="5">
        <f>-IFERROR('4. NPV'!AUJ24/'4. NPV'!AUJ$8,0)</f>
        <v>-0.0</v>
      </c>
      <c r="AUJ55" s="5">
        <f>-IFERROR('4. NPV'!AUK24/'4. NPV'!AUK$8,0)</f>
        <v>-0.0</v>
      </c>
      <c r="AUK55" s="5">
        <f>-IFERROR('4. NPV'!AUL24/'4. NPV'!AUL$8,0)</f>
        <v>-0.0</v>
      </c>
      <c r="AUL55" s="5">
        <f>-IFERROR('4. NPV'!AUM24/'4. NPV'!AUM$8,0)</f>
        <v>-0.0</v>
      </c>
      <c r="AUM55" s="5">
        <f>-IFERROR('4. NPV'!AUN24/'4. NPV'!AUN$8,0)</f>
        <v>-0.0</v>
      </c>
      <c r="AUN55" s="5">
        <f>-IFERROR('4. NPV'!AUO24/'4. NPV'!AUO$8,0)</f>
        <v>-0.0</v>
      </c>
      <c r="AUO55" s="5">
        <f>-IFERROR('4. NPV'!AUP24/'4. NPV'!AUP$8,0)</f>
        <v>-0.0</v>
      </c>
      <c r="AUP55" s="5">
        <f>-IFERROR('4. NPV'!AUQ24/'4. NPV'!AUQ$8,0)</f>
        <v>-0.0</v>
      </c>
      <c r="AUQ55" s="5">
        <f>-IFERROR('4. NPV'!AUR24/'4. NPV'!AUR$8,0)</f>
        <v>-0.0</v>
      </c>
      <c r="AUR55" s="5">
        <f>-IFERROR('4. NPV'!AUS24/'4. NPV'!AUS$8,0)</f>
        <v>-0.0</v>
      </c>
      <c r="AUS55" s="5">
        <f>-IFERROR('4. NPV'!AUT24/'4. NPV'!AUT$8,0)</f>
        <v>-0.0</v>
      </c>
      <c r="AUT55" s="5">
        <f>-IFERROR('4. NPV'!AUU24/'4. NPV'!AUU$8,0)</f>
        <v>-0.0</v>
      </c>
      <c r="AUU55" s="5">
        <f>-IFERROR('4. NPV'!AUV24/'4. NPV'!AUV$8,0)</f>
        <v>-0.0</v>
      </c>
      <c r="AUV55" s="5">
        <f>-IFERROR('4. NPV'!AUW24/'4. NPV'!AUW$8,0)</f>
        <v>-0.0</v>
      </c>
      <c r="AUW55" s="5">
        <f>-IFERROR('4. NPV'!AUX24/'4. NPV'!AUX$8,0)</f>
        <v>-0.0</v>
      </c>
      <c r="AUX55" s="5">
        <f>-IFERROR('4. NPV'!AUY24/'4. NPV'!AUY$8,0)</f>
        <v>-0.0</v>
      </c>
      <c r="AUY55" s="5">
        <f>-IFERROR('4. NPV'!AUZ24/'4. NPV'!AUZ$8,0)</f>
        <v>-0.0</v>
      </c>
      <c r="AUZ55" s="5">
        <f>-IFERROR('4. NPV'!AVA24/'4. NPV'!AVA$8,0)</f>
        <v>-0.0</v>
      </c>
      <c r="AVA55" s="5">
        <f>-IFERROR('4. NPV'!AVB24/'4. NPV'!AVB$8,0)</f>
        <v>-0.0</v>
      </c>
      <c r="AVB55" s="5">
        <f>-IFERROR('4. NPV'!AVC24/'4. NPV'!AVC$8,0)</f>
        <v>-0.0</v>
      </c>
      <c r="AVC55" s="5">
        <f>-IFERROR('4. NPV'!AVD24/'4. NPV'!AVD$8,0)</f>
        <v>-0.0</v>
      </c>
      <c r="AVD55" s="5">
        <f>-IFERROR('4. NPV'!AVE24/'4. NPV'!AVE$8,0)</f>
        <v>-0.0</v>
      </c>
      <c r="AVE55" s="5">
        <f>-IFERROR('4. NPV'!AVF24/'4. NPV'!AVF$8,0)</f>
        <v>-0.0</v>
      </c>
      <c r="AVF55" s="5">
        <f>-IFERROR('4. NPV'!AVG24/'4. NPV'!AVG$8,0)</f>
        <v>-0.0</v>
      </c>
      <c r="AVG55" s="5">
        <f>-IFERROR('4. NPV'!AVH24/'4. NPV'!AVH$8,0)</f>
        <v>-0.0</v>
      </c>
      <c r="AVH55" s="5">
        <f>-IFERROR('4. NPV'!AVI24/'4. NPV'!AVI$8,0)</f>
        <v>-0.0</v>
      </c>
      <c r="AVI55" s="5">
        <f>-IFERROR('4. NPV'!AVJ24/'4. NPV'!AVJ$8,0)</f>
        <v>-0.0</v>
      </c>
      <c r="AVJ55" s="5">
        <f>-IFERROR('4. NPV'!AVK24/'4. NPV'!AVK$8,0)</f>
        <v>-0.0</v>
      </c>
      <c r="AVK55" s="5">
        <f>-IFERROR('4. NPV'!AVL24/'4. NPV'!AVL$8,0)</f>
        <v>-0.0</v>
      </c>
      <c r="AVL55" s="5">
        <f>-IFERROR('4. NPV'!AVM24/'4. NPV'!AVM$8,0)</f>
        <v>-0.0</v>
      </c>
      <c r="AVM55" s="5">
        <f>-IFERROR('4. NPV'!AVN24/'4. NPV'!AVN$8,0)</f>
        <v>-0.0</v>
      </c>
      <c r="AVN55" s="5">
        <f>-IFERROR('4. NPV'!AVO24/'4. NPV'!AVO$8,0)</f>
        <v>-0.0</v>
      </c>
      <c r="AVO55" s="5">
        <f>-IFERROR('4. NPV'!AVP24/'4. NPV'!AVP$8,0)</f>
        <v>-0.0</v>
      </c>
      <c r="AVP55" s="5">
        <f>-IFERROR('4. NPV'!AVQ24/'4. NPV'!AVQ$8,0)</f>
        <v>-0.0</v>
      </c>
      <c r="AVQ55" s="5">
        <f>-IFERROR('4. NPV'!AVR24/'4. NPV'!AVR$8,0)</f>
        <v>-0.0</v>
      </c>
      <c r="AVR55" s="5">
        <f>-IFERROR('4. NPV'!AVS24/'4. NPV'!AVS$8,0)</f>
        <v>-0.0</v>
      </c>
      <c r="AVS55" s="5">
        <f>-IFERROR('4. NPV'!AVT24/'4. NPV'!AVT$8,0)</f>
        <v>-0.0</v>
      </c>
      <c r="AVT55" s="5">
        <f>-IFERROR('4. NPV'!AVU24/'4. NPV'!AVU$8,0)</f>
        <v>-0.0</v>
      </c>
      <c r="AVU55" s="5">
        <f>-IFERROR('4. NPV'!AVV24/'4. NPV'!AVV$8,0)</f>
        <v>-0.0</v>
      </c>
      <c r="AVV55" s="5">
        <f>-IFERROR('4. NPV'!AVW24/'4. NPV'!AVW$8,0)</f>
        <v>-0.0</v>
      </c>
      <c r="AVW55" s="5">
        <f>-IFERROR('4. NPV'!AVX24/'4. NPV'!AVX$8,0)</f>
        <v>-0.0</v>
      </c>
      <c r="AVX55" s="5">
        <f>-IFERROR('4. NPV'!AVY24/'4. NPV'!AVY$8,0)</f>
        <v>-0.0</v>
      </c>
      <c r="AVY55" s="5">
        <f>-IFERROR('4. NPV'!AVZ24/'4. NPV'!AVZ$8,0)</f>
        <v>-0.0</v>
      </c>
      <c r="AVZ55" s="5">
        <f>-IFERROR('4. NPV'!AWA24/'4. NPV'!AWA$8,0)</f>
        <v>-0.0</v>
      </c>
      <c r="AWA55" s="5">
        <f>-IFERROR('4. NPV'!AWB24/'4. NPV'!AWB$8,0)</f>
        <v>-0.0</v>
      </c>
      <c r="AWB55" s="5">
        <f>-IFERROR('4. NPV'!AWC24/'4. NPV'!AWC$8,0)</f>
        <v>-0.0</v>
      </c>
      <c r="AWC55" s="5">
        <f>-IFERROR('4. NPV'!AWD24/'4. NPV'!AWD$8,0)</f>
        <v>-0.0</v>
      </c>
      <c r="AWD55" s="5">
        <f>-IFERROR('4. NPV'!AWE24/'4. NPV'!AWE$8,0)</f>
        <v>-0.0</v>
      </c>
      <c r="AWE55" s="5">
        <f>-IFERROR('4. NPV'!AWF24/'4. NPV'!AWF$8,0)</f>
        <v>-0.0</v>
      </c>
      <c r="AWF55" s="5">
        <f>-IFERROR('4. NPV'!AWG24/'4. NPV'!AWG$8,0)</f>
        <v>-0.0</v>
      </c>
      <c r="AWG55" s="5">
        <f>-IFERROR('4. NPV'!AWH24/'4. NPV'!AWH$8,0)</f>
        <v>-0.0</v>
      </c>
      <c r="AWH55" s="5">
        <f>-IFERROR('4. NPV'!AWI24/'4. NPV'!AWI$8,0)</f>
        <v>-0.0</v>
      </c>
      <c r="AWI55" s="5">
        <f>-IFERROR('4. NPV'!AWJ24/'4. NPV'!AWJ$8,0)</f>
        <v>-0.0</v>
      </c>
      <c r="AWJ55" s="5">
        <f>-IFERROR('4. NPV'!AWK24/'4. NPV'!AWK$8,0)</f>
        <v>-0.0</v>
      </c>
      <c r="AWK55" s="5">
        <f>-IFERROR('4. NPV'!AWL24/'4. NPV'!AWL$8,0)</f>
        <v>-0.0</v>
      </c>
      <c r="AWL55" s="5">
        <f>-IFERROR('4. NPV'!AWM24/'4. NPV'!AWM$8,0)</f>
        <v>-0.0</v>
      </c>
      <c r="AWM55" s="5">
        <f>-IFERROR('4. NPV'!AWN24/'4. NPV'!AWN$8,0)</f>
        <v>-0.0</v>
      </c>
      <c r="AWN55" s="5">
        <f>-IFERROR('4. NPV'!AWO24/'4. NPV'!AWO$8,0)</f>
        <v>-0.0</v>
      </c>
      <c r="AWO55" s="5">
        <f>-IFERROR('4. NPV'!AWP24/'4. NPV'!AWP$8,0)</f>
        <v>-0.0</v>
      </c>
      <c r="AWP55" s="5">
        <f>-IFERROR('4. NPV'!AWQ24/'4. NPV'!AWQ$8,0)</f>
        <v>-0.0</v>
      </c>
      <c r="AWQ55" s="5">
        <f>-IFERROR('4. NPV'!AWR24/'4. NPV'!AWR$8,0)</f>
        <v>-0.0</v>
      </c>
      <c r="AWR55" s="5">
        <f>-IFERROR('4. NPV'!AWS24/'4. NPV'!AWS$8,0)</f>
        <v>-0.0</v>
      </c>
      <c r="AWS55" s="5">
        <f>-IFERROR('4. NPV'!AWT24/'4. NPV'!AWT$8,0)</f>
        <v>-0.0</v>
      </c>
      <c r="AWT55" s="5">
        <f>-IFERROR('4. NPV'!AWU24/'4. NPV'!AWU$8,0)</f>
        <v>-0.0</v>
      </c>
      <c r="AWU55" s="5">
        <f>-IFERROR('4. NPV'!AWV24/'4. NPV'!AWV$8,0)</f>
        <v>-0.0</v>
      </c>
      <c r="AWV55" s="5">
        <f>-IFERROR('4. NPV'!AWW24/'4. NPV'!AWW$8,0)</f>
        <v>-0.0</v>
      </c>
      <c r="AWW55" s="5">
        <f>-IFERROR('4. NPV'!AWX24/'4. NPV'!AWX$8,0)</f>
        <v>-0.0</v>
      </c>
      <c r="AWX55" s="5">
        <f>-IFERROR('4. NPV'!AWY24/'4. NPV'!AWY$8,0)</f>
        <v>-0.0</v>
      </c>
      <c r="AWY55" s="5">
        <f>-IFERROR('4. NPV'!AWZ24/'4. NPV'!AWZ$8,0)</f>
        <v>-0.0</v>
      </c>
      <c r="AWZ55" s="5">
        <f>-IFERROR('4. NPV'!AXA24/'4. NPV'!AXA$8,0)</f>
        <v>-0.0</v>
      </c>
      <c r="AXA55" s="5">
        <f>-IFERROR('4. NPV'!AXB24/'4. NPV'!AXB$8,0)</f>
        <v>-0.0</v>
      </c>
      <c r="AXB55" s="5">
        <f>-IFERROR('4. NPV'!AXC24/'4. NPV'!AXC$8,0)</f>
        <v>-0.0</v>
      </c>
      <c r="AXC55" s="5">
        <f>-IFERROR('4. NPV'!AXD24/'4. NPV'!AXD$8,0)</f>
        <v>-0.0</v>
      </c>
      <c r="AXD55" s="5">
        <f>-IFERROR('4. NPV'!AXE24/'4. NPV'!AXE$8,0)</f>
        <v>-0.0</v>
      </c>
      <c r="AXE55" s="5">
        <f>-IFERROR('4. NPV'!AXF24/'4. NPV'!AXF$8,0)</f>
        <v>-0.0</v>
      </c>
      <c r="AXF55" s="5">
        <f>-IFERROR('4. NPV'!AXG24/'4. NPV'!AXG$8,0)</f>
        <v>-0.0</v>
      </c>
      <c r="AXG55" s="5">
        <f>-IFERROR('4. NPV'!AXH24/'4. NPV'!AXH$8,0)</f>
        <v>-0.0</v>
      </c>
      <c r="AXH55" s="5">
        <f>-IFERROR('4. NPV'!AXI24/'4. NPV'!AXI$8,0)</f>
        <v>-0.0</v>
      </c>
      <c r="AXI55" s="5">
        <f>-IFERROR('4. NPV'!AXJ24/'4. NPV'!AXJ$8,0)</f>
        <v>-0.0</v>
      </c>
      <c r="AXJ55" s="5">
        <f>-IFERROR('4. NPV'!AXK24/'4. NPV'!AXK$8,0)</f>
        <v>-0.0</v>
      </c>
      <c r="AXK55" s="5">
        <f>-IFERROR('4. NPV'!AXL24/'4. NPV'!AXL$8,0)</f>
        <v>-0.0</v>
      </c>
      <c r="AXL55" s="5">
        <f>-IFERROR('4. NPV'!AXM24/'4. NPV'!AXM$8,0)</f>
        <v>-0.0</v>
      </c>
      <c r="AXM55" s="5">
        <f>-IFERROR('4. NPV'!AXN24/'4. NPV'!AXN$8,0)</f>
        <v>-0.0</v>
      </c>
      <c r="AXN55" s="5">
        <f>-IFERROR('4. NPV'!AXO24/'4. NPV'!AXO$8,0)</f>
        <v>-0.0</v>
      </c>
      <c r="AXO55" s="5">
        <f>-IFERROR('4. NPV'!AXP24/'4. NPV'!AXP$8,0)</f>
        <v>-0.0</v>
      </c>
      <c r="AXP55" s="5">
        <f>-IFERROR('4. NPV'!AXQ24/'4. NPV'!AXQ$8,0)</f>
        <v>-0.0</v>
      </c>
      <c r="AXQ55" s="5">
        <f>-IFERROR('4. NPV'!AXR24/'4. NPV'!AXR$8,0)</f>
        <v>-0.0</v>
      </c>
      <c r="AXR55" s="5">
        <f>-IFERROR('4. NPV'!AXS24/'4. NPV'!AXS$8,0)</f>
        <v>-0.0</v>
      </c>
      <c r="AXS55" s="5">
        <f>-IFERROR('4. NPV'!AXT24/'4. NPV'!AXT$8,0)</f>
        <v>-0.0</v>
      </c>
      <c r="AXT55" s="5">
        <f>-IFERROR('4. NPV'!AXU24/'4. NPV'!AXU$8,0)</f>
        <v>-0.0</v>
      </c>
      <c r="AXU55" s="5">
        <f>-IFERROR('4. NPV'!AXV24/'4. NPV'!AXV$8,0)</f>
        <v>-0.0</v>
      </c>
      <c r="AXV55" s="5">
        <f>-IFERROR('4. NPV'!AXW24/'4. NPV'!AXW$8,0)</f>
        <v>-0.0</v>
      </c>
      <c r="AXW55" s="5">
        <f>-IFERROR('4. NPV'!AXX24/'4. NPV'!AXX$8,0)</f>
        <v>-0.0</v>
      </c>
      <c r="AXX55" s="5">
        <f>-IFERROR('4. NPV'!AXY24/'4. NPV'!AXY$8,0)</f>
        <v>-0.0</v>
      </c>
      <c r="AXY55" s="5">
        <f>-IFERROR('4. NPV'!AXZ24/'4. NPV'!AXZ$8,0)</f>
        <v>-0.0</v>
      </c>
      <c r="AXZ55" s="5">
        <f>-IFERROR('4. NPV'!AYA24/'4. NPV'!AYA$8,0)</f>
        <v>-0.0</v>
      </c>
      <c r="AYA55" s="5">
        <f>-IFERROR('4. NPV'!AYB24/'4. NPV'!AYB$8,0)</f>
        <v>-0.0</v>
      </c>
      <c r="AYB55" s="5">
        <f>-IFERROR('4. NPV'!AYC24/'4. NPV'!AYC$8,0)</f>
        <v>-0.0</v>
      </c>
      <c r="AYC55" s="5">
        <f>-IFERROR('4. NPV'!AYD24/'4. NPV'!AYD$8,0)</f>
        <v>-0.0</v>
      </c>
      <c r="AYD55" s="5">
        <f>-IFERROR('4. NPV'!AYE24/'4. NPV'!AYE$8,0)</f>
        <v>-0.0</v>
      </c>
      <c r="AYE55" s="5">
        <f>-IFERROR('4. NPV'!AYF24/'4. NPV'!AYF$8,0)</f>
        <v>-0.0</v>
      </c>
      <c r="AYF55" s="5">
        <f>-IFERROR('4. NPV'!AYG24/'4. NPV'!AYG$8,0)</f>
        <v>-0.0</v>
      </c>
      <c r="AYG55" s="5">
        <f>-IFERROR('4. NPV'!AYH24/'4. NPV'!AYH$8,0)</f>
        <v>-0.0</v>
      </c>
      <c r="AYH55" s="5">
        <f>-IFERROR('4. NPV'!AYI24/'4. NPV'!AYI$8,0)</f>
        <v>-0.0</v>
      </c>
      <c r="AYI55" s="5">
        <f>-IFERROR('4. NPV'!AYJ24/'4. NPV'!AYJ$8,0)</f>
        <v>-0.0</v>
      </c>
      <c r="AYJ55" s="5">
        <f>-IFERROR('4. NPV'!AYK24/'4. NPV'!AYK$8,0)</f>
        <v>-0.0</v>
      </c>
      <c r="AYK55" s="5">
        <f>-IFERROR('4. NPV'!AYL24/'4. NPV'!AYL$8,0)</f>
        <v>-0.0</v>
      </c>
      <c r="AYL55" s="5">
        <f>-IFERROR('4. NPV'!AYM24/'4. NPV'!AYM$8,0)</f>
        <v>-0.0</v>
      </c>
      <c r="AYM55" s="5">
        <f>-IFERROR('4. NPV'!AYN24/'4. NPV'!AYN$8,0)</f>
        <v>-0.0</v>
      </c>
      <c r="AYN55" s="5">
        <f>-IFERROR('4. NPV'!AYO24/'4. NPV'!AYO$8,0)</f>
        <v>-0.0</v>
      </c>
      <c r="AYO55" s="5">
        <f>-IFERROR('4. NPV'!AYP24/'4. NPV'!AYP$8,0)</f>
        <v>-0.0</v>
      </c>
      <c r="AYP55" s="5">
        <f>-IFERROR('4. NPV'!AYQ24/'4. NPV'!AYQ$8,0)</f>
        <v>-0.0</v>
      </c>
      <c r="AYQ55" s="5">
        <f>-IFERROR('4. NPV'!AYR24/'4. NPV'!AYR$8,0)</f>
        <v>-0.0</v>
      </c>
      <c r="AYR55" s="5">
        <f>-IFERROR('4. NPV'!AYS24/'4. NPV'!AYS$8,0)</f>
        <v>-0.0</v>
      </c>
      <c r="AYS55" s="5">
        <f>-IFERROR('4. NPV'!AYT24/'4. NPV'!AYT$8,0)</f>
        <v>-0.0</v>
      </c>
      <c r="AYT55" s="5">
        <f>-IFERROR('4. NPV'!AYU24/'4. NPV'!AYU$8,0)</f>
        <v>-0.0</v>
      </c>
      <c r="AYU55" s="5">
        <f>-IFERROR('4. NPV'!AYV24/'4. NPV'!AYV$8,0)</f>
        <v>-0.0</v>
      </c>
      <c r="AYV55" s="5">
        <f>-IFERROR('4. NPV'!AYW24/'4. NPV'!AYW$8,0)</f>
        <v>-0.0</v>
      </c>
      <c r="AYW55" s="5">
        <f>-IFERROR('4. NPV'!AYX24/'4. NPV'!AYX$8,0)</f>
        <v>-0.0</v>
      </c>
      <c r="AYX55" s="5">
        <f>-IFERROR('4. NPV'!AYY24/'4. NPV'!AYY$8,0)</f>
        <v>-0.0</v>
      </c>
      <c r="AYY55" s="5">
        <f>-IFERROR('4. NPV'!AYZ24/'4. NPV'!AYZ$8,0)</f>
        <v>-0.0</v>
      </c>
      <c r="AYZ55" s="5">
        <f>-IFERROR('4. NPV'!AZA24/'4. NPV'!AZA$8,0)</f>
        <v>-0.0</v>
      </c>
      <c r="AZA55" s="5">
        <f>-IFERROR('4. NPV'!AZB24/'4. NPV'!AZB$8,0)</f>
        <v>-0.0</v>
      </c>
      <c r="AZB55" s="5">
        <f>-IFERROR('4. NPV'!AZC24/'4. NPV'!AZC$8,0)</f>
        <v>-0.0</v>
      </c>
      <c r="AZC55" s="5">
        <f>-IFERROR('4. NPV'!AZD24/'4. NPV'!AZD$8,0)</f>
        <v>-0.0</v>
      </c>
      <c r="AZD55" s="5">
        <f>-IFERROR('4. NPV'!AZE24/'4. NPV'!AZE$8,0)</f>
        <v>-0.0</v>
      </c>
      <c r="AZE55" s="5">
        <f>-IFERROR('4. NPV'!AZF24/'4. NPV'!AZF$8,0)</f>
        <v>-0.0</v>
      </c>
      <c r="AZF55" s="5">
        <f>-IFERROR('4. NPV'!AZG24/'4. NPV'!AZG$8,0)</f>
        <v>-0.0</v>
      </c>
      <c r="AZG55" s="5">
        <f>-IFERROR('4. NPV'!AZH24/'4. NPV'!AZH$8,0)</f>
        <v>-0.0</v>
      </c>
      <c r="AZH55" s="5">
        <f>-IFERROR('4. NPV'!AZI24/'4. NPV'!AZI$8,0)</f>
        <v>-0.0</v>
      </c>
      <c r="AZI55" s="5">
        <f>-IFERROR('4. NPV'!AZJ24/'4. NPV'!AZJ$8,0)</f>
        <v>-0.0</v>
      </c>
      <c r="AZJ55" s="5">
        <f>-IFERROR('4. NPV'!AZK24/'4. NPV'!AZK$8,0)</f>
        <v>-0.0</v>
      </c>
      <c r="AZK55" s="5">
        <f>-IFERROR('4. NPV'!AZL24/'4. NPV'!AZL$8,0)</f>
        <v>-0.0</v>
      </c>
      <c r="AZL55" s="5">
        <f>-IFERROR('4. NPV'!AZM24/'4. NPV'!AZM$8,0)</f>
        <v>-0.0</v>
      </c>
      <c r="AZM55" s="5">
        <f>-IFERROR('4. NPV'!AZN24/'4. NPV'!AZN$8,0)</f>
        <v>-0.0</v>
      </c>
      <c r="AZN55" s="5">
        <f>-IFERROR('4. NPV'!AZO24/'4. NPV'!AZO$8,0)</f>
        <v>-0.0</v>
      </c>
      <c r="AZO55" s="5">
        <f>-IFERROR('4. NPV'!AZP24/'4. NPV'!AZP$8,0)</f>
        <v>-0.0</v>
      </c>
      <c r="AZP55" s="5">
        <f>-IFERROR('4. NPV'!AZQ24/'4. NPV'!AZQ$8,0)</f>
        <v>-0.0</v>
      </c>
      <c r="AZQ55" s="5">
        <f>-IFERROR('4. NPV'!AZR24/'4. NPV'!AZR$8,0)</f>
        <v>-0.0</v>
      </c>
      <c r="AZR55" s="5">
        <f>-IFERROR('4. NPV'!AZS24/'4. NPV'!AZS$8,0)</f>
        <v>-0.0</v>
      </c>
      <c r="AZS55" s="5">
        <f>-IFERROR('4. NPV'!AZT24/'4. NPV'!AZT$8,0)</f>
        <v>-0.0</v>
      </c>
      <c r="AZT55" s="5">
        <f>-IFERROR('4. NPV'!AZU24/'4. NPV'!AZU$8,0)</f>
        <v>-0.0</v>
      </c>
      <c r="AZU55" s="5">
        <f>-IFERROR('4. NPV'!AZV24/'4. NPV'!AZV$8,0)</f>
        <v>-0.0</v>
      </c>
      <c r="AZV55" s="5">
        <f>-IFERROR('4. NPV'!AZW24/'4. NPV'!AZW$8,0)</f>
        <v>-0.0</v>
      </c>
      <c r="AZW55" s="5">
        <f>-IFERROR('4. NPV'!AZX24/'4. NPV'!AZX$8,0)</f>
        <v>-0.0</v>
      </c>
      <c r="AZX55" s="5">
        <f>-IFERROR('4. NPV'!AZY24/'4. NPV'!AZY$8,0)</f>
        <v>-0.0</v>
      </c>
      <c r="AZY55" s="5">
        <f>-IFERROR('4. NPV'!AZZ24/'4. NPV'!AZZ$8,0)</f>
        <v>-0.0</v>
      </c>
      <c r="AZZ55" s="5">
        <f>-IFERROR('4. NPV'!BAA24/'4. NPV'!BAA$8,0)</f>
        <v>-0.0</v>
      </c>
      <c r="BAA55" s="5">
        <f>-IFERROR('4. NPV'!BAB24/'4. NPV'!BAB$8,0)</f>
        <v>-0.0</v>
      </c>
      <c r="BAB55" s="5">
        <f>-IFERROR('4. NPV'!BAC24/'4. NPV'!BAC$8,0)</f>
        <v>-0.0</v>
      </c>
      <c r="BAC55" s="5">
        <f>-IFERROR('4. NPV'!BAD24/'4. NPV'!BAD$8,0)</f>
        <v>-0.0</v>
      </c>
      <c r="BAD55" s="5">
        <f>-IFERROR('4. NPV'!BAE24/'4. NPV'!BAE$8,0)</f>
        <v>-0.0</v>
      </c>
      <c r="BAE55" s="5">
        <f>-IFERROR('4. NPV'!BAF24/'4. NPV'!BAF$8,0)</f>
        <v>-0.0</v>
      </c>
      <c r="BAF55" s="5">
        <f>-IFERROR('4. NPV'!BAG24/'4. NPV'!BAG$8,0)</f>
        <v>-0.0</v>
      </c>
      <c r="BAG55" s="5">
        <f>-IFERROR('4. NPV'!BAH24/'4. NPV'!BAH$8,0)</f>
        <v>-0.0</v>
      </c>
      <c r="BAH55" s="5">
        <f>-IFERROR('4. NPV'!BAI24/'4. NPV'!BAI$8,0)</f>
        <v>-0.0</v>
      </c>
      <c r="BAI55" s="5">
        <f>-IFERROR('4. NPV'!BAJ24/'4. NPV'!BAJ$8,0)</f>
        <v>-0.0</v>
      </c>
      <c r="BAJ55" s="5">
        <f>-IFERROR('4. NPV'!BAK24/'4. NPV'!BAK$8,0)</f>
        <v>-0.0</v>
      </c>
      <c r="BAK55" s="5">
        <f>-IFERROR('4. NPV'!BAL24/'4. NPV'!BAL$8,0)</f>
        <v>-0.0</v>
      </c>
      <c r="BAL55" s="5">
        <f>-IFERROR('4. NPV'!BAM24/'4. NPV'!BAM$8,0)</f>
        <v>-0.0</v>
      </c>
      <c r="BAM55" s="5">
        <f>-IFERROR('4. NPV'!BAN24/'4. NPV'!BAN$8,0)</f>
        <v>-0.0</v>
      </c>
      <c r="BAN55" s="5">
        <f>-IFERROR('4. NPV'!BAO24/'4. NPV'!BAO$8,0)</f>
        <v>-0.0</v>
      </c>
      <c r="BAO55" s="5">
        <f>-IFERROR('4. NPV'!BAP24/'4. NPV'!BAP$8,0)</f>
        <v>-0.0</v>
      </c>
      <c r="BAP55" s="5">
        <f>-IFERROR('4. NPV'!BAQ24/'4. NPV'!BAQ$8,0)</f>
        <v>-0.0</v>
      </c>
      <c r="BAQ55" s="5">
        <f>-IFERROR('4. NPV'!BAR24/'4. NPV'!BAR$8,0)</f>
        <v>-0.0</v>
      </c>
      <c r="BAR55" s="5">
        <f>-IFERROR('4. NPV'!BAS24/'4. NPV'!BAS$8,0)</f>
        <v>-0.0</v>
      </c>
      <c r="BAS55" s="5">
        <f>-IFERROR('4. NPV'!BAT24/'4. NPV'!BAT$8,0)</f>
        <v>-0.0</v>
      </c>
      <c r="BAT55" s="5">
        <f>-IFERROR('4. NPV'!BAU24/'4. NPV'!BAU$8,0)</f>
        <v>-0.0</v>
      </c>
      <c r="BAU55" s="5">
        <f>-IFERROR('4. NPV'!BAV24/'4. NPV'!BAV$8,0)</f>
        <v>-0.0</v>
      </c>
      <c r="BAV55" s="5">
        <f>-IFERROR('4. NPV'!BAW24/'4. NPV'!BAW$8,0)</f>
        <v>-0.0</v>
      </c>
      <c r="BAW55" s="5">
        <f>-IFERROR('4. NPV'!BAX24/'4. NPV'!BAX$8,0)</f>
        <v>-0.0</v>
      </c>
      <c r="BAX55" s="5">
        <f>-IFERROR('4. NPV'!BAY24/'4. NPV'!BAY$8,0)</f>
        <v>-0.0</v>
      </c>
      <c r="BAY55" s="5">
        <f>-IFERROR('4. NPV'!BAZ24/'4. NPV'!BAZ$8,0)</f>
        <v>-0.0</v>
      </c>
      <c r="BAZ55" s="5">
        <f>-IFERROR('4. NPV'!BBA24/'4. NPV'!BBA$8,0)</f>
        <v>-0.0</v>
      </c>
      <c r="BBA55" s="5">
        <f>-IFERROR('4. NPV'!BBB24/'4. NPV'!BBB$8,0)</f>
        <v>-0.0</v>
      </c>
      <c r="BBB55" s="5">
        <f>-IFERROR('4. NPV'!BBC24/'4. NPV'!BBC$8,0)</f>
        <v>-0.0</v>
      </c>
      <c r="BBC55" s="5">
        <f>-IFERROR('4. NPV'!BBD24/'4. NPV'!BBD$8,0)</f>
        <v>-0.0</v>
      </c>
      <c r="BBD55" s="5">
        <f>-IFERROR('4. NPV'!BBE24/'4. NPV'!BBE$8,0)</f>
        <v>-0.0</v>
      </c>
      <c r="BBE55" s="5">
        <f>-IFERROR('4. NPV'!BBF24/'4. NPV'!BBF$8,0)</f>
        <v>-0.0</v>
      </c>
      <c r="BBF55" s="5">
        <f>-IFERROR('4. NPV'!BBG24/'4. NPV'!BBG$8,0)</f>
        <v>-0.0</v>
      </c>
      <c r="BBG55" s="5">
        <f>-IFERROR('4. NPV'!BBH24/'4. NPV'!BBH$8,0)</f>
        <v>-0.0</v>
      </c>
      <c r="BBH55" s="5">
        <f>-IFERROR('4. NPV'!BBI24/'4. NPV'!BBI$8,0)</f>
        <v>-0.0</v>
      </c>
      <c r="BBI55" s="5">
        <f>-IFERROR('4. NPV'!BBJ24/'4. NPV'!BBJ$8,0)</f>
        <v>-0.0</v>
      </c>
      <c r="BBJ55" s="5">
        <f>-IFERROR('4. NPV'!BBK24/'4. NPV'!BBK$8,0)</f>
        <v>-0.0</v>
      </c>
      <c r="BBK55" s="5">
        <f>-IFERROR('4. NPV'!BBL24/'4. NPV'!BBL$8,0)</f>
        <v>-0.0</v>
      </c>
      <c r="BBL55" s="5">
        <f>-IFERROR('4. NPV'!BBM24/'4. NPV'!BBM$8,0)</f>
        <v>-0.0</v>
      </c>
      <c r="BBM55" s="5">
        <f>-IFERROR('4. NPV'!BBN24/'4. NPV'!BBN$8,0)</f>
        <v>-0.0</v>
      </c>
      <c r="BBN55" s="5">
        <f>-IFERROR('4. NPV'!BBO24/'4. NPV'!BBO$8,0)</f>
        <v>-0.0</v>
      </c>
      <c r="BBO55" s="5">
        <f>-IFERROR('4. NPV'!BBP24/'4. NPV'!BBP$8,0)</f>
        <v>-0.0</v>
      </c>
      <c r="BBP55" s="5">
        <f>-IFERROR('4. NPV'!BBQ24/'4. NPV'!BBQ$8,0)</f>
        <v>-0.0</v>
      </c>
      <c r="BBQ55" s="5">
        <f>-IFERROR('4. NPV'!BBR24/'4. NPV'!BBR$8,0)</f>
        <v>-0.0</v>
      </c>
      <c r="BBR55" s="5">
        <f>-IFERROR('4. NPV'!BBS24/'4. NPV'!BBS$8,0)</f>
        <v>-0.0</v>
      </c>
      <c r="BBS55" s="5">
        <f>-IFERROR('4. NPV'!BBT24/'4. NPV'!BBT$8,0)</f>
        <v>-0.0</v>
      </c>
      <c r="BBT55" s="5">
        <f>-IFERROR('4. NPV'!BBU24/'4. NPV'!BBU$8,0)</f>
        <v>-0.0</v>
      </c>
      <c r="BBU55" s="5">
        <f>-IFERROR('4. NPV'!BBV24/'4. NPV'!BBV$8,0)</f>
        <v>-0.0</v>
      </c>
      <c r="BBV55" s="5">
        <f>-IFERROR('4. NPV'!BBW24/'4. NPV'!BBW$8,0)</f>
        <v>-0.0</v>
      </c>
      <c r="BBW55" s="5">
        <f>-IFERROR('4. NPV'!BBX24/'4. NPV'!BBX$8,0)</f>
        <v>-0.0</v>
      </c>
      <c r="BBX55" s="5">
        <f>-IFERROR('4. NPV'!BBY24/'4. NPV'!BBY$8,0)</f>
        <v>-0.0</v>
      </c>
      <c r="BBY55" s="5">
        <f>-IFERROR('4. NPV'!BBZ24/'4. NPV'!BBZ$8,0)</f>
        <v>-0.0</v>
      </c>
      <c r="BBZ55" s="5">
        <f>-IFERROR('4. NPV'!BCA24/'4. NPV'!BCA$8,0)</f>
        <v>-0.0</v>
      </c>
      <c r="BCA55" s="5">
        <f>-IFERROR('4. NPV'!BCB24/'4. NPV'!BCB$8,0)</f>
        <v>-0.0</v>
      </c>
      <c r="BCB55" s="5">
        <f>-IFERROR('4. NPV'!BCC24/'4. NPV'!BCC$8,0)</f>
        <v>-0.0</v>
      </c>
      <c r="BCC55" s="5">
        <f>-IFERROR('4. NPV'!BCD24/'4. NPV'!BCD$8,0)</f>
        <v>-0.0</v>
      </c>
      <c r="BCD55" s="5">
        <f>-IFERROR('4. NPV'!BCE24/'4. NPV'!BCE$8,0)</f>
        <v>-0.0</v>
      </c>
      <c r="BCE55" s="5">
        <f>-IFERROR('4. NPV'!BCF24/'4. NPV'!BCF$8,0)</f>
        <v>-0.0</v>
      </c>
      <c r="BCF55" s="5">
        <f>-IFERROR('4. NPV'!BCG24/'4. NPV'!BCG$8,0)</f>
        <v>-0.0</v>
      </c>
      <c r="BCG55" s="5">
        <f>-IFERROR('4. NPV'!BCH24/'4. NPV'!BCH$8,0)</f>
        <v>-0.0</v>
      </c>
      <c r="BCH55" s="5">
        <f>-IFERROR('4. NPV'!BCI24/'4. NPV'!BCI$8,0)</f>
        <v>-0.0</v>
      </c>
      <c r="BCI55" s="5">
        <f>-IFERROR('4. NPV'!BCJ24/'4. NPV'!BCJ$8,0)</f>
        <v>-0.0</v>
      </c>
      <c r="BCJ55" s="5">
        <f>-IFERROR('4. NPV'!BCK24/'4. NPV'!BCK$8,0)</f>
        <v>-0.0</v>
      </c>
      <c r="BCK55" s="5">
        <f>-IFERROR('4. NPV'!BCL24/'4. NPV'!BCL$8,0)</f>
        <v>-0.0</v>
      </c>
      <c r="BCL55" s="5">
        <f>-IFERROR('4. NPV'!BCM24/'4. NPV'!BCM$8,0)</f>
        <v>-0.0</v>
      </c>
      <c r="BCM55" s="5">
        <f>-IFERROR('4. NPV'!BCN24/'4. NPV'!BCN$8,0)</f>
        <v>-0.0</v>
      </c>
      <c r="BCN55" s="5">
        <f>-IFERROR('4. NPV'!BCO24/'4. NPV'!BCO$8,0)</f>
        <v>-0.0</v>
      </c>
      <c r="BCO55" s="5">
        <f>-IFERROR('4. NPV'!BCP24/'4. NPV'!BCP$8,0)</f>
        <v>-0.0</v>
      </c>
      <c r="BCP55" s="5">
        <f>-IFERROR('4. NPV'!BCQ24/'4. NPV'!BCQ$8,0)</f>
        <v>-0.0</v>
      </c>
      <c r="BCQ55" s="5">
        <f>-IFERROR('4. NPV'!BCR24/'4. NPV'!BCR$8,0)</f>
        <v>-0.0</v>
      </c>
      <c r="BCR55" s="5">
        <f>-IFERROR('4. NPV'!BCS24/'4. NPV'!BCS$8,0)</f>
        <v>-0.0</v>
      </c>
      <c r="BCS55" s="5">
        <f>-IFERROR('4. NPV'!BCT24/'4. NPV'!BCT$8,0)</f>
        <v>-0.0</v>
      </c>
      <c r="BCT55" s="5">
        <f>-IFERROR('4. NPV'!BCU24/'4. NPV'!BCU$8,0)</f>
        <v>-0.0</v>
      </c>
      <c r="BCU55" s="5">
        <f>-IFERROR('4. NPV'!BCV24/'4. NPV'!BCV$8,0)</f>
        <v>-0.0</v>
      </c>
      <c r="BCV55" s="5">
        <f>-IFERROR('4. NPV'!BCW24/'4. NPV'!BCW$8,0)</f>
        <v>-0.0</v>
      </c>
      <c r="BCW55" s="5">
        <f>-IFERROR('4. NPV'!BCX24/'4. NPV'!BCX$8,0)</f>
        <v>-0.0</v>
      </c>
      <c r="BCX55" s="5">
        <f>-IFERROR('4. NPV'!BCY24/'4. NPV'!BCY$8,0)</f>
        <v>-0.0</v>
      </c>
      <c r="BCY55" s="5">
        <f>-IFERROR('4. NPV'!BCZ24/'4. NPV'!BCZ$8,0)</f>
        <v>-0.0</v>
      </c>
      <c r="BCZ55" s="5">
        <f>-IFERROR('4. NPV'!BDA24/'4. NPV'!BDA$8,0)</f>
        <v>-0.0</v>
      </c>
      <c r="BDA55" s="5">
        <f>-IFERROR('4. NPV'!BDB24/'4. NPV'!BDB$8,0)</f>
        <v>-0.0</v>
      </c>
      <c r="BDB55" s="5">
        <f>-IFERROR('4. NPV'!BDC24/'4. NPV'!BDC$8,0)</f>
        <v>-0.0</v>
      </c>
      <c r="BDC55" s="5">
        <f>-IFERROR('4. NPV'!BDD24/'4. NPV'!BDD$8,0)</f>
        <v>-0.0</v>
      </c>
      <c r="BDD55" s="5">
        <f>-IFERROR('4. NPV'!BDE24/'4. NPV'!BDE$8,0)</f>
        <v>-0.0</v>
      </c>
      <c r="BDE55" s="5">
        <f>-IFERROR('4. NPV'!BDF24/'4. NPV'!BDF$8,0)</f>
        <v>-0.0</v>
      </c>
      <c r="BDF55" s="5">
        <f>-IFERROR('4. NPV'!BDG24/'4. NPV'!BDG$8,0)</f>
        <v>-0.0</v>
      </c>
      <c r="BDG55" s="5">
        <f>-IFERROR('4. NPV'!BDH24/'4. NPV'!BDH$8,0)</f>
        <v>-0.0</v>
      </c>
      <c r="BDH55" s="5">
        <f>-IFERROR('4. NPV'!BDI24/'4. NPV'!BDI$8,0)</f>
        <v>-0.0</v>
      </c>
      <c r="BDI55" s="5">
        <f>-IFERROR('4. NPV'!BDJ24/'4. NPV'!BDJ$8,0)</f>
        <v>-0.0</v>
      </c>
      <c r="BDJ55" s="5">
        <f>-IFERROR('4. NPV'!BDK24/'4. NPV'!BDK$8,0)</f>
        <v>-0.0</v>
      </c>
      <c r="BDK55" s="5">
        <f>-IFERROR('4. NPV'!BDL24/'4. NPV'!BDL$8,0)</f>
        <v>-0.0</v>
      </c>
      <c r="BDL55" s="5">
        <f>-IFERROR('4. NPV'!BDM24/'4. NPV'!BDM$8,0)</f>
        <v>-0.0</v>
      </c>
      <c r="BDM55" s="5">
        <f>-IFERROR('4. NPV'!BDN24/'4. NPV'!BDN$8,0)</f>
        <v>-0.0</v>
      </c>
      <c r="BDN55" s="5">
        <f>-IFERROR('4. NPV'!BDO24/'4. NPV'!BDO$8,0)</f>
        <v>-0.0</v>
      </c>
      <c r="BDO55" s="5">
        <f>-IFERROR('4. NPV'!BDP24/'4. NPV'!BDP$8,0)</f>
        <v>-0.0</v>
      </c>
      <c r="BDP55" s="5">
        <f>-IFERROR('4. NPV'!BDQ24/'4. NPV'!BDQ$8,0)</f>
        <v>-0.0</v>
      </c>
      <c r="BDQ55" s="5">
        <f>-IFERROR('4. NPV'!BDR24/'4. NPV'!BDR$8,0)</f>
        <v>-0.0</v>
      </c>
      <c r="BDR55" s="5">
        <f>-IFERROR('4. NPV'!BDS24/'4. NPV'!BDS$8,0)</f>
        <v>-0.0</v>
      </c>
      <c r="BDS55" s="5">
        <f>-IFERROR('4. NPV'!BDT24/'4. NPV'!BDT$8,0)</f>
        <v>-0.0</v>
      </c>
      <c r="BDT55" s="5">
        <f>-IFERROR('4. NPV'!BDU24/'4. NPV'!BDU$8,0)</f>
        <v>-0.0</v>
      </c>
      <c r="BDU55" s="5">
        <f>-IFERROR('4. NPV'!BDV24/'4. NPV'!BDV$8,0)</f>
        <v>-0.0</v>
      </c>
      <c r="BDV55" s="5">
        <f>-IFERROR('4. NPV'!BDW24/'4. NPV'!BDW$8,0)</f>
        <v>-0.0</v>
      </c>
      <c r="BDW55" s="5">
        <f>-IFERROR('4. NPV'!BDX24/'4. NPV'!BDX$8,0)</f>
        <v>-0.0</v>
      </c>
      <c r="BDX55" s="5">
        <f>-IFERROR('4. NPV'!BDY24/'4. NPV'!BDY$8,0)</f>
        <v>-0.0</v>
      </c>
      <c r="BDY55" s="5">
        <f>-IFERROR('4. NPV'!BDZ24/'4. NPV'!BDZ$8,0)</f>
        <v>-0.0</v>
      </c>
      <c r="BDZ55" s="5">
        <f>-IFERROR('4. NPV'!BEA24/'4. NPV'!BEA$8,0)</f>
        <v>-0.0</v>
      </c>
      <c r="BEA55" s="5">
        <f>-IFERROR('4. NPV'!BEB24/'4. NPV'!BEB$8,0)</f>
        <v>-0.0</v>
      </c>
      <c r="BEB55" s="5">
        <f>-IFERROR('4. NPV'!BEC24/'4. NPV'!BEC$8,0)</f>
        <v>-0.0</v>
      </c>
      <c r="BEC55" s="5">
        <f>-IFERROR('4. NPV'!BED24/'4. NPV'!BED$8,0)</f>
        <v>-0.0</v>
      </c>
      <c r="BED55" s="5">
        <f>-IFERROR('4. NPV'!BEE24/'4. NPV'!BEE$8,0)</f>
        <v>-0.0</v>
      </c>
      <c r="BEE55" s="5">
        <f>-IFERROR('4. NPV'!BEF24/'4. NPV'!BEF$8,0)</f>
        <v>-0.0</v>
      </c>
      <c r="BEF55" s="5">
        <f>-IFERROR('4. NPV'!BEG24/'4. NPV'!BEG$8,0)</f>
        <v>-0.0</v>
      </c>
      <c r="BEG55" s="5">
        <f>-IFERROR('4. NPV'!BEH24/'4. NPV'!BEH$8,0)</f>
        <v>-0.0</v>
      </c>
      <c r="BEH55" s="5">
        <f>-IFERROR('4. NPV'!BEI24/'4. NPV'!BEI$8,0)</f>
        <v>-0.0</v>
      </c>
      <c r="BEI55" s="5">
        <f>-IFERROR('4. NPV'!BEJ24/'4. NPV'!BEJ$8,0)</f>
        <v>-0.0</v>
      </c>
      <c r="BEJ55" s="5">
        <f>-IFERROR('4. NPV'!BEK24/'4. NPV'!BEK$8,0)</f>
        <v>-0.0</v>
      </c>
      <c r="BEK55" s="5">
        <f>-IFERROR('4. NPV'!BEL24/'4. NPV'!BEL$8,0)</f>
        <v>-0.0</v>
      </c>
      <c r="BEL55" s="5">
        <f>-IFERROR('4. NPV'!BEM24/'4. NPV'!BEM$8,0)</f>
        <v>-0.0</v>
      </c>
      <c r="BEM55" s="5">
        <f>-IFERROR('4. NPV'!BEN24/'4. NPV'!BEN$8,0)</f>
        <v>-0.0</v>
      </c>
      <c r="BEN55" s="5">
        <f>-IFERROR('4. NPV'!BEO24/'4. NPV'!BEO$8,0)</f>
        <v>-0.0</v>
      </c>
      <c r="BEO55" s="5">
        <f>-IFERROR('4. NPV'!BEP24/'4. NPV'!BEP$8,0)</f>
        <v>-0.0</v>
      </c>
      <c r="BEP55" s="5">
        <f>-IFERROR('4. NPV'!BEQ24/'4. NPV'!BEQ$8,0)</f>
        <v>-0.0</v>
      </c>
      <c r="BEQ55" s="5">
        <f>-IFERROR('4. NPV'!BER24/'4. NPV'!BER$8,0)</f>
        <v>-0.0</v>
      </c>
      <c r="BER55" s="5">
        <f>-IFERROR('4. NPV'!BES24/'4. NPV'!BES$8,0)</f>
        <v>-0.0</v>
      </c>
      <c r="BES55" s="5">
        <f>-IFERROR('4. NPV'!BET24/'4. NPV'!BET$8,0)</f>
        <v>-0.0</v>
      </c>
      <c r="BET55" s="5">
        <f>-IFERROR('4. NPV'!BEU24/'4. NPV'!BEU$8,0)</f>
        <v>-0.0</v>
      </c>
      <c r="BEU55" s="5">
        <f>-IFERROR('4. NPV'!BEV24/'4. NPV'!BEV$8,0)</f>
        <v>-0.0</v>
      </c>
      <c r="BEV55" s="5">
        <f>-IFERROR('4. NPV'!BEW24/'4. NPV'!BEW$8,0)</f>
        <v>-0.0</v>
      </c>
      <c r="BEW55" s="5">
        <f>-IFERROR('4. NPV'!BEX24/'4. NPV'!BEX$8,0)</f>
        <v>-0.0</v>
      </c>
      <c r="BEX55" s="5">
        <f>-IFERROR('4. NPV'!BEY24/'4. NPV'!BEY$8,0)</f>
        <v>-0.0</v>
      </c>
      <c r="BEY55" s="5">
        <f>-IFERROR('4. NPV'!BEZ24/'4. NPV'!BEZ$8,0)</f>
        <v>-0.0</v>
      </c>
      <c r="BEZ55" s="5">
        <f>-IFERROR('4. NPV'!BFA24/'4. NPV'!BFA$8,0)</f>
        <v>-0.0</v>
      </c>
      <c r="BFA55" s="5">
        <f>-IFERROR('4. NPV'!BFB24/'4. NPV'!BFB$8,0)</f>
        <v>-0.0</v>
      </c>
      <c r="BFB55" s="5">
        <f>-IFERROR('4. NPV'!BFC24/'4. NPV'!BFC$8,0)</f>
        <v>-0.0</v>
      </c>
      <c r="BFC55" s="5">
        <f>-IFERROR('4. NPV'!BFD24/'4. NPV'!BFD$8,0)</f>
        <v>-0.0</v>
      </c>
      <c r="BFD55" s="5">
        <f>-IFERROR('4. NPV'!BFE24/'4. NPV'!BFE$8,0)</f>
        <v>-0.0</v>
      </c>
      <c r="BFE55" s="5">
        <f>-IFERROR('4. NPV'!BFF24/'4. NPV'!BFF$8,0)</f>
        <v>-0.0</v>
      </c>
      <c r="BFF55" s="5">
        <f>-IFERROR('4. NPV'!BFG24/'4. NPV'!BFG$8,0)</f>
        <v>-0.0</v>
      </c>
      <c r="BFG55" s="5">
        <f>-IFERROR('4. NPV'!BFH24/'4. NPV'!BFH$8,0)</f>
        <v>-0.0</v>
      </c>
      <c r="BFH55" s="5">
        <f>-IFERROR('4. NPV'!BFI24/'4. NPV'!BFI$8,0)</f>
        <v>-0.0</v>
      </c>
      <c r="BFI55" s="5">
        <f>-IFERROR('4. NPV'!BFJ24/'4. NPV'!BFJ$8,0)</f>
        <v>-0.0</v>
      </c>
      <c r="BFJ55" s="5">
        <f>-IFERROR('4. NPV'!BFK24/'4. NPV'!BFK$8,0)</f>
        <v>-0.0</v>
      </c>
      <c r="BFK55" s="5">
        <f>-IFERROR('4. NPV'!BFL24/'4. NPV'!BFL$8,0)</f>
        <v>-0.0</v>
      </c>
      <c r="BFL55" s="5">
        <f>-IFERROR('4. NPV'!BFM24/'4. NPV'!BFM$8,0)</f>
        <v>-0.0</v>
      </c>
      <c r="BFM55" s="5">
        <f>-IFERROR('4. NPV'!BFN24/'4. NPV'!BFN$8,0)</f>
        <v>-0.0</v>
      </c>
      <c r="BFN55" s="5">
        <f>-IFERROR('4. NPV'!BFO24/'4. NPV'!BFO$8,0)</f>
        <v>-0.0</v>
      </c>
      <c r="BFO55" s="5">
        <f>-IFERROR('4. NPV'!BFP24/'4. NPV'!BFP$8,0)</f>
        <v>-0.0</v>
      </c>
      <c r="BFP55" s="5">
        <f>-IFERROR('4. NPV'!BFQ24/'4. NPV'!BFQ$8,0)</f>
        <v>-0.0</v>
      </c>
      <c r="BFQ55" s="5">
        <f>-IFERROR('4. NPV'!BFR24/'4. NPV'!BFR$8,0)</f>
        <v>-0.0</v>
      </c>
      <c r="BFR55" s="5">
        <f>-IFERROR('4. NPV'!BFS24/'4. NPV'!BFS$8,0)</f>
        <v>-0.0</v>
      </c>
      <c r="BFS55" s="5">
        <f>-IFERROR('4. NPV'!BFT24/'4. NPV'!BFT$8,0)</f>
        <v>-0.0</v>
      </c>
      <c r="BFT55" s="5">
        <f>-IFERROR('4. NPV'!BFU24/'4. NPV'!BFU$8,0)</f>
        <v>-0.0</v>
      </c>
      <c r="BFU55" s="5">
        <f>-IFERROR('4. NPV'!BFV24/'4. NPV'!BFV$8,0)</f>
        <v>-0.0</v>
      </c>
      <c r="BFV55" s="5">
        <f>-IFERROR('4. NPV'!BFW24/'4. NPV'!BFW$8,0)</f>
        <v>-0.0</v>
      </c>
      <c r="BFW55" s="5">
        <f>-IFERROR('4. NPV'!BFX24/'4. NPV'!BFX$8,0)</f>
        <v>-0.0</v>
      </c>
      <c r="BFX55" s="5">
        <f>-IFERROR('4. NPV'!BFY24/'4. NPV'!BFY$8,0)</f>
        <v>-0.0</v>
      </c>
      <c r="BFY55" s="5">
        <f>-IFERROR('4. NPV'!BFZ24/'4. NPV'!BFZ$8,0)</f>
        <v>-0.0</v>
      </c>
      <c r="BFZ55" s="5">
        <f>-IFERROR('4. NPV'!BGA24/'4. NPV'!BGA$8,0)</f>
        <v>-0.0</v>
      </c>
      <c r="BGA55" s="5">
        <f>-IFERROR('4. NPV'!BGB24/'4. NPV'!BGB$8,0)</f>
        <v>-0.0</v>
      </c>
      <c r="BGB55" s="5">
        <f>-IFERROR('4. NPV'!BGC24/'4. NPV'!BGC$8,0)</f>
        <v>-0.0</v>
      </c>
      <c r="BGC55" s="5">
        <f>-IFERROR('4. NPV'!BGD24/'4. NPV'!BGD$8,0)</f>
        <v>-0.0</v>
      </c>
      <c r="BGD55" s="5">
        <f>-IFERROR('4. NPV'!BGE24/'4. NPV'!BGE$8,0)</f>
        <v>-0.0</v>
      </c>
      <c r="BGE55" s="5">
        <f>-IFERROR('4. NPV'!BGF24/'4. NPV'!BGF$8,0)</f>
        <v>-0.0</v>
      </c>
      <c r="BGF55" s="5">
        <f>-IFERROR('4. NPV'!BGG24/'4. NPV'!BGG$8,0)</f>
        <v>-0.0</v>
      </c>
      <c r="BGG55" s="5">
        <f>-IFERROR('4. NPV'!BGH24/'4. NPV'!BGH$8,0)</f>
        <v>-0.0</v>
      </c>
      <c r="BGH55" s="5">
        <f>-IFERROR('4. NPV'!BGI24/'4. NPV'!BGI$8,0)</f>
        <v>-0.0</v>
      </c>
      <c r="BGI55" s="5">
        <f>-IFERROR('4. NPV'!BGJ24/'4. NPV'!BGJ$8,0)</f>
        <v>-0.0</v>
      </c>
      <c r="BGJ55" s="5">
        <f>-IFERROR('4. NPV'!BGK24/'4. NPV'!BGK$8,0)</f>
        <v>-0.0</v>
      </c>
      <c r="BGK55" s="5">
        <f>-IFERROR('4. NPV'!BGL24/'4. NPV'!BGL$8,0)</f>
        <v>-0.0</v>
      </c>
      <c r="BGL55" s="5">
        <f>-IFERROR('4. NPV'!BGM24/'4. NPV'!BGM$8,0)</f>
        <v>-0.0</v>
      </c>
      <c r="BGM55" s="5">
        <f>-IFERROR('4. NPV'!BGN24/'4. NPV'!BGN$8,0)</f>
        <v>-0.0</v>
      </c>
      <c r="BGN55" s="5">
        <f>-IFERROR('4. NPV'!BGO24/'4. NPV'!BGO$8,0)</f>
        <v>-0.0</v>
      </c>
      <c r="BGO55" s="5">
        <f>-IFERROR('4. NPV'!BGP24/'4. NPV'!BGP$8,0)</f>
        <v>-0.0</v>
      </c>
      <c r="BGP55" s="5">
        <f>-IFERROR('4. NPV'!BGQ24/'4. NPV'!BGQ$8,0)</f>
        <v>-0.0</v>
      </c>
      <c r="BGQ55" s="5">
        <f>-IFERROR('4. NPV'!BGR24/'4. NPV'!BGR$8,0)</f>
        <v>-0.0</v>
      </c>
      <c r="BGR55" s="5">
        <f>-IFERROR('4. NPV'!BGS24/'4. NPV'!BGS$8,0)</f>
        <v>-0.0</v>
      </c>
      <c r="BGS55" s="5">
        <f>-IFERROR('4. NPV'!BGT24/'4. NPV'!BGT$8,0)</f>
        <v>-0.0</v>
      </c>
      <c r="BGT55" s="5">
        <f>-IFERROR('4. NPV'!BGU24/'4. NPV'!BGU$8,0)</f>
        <v>-0.0</v>
      </c>
      <c r="BGU55" s="5">
        <f>-IFERROR('4. NPV'!BGV24/'4. NPV'!BGV$8,0)</f>
        <v>-0.0</v>
      </c>
      <c r="BGV55" s="5">
        <f>-IFERROR('4. NPV'!BGW24/'4. NPV'!BGW$8,0)</f>
        <v>-0.0</v>
      </c>
      <c r="BGW55" s="5">
        <f>-IFERROR('4. NPV'!BGX24/'4. NPV'!BGX$8,0)</f>
        <v>-0.0</v>
      </c>
      <c r="BGX55" s="5">
        <f>-IFERROR('4. NPV'!BGY24/'4. NPV'!BGY$8,0)</f>
        <v>-0.0</v>
      </c>
      <c r="BGY55" s="5">
        <f>-IFERROR('4. NPV'!BGZ24/'4. NPV'!BGZ$8,0)</f>
        <v>-0.0</v>
      </c>
      <c r="BGZ55" s="5">
        <f>-IFERROR('4. NPV'!BHA24/'4. NPV'!BHA$8,0)</f>
        <v>-0.0</v>
      </c>
      <c r="BHA55" s="5">
        <f>-IFERROR('4. NPV'!BHB24/'4. NPV'!BHB$8,0)</f>
        <v>-0.0</v>
      </c>
      <c r="BHB55" s="5">
        <f>-IFERROR('4. NPV'!BHC24/'4. NPV'!BHC$8,0)</f>
        <v>-0.0</v>
      </c>
      <c r="BHC55" s="5">
        <f>-IFERROR('4. NPV'!BHD24/'4. NPV'!BHD$8,0)</f>
        <v>-0.0</v>
      </c>
      <c r="BHD55" s="5">
        <f>-IFERROR('4. NPV'!BHE24/'4. NPV'!BHE$8,0)</f>
        <v>-0.0</v>
      </c>
      <c r="BHE55" s="5">
        <f>-IFERROR('4. NPV'!BHF24/'4. NPV'!BHF$8,0)</f>
        <v>-0.0</v>
      </c>
      <c r="BHF55" s="5">
        <f>-IFERROR('4. NPV'!BHG24/'4. NPV'!BHG$8,0)</f>
        <v>-0.0</v>
      </c>
      <c r="BHG55" s="5">
        <f>-IFERROR('4. NPV'!BHH24/'4. NPV'!BHH$8,0)</f>
        <v>-0.0</v>
      </c>
      <c r="BHH55" s="5">
        <f>-IFERROR('4. NPV'!BHI24/'4. NPV'!BHI$8,0)</f>
        <v>-0.0</v>
      </c>
      <c r="BHI55" s="5">
        <f>-IFERROR('4. NPV'!BHJ24/'4. NPV'!BHJ$8,0)</f>
        <v>-0.0</v>
      </c>
      <c r="BHJ55" s="5">
        <f>-IFERROR('4. NPV'!BHK24/'4. NPV'!BHK$8,0)</f>
        <v>-0.0</v>
      </c>
      <c r="BHK55" s="5">
        <f>-IFERROR('4. NPV'!BHL24/'4. NPV'!BHL$8,0)</f>
        <v>-0.0</v>
      </c>
      <c r="BHL55" s="5">
        <f>-IFERROR('4. NPV'!BHM24/'4. NPV'!BHM$8,0)</f>
        <v>-0.0</v>
      </c>
      <c r="BHM55" s="5">
        <f>-IFERROR('4. NPV'!BHN24/'4. NPV'!BHN$8,0)</f>
        <v>-0.0</v>
      </c>
      <c r="BHN55" s="5">
        <f>-IFERROR('4. NPV'!BHO24/'4. NPV'!BHO$8,0)</f>
        <v>-0.0</v>
      </c>
      <c r="BHO55" s="5">
        <f>-IFERROR('4. NPV'!BHP24/'4. NPV'!BHP$8,0)</f>
        <v>-0.0</v>
      </c>
      <c r="BHP55" s="5">
        <f>-IFERROR('4. NPV'!BHQ24/'4. NPV'!BHQ$8,0)</f>
        <v>-0.0</v>
      </c>
      <c r="BHQ55" s="5">
        <f>-IFERROR('4. NPV'!BHR24/'4. NPV'!BHR$8,0)</f>
        <v>-0.0</v>
      </c>
      <c r="BHR55" s="5">
        <f>-IFERROR('4. NPV'!BHS24/'4. NPV'!BHS$8,0)</f>
        <v>-0.0</v>
      </c>
      <c r="BHS55" s="5">
        <f>-IFERROR('4. NPV'!BHT24/'4. NPV'!BHT$8,0)</f>
        <v>-0.0</v>
      </c>
      <c r="BHT55" s="5">
        <f>-IFERROR('4. NPV'!BHU24/'4. NPV'!BHU$8,0)</f>
        <v>-0.0</v>
      </c>
      <c r="BHU55" s="5">
        <f>-IFERROR('4. NPV'!BHV24/'4. NPV'!BHV$8,0)</f>
        <v>-0.0</v>
      </c>
      <c r="BHV55" s="5">
        <f>-IFERROR('4. NPV'!BHW24/'4. NPV'!BHW$8,0)</f>
        <v>-0.0</v>
      </c>
      <c r="BHW55" s="5">
        <f>-IFERROR('4. NPV'!BHX24/'4. NPV'!BHX$8,0)</f>
        <v>-0.0</v>
      </c>
      <c r="BHX55" s="5">
        <f>-IFERROR('4. NPV'!BHY24/'4. NPV'!BHY$8,0)</f>
        <v>-0.0</v>
      </c>
      <c r="BHY55" s="5">
        <f>-IFERROR('4. NPV'!BHZ24/'4. NPV'!BHZ$8,0)</f>
        <v>-0.0</v>
      </c>
      <c r="BHZ55" s="5">
        <f>-IFERROR('4. NPV'!BIA24/'4. NPV'!BIA$8,0)</f>
        <v>-0.0</v>
      </c>
      <c r="BIA55" s="5">
        <f>-IFERROR('4. NPV'!BIB24/'4. NPV'!BIB$8,0)</f>
        <v>-0.0</v>
      </c>
      <c r="BIB55" s="5">
        <f>-IFERROR('4. NPV'!BIC24/'4. NPV'!BIC$8,0)</f>
        <v>-0.0</v>
      </c>
      <c r="BIC55" s="5">
        <f>-IFERROR('4. NPV'!BID24/'4. NPV'!BID$8,0)</f>
        <v>-0.0</v>
      </c>
      <c r="BID55" s="5">
        <f>-IFERROR('4. NPV'!BIE24/'4. NPV'!BIE$8,0)</f>
        <v>-0.0</v>
      </c>
      <c r="BIE55" s="5">
        <f>-IFERROR('4. NPV'!BIF24/'4. NPV'!BIF$8,0)</f>
        <v>-0.0</v>
      </c>
      <c r="BIF55" s="5">
        <f>-IFERROR('4. NPV'!BIG24/'4. NPV'!BIG$8,0)</f>
        <v>-0.0</v>
      </c>
      <c r="BIG55" s="5">
        <f>-IFERROR('4. NPV'!BIH24/'4. NPV'!BIH$8,0)</f>
        <v>-0.0</v>
      </c>
      <c r="BIH55" s="5">
        <f>-IFERROR('4. NPV'!BII24/'4. NPV'!BII$8,0)</f>
        <v>-0.0</v>
      </c>
      <c r="BII55" s="5">
        <f>-IFERROR('4. NPV'!BIJ24/'4. NPV'!BIJ$8,0)</f>
        <v>-0.0</v>
      </c>
      <c r="BIJ55" s="5">
        <f>-IFERROR('4. NPV'!BIK24/'4. NPV'!BIK$8,0)</f>
        <v>-0.0</v>
      </c>
      <c r="BIK55" s="5">
        <f>-IFERROR('4. NPV'!BIL24/'4. NPV'!BIL$8,0)</f>
        <v>-0.0</v>
      </c>
      <c r="BIL55" s="5">
        <f>-IFERROR('4. NPV'!BIM24/'4. NPV'!BIM$8,0)</f>
        <v>-0.0</v>
      </c>
      <c r="BIM55" s="5">
        <f>-IFERROR('4. NPV'!BIN24/'4. NPV'!BIN$8,0)</f>
        <v>-0.0</v>
      </c>
      <c r="BIN55" s="5">
        <f>-IFERROR('4. NPV'!BIO24/'4. NPV'!BIO$8,0)</f>
        <v>-0.0</v>
      </c>
      <c r="BIO55" s="5">
        <f>-IFERROR('4. NPV'!BIP24/'4. NPV'!BIP$8,0)</f>
        <v>-0.0</v>
      </c>
      <c r="BIP55" s="5">
        <f>-IFERROR('4. NPV'!BIQ24/'4. NPV'!BIQ$8,0)</f>
        <v>-0.0</v>
      </c>
      <c r="BIQ55" s="5">
        <f>-IFERROR('4. NPV'!BIR24/'4. NPV'!BIR$8,0)</f>
        <v>-0.0</v>
      </c>
      <c r="BIR55" s="5">
        <f>-IFERROR('4. NPV'!BIS24/'4. NPV'!BIS$8,0)</f>
        <v>-0.0</v>
      </c>
      <c r="BIS55" s="5">
        <f>-IFERROR('4. NPV'!BIT24/'4. NPV'!BIT$8,0)</f>
        <v>-0.0</v>
      </c>
      <c r="BIT55" s="5">
        <f>-IFERROR('4. NPV'!BIU24/'4. NPV'!BIU$8,0)</f>
        <v>-0.0</v>
      </c>
      <c r="BIU55" s="5">
        <f>-IFERROR('4. NPV'!BIV24/'4. NPV'!BIV$8,0)</f>
        <v>-0.0</v>
      </c>
      <c r="BIV55" s="5">
        <f>-IFERROR('4. NPV'!BIW24/'4. NPV'!BIW$8,0)</f>
        <v>-0.0</v>
      </c>
      <c r="BIW55" s="5">
        <f>-IFERROR('4. NPV'!BIX24/'4. NPV'!BIX$8,0)</f>
        <v>-0.0</v>
      </c>
      <c r="BIX55" s="5">
        <f>-IFERROR('4. NPV'!BIY24/'4. NPV'!BIY$8,0)</f>
        <v>-0.0</v>
      </c>
      <c r="BIY55" s="5">
        <f>-IFERROR('4. NPV'!BIZ24/'4. NPV'!BIZ$8,0)</f>
        <v>-0.0</v>
      </c>
      <c r="BIZ55" s="5">
        <f>-IFERROR('4. NPV'!BJA24/'4. NPV'!BJA$8,0)</f>
        <v>-0.0</v>
      </c>
      <c r="BJA55" s="5">
        <f>-IFERROR('4. NPV'!BJB24/'4. NPV'!BJB$8,0)</f>
        <v>-0.0</v>
      </c>
      <c r="BJB55" s="5">
        <f>-IFERROR('4. NPV'!BJC24/'4. NPV'!BJC$8,0)</f>
        <v>-0.0</v>
      </c>
      <c r="BJC55" s="5">
        <f>-IFERROR('4. NPV'!BJD24/'4. NPV'!BJD$8,0)</f>
        <v>-0.0</v>
      </c>
      <c r="BJD55" s="5">
        <f>-IFERROR('4. NPV'!BJE24/'4. NPV'!BJE$8,0)</f>
        <v>-0.0</v>
      </c>
      <c r="BJE55" s="5">
        <f>-IFERROR('4. NPV'!BJF24/'4. NPV'!BJF$8,0)</f>
        <v>-0.0</v>
      </c>
      <c r="BJF55" s="5">
        <f>-IFERROR('4. NPV'!BJG24/'4. NPV'!BJG$8,0)</f>
        <v>-0.0</v>
      </c>
      <c r="BJG55" s="5">
        <f>-IFERROR('4. NPV'!BJH24/'4. NPV'!BJH$8,0)</f>
        <v>-0.0</v>
      </c>
      <c r="BJH55" s="5">
        <f>-IFERROR('4. NPV'!BJI24/'4. NPV'!BJI$8,0)</f>
        <v>-0.0</v>
      </c>
      <c r="BJI55" s="5">
        <f>-IFERROR('4. NPV'!BJJ24/'4. NPV'!BJJ$8,0)</f>
        <v>-0.0</v>
      </c>
      <c r="BJJ55" s="5">
        <f>-IFERROR('4. NPV'!BJK24/'4. NPV'!BJK$8,0)</f>
        <v>-0.0</v>
      </c>
      <c r="BJK55" s="5">
        <f>-IFERROR('4. NPV'!BJL24/'4. NPV'!BJL$8,0)</f>
        <v>-0.0</v>
      </c>
      <c r="BJL55" s="5">
        <f>-IFERROR('4. NPV'!BJM24/'4. NPV'!BJM$8,0)</f>
        <v>-0.0</v>
      </c>
      <c r="BJM55" s="5">
        <f>-IFERROR('4. NPV'!BJN24/'4. NPV'!BJN$8,0)</f>
        <v>-0.0</v>
      </c>
      <c r="BJN55" s="5">
        <f>-IFERROR('4. NPV'!BJO24/'4. NPV'!BJO$8,0)</f>
        <v>-0.0</v>
      </c>
      <c r="BJO55" s="5">
        <f>-IFERROR('4. NPV'!BJP24/'4. NPV'!BJP$8,0)</f>
        <v>-0.0</v>
      </c>
      <c r="BJP55" s="5">
        <f>-IFERROR('4. NPV'!BJQ24/'4. NPV'!BJQ$8,0)</f>
        <v>-0.0</v>
      </c>
      <c r="BJQ55" s="5">
        <f>-IFERROR('4. NPV'!BJR24/'4. NPV'!BJR$8,0)</f>
        <v>-0.0</v>
      </c>
      <c r="BJR55" s="5">
        <f>-IFERROR('4. NPV'!BJS24/'4. NPV'!BJS$8,0)</f>
        <v>-0.0</v>
      </c>
      <c r="BJS55" s="5">
        <f>-IFERROR('4. NPV'!BJT24/'4. NPV'!BJT$8,0)</f>
        <v>-0.0</v>
      </c>
      <c r="BJT55" s="5">
        <f>-IFERROR('4. NPV'!BJU24/'4. NPV'!BJU$8,0)</f>
        <v>-0.0</v>
      </c>
      <c r="BJU55" s="5">
        <f>-IFERROR('4. NPV'!BJV24/'4. NPV'!BJV$8,0)</f>
        <v>-0.0</v>
      </c>
      <c r="BJV55" s="5">
        <f>-IFERROR('4. NPV'!BJW24/'4. NPV'!BJW$8,0)</f>
        <v>-0.0</v>
      </c>
      <c r="BJW55" s="5">
        <f>-IFERROR('4. NPV'!BJX24/'4. NPV'!BJX$8,0)</f>
        <v>-0.0</v>
      </c>
      <c r="BJX55" s="5">
        <f>-IFERROR('4. NPV'!BJY24/'4. NPV'!BJY$8,0)</f>
        <v>-0.0</v>
      </c>
      <c r="BJY55" s="5">
        <f>-IFERROR('4. NPV'!BJZ24/'4. NPV'!BJZ$8,0)</f>
        <v>-0.0</v>
      </c>
      <c r="BJZ55" s="5">
        <f>-IFERROR('4. NPV'!BKA24/'4. NPV'!BKA$8,0)</f>
        <v>-0.0</v>
      </c>
      <c r="BKA55" s="5">
        <f>-IFERROR('4. NPV'!BKB24/'4. NPV'!BKB$8,0)</f>
        <v>-0.0</v>
      </c>
      <c r="BKB55" s="5">
        <f>-IFERROR('4. NPV'!BKC24/'4. NPV'!BKC$8,0)</f>
        <v>-0.0</v>
      </c>
      <c r="BKC55" s="5">
        <f>-IFERROR('4. NPV'!BKD24/'4. NPV'!BKD$8,0)</f>
        <v>-0.0</v>
      </c>
      <c r="BKD55" s="5">
        <f>-IFERROR('4. NPV'!BKE24/'4. NPV'!BKE$8,0)</f>
        <v>-0.0</v>
      </c>
      <c r="BKE55" s="5">
        <f>-IFERROR('4. NPV'!BKF24/'4. NPV'!BKF$8,0)</f>
        <v>-0.0</v>
      </c>
      <c r="BKF55" s="5">
        <f>-IFERROR('4. NPV'!BKG24/'4. NPV'!BKG$8,0)</f>
        <v>-0.0</v>
      </c>
      <c r="BKG55" s="5">
        <f>-IFERROR('4. NPV'!BKH24/'4. NPV'!BKH$8,0)</f>
        <v>-0.0</v>
      </c>
      <c r="BKH55" s="5">
        <f>-IFERROR('4. NPV'!BKI24/'4. NPV'!BKI$8,0)</f>
        <v>-0.0</v>
      </c>
      <c r="BKI55" s="5">
        <f>-IFERROR('4. NPV'!BKJ24/'4. NPV'!BKJ$8,0)</f>
        <v>-0.0</v>
      </c>
      <c r="BKJ55" s="5">
        <f>-IFERROR('4. NPV'!BKK24/'4. NPV'!BKK$8,0)</f>
        <v>-0.0</v>
      </c>
      <c r="BKK55" s="5">
        <f>-IFERROR('4. NPV'!BKL24/'4. NPV'!BKL$8,0)</f>
        <v>-0.0</v>
      </c>
      <c r="BKL55" s="5">
        <f>-IFERROR('4. NPV'!BKM24/'4. NPV'!BKM$8,0)</f>
        <v>-0.0</v>
      </c>
      <c r="BKM55" s="5">
        <f>-IFERROR('4. NPV'!BKN24/'4. NPV'!BKN$8,0)</f>
        <v>-0.0</v>
      </c>
      <c r="BKN55" s="5">
        <f>-IFERROR('4. NPV'!BKO24/'4. NPV'!BKO$8,0)</f>
        <v>-0.0</v>
      </c>
      <c r="BKO55" s="5">
        <f>-IFERROR('4. NPV'!BKP24/'4. NPV'!BKP$8,0)</f>
        <v>-0.0</v>
      </c>
      <c r="BKP55" s="5">
        <f>-IFERROR('4. NPV'!BKQ24/'4. NPV'!BKQ$8,0)</f>
        <v>-0.0</v>
      </c>
      <c r="BKQ55" s="5">
        <f>-IFERROR('4. NPV'!BKR24/'4. NPV'!BKR$8,0)</f>
        <v>-0.0</v>
      </c>
      <c r="BKR55" s="5">
        <f>-IFERROR('4. NPV'!BKS24/'4. NPV'!BKS$8,0)</f>
        <v>-0.0</v>
      </c>
      <c r="BKS55" s="5">
        <f>-IFERROR('4. NPV'!BKT24/'4. NPV'!BKT$8,0)</f>
        <v>-0.0</v>
      </c>
      <c r="BKT55" s="5">
        <f>-IFERROR('4. NPV'!BKU24/'4. NPV'!BKU$8,0)</f>
        <v>-0.0</v>
      </c>
      <c r="BKU55" s="5">
        <f>-IFERROR('4. NPV'!BKV24/'4. NPV'!BKV$8,0)</f>
        <v>-0.0</v>
      </c>
      <c r="BKV55" s="5">
        <f>-IFERROR('4. NPV'!BKW24/'4. NPV'!BKW$8,0)</f>
        <v>-0.0</v>
      </c>
      <c r="BKW55" s="5">
        <f>-IFERROR('4. NPV'!BKX24/'4. NPV'!BKX$8,0)</f>
        <v>-0.0</v>
      </c>
      <c r="BKX55" s="5">
        <f>-IFERROR('4. NPV'!BKY24/'4. NPV'!BKY$8,0)</f>
        <v>-0.0</v>
      </c>
      <c r="BKY55" s="5">
        <f>-IFERROR('4. NPV'!BKZ24/'4. NPV'!BKZ$8,0)</f>
        <v>-0.0</v>
      </c>
      <c r="BKZ55" s="5">
        <f>-IFERROR('4. NPV'!BLA24/'4. NPV'!BLA$8,0)</f>
        <v>-0.0</v>
      </c>
      <c r="BLA55" s="5">
        <f>-IFERROR('4. NPV'!BLB24/'4. NPV'!BLB$8,0)</f>
        <v>-0.0</v>
      </c>
      <c r="BLB55" s="5">
        <f>-IFERROR('4. NPV'!BLC24/'4. NPV'!BLC$8,0)</f>
        <v>-0.0</v>
      </c>
      <c r="BLC55" s="5">
        <f>-IFERROR('4. NPV'!BLD24/'4. NPV'!BLD$8,0)</f>
        <v>-0.0</v>
      </c>
      <c r="BLD55" s="5">
        <f>-IFERROR('4. NPV'!BLE24/'4. NPV'!BLE$8,0)</f>
        <v>-0.0</v>
      </c>
      <c r="BLE55" s="5">
        <f>-IFERROR('4. NPV'!BLF24/'4. NPV'!BLF$8,0)</f>
        <v>-0.0</v>
      </c>
      <c r="BLF55" s="5">
        <f>-IFERROR('4. NPV'!BLG24/'4. NPV'!BLG$8,0)</f>
        <v>-0.0</v>
      </c>
      <c r="BLG55" s="5">
        <f>-IFERROR('4. NPV'!BLH24/'4. NPV'!BLH$8,0)</f>
        <v>-0.0</v>
      </c>
      <c r="BLH55" s="5">
        <f>-IFERROR('4. NPV'!BLI24/'4. NPV'!BLI$8,0)</f>
        <v>-0.0</v>
      </c>
      <c r="BLI55" s="5">
        <f>-IFERROR('4. NPV'!BLJ24/'4. NPV'!BLJ$8,0)</f>
        <v>-0.0</v>
      </c>
      <c r="BLJ55" s="5">
        <f>-IFERROR('4. NPV'!BLK24/'4. NPV'!BLK$8,0)</f>
        <v>-0.0</v>
      </c>
      <c r="BLK55" s="5">
        <f>-IFERROR('4. NPV'!BLL24/'4. NPV'!BLL$8,0)</f>
        <v>-0.0</v>
      </c>
      <c r="BLL55" s="5">
        <f>-IFERROR('4. NPV'!BLM24/'4. NPV'!BLM$8,0)</f>
        <v>-0.0</v>
      </c>
      <c r="BLM55" s="5">
        <f>-IFERROR('4. NPV'!BLN24/'4. NPV'!BLN$8,0)</f>
        <v>-0.0</v>
      </c>
      <c r="BLN55" s="5">
        <f>-IFERROR('4. NPV'!BLO24/'4. NPV'!BLO$8,0)</f>
        <v>-0.0</v>
      </c>
      <c r="BLO55" s="5">
        <f>-IFERROR('4. NPV'!BLP24/'4. NPV'!BLP$8,0)</f>
        <v>-0.0</v>
      </c>
      <c r="BLP55" s="5">
        <f>-IFERROR('4. NPV'!BLQ24/'4. NPV'!BLQ$8,0)</f>
        <v>-0.0</v>
      </c>
      <c r="BLQ55" s="5">
        <f>-IFERROR('4. NPV'!BLR24/'4. NPV'!BLR$8,0)</f>
        <v>-0.0</v>
      </c>
      <c r="BLR55" s="5">
        <f>-IFERROR('4. NPV'!BLS24/'4. NPV'!BLS$8,0)</f>
        <v>-0.0</v>
      </c>
      <c r="BLS55" s="5">
        <f>-IFERROR('4. NPV'!BLT24/'4. NPV'!BLT$8,0)</f>
        <v>-0.0</v>
      </c>
      <c r="BLT55" s="5">
        <f>-IFERROR('4. NPV'!BLU24/'4. NPV'!BLU$8,0)</f>
        <v>-0.0</v>
      </c>
      <c r="BLU55" s="5">
        <f>-IFERROR('4. NPV'!BLV24/'4. NPV'!BLV$8,0)</f>
        <v>-0.0</v>
      </c>
      <c r="BLV55" s="5">
        <f>-IFERROR('4. NPV'!BLW24/'4. NPV'!BLW$8,0)</f>
        <v>-0.0</v>
      </c>
      <c r="BLW55" s="5">
        <f>-IFERROR('4. NPV'!BLX24/'4. NPV'!BLX$8,0)</f>
        <v>-0.0</v>
      </c>
      <c r="BLX55" s="5">
        <f>-IFERROR('4. NPV'!BLY24/'4. NPV'!BLY$8,0)</f>
        <v>-0.0</v>
      </c>
      <c r="BLY55" s="5">
        <f>-IFERROR('4. NPV'!BLZ24/'4. NPV'!BLZ$8,0)</f>
        <v>-0.0</v>
      </c>
      <c r="BLZ55" s="5">
        <f>-IFERROR('4. NPV'!BMA24/'4. NPV'!BMA$8,0)</f>
        <v>-0.0</v>
      </c>
      <c r="BMA55" s="5">
        <f>-IFERROR('4. NPV'!BMB24/'4. NPV'!BMB$8,0)</f>
        <v>-0.0</v>
      </c>
      <c r="BMB55" s="5">
        <f>-IFERROR('4. NPV'!BMC24/'4. NPV'!BMC$8,0)</f>
        <v>-0.0</v>
      </c>
      <c r="BMC55" s="5">
        <f>-IFERROR('4. NPV'!BMD24/'4. NPV'!BMD$8,0)</f>
        <v>-0.0</v>
      </c>
      <c r="BMD55" s="5">
        <f>-IFERROR('4. NPV'!BME24/'4. NPV'!BME$8,0)</f>
        <v>-0.0</v>
      </c>
      <c r="BME55" s="5">
        <f>-IFERROR('4. NPV'!BMF24/'4. NPV'!BMF$8,0)</f>
        <v>-0.0</v>
      </c>
      <c r="BMF55" s="5">
        <f>-IFERROR('4. NPV'!BMG24/'4. NPV'!BMG$8,0)</f>
        <v>-0.0</v>
      </c>
      <c r="BMG55" s="5">
        <f>-IFERROR('4. NPV'!BMH24/'4. NPV'!BMH$8,0)</f>
        <v>-0.0</v>
      </c>
      <c r="BMH55" s="5">
        <f>-IFERROR('4. NPV'!BMI24/'4. NPV'!BMI$8,0)</f>
        <v>-0.0</v>
      </c>
      <c r="BMI55" s="5">
        <f>-IFERROR('4. NPV'!BMJ24/'4. NPV'!BMJ$8,0)</f>
        <v>-0.0</v>
      </c>
      <c r="BMJ55" s="5">
        <f>-IFERROR('4. NPV'!BMK24/'4. NPV'!BMK$8,0)</f>
        <v>-0.0</v>
      </c>
      <c r="BMK55" s="5">
        <f>-IFERROR('4. NPV'!BML24/'4. NPV'!BML$8,0)</f>
        <v>-0.0</v>
      </c>
      <c r="BML55" s="5">
        <f>-IFERROR('4. NPV'!BMM24/'4. NPV'!BMM$8,0)</f>
        <v>-0.0</v>
      </c>
      <c r="BMM55" s="5">
        <f>-IFERROR('4. NPV'!BMN24/'4. NPV'!BMN$8,0)</f>
        <v>-0.0</v>
      </c>
      <c r="BMN55" s="5">
        <f>-IFERROR('4. NPV'!BMO24/'4. NPV'!BMO$8,0)</f>
        <v>-0.0</v>
      </c>
      <c r="BMO55" s="5">
        <f>-IFERROR('4. NPV'!BMP24/'4. NPV'!BMP$8,0)</f>
        <v>-0.0</v>
      </c>
      <c r="BMP55" s="5">
        <f>-IFERROR('4. NPV'!BMQ24/'4. NPV'!BMQ$8,0)</f>
        <v>-0.0</v>
      </c>
      <c r="BMQ55" s="5">
        <f>-IFERROR('4. NPV'!BMR24/'4. NPV'!BMR$8,0)</f>
        <v>-0.0</v>
      </c>
      <c r="BMR55" s="5">
        <f>-IFERROR('4. NPV'!BMS24/'4. NPV'!BMS$8,0)</f>
        <v>-0.0</v>
      </c>
      <c r="BMS55" s="5">
        <f>-IFERROR('4. NPV'!BMT24/'4. NPV'!BMT$8,0)</f>
        <v>-0.0</v>
      </c>
      <c r="BMT55" s="5">
        <f>-IFERROR('4. NPV'!BMU24/'4. NPV'!BMU$8,0)</f>
        <v>-0.0</v>
      </c>
      <c r="BMU55" s="5">
        <f>-IFERROR('4. NPV'!BMV24/'4. NPV'!BMV$8,0)</f>
        <v>-0.0</v>
      </c>
      <c r="BMV55" s="5">
        <f>-IFERROR('4. NPV'!BMW24/'4. NPV'!BMW$8,0)</f>
        <v>-0.0</v>
      </c>
      <c r="BMW55" s="5">
        <f>-IFERROR('4. NPV'!BMX24/'4. NPV'!BMX$8,0)</f>
        <v>-0.0</v>
      </c>
      <c r="BMX55" s="5">
        <f>-IFERROR('4. NPV'!BMY24/'4. NPV'!BMY$8,0)</f>
        <v>-0.0</v>
      </c>
      <c r="BMY55" s="5">
        <f>-IFERROR('4. NPV'!BMZ24/'4. NPV'!BMZ$8,0)</f>
        <v>-0.0</v>
      </c>
      <c r="BMZ55" s="5">
        <f>-IFERROR('4. NPV'!BNA24/'4. NPV'!BNA$8,0)</f>
        <v>-0.0</v>
      </c>
      <c r="BNA55" s="5">
        <f>-IFERROR('4. NPV'!BNB24/'4. NPV'!BNB$8,0)</f>
        <v>-0.0</v>
      </c>
      <c r="BNB55" s="5">
        <f>-IFERROR('4. NPV'!BNC24/'4. NPV'!BNC$8,0)</f>
        <v>-0.0</v>
      </c>
      <c r="BNC55" s="5">
        <f>-IFERROR('4. NPV'!BND24/'4. NPV'!BND$8,0)</f>
        <v>-0.0</v>
      </c>
      <c r="BND55" s="5">
        <f>-IFERROR('4. NPV'!BNE24/'4. NPV'!BNE$8,0)</f>
        <v>-0.0</v>
      </c>
      <c r="BNE55" s="5">
        <f>-IFERROR('4. NPV'!BNF24/'4. NPV'!BNF$8,0)</f>
        <v>-0.0</v>
      </c>
      <c r="BNF55" s="5">
        <f>-IFERROR('4. NPV'!BNG24/'4. NPV'!BNG$8,0)</f>
        <v>-0.0</v>
      </c>
      <c r="BNG55" s="5">
        <f>-IFERROR('4. NPV'!BNH24/'4. NPV'!BNH$8,0)</f>
        <v>-0.0</v>
      </c>
      <c r="BNH55" s="5">
        <f>-IFERROR('4. NPV'!BNI24/'4. NPV'!BNI$8,0)</f>
        <v>-0.0</v>
      </c>
      <c r="BNI55" s="5">
        <f>-IFERROR('4. NPV'!BNJ24/'4. NPV'!BNJ$8,0)</f>
        <v>-0.0</v>
      </c>
      <c r="BNJ55" s="5">
        <f>-IFERROR('4. NPV'!BNK24/'4. NPV'!BNK$8,0)</f>
        <v>-0.0</v>
      </c>
      <c r="BNK55" s="5">
        <f>-IFERROR('4. NPV'!BNL24/'4. NPV'!BNL$8,0)</f>
        <v>-0.0</v>
      </c>
      <c r="BNL55" s="5">
        <f>-IFERROR('4. NPV'!BNM24/'4. NPV'!BNM$8,0)</f>
        <v>-0.0</v>
      </c>
      <c r="BNM55" s="5">
        <f>-IFERROR('4. NPV'!BNN24/'4. NPV'!BNN$8,0)</f>
        <v>-0.0</v>
      </c>
      <c r="BNN55" s="5">
        <f>-IFERROR('4. NPV'!BNO24/'4. NPV'!BNO$8,0)</f>
        <v>-0.0</v>
      </c>
      <c r="BNO55" s="5">
        <f>-IFERROR('4. NPV'!BNP24/'4. NPV'!BNP$8,0)</f>
        <v>-0.0</v>
      </c>
      <c r="BNP55" s="5">
        <f>-IFERROR('4. NPV'!BNQ24/'4. NPV'!BNQ$8,0)</f>
        <v>-0.0</v>
      </c>
      <c r="BNQ55" s="5">
        <f>-IFERROR('4. NPV'!BNR24/'4. NPV'!BNR$8,0)</f>
        <v>-0.0</v>
      </c>
      <c r="BNR55" s="5">
        <f>-IFERROR('4. NPV'!BNS24/'4. NPV'!BNS$8,0)</f>
        <v>-0.0</v>
      </c>
      <c r="BNS55" s="5">
        <f>-IFERROR('4. NPV'!BNT24/'4. NPV'!BNT$8,0)</f>
        <v>-0.0</v>
      </c>
      <c r="BNT55" s="5">
        <f>-IFERROR('4. NPV'!BNU24/'4. NPV'!BNU$8,0)</f>
        <v>-0.0</v>
      </c>
      <c r="BNU55" s="5">
        <f>-IFERROR('4. NPV'!BNV24/'4. NPV'!BNV$8,0)</f>
        <v>-0.0</v>
      </c>
      <c r="BNV55" s="5">
        <f>-IFERROR('4. NPV'!BNW24/'4. NPV'!BNW$8,0)</f>
        <v>-0.0</v>
      </c>
      <c r="BNW55" s="5">
        <f>-IFERROR('4. NPV'!BNX24/'4. NPV'!BNX$8,0)</f>
        <v>-0.0</v>
      </c>
      <c r="BNX55" s="5">
        <f>-IFERROR('4. NPV'!BNY24/'4. NPV'!BNY$8,0)</f>
        <v>-0.0</v>
      </c>
      <c r="BNY55" s="5">
        <f>-IFERROR('4. NPV'!BNZ24/'4. NPV'!BNZ$8,0)</f>
        <v>-0.0</v>
      </c>
      <c r="BNZ55" s="5">
        <f>-IFERROR('4. NPV'!BOA24/'4. NPV'!BOA$8,0)</f>
        <v>-0.0</v>
      </c>
      <c r="BOA55" s="5">
        <f>-IFERROR('4. NPV'!BOB24/'4. NPV'!BOB$8,0)</f>
        <v>-0.0</v>
      </c>
      <c r="BOB55" s="5">
        <f>-IFERROR('4. NPV'!BOC24/'4. NPV'!BOC$8,0)</f>
        <v>-0.0</v>
      </c>
      <c r="BOC55" s="5">
        <f>-IFERROR('4. NPV'!BOD24/'4. NPV'!BOD$8,0)</f>
        <v>-0.0</v>
      </c>
      <c r="BOD55" s="5">
        <f>-IFERROR('4. NPV'!BOE24/'4. NPV'!BOE$8,0)</f>
        <v>-0.0</v>
      </c>
      <c r="BOE55" s="5">
        <f>-IFERROR('4. NPV'!BOF24/'4. NPV'!BOF$8,0)</f>
        <v>-0.0</v>
      </c>
      <c r="BOF55" s="5">
        <f>-IFERROR('4. NPV'!BOG24/'4. NPV'!BOG$8,0)</f>
        <v>-0.0</v>
      </c>
      <c r="BOG55" s="5">
        <f>-IFERROR('4. NPV'!BOH24/'4. NPV'!BOH$8,0)</f>
        <v>-0.0</v>
      </c>
      <c r="BOH55" s="5">
        <f>-IFERROR('4. NPV'!BOI24/'4. NPV'!BOI$8,0)</f>
        <v>-0.0</v>
      </c>
      <c r="BOI55" s="5">
        <f>-IFERROR('4. NPV'!BOJ24/'4. NPV'!BOJ$8,0)</f>
        <v>-0.0</v>
      </c>
      <c r="BOJ55" s="5">
        <f>-IFERROR('4. NPV'!BOK24/'4. NPV'!BOK$8,0)</f>
        <v>-0.0</v>
      </c>
      <c r="BOK55" s="5">
        <f>-IFERROR('4. NPV'!BOL24/'4. NPV'!BOL$8,0)</f>
        <v>-0.0</v>
      </c>
      <c r="BOL55" s="5">
        <f>-IFERROR('4. NPV'!BOM24/'4. NPV'!BOM$8,0)</f>
        <v>-0.0</v>
      </c>
      <c r="BOM55" s="5">
        <f>-IFERROR('4. NPV'!BON24/'4. NPV'!BON$8,0)</f>
        <v>-0.0</v>
      </c>
      <c r="BON55" s="5">
        <f>-IFERROR('4. NPV'!BOO24/'4. NPV'!BOO$8,0)</f>
        <v>-0.0</v>
      </c>
      <c r="BOO55" s="5">
        <f>-IFERROR('4. NPV'!BOP24/'4. NPV'!BOP$8,0)</f>
        <v>-0.0</v>
      </c>
      <c r="BOP55" s="5">
        <f>-IFERROR('4. NPV'!BOQ24/'4. NPV'!BOQ$8,0)</f>
        <v>-0.0</v>
      </c>
      <c r="BOQ55" s="5">
        <f>-IFERROR('4. NPV'!BOR24/'4. NPV'!BOR$8,0)</f>
        <v>-0.0</v>
      </c>
      <c r="BOR55" s="5">
        <f>-IFERROR('4. NPV'!BOS24/'4. NPV'!BOS$8,0)</f>
        <v>-0.0</v>
      </c>
      <c r="BOS55" s="5">
        <f>-IFERROR('4. NPV'!BOT24/'4. NPV'!BOT$8,0)</f>
        <v>-0.0</v>
      </c>
      <c r="BOT55" s="5">
        <f>-IFERROR('4. NPV'!BOU24/'4. NPV'!BOU$8,0)</f>
        <v>-0.0</v>
      </c>
      <c r="BOU55" s="5">
        <f>-IFERROR('4. NPV'!BOV24/'4. NPV'!BOV$8,0)</f>
        <v>-0.0</v>
      </c>
      <c r="BOV55" s="5">
        <f>-IFERROR('4. NPV'!BOW24/'4. NPV'!BOW$8,0)</f>
        <v>-0.0</v>
      </c>
      <c r="BOW55" s="5">
        <f>-IFERROR('4. NPV'!BOX24/'4. NPV'!BOX$8,0)</f>
        <v>-0.0</v>
      </c>
      <c r="BOX55" s="5">
        <f>-IFERROR('4. NPV'!BOY24/'4. NPV'!BOY$8,0)</f>
        <v>-0.0</v>
      </c>
      <c r="BOY55" s="5">
        <f>-IFERROR('4. NPV'!BOZ24/'4. NPV'!BOZ$8,0)</f>
        <v>-0.0</v>
      </c>
      <c r="BOZ55" s="5">
        <f>-IFERROR('4. NPV'!BPA24/'4. NPV'!BPA$8,0)</f>
        <v>-0.0</v>
      </c>
      <c r="BPA55" s="5">
        <f>-IFERROR('4. NPV'!BPB24/'4. NPV'!BPB$8,0)</f>
        <v>-0.0</v>
      </c>
      <c r="BPB55" s="5">
        <f>-IFERROR('4. NPV'!BPC24/'4. NPV'!BPC$8,0)</f>
        <v>-0.0</v>
      </c>
      <c r="BPC55" s="5">
        <f>-IFERROR('4. NPV'!BPD24/'4. NPV'!BPD$8,0)</f>
        <v>-0.0</v>
      </c>
      <c r="BPD55" s="5">
        <f>-IFERROR('4. NPV'!BPE24/'4. NPV'!BPE$8,0)</f>
        <v>-0.0</v>
      </c>
      <c r="BPE55" s="5">
        <f>-IFERROR('4. NPV'!BPF24/'4. NPV'!BPF$8,0)</f>
        <v>-0.0</v>
      </c>
      <c r="BPF55" s="5">
        <f>-IFERROR('4. NPV'!BPG24/'4. NPV'!BPG$8,0)</f>
        <v>-0.0</v>
      </c>
      <c r="BPG55" s="5">
        <f>-IFERROR('4. NPV'!BPH24/'4. NPV'!BPH$8,0)</f>
        <v>-0.0</v>
      </c>
      <c r="BPH55" s="5">
        <f>-IFERROR('4. NPV'!BPI24/'4. NPV'!BPI$8,0)</f>
        <v>-0.0</v>
      </c>
      <c r="BPI55" s="5">
        <f>-IFERROR('4. NPV'!BPJ24/'4. NPV'!BPJ$8,0)</f>
        <v>-0.0</v>
      </c>
      <c r="BPJ55" s="5">
        <f>-IFERROR('4. NPV'!BPK24/'4. NPV'!BPK$8,0)</f>
        <v>-0.0</v>
      </c>
      <c r="BPK55" s="5">
        <f>-IFERROR('4. NPV'!BPL24/'4. NPV'!BPL$8,0)</f>
        <v>-0.0</v>
      </c>
      <c r="BPL55" s="5">
        <f>-IFERROR('4. NPV'!BPM24/'4. NPV'!BPM$8,0)</f>
        <v>-0.0</v>
      </c>
      <c r="BPM55" s="5">
        <f>-IFERROR('4. NPV'!BPN24/'4. NPV'!BPN$8,0)</f>
        <v>-0.0</v>
      </c>
      <c r="BPN55" s="5">
        <f>-IFERROR('4. NPV'!BPO24/'4. NPV'!BPO$8,0)</f>
        <v>-0.0</v>
      </c>
      <c r="BPO55" s="5">
        <f>-IFERROR('4. NPV'!BPP24/'4. NPV'!BPP$8,0)</f>
        <v>-0.0</v>
      </c>
      <c r="BPP55" s="5">
        <f>-IFERROR('4. NPV'!BPQ24/'4. NPV'!BPQ$8,0)</f>
        <v>-0.0</v>
      </c>
      <c r="BPQ55" s="5">
        <f>-IFERROR('4. NPV'!BPR24/'4. NPV'!BPR$8,0)</f>
        <v>-0.0</v>
      </c>
      <c r="BPR55" s="5">
        <f>-IFERROR('4. NPV'!BPS24/'4. NPV'!BPS$8,0)</f>
        <v>-0.0</v>
      </c>
      <c r="BPS55" s="5">
        <f>-IFERROR('4. NPV'!BPT24/'4. NPV'!BPT$8,0)</f>
        <v>-0.0</v>
      </c>
      <c r="BPT55" s="5">
        <f>-IFERROR('4. NPV'!BPU24/'4. NPV'!BPU$8,0)</f>
        <v>-0.0</v>
      </c>
      <c r="BPU55" s="5">
        <f>-IFERROR('4. NPV'!BPV24/'4. NPV'!BPV$8,0)</f>
        <v>-0.0</v>
      </c>
      <c r="BPV55" s="5">
        <f>-IFERROR('4. NPV'!BPW24/'4. NPV'!BPW$8,0)</f>
        <v>-0.0</v>
      </c>
      <c r="BPW55" s="5">
        <f>-IFERROR('4. NPV'!BPX24/'4. NPV'!BPX$8,0)</f>
        <v>-0.0</v>
      </c>
      <c r="BPX55" s="5">
        <f>-IFERROR('4. NPV'!BPY24/'4. NPV'!BPY$8,0)</f>
        <v>-0.0</v>
      </c>
      <c r="BPY55" s="5">
        <f>-IFERROR('4. NPV'!BPZ24/'4. NPV'!BPZ$8,0)</f>
        <v>-0.0</v>
      </c>
      <c r="BPZ55" s="5">
        <f>-IFERROR('4. NPV'!BQA24/'4. NPV'!BQA$8,0)</f>
        <v>-0.0</v>
      </c>
      <c r="BQA55" s="5">
        <f>-IFERROR('4. NPV'!BQB24/'4. NPV'!BQB$8,0)</f>
        <v>-0.0</v>
      </c>
      <c r="BQB55" s="5">
        <f>-IFERROR('4. NPV'!BQC24/'4. NPV'!BQC$8,0)</f>
        <v>-0.0</v>
      </c>
      <c r="BQC55" s="5">
        <f>-IFERROR('4. NPV'!BQD24/'4. NPV'!BQD$8,0)</f>
        <v>-0.0</v>
      </c>
      <c r="BQD55" s="5">
        <f>-IFERROR('4. NPV'!BQE24/'4. NPV'!BQE$8,0)</f>
        <v>-0.0</v>
      </c>
      <c r="BQE55" s="5">
        <f>-IFERROR('4. NPV'!BQF24/'4. NPV'!BQF$8,0)</f>
        <v>-0.0</v>
      </c>
      <c r="BQF55" s="5">
        <f>-IFERROR('4. NPV'!BQG24/'4. NPV'!BQG$8,0)</f>
        <v>-0.0</v>
      </c>
      <c r="BQG55" s="5">
        <f>-IFERROR('4. NPV'!BQH24/'4. NPV'!BQH$8,0)</f>
        <v>-0.0</v>
      </c>
      <c r="BQH55" s="5">
        <f>-IFERROR('4. NPV'!BQI24/'4. NPV'!BQI$8,0)</f>
        <v>-0.0</v>
      </c>
      <c r="BQI55" s="5">
        <f>-IFERROR('4. NPV'!BQJ24/'4. NPV'!BQJ$8,0)</f>
        <v>-0.0</v>
      </c>
      <c r="BQJ55" s="5">
        <f>-IFERROR('4. NPV'!BQK24/'4. NPV'!BQK$8,0)</f>
        <v>-0.0</v>
      </c>
      <c r="BQK55" s="5">
        <f>-IFERROR('4. NPV'!BQL24/'4. NPV'!BQL$8,0)</f>
        <v>-0.0</v>
      </c>
      <c r="BQL55" s="5">
        <f>-IFERROR('4. NPV'!BQM24/'4. NPV'!BQM$8,0)</f>
        <v>-0.0</v>
      </c>
      <c r="BQM55" s="5">
        <f>-IFERROR('4. NPV'!BQN24/'4. NPV'!BQN$8,0)</f>
        <v>-0.0</v>
      </c>
      <c r="BQN55" s="5">
        <f>-IFERROR('4. NPV'!BQO24/'4. NPV'!BQO$8,0)</f>
        <v>-0.0</v>
      </c>
      <c r="BQO55" s="5">
        <f>-IFERROR('4. NPV'!BQP24/'4. NPV'!BQP$8,0)</f>
        <v>-0.0</v>
      </c>
      <c r="BQP55" s="5">
        <f>-IFERROR('4. NPV'!BQQ24/'4. NPV'!BQQ$8,0)</f>
        <v>-0.0</v>
      </c>
      <c r="BQQ55" s="5">
        <f>-IFERROR('4. NPV'!BQR24/'4. NPV'!BQR$8,0)</f>
        <v>-0.0</v>
      </c>
      <c r="BQR55" s="5">
        <f>-IFERROR('4. NPV'!BQS24/'4. NPV'!BQS$8,0)</f>
        <v>-0.0</v>
      </c>
      <c r="BQS55" s="5">
        <f>-IFERROR('4. NPV'!BQT24/'4. NPV'!BQT$8,0)</f>
        <v>-0.0</v>
      </c>
      <c r="BQT55" s="5">
        <f>-IFERROR('4. NPV'!BQU24/'4. NPV'!BQU$8,0)</f>
        <v>-0.0</v>
      </c>
      <c r="BQU55" s="5">
        <f>-IFERROR('4. NPV'!BQV24/'4. NPV'!BQV$8,0)</f>
        <v>-0.0</v>
      </c>
      <c r="BQV55" s="5">
        <f>-IFERROR('4. NPV'!BQW24/'4. NPV'!BQW$8,0)</f>
        <v>-0.0</v>
      </c>
      <c r="BQW55" s="5">
        <f>-IFERROR('4. NPV'!BQX24/'4. NPV'!BQX$8,0)</f>
        <v>-0.0</v>
      </c>
      <c r="BQX55" s="5">
        <f>-IFERROR('4. NPV'!BQY24/'4. NPV'!BQY$8,0)</f>
        <v>-0.0</v>
      </c>
      <c r="BQY55" s="5">
        <f>-IFERROR('4. NPV'!BQZ24/'4. NPV'!BQZ$8,0)</f>
        <v>-0.0</v>
      </c>
      <c r="BQZ55" s="5">
        <f>-IFERROR('4. NPV'!BRA24/'4. NPV'!BRA$8,0)</f>
        <v>-0.0</v>
      </c>
      <c r="BRA55" s="5">
        <f>-IFERROR('4. NPV'!BRB24/'4. NPV'!BRB$8,0)</f>
        <v>-0.0</v>
      </c>
      <c r="BRB55" s="5">
        <f>-IFERROR('4. NPV'!BRC24/'4. NPV'!BRC$8,0)</f>
        <v>-0.0</v>
      </c>
      <c r="BRC55" s="5">
        <f>-IFERROR('4. NPV'!BRD24/'4. NPV'!BRD$8,0)</f>
        <v>-0.0</v>
      </c>
      <c r="BRD55" s="5">
        <f>-IFERROR('4. NPV'!BRE24/'4. NPV'!BRE$8,0)</f>
        <v>-0.0</v>
      </c>
      <c r="BRE55" s="5">
        <f>-IFERROR('4. NPV'!BRF24/'4. NPV'!BRF$8,0)</f>
        <v>-0.0</v>
      </c>
      <c r="BRF55" s="5">
        <f>-IFERROR('4. NPV'!BRG24/'4. NPV'!BRG$8,0)</f>
        <v>-0.0</v>
      </c>
      <c r="BRG55" s="5">
        <f>-IFERROR('4. NPV'!BRH24/'4. NPV'!BRH$8,0)</f>
        <v>-0.0</v>
      </c>
      <c r="BRH55" s="5">
        <f>-IFERROR('4. NPV'!BRI24/'4. NPV'!BRI$8,0)</f>
        <v>-0.0</v>
      </c>
      <c r="BRI55" s="5">
        <f>-IFERROR('4. NPV'!BRJ24/'4. NPV'!BRJ$8,0)</f>
        <v>-0.0</v>
      </c>
      <c r="BRJ55" s="5">
        <f>-IFERROR('4. NPV'!BRK24/'4. NPV'!BRK$8,0)</f>
        <v>-0.0</v>
      </c>
      <c r="BRK55" s="5">
        <f>-IFERROR('4. NPV'!BRL24/'4. NPV'!BRL$8,0)</f>
        <v>-0.0</v>
      </c>
      <c r="BRL55" s="5">
        <f>-IFERROR('4. NPV'!BRM24/'4. NPV'!BRM$8,0)</f>
        <v>-0.0</v>
      </c>
      <c r="BRM55" s="5">
        <f>-IFERROR('4. NPV'!BRN24/'4. NPV'!BRN$8,0)</f>
        <v>-0.0</v>
      </c>
      <c r="BRN55" s="5">
        <f>-IFERROR('4. NPV'!BRO24/'4. NPV'!BRO$8,0)</f>
        <v>-0.0</v>
      </c>
      <c r="BRO55" s="5">
        <f>-IFERROR('4. NPV'!BRP24/'4. NPV'!BRP$8,0)</f>
        <v>-0.0</v>
      </c>
      <c r="BRP55" s="5">
        <f>-IFERROR('4. NPV'!BRQ24/'4. NPV'!BRQ$8,0)</f>
        <v>-0.0</v>
      </c>
      <c r="BRQ55" s="5">
        <f>-IFERROR('4. NPV'!BRR24/'4. NPV'!BRR$8,0)</f>
        <v>-0.0</v>
      </c>
      <c r="BRR55" s="5">
        <f>-IFERROR('4. NPV'!BRS24/'4. NPV'!BRS$8,0)</f>
        <v>-0.0</v>
      </c>
      <c r="BRS55" s="5">
        <f>-IFERROR('4. NPV'!BRT24/'4. NPV'!BRT$8,0)</f>
        <v>-0.0</v>
      </c>
      <c r="BRT55" s="5">
        <f>-IFERROR('4. NPV'!BRU24/'4. NPV'!BRU$8,0)</f>
        <v>-0.0</v>
      </c>
      <c r="BRU55" s="5">
        <f>-IFERROR('4. NPV'!BRV24/'4. NPV'!BRV$8,0)</f>
        <v>-0.0</v>
      </c>
      <c r="BRV55" s="5">
        <f>-IFERROR('4. NPV'!BRW24/'4. NPV'!BRW$8,0)</f>
        <v>-0.0</v>
      </c>
      <c r="BRW55" s="5">
        <f>-IFERROR('4. NPV'!BRX24/'4. NPV'!BRX$8,0)</f>
        <v>-0.0</v>
      </c>
      <c r="BRX55" s="5">
        <f>-IFERROR('4. NPV'!BRY24/'4. NPV'!BRY$8,0)</f>
        <v>-0.0</v>
      </c>
      <c r="BRY55" s="5">
        <f>-IFERROR('4. NPV'!BRZ24/'4. NPV'!BRZ$8,0)</f>
        <v>-0.0</v>
      </c>
      <c r="BRZ55" s="5">
        <f>-IFERROR('4. NPV'!BSA24/'4. NPV'!BSA$8,0)</f>
        <v>-0.0</v>
      </c>
      <c r="BSA55" s="5">
        <f>-IFERROR('4. NPV'!BSB24/'4. NPV'!BSB$8,0)</f>
        <v>-0.0</v>
      </c>
      <c r="BSB55" s="5">
        <f>-IFERROR('4. NPV'!BSC24/'4. NPV'!BSC$8,0)</f>
        <v>-0.0</v>
      </c>
      <c r="BSC55" s="5">
        <f>-IFERROR('4. NPV'!BSD24/'4. NPV'!BSD$8,0)</f>
        <v>-0.0</v>
      </c>
      <c r="BSD55" s="5">
        <f>-IFERROR('4. NPV'!BSE24/'4. NPV'!BSE$8,0)</f>
        <v>-0.0</v>
      </c>
      <c r="BSE55" s="5">
        <f>-IFERROR('4. NPV'!BSF24/'4. NPV'!BSF$8,0)</f>
        <v>-0.0</v>
      </c>
      <c r="BSF55" s="5">
        <f>-IFERROR('4. NPV'!BSG24/'4. NPV'!BSG$8,0)</f>
        <v>-0.0</v>
      </c>
      <c r="BSG55" s="5">
        <f>-IFERROR('4. NPV'!BSH24/'4. NPV'!BSH$8,0)</f>
        <v>-0.0</v>
      </c>
      <c r="BSH55" s="5">
        <f>-IFERROR('4. NPV'!BSI24/'4. NPV'!BSI$8,0)</f>
        <v>-0.0</v>
      </c>
      <c r="BSI55" s="5">
        <f>-IFERROR('4. NPV'!BSJ24/'4. NPV'!BSJ$8,0)</f>
        <v>-0.0</v>
      </c>
      <c r="BSJ55" s="5">
        <f>-IFERROR('4. NPV'!BSK24/'4. NPV'!BSK$8,0)</f>
        <v>-0.0</v>
      </c>
      <c r="BSK55" s="5">
        <f>-IFERROR('4. NPV'!BSL24/'4. NPV'!BSL$8,0)</f>
        <v>-0.0</v>
      </c>
      <c r="BSL55" s="5">
        <f>-IFERROR('4. NPV'!BSM24/'4. NPV'!BSM$8,0)</f>
        <v>-0.0</v>
      </c>
      <c r="BSM55" s="5">
        <f>-IFERROR('4. NPV'!BSN24/'4. NPV'!BSN$8,0)</f>
        <v>-0.0</v>
      </c>
      <c r="BSN55" s="5">
        <f>-IFERROR('4. NPV'!BSO24/'4. NPV'!BSO$8,0)</f>
        <v>-0.0</v>
      </c>
      <c r="BSO55" s="5">
        <f>-IFERROR('4. NPV'!BSP24/'4. NPV'!BSP$8,0)</f>
        <v>-0.0</v>
      </c>
      <c r="BSP55" s="5">
        <f>-IFERROR('4. NPV'!BSQ24/'4. NPV'!BSQ$8,0)</f>
        <v>-0.0</v>
      </c>
      <c r="BSQ55" s="5">
        <f>-IFERROR('4. NPV'!BSR24/'4. NPV'!BSR$8,0)</f>
        <v>-0.0</v>
      </c>
      <c r="BSR55" s="5">
        <f>-IFERROR('4. NPV'!BSS24/'4. NPV'!BSS$8,0)</f>
        <v>-0.0</v>
      </c>
      <c r="BSS55" s="5">
        <f>-IFERROR('4. NPV'!BST24/'4. NPV'!BST$8,0)</f>
        <v>-0.0</v>
      </c>
      <c r="BST55" s="5">
        <f>-IFERROR('4. NPV'!BSU24/'4. NPV'!BSU$8,0)</f>
        <v>-0.0</v>
      </c>
      <c r="BSU55" s="5">
        <f>-IFERROR('4. NPV'!BSV24/'4. NPV'!BSV$8,0)</f>
        <v>-0.0</v>
      </c>
      <c r="BSV55" s="5">
        <f>-IFERROR('4. NPV'!BSW24/'4. NPV'!BSW$8,0)</f>
        <v>-0.0</v>
      </c>
      <c r="BSW55" s="5">
        <f>-IFERROR('4. NPV'!BSX24/'4. NPV'!BSX$8,0)</f>
        <v>-0.0</v>
      </c>
      <c r="BSX55" s="5">
        <f>-IFERROR('4. NPV'!BSY24/'4. NPV'!BSY$8,0)</f>
        <v>-0.0</v>
      </c>
      <c r="BSY55" s="5">
        <f>-IFERROR('4. NPV'!BSZ24/'4. NPV'!BSZ$8,0)</f>
        <v>-0.0</v>
      </c>
      <c r="BSZ55" s="5">
        <f>-IFERROR('4. NPV'!BTA24/'4. NPV'!BTA$8,0)</f>
        <v>-0.0</v>
      </c>
      <c r="BTA55" s="5">
        <f>-IFERROR('4. NPV'!BTB24/'4. NPV'!BTB$8,0)</f>
        <v>-0.0</v>
      </c>
      <c r="BTB55" s="5">
        <f>-IFERROR('4. NPV'!BTC24/'4. NPV'!BTC$8,0)</f>
        <v>-0.0</v>
      </c>
      <c r="BTC55" s="5">
        <f>-IFERROR('4. NPV'!BTD24/'4. NPV'!BTD$8,0)</f>
        <v>-0.0</v>
      </c>
      <c r="BTD55" s="5">
        <f>-IFERROR('4. NPV'!BTE24/'4. NPV'!BTE$8,0)</f>
        <v>-0.0</v>
      </c>
      <c r="BTE55" s="5">
        <f>-IFERROR('4. NPV'!BTF24/'4. NPV'!BTF$8,0)</f>
        <v>-0.0</v>
      </c>
      <c r="BTF55" s="5">
        <f>-IFERROR('4. NPV'!BTG24/'4. NPV'!BTG$8,0)</f>
        <v>-0.0</v>
      </c>
      <c r="BTG55" s="5">
        <f>-IFERROR('4. NPV'!BTH24/'4. NPV'!BTH$8,0)</f>
        <v>-0.0</v>
      </c>
      <c r="BTH55" s="5">
        <f>-IFERROR('4. NPV'!BTI24/'4. NPV'!BTI$8,0)</f>
        <v>-0.0</v>
      </c>
      <c r="BTI55" s="5">
        <f>-IFERROR('4. NPV'!BTJ24/'4. NPV'!BTJ$8,0)</f>
        <v>-0.0</v>
      </c>
      <c r="BTJ55" s="5">
        <f>-IFERROR('4. NPV'!BTK24/'4. NPV'!BTK$8,0)</f>
        <v>-0.0</v>
      </c>
      <c r="BTK55" s="5">
        <f>-IFERROR('4. NPV'!BTL24/'4. NPV'!BTL$8,0)</f>
        <v>-0.0</v>
      </c>
      <c r="BTL55" s="5">
        <f>-IFERROR('4. NPV'!BTM24/'4. NPV'!BTM$8,0)</f>
        <v>-0.0</v>
      </c>
      <c r="BTM55" s="5">
        <f>-IFERROR('4. NPV'!BTN24/'4. NPV'!BTN$8,0)</f>
        <v>-0.0</v>
      </c>
      <c r="BTN55" s="5">
        <f>-IFERROR('4. NPV'!BTO24/'4. NPV'!BTO$8,0)</f>
        <v>-0.0</v>
      </c>
      <c r="BTO55" s="5">
        <f>-IFERROR('4. NPV'!BTP24/'4. NPV'!BTP$8,0)</f>
        <v>-0.0</v>
      </c>
      <c r="BTP55" s="5">
        <f>-IFERROR('4. NPV'!BTQ24/'4. NPV'!BTQ$8,0)</f>
        <v>-0.0</v>
      </c>
      <c r="BTQ55" s="5">
        <f>-IFERROR('4. NPV'!BTR24/'4. NPV'!BTR$8,0)</f>
        <v>-0.0</v>
      </c>
      <c r="BTR55" s="5">
        <f>-IFERROR('4. NPV'!BTS24/'4. NPV'!BTS$8,0)</f>
        <v>-0.0</v>
      </c>
      <c r="BTS55" s="5">
        <f>-IFERROR('4. NPV'!BTT24/'4. NPV'!BTT$8,0)</f>
        <v>-0.0</v>
      </c>
      <c r="BTT55" s="5">
        <f>-IFERROR('4. NPV'!BTU24/'4. NPV'!BTU$8,0)</f>
        <v>-0.0</v>
      </c>
      <c r="BTU55" s="5">
        <f>-IFERROR('4. NPV'!BTV24/'4. NPV'!BTV$8,0)</f>
        <v>-0.0</v>
      </c>
      <c r="BTV55" s="5">
        <f>-IFERROR('4. NPV'!BTW24/'4. NPV'!BTW$8,0)</f>
        <v>-0.0</v>
      </c>
      <c r="BTW55" s="5">
        <f>-IFERROR('4. NPV'!BTX24/'4. NPV'!BTX$8,0)</f>
        <v>-0.0</v>
      </c>
      <c r="BTX55" s="5">
        <f>-IFERROR('4. NPV'!BTY24/'4. NPV'!BTY$8,0)</f>
        <v>-0.0</v>
      </c>
      <c r="BTY55" s="5">
        <f>-IFERROR('4. NPV'!BTZ24/'4. NPV'!BTZ$8,0)</f>
        <v>-0.0</v>
      </c>
      <c r="BTZ55" s="5">
        <f>-IFERROR('4. NPV'!BUA24/'4. NPV'!BUA$8,0)</f>
        <v>-0.0</v>
      </c>
      <c r="BUA55" s="5">
        <f>-IFERROR('4. NPV'!BUB24/'4. NPV'!BUB$8,0)</f>
        <v>-0.0</v>
      </c>
      <c r="BUB55" s="5">
        <f>-IFERROR('4. NPV'!BUC24/'4. NPV'!BUC$8,0)</f>
        <v>-0.0</v>
      </c>
      <c r="BUC55" s="5">
        <f>-IFERROR('4. NPV'!BUD24/'4. NPV'!BUD$8,0)</f>
        <v>-0.0</v>
      </c>
      <c r="BUD55" s="5">
        <f>-IFERROR('4. NPV'!BUE24/'4. NPV'!BUE$8,0)</f>
        <v>-0.0</v>
      </c>
      <c r="BUE55" s="5">
        <f>-IFERROR('4. NPV'!BUF24/'4. NPV'!BUF$8,0)</f>
        <v>-0.0</v>
      </c>
      <c r="BUF55" s="5">
        <f>-IFERROR('4. NPV'!BUG24/'4. NPV'!BUG$8,0)</f>
        <v>-0.0</v>
      </c>
      <c r="BUG55" s="5">
        <f>-IFERROR('4. NPV'!BUH24/'4. NPV'!BUH$8,0)</f>
        <v>-0.0</v>
      </c>
      <c r="BUH55" s="5">
        <f>-IFERROR('4. NPV'!BUI24/'4. NPV'!BUI$8,0)</f>
        <v>-0.0</v>
      </c>
      <c r="BUI55" s="5">
        <f>-IFERROR('4. NPV'!BUJ24/'4. NPV'!BUJ$8,0)</f>
        <v>-0.0</v>
      </c>
      <c r="BUJ55" s="5">
        <f>-IFERROR('4. NPV'!BUK24/'4. NPV'!BUK$8,0)</f>
        <v>-0.0</v>
      </c>
      <c r="BUK55" s="5">
        <f>-IFERROR('4. NPV'!BUL24/'4. NPV'!BUL$8,0)</f>
        <v>-0.0</v>
      </c>
      <c r="BUL55" s="5">
        <f>-IFERROR('4. NPV'!BUM24/'4. NPV'!BUM$8,0)</f>
        <v>-0.0</v>
      </c>
      <c r="BUM55" s="5">
        <f>-IFERROR('4. NPV'!BUN24/'4. NPV'!BUN$8,0)</f>
        <v>-0.0</v>
      </c>
      <c r="BUN55" s="5">
        <f>-IFERROR('4. NPV'!BUO24/'4. NPV'!BUO$8,0)</f>
        <v>-0.0</v>
      </c>
      <c r="BUO55" s="5">
        <f>-IFERROR('4. NPV'!BUP24/'4. NPV'!BUP$8,0)</f>
        <v>-0.0</v>
      </c>
      <c r="BUP55" s="5">
        <f>-IFERROR('4. NPV'!BUQ24/'4. NPV'!BUQ$8,0)</f>
        <v>-0.0</v>
      </c>
      <c r="BUQ55" s="5">
        <f>-IFERROR('4. NPV'!BUR24/'4. NPV'!BUR$8,0)</f>
        <v>-0.0</v>
      </c>
      <c r="BUR55" s="5">
        <f>-IFERROR('4. NPV'!BUS24/'4. NPV'!BUS$8,0)</f>
        <v>-0.0</v>
      </c>
      <c r="BUS55" s="5">
        <f>-IFERROR('4. NPV'!BUT24/'4. NPV'!BUT$8,0)</f>
        <v>-0.0</v>
      </c>
      <c r="BUT55" s="5">
        <f>-IFERROR('4. NPV'!BUU24/'4. NPV'!BUU$8,0)</f>
        <v>-0.0</v>
      </c>
      <c r="BUU55" s="5">
        <f>-IFERROR('4. NPV'!BUV24/'4. NPV'!BUV$8,0)</f>
        <v>-0.0</v>
      </c>
      <c r="BUV55" s="5">
        <f>-IFERROR('4. NPV'!BUW24/'4. NPV'!BUW$8,0)</f>
        <v>-0.0</v>
      </c>
      <c r="BUW55" s="5">
        <f>-IFERROR('4. NPV'!BUX24/'4. NPV'!BUX$8,0)</f>
        <v>-0.0</v>
      </c>
      <c r="BUX55" s="5">
        <f>-IFERROR('4. NPV'!BUY24/'4. NPV'!BUY$8,0)</f>
        <v>-0.0</v>
      </c>
      <c r="BUY55" s="5">
        <f>-IFERROR('4. NPV'!BUZ24/'4. NPV'!BUZ$8,0)</f>
        <v>-0.0</v>
      </c>
      <c r="BUZ55" s="5">
        <f>-IFERROR('4. NPV'!BVA24/'4. NPV'!BVA$8,0)</f>
        <v>-0.0</v>
      </c>
      <c r="BVA55" s="5">
        <f>-IFERROR('4. NPV'!BVB24/'4. NPV'!BVB$8,0)</f>
        <v>-0.0</v>
      </c>
      <c r="BVB55" s="5">
        <f>-IFERROR('4. NPV'!BVC24/'4. NPV'!BVC$8,0)</f>
        <v>-0.0</v>
      </c>
      <c r="BVC55" s="5">
        <f>-IFERROR('4. NPV'!BVD24/'4. NPV'!BVD$8,0)</f>
        <v>-0.0</v>
      </c>
      <c r="BVD55" s="5">
        <f>-IFERROR('4. NPV'!BVE24/'4. NPV'!BVE$8,0)</f>
        <v>-0.0</v>
      </c>
      <c r="BVE55" s="5">
        <f>-IFERROR('4. NPV'!BVF24/'4. NPV'!BVF$8,0)</f>
        <v>-0.0</v>
      </c>
      <c r="BVF55" s="5">
        <f>-IFERROR('4. NPV'!BVG24/'4. NPV'!BVG$8,0)</f>
        <v>-0.0</v>
      </c>
      <c r="BVG55" s="5">
        <f>-IFERROR('4. NPV'!BVH24/'4. NPV'!BVH$8,0)</f>
        <v>-0.0</v>
      </c>
      <c r="BVH55" s="5">
        <f>-IFERROR('4. NPV'!BVI24/'4. NPV'!BVI$8,0)</f>
        <v>-0.0</v>
      </c>
      <c r="BVI55" s="5">
        <f>-IFERROR('4. NPV'!BVJ24/'4. NPV'!BVJ$8,0)</f>
        <v>-0.0</v>
      </c>
      <c r="BVJ55" s="5">
        <f>-IFERROR('4. NPV'!BVK24/'4. NPV'!BVK$8,0)</f>
        <v>-0.0</v>
      </c>
      <c r="BVK55" s="5">
        <f>-IFERROR('4. NPV'!BVL24/'4. NPV'!BVL$8,0)</f>
        <v>-0.0</v>
      </c>
      <c r="BVL55" s="5">
        <f>-IFERROR('4. NPV'!BVM24/'4. NPV'!BVM$8,0)</f>
        <v>-0.0</v>
      </c>
      <c r="BVM55" s="5">
        <f>-IFERROR('4. NPV'!BVN24/'4. NPV'!BVN$8,0)</f>
        <v>-0.0</v>
      </c>
      <c r="BVN55" s="5">
        <f>-IFERROR('4. NPV'!BVO24/'4. NPV'!BVO$8,0)</f>
        <v>-0.0</v>
      </c>
      <c r="BVO55" s="5">
        <f>-IFERROR('4. NPV'!BVP24/'4. NPV'!BVP$8,0)</f>
        <v>-0.0</v>
      </c>
      <c r="BVP55" s="5">
        <f>-IFERROR('4. NPV'!BVQ24/'4. NPV'!BVQ$8,0)</f>
        <v>-0.0</v>
      </c>
      <c r="BVQ55" s="5">
        <f>-IFERROR('4. NPV'!BVR24/'4. NPV'!BVR$8,0)</f>
        <v>-0.0</v>
      </c>
      <c r="BVR55" s="5">
        <f>-IFERROR('4. NPV'!BVS24/'4. NPV'!BVS$8,0)</f>
        <v>-0.0</v>
      </c>
      <c r="BVS55" s="5">
        <f>-IFERROR('4. NPV'!BVT24/'4. NPV'!BVT$8,0)</f>
        <v>-0.0</v>
      </c>
      <c r="BVT55" s="5">
        <f>-IFERROR('4. NPV'!BVU24/'4. NPV'!BVU$8,0)</f>
        <v>-0.0</v>
      </c>
      <c r="BVU55" s="5">
        <f>-IFERROR('4. NPV'!BVV24/'4. NPV'!BVV$8,0)</f>
        <v>-0.0</v>
      </c>
      <c r="BVV55" s="5">
        <f>-IFERROR('4. NPV'!BVW24/'4. NPV'!BVW$8,0)</f>
        <v>-0.0</v>
      </c>
      <c r="BVW55" s="5">
        <f>-IFERROR('4. NPV'!BVX24/'4. NPV'!BVX$8,0)</f>
        <v>-0.0</v>
      </c>
      <c r="BVX55" s="5">
        <f>-IFERROR('4. NPV'!BVY24/'4. NPV'!BVY$8,0)</f>
        <v>-0.0</v>
      </c>
      <c r="BVY55" s="5">
        <f>-IFERROR('4. NPV'!BVZ24/'4. NPV'!BVZ$8,0)</f>
        <v>-0.0</v>
      </c>
      <c r="BVZ55" s="5">
        <f>-IFERROR('4. NPV'!BWA24/'4. NPV'!BWA$8,0)</f>
        <v>-0.0</v>
      </c>
      <c r="BWA55" s="5">
        <f>-IFERROR('4. NPV'!BWB24/'4. NPV'!BWB$8,0)</f>
        <v>-0.0</v>
      </c>
      <c r="BWB55" s="5">
        <f>-IFERROR('4. NPV'!BWC24/'4. NPV'!BWC$8,0)</f>
        <v>-0.0</v>
      </c>
      <c r="BWC55" s="5">
        <f>-IFERROR('4. NPV'!BWD24/'4. NPV'!BWD$8,0)</f>
        <v>-0.0</v>
      </c>
      <c r="BWD55" s="5">
        <f>-IFERROR('4. NPV'!BWE24/'4. NPV'!BWE$8,0)</f>
        <v>-0.0</v>
      </c>
      <c r="BWE55" s="5">
        <f>-IFERROR('4. NPV'!BWF24/'4. NPV'!BWF$8,0)</f>
        <v>-0.0</v>
      </c>
      <c r="BWF55" s="5">
        <f>-IFERROR('4. NPV'!BWG24/'4. NPV'!BWG$8,0)</f>
        <v>-0.0</v>
      </c>
      <c r="BWG55" s="5">
        <f>-IFERROR('4. NPV'!BWH24/'4. NPV'!BWH$8,0)</f>
        <v>-0.0</v>
      </c>
      <c r="BWH55" s="5">
        <f>-IFERROR('4. NPV'!BWI24/'4. NPV'!BWI$8,0)</f>
        <v>-0.0</v>
      </c>
      <c r="BWI55" s="5">
        <f>-IFERROR('4. NPV'!BWJ24/'4. NPV'!BWJ$8,0)</f>
        <v>-0.0</v>
      </c>
      <c r="BWJ55" s="5">
        <f>-IFERROR('4. NPV'!BWK24/'4. NPV'!BWK$8,0)</f>
        <v>-0.0</v>
      </c>
      <c r="BWK55" s="5">
        <f>-IFERROR('4. NPV'!BWL24/'4. NPV'!BWL$8,0)</f>
        <v>-0.0</v>
      </c>
      <c r="BWL55" s="5">
        <f>-IFERROR('4. NPV'!BWM24/'4. NPV'!BWM$8,0)</f>
        <v>-0.0</v>
      </c>
      <c r="BWM55" s="5">
        <f>-IFERROR('4. NPV'!BWN24/'4. NPV'!BWN$8,0)</f>
        <v>-0.0</v>
      </c>
      <c r="BWN55" s="5">
        <f>-IFERROR('4. NPV'!BWO24/'4. NPV'!BWO$8,0)</f>
        <v>-0.0</v>
      </c>
      <c r="BWO55" s="5">
        <f>-IFERROR('4. NPV'!BWP24/'4. NPV'!BWP$8,0)</f>
        <v>-0.0</v>
      </c>
      <c r="BWP55" s="5">
        <f>-IFERROR('4. NPV'!BWQ24/'4. NPV'!BWQ$8,0)</f>
        <v>-0.0</v>
      </c>
      <c r="BWQ55" s="5">
        <f>-IFERROR('4. NPV'!BWR24/'4. NPV'!BWR$8,0)</f>
        <v>-0.0</v>
      </c>
      <c r="BWR55" s="5">
        <f>-IFERROR('4. NPV'!BWS24/'4. NPV'!BWS$8,0)</f>
        <v>-0.0</v>
      </c>
      <c r="BWS55" s="5">
        <f>-IFERROR('4. NPV'!BWT24/'4. NPV'!BWT$8,0)</f>
        <v>-0.0</v>
      </c>
      <c r="BWT55" s="5">
        <f>-IFERROR('4. NPV'!BWU24/'4. NPV'!BWU$8,0)</f>
        <v>-0.0</v>
      </c>
      <c r="BWU55" s="5">
        <f>-IFERROR('4. NPV'!BWV24/'4. NPV'!BWV$8,0)</f>
        <v>-0.0</v>
      </c>
      <c r="BWV55" s="5">
        <f>-IFERROR('4. NPV'!BWW24/'4. NPV'!BWW$8,0)</f>
        <v>-0.0</v>
      </c>
      <c r="BWW55" s="5">
        <f>-IFERROR('4. NPV'!BWX24/'4. NPV'!BWX$8,0)</f>
        <v>-0.0</v>
      </c>
      <c r="BWX55" s="5">
        <f>-IFERROR('4. NPV'!BWY24/'4. NPV'!BWY$8,0)</f>
        <v>-0.0</v>
      </c>
      <c r="BWY55" s="5">
        <f>-IFERROR('4. NPV'!BWZ24/'4. NPV'!BWZ$8,0)</f>
        <v>-0.0</v>
      </c>
      <c r="BWZ55" s="5">
        <f>-IFERROR('4. NPV'!BXA24/'4. NPV'!BXA$8,0)</f>
        <v>-0.0</v>
      </c>
      <c r="BXA55" s="5">
        <f>-IFERROR('4. NPV'!BXB24/'4. NPV'!BXB$8,0)</f>
        <v>-0.0</v>
      </c>
      <c r="BXB55" s="5">
        <f>-IFERROR('4. NPV'!BXC24/'4. NPV'!BXC$8,0)</f>
        <v>-0.0</v>
      </c>
      <c r="BXC55" s="5">
        <f>-IFERROR('4. NPV'!BXD24/'4. NPV'!BXD$8,0)</f>
        <v>-0.0</v>
      </c>
      <c r="BXD55" s="5">
        <f>-IFERROR('4. NPV'!BXE24/'4. NPV'!BXE$8,0)</f>
        <v>-0.0</v>
      </c>
      <c r="BXE55" s="5">
        <f>-IFERROR('4. NPV'!BXF24/'4. NPV'!BXF$8,0)</f>
        <v>-0.0</v>
      </c>
      <c r="BXF55" s="5">
        <f>-IFERROR('4. NPV'!BXG24/'4. NPV'!BXG$8,0)</f>
        <v>-0.0</v>
      </c>
      <c r="BXG55" s="5">
        <f>-IFERROR('4. NPV'!BXH24/'4. NPV'!BXH$8,0)</f>
        <v>-0.0</v>
      </c>
      <c r="BXH55" s="5">
        <f>-IFERROR('4. NPV'!BXI24/'4. NPV'!BXI$8,0)</f>
        <v>-0.0</v>
      </c>
      <c r="BXI55" s="5">
        <f>-IFERROR('4. NPV'!BXJ24/'4. NPV'!BXJ$8,0)</f>
        <v>-0.0</v>
      </c>
      <c r="BXJ55" s="5">
        <f>-IFERROR('4. NPV'!BXK24/'4. NPV'!BXK$8,0)</f>
        <v>-0.0</v>
      </c>
      <c r="BXK55" s="5">
        <f>-IFERROR('4. NPV'!BXL24/'4. NPV'!BXL$8,0)</f>
        <v>-0.0</v>
      </c>
      <c r="BXL55" s="5">
        <f>-IFERROR('4. NPV'!BXM24/'4. NPV'!BXM$8,0)</f>
        <v>-0.0</v>
      </c>
      <c r="BXM55" s="5">
        <f>-IFERROR('4. NPV'!BXN24/'4. NPV'!BXN$8,0)</f>
        <v>-0.0</v>
      </c>
      <c r="BXN55" s="5">
        <f>-IFERROR('4. NPV'!BXO24/'4. NPV'!BXO$8,0)</f>
        <v>-0.0</v>
      </c>
      <c r="BXO55" s="5">
        <f>-IFERROR('4. NPV'!BXP24/'4. NPV'!BXP$8,0)</f>
        <v>-0.0</v>
      </c>
      <c r="BXP55" s="5">
        <f>-IFERROR('4. NPV'!BXQ24/'4. NPV'!BXQ$8,0)</f>
        <v>-0.0</v>
      </c>
      <c r="BXQ55" s="5">
        <f>-IFERROR('4. NPV'!BXR24/'4. NPV'!BXR$8,0)</f>
        <v>-0.0</v>
      </c>
      <c r="BXR55" s="5">
        <f>-IFERROR('4. NPV'!BXS24/'4. NPV'!BXS$8,0)</f>
        <v>-0.0</v>
      </c>
      <c r="BXS55" s="5">
        <f>-IFERROR('4. NPV'!BXT24/'4. NPV'!BXT$8,0)</f>
        <v>-0.0</v>
      </c>
      <c r="BXT55" s="5">
        <f>-IFERROR('4. NPV'!BXU24/'4. NPV'!BXU$8,0)</f>
        <v>-0.0</v>
      </c>
      <c r="BXU55" s="5">
        <f>-IFERROR('4. NPV'!BXV24/'4. NPV'!BXV$8,0)</f>
        <v>-0.0</v>
      </c>
      <c r="BXV55" s="5">
        <f>-IFERROR('4. NPV'!BXW24/'4. NPV'!BXW$8,0)</f>
        <v>-0.0</v>
      </c>
      <c r="BXW55" s="5">
        <f>-IFERROR('4. NPV'!BXX24/'4. NPV'!BXX$8,0)</f>
        <v>-0.0</v>
      </c>
      <c r="BXX55" s="5">
        <f>-IFERROR('4. NPV'!BXY24/'4. NPV'!BXY$8,0)</f>
        <v>-0.0</v>
      </c>
      <c r="BXY55" s="5">
        <f>-IFERROR('4. NPV'!BXZ24/'4. NPV'!BXZ$8,0)</f>
        <v>-0.0</v>
      </c>
      <c r="BXZ55" s="5">
        <f>-IFERROR('4. NPV'!BYA24/'4. NPV'!BYA$8,0)</f>
        <v>-0.0</v>
      </c>
      <c r="BYA55" s="5">
        <f>-IFERROR('4. NPV'!BYB24/'4. NPV'!BYB$8,0)</f>
        <v>-0.0</v>
      </c>
      <c r="BYB55" s="5">
        <f>-IFERROR('4. NPV'!BYC24/'4. NPV'!BYC$8,0)</f>
        <v>-0.0</v>
      </c>
      <c r="BYC55" s="5">
        <f>-IFERROR('4. NPV'!BYD24/'4. NPV'!BYD$8,0)</f>
        <v>-0.0</v>
      </c>
      <c r="BYD55" s="5">
        <f>-IFERROR('4. NPV'!BYE24/'4. NPV'!BYE$8,0)</f>
        <v>-0.0</v>
      </c>
      <c r="BYE55" s="5">
        <f>-IFERROR('4. NPV'!BYF24/'4. NPV'!BYF$8,0)</f>
        <v>-0.0</v>
      </c>
      <c r="BYF55" s="5">
        <f>-IFERROR('4. NPV'!BYG24/'4. NPV'!BYG$8,0)</f>
        <v>-0.0</v>
      </c>
      <c r="BYG55" s="5">
        <f>-IFERROR('4. NPV'!BYH24/'4. NPV'!BYH$8,0)</f>
        <v>-0.0</v>
      </c>
      <c r="BYH55" s="5">
        <f>-IFERROR('4. NPV'!BYI24/'4. NPV'!BYI$8,0)</f>
        <v>-0.0</v>
      </c>
      <c r="BYI55" s="5">
        <f>-IFERROR('4. NPV'!BYJ24/'4. NPV'!BYJ$8,0)</f>
        <v>-0.0</v>
      </c>
      <c r="BYJ55" s="5">
        <f>-IFERROR('4. NPV'!BYK24/'4. NPV'!BYK$8,0)</f>
        <v>-0.0</v>
      </c>
      <c r="BYK55" s="5">
        <f>-IFERROR('4. NPV'!BYL24/'4. NPV'!BYL$8,0)</f>
        <v>-0.0</v>
      </c>
      <c r="BYL55" s="5">
        <f>-IFERROR('4. NPV'!BYM24/'4. NPV'!BYM$8,0)</f>
        <v>-0.0</v>
      </c>
      <c r="BYM55" s="5">
        <f>-IFERROR('4. NPV'!BYN24/'4. NPV'!BYN$8,0)</f>
        <v>-0.0</v>
      </c>
      <c r="BYN55" s="5">
        <f>-IFERROR('4. NPV'!BYO24/'4. NPV'!BYO$8,0)</f>
        <v>-0.0</v>
      </c>
      <c r="BYO55" s="5">
        <f>-IFERROR('4. NPV'!BYP24/'4. NPV'!BYP$8,0)</f>
        <v>-0.0</v>
      </c>
      <c r="BYP55" s="5">
        <f>-IFERROR('4. NPV'!BYQ24/'4. NPV'!BYQ$8,0)</f>
        <v>-0.0</v>
      </c>
      <c r="BYQ55" s="5">
        <f>-IFERROR('4. NPV'!BYR24/'4. NPV'!BYR$8,0)</f>
        <v>-0.0</v>
      </c>
      <c r="BYR55" s="5">
        <f>-IFERROR('4. NPV'!BYS24/'4. NPV'!BYS$8,0)</f>
        <v>-0.0</v>
      </c>
      <c r="BYS55" s="5">
        <f>-IFERROR('4. NPV'!BYT24/'4. NPV'!BYT$8,0)</f>
        <v>-0.0</v>
      </c>
      <c r="BYT55" s="5">
        <f>-IFERROR('4. NPV'!BYU24/'4. NPV'!BYU$8,0)</f>
        <v>-0.0</v>
      </c>
      <c r="BYU55" s="5">
        <f>-IFERROR('4. NPV'!BYV24/'4. NPV'!BYV$8,0)</f>
        <v>-0.0</v>
      </c>
      <c r="BYV55" s="5">
        <f>-IFERROR('4. NPV'!BYW24/'4. NPV'!BYW$8,0)</f>
        <v>-0.0</v>
      </c>
      <c r="BYW55" s="5">
        <f>-IFERROR('4. NPV'!BYX24/'4. NPV'!BYX$8,0)</f>
        <v>-0.0</v>
      </c>
      <c r="BYX55" s="5">
        <f>-IFERROR('4. NPV'!BYY24/'4. NPV'!BYY$8,0)</f>
        <v>-0.0</v>
      </c>
      <c r="BYY55" s="5">
        <f>-IFERROR('4. NPV'!BYZ24/'4. NPV'!BYZ$8,0)</f>
        <v>-0.0</v>
      </c>
      <c r="BYZ55" s="5">
        <f>-IFERROR('4. NPV'!BZA24/'4. NPV'!BZA$8,0)</f>
        <v>-0.0</v>
      </c>
      <c r="BZA55" s="5">
        <f>-IFERROR('4. NPV'!BZB24/'4. NPV'!BZB$8,0)</f>
        <v>-0.0</v>
      </c>
      <c r="BZB55" s="5">
        <f>-IFERROR('4. NPV'!BZC24/'4. NPV'!BZC$8,0)</f>
        <v>-0.0</v>
      </c>
      <c r="BZC55" s="5">
        <f>-IFERROR('4. NPV'!BZD24/'4. NPV'!BZD$8,0)</f>
        <v>-0.0</v>
      </c>
      <c r="BZD55" s="5">
        <f>-IFERROR('4. NPV'!BZE24/'4. NPV'!BZE$8,0)</f>
        <v>-0.0</v>
      </c>
      <c r="BZE55" s="5">
        <f>-IFERROR('4. NPV'!BZF24/'4. NPV'!BZF$8,0)</f>
        <v>-0.0</v>
      </c>
      <c r="BZF55" s="5">
        <f>-IFERROR('4. NPV'!BZG24/'4. NPV'!BZG$8,0)</f>
        <v>-0.0</v>
      </c>
      <c r="BZG55" s="5">
        <f>-IFERROR('4. NPV'!BZH24/'4. NPV'!BZH$8,0)</f>
        <v>-0.0</v>
      </c>
      <c r="BZH55" s="5">
        <f>-IFERROR('4. NPV'!BZI24/'4. NPV'!BZI$8,0)</f>
        <v>-0.0</v>
      </c>
      <c r="BZI55" s="5">
        <f>-IFERROR('4. NPV'!BZJ24/'4. NPV'!BZJ$8,0)</f>
        <v>-0.0</v>
      </c>
      <c r="BZJ55" s="5">
        <f>-IFERROR('4. NPV'!BZK24/'4. NPV'!BZK$8,0)</f>
        <v>-0.0</v>
      </c>
      <c r="BZK55" s="5">
        <f>-IFERROR('4. NPV'!BZL24/'4. NPV'!BZL$8,0)</f>
        <v>-0.0</v>
      </c>
      <c r="BZL55" s="5">
        <f>-IFERROR('4. NPV'!BZM24/'4. NPV'!BZM$8,0)</f>
        <v>-0.0</v>
      </c>
      <c r="BZM55" s="5">
        <f>-IFERROR('4. NPV'!BZN24/'4. NPV'!BZN$8,0)</f>
        <v>-0.0</v>
      </c>
      <c r="BZN55" s="5">
        <f>-IFERROR('4. NPV'!BZO24/'4. NPV'!BZO$8,0)</f>
        <v>-0.0</v>
      </c>
      <c r="BZO55" s="5">
        <f>-IFERROR('4. NPV'!BZP24/'4. NPV'!BZP$8,0)</f>
        <v>-0.0</v>
      </c>
      <c r="BZP55" s="5">
        <f>-IFERROR('4. NPV'!BZQ24/'4. NPV'!BZQ$8,0)</f>
        <v>-0.0</v>
      </c>
      <c r="BZQ55" s="5">
        <f>-IFERROR('4. NPV'!BZR24/'4. NPV'!BZR$8,0)</f>
        <v>-0.0</v>
      </c>
      <c r="BZR55" s="5">
        <f>-IFERROR('4. NPV'!BZS24/'4. NPV'!BZS$8,0)</f>
        <v>-0.0</v>
      </c>
      <c r="BZS55" s="5">
        <f>-IFERROR('4. NPV'!BZT24/'4. NPV'!BZT$8,0)</f>
        <v>-0.0</v>
      </c>
      <c r="BZT55" s="5">
        <f>-IFERROR('4. NPV'!BZU24/'4. NPV'!BZU$8,0)</f>
        <v>-0.0</v>
      </c>
      <c r="BZU55" s="5">
        <f>-IFERROR('4. NPV'!BZV24/'4. NPV'!BZV$8,0)</f>
        <v>-0.0</v>
      </c>
      <c r="BZV55" s="5">
        <f>-IFERROR('4. NPV'!BZW24/'4. NPV'!BZW$8,0)</f>
        <v>-0.0</v>
      </c>
      <c r="BZW55" s="5">
        <f>-IFERROR('4. NPV'!BZX24/'4. NPV'!BZX$8,0)</f>
        <v>-0.0</v>
      </c>
      <c r="BZX55" s="5">
        <f>-IFERROR('4. NPV'!BZY24/'4. NPV'!BZY$8,0)</f>
        <v>-0.0</v>
      </c>
      <c r="BZY55" s="5">
        <f>-IFERROR('4. NPV'!BZZ24/'4. NPV'!BZZ$8,0)</f>
        <v>-0.0</v>
      </c>
      <c r="BZZ55" s="5">
        <f>-IFERROR('4. NPV'!CAA24/'4. NPV'!CAA$8,0)</f>
        <v>-0.0</v>
      </c>
      <c r="CAA55" s="5">
        <f>-IFERROR('4. NPV'!CAB24/'4. NPV'!CAB$8,0)</f>
        <v>-0.0</v>
      </c>
      <c r="CAB55" s="5">
        <f>-IFERROR('4. NPV'!CAC24/'4. NPV'!CAC$8,0)</f>
        <v>-0.0</v>
      </c>
      <c r="CAC55" s="5">
        <f>-IFERROR('4. NPV'!CAD24/'4. NPV'!CAD$8,0)</f>
        <v>-0.0</v>
      </c>
      <c r="CAD55" s="5">
        <f>-IFERROR('4. NPV'!CAE24/'4. NPV'!CAE$8,0)</f>
        <v>-0.0</v>
      </c>
      <c r="CAE55" s="5">
        <f>-IFERROR('4. NPV'!CAF24/'4. NPV'!CAF$8,0)</f>
        <v>-0.0</v>
      </c>
      <c r="CAF55" s="5">
        <f>-IFERROR('4. NPV'!CAG24/'4. NPV'!CAG$8,0)</f>
        <v>-0.0</v>
      </c>
      <c r="CAG55" s="5">
        <f>-IFERROR('4. NPV'!CAH24/'4. NPV'!CAH$8,0)</f>
        <v>-0.0</v>
      </c>
      <c r="CAH55" s="5">
        <f>-IFERROR('4. NPV'!CAI24/'4. NPV'!CAI$8,0)</f>
        <v>-0.0</v>
      </c>
      <c r="CAI55" s="5">
        <f>-IFERROR('4. NPV'!CAJ24/'4. NPV'!CAJ$8,0)</f>
        <v>-0.0</v>
      </c>
      <c r="CAJ55" s="5">
        <f>-IFERROR('4. NPV'!CAK24/'4. NPV'!CAK$8,0)</f>
        <v>-0.0</v>
      </c>
      <c r="CAK55" s="5">
        <f>-IFERROR('4. NPV'!CAL24/'4. NPV'!CAL$8,0)</f>
        <v>-0.0</v>
      </c>
      <c r="CAL55" s="5">
        <f>-IFERROR('4. NPV'!CAM24/'4. NPV'!CAM$8,0)</f>
        <v>-0.0</v>
      </c>
      <c r="CAM55" s="5">
        <f>-IFERROR('4. NPV'!CAN24/'4. NPV'!CAN$8,0)</f>
        <v>-0.0</v>
      </c>
      <c r="CAN55" s="5">
        <f>-IFERROR('4. NPV'!CAO24/'4. NPV'!CAO$8,0)</f>
        <v>-0.0</v>
      </c>
      <c r="CAO55" s="5">
        <f>-IFERROR('4. NPV'!CAP24/'4. NPV'!CAP$8,0)</f>
        <v>-0.0</v>
      </c>
      <c r="CAP55" s="5">
        <f>-IFERROR('4. NPV'!CAQ24/'4. NPV'!CAQ$8,0)</f>
        <v>-0.0</v>
      </c>
      <c r="CAQ55" s="5">
        <f>-IFERROR('4. NPV'!CAR24/'4. NPV'!CAR$8,0)</f>
        <v>-0.0</v>
      </c>
      <c r="CAR55" s="5">
        <f>-IFERROR('4. NPV'!CAS24/'4. NPV'!CAS$8,0)</f>
        <v>-0.0</v>
      </c>
      <c r="CAS55" s="5">
        <f>-IFERROR('4. NPV'!CAT24/'4. NPV'!CAT$8,0)</f>
        <v>-0.0</v>
      </c>
      <c r="CAT55" s="5">
        <f>-IFERROR('4. NPV'!CAU24/'4. NPV'!CAU$8,0)</f>
        <v>-0.0</v>
      </c>
      <c r="CAU55" s="5">
        <f>-IFERROR('4. NPV'!CAV24/'4. NPV'!CAV$8,0)</f>
        <v>-0.0</v>
      </c>
      <c r="CAV55" s="5">
        <f>-IFERROR('4. NPV'!CAW24/'4. NPV'!CAW$8,0)</f>
        <v>-0.0</v>
      </c>
      <c r="CAW55" s="5">
        <f>-IFERROR('4. NPV'!CAX24/'4. NPV'!CAX$8,0)</f>
        <v>-0.0</v>
      </c>
      <c r="CAX55" s="5">
        <f>-IFERROR('4. NPV'!CAY24/'4. NPV'!CAY$8,0)</f>
        <v>-0.0</v>
      </c>
      <c r="CAY55" s="5">
        <f>-IFERROR('4. NPV'!CAZ24/'4. NPV'!CAZ$8,0)</f>
        <v>-0.0</v>
      </c>
      <c r="CAZ55" s="5">
        <f>-IFERROR('4. NPV'!CBA24/'4. NPV'!CBA$8,0)</f>
        <v>-0.0</v>
      </c>
      <c r="CBA55" s="5">
        <f>-IFERROR('4. NPV'!CBB24/'4. NPV'!CBB$8,0)</f>
        <v>-0.0</v>
      </c>
      <c r="CBB55" s="5">
        <f>-IFERROR('4. NPV'!CBC24/'4. NPV'!CBC$8,0)</f>
        <v>-0.0</v>
      </c>
      <c r="CBC55" s="5">
        <f>-IFERROR('4. NPV'!CBD24/'4. NPV'!CBD$8,0)</f>
        <v>-0.0</v>
      </c>
      <c r="CBD55" s="5">
        <f>-IFERROR('4. NPV'!CBE24/'4. NPV'!CBE$8,0)</f>
        <v>-0.0</v>
      </c>
      <c r="CBE55" s="5">
        <f>-IFERROR('4. NPV'!CBF24/'4. NPV'!CBF$8,0)</f>
        <v>-0.0</v>
      </c>
      <c r="CBF55" s="5">
        <f>-IFERROR('4. NPV'!CBG24/'4. NPV'!CBG$8,0)</f>
        <v>-0.0</v>
      </c>
      <c r="CBG55" s="5">
        <f>-IFERROR('4. NPV'!CBH24/'4. NPV'!CBH$8,0)</f>
        <v>-0.0</v>
      </c>
      <c r="CBH55" s="5">
        <f>-IFERROR('4. NPV'!CBI24/'4. NPV'!CBI$8,0)</f>
        <v>-0.0</v>
      </c>
      <c r="CBI55" s="5">
        <f>-IFERROR('4. NPV'!CBJ24/'4. NPV'!CBJ$8,0)</f>
        <v>-0.0</v>
      </c>
      <c r="CBJ55" s="5">
        <f>-IFERROR('4. NPV'!CBK24/'4. NPV'!CBK$8,0)</f>
        <v>-0.0</v>
      </c>
      <c r="CBK55" s="5">
        <f>-IFERROR('4. NPV'!CBL24/'4. NPV'!CBL$8,0)</f>
        <v>-0.0</v>
      </c>
      <c r="CBL55" s="5">
        <f>-IFERROR('4. NPV'!CBM24/'4. NPV'!CBM$8,0)</f>
        <v>-0.0</v>
      </c>
      <c r="CBM55" s="5">
        <f>-IFERROR('4. NPV'!CBN24/'4. NPV'!CBN$8,0)</f>
        <v>-0.0</v>
      </c>
      <c r="CBN55" s="5">
        <f>-IFERROR('4. NPV'!CBO24/'4. NPV'!CBO$8,0)</f>
        <v>-0.0</v>
      </c>
      <c r="CBO55" s="5">
        <f>-IFERROR('4. NPV'!CBP24/'4. NPV'!CBP$8,0)</f>
        <v>-0.0</v>
      </c>
      <c r="CBP55" s="5">
        <f>-IFERROR('4. NPV'!CBQ24/'4. NPV'!CBQ$8,0)</f>
        <v>-0.0</v>
      </c>
      <c r="CBQ55" s="5">
        <f>-IFERROR('4. NPV'!CBR24/'4. NPV'!CBR$8,0)</f>
        <v>-0.0</v>
      </c>
      <c r="CBR55" s="5">
        <f>-IFERROR('4. NPV'!CBS24/'4. NPV'!CBS$8,0)</f>
        <v>-0.0</v>
      </c>
      <c r="CBS55" s="5">
        <f>-IFERROR('4. NPV'!CBT24/'4. NPV'!CBT$8,0)</f>
        <v>-0.0</v>
      </c>
      <c r="CBT55" s="5">
        <f>-IFERROR('4. NPV'!CBU24/'4. NPV'!CBU$8,0)</f>
        <v>-0.0</v>
      </c>
      <c r="CBU55" s="5">
        <f>-IFERROR('4. NPV'!CBV24/'4. NPV'!CBV$8,0)</f>
        <v>-0.0</v>
      </c>
      <c r="CBV55" s="5">
        <f>-IFERROR('4. NPV'!CBW24/'4. NPV'!CBW$8,0)</f>
        <v>-0.0</v>
      </c>
      <c r="CBW55" s="5">
        <f>-IFERROR('4. NPV'!CBX24/'4. NPV'!CBX$8,0)</f>
        <v>-0.0</v>
      </c>
      <c r="CBX55" s="5">
        <f>-IFERROR('4. NPV'!CBY24/'4. NPV'!CBY$8,0)</f>
        <v>-0.0</v>
      </c>
      <c r="CBY55" s="5">
        <f>-IFERROR('4. NPV'!CBZ24/'4. NPV'!CBZ$8,0)</f>
        <v>-0.0</v>
      </c>
      <c r="CBZ55" s="5">
        <f>-IFERROR('4. NPV'!CCA24/'4. NPV'!CCA$8,0)</f>
        <v>-0.0</v>
      </c>
      <c r="CCA55" s="5">
        <f>-IFERROR('4. NPV'!CCB24/'4. NPV'!CCB$8,0)</f>
        <v>-0.0</v>
      </c>
      <c r="CCB55" s="5">
        <f>-IFERROR('4. NPV'!CCC24/'4. NPV'!CCC$8,0)</f>
        <v>-0.0</v>
      </c>
      <c r="CCC55" s="5">
        <f>-IFERROR('4. NPV'!CCD24/'4. NPV'!CCD$8,0)</f>
        <v>-0.0</v>
      </c>
      <c r="CCD55" s="5">
        <f>-IFERROR('4. NPV'!CCE24/'4. NPV'!CCE$8,0)</f>
        <v>-0.0</v>
      </c>
      <c r="CCE55" s="5">
        <f>-IFERROR('4. NPV'!CCF24/'4. NPV'!CCF$8,0)</f>
        <v>-0.0</v>
      </c>
      <c r="CCF55" s="5">
        <f>-IFERROR('4. NPV'!CCG24/'4. NPV'!CCG$8,0)</f>
        <v>-0.0</v>
      </c>
      <c r="CCG55" s="5">
        <f>-IFERROR('4. NPV'!CCH24/'4. NPV'!CCH$8,0)</f>
        <v>-0.0</v>
      </c>
      <c r="CCH55" s="5">
        <f>-IFERROR('4. NPV'!CCI24/'4. NPV'!CCI$8,0)</f>
        <v>-0.0</v>
      </c>
      <c r="CCI55" s="5">
        <f>-IFERROR('4. NPV'!CCJ24/'4. NPV'!CCJ$8,0)</f>
        <v>-0.0</v>
      </c>
      <c r="CCJ55" s="5">
        <f>-IFERROR('4. NPV'!CCK24/'4. NPV'!CCK$8,0)</f>
        <v>-0.0</v>
      </c>
      <c r="CCK55" s="5">
        <f>-IFERROR('4. NPV'!CCL24/'4. NPV'!CCL$8,0)</f>
        <v>-0.0</v>
      </c>
      <c r="CCL55" s="5">
        <f>-IFERROR('4. NPV'!CCM24/'4. NPV'!CCM$8,0)</f>
        <v>-0.0</v>
      </c>
      <c r="CCM55" s="5">
        <f>-IFERROR('4. NPV'!CCN24/'4. NPV'!CCN$8,0)</f>
        <v>-0.0</v>
      </c>
      <c r="CCN55" s="5">
        <f>-IFERROR('4. NPV'!CCO24/'4. NPV'!CCO$8,0)</f>
        <v>-0.0</v>
      </c>
      <c r="CCO55" s="5">
        <f>-IFERROR('4. NPV'!CCP24/'4. NPV'!CCP$8,0)</f>
        <v>-0.0</v>
      </c>
      <c r="CCP55" s="5">
        <f>-IFERROR('4. NPV'!CCQ24/'4. NPV'!CCQ$8,0)</f>
        <v>-0.0</v>
      </c>
      <c r="CCQ55" s="5">
        <f>-IFERROR('4. NPV'!CCR24/'4. NPV'!CCR$8,0)</f>
        <v>-0.0</v>
      </c>
      <c r="CCR55" s="5">
        <f>-IFERROR('4. NPV'!CCS24/'4. NPV'!CCS$8,0)</f>
        <v>-0.0</v>
      </c>
      <c r="CCS55" s="5">
        <f>-IFERROR('4. NPV'!CCT24/'4. NPV'!CCT$8,0)</f>
        <v>-0.0</v>
      </c>
      <c r="CCT55" s="5">
        <f>-IFERROR('4. NPV'!CCU24/'4. NPV'!CCU$8,0)</f>
        <v>-0.0</v>
      </c>
      <c r="CCU55" s="5">
        <f>-IFERROR('4. NPV'!CCV24/'4. NPV'!CCV$8,0)</f>
        <v>-0.0</v>
      </c>
      <c r="CCV55" s="5">
        <f>-IFERROR('4. NPV'!CCW24/'4. NPV'!CCW$8,0)</f>
        <v>-0.0</v>
      </c>
      <c r="CCW55" s="5">
        <f>-IFERROR('4. NPV'!CCX24/'4. NPV'!CCX$8,0)</f>
        <v>-0.0</v>
      </c>
      <c r="CCX55" s="5">
        <f>-IFERROR('4. NPV'!CCY24/'4. NPV'!CCY$8,0)</f>
        <v>-0.0</v>
      </c>
      <c r="CCY55" s="5">
        <f>-IFERROR('4. NPV'!CCZ24/'4. NPV'!CCZ$8,0)</f>
        <v>-0.0</v>
      </c>
      <c r="CCZ55" s="5">
        <f>-IFERROR('4. NPV'!CDA24/'4. NPV'!CDA$8,0)</f>
        <v>-0.0</v>
      </c>
      <c r="CDA55" s="5">
        <f>-IFERROR('4. NPV'!CDB24/'4. NPV'!CDB$8,0)</f>
        <v>-0.0</v>
      </c>
      <c r="CDB55" s="5">
        <f>-IFERROR('4. NPV'!CDC24/'4. NPV'!CDC$8,0)</f>
        <v>-0.0</v>
      </c>
      <c r="CDC55" s="5">
        <f>-IFERROR('4. NPV'!CDD24/'4. NPV'!CDD$8,0)</f>
        <v>-0.0</v>
      </c>
      <c r="CDD55" s="5">
        <f>-IFERROR('4. NPV'!CDE24/'4. NPV'!CDE$8,0)</f>
        <v>-0.0</v>
      </c>
      <c r="CDE55" s="5">
        <f>-IFERROR('4. NPV'!CDF24/'4. NPV'!CDF$8,0)</f>
        <v>-0.0</v>
      </c>
      <c r="CDF55" s="5">
        <f>-IFERROR('4. NPV'!CDG24/'4. NPV'!CDG$8,0)</f>
        <v>-0.0</v>
      </c>
      <c r="CDG55" s="5">
        <f>-IFERROR('4. NPV'!CDH24/'4. NPV'!CDH$8,0)</f>
        <v>-0.0</v>
      </c>
      <c r="CDH55" s="5">
        <f>-IFERROR('4. NPV'!CDI24/'4. NPV'!CDI$8,0)</f>
        <v>-0.0</v>
      </c>
      <c r="CDI55" s="5">
        <f>-IFERROR('4. NPV'!CDJ24/'4. NPV'!CDJ$8,0)</f>
        <v>-0.0</v>
      </c>
      <c r="CDJ55" s="5">
        <f>-IFERROR('4. NPV'!CDK24/'4. NPV'!CDK$8,0)</f>
        <v>-0.0</v>
      </c>
      <c r="CDK55" s="5">
        <f>-IFERROR('4. NPV'!CDL24/'4. NPV'!CDL$8,0)</f>
        <v>-0.0</v>
      </c>
      <c r="CDL55" s="5">
        <f>-IFERROR('4. NPV'!CDM24/'4. NPV'!CDM$8,0)</f>
        <v>-0.0</v>
      </c>
      <c r="CDM55" s="5">
        <f>-IFERROR('4. NPV'!CDN24/'4. NPV'!CDN$8,0)</f>
        <v>-0.0</v>
      </c>
      <c r="CDN55" s="5">
        <f>-IFERROR('4. NPV'!CDO24/'4. NPV'!CDO$8,0)</f>
        <v>-0.0</v>
      </c>
      <c r="CDO55" s="5">
        <f>-IFERROR('4. NPV'!CDP24/'4. NPV'!CDP$8,0)</f>
        <v>-0.0</v>
      </c>
      <c r="CDP55" s="5">
        <f>-IFERROR('4. NPV'!CDQ24/'4. NPV'!CDQ$8,0)</f>
        <v>-0.0</v>
      </c>
      <c r="CDQ55" s="5">
        <f>-IFERROR('4. NPV'!CDR24/'4. NPV'!CDR$8,0)</f>
        <v>-0.0</v>
      </c>
      <c r="CDR55" s="5">
        <f>-IFERROR('4. NPV'!CDS24/'4. NPV'!CDS$8,0)</f>
        <v>-0.0</v>
      </c>
      <c r="CDS55" s="5">
        <f>-IFERROR('4. NPV'!CDT24/'4. NPV'!CDT$8,0)</f>
        <v>-0.0</v>
      </c>
      <c r="CDT55" s="5">
        <f>-IFERROR('4. NPV'!CDU24/'4. NPV'!CDU$8,0)</f>
        <v>-0.0</v>
      </c>
      <c r="CDU55" s="5">
        <f>-IFERROR('4. NPV'!CDV24/'4. NPV'!CDV$8,0)</f>
        <v>-0.0</v>
      </c>
      <c r="CDV55" s="5">
        <f>-IFERROR('4. NPV'!CDW24/'4. NPV'!CDW$8,0)</f>
        <v>-0.0</v>
      </c>
      <c r="CDW55" s="5">
        <f>-IFERROR('4. NPV'!CDX24/'4. NPV'!CDX$8,0)</f>
        <v>-0.0</v>
      </c>
      <c r="CDX55" s="5">
        <f>-IFERROR('4. NPV'!CDY24/'4. NPV'!CDY$8,0)</f>
        <v>-0.0</v>
      </c>
      <c r="CDY55" s="5">
        <f>-IFERROR('4. NPV'!CDZ24/'4. NPV'!CDZ$8,0)</f>
        <v>-0.0</v>
      </c>
      <c r="CDZ55" s="5">
        <f>-IFERROR('4. NPV'!CEA24/'4. NPV'!CEA$8,0)</f>
        <v>-0.0</v>
      </c>
      <c r="CEA55" s="5">
        <f>-IFERROR('4. NPV'!CEB24/'4. NPV'!CEB$8,0)</f>
        <v>-0.0</v>
      </c>
      <c r="CEB55" s="5">
        <f>-IFERROR('4. NPV'!CEC24/'4. NPV'!CEC$8,0)</f>
        <v>-0.0</v>
      </c>
      <c r="CEC55" s="5">
        <f>-IFERROR('4. NPV'!CED24/'4. NPV'!CED$8,0)</f>
        <v>-0.0</v>
      </c>
      <c r="CED55" s="5">
        <f>-IFERROR('4. NPV'!CEE24/'4. NPV'!CEE$8,0)</f>
        <v>-0.0</v>
      </c>
      <c r="CEE55" s="5">
        <f>-IFERROR('4. NPV'!CEF24/'4. NPV'!CEF$8,0)</f>
        <v>-0.0</v>
      </c>
      <c r="CEF55" s="5">
        <f>-IFERROR('4. NPV'!CEG24/'4. NPV'!CEG$8,0)</f>
        <v>-0.0</v>
      </c>
      <c r="CEG55" s="5">
        <f>-IFERROR('4. NPV'!CEH24/'4. NPV'!CEH$8,0)</f>
        <v>-0.0</v>
      </c>
      <c r="CEH55" s="5">
        <f>-IFERROR('4. NPV'!CEI24/'4. NPV'!CEI$8,0)</f>
        <v>-0.0</v>
      </c>
      <c r="CEI55" s="5">
        <f>-IFERROR('4. NPV'!CEJ24/'4. NPV'!CEJ$8,0)</f>
        <v>-0.0</v>
      </c>
      <c r="CEJ55" s="5">
        <f>-IFERROR('4. NPV'!CEK24/'4. NPV'!CEK$8,0)</f>
        <v>-0.0</v>
      </c>
      <c r="CEK55" s="5">
        <f>-IFERROR('4. NPV'!CEL24/'4. NPV'!CEL$8,0)</f>
        <v>-0.0</v>
      </c>
      <c r="CEL55" s="5">
        <f>-IFERROR('4. NPV'!CEM24/'4. NPV'!CEM$8,0)</f>
        <v>-0.0</v>
      </c>
      <c r="CEM55" s="5">
        <f>-IFERROR('4. NPV'!CEN24/'4. NPV'!CEN$8,0)</f>
        <v>-0.0</v>
      </c>
      <c r="CEN55" s="5">
        <f>-IFERROR('4. NPV'!CEO24/'4. NPV'!CEO$8,0)</f>
        <v>-0.0</v>
      </c>
      <c r="CEO55" s="5">
        <f>-IFERROR('4. NPV'!CEP24/'4. NPV'!CEP$8,0)</f>
        <v>-0.0</v>
      </c>
      <c r="CEP55" s="5">
        <f>-IFERROR('4. NPV'!CEQ24/'4. NPV'!CEQ$8,0)</f>
        <v>-0.0</v>
      </c>
      <c r="CEQ55" s="5">
        <f>-IFERROR('4. NPV'!CER24/'4. NPV'!CER$8,0)</f>
        <v>-0.0</v>
      </c>
      <c r="CER55" s="5">
        <f>-IFERROR('4. NPV'!CES24/'4. NPV'!CES$8,0)</f>
        <v>-0.0</v>
      </c>
      <c r="CES55" s="5">
        <f>-IFERROR('4. NPV'!CET24/'4. NPV'!CET$8,0)</f>
        <v>-0.0</v>
      </c>
      <c r="CET55" s="5">
        <f>-IFERROR('4. NPV'!CEU24/'4. NPV'!CEU$8,0)</f>
        <v>-0.0</v>
      </c>
      <c r="CEU55" s="5">
        <f>-IFERROR('4. NPV'!CEV24/'4. NPV'!CEV$8,0)</f>
        <v>-0.0</v>
      </c>
      <c r="CEV55" s="5">
        <f>-IFERROR('4. NPV'!CEW24/'4. NPV'!CEW$8,0)</f>
        <v>-0.0</v>
      </c>
      <c r="CEW55" s="5">
        <f>-IFERROR('4. NPV'!CEX24/'4. NPV'!CEX$8,0)</f>
        <v>-0.0</v>
      </c>
      <c r="CEX55" s="5">
        <f>-IFERROR('4. NPV'!CEY24/'4. NPV'!CEY$8,0)</f>
        <v>-0.0</v>
      </c>
      <c r="CEY55" s="5">
        <f>-IFERROR('4. NPV'!CEZ24/'4. NPV'!CEZ$8,0)</f>
        <v>-0.0</v>
      </c>
      <c r="CEZ55" s="5">
        <f>-IFERROR('4. NPV'!CFA24/'4. NPV'!CFA$8,0)</f>
        <v>-0.0</v>
      </c>
      <c r="CFA55" s="5">
        <f>-IFERROR('4. NPV'!CFB24/'4. NPV'!CFB$8,0)</f>
        <v>-0.0</v>
      </c>
      <c r="CFB55" s="5">
        <f>-IFERROR('4. NPV'!CFC24/'4. NPV'!CFC$8,0)</f>
        <v>-0.0</v>
      </c>
      <c r="CFC55" s="5">
        <f>-IFERROR('4. NPV'!CFD24/'4. NPV'!CFD$8,0)</f>
        <v>-0.0</v>
      </c>
      <c r="CFD55" s="5">
        <f>-IFERROR('4. NPV'!CFE24/'4. NPV'!CFE$8,0)</f>
        <v>-0.0</v>
      </c>
      <c r="CFE55" s="5">
        <f>-IFERROR('4. NPV'!CFF24/'4. NPV'!CFF$8,0)</f>
        <v>-0.0</v>
      </c>
      <c r="CFF55" s="5">
        <f>-IFERROR('4. NPV'!CFG24/'4. NPV'!CFG$8,0)</f>
        <v>-0.0</v>
      </c>
      <c r="CFG55" s="5">
        <f>-IFERROR('4. NPV'!CFH24/'4. NPV'!CFH$8,0)</f>
        <v>-0.0</v>
      </c>
      <c r="CFH55" s="5">
        <f>-IFERROR('4. NPV'!CFI24/'4. NPV'!CFI$8,0)</f>
        <v>-0.0</v>
      </c>
      <c r="CFI55" s="5">
        <f>-IFERROR('4. NPV'!CFJ24/'4. NPV'!CFJ$8,0)</f>
        <v>-0.0</v>
      </c>
      <c r="CFJ55" s="5">
        <f>-IFERROR('4. NPV'!CFK24/'4. NPV'!CFK$8,0)</f>
        <v>-0.0</v>
      </c>
      <c r="CFK55" s="5">
        <f>-IFERROR('4. NPV'!CFL24/'4. NPV'!CFL$8,0)</f>
        <v>-0.0</v>
      </c>
      <c r="CFL55" s="5">
        <f>-IFERROR('4. NPV'!CFM24/'4. NPV'!CFM$8,0)</f>
        <v>-0.0</v>
      </c>
      <c r="CFM55" s="5">
        <f>-IFERROR('4. NPV'!CFN24/'4. NPV'!CFN$8,0)</f>
        <v>-0.0</v>
      </c>
      <c r="CFN55" s="5">
        <f>-IFERROR('4. NPV'!CFO24/'4. NPV'!CFO$8,0)</f>
        <v>-0.0</v>
      </c>
      <c r="CFO55" s="5">
        <f>-IFERROR('4. NPV'!CFP24/'4. NPV'!CFP$8,0)</f>
        <v>-0.0</v>
      </c>
      <c r="CFP55" s="5">
        <f>-IFERROR('4. NPV'!CFQ24/'4. NPV'!CFQ$8,0)</f>
        <v>-0.0</v>
      </c>
      <c r="CFQ55" s="5">
        <f>-IFERROR('4. NPV'!CFR24/'4. NPV'!CFR$8,0)</f>
        <v>-0.0</v>
      </c>
      <c r="CFR55" s="5">
        <f>-IFERROR('4. NPV'!CFS24/'4. NPV'!CFS$8,0)</f>
        <v>-0.0</v>
      </c>
      <c r="CFS55" s="5">
        <f>-IFERROR('4. NPV'!CFT24/'4. NPV'!CFT$8,0)</f>
        <v>-0.0</v>
      </c>
      <c r="CFT55" s="5">
        <f>-IFERROR('4. NPV'!CFU24/'4. NPV'!CFU$8,0)</f>
        <v>-0.0</v>
      </c>
      <c r="CFU55" s="5">
        <f>-IFERROR('4. NPV'!CFV24/'4. NPV'!CFV$8,0)</f>
        <v>-0.0</v>
      </c>
      <c r="CFV55" s="5">
        <f>-IFERROR('4. NPV'!CFW24/'4. NPV'!CFW$8,0)</f>
        <v>-0.0</v>
      </c>
      <c r="CFW55" s="5">
        <f>-IFERROR('4. NPV'!CFX24/'4. NPV'!CFX$8,0)</f>
        <v>-0.0</v>
      </c>
      <c r="CFX55" s="5">
        <f>-IFERROR('4. NPV'!CFY24/'4. NPV'!CFY$8,0)</f>
        <v>-0.0</v>
      </c>
      <c r="CFY55" s="5">
        <f>-IFERROR('4. NPV'!CFZ24/'4. NPV'!CFZ$8,0)</f>
        <v>-0.0</v>
      </c>
      <c r="CFZ55" s="5">
        <f>-IFERROR('4. NPV'!CGA24/'4. NPV'!CGA$8,0)</f>
        <v>-0.0</v>
      </c>
      <c r="CGA55" s="5">
        <f>-IFERROR('4. NPV'!CGB24/'4. NPV'!CGB$8,0)</f>
        <v>-0.0</v>
      </c>
      <c r="CGB55" s="5">
        <f>-IFERROR('4. NPV'!CGC24/'4. NPV'!CGC$8,0)</f>
        <v>-0.0</v>
      </c>
      <c r="CGC55" s="5">
        <f>-IFERROR('4. NPV'!CGD24/'4. NPV'!CGD$8,0)</f>
        <v>-0.0</v>
      </c>
      <c r="CGD55" s="5">
        <f>-IFERROR('4. NPV'!CGE24/'4. NPV'!CGE$8,0)</f>
        <v>-0.0</v>
      </c>
      <c r="CGE55" s="5">
        <f>-IFERROR('4. NPV'!CGF24/'4. NPV'!CGF$8,0)</f>
        <v>-0.0</v>
      </c>
      <c r="CGF55" s="5">
        <f>-IFERROR('4. NPV'!CGG24/'4. NPV'!CGG$8,0)</f>
        <v>-0.0</v>
      </c>
      <c r="CGG55" s="5">
        <f>-IFERROR('4. NPV'!CGH24/'4. NPV'!CGH$8,0)</f>
        <v>-0.0</v>
      </c>
      <c r="CGH55" s="5">
        <f>-IFERROR('4. NPV'!CGI24/'4. NPV'!CGI$8,0)</f>
        <v>-0.0</v>
      </c>
      <c r="CGI55" s="5">
        <f>-IFERROR('4. NPV'!CGJ24/'4. NPV'!CGJ$8,0)</f>
        <v>-0.0</v>
      </c>
      <c r="CGJ55" s="5">
        <f>-IFERROR('4. NPV'!CGK24/'4. NPV'!CGK$8,0)</f>
        <v>-0.0</v>
      </c>
      <c r="CGK55" s="5">
        <f>-IFERROR('4. NPV'!CGL24/'4. NPV'!CGL$8,0)</f>
        <v>-0.0</v>
      </c>
      <c r="CGL55" s="5">
        <f>-IFERROR('4. NPV'!CGM24/'4. NPV'!CGM$8,0)</f>
        <v>-0.0</v>
      </c>
      <c r="CGM55" s="5">
        <f>-IFERROR('4. NPV'!CGN24/'4. NPV'!CGN$8,0)</f>
        <v>-0.0</v>
      </c>
      <c r="CGN55" s="5">
        <f>-IFERROR('4. NPV'!CGO24/'4. NPV'!CGO$8,0)</f>
        <v>-0.0</v>
      </c>
      <c r="CGO55" s="5">
        <f>-IFERROR('4. NPV'!CGP24/'4. NPV'!CGP$8,0)</f>
        <v>-0.0</v>
      </c>
      <c r="CGP55" s="5">
        <f>-IFERROR('4. NPV'!CGQ24/'4. NPV'!CGQ$8,0)</f>
        <v>-0.0</v>
      </c>
      <c r="CGQ55" s="5">
        <f>-IFERROR('4. NPV'!CGR24/'4. NPV'!CGR$8,0)</f>
        <v>-0.0</v>
      </c>
      <c r="CGR55" s="5">
        <f>-IFERROR('4. NPV'!CGS24/'4. NPV'!CGS$8,0)</f>
        <v>-0.0</v>
      </c>
      <c r="CGS55" s="5">
        <f>-IFERROR('4. NPV'!CGT24/'4. NPV'!CGT$8,0)</f>
        <v>-0.0</v>
      </c>
      <c r="CGT55" s="5">
        <f>-IFERROR('4. NPV'!CGU24/'4. NPV'!CGU$8,0)</f>
        <v>-0.0</v>
      </c>
      <c r="CGU55" s="5">
        <f>-IFERROR('4. NPV'!CGV24/'4. NPV'!CGV$8,0)</f>
        <v>-0.0</v>
      </c>
      <c r="CGV55" s="5">
        <f>-IFERROR('4. NPV'!CGW24/'4. NPV'!CGW$8,0)</f>
        <v>-0.0</v>
      </c>
      <c r="CGW55" s="5">
        <f>-IFERROR('4. NPV'!CGX24/'4. NPV'!CGX$8,0)</f>
        <v>-0.0</v>
      </c>
      <c r="CGX55" s="5">
        <f>-IFERROR('4. NPV'!CGY24/'4. NPV'!CGY$8,0)</f>
        <v>-0.0</v>
      </c>
      <c r="CGY55" s="5">
        <f>-IFERROR('4. NPV'!CGZ24/'4. NPV'!CGZ$8,0)</f>
        <v>-0.0</v>
      </c>
      <c r="CGZ55" s="5">
        <f>-IFERROR('4. NPV'!CHA24/'4. NPV'!CHA$8,0)</f>
        <v>-0.0</v>
      </c>
      <c r="CHA55" s="5">
        <f>-IFERROR('4. NPV'!CHB24/'4. NPV'!CHB$8,0)</f>
        <v>-0.0</v>
      </c>
      <c r="CHB55" s="5">
        <f>-IFERROR('4. NPV'!CHC24/'4. NPV'!CHC$8,0)</f>
        <v>-0.0</v>
      </c>
      <c r="CHC55" s="5">
        <f>-IFERROR('4. NPV'!CHD24/'4. NPV'!CHD$8,0)</f>
        <v>-0.0</v>
      </c>
      <c r="CHD55" s="5">
        <f>-IFERROR('4. NPV'!CHE24/'4. NPV'!CHE$8,0)</f>
        <v>-0.0</v>
      </c>
      <c r="CHE55" s="5">
        <f>-IFERROR('4. NPV'!CHF24/'4. NPV'!CHF$8,0)</f>
        <v>-0.0</v>
      </c>
      <c r="CHF55" s="5">
        <f>-IFERROR('4. NPV'!CHG24/'4. NPV'!CHG$8,0)</f>
        <v>-0.0</v>
      </c>
      <c r="CHG55" s="5">
        <f>-IFERROR('4. NPV'!CHH24/'4. NPV'!CHH$8,0)</f>
        <v>-0.0</v>
      </c>
      <c r="CHH55" s="5">
        <f>-IFERROR('4. NPV'!CHI24/'4. NPV'!CHI$8,0)</f>
        <v>-0.0</v>
      </c>
      <c r="CHI55" s="5">
        <f>-IFERROR('4. NPV'!CHJ24/'4. NPV'!CHJ$8,0)</f>
        <v>-0.0</v>
      </c>
      <c r="CHJ55" s="5">
        <f>-IFERROR('4. NPV'!CHK24/'4. NPV'!CHK$8,0)</f>
        <v>-0.0</v>
      </c>
      <c r="CHK55" s="5">
        <f>-IFERROR('4. NPV'!CHL24/'4. NPV'!CHL$8,0)</f>
        <v>-0.0</v>
      </c>
      <c r="CHL55" s="5">
        <f>-IFERROR('4. NPV'!CHM24/'4. NPV'!CHM$8,0)</f>
        <v>-0.0</v>
      </c>
      <c r="CHM55" s="5">
        <f>-IFERROR('4. NPV'!CHN24/'4. NPV'!CHN$8,0)</f>
        <v>-0.0</v>
      </c>
      <c r="CHN55" s="5">
        <f>-IFERROR('4. NPV'!CHO24/'4. NPV'!CHO$8,0)</f>
        <v>-0.0</v>
      </c>
      <c r="CHO55" s="5">
        <f>-IFERROR('4. NPV'!CHP24/'4. NPV'!CHP$8,0)</f>
        <v>-0.0</v>
      </c>
      <c r="CHP55" s="5">
        <f>-IFERROR('4. NPV'!CHQ24/'4. NPV'!CHQ$8,0)</f>
        <v>-0.0</v>
      </c>
      <c r="CHQ55" s="5">
        <f>-IFERROR('4. NPV'!CHR24/'4. NPV'!CHR$8,0)</f>
        <v>-0.0</v>
      </c>
      <c r="CHR55" s="5">
        <f>-IFERROR('4. NPV'!CHS24/'4. NPV'!CHS$8,0)</f>
        <v>-0.0</v>
      </c>
      <c r="CHS55" s="5">
        <f>-IFERROR('4. NPV'!CHT24/'4. NPV'!CHT$8,0)</f>
        <v>-0.0</v>
      </c>
      <c r="CHT55" s="5">
        <f>-IFERROR('4. NPV'!CHU24/'4. NPV'!CHU$8,0)</f>
        <v>-0.0</v>
      </c>
      <c r="CHU55" s="5">
        <f>-IFERROR('4. NPV'!CHV24/'4. NPV'!CHV$8,0)</f>
        <v>-0.0</v>
      </c>
      <c r="CHV55" s="5">
        <f>-IFERROR('4. NPV'!CHW24/'4. NPV'!CHW$8,0)</f>
        <v>-0.0</v>
      </c>
      <c r="CHW55" s="5">
        <f>-IFERROR('4. NPV'!CHX24/'4. NPV'!CHX$8,0)</f>
        <v>-0.0</v>
      </c>
      <c r="CHX55" s="5">
        <f>-IFERROR('4. NPV'!CHY24/'4. NPV'!CHY$8,0)</f>
        <v>-0.0</v>
      </c>
      <c r="CHY55" s="5">
        <f>-IFERROR('4. NPV'!CHZ24/'4. NPV'!CHZ$8,0)</f>
        <v>-0.0</v>
      </c>
      <c r="CHZ55" s="5">
        <f>-IFERROR('4. NPV'!CIA24/'4. NPV'!CIA$8,0)</f>
        <v>-0.0</v>
      </c>
      <c r="CIA55" s="5">
        <f>-IFERROR('4. NPV'!CIB24/'4. NPV'!CIB$8,0)</f>
        <v>-0.0</v>
      </c>
      <c r="CIB55" s="5">
        <f>-IFERROR('4. NPV'!CIC24/'4. NPV'!CIC$8,0)</f>
        <v>-0.0</v>
      </c>
      <c r="CIC55" s="5">
        <f>-IFERROR('4. NPV'!CID24/'4. NPV'!CID$8,0)</f>
        <v>-0.0</v>
      </c>
      <c r="CID55" s="5">
        <f>-IFERROR('4. NPV'!CIE24/'4. NPV'!CIE$8,0)</f>
        <v>-0.0</v>
      </c>
      <c r="CIE55" s="5">
        <f>-IFERROR('4. NPV'!CIF24/'4. NPV'!CIF$8,0)</f>
        <v>-0.0</v>
      </c>
      <c r="CIF55" s="5">
        <f>-IFERROR('4. NPV'!CIG24/'4. NPV'!CIG$8,0)</f>
        <v>-0.0</v>
      </c>
      <c r="CIG55" s="5">
        <f>-IFERROR('4. NPV'!CIH24/'4. NPV'!CIH$8,0)</f>
        <v>-0.0</v>
      </c>
      <c r="CIH55" s="5">
        <f>-IFERROR('4. NPV'!CII24/'4. NPV'!CII$8,0)</f>
        <v>-0.0</v>
      </c>
      <c r="CII55" s="5">
        <f>-IFERROR('4. NPV'!CIJ24/'4. NPV'!CIJ$8,0)</f>
        <v>-0.0</v>
      </c>
      <c r="CIJ55" s="5">
        <f>-IFERROR('4. NPV'!CIK24/'4. NPV'!CIK$8,0)</f>
        <v>-0.0</v>
      </c>
      <c r="CIK55" s="5">
        <f>-IFERROR('4. NPV'!CIL24/'4. NPV'!CIL$8,0)</f>
        <v>-0.0</v>
      </c>
      <c r="CIL55" s="5">
        <f>-IFERROR('4. NPV'!CIM24/'4. NPV'!CIM$8,0)</f>
        <v>-0.0</v>
      </c>
      <c r="CIM55" s="5">
        <f>-IFERROR('4. NPV'!CIN24/'4. NPV'!CIN$8,0)</f>
        <v>-0.0</v>
      </c>
      <c r="CIN55" s="5">
        <f>-IFERROR('4. NPV'!CIO24/'4. NPV'!CIO$8,0)</f>
        <v>-0.0</v>
      </c>
      <c r="CIO55" s="5">
        <f>-IFERROR('4. NPV'!CIP24/'4. NPV'!CIP$8,0)</f>
        <v>-0.0</v>
      </c>
      <c r="CIP55" s="5">
        <f>-IFERROR('4. NPV'!CIQ24/'4. NPV'!CIQ$8,0)</f>
        <v>-0.0</v>
      </c>
      <c r="CIQ55" s="5">
        <f>-IFERROR('4. NPV'!CIR24/'4. NPV'!CIR$8,0)</f>
        <v>-0.0</v>
      </c>
      <c r="CIR55" s="5">
        <f>-IFERROR('4. NPV'!CIS24/'4. NPV'!CIS$8,0)</f>
        <v>-0.0</v>
      </c>
      <c r="CIS55" s="5">
        <f>-IFERROR('4. NPV'!CIT24/'4. NPV'!CIT$8,0)</f>
        <v>-0.0</v>
      </c>
      <c r="CIT55" s="5">
        <f>-IFERROR('4. NPV'!CIU24/'4. NPV'!CIU$8,0)</f>
        <v>-0.0</v>
      </c>
      <c r="CIU55" s="5">
        <f>-IFERROR('4. NPV'!CIV24/'4. NPV'!CIV$8,0)</f>
        <v>-0.0</v>
      </c>
      <c r="CIV55" s="5">
        <f>-IFERROR('4. NPV'!CIW24/'4. NPV'!CIW$8,0)</f>
        <v>-0.0</v>
      </c>
      <c r="CIW55" s="5">
        <f>-IFERROR('4. NPV'!CIX24/'4. NPV'!CIX$8,0)</f>
        <v>-0.0</v>
      </c>
      <c r="CIX55" s="5">
        <f>-IFERROR('4. NPV'!CIY24/'4. NPV'!CIY$8,0)</f>
        <v>-0.0</v>
      </c>
      <c r="CIY55" s="5">
        <f>-IFERROR('4. NPV'!CIZ24/'4. NPV'!CIZ$8,0)</f>
        <v>-0.0</v>
      </c>
      <c r="CIZ55" s="5">
        <f>-IFERROR('4. NPV'!CJA24/'4. NPV'!CJA$8,0)</f>
        <v>-0.0</v>
      </c>
      <c r="CJA55" s="5">
        <f>-IFERROR('4. NPV'!CJB24/'4. NPV'!CJB$8,0)</f>
        <v>-0.0</v>
      </c>
      <c r="CJB55" s="5">
        <f>-IFERROR('4. NPV'!CJC24/'4. NPV'!CJC$8,0)</f>
        <v>-0.0</v>
      </c>
      <c r="CJC55" s="5">
        <f>-IFERROR('4. NPV'!CJD24/'4. NPV'!CJD$8,0)</f>
        <v>-0.0</v>
      </c>
      <c r="CJD55" s="5">
        <f>-IFERROR('4. NPV'!CJE24/'4. NPV'!CJE$8,0)</f>
        <v>-0.0</v>
      </c>
      <c r="CJE55" s="5">
        <f>-IFERROR('4. NPV'!CJF24/'4. NPV'!CJF$8,0)</f>
        <v>-0.0</v>
      </c>
      <c r="CJF55" s="5">
        <f>-IFERROR('4. NPV'!CJG24/'4. NPV'!CJG$8,0)</f>
        <v>-0.0</v>
      </c>
      <c r="CJG55" s="5">
        <f>-IFERROR('4. NPV'!CJH24/'4. NPV'!CJH$8,0)</f>
        <v>-0.0</v>
      </c>
      <c r="CJH55" s="5">
        <f>-IFERROR('4. NPV'!CJI24/'4. NPV'!CJI$8,0)</f>
        <v>-0.0</v>
      </c>
      <c r="CJI55" s="5">
        <f>-IFERROR('4. NPV'!CJJ24/'4. NPV'!CJJ$8,0)</f>
        <v>-0.0</v>
      </c>
      <c r="CJJ55" s="5">
        <f>-IFERROR('4. NPV'!CJK24/'4. NPV'!CJK$8,0)</f>
        <v>-0.0</v>
      </c>
      <c r="CJK55" s="5">
        <f>-IFERROR('4. NPV'!CJL24/'4. NPV'!CJL$8,0)</f>
        <v>-0.0</v>
      </c>
      <c r="CJL55" s="5">
        <f>-IFERROR('4. NPV'!CJM24/'4. NPV'!CJM$8,0)</f>
        <v>-0.0</v>
      </c>
      <c r="CJM55" s="5">
        <f>-IFERROR('4. NPV'!CJN24/'4. NPV'!CJN$8,0)</f>
        <v>-0.0</v>
      </c>
      <c r="CJN55" s="5">
        <f>-IFERROR('4. NPV'!CJO24/'4. NPV'!CJO$8,0)</f>
        <v>-0.0</v>
      </c>
      <c r="CJO55" s="5">
        <f>-IFERROR('4. NPV'!CJP24/'4. NPV'!CJP$8,0)</f>
        <v>-0.0</v>
      </c>
      <c r="CJP55" s="5">
        <f>-IFERROR('4. NPV'!CJQ24/'4. NPV'!CJQ$8,0)</f>
        <v>-0.0</v>
      </c>
      <c r="CJQ55" s="5">
        <f>-IFERROR('4. NPV'!CJR24/'4. NPV'!CJR$8,0)</f>
        <v>-0.0</v>
      </c>
      <c r="CJR55" s="5">
        <f>-IFERROR('4. NPV'!CJS24/'4. NPV'!CJS$8,0)</f>
        <v>-0.0</v>
      </c>
      <c r="CJS55" s="5">
        <f>-IFERROR('4. NPV'!CJT24/'4. NPV'!CJT$8,0)</f>
        <v>-0.0</v>
      </c>
      <c r="CJT55" s="5">
        <f>-IFERROR('4. NPV'!CJU24/'4. NPV'!CJU$8,0)</f>
        <v>-0.0</v>
      </c>
      <c r="CJU55" s="5">
        <f>-IFERROR('4. NPV'!CJV24/'4. NPV'!CJV$8,0)</f>
        <v>-0.0</v>
      </c>
      <c r="CJV55" s="5">
        <f>-IFERROR('4. NPV'!CJW24/'4. NPV'!CJW$8,0)</f>
        <v>-0.0</v>
      </c>
      <c r="CJW55" s="5">
        <f>-IFERROR('4. NPV'!CJX24/'4. NPV'!CJX$8,0)</f>
        <v>-0.0</v>
      </c>
      <c r="CJX55" s="5">
        <f>-IFERROR('4. NPV'!CJY24/'4. NPV'!CJY$8,0)</f>
        <v>-0.0</v>
      </c>
      <c r="CJY55" s="5">
        <f>-IFERROR('4. NPV'!CJZ24/'4. NPV'!CJZ$8,0)</f>
        <v>-0.0</v>
      </c>
      <c r="CJZ55" s="5">
        <f>-IFERROR('4. NPV'!CKA24/'4. NPV'!CKA$8,0)</f>
        <v>-0.0</v>
      </c>
      <c r="CKA55" s="5">
        <f>-IFERROR('4. NPV'!CKB24/'4. NPV'!CKB$8,0)</f>
        <v>-0.0</v>
      </c>
      <c r="CKB55" s="5">
        <f>-IFERROR('4. NPV'!CKC24/'4. NPV'!CKC$8,0)</f>
        <v>-0.0</v>
      </c>
      <c r="CKC55" s="5">
        <f>-IFERROR('4. NPV'!CKD24/'4. NPV'!CKD$8,0)</f>
        <v>-0.0</v>
      </c>
      <c r="CKD55" s="5">
        <f>-IFERROR('4. NPV'!CKE24/'4. NPV'!CKE$8,0)</f>
        <v>-0.0</v>
      </c>
      <c r="CKE55" s="5">
        <f>-IFERROR('4. NPV'!CKF24/'4. NPV'!CKF$8,0)</f>
        <v>-0.0</v>
      </c>
      <c r="CKF55" s="5">
        <f>-IFERROR('4. NPV'!CKG24/'4. NPV'!CKG$8,0)</f>
        <v>-0.0</v>
      </c>
      <c r="CKG55" s="5">
        <f>-IFERROR('4. NPV'!CKH24/'4. NPV'!CKH$8,0)</f>
        <v>-0.0</v>
      </c>
      <c r="CKH55" s="5">
        <f>-IFERROR('4. NPV'!CKI24/'4. NPV'!CKI$8,0)</f>
        <v>-0.0</v>
      </c>
      <c r="CKI55" s="5">
        <f>-IFERROR('4. NPV'!CKJ24/'4. NPV'!CKJ$8,0)</f>
        <v>-0.0</v>
      </c>
      <c r="CKJ55" s="5">
        <f>-IFERROR('4. NPV'!CKK24/'4. NPV'!CKK$8,0)</f>
        <v>-0.0</v>
      </c>
      <c r="CKK55" s="5">
        <f>-IFERROR('4. NPV'!CKL24/'4. NPV'!CKL$8,0)</f>
        <v>-0.0</v>
      </c>
      <c r="CKL55" s="5">
        <f>-IFERROR('4. NPV'!CKM24/'4. NPV'!CKM$8,0)</f>
        <v>-0.0</v>
      </c>
      <c r="CKM55" s="5">
        <f>-IFERROR('4. NPV'!CKN24/'4. NPV'!CKN$8,0)</f>
        <v>-0.0</v>
      </c>
      <c r="CKN55" s="5">
        <f>-IFERROR('4. NPV'!CKO24/'4. NPV'!CKO$8,0)</f>
        <v>-0.0</v>
      </c>
      <c r="CKO55" s="5">
        <f>-IFERROR('4. NPV'!CKP24/'4. NPV'!CKP$8,0)</f>
        <v>-0.0</v>
      </c>
      <c r="CKP55" s="5">
        <f>-IFERROR('4. NPV'!CKQ24/'4. NPV'!CKQ$8,0)</f>
        <v>-0.0</v>
      </c>
      <c r="CKQ55" s="5">
        <f>-IFERROR('4. NPV'!CKR24/'4. NPV'!CKR$8,0)</f>
        <v>-0.0</v>
      </c>
      <c r="CKR55" s="5">
        <f>-IFERROR('4. NPV'!CKS24/'4. NPV'!CKS$8,0)</f>
        <v>-0.0</v>
      </c>
      <c r="CKS55" s="5">
        <f>-IFERROR('4. NPV'!CKT24/'4. NPV'!CKT$8,0)</f>
        <v>-0.0</v>
      </c>
      <c r="CKT55" s="5">
        <f>-IFERROR('4. NPV'!CKU24/'4. NPV'!CKU$8,0)</f>
        <v>-0.0</v>
      </c>
      <c r="CKU55" s="5">
        <f>-IFERROR('4. NPV'!CKV24/'4. NPV'!CKV$8,0)</f>
        <v>-0.0</v>
      </c>
      <c r="CKV55" s="5">
        <f>-IFERROR('4. NPV'!CKW24/'4. NPV'!CKW$8,0)</f>
        <v>-0.0</v>
      </c>
      <c r="CKW55" s="5">
        <f>-IFERROR('4. NPV'!CKX24/'4. NPV'!CKX$8,0)</f>
        <v>-0.0</v>
      </c>
      <c r="CKX55" s="5">
        <f>-IFERROR('4. NPV'!CKY24/'4. NPV'!CKY$8,0)</f>
        <v>-0.0</v>
      </c>
      <c r="CKY55" s="5">
        <f>-IFERROR('4. NPV'!CKZ24/'4. NPV'!CKZ$8,0)</f>
        <v>-0.0</v>
      </c>
      <c r="CKZ55" s="5">
        <f>-IFERROR('4. NPV'!CLA24/'4. NPV'!CLA$8,0)</f>
        <v>-0.0</v>
      </c>
      <c r="CLA55" s="5">
        <f>-IFERROR('4. NPV'!CLB24/'4. NPV'!CLB$8,0)</f>
        <v>-0.0</v>
      </c>
      <c r="CLB55" s="5">
        <f>-IFERROR('4. NPV'!CLC24/'4. NPV'!CLC$8,0)</f>
        <v>-0.0</v>
      </c>
      <c r="CLC55" s="5">
        <f>-IFERROR('4. NPV'!CLD24/'4. NPV'!CLD$8,0)</f>
        <v>-0.0</v>
      </c>
      <c r="CLD55" s="5">
        <f>-IFERROR('4. NPV'!CLE24/'4. NPV'!CLE$8,0)</f>
        <v>-0.0</v>
      </c>
      <c r="CLE55" s="5">
        <f>-IFERROR('4. NPV'!CLF24/'4. NPV'!CLF$8,0)</f>
        <v>-0.0</v>
      </c>
      <c r="CLF55" s="5">
        <f>-IFERROR('4. NPV'!CLG24/'4. NPV'!CLG$8,0)</f>
        <v>-0.0</v>
      </c>
      <c r="CLG55" s="5">
        <f>-IFERROR('4. NPV'!CLH24/'4. NPV'!CLH$8,0)</f>
        <v>-0.0</v>
      </c>
      <c r="CLH55" s="5">
        <f>-IFERROR('4. NPV'!CLI24/'4. NPV'!CLI$8,0)</f>
        <v>-0.0</v>
      </c>
      <c r="CLI55" s="5">
        <f>-IFERROR('4. NPV'!CLJ24/'4. NPV'!CLJ$8,0)</f>
        <v>-0.0</v>
      </c>
      <c r="CLJ55" s="5">
        <f>-IFERROR('4. NPV'!CLK24/'4. NPV'!CLK$8,0)</f>
        <v>-0.0</v>
      </c>
      <c r="CLK55" s="5">
        <f>-IFERROR('4. NPV'!CLL24/'4. NPV'!CLL$8,0)</f>
        <v>-0.0</v>
      </c>
      <c r="CLL55" s="5">
        <f>-IFERROR('4. NPV'!CLM24/'4. NPV'!CLM$8,0)</f>
        <v>-0.0</v>
      </c>
      <c r="CLM55" s="5">
        <f>-IFERROR('4. NPV'!CLN24/'4. NPV'!CLN$8,0)</f>
        <v>-0.0</v>
      </c>
      <c r="CLN55" s="5">
        <f>-IFERROR('4. NPV'!CLO24/'4. NPV'!CLO$8,0)</f>
        <v>-0.0</v>
      </c>
      <c r="CLO55" s="5">
        <f>-IFERROR('4. NPV'!CLP24/'4. NPV'!CLP$8,0)</f>
        <v>-0.0</v>
      </c>
      <c r="CLP55" s="5">
        <f>-IFERROR('4. NPV'!CLQ24/'4. NPV'!CLQ$8,0)</f>
        <v>-0.0</v>
      </c>
      <c r="CLQ55" s="5">
        <f>-IFERROR('4. NPV'!CLR24/'4. NPV'!CLR$8,0)</f>
        <v>-0.0</v>
      </c>
      <c r="CLR55" s="5">
        <f>-IFERROR('4. NPV'!CLS24/'4. NPV'!CLS$8,0)</f>
        <v>-0.0</v>
      </c>
      <c r="CLS55" s="5">
        <f>-IFERROR('4. NPV'!CLT24/'4. NPV'!CLT$8,0)</f>
        <v>-0.0</v>
      </c>
      <c r="CLT55" s="5">
        <f>-IFERROR('4. NPV'!CLU24/'4. NPV'!CLU$8,0)</f>
        <v>-0.0</v>
      </c>
      <c r="CLU55" s="5">
        <f>-IFERROR('4. NPV'!CLV24/'4. NPV'!CLV$8,0)</f>
        <v>-0.0</v>
      </c>
      <c r="CLV55" s="5">
        <f>-IFERROR('4. NPV'!CLW24/'4. NPV'!CLW$8,0)</f>
        <v>-0.0</v>
      </c>
      <c r="CLW55" s="5">
        <f>-IFERROR('4. NPV'!CLX24/'4. NPV'!CLX$8,0)</f>
        <v>-0.0</v>
      </c>
      <c r="CLX55" s="5">
        <f>-IFERROR('4. NPV'!CLY24/'4. NPV'!CLY$8,0)</f>
        <v>-0.0</v>
      </c>
      <c r="CLY55" s="5">
        <f>-IFERROR('4. NPV'!CLZ24/'4. NPV'!CLZ$8,0)</f>
        <v>-0.0</v>
      </c>
      <c r="CLZ55" s="5">
        <f>-IFERROR('4. NPV'!CMA24/'4. NPV'!CMA$8,0)</f>
        <v>-0.0</v>
      </c>
      <c r="CMA55" s="5">
        <f>-IFERROR('4. NPV'!CMB24/'4. NPV'!CMB$8,0)</f>
        <v>-0.0</v>
      </c>
      <c r="CMB55" s="5">
        <f>-IFERROR('4. NPV'!CMC24/'4. NPV'!CMC$8,0)</f>
        <v>-0.0</v>
      </c>
      <c r="CMC55" s="5">
        <f>-IFERROR('4. NPV'!CMD24/'4. NPV'!CMD$8,0)</f>
        <v>-0.0</v>
      </c>
      <c r="CMD55" s="5">
        <f>-IFERROR('4. NPV'!CME24/'4. NPV'!CME$8,0)</f>
        <v>-0.0</v>
      </c>
      <c r="CME55" s="5">
        <f>-IFERROR('4. NPV'!CMF24/'4. NPV'!CMF$8,0)</f>
        <v>-0.0</v>
      </c>
      <c r="CMF55" s="5">
        <f>-IFERROR('4. NPV'!CMG24/'4. NPV'!CMG$8,0)</f>
        <v>-0.0</v>
      </c>
      <c r="CMG55" s="5">
        <f>-IFERROR('4. NPV'!CMH24/'4. NPV'!CMH$8,0)</f>
        <v>-0.0</v>
      </c>
      <c r="CMH55" s="5">
        <f>-IFERROR('4. NPV'!CMI24/'4. NPV'!CMI$8,0)</f>
        <v>-0.0</v>
      </c>
      <c r="CMI55" s="5">
        <f>-IFERROR('4. NPV'!CMJ24/'4. NPV'!CMJ$8,0)</f>
        <v>-0.0</v>
      </c>
      <c r="CMJ55" s="5">
        <f>-IFERROR('4. NPV'!CMK24/'4. NPV'!CMK$8,0)</f>
        <v>-0.0</v>
      </c>
      <c r="CMK55" s="5">
        <f>-IFERROR('4. NPV'!CML24/'4. NPV'!CML$8,0)</f>
        <v>-0.0</v>
      </c>
      <c r="CML55" s="5">
        <f>-IFERROR('4. NPV'!CMM24/'4. NPV'!CMM$8,0)</f>
        <v>-0.0</v>
      </c>
      <c r="CMM55" s="5">
        <f>-IFERROR('4. NPV'!CMN24/'4. NPV'!CMN$8,0)</f>
        <v>-0.0</v>
      </c>
      <c r="CMN55" s="5">
        <f>-IFERROR('4. NPV'!CMO24/'4. NPV'!CMO$8,0)</f>
        <v>-0.0</v>
      </c>
      <c r="CMO55" s="5">
        <f>-IFERROR('4. NPV'!CMP24/'4. NPV'!CMP$8,0)</f>
        <v>-0.0</v>
      </c>
      <c r="CMP55" s="5">
        <f>-IFERROR('4. NPV'!CMQ24/'4. NPV'!CMQ$8,0)</f>
        <v>-0.0</v>
      </c>
      <c r="CMQ55" s="5">
        <f>-IFERROR('4. NPV'!CMR24/'4. NPV'!CMR$8,0)</f>
        <v>-0.0</v>
      </c>
      <c r="CMR55" s="5">
        <f>-IFERROR('4. NPV'!CMS24/'4. NPV'!CMS$8,0)</f>
        <v>-0.0</v>
      </c>
      <c r="CMS55" s="5">
        <f>-IFERROR('4. NPV'!CMT24/'4. NPV'!CMT$8,0)</f>
        <v>-0.0</v>
      </c>
      <c r="CMT55" s="5">
        <f>-IFERROR('4. NPV'!CMU24/'4. NPV'!CMU$8,0)</f>
        <v>-0.0</v>
      </c>
      <c r="CMU55" s="5">
        <f>-IFERROR('4. NPV'!CMV24/'4. NPV'!CMV$8,0)</f>
        <v>-0.0</v>
      </c>
      <c r="CMV55" s="5">
        <f>-IFERROR('4. NPV'!CMW24/'4. NPV'!CMW$8,0)</f>
        <v>-0.0</v>
      </c>
      <c r="CMW55" s="5">
        <f>-IFERROR('4. NPV'!CMX24/'4. NPV'!CMX$8,0)</f>
        <v>-0.0</v>
      </c>
      <c r="CMX55" s="5">
        <f>-IFERROR('4. NPV'!CMY24/'4. NPV'!CMY$8,0)</f>
        <v>-0.0</v>
      </c>
      <c r="CMY55" s="5">
        <f>-IFERROR('4. NPV'!CMZ24/'4. NPV'!CMZ$8,0)</f>
        <v>-0.0</v>
      </c>
      <c r="CMZ55" s="5">
        <f>-IFERROR('4. NPV'!CNA24/'4. NPV'!CNA$8,0)</f>
        <v>-0.0</v>
      </c>
      <c r="CNA55" s="5">
        <f>-IFERROR('4. NPV'!CNB24/'4. NPV'!CNB$8,0)</f>
        <v>-0.0</v>
      </c>
      <c r="CNB55" s="5">
        <f>-IFERROR('4. NPV'!CNC24/'4. NPV'!CNC$8,0)</f>
        <v>-0.0</v>
      </c>
      <c r="CNC55" s="5">
        <f>-IFERROR('4. NPV'!CND24/'4. NPV'!CND$8,0)</f>
        <v>-0.0</v>
      </c>
      <c r="CND55" s="5">
        <f>-IFERROR('4. NPV'!CNE24/'4. NPV'!CNE$8,0)</f>
        <v>-0.0</v>
      </c>
      <c r="CNE55" s="5">
        <f>-IFERROR('4. NPV'!CNF24/'4. NPV'!CNF$8,0)</f>
        <v>-0.0</v>
      </c>
      <c r="CNF55" s="5">
        <f>-IFERROR('4. NPV'!CNG24/'4. NPV'!CNG$8,0)</f>
        <v>-0.0</v>
      </c>
      <c r="CNG55" s="5">
        <f>-IFERROR('4. NPV'!CNH24/'4. NPV'!CNH$8,0)</f>
        <v>-0.0</v>
      </c>
      <c r="CNH55" s="5">
        <f>-IFERROR('4. NPV'!CNI24/'4. NPV'!CNI$8,0)</f>
        <v>-0.0</v>
      </c>
      <c r="CNI55" s="5">
        <f>-IFERROR('4. NPV'!CNJ24/'4. NPV'!CNJ$8,0)</f>
        <v>-0.0</v>
      </c>
      <c r="CNJ55" s="5">
        <f>-IFERROR('4. NPV'!CNK24/'4. NPV'!CNK$8,0)</f>
        <v>-0.0</v>
      </c>
      <c r="CNK55" s="5">
        <f>-IFERROR('4. NPV'!CNL24/'4. NPV'!CNL$8,0)</f>
        <v>-0.0</v>
      </c>
      <c r="CNL55" s="5">
        <f>-IFERROR('4. NPV'!CNM24/'4. NPV'!CNM$8,0)</f>
        <v>-0.0</v>
      </c>
      <c r="CNM55" s="5">
        <f>-IFERROR('4. NPV'!CNN24/'4. NPV'!CNN$8,0)</f>
        <v>-0.0</v>
      </c>
      <c r="CNN55" s="5">
        <f>-IFERROR('4. NPV'!CNO24/'4. NPV'!CNO$8,0)</f>
        <v>-0.0</v>
      </c>
      <c r="CNO55" s="5">
        <f>-IFERROR('4. NPV'!CNP24/'4. NPV'!CNP$8,0)</f>
        <v>-0.0</v>
      </c>
      <c r="CNP55" s="5">
        <f>-IFERROR('4. NPV'!CNQ24/'4. NPV'!CNQ$8,0)</f>
        <v>-0.0</v>
      </c>
      <c r="CNQ55" s="5">
        <f>-IFERROR('4. NPV'!CNR24/'4. NPV'!CNR$8,0)</f>
        <v>-0.0</v>
      </c>
      <c r="CNR55" s="5">
        <f>-IFERROR('4. NPV'!CNS24/'4. NPV'!CNS$8,0)</f>
        <v>-0.0</v>
      </c>
      <c r="CNS55" s="5">
        <f>-IFERROR('4. NPV'!CNT24/'4. NPV'!CNT$8,0)</f>
        <v>-0.0</v>
      </c>
      <c r="CNT55" s="5">
        <f>-IFERROR('4. NPV'!CNU24/'4. NPV'!CNU$8,0)</f>
        <v>-0.0</v>
      </c>
      <c r="CNU55" s="5">
        <f>-IFERROR('4. NPV'!CNV24/'4. NPV'!CNV$8,0)</f>
        <v>-0.0</v>
      </c>
      <c r="CNV55" s="5">
        <f>-IFERROR('4. NPV'!CNW24/'4. NPV'!CNW$8,0)</f>
        <v>-0.0</v>
      </c>
      <c r="CNW55" s="5">
        <f>-IFERROR('4. NPV'!CNX24/'4. NPV'!CNX$8,0)</f>
        <v>-0.0</v>
      </c>
      <c r="CNX55" s="5">
        <f>-IFERROR('4. NPV'!CNY24/'4. NPV'!CNY$8,0)</f>
        <v>-0.0</v>
      </c>
      <c r="CNY55" s="5">
        <f>-IFERROR('4. NPV'!CNZ24/'4. NPV'!CNZ$8,0)</f>
        <v>-0.0</v>
      </c>
      <c r="CNZ55" s="5">
        <f>-IFERROR('4. NPV'!COA24/'4. NPV'!COA$8,0)</f>
        <v>-0.0</v>
      </c>
      <c r="COA55" s="5">
        <f>-IFERROR('4. NPV'!COB24/'4. NPV'!COB$8,0)</f>
        <v>-0.0</v>
      </c>
      <c r="COB55" s="5">
        <f>-IFERROR('4. NPV'!COC24/'4. NPV'!COC$8,0)</f>
        <v>-0.0</v>
      </c>
      <c r="COC55" s="5">
        <f>-IFERROR('4. NPV'!COD24/'4. NPV'!COD$8,0)</f>
        <v>-0.0</v>
      </c>
      <c r="COD55" s="5">
        <f>-IFERROR('4. NPV'!COE24/'4. NPV'!COE$8,0)</f>
        <v>-0.0</v>
      </c>
      <c r="COE55" s="5">
        <f>-IFERROR('4. NPV'!COF24/'4. NPV'!COF$8,0)</f>
        <v>-0.0</v>
      </c>
      <c r="COF55" s="5">
        <f>-IFERROR('4. NPV'!COG24/'4. NPV'!COG$8,0)</f>
        <v>-0.0</v>
      </c>
      <c r="COG55" s="5">
        <f>-IFERROR('4. NPV'!COH24/'4. NPV'!COH$8,0)</f>
        <v>-0.0</v>
      </c>
      <c r="COH55" s="5">
        <f>-IFERROR('4. NPV'!COI24/'4. NPV'!COI$8,0)</f>
        <v>-0.0</v>
      </c>
      <c r="COI55" s="5">
        <f>-IFERROR('4. NPV'!COJ24/'4. NPV'!COJ$8,0)</f>
        <v>-0.0</v>
      </c>
      <c r="COJ55" s="5">
        <f>-IFERROR('4. NPV'!COK24/'4. NPV'!COK$8,0)</f>
        <v>-0.0</v>
      </c>
      <c r="COK55" s="5">
        <f>-IFERROR('4. NPV'!COL24/'4. NPV'!COL$8,0)</f>
        <v>-0.0</v>
      </c>
      <c r="COL55" s="5">
        <f>-IFERROR('4. NPV'!COM24/'4. NPV'!COM$8,0)</f>
        <v>-0.0</v>
      </c>
      <c r="COM55" s="5">
        <f>-IFERROR('4. NPV'!CON24/'4. NPV'!CON$8,0)</f>
        <v>-0.0</v>
      </c>
      <c r="CON55" s="5">
        <f>-IFERROR('4. NPV'!COO24/'4. NPV'!COO$8,0)</f>
        <v>-0.0</v>
      </c>
      <c r="COO55" s="5">
        <f>-IFERROR('4. NPV'!COP24/'4. NPV'!COP$8,0)</f>
        <v>-0.0</v>
      </c>
      <c r="COP55" s="5">
        <f>-IFERROR('4. NPV'!COQ24/'4. NPV'!COQ$8,0)</f>
        <v>-0.0</v>
      </c>
      <c r="COQ55" s="5">
        <f>-IFERROR('4. NPV'!COR24/'4. NPV'!COR$8,0)</f>
        <v>-0.0</v>
      </c>
      <c r="COR55" s="5">
        <f>-IFERROR('4. NPV'!COS24/'4. NPV'!COS$8,0)</f>
        <v>-0.0</v>
      </c>
      <c r="COS55" s="5">
        <f>-IFERROR('4. NPV'!COT24/'4. NPV'!COT$8,0)</f>
        <v>-0.0</v>
      </c>
      <c r="COT55" s="5">
        <f>-IFERROR('4. NPV'!COU24/'4. NPV'!COU$8,0)</f>
        <v>-0.0</v>
      </c>
      <c r="COU55" s="5">
        <f>-IFERROR('4. NPV'!COV24/'4. NPV'!COV$8,0)</f>
        <v>-0.0</v>
      </c>
      <c r="COV55" s="5">
        <f>-IFERROR('4. NPV'!COW24/'4. NPV'!COW$8,0)</f>
        <v>-0.0</v>
      </c>
      <c r="COW55" s="5">
        <f>-IFERROR('4. NPV'!COX24/'4. NPV'!COX$8,0)</f>
        <v>-0.0</v>
      </c>
      <c r="COX55" s="5">
        <f>-IFERROR('4. NPV'!COY24/'4. NPV'!COY$8,0)</f>
        <v>-0.0</v>
      </c>
      <c r="COY55" s="5">
        <f>-IFERROR('4. NPV'!COZ24/'4. NPV'!COZ$8,0)</f>
        <v>-0.0</v>
      </c>
      <c r="COZ55" s="5">
        <f>-IFERROR('4. NPV'!CPA24/'4. NPV'!CPA$8,0)</f>
        <v>-0.0</v>
      </c>
      <c r="CPA55" s="5">
        <f>-IFERROR('4. NPV'!CPB24/'4. NPV'!CPB$8,0)</f>
        <v>-0.0</v>
      </c>
      <c r="CPB55" s="5">
        <f>-IFERROR('4. NPV'!CPC24/'4. NPV'!CPC$8,0)</f>
        <v>-0.0</v>
      </c>
      <c r="CPC55" s="5">
        <f>-IFERROR('4. NPV'!CPD24/'4. NPV'!CPD$8,0)</f>
        <v>-0.0</v>
      </c>
      <c r="CPD55" s="5">
        <f>-IFERROR('4. NPV'!CPE24/'4. NPV'!CPE$8,0)</f>
        <v>-0.0</v>
      </c>
      <c r="CPE55" s="5">
        <f>-IFERROR('4. NPV'!CPF24/'4. NPV'!CPF$8,0)</f>
        <v>-0.0</v>
      </c>
      <c r="CPF55" s="5">
        <f>-IFERROR('4. NPV'!CPG24/'4. NPV'!CPG$8,0)</f>
        <v>-0.0</v>
      </c>
      <c r="CPG55" s="5">
        <f>-IFERROR('4. NPV'!CPH24/'4. NPV'!CPH$8,0)</f>
        <v>-0.0</v>
      </c>
      <c r="CPH55" s="5">
        <f>-IFERROR('4. NPV'!CPI24/'4. NPV'!CPI$8,0)</f>
        <v>-0.0</v>
      </c>
      <c r="CPI55" s="5">
        <f>-IFERROR('4. NPV'!CPJ24/'4. NPV'!CPJ$8,0)</f>
        <v>-0.0</v>
      </c>
      <c r="CPJ55" s="5">
        <f>-IFERROR('4. NPV'!CPK24/'4. NPV'!CPK$8,0)</f>
        <v>-0.0</v>
      </c>
      <c r="CPK55" s="5">
        <f>-IFERROR('4. NPV'!CPL24/'4. NPV'!CPL$8,0)</f>
        <v>-0.0</v>
      </c>
      <c r="CPL55" s="5">
        <f>-IFERROR('4. NPV'!CPM24/'4. NPV'!CPM$8,0)</f>
        <v>-0.0</v>
      </c>
      <c r="CPM55" s="5">
        <f>-IFERROR('4. NPV'!CPN24/'4. NPV'!CPN$8,0)</f>
        <v>-0.0</v>
      </c>
      <c r="CPN55" s="5">
        <f>-IFERROR('4. NPV'!CPO24/'4. NPV'!CPO$8,0)</f>
        <v>-0.0</v>
      </c>
      <c r="CPO55" s="5">
        <f>-IFERROR('4. NPV'!CPP24/'4. NPV'!CPP$8,0)</f>
        <v>-0.0</v>
      </c>
      <c r="CPP55" s="5">
        <f>-IFERROR('4. NPV'!CPQ24/'4. NPV'!CPQ$8,0)</f>
        <v>-0.0</v>
      </c>
      <c r="CPQ55" s="5">
        <f>-IFERROR('4. NPV'!CPR24/'4. NPV'!CPR$8,0)</f>
        <v>-0.0</v>
      </c>
      <c r="CPR55" s="5">
        <f>-IFERROR('4. NPV'!CPS24/'4. NPV'!CPS$8,0)</f>
        <v>-0.0</v>
      </c>
      <c r="CPS55" s="5">
        <f>-IFERROR('4. NPV'!CPT24/'4. NPV'!CPT$8,0)</f>
        <v>-0.0</v>
      </c>
      <c r="CPT55" s="5">
        <f>-IFERROR('4. NPV'!CPU24/'4. NPV'!CPU$8,0)</f>
        <v>-0.0</v>
      </c>
      <c r="CPU55" s="5">
        <f>-IFERROR('4. NPV'!CPV24/'4. NPV'!CPV$8,0)</f>
        <v>-0.0</v>
      </c>
      <c r="CPV55" s="5">
        <f>-IFERROR('4. NPV'!CPW24/'4. NPV'!CPW$8,0)</f>
        <v>-0.0</v>
      </c>
      <c r="CPW55" s="5">
        <f>-IFERROR('4. NPV'!CPX24/'4. NPV'!CPX$8,0)</f>
        <v>-0.0</v>
      </c>
      <c r="CPX55" s="5">
        <f>-IFERROR('4. NPV'!CPY24/'4. NPV'!CPY$8,0)</f>
        <v>-0.0</v>
      </c>
      <c r="CPY55" s="5">
        <f>-IFERROR('4. NPV'!CPZ24/'4. NPV'!CPZ$8,0)</f>
        <v>-0.0</v>
      </c>
      <c r="CPZ55" s="5">
        <f>-IFERROR('4. NPV'!CQA24/'4. NPV'!CQA$8,0)</f>
        <v>-0.0</v>
      </c>
      <c r="CQA55" s="5">
        <f>-IFERROR('4. NPV'!CQB24/'4. NPV'!CQB$8,0)</f>
        <v>-0.0</v>
      </c>
      <c r="CQB55" s="5">
        <f>-IFERROR('4. NPV'!CQC24/'4. NPV'!CQC$8,0)</f>
        <v>-0.0</v>
      </c>
      <c r="CQC55" s="5">
        <f>-IFERROR('4. NPV'!CQD24/'4. NPV'!CQD$8,0)</f>
        <v>-0.0</v>
      </c>
      <c r="CQD55" s="5">
        <f>-IFERROR('4. NPV'!CQE24/'4. NPV'!CQE$8,0)</f>
        <v>-0.0</v>
      </c>
      <c r="CQE55" s="5">
        <f>-IFERROR('4. NPV'!CQF24/'4. NPV'!CQF$8,0)</f>
        <v>-0.0</v>
      </c>
      <c r="CQF55" s="5">
        <f>-IFERROR('4. NPV'!CQG24/'4. NPV'!CQG$8,0)</f>
        <v>-0.0</v>
      </c>
      <c r="CQG55" s="5">
        <f>-IFERROR('4. NPV'!CQH24/'4. NPV'!CQH$8,0)</f>
        <v>-0.0</v>
      </c>
      <c r="CQH55" s="5">
        <f>-IFERROR('4. NPV'!CQI24/'4. NPV'!CQI$8,0)</f>
        <v>-0.0</v>
      </c>
      <c r="CQI55" s="5">
        <f>-IFERROR('4. NPV'!CQJ24/'4. NPV'!CQJ$8,0)</f>
        <v>-0.0</v>
      </c>
      <c r="CQJ55" s="5">
        <f>-IFERROR('4. NPV'!CQK24/'4. NPV'!CQK$8,0)</f>
        <v>-0.0</v>
      </c>
      <c r="CQK55" s="5">
        <f>-IFERROR('4. NPV'!CQL24/'4. NPV'!CQL$8,0)</f>
        <v>-0.0</v>
      </c>
      <c r="CQL55" s="5">
        <f>-IFERROR('4. NPV'!CQM24/'4. NPV'!CQM$8,0)</f>
        <v>-0.0</v>
      </c>
      <c r="CQM55" s="5">
        <f>-IFERROR('4. NPV'!CQN24/'4. NPV'!CQN$8,0)</f>
        <v>-0.0</v>
      </c>
      <c r="CQN55" s="5">
        <f>-IFERROR('4. NPV'!CQO24/'4. NPV'!CQO$8,0)</f>
        <v>-0.0</v>
      </c>
      <c r="CQO55" s="5">
        <f>-IFERROR('4. NPV'!CQP24/'4. NPV'!CQP$8,0)</f>
        <v>-0.0</v>
      </c>
      <c r="CQP55" s="5">
        <f>-IFERROR('4. NPV'!CQQ24/'4. NPV'!CQQ$8,0)</f>
        <v>-0.0</v>
      </c>
      <c r="CQQ55" s="5">
        <f>-IFERROR('4. NPV'!CQR24/'4. NPV'!CQR$8,0)</f>
        <v>-0.0</v>
      </c>
      <c r="CQR55" s="5">
        <f>-IFERROR('4. NPV'!CQS24/'4. NPV'!CQS$8,0)</f>
        <v>-0.0</v>
      </c>
      <c r="CQS55" s="5">
        <f>-IFERROR('4. NPV'!CQT24/'4. NPV'!CQT$8,0)</f>
        <v>-0.0</v>
      </c>
      <c r="CQT55" s="5">
        <f>-IFERROR('4. NPV'!CQU24/'4. NPV'!CQU$8,0)</f>
        <v>-0.0</v>
      </c>
      <c r="CQU55" s="5">
        <f>-IFERROR('4. NPV'!CQV24/'4. NPV'!CQV$8,0)</f>
        <v>-0.0</v>
      </c>
      <c r="CQV55" s="5">
        <f>-IFERROR('4. NPV'!CQW24/'4. NPV'!CQW$8,0)</f>
        <v>-0.0</v>
      </c>
      <c r="CQW55" s="5">
        <f>-IFERROR('4. NPV'!CQX24/'4. NPV'!CQX$8,0)</f>
        <v>-0.0</v>
      </c>
      <c r="CQX55" s="5">
        <f>-IFERROR('4. NPV'!CQY24/'4. NPV'!CQY$8,0)</f>
        <v>-0.0</v>
      </c>
      <c r="CQY55" s="5">
        <f>-IFERROR('4. NPV'!CQZ24/'4. NPV'!CQZ$8,0)</f>
        <v>-0.0</v>
      </c>
      <c r="CQZ55" s="5">
        <f>-IFERROR('4. NPV'!CRA24/'4. NPV'!CRA$8,0)</f>
        <v>-0.0</v>
      </c>
      <c r="CRA55" s="5">
        <f>-IFERROR('4. NPV'!CRB24/'4. NPV'!CRB$8,0)</f>
        <v>-0.0</v>
      </c>
      <c r="CRB55" s="5">
        <f>-IFERROR('4. NPV'!CRC24/'4. NPV'!CRC$8,0)</f>
        <v>-0.0</v>
      </c>
      <c r="CRC55" s="5">
        <f>-IFERROR('4. NPV'!CRD24/'4. NPV'!CRD$8,0)</f>
        <v>-0.0</v>
      </c>
      <c r="CRD55" s="5">
        <f>-IFERROR('4. NPV'!CRE24/'4. NPV'!CRE$8,0)</f>
        <v>-0.0</v>
      </c>
      <c r="CRE55" s="5">
        <f>-IFERROR('4. NPV'!CRF24/'4. NPV'!CRF$8,0)</f>
        <v>-0.0</v>
      </c>
      <c r="CRF55" s="5">
        <f>-IFERROR('4. NPV'!CRG24/'4. NPV'!CRG$8,0)</f>
        <v>-0.0</v>
      </c>
      <c r="CRG55" s="5">
        <f>-IFERROR('4. NPV'!CRH24/'4. NPV'!CRH$8,0)</f>
        <v>-0.0</v>
      </c>
      <c r="CRH55" s="5">
        <f>-IFERROR('4. NPV'!CRI24/'4. NPV'!CRI$8,0)</f>
        <v>-0.0</v>
      </c>
      <c r="CRI55" s="5">
        <f>-IFERROR('4. NPV'!CRJ24/'4. NPV'!CRJ$8,0)</f>
        <v>-0.0</v>
      </c>
      <c r="CRJ55" s="5">
        <f>-IFERROR('4. NPV'!CRK24/'4. NPV'!CRK$8,0)</f>
        <v>-0.0</v>
      </c>
      <c r="CRK55" s="5">
        <f>-IFERROR('4. NPV'!CRL24/'4. NPV'!CRL$8,0)</f>
        <v>-0.0</v>
      </c>
      <c r="CRL55" s="5">
        <f>-IFERROR('4. NPV'!CRM24/'4. NPV'!CRM$8,0)</f>
        <v>-0.0</v>
      </c>
      <c r="CRM55" s="5">
        <f>-IFERROR('4. NPV'!CRN24/'4. NPV'!CRN$8,0)</f>
        <v>-0.0</v>
      </c>
      <c r="CRN55" s="5">
        <f>-IFERROR('4. NPV'!CRO24/'4. NPV'!CRO$8,0)</f>
        <v>-0.0</v>
      </c>
      <c r="CRO55" s="5">
        <f>-IFERROR('4. NPV'!CRP24/'4. NPV'!CRP$8,0)</f>
        <v>-0.0</v>
      </c>
      <c r="CRP55" s="5">
        <f>-IFERROR('4. NPV'!CRQ24/'4. NPV'!CRQ$8,0)</f>
        <v>-0.0</v>
      </c>
      <c r="CRQ55" s="5">
        <f>-IFERROR('4. NPV'!CRR24/'4. NPV'!CRR$8,0)</f>
        <v>-0.0</v>
      </c>
      <c r="CRR55" s="5">
        <f>-IFERROR('4. NPV'!CRS24/'4. NPV'!CRS$8,0)</f>
        <v>-0.0</v>
      </c>
      <c r="CRS55" s="5">
        <f>-IFERROR('4. NPV'!CRT24/'4. NPV'!CRT$8,0)</f>
        <v>-0.0</v>
      </c>
      <c r="CRT55" s="5">
        <f>-IFERROR('4. NPV'!CRU24/'4. NPV'!CRU$8,0)</f>
        <v>-0.0</v>
      </c>
      <c r="CRU55" s="5">
        <f>-IFERROR('4. NPV'!CRV24/'4. NPV'!CRV$8,0)</f>
        <v>-0.0</v>
      </c>
      <c r="CRV55" s="5">
        <f>-IFERROR('4. NPV'!CRW24/'4. NPV'!CRW$8,0)</f>
        <v>-0.0</v>
      </c>
      <c r="CRW55" s="5">
        <f>-IFERROR('4. NPV'!CRX24/'4. NPV'!CRX$8,0)</f>
        <v>-0.0</v>
      </c>
      <c r="CRX55" s="5">
        <f>-IFERROR('4. NPV'!CRY24/'4. NPV'!CRY$8,0)</f>
        <v>-0.0</v>
      </c>
      <c r="CRY55" s="5">
        <f>-IFERROR('4. NPV'!CRZ24/'4. NPV'!CRZ$8,0)</f>
        <v>-0.0</v>
      </c>
      <c r="CRZ55" s="5">
        <f>-IFERROR('4. NPV'!CSA24/'4. NPV'!CSA$8,0)</f>
        <v>-0.0</v>
      </c>
      <c r="CSA55" s="5">
        <f>-IFERROR('4. NPV'!CSB24/'4. NPV'!CSB$8,0)</f>
        <v>-0.0</v>
      </c>
      <c r="CSB55" s="5">
        <f>-IFERROR('4. NPV'!CSC24/'4. NPV'!CSC$8,0)</f>
        <v>-0.0</v>
      </c>
      <c r="CSC55" s="5">
        <f>-IFERROR('4. NPV'!CSD24/'4. NPV'!CSD$8,0)</f>
        <v>-0.0</v>
      </c>
      <c r="CSD55" s="5">
        <f>-IFERROR('4. NPV'!CSE24/'4. NPV'!CSE$8,0)</f>
        <v>-0.0</v>
      </c>
      <c r="CSE55" s="5">
        <f>-IFERROR('4. NPV'!CSF24/'4. NPV'!CSF$8,0)</f>
        <v>-0.0</v>
      </c>
      <c r="CSF55" s="5">
        <f>-IFERROR('4. NPV'!CSG24/'4. NPV'!CSG$8,0)</f>
        <v>-0.0</v>
      </c>
      <c r="CSG55" s="5">
        <f>-IFERROR('4. NPV'!CSH24/'4. NPV'!CSH$8,0)</f>
        <v>-0.0</v>
      </c>
      <c r="CSH55" s="5">
        <f>-IFERROR('4. NPV'!CSI24/'4. NPV'!CSI$8,0)</f>
        <v>-0.0</v>
      </c>
      <c r="CSI55" s="5">
        <f>-IFERROR('4. NPV'!CSJ24/'4. NPV'!CSJ$8,0)</f>
        <v>-0.0</v>
      </c>
      <c r="CSJ55" s="5">
        <f>-IFERROR('4. NPV'!CSK24/'4. NPV'!CSK$8,0)</f>
        <v>-0.0</v>
      </c>
      <c r="CSK55" s="5">
        <f>-IFERROR('4. NPV'!CSL24/'4. NPV'!CSL$8,0)</f>
        <v>-0.0</v>
      </c>
      <c r="CSL55" s="5">
        <f>-IFERROR('4. NPV'!CSM24/'4. NPV'!CSM$8,0)</f>
        <v>-0.0</v>
      </c>
      <c r="CSM55" s="5">
        <f>-IFERROR('4. NPV'!CSN24/'4. NPV'!CSN$8,0)</f>
        <v>-0.0</v>
      </c>
      <c r="CSN55" s="5">
        <f>-IFERROR('4. NPV'!CSO24/'4. NPV'!CSO$8,0)</f>
        <v>-0.0</v>
      </c>
      <c r="CSO55" s="5">
        <f>-IFERROR('4. NPV'!CSP24/'4. NPV'!CSP$8,0)</f>
        <v>-0.0</v>
      </c>
      <c r="CSP55" s="5">
        <f>-IFERROR('4. NPV'!CSQ24/'4. NPV'!CSQ$8,0)</f>
        <v>-0.0</v>
      </c>
      <c r="CSQ55" s="5">
        <f>-IFERROR('4. NPV'!CSR24/'4. NPV'!CSR$8,0)</f>
        <v>-0.0</v>
      </c>
      <c r="CSR55" s="5">
        <f>-IFERROR('4. NPV'!CSS24/'4. NPV'!CSS$8,0)</f>
        <v>-0.0</v>
      </c>
      <c r="CSS55" s="5">
        <f>-IFERROR('4. NPV'!CST24/'4. NPV'!CST$8,0)</f>
        <v>-0.0</v>
      </c>
      <c r="CST55" s="5">
        <f>-IFERROR('4. NPV'!CSU24/'4. NPV'!CSU$8,0)</f>
        <v>-0.0</v>
      </c>
      <c r="CSU55" s="5">
        <f>-IFERROR('4. NPV'!CSV24/'4. NPV'!CSV$8,0)</f>
        <v>-0.0</v>
      </c>
      <c r="CSV55" s="5">
        <f>-IFERROR('4. NPV'!CSW24/'4. NPV'!CSW$8,0)</f>
        <v>-0.0</v>
      </c>
      <c r="CSW55" s="5">
        <f>-IFERROR('4. NPV'!CSX24/'4. NPV'!CSX$8,0)</f>
        <v>-0.0</v>
      </c>
      <c r="CSX55" s="5">
        <f>-IFERROR('4. NPV'!CSY24/'4. NPV'!CSY$8,0)</f>
        <v>-0.0</v>
      </c>
      <c r="CSY55" s="5">
        <f>-IFERROR('4. NPV'!CSZ24/'4. NPV'!CSZ$8,0)</f>
        <v>-0.0</v>
      </c>
      <c r="CSZ55" s="5">
        <f>-IFERROR('4. NPV'!CTA24/'4. NPV'!CTA$8,0)</f>
        <v>-0.0</v>
      </c>
      <c r="CTA55" s="5">
        <f>-IFERROR('4. NPV'!CTB24/'4. NPV'!CTB$8,0)</f>
        <v>-0.0</v>
      </c>
      <c r="CTB55" s="5">
        <f>-IFERROR('4. NPV'!CTC24/'4. NPV'!CTC$8,0)</f>
        <v>-0.0</v>
      </c>
      <c r="CTC55" s="5">
        <f>-IFERROR('4. NPV'!CTD24/'4. NPV'!CTD$8,0)</f>
        <v>-0.0</v>
      </c>
      <c r="CTD55" s="5">
        <f>-IFERROR('4. NPV'!CTE24/'4. NPV'!CTE$8,0)</f>
        <v>-0.0</v>
      </c>
      <c r="CTE55" s="5">
        <f>-IFERROR('4. NPV'!CTF24/'4. NPV'!CTF$8,0)</f>
        <v>-0.0</v>
      </c>
      <c r="CTF55" s="5">
        <f>-IFERROR('4. NPV'!CTG24/'4. NPV'!CTG$8,0)</f>
        <v>-0.0</v>
      </c>
      <c r="CTG55" s="5">
        <f>-IFERROR('4. NPV'!CTH24/'4. NPV'!CTH$8,0)</f>
        <v>-0.0</v>
      </c>
      <c r="CTH55" s="5">
        <f>-IFERROR('4. NPV'!CTI24/'4. NPV'!CTI$8,0)</f>
        <v>-0.0</v>
      </c>
      <c r="CTI55" s="5">
        <f>-IFERROR('4. NPV'!CTJ24/'4. NPV'!CTJ$8,0)</f>
        <v>-0.0</v>
      </c>
      <c r="CTJ55" s="5">
        <f>-IFERROR('4. NPV'!CTK24/'4. NPV'!CTK$8,0)</f>
        <v>-0.0</v>
      </c>
      <c r="CTK55" s="5">
        <f>-IFERROR('4. NPV'!CTL24/'4. NPV'!CTL$8,0)</f>
        <v>-0.0</v>
      </c>
      <c r="CTL55" s="5">
        <f>-IFERROR('4. NPV'!CTM24/'4. NPV'!CTM$8,0)</f>
        <v>-0.0</v>
      </c>
      <c r="CTM55" s="5">
        <f>-IFERROR('4. NPV'!CTN24/'4. NPV'!CTN$8,0)</f>
        <v>-0.0</v>
      </c>
      <c r="CTN55" s="5">
        <f>-IFERROR('4. NPV'!CTO24/'4. NPV'!CTO$8,0)</f>
        <v>-0.0</v>
      </c>
      <c r="CTO55" s="5">
        <f>-IFERROR('4. NPV'!CTP24/'4. NPV'!CTP$8,0)</f>
        <v>-0.0</v>
      </c>
      <c r="CTP55" s="5">
        <f>-IFERROR('4. NPV'!CTQ24/'4. NPV'!CTQ$8,0)</f>
        <v>-0.0</v>
      </c>
      <c r="CTQ55" s="5">
        <f>-IFERROR('4. NPV'!CTR24/'4. NPV'!CTR$8,0)</f>
        <v>-0.0</v>
      </c>
      <c r="CTR55" s="5">
        <f>-IFERROR('4. NPV'!CTS24/'4. NPV'!CTS$8,0)</f>
        <v>-0.0</v>
      </c>
      <c r="CTS55" s="5">
        <f>-IFERROR('4. NPV'!CTT24/'4. NPV'!CTT$8,0)</f>
        <v>-0.0</v>
      </c>
      <c r="CTT55" s="5">
        <f>-IFERROR('4. NPV'!CTU24/'4. NPV'!CTU$8,0)</f>
        <v>-0.0</v>
      </c>
      <c r="CTU55" s="5">
        <f>-IFERROR('4. NPV'!CTV24/'4. NPV'!CTV$8,0)</f>
        <v>-0.0</v>
      </c>
      <c r="CTV55" s="5">
        <f>-IFERROR('4. NPV'!CTW24/'4. NPV'!CTW$8,0)</f>
        <v>-0.0</v>
      </c>
      <c r="CTW55" s="5">
        <f>-IFERROR('4. NPV'!CTX24/'4. NPV'!CTX$8,0)</f>
        <v>-0.0</v>
      </c>
      <c r="CTX55" s="5">
        <f>-IFERROR('4. NPV'!CTY24/'4. NPV'!CTY$8,0)</f>
        <v>-0.0</v>
      </c>
      <c r="CTY55" s="5">
        <f>-IFERROR('4. NPV'!CTZ24/'4. NPV'!CTZ$8,0)</f>
        <v>-0.0</v>
      </c>
      <c r="CTZ55" s="5">
        <f>-IFERROR('4. NPV'!CUA24/'4. NPV'!CUA$8,0)</f>
        <v>-0.0</v>
      </c>
      <c r="CUA55" s="5">
        <f>-IFERROR('4. NPV'!CUB24/'4. NPV'!CUB$8,0)</f>
        <v>-0.0</v>
      </c>
      <c r="CUB55" s="5">
        <f>-IFERROR('4. NPV'!CUC24/'4. NPV'!CUC$8,0)</f>
        <v>-0.0</v>
      </c>
      <c r="CUC55" s="5">
        <f>-IFERROR('4. NPV'!CUD24/'4. NPV'!CUD$8,0)</f>
        <v>-0.0</v>
      </c>
      <c r="CUD55" s="5">
        <f>-IFERROR('4. NPV'!CUE24/'4. NPV'!CUE$8,0)</f>
        <v>-0.0</v>
      </c>
      <c r="CUE55" s="5">
        <f>-IFERROR('4. NPV'!CUF24/'4. NPV'!CUF$8,0)</f>
        <v>-0.0</v>
      </c>
      <c r="CUF55" s="5">
        <f>-IFERROR('4. NPV'!CUG24/'4. NPV'!CUG$8,0)</f>
        <v>-0.0</v>
      </c>
      <c r="CUG55" s="5">
        <f>-IFERROR('4. NPV'!CUH24/'4. NPV'!CUH$8,0)</f>
        <v>-0.0</v>
      </c>
      <c r="CUH55" s="5">
        <f>-IFERROR('4. NPV'!CUI24/'4. NPV'!CUI$8,0)</f>
        <v>-0.0</v>
      </c>
      <c r="CUI55" s="5">
        <f>-IFERROR('4. NPV'!CUJ24/'4. NPV'!CUJ$8,0)</f>
        <v>-0.0</v>
      </c>
      <c r="CUJ55" s="5">
        <f>-IFERROR('4. NPV'!CUK24/'4. NPV'!CUK$8,0)</f>
        <v>-0.0</v>
      </c>
      <c r="CUK55" s="5">
        <f>-IFERROR('4. NPV'!CUL24/'4. NPV'!CUL$8,0)</f>
        <v>-0.0</v>
      </c>
      <c r="CUL55" s="5">
        <f>-IFERROR('4. NPV'!CUM24/'4. NPV'!CUM$8,0)</f>
        <v>-0.0</v>
      </c>
      <c r="CUM55" s="5">
        <f>-IFERROR('4. NPV'!CUN24/'4. NPV'!CUN$8,0)</f>
        <v>-0.0</v>
      </c>
      <c r="CUN55" s="5">
        <f>-IFERROR('4. NPV'!CUO24/'4. NPV'!CUO$8,0)</f>
        <v>-0.0</v>
      </c>
      <c r="CUO55" s="5">
        <f>-IFERROR('4. NPV'!CUP24/'4. NPV'!CUP$8,0)</f>
        <v>-0.0</v>
      </c>
      <c r="CUP55" s="5">
        <f>-IFERROR('4. NPV'!CUQ24/'4. NPV'!CUQ$8,0)</f>
        <v>-0.0</v>
      </c>
      <c r="CUQ55" s="5">
        <f>-IFERROR('4. NPV'!CUR24/'4. NPV'!CUR$8,0)</f>
        <v>-0.0</v>
      </c>
      <c r="CUR55" s="5">
        <f>-IFERROR('4. NPV'!CUS24/'4. NPV'!CUS$8,0)</f>
        <v>-0.0</v>
      </c>
      <c r="CUS55" s="5">
        <f>-IFERROR('4. NPV'!CUT24/'4. NPV'!CUT$8,0)</f>
        <v>-0.0</v>
      </c>
      <c r="CUT55" s="5">
        <f>-IFERROR('4. NPV'!CUU24/'4. NPV'!CUU$8,0)</f>
        <v>-0.0</v>
      </c>
      <c r="CUU55" s="5">
        <f>-IFERROR('4. NPV'!CUV24/'4. NPV'!CUV$8,0)</f>
        <v>-0.0</v>
      </c>
      <c r="CUV55" s="5">
        <f>-IFERROR('4. NPV'!CUW24/'4. NPV'!CUW$8,0)</f>
        <v>-0.0</v>
      </c>
      <c r="CUW55" s="5">
        <f>-IFERROR('4. NPV'!CUX24/'4. NPV'!CUX$8,0)</f>
        <v>-0.0</v>
      </c>
      <c r="CUX55" s="5">
        <f>-IFERROR('4. NPV'!CUY24/'4. NPV'!CUY$8,0)</f>
        <v>-0.0</v>
      </c>
      <c r="CUY55" s="5">
        <f>-IFERROR('4. NPV'!CUZ24/'4. NPV'!CUZ$8,0)</f>
        <v>-0.0</v>
      </c>
      <c r="CUZ55" s="5">
        <f>-IFERROR('4. NPV'!CVA24/'4. NPV'!CVA$8,0)</f>
        <v>-0.0</v>
      </c>
      <c r="CVA55" s="5">
        <f>-IFERROR('4. NPV'!CVB24/'4. NPV'!CVB$8,0)</f>
        <v>-0.0</v>
      </c>
      <c r="CVB55" s="5">
        <f>-IFERROR('4. NPV'!CVC24/'4. NPV'!CVC$8,0)</f>
        <v>-0.0</v>
      </c>
      <c r="CVC55" s="5">
        <f>-IFERROR('4. NPV'!CVD24/'4. NPV'!CVD$8,0)</f>
        <v>-0.0</v>
      </c>
      <c r="CVD55" s="5">
        <f>-IFERROR('4. NPV'!CVE24/'4. NPV'!CVE$8,0)</f>
        <v>-0.0</v>
      </c>
      <c r="CVE55" s="5">
        <f>-IFERROR('4. NPV'!CVF24/'4. NPV'!CVF$8,0)</f>
        <v>-0.0</v>
      </c>
      <c r="CVF55" s="5">
        <f>-IFERROR('4. NPV'!CVG24/'4. NPV'!CVG$8,0)</f>
        <v>-0.0</v>
      </c>
      <c r="CVG55" s="5">
        <f>-IFERROR('4. NPV'!CVH24/'4. NPV'!CVH$8,0)</f>
        <v>-0.0</v>
      </c>
      <c r="CVH55" s="5">
        <f>-IFERROR('4. NPV'!CVI24/'4. NPV'!CVI$8,0)</f>
        <v>-0.0</v>
      </c>
      <c r="CVI55" s="5">
        <f>-IFERROR('4. NPV'!CVJ24/'4. NPV'!CVJ$8,0)</f>
        <v>-0.0</v>
      </c>
      <c r="CVJ55" s="5">
        <f>-IFERROR('4. NPV'!CVK24/'4. NPV'!CVK$8,0)</f>
        <v>-0.0</v>
      </c>
      <c r="CVK55" s="5">
        <f>-IFERROR('4. NPV'!CVL24/'4. NPV'!CVL$8,0)</f>
        <v>-0.0</v>
      </c>
      <c r="CVL55" s="5">
        <f>-IFERROR('4. NPV'!CVM24/'4. NPV'!CVM$8,0)</f>
        <v>-0.0</v>
      </c>
      <c r="CVM55" s="5">
        <f>-IFERROR('4. NPV'!CVN24/'4. NPV'!CVN$8,0)</f>
        <v>-0.0</v>
      </c>
      <c r="CVN55" s="5">
        <f>-IFERROR('4. NPV'!CVO24/'4. NPV'!CVO$8,0)</f>
        <v>-0.0</v>
      </c>
      <c r="CVO55" s="5">
        <f>-IFERROR('4. NPV'!CVP24/'4. NPV'!CVP$8,0)</f>
        <v>-0.0</v>
      </c>
      <c r="CVP55" s="5">
        <f>-IFERROR('4. NPV'!CVQ24/'4. NPV'!CVQ$8,0)</f>
        <v>-0.0</v>
      </c>
      <c r="CVQ55" s="5">
        <f>-IFERROR('4. NPV'!CVR24/'4. NPV'!CVR$8,0)</f>
        <v>-0.0</v>
      </c>
      <c r="CVR55" s="5">
        <f>-IFERROR('4. NPV'!CVS24/'4. NPV'!CVS$8,0)</f>
        <v>-0.0</v>
      </c>
      <c r="CVS55" s="5">
        <f>-IFERROR('4. NPV'!CVT24/'4. NPV'!CVT$8,0)</f>
        <v>-0.0</v>
      </c>
      <c r="CVT55" s="5">
        <f>-IFERROR('4. NPV'!CVU24/'4. NPV'!CVU$8,0)</f>
        <v>-0.0</v>
      </c>
      <c r="CVU55" s="5">
        <f>-IFERROR('4. NPV'!CVV24/'4. NPV'!CVV$8,0)</f>
        <v>-0.0</v>
      </c>
      <c r="CVV55" s="5">
        <f>-IFERROR('4. NPV'!CVW24/'4. NPV'!CVW$8,0)</f>
        <v>-0.0</v>
      </c>
      <c r="CVW55" s="5">
        <f>-IFERROR('4. NPV'!CVX24/'4. NPV'!CVX$8,0)</f>
        <v>-0.0</v>
      </c>
      <c r="CVX55" s="5">
        <f>-IFERROR('4. NPV'!CVY24/'4. NPV'!CVY$8,0)</f>
        <v>-0.0</v>
      </c>
      <c r="CVY55" s="5">
        <f>-IFERROR('4. NPV'!CVZ24/'4. NPV'!CVZ$8,0)</f>
        <v>-0.0</v>
      </c>
      <c r="CVZ55" s="5">
        <f>-IFERROR('4. NPV'!CWA24/'4. NPV'!CWA$8,0)</f>
        <v>-0.0</v>
      </c>
      <c r="CWA55" s="5">
        <f>-IFERROR('4. NPV'!CWB24/'4. NPV'!CWB$8,0)</f>
        <v>-0.0</v>
      </c>
      <c r="CWB55" s="5">
        <f>-IFERROR('4. NPV'!CWC24/'4. NPV'!CWC$8,0)</f>
        <v>-0.0</v>
      </c>
      <c r="CWC55" s="5">
        <f>-IFERROR('4. NPV'!CWD24/'4. NPV'!CWD$8,0)</f>
        <v>-0.0</v>
      </c>
      <c r="CWD55" s="5">
        <f>-IFERROR('4. NPV'!CWE24/'4. NPV'!CWE$8,0)</f>
        <v>-0.0</v>
      </c>
      <c r="CWE55" s="5">
        <f>-IFERROR('4. NPV'!CWF24/'4. NPV'!CWF$8,0)</f>
        <v>-0.0</v>
      </c>
      <c r="CWF55" s="5">
        <f>-IFERROR('4. NPV'!CWG24/'4. NPV'!CWG$8,0)</f>
        <v>-0.0</v>
      </c>
      <c r="CWG55" s="5">
        <f>-IFERROR('4. NPV'!CWH24/'4. NPV'!CWH$8,0)</f>
        <v>-0.0</v>
      </c>
      <c r="CWH55" s="5">
        <f>-IFERROR('4. NPV'!CWI24/'4. NPV'!CWI$8,0)</f>
        <v>-0.0</v>
      </c>
      <c r="CWI55" s="5">
        <f>-IFERROR('4. NPV'!CWJ24/'4. NPV'!CWJ$8,0)</f>
        <v>-0.0</v>
      </c>
      <c r="CWJ55" s="5">
        <f>-IFERROR('4. NPV'!CWK24/'4. NPV'!CWK$8,0)</f>
        <v>-0.0</v>
      </c>
      <c r="CWK55" s="5">
        <f>-IFERROR('4. NPV'!CWL24/'4. NPV'!CWL$8,0)</f>
        <v>-0.0</v>
      </c>
      <c r="CWL55" s="5">
        <f>-IFERROR('4. NPV'!CWM24/'4. NPV'!CWM$8,0)</f>
        <v>-0.0</v>
      </c>
      <c r="CWM55" s="5">
        <f>-IFERROR('4. NPV'!CWN24/'4. NPV'!CWN$8,0)</f>
        <v>-0.0</v>
      </c>
      <c r="CWN55" s="5">
        <f>-IFERROR('4. NPV'!CWO24/'4. NPV'!CWO$8,0)</f>
        <v>-0.0</v>
      </c>
      <c r="CWO55" s="5">
        <f>-IFERROR('4. NPV'!CWP24/'4. NPV'!CWP$8,0)</f>
        <v>-0.0</v>
      </c>
      <c r="CWP55" s="5">
        <f>-IFERROR('4. NPV'!CWQ24/'4. NPV'!CWQ$8,0)</f>
        <v>-0.0</v>
      </c>
      <c r="CWQ55" s="5">
        <f>-IFERROR('4. NPV'!CWR24/'4. NPV'!CWR$8,0)</f>
        <v>-0.0</v>
      </c>
      <c r="CWR55" s="5">
        <f>-IFERROR('4. NPV'!CWS24/'4. NPV'!CWS$8,0)</f>
        <v>-0.0</v>
      </c>
      <c r="CWS55" s="5">
        <f>-IFERROR('4. NPV'!CWT24/'4. NPV'!CWT$8,0)</f>
        <v>-0.0</v>
      </c>
      <c r="CWT55" s="5">
        <f>-IFERROR('4. NPV'!CWU24/'4. NPV'!CWU$8,0)</f>
        <v>-0.0</v>
      </c>
      <c r="CWU55" s="5">
        <f>-IFERROR('4. NPV'!CWV24/'4. NPV'!CWV$8,0)</f>
        <v>-0.0</v>
      </c>
      <c r="CWV55" s="5">
        <f>-IFERROR('4. NPV'!CWW24/'4. NPV'!CWW$8,0)</f>
        <v>-0.0</v>
      </c>
      <c r="CWW55" s="5">
        <f>-IFERROR('4. NPV'!CWX24/'4. NPV'!CWX$8,0)</f>
        <v>-0.0</v>
      </c>
      <c r="CWX55" s="5">
        <f>-IFERROR('4. NPV'!CWY24/'4. NPV'!CWY$8,0)</f>
        <v>-0.0</v>
      </c>
      <c r="CWY55" s="5">
        <f>-IFERROR('4. NPV'!CWZ24/'4. NPV'!CWZ$8,0)</f>
        <v>-0.0</v>
      </c>
      <c r="CWZ55" s="5">
        <f>-IFERROR('4. NPV'!CXA24/'4. NPV'!CXA$8,0)</f>
        <v>-0.0</v>
      </c>
      <c r="CXA55" s="5">
        <f>-IFERROR('4. NPV'!CXB24/'4. NPV'!CXB$8,0)</f>
        <v>-0.0</v>
      </c>
      <c r="CXB55" s="5">
        <f>-IFERROR('4. NPV'!CXC24/'4. NPV'!CXC$8,0)</f>
        <v>-0.0</v>
      </c>
      <c r="CXC55" s="5">
        <f>-IFERROR('4. NPV'!CXD24/'4. NPV'!CXD$8,0)</f>
        <v>-0.0</v>
      </c>
      <c r="CXD55" s="5">
        <f>-IFERROR('4. NPV'!CXE24/'4. NPV'!CXE$8,0)</f>
        <v>-0.0</v>
      </c>
      <c r="CXE55" s="5">
        <f>-IFERROR('4. NPV'!CXF24/'4. NPV'!CXF$8,0)</f>
        <v>-0.0</v>
      </c>
      <c r="CXF55" s="5">
        <f>-IFERROR('4. NPV'!CXG24/'4. NPV'!CXG$8,0)</f>
        <v>-0.0</v>
      </c>
      <c r="CXG55" s="5">
        <f>-IFERROR('4. NPV'!CXH24/'4. NPV'!CXH$8,0)</f>
        <v>-0.0</v>
      </c>
      <c r="CXH55" s="5">
        <f>-IFERROR('4. NPV'!CXI24/'4. NPV'!CXI$8,0)</f>
        <v>-0.0</v>
      </c>
      <c r="CXI55" s="5">
        <f>-IFERROR('4. NPV'!CXJ24/'4. NPV'!CXJ$8,0)</f>
        <v>-0.0</v>
      </c>
      <c r="CXJ55" s="5">
        <f>-IFERROR('4. NPV'!CXK24/'4. NPV'!CXK$8,0)</f>
        <v>-0.0</v>
      </c>
      <c r="CXK55" s="5">
        <f>-IFERROR('4. NPV'!CXL24/'4. NPV'!CXL$8,0)</f>
        <v>-0.0</v>
      </c>
      <c r="CXL55" s="5">
        <f>-IFERROR('4. NPV'!CXM24/'4. NPV'!CXM$8,0)</f>
        <v>-0.0</v>
      </c>
      <c r="CXM55" s="5">
        <f>-IFERROR('4. NPV'!CXN24/'4. NPV'!CXN$8,0)</f>
        <v>-0.0</v>
      </c>
      <c r="CXN55" s="5">
        <f>-IFERROR('4. NPV'!CXO24/'4. NPV'!CXO$8,0)</f>
        <v>-0.0</v>
      </c>
      <c r="CXO55" s="5">
        <f>-IFERROR('4. NPV'!CXP24/'4. NPV'!CXP$8,0)</f>
        <v>-0.0</v>
      </c>
      <c r="CXP55" s="5">
        <f>-IFERROR('4. NPV'!CXQ24/'4. NPV'!CXQ$8,0)</f>
        <v>-0.0</v>
      </c>
      <c r="CXQ55" s="5">
        <f>-IFERROR('4. NPV'!CXR24/'4. NPV'!CXR$8,0)</f>
        <v>-0.0</v>
      </c>
      <c r="CXR55" s="5">
        <f>-IFERROR('4. NPV'!CXS24/'4. NPV'!CXS$8,0)</f>
        <v>-0.0</v>
      </c>
      <c r="CXS55" s="5">
        <f>-IFERROR('4. NPV'!CXT24/'4. NPV'!CXT$8,0)</f>
        <v>-0.0</v>
      </c>
      <c r="CXT55" s="5">
        <f>-IFERROR('4. NPV'!CXU24/'4. NPV'!CXU$8,0)</f>
        <v>-0.0</v>
      </c>
      <c r="CXU55" s="5">
        <f>-IFERROR('4. NPV'!CXV24/'4. NPV'!CXV$8,0)</f>
        <v>-0.0</v>
      </c>
      <c r="CXV55" s="5">
        <f>-IFERROR('4. NPV'!CXW24/'4. NPV'!CXW$8,0)</f>
        <v>-0.0</v>
      </c>
      <c r="CXW55" s="5">
        <f>-IFERROR('4. NPV'!CXX24/'4. NPV'!CXX$8,0)</f>
        <v>-0.0</v>
      </c>
      <c r="CXX55" s="5">
        <f>-IFERROR('4. NPV'!CXY24/'4. NPV'!CXY$8,0)</f>
        <v>-0.0</v>
      </c>
      <c r="CXY55" s="5">
        <f>-IFERROR('4. NPV'!CXZ24/'4. NPV'!CXZ$8,0)</f>
        <v>-0.0</v>
      </c>
      <c r="CXZ55" s="5">
        <f>-IFERROR('4. NPV'!CYA24/'4. NPV'!CYA$8,0)</f>
        <v>-0.0</v>
      </c>
      <c r="CYA55" s="5">
        <f>-IFERROR('4. NPV'!CYB24/'4. NPV'!CYB$8,0)</f>
        <v>-0.0</v>
      </c>
      <c r="CYB55" s="5">
        <f>-IFERROR('4. NPV'!CYC24/'4. NPV'!CYC$8,0)</f>
        <v>-0.0</v>
      </c>
      <c r="CYC55" s="5">
        <f>-IFERROR('4. NPV'!CYD24/'4. NPV'!CYD$8,0)</f>
        <v>-0.0</v>
      </c>
      <c r="CYD55" s="5">
        <f>-IFERROR('4. NPV'!CYE24/'4. NPV'!CYE$8,0)</f>
        <v>-0.0</v>
      </c>
      <c r="CYE55" s="5">
        <f>-IFERROR('4. NPV'!CYF24/'4. NPV'!CYF$8,0)</f>
        <v>-0.0</v>
      </c>
      <c r="CYF55" s="5">
        <f>-IFERROR('4. NPV'!CYG24/'4. NPV'!CYG$8,0)</f>
        <v>-0.0</v>
      </c>
      <c r="CYG55" s="5">
        <f>-IFERROR('4. NPV'!CYH24/'4. NPV'!CYH$8,0)</f>
        <v>-0.0</v>
      </c>
      <c r="CYH55" s="5">
        <f>-IFERROR('4. NPV'!CYI24/'4. NPV'!CYI$8,0)</f>
        <v>-0.0</v>
      </c>
      <c r="CYI55" s="5">
        <f>-IFERROR('4. NPV'!CYJ24/'4. NPV'!CYJ$8,0)</f>
        <v>-0.0</v>
      </c>
      <c r="CYJ55" s="5">
        <f>-IFERROR('4. NPV'!CYK24/'4. NPV'!CYK$8,0)</f>
        <v>-0.0</v>
      </c>
      <c r="CYK55" s="5">
        <f>-IFERROR('4. NPV'!CYL24/'4. NPV'!CYL$8,0)</f>
        <v>-0.0</v>
      </c>
      <c r="CYL55" s="5">
        <f>-IFERROR('4. NPV'!CYM24/'4. NPV'!CYM$8,0)</f>
        <v>-0.0</v>
      </c>
      <c r="CYM55" s="5">
        <f>-IFERROR('4. NPV'!CYN24/'4. NPV'!CYN$8,0)</f>
        <v>-0.0</v>
      </c>
      <c r="CYN55" s="5">
        <f>-IFERROR('4. NPV'!CYO24/'4. NPV'!CYO$8,0)</f>
        <v>-0.0</v>
      </c>
      <c r="CYO55" s="5">
        <f>-IFERROR('4. NPV'!CYP24/'4. NPV'!CYP$8,0)</f>
        <v>-0.0</v>
      </c>
      <c r="CYP55" s="5">
        <f>-IFERROR('4. NPV'!CYQ24/'4. NPV'!CYQ$8,0)</f>
        <v>-0.0</v>
      </c>
      <c r="CYQ55" s="5">
        <f>-IFERROR('4. NPV'!CYR24/'4. NPV'!CYR$8,0)</f>
        <v>-0.0</v>
      </c>
      <c r="CYR55" s="5">
        <f>-IFERROR('4. NPV'!CYS24/'4. NPV'!CYS$8,0)</f>
        <v>-0.0</v>
      </c>
      <c r="CYS55" s="5">
        <f>-IFERROR('4. NPV'!CYT24/'4. NPV'!CYT$8,0)</f>
        <v>-0.0</v>
      </c>
      <c r="CYT55" s="5">
        <f>-IFERROR('4. NPV'!CYU24/'4. NPV'!CYU$8,0)</f>
        <v>-0.0</v>
      </c>
      <c r="CYU55" s="5">
        <f>-IFERROR('4. NPV'!CYV24/'4. NPV'!CYV$8,0)</f>
        <v>-0.0</v>
      </c>
      <c r="CYV55" s="5">
        <f>-IFERROR('4. NPV'!CYW24/'4. NPV'!CYW$8,0)</f>
        <v>-0.0</v>
      </c>
      <c r="CYW55" s="5">
        <f>-IFERROR('4. NPV'!CYX24/'4. NPV'!CYX$8,0)</f>
        <v>-0.0</v>
      </c>
      <c r="CYX55" s="5">
        <f>-IFERROR('4. NPV'!CYY24/'4. NPV'!CYY$8,0)</f>
        <v>-0.0</v>
      </c>
      <c r="CYY55" s="5">
        <f>-IFERROR('4. NPV'!CYZ24/'4. NPV'!CYZ$8,0)</f>
        <v>-0.0</v>
      </c>
      <c r="CYZ55" s="5">
        <f>-IFERROR('4. NPV'!CZA24/'4. NPV'!CZA$8,0)</f>
        <v>-0.0</v>
      </c>
      <c r="CZA55" s="5">
        <f>-IFERROR('4. NPV'!CZB24/'4. NPV'!CZB$8,0)</f>
        <v>-0.0</v>
      </c>
      <c r="CZB55" s="5">
        <f>-IFERROR('4. NPV'!CZC24/'4. NPV'!CZC$8,0)</f>
        <v>-0.0</v>
      </c>
      <c r="CZC55" s="5">
        <f>-IFERROR('4. NPV'!CZD24/'4. NPV'!CZD$8,0)</f>
        <v>-0.0</v>
      </c>
      <c r="CZD55" s="5">
        <f>-IFERROR('4. NPV'!CZE24/'4. NPV'!CZE$8,0)</f>
        <v>-0.0</v>
      </c>
      <c r="CZE55" s="5">
        <f>-IFERROR('4. NPV'!CZF24/'4. NPV'!CZF$8,0)</f>
        <v>-0.0</v>
      </c>
      <c r="CZF55" s="5">
        <f>-IFERROR('4. NPV'!CZG24/'4. NPV'!CZG$8,0)</f>
        <v>-0.0</v>
      </c>
      <c r="CZG55" s="5">
        <f>-IFERROR('4. NPV'!CZH24/'4. NPV'!CZH$8,0)</f>
        <v>-0.0</v>
      </c>
      <c r="CZH55" s="5">
        <f>-IFERROR('4. NPV'!CZI24/'4. NPV'!CZI$8,0)</f>
        <v>-0.0</v>
      </c>
      <c r="CZI55" s="5">
        <f>-IFERROR('4. NPV'!CZJ24/'4. NPV'!CZJ$8,0)</f>
        <v>-0.0</v>
      </c>
      <c r="CZJ55" s="5">
        <f>-IFERROR('4. NPV'!CZK24/'4. NPV'!CZK$8,0)</f>
        <v>-0.0</v>
      </c>
      <c r="CZK55" s="5">
        <f>-IFERROR('4. NPV'!CZL24/'4. NPV'!CZL$8,0)</f>
        <v>-0.0</v>
      </c>
      <c r="CZL55" s="5">
        <f>-IFERROR('4. NPV'!CZM24/'4. NPV'!CZM$8,0)</f>
        <v>-0.0</v>
      </c>
      <c r="CZM55" s="5">
        <f>-IFERROR('4. NPV'!CZN24/'4. NPV'!CZN$8,0)</f>
        <v>-0.0</v>
      </c>
      <c r="CZN55" s="5">
        <f>-IFERROR('4. NPV'!CZO24/'4. NPV'!CZO$8,0)</f>
        <v>-0.0</v>
      </c>
      <c r="CZO55" s="5">
        <f>-IFERROR('4. NPV'!CZP24/'4. NPV'!CZP$8,0)</f>
        <v>-0.0</v>
      </c>
      <c r="CZP55" s="5">
        <f>-IFERROR('4. NPV'!CZQ24/'4. NPV'!CZQ$8,0)</f>
        <v>-0.0</v>
      </c>
      <c r="CZQ55" s="5">
        <f>-IFERROR('4. NPV'!CZR24/'4. NPV'!CZR$8,0)</f>
        <v>-0.0</v>
      </c>
      <c r="CZR55" s="5">
        <f>-IFERROR('4. NPV'!CZS24/'4. NPV'!CZS$8,0)</f>
        <v>-0.0</v>
      </c>
      <c r="CZS55" s="5">
        <f>-IFERROR('4. NPV'!CZT24/'4. NPV'!CZT$8,0)</f>
        <v>-0.0</v>
      </c>
      <c r="CZT55" s="5">
        <f>-IFERROR('4. NPV'!CZU24/'4. NPV'!CZU$8,0)</f>
        <v>-0.0</v>
      </c>
      <c r="CZU55" s="5">
        <f>-IFERROR('4. NPV'!CZV24/'4. NPV'!CZV$8,0)</f>
        <v>-0.0</v>
      </c>
      <c r="CZV55" s="5">
        <f>-IFERROR('4. NPV'!CZW24/'4. NPV'!CZW$8,0)</f>
        <v>-0.0</v>
      </c>
      <c r="CZW55" s="5">
        <f>-IFERROR('4. NPV'!CZX24/'4. NPV'!CZX$8,0)</f>
        <v>-0.0</v>
      </c>
      <c r="CZX55" s="5">
        <f>-IFERROR('4. NPV'!CZY24/'4. NPV'!CZY$8,0)</f>
        <v>-0.0</v>
      </c>
      <c r="CZY55" s="5">
        <f>-IFERROR('4. NPV'!CZZ24/'4. NPV'!CZZ$8,0)</f>
        <v>-0.0</v>
      </c>
      <c r="CZZ55" s="5">
        <f>-IFERROR('4. NPV'!DAA24/'4. NPV'!DAA$8,0)</f>
        <v>-0.0</v>
      </c>
      <c r="DAA55" s="5">
        <f>-IFERROR('4. NPV'!DAB24/'4. NPV'!DAB$8,0)</f>
        <v>-0.0</v>
      </c>
      <c r="DAB55" s="5">
        <f>-IFERROR('4. NPV'!DAC24/'4. NPV'!DAC$8,0)</f>
        <v>-0.0</v>
      </c>
      <c r="DAC55" s="5">
        <f>-IFERROR('4. NPV'!DAD24/'4. NPV'!DAD$8,0)</f>
        <v>-0.0</v>
      </c>
      <c r="DAD55" s="5">
        <f>-IFERROR('4. NPV'!DAE24/'4. NPV'!DAE$8,0)</f>
        <v>-0.0</v>
      </c>
      <c r="DAE55" s="5">
        <f>-IFERROR('4. NPV'!DAF24/'4. NPV'!DAF$8,0)</f>
        <v>-0.0</v>
      </c>
      <c r="DAF55" s="5">
        <f>-IFERROR('4. NPV'!DAG24/'4. NPV'!DAG$8,0)</f>
        <v>-0.0</v>
      </c>
      <c r="DAG55" s="5">
        <f>-IFERROR('4. NPV'!DAH24/'4. NPV'!DAH$8,0)</f>
        <v>-0.0</v>
      </c>
      <c r="DAH55" s="5">
        <f>-IFERROR('4. NPV'!DAI24/'4. NPV'!DAI$8,0)</f>
        <v>-0.0</v>
      </c>
      <c r="DAI55" s="5">
        <f>-IFERROR('4. NPV'!DAJ24/'4. NPV'!DAJ$8,0)</f>
        <v>-0.0</v>
      </c>
      <c r="DAJ55" s="5">
        <f>-IFERROR('4. NPV'!DAK24/'4. NPV'!DAK$8,0)</f>
        <v>-0.0</v>
      </c>
      <c r="DAK55" s="5">
        <f>-IFERROR('4. NPV'!DAL24/'4. NPV'!DAL$8,0)</f>
        <v>-0.0</v>
      </c>
      <c r="DAL55" s="5">
        <f>-IFERROR('4. NPV'!DAM24/'4. NPV'!DAM$8,0)</f>
        <v>-0.0</v>
      </c>
      <c r="DAM55" s="5">
        <f>-IFERROR('4. NPV'!DAN24/'4. NPV'!DAN$8,0)</f>
        <v>-0.0</v>
      </c>
      <c r="DAN55" s="5">
        <f>-IFERROR('4. NPV'!DAO24/'4. NPV'!DAO$8,0)</f>
        <v>-0.0</v>
      </c>
      <c r="DAO55" s="5">
        <f>-IFERROR('4. NPV'!DAP24/'4. NPV'!DAP$8,0)</f>
        <v>-0.0</v>
      </c>
      <c r="DAP55" s="5">
        <f>-IFERROR('4. NPV'!DAQ24/'4. NPV'!DAQ$8,0)</f>
        <v>-0.0</v>
      </c>
      <c r="DAQ55" s="5">
        <f>-IFERROR('4. NPV'!DAR24/'4. NPV'!DAR$8,0)</f>
        <v>-0.0</v>
      </c>
      <c r="DAR55" s="5">
        <f>-IFERROR('4. NPV'!DAS24/'4. NPV'!DAS$8,0)</f>
        <v>-0.0</v>
      </c>
      <c r="DAS55" s="5">
        <f>-IFERROR('4. NPV'!DAT24/'4. NPV'!DAT$8,0)</f>
        <v>-0.0</v>
      </c>
      <c r="DAT55" s="5">
        <f>-IFERROR('4. NPV'!DAU24/'4. NPV'!DAU$8,0)</f>
        <v>-0.0</v>
      </c>
      <c r="DAU55" s="5">
        <f>-IFERROR('4. NPV'!DAV24/'4. NPV'!DAV$8,0)</f>
        <v>-0.0</v>
      </c>
      <c r="DAV55" s="5">
        <f>-IFERROR('4. NPV'!DAW24/'4. NPV'!DAW$8,0)</f>
        <v>-0.0</v>
      </c>
      <c r="DAW55" s="5">
        <f>-IFERROR('4. NPV'!DAX24/'4. NPV'!DAX$8,0)</f>
        <v>-0.0</v>
      </c>
      <c r="DAX55" s="5">
        <f>-IFERROR('4. NPV'!DAY24/'4. NPV'!DAY$8,0)</f>
        <v>-0.0</v>
      </c>
      <c r="DAY55" s="5">
        <f>-IFERROR('4. NPV'!DAZ24/'4. NPV'!DAZ$8,0)</f>
        <v>-0.0</v>
      </c>
      <c r="DAZ55" s="5">
        <f>-IFERROR('4. NPV'!DBA24/'4. NPV'!DBA$8,0)</f>
        <v>-0.0</v>
      </c>
      <c r="DBA55" s="5">
        <f>-IFERROR('4. NPV'!DBB24/'4. NPV'!DBB$8,0)</f>
        <v>-0.0</v>
      </c>
      <c r="DBB55" s="5">
        <f>-IFERROR('4. NPV'!DBC24/'4. NPV'!DBC$8,0)</f>
        <v>-0.0</v>
      </c>
      <c r="DBC55" s="5">
        <f>-IFERROR('4. NPV'!DBD24/'4. NPV'!DBD$8,0)</f>
        <v>-0.0</v>
      </c>
      <c r="DBD55" s="5">
        <f>-IFERROR('4. NPV'!DBE24/'4. NPV'!DBE$8,0)</f>
        <v>-0.0</v>
      </c>
      <c r="DBE55" s="5">
        <f>-IFERROR('4. NPV'!DBF24/'4. NPV'!DBF$8,0)</f>
        <v>-0.0</v>
      </c>
      <c r="DBF55" s="5">
        <f>-IFERROR('4. NPV'!DBG24/'4. NPV'!DBG$8,0)</f>
        <v>-0.0</v>
      </c>
      <c r="DBG55" s="5">
        <f>-IFERROR('4. NPV'!DBH24/'4. NPV'!DBH$8,0)</f>
        <v>-0.0</v>
      </c>
      <c r="DBH55" s="5">
        <f>-IFERROR('4. NPV'!DBI24/'4. NPV'!DBI$8,0)</f>
        <v>-0.0</v>
      </c>
      <c r="DBI55" s="5">
        <f>-IFERROR('4. NPV'!DBJ24/'4. NPV'!DBJ$8,0)</f>
        <v>-0.0</v>
      </c>
      <c r="DBJ55" s="5">
        <f>-IFERROR('4. NPV'!DBK24/'4. NPV'!DBK$8,0)</f>
        <v>-0.0</v>
      </c>
      <c r="DBK55" s="5">
        <f>-IFERROR('4. NPV'!DBL24/'4. NPV'!DBL$8,0)</f>
        <v>-0.0</v>
      </c>
      <c r="DBL55" s="5">
        <f>-IFERROR('4. NPV'!DBM24/'4. NPV'!DBM$8,0)</f>
        <v>-0.0</v>
      </c>
      <c r="DBM55" s="5">
        <f>-IFERROR('4. NPV'!DBN24/'4. NPV'!DBN$8,0)</f>
        <v>-0.0</v>
      </c>
      <c r="DBN55" s="5">
        <f>-IFERROR('4. NPV'!DBO24/'4. NPV'!DBO$8,0)</f>
        <v>-0.0</v>
      </c>
      <c r="DBO55" s="5">
        <f>-IFERROR('4. NPV'!DBP24/'4. NPV'!DBP$8,0)</f>
        <v>-0.0</v>
      </c>
      <c r="DBP55" s="5">
        <f>-IFERROR('4. NPV'!DBQ24/'4. NPV'!DBQ$8,0)</f>
        <v>-0.0</v>
      </c>
      <c r="DBQ55" s="5">
        <f>-IFERROR('4. NPV'!DBR24/'4. NPV'!DBR$8,0)</f>
        <v>-0.0</v>
      </c>
      <c r="DBR55" s="5">
        <f>-IFERROR('4. NPV'!DBS24/'4. NPV'!DBS$8,0)</f>
        <v>-0.0</v>
      </c>
      <c r="DBS55" s="5">
        <f>-IFERROR('4. NPV'!DBT24/'4. NPV'!DBT$8,0)</f>
        <v>-0.0</v>
      </c>
      <c r="DBT55" s="5">
        <f>-IFERROR('4. NPV'!DBU24/'4. NPV'!DBU$8,0)</f>
        <v>-0.0</v>
      </c>
      <c r="DBU55" s="5">
        <f>-IFERROR('4. NPV'!DBV24/'4. NPV'!DBV$8,0)</f>
        <v>-0.0</v>
      </c>
      <c r="DBV55" s="5">
        <f>-IFERROR('4. NPV'!DBW24/'4. NPV'!DBW$8,0)</f>
        <v>-0.0</v>
      </c>
      <c r="DBW55" s="5">
        <f>-IFERROR('4. NPV'!DBX24/'4. NPV'!DBX$8,0)</f>
        <v>-0.0</v>
      </c>
      <c r="DBX55" s="5">
        <f>-IFERROR('4. NPV'!DBY24/'4. NPV'!DBY$8,0)</f>
        <v>-0.0</v>
      </c>
      <c r="DBY55" s="5">
        <f>-IFERROR('4. NPV'!DBZ24/'4. NPV'!DBZ$8,0)</f>
        <v>-0.0</v>
      </c>
      <c r="DBZ55" s="5">
        <f>-IFERROR('4. NPV'!DCA24/'4. NPV'!DCA$8,0)</f>
        <v>-0.0</v>
      </c>
      <c r="DCA55" s="5">
        <f>-IFERROR('4. NPV'!DCB24/'4. NPV'!DCB$8,0)</f>
        <v>-0.0</v>
      </c>
      <c r="DCB55" s="5">
        <f>-IFERROR('4. NPV'!DCC24/'4. NPV'!DCC$8,0)</f>
        <v>-0.0</v>
      </c>
      <c r="DCC55" s="5">
        <f>-IFERROR('4. NPV'!DCD24/'4. NPV'!DCD$8,0)</f>
        <v>-0.0</v>
      </c>
      <c r="DCD55" s="5">
        <f>-IFERROR('4. NPV'!DCE24/'4. NPV'!DCE$8,0)</f>
        <v>-0.0</v>
      </c>
      <c r="DCE55" s="5">
        <f>-IFERROR('4. NPV'!DCF24/'4. NPV'!DCF$8,0)</f>
        <v>-0.0</v>
      </c>
      <c r="DCF55" s="5">
        <f>-IFERROR('4. NPV'!DCG24/'4. NPV'!DCG$8,0)</f>
        <v>-0.0</v>
      </c>
      <c r="DCG55" s="5">
        <f>-IFERROR('4. NPV'!DCH24/'4. NPV'!DCH$8,0)</f>
        <v>-0.0</v>
      </c>
      <c r="DCH55" s="5">
        <f>-IFERROR('4. NPV'!DCI24/'4. NPV'!DCI$8,0)</f>
        <v>-0.0</v>
      </c>
      <c r="DCI55" s="5">
        <f>-IFERROR('4. NPV'!DCJ24/'4. NPV'!DCJ$8,0)</f>
        <v>-0.0</v>
      </c>
      <c r="DCJ55" s="5">
        <f>-IFERROR('4. NPV'!DCK24/'4. NPV'!DCK$8,0)</f>
        <v>-0.0</v>
      </c>
      <c r="DCK55" s="5">
        <f>-IFERROR('4. NPV'!DCL24/'4. NPV'!DCL$8,0)</f>
        <v>-0.0</v>
      </c>
      <c r="DCL55" s="5">
        <f>-IFERROR('4. NPV'!DCM24/'4. NPV'!DCM$8,0)</f>
        <v>-0.0</v>
      </c>
      <c r="DCM55" s="5">
        <f>-IFERROR('4. NPV'!DCN24/'4. NPV'!DCN$8,0)</f>
        <v>-0.0</v>
      </c>
      <c r="DCN55" s="5">
        <f>-IFERROR('4. NPV'!DCO24/'4. NPV'!DCO$8,0)</f>
        <v>-0.0</v>
      </c>
      <c r="DCO55" s="5">
        <f>-IFERROR('4. NPV'!DCP24/'4. NPV'!DCP$8,0)</f>
        <v>-0.0</v>
      </c>
      <c r="DCP55" s="5">
        <f>-IFERROR('4. NPV'!DCQ24/'4. NPV'!DCQ$8,0)</f>
        <v>-0.0</v>
      </c>
      <c r="DCQ55" s="5">
        <f>-IFERROR('4. NPV'!DCR24/'4. NPV'!DCR$8,0)</f>
        <v>-0.0</v>
      </c>
      <c r="DCR55" s="5">
        <f>-IFERROR('4. NPV'!DCS24/'4. NPV'!DCS$8,0)</f>
        <v>-0.0</v>
      </c>
      <c r="DCS55" s="5">
        <f>-IFERROR('4. NPV'!DCT24/'4. NPV'!DCT$8,0)</f>
        <v>-0.0</v>
      </c>
      <c r="DCT55" s="5">
        <f>-IFERROR('4. NPV'!DCU24/'4. NPV'!DCU$8,0)</f>
        <v>-0.0</v>
      </c>
      <c r="DCU55" s="5">
        <f>-IFERROR('4. NPV'!DCV24/'4. NPV'!DCV$8,0)</f>
        <v>-0.0</v>
      </c>
      <c r="DCV55" s="5">
        <f>-IFERROR('4. NPV'!DCW24/'4. NPV'!DCW$8,0)</f>
        <v>-0.0</v>
      </c>
      <c r="DCW55" s="5">
        <f>-IFERROR('4. NPV'!DCX24/'4. NPV'!DCX$8,0)</f>
        <v>-0.0</v>
      </c>
      <c r="DCX55" s="5">
        <f>-IFERROR('4. NPV'!DCY24/'4. NPV'!DCY$8,0)</f>
        <v>-0.0</v>
      </c>
      <c r="DCY55" s="5">
        <f>-IFERROR('4. NPV'!DCZ24/'4. NPV'!DCZ$8,0)</f>
        <v>-0.0</v>
      </c>
      <c r="DCZ55" s="5">
        <f>-IFERROR('4. NPV'!DDA24/'4. NPV'!DDA$8,0)</f>
        <v>-0.0</v>
      </c>
      <c r="DDA55" s="5">
        <f>-IFERROR('4. NPV'!DDB24/'4. NPV'!DDB$8,0)</f>
        <v>-0.0</v>
      </c>
      <c r="DDB55" s="5">
        <f>-IFERROR('4. NPV'!DDC24/'4. NPV'!DDC$8,0)</f>
        <v>-0.0</v>
      </c>
      <c r="DDC55" s="5">
        <f>-IFERROR('4. NPV'!DDD24/'4. NPV'!DDD$8,0)</f>
        <v>-0.0</v>
      </c>
      <c r="DDD55" s="5">
        <f>-IFERROR('4. NPV'!DDE24/'4. NPV'!DDE$8,0)</f>
        <v>-0.0</v>
      </c>
      <c r="DDE55" s="5">
        <f>-IFERROR('4. NPV'!DDF24/'4. NPV'!DDF$8,0)</f>
        <v>-0.0</v>
      </c>
      <c r="DDF55" s="5">
        <f>-IFERROR('4. NPV'!DDG24/'4. NPV'!DDG$8,0)</f>
        <v>-0.0</v>
      </c>
      <c r="DDG55" s="5">
        <f>-IFERROR('4. NPV'!DDH24/'4. NPV'!DDH$8,0)</f>
        <v>-0.0</v>
      </c>
      <c r="DDH55" s="5">
        <f>-IFERROR('4. NPV'!DDI24/'4. NPV'!DDI$8,0)</f>
        <v>-0.0</v>
      </c>
      <c r="DDI55" s="5">
        <f>-IFERROR('4. NPV'!DDJ24/'4. NPV'!DDJ$8,0)</f>
        <v>-0.0</v>
      </c>
      <c r="DDJ55" s="5">
        <f>-IFERROR('4. NPV'!DDK24/'4. NPV'!DDK$8,0)</f>
        <v>-0.0</v>
      </c>
      <c r="DDK55" s="5">
        <f>-IFERROR('4. NPV'!DDL24/'4. NPV'!DDL$8,0)</f>
        <v>-0.0</v>
      </c>
      <c r="DDL55" s="5">
        <f>-IFERROR('4. NPV'!DDM24/'4. NPV'!DDM$8,0)</f>
        <v>-0.0</v>
      </c>
      <c r="DDM55" s="5">
        <f>-IFERROR('4. NPV'!DDN24/'4. NPV'!DDN$8,0)</f>
        <v>-0.0</v>
      </c>
      <c r="DDN55" s="5">
        <f>-IFERROR('4. NPV'!DDO24/'4. NPV'!DDO$8,0)</f>
        <v>-0.0</v>
      </c>
      <c r="DDO55" s="5">
        <f>-IFERROR('4. NPV'!DDP24/'4. NPV'!DDP$8,0)</f>
        <v>-0.0</v>
      </c>
      <c r="DDP55" s="5">
        <f>-IFERROR('4. NPV'!DDQ24/'4. NPV'!DDQ$8,0)</f>
        <v>-0.0</v>
      </c>
      <c r="DDQ55" s="5">
        <f>-IFERROR('4. NPV'!DDR24/'4. NPV'!DDR$8,0)</f>
        <v>-0.0</v>
      </c>
      <c r="DDR55" s="5">
        <f>-IFERROR('4. NPV'!DDS24/'4. NPV'!DDS$8,0)</f>
        <v>-0.0</v>
      </c>
      <c r="DDS55" s="5">
        <f>-IFERROR('4. NPV'!DDT24/'4. NPV'!DDT$8,0)</f>
        <v>-0.0</v>
      </c>
      <c r="DDT55" s="5">
        <f>-IFERROR('4. NPV'!DDU24/'4. NPV'!DDU$8,0)</f>
        <v>-0.0</v>
      </c>
      <c r="DDU55" s="5">
        <f>-IFERROR('4. NPV'!DDV24/'4. NPV'!DDV$8,0)</f>
        <v>-0.0</v>
      </c>
      <c r="DDV55" s="5">
        <f>-IFERROR('4. NPV'!DDW24/'4. NPV'!DDW$8,0)</f>
        <v>-0.0</v>
      </c>
      <c r="DDW55" s="5">
        <f>-IFERROR('4. NPV'!DDX24/'4. NPV'!DDX$8,0)</f>
        <v>-0.0</v>
      </c>
      <c r="DDX55" s="5">
        <f>-IFERROR('4. NPV'!DDY24/'4. NPV'!DDY$8,0)</f>
        <v>-0.0</v>
      </c>
      <c r="DDY55" s="5">
        <f>-IFERROR('4. NPV'!DDZ24/'4. NPV'!DDZ$8,0)</f>
        <v>-0.0</v>
      </c>
      <c r="DDZ55" s="5">
        <f>-IFERROR('4. NPV'!DEA24/'4. NPV'!DEA$8,0)</f>
        <v>-0.0</v>
      </c>
      <c r="DEA55" s="5">
        <f>-IFERROR('4. NPV'!DEB24/'4. NPV'!DEB$8,0)</f>
        <v>-0.0</v>
      </c>
      <c r="DEB55" s="5">
        <f>-IFERROR('4. NPV'!DEC24/'4. NPV'!DEC$8,0)</f>
        <v>-0.0</v>
      </c>
      <c r="DEC55" s="5">
        <f>-IFERROR('4. NPV'!DED24/'4. NPV'!DED$8,0)</f>
        <v>-0.0</v>
      </c>
      <c r="DED55" s="5">
        <f>-IFERROR('4. NPV'!DEE24/'4. NPV'!DEE$8,0)</f>
        <v>-0.0</v>
      </c>
      <c r="DEE55" s="5">
        <f>-IFERROR('4. NPV'!DEF24/'4. NPV'!DEF$8,0)</f>
        <v>-0.0</v>
      </c>
      <c r="DEF55" s="5">
        <f>-IFERROR('4. NPV'!DEG24/'4. NPV'!DEG$8,0)</f>
        <v>-0.0</v>
      </c>
      <c r="DEG55" s="5">
        <f>-IFERROR('4. NPV'!DEH24/'4. NPV'!DEH$8,0)</f>
        <v>-0.0</v>
      </c>
      <c r="DEH55" s="5">
        <f>-IFERROR('4. NPV'!DEI24/'4. NPV'!DEI$8,0)</f>
        <v>-0.0</v>
      </c>
      <c r="DEI55" s="5">
        <f>-IFERROR('4. NPV'!DEJ24/'4. NPV'!DEJ$8,0)</f>
        <v>-0.0</v>
      </c>
      <c r="DEJ55" s="5">
        <f>-IFERROR('4. NPV'!DEK24/'4. NPV'!DEK$8,0)</f>
        <v>-0.0</v>
      </c>
      <c r="DEK55" s="5">
        <f>-IFERROR('4. NPV'!DEL24/'4. NPV'!DEL$8,0)</f>
        <v>-0.0</v>
      </c>
      <c r="DEL55" s="5">
        <f>-IFERROR('4. NPV'!DEM24/'4. NPV'!DEM$8,0)</f>
        <v>-0.0</v>
      </c>
      <c r="DEM55" s="5">
        <f>-IFERROR('4. NPV'!DEN24/'4. NPV'!DEN$8,0)</f>
        <v>-0.0</v>
      </c>
      <c r="DEN55" s="5">
        <f>-IFERROR('4. NPV'!DEO24/'4. NPV'!DEO$8,0)</f>
        <v>-0.0</v>
      </c>
      <c r="DEO55" s="5">
        <f>-IFERROR('4. NPV'!DEP24/'4. NPV'!DEP$8,0)</f>
        <v>-0.0</v>
      </c>
      <c r="DEP55" s="5">
        <f>-IFERROR('4. NPV'!DEQ24/'4. NPV'!DEQ$8,0)</f>
        <v>-0.0</v>
      </c>
      <c r="DEQ55" s="5">
        <f>-IFERROR('4. NPV'!DER24/'4. NPV'!DER$8,0)</f>
        <v>-0.0</v>
      </c>
      <c r="DER55" s="5">
        <f>-IFERROR('4. NPV'!DES24/'4. NPV'!DES$8,0)</f>
        <v>-0.0</v>
      </c>
      <c r="DES55" s="5">
        <f>-IFERROR('4. NPV'!DET24/'4. NPV'!DET$8,0)</f>
        <v>-0.0</v>
      </c>
      <c r="DET55" s="5">
        <f>-IFERROR('4. NPV'!DEU24/'4. NPV'!DEU$8,0)</f>
        <v>-0.0</v>
      </c>
      <c r="DEU55" s="5">
        <f>-IFERROR('4. NPV'!DEV24/'4. NPV'!DEV$8,0)</f>
        <v>-0.0</v>
      </c>
      <c r="DEV55" s="5">
        <f>-IFERROR('4. NPV'!DEW24/'4. NPV'!DEW$8,0)</f>
        <v>-0.0</v>
      </c>
      <c r="DEW55" s="5">
        <f>-IFERROR('4. NPV'!DEX24/'4. NPV'!DEX$8,0)</f>
        <v>-0.0</v>
      </c>
      <c r="DEX55" s="5">
        <f>-IFERROR('4. NPV'!DEY24/'4. NPV'!DEY$8,0)</f>
        <v>-0.0</v>
      </c>
      <c r="DEY55" s="5">
        <f>-IFERROR('4. NPV'!DEZ24/'4. NPV'!DEZ$8,0)</f>
        <v>-0.0</v>
      </c>
      <c r="DEZ55" s="5">
        <f>-IFERROR('4. NPV'!DFA24/'4. NPV'!DFA$8,0)</f>
        <v>-0.0</v>
      </c>
      <c r="DFA55" s="5">
        <f>-IFERROR('4. NPV'!DFB24/'4. NPV'!DFB$8,0)</f>
        <v>-0.0</v>
      </c>
      <c r="DFB55" s="5">
        <f>-IFERROR('4. NPV'!DFC24/'4. NPV'!DFC$8,0)</f>
        <v>-0.0</v>
      </c>
      <c r="DFC55" s="5">
        <f>-IFERROR('4. NPV'!DFD24/'4. NPV'!DFD$8,0)</f>
        <v>-0.0</v>
      </c>
      <c r="DFD55" s="5">
        <f>-IFERROR('4. NPV'!DFE24/'4. NPV'!DFE$8,0)</f>
        <v>-0.0</v>
      </c>
      <c r="DFE55" s="5">
        <f>-IFERROR('4. NPV'!DFF24/'4. NPV'!DFF$8,0)</f>
        <v>-0.0</v>
      </c>
      <c r="DFF55" s="5">
        <f>-IFERROR('4. NPV'!DFG24/'4. NPV'!DFG$8,0)</f>
        <v>-0.0</v>
      </c>
      <c r="DFG55" s="5">
        <f>-IFERROR('4. NPV'!DFH24/'4. NPV'!DFH$8,0)</f>
        <v>-0.0</v>
      </c>
      <c r="DFH55" s="5">
        <f>-IFERROR('4. NPV'!DFI24/'4. NPV'!DFI$8,0)</f>
        <v>-0.0</v>
      </c>
      <c r="DFI55" s="5">
        <f>-IFERROR('4. NPV'!DFJ24/'4. NPV'!DFJ$8,0)</f>
        <v>-0.0</v>
      </c>
      <c r="DFJ55" s="5">
        <f>-IFERROR('4. NPV'!DFK24/'4. NPV'!DFK$8,0)</f>
        <v>-0.0</v>
      </c>
      <c r="DFK55" s="5">
        <f>-IFERROR('4. NPV'!DFL24/'4. NPV'!DFL$8,0)</f>
        <v>-0.0</v>
      </c>
      <c r="DFL55" s="5">
        <f>-IFERROR('4. NPV'!DFM24/'4. NPV'!DFM$8,0)</f>
        <v>-0.0</v>
      </c>
      <c r="DFM55" s="5">
        <f>-IFERROR('4. NPV'!DFN24/'4. NPV'!DFN$8,0)</f>
        <v>-0.0</v>
      </c>
      <c r="DFN55" s="5">
        <f>-IFERROR('4. NPV'!DFO24/'4. NPV'!DFO$8,0)</f>
        <v>-0.0</v>
      </c>
      <c r="DFO55" s="5">
        <f>-IFERROR('4. NPV'!DFP24/'4. NPV'!DFP$8,0)</f>
        <v>-0.0</v>
      </c>
      <c r="DFP55" s="5">
        <f>-IFERROR('4. NPV'!DFQ24/'4. NPV'!DFQ$8,0)</f>
        <v>-0.0</v>
      </c>
      <c r="DFQ55" s="5">
        <f>-IFERROR('4. NPV'!DFR24/'4. NPV'!DFR$8,0)</f>
        <v>-0.0</v>
      </c>
      <c r="DFR55" s="5">
        <f>-IFERROR('4. NPV'!DFS24/'4. NPV'!DFS$8,0)</f>
        <v>-0.0</v>
      </c>
      <c r="DFS55" s="5">
        <f>-IFERROR('4. NPV'!DFT24/'4. NPV'!DFT$8,0)</f>
        <v>-0.0</v>
      </c>
      <c r="DFT55" s="5">
        <f>-IFERROR('4. NPV'!DFU24/'4. NPV'!DFU$8,0)</f>
        <v>-0.0</v>
      </c>
      <c r="DFU55" s="5">
        <f>-IFERROR('4. NPV'!DFV24/'4. NPV'!DFV$8,0)</f>
        <v>-0.0</v>
      </c>
      <c r="DFV55" s="5">
        <f>-IFERROR('4. NPV'!DFW24/'4. NPV'!DFW$8,0)</f>
        <v>-0.0</v>
      </c>
      <c r="DFW55" s="5">
        <f>-IFERROR('4. NPV'!DFX24/'4. NPV'!DFX$8,0)</f>
        <v>-0.0</v>
      </c>
      <c r="DFX55" s="5">
        <f>-IFERROR('4. NPV'!DFY24/'4. NPV'!DFY$8,0)</f>
        <v>-0.0</v>
      </c>
      <c r="DFY55" s="5">
        <f>-IFERROR('4. NPV'!DFZ24/'4. NPV'!DFZ$8,0)</f>
        <v>-0.0</v>
      </c>
      <c r="DFZ55" s="5">
        <f>-IFERROR('4. NPV'!DGA24/'4. NPV'!DGA$8,0)</f>
        <v>-0.0</v>
      </c>
      <c r="DGA55" s="5">
        <f>-IFERROR('4. NPV'!DGB24/'4. NPV'!DGB$8,0)</f>
        <v>-0.0</v>
      </c>
      <c r="DGB55" s="5">
        <f>-IFERROR('4. NPV'!DGC24/'4. NPV'!DGC$8,0)</f>
        <v>-0.0</v>
      </c>
      <c r="DGC55" s="5">
        <f>-IFERROR('4. NPV'!DGD24/'4. NPV'!DGD$8,0)</f>
        <v>-0.0</v>
      </c>
      <c r="DGD55" s="5">
        <f>-IFERROR('4. NPV'!DGE24/'4. NPV'!DGE$8,0)</f>
        <v>-0.0</v>
      </c>
      <c r="DGE55" s="5">
        <f>-IFERROR('4. NPV'!DGF24/'4. NPV'!DGF$8,0)</f>
        <v>-0.0</v>
      </c>
      <c r="DGF55" s="5">
        <f>-IFERROR('4. NPV'!DGG24/'4. NPV'!DGG$8,0)</f>
        <v>-0.0</v>
      </c>
      <c r="DGG55" s="5">
        <f>-IFERROR('4. NPV'!DGH24/'4. NPV'!DGH$8,0)</f>
        <v>-0.0</v>
      </c>
      <c r="DGH55" s="5">
        <f>-IFERROR('4. NPV'!DGI24/'4. NPV'!DGI$8,0)</f>
        <v>-0.0</v>
      </c>
      <c r="DGI55" s="5">
        <f>-IFERROR('4. NPV'!DGJ24/'4. NPV'!DGJ$8,0)</f>
        <v>-0.0</v>
      </c>
      <c r="DGJ55" s="5">
        <f>-IFERROR('4. NPV'!DGK24/'4. NPV'!DGK$8,0)</f>
        <v>-0.0</v>
      </c>
      <c r="DGK55" s="5">
        <f>-IFERROR('4. NPV'!DGL24/'4. NPV'!DGL$8,0)</f>
        <v>-0.0</v>
      </c>
      <c r="DGL55" s="5">
        <f>-IFERROR('4. NPV'!DGM24/'4. NPV'!DGM$8,0)</f>
        <v>-0.0</v>
      </c>
      <c r="DGM55" s="5">
        <f>-IFERROR('4. NPV'!DGN24/'4. NPV'!DGN$8,0)</f>
        <v>-0.0</v>
      </c>
      <c r="DGN55" s="5">
        <f>-IFERROR('4. NPV'!DGO24/'4. NPV'!DGO$8,0)</f>
        <v>-0.0</v>
      </c>
      <c r="DGO55" s="5">
        <f>-IFERROR('4. NPV'!DGP24/'4. NPV'!DGP$8,0)</f>
        <v>-0.0</v>
      </c>
      <c r="DGP55" s="5">
        <f>-IFERROR('4. NPV'!DGQ24/'4. NPV'!DGQ$8,0)</f>
        <v>-0.0</v>
      </c>
      <c r="DGQ55" s="5">
        <f>-IFERROR('4. NPV'!DGR24/'4. NPV'!DGR$8,0)</f>
        <v>-0.0</v>
      </c>
      <c r="DGR55" s="5">
        <f>-IFERROR('4. NPV'!DGS24/'4. NPV'!DGS$8,0)</f>
        <v>-0.0</v>
      </c>
      <c r="DGS55" s="5">
        <f>-IFERROR('4. NPV'!DGT24/'4. NPV'!DGT$8,0)</f>
        <v>-0.0</v>
      </c>
      <c r="DGT55" s="5">
        <f>-IFERROR('4. NPV'!DGU24/'4. NPV'!DGU$8,0)</f>
        <v>-0.0</v>
      </c>
      <c r="DGU55" s="5">
        <f>-IFERROR('4. NPV'!DGV24/'4. NPV'!DGV$8,0)</f>
        <v>-0.0</v>
      </c>
      <c r="DGV55" s="5">
        <f>-IFERROR('4. NPV'!DGW24/'4. NPV'!DGW$8,0)</f>
        <v>-0.0</v>
      </c>
      <c r="DGW55" s="5">
        <f>-IFERROR('4. NPV'!DGX24/'4. NPV'!DGX$8,0)</f>
        <v>-0.0</v>
      </c>
      <c r="DGX55" s="5">
        <f>-IFERROR('4. NPV'!DGY24/'4. NPV'!DGY$8,0)</f>
        <v>-0.0</v>
      </c>
      <c r="DGY55" s="5">
        <f>-IFERROR('4. NPV'!DGZ24/'4. NPV'!DGZ$8,0)</f>
        <v>-0.0</v>
      </c>
      <c r="DGZ55" s="5">
        <f>-IFERROR('4. NPV'!DHA24/'4. NPV'!DHA$8,0)</f>
        <v>-0.0</v>
      </c>
      <c r="DHA55" s="5">
        <f>-IFERROR('4. NPV'!DHB24/'4. NPV'!DHB$8,0)</f>
        <v>-0.0</v>
      </c>
      <c r="DHB55" s="5">
        <f>-IFERROR('4. NPV'!DHC24/'4. NPV'!DHC$8,0)</f>
        <v>-0.0</v>
      </c>
      <c r="DHC55" s="5">
        <f>-IFERROR('4. NPV'!DHD24/'4. NPV'!DHD$8,0)</f>
        <v>-0.0</v>
      </c>
      <c r="DHD55" s="5">
        <f>-IFERROR('4. NPV'!DHE24/'4. NPV'!DHE$8,0)</f>
        <v>-0.0</v>
      </c>
      <c r="DHE55" s="5">
        <f>-IFERROR('4. NPV'!DHF24/'4. NPV'!DHF$8,0)</f>
        <v>-0.0</v>
      </c>
      <c r="DHF55" s="5">
        <f>-IFERROR('4. NPV'!DHG24/'4. NPV'!DHG$8,0)</f>
        <v>-0.0</v>
      </c>
      <c r="DHG55" s="5">
        <f>-IFERROR('4. NPV'!DHH24/'4. NPV'!DHH$8,0)</f>
        <v>-0.0</v>
      </c>
      <c r="DHH55" s="5">
        <f>-IFERROR('4. NPV'!DHI24/'4. NPV'!DHI$8,0)</f>
        <v>-0.0</v>
      </c>
      <c r="DHI55" s="5">
        <f>-IFERROR('4. NPV'!DHJ24/'4. NPV'!DHJ$8,0)</f>
        <v>-0.0</v>
      </c>
      <c r="DHJ55" s="5">
        <f>-IFERROR('4. NPV'!DHK24/'4. NPV'!DHK$8,0)</f>
        <v>-0.0</v>
      </c>
      <c r="DHK55" s="5">
        <f>-IFERROR('4. NPV'!DHL24/'4. NPV'!DHL$8,0)</f>
        <v>-0.0</v>
      </c>
      <c r="DHL55" s="5">
        <f>-IFERROR('4. NPV'!DHM24/'4. NPV'!DHM$8,0)</f>
        <v>-0.0</v>
      </c>
      <c r="DHM55" s="5">
        <f>-IFERROR('4. NPV'!DHN24/'4. NPV'!DHN$8,0)</f>
        <v>-0.0</v>
      </c>
      <c r="DHN55" s="5">
        <f>-IFERROR('4. NPV'!DHO24/'4. NPV'!DHO$8,0)</f>
        <v>-0.0</v>
      </c>
      <c r="DHO55" s="5">
        <f>-IFERROR('4. NPV'!DHP24/'4. NPV'!DHP$8,0)</f>
        <v>-0.0</v>
      </c>
      <c r="DHP55" s="5">
        <f>-IFERROR('4. NPV'!DHQ24/'4. NPV'!DHQ$8,0)</f>
        <v>-0.0</v>
      </c>
      <c r="DHQ55" s="5">
        <f>-IFERROR('4. NPV'!DHR24/'4. NPV'!DHR$8,0)</f>
        <v>-0.0</v>
      </c>
      <c r="DHR55" s="5">
        <f>-IFERROR('4. NPV'!DHS24/'4. NPV'!DHS$8,0)</f>
        <v>-0.0</v>
      </c>
      <c r="DHS55" s="5">
        <f>-IFERROR('4. NPV'!DHT24/'4. NPV'!DHT$8,0)</f>
        <v>-0.0</v>
      </c>
      <c r="DHT55" s="5">
        <f>-IFERROR('4. NPV'!DHU24/'4. NPV'!DHU$8,0)</f>
        <v>-0.0</v>
      </c>
      <c r="DHU55" s="5">
        <f>-IFERROR('4. NPV'!DHV24/'4. NPV'!DHV$8,0)</f>
        <v>-0.0</v>
      </c>
      <c r="DHV55" s="5">
        <f>-IFERROR('4. NPV'!DHW24/'4. NPV'!DHW$8,0)</f>
        <v>-0.0</v>
      </c>
      <c r="DHW55" s="5">
        <f>-IFERROR('4. NPV'!DHX24/'4. NPV'!DHX$8,0)</f>
        <v>-0.0</v>
      </c>
      <c r="DHX55" s="5">
        <f>-IFERROR('4. NPV'!DHY24/'4. NPV'!DHY$8,0)</f>
        <v>-0.0</v>
      </c>
      <c r="DHY55" s="5">
        <f>-IFERROR('4. NPV'!DHZ24/'4. NPV'!DHZ$8,0)</f>
        <v>-0.0</v>
      </c>
      <c r="DHZ55" s="5">
        <f>-IFERROR('4. NPV'!DIA24/'4. NPV'!DIA$8,0)</f>
        <v>-0.0</v>
      </c>
      <c r="DIA55" s="5">
        <f>-IFERROR('4. NPV'!DIB24/'4. NPV'!DIB$8,0)</f>
        <v>-0.0</v>
      </c>
      <c r="DIB55" s="5">
        <f>-IFERROR('4. NPV'!DIC24/'4. NPV'!DIC$8,0)</f>
        <v>-0.0</v>
      </c>
      <c r="DIC55" s="5">
        <f>-IFERROR('4. NPV'!DID24/'4. NPV'!DID$8,0)</f>
        <v>-0.0</v>
      </c>
      <c r="DID55" s="5">
        <f>-IFERROR('4. NPV'!DIE24/'4. NPV'!DIE$8,0)</f>
        <v>-0.0</v>
      </c>
      <c r="DIE55" s="5">
        <f>-IFERROR('4. NPV'!DIF24/'4. NPV'!DIF$8,0)</f>
        <v>-0.0</v>
      </c>
      <c r="DIF55" s="5">
        <f>-IFERROR('4. NPV'!DIG24/'4. NPV'!DIG$8,0)</f>
        <v>-0.0</v>
      </c>
      <c r="DIG55" s="5">
        <f>-IFERROR('4. NPV'!DIH24/'4. NPV'!DIH$8,0)</f>
        <v>-0.0</v>
      </c>
      <c r="DIH55" s="5">
        <f>-IFERROR('4. NPV'!DII24/'4. NPV'!DII$8,0)</f>
        <v>-0.0</v>
      </c>
      <c r="DII55" s="5">
        <f>-IFERROR('4. NPV'!DIJ24/'4. NPV'!DIJ$8,0)</f>
        <v>-0.0</v>
      </c>
      <c r="DIJ55" s="5">
        <f>-IFERROR('4. NPV'!DIK24/'4. NPV'!DIK$8,0)</f>
        <v>-0.0</v>
      </c>
      <c r="DIK55" s="5">
        <f>-IFERROR('4. NPV'!DIL24/'4. NPV'!DIL$8,0)</f>
        <v>-0.0</v>
      </c>
      <c r="DIL55" s="5">
        <f>-IFERROR('4. NPV'!DIM24/'4. NPV'!DIM$8,0)</f>
        <v>-0.0</v>
      </c>
      <c r="DIM55" s="5">
        <f>-IFERROR('4. NPV'!DIN24/'4. NPV'!DIN$8,0)</f>
        <v>-0.0</v>
      </c>
      <c r="DIN55" s="5">
        <f>-IFERROR('4. NPV'!DIO24/'4. NPV'!DIO$8,0)</f>
        <v>-0.0</v>
      </c>
      <c r="DIO55" s="5">
        <f>-IFERROR('4. NPV'!DIP24/'4. NPV'!DIP$8,0)</f>
        <v>-0.0</v>
      </c>
      <c r="DIP55" s="5">
        <f>-IFERROR('4. NPV'!DIQ24/'4. NPV'!DIQ$8,0)</f>
        <v>-0.0</v>
      </c>
      <c r="DIQ55" s="5">
        <f>-IFERROR('4. NPV'!DIR24/'4. NPV'!DIR$8,0)</f>
        <v>-0.0</v>
      </c>
      <c r="DIR55" s="5">
        <f>-IFERROR('4. NPV'!DIS24/'4. NPV'!DIS$8,0)</f>
        <v>-0.0</v>
      </c>
      <c r="DIS55" s="5">
        <f>-IFERROR('4. NPV'!DIT24/'4. NPV'!DIT$8,0)</f>
        <v>-0.0</v>
      </c>
      <c r="DIT55" s="5">
        <f>-IFERROR('4. NPV'!DIU24/'4. NPV'!DIU$8,0)</f>
        <v>-0.0</v>
      </c>
      <c r="DIU55" s="5">
        <f>-IFERROR('4. NPV'!DIV24/'4. NPV'!DIV$8,0)</f>
        <v>-0.0</v>
      </c>
      <c r="DIV55" s="5">
        <f>-IFERROR('4. NPV'!DIW24/'4. NPV'!DIW$8,0)</f>
        <v>-0.0</v>
      </c>
      <c r="DIW55" s="5">
        <f>-IFERROR('4. NPV'!DIX24/'4. NPV'!DIX$8,0)</f>
        <v>-0.0</v>
      </c>
      <c r="DIX55" s="5">
        <f>-IFERROR('4. NPV'!DIY24/'4. NPV'!DIY$8,0)</f>
        <v>-0.0</v>
      </c>
      <c r="DIY55" s="5">
        <f>-IFERROR('4. NPV'!DIZ24/'4. NPV'!DIZ$8,0)</f>
        <v>-0.0</v>
      </c>
      <c r="DIZ55" s="5">
        <f>-IFERROR('4. NPV'!DJA24/'4. NPV'!DJA$8,0)</f>
        <v>-0.0</v>
      </c>
      <c r="DJA55" s="5">
        <f>-IFERROR('4. NPV'!DJB24/'4. NPV'!DJB$8,0)</f>
        <v>-0.0</v>
      </c>
      <c r="DJB55" s="5">
        <f>-IFERROR('4. NPV'!DJC24/'4. NPV'!DJC$8,0)</f>
        <v>-0.0</v>
      </c>
      <c r="DJC55" s="5">
        <f>-IFERROR('4. NPV'!DJD24/'4. NPV'!DJD$8,0)</f>
        <v>-0.0</v>
      </c>
      <c r="DJD55" s="5">
        <f>-IFERROR('4. NPV'!DJE24/'4. NPV'!DJE$8,0)</f>
        <v>-0.0</v>
      </c>
      <c r="DJE55" s="5">
        <f>-IFERROR('4. NPV'!DJF24/'4. NPV'!DJF$8,0)</f>
        <v>-0.0</v>
      </c>
      <c r="DJF55" s="5">
        <f>-IFERROR('4. NPV'!DJG24/'4. NPV'!DJG$8,0)</f>
        <v>-0.0</v>
      </c>
      <c r="DJG55" s="5">
        <f>-IFERROR('4. NPV'!DJH24/'4. NPV'!DJH$8,0)</f>
        <v>-0.0</v>
      </c>
      <c r="DJH55" s="5">
        <f>-IFERROR('4. NPV'!DJI24/'4. NPV'!DJI$8,0)</f>
        <v>-0.0</v>
      </c>
      <c r="DJI55" s="5">
        <f>-IFERROR('4. NPV'!DJJ24/'4. NPV'!DJJ$8,0)</f>
        <v>-0.0</v>
      </c>
      <c r="DJJ55" s="5">
        <f>-IFERROR('4. NPV'!DJK24/'4. NPV'!DJK$8,0)</f>
        <v>-0.0</v>
      </c>
      <c r="DJK55" s="5">
        <f>-IFERROR('4. NPV'!DJL24/'4. NPV'!DJL$8,0)</f>
        <v>-0.0</v>
      </c>
      <c r="DJL55" s="5">
        <f>-IFERROR('4. NPV'!DJM24/'4. NPV'!DJM$8,0)</f>
        <v>-0.0</v>
      </c>
      <c r="DJM55" s="5">
        <f>-IFERROR('4. NPV'!DJN24/'4. NPV'!DJN$8,0)</f>
        <v>-0.0</v>
      </c>
      <c r="DJN55" s="5">
        <f>-IFERROR('4. NPV'!DJO24/'4. NPV'!DJO$8,0)</f>
        <v>-0.0</v>
      </c>
      <c r="DJO55" s="5">
        <f>-IFERROR('4. NPV'!DJP24/'4. NPV'!DJP$8,0)</f>
        <v>-0.0</v>
      </c>
      <c r="DJP55" s="5">
        <f>-IFERROR('4. NPV'!DJQ24/'4. NPV'!DJQ$8,0)</f>
        <v>-0.0</v>
      </c>
      <c r="DJQ55" s="5">
        <f>-IFERROR('4. NPV'!DJR24/'4. NPV'!DJR$8,0)</f>
        <v>-0.0</v>
      </c>
      <c r="DJR55" s="5">
        <f>-IFERROR('4. NPV'!DJS24/'4. NPV'!DJS$8,0)</f>
        <v>-0.0</v>
      </c>
      <c r="DJS55" s="5">
        <f>-IFERROR('4. NPV'!DJT24/'4. NPV'!DJT$8,0)</f>
        <v>-0.0</v>
      </c>
      <c r="DJT55" s="5">
        <f>-IFERROR('4. NPV'!DJU24/'4. NPV'!DJU$8,0)</f>
        <v>-0.0</v>
      </c>
      <c r="DJU55" s="5">
        <f>-IFERROR('4. NPV'!DJV24/'4. NPV'!DJV$8,0)</f>
        <v>-0.0</v>
      </c>
      <c r="DJV55" s="5">
        <f>-IFERROR('4. NPV'!DJW24/'4. NPV'!DJW$8,0)</f>
        <v>-0.0</v>
      </c>
      <c r="DJW55" s="5">
        <f>-IFERROR('4. NPV'!DJX24/'4. NPV'!DJX$8,0)</f>
        <v>-0.0</v>
      </c>
      <c r="DJX55" s="5">
        <f>-IFERROR('4. NPV'!DJY24/'4. NPV'!DJY$8,0)</f>
        <v>-0.0</v>
      </c>
      <c r="DJY55" s="5">
        <f>-IFERROR('4. NPV'!DJZ24/'4. NPV'!DJZ$8,0)</f>
        <v>-0.0</v>
      </c>
      <c r="DJZ55" s="5">
        <f>-IFERROR('4. NPV'!DKA24/'4. NPV'!DKA$8,0)</f>
        <v>-0.0</v>
      </c>
      <c r="DKA55" s="5">
        <f>-IFERROR('4. NPV'!DKB24/'4. NPV'!DKB$8,0)</f>
        <v>-0.0</v>
      </c>
      <c r="DKB55" s="5">
        <f>-IFERROR('4. NPV'!DKC24/'4. NPV'!DKC$8,0)</f>
        <v>-0.0</v>
      </c>
      <c r="DKC55" s="5">
        <f>-IFERROR('4. NPV'!DKD24/'4. NPV'!DKD$8,0)</f>
        <v>-0.0</v>
      </c>
      <c r="DKD55" s="5">
        <f>-IFERROR('4. NPV'!DKE24/'4. NPV'!DKE$8,0)</f>
        <v>-0.0</v>
      </c>
      <c r="DKE55" s="5">
        <f>-IFERROR('4. NPV'!DKF24/'4. NPV'!DKF$8,0)</f>
        <v>-0.0</v>
      </c>
      <c r="DKF55" s="5">
        <f>-IFERROR('4. NPV'!DKG24/'4. NPV'!DKG$8,0)</f>
        <v>-0.0</v>
      </c>
      <c r="DKG55" s="5">
        <f>-IFERROR('4. NPV'!DKH24/'4. NPV'!DKH$8,0)</f>
        <v>-0.0</v>
      </c>
      <c r="DKH55" s="5">
        <f>-IFERROR('4. NPV'!DKI24/'4. NPV'!DKI$8,0)</f>
        <v>-0.0</v>
      </c>
      <c r="DKI55" s="5">
        <f>-IFERROR('4. NPV'!DKJ24/'4. NPV'!DKJ$8,0)</f>
        <v>-0.0</v>
      </c>
      <c r="DKJ55" s="5">
        <f>-IFERROR('4. NPV'!DKK24/'4. NPV'!DKK$8,0)</f>
        <v>-0.0</v>
      </c>
      <c r="DKK55" s="5">
        <f>-IFERROR('4. NPV'!DKL24/'4. NPV'!DKL$8,0)</f>
        <v>-0.0</v>
      </c>
      <c r="DKL55" s="5">
        <f>-IFERROR('4. NPV'!DKM24/'4. NPV'!DKM$8,0)</f>
        <v>-0.0</v>
      </c>
      <c r="DKM55" s="5">
        <f>-IFERROR('4. NPV'!DKN24/'4. NPV'!DKN$8,0)</f>
        <v>-0.0</v>
      </c>
      <c r="DKN55" s="5">
        <f>-IFERROR('4. NPV'!DKO24/'4. NPV'!DKO$8,0)</f>
        <v>-0.0</v>
      </c>
      <c r="DKO55" s="5">
        <f>-IFERROR('4. NPV'!DKP24/'4. NPV'!DKP$8,0)</f>
        <v>-0.0</v>
      </c>
      <c r="DKP55" s="5">
        <f>-IFERROR('4. NPV'!DKQ24/'4. NPV'!DKQ$8,0)</f>
        <v>-0.0</v>
      </c>
      <c r="DKQ55" s="5">
        <f>-IFERROR('4. NPV'!DKR24/'4. NPV'!DKR$8,0)</f>
        <v>-0.0</v>
      </c>
      <c r="DKR55" s="5">
        <f>-IFERROR('4. NPV'!DKS24/'4. NPV'!DKS$8,0)</f>
        <v>-0.0</v>
      </c>
      <c r="DKS55" s="5">
        <f>-IFERROR('4. NPV'!DKT24/'4. NPV'!DKT$8,0)</f>
        <v>-0.0</v>
      </c>
      <c r="DKT55" s="5">
        <f>-IFERROR('4. NPV'!DKU24/'4. NPV'!DKU$8,0)</f>
        <v>-0.0</v>
      </c>
      <c r="DKU55" s="5">
        <f>-IFERROR('4. NPV'!DKV24/'4. NPV'!DKV$8,0)</f>
        <v>-0.0</v>
      </c>
      <c r="DKV55" s="5">
        <f>-IFERROR('4. NPV'!DKW24/'4. NPV'!DKW$8,0)</f>
        <v>-0.0</v>
      </c>
      <c r="DKW55" s="5">
        <f>-IFERROR('4. NPV'!DKX24/'4. NPV'!DKX$8,0)</f>
        <v>-0.0</v>
      </c>
      <c r="DKX55" s="5">
        <f>-IFERROR('4. NPV'!DKY24/'4. NPV'!DKY$8,0)</f>
        <v>-0.0</v>
      </c>
      <c r="DKY55" s="5">
        <f>-IFERROR('4. NPV'!DKZ24/'4. NPV'!DKZ$8,0)</f>
        <v>-0.0</v>
      </c>
      <c r="DKZ55" s="5">
        <f>-IFERROR('4. NPV'!DLA24/'4. NPV'!DLA$8,0)</f>
        <v>-0.0</v>
      </c>
      <c r="DLA55" s="5">
        <f>-IFERROR('4. NPV'!DLB24/'4. NPV'!DLB$8,0)</f>
        <v>-0.0</v>
      </c>
      <c r="DLB55" s="5">
        <f>-IFERROR('4. NPV'!DLC24/'4. NPV'!DLC$8,0)</f>
        <v>-0.0</v>
      </c>
      <c r="DLC55" s="5">
        <f>-IFERROR('4. NPV'!DLD24/'4. NPV'!DLD$8,0)</f>
        <v>-0.0</v>
      </c>
      <c r="DLD55" s="5">
        <f>-IFERROR('4. NPV'!DLE24/'4. NPV'!DLE$8,0)</f>
        <v>-0.0</v>
      </c>
      <c r="DLE55" s="5">
        <f>-IFERROR('4. NPV'!DLF24/'4. NPV'!DLF$8,0)</f>
        <v>-0.0</v>
      </c>
      <c r="DLF55" s="5">
        <f>-IFERROR('4. NPV'!DLG24/'4. NPV'!DLG$8,0)</f>
        <v>-0.0</v>
      </c>
      <c r="DLG55" s="5">
        <f>-IFERROR('4. NPV'!DLH24/'4. NPV'!DLH$8,0)</f>
        <v>-0.0</v>
      </c>
      <c r="DLH55" s="5">
        <f>-IFERROR('4. NPV'!DLI24/'4. NPV'!DLI$8,0)</f>
        <v>-0.0</v>
      </c>
      <c r="DLI55" s="5">
        <f>-IFERROR('4. NPV'!DLJ24/'4. NPV'!DLJ$8,0)</f>
        <v>-0.0</v>
      </c>
      <c r="DLJ55" s="5">
        <f>-IFERROR('4. NPV'!DLK24/'4. NPV'!DLK$8,0)</f>
        <v>-0.0</v>
      </c>
      <c r="DLK55" s="5">
        <f>-IFERROR('4. NPV'!DLL24/'4. NPV'!DLL$8,0)</f>
        <v>-0.0</v>
      </c>
      <c r="DLL55" s="5">
        <f>-IFERROR('4. NPV'!DLM24/'4. NPV'!DLM$8,0)</f>
        <v>-0.0</v>
      </c>
      <c r="DLM55" s="5">
        <f>-IFERROR('4. NPV'!DLN24/'4. NPV'!DLN$8,0)</f>
        <v>-0.0</v>
      </c>
      <c r="DLN55" s="5">
        <f>-IFERROR('4. NPV'!DLO24/'4. NPV'!DLO$8,0)</f>
        <v>-0.0</v>
      </c>
      <c r="DLO55" s="5">
        <f>-IFERROR('4. NPV'!DLP24/'4. NPV'!DLP$8,0)</f>
        <v>-0.0</v>
      </c>
      <c r="DLP55" s="5">
        <f>-IFERROR('4. NPV'!DLQ24/'4. NPV'!DLQ$8,0)</f>
        <v>-0.0</v>
      </c>
      <c r="DLQ55" s="5">
        <f>-IFERROR('4. NPV'!DLR24/'4. NPV'!DLR$8,0)</f>
        <v>-0.0</v>
      </c>
      <c r="DLR55" s="5">
        <f>-IFERROR('4. NPV'!DLS24/'4. NPV'!DLS$8,0)</f>
        <v>-0.0</v>
      </c>
      <c r="DLS55" s="5">
        <f>-IFERROR('4. NPV'!DLT24/'4. NPV'!DLT$8,0)</f>
        <v>-0.0</v>
      </c>
      <c r="DLT55" s="5">
        <f>-IFERROR('4. NPV'!DLU24/'4. NPV'!DLU$8,0)</f>
        <v>-0.0</v>
      </c>
      <c r="DLU55" s="5">
        <f>-IFERROR('4. NPV'!DLV24/'4. NPV'!DLV$8,0)</f>
        <v>-0.0</v>
      </c>
      <c r="DLV55" s="5">
        <f>-IFERROR('4. NPV'!DLW24/'4. NPV'!DLW$8,0)</f>
        <v>-0.0</v>
      </c>
      <c r="DLW55" s="5">
        <f>-IFERROR('4. NPV'!DLX24/'4. NPV'!DLX$8,0)</f>
        <v>-0.0</v>
      </c>
      <c r="DLX55" s="5">
        <f>-IFERROR('4. NPV'!DLY24/'4. NPV'!DLY$8,0)</f>
        <v>-0.0</v>
      </c>
      <c r="DLY55" s="5">
        <f>-IFERROR('4. NPV'!DLZ24/'4. NPV'!DLZ$8,0)</f>
        <v>-0.0</v>
      </c>
      <c r="DLZ55" s="5">
        <f>-IFERROR('4. NPV'!DMA24/'4. NPV'!DMA$8,0)</f>
        <v>-0.0</v>
      </c>
      <c r="DMA55" s="5">
        <f>-IFERROR('4. NPV'!DMB24/'4. NPV'!DMB$8,0)</f>
        <v>-0.0</v>
      </c>
      <c r="DMB55" s="5">
        <f>-IFERROR('4. NPV'!DMC24/'4. NPV'!DMC$8,0)</f>
        <v>-0.0</v>
      </c>
      <c r="DMC55" s="5">
        <f>-IFERROR('4. NPV'!DMD24/'4. NPV'!DMD$8,0)</f>
        <v>-0.0</v>
      </c>
      <c r="DMD55" s="5">
        <f>-IFERROR('4. NPV'!DME24/'4. NPV'!DME$8,0)</f>
        <v>-0.0</v>
      </c>
      <c r="DME55" s="5">
        <f>-IFERROR('4. NPV'!DMF24/'4. NPV'!DMF$8,0)</f>
        <v>-0.0</v>
      </c>
      <c r="DMF55" s="5">
        <f>-IFERROR('4. NPV'!DMG24/'4. NPV'!DMG$8,0)</f>
        <v>-0.0</v>
      </c>
      <c r="DMG55" s="5">
        <f>-IFERROR('4. NPV'!DMH24/'4. NPV'!DMH$8,0)</f>
        <v>-0.0</v>
      </c>
      <c r="DMH55" s="5">
        <f>-IFERROR('4. NPV'!DMI24/'4. NPV'!DMI$8,0)</f>
        <v>-0.0</v>
      </c>
      <c r="DMI55" s="5">
        <f>-IFERROR('4. NPV'!DMJ24/'4. NPV'!DMJ$8,0)</f>
        <v>-0.0</v>
      </c>
      <c r="DMJ55" s="5">
        <f>-IFERROR('4. NPV'!DMK24/'4. NPV'!DMK$8,0)</f>
        <v>-0.0</v>
      </c>
      <c r="DMK55" s="5">
        <f>-IFERROR('4. NPV'!DML24/'4. NPV'!DML$8,0)</f>
        <v>-0.0</v>
      </c>
      <c r="DML55" s="5">
        <f>-IFERROR('4. NPV'!DMM24/'4. NPV'!DMM$8,0)</f>
        <v>-0.0</v>
      </c>
      <c r="DMM55" s="5">
        <f>-IFERROR('4. NPV'!DMN24/'4. NPV'!DMN$8,0)</f>
        <v>-0.0</v>
      </c>
      <c r="DMN55" s="5">
        <f>-IFERROR('4. NPV'!DMO24/'4. NPV'!DMO$8,0)</f>
        <v>-0.0</v>
      </c>
      <c r="DMO55" s="5">
        <f>-IFERROR('4. NPV'!DMP24/'4. NPV'!DMP$8,0)</f>
        <v>-0.0</v>
      </c>
      <c r="DMP55" s="5">
        <f>-IFERROR('4. NPV'!DMQ24/'4. NPV'!DMQ$8,0)</f>
        <v>-0.0</v>
      </c>
      <c r="DMQ55" s="5">
        <f>-IFERROR('4. NPV'!DMR24/'4. NPV'!DMR$8,0)</f>
        <v>-0.0</v>
      </c>
      <c r="DMR55" s="5">
        <f>-IFERROR('4. NPV'!DMS24/'4. NPV'!DMS$8,0)</f>
        <v>-0.0</v>
      </c>
      <c r="DMS55" s="5">
        <f>-IFERROR('4. NPV'!DMT24/'4. NPV'!DMT$8,0)</f>
        <v>-0.0</v>
      </c>
      <c r="DMT55" s="5">
        <f>-IFERROR('4. NPV'!DMU24/'4. NPV'!DMU$8,0)</f>
        <v>-0.0</v>
      </c>
      <c r="DMU55" s="5">
        <f>-IFERROR('4. NPV'!DMV24/'4. NPV'!DMV$8,0)</f>
        <v>-0.0</v>
      </c>
      <c r="DMV55" s="5">
        <f>-IFERROR('4. NPV'!DMW24/'4. NPV'!DMW$8,0)</f>
        <v>-0.0</v>
      </c>
      <c r="DMW55" s="5">
        <f>-IFERROR('4. NPV'!DMX24/'4. NPV'!DMX$8,0)</f>
        <v>-0.0</v>
      </c>
      <c r="DMX55" s="5">
        <f>-IFERROR('4. NPV'!DMY24/'4. NPV'!DMY$8,0)</f>
        <v>-0.0</v>
      </c>
      <c r="DMY55" s="5">
        <f>-IFERROR('4. NPV'!DMZ24/'4. NPV'!DMZ$8,0)</f>
        <v>-0.0</v>
      </c>
      <c r="DMZ55" s="5">
        <f>-IFERROR('4. NPV'!DNA24/'4. NPV'!DNA$8,0)</f>
        <v>-0.0</v>
      </c>
      <c r="DNA55" s="5">
        <f>-IFERROR('4. NPV'!DNB24/'4. NPV'!DNB$8,0)</f>
        <v>-0.0</v>
      </c>
      <c r="DNB55" s="5">
        <f>-IFERROR('4. NPV'!DNC24/'4. NPV'!DNC$8,0)</f>
        <v>-0.0</v>
      </c>
      <c r="DNC55" s="5">
        <f>-IFERROR('4. NPV'!DND24/'4. NPV'!DND$8,0)</f>
        <v>-0.0</v>
      </c>
      <c r="DND55" s="5">
        <f>-IFERROR('4. NPV'!DNE24/'4. NPV'!DNE$8,0)</f>
        <v>-0.0</v>
      </c>
      <c r="DNE55" s="5">
        <f>-IFERROR('4. NPV'!DNF24/'4. NPV'!DNF$8,0)</f>
        <v>-0.0</v>
      </c>
      <c r="DNF55" s="5">
        <f>-IFERROR('4. NPV'!DNG24/'4. NPV'!DNG$8,0)</f>
        <v>-0.0</v>
      </c>
      <c r="DNG55" s="5">
        <f>-IFERROR('4. NPV'!DNH24/'4. NPV'!DNH$8,0)</f>
        <v>-0.0</v>
      </c>
      <c r="DNH55" s="5">
        <f>-IFERROR('4. NPV'!DNI24/'4. NPV'!DNI$8,0)</f>
        <v>-0.0</v>
      </c>
      <c r="DNI55" s="5">
        <f>-IFERROR('4. NPV'!DNJ24/'4. NPV'!DNJ$8,0)</f>
        <v>-0.0</v>
      </c>
      <c r="DNJ55" s="5">
        <f>-IFERROR('4. NPV'!DNK24/'4. NPV'!DNK$8,0)</f>
        <v>-0.0</v>
      </c>
      <c r="DNK55" s="5">
        <f>-IFERROR('4. NPV'!DNL24/'4. NPV'!DNL$8,0)</f>
        <v>-0.0</v>
      </c>
      <c r="DNL55" s="5">
        <f>-IFERROR('4. NPV'!DNM24/'4. NPV'!DNM$8,0)</f>
        <v>-0.0</v>
      </c>
      <c r="DNM55" s="5">
        <f>-IFERROR('4. NPV'!DNN24/'4. NPV'!DNN$8,0)</f>
        <v>-0.0</v>
      </c>
      <c r="DNN55" s="5">
        <f>-IFERROR('4. NPV'!DNO24/'4. NPV'!DNO$8,0)</f>
        <v>-0.0</v>
      </c>
      <c r="DNO55" s="5">
        <f>-IFERROR('4. NPV'!DNP24/'4. NPV'!DNP$8,0)</f>
        <v>-0.0</v>
      </c>
      <c r="DNP55" s="5">
        <f>-IFERROR('4. NPV'!DNQ24/'4. NPV'!DNQ$8,0)</f>
        <v>-0.0</v>
      </c>
      <c r="DNQ55" s="5">
        <f>-IFERROR('4. NPV'!DNR24/'4. NPV'!DNR$8,0)</f>
        <v>-0.0</v>
      </c>
      <c r="DNR55" s="5">
        <f>-IFERROR('4. NPV'!DNS24/'4. NPV'!DNS$8,0)</f>
        <v>-0.0</v>
      </c>
      <c r="DNS55" s="5">
        <f>-IFERROR('4. NPV'!DNT24/'4. NPV'!DNT$8,0)</f>
        <v>-0.0</v>
      </c>
      <c r="DNT55" s="5">
        <f>-IFERROR('4. NPV'!DNU24/'4. NPV'!DNU$8,0)</f>
        <v>-0.0</v>
      </c>
      <c r="DNU55" s="5">
        <f>-IFERROR('4. NPV'!DNV24/'4. NPV'!DNV$8,0)</f>
        <v>-0.0</v>
      </c>
      <c r="DNV55" s="5">
        <f>-IFERROR('4. NPV'!DNW24/'4. NPV'!DNW$8,0)</f>
        <v>-0.0</v>
      </c>
      <c r="DNW55" s="5">
        <f>-IFERROR('4. NPV'!DNX24/'4. NPV'!DNX$8,0)</f>
        <v>-0.0</v>
      </c>
      <c r="DNX55" s="5">
        <f>-IFERROR('4. NPV'!DNY24/'4. NPV'!DNY$8,0)</f>
        <v>-0.0</v>
      </c>
      <c r="DNY55" s="5">
        <f>-IFERROR('4. NPV'!DNZ24/'4. NPV'!DNZ$8,0)</f>
        <v>-0.0</v>
      </c>
      <c r="DNZ55" s="5">
        <f>-IFERROR('4. NPV'!DOA24/'4. NPV'!DOA$8,0)</f>
        <v>-0.0</v>
      </c>
      <c r="DOA55" s="5">
        <f>-IFERROR('4. NPV'!DOB24/'4. NPV'!DOB$8,0)</f>
        <v>-0.0</v>
      </c>
      <c r="DOB55" s="5">
        <f>-IFERROR('4. NPV'!DOC24/'4. NPV'!DOC$8,0)</f>
        <v>-0.0</v>
      </c>
      <c r="DOC55" s="5">
        <f>-IFERROR('4. NPV'!DOD24/'4. NPV'!DOD$8,0)</f>
        <v>-0.0</v>
      </c>
      <c r="DOD55" s="5">
        <f>-IFERROR('4. NPV'!DOE24/'4. NPV'!DOE$8,0)</f>
        <v>-0.0</v>
      </c>
      <c r="DOE55" s="5">
        <f>-IFERROR('4. NPV'!DOF24/'4. NPV'!DOF$8,0)</f>
        <v>-0.0</v>
      </c>
      <c r="DOF55" s="5">
        <f>-IFERROR('4. NPV'!DOG24/'4. NPV'!DOG$8,0)</f>
        <v>-0.0</v>
      </c>
      <c r="DOG55" s="5">
        <f>-IFERROR('4. NPV'!DOH24/'4. NPV'!DOH$8,0)</f>
        <v>-0.0</v>
      </c>
      <c r="DOH55" s="5">
        <f>-IFERROR('4. NPV'!DOI24/'4. NPV'!DOI$8,0)</f>
        <v>-0.0</v>
      </c>
      <c r="DOI55" s="5">
        <f>-IFERROR('4. NPV'!DOJ24/'4. NPV'!DOJ$8,0)</f>
        <v>-0.0</v>
      </c>
      <c r="DOJ55" s="5">
        <f>-IFERROR('4. NPV'!DOK24/'4. NPV'!DOK$8,0)</f>
        <v>-0.0</v>
      </c>
      <c r="DOK55" s="5">
        <f>-IFERROR('4. NPV'!DOL24/'4. NPV'!DOL$8,0)</f>
        <v>-0.0</v>
      </c>
      <c r="DOL55" s="5">
        <f>-IFERROR('4. NPV'!DOM24/'4. NPV'!DOM$8,0)</f>
        <v>-0.0</v>
      </c>
      <c r="DOM55" s="5">
        <f>-IFERROR('4. NPV'!DON24/'4. NPV'!DON$8,0)</f>
        <v>-0.0</v>
      </c>
      <c r="DON55" s="5">
        <f>-IFERROR('4. NPV'!DOO24/'4. NPV'!DOO$8,0)</f>
        <v>-0.0</v>
      </c>
      <c r="DOO55" s="5">
        <f>-IFERROR('4. NPV'!DOP24/'4. NPV'!DOP$8,0)</f>
        <v>-0.0</v>
      </c>
      <c r="DOP55" s="5">
        <f>-IFERROR('4. NPV'!DOQ24/'4. NPV'!DOQ$8,0)</f>
        <v>-0.0</v>
      </c>
      <c r="DOQ55" s="5">
        <f>-IFERROR('4. NPV'!DOR24/'4. NPV'!DOR$8,0)</f>
        <v>-0.0</v>
      </c>
      <c r="DOR55" s="5">
        <f>-IFERROR('4. NPV'!DOS24/'4. NPV'!DOS$8,0)</f>
        <v>-0.0</v>
      </c>
      <c r="DOS55" s="5">
        <f>-IFERROR('4. NPV'!DOT24/'4. NPV'!DOT$8,0)</f>
        <v>-0.0</v>
      </c>
      <c r="DOT55" s="5">
        <f>-IFERROR('4. NPV'!DOU24/'4. NPV'!DOU$8,0)</f>
        <v>-0.0</v>
      </c>
      <c r="DOU55" s="5">
        <f>-IFERROR('4. NPV'!DOV24/'4. NPV'!DOV$8,0)</f>
        <v>-0.0</v>
      </c>
      <c r="DOV55" s="5">
        <f>-IFERROR('4. NPV'!DOW24/'4. NPV'!DOW$8,0)</f>
        <v>-0.0</v>
      </c>
      <c r="DOW55" s="5">
        <f>-IFERROR('4. NPV'!DOX24/'4. NPV'!DOX$8,0)</f>
        <v>-0.0</v>
      </c>
      <c r="DOX55" s="5">
        <f>-IFERROR('4. NPV'!DOY24/'4. NPV'!DOY$8,0)</f>
        <v>-0.0</v>
      </c>
      <c r="DOY55" s="5">
        <f>-IFERROR('4. NPV'!DOZ24/'4. NPV'!DOZ$8,0)</f>
        <v>-0.0</v>
      </c>
      <c r="DOZ55" s="5">
        <f>-IFERROR('4. NPV'!DPA24/'4. NPV'!DPA$8,0)</f>
        <v>-0.0</v>
      </c>
      <c r="DPA55" s="5">
        <f>-IFERROR('4. NPV'!DPB24/'4. NPV'!DPB$8,0)</f>
        <v>-0.0</v>
      </c>
      <c r="DPB55" s="5">
        <f>-IFERROR('4. NPV'!DPC24/'4. NPV'!DPC$8,0)</f>
        <v>-0.0</v>
      </c>
      <c r="DPC55" s="5">
        <f>-IFERROR('4. NPV'!DPD24/'4. NPV'!DPD$8,0)</f>
        <v>-0.0</v>
      </c>
      <c r="DPD55" s="5">
        <f>-IFERROR('4. NPV'!DPE24/'4. NPV'!DPE$8,0)</f>
        <v>-0.0</v>
      </c>
      <c r="DPE55" s="5">
        <f>-IFERROR('4. NPV'!DPF24/'4. NPV'!DPF$8,0)</f>
        <v>-0.0</v>
      </c>
      <c r="DPF55" s="5">
        <f>-IFERROR('4. NPV'!DPG24/'4. NPV'!DPG$8,0)</f>
        <v>-0.0</v>
      </c>
      <c r="DPG55" s="5">
        <f>-IFERROR('4. NPV'!DPH24/'4. NPV'!DPH$8,0)</f>
        <v>-0.0</v>
      </c>
      <c r="DPH55" s="5">
        <f>-IFERROR('4. NPV'!DPI24/'4. NPV'!DPI$8,0)</f>
        <v>-0.0</v>
      </c>
      <c r="DPI55" s="5">
        <f>-IFERROR('4. NPV'!DPJ24/'4. NPV'!DPJ$8,0)</f>
        <v>-0.0</v>
      </c>
      <c r="DPJ55" s="5">
        <f>-IFERROR('4. NPV'!DPK24/'4. NPV'!DPK$8,0)</f>
        <v>-0.0</v>
      </c>
      <c r="DPK55" s="5">
        <f>-IFERROR('4. NPV'!DPL24/'4. NPV'!DPL$8,0)</f>
        <v>-0.0</v>
      </c>
      <c r="DPL55" s="5">
        <f>-IFERROR('4. NPV'!DPM24/'4. NPV'!DPM$8,0)</f>
        <v>-0.0</v>
      </c>
      <c r="DPM55" s="5">
        <f>-IFERROR('4. NPV'!DPN24/'4. NPV'!DPN$8,0)</f>
        <v>-0.0</v>
      </c>
      <c r="DPN55" s="5">
        <f>-IFERROR('4. NPV'!DPO24/'4. NPV'!DPO$8,0)</f>
        <v>-0.0</v>
      </c>
      <c r="DPO55" s="5">
        <f>-IFERROR('4. NPV'!DPP24/'4. NPV'!DPP$8,0)</f>
        <v>-0.0</v>
      </c>
      <c r="DPP55" s="5">
        <f>-IFERROR('4. NPV'!DPQ24/'4. NPV'!DPQ$8,0)</f>
        <v>-0.0</v>
      </c>
      <c r="DPQ55" s="5">
        <f>-IFERROR('4. NPV'!DPR24/'4. NPV'!DPR$8,0)</f>
        <v>-0.0</v>
      </c>
      <c r="DPR55" s="5">
        <f>-IFERROR('4. NPV'!DPS24/'4. NPV'!DPS$8,0)</f>
        <v>-0.0</v>
      </c>
      <c r="DPS55" s="5">
        <f>-IFERROR('4. NPV'!DPT24/'4. NPV'!DPT$8,0)</f>
        <v>-0.0</v>
      </c>
      <c r="DPT55" s="5">
        <f>-IFERROR('4. NPV'!DPU24/'4. NPV'!DPU$8,0)</f>
        <v>-0.0</v>
      </c>
      <c r="DPU55" s="5">
        <f>-IFERROR('4. NPV'!DPV24/'4. NPV'!DPV$8,0)</f>
        <v>-0.0</v>
      </c>
      <c r="DPV55" s="5">
        <f>-IFERROR('4. NPV'!DPW24/'4. NPV'!DPW$8,0)</f>
        <v>-0.0</v>
      </c>
      <c r="DPW55" s="5">
        <f>-IFERROR('4. NPV'!DPX24/'4. NPV'!DPX$8,0)</f>
        <v>-0.0</v>
      </c>
      <c r="DPX55" s="5">
        <f>-IFERROR('4. NPV'!DPY24/'4. NPV'!DPY$8,0)</f>
        <v>-0.0</v>
      </c>
      <c r="DPY55" s="5">
        <f>-IFERROR('4. NPV'!DPZ24/'4. NPV'!DPZ$8,0)</f>
        <v>-0.0</v>
      </c>
      <c r="DPZ55" s="5">
        <f>-IFERROR('4. NPV'!DQA24/'4. NPV'!DQA$8,0)</f>
        <v>-0.0</v>
      </c>
      <c r="DQA55" s="5">
        <f>-IFERROR('4. NPV'!DQB24/'4. NPV'!DQB$8,0)</f>
        <v>-0.0</v>
      </c>
      <c r="DQB55" s="5">
        <f>-IFERROR('4. NPV'!DQC24/'4. NPV'!DQC$8,0)</f>
        <v>-0.0</v>
      </c>
      <c r="DQC55" s="5">
        <f>-IFERROR('4. NPV'!DQD24/'4. NPV'!DQD$8,0)</f>
        <v>-0.0</v>
      </c>
      <c r="DQD55" s="5">
        <f>-IFERROR('4. NPV'!DQE24/'4. NPV'!DQE$8,0)</f>
        <v>-0.0</v>
      </c>
      <c r="DQE55" s="5">
        <f>-IFERROR('4. NPV'!DQF24/'4. NPV'!DQF$8,0)</f>
        <v>-0.0</v>
      </c>
      <c r="DQF55" s="5">
        <f>-IFERROR('4. NPV'!DQG24/'4. NPV'!DQG$8,0)</f>
        <v>-0.0</v>
      </c>
      <c r="DQG55" s="5">
        <f>-IFERROR('4. NPV'!DQH24/'4. NPV'!DQH$8,0)</f>
        <v>-0.0</v>
      </c>
      <c r="DQH55" s="5">
        <f>-IFERROR('4. NPV'!DQI24/'4. NPV'!DQI$8,0)</f>
        <v>-0.0</v>
      </c>
      <c r="DQI55" s="5">
        <f>-IFERROR('4. NPV'!DQJ24/'4. NPV'!DQJ$8,0)</f>
        <v>-0.0</v>
      </c>
      <c r="DQJ55" s="5">
        <f>-IFERROR('4. NPV'!DQK24/'4. NPV'!DQK$8,0)</f>
        <v>-0.0</v>
      </c>
      <c r="DQK55" s="5">
        <f>-IFERROR('4. NPV'!DQL24/'4. NPV'!DQL$8,0)</f>
        <v>-0.0</v>
      </c>
      <c r="DQL55" s="5">
        <f>-IFERROR('4. NPV'!DQM24/'4. NPV'!DQM$8,0)</f>
        <v>-0.0</v>
      </c>
      <c r="DQM55" s="5">
        <f>-IFERROR('4. NPV'!DQN24/'4. NPV'!DQN$8,0)</f>
        <v>-0.0</v>
      </c>
      <c r="DQN55" s="5">
        <f>-IFERROR('4. NPV'!DQO24/'4. NPV'!DQO$8,0)</f>
        <v>-0.0</v>
      </c>
      <c r="DQO55" s="5">
        <f>-IFERROR('4. NPV'!DQP24/'4. NPV'!DQP$8,0)</f>
        <v>-0.0</v>
      </c>
      <c r="DQP55" s="5">
        <f>-IFERROR('4. NPV'!DQQ24/'4. NPV'!DQQ$8,0)</f>
        <v>-0.0</v>
      </c>
      <c r="DQQ55" s="5">
        <f>-IFERROR('4. NPV'!DQR24/'4. NPV'!DQR$8,0)</f>
        <v>-0.0</v>
      </c>
      <c r="DQR55" s="5">
        <f>-IFERROR('4. NPV'!DQS24/'4. NPV'!DQS$8,0)</f>
        <v>-0.0</v>
      </c>
      <c r="DQS55" s="5">
        <f>-IFERROR('4. NPV'!DQT24/'4. NPV'!DQT$8,0)</f>
        <v>-0.0</v>
      </c>
      <c r="DQT55" s="5">
        <f>-IFERROR('4. NPV'!DQU24/'4. NPV'!DQU$8,0)</f>
        <v>-0.0</v>
      </c>
      <c r="DQU55" s="5">
        <f>-IFERROR('4. NPV'!DQV24/'4. NPV'!DQV$8,0)</f>
        <v>-0.0</v>
      </c>
      <c r="DQV55" s="5">
        <f>-IFERROR('4. NPV'!DQW24/'4. NPV'!DQW$8,0)</f>
        <v>-0.0</v>
      </c>
      <c r="DQW55" s="5">
        <f>-IFERROR('4. NPV'!DQX24/'4. NPV'!DQX$8,0)</f>
        <v>-0.0</v>
      </c>
      <c r="DQX55" s="5">
        <f>-IFERROR('4. NPV'!DQY24/'4. NPV'!DQY$8,0)</f>
        <v>-0.0</v>
      </c>
      <c r="DQY55" s="5">
        <f>-IFERROR('4. NPV'!DQZ24/'4. NPV'!DQZ$8,0)</f>
        <v>-0.0</v>
      </c>
      <c r="DQZ55" s="5">
        <f>-IFERROR('4. NPV'!DRA24/'4. NPV'!DRA$8,0)</f>
        <v>-0.0</v>
      </c>
      <c r="DRA55" s="5">
        <f>-IFERROR('4. NPV'!DRB24/'4. NPV'!DRB$8,0)</f>
        <v>-0.0</v>
      </c>
      <c r="DRB55" s="5">
        <f>-IFERROR('4. NPV'!DRC24/'4. NPV'!DRC$8,0)</f>
        <v>-0.0</v>
      </c>
      <c r="DRC55" s="5">
        <f>-IFERROR('4. NPV'!DRD24/'4. NPV'!DRD$8,0)</f>
        <v>-0.0</v>
      </c>
      <c r="DRD55" s="5">
        <f>-IFERROR('4. NPV'!DRE24/'4. NPV'!DRE$8,0)</f>
        <v>-0.0</v>
      </c>
      <c r="DRE55" s="5">
        <f>-IFERROR('4. NPV'!DRF24/'4. NPV'!DRF$8,0)</f>
        <v>-0.0</v>
      </c>
      <c r="DRF55" s="5">
        <f>-IFERROR('4. NPV'!DRG24/'4. NPV'!DRG$8,0)</f>
        <v>-0.0</v>
      </c>
      <c r="DRG55" s="5">
        <f>-IFERROR('4. NPV'!DRH24/'4. NPV'!DRH$8,0)</f>
        <v>-0.0</v>
      </c>
      <c r="DRH55" s="5">
        <f>-IFERROR('4. NPV'!DRI24/'4. NPV'!DRI$8,0)</f>
        <v>-0.0</v>
      </c>
      <c r="DRI55" s="5">
        <f>-IFERROR('4. NPV'!DRJ24/'4. NPV'!DRJ$8,0)</f>
        <v>-0.0</v>
      </c>
      <c r="DRJ55" s="5">
        <f>-IFERROR('4. NPV'!DRK24/'4. NPV'!DRK$8,0)</f>
        <v>-0.0</v>
      </c>
      <c r="DRK55" s="5">
        <f>-IFERROR('4. NPV'!DRL24/'4. NPV'!DRL$8,0)</f>
        <v>-0.0</v>
      </c>
      <c r="DRL55" s="5">
        <f>-IFERROR('4. NPV'!DRM24/'4. NPV'!DRM$8,0)</f>
        <v>-0.0</v>
      </c>
      <c r="DRM55" s="5">
        <f>-IFERROR('4. NPV'!DRN24/'4. NPV'!DRN$8,0)</f>
        <v>-0.0</v>
      </c>
      <c r="DRN55" s="5">
        <f>-IFERROR('4. NPV'!DRO24/'4. NPV'!DRO$8,0)</f>
        <v>-0.0</v>
      </c>
      <c r="DRO55" s="5">
        <f>-IFERROR('4. NPV'!DRP24/'4. NPV'!DRP$8,0)</f>
        <v>-0.0</v>
      </c>
      <c r="DRP55" s="5">
        <f>-IFERROR('4. NPV'!DRQ24/'4. NPV'!DRQ$8,0)</f>
        <v>-0.0</v>
      </c>
      <c r="DRQ55" s="5">
        <f>-IFERROR('4. NPV'!DRR24/'4. NPV'!DRR$8,0)</f>
        <v>-0.0</v>
      </c>
      <c r="DRR55" s="5">
        <f>-IFERROR('4. NPV'!DRS24/'4. NPV'!DRS$8,0)</f>
        <v>-0.0</v>
      </c>
      <c r="DRS55" s="5">
        <f>-IFERROR('4. NPV'!DRT24/'4. NPV'!DRT$8,0)</f>
        <v>-0.0</v>
      </c>
      <c r="DRT55" s="5">
        <f>-IFERROR('4. NPV'!DRU24/'4. NPV'!DRU$8,0)</f>
        <v>-0.0</v>
      </c>
      <c r="DRU55" s="5">
        <f>-IFERROR('4. NPV'!DRV24/'4. NPV'!DRV$8,0)</f>
        <v>-0.0</v>
      </c>
      <c r="DRV55" s="5">
        <f>-IFERROR('4. NPV'!DRW24/'4. NPV'!DRW$8,0)</f>
        <v>-0.0</v>
      </c>
      <c r="DRW55" s="5">
        <f>-IFERROR('4. NPV'!DRX24/'4. NPV'!DRX$8,0)</f>
        <v>-0.0</v>
      </c>
      <c r="DRX55" s="5">
        <f>-IFERROR('4. NPV'!DRY24/'4. NPV'!DRY$8,0)</f>
        <v>-0.0</v>
      </c>
      <c r="DRY55" s="5">
        <f>-IFERROR('4. NPV'!DRZ24/'4. NPV'!DRZ$8,0)</f>
        <v>-0.0</v>
      </c>
      <c r="DRZ55" s="5">
        <f>-IFERROR('4. NPV'!DSA24/'4. NPV'!DSA$8,0)</f>
        <v>-0.0</v>
      </c>
      <c r="DSA55" s="5">
        <f>-IFERROR('4. NPV'!DSB24/'4. NPV'!DSB$8,0)</f>
        <v>-0.0</v>
      </c>
      <c r="DSB55" s="5">
        <f>-IFERROR('4. NPV'!DSC24/'4. NPV'!DSC$8,0)</f>
        <v>-0.0</v>
      </c>
      <c r="DSC55" s="5">
        <f>-IFERROR('4. NPV'!DSD24/'4. NPV'!DSD$8,0)</f>
        <v>-0.0</v>
      </c>
      <c r="DSD55" s="5">
        <f>-IFERROR('4. NPV'!DSE24/'4. NPV'!DSE$8,0)</f>
        <v>-0.0</v>
      </c>
      <c r="DSE55" s="5">
        <f>-IFERROR('4. NPV'!DSF24/'4. NPV'!DSF$8,0)</f>
        <v>-0.0</v>
      </c>
      <c r="DSF55" s="5">
        <f>-IFERROR('4. NPV'!DSG24/'4. NPV'!DSG$8,0)</f>
        <v>-0.0</v>
      </c>
      <c r="DSG55" s="5">
        <f>-IFERROR('4. NPV'!DSH24/'4. NPV'!DSH$8,0)</f>
        <v>-0.0</v>
      </c>
      <c r="DSH55" s="5">
        <f>-IFERROR('4. NPV'!DSI24/'4. NPV'!DSI$8,0)</f>
        <v>-0.0</v>
      </c>
      <c r="DSI55" s="5">
        <f>-IFERROR('4. NPV'!DSJ24/'4. NPV'!DSJ$8,0)</f>
        <v>-0.0</v>
      </c>
      <c r="DSJ55" s="5">
        <f>-IFERROR('4. NPV'!DSK24/'4. NPV'!DSK$8,0)</f>
        <v>-0.0</v>
      </c>
      <c r="DSK55" s="5">
        <f>-IFERROR('4. NPV'!DSL24/'4. NPV'!DSL$8,0)</f>
        <v>-0.0</v>
      </c>
      <c r="DSL55" s="5">
        <f>-IFERROR('4. NPV'!DSM24/'4. NPV'!DSM$8,0)</f>
        <v>-0.0</v>
      </c>
      <c r="DSM55" s="5">
        <f>-IFERROR('4. NPV'!DSN24/'4. NPV'!DSN$8,0)</f>
        <v>-0.0</v>
      </c>
      <c r="DSN55" s="5">
        <f>-IFERROR('4. NPV'!DSO24/'4. NPV'!DSO$8,0)</f>
        <v>-0.0</v>
      </c>
      <c r="DSO55" s="5">
        <f>-IFERROR('4. NPV'!DSP24/'4. NPV'!DSP$8,0)</f>
        <v>-0.0</v>
      </c>
      <c r="DSP55" s="5">
        <f>-IFERROR('4. NPV'!DSQ24/'4. NPV'!DSQ$8,0)</f>
        <v>-0.0</v>
      </c>
      <c r="DSQ55" s="5">
        <f>-IFERROR('4. NPV'!DSR24/'4. NPV'!DSR$8,0)</f>
        <v>-0.0</v>
      </c>
      <c r="DSR55" s="5">
        <f>-IFERROR('4. NPV'!DSS24/'4. NPV'!DSS$8,0)</f>
        <v>-0.0</v>
      </c>
      <c r="DSS55" s="5">
        <f>-IFERROR('4. NPV'!DST24/'4. NPV'!DST$8,0)</f>
        <v>-0.0</v>
      </c>
      <c r="DST55" s="5">
        <f>-IFERROR('4. NPV'!DSU24/'4. NPV'!DSU$8,0)</f>
        <v>-0.0</v>
      </c>
      <c r="DSU55" s="5">
        <f>-IFERROR('4. NPV'!DSV24/'4. NPV'!DSV$8,0)</f>
        <v>-0.0</v>
      </c>
      <c r="DSV55" s="5">
        <f>-IFERROR('4. NPV'!DSW24/'4. NPV'!DSW$8,0)</f>
        <v>-0.0</v>
      </c>
      <c r="DSW55" s="5">
        <f>-IFERROR('4. NPV'!DSX24/'4. NPV'!DSX$8,0)</f>
        <v>-0.0</v>
      </c>
      <c r="DSX55" s="5">
        <f>-IFERROR('4. NPV'!DSY24/'4. NPV'!DSY$8,0)</f>
        <v>-0.0</v>
      </c>
      <c r="DSY55" s="5">
        <f>-IFERROR('4. NPV'!DSZ24/'4. NPV'!DSZ$8,0)</f>
        <v>-0.0</v>
      </c>
      <c r="DSZ55" s="5">
        <f>-IFERROR('4. NPV'!DTA24/'4. NPV'!DTA$8,0)</f>
        <v>-0.0</v>
      </c>
      <c r="DTA55" s="5">
        <f>-IFERROR('4. NPV'!DTB24/'4. NPV'!DTB$8,0)</f>
        <v>-0.0</v>
      </c>
      <c r="DTB55" s="5">
        <f>-IFERROR('4. NPV'!DTC24/'4. NPV'!DTC$8,0)</f>
        <v>-0.0</v>
      </c>
      <c r="DTC55" s="5">
        <f>-IFERROR('4. NPV'!DTD24/'4. NPV'!DTD$8,0)</f>
        <v>-0.0</v>
      </c>
      <c r="DTD55" s="5">
        <f>-IFERROR('4. NPV'!DTE24/'4. NPV'!DTE$8,0)</f>
        <v>-0.0</v>
      </c>
      <c r="DTE55" s="5">
        <f>-IFERROR('4. NPV'!DTF24/'4. NPV'!DTF$8,0)</f>
        <v>-0.0</v>
      </c>
      <c r="DTF55" s="5">
        <f>-IFERROR('4. NPV'!DTG24/'4. NPV'!DTG$8,0)</f>
        <v>-0.0</v>
      </c>
      <c r="DTG55" s="5">
        <f>-IFERROR('4. NPV'!DTH24/'4. NPV'!DTH$8,0)</f>
        <v>-0.0</v>
      </c>
      <c r="DTH55" s="5">
        <f>-IFERROR('4. NPV'!DTI24/'4. NPV'!DTI$8,0)</f>
        <v>-0.0</v>
      </c>
      <c r="DTI55" s="5">
        <f>-IFERROR('4. NPV'!DTJ24/'4. NPV'!DTJ$8,0)</f>
        <v>-0.0</v>
      </c>
      <c r="DTJ55" s="5">
        <f>-IFERROR('4. NPV'!DTK24/'4. NPV'!DTK$8,0)</f>
        <v>-0.0</v>
      </c>
      <c r="DTK55" s="5">
        <f>-IFERROR('4. NPV'!DTL24/'4. NPV'!DTL$8,0)</f>
        <v>-0.0</v>
      </c>
      <c r="DTL55" s="5">
        <f>-IFERROR('4. NPV'!DTM24/'4. NPV'!DTM$8,0)</f>
        <v>-0.0</v>
      </c>
      <c r="DTM55" s="5">
        <f>-IFERROR('4. NPV'!DTN24/'4. NPV'!DTN$8,0)</f>
        <v>-0.0</v>
      </c>
      <c r="DTN55" s="5">
        <f>-IFERROR('4. NPV'!DTO24/'4. NPV'!DTO$8,0)</f>
        <v>-0.0</v>
      </c>
      <c r="DTO55" s="5">
        <f>-IFERROR('4. NPV'!DTP24/'4. NPV'!DTP$8,0)</f>
        <v>-0.0</v>
      </c>
      <c r="DTP55" s="5">
        <f>-IFERROR('4. NPV'!DTQ24/'4. NPV'!DTQ$8,0)</f>
        <v>-0.0</v>
      </c>
      <c r="DTQ55" s="5">
        <f>-IFERROR('4. NPV'!DTR24/'4. NPV'!DTR$8,0)</f>
        <v>-0.0</v>
      </c>
      <c r="DTR55" s="5">
        <f>-IFERROR('4. NPV'!DTS24/'4. NPV'!DTS$8,0)</f>
        <v>-0.0</v>
      </c>
      <c r="DTS55" s="5">
        <f>-IFERROR('4. NPV'!DTT24/'4. NPV'!DTT$8,0)</f>
        <v>-0.0</v>
      </c>
      <c r="DTT55" s="5">
        <f>-IFERROR('4. NPV'!DTU24/'4. NPV'!DTU$8,0)</f>
        <v>-0.0</v>
      </c>
      <c r="DTU55" s="5">
        <f>-IFERROR('4. NPV'!DTV24/'4. NPV'!DTV$8,0)</f>
        <v>-0.0</v>
      </c>
      <c r="DTV55" s="5">
        <f>-IFERROR('4. NPV'!DTW24/'4. NPV'!DTW$8,0)</f>
        <v>-0.0</v>
      </c>
      <c r="DTW55" s="5">
        <f>-IFERROR('4. NPV'!DTX24/'4. NPV'!DTX$8,0)</f>
        <v>-0.0</v>
      </c>
      <c r="DTX55" s="5">
        <f>-IFERROR('4. NPV'!DTY24/'4. NPV'!DTY$8,0)</f>
        <v>-0.0</v>
      </c>
      <c r="DTY55" s="5">
        <f>-IFERROR('4. NPV'!DTZ24/'4. NPV'!DTZ$8,0)</f>
        <v>-0.0</v>
      </c>
      <c r="DTZ55" s="5">
        <f>-IFERROR('4. NPV'!DUA24/'4. NPV'!DUA$8,0)</f>
        <v>-0.0</v>
      </c>
      <c r="DUA55" s="5">
        <f>-IFERROR('4. NPV'!DUB24/'4. NPV'!DUB$8,0)</f>
        <v>-0.0</v>
      </c>
      <c r="DUB55" s="5">
        <f>-IFERROR('4. NPV'!DUC24/'4. NPV'!DUC$8,0)</f>
        <v>-0.0</v>
      </c>
      <c r="DUC55" s="5">
        <f>-IFERROR('4. NPV'!DUD24/'4. NPV'!DUD$8,0)</f>
        <v>-0.0</v>
      </c>
      <c r="DUD55" s="5">
        <f>-IFERROR('4. NPV'!DUE24/'4. NPV'!DUE$8,0)</f>
        <v>-0.0</v>
      </c>
      <c r="DUE55" s="5">
        <f>-IFERROR('4. NPV'!DUF24/'4. NPV'!DUF$8,0)</f>
        <v>-0.0</v>
      </c>
      <c r="DUF55" s="5">
        <f>-IFERROR('4. NPV'!DUG24/'4. NPV'!DUG$8,0)</f>
        <v>-0.0</v>
      </c>
      <c r="DUG55" s="5">
        <f>-IFERROR('4. NPV'!DUH24/'4. NPV'!DUH$8,0)</f>
        <v>-0.0</v>
      </c>
      <c r="DUH55" s="5">
        <f>-IFERROR('4. NPV'!DUI24/'4. NPV'!DUI$8,0)</f>
        <v>-0.0</v>
      </c>
      <c r="DUI55" s="5">
        <f>-IFERROR('4. NPV'!DUJ24/'4. NPV'!DUJ$8,0)</f>
        <v>-0.0</v>
      </c>
      <c r="DUJ55" s="5">
        <f>-IFERROR('4. NPV'!DUK24/'4. NPV'!DUK$8,0)</f>
        <v>-0.0</v>
      </c>
      <c r="DUK55" s="5">
        <f>-IFERROR('4. NPV'!DUL24/'4. NPV'!DUL$8,0)</f>
        <v>-0.0</v>
      </c>
      <c r="DUL55" s="5">
        <f>-IFERROR('4. NPV'!DUM24/'4. NPV'!DUM$8,0)</f>
        <v>-0.0</v>
      </c>
      <c r="DUM55" s="5">
        <f>-IFERROR('4. NPV'!DUN24/'4. NPV'!DUN$8,0)</f>
        <v>-0.0</v>
      </c>
      <c r="DUN55" s="5">
        <f>-IFERROR('4. NPV'!DUO24/'4. NPV'!DUO$8,0)</f>
        <v>-0.0</v>
      </c>
      <c r="DUO55" s="5">
        <f>-IFERROR('4. NPV'!DUP24/'4. NPV'!DUP$8,0)</f>
        <v>-0.0</v>
      </c>
      <c r="DUP55" s="5">
        <f>-IFERROR('4. NPV'!DUQ24/'4. NPV'!DUQ$8,0)</f>
        <v>-0.0</v>
      </c>
      <c r="DUQ55" s="5">
        <f>-IFERROR('4. NPV'!DUR24/'4. NPV'!DUR$8,0)</f>
        <v>-0.0</v>
      </c>
      <c r="DUR55" s="5">
        <f>-IFERROR('4. NPV'!DUS24/'4. NPV'!DUS$8,0)</f>
        <v>-0.0</v>
      </c>
      <c r="DUS55" s="5">
        <f>-IFERROR('4. NPV'!DUT24/'4. NPV'!DUT$8,0)</f>
        <v>-0.0</v>
      </c>
      <c r="DUT55" s="5">
        <f>-IFERROR('4. NPV'!DUU24/'4. NPV'!DUU$8,0)</f>
        <v>-0.0</v>
      </c>
      <c r="DUU55" s="5">
        <f>-IFERROR('4. NPV'!DUV24/'4. NPV'!DUV$8,0)</f>
        <v>-0.0</v>
      </c>
      <c r="DUV55" s="5">
        <f>-IFERROR('4. NPV'!DUW24/'4. NPV'!DUW$8,0)</f>
        <v>-0.0</v>
      </c>
      <c r="DUW55" s="5">
        <f>-IFERROR('4. NPV'!DUX24/'4. NPV'!DUX$8,0)</f>
        <v>-0.0</v>
      </c>
      <c r="DUX55" s="5">
        <f>-IFERROR('4. NPV'!DUY24/'4. NPV'!DUY$8,0)</f>
        <v>-0.0</v>
      </c>
      <c r="DUY55" s="5">
        <f>-IFERROR('4. NPV'!DUZ24/'4. NPV'!DUZ$8,0)</f>
        <v>-0.0</v>
      </c>
      <c r="DUZ55" s="5">
        <f>-IFERROR('4. NPV'!DVA24/'4. NPV'!DVA$8,0)</f>
        <v>-0.0</v>
      </c>
      <c r="DVA55" s="5">
        <f>-IFERROR('4. NPV'!DVB24/'4. NPV'!DVB$8,0)</f>
        <v>-0.0</v>
      </c>
      <c r="DVB55" s="5">
        <f>-IFERROR('4. NPV'!DVC24/'4. NPV'!DVC$8,0)</f>
        <v>-0.0</v>
      </c>
      <c r="DVC55" s="5">
        <f>-IFERROR('4. NPV'!DVD24/'4. NPV'!DVD$8,0)</f>
        <v>-0.0</v>
      </c>
      <c r="DVD55" s="5">
        <f>-IFERROR('4. NPV'!DVE24/'4. NPV'!DVE$8,0)</f>
        <v>-0.0</v>
      </c>
      <c r="DVE55" s="5">
        <f>-IFERROR('4. NPV'!DVF24/'4. NPV'!DVF$8,0)</f>
        <v>-0.0</v>
      </c>
      <c r="DVF55" s="5">
        <f>-IFERROR('4. NPV'!DVG24/'4. NPV'!DVG$8,0)</f>
        <v>-0.0</v>
      </c>
      <c r="DVG55" s="5">
        <f>-IFERROR('4. NPV'!DVH24/'4. NPV'!DVH$8,0)</f>
        <v>-0.0</v>
      </c>
      <c r="DVH55" s="5">
        <f>-IFERROR('4. NPV'!DVI24/'4. NPV'!DVI$8,0)</f>
        <v>-0.0</v>
      </c>
      <c r="DVI55" s="5">
        <f>-IFERROR('4. NPV'!DVJ24/'4. NPV'!DVJ$8,0)</f>
        <v>-0.0</v>
      </c>
      <c r="DVJ55" s="5">
        <f>-IFERROR('4. NPV'!DVK24/'4. NPV'!DVK$8,0)</f>
        <v>-0.0</v>
      </c>
      <c r="DVK55" s="5">
        <f>-IFERROR('4. NPV'!DVL24/'4. NPV'!DVL$8,0)</f>
        <v>-0.0</v>
      </c>
      <c r="DVL55" s="5">
        <f>-IFERROR('4. NPV'!DVM24/'4. NPV'!DVM$8,0)</f>
        <v>-0.0</v>
      </c>
      <c r="DVM55" s="5">
        <f>-IFERROR('4. NPV'!DVN24/'4. NPV'!DVN$8,0)</f>
        <v>-0.0</v>
      </c>
      <c r="DVN55" s="5">
        <f>-IFERROR('4. NPV'!DVO24/'4. NPV'!DVO$8,0)</f>
        <v>-0.0</v>
      </c>
      <c r="DVO55" s="5">
        <f>-IFERROR('4. NPV'!DVP24/'4. NPV'!DVP$8,0)</f>
        <v>-0.0</v>
      </c>
      <c r="DVP55" s="5">
        <f>-IFERROR('4. NPV'!DVQ24/'4. NPV'!DVQ$8,0)</f>
        <v>-0.0</v>
      </c>
      <c r="DVQ55" s="5">
        <f>-IFERROR('4. NPV'!DVR24/'4. NPV'!DVR$8,0)</f>
        <v>-0.0</v>
      </c>
      <c r="DVR55" s="5">
        <f>-IFERROR('4. NPV'!DVS24/'4. NPV'!DVS$8,0)</f>
        <v>-0.0</v>
      </c>
      <c r="DVS55" s="5">
        <f>-IFERROR('4. NPV'!DVT24/'4. NPV'!DVT$8,0)</f>
        <v>-0.0</v>
      </c>
      <c r="DVT55" s="5">
        <f>-IFERROR('4. NPV'!DVU24/'4. NPV'!DVU$8,0)</f>
        <v>-0.0</v>
      </c>
      <c r="DVU55" s="5">
        <f>-IFERROR('4. NPV'!DVV24/'4. NPV'!DVV$8,0)</f>
        <v>-0.0</v>
      </c>
      <c r="DVV55" s="5">
        <f>-IFERROR('4. NPV'!DVW24/'4. NPV'!DVW$8,0)</f>
        <v>-0.0</v>
      </c>
      <c r="DVW55" s="5">
        <f>-IFERROR('4. NPV'!DVX24/'4. NPV'!DVX$8,0)</f>
        <v>-0.0</v>
      </c>
      <c r="DVX55" s="5">
        <f>-IFERROR('4. NPV'!DVY24/'4. NPV'!DVY$8,0)</f>
        <v>-0.0</v>
      </c>
      <c r="DVY55" s="5">
        <f>-IFERROR('4. NPV'!DVZ24/'4. NPV'!DVZ$8,0)</f>
        <v>-0.0</v>
      </c>
      <c r="DVZ55" s="5">
        <f>-IFERROR('4. NPV'!DWA24/'4. NPV'!DWA$8,0)</f>
        <v>-0.0</v>
      </c>
      <c r="DWA55" s="5">
        <f>-IFERROR('4. NPV'!DWB24/'4. NPV'!DWB$8,0)</f>
        <v>-0.0</v>
      </c>
      <c r="DWB55" s="5">
        <f>-IFERROR('4. NPV'!DWC24/'4. NPV'!DWC$8,0)</f>
        <v>-0.0</v>
      </c>
      <c r="DWC55" s="5">
        <f>-IFERROR('4. NPV'!DWD24/'4. NPV'!DWD$8,0)</f>
        <v>-0.0</v>
      </c>
      <c r="DWD55" s="5">
        <f>-IFERROR('4. NPV'!DWE24/'4. NPV'!DWE$8,0)</f>
        <v>-0.0</v>
      </c>
      <c r="DWE55" s="5">
        <f>-IFERROR('4. NPV'!DWF24/'4. NPV'!DWF$8,0)</f>
        <v>-0.0</v>
      </c>
      <c r="DWF55" s="5">
        <f>-IFERROR('4. NPV'!DWG24/'4. NPV'!DWG$8,0)</f>
        <v>-0.0</v>
      </c>
      <c r="DWG55" s="5">
        <f>-IFERROR('4. NPV'!DWH24/'4. NPV'!DWH$8,0)</f>
        <v>-0.0</v>
      </c>
      <c r="DWH55" s="5">
        <f>-IFERROR('4. NPV'!DWI24/'4. NPV'!DWI$8,0)</f>
        <v>-0.0</v>
      </c>
      <c r="DWI55" s="5">
        <f>-IFERROR('4. NPV'!DWJ24/'4. NPV'!DWJ$8,0)</f>
        <v>-0.0</v>
      </c>
      <c r="DWJ55" s="5">
        <f>-IFERROR('4. NPV'!DWK24/'4. NPV'!DWK$8,0)</f>
        <v>-0.0</v>
      </c>
      <c r="DWK55" s="5">
        <f>-IFERROR('4. NPV'!DWL24/'4. NPV'!DWL$8,0)</f>
        <v>-0.0</v>
      </c>
      <c r="DWL55" s="5">
        <f>-IFERROR('4. NPV'!DWM24/'4. NPV'!DWM$8,0)</f>
        <v>-0.0</v>
      </c>
      <c r="DWM55" s="5">
        <f>-IFERROR('4. NPV'!DWN24/'4. NPV'!DWN$8,0)</f>
        <v>-0.0</v>
      </c>
      <c r="DWN55" s="5">
        <f>-IFERROR('4. NPV'!DWO24/'4. NPV'!DWO$8,0)</f>
        <v>-0.0</v>
      </c>
      <c r="DWO55" s="5">
        <f>-IFERROR('4. NPV'!DWP24/'4. NPV'!DWP$8,0)</f>
        <v>-0.0</v>
      </c>
      <c r="DWP55" s="5">
        <f>-IFERROR('4. NPV'!DWQ24/'4. NPV'!DWQ$8,0)</f>
        <v>-0.0</v>
      </c>
      <c r="DWQ55" s="5">
        <f>-IFERROR('4. NPV'!DWR24/'4. NPV'!DWR$8,0)</f>
        <v>-0.0</v>
      </c>
      <c r="DWR55" s="5">
        <f>-IFERROR('4. NPV'!DWS24/'4. NPV'!DWS$8,0)</f>
        <v>-0.0</v>
      </c>
      <c r="DWS55" s="5">
        <f>-IFERROR('4. NPV'!DWT24/'4. NPV'!DWT$8,0)</f>
        <v>-0.0</v>
      </c>
      <c r="DWT55" s="5">
        <f>-IFERROR('4. NPV'!DWU24/'4. NPV'!DWU$8,0)</f>
        <v>-0.0</v>
      </c>
      <c r="DWU55" s="5">
        <f>-IFERROR('4. NPV'!DWV24/'4. NPV'!DWV$8,0)</f>
        <v>-0.0</v>
      </c>
      <c r="DWV55" s="5">
        <f>-IFERROR('4. NPV'!DWW24/'4. NPV'!DWW$8,0)</f>
        <v>-0.0</v>
      </c>
      <c r="DWW55" s="5">
        <f>-IFERROR('4. NPV'!DWX24/'4. NPV'!DWX$8,0)</f>
        <v>-0.0</v>
      </c>
      <c r="DWX55" s="5">
        <f>-IFERROR('4. NPV'!DWY24/'4. NPV'!DWY$8,0)</f>
        <v>-0.0</v>
      </c>
      <c r="DWY55" s="5">
        <f>-IFERROR('4. NPV'!DWZ24/'4. NPV'!DWZ$8,0)</f>
        <v>-0.0</v>
      </c>
      <c r="DWZ55" s="5">
        <f>-IFERROR('4. NPV'!DXA24/'4. NPV'!DXA$8,0)</f>
        <v>-0.0</v>
      </c>
      <c r="DXA55" s="5">
        <f>-IFERROR('4. NPV'!DXB24/'4. NPV'!DXB$8,0)</f>
        <v>-0.0</v>
      </c>
      <c r="DXB55" s="5">
        <f>-IFERROR('4. NPV'!DXC24/'4. NPV'!DXC$8,0)</f>
        <v>-0.0</v>
      </c>
      <c r="DXC55" s="5">
        <f>-IFERROR('4. NPV'!DXD24/'4. NPV'!DXD$8,0)</f>
        <v>-0.0</v>
      </c>
      <c r="DXD55" s="5">
        <f>-IFERROR('4. NPV'!DXE24/'4. NPV'!DXE$8,0)</f>
        <v>-0.0</v>
      </c>
      <c r="DXE55" s="5">
        <f>-IFERROR('4. NPV'!DXF24/'4. NPV'!DXF$8,0)</f>
        <v>-0.0</v>
      </c>
      <c r="DXF55" s="5">
        <f>-IFERROR('4. NPV'!DXG24/'4. NPV'!DXG$8,0)</f>
        <v>-0.0</v>
      </c>
      <c r="DXG55" s="5">
        <f>-IFERROR('4. NPV'!DXH24/'4. NPV'!DXH$8,0)</f>
        <v>-0.0</v>
      </c>
      <c r="DXH55" s="5">
        <f>-IFERROR('4. NPV'!DXI24/'4. NPV'!DXI$8,0)</f>
        <v>-0.0</v>
      </c>
      <c r="DXI55" s="5">
        <f>-IFERROR('4. NPV'!DXJ24/'4. NPV'!DXJ$8,0)</f>
        <v>-0.0</v>
      </c>
      <c r="DXJ55" s="5">
        <f>-IFERROR('4. NPV'!DXK24/'4. NPV'!DXK$8,0)</f>
        <v>-0.0</v>
      </c>
      <c r="DXK55" s="5">
        <f>-IFERROR('4. NPV'!DXL24/'4. NPV'!DXL$8,0)</f>
        <v>-0.0</v>
      </c>
      <c r="DXL55" s="5">
        <f>-IFERROR('4. NPV'!DXM24/'4. NPV'!DXM$8,0)</f>
        <v>-0.0</v>
      </c>
      <c r="DXM55" s="5">
        <f>-IFERROR('4. NPV'!DXN24/'4. NPV'!DXN$8,0)</f>
        <v>-0.0</v>
      </c>
      <c r="DXN55" s="5">
        <f>-IFERROR('4. NPV'!DXO24/'4. NPV'!DXO$8,0)</f>
        <v>-0.0</v>
      </c>
      <c r="DXO55" s="5">
        <f>-IFERROR('4. NPV'!DXP24/'4. NPV'!DXP$8,0)</f>
        <v>-0.0</v>
      </c>
      <c r="DXP55" s="5">
        <f>-IFERROR('4. NPV'!DXQ24/'4. NPV'!DXQ$8,0)</f>
        <v>-0.0</v>
      </c>
      <c r="DXQ55" s="5">
        <f>-IFERROR('4. NPV'!DXR24/'4. NPV'!DXR$8,0)</f>
        <v>-0.0</v>
      </c>
      <c r="DXR55" s="5">
        <f>-IFERROR('4. NPV'!DXS24/'4. NPV'!DXS$8,0)</f>
        <v>-0.0</v>
      </c>
      <c r="DXS55" s="5">
        <f>-IFERROR('4. NPV'!DXT24/'4. NPV'!DXT$8,0)</f>
        <v>-0.0</v>
      </c>
      <c r="DXT55" s="5">
        <f>-IFERROR('4. NPV'!DXU24/'4. NPV'!DXU$8,0)</f>
        <v>-0.0</v>
      </c>
      <c r="DXU55" s="5">
        <f>-IFERROR('4. NPV'!DXV24/'4. NPV'!DXV$8,0)</f>
        <v>-0.0</v>
      </c>
      <c r="DXV55" s="5">
        <f>-IFERROR('4. NPV'!DXW24/'4. NPV'!DXW$8,0)</f>
        <v>-0.0</v>
      </c>
      <c r="DXW55" s="5">
        <f>-IFERROR('4. NPV'!DXX24/'4. NPV'!DXX$8,0)</f>
        <v>-0.0</v>
      </c>
      <c r="DXX55" s="5">
        <f>-IFERROR('4. NPV'!DXY24/'4. NPV'!DXY$8,0)</f>
        <v>-0.0</v>
      </c>
      <c r="DXY55" s="5">
        <f>-IFERROR('4. NPV'!DXZ24/'4. NPV'!DXZ$8,0)</f>
        <v>-0.0</v>
      </c>
      <c r="DXZ55" s="5">
        <f>-IFERROR('4. NPV'!DYA24/'4. NPV'!DYA$8,0)</f>
        <v>-0.0</v>
      </c>
      <c r="DYA55" s="5">
        <f>-IFERROR('4. NPV'!DYB24/'4. NPV'!DYB$8,0)</f>
        <v>-0.0</v>
      </c>
      <c r="DYB55" s="5">
        <f>-IFERROR('4. NPV'!DYC24/'4. NPV'!DYC$8,0)</f>
        <v>-0.0</v>
      </c>
      <c r="DYC55" s="5">
        <f>-IFERROR('4. NPV'!DYD24/'4. NPV'!DYD$8,0)</f>
        <v>-0.0</v>
      </c>
      <c r="DYD55" s="5">
        <f>-IFERROR('4. NPV'!DYE24/'4. NPV'!DYE$8,0)</f>
        <v>-0.0</v>
      </c>
      <c r="DYE55" s="5">
        <f>-IFERROR('4. NPV'!DYF24/'4. NPV'!DYF$8,0)</f>
        <v>-0.0</v>
      </c>
      <c r="DYF55" s="5">
        <f>-IFERROR('4. NPV'!DYG24/'4. NPV'!DYG$8,0)</f>
        <v>-0.0</v>
      </c>
      <c r="DYG55" s="5">
        <f>-IFERROR('4. NPV'!DYH24/'4. NPV'!DYH$8,0)</f>
        <v>-0.0</v>
      </c>
      <c r="DYH55" s="5">
        <f>-IFERROR('4. NPV'!DYI24/'4. NPV'!DYI$8,0)</f>
        <v>-0.0</v>
      </c>
      <c r="DYI55" s="5">
        <f>-IFERROR('4. NPV'!DYJ24/'4. NPV'!DYJ$8,0)</f>
        <v>-0.0</v>
      </c>
      <c r="DYJ55" s="5">
        <f>-IFERROR('4. NPV'!DYK24/'4. NPV'!DYK$8,0)</f>
        <v>-0.0</v>
      </c>
      <c r="DYK55" s="5">
        <f>-IFERROR('4. NPV'!DYL24/'4. NPV'!DYL$8,0)</f>
        <v>-0.0</v>
      </c>
      <c r="DYL55" s="5">
        <f>-IFERROR('4. NPV'!DYM24/'4. NPV'!DYM$8,0)</f>
        <v>-0.0</v>
      </c>
      <c r="DYM55" s="5">
        <f>-IFERROR('4. NPV'!DYN24/'4. NPV'!DYN$8,0)</f>
        <v>-0.0</v>
      </c>
      <c r="DYN55" s="5">
        <f>-IFERROR('4. NPV'!DYO24/'4. NPV'!DYO$8,0)</f>
        <v>-0.0</v>
      </c>
      <c r="DYO55" s="5">
        <f>-IFERROR('4. NPV'!DYP24/'4. NPV'!DYP$8,0)</f>
        <v>-0.0</v>
      </c>
      <c r="DYP55" s="5">
        <f>-IFERROR('4. NPV'!DYQ24/'4. NPV'!DYQ$8,0)</f>
        <v>-0.0</v>
      </c>
      <c r="DYQ55" s="5">
        <f>-IFERROR('4. NPV'!DYR24/'4. NPV'!DYR$8,0)</f>
        <v>-0.0</v>
      </c>
      <c r="DYR55" s="5">
        <f>-IFERROR('4. NPV'!DYS24/'4. NPV'!DYS$8,0)</f>
        <v>-0.0</v>
      </c>
      <c r="DYS55" s="5">
        <f>-IFERROR('4. NPV'!DYT24/'4. NPV'!DYT$8,0)</f>
        <v>-0.0</v>
      </c>
      <c r="DYT55" s="5">
        <f>-IFERROR('4. NPV'!DYU24/'4. NPV'!DYU$8,0)</f>
        <v>-0.0</v>
      </c>
      <c r="DYU55" s="5">
        <f>-IFERROR('4. NPV'!DYV24/'4. NPV'!DYV$8,0)</f>
        <v>-0.0</v>
      </c>
      <c r="DYV55" s="5">
        <f>-IFERROR('4. NPV'!DYW24/'4. NPV'!DYW$8,0)</f>
        <v>-0.0</v>
      </c>
      <c r="DYW55" s="5">
        <f>-IFERROR('4. NPV'!DYX24/'4. NPV'!DYX$8,0)</f>
        <v>-0.0</v>
      </c>
      <c r="DYX55" s="5">
        <f>-IFERROR('4. NPV'!DYY24/'4. NPV'!DYY$8,0)</f>
        <v>-0.0</v>
      </c>
      <c r="DYY55" s="5">
        <f>-IFERROR('4. NPV'!DYZ24/'4. NPV'!DYZ$8,0)</f>
        <v>-0.0</v>
      </c>
      <c r="DYZ55" s="5">
        <f>-IFERROR('4. NPV'!DZA24/'4. NPV'!DZA$8,0)</f>
        <v>-0.0</v>
      </c>
      <c r="DZA55" s="5">
        <f>-IFERROR('4. NPV'!DZB24/'4. NPV'!DZB$8,0)</f>
        <v>-0.0</v>
      </c>
      <c r="DZB55" s="5">
        <f>-IFERROR('4. NPV'!DZC24/'4. NPV'!DZC$8,0)</f>
        <v>-0.0</v>
      </c>
      <c r="DZC55" s="5">
        <f>-IFERROR('4. NPV'!DZD24/'4. NPV'!DZD$8,0)</f>
        <v>-0.0</v>
      </c>
      <c r="DZD55" s="5">
        <f>-IFERROR('4. NPV'!DZE24/'4. NPV'!DZE$8,0)</f>
        <v>-0.0</v>
      </c>
      <c r="DZE55" s="5">
        <f>-IFERROR('4. NPV'!DZF24/'4. NPV'!DZF$8,0)</f>
        <v>-0.0</v>
      </c>
      <c r="DZF55" s="5">
        <f>-IFERROR('4. NPV'!DZG24/'4. NPV'!DZG$8,0)</f>
        <v>-0.0</v>
      </c>
      <c r="DZG55" s="5">
        <f>-IFERROR('4. NPV'!DZH24/'4. NPV'!DZH$8,0)</f>
        <v>-0.0</v>
      </c>
      <c r="DZH55" s="5">
        <f>-IFERROR('4. NPV'!DZI24/'4. NPV'!DZI$8,0)</f>
        <v>-0.0</v>
      </c>
      <c r="DZI55" s="5">
        <f>-IFERROR('4. NPV'!DZJ24/'4. NPV'!DZJ$8,0)</f>
        <v>-0.0</v>
      </c>
      <c r="DZJ55" s="5">
        <f>-IFERROR('4. NPV'!DZK24/'4. NPV'!DZK$8,0)</f>
        <v>-0.0</v>
      </c>
      <c r="DZK55" s="5">
        <f>-IFERROR('4. NPV'!DZL24/'4. NPV'!DZL$8,0)</f>
        <v>-0.0</v>
      </c>
      <c r="DZL55" s="5">
        <f>-IFERROR('4. NPV'!DZM24/'4. NPV'!DZM$8,0)</f>
        <v>-0.0</v>
      </c>
      <c r="DZM55" s="5">
        <f>-IFERROR('4. NPV'!DZN24/'4. NPV'!DZN$8,0)</f>
        <v>-0.0</v>
      </c>
      <c r="DZN55" s="5">
        <f>-IFERROR('4. NPV'!DZO24/'4. NPV'!DZO$8,0)</f>
        <v>-0.0</v>
      </c>
      <c r="DZO55" s="5">
        <f>-IFERROR('4. NPV'!DZP24/'4. NPV'!DZP$8,0)</f>
        <v>-0.0</v>
      </c>
      <c r="DZP55" s="5">
        <f>-IFERROR('4. NPV'!DZQ24/'4. NPV'!DZQ$8,0)</f>
        <v>-0.0</v>
      </c>
      <c r="DZQ55" s="5">
        <f>-IFERROR('4. NPV'!DZR24/'4. NPV'!DZR$8,0)</f>
        <v>-0.0</v>
      </c>
      <c r="DZR55" s="5">
        <f>-IFERROR('4. NPV'!DZS24/'4. NPV'!DZS$8,0)</f>
        <v>-0.0</v>
      </c>
      <c r="DZS55" s="5">
        <f>-IFERROR('4. NPV'!DZT24/'4. NPV'!DZT$8,0)</f>
        <v>-0.0</v>
      </c>
      <c r="DZT55" s="5">
        <f>-IFERROR('4. NPV'!DZU24/'4. NPV'!DZU$8,0)</f>
        <v>-0.0</v>
      </c>
      <c r="DZU55" s="5">
        <f>-IFERROR('4. NPV'!DZV24/'4. NPV'!DZV$8,0)</f>
        <v>-0.0</v>
      </c>
      <c r="DZV55" s="5">
        <f>-IFERROR('4. NPV'!DZW24/'4. NPV'!DZW$8,0)</f>
        <v>-0.0</v>
      </c>
      <c r="DZW55" s="5">
        <f>-IFERROR('4. NPV'!DZX24/'4. NPV'!DZX$8,0)</f>
        <v>-0.0</v>
      </c>
      <c r="DZX55" s="5">
        <f>-IFERROR('4. NPV'!DZY24/'4. NPV'!DZY$8,0)</f>
        <v>-0.0</v>
      </c>
      <c r="DZY55" s="5">
        <f>-IFERROR('4. NPV'!DZZ24/'4. NPV'!DZZ$8,0)</f>
        <v>-0.0</v>
      </c>
      <c r="DZZ55" s="5">
        <f>-IFERROR('4. NPV'!EAA24/'4. NPV'!EAA$8,0)</f>
        <v>-0.0</v>
      </c>
      <c r="EAA55" s="5">
        <f>-IFERROR('4. NPV'!EAB24/'4. NPV'!EAB$8,0)</f>
        <v>-0.0</v>
      </c>
      <c r="EAB55" s="5">
        <f>-IFERROR('4. NPV'!EAC24/'4. NPV'!EAC$8,0)</f>
        <v>-0.0</v>
      </c>
      <c r="EAC55" s="5">
        <f>-IFERROR('4. NPV'!EAD24/'4. NPV'!EAD$8,0)</f>
        <v>-0.0</v>
      </c>
      <c r="EAD55" s="5">
        <f>-IFERROR('4. NPV'!EAE24/'4. NPV'!EAE$8,0)</f>
        <v>-0.0</v>
      </c>
      <c r="EAE55" s="5">
        <f>-IFERROR('4. NPV'!EAF24/'4. NPV'!EAF$8,0)</f>
        <v>-0.0</v>
      </c>
      <c r="EAF55" s="5">
        <f>-IFERROR('4. NPV'!EAG24/'4. NPV'!EAG$8,0)</f>
        <v>-0.0</v>
      </c>
      <c r="EAG55" s="5">
        <f>-IFERROR('4. NPV'!EAH24/'4. NPV'!EAH$8,0)</f>
        <v>-0.0</v>
      </c>
      <c r="EAH55" s="5">
        <f>-IFERROR('4. NPV'!EAI24/'4. NPV'!EAI$8,0)</f>
        <v>-0.0</v>
      </c>
      <c r="EAI55" s="5">
        <f>-IFERROR('4. NPV'!EAJ24/'4. NPV'!EAJ$8,0)</f>
        <v>-0.0</v>
      </c>
      <c r="EAJ55" s="5">
        <f>-IFERROR('4. NPV'!EAK24/'4. NPV'!EAK$8,0)</f>
        <v>-0.0</v>
      </c>
      <c r="EAK55" s="5">
        <f>-IFERROR('4. NPV'!EAL24/'4. NPV'!EAL$8,0)</f>
        <v>-0.0</v>
      </c>
      <c r="EAL55" s="5">
        <f>-IFERROR('4. NPV'!EAM24/'4. NPV'!EAM$8,0)</f>
        <v>-0.0</v>
      </c>
      <c r="EAM55" s="5">
        <f>-IFERROR('4. NPV'!EAN24/'4. NPV'!EAN$8,0)</f>
        <v>-0.0</v>
      </c>
      <c r="EAN55" s="5">
        <f>-IFERROR('4. NPV'!EAO24/'4. NPV'!EAO$8,0)</f>
        <v>-0.0</v>
      </c>
      <c r="EAO55" s="5">
        <f>-IFERROR('4. NPV'!EAP24/'4. NPV'!EAP$8,0)</f>
        <v>-0.0</v>
      </c>
      <c r="EAP55" s="5">
        <f>-IFERROR('4. NPV'!EAQ24/'4. NPV'!EAQ$8,0)</f>
        <v>-0.0</v>
      </c>
      <c r="EAQ55" s="5">
        <f>-IFERROR('4. NPV'!EAR24/'4. NPV'!EAR$8,0)</f>
        <v>-0.0</v>
      </c>
      <c r="EAR55" s="5">
        <f>-IFERROR('4. NPV'!EAS24/'4. NPV'!EAS$8,0)</f>
        <v>-0.0</v>
      </c>
      <c r="EAS55" s="5">
        <f>-IFERROR('4. NPV'!EAT24/'4. NPV'!EAT$8,0)</f>
        <v>-0.0</v>
      </c>
      <c r="EAT55" s="5">
        <f>-IFERROR('4. NPV'!EAU24/'4. NPV'!EAU$8,0)</f>
        <v>-0.0</v>
      </c>
      <c r="EAU55" s="5">
        <f>-IFERROR('4. NPV'!EAV24/'4. NPV'!EAV$8,0)</f>
        <v>-0.0</v>
      </c>
      <c r="EAV55" s="5">
        <f>-IFERROR('4. NPV'!EAW24/'4. NPV'!EAW$8,0)</f>
        <v>-0.0</v>
      </c>
      <c r="EAW55" s="5">
        <f>-IFERROR('4. NPV'!EAX24/'4. NPV'!EAX$8,0)</f>
        <v>-0.0</v>
      </c>
      <c r="EAX55" s="5">
        <f>-IFERROR('4. NPV'!EAY24/'4. NPV'!EAY$8,0)</f>
        <v>-0.0</v>
      </c>
      <c r="EAY55" s="5">
        <f>-IFERROR('4. NPV'!EAZ24/'4. NPV'!EAZ$8,0)</f>
        <v>-0.0</v>
      </c>
      <c r="EAZ55" s="5">
        <f>-IFERROR('4. NPV'!EBA24/'4. NPV'!EBA$8,0)</f>
        <v>-0.0</v>
      </c>
      <c r="EBA55" s="5">
        <f>-IFERROR('4. NPV'!EBB24/'4. NPV'!EBB$8,0)</f>
        <v>-0.0</v>
      </c>
      <c r="EBB55" s="5">
        <f>-IFERROR('4. NPV'!EBC24/'4. NPV'!EBC$8,0)</f>
        <v>-0.0</v>
      </c>
      <c r="EBC55" s="5">
        <f>-IFERROR('4. NPV'!EBD24/'4. NPV'!EBD$8,0)</f>
        <v>-0.0</v>
      </c>
      <c r="EBD55" s="5">
        <f>-IFERROR('4. NPV'!EBE24/'4. NPV'!EBE$8,0)</f>
        <v>-0.0</v>
      </c>
      <c r="EBE55" s="5">
        <f>-IFERROR('4. NPV'!EBF24/'4. NPV'!EBF$8,0)</f>
        <v>-0.0</v>
      </c>
      <c r="EBF55" s="5">
        <f>-IFERROR('4. NPV'!EBG24/'4. NPV'!EBG$8,0)</f>
        <v>-0.0</v>
      </c>
      <c r="EBG55" s="5">
        <f>-IFERROR('4. NPV'!EBH24/'4. NPV'!EBH$8,0)</f>
        <v>-0.0</v>
      </c>
      <c r="EBH55" s="5">
        <f>-IFERROR('4. NPV'!EBI24/'4. NPV'!EBI$8,0)</f>
        <v>-0.0</v>
      </c>
      <c r="EBI55" s="5">
        <f>-IFERROR('4. NPV'!EBJ24/'4. NPV'!EBJ$8,0)</f>
        <v>-0.0</v>
      </c>
      <c r="EBJ55" s="5">
        <f>-IFERROR('4. NPV'!EBK24/'4. NPV'!EBK$8,0)</f>
        <v>-0.0</v>
      </c>
      <c r="EBK55" s="5">
        <f>-IFERROR('4. NPV'!EBL24/'4. NPV'!EBL$8,0)</f>
        <v>-0.0</v>
      </c>
      <c r="EBL55" s="5">
        <f>-IFERROR('4. NPV'!EBM24/'4. NPV'!EBM$8,0)</f>
        <v>-0.0</v>
      </c>
      <c r="EBM55" s="5">
        <f>-IFERROR('4. NPV'!EBN24/'4. NPV'!EBN$8,0)</f>
        <v>-0.0</v>
      </c>
      <c r="EBN55" s="5">
        <f>-IFERROR('4. NPV'!EBO24/'4. NPV'!EBO$8,0)</f>
        <v>-0.0</v>
      </c>
      <c r="EBO55" s="5">
        <f>-IFERROR('4. NPV'!EBP24/'4. NPV'!EBP$8,0)</f>
        <v>-0.0</v>
      </c>
      <c r="EBP55" s="5">
        <f>-IFERROR('4. NPV'!EBQ24/'4. NPV'!EBQ$8,0)</f>
        <v>-0.0</v>
      </c>
      <c r="EBQ55" s="5">
        <f>-IFERROR('4. NPV'!EBR24/'4. NPV'!EBR$8,0)</f>
        <v>-0.0</v>
      </c>
      <c r="EBR55" s="5">
        <f>-IFERROR('4. NPV'!EBS24/'4. NPV'!EBS$8,0)</f>
        <v>-0.0</v>
      </c>
      <c r="EBS55" s="5">
        <f>-IFERROR('4. NPV'!EBT24/'4. NPV'!EBT$8,0)</f>
        <v>-0.0</v>
      </c>
      <c r="EBT55" s="5">
        <f>-IFERROR('4. NPV'!EBU24/'4. NPV'!EBU$8,0)</f>
        <v>-0.0</v>
      </c>
      <c r="EBU55" s="5">
        <f>-IFERROR('4. NPV'!EBV24/'4. NPV'!EBV$8,0)</f>
        <v>-0.0</v>
      </c>
      <c r="EBV55" s="5">
        <f>-IFERROR('4. NPV'!EBW24/'4. NPV'!EBW$8,0)</f>
        <v>-0.0</v>
      </c>
      <c r="EBW55" s="5">
        <f>-IFERROR('4. NPV'!EBX24/'4. NPV'!EBX$8,0)</f>
        <v>-0.0</v>
      </c>
      <c r="EBX55" s="5">
        <f>-IFERROR('4. NPV'!EBY24/'4. NPV'!EBY$8,0)</f>
        <v>-0.0</v>
      </c>
      <c r="EBY55" s="5">
        <f>-IFERROR('4. NPV'!EBZ24/'4. NPV'!EBZ$8,0)</f>
        <v>-0.0</v>
      </c>
      <c r="EBZ55" s="5">
        <f>-IFERROR('4. NPV'!ECA24/'4. NPV'!ECA$8,0)</f>
        <v>-0.0</v>
      </c>
      <c r="ECA55" s="5">
        <f>-IFERROR('4. NPV'!ECB24/'4. NPV'!ECB$8,0)</f>
        <v>-0.0</v>
      </c>
      <c r="ECB55" s="5">
        <f>-IFERROR('4. NPV'!ECC24/'4. NPV'!ECC$8,0)</f>
        <v>-0.0</v>
      </c>
      <c r="ECC55" s="5">
        <f>-IFERROR('4. NPV'!ECD24/'4. NPV'!ECD$8,0)</f>
        <v>-0.0</v>
      </c>
      <c r="ECD55" s="5">
        <f>-IFERROR('4. NPV'!ECE24/'4. NPV'!ECE$8,0)</f>
        <v>-0.0</v>
      </c>
      <c r="ECE55" s="5">
        <f>-IFERROR('4. NPV'!ECF24/'4. NPV'!ECF$8,0)</f>
        <v>-0.0</v>
      </c>
      <c r="ECF55" s="5">
        <f>-IFERROR('4. NPV'!ECG24/'4. NPV'!ECG$8,0)</f>
        <v>-0.0</v>
      </c>
      <c r="ECG55" s="5">
        <f>-IFERROR('4. NPV'!ECH24/'4. NPV'!ECH$8,0)</f>
        <v>-0.0</v>
      </c>
      <c r="ECH55" s="5">
        <f>-IFERROR('4. NPV'!ECI24/'4. NPV'!ECI$8,0)</f>
        <v>-0.0</v>
      </c>
      <c r="ECI55" s="5">
        <f>-IFERROR('4. NPV'!ECJ24/'4. NPV'!ECJ$8,0)</f>
        <v>-0.0</v>
      </c>
      <c r="ECJ55" s="5">
        <f>-IFERROR('4. NPV'!ECK24/'4. NPV'!ECK$8,0)</f>
        <v>-0.0</v>
      </c>
      <c r="ECK55" s="5">
        <f>-IFERROR('4. NPV'!ECL24/'4. NPV'!ECL$8,0)</f>
        <v>-0.0</v>
      </c>
      <c r="ECL55" s="5">
        <f>-IFERROR('4. NPV'!ECM24/'4. NPV'!ECM$8,0)</f>
        <v>-0.0</v>
      </c>
      <c r="ECM55" s="5">
        <f>-IFERROR('4. NPV'!ECN24/'4. NPV'!ECN$8,0)</f>
        <v>-0.0</v>
      </c>
      <c r="ECN55" s="5">
        <f>-IFERROR('4. NPV'!ECO24/'4. NPV'!ECO$8,0)</f>
        <v>-0.0</v>
      </c>
      <c r="ECO55" s="5">
        <f>-IFERROR('4. NPV'!ECP24/'4. NPV'!ECP$8,0)</f>
        <v>-0.0</v>
      </c>
      <c r="ECP55" s="5">
        <f>-IFERROR('4. NPV'!ECQ24/'4. NPV'!ECQ$8,0)</f>
        <v>-0.0</v>
      </c>
      <c r="ECQ55" s="5">
        <f>-IFERROR('4. NPV'!ECR24/'4. NPV'!ECR$8,0)</f>
        <v>-0.0</v>
      </c>
      <c r="ECR55" s="5">
        <f>-IFERROR('4. NPV'!ECS24/'4. NPV'!ECS$8,0)</f>
        <v>-0.0</v>
      </c>
      <c r="ECS55" s="5">
        <f>-IFERROR('4. NPV'!ECT24/'4. NPV'!ECT$8,0)</f>
        <v>-0.0</v>
      </c>
      <c r="ECT55" s="5">
        <f>-IFERROR('4. NPV'!ECU24/'4. NPV'!ECU$8,0)</f>
        <v>-0.0</v>
      </c>
      <c r="ECU55" s="5">
        <f>-IFERROR('4. NPV'!ECV24/'4. NPV'!ECV$8,0)</f>
        <v>-0.0</v>
      </c>
      <c r="ECV55" s="5">
        <f>-IFERROR('4. NPV'!ECW24/'4. NPV'!ECW$8,0)</f>
        <v>-0.0</v>
      </c>
      <c r="ECW55" s="5">
        <f>-IFERROR('4. NPV'!ECX24/'4. NPV'!ECX$8,0)</f>
        <v>-0.0</v>
      </c>
      <c r="ECX55" s="5">
        <f>-IFERROR('4. NPV'!ECY24/'4. NPV'!ECY$8,0)</f>
        <v>-0.0</v>
      </c>
      <c r="ECY55" s="5">
        <f>-IFERROR('4. NPV'!ECZ24/'4. NPV'!ECZ$8,0)</f>
        <v>-0.0</v>
      </c>
      <c r="ECZ55" s="5">
        <f>-IFERROR('4. NPV'!EDA24/'4. NPV'!EDA$8,0)</f>
        <v>-0.0</v>
      </c>
      <c r="EDA55" s="5">
        <f>-IFERROR('4. NPV'!EDB24/'4. NPV'!EDB$8,0)</f>
        <v>-0.0</v>
      </c>
      <c r="EDB55" s="5">
        <f>-IFERROR('4. NPV'!EDC24/'4. NPV'!EDC$8,0)</f>
        <v>-0.0</v>
      </c>
      <c r="EDC55" s="5">
        <f>-IFERROR('4. NPV'!EDD24/'4. NPV'!EDD$8,0)</f>
        <v>-0.0</v>
      </c>
      <c r="EDD55" s="5">
        <f>-IFERROR('4. NPV'!EDE24/'4. NPV'!EDE$8,0)</f>
        <v>-0.0</v>
      </c>
      <c r="EDE55" s="5">
        <f>-IFERROR('4. NPV'!EDF24/'4. NPV'!EDF$8,0)</f>
        <v>-0.0</v>
      </c>
      <c r="EDF55" s="5">
        <f>-IFERROR('4. NPV'!EDG24/'4. NPV'!EDG$8,0)</f>
        <v>-0.0</v>
      </c>
      <c r="EDG55" s="5">
        <f>-IFERROR('4. NPV'!EDH24/'4. NPV'!EDH$8,0)</f>
        <v>-0.0</v>
      </c>
      <c r="EDH55" s="5">
        <f>-IFERROR('4. NPV'!EDI24/'4. NPV'!EDI$8,0)</f>
        <v>-0.0</v>
      </c>
      <c r="EDI55" s="5">
        <f>-IFERROR('4. NPV'!EDJ24/'4. NPV'!EDJ$8,0)</f>
        <v>-0.0</v>
      </c>
      <c r="EDJ55" s="5">
        <f>-IFERROR('4. NPV'!EDK24/'4. NPV'!EDK$8,0)</f>
        <v>-0.0</v>
      </c>
      <c r="EDK55" s="5">
        <f>-IFERROR('4. NPV'!EDL24/'4. NPV'!EDL$8,0)</f>
        <v>-0.0</v>
      </c>
      <c r="EDL55" s="5">
        <f>-IFERROR('4. NPV'!EDM24/'4. NPV'!EDM$8,0)</f>
        <v>-0.0</v>
      </c>
      <c r="EDM55" s="5">
        <f>-IFERROR('4. NPV'!EDN24/'4. NPV'!EDN$8,0)</f>
        <v>-0.0</v>
      </c>
      <c r="EDN55" s="5">
        <f>-IFERROR('4. NPV'!EDO24/'4. NPV'!EDO$8,0)</f>
        <v>-0.0</v>
      </c>
      <c r="EDO55" s="5">
        <f>-IFERROR('4. NPV'!EDP24/'4. NPV'!EDP$8,0)</f>
        <v>-0.0</v>
      </c>
      <c r="EDP55" s="5">
        <f>-IFERROR('4. NPV'!EDQ24/'4. NPV'!EDQ$8,0)</f>
        <v>-0.0</v>
      </c>
      <c r="EDQ55" s="5">
        <f>-IFERROR('4. NPV'!EDR24/'4. NPV'!EDR$8,0)</f>
        <v>-0.0</v>
      </c>
      <c r="EDR55" s="5">
        <f>-IFERROR('4. NPV'!EDS24/'4. NPV'!EDS$8,0)</f>
        <v>-0.0</v>
      </c>
      <c r="EDS55" s="5">
        <f>-IFERROR('4. NPV'!EDT24/'4. NPV'!EDT$8,0)</f>
        <v>-0.0</v>
      </c>
      <c r="EDT55" s="5">
        <f>-IFERROR('4. NPV'!EDU24/'4. NPV'!EDU$8,0)</f>
        <v>-0.0</v>
      </c>
      <c r="EDU55" s="5">
        <f>-IFERROR('4. NPV'!EDV24/'4. NPV'!EDV$8,0)</f>
        <v>-0.0</v>
      </c>
      <c r="EDV55" s="5">
        <f>-IFERROR('4. NPV'!EDW24/'4. NPV'!EDW$8,0)</f>
        <v>-0.0</v>
      </c>
      <c r="EDW55" s="5">
        <f>-IFERROR('4. NPV'!EDX24/'4. NPV'!EDX$8,0)</f>
        <v>-0.0</v>
      </c>
      <c r="EDX55" s="5">
        <f>-IFERROR('4. NPV'!EDY24/'4. NPV'!EDY$8,0)</f>
        <v>-0.0</v>
      </c>
      <c r="EDY55" s="5">
        <f>-IFERROR('4. NPV'!EDZ24/'4. NPV'!EDZ$8,0)</f>
        <v>-0.0</v>
      </c>
      <c r="EDZ55" s="5">
        <f>-IFERROR('4. NPV'!EEA24/'4. NPV'!EEA$8,0)</f>
        <v>-0.0</v>
      </c>
      <c r="EEA55" s="5">
        <f>-IFERROR('4. NPV'!EEB24/'4. NPV'!EEB$8,0)</f>
        <v>-0.0</v>
      </c>
      <c r="EEB55" s="5">
        <f>-IFERROR('4. NPV'!EEC24/'4. NPV'!EEC$8,0)</f>
        <v>-0.0</v>
      </c>
      <c r="EEC55" s="5">
        <f>-IFERROR('4. NPV'!EED24/'4. NPV'!EED$8,0)</f>
        <v>-0.0</v>
      </c>
      <c r="EED55" s="5">
        <f>-IFERROR('4. NPV'!EEE24/'4. NPV'!EEE$8,0)</f>
        <v>-0.0</v>
      </c>
      <c r="EEE55" s="5">
        <f>-IFERROR('4. NPV'!EEF24/'4. NPV'!EEF$8,0)</f>
        <v>-0.0</v>
      </c>
      <c r="EEF55" s="5">
        <f>-IFERROR('4. NPV'!EEG24/'4. NPV'!EEG$8,0)</f>
        <v>-0.0</v>
      </c>
      <c r="EEG55" s="5">
        <f>-IFERROR('4. NPV'!EEH24/'4. NPV'!EEH$8,0)</f>
        <v>-0.0</v>
      </c>
      <c r="EEH55" s="5">
        <f>-IFERROR('4. NPV'!EEI24/'4. NPV'!EEI$8,0)</f>
        <v>-0.0</v>
      </c>
      <c r="EEI55" s="5">
        <f>-IFERROR('4. NPV'!EEJ24/'4. NPV'!EEJ$8,0)</f>
        <v>-0.0</v>
      </c>
      <c r="EEJ55" s="5">
        <f>-IFERROR('4. NPV'!EEK24/'4. NPV'!EEK$8,0)</f>
        <v>-0.0</v>
      </c>
      <c r="EEK55" s="5">
        <f>-IFERROR('4. NPV'!EEL24/'4. NPV'!EEL$8,0)</f>
        <v>-0.0</v>
      </c>
      <c r="EEL55" s="5">
        <f>-IFERROR('4. NPV'!EEM24/'4. NPV'!EEM$8,0)</f>
        <v>-0.0</v>
      </c>
      <c r="EEM55" s="5">
        <f>-IFERROR('4. NPV'!EEN24/'4. NPV'!EEN$8,0)</f>
        <v>-0.0</v>
      </c>
      <c r="EEN55" s="5">
        <f>-IFERROR('4. NPV'!EEO24/'4. NPV'!EEO$8,0)</f>
        <v>-0.0</v>
      </c>
      <c r="EEO55" s="5">
        <f>-IFERROR('4. NPV'!EEP24/'4. NPV'!EEP$8,0)</f>
        <v>-0.0</v>
      </c>
      <c r="EEP55" s="5">
        <f>-IFERROR('4. NPV'!EEQ24/'4. NPV'!EEQ$8,0)</f>
        <v>-0.0</v>
      </c>
      <c r="EEQ55" s="5">
        <f>-IFERROR('4. NPV'!EER24/'4. NPV'!EER$8,0)</f>
        <v>-0.0</v>
      </c>
      <c r="EER55" s="5">
        <f>-IFERROR('4. NPV'!EES24/'4. NPV'!EES$8,0)</f>
        <v>-0.0</v>
      </c>
      <c r="EES55" s="5">
        <f>-IFERROR('4. NPV'!EET24/'4. NPV'!EET$8,0)</f>
        <v>-0.0</v>
      </c>
      <c r="EET55" s="5">
        <f>-IFERROR('4. NPV'!EEU24/'4. NPV'!EEU$8,0)</f>
        <v>-0.0</v>
      </c>
      <c r="EEU55" s="5">
        <f>-IFERROR('4. NPV'!EEV24/'4. NPV'!EEV$8,0)</f>
        <v>-0.0</v>
      </c>
      <c r="EEV55" s="5">
        <f>-IFERROR('4. NPV'!EEW24/'4. NPV'!EEW$8,0)</f>
        <v>-0.0</v>
      </c>
      <c r="EEW55" s="5">
        <f>-IFERROR('4. NPV'!EEX24/'4. NPV'!EEX$8,0)</f>
        <v>-0.0</v>
      </c>
      <c r="EEX55" s="5">
        <f>-IFERROR('4. NPV'!EEY24/'4. NPV'!EEY$8,0)</f>
        <v>-0.0</v>
      </c>
      <c r="EEY55" s="5">
        <f>-IFERROR('4. NPV'!EEZ24/'4. NPV'!EEZ$8,0)</f>
        <v>-0.0</v>
      </c>
      <c r="EEZ55" s="5">
        <f>-IFERROR('4. NPV'!EFA24/'4. NPV'!EFA$8,0)</f>
        <v>-0.0</v>
      </c>
      <c r="EFA55" s="5">
        <f>-IFERROR('4. NPV'!EFB24/'4. NPV'!EFB$8,0)</f>
        <v>-0.0</v>
      </c>
      <c r="EFB55" s="5">
        <f>-IFERROR('4. NPV'!EFC24/'4. NPV'!EFC$8,0)</f>
        <v>-0.0</v>
      </c>
      <c r="EFC55" s="5">
        <f>-IFERROR('4. NPV'!EFD24/'4. NPV'!EFD$8,0)</f>
        <v>-0.0</v>
      </c>
      <c r="EFD55" s="5">
        <f>-IFERROR('4. NPV'!EFE24/'4. NPV'!EFE$8,0)</f>
        <v>-0.0</v>
      </c>
      <c r="EFE55" s="5">
        <f>-IFERROR('4. NPV'!EFF24/'4. NPV'!EFF$8,0)</f>
        <v>-0.0</v>
      </c>
      <c r="EFF55" s="5">
        <f>-IFERROR('4. NPV'!EFG24/'4. NPV'!EFG$8,0)</f>
        <v>-0.0</v>
      </c>
      <c r="EFG55" s="5">
        <f>-IFERROR('4. NPV'!EFH24/'4. NPV'!EFH$8,0)</f>
        <v>-0.0</v>
      </c>
      <c r="EFH55" s="5">
        <f>-IFERROR('4. NPV'!EFI24/'4. NPV'!EFI$8,0)</f>
        <v>-0.0</v>
      </c>
      <c r="EFI55" s="5">
        <f>-IFERROR('4. NPV'!EFJ24/'4. NPV'!EFJ$8,0)</f>
        <v>-0.0</v>
      </c>
      <c r="EFJ55" s="5">
        <f>-IFERROR('4. NPV'!EFK24/'4. NPV'!EFK$8,0)</f>
        <v>-0.0</v>
      </c>
      <c r="EFK55" s="5">
        <f>-IFERROR('4. NPV'!EFL24/'4. NPV'!EFL$8,0)</f>
        <v>-0.0</v>
      </c>
      <c r="EFL55" s="5">
        <f>-IFERROR('4. NPV'!EFM24/'4. NPV'!EFM$8,0)</f>
        <v>-0.0</v>
      </c>
      <c r="EFM55" s="5">
        <f>-IFERROR('4. NPV'!EFN24/'4. NPV'!EFN$8,0)</f>
        <v>-0.0</v>
      </c>
      <c r="EFN55" s="5">
        <f>-IFERROR('4. NPV'!EFO24/'4. NPV'!EFO$8,0)</f>
        <v>-0.0</v>
      </c>
      <c r="EFO55" s="5">
        <f>-IFERROR('4. NPV'!EFP24/'4. NPV'!EFP$8,0)</f>
        <v>-0.0</v>
      </c>
      <c r="EFP55" s="5">
        <f>-IFERROR('4. NPV'!EFQ24/'4. NPV'!EFQ$8,0)</f>
        <v>-0.0</v>
      </c>
      <c r="EFQ55" s="5">
        <f>-IFERROR('4. NPV'!EFR24/'4. NPV'!EFR$8,0)</f>
        <v>-0.0</v>
      </c>
      <c r="EFR55" s="5">
        <f>-IFERROR('4. NPV'!EFS24/'4. NPV'!EFS$8,0)</f>
        <v>-0.0</v>
      </c>
      <c r="EFS55" s="5">
        <f>-IFERROR('4. NPV'!EFT24/'4. NPV'!EFT$8,0)</f>
        <v>-0.0</v>
      </c>
      <c r="EFT55" s="5">
        <f>-IFERROR('4. NPV'!EFU24/'4. NPV'!EFU$8,0)</f>
        <v>-0.0</v>
      </c>
      <c r="EFU55" s="5">
        <f>-IFERROR('4. NPV'!EFV24/'4. NPV'!EFV$8,0)</f>
        <v>-0.0</v>
      </c>
      <c r="EFV55" s="5">
        <f>-IFERROR('4. NPV'!EFW24/'4. NPV'!EFW$8,0)</f>
        <v>-0.0</v>
      </c>
      <c r="EFW55" s="5">
        <f>-IFERROR('4. NPV'!EFX24/'4. NPV'!EFX$8,0)</f>
        <v>-0.0</v>
      </c>
      <c r="EFX55" s="5">
        <f>-IFERROR('4. NPV'!EFY24/'4. NPV'!EFY$8,0)</f>
        <v>-0.0</v>
      </c>
      <c r="EFY55" s="5">
        <f>-IFERROR('4. NPV'!EFZ24/'4. NPV'!EFZ$8,0)</f>
        <v>-0.0</v>
      </c>
      <c r="EFZ55" s="5">
        <f>-IFERROR('4. NPV'!EGA24/'4. NPV'!EGA$8,0)</f>
        <v>-0.0</v>
      </c>
      <c r="EGA55" s="5">
        <f>-IFERROR('4. NPV'!EGB24/'4. NPV'!EGB$8,0)</f>
        <v>-0.0</v>
      </c>
      <c r="EGB55" s="5">
        <f>-IFERROR('4. NPV'!EGC24/'4. NPV'!EGC$8,0)</f>
        <v>-0.0</v>
      </c>
      <c r="EGC55" s="5">
        <f>-IFERROR('4. NPV'!EGD24/'4. NPV'!EGD$8,0)</f>
        <v>-0.0</v>
      </c>
      <c r="EGD55" s="5">
        <f>-IFERROR('4. NPV'!EGE24/'4. NPV'!EGE$8,0)</f>
        <v>-0.0</v>
      </c>
      <c r="EGE55" s="5">
        <f>-IFERROR('4. NPV'!EGF24/'4. NPV'!EGF$8,0)</f>
        <v>-0.0</v>
      </c>
      <c r="EGF55" s="5">
        <f>-IFERROR('4. NPV'!EGG24/'4. NPV'!EGG$8,0)</f>
        <v>-0.0</v>
      </c>
      <c r="EGG55" s="5">
        <f>-IFERROR('4. NPV'!EGH24/'4. NPV'!EGH$8,0)</f>
        <v>-0.0</v>
      </c>
      <c r="EGH55" s="5">
        <f>-IFERROR('4. NPV'!EGI24/'4. NPV'!EGI$8,0)</f>
        <v>-0.0</v>
      </c>
      <c r="EGI55" s="5">
        <f>-IFERROR('4. NPV'!EGJ24/'4. NPV'!EGJ$8,0)</f>
        <v>-0.0</v>
      </c>
      <c r="EGJ55" s="5">
        <f>-IFERROR('4. NPV'!EGK24/'4. NPV'!EGK$8,0)</f>
        <v>-0.0</v>
      </c>
      <c r="EGK55" s="5">
        <f>-IFERROR('4. NPV'!EGL24/'4. NPV'!EGL$8,0)</f>
        <v>-0.0</v>
      </c>
      <c r="EGL55" s="5">
        <f>-IFERROR('4. NPV'!EGM24/'4. NPV'!EGM$8,0)</f>
        <v>-0.0</v>
      </c>
      <c r="EGM55" s="5">
        <f>-IFERROR('4. NPV'!EGN24/'4. NPV'!EGN$8,0)</f>
        <v>-0.0</v>
      </c>
      <c r="EGN55" s="5">
        <f>-IFERROR('4. NPV'!EGO24/'4. NPV'!EGO$8,0)</f>
        <v>-0.0</v>
      </c>
      <c r="EGO55" s="5">
        <f>-IFERROR('4. NPV'!EGP24/'4. NPV'!EGP$8,0)</f>
        <v>-0.0</v>
      </c>
      <c r="EGP55" s="5">
        <f>-IFERROR('4. NPV'!EGQ24/'4. NPV'!EGQ$8,0)</f>
        <v>-0.0</v>
      </c>
      <c r="EGQ55" s="5">
        <f>-IFERROR('4. NPV'!EGR24/'4. NPV'!EGR$8,0)</f>
        <v>-0.0</v>
      </c>
      <c r="EGR55" s="5">
        <f>-IFERROR('4. NPV'!EGS24/'4. NPV'!EGS$8,0)</f>
        <v>-0.0</v>
      </c>
      <c r="EGS55" s="5">
        <f>-IFERROR('4. NPV'!EGT24/'4. NPV'!EGT$8,0)</f>
        <v>-0.0</v>
      </c>
      <c r="EGT55" s="5">
        <f>-IFERROR('4. NPV'!EGU24/'4. NPV'!EGU$8,0)</f>
        <v>-0.0</v>
      </c>
      <c r="EGU55" s="5">
        <f>-IFERROR('4. NPV'!EGV24/'4. NPV'!EGV$8,0)</f>
        <v>-0.0</v>
      </c>
      <c r="EGV55" s="5">
        <f>-IFERROR('4. NPV'!EGW24/'4. NPV'!EGW$8,0)</f>
        <v>-0.0</v>
      </c>
      <c r="EGW55" s="5">
        <f>-IFERROR('4. NPV'!EGX24/'4. NPV'!EGX$8,0)</f>
        <v>-0.0</v>
      </c>
      <c r="EGX55" s="5">
        <f>-IFERROR('4. NPV'!EGY24/'4. NPV'!EGY$8,0)</f>
        <v>-0.0</v>
      </c>
      <c r="EGY55" s="5">
        <f>-IFERROR('4. NPV'!EGZ24/'4. NPV'!EGZ$8,0)</f>
        <v>-0.0</v>
      </c>
      <c r="EGZ55" s="5">
        <f>-IFERROR('4. NPV'!EHA24/'4. NPV'!EHA$8,0)</f>
        <v>-0.0</v>
      </c>
      <c r="EHA55" s="5">
        <f>-IFERROR('4. NPV'!EHB24/'4. NPV'!EHB$8,0)</f>
        <v>-0.0</v>
      </c>
      <c r="EHB55" s="5">
        <f>-IFERROR('4. NPV'!EHC24/'4. NPV'!EHC$8,0)</f>
        <v>-0.0</v>
      </c>
      <c r="EHC55" s="5">
        <f>-IFERROR('4. NPV'!EHD24/'4. NPV'!EHD$8,0)</f>
        <v>-0.0</v>
      </c>
      <c r="EHD55" s="5">
        <f>-IFERROR('4. NPV'!EHE24/'4. NPV'!EHE$8,0)</f>
        <v>-0.0</v>
      </c>
      <c r="EHE55" s="5">
        <f>-IFERROR('4. NPV'!EHF24/'4. NPV'!EHF$8,0)</f>
        <v>-0.0</v>
      </c>
      <c r="EHF55" s="5">
        <f>-IFERROR('4. NPV'!EHG24/'4. NPV'!EHG$8,0)</f>
        <v>-0.0</v>
      </c>
      <c r="EHG55" s="5">
        <f>-IFERROR('4. NPV'!EHH24/'4. NPV'!EHH$8,0)</f>
        <v>-0.0</v>
      </c>
      <c r="EHH55" s="5">
        <f>-IFERROR('4. NPV'!EHI24/'4. NPV'!EHI$8,0)</f>
        <v>-0.0</v>
      </c>
      <c r="EHI55" s="5">
        <f>-IFERROR('4. NPV'!EHJ24/'4. NPV'!EHJ$8,0)</f>
        <v>-0.0</v>
      </c>
      <c r="EHJ55" s="5">
        <f>-IFERROR('4. NPV'!EHK24/'4. NPV'!EHK$8,0)</f>
        <v>-0.0</v>
      </c>
      <c r="EHK55" s="5">
        <f>-IFERROR('4. NPV'!EHL24/'4. NPV'!EHL$8,0)</f>
        <v>-0.0</v>
      </c>
      <c r="EHL55" s="5">
        <f>-IFERROR('4. NPV'!EHM24/'4. NPV'!EHM$8,0)</f>
        <v>-0.0</v>
      </c>
      <c r="EHM55" s="5">
        <f>-IFERROR('4. NPV'!EHN24/'4. NPV'!EHN$8,0)</f>
        <v>-0.0</v>
      </c>
      <c r="EHN55" s="5">
        <f>-IFERROR('4. NPV'!EHO24/'4. NPV'!EHO$8,0)</f>
        <v>-0.0</v>
      </c>
      <c r="EHO55" s="5">
        <f>-IFERROR('4. NPV'!EHP24/'4. NPV'!EHP$8,0)</f>
        <v>-0.0</v>
      </c>
      <c r="EHP55" s="5">
        <f>-IFERROR('4. NPV'!EHQ24/'4. NPV'!EHQ$8,0)</f>
        <v>-0.0</v>
      </c>
      <c r="EHQ55" s="5">
        <f>-IFERROR('4. NPV'!EHR24/'4. NPV'!EHR$8,0)</f>
        <v>-0.0</v>
      </c>
      <c r="EHR55" s="5">
        <f>-IFERROR('4. NPV'!EHS24/'4. NPV'!EHS$8,0)</f>
        <v>-0.0</v>
      </c>
      <c r="EHS55" s="5">
        <f>-IFERROR('4. NPV'!EHT24/'4. NPV'!EHT$8,0)</f>
        <v>-0.0</v>
      </c>
      <c r="EHT55" s="5">
        <f>-IFERROR('4. NPV'!EHU24/'4. NPV'!EHU$8,0)</f>
        <v>-0.0</v>
      </c>
      <c r="EHU55" s="5">
        <f>-IFERROR('4. NPV'!EHV24/'4. NPV'!EHV$8,0)</f>
        <v>-0.0</v>
      </c>
      <c r="EHV55" s="5">
        <f>-IFERROR('4. NPV'!EHW24/'4. NPV'!EHW$8,0)</f>
        <v>-0.0</v>
      </c>
      <c r="EHW55" s="5">
        <f>-IFERROR('4. NPV'!EHX24/'4. NPV'!EHX$8,0)</f>
        <v>-0.0</v>
      </c>
      <c r="EHX55" s="5">
        <f>-IFERROR('4. NPV'!EHY24/'4. NPV'!EHY$8,0)</f>
        <v>-0.0</v>
      </c>
      <c r="EHY55" s="5">
        <f>-IFERROR('4. NPV'!EHZ24/'4. NPV'!EHZ$8,0)</f>
        <v>-0.0</v>
      </c>
      <c r="EHZ55" s="5">
        <f>-IFERROR('4. NPV'!EIA24/'4. NPV'!EIA$8,0)</f>
        <v>-0.0</v>
      </c>
      <c r="EIA55" s="5">
        <f>-IFERROR('4. NPV'!EIB24/'4. NPV'!EIB$8,0)</f>
        <v>-0.0</v>
      </c>
      <c r="EIB55" s="5">
        <f>-IFERROR('4. NPV'!EIC24/'4. NPV'!EIC$8,0)</f>
        <v>-0.0</v>
      </c>
      <c r="EIC55" s="5">
        <f>-IFERROR('4. NPV'!EID24/'4. NPV'!EID$8,0)</f>
        <v>-0.0</v>
      </c>
      <c r="EID55" s="5">
        <f>-IFERROR('4. NPV'!EIE24/'4. NPV'!EIE$8,0)</f>
        <v>-0.0</v>
      </c>
      <c r="EIE55" s="5">
        <f>-IFERROR('4. NPV'!EIF24/'4. NPV'!EIF$8,0)</f>
        <v>-0.0</v>
      </c>
      <c r="EIF55" s="5">
        <f>-IFERROR('4. NPV'!EIG24/'4. NPV'!EIG$8,0)</f>
        <v>-0.0</v>
      </c>
      <c r="EIG55" s="5">
        <f>-IFERROR('4. NPV'!EIH24/'4. NPV'!EIH$8,0)</f>
        <v>-0.0</v>
      </c>
      <c r="EIH55" s="5">
        <f>-IFERROR('4. NPV'!EII24/'4. NPV'!EII$8,0)</f>
        <v>-0.0</v>
      </c>
      <c r="EII55" s="5">
        <f>-IFERROR('4. NPV'!EIJ24/'4. NPV'!EIJ$8,0)</f>
        <v>-0.0</v>
      </c>
      <c r="EIJ55" s="5">
        <f>-IFERROR('4. NPV'!EIK24/'4. NPV'!EIK$8,0)</f>
        <v>-0.0</v>
      </c>
      <c r="EIK55" s="5">
        <f>-IFERROR('4. NPV'!EIL24/'4. NPV'!EIL$8,0)</f>
        <v>-0.0</v>
      </c>
      <c r="EIL55" s="5">
        <f>-IFERROR('4. NPV'!EIM24/'4. NPV'!EIM$8,0)</f>
        <v>-0.0</v>
      </c>
      <c r="EIM55" s="5">
        <f>-IFERROR('4. NPV'!EIN24/'4. NPV'!EIN$8,0)</f>
        <v>-0.0</v>
      </c>
      <c r="EIN55" s="5">
        <f>-IFERROR('4. NPV'!EIO24/'4. NPV'!EIO$8,0)</f>
        <v>-0.0</v>
      </c>
      <c r="EIO55" s="5">
        <f>-IFERROR('4. NPV'!EIP24/'4. NPV'!EIP$8,0)</f>
        <v>-0.0</v>
      </c>
      <c r="EIP55" s="5">
        <f>-IFERROR('4. NPV'!EIQ24/'4. NPV'!EIQ$8,0)</f>
        <v>-0.0</v>
      </c>
      <c r="EIQ55" s="5">
        <f>-IFERROR('4. NPV'!EIR24/'4. NPV'!EIR$8,0)</f>
        <v>-0.0</v>
      </c>
      <c r="EIR55" s="5">
        <f>-IFERROR('4. NPV'!EIS24/'4. NPV'!EIS$8,0)</f>
        <v>-0.0</v>
      </c>
      <c r="EIS55" s="5">
        <f>-IFERROR('4. NPV'!EIT24/'4. NPV'!EIT$8,0)</f>
        <v>-0.0</v>
      </c>
      <c r="EIT55" s="5">
        <f>-IFERROR('4. NPV'!EIU24/'4. NPV'!EIU$8,0)</f>
        <v>-0.0</v>
      </c>
      <c r="EIU55" s="5">
        <f>-IFERROR('4. NPV'!EIV24/'4. NPV'!EIV$8,0)</f>
        <v>-0.0</v>
      </c>
      <c r="EIV55" s="5">
        <f>-IFERROR('4. NPV'!EIW24/'4. NPV'!EIW$8,0)</f>
        <v>-0.0</v>
      </c>
      <c r="EIW55" s="5">
        <f>-IFERROR('4. NPV'!EIX24/'4. NPV'!EIX$8,0)</f>
        <v>-0.0</v>
      </c>
      <c r="EIX55" s="5">
        <f>-IFERROR('4. NPV'!EIY24/'4. NPV'!EIY$8,0)</f>
        <v>-0.0</v>
      </c>
      <c r="EIY55" s="5">
        <f>-IFERROR('4. NPV'!EIZ24/'4. NPV'!EIZ$8,0)</f>
        <v>-0.0</v>
      </c>
      <c r="EIZ55" s="5">
        <f>-IFERROR('4. NPV'!EJA24/'4. NPV'!EJA$8,0)</f>
        <v>-0.0</v>
      </c>
      <c r="EJA55" s="5">
        <f>-IFERROR('4. NPV'!EJB24/'4. NPV'!EJB$8,0)</f>
        <v>-0.0</v>
      </c>
      <c r="EJB55" s="5">
        <f>-IFERROR('4. NPV'!EJC24/'4. NPV'!EJC$8,0)</f>
        <v>-0.0</v>
      </c>
      <c r="EJC55" s="5">
        <f>-IFERROR('4. NPV'!EJD24/'4. NPV'!EJD$8,0)</f>
        <v>-0.0</v>
      </c>
      <c r="EJD55" s="5">
        <f>-IFERROR('4. NPV'!EJE24/'4. NPV'!EJE$8,0)</f>
        <v>-0.0</v>
      </c>
      <c r="EJE55" s="5">
        <f>-IFERROR('4. NPV'!EJF24/'4. NPV'!EJF$8,0)</f>
        <v>-0.0</v>
      </c>
      <c r="EJF55" s="5">
        <f>-IFERROR('4. NPV'!EJG24/'4. NPV'!EJG$8,0)</f>
        <v>-0.0</v>
      </c>
      <c r="EJG55" s="5">
        <f>-IFERROR('4. NPV'!EJH24/'4. NPV'!EJH$8,0)</f>
        <v>-0.0</v>
      </c>
      <c r="EJH55" s="5">
        <f>-IFERROR('4. NPV'!EJI24/'4. NPV'!EJI$8,0)</f>
        <v>-0.0</v>
      </c>
      <c r="EJI55" s="5">
        <f>-IFERROR('4. NPV'!EJJ24/'4. NPV'!EJJ$8,0)</f>
        <v>-0.0</v>
      </c>
      <c r="EJJ55" s="5">
        <f>-IFERROR('4. NPV'!EJK24/'4. NPV'!EJK$8,0)</f>
        <v>-0.0</v>
      </c>
      <c r="EJK55" s="5">
        <f>-IFERROR('4. NPV'!EJL24/'4. NPV'!EJL$8,0)</f>
        <v>-0.0</v>
      </c>
      <c r="EJL55" s="5">
        <f>-IFERROR('4. NPV'!EJM24/'4. NPV'!EJM$8,0)</f>
        <v>-0.0</v>
      </c>
      <c r="EJM55" s="5">
        <f>-IFERROR('4. NPV'!EJN24/'4. NPV'!EJN$8,0)</f>
        <v>-0.0</v>
      </c>
      <c r="EJN55" s="5">
        <f>-IFERROR('4. NPV'!EJO24/'4. NPV'!EJO$8,0)</f>
        <v>-0.0</v>
      </c>
      <c r="EJO55" s="5">
        <f>-IFERROR('4. NPV'!EJP24/'4. NPV'!EJP$8,0)</f>
        <v>-0.0</v>
      </c>
      <c r="EJP55" s="5">
        <f>-IFERROR('4. NPV'!EJQ24/'4. NPV'!EJQ$8,0)</f>
        <v>-0.0</v>
      </c>
      <c r="EJQ55" s="5">
        <f>-IFERROR('4. NPV'!EJR24/'4. NPV'!EJR$8,0)</f>
        <v>-0.0</v>
      </c>
      <c r="EJR55" s="5">
        <f>-IFERROR('4. NPV'!EJS24/'4. NPV'!EJS$8,0)</f>
        <v>-0.0</v>
      </c>
      <c r="EJS55" s="5">
        <f>-IFERROR('4. NPV'!EJT24/'4. NPV'!EJT$8,0)</f>
        <v>-0.0</v>
      </c>
      <c r="EJT55" s="5">
        <f>-IFERROR('4. NPV'!EJU24/'4. NPV'!EJU$8,0)</f>
        <v>-0.0</v>
      </c>
      <c r="EJU55" s="5">
        <f>-IFERROR('4. NPV'!EJV24/'4. NPV'!EJV$8,0)</f>
        <v>-0.0</v>
      </c>
      <c r="EJV55" s="5">
        <f>-IFERROR('4. NPV'!EJW24/'4. NPV'!EJW$8,0)</f>
        <v>-0.0</v>
      </c>
      <c r="EJW55" s="5">
        <f>-IFERROR('4. NPV'!EJX24/'4. NPV'!EJX$8,0)</f>
        <v>-0.0</v>
      </c>
      <c r="EJX55" s="5">
        <f>-IFERROR('4. NPV'!EJY24/'4. NPV'!EJY$8,0)</f>
        <v>-0.0</v>
      </c>
      <c r="EJY55" s="5">
        <f>-IFERROR('4. NPV'!EJZ24/'4. NPV'!EJZ$8,0)</f>
        <v>-0.0</v>
      </c>
      <c r="EJZ55" s="5">
        <f>-IFERROR('4. NPV'!EKA24/'4. NPV'!EKA$8,0)</f>
        <v>-0.0</v>
      </c>
      <c r="EKA55" s="5">
        <f>-IFERROR('4. NPV'!EKB24/'4. NPV'!EKB$8,0)</f>
        <v>-0.0</v>
      </c>
      <c r="EKB55" s="5">
        <f>-IFERROR('4. NPV'!EKC24/'4. NPV'!EKC$8,0)</f>
        <v>-0.0</v>
      </c>
      <c r="EKC55" s="5">
        <f>-IFERROR('4. NPV'!EKD24/'4. NPV'!EKD$8,0)</f>
        <v>-0.0</v>
      </c>
      <c r="EKD55" s="5">
        <f>-IFERROR('4. NPV'!EKE24/'4. NPV'!EKE$8,0)</f>
        <v>-0.0</v>
      </c>
      <c r="EKE55" s="5">
        <f>-IFERROR('4. NPV'!EKF24/'4. NPV'!EKF$8,0)</f>
        <v>-0.0</v>
      </c>
      <c r="EKF55" s="5">
        <f>-IFERROR('4. NPV'!EKG24/'4. NPV'!EKG$8,0)</f>
        <v>-0.0</v>
      </c>
      <c r="EKG55" s="5">
        <f>-IFERROR('4. NPV'!EKH24/'4. NPV'!EKH$8,0)</f>
        <v>-0.0</v>
      </c>
      <c r="EKH55" s="5">
        <f>-IFERROR('4. NPV'!EKI24/'4. NPV'!EKI$8,0)</f>
        <v>-0.0</v>
      </c>
      <c r="EKI55" s="5">
        <f>-IFERROR('4. NPV'!EKJ24/'4. NPV'!EKJ$8,0)</f>
        <v>-0.0</v>
      </c>
      <c r="EKJ55" s="5">
        <f>-IFERROR('4. NPV'!EKK24/'4. NPV'!EKK$8,0)</f>
        <v>-0.0</v>
      </c>
      <c r="EKK55" s="5">
        <f>-IFERROR('4. NPV'!EKL24/'4. NPV'!EKL$8,0)</f>
        <v>-0.0</v>
      </c>
      <c r="EKL55" s="5">
        <f>-IFERROR('4. NPV'!EKM24/'4. NPV'!EKM$8,0)</f>
        <v>-0.0</v>
      </c>
      <c r="EKM55" s="5">
        <f>-IFERROR('4. NPV'!EKN24/'4. NPV'!EKN$8,0)</f>
        <v>-0.0</v>
      </c>
      <c r="EKN55" s="5">
        <f>-IFERROR('4. NPV'!EKO24/'4. NPV'!EKO$8,0)</f>
        <v>-0.0</v>
      </c>
      <c r="EKO55" s="5">
        <f>-IFERROR('4. NPV'!EKP24/'4. NPV'!EKP$8,0)</f>
        <v>-0.0</v>
      </c>
      <c r="EKP55" s="5">
        <f>-IFERROR('4. NPV'!EKQ24/'4. NPV'!EKQ$8,0)</f>
        <v>-0.0</v>
      </c>
      <c r="EKQ55" s="5">
        <f>-IFERROR('4. NPV'!EKR24/'4. NPV'!EKR$8,0)</f>
        <v>-0.0</v>
      </c>
      <c r="EKR55" s="5">
        <f>-IFERROR('4. NPV'!EKS24/'4. NPV'!EKS$8,0)</f>
        <v>-0.0</v>
      </c>
      <c r="EKS55" s="5">
        <f>-IFERROR('4. NPV'!EKT24/'4. NPV'!EKT$8,0)</f>
        <v>-0.0</v>
      </c>
      <c r="EKT55" s="5">
        <f>-IFERROR('4. NPV'!EKU24/'4. NPV'!EKU$8,0)</f>
        <v>-0.0</v>
      </c>
      <c r="EKU55" s="5">
        <f>-IFERROR('4. NPV'!EKV24/'4. NPV'!EKV$8,0)</f>
        <v>-0.0</v>
      </c>
      <c r="EKV55" s="5">
        <f>-IFERROR('4. NPV'!EKW24/'4. NPV'!EKW$8,0)</f>
        <v>-0.0</v>
      </c>
      <c r="EKW55" s="5">
        <f>-IFERROR('4. NPV'!EKX24/'4. NPV'!EKX$8,0)</f>
        <v>-0.0</v>
      </c>
      <c r="EKX55" s="5">
        <f>-IFERROR('4. NPV'!EKY24/'4. NPV'!EKY$8,0)</f>
        <v>-0.0</v>
      </c>
      <c r="EKY55" s="5">
        <f>-IFERROR('4. NPV'!EKZ24/'4. NPV'!EKZ$8,0)</f>
        <v>-0.0</v>
      </c>
      <c r="EKZ55" s="5">
        <f>-IFERROR('4. NPV'!ELA24/'4. NPV'!ELA$8,0)</f>
        <v>-0.0</v>
      </c>
      <c r="ELA55" s="5">
        <f>-IFERROR('4. NPV'!ELB24/'4. NPV'!ELB$8,0)</f>
        <v>-0.0</v>
      </c>
      <c r="ELB55" s="5">
        <f>-IFERROR('4. NPV'!ELC24/'4. NPV'!ELC$8,0)</f>
        <v>-0.0</v>
      </c>
      <c r="ELC55" s="5">
        <f>-IFERROR('4. NPV'!ELD24/'4. NPV'!ELD$8,0)</f>
        <v>-0.0</v>
      </c>
      <c r="ELD55" s="5">
        <f>-IFERROR('4. NPV'!ELE24/'4. NPV'!ELE$8,0)</f>
        <v>-0.0</v>
      </c>
      <c r="ELE55" s="5">
        <f>-IFERROR('4. NPV'!ELF24/'4. NPV'!ELF$8,0)</f>
        <v>-0.0</v>
      </c>
      <c r="ELF55" s="5">
        <f>-IFERROR('4. NPV'!ELG24/'4. NPV'!ELG$8,0)</f>
        <v>-0.0</v>
      </c>
      <c r="ELG55" s="5">
        <f>-IFERROR('4. NPV'!ELH24/'4. NPV'!ELH$8,0)</f>
        <v>-0.0</v>
      </c>
      <c r="ELH55" s="5">
        <f>-IFERROR('4. NPV'!ELI24/'4. NPV'!ELI$8,0)</f>
        <v>-0.0</v>
      </c>
      <c r="ELI55" s="5">
        <f>-IFERROR('4. NPV'!ELJ24/'4. NPV'!ELJ$8,0)</f>
        <v>-0.0</v>
      </c>
      <c r="ELJ55" s="5">
        <f>-IFERROR('4. NPV'!ELK24/'4. NPV'!ELK$8,0)</f>
        <v>-0.0</v>
      </c>
      <c r="ELK55" s="5">
        <f>-IFERROR('4. NPV'!ELL24/'4. NPV'!ELL$8,0)</f>
        <v>-0.0</v>
      </c>
      <c r="ELL55" s="5">
        <f>-IFERROR('4. NPV'!ELM24/'4. NPV'!ELM$8,0)</f>
        <v>-0.0</v>
      </c>
      <c r="ELM55" s="5">
        <f>-IFERROR('4. NPV'!ELN24/'4. NPV'!ELN$8,0)</f>
        <v>-0.0</v>
      </c>
      <c r="ELN55" s="5">
        <f>-IFERROR('4. NPV'!ELO24/'4. NPV'!ELO$8,0)</f>
        <v>-0.0</v>
      </c>
      <c r="ELO55" s="5">
        <f>-IFERROR('4. NPV'!ELP24/'4. NPV'!ELP$8,0)</f>
        <v>-0.0</v>
      </c>
      <c r="ELP55" s="5">
        <f>-IFERROR('4. NPV'!ELQ24/'4. NPV'!ELQ$8,0)</f>
        <v>-0.0</v>
      </c>
      <c r="ELQ55" s="5">
        <f>-IFERROR('4. NPV'!ELR24/'4. NPV'!ELR$8,0)</f>
        <v>-0.0</v>
      </c>
      <c r="ELR55" s="5">
        <f>-IFERROR('4. NPV'!ELS24/'4. NPV'!ELS$8,0)</f>
        <v>-0.0</v>
      </c>
      <c r="ELS55" s="5">
        <f>-IFERROR('4. NPV'!ELT24/'4. NPV'!ELT$8,0)</f>
        <v>-0.0</v>
      </c>
      <c r="ELT55" s="5">
        <f>-IFERROR('4. NPV'!ELU24/'4. NPV'!ELU$8,0)</f>
        <v>-0.0</v>
      </c>
      <c r="ELU55" s="5">
        <f>-IFERROR('4. NPV'!ELV24/'4. NPV'!ELV$8,0)</f>
        <v>-0.0</v>
      </c>
      <c r="ELV55" s="5">
        <f>-IFERROR('4. NPV'!ELW24/'4. NPV'!ELW$8,0)</f>
        <v>-0.0</v>
      </c>
      <c r="ELW55" s="5">
        <f>-IFERROR('4. NPV'!ELX24/'4. NPV'!ELX$8,0)</f>
        <v>-0.0</v>
      </c>
      <c r="ELX55" s="5">
        <f>-IFERROR('4. NPV'!ELY24/'4. NPV'!ELY$8,0)</f>
        <v>-0.0</v>
      </c>
      <c r="ELY55" s="5">
        <f>-IFERROR('4. NPV'!ELZ24/'4. NPV'!ELZ$8,0)</f>
        <v>-0.0</v>
      </c>
      <c r="ELZ55" s="5">
        <f>-IFERROR('4. NPV'!EMA24/'4. NPV'!EMA$8,0)</f>
        <v>-0.0</v>
      </c>
      <c r="EMA55" s="5">
        <f>-IFERROR('4. NPV'!EMB24/'4. NPV'!EMB$8,0)</f>
        <v>-0.0</v>
      </c>
      <c r="EMB55" s="5">
        <f>-IFERROR('4. NPV'!EMC24/'4. NPV'!EMC$8,0)</f>
        <v>-0.0</v>
      </c>
      <c r="EMC55" s="5">
        <f>-IFERROR('4. NPV'!EMD24/'4. NPV'!EMD$8,0)</f>
        <v>-0.0</v>
      </c>
      <c r="EMD55" s="5">
        <f>-IFERROR('4. NPV'!EME24/'4. NPV'!EME$8,0)</f>
        <v>-0.0</v>
      </c>
      <c r="EME55" s="5">
        <f>-IFERROR('4. NPV'!EMF24/'4. NPV'!EMF$8,0)</f>
        <v>-0.0</v>
      </c>
      <c r="EMF55" s="5">
        <f>-IFERROR('4. NPV'!EMG24/'4. NPV'!EMG$8,0)</f>
        <v>-0.0</v>
      </c>
      <c r="EMG55" s="5">
        <f>-IFERROR('4. NPV'!EMH24/'4. NPV'!EMH$8,0)</f>
        <v>-0.0</v>
      </c>
      <c r="EMH55" s="5">
        <f>-IFERROR('4. NPV'!EMI24/'4. NPV'!EMI$8,0)</f>
        <v>-0.0</v>
      </c>
      <c r="EMI55" s="5">
        <f>-IFERROR('4. NPV'!EMJ24/'4. NPV'!EMJ$8,0)</f>
        <v>-0.0</v>
      </c>
      <c r="EMJ55" s="5">
        <f>-IFERROR('4. NPV'!EMK24/'4. NPV'!EMK$8,0)</f>
        <v>-0.0</v>
      </c>
      <c r="EMK55" s="5">
        <f>-IFERROR('4. NPV'!EML24/'4. NPV'!EML$8,0)</f>
        <v>-0.0</v>
      </c>
      <c r="EML55" s="5">
        <f>-IFERROR('4. NPV'!EMM24/'4. NPV'!EMM$8,0)</f>
        <v>-0.0</v>
      </c>
      <c r="EMM55" s="5">
        <f>-IFERROR('4. NPV'!EMN24/'4. NPV'!EMN$8,0)</f>
        <v>-0.0</v>
      </c>
      <c r="EMN55" s="5">
        <f>-IFERROR('4. NPV'!EMO24/'4. NPV'!EMO$8,0)</f>
        <v>-0.0</v>
      </c>
      <c r="EMO55" s="5">
        <f>-IFERROR('4. NPV'!EMP24/'4. NPV'!EMP$8,0)</f>
        <v>-0.0</v>
      </c>
      <c r="EMP55" s="5">
        <f>-IFERROR('4. NPV'!EMQ24/'4. NPV'!EMQ$8,0)</f>
        <v>-0.0</v>
      </c>
      <c r="EMQ55" s="5">
        <f>-IFERROR('4. NPV'!EMR24/'4. NPV'!EMR$8,0)</f>
        <v>-0.0</v>
      </c>
      <c r="EMR55" s="5">
        <f>-IFERROR('4. NPV'!EMS24/'4. NPV'!EMS$8,0)</f>
        <v>-0.0</v>
      </c>
      <c r="EMS55" s="5">
        <f>-IFERROR('4. NPV'!EMT24/'4. NPV'!EMT$8,0)</f>
        <v>-0.0</v>
      </c>
      <c r="EMT55" s="5">
        <f>-IFERROR('4. NPV'!EMU24/'4. NPV'!EMU$8,0)</f>
        <v>-0.0</v>
      </c>
      <c r="EMU55" s="5">
        <f>-IFERROR('4. NPV'!EMV24/'4. NPV'!EMV$8,0)</f>
        <v>-0.0</v>
      </c>
      <c r="EMV55" s="5">
        <f>-IFERROR('4. NPV'!EMW24/'4. NPV'!EMW$8,0)</f>
        <v>-0.0</v>
      </c>
      <c r="EMW55" s="5">
        <f>-IFERROR('4. NPV'!EMX24/'4. NPV'!EMX$8,0)</f>
        <v>-0.0</v>
      </c>
      <c r="EMX55" s="5">
        <f>-IFERROR('4. NPV'!EMY24/'4. NPV'!EMY$8,0)</f>
        <v>-0.0</v>
      </c>
      <c r="EMY55" s="5">
        <f>-IFERROR('4. NPV'!EMZ24/'4. NPV'!EMZ$8,0)</f>
        <v>-0.0</v>
      </c>
      <c r="EMZ55" s="5">
        <f>-IFERROR('4. NPV'!ENA24/'4. NPV'!ENA$8,0)</f>
        <v>-0.0</v>
      </c>
      <c r="ENA55" s="5">
        <f>-IFERROR('4. NPV'!ENB24/'4. NPV'!ENB$8,0)</f>
        <v>-0.0</v>
      </c>
      <c r="ENB55" s="5">
        <f>-IFERROR('4. NPV'!ENC24/'4. NPV'!ENC$8,0)</f>
        <v>-0.0</v>
      </c>
      <c r="ENC55" s="5">
        <f>-IFERROR('4. NPV'!END24/'4. NPV'!END$8,0)</f>
        <v>-0.0</v>
      </c>
      <c r="END55" s="5">
        <f>-IFERROR('4. NPV'!ENE24/'4. NPV'!ENE$8,0)</f>
        <v>-0.0</v>
      </c>
      <c r="ENE55" s="5">
        <f>-IFERROR('4. NPV'!ENF24/'4. NPV'!ENF$8,0)</f>
        <v>-0.0</v>
      </c>
      <c r="ENF55" s="5">
        <f>-IFERROR('4. NPV'!ENG24/'4. NPV'!ENG$8,0)</f>
        <v>-0.0</v>
      </c>
      <c r="ENG55" s="5">
        <f>-IFERROR('4. NPV'!ENH24/'4. NPV'!ENH$8,0)</f>
        <v>-0.0</v>
      </c>
      <c r="ENH55" s="5">
        <f>-IFERROR('4. NPV'!ENI24/'4. NPV'!ENI$8,0)</f>
        <v>-0.0</v>
      </c>
      <c r="ENI55" s="5">
        <f>-IFERROR('4. NPV'!ENJ24/'4. NPV'!ENJ$8,0)</f>
        <v>-0.0</v>
      </c>
      <c r="ENJ55" s="5">
        <f>-IFERROR('4. NPV'!ENK24/'4. NPV'!ENK$8,0)</f>
        <v>-0.0</v>
      </c>
      <c r="ENK55" s="5">
        <f>-IFERROR('4. NPV'!ENL24/'4. NPV'!ENL$8,0)</f>
        <v>-0.0</v>
      </c>
      <c r="ENL55" s="5">
        <f>-IFERROR('4. NPV'!ENM24/'4. NPV'!ENM$8,0)</f>
        <v>-0.0</v>
      </c>
      <c r="ENM55" s="5">
        <f>-IFERROR('4. NPV'!ENN24/'4. NPV'!ENN$8,0)</f>
        <v>-0.0</v>
      </c>
      <c r="ENN55" s="5">
        <f>-IFERROR('4. NPV'!ENO24/'4. NPV'!ENO$8,0)</f>
        <v>-0.0</v>
      </c>
      <c r="ENO55" s="5">
        <f>-IFERROR('4. NPV'!ENP24/'4. NPV'!ENP$8,0)</f>
        <v>-0.0</v>
      </c>
      <c r="ENP55" s="5">
        <f>-IFERROR('4. NPV'!ENQ24/'4. NPV'!ENQ$8,0)</f>
        <v>-0.0</v>
      </c>
      <c r="ENQ55" s="5">
        <f>-IFERROR('4. NPV'!ENR24/'4. NPV'!ENR$8,0)</f>
        <v>-0.0</v>
      </c>
      <c r="ENR55" s="5">
        <f>-IFERROR('4. NPV'!ENS24/'4. NPV'!ENS$8,0)</f>
        <v>-0.0</v>
      </c>
      <c r="ENS55" s="5">
        <f>-IFERROR('4. NPV'!ENT24/'4. NPV'!ENT$8,0)</f>
        <v>-0.0</v>
      </c>
      <c r="ENT55" s="5">
        <f>-IFERROR('4. NPV'!ENU24/'4. NPV'!ENU$8,0)</f>
        <v>-0.0</v>
      </c>
      <c r="ENU55" s="5">
        <f>-IFERROR('4. NPV'!ENV24/'4. NPV'!ENV$8,0)</f>
        <v>-0.0</v>
      </c>
      <c r="ENV55" s="5">
        <f>-IFERROR('4. NPV'!ENW24/'4. NPV'!ENW$8,0)</f>
        <v>-0.0</v>
      </c>
      <c r="ENW55" s="5">
        <f>-IFERROR('4. NPV'!ENX24/'4. NPV'!ENX$8,0)</f>
        <v>-0.0</v>
      </c>
      <c r="ENX55" s="5">
        <f>-IFERROR('4. NPV'!ENY24/'4. NPV'!ENY$8,0)</f>
        <v>-0.0</v>
      </c>
      <c r="ENY55" s="5">
        <f>-IFERROR('4. NPV'!ENZ24/'4. NPV'!ENZ$8,0)</f>
        <v>-0.0</v>
      </c>
      <c r="ENZ55" s="5">
        <f>-IFERROR('4. NPV'!EOA24/'4. NPV'!EOA$8,0)</f>
        <v>-0.0</v>
      </c>
      <c r="EOA55" s="5">
        <f>-IFERROR('4. NPV'!EOB24/'4. NPV'!EOB$8,0)</f>
        <v>-0.0</v>
      </c>
      <c r="EOB55" s="5">
        <f>-IFERROR('4. NPV'!EOC24/'4. NPV'!EOC$8,0)</f>
        <v>-0.0</v>
      </c>
      <c r="EOC55" s="5">
        <f>-IFERROR('4. NPV'!EOD24/'4. NPV'!EOD$8,0)</f>
        <v>-0.0</v>
      </c>
      <c r="EOD55" s="5">
        <f>-IFERROR('4. NPV'!EOE24/'4. NPV'!EOE$8,0)</f>
        <v>-0.0</v>
      </c>
      <c r="EOE55" s="5">
        <f>-IFERROR('4. NPV'!EOF24/'4. NPV'!EOF$8,0)</f>
        <v>-0.0</v>
      </c>
      <c r="EOF55" s="5">
        <f>-IFERROR('4. NPV'!EOG24/'4. NPV'!EOG$8,0)</f>
        <v>-0.0</v>
      </c>
      <c r="EOG55" s="5">
        <f>-IFERROR('4. NPV'!EOH24/'4. NPV'!EOH$8,0)</f>
        <v>-0.0</v>
      </c>
      <c r="EOH55" s="5">
        <f>-IFERROR('4. NPV'!EOI24/'4. NPV'!EOI$8,0)</f>
        <v>-0.0</v>
      </c>
      <c r="EOI55" s="5">
        <f>-IFERROR('4. NPV'!EOJ24/'4. NPV'!EOJ$8,0)</f>
        <v>-0.0</v>
      </c>
      <c r="EOJ55" s="5">
        <f>-IFERROR('4. NPV'!EOK24/'4. NPV'!EOK$8,0)</f>
        <v>-0.0</v>
      </c>
      <c r="EOK55" s="5">
        <f>-IFERROR('4. NPV'!EOL24/'4. NPV'!EOL$8,0)</f>
        <v>-0.0</v>
      </c>
      <c r="EOL55" s="5">
        <f>-IFERROR('4. NPV'!EOM24/'4. NPV'!EOM$8,0)</f>
        <v>-0.0</v>
      </c>
      <c r="EOM55" s="5">
        <f>-IFERROR('4. NPV'!EON24/'4. NPV'!EON$8,0)</f>
        <v>-0.0</v>
      </c>
      <c r="EON55" s="5">
        <f>-IFERROR('4. NPV'!EOO24/'4. NPV'!EOO$8,0)</f>
        <v>-0.0</v>
      </c>
      <c r="EOO55" s="5">
        <f>-IFERROR('4. NPV'!EOP24/'4. NPV'!EOP$8,0)</f>
        <v>-0.0</v>
      </c>
      <c r="EOP55" s="5">
        <f>-IFERROR('4. NPV'!EOQ24/'4. NPV'!EOQ$8,0)</f>
        <v>-0.0</v>
      </c>
      <c r="EOQ55" s="5">
        <f>-IFERROR('4. NPV'!EOR24/'4. NPV'!EOR$8,0)</f>
        <v>-0.0</v>
      </c>
      <c r="EOR55" s="5">
        <f>-IFERROR('4. NPV'!EOS24/'4. NPV'!EOS$8,0)</f>
        <v>-0.0</v>
      </c>
      <c r="EOS55" s="5">
        <f>-IFERROR('4. NPV'!EOT24/'4. NPV'!EOT$8,0)</f>
        <v>-0.0</v>
      </c>
      <c r="EOT55" s="5">
        <f>-IFERROR('4. NPV'!EOU24/'4. NPV'!EOU$8,0)</f>
        <v>-0.0</v>
      </c>
      <c r="EOU55" s="5">
        <f>-IFERROR('4. NPV'!EOV24/'4. NPV'!EOV$8,0)</f>
        <v>-0.0</v>
      </c>
      <c r="EOV55" s="5">
        <f>-IFERROR('4. NPV'!EOW24/'4. NPV'!EOW$8,0)</f>
        <v>-0.0</v>
      </c>
      <c r="EOW55" s="5">
        <f>-IFERROR('4. NPV'!EOX24/'4. NPV'!EOX$8,0)</f>
        <v>-0.0</v>
      </c>
      <c r="EOX55" s="5">
        <f>-IFERROR('4. NPV'!EOY24/'4. NPV'!EOY$8,0)</f>
        <v>-0.0</v>
      </c>
      <c r="EOY55" s="5">
        <f>-IFERROR('4. NPV'!EOZ24/'4. NPV'!EOZ$8,0)</f>
        <v>-0.0</v>
      </c>
      <c r="EOZ55" s="5">
        <f>-IFERROR('4. NPV'!EPA24/'4. NPV'!EPA$8,0)</f>
        <v>-0.0</v>
      </c>
      <c r="EPA55" s="5">
        <f>-IFERROR('4. NPV'!EPB24/'4. NPV'!EPB$8,0)</f>
        <v>-0.0</v>
      </c>
      <c r="EPB55" s="5">
        <f>-IFERROR('4. NPV'!EPC24/'4. NPV'!EPC$8,0)</f>
        <v>-0.0</v>
      </c>
      <c r="EPC55" s="5">
        <f>-IFERROR('4. NPV'!EPD24/'4. NPV'!EPD$8,0)</f>
        <v>-0.0</v>
      </c>
      <c r="EPD55" s="5">
        <f>-IFERROR('4. NPV'!EPE24/'4. NPV'!EPE$8,0)</f>
        <v>-0.0</v>
      </c>
      <c r="EPE55" s="5">
        <f>-IFERROR('4. NPV'!EPF24/'4. NPV'!EPF$8,0)</f>
        <v>-0.0</v>
      </c>
      <c r="EPF55" s="5">
        <f>-IFERROR('4. NPV'!EPG24/'4. NPV'!EPG$8,0)</f>
        <v>-0.0</v>
      </c>
      <c r="EPG55" s="5">
        <f>-IFERROR('4. NPV'!EPH24/'4. NPV'!EPH$8,0)</f>
        <v>-0.0</v>
      </c>
      <c r="EPH55" s="5">
        <f>-IFERROR('4. NPV'!EPI24/'4. NPV'!EPI$8,0)</f>
        <v>-0.0</v>
      </c>
      <c r="EPI55" s="5">
        <f>-IFERROR('4. NPV'!EPJ24/'4. NPV'!EPJ$8,0)</f>
        <v>-0.0</v>
      </c>
      <c r="EPJ55" s="5">
        <f>-IFERROR('4. NPV'!EPK24/'4. NPV'!EPK$8,0)</f>
        <v>-0.0</v>
      </c>
      <c r="EPK55" s="5">
        <f>-IFERROR('4. NPV'!EPL24/'4. NPV'!EPL$8,0)</f>
        <v>-0.0</v>
      </c>
      <c r="EPL55" s="5">
        <f>-IFERROR('4. NPV'!EPM24/'4. NPV'!EPM$8,0)</f>
        <v>-0.0</v>
      </c>
      <c r="EPM55" s="5">
        <f>-IFERROR('4. NPV'!EPN24/'4. NPV'!EPN$8,0)</f>
        <v>-0.0</v>
      </c>
      <c r="EPN55" s="5">
        <f>-IFERROR('4. NPV'!EPO24/'4. NPV'!EPO$8,0)</f>
        <v>-0.0</v>
      </c>
      <c r="EPO55" s="5">
        <f>-IFERROR('4. NPV'!EPP24/'4. NPV'!EPP$8,0)</f>
        <v>-0.0</v>
      </c>
      <c r="EPP55" s="5">
        <f>-IFERROR('4. NPV'!EPQ24/'4. NPV'!EPQ$8,0)</f>
        <v>-0.0</v>
      </c>
      <c r="EPQ55" s="5">
        <f>-IFERROR('4. NPV'!EPR24/'4. NPV'!EPR$8,0)</f>
        <v>-0.0</v>
      </c>
      <c r="EPR55" s="5">
        <f>-IFERROR('4. NPV'!EPS24/'4. NPV'!EPS$8,0)</f>
        <v>-0.0</v>
      </c>
      <c r="EPS55" s="5">
        <f>-IFERROR('4. NPV'!EPT24/'4. NPV'!EPT$8,0)</f>
        <v>-0.0</v>
      </c>
      <c r="EPT55" s="5">
        <f>-IFERROR('4. NPV'!EPU24/'4. NPV'!EPU$8,0)</f>
        <v>-0.0</v>
      </c>
      <c r="EPU55" s="5">
        <f>-IFERROR('4. NPV'!EPV24/'4. NPV'!EPV$8,0)</f>
        <v>-0.0</v>
      </c>
      <c r="EPV55" s="5">
        <f>-IFERROR('4. NPV'!EPW24/'4. NPV'!EPW$8,0)</f>
        <v>-0.0</v>
      </c>
      <c r="EPW55" s="5">
        <f>-IFERROR('4. NPV'!EPX24/'4. NPV'!EPX$8,0)</f>
        <v>-0.0</v>
      </c>
      <c r="EPX55" s="5">
        <f>-IFERROR('4. NPV'!EPY24/'4. NPV'!EPY$8,0)</f>
        <v>-0.0</v>
      </c>
      <c r="EPY55" s="5">
        <f>-IFERROR('4. NPV'!EPZ24/'4. NPV'!EPZ$8,0)</f>
        <v>-0.0</v>
      </c>
      <c r="EPZ55" s="5">
        <f>-IFERROR('4. NPV'!EQA24/'4. NPV'!EQA$8,0)</f>
        <v>-0.0</v>
      </c>
      <c r="EQA55" s="5">
        <f>-IFERROR('4. NPV'!EQB24/'4. NPV'!EQB$8,0)</f>
        <v>-0.0</v>
      </c>
      <c r="EQB55" s="5">
        <f>-IFERROR('4. NPV'!EQC24/'4. NPV'!EQC$8,0)</f>
        <v>-0.0</v>
      </c>
      <c r="EQC55" s="5">
        <f>-IFERROR('4. NPV'!EQD24/'4. NPV'!EQD$8,0)</f>
        <v>-0.0</v>
      </c>
      <c r="EQD55" s="5">
        <f>-IFERROR('4. NPV'!EQE24/'4. NPV'!EQE$8,0)</f>
        <v>-0.0</v>
      </c>
      <c r="EQE55" s="5">
        <f>-IFERROR('4. NPV'!EQF24/'4. NPV'!EQF$8,0)</f>
        <v>-0.0</v>
      </c>
      <c r="EQF55" s="5">
        <f>-IFERROR('4. NPV'!EQG24/'4. NPV'!EQG$8,0)</f>
        <v>-0.0</v>
      </c>
      <c r="EQG55" s="5">
        <f>-IFERROR('4. NPV'!EQH24/'4. NPV'!EQH$8,0)</f>
        <v>-0.0</v>
      </c>
      <c r="EQH55" s="5">
        <f>-IFERROR('4. NPV'!EQI24/'4. NPV'!EQI$8,0)</f>
        <v>-0.0</v>
      </c>
      <c r="EQI55" s="5">
        <f>-IFERROR('4. NPV'!EQJ24/'4. NPV'!EQJ$8,0)</f>
        <v>-0.0</v>
      </c>
      <c r="EQJ55" s="5">
        <f>-IFERROR('4. NPV'!EQK24/'4. NPV'!EQK$8,0)</f>
        <v>-0.0</v>
      </c>
      <c r="EQK55" s="5">
        <f>-IFERROR('4. NPV'!EQL24/'4. NPV'!EQL$8,0)</f>
        <v>-0.0</v>
      </c>
      <c r="EQL55" s="5">
        <f>-IFERROR('4. NPV'!EQM24/'4. NPV'!EQM$8,0)</f>
        <v>-0.0</v>
      </c>
      <c r="EQM55" s="5">
        <f>-IFERROR('4. NPV'!EQN24/'4. NPV'!EQN$8,0)</f>
        <v>-0.0</v>
      </c>
      <c r="EQN55" s="5">
        <f>-IFERROR('4. NPV'!EQO24/'4. NPV'!EQO$8,0)</f>
        <v>-0.0</v>
      </c>
      <c r="EQO55" s="5">
        <f>-IFERROR('4. NPV'!EQP24/'4. NPV'!EQP$8,0)</f>
        <v>-0.0</v>
      </c>
      <c r="EQP55" s="5">
        <f>-IFERROR('4. NPV'!EQQ24/'4. NPV'!EQQ$8,0)</f>
        <v>-0.0</v>
      </c>
      <c r="EQQ55" s="5">
        <f>-IFERROR('4. NPV'!EQR24/'4. NPV'!EQR$8,0)</f>
        <v>-0.0</v>
      </c>
      <c r="EQR55" s="5">
        <f>-IFERROR('4. NPV'!EQS24/'4. NPV'!EQS$8,0)</f>
        <v>-0.0</v>
      </c>
      <c r="EQS55" s="5">
        <f>-IFERROR('4. NPV'!EQT24/'4. NPV'!EQT$8,0)</f>
        <v>-0.0</v>
      </c>
      <c r="EQT55" s="5">
        <f>-IFERROR('4. NPV'!EQU24/'4. NPV'!EQU$8,0)</f>
        <v>-0.0</v>
      </c>
      <c r="EQU55" s="5">
        <f>-IFERROR('4. NPV'!EQV24/'4. NPV'!EQV$8,0)</f>
        <v>-0.0</v>
      </c>
      <c r="EQV55" s="5">
        <f>-IFERROR('4. NPV'!EQW24/'4. NPV'!EQW$8,0)</f>
        <v>-0.0</v>
      </c>
      <c r="EQW55" s="5">
        <f>-IFERROR('4. NPV'!EQX24/'4. NPV'!EQX$8,0)</f>
        <v>-0.0</v>
      </c>
      <c r="EQX55" s="5">
        <f>-IFERROR('4. NPV'!EQY24/'4. NPV'!EQY$8,0)</f>
        <v>-0.0</v>
      </c>
      <c r="EQY55" s="5">
        <f>-IFERROR('4. NPV'!EQZ24/'4. NPV'!EQZ$8,0)</f>
        <v>-0.0</v>
      </c>
      <c r="EQZ55" s="5">
        <f>-IFERROR('4. NPV'!ERA24/'4. NPV'!ERA$8,0)</f>
        <v>-0.0</v>
      </c>
      <c r="ERA55" s="5">
        <f>-IFERROR('4. NPV'!ERB24/'4. NPV'!ERB$8,0)</f>
        <v>-0.0</v>
      </c>
      <c r="ERB55" s="5">
        <f>-IFERROR('4. NPV'!ERC24/'4. NPV'!ERC$8,0)</f>
        <v>-0.0</v>
      </c>
      <c r="ERC55" s="5">
        <f>-IFERROR('4. NPV'!ERD24/'4. NPV'!ERD$8,0)</f>
        <v>-0.0</v>
      </c>
      <c r="ERD55" s="5">
        <f>-IFERROR('4. NPV'!ERE24/'4. NPV'!ERE$8,0)</f>
        <v>-0.0</v>
      </c>
      <c r="ERE55" s="5">
        <f>-IFERROR('4. NPV'!ERF24/'4. NPV'!ERF$8,0)</f>
        <v>-0.0</v>
      </c>
      <c r="ERF55" s="5">
        <f>-IFERROR('4. NPV'!ERG24/'4. NPV'!ERG$8,0)</f>
        <v>-0.0</v>
      </c>
      <c r="ERG55" s="5">
        <f>-IFERROR('4. NPV'!ERH24/'4. NPV'!ERH$8,0)</f>
        <v>-0.0</v>
      </c>
      <c r="ERH55" s="5">
        <f>-IFERROR('4. NPV'!ERI24/'4. NPV'!ERI$8,0)</f>
        <v>-0.0</v>
      </c>
      <c r="ERI55" s="5">
        <f>-IFERROR('4. NPV'!ERJ24/'4. NPV'!ERJ$8,0)</f>
        <v>-0.0</v>
      </c>
      <c r="ERJ55" s="5">
        <f>-IFERROR('4. NPV'!ERK24/'4. NPV'!ERK$8,0)</f>
        <v>-0.0</v>
      </c>
      <c r="ERK55" s="5">
        <f>-IFERROR('4. NPV'!ERL24/'4. NPV'!ERL$8,0)</f>
        <v>-0.0</v>
      </c>
      <c r="ERL55" s="5">
        <f>-IFERROR('4. NPV'!ERM24/'4. NPV'!ERM$8,0)</f>
        <v>-0.0</v>
      </c>
      <c r="ERM55" s="5">
        <f>-IFERROR('4. NPV'!ERN24/'4. NPV'!ERN$8,0)</f>
        <v>-0.0</v>
      </c>
      <c r="ERN55" s="5">
        <f>-IFERROR('4. NPV'!ERO24/'4. NPV'!ERO$8,0)</f>
        <v>-0.0</v>
      </c>
      <c r="ERO55" s="5">
        <f>-IFERROR('4. NPV'!ERP24/'4. NPV'!ERP$8,0)</f>
        <v>-0.0</v>
      </c>
      <c r="ERP55" s="5">
        <f>-IFERROR('4. NPV'!ERQ24/'4. NPV'!ERQ$8,0)</f>
        <v>-0.0</v>
      </c>
      <c r="ERQ55" s="5">
        <f>-IFERROR('4. NPV'!ERR24/'4. NPV'!ERR$8,0)</f>
        <v>-0.0</v>
      </c>
      <c r="ERR55" s="5">
        <f>-IFERROR('4. NPV'!ERS24/'4. NPV'!ERS$8,0)</f>
        <v>-0.0</v>
      </c>
      <c r="ERS55" s="5">
        <f>-IFERROR('4. NPV'!ERT24/'4. NPV'!ERT$8,0)</f>
        <v>-0.0</v>
      </c>
      <c r="ERT55" s="5">
        <f>-IFERROR('4. NPV'!ERU24/'4. NPV'!ERU$8,0)</f>
        <v>-0.0</v>
      </c>
      <c r="ERU55" s="5">
        <f>-IFERROR('4. NPV'!ERV24/'4. NPV'!ERV$8,0)</f>
        <v>-0.0</v>
      </c>
      <c r="ERV55" s="5">
        <f>-IFERROR('4. NPV'!ERW24/'4. NPV'!ERW$8,0)</f>
        <v>-0.0</v>
      </c>
      <c r="ERW55" s="5">
        <f>-IFERROR('4. NPV'!ERX24/'4. NPV'!ERX$8,0)</f>
        <v>-0.0</v>
      </c>
      <c r="ERX55" s="5">
        <f>-IFERROR('4. NPV'!ERY24/'4. NPV'!ERY$8,0)</f>
        <v>-0.0</v>
      </c>
      <c r="ERY55" s="5">
        <f>-IFERROR('4. NPV'!ERZ24/'4. NPV'!ERZ$8,0)</f>
        <v>-0.0</v>
      </c>
      <c r="ERZ55" s="5">
        <f>-IFERROR('4. NPV'!ESA24/'4. NPV'!ESA$8,0)</f>
        <v>-0.0</v>
      </c>
      <c r="ESA55" s="5">
        <f>-IFERROR('4. NPV'!ESB24/'4. NPV'!ESB$8,0)</f>
        <v>-0.0</v>
      </c>
      <c r="ESB55" s="5">
        <f>-IFERROR('4. NPV'!ESC24/'4. NPV'!ESC$8,0)</f>
        <v>-0.0</v>
      </c>
      <c r="ESC55" s="5">
        <f>-IFERROR('4. NPV'!ESD24/'4. NPV'!ESD$8,0)</f>
        <v>-0.0</v>
      </c>
      <c r="ESD55" s="5">
        <f>-IFERROR('4. NPV'!ESE24/'4. NPV'!ESE$8,0)</f>
        <v>-0.0</v>
      </c>
      <c r="ESE55" s="5">
        <f>-IFERROR('4. NPV'!ESF24/'4. NPV'!ESF$8,0)</f>
        <v>-0.0</v>
      </c>
      <c r="ESF55" s="5">
        <f>-IFERROR('4. NPV'!ESG24/'4. NPV'!ESG$8,0)</f>
        <v>-0.0</v>
      </c>
      <c r="ESG55" s="5">
        <f>-IFERROR('4. NPV'!ESH24/'4. NPV'!ESH$8,0)</f>
        <v>-0.0</v>
      </c>
      <c r="ESH55" s="5">
        <f>-IFERROR('4. NPV'!ESI24/'4. NPV'!ESI$8,0)</f>
        <v>-0.0</v>
      </c>
      <c r="ESI55" s="5">
        <f>-IFERROR('4. NPV'!ESJ24/'4. NPV'!ESJ$8,0)</f>
        <v>-0.0</v>
      </c>
      <c r="ESJ55" s="5">
        <f>-IFERROR('4. NPV'!ESK24/'4. NPV'!ESK$8,0)</f>
        <v>-0.0</v>
      </c>
      <c r="ESK55" s="5">
        <f>-IFERROR('4. NPV'!ESL24/'4. NPV'!ESL$8,0)</f>
        <v>-0.0</v>
      </c>
      <c r="ESL55" s="5">
        <f>-IFERROR('4. NPV'!ESM24/'4. NPV'!ESM$8,0)</f>
        <v>-0.0</v>
      </c>
      <c r="ESM55" s="5">
        <f>-IFERROR('4. NPV'!ESN24/'4. NPV'!ESN$8,0)</f>
        <v>-0.0</v>
      </c>
      <c r="ESN55" s="5">
        <f>-IFERROR('4. NPV'!ESO24/'4. NPV'!ESO$8,0)</f>
        <v>-0.0</v>
      </c>
      <c r="ESO55" s="5">
        <f>-IFERROR('4. NPV'!ESP24/'4. NPV'!ESP$8,0)</f>
        <v>-0.0</v>
      </c>
      <c r="ESP55" s="5">
        <f>-IFERROR('4. NPV'!ESQ24/'4. NPV'!ESQ$8,0)</f>
        <v>-0.0</v>
      </c>
      <c r="ESQ55" s="5">
        <f>-IFERROR('4. NPV'!ESR24/'4. NPV'!ESR$8,0)</f>
        <v>-0.0</v>
      </c>
      <c r="ESR55" s="5">
        <f>-IFERROR('4. NPV'!ESS24/'4. NPV'!ESS$8,0)</f>
        <v>-0.0</v>
      </c>
      <c r="ESS55" s="5">
        <f>-IFERROR('4. NPV'!EST24/'4. NPV'!EST$8,0)</f>
        <v>-0.0</v>
      </c>
      <c r="EST55" s="5">
        <f>-IFERROR('4. NPV'!ESU24/'4. NPV'!ESU$8,0)</f>
        <v>-0.0</v>
      </c>
      <c r="ESU55" s="5">
        <f>-IFERROR('4. NPV'!ESV24/'4. NPV'!ESV$8,0)</f>
        <v>-0.0</v>
      </c>
      <c r="ESV55" s="5">
        <f>-IFERROR('4. NPV'!ESW24/'4. NPV'!ESW$8,0)</f>
        <v>-0.0</v>
      </c>
      <c r="ESW55" s="5">
        <f>-IFERROR('4. NPV'!ESX24/'4. NPV'!ESX$8,0)</f>
        <v>-0.0</v>
      </c>
      <c r="ESX55" s="5">
        <f>-IFERROR('4. NPV'!ESY24/'4. NPV'!ESY$8,0)</f>
        <v>-0.0</v>
      </c>
      <c r="ESY55" s="5">
        <f>-IFERROR('4. NPV'!ESZ24/'4. NPV'!ESZ$8,0)</f>
        <v>-0.0</v>
      </c>
      <c r="ESZ55" s="5">
        <f>-IFERROR('4. NPV'!ETA24/'4. NPV'!ETA$8,0)</f>
        <v>-0.0</v>
      </c>
      <c r="ETA55" s="5">
        <f>-IFERROR('4. NPV'!ETB24/'4. NPV'!ETB$8,0)</f>
        <v>-0.0</v>
      </c>
      <c r="ETB55" s="5">
        <f>-IFERROR('4. NPV'!ETC24/'4. NPV'!ETC$8,0)</f>
        <v>-0.0</v>
      </c>
      <c r="ETC55" s="5">
        <f>-IFERROR('4. NPV'!ETD24/'4. NPV'!ETD$8,0)</f>
        <v>-0.0</v>
      </c>
      <c r="ETD55" s="5">
        <f>-IFERROR('4. NPV'!ETE24/'4. NPV'!ETE$8,0)</f>
        <v>-0.0</v>
      </c>
      <c r="ETE55" s="5">
        <f>-IFERROR('4. NPV'!ETF24/'4. NPV'!ETF$8,0)</f>
        <v>-0.0</v>
      </c>
      <c r="ETF55" s="5">
        <f>-IFERROR('4. NPV'!ETG24/'4. NPV'!ETG$8,0)</f>
        <v>-0.0</v>
      </c>
      <c r="ETG55" s="5">
        <f>-IFERROR('4. NPV'!ETH24/'4. NPV'!ETH$8,0)</f>
        <v>-0.0</v>
      </c>
      <c r="ETH55" s="5">
        <f>-IFERROR('4. NPV'!ETI24/'4. NPV'!ETI$8,0)</f>
        <v>-0.0</v>
      </c>
      <c r="ETI55" s="5">
        <f>-IFERROR('4. NPV'!ETJ24/'4. NPV'!ETJ$8,0)</f>
        <v>-0.0</v>
      </c>
      <c r="ETJ55" s="5">
        <f>-IFERROR('4. NPV'!ETK24/'4. NPV'!ETK$8,0)</f>
        <v>-0.0</v>
      </c>
      <c r="ETK55" s="5">
        <f>-IFERROR('4. NPV'!ETL24/'4. NPV'!ETL$8,0)</f>
        <v>-0.0</v>
      </c>
      <c r="ETL55" s="5">
        <f>-IFERROR('4. NPV'!ETM24/'4. NPV'!ETM$8,0)</f>
        <v>-0.0</v>
      </c>
      <c r="ETM55" s="5">
        <f>-IFERROR('4. NPV'!ETN24/'4. NPV'!ETN$8,0)</f>
        <v>-0.0</v>
      </c>
      <c r="ETN55" s="5">
        <f>-IFERROR('4. NPV'!ETO24/'4. NPV'!ETO$8,0)</f>
        <v>-0.0</v>
      </c>
      <c r="ETO55" s="5">
        <f>-IFERROR('4. NPV'!ETP24/'4. NPV'!ETP$8,0)</f>
        <v>-0.0</v>
      </c>
      <c r="ETP55" s="5">
        <f>-IFERROR('4. NPV'!ETQ24/'4. NPV'!ETQ$8,0)</f>
        <v>-0.0</v>
      </c>
      <c r="ETQ55" s="5">
        <f>-IFERROR('4. NPV'!ETR24/'4. NPV'!ETR$8,0)</f>
        <v>-0.0</v>
      </c>
      <c r="ETR55" s="5">
        <f>-IFERROR('4. NPV'!ETS24/'4. NPV'!ETS$8,0)</f>
        <v>-0.0</v>
      </c>
      <c r="ETS55" s="5">
        <f>-IFERROR('4. NPV'!ETT24/'4. NPV'!ETT$8,0)</f>
        <v>-0.0</v>
      </c>
      <c r="ETT55" s="5">
        <f>-IFERROR('4. NPV'!ETU24/'4. NPV'!ETU$8,0)</f>
        <v>-0.0</v>
      </c>
      <c r="ETU55" s="5">
        <f>-IFERROR('4. NPV'!ETV24/'4. NPV'!ETV$8,0)</f>
        <v>-0.0</v>
      </c>
      <c r="ETV55" s="5">
        <f>-IFERROR('4. NPV'!ETW24/'4. NPV'!ETW$8,0)</f>
        <v>-0.0</v>
      </c>
      <c r="ETW55" s="5">
        <f>-IFERROR('4. NPV'!ETX24/'4. NPV'!ETX$8,0)</f>
        <v>-0.0</v>
      </c>
      <c r="ETX55" s="5">
        <f>-IFERROR('4. NPV'!ETY24/'4. NPV'!ETY$8,0)</f>
        <v>-0.0</v>
      </c>
      <c r="ETY55" s="5">
        <f>-IFERROR('4. NPV'!ETZ24/'4. NPV'!ETZ$8,0)</f>
        <v>-0.0</v>
      </c>
      <c r="ETZ55" s="5">
        <f>-IFERROR('4. NPV'!EUA24/'4. NPV'!EUA$8,0)</f>
        <v>-0.0</v>
      </c>
      <c r="EUA55" s="5">
        <f>-IFERROR('4. NPV'!EUB24/'4. NPV'!EUB$8,0)</f>
        <v>-0.0</v>
      </c>
      <c r="EUB55" s="5">
        <f>-IFERROR('4. NPV'!EUC24/'4. NPV'!EUC$8,0)</f>
        <v>-0.0</v>
      </c>
      <c r="EUC55" s="5">
        <f>-IFERROR('4. NPV'!EUD24/'4. NPV'!EUD$8,0)</f>
        <v>-0.0</v>
      </c>
      <c r="EUD55" s="5">
        <f>-IFERROR('4. NPV'!EUE24/'4. NPV'!EUE$8,0)</f>
        <v>-0.0</v>
      </c>
      <c r="EUE55" s="5">
        <f>-IFERROR('4. NPV'!EUF24/'4. NPV'!EUF$8,0)</f>
        <v>-0.0</v>
      </c>
      <c r="EUF55" s="5">
        <f>-IFERROR('4. NPV'!EUG24/'4. NPV'!EUG$8,0)</f>
        <v>-0.0</v>
      </c>
      <c r="EUG55" s="5">
        <f>-IFERROR('4. NPV'!EUH24/'4. NPV'!EUH$8,0)</f>
        <v>-0.0</v>
      </c>
      <c r="EUH55" s="5">
        <f>-IFERROR('4. NPV'!EUI24/'4. NPV'!EUI$8,0)</f>
        <v>-0.0</v>
      </c>
      <c r="EUI55" s="5">
        <f>-IFERROR('4. NPV'!EUJ24/'4. NPV'!EUJ$8,0)</f>
        <v>-0.0</v>
      </c>
      <c r="EUJ55" s="5">
        <f>-IFERROR('4. NPV'!EUK24/'4. NPV'!EUK$8,0)</f>
        <v>-0.0</v>
      </c>
      <c r="EUK55" s="5">
        <f>-IFERROR('4. NPV'!EUL24/'4. NPV'!EUL$8,0)</f>
        <v>-0.0</v>
      </c>
      <c r="EUL55" s="5">
        <f>-IFERROR('4. NPV'!EUM24/'4. NPV'!EUM$8,0)</f>
        <v>-0.0</v>
      </c>
      <c r="EUM55" s="5">
        <f>-IFERROR('4. NPV'!EUN24/'4. NPV'!EUN$8,0)</f>
        <v>-0.0</v>
      </c>
      <c r="EUN55" s="5">
        <f>-IFERROR('4. NPV'!EUO24/'4. NPV'!EUO$8,0)</f>
        <v>-0.0</v>
      </c>
      <c r="EUO55" s="5">
        <f>-IFERROR('4. NPV'!EUP24/'4. NPV'!EUP$8,0)</f>
        <v>-0.0</v>
      </c>
      <c r="EUP55" s="5">
        <f>-IFERROR('4. NPV'!EUQ24/'4. NPV'!EUQ$8,0)</f>
        <v>-0.0</v>
      </c>
      <c r="EUQ55" s="5">
        <f>-IFERROR('4. NPV'!EUR24/'4. NPV'!EUR$8,0)</f>
        <v>-0.0</v>
      </c>
      <c r="EUR55" s="5">
        <f>-IFERROR('4. NPV'!EUS24/'4. NPV'!EUS$8,0)</f>
        <v>-0.0</v>
      </c>
      <c r="EUS55" s="5">
        <f>-IFERROR('4. NPV'!EUT24/'4. NPV'!EUT$8,0)</f>
        <v>-0.0</v>
      </c>
      <c r="EUT55" s="5">
        <f>-IFERROR('4. NPV'!EUU24/'4. NPV'!EUU$8,0)</f>
        <v>-0.0</v>
      </c>
      <c r="EUU55" s="5">
        <f>-IFERROR('4. NPV'!EUV24/'4. NPV'!EUV$8,0)</f>
        <v>-0.0</v>
      </c>
      <c r="EUV55" s="5">
        <f>-IFERROR('4. NPV'!EUW24/'4. NPV'!EUW$8,0)</f>
        <v>-0.0</v>
      </c>
      <c r="EUW55" s="5">
        <f>-IFERROR('4. NPV'!EUX24/'4. NPV'!EUX$8,0)</f>
        <v>-0.0</v>
      </c>
      <c r="EUX55" s="5">
        <f>-IFERROR('4. NPV'!EUY24/'4. NPV'!EUY$8,0)</f>
        <v>-0.0</v>
      </c>
      <c r="EUY55" s="5">
        <f>-IFERROR('4. NPV'!EUZ24/'4. NPV'!EUZ$8,0)</f>
        <v>-0.0</v>
      </c>
      <c r="EUZ55" s="5">
        <f>-IFERROR('4. NPV'!EVA24/'4. NPV'!EVA$8,0)</f>
        <v>-0.0</v>
      </c>
      <c r="EVA55" s="5">
        <f>-IFERROR('4. NPV'!EVB24/'4. NPV'!EVB$8,0)</f>
        <v>-0.0</v>
      </c>
      <c r="EVB55" s="5">
        <f>-IFERROR('4. NPV'!EVC24/'4. NPV'!EVC$8,0)</f>
        <v>-0.0</v>
      </c>
      <c r="EVC55" s="5">
        <f>-IFERROR('4. NPV'!EVD24/'4. NPV'!EVD$8,0)</f>
        <v>-0.0</v>
      </c>
      <c r="EVD55" s="5">
        <f>-IFERROR('4. NPV'!EVE24/'4. NPV'!EVE$8,0)</f>
        <v>-0.0</v>
      </c>
      <c r="EVE55" s="5">
        <f>-IFERROR('4. NPV'!EVF24/'4. NPV'!EVF$8,0)</f>
        <v>-0.0</v>
      </c>
      <c r="EVF55" s="5">
        <f>-IFERROR('4. NPV'!EVG24/'4. NPV'!EVG$8,0)</f>
        <v>-0.0</v>
      </c>
      <c r="EVG55" s="5">
        <f>-IFERROR('4. NPV'!EVH24/'4. NPV'!EVH$8,0)</f>
        <v>-0.0</v>
      </c>
      <c r="EVH55" s="5">
        <f>-IFERROR('4. NPV'!EVI24/'4. NPV'!EVI$8,0)</f>
        <v>-0.0</v>
      </c>
      <c r="EVI55" s="5">
        <f>-IFERROR('4. NPV'!EVJ24/'4. NPV'!EVJ$8,0)</f>
        <v>-0.0</v>
      </c>
      <c r="EVJ55" s="5">
        <f>-IFERROR('4. NPV'!EVK24/'4. NPV'!EVK$8,0)</f>
        <v>-0.0</v>
      </c>
      <c r="EVK55" s="5">
        <f>-IFERROR('4. NPV'!EVL24/'4. NPV'!EVL$8,0)</f>
        <v>-0.0</v>
      </c>
      <c r="EVL55" s="5">
        <f>-IFERROR('4. NPV'!EVM24/'4. NPV'!EVM$8,0)</f>
        <v>-0.0</v>
      </c>
      <c r="EVM55" s="5">
        <f>-IFERROR('4. NPV'!EVN24/'4. NPV'!EVN$8,0)</f>
        <v>-0.0</v>
      </c>
      <c r="EVN55" s="5">
        <f>-IFERROR('4. NPV'!EVO24/'4. NPV'!EVO$8,0)</f>
        <v>-0.0</v>
      </c>
      <c r="EVO55" s="5">
        <f>-IFERROR('4. NPV'!EVP24/'4. NPV'!EVP$8,0)</f>
        <v>-0.0</v>
      </c>
      <c r="EVP55" s="5">
        <f>-IFERROR('4. NPV'!EVQ24/'4. NPV'!EVQ$8,0)</f>
        <v>-0.0</v>
      </c>
      <c r="EVQ55" s="5">
        <f>-IFERROR('4. NPV'!EVR24/'4. NPV'!EVR$8,0)</f>
        <v>-0.0</v>
      </c>
      <c r="EVR55" s="5">
        <f>-IFERROR('4. NPV'!EVS24/'4. NPV'!EVS$8,0)</f>
        <v>-0.0</v>
      </c>
      <c r="EVS55" s="5">
        <f>-IFERROR('4. NPV'!EVT24/'4. NPV'!EVT$8,0)</f>
        <v>-0.0</v>
      </c>
      <c r="EVT55" s="5">
        <f>-IFERROR('4. NPV'!EVU24/'4. NPV'!EVU$8,0)</f>
        <v>-0.0</v>
      </c>
      <c r="EVU55" s="5">
        <f>-IFERROR('4. NPV'!EVV24/'4. NPV'!EVV$8,0)</f>
        <v>-0.0</v>
      </c>
      <c r="EVV55" s="5">
        <f>-IFERROR('4. NPV'!EVW24/'4. NPV'!EVW$8,0)</f>
        <v>-0.0</v>
      </c>
      <c r="EVW55" s="5">
        <f>-IFERROR('4. NPV'!EVX24/'4. NPV'!EVX$8,0)</f>
        <v>-0.0</v>
      </c>
      <c r="EVX55" s="5">
        <f>-IFERROR('4. NPV'!EVY24/'4. NPV'!EVY$8,0)</f>
        <v>-0.0</v>
      </c>
      <c r="EVY55" s="5">
        <f>-IFERROR('4. NPV'!EVZ24/'4. NPV'!EVZ$8,0)</f>
        <v>-0.0</v>
      </c>
      <c r="EVZ55" s="5">
        <f>-IFERROR('4. NPV'!EWA24/'4. NPV'!EWA$8,0)</f>
        <v>-0.0</v>
      </c>
      <c r="EWA55" s="5">
        <f>-IFERROR('4. NPV'!EWB24/'4. NPV'!EWB$8,0)</f>
        <v>-0.0</v>
      </c>
      <c r="EWB55" s="5">
        <f>-IFERROR('4. NPV'!EWC24/'4. NPV'!EWC$8,0)</f>
        <v>-0.0</v>
      </c>
      <c r="EWC55" s="5">
        <f>-IFERROR('4. NPV'!EWD24/'4. NPV'!EWD$8,0)</f>
        <v>-0.0</v>
      </c>
      <c r="EWD55" s="5">
        <f>-IFERROR('4. NPV'!EWE24/'4. NPV'!EWE$8,0)</f>
        <v>-0.0</v>
      </c>
      <c r="EWE55" s="5">
        <f>-IFERROR('4. NPV'!EWF24/'4. NPV'!EWF$8,0)</f>
        <v>-0.0</v>
      </c>
      <c r="EWF55" s="5">
        <f>-IFERROR('4. NPV'!EWG24/'4. NPV'!EWG$8,0)</f>
        <v>-0.0</v>
      </c>
      <c r="EWG55" s="5">
        <f>-IFERROR('4. NPV'!EWH24/'4. NPV'!EWH$8,0)</f>
        <v>-0.0</v>
      </c>
      <c r="EWH55" s="5">
        <f>-IFERROR('4. NPV'!EWI24/'4. NPV'!EWI$8,0)</f>
        <v>-0.0</v>
      </c>
      <c r="EWI55" s="5">
        <f>-IFERROR('4. NPV'!EWJ24/'4. NPV'!EWJ$8,0)</f>
        <v>-0.0</v>
      </c>
      <c r="EWJ55" s="5">
        <f>-IFERROR('4. NPV'!EWK24/'4. NPV'!EWK$8,0)</f>
        <v>-0.0</v>
      </c>
      <c r="EWK55" s="5">
        <f>-IFERROR('4. NPV'!EWL24/'4. NPV'!EWL$8,0)</f>
        <v>-0.0</v>
      </c>
      <c r="EWL55" s="5">
        <f>-IFERROR('4. NPV'!EWM24/'4. NPV'!EWM$8,0)</f>
        <v>-0.0</v>
      </c>
      <c r="EWM55" s="5">
        <f>-IFERROR('4. NPV'!EWN24/'4. NPV'!EWN$8,0)</f>
        <v>-0.0</v>
      </c>
      <c r="EWN55" s="5">
        <f>-IFERROR('4. NPV'!EWO24/'4. NPV'!EWO$8,0)</f>
        <v>-0.0</v>
      </c>
      <c r="EWO55" s="5">
        <f>-IFERROR('4. NPV'!EWP24/'4. NPV'!EWP$8,0)</f>
        <v>-0.0</v>
      </c>
      <c r="EWP55" s="5">
        <f>-IFERROR('4. NPV'!EWQ24/'4. NPV'!EWQ$8,0)</f>
        <v>-0.0</v>
      </c>
      <c r="EWQ55" s="5">
        <f>-IFERROR('4. NPV'!EWR24/'4. NPV'!EWR$8,0)</f>
        <v>-0.0</v>
      </c>
      <c r="EWR55" s="5">
        <f>-IFERROR('4. NPV'!EWS24/'4. NPV'!EWS$8,0)</f>
        <v>-0.0</v>
      </c>
      <c r="EWS55" s="5">
        <f>-IFERROR('4. NPV'!EWT24/'4. NPV'!EWT$8,0)</f>
        <v>-0.0</v>
      </c>
      <c r="EWT55" s="5">
        <f>-IFERROR('4. NPV'!EWU24/'4. NPV'!EWU$8,0)</f>
        <v>-0.0</v>
      </c>
      <c r="EWU55" s="5">
        <f>-IFERROR('4. NPV'!EWV24/'4. NPV'!EWV$8,0)</f>
        <v>-0.0</v>
      </c>
      <c r="EWV55" s="5">
        <f>-IFERROR('4. NPV'!EWW24/'4. NPV'!EWW$8,0)</f>
        <v>-0.0</v>
      </c>
      <c r="EWW55" s="5">
        <f>-IFERROR('4. NPV'!EWX24/'4. NPV'!EWX$8,0)</f>
        <v>-0.0</v>
      </c>
      <c r="EWX55" s="5">
        <f>-IFERROR('4. NPV'!EWY24/'4. NPV'!EWY$8,0)</f>
        <v>-0.0</v>
      </c>
      <c r="EWY55" s="5">
        <f>-IFERROR('4. NPV'!EWZ24/'4. NPV'!EWZ$8,0)</f>
        <v>-0.0</v>
      </c>
      <c r="EWZ55" s="5">
        <f>-IFERROR('4. NPV'!EXA24/'4. NPV'!EXA$8,0)</f>
        <v>-0.0</v>
      </c>
      <c r="EXA55" s="5">
        <f>-IFERROR('4. NPV'!EXB24/'4. NPV'!EXB$8,0)</f>
        <v>-0.0</v>
      </c>
      <c r="EXB55" s="5">
        <f>-IFERROR('4. NPV'!EXC24/'4. NPV'!EXC$8,0)</f>
        <v>-0.0</v>
      </c>
      <c r="EXC55" s="5">
        <f>-IFERROR('4. NPV'!EXD24/'4. NPV'!EXD$8,0)</f>
        <v>-0.0</v>
      </c>
      <c r="EXD55" s="5">
        <f>-IFERROR('4. NPV'!EXE24/'4. NPV'!EXE$8,0)</f>
        <v>-0.0</v>
      </c>
      <c r="EXE55" s="5">
        <f>-IFERROR('4. NPV'!EXF24/'4. NPV'!EXF$8,0)</f>
        <v>-0.0</v>
      </c>
      <c r="EXF55" s="5">
        <f>-IFERROR('4. NPV'!EXG24/'4. NPV'!EXG$8,0)</f>
        <v>-0.0</v>
      </c>
      <c r="EXG55" s="5">
        <f>-IFERROR('4. NPV'!EXH24/'4. NPV'!EXH$8,0)</f>
        <v>-0.0</v>
      </c>
      <c r="EXH55" s="5">
        <f>-IFERROR('4. NPV'!EXI24/'4. NPV'!EXI$8,0)</f>
        <v>-0.0</v>
      </c>
      <c r="EXI55" s="5">
        <f>-IFERROR('4. NPV'!EXJ24/'4. NPV'!EXJ$8,0)</f>
        <v>-0.0</v>
      </c>
      <c r="EXJ55" s="5">
        <f>-IFERROR('4. NPV'!EXK24/'4. NPV'!EXK$8,0)</f>
        <v>-0.0</v>
      </c>
      <c r="EXK55" s="5">
        <f>-IFERROR('4. NPV'!EXL24/'4. NPV'!EXL$8,0)</f>
        <v>-0.0</v>
      </c>
      <c r="EXL55" s="5">
        <f>-IFERROR('4. NPV'!EXM24/'4. NPV'!EXM$8,0)</f>
        <v>-0.0</v>
      </c>
      <c r="EXM55" s="5">
        <f>-IFERROR('4. NPV'!EXN24/'4. NPV'!EXN$8,0)</f>
        <v>-0.0</v>
      </c>
      <c r="EXN55" s="5">
        <f>-IFERROR('4. NPV'!EXO24/'4. NPV'!EXO$8,0)</f>
        <v>-0.0</v>
      </c>
      <c r="EXO55" s="5">
        <f>-IFERROR('4. NPV'!EXP24/'4. NPV'!EXP$8,0)</f>
        <v>-0.0</v>
      </c>
      <c r="EXP55" s="5">
        <f>-IFERROR('4. NPV'!EXQ24/'4. NPV'!EXQ$8,0)</f>
        <v>-0.0</v>
      </c>
      <c r="EXQ55" s="5">
        <f>-IFERROR('4. NPV'!EXR24/'4. NPV'!EXR$8,0)</f>
        <v>-0.0</v>
      </c>
      <c r="EXR55" s="5">
        <f>-IFERROR('4. NPV'!EXS24/'4. NPV'!EXS$8,0)</f>
        <v>-0.0</v>
      </c>
      <c r="EXS55" s="5">
        <f>-IFERROR('4. NPV'!EXT24/'4. NPV'!EXT$8,0)</f>
        <v>-0.0</v>
      </c>
      <c r="EXT55" s="5">
        <f>-IFERROR('4. NPV'!EXU24/'4. NPV'!EXU$8,0)</f>
        <v>-0.0</v>
      </c>
      <c r="EXU55" s="5">
        <f>-IFERROR('4. NPV'!EXV24/'4. NPV'!EXV$8,0)</f>
        <v>-0.0</v>
      </c>
      <c r="EXV55" s="5">
        <f>-IFERROR('4. NPV'!EXW24/'4. NPV'!EXW$8,0)</f>
        <v>-0.0</v>
      </c>
      <c r="EXW55" s="5">
        <f>-IFERROR('4. NPV'!EXX24/'4. NPV'!EXX$8,0)</f>
        <v>-0.0</v>
      </c>
      <c r="EXX55" s="5">
        <f>-IFERROR('4. NPV'!EXY24/'4. NPV'!EXY$8,0)</f>
        <v>-0.0</v>
      </c>
      <c r="EXY55" s="5">
        <f>-IFERROR('4. NPV'!EXZ24/'4. NPV'!EXZ$8,0)</f>
        <v>-0.0</v>
      </c>
      <c r="EXZ55" s="5">
        <f>-IFERROR('4. NPV'!EYA24/'4. NPV'!EYA$8,0)</f>
        <v>-0.0</v>
      </c>
      <c r="EYA55" s="5">
        <f>-IFERROR('4. NPV'!EYB24/'4. NPV'!EYB$8,0)</f>
        <v>-0.0</v>
      </c>
      <c r="EYB55" s="5">
        <f>-IFERROR('4. NPV'!EYC24/'4. NPV'!EYC$8,0)</f>
        <v>-0.0</v>
      </c>
      <c r="EYC55" s="5">
        <f>-IFERROR('4. NPV'!EYD24/'4. NPV'!EYD$8,0)</f>
        <v>-0.0</v>
      </c>
      <c r="EYD55" s="5">
        <f>-IFERROR('4. NPV'!EYE24/'4. NPV'!EYE$8,0)</f>
        <v>-0.0</v>
      </c>
      <c r="EYE55" s="5">
        <f>-IFERROR('4. NPV'!EYF24/'4. NPV'!EYF$8,0)</f>
        <v>-0.0</v>
      </c>
      <c r="EYF55" s="5">
        <f>-IFERROR('4. NPV'!EYG24/'4. NPV'!EYG$8,0)</f>
        <v>-0.0</v>
      </c>
      <c r="EYG55" s="5">
        <f>-IFERROR('4. NPV'!EYH24/'4. NPV'!EYH$8,0)</f>
        <v>-0.0</v>
      </c>
      <c r="EYH55" s="5">
        <f>-IFERROR('4. NPV'!EYI24/'4. NPV'!EYI$8,0)</f>
        <v>-0.0</v>
      </c>
      <c r="EYI55" s="5">
        <f>-IFERROR('4. NPV'!EYJ24/'4. NPV'!EYJ$8,0)</f>
        <v>-0.0</v>
      </c>
      <c r="EYJ55" s="5">
        <f>-IFERROR('4. NPV'!EYK24/'4. NPV'!EYK$8,0)</f>
        <v>-0.0</v>
      </c>
      <c r="EYK55" s="5">
        <f>-IFERROR('4. NPV'!EYL24/'4. NPV'!EYL$8,0)</f>
        <v>-0.0</v>
      </c>
      <c r="EYL55" s="5">
        <f>-IFERROR('4. NPV'!EYM24/'4. NPV'!EYM$8,0)</f>
        <v>-0.0</v>
      </c>
      <c r="EYM55" s="5">
        <f>-IFERROR('4. NPV'!EYN24/'4. NPV'!EYN$8,0)</f>
        <v>-0.0</v>
      </c>
      <c r="EYN55" s="5">
        <f>-IFERROR('4. NPV'!EYO24/'4. NPV'!EYO$8,0)</f>
        <v>-0.0</v>
      </c>
      <c r="EYO55" s="5">
        <f>-IFERROR('4. NPV'!EYP24/'4. NPV'!EYP$8,0)</f>
        <v>-0.0</v>
      </c>
      <c r="EYP55" s="5">
        <f>-IFERROR('4. NPV'!EYQ24/'4. NPV'!EYQ$8,0)</f>
        <v>-0.0</v>
      </c>
      <c r="EYQ55" s="5">
        <f>-IFERROR('4. NPV'!EYR24/'4. NPV'!EYR$8,0)</f>
        <v>-0.0</v>
      </c>
      <c r="EYR55" s="5">
        <f>-IFERROR('4. NPV'!EYS24/'4. NPV'!EYS$8,0)</f>
        <v>-0.0</v>
      </c>
      <c r="EYS55" s="5">
        <f>-IFERROR('4. NPV'!EYT24/'4. NPV'!EYT$8,0)</f>
        <v>-0.0</v>
      </c>
      <c r="EYT55" s="5">
        <f>-IFERROR('4. NPV'!EYU24/'4. NPV'!EYU$8,0)</f>
        <v>-0.0</v>
      </c>
      <c r="EYU55" s="5">
        <f>-IFERROR('4. NPV'!EYV24/'4. NPV'!EYV$8,0)</f>
        <v>-0.0</v>
      </c>
      <c r="EYV55" s="5">
        <f>-IFERROR('4. NPV'!EYW24/'4. NPV'!EYW$8,0)</f>
        <v>-0.0</v>
      </c>
      <c r="EYW55" s="5">
        <f>-IFERROR('4. NPV'!EYX24/'4. NPV'!EYX$8,0)</f>
        <v>-0.0</v>
      </c>
      <c r="EYX55" s="5">
        <f>-IFERROR('4. NPV'!EYY24/'4. NPV'!EYY$8,0)</f>
        <v>-0.0</v>
      </c>
      <c r="EYY55" s="5">
        <f>-IFERROR('4. NPV'!EYZ24/'4. NPV'!EYZ$8,0)</f>
        <v>-0.0</v>
      </c>
      <c r="EYZ55" s="5">
        <f>-IFERROR('4. NPV'!EZA24/'4. NPV'!EZA$8,0)</f>
        <v>-0.0</v>
      </c>
      <c r="EZA55" s="5">
        <f>-IFERROR('4. NPV'!EZB24/'4. NPV'!EZB$8,0)</f>
        <v>-0.0</v>
      </c>
      <c r="EZB55" s="5">
        <f>-IFERROR('4. NPV'!EZC24/'4. NPV'!EZC$8,0)</f>
        <v>-0.0</v>
      </c>
      <c r="EZC55" s="5">
        <f>-IFERROR('4. NPV'!EZD24/'4. NPV'!EZD$8,0)</f>
        <v>-0.0</v>
      </c>
      <c r="EZD55" s="5">
        <f>-IFERROR('4. NPV'!EZE24/'4. NPV'!EZE$8,0)</f>
        <v>-0.0</v>
      </c>
      <c r="EZE55" s="5">
        <f>-IFERROR('4. NPV'!EZF24/'4. NPV'!EZF$8,0)</f>
        <v>-0.0</v>
      </c>
      <c r="EZF55" s="5">
        <f>-IFERROR('4. NPV'!EZG24/'4. NPV'!EZG$8,0)</f>
        <v>-0.0</v>
      </c>
      <c r="EZG55" s="5">
        <f>-IFERROR('4. NPV'!EZH24/'4. NPV'!EZH$8,0)</f>
        <v>-0.0</v>
      </c>
      <c r="EZH55" s="5">
        <f>-IFERROR('4. NPV'!EZI24/'4. NPV'!EZI$8,0)</f>
        <v>-0.0</v>
      </c>
      <c r="EZI55" s="5">
        <f>-IFERROR('4. NPV'!EZJ24/'4. NPV'!EZJ$8,0)</f>
        <v>-0.0</v>
      </c>
      <c r="EZJ55" s="5">
        <f>-IFERROR('4. NPV'!EZK24/'4. NPV'!EZK$8,0)</f>
        <v>-0.0</v>
      </c>
      <c r="EZK55" s="5">
        <f>-IFERROR('4. NPV'!EZL24/'4. NPV'!EZL$8,0)</f>
        <v>-0.0</v>
      </c>
      <c r="EZL55" s="5">
        <f>-IFERROR('4. NPV'!EZM24/'4. NPV'!EZM$8,0)</f>
        <v>-0.0</v>
      </c>
      <c r="EZM55" s="5">
        <f>-IFERROR('4. NPV'!EZN24/'4. NPV'!EZN$8,0)</f>
        <v>-0.0</v>
      </c>
      <c r="EZN55" s="5">
        <f>-IFERROR('4. NPV'!EZO24/'4. NPV'!EZO$8,0)</f>
        <v>-0.0</v>
      </c>
      <c r="EZO55" s="5">
        <f>-IFERROR('4. NPV'!EZP24/'4. NPV'!EZP$8,0)</f>
        <v>-0.0</v>
      </c>
      <c r="EZP55" s="5">
        <f>-IFERROR('4. NPV'!EZQ24/'4. NPV'!EZQ$8,0)</f>
        <v>-0.0</v>
      </c>
      <c r="EZQ55" s="5">
        <f>-IFERROR('4. NPV'!EZR24/'4. NPV'!EZR$8,0)</f>
        <v>-0.0</v>
      </c>
      <c r="EZR55" s="5">
        <f>-IFERROR('4. NPV'!EZS24/'4. NPV'!EZS$8,0)</f>
        <v>-0.0</v>
      </c>
      <c r="EZS55" s="5">
        <f>-IFERROR('4. NPV'!EZT24/'4. NPV'!EZT$8,0)</f>
        <v>-0.0</v>
      </c>
      <c r="EZT55" s="5">
        <f>-IFERROR('4. NPV'!EZU24/'4. NPV'!EZU$8,0)</f>
        <v>-0.0</v>
      </c>
      <c r="EZU55" s="5">
        <f>-IFERROR('4. NPV'!EZV24/'4. NPV'!EZV$8,0)</f>
        <v>-0.0</v>
      </c>
      <c r="EZV55" s="5">
        <f>-IFERROR('4. NPV'!EZW24/'4. NPV'!EZW$8,0)</f>
        <v>-0.0</v>
      </c>
      <c r="EZW55" s="5">
        <f>-IFERROR('4. NPV'!EZX24/'4. NPV'!EZX$8,0)</f>
        <v>-0.0</v>
      </c>
      <c r="EZX55" s="5">
        <f>-IFERROR('4. NPV'!EZY24/'4. NPV'!EZY$8,0)</f>
        <v>-0.0</v>
      </c>
      <c r="EZY55" s="5">
        <f>-IFERROR('4. NPV'!EZZ24/'4. NPV'!EZZ$8,0)</f>
        <v>-0.0</v>
      </c>
      <c r="EZZ55" s="5">
        <f>-IFERROR('4. NPV'!FAA24/'4. NPV'!FAA$8,0)</f>
        <v>-0.0</v>
      </c>
      <c r="FAA55" s="5">
        <f>-IFERROR('4. NPV'!FAB24/'4. NPV'!FAB$8,0)</f>
        <v>-0.0</v>
      </c>
      <c r="FAB55" s="5">
        <f>-IFERROR('4. NPV'!FAC24/'4. NPV'!FAC$8,0)</f>
        <v>-0.0</v>
      </c>
      <c r="FAC55" s="5">
        <f>-IFERROR('4. NPV'!FAD24/'4. NPV'!FAD$8,0)</f>
        <v>-0.0</v>
      </c>
      <c r="FAD55" s="5">
        <f>-IFERROR('4. NPV'!FAE24/'4. NPV'!FAE$8,0)</f>
        <v>-0.0</v>
      </c>
      <c r="FAE55" s="5">
        <f>-IFERROR('4. NPV'!FAF24/'4. NPV'!FAF$8,0)</f>
        <v>-0.0</v>
      </c>
      <c r="FAF55" s="5">
        <f>-IFERROR('4. NPV'!FAG24/'4. NPV'!FAG$8,0)</f>
        <v>-0.0</v>
      </c>
      <c r="FAG55" s="5">
        <f>-IFERROR('4. NPV'!FAH24/'4. NPV'!FAH$8,0)</f>
        <v>-0.0</v>
      </c>
      <c r="FAH55" s="5">
        <f>-IFERROR('4. NPV'!FAI24/'4. NPV'!FAI$8,0)</f>
        <v>-0.0</v>
      </c>
      <c r="FAI55" s="5">
        <f>-IFERROR('4. NPV'!FAJ24/'4. NPV'!FAJ$8,0)</f>
        <v>-0.0</v>
      </c>
      <c r="FAJ55" s="5">
        <f>-IFERROR('4. NPV'!FAK24/'4. NPV'!FAK$8,0)</f>
        <v>-0.0</v>
      </c>
      <c r="FAK55" s="5">
        <f>-IFERROR('4. NPV'!FAL24/'4. NPV'!FAL$8,0)</f>
        <v>-0.0</v>
      </c>
      <c r="FAL55" s="5">
        <f>-IFERROR('4. NPV'!FAM24/'4. NPV'!FAM$8,0)</f>
        <v>-0.0</v>
      </c>
      <c r="FAM55" s="5">
        <f>-IFERROR('4. NPV'!FAN24/'4. NPV'!FAN$8,0)</f>
        <v>-0.0</v>
      </c>
      <c r="FAN55" s="5">
        <f>-IFERROR('4. NPV'!FAO24/'4. NPV'!FAO$8,0)</f>
        <v>-0.0</v>
      </c>
      <c r="FAO55" s="5">
        <f>-IFERROR('4. NPV'!FAP24/'4. NPV'!FAP$8,0)</f>
        <v>-0.0</v>
      </c>
      <c r="FAP55" s="5">
        <f>-IFERROR('4. NPV'!FAQ24/'4. NPV'!FAQ$8,0)</f>
        <v>-0.0</v>
      </c>
      <c r="FAQ55" s="5">
        <f>-IFERROR('4. NPV'!FAR24/'4. NPV'!FAR$8,0)</f>
        <v>-0.0</v>
      </c>
      <c r="FAR55" s="5">
        <f>-IFERROR('4. NPV'!FAS24/'4. NPV'!FAS$8,0)</f>
        <v>-0.0</v>
      </c>
      <c r="FAS55" s="5">
        <f>-IFERROR('4. NPV'!FAT24/'4. NPV'!FAT$8,0)</f>
        <v>-0.0</v>
      </c>
      <c r="FAT55" s="5">
        <f>-IFERROR('4. NPV'!FAU24/'4. NPV'!FAU$8,0)</f>
        <v>-0.0</v>
      </c>
      <c r="FAU55" s="5">
        <f>-IFERROR('4. NPV'!FAV24/'4. NPV'!FAV$8,0)</f>
        <v>-0.0</v>
      </c>
      <c r="FAV55" s="5">
        <f>-IFERROR('4. NPV'!FAW24/'4. NPV'!FAW$8,0)</f>
        <v>-0.0</v>
      </c>
      <c r="FAW55" s="5">
        <f>-IFERROR('4. NPV'!FAX24/'4. NPV'!FAX$8,0)</f>
        <v>-0.0</v>
      </c>
      <c r="FAX55" s="5">
        <f>-IFERROR('4. NPV'!FAY24/'4. NPV'!FAY$8,0)</f>
        <v>-0.0</v>
      </c>
      <c r="FAY55" s="5">
        <f>-IFERROR('4. NPV'!FAZ24/'4. NPV'!FAZ$8,0)</f>
        <v>-0.0</v>
      </c>
      <c r="FAZ55" s="5">
        <f>-IFERROR('4. NPV'!FBA24/'4. NPV'!FBA$8,0)</f>
        <v>-0.0</v>
      </c>
      <c r="FBA55" s="5">
        <f>-IFERROR('4. NPV'!FBB24/'4. NPV'!FBB$8,0)</f>
        <v>-0.0</v>
      </c>
      <c r="FBB55" s="5">
        <f>-IFERROR('4. NPV'!FBC24/'4. NPV'!FBC$8,0)</f>
        <v>-0.0</v>
      </c>
      <c r="FBC55" s="5">
        <f>-IFERROR('4. NPV'!FBD24/'4. NPV'!FBD$8,0)</f>
        <v>-0.0</v>
      </c>
      <c r="FBD55" s="5">
        <f>-IFERROR('4. NPV'!FBE24/'4. NPV'!FBE$8,0)</f>
        <v>-0.0</v>
      </c>
      <c r="FBE55" s="5">
        <f>-IFERROR('4. NPV'!FBF24/'4. NPV'!FBF$8,0)</f>
        <v>-0.0</v>
      </c>
      <c r="FBF55" s="5">
        <f>-IFERROR('4. NPV'!FBG24/'4. NPV'!FBG$8,0)</f>
        <v>-0.0</v>
      </c>
      <c r="FBG55" s="5">
        <f>-IFERROR('4. NPV'!FBH24/'4. NPV'!FBH$8,0)</f>
        <v>-0.0</v>
      </c>
      <c r="FBH55" s="5">
        <f>-IFERROR('4. NPV'!FBI24/'4. NPV'!FBI$8,0)</f>
        <v>-0.0</v>
      </c>
      <c r="FBI55" s="5">
        <f>-IFERROR('4. NPV'!FBJ24/'4. NPV'!FBJ$8,0)</f>
        <v>-0.0</v>
      </c>
      <c r="FBJ55" s="5">
        <f>-IFERROR('4. NPV'!FBK24/'4. NPV'!FBK$8,0)</f>
        <v>-0.0</v>
      </c>
      <c r="FBK55" s="5">
        <f>-IFERROR('4. NPV'!FBL24/'4. NPV'!FBL$8,0)</f>
        <v>-0.0</v>
      </c>
      <c r="FBL55" s="5">
        <f>-IFERROR('4. NPV'!FBM24/'4. NPV'!FBM$8,0)</f>
        <v>-0.0</v>
      </c>
      <c r="FBM55" s="5">
        <f>-IFERROR('4. NPV'!FBN24/'4. NPV'!FBN$8,0)</f>
        <v>-0.0</v>
      </c>
      <c r="FBN55" s="5">
        <f>-IFERROR('4. NPV'!FBO24/'4. NPV'!FBO$8,0)</f>
        <v>-0.0</v>
      </c>
      <c r="FBO55" s="5">
        <f>-IFERROR('4. NPV'!FBP24/'4. NPV'!FBP$8,0)</f>
        <v>-0.0</v>
      </c>
      <c r="FBP55" s="5">
        <f>-IFERROR('4. NPV'!FBQ24/'4. NPV'!FBQ$8,0)</f>
        <v>-0.0</v>
      </c>
      <c r="FBQ55" s="5">
        <f>-IFERROR('4. NPV'!FBR24/'4. NPV'!FBR$8,0)</f>
        <v>-0.0</v>
      </c>
      <c r="FBR55" s="5">
        <f>-IFERROR('4. NPV'!FBS24/'4. NPV'!FBS$8,0)</f>
        <v>-0.0</v>
      </c>
      <c r="FBS55" s="5">
        <f>-IFERROR('4. NPV'!FBT24/'4. NPV'!FBT$8,0)</f>
        <v>-0.0</v>
      </c>
      <c r="FBT55" s="5">
        <f>-IFERROR('4. NPV'!FBU24/'4. NPV'!FBU$8,0)</f>
        <v>-0.0</v>
      </c>
      <c r="FBU55" s="5">
        <f>-IFERROR('4. NPV'!FBV24/'4. NPV'!FBV$8,0)</f>
        <v>-0.0</v>
      </c>
      <c r="FBV55" s="5">
        <f>-IFERROR('4. NPV'!FBW24/'4. NPV'!FBW$8,0)</f>
        <v>-0.0</v>
      </c>
      <c r="FBW55" s="5">
        <f>-IFERROR('4. NPV'!FBX24/'4. NPV'!FBX$8,0)</f>
        <v>-0.0</v>
      </c>
      <c r="FBX55" s="5">
        <f>-IFERROR('4. NPV'!FBY24/'4. NPV'!FBY$8,0)</f>
        <v>-0.0</v>
      </c>
      <c r="FBY55" s="5">
        <f>-IFERROR('4. NPV'!FBZ24/'4. NPV'!FBZ$8,0)</f>
        <v>-0.0</v>
      </c>
      <c r="FBZ55" s="5">
        <f>-IFERROR('4. NPV'!FCA24/'4. NPV'!FCA$8,0)</f>
        <v>-0.0</v>
      </c>
      <c r="FCA55" s="5">
        <f>-IFERROR('4. NPV'!FCB24/'4. NPV'!FCB$8,0)</f>
        <v>-0.0</v>
      </c>
      <c r="FCB55" s="5">
        <f>-IFERROR('4. NPV'!FCC24/'4. NPV'!FCC$8,0)</f>
        <v>-0.0</v>
      </c>
      <c r="FCC55" s="5">
        <f>-IFERROR('4. NPV'!FCD24/'4. NPV'!FCD$8,0)</f>
        <v>-0.0</v>
      </c>
      <c r="FCD55" s="5">
        <f>-IFERROR('4. NPV'!FCE24/'4. NPV'!FCE$8,0)</f>
        <v>-0.0</v>
      </c>
      <c r="FCE55" s="5">
        <f>-IFERROR('4. NPV'!FCF24/'4. NPV'!FCF$8,0)</f>
        <v>-0.0</v>
      </c>
      <c r="FCF55" s="5">
        <f>-IFERROR('4. NPV'!FCG24/'4. NPV'!FCG$8,0)</f>
        <v>-0.0</v>
      </c>
      <c r="FCG55" s="5">
        <f>-IFERROR('4. NPV'!FCH24/'4. NPV'!FCH$8,0)</f>
        <v>-0.0</v>
      </c>
      <c r="FCH55" s="5">
        <f>-IFERROR('4. NPV'!FCI24/'4. NPV'!FCI$8,0)</f>
        <v>-0.0</v>
      </c>
      <c r="FCI55" s="5">
        <f>-IFERROR('4. NPV'!FCJ24/'4. NPV'!FCJ$8,0)</f>
        <v>-0.0</v>
      </c>
      <c r="FCJ55" s="5">
        <f>-IFERROR('4. NPV'!FCK24/'4. NPV'!FCK$8,0)</f>
        <v>-0.0</v>
      </c>
      <c r="FCK55" s="5">
        <f>-IFERROR('4. NPV'!FCL24/'4. NPV'!FCL$8,0)</f>
        <v>-0.0</v>
      </c>
      <c r="FCL55" s="5">
        <f>-IFERROR('4. NPV'!FCM24/'4. NPV'!FCM$8,0)</f>
        <v>-0.0</v>
      </c>
      <c r="FCM55" s="5">
        <f>-IFERROR('4. NPV'!FCN24/'4. NPV'!FCN$8,0)</f>
        <v>-0.0</v>
      </c>
      <c r="FCN55" s="5">
        <f>-IFERROR('4. NPV'!FCO24/'4. NPV'!FCO$8,0)</f>
        <v>-0.0</v>
      </c>
      <c r="FCO55" s="5">
        <f>-IFERROR('4. NPV'!FCP24/'4. NPV'!FCP$8,0)</f>
        <v>-0.0</v>
      </c>
      <c r="FCP55" s="5">
        <f>-IFERROR('4. NPV'!FCQ24/'4. NPV'!FCQ$8,0)</f>
        <v>-0.0</v>
      </c>
      <c r="FCQ55" s="5">
        <f>-IFERROR('4. NPV'!FCR24/'4. NPV'!FCR$8,0)</f>
        <v>-0.0</v>
      </c>
      <c r="FCR55" s="5">
        <f>-IFERROR('4. NPV'!FCS24/'4. NPV'!FCS$8,0)</f>
        <v>-0.0</v>
      </c>
      <c r="FCS55" s="5">
        <f>-IFERROR('4. NPV'!FCT24/'4. NPV'!FCT$8,0)</f>
        <v>-0.0</v>
      </c>
      <c r="FCT55" s="5">
        <f>-IFERROR('4. NPV'!FCU24/'4. NPV'!FCU$8,0)</f>
        <v>-0.0</v>
      </c>
      <c r="FCU55" s="5">
        <f>-IFERROR('4. NPV'!FCV24/'4. NPV'!FCV$8,0)</f>
        <v>-0.0</v>
      </c>
      <c r="FCV55" s="5">
        <f>-IFERROR('4. NPV'!FCW24/'4. NPV'!FCW$8,0)</f>
        <v>-0.0</v>
      </c>
      <c r="FCW55" s="5">
        <f>-IFERROR('4. NPV'!FCX24/'4. NPV'!FCX$8,0)</f>
        <v>-0.0</v>
      </c>
      <c r="FCX55" s="5">
        <f>-IFERROR('4. NPV'!FCY24/'4. NPV'!FCY$8,0)</f>
        <v>-0.0</v>
      </c>
      <c r="FCY55" s="5">
        <f>-IFERROR('4. NPV'!FCZ24/'4. NPV'!FCZ$8,0)</f>
        <v>-0.0</v>
      </c>
      <c r="FCZ55" s="5">
        <f>-IFERROR('4. NPV'!FDA24/'4. NPV'!FDA$8,0)</f>
        <v>-0.0</v>
      </c>
      <c r="FDA55" s="5">
        <f>-IFERROR('4. NPV'!FDB24/'4. NPV'!FDB$8,0)</f>
        <v>-0.0</v>
      </c>
      <c r="FDB55" s="5">
        <f>-IFERROR('4. NPV'!FDC24/'4. NPV'!FDC$8,0)</f>
        <v>-0.0</v>
      </c>
      <c r="FDC55" s="5">
        <f>-IFERROR('4. NPV'!FDD24/'4. NPV'!FDD$8,0)</f>
        <v>-0.0</v>
      </c>
      <c r="FDD55" s="5">
        <f>-IFERROR('4. NPV'!FDE24/'4. NPV'!FDE$8,0)</f>
        <v>-0.0</v>
      </c>
      <c r="FDE55" s="5">
        <f>-IFERROR('4. NPV'!FDF24/'4. NPV'!FDF$8,0)</f>
        <v>-0.0</v>
      </c>
      <c r="FDF55" s="5">
        <f>-IFERROR('4. NPV'!FDG24/'4. NPV'!FDG$8,0)</f>
        <v>-0.0</v>
      </c>
      <c r="FDG55" s="5">
        <f>-IFERROR('4. NPV'!FDH24/'4. NPV'!FDH$8,0)</f>
        <v>-0.0</v>
      </c>
      <c r="FDH55" s="5">
        <f>-IFERROR('4. NPV'!FDI24/'4. NPV'!FDI$8,0)</f>
        <v>-0.0</v>
      </c>
      <c r="FDI55" s="5">
        <f>-IFERROR('4. NPV'!FDJ24/'4. NPV'!FDJ$8,0)</f>
        <v>-0.0</v>
      </c>
      <c r="FDJ55" s="5">
        <f>-IFERROR('4. NPV'!FDK24/'4. NPV'!FDK$8,0)</f>
        <v>-0.0</v>
      </c>
      <c r="FDK55" s="5">
        <f>-IFERROR('4. NPV'!FDL24/'4. NPV'!FDL$8,0)</f>
        <v>-0.0</v>
      </c>
      <c r="FDL55" s="5">
        <f>-IFERROR('4. NPV'!FDM24/'4. NPV'!FDM$8,0)</f>
        <v>-0.0</v>
      </c>
      <c r="FDM55" s="5">
        <f>-IFERROR('4. NPV'!FDN24/'4. NPV'!FDN$8,0)</f>
        <v>-0.0</v>
      </c>
      <c r="FDN55" s="5">
        <f>-IFERROR('4. NPV'!FDO24/'4. NPV'!FDO$8,0)</f>
        <v>-0.0</v>
      </c>
      <c r="FDO55" s="5">
        <f>-IFERROR('4. NPV'!FDP24/'4. NPV'!FDP$8,0)</f>
        <v>-0.0</v>
      </c>
      <c r="FDP55" s="5">
        <f>-IFERROR('4. NPV'!FDQ24/'4. NPV'!FDQ$8,0)</f>
        <v>-0.0</v>
      </c>
      <c r="FDQ55" s="5">
        <f>-IFERROR('4. NPV'!FDR24/'4. NPV'!FDR$8,0)</f>
        <v>-0.0</v>
      </c>
      <c r="FDR55" s="5">
        <f>-IFERROR('4. NPV'!FDS24/'4. NPV'!FDS$8,0)</f>
        <v>-0.0</v>
      </c>
      <c r="FDS55" s="5">
        <f>-IFERROR('4. NPV'!FDT24/'4. NPV'!FDT$8,0)</f>
        <v>-0.0</v>
      </c>
      <c r="FDT55" s="5">
        <f>-IFERROR('4. NPV'!FDU24/'4. NPV'!FDU$8,0)</f>
        <v>-0.0</v>
      </c>
      <c r="FDU55" s="5">
        <f>-IFERROR('4. NPV'!FDV24/'4. NPV'!FDV$8,0)</f>
        <v>-0.0</v>
      </c>
      <c r="FDV55" s="5">
        <f>-IFERROR('4. NPV'!FDW24/'4. NPV'!FDW$8,0)</f>
        <v>-0.0</v>
      </c>
      <c r="FDW55" s="5">
        <f>-IFERROR('4. NPV'!FDX24/'4. NPV'!FDX$8,0)</f>
        <v>-0.0</v>
      </c>
      <c r="FDX55" s="5">
        <f>-IFERROR('4. NPV'!FDY24/'4. NPV'!FDY$8,0)</f>
        <v>-0.0</v>
      </c>
      <c r="FDY55" s="5">
        <f>-IFERROR('4. NPV'!FDZ24/'4. NPV'!FDZ$8,0)</f>
        <v>-0.0</v>
      </c>
      <c r="FDZ55" s="5">
        <f>-IFERROR('4. NPV'!FEA24/'4. NPV'!FEA$8,0)</f>
        <v>-0.0</v>
      </c>
      <c r="FEA55" s="5">
        <f>-IFERROR('4. NPV'!FEB24/'4. NPV'!FEB$8,0)</f>
        <v>-0.0</v>
      </c>
      <c r="FEB55" s="5">
        <f>-IFERROR('4. NPV'!FEC24/'4. NPV'!FEC$8,0)</f>
        <v>-0.0</v>
      </c>
      <c r="FEC55" s="5">
        <f>-IFERROR('4. NPV'!FED24/'4. NPV'!FED$8,0)</f>
        <v>-0.0</v>
      </c>
      <c r="FED55" s="5">
        <f>-IFERROR('4. NPV'!FEE24/'4. NPV'!FEE$8,0)</f>
        <v>-0.0</v>
      </c>
      <c r="FEE55" s="5">
        <f>-IFERROR('4. NPV'!FEF24/'4. NPV'!FEF$8,0)</f>
        <v>-0.0</v>
      </c>
      <c r="FEF55" s="5">
        <f>-IFERROR('4. NPV'!FEG24/'4. NPV'!FEG$8,0)</f>
        <v>-0.0</v>
      </c>
      <c r="FEG55" s="5">
        <f>-IFERROR('4. NPV'!FEH24/'4. NPV'!FEH$8,0)</f>
        <v>-0.0</v>
      </c>
      <c r="FEH55" s="5">
        <f>-IFERROR('4. NPV'!FEI24/'4. NPV'!FEI$8,0)</f>
        <v>-0.0</v>
      </c>
      <c r="FEI55" s="5">
        <f>-IFERROR('4. NPV'!FEJ24/'4. NPV'!FEJ$8,0)</f>
        <v>-0.0</v>
      </c>
      <c r="FEJ55" s="5">
        <f>-IFERROR('4. NPV'!FEK24/'4. NPV'!FEK$8,0)</f>
        <v>-0.0</v>
      </c>
      <c r="FEK55" s="5">
        <f>-IFERROR('4. NPV'!FEL24/'4. NPV'!FEL$8,0)</f>
        <v>-0.0</v>
      </c>
      <c r="FEL55" s="5">
        <f>-IFERROR('4. NPV'!FEM24/'4. NPV'!FEM$8,0)</f>
        <v>-0.0</v>
      </c>
      <c r="FEM55" s="5">
        <f>-IFERROR('4. NPV'!FEN24/'4. NPV'!FEN$8,0)</f>
        <v>-0.0</v>
      </c>
      <c r="FEN55" s="5">
        <f>-IFERROR('4. NPV'!FEO24/'4. NPV'!FEO$8,0)</f>
        <v>-0.0</v>
      </c>
      <c r="FEO55" s="5">
        <f>-IFERROR('4. NPV'!FEP24/'4. NPV'!FEP$8,0)</f>
        <v>-0.0</v>
      </c>
      <c r="FEP55" s="5">
        <f>-IFERROR('4. NPV'!FEQ24/'4. NPV'!FEQ$8,0)</f>
        <v>-0.0</v>
      </c>
      <c r="FEQ55" s="5">
        <f>-IFERROR('4. NPV'!FER24/'4. NPV'!FER$8,0)</f>
        <v>-0.0</v>
      </c>
      <c r="FER55" s="5">
        <f>-IFERROR('4. NPV'!FES24/'4. NPV'!FES$8,0)</f>
        <v>-0.0</v>
      </c>
      <c r="FES55" s="5">
        <f>-IFERROR('4. NPV'!FET24/'4. NPV'!FET$8,0)</f>
        <v>-0.0</v>
      </c>
      <c r="FET55" s="5">
        <f>-IFERROR('4. NPV'!FEU24/'4. NPV'!FEU$8,0)</f>
        <v>-0.0</v>
      </c>
      <c r="FEU55" s="5">
        <f>-IFERROR('4. NPV'!FEV24/'4. NPV'!FEV$8,0)</f>
        <v>-0.0</v>
      </c>
      <c r="FEV55" s="5">
        <f>-IFERROR('4. NPV'!FEW24/'4. NPV'!FEW$8,0)</f>
        <v>-0.0</v>
      </c>
      <c r="FEW55" s="5">
        <f>-IFERROR('4. NPV'!FEX24/'4. NPV'!FEX$8,0)</f>
        <v>-0.0</v>
      </c>
      <c r="FEX55" s="5">
        <f>-IFERROR('4. NPV'!FEY24/'4. NPV'!FEY$8,0)</f>
        <v>-0.0</v>
      </c>
      <c r="FEY55" s="5">
        <f>-IFERROR('4. NPV'!FEZ24/'4. NPV'!FEZ$8,0)</f>
        <v>-0.0</v>
      </c>
      <c r="FEZ55" s="5">
        <f>-IFERROR('4. NPV'!FFA24/'4. NPV'!FFA$8,0)</f>
        <v>-0.0</v>
      </c>
      <c r="FFA55" s="5">
        <f>-IFERROR('4. NPV'!FFB24/'4. NPV'!FFB$8,0)</f>
        <v>-0.0</v>
      </c>
      <c r="FFB55" s="5">
        <f>-IFERROR('4. NPV'!FFC24/'4. NPV'!FFC$8,0)</f>
        <v>-0.0</v>
      </c>
      <c r="FFC55" s="5">
        <f>-IFERROR('4. NPV'!FFD24/'4. NPV'!FFD$8,0)</f>
        <v>-0.0</v>
      </c>
      <c r="FFD55" s="5">
        <f>-IFERROR('4. NPV'!FFE24/'4. NPV'!FFE$8,0)</f>
        <v>-0.0</v>
      </c>
      <c r="FFE55" s="5">
        <f>-IFERROR('4. NPV'!FFF24/'4. NPV'!FFF$8,0)</f>
        <v>-0.0</v>
      </c>
      <c r="FFF55" s="5">
        <f>-IFERROR('4. NPV'!FFG24/'4. NPV'!FFG$8,0)</f>
        <v>-0.0</v>
      </c>
      <c r="FFG55" s="5">
        <f>-IFERROR('4. NPV'!FFH24/'4. NPV'!FFH$8,0)</f>
        <v>-0.0</v>
      </c>
      <c r="FFH55" s="5">
        <f>-IFERROR('4. NPV'!FFI24/'4. NPV'!FFI$8,0)</f>
        <v>-0.0</v>
      </c>
      <c r="FFI55" s="5">
        <f>-IFERROR('4. NPV'!FFJ24/'4. NPV'!FFJ$8,0)</f>
        <v>-0.0</v>
      </c>
      <c r="FFJ55" s="5">
        <f>-IFERROR('4. NPV'!FFK24/'4. NPV'!FFK$8,0)</f>
        <v>-0.0</v>
      </c>
      <c r="FFK55" s="5">
        <f>-IFERROR('4. NPV'!FFL24/'4. NPV'!FFL$8,0)</f>
        <v>-0.0</v>
      </c>
      <c r="FFL55" s="5">
        <f>-IFERROR('4. NPV'!FFM24/'4. NPV'!FFM$8,0)</f>
        <v>-0.0</v>
      </c>
      <c r="FFM55" s="5">
        <f>-IFERROR('4. NPV'!FFN24/'4. NPV'!FFN$8,0)</f>
        <v>-0.0</v>
      </c>
      <c r="FFN55" s="5">
        <f>-IFERROR('4. NPV'!FFO24/'4. NPV'!FFO$8,0)</f>
        <v>-0.0</v>
      </c>
      <c r="FFO55" s="5">
        <f>-IFERROR('4. NPV'!FFP24/'4. NPV'!FFP$8,0)</f>
        <v>-0.0</v>
      </c>
      <c r="FFP55" s="5">
        <f>-IFERROR('4. NPV'!FFQ24/'4. NPV'!FFQ$8,0)</f>
        <v>-0.0</v>
      </c>
      <c r="FFQ55" s="5">
        <f>-IFERROR('4. NPV'!FFR24/'4. NPV'!FFR$8,0)</f>
        <v>-0.0</v>
      </c>
      <c r="FFR55" s="5">
        <f>-IFERROR('4. NPV'!FFS24/'4. NPV'!FFS$8,0)</f>
        <v>-0.0</v>
      </c>
      <c r="FFS55" s="5">
        <f>-IFERROR('4. NPV'!FFT24/'4. NPV'!FFT$8,0)</f>
        <v>-0.0</v>
      </c>
      <c r="FFT55" s="5">
        <f>-IFERROR('4. NPV'!FFU24/'4. NPV'!FFU$8,0)</f>
        <v>-0.0</v>
      </c>
      <c r="FFU55" s="5">
        <f>-IFERROR('4. NPV'!FFV24/'4. NPV'!FFV$8,0)</f>
        <v>-0.0</v>
      </c>
      <c r="FFV55" s="5">
        <f>-IFERROR('4. NPV'!FFW24/'4. NPV'!FFW$8,0)</f>
        <v>-0.0</v>
      </c>
      <c r="FFW55" s="5">
        <f>-IFERROR('4. NPV'!FFX24/'4. NPV'!FFX$8,0)</f>
        <v>-0.0</v>
      </c>
      <c r="FFX55" s="5">
        <f>-IFERROR('4. NPV'!FFY24/'4. NPV'!FFY$8,0)</f>
        <v>-0.0</v>
      </c>
      <c r="FFY55" s="5">
        <f>-IFERROR('4. NPV'!FFZ24/'4. NPV'!FFZ$8,0)</f>
        <v>-0.0</v>
      </c>
      <c r="FFZ55" s="5">
        <f>-IFERROR('4. NPV'!FGA24/'4. NPV'!FGA$8,0)</f>
        <v>-0.0</v>
      </c>
      <c r="FGA55" s="5">
        <f>-IFERROR('4. NPV'!FGB24/'4. NPV'!FGB$8,0)</f>
        <v>-0.0</v>
      </c>
      <c r="FGB55" s="5">
        <f>-IFERROR('4. NPV'!FGC24/'4. NPV'!FGC$8,0)</f>
        <v>-0.0</v>
      </c>
      <c r="FGC55" s="5">
        <f>-IFERROR('4. NPV'!FGD24/'4. NPV'!FGD$8,0)</f>
        <v>-0.0</v>
      </c>
      <c r="FGD55" s="5">
        <f>-IFERROR('4. NPV'!FGE24/'4. NPV'!FGE$8,0)</f>
        <v>-0.0</v>
      </c>
      <c r="FGE55" s="5">
        <f>-IFERROR('4. NPV'!FGF24/'4. NPV'!FGF$8,0)</f>
        <v>-0.0</v>
      </c>
      <c r="FGF55" s="5">
        <f>-IFERROR('4. NPV'!FGG24/'4. NPV'!FGG$8,0)</f>
        <v>-0.0</v>
      </c>
      <c r="FGG55" s="5">
        <f>-IFERROR('4. NPV'!FGH24/'4. NPV'!FGH$8,0)</f>
        <v>-0.0</v>
      </c>
      <c r="FGH55" s="5">
        <f>-IFERROR('4. NPV'!FGI24/'4. NPV'!FGI$8,0)</f>
        <v>-0.0</v>
      </c>
      <c r="FGI55" s="5">
        <f>-IFERROR('4. NPV'!FGJ24/'4. NPV'!FGJ$8,0)</f>
        <v>-0.0</v>
      </c>
      <c r="FGJ55" s="5">
        <f>-IFERROR('4. NPV'!FGK24/'4. NPV'!FGK$8,0)</f>
        <v>-0.0</v>
      </c>
      <c r="FGK55" s="5">
        <f>-IFERROR('4. NPV'!FGL24/'4. NPV'!FGL$8,0)</f>
        <v>-0.0</v>
      </c>
      <c r="FGL55" s="5">
        <f>-IFERROR('4. NPV'!FGM24/'4. NPV'!FGM$8,0)</f>
        <v>-0.0</v>
      </c>
      <c r="FGM55" s="5">
        <f>-IFERROR('4. NPV'!FGN24/'4. NPV'!FGN$8,0)</f>
        <v>-0.0</v>
      </c>
      <c r="FGN55" s="5">
        <f>-IFERROR('4. NPV'!FGO24/'4. NPV'!FGO$8,0)</f>
        <v>-0.0</v>
      </c>
      <c r="FGO55" s="5">
        <f>-IFERROR('4. NPV'!FGP24/'4. NPV'!FGP$8,0)</f>
        <v>-0.0</v>
      </c>
      <c r="FGP55" s="5">
        <f>-IFERROR('4. NPV'!FGQ24/'4. NPV'!FGQ$8,0)</f>
        <v>-0.0</v>
      </c>
      <c r="FGQ55" s="5">
        <f>-IFERROR('4. NPV'!FGR24/'4. NPV'!FGR$8,0)</f>
        <v>-0.0</v>
      </c>
      <c r="FGR55" s="5">
        <f>-IFERROR('4. NPV'!FGS24/'4. NPV'!FGS$8,0)</f>
        <v>-0.0</v>
      </c>
      <c r="FGS55" s="5">
        <f>-IFERROR('4. NPV'!FGT24/'4. NPV'!FGT$8,0)</f>
        <v>-0.0</v>
      </c>
      <c r="FGT55" s="5">
        <f>-IFERROR('4. NPV'!FGU24/'4. NPV'!FGU$8,0)</f>
        <v>-0.0</v>
      </c>
      <c r="FGU55" s="5">
        <f>-IFERROR('4. NPV'!FGV24/'4. NPV'!FGV$8,0)</f>
        <v>-0.0</v>
      </c>
      <c r="FGV55" s="5">
        <f>-IFERROR('4. NPV'!FGW24/'4. NPV'!FGW$8,0)</f>
        <v>-0.0</v>
      </c>
      <c r="FGW55" s="5">
        <f>-IFERROR('4. NPV'!FGX24/'4. NPV'!FGX$8,0)</f>
        <v>-0.0</v>
      </c>
      <c r="FGX55" s="5">
        <f>-IFERROR('4. NPV'!FGY24/'4. NPV'!FGY$8,0)</f>
        <v>-0.0</v>
      </c>
      <c r="FGY55" s="5">
        <f>-IFERROR('4. NPV'!FGZ24/'4. NPV'!FGZ$8,0)</f>
        <v>-0.0</v>
      </c>
      <c r="FGZ55" s="5">
        <f>-IFERROR('4. NPV'!FHA24/'4. NPV'!FHA$8,0)</f>
        <v>-0.0</v>
      </c>
      <c r="FHA55" s="5">
        <f>-IFERROR('4. NPV'!FHB24/'4. NPV'!FHB$8,0)</f>
        <v>-0.0</v>
      </c>
      <c r="FHB55" s="5">
        <f>-IFERROR('4. NPV'!FHC24/'4. NPV'!FHC$8,0)</f>
        <v>-0.0</v>
      </c>
      <c r="FHC55" s="5">
        <f>-IFERROR('4. NPV'!FHD24/'4. NPV'!FHD$8,0)</f>
        <v>-0.0</v>
      </c>
      <c r="FHD55" s="5">
        <f>-IFERROR('4. NPV'!FHE24/'4. NPV'!FHE$8,0)</f>
        <v>-0.0</v>
      </c>
      <c r="FHE55" s="5">
        <f>-IFERROR('4. NPV'!FHF24/'4. NPV'!FHF$8,0)</f>
        <v>-0.0</v>
      </c>
      <c r="FHF55" s="5">
        <f>-IFERROR('4. NPV'!FHG24/'4. NPV'!FHG$8,0)</f>
        <v>-0.0</v>
      </c>
      <c r="FHG55" s="5">
        <f>-IFERROR('4. NPV'!FHH24/'4. NPV'!FHH$8,0)</f>
        <v>-0.0</v>
      </c>
      <c r="FHH55" s="5">
        <f>-IFERROR('4. NPV'!FHI24/'4. NPV'!FHI$8,0)</f>
        <v>-0.0</v>
      </c>
      <c r="FHI55" s="5">
        <f>-IFERROR('4. NPV'!FHJ24/'4. NPV'!FHJ$8,0)</f>
        <v>-0.0</v>
      </c>
      <c r="FHJ55" s="5">
        <f>-IFERROR('4. NPV'!FHK24/'4. NPV'!FHK$8,0)</f>
        <v>-0.0</v>
      </c>
      <c r="FHK55" s="5">
        <f>-IFERROR('4. NPV'!FHL24/'4. NPV'!FHL$8,0)</f>
        <v>-0.0</v>
      </c>
      <c r="FHL55" s="5">
        <f>-IFERROR('4. NPV'!FHM24/'4. NPV'!FHM$8,0)</f>
        <v>-0.0</v>
      </c>
      <c r="FHM55" s="5">
        <f>-IFERROR('4. NPV'!FHN24/'4. NPV'!FHN$8,0)</f>
        <v>-0.0</v>
      </c>
      <c r="FHN55" s="5">
        <f>-IFERROR('4. NPV'!FHO24/'4. NPV'!FHO$8,0)</f>
        <v>-0.0</v>
      </c>
      <c r="FHO55" s="5">
        <f>-IFERROR('4. NPV'!FHP24/'4. NPV'!FHP$8,0)</f>
        <v>-0.0</v>
      </c>
      <c r="FHP55" s="5">
        <f>-IFERROR('4. NPV'!FHQ24/'4. NPV'!FHQ$8,0)</f>
        <v>-0.0</v>
      </c>
      <c r="FHQ55" s="5">
        <f>-IFERROR('4. NPV'!FHR24/'4. NPV'!FHR$8,0)</f>
        <v>-0.0</v>
      </c>
      <c r="FHR55" s="5">
        <f>-IFERROR('4. NPV'!FHS24/'4. NPV'!FHS$8,0)</f>
        <v>-0.0</v>
      </c>
      <c r="FHS55" s="5">
        <f>-IFERROR('4. NPV'!FHT24/'4. NPV'!FHT$8,0)</f>
        <v>-0.0</v>
      </c>
      <c r="FHT55" s="5">
        <f>-IFERROR('4. NPV'!FHU24/'4. NPV'!FHU$8,0)</f>
        <v>-0.0</v>
      </c>
      <c r="FHU55" s="5">
        <f>-IFERROR('4. NPV'!FHV24/'4. NPV'!FHV$8,0)</f>
        <v>-0.0</v>
      </c>
      <c r="FHV55" s="5">
        <f>-IFERROR('4. NPV'!FHW24/'4. NPV'!FHW$8,0)</f>
        <v>-0.0</v>
      </c>
      <c r="FHW55" s="5">
        <f>-IFERROR('4. NPV'!FHX24/'4. NPV'!FHX$8,0)</f>
        <v>-0.0</v>
      </c>
      <c r="FHX55" s="5">
        <f>-IFERROR('4. NPV'!FHY24/'4. NPV'!FHY$8,0)</f>
        <v>-0.0</v>
      </c>
      <c r="FHY55" s="5">
        <f>-IFERROR('4. NPV'!FHZ24/'4. NPV'!FHZ$8,0)</f>
        <v>-0.0</v>
      </c>
      <c r="FHZ55" s="5">
        <f>-IFERROR('4. NPV'!FIA24/'4. NPV'!FIA$8,0)</f>
        <v>-0.0</v>
      </c>
      <c r="FIA55" s="5">
        <f>-IFERROR('4. NPV'!FIB24/'4. NPV'!FIB$8,0)</f>
        <v>-0.0</v>
      </c>
      <c r="FIB55" s="5">
        <f>-IFERROR('4. NPV'!FIC24/'4. NPV'!FIC$8,0)</f>
        <v>-0.0</v>
      </c>
      <c r="FIC55" s="5">
        <f>-IFERROR('4. NPV'!FID24/'4. NPV'!FID$8,0)</f>
        <v>-0.0</v>
      </c>
      <c r="FID55" s="5">
        <f>-IFERROR('4. NPV'!FIE24/'4. NPV'!FIE$8,0)</f>
        <v>-0.0</v>
      </c>
      <c r="FIE55" s="5">
        <f>-IFERROR('4. NPV'!FIF24/'4. NPV'!FIF$8,0)</f>
        <v>-0.0</v>
      </c>
      <c r="FIF55" s="5">
        <f>-IFERROR('4. NPV'!FIG24/'4. NPV'!FIG$8,0)</f>
        <v>-0.0</v>
      </c>
      <c r="FIG55" s="5">
        <f>-IFERROR('4. NPV'!FIH24/'4. NPV'!FIH$8,0)</f>
        <v>-0.0</v>
      </c>
      <c r="FIH55" s="5">
        <f>-IFERROR('4. NPV'!FII24/'4. NPV'!FII$8,0)</f>
        <v>-0.0</v>
      </c>
      <c r="FII55" s="5">
        <f>-IFERROR('4. NPV'!FIJ24/'4. NPV'!FIJ$8,0)</f>
        <v>-0.0</v>
      </c>
      <c r="FIJ55" s="5">
        <f>-IFERROR('4. NPV'!FIK24/'4. NPV'!FIK$8,0)</f>
        <v>-0.0</v>
      </c>
      <c r="FIK55" s="5">
        <f>-IFERROR('4. NPV'!FIL24/'4. NPV'!FIL$8,0)</f>
        <v>-0.0</v>
      </c>
      <c r="FIL55" s="5">
        <f>-IFERROR('4. NPV'!FIM24/'4. NPV'!FIM$8,0)</f>
        <v>-0.0</v>
      </c>
      <c r="FIM55" s="5">
        <f>-IFERROR('4. NPV'!FIN24/'4. NPV'!FIN$8,0)</f>
        <v>-0.0</v>
      </c>
      <c r="FIN55" s="5">
        <f>-IFERROR('4. NPV'!FIO24/'4. NPV'!FIO$8,0)</f>
        <v>-0.0</v>
      </c>
      <c r="FIO55" s="5">
        <f>-IFERROR('4. NPV'!FIP24/'4. NPV'!FIP$8,0)</f>
        <v>-0.0</v>
      </c>
      <c r="FIP55" s="5">
        <f>-IFERROR('4. NPV'!FIQ24/'4. NPV'!FIQ$8,0)</f>
        <v>-0.0</v>
      </c>
      <c r="FIQ55" s="5">
        <f>-IFERROR('4. NPV'!FIR24/'4. NPV'!FIR$8,0)</f>
        <v>-0.0</v>
      </c>
      <c r="FIR55" s="5">
        <f>-IFERROR('4. NPV'!FIS24/'4. NPV'!FIS$8,0)</f>
        <v>-0.0</v>
      </c>
      <c r="FIS55" s="5">
        <f>-IFERROR('4. NPV'!FIT24/'4. NPV'!FIT$8,0)</f>
        <v>-0.0</v>
      </c>
      <c r="FIT55" s="5">
        <f>-IFERROR('4. NPV'!FIU24/'4. NPV'!FIU$8,0)</f>
        <v>-0.0</v>
      </c>
      <c r="FIU55" s="5">
        <f>-IFERROR('4. NPV'!FIV24/'4. NPV'!FIV$8,0)</f>
        <v>-0.0</v>
      </c>
      <c r="FIV55" s="5">
        <f>-IFERROR('4. NPV'!FIW24/'4. NPV'!FIW$8,0)</f>
        <v>-0.0</v>
      </c>
      <c r="FIW55" s="5">
        <f>-IFERROR('4. NPV'!FIX24/'4. NPV'!FIX$8,0)</f>
        <v>-0.0</v>
      </c>
      <c r="FIX55" s="5">
        <f>-IFERROR('4. NPV'!FIY24/'4. NPV'!FIY$8,0)</f>
        <v>-0.0</v>
      </c>
      <c r="FIY55" s="5">
        <f>-IFERROR('4. NPV'!FIZ24/'4. NPV'!FIZ$8,0)</f>
        <v>-0.0</v>
      </c>
      <c r="FIZ55" s="5">
        <f>-IFERROR('4. NPV'!FJA24/'4. NPV'!FJA$8,0)</f>
        <v>-0.0</v>
      </c>
      <c r="FJA55" s="5">
        <f>-IFERROR('4. NPV'!FJB24/'4. NPV'!FJB$8,0)</f>
        <v>-0.0</v>
      </c>
      <c r="FJB55" s="5">
        <f>-IFERROR('4. NPV'!FJC24/'4. NPV'!FJC$8,0)</f>
        <v>-0.0</v>
      </c>
      <c r="FJC55" s="5">
        <f>-IFERROR('4. NPV'!FJD24/'4. NPV'!FJD$8,0)</f>
        <v>-0.0</v>
      </c>
      <c r="FJD55" s="5">
        <f>-IFERROR('4. NPV'!FJE24/'4. NPV'!FJE$8,0)</f>
        <v>-0.0</v>
      </c>
      <c r="FJE55" s="5">
        <f>-IFERROR('4. NPV'!FJF24/'4. NPV'!FJF$8,0)</f>
        <v>-0.0</v>
      </c>
      <c r="FJF55" s="5">
        <f>-IFERROR('4. NPV'!FJG24/'4. NPV'!FJG$8,0)</f>
        <v>-0.0</v>
      </c>
      <c r="FJG55" s="5">
        <f>-IFERROR('4. NPV'!FJH24/'4. NPV'!FJH$8,0)</f>
        <v>-0.0</v>
      </c>
      <c r="FJH55" s="5">
        <f>-IFERROR('4. NPV'!FJI24/'4. NPV'!FJI$8,0)</f>
        <v>-0.0</v>
      </c>
      <c r="FJI55" s="5">
        <f>-IFERROR('4. NPV'!FJJ24/'4. NPV'!FJJ$8,0)</f>
        <v>-0.0</v>
      </c>
      <c r="FJJ55" s="5">
        <f>-IFERROR('4. NPV'!FJK24/'4. NPV'!FJK$8,0)</f>
        <v>-0.0</v>
      </c>
      <c r="FJK55" s="5">
        <f>-IFERROR('4. NPV'!FJL24/'4. NPV'!FJL$8,0)</f>
        <v>-0.0</v>
      </c>
      <c r="FJL55" s="5">
        <f>-IFERROR('4. NPV'!FJM24/'4. NPV'!FJM$8,0)</f>
        <v>-0.0</v>
      </c>
      <c r="FJM55" s="5">
        <f>-IFERROR('4. NPV'!FJN24/'4. NPV'!FJN$8,0)</f>
        <v>-0.0</v>
      </c>
      <c r="FJN55" s="5">
        <f>-IFERROR('4. NPV'!FJO24/'4. NPV'!FJO$8,0)</f>
        <v>-0.0</v>
      </c>
      <c r="FJO55" s="5">
        <f>-IFERROR('4. NPV'!FJP24/'4. NPV'!FJP$8,0)</f>
        <v>-0.0</v>
      </c>
      <c r="FJP55" s="5">
        <f>-IFERROR('4. NPV'!FJQ24/'4. NPV'!FJQ$8,0)</f>
        <v>-0.0</v>
      </c>
      <c r="FJQ55" s="5">
        <f>-IFERROR('4. NPV'!FJR24/'4. NPV'!FJR$8,0)</f>
        <v>-0.0</v>
      </c>
      <c r="FJR55" s="5">
        <f>-IFERROR('4. NPV'!FJS24/'4. NPV'!FJS$8,0)</f>
        <v>-0.0</v>
      </c>
      <c r="FJS55" s="5">
        <f>-IFERROR('4. NPV'!FJT24/'4. NPV'!FJT$8,0)</f>
        <v>-0.0</v>
      </c>
      <c r="FJT55" s="5">
        <f>-IFERROR('4. NPV'!FJU24/'4. NPV'!FJU$8,0)</f>
        <v>-0.0</v>
      </c>
      <c r="FJU55" s="5">
        <f>-IFERROR('4. NPV'!FJV24/'4. NPV'!FJV$8,0)</f>
        <v>-0.0</v>
      </c>
      <c r="FJV55" s="5">
        <f>-IFERROR('4. NPV'!FJW24/'4. NPV'!FJW$8,0)</f>
        <v>-0.0</v>
      </c>
      <c r="FJW55" s="5">
        <f>-IFERROR('4. NPV'!FJX24/'4. NPV'!FJX$8,0)</f>
        <v>-0.0</v>
      </c>
      <c r="FJX55" s="5">
        <f>-IFERROR('4. NPV'!FJY24/'4. NPV'!FJY$8,0)</f>
        <v>-0.0</v>
      </c>
      <c r="FJY55" s="5">
        <f>-IFERROR('4. NPV'!FJZ24/'4. NPV'!FJZ$8,0)</f>
        <v>-0.0</v>
      </c>
      <c r="FJZ55" s="5">
        <f>-IFERROR('4. NPV'!FKA24/'4. NPV'!FKA$8,0)</f>
        <v>-0.0</v>
      </c>
      <c r="FKA55" s="5">
        <f>-IFERROR('4. NPV'!FKB24/'4. NPV'!FKB$8,0)</f>
        <v>-0.0</v>
      </c>
      <c r="FKB55" s="5">
        <f>-IFERROR('4. NPV'!FKC24/'4. NPV'!FKC$8,0)</f>
        <v>-0.0</v>
      </c>
      <c r="FKC55" s="5">
        <f>-IFERROR('4. NPV'!FKD24/'4. NPV'!FKD$8,0)</f>
        <v>-0.0</v>
      </c>
      <c r="FKD55" s="5">
        <f>-IFERROR('4. NPV'!FKE24/'4. NPV'!FKE$8,0)</f>
        <v>-0.0</v>
      </c>
      <c r="FKE55" s="5">
        <f>-IFERROR('4. NPV'!FKF24/'4. NPV'!FKF$8,0)</f>
        <v>-0.0</v>
      </c>
      <c r="FKF55" s="5">
        <f>-IFERROR('4. NPV'!FKG24/'4. NPV'!FKG$8,0)</f>
        <v>-0.0</v>
      </c>
      <c r="FKG55" s="5">
        <f>-IFERROR('4. NPV'!FKH24/'4. NPV'!FKH$8,0)</f>
        <v>-0.0</v>
      </c>
      <c r="FKH55" s="5">
        <f>-IFERROR('4. NPV'!FKI24/'4. NPV'!FKI$8,0)</f>
        <v>-0.0</v>
      </c>
      <c r="FKI55" s="5">
        <f>-IFERROR('4. NPV'!FKJ24/'4. NPV'!FKJ$8,0)</f>
        <v>-0.0</v>
      </c>
      <c r="FKJ55" s="5">
        <f>-IFERROR('4. NPV'!FKK24/'4. NPV'!FKK$8,0)</f>
        <v>-0.0</v>
      </c>
      <c r="FKK55" s="5">
        <f>-IFERROR('4. NPV'!FKL24/'4. NPV'!FKL$8,0)</f>
        <v>-0.0</v>
      </c>
      <c r="FKL55" s="5">
        <f>-IFERROR('4. NPV'!FKM24/'4. NPV'!FKM$8,0)</f>
        <v>-0.0</v>
      </c>
      <c r="FKM55" s="5">
        <f>-IFERROR('4. NPV'!FKN24/'4. NPV'!FKN$8,0)</f>
        <v>-0.0</v>
      </c>
      <c r="FKN55" s="5">
        <f>-IFERROR('4. NPV'!FKO24/'4. NPV'!FKO$8,0)</f>
        <v>-0.0</v>
      </c>
      <c r="FKO55" s="5">
        <f>-IFERROR('4. NPV'!FKP24/'4. NPV'!FKP$8,0)</f>
        <v>-0.0</v>
      </c>
      <c r="FKP55" s="5">
        <f>-IFERROR('4. NPV'!FKQ24/'4. NPV'!FKQ$8,0)</f>
        <v>-0.0</v>
      </c>
      <c r="FKQ55" s="5">
        <f>-IFERROR('4. NPV'!FKR24/'4. NPV'!FKR$8,0)</f>
        <v>-0.0</v>
      </c>
      <c r="FKR55" s="5">
        <f>-IFERROR('4. NPV'!FKS24/'4. NPV'!FKS$8,0)</f>
        <v>-0.0</v>
      </c>
      <c r="FKS55" s="5">
        <f>-IFERROR('4. NPV'!FKT24/'4. NPV'!FKT$8,0)</f>
        <v>-0.0</v>
      </c>
      <c r="FKT55" s="5">
        <f>-IFERROR('4. NPV'!FKU24/'4. NPV'!FKU$8,0)</f>
        <v>-0.0</v>
      </c>
      <c r="FKU55" s="5">
        <f>-IFERROR('4. NPV'!FKV24/'4. NPV'!FKV$8,0)</f>
        <v>-0.0</v>
      </c>
      <c r="FKV55" s="5">
        <f>-IFERROR('4. NPV'!FKW24/'4. NPV'!FKW$8,0)</f>
        <v>-0.0</v>
      </c>
      <c r="FKW55" s="5">
        <f>-IFERROR('4. NPV'!FKX24/'4. NPV'!FKX$8,0)</f>
        <v>-0.0</v>
      </c>
      <c r="FKX55" s="5">
        <f>-IFERROR('4. NPV'!FKY24/'4. NPV'!FKY$8,0)</f>
        <v>-0.0</v>
      </c>
      <c r="FKY55" s="5">
        <f>-IFERROR('4. NPV'!FKZ24/'4. NPV'!FKZ$8,0)</f>
        <v>-0.0</v>
      </c>
      <c r="FKZ55" s="5">
        <f>-IFERROR('4. NPV'!FLA24/'4. NPV'!FLA$8,0)</f>
        <v>-0.0</v>
      </c>
      <c r="FLA55" s="5">
        <f>-IFERROR('4. NPV'!FLB24/'4. NPV'!FLB$8,0)</f>
        <v>-0.0</v>
      </c>
      <c r="FLB55" s="5">
        <f>-IFERROR('4. NPV'!FLC24/'4. NPV'!FLC$8,0)</f>
        <v>-0.0</v>
      </c>
      <c r="FLC55" s="5">
        <f>-IFERROR('4. NPV'!FLD24/'4. NPV'!FLD$8,0)</f>
        <v>-0.0</v>
      </c>
      <c r="FLD55" s="5">
        <f>-IFERROR('4. NPV'!FLE24/'4. NPV'!FLE$8,0)</f>
        <v>-0.0</v>
      </c>
      <c r="FLE55" s="5">
        <f>-IFERROR('4. NPV'!FLF24/'4. NPV'!FLF$8,0)</f>
        <v>-0.0</v>
      </c>
      <c r="FLF55" s="5">
        <f>-IFERROR('4. NPV'!FLG24/'4. NPV'!FLG$8,0)</f>
        <v>-0.0</v>
      </c>
      <c r="FLG55" s="5">
        <f>-IFERROR('4. NPV'!FLH24/'4. NPV'!FLH$8,0)</f>
        <v>-0.0</v>
      </c>
      <c r="FLH55" s="5">
        <f>-IFERROR('4. NPV'!FLI24/'4. NPV'!FLI$8,0)</f>
        <v>-0.0</v>
      </c>
      <c r="FLI55" s="5">
        <f>-IFERROR('4. NPV'!FLJ24/'4. NPV'!FLJ$8,0)</f>
        <v>-0.0</v>
      </c>
      <c r="FLJ55" s="5">
        <f>-IFERROR('4. NPV'!FLK24/'4. NPV'!FLK$8,0)</f>
        <v>-0.0</v>
      </c>
      <c r="FLK55" s="5">
        <f>-IFERROR('4. NPV'!FLL24/'4. NPV'!FLL$8,0)</f>
        <v>-0.0</v>
      </c>
      <c r="FLL55" s="5">
        <f>-IFERROR('4. NPV'!FLM24/'4. NPV'!FLM$8,0)</f>
        <v>-0.0</v>
      </c>
      <c r="FLM55" s="5">
        <f>-IFERROR('4. NPV'!FLN24/'4. NPV'!FLN$8,0)</f>
        <v>-0.0</v>
      </c>
      <c r="FLN55" s="5">
        <f>-IFERROR('4. NPV'!FLO24/'4. NPV'!FLO$8,0)</f>
        <v>-0.0</v>
      </c>
      <c r="FLO55" s="5">
        <f>-IFERROR('4. NPV'!FLP24/'4. NPV'!FLP$8,0)</f>
        <v>-0.0</v>
      </c>
      <c r="FLP55" s="5">
        <f>-IFERROR('4. NPV'!FLQ24/'4. NPV'!FLQ$8,0)</f>
        <v>-0.0</v>
      </c>
      <c r="FLQ55" s="5">
        <f>-IFERROR('4. NPV'!FLR24/'4. NPV'!FLR$8,0)</f>
        <v>-0.0</v>
      </c>
      <c r="FLR55" s="5">
        <f>-IFERROR('4. NPV'!FLS24/'4. NPV'!FLS$8,0)</f>
        <v>-0.0</v>
      </c>
      <c r="FLS55" s="5">
        <f>-IFERROR('4. NPV'!FLT24/'4. NPV'!FLT$8,0)</f>
        <v>-0.0</v>
      </c>
      <c r="FLT55" s="5">
        <f>-IFERROR('4. NPV'!FLU24/'4. NPV'!FLU$8,0)</f>
        <v>-0.0</v>
      </c>
      <c r="FLU55" s="5">
        <f>-IFERROR('4. NPV'!FLV24/'4. NPV'!FLV$8,0)</f>
        <v>-0.0</v>
      </c>
      <c r="FLV55" s="5">
        <f>-IFERROR('4. NPV'!FLW24/'4. NPV'!FLW$8,0)</f>
        <v>-0.0</v>
      </c>
      <c r="FLW55" s="5">
        <f>-IFERROR('4. NPV'!FLX24/'4. NPV'!FLX$8,0)</f>
        <v>-0.0</v>
      </c>
      <c r="FLX55" s="5">
        <f>-IFERROR('4. NPV'!FLY24/'4. NPV'!FLY$8,0)</f>
        <v>-0.0</v>
      </c>
      <c r="FLY55" s="5">
        <f>-IFERROR('4. NPV'!FLZ24/'4. NPV'!FLZ$8,0)</f>
        <v>-0.0</v>
      </c>
      <c r="FLZ55" s="5">
        <f>-IFERROR('4. NPV'!FMA24/'4. NPV'!FMA$8,0)</f>
        <v>-0.0</v>
      </c>
      <c r="FMA55" s="5">
        <f>-IFERROR('4. NPV'!FMB24/'4. NPV'!FMB$8,0)</f>
        <v>-0.0</v>
      </c>
      <c r="FMB55" s="5">
        <f>-IFERROR('4. NPV'!FMC24/'4. NPV'!FMC$8,0)</f>
        <v>-0.0</v>
      </c>
      <c r="FMC55" s="5">
        <f>-IFERROR('4. NPV'!FMD24/'4. NPV'!FMD$8,0)</f>
        <v>-0.0</v>
      </c>
      <c r="FMD55" s="5">
        <f>-IFERROR('4. NPV'!FME24/'4. NPV'!FME$8,0)</f>
        <v>-0.0</v>
      </c>
      <c r="FME55" s="5">
        <f>-IFERROR('4. NPV'!FMF24/'4. NPV'!FMF$8,0)</f>
        <v>-0.0</v>
      </c>
      <c r="FMF55" s="5">
        <f>-IFERROR('4. NPV'!FMG24/'4. NPV'!FMG$8,0)</f>
        <v>-0.0</v>
      </c>
      <c r="FMG55" s="5">
        <f>-IFERROR('4. NPV'!FMH24/'4. NPV'!FMH$8,0)</f>
        <v>-0.0</v>
      </c>
      <c r="FMH55" s="5">
        <f>-IFERROR('4. NPV'!FMI24/'4. NPV'!FMI$8,0)</f>
        <v>-0.0</v>
      </c>
      <c r="FMI55" s="5">
        <f>-IFERROR('4. NPV'!FMJ24/'4. NPV'!FMJ$8,0)</f>
        <v>-0.0</v>
      </c>
      <c r="FMJ55" s="5">
        <f>-IFERROR('4. NPV'!FMK24/'4. NPV'!FMK$8,0)</f>
        <v>-0.0</v>
      </c>
      <c r="FMK55" s="5">
        <f>-IFERROR('4. NPV'!FML24/'4. NPV'!FML$8,0)</f>
        <v>-0.0</v>
      </c>
      <c r="FML55" s="5">
        <f>-IFERROR('4. NPV'!FMM24/'4. NPV'!FMM$8,0)</f>
        <v>-0.0</v>
      </c>
      <c r="FMM55" s="5">
        <f>-IFERROR('4. NPV'!FMN24/'4. NPV'!FMN$8,0)</f>
        <v>-0.0</v>
      </c>
      <c r="FMN55" s="5">
        <f>-IFERROR('4. NPV'!FMO24/'4. NPV'!FMO$8,0)</f>
        <v>-0.0</v>
      </c>
      <c r="FMO55" s="5">
        <f>-IFERROR('4. NPV'!FMP24/'4. NPV'!FMP$8,0)</f>
        <v>-0.0</v>
      </c>
      <c r="FMP55" s="5">
        <f>-IFERROR('4. NPV'!FMQ24/'4. NPV'!FMQ$8,0)</f>
        <v>-0.0</v>
      </c>
      <c r="FMQ55" s="5">
        <f>-IFERROR('4. NPV'!FMR24/'4. NPV'!FMR$8,0)</f>
        <v>-0.0</v>
      </c>
      <c r="FMR55" s="5">
        <f>-IFERROR('4. NPV'!FMS24/'4. NPV'!FMS$8,0)</f>
        <v>-0.0</v>
      </c>
      <c r="FMS55" s="5">
        <f>-IFERROR('4. NPV'!FMT24/'4. NPV'!FMT$8,0)</f>
        <v>-0.0</v>
      </c>
      <c r="FMT55" s="5">
        <f>-IFERROR('4. NPV'!FMU24/'4. NPV'!FMU$8,0)</f>
        <v>-0.0</v>
      </c>
      <c r="FMU55" s="5">
        <f>-IFERROR('4. NPV'!FMV24/'4. NPV'!FMV$8,0)</f>
        <v>-0.0</v>
      </c>
      <c r="FMV55" s="5">
        <f>-IFERROR('4. NPV'!FMW24/'4. NPV'!FMW$8,0)</f>
        <v>-0.0</v>
      </c>
      <c r="FMW55" s="5">
        <f>-IFERROR('4. NPV'!FMX24/'4. NPV'!FMX$8,0)</f>
        <v>-0.0</v>
      </c>
      <c r="FMX55" s="5">
        <f>-IFERROR('4. NPV'!FMY24/'4. NPV'!FMY$8,0)</f>
        <v>-0.0</v>
      </c>
      <c r="FMY55" s="5">
        <f>-IFERROR('4. NPV'!FMZ24/'4. NPV'!FMZ$8,0)</f>
        <v>-0.0</v>
      </c>
      <c r="FMZ55" s="5">
        <f>-IFERROR('4. NPV'!FNA24/'4. NPV'!FNA$8,0)</f>
        <v>-0.0</v>
      </c>
      <c r="FNA55" s="5">
        <f>-IFERROR('4. NPV'!FNB24/'4. NPV'!FNB$8,0)</f>
        <v>-0.0</v>
      </c>
      <c r="FNB55" s="5">
        <f>-IFERROR('4. NPV'!FNC24/'4. NPV'!FNC$8,0)</f>
        <v>-0.0</v>
      </c>
      <c r="FNC55" s="5">
        <f>-IFERROR('4. NPV'!FND24/'4. NPV'!FND$8,0)</f>
        <v>-0.0</v>
      </c>
      <c r="FND55" s="5">
        <f>-IFERROR('4. NPV'!FNE24/'4. NPV'!FNE$8,0)</f>
        <v>-0.0</v>
      </c>
      <c r="FNE55" s="5">
        <f>-IFERROR('4. NPV'!FNF24/'4. NPV'!FNF$8,0)</f>
        <v>-0.0</v>
      </c>
      <c r="FNF55" s="5">
        <f>-IFERROR('4. NPV'!FNG24/'4. NPV'!FNG$8,0)</f>
        <v>-0.0</v>
      </c>
      <c r="FNG55" s="5">
        <f>-IFERROR('4. NPV'!FNH24/'4. NPV'!FNH$8,0)</f>
        <v>-0.0</v>
      </c>
      <c r="FNH55" s="5">
        <f>-IFERROR('4. NPV'!FNI24/'4. NPV'!FNI$8,0)</f>
        <v>-0.0</v>
      </c>
      <c r="FNI55" s="5">
        <f>-IFERROR('4. NPV'!FNJ24/'4. NPV'!FNJ$8,0)</f>
        <v>-0.0</v>
      </c>
      <c r="FNJ55" s="5">
        <f>-IFERROR('4. NPV'!FNK24/'4. NPV'!FNK$8,0)</f>
        <v>-0.0</v>
      </c>
      <c r="FNK55" s="5">
        <f>-IFERROR('4. NPV'!FNL24/'4. NPV'!FNL$8,0)</f>
        <v>-0.0</v>
      </c>
      <c r="FNL55" s="5">
        <f>-IFERROR('4. NPV'!FNM24/'4. NPV'!FNM$8,0)</f>
        <v>-0.0</v>
      </c>
      <c r="FNM55" s="5">
        <f>-IFERROR('4. NPV'!FNN24/'4. NPV'!FNN$8,0)</f>
        <v>-0.0</v>
      </c>
      <c r="FNN55" s="5">
        <f>-IFERROR('4. NPV'!FNO24/'4. NPV'!FNO$8,0)</f>
        <v>-0.0</v>
      </c>
      <c r="FNO55" s="5">
        <f>-IFERROR('4. NPV'!FNP24/'4. NPV'!FNP$8,0)</f>
        <v>-0.0</v>
      </c>
      <c r="FNP55" s="5">
        <f>-IFERROR('4. NPV'!FNQ24/'4. NPV'!FNQ$8,0)</f>
        <v>-0.0</v>
      </c>
      <c r="FNQ55" s="5">
        <f>-IFERROR('4. NPV'!FNR24/'4. NPV'!FNR$8,0)</f>
        <v>-0.0</v>
      </c>
      <c r="FNR55" s="5">
        <f>-IFERROR('4. NPV'!FNS24/'4. NPV'!FNS$8,0)</f>
        <v>-0.0</v>
      </c>
      <c r="FNS55" s="5">
        <f>-IFERROR('4. NPV'!FNT24/'4. NPV'!FNT$8,0)</f>
        <v>-0.0</v>
      </c>
      <c r="FNT55" s="5">
        <f>-IFERROR('4. NPV'!FNU24/'4. NPV'!FNU$8,0)</f>
        <v>-0.0</v>
      </c>
      <c r="FNU55" s="5">
        <f>-IFERROR('4. NPV'!FNV24/'4. NPV'!FNV$8,0)</f>
        <v>-0.0</v>
      </c>
      <c r="FNV55" s="5">
        <f>-IFERROR('4. NPV'!FNW24/'4. NPV'!FNW$8,0)</f>
        <v>-0.0</v>
      </c>
      <c r="FNW55" s="5">
        <f>-IFERROR('4. NPV'!FNX24/'4. NPV'!FNX$8,0)</f>
        <v>-0.0</v>
      </c>
      <c r="FNX55" s="5">
        <f>-IFERROR('4. NPV'!FNY24/'4. NPV'!FNY$8,0)</f>
        <v>-0.0</v>
      </c>
      <c r="FNY55" s="5">
        <f>-IFERROR('4. NPV'!FNZ24/'4. NPV'!FNZ$8,0)</f>
        <v>-0.0</v>
      </c>
      <c r="FNZ55" s="5">
        <f>-IFERROR('4. NPV'!FOA24/'4. NPV'!FOA$8,0)</f>
        <v>-0.0</v>
      </c>
      <c r="FOA55" s="5">
        <f>-IFERROR('4. NPV'!FOB24/'4. NPV'!FOB$8,0)</f>
        <v>-0.0</v>
      </c>
      <c r="FOB55" s="5">
        <f>-IFERROR('4. NPV'!FOC24/'4. NPV'!FOC$8,0)</f>
        <v>-0.0</v>
      </c>
      <c r="FOC55" s="5">
        <f>-IFERROR('4. NPV'!FOD24/'4. NPV'!FOD$8,0)</f>
        <v>-0.0</v>
      </c>
      <c r="FOD55" s="5">
        <f>-IFERROR('4. NPV'!FOE24/'4. NPV'!FOE$8,0)</f>
        <v>-0.0</v>
      </c>
      <c r="FOE55" s="5">
        <f>-IFERROR('4. NPV'!FOF24/'4. NPV'!FOF$8,0)</f>
        <v>-0.0</v>
      </c>
      <c r="FOF55" s="5">
        <f>-IFERROR('4. NPV'!FOG24/'4. NPV'!FOG$8,0)</f>
        <v>-0.0</v>
      </c>
      <c r="FOG55" s="5">
        <f>-IFERROR('4. NPV'!FOH24/'4. NPV'!FOH$8,0)</f>
        <v>-0.0</v>
      </c>
      <c r="FOH55" s="5">
        <f>-IFERROR('4. NPV'!FOI24/'4. NPV'!FOI$8,0)</f>
        <v>-0.0</v>
      </c>
      <c r="FOI55" s="5">
        <f>-IFERROR('4. NPV'!FOJ24/'4. NPV'!FOJ$8,0)</f>
        <v>-0.0</v>
      </c>
      <c r="FOJ55" s="5">
        <f>-IFERROR('4. NPV'!FOK24/'4. NPV'!FOK$8,0)</f>
        <v>-0.0</v>
      </c>
      <c r="FOK55" s="5">
        <f>-IFERROR('4. NPV'!FOL24/'4. NPV'!FOL$8,0)</f>
        <v>-0.0</v>
      </c>
      <c r="FOL55" s="5">
        <f>-IFERROR('4. NPV'!FOM24/'4. NPV'!FOM$8,0)</f>
        <v>-0.0</v>
      </c>
      <c r="FOM55" s="5">
        <f>-IFERROR('4. NPV'!FON24/'4. NPV'!FON$8,0)</f>
        <v>-0.0</v>
      </c>
      <c r="FON55" s="5">
        <f>-IFERROR('4. NPV'!FOO24/'4. NPV'!FOO$8,0)</f>
        <v>-0.0</v>
      </c>
      <c r="FOO55" s="5">
        <f>-IFERROR('4. NPV'!FOP24/'4. NPV'!FOP$8,0)</f>
        <v>-0.0</v>
      </c>
      <c r="FOP55" s="5">
        <f>-IFERROR('4. NPV'!FOQ24/'4. NPV'!FOQ$8,0)</f>
        <v>-0.0</v>
      </c>
      <c r="FOQ55" s="5">
        <f>-IFERROR('4. NPV'!FOR24/'4. NPV'!FOR$8,0)</f>
        <v>-0.0</v>
      </c>
      <c r="FOR55" s="5">
        <f>-IFERROR('4. NPV'!FOS24/'4. NPV'!FOS$8,0)</f>
        <v>-0.0</v>
      </c>
      <c r="FOS55" s="5">
        <f>-IFERROR('4. NPV'!FOT24/'4. NPV'!FOT$8,0)</f>
        <v>-0.0</v>
      </c>
      <c r="FOT55" s="5">
        <f>-IFERROR('4. NPV'!FOU24/'4. NPV'!FOU$8,0)</f>
        <v>-0.0</v>
      </c>
      <c r="FOU55" s="5">
        <f>-IFERROR('4. NPV'!FOV24/'4. NPV'!FOV$8,0)</f>
        <v>-0.0</v>
      </c>
      <c r="FOV55" s="5">
        <f>-IFERROR('4. NPV'!FOW24/'4. NPV'!FOW$8,0)</f>
        <v>-0.0</v>
      </c>
      <c r="FOW55" s="5">
        <f>-IFERROR('4. NPV'!FOX24/'4. NPV'!FOX$8,0)</f>
        <v>-0.0</v>
      </c>
      <c r="FOX55" s="5">
        <f>-IFERROR('4. NPV'!FOY24/'4. NPV'!FOY$8,0)</f>
        <v>-0.0</v>
      </c>
      <c r="FOY55" s="5">
        <f>-IFERROR('4. NPV'!FOZ24/'4. NPV'!FOZ$8,0)</f>
        <v>-0.0</v>
      </c>
      <c r="FOZ55" s="5">
        <f>-IFERROR('4. NPV'!FPA24/'4. NPV'!FPA$8,0)</f>
        <v>-0.0</v>
      </c>
      <c r="FPA55" s="5">
        <f>-IFERROR('4. NPV'!FPB24/'4. NPV'!FPB$8,0)</f>
        <v>-0.0</v>
      </c>
      <c r="FPB55" s="5">
        <f>-IFERROR('4. NPV'!FPC24/'4. NPV'!FPC$8,0)</f>
        <v>-0.0</v>
      </c>
      <c r="FPC55" s="5">
        <f>-IFERROR('4. NPV'!FPD24/'4. NPV'!FPD$8,0)</f>
        <v>-0.0</v>
      </c>
      <c r="FPD55" s="5">
        <f>-IFERROR('4. NPV'!FPE24/'4. NPV'!FPE$8,0)</f>
        <v>-0.0</v>
      </c>
      <c r="FPE55" s="5">
        <f>-IFERROR('4. NPV'!FPF24/'4. NPV'!FPF$8,0)</f>
        <v>-0.0</v>
      </c>
      <c r="FPF55" s="5">
        <f>-IFERROR('4. NPV'!FPG24/'4. NPV'!FPG$8,0)</f>
        <v>-0.0</v>
      </c>
      <c r="FPG55" s="5">
        <f>-IFERROR('4. NPV'!FPH24/'4. NPV'!FPH$8,0)</f>
        <v>-0.0</v>
      </c>
      <c r="FPH55" s="5">
        <f>-IFERROR('4. NPV'!FPI24/'4. NPV'!FPI$8,0)</f>
        <v>-0.0</v>
      </c>
      <c r="FPI55" s="5">
        <f>-IFERROR('4. NPV'!FPJ24/'4. NPV'!FPJ$8,0)</f>
        <v>-0.0</v>
      </c>
      <c r="FPJ55" s="5">
        <f>-IFERROR('4. NPV'!FPK24/'4. NPV'!FPK$8,0)</f>
        <v>-0.0</v>
      </c>
      <c r="FPK55" s="5">
        <f>-IFERROR('4. NPV'!FPL24/'4. NPV'!FPL$8,0)</f>
        <v>-0.0</v>
      </c>
      <c r="FPL55" s="5">
        <f>-IFERROR('4. NPV'!FPM24/'4. NPV'!FPM$8,0)</f>
        <v>-0.0</v>
      </c>
      <c r="FPM55" s="5">
        <f>-IFERROR('4. NPV'!FPN24/'4. NPV'!FPN$8,0)</f>
        <v>-0.0</v>
      </c>
      <c r="FPN55" s="5">
        <f>-IFERROR('4. NPV'!FPO24/'4. NPV'!FPO$8,0)</f>
        <v>-0.0</v>
      </c>
      <c r="FPO55" s="5">
        <f>-IFERROR('4. NPV'!FPP24/'4. NPV'!FPP$8,0)</f>
        <v>-0.0</v>
      </c>
      <c r="FPP55" s="5">
        <f>-IFERROR('4. NPV'!FPQ24/'4. NPV'!FPQ$8,0)</f>
        <v>-0.0</v>
      </c>
      <c r="FPQ55" s="5">
        <f>-IFERROR('4. NPV'!FPR24/'4. NPV'!FPR$8,0)</f>
        <v>-0.0</v>
      </c>
      <c r="FPR55" s="5">
        <f>-IFERROR('4. NPV'!FPS24/'4. NPV'!FPS$8,0)</f>
        <v>-0.0</v>
      </c>
      <c r="FPS55" s="5">
        <f>-IFERROR('4. NPV'!FPT24/'4. NPV'!FPT$8,0)</f>
        <v>-0.0</v>
      </c>
      <c r="FPT55" s="5">
        <f>-IFERROR('4. NPV'!FPU24/'4. NPV'!FPU$8,0)</f>
        <v>-0.0</v>
      </c>
      <c r="FPU55" s="5">
        <f>-IFERROR('4. NPV'!FPV24/'4. NPV'!FPV$8,0)</f>
        <v>-0.0</v>
      </c>
      <c r="FPV55" s="5">
        <f>-IFERROR('4. NPV'!FPW24/'4. NPV'!FPW$8,0)</f>
        <v>-0.0</v>
      </c>
      <c r="FPW55" s="5">
        <f>-IFERROR('4. NPV'!FPX24/'4. NPV'!FPX$8,0)</f>
        <v>-0.0</v>
      </c>
      <c r="FPX55" s="5">
        <f>-IFERROR('4. NPV'!FPY24/'4. NPV'!FPY$8,0)</f>
        <v>-0.0</v>
      </c>
      <c r="FPY55" s="5">
        <f>-IFERROR('4. NPV'!FPZ24/'4. NPV'!FPZ$8,0)</f>
        <v>-0.0</v>
      </c>
      <c r="FPZ55" s="5">
        <f>-IFERROR('4. NPV'!FQA24/'4. NPV'!FQA$8,0)</f>
        <v>-0.0</v>
      </c>
      <c r="FQA55" s="5">
        <f>-IFERROR('4. NPV'!FQB24/'4. NPV'!FQB$8,0)</f>
        <v>-0.0</v>
      </c>
      <c r="FQB55" s="5">
        <f>-IFERROR('4. NPV'!FQC24/'4. NPV'!FQC$8,0)</f>
        <v>-0.0</v>
      </c>
      <c r="FQC55" s="5">
        <f>-IFERROR('4. NPV'!FQD24/'4. NPV'!FQD$8,0)</f>
        <v>-0.0</v>
      </c>
      <c r="FQD55" s="5">
        <f>-IFERROR('4. NPV'!FQE24/'4. NPV'!FQE$8,0)</f>
        <v>-0.0</v>
      </c>
      <c r="FQE55" s="5">
        <f>-IFERROR('4. NPV'!FQF24/'4. NPV'!FQF$8,0)</f>
        <v>-0.0</v>
      </c>
      <c r="FQF55" s="5">
        <f>-IFERROR('4. NPV'!FQG24/'4. NPV'!FQG$8,0)</f>
        <v>-0.0</v>
      </c>
      <c r="FQG55" s="5">
        <f>-IFERROR('4. NPV'!FQH24/'4. NPV'!FQH$8,0)</f>
        <v>-0.0</v>
      </c>
      <c r="FQH55" s="5">
        <f>-IFERROR('4. NPV'!FQI24/'4. NPV'!FQI$8,0)</f>
        <v>-0.0</v>
      </c>
      <c r="FQI55" s="5">
        <f>-IFERROR('4. NPV'!FQJ24/'4. NPV'!FQJ$8,0)</f>
        <v>-0.0</v>
      </c>
      <c r="FQJ55" s="5">
        <f>-IFERROR('4. NPV'!FQK24/'4. NPV'!FQK$8,0)</f>
        <v>-0.0</v>
      </c>
      <c r="FQK55" s="5">
        <f>-IFERROR('4. NPV'!FQL24/'4. NPV'!FQL$8,0)</f>
        <v>-0.0</v>
      </c>
      <c r="FQL55" s="5">
        <f>-IFERROR('4. NPV'!FQM24/'4. NPV'!FQM$8,0)</f>
        <v>-0.0</v>
      </c>
      <c r="FQM55" s="5">
        <f>-IFERROR('4. NPV'!FQN24/'4. NPV'!FQN$8,0)</f>
        <v>-0.0</v>
      </c>
      <c r="FQN55" s="5">
        <f>-IFERROR('4. NPV'!FQO24/'4. NPV'!FQO$8,0)</f>
        <v>-0.0</v>
      </c>
      <c r="FQO55" s="5">
        <f>-IFERROR('4. NPV'!FQP24/'4. NPV'!FQP$8,0)</f>
        <v>-0.0</v>
      </c>
      <c r="FQP55" s="5">
        <f>-IFERROR('4. NPV'!FQQ24/'4. NPV'!FQQ$8,0)</f>
        <v>-0.0</v>
      </c>
      <c r="FQQ55" s="5">
        <f>-IFERROR('4. NPV'!FQR24/'4. NPV'!FQR$8,0)</f>
        <v>-0.0</v>
      </c>
      <c r="FQR55" s="5">
        <f>-IFERROR('4. NPV'!FQS24/'4. NPV'!FQS$8,0)</f>
        <v>-0.0</v>
      </c>
      <c r="FQS55" s="5">
        <f>-IFERROR('4. NPV'!FQT24/'4. NPV'!FQT$8,0)</f>
        <v>-0.0</v>
      </c>
      <c r="FQT55" s="5">
        <f>-IFERROR('4. NPV'!FQU24/'4. NPV'!FQU$8,0)</f>
        <v>-0.0</v>
      </c>
      <c r="FQU55" s="5">
        <f>-IFERROR('4. NPV'!FQV24/'4. NPV'!FQV$8,0)</f>
        <v>-0.0</v>
      </c>
      <c r="FQV55" s="5">
        <f>-IFERROR('4. NPV'!FQW24/'4. NPV'!FQW$8,0)</f>
        <v>-0.0</v>
      </c>
      <c r="FQW55" s="5">
        <f>-IFERROR('4. NPV'!FQX24/'4. NPV'!FQX$8,0)</f>
        <v>-0.0</v>
      </c>
      <c r="FQX55" s="5">
        <f>-IFERROR('4. NPV'!FQY24/'4. NPV'!FQY$8,0)</f>
        <v>-0.0</v>
      </c>
      <c r="FQY55" s="5">
        <f>-IFERROR('4. NPV'!FQZ24/'4. NPV'!FQZ$8,0)</f>
        <v>-0.0</v>
      </c>
      <c r="FQZ55" s="5">
        <f>-IFERROR('4. NPV'!FRA24/'4. NPV'!FRA$8,0)</f>
        <v>-0.0</v>
      </c>
      <c r="FRA55" s="5">
        <f>-IFERROR('4. NPV'!FRB24/'4. NPV'!FRB$8,0)</f>
        <v>-0.0</v>
      </c>
      <c r="FRB55" s="5">
        <f>-IFERROR('4. NPV'!FRC24/'4. NPV'!FRC$8,0)</f>
        <v>-0.0</v>
      </c>
      <c r="FRC55" s="5">
        <f>-IFERROR('4. NPV'!FRD24/'4. NPV'!FRD$8,0)</f>
        <v>-0.0</v>
      </c>
      <c r="FRD55" s="5">
        <f>-IFERROR('4. NPV'!FRE24/'4. NPV'!FRE$8,0)</f>
        <v>-0.0</v>
      </c>
      <c r="FRE55" s="5">
        <f>-IFERROR('4. NPV'!FRF24/'4. NPV'!FRF$8,0)</f>
        <v>-0.0</v>
      </c>
      <c r="FRF55" s="5">
        <f>-IFERROR('4. NPV'!FRG24/'4. NPV'!FRG$8,0)</f>
        <v>-0.0</v>
      </c>
      <c r="FRG55" s="5">
        <f>-IFERROR('4. NPV'!FRH24/'4. NPV'!FRH$8,0)</f>
        <v>-0.0</v>
      </c>
      <c r="FRH55" s="5">
        <f>-IFERROR('4. NPV'!FRI24/'4. NPV'!FRI$8,0)</f>
        <v>-0.0</v>
      </c>
      <c r="FRI55" s="5">
        <f>-IFERROR('4. NPV'!FRJ24/'4. NPV'!FRJ$8,0)</f>
        <v>-0.0</v>
      </c>
      <c r="FRJ55" s="5">
        <f>-IFERROR('4. NPV'!FRK24/'4. NPV'!FRK$8,0)</f>
        <v>-0.0</v>
      </c>
      <c r="FRK55" s="5">
        <f>-IFERROR('4. NPV'!FRL24/'4. NPV'!FRL$8,0)</f>
        <v>-0.0</v>
      </c>
      <c r="FRL55" s="5">
        <f>-IFERROR('4. NPV'!FRM24/'4. NPV'!FRM$8,0)</f>
        <v>-0.0</v>
      </c>
      <c r="FRM55" s="5">
        <f>-IFERROR('4. NPV'!FRN24/'4. NPV'!FRN$8,0)</f>
        <v>-0.0</v>
      </c>
      <c r="FRN55" s="5">
        <f>-IFERROR('4. NPV'!FRO24/'4. NPV'!FRO$8,0)</f>
        <v>-0.0</v>
      </c>
      <c r="FRO55" s="5">
        <f>-IFERROR('4. NPV'!FRP24/'4. NPV'!FRP$8,0)</f>
        <v>-0.0</v>
      </c>
      <c r="FRP55" s="5">
        <f>-IFERROR('4. NPV'!FRQ24/'4. NPV'!FRQ$8,0)</f>
        <v>-0.0</v>
      </c>
      <c r="FRQ55" s="5">
        <f>-IFERROR('4. NPV'!FRR24/'4. NPV'!FRR$8,0)</f>
        <v>-0.0</v>
      </c>
      <c r="FRR55" s="5">
        <f>-IFERROR('4. NPV'!FRS24/'4. NPV'!FRS$8,0)</f>
        <v>-0.0</v>
      </c>
      <c r="FRS55" s="5">
        <f>-IFERROR('4. NPV'!FRT24/'4. NPV'!FRT$8,0)</f>
        <v>-0.0</v>
      </c>
      <c r="FRT55" s="5">
        <f>-IFERROR('4. NPV'!FRU24/'4. NPV'!FRU$8,0)</f>
        <v>-0.0</v>
      </c>
      <c r="FRU55" s="5">
        <f>-IFERROR('4. NPV'!FRV24/'4. NPV'!FRV$8,0)</f>
        <v>-0.0</v>
      </c>
      <c r="FRV55" s="5">
        <f>-IFERROR('4. NPV'!FRW24/'4. NPV'!FRW$8,0)</f>
        <v>-0.0</v>
      </c>
      <c r="FRW55" s="5">
        <f>-IFERROR('4. NPV'!FRX24/'4. NPV'!FRX$8,0)</f>
        <v>-0.0</v>
      </c>
      <c r="FRX55" s="5">
        <f>-IFERROR('4. NPV'!FRY24/'4. NPV'!FRY$8,0)</f>
        <v>-0.0</v>
      </c>
      <c r="FRY55" s="5">
        <f>-IFERROR('4. NPV'!FRZ24/'4. NPV'!FRZ$8,0)</f>
        <v>-0.0</v>
      </c>
      <c r="FRZ55" s="5">
        <f>-IFERROR('4. NPV'!FSA24/'4. NPV'!FSA$8,0)</f>
        <v>-0.0</v>
      </c>
      <c r="FSA55" s="5">
        <f>-IFERROR('4. NPV'!FSB24/'4. NPV'!FSB$8,0)</f>
        <v>-0.0</v>
      </c>
      <c r="FSB55" s="5">
        <f>-IFERROR('4. NPV'!FSC24/'4. NPV'!FSC$8,0)</f>
        <v>-0.0</v>
      </c>
      <c r="FSC55" s="5">
        <f>-IFERROR('4. NPV'!FSD24/'4. NPV'!FSD$8,0)</f>
        <v>-0.0</v>
      </c>
      <c r="FSD55" s="5">
        <f>-IFERROR('4. NPV'!FSE24/'4. NPV'!FSE$8,0)</f>
        <v>-0.0</v>
      </c>
      <c r="FSE55" s="5">
        <f>-IFERROR('4. NPV'!FSF24/'4. NPV'!FSF$8,0)</f>
        <v>-0.0</v>
      </c>
      <c r="FSF55" s="5">
        <f>-IFERROR('4. NPV'!FSG24/'4. NPV'!FSG$8,0)</f>
        <v>-0.0</v>
      </c>
      <c r="FSG55" s="5">
        <f>-IFERROR('4. NPV'!FSH24/'4. NPV'!FSH$8,0)</f>
        <v>-0.0</v>
      </c>
      <c r="FSH55" s="5">
        <f>-IFERROR('4. NPV'!FSI24/'4. NPV'!FSI$8,0)</f>
        <v>-0.0</v>
      </c>
      <c r="FSI55" s="5">
        <f>-IFERROR('4. NPV'!FSJ24/'4. NPV'!FSJ$8,0)</f>
        <v>-0.0</v>
      </c>
      <c r="FSJ55" s="5">
        <f>-IFERROR('4. NPV'!FSK24/'4. NPV'!FSK$8,0)</f>
        <v>-0.0</v>
      </c>
      <c r="FSK55" s="5">
        <f>-IFERROR('4. NPV'!FSL24/'4. NPV'!FSL$8,0)</f>
        <v>-0.0</v>
      </c>
      <c r="FSL55" s="5">
        <f>-IFERROR('4. NPV'!FSM24/'4. NPV'!FSM$8,0)</f>
        <v>-0.0</v>
      </c>
      <c r="FSM55" s="5">
        <f>-IFERROR('4. NPV'!FSN24/'4. NPV'!FSN$8,0)</f>
        <v>-0.0</v>
      </c>
      <c r="FSN55" s="5">
        <f>-IFERROR('4. NPV'!FSO24/'4. NPV'!FSO$8,0)</f>
        <v>-0.0</v>
      </c>
      <c r="FSO55" s="5">
        <f>-IFERROR('4. NPV'!FSP24/'4. NPV'!FSP$8,0)</f>
        <v>-0.0</v>
      </c>
      <c r="FSP55" s="5">
        <f>-IFERROR('4. NPV'!FSQ24/'4. NPV'!FSQ$8,0)</f>
        <v>-0.0</v>
      </c>
      <c r="FSQ55" s="5">
        <f>-IFERROR('4. NPV'!FSR24/'4. NPV'!FSR$8,0)</f>
        <v>-0.0</v>
      </c>
      <c r="FSR55" s="5">
        <f>-IFERROR('4. NPV'!FSS24/'4. NPV'!FSS$8,0)</f>
        <v>-0.0</v>
      </c>
      <c r="FSS55" s="5">
        <f>-IFERROR('4. NPV'!FST24/'4. NPV'!FST$8,0)</f>
        <v>-0.0</v>
      </c>
      <c r="FST55" s="5">
        <f>-IFERROR('4. NPV'!FSU24/'4. NPV'!FSU$8,0)</f>
        <v>-0.0</v>
      </c>
      <c r="FSU55" s="5">
        <f>-IFERROR('4. NPV'!FSV24/'4. NPV'!FSV$8,0)</f>
        <v>-0.0</v>
      </c>
      <c r="FSV55" s="5">
        <f>-IFERROR('4. NPV'!FSW24/'4. NPV'!FSW$8,0)</f>
        <v>-0.0</v>
      </c>
      <c r="FSW55" s="5">
        <f>-IFERROR('4. NPV'!FSX24/'4. NPV'!FSX$8,0)</f>
        <v>-0.0</v>
      </c>
      <c r="FSX55" s="5">
        <f>-IFERROR('4. NPV'!FSY24/'4. NPV'!FSY$8,0)</f>
        <v>-0.0</v>
      </c>
      <c r="FSY55" s="5">
        <f>-IFERROR('4. NPV'!FSZ24/'4. NPV'!FSZ$8,0)</f>
        <v>-0.0</v>
      </c>
      <c r="FSZ55" s="5">
        <f>-IFERROR('4. NPV'!FTA24/'4. NPV'!FTA$8,0)</f>
        <v>-0.0</v>
      </c>
      <c r="FTA55" s="5">
        <f>-IFERROR('4. NPV'!FTB24/'4. NPV'!FTB$8,0)</f>
        <v>-0.0</v>
      </c>
      <c r="FTB55" s="5">
        <f>-IFERROR('4. NPV'!FTC24/'4. NPV'!FTC$8,0)</f>
        <v>-0.0</v>
      </c>
      <c r="FTC55" s="5">
        <f>-IFERROR('4. NPV'!FTD24/'4. NPV'!FTD$8,0)</f>
        <v>-0.0</v>
      </c>
      <c r="FTD55" s="5">
        <f>-IFERROR('4. NPV'!FTE24/'4. NPV'!FTE$8,0)</f>
        <v>-0.0</v>
      </c>
      <c r="FTE55" s="5">
        <f>-IFERROR('4. NPV'!FTF24/'4. NPV'!FTF$8,0)</f>
        <v>-0.0</v>
      </c>
      <c r="FTF55" s="5">
        <f>-IFERROR('4. NPV'!FTG24/'4. NPV'!FTG$8,0)</f>
        <v>-0.0</v>
      </c>
      <c r="FTG55" s="5">
        <f>-IFERROR('4. NPV'!FTH24/'4. NPV'!FTH$8,0)</f>
        <v>-0.0</v>
      </c>
      <c r="FTH55" s="5">
        <f>-IFERROR('4. NPV'!FTI24/'4. NPV'!FTI$8,0)</f>
        <v>-0.0</v>
      </c>
      <c r="FTI55" s="5">
        <f>-IFERROR('4. NPV'!FTJ24/'4. NPV'!FTJ$8,0)</f>
        <v>-0.0</v>
      </c>
      <c r="FTJ55" s="5">
        <f>-IFERROR('4. NPV'!FTK24/'4. NPV'!FTK$8,0)</f>
        <v>-0.0</v>
      </c>
      <c r="FTK55" s="5">
        <f>-IFERROR('4. NPV'!FTL24/'4. NPV'!FTL$8,0)</f>
        <v>-0.0</v>
      </c>
      <c r="FTL55" s="5">
        <f>-IFERROR('4. NPV'!FTM24/'4. NPV'!FTM$8,0)</f>
        <v>-0.0</v>
      </c>
      <c r="FTM55" s="5">
        <f>-IFERROR('4. NPV'!FTN24/'4. NPV'!FTN$8,0)</f>
        <v>-0.0</v>
      </c>
      <c r="FTN55" s="5">
        <f>-IFERROR('4. NPV'!FTO24/'4. NPV'!FTO$8,0)</f>
        <v>-0.0</v>
      </c>
      <c r="FTO55" s="5">
        <f>-IFERROR('4. NPV'!FTP24/'4. NPV'!FTP$8,0)</f>
        <v>-0.0</v>
      </c>
      <c r="FTP55" s="5">
        <f>-IFERROR('4. NPV'!FTQ24/'4. NPV'!FTQ$8,0)</f>
        <v>-0.0</v>
      </c>
      <c r="FTQ55" s="5">
        <f>-IFERROR('4. NPV'!FTR24/'4. NPV'!FTR$8,0)</f>
        <v>-0.0</v>
      </c>
      <c r="FTR55" s="5">
        <f>-IFERROR('4. NPV'!FTS24/'4. NPV'!FTS$8,0)</f>
        <v>-0.0</v>
      </c>
      <c r="FTS55" s="5">
        <f>-IFERROR('4. NPV'!FTT24/'4. NPV'!FTT$8,0)</f>
        <v>-0.0</v>
      </c>
      <c r="FTT55" s="5">
        <f>-IFERROR('4. NPV'!FTU24/'4. NPV'!FTU$8,0)</f>
        <v>-0.0</v>
      </c>
      <c r="FTU55" s="5">
        <f>-IFERROR('4. NPV'!FTV24/'4. NPV'!FTV$8,0)</f>
        <v>-0.0</v>
      </c>
      <c r="FTV55" s="5">
        <f>-IFERROR('4. NPV'!FTW24/'4. NPV'!FTW$8,0)</f>
        <v>-0.0</v>
      </c>
      <c r="FTW55" s="5">
        <f>-IFERROR('4. NPV'!FTX24/'4. NPV'!FTX$8,0)</f>
        <v>-0.0</v>
      </c>
      <c r="FTX55" s="5">
        <f>-IFERROR('4. NPV'!FTY24/'4. NPV'!FTY$8,0)</f>
        <v>-0.0</v>
      </c>
      <c r="FTY55" s="5">
        <f>-IFERROR('4. NPV'!FTZ24/'4. NPV'!FTZ$8,0)</f>
        <v>-0.0</v>
      </c>
      <c r="FTZ55" s="5">
        <f>-IFERROR('4. NPV'!FUA24/'4. NPV'!FUA$8,0)</f>
        <v>-0.0</v>
      </c>
      <c r="FUA55" s="5">
        <f>-IFERROR('4. NPV'!FUB24/'4. NPV'!FUB$8,0)</f>
        <v>-0.0</v>
      </c>
      <c r="FUB55" s="5">
        <f>-IFERROR('4. NPV'!FUC24/'4. NPV'!FUC$8,0)</f>
        <v>-0.0</v>
      </c>
      <c r="FUC55" s="5">
        <f>-IFERROR('4. NPV'!FUD24/'4. NPV'!FUD$8,0)</f>
        <v>-0.0</v>
      </c>
      <c r="FUD55" s="5">
        <f>-IFERROR('4. NPV'!FUE24/'4. NPV'!FUE$8,0)</f>
        <v>-0.0</v>
      </c>
      <c r="FUE55" s="5">
        <f>-IFERROR('4. NPV'!FUF24/'4. NPV'!FUF$8,0)</f>
        <v>-0.0</v>
      </c>
      <c r="FUF55" s="5">
        <f>-IFERROR('4. NPV'!FUG24/'4. NPV'!FUG$8,0)</f>
        <v>-0.0</v>
      </c>
      <c r="FUG55" s="5">
        <f>-IFERROR('4. NPV'!FUH24/'4. NPV'!FUH$8,0)</f>
        <v>-0.0</v>
      </c>
      <c r="FUH55" s="5">
        <f>-IFERROR('4. NPV'!FUI24/'4. NPV'!FUI$8,0)</f>
        <v>-0.0</v>
      </c>
      <c r="FUI55" s="5">
        <f>-IFERROR('4. NPV'!FUJ24/'4. NPV'!FUJ$8,0)</f>
        <v>-0.0</v>
      </c>
      <c r="FUJ55" s="5">
        <f>-IFERROR('4. NPV'!FUK24/'4. NPV'!FUK$8,0)</f>
        <v>-0.0</v>
      </c>
      <c r="FUK55" s="5">
        <f>-IFERROR('4. NPV'!FUL24/'4. NPV'!FUL$8,0)</f>
        <v>-0.0</v>
      </c>
      <c r="FUL55" s="5">
        <f>-IFERROR('4. NPV'!FUM24/'4. NPV'!FUM$8,0)</f>
        <v>-0.0</v>
      </c>
      <c r="FUM55" s="5">
        <f>-IFERROR('4. NPV'!FUN24/'4. NPV'!FUN$8,0)</f>
        <v>-0.0</v>
      </c>
      <c r="FUN55" s="5">
        <f>-IFERROR('4. NPV'!FUO24/'4. NPV'!FUO$8,0)</f>
        <v>-0.0</v>
      </c>
      <c r="FUO55" s="5">
        <f>-IFERROR('4. NPV'!FUP24/'4. NPV'!FUP$8,0)</f>
        <v>-0.0</v>
      </c>
      <c r="FUP55" s="5">
        <f>-IFERROR('4. NPV'!FUQ24/'4. NPV'!FUQ$8,0)</f>
        <v>-0.0</v>
      </c>
      <c r="FUQ55" s="5">
        <f>-IFERROR('4. NPV'!FUR24/'4. NPV'!FUR$8,0)</f>
        <v>-0.0</v>
      </c>
      <c r="FUR55" s="5">
        <f>-IFERROR('4. NPV'!FUS24/'4. NPV'!FUS$8,0)</f>
        <v>-0.0</v>
      </c>
      <c r="FUS55" s="5">
        <f>-IFERROR('4. NPV'!FUT24/'4. NPV'!FUT$8,0)</f>
        <v>-0.0</v>
      </c>
      <c r="FUT55" s="5">
        <f>-IFERROR('4. NPV'!FUU24/'4. NPV'!FUU$8,0)</f>
        <v>-0.0</v>
      </c>
      <c r="FUU55" s="5">
        <f>-IFERROR('4. NPV'!FUV24/'4. NPV'!FUV$8,0)</f>
        <v>-0.0</v>
      </c>
      <c r="FUV55" s="5">
        <f>-IFERROR('4. NPV'!FUW24/'4. NPV'!FUW$8,0)</f>
        <v>-0.0</v>
      </c>
      <c r="FUW55" s="5">
        <f>-IFERROR('4. NPV'!FUX24/'4. NPV'!FUX$8,0)</f>
        <v>-0.0</v>
      </c>
      <c r="FUX55" s="5">
        <f>-IFERROR('4. NPV'!FUY24/'4. NPV'!FUY$8,0)</f>
        <v>-0.0</v>
      </c>
      <c r="FUY55" s="5">
        <f>-IFERROR('4. NPV'!FUZ24/'4. NPV'!FUZ$8,0)</f>
        <v>-0.0</v>
      </c>
      <c r="FUZ55" s="5">
        <f>-IFERROR('4. NPV'!FVA24/'4. NPV'!FVA$8,0)</f>
        <v>-0.0</v>
      </c>
      <c r="FVA55" s="5">
        <f>-IFERROR('4. NPV'!FVB24/'4. NPV'!FVB$8,0)</f>
        <v>-0.0</v>
      </c>
      <c r="FVB55" s="5">
        <f>-IFERROR('4. NPV'!FVC24/'4. NPV'!FVC$8,0)</f>
        <v>-0.0</v>
      </c>
      <c r="FVC55" s="5">
        <f>-IFERROR('4. NPV'!FVD24/'4. NPV'!FVD$8,0)</f>
        <v>-0.0</v>
      </c>
      <c r="FVD55" s="5">
        <f>-IFERROR('4. NPV'!FVE24/'4. NPV'!FVE$8,0)</f>
        <v>-0.0</v>
      </c>
      <c r="FVE55" s="5">
        <f>-IFERROR('4. NPV'!FVF24/'4. NPV'!FVF$8,0)</f>
        <v>-0.0</v>
      </c>
      <c r="FVF55" s="5">
        <f>-IFERROR('4. NPV'!FVG24/'4. NPV'!FVG$8,0)</f>
        <v>-0.0</v>
      </c>
      <c r="FVG55" s="5">
        <f>-IFERROR('4. NPV'!FVH24/'4. NPV'!FVH$8,0)</f>
        <v>-0.0</v>
      </c>
      <c r="FVH55" s="5">
        <f>-IFERROR('4. NPV'!FVI24/'4. NPV'!FVI$8,0)</f>
        <v>-0.0</v>
      </c>
      <c r="FVI55" s="5">
        <f>-IFERROR('4. NPV'!FVJ24/'4. NPV'!FVJ$8,0)</f>
        <v>-0.0</v>
      </c>
      <c r="FVJ55" s="5">
        <f>-IFERROR('4. NPV'!FVK24/'4. NPV'!FVK$8,0)</f>
        <v>-0.0</v>
      </c>
      <c r="FVK55" s="5">
        <f>-IFERROR('4. NPV'!FVL24/'4. NPV'!FVL$8,0)</f>
        <v>-0.0</v>
      </c>
      <c r="FVL55" s="5">
        <f>-IFERROR('4. NPV'!FVM24/'4. NPV'!FVM$8,0)</f>
        <v>-0.0</v>
      </c>
      <c r="FVM55" s="5">
        <f>-IFERROR('4. NPV'!FVN24/'4. NPV'!FVN$8,0)</f>
        <v>-0.0</v>
      </c>
      <c r="FVN55" s="5">
        <f>-IFERROR('4. NPV'!FVO24/'4. NPV'!FVO$8,0)</f>
        <v>-0.0</v>
      </c>
      <c r="FVO55" s="5">
        <f>-IFERROR('4. NPV'!FVP24/'4. NPV'!FVP$8,0)</f>
        <v>-0.0</v>
      </c>
      <c r="FVP55" s="5">
        <f>-IFERROR('4. NPV'!FVQ24/'4. NPV'!FVQ$8,0)</f>
        <v>-0.0</v>
      </c>
      <c r="FVQ55" s="5">
        <f>-IFERROR('4. NPV'!FVR24/'4. NPV'!FVR$8,0)</f>
        <v>-0.0</v>
      </c>
      <c r="FVR55" s="5">
        <f>-IFERROR('4. NPV'!FVS24/'4. NPV'!FVS$8,0)</f>
        <v>-0.0</v>
      </c>
      <c r="FVS55" s="5">
        <f>-IFERROR('4. NPV'!FVT24/'4. NPV'!FVT$8,0)</f>
        <v>-0.0</v>
      </c>
      <c r="FVT55" s="5">
        <f>-IFERROR('4. NPV'!FVU24/'4. NPV'!FVU$8,0)</f>
        <v>-0.0</v>
      </c>
      <c r="FVU55" s="5">
        <f>-IFERROR('4. NPV'!FVV24/'4. NPV'!FVV$8,0)</f>
        <v>-0.0</v>
      </c>
      <c r="FVV55" s="5">
        <f>-IFERROR('4. NPV'!FVW24/'4. NPV'!FVW$8,0)</f>
        <v>-0.0</v>
      </c>
      <c r="FVW55" s="5">
        <f>-IFERROR('4. NPV'!FVX24/'4. NPV'!FVX$8,0)</f>
        <v>-0.0</v>
      </c>
      <c r="FVX55" s="5">
        <f>-IFERROR('4. NPV'!FVY24/'4. NPV'!FVY$8,0)</f>
        <v>-0.0</v>
      </c>
      <c r="FVY55" s="5">
        <f>-IFERROR('4. NPV'!FVZ24/'4. NPV'!FVZ$8,0)</f>
        <v>-0.0</v>
      </c>
      <c r="FVZ55" s="5">
        <f>-IFERROR('4. NPV'!FWA24/'4. NPV'!FWA$8,0)</f>
        <v>-0.0</v>
      </c>
      <c r="FWA55" s="5">
        <f>-IFERROR('4. NPV'!FWB24/'4. NPV'!FWB$8,0)</f>
        <v>-0.0</v>
      </c>
      <c r="FWB55" s="5">
        <f>-IFERROR('4. NPV'!FWC24/'4. NPV'!FWC$8,0)</f>
        <v>-0.0</v>
      </c>
      <c r="FWC55" s="5">
        <f>-IFERROR('4. NPV'!FWD24/'4. NPV'!FWD$8,0)</f>
        <v>-0.0</v>
      </c>
      <c r="FWD55" s="5">
        <f>-IFERROR('4. NPV'!FWE24/'4. NPV'!FWE$8,0)</f>
        <v>-0.0</v>
      </c>
      <c r="FWE55" s="5">
        <f>-IFERROR('4. NPV'!FWF24/'4. NPV'!FWF$8,0)</f>
        <v>-0.0</v>
      </c>
      <c r="FWF55" s="5">
        <f>-IFERROR('4. NPV'!FWG24/'4. NPV'!FWG$8,0)</f>
        <v>-0.0</v>
      </c>
      <c r="FWG55" s="5">
        <f>-IFERROR('4. NPV'!FWH24/'4. NPV'!FWH$8,0)</f>
        <v>-0.0</v>
      </c>
      <c r="FWH55" s="5">
        <f>-IFERROR('4. NPV'!FWI24/'4. NPV'!FWI$8,0)</f>
        <v>-0.0</v>
      </c>
      <c r="FWI55" s="5">
        <f>-IFERROR('4. NPV'!FWJ24/'4. NPV'!FWJ$8,0)</f>
        <v>-0.0</v>
      </c>
      <c r="FWJ55" s="5">
        <f>-IFERROR('4. NPV'!FWK24/'4. NPV'!FWK$8,0)</f>
        <v>-0.0</v>
      </c>
      <c r="FWK55" s="5">
        <f>-IFERROR('4. NPV'!FWL24/'4. NPV'!FWL$8,0)</f>
        <v>-0.0</v>
      </c>
      <c r="FWL55" s="5">
        <f>-IFERROR('4. NPV'!FWM24/'4. NPV'!FWM$8,0)</f>
        <v>-0.0</v>
      </c>
      <c r="FWM55" s="5">
        <f>-IFERROR('4. NPV'!FWN24/'4. NPV'!FWN$8,0)</f>
        <v>-0.0</v>
      </c>
      <c r="FWN55" s="5">
        <f>-IFERROR('4. NPV'!FWO24/'4. NPV'!FWO$8,0)</f>
        <v>-0.0</v>
      </c>
      <c r="FWO55" s="5">
        <f>-IFERROR('4. NPV'!FWP24/'4. NPV'!FWP$8,0)</f>
        <v>-0.0</v>
      </c>
      <c r="FWP55" s="5">
        <f>-IFERROR('4. NPV'!FWQ24/'4. NPV'!FWQ$8,0)</f>
        <v>-0.0</v>
      </c>
      <c r="FWQ55" s="5">
        <f>-IFERROR('4. NPV'!FWR24/'4. NPV'!FWR$8,0)</f>
        <v>-0.0</v>
      </c>
      <c r="FWR55" s="5">
        <f>-IFERROR('4. NPV'!FWS24/'4. NPV'!FWS$8,0)</f>
        <v>-0.0</v>
      </c>
      <c r="FWS55" s="5">
        <f>-IFERROR('4. NPV'!FWT24/'4. NPV'!FWT$8,0)</f>
        <v>-0.0</v>
      </c>
      <c r="FWT55" s="5">
        <f>-IFERROR('4. NPV'!FWU24/'4. NPV'!FWU$8,0)</f>
        <v>-0.0</v>
      </c>
      <c r="FWU55" s="5">
        <f>-IFERROR('4. NPV'!FWV24/'4. NPV'!FWV$8,0)</f>
        <v>-0.0</v>
      </c>
      <c r="FWV55" s="5">
        <f>-IFERROR('4. NPV'!FWW24/'4. NPV'!FWW$8,0)</f>
        <v>-0.0</v>
      </c>
      <c r="FWW55" s="5">
        <f>-IFERROR('4. NPV'!FWX24/'4. NPV'!FWX$8,0)</f>
        <v>-0.0</v>
      </c>
      <c r="FWX55" s="5">
        <f>-IFERROR('4. NPV'!FWY24/'4. NPV'!FWY$8,0)</f>
        <v>-0.0</v>
      </c>
      <c r="FWY55" s="5">
        <f>-IFERROR('4. NPV'!FWZ24/'4. NPV'!FWZ$8,0)</f>
        <v>-0.0</v>
      </c>
      <c r="FWZ55" s="5">
        <f>-IFERROR('4. NPV'!FXA24/'4. NPV'!FXA$8,0)</f>
        <v>-0.0</v>
      </c>
      <c r="FXA55" s="5">
        <f>-IFERROR('4. NPV'!FXB24/'4. NPV'!FXB$8,0)</f>
        <v>-0.0</v>
      </c>
      <c r="FXB55" s="5">
        <f>-IFERROR('4. NPV'!FXC24/'4. NPV'!FXC$8,0)</f>
        <v>-0.0</v>
      </c>
      <c r="FXC55" s="5">
        <f>-IFERROR('4. NPV'!FXD24/'4. NPV'!FXD$8,0)</f>
        <v>-0.0</v>
      </c>
      <c r="FXD55" s="5">
        <f>-IFERROR('4. NPV'!FXE24/'4. NPV'!FXE$8,0)</f>
        <v>-0.0</v>
      </c>
      <c r="FXE55" s="5">
        <f>-IFERROR('4. NPV'!FXF24/'4. NPV'!FXF$8,0)</f>
        <v>-0.0</v>
      </c>
      <c r="FXF55" s="5">
        <f>-IFERROR('4. NPV'!FXG24/'4. NPV'!FXG$8,0)</f>
        <v>-0.0</v>
      </c>
      <c r="FXG55" s="5">
        <f>-IFERROR('4. NPV'!FXH24/'4. NPV'!FXH$8,0)</f>
        <v>-0.0</v>
      </c>
      <c r="FXH55" s="5">
        <f>-IFERROR('4. NPV'!FXI24/'4. NPV'!FXI$8,0)</f>
        <v>-0.0</v>
      </c>
      <c r="FXI55" s="5">
        <f>-IFERROR('4. NPV'!FXJ24/'4. NPV'!FXJ$8,0)</f>
        <v>-0.0</v>
      </c>
      <c r="FXJ55" s="5">
        <f>-IFERROR('4. NPV'!FXK24/'4. NPV'!FXK$8,0)</f>
        <v>-0.0</v>
      </c>
      <c r="FXK55" s="5">
        <f>-IFERROR('4. NPV'!FXL24/'4. NPV'!FXL$8,0)</f>
        <v>-0.0</v>
      </c>
      <c r="FXL55" s="5">
        <f>-IFERROR('4. NPV'!FXM24/'4. NPV'!FXM$8,0)</f>
        <v>-0.0</v>
      </c>
      <c r="FXM55" s="5">
        <f>-IFERROR('4. NPV'!FXN24/'4. NPV'!FXN$8,0)</f>
        <v>-0.0</v>
      </c>
      <c r="FXN55" s="5">
        <f>-IFERROR('4. NPV'!FXO24/'4. NPV'!FXO$8,0)</f>
        <v>-0.0</v>
      </c>
      <c r="FXO55" s="5">
        <f>-IFERROR('4. NPV'!FXP24/'4. NPV'!FXP$8,0)</f>
        <v>-0.0</v>
      </c>
      <c r="FXP55" s="5">
        <f>-IFERROR('4. NPV'!FXQ24/'4. NPV'!FXQ$8,0)</f>
        <v>-0.0</v>
      </c>
      <c r="FXQ55" s="5">
        <f>-IFERROR('4. NPV'!FXR24/'4. NPV'!FXR$8,0)</f>
        <v>-0.0</v>
      </c>
      <c r="FXR55" s="5">
        <f>-IFERROR('4. NPV'!FXS24/'4. NPV'!FXS$8,0)</f>
        <v>-0.0</v>
      </c>
      <c r="FXS55" s="5">
        <f>-IFERROR('4. NPV'!FXT24/'4. NPV'!FXT$8,0)</f>
        <v>-0.0</v>
      </c>
      <c r="FXT55" s="5">
        <f>-IFERROR('4. NPV'!FXU24/'4. NPV'!FXU$8,0)</f>
        <v>-0.0</v>
      </c>
      <c r="FXU55" s="5">
        <f>-IFERROR('4. NPV'!FXV24/'4. NPV'!FXV$8,0)</f>
        <v>-0.0</v>
      </c>
      <c r="FXV55" s="5">
        <f>-IFERROR('4. NPV'!FXW24/'4. NPV'!FXW$8,0)</f>
        <v>-0.0</v>
      </c>
      <c r="FXW55" s="5">
        <f>-IFERROR('4. NPV'!FXX24/'4. NPV'!FXX$8,0)</f>
        <v>-0.0</v>
      </c>
      <c r="FXX55" s="5">
        <f>-IFERROR('4. NPV'!FXY24/'4. NPV'!FXY$8,0)</f>
        <v>-0.0</v>
      </c>
      <c r="FXY55" s="5">
        <f>-IFERROR('4. NPV'!FXZ24/'4. NPV'!FXZ$8,0)</f>
        <v>-0.0</v>
      </c>
      <c r="FXZ55" s="5">
        <f>-IFERROR('4. NPV'!FYA24/'4. NPV'!FYA$8,0)</f>
        <v>-0.0</v>
      </c>
      <c r="FYA55" s="5">
        <f>-IFERROR('4. NPV'!FYB24/'4. NPV'!FYB$8,0)</f>
        <v>-0.0</v>
      </c>
      <c r="FYB55" s="5">
        <f>-IFERROR('4. NPV'!FYC24/'4. NPV'!FYC$8,0)</f>
        <v>-0.0</v>
      </c>
      <c r="FYC55" s="5">
        <f>-IFERROR('4. NPV'!FYD24/'4. NPV'!FYD$8,0)</f>
        <v>-0.0</v>
      </c>
      <c r="FYD55" s="5">
        <f>-IFERROR('4. NPV'!FYE24/'4. NPV'!FYE$8,0)</f>
        <v>-0.0</v>
      </c>
      <c r="FYE55" s="5">
        <f>-IFERROR('4. NPV'!FYF24/'4. NPV'!FYF$8,0)</f>
        <v>-0.0</v>
      </c>
      <c r="FYF55" s="5">
        <f>-IFERROR('4. NPV'!FYG24/'4. NPV'!FYG$8,0)</f>
        <v>-0.0</v>
      </c>
      <c r="FYG55" s="5">
        <f>-IFERROR('4. NPV'!FYH24/'4. NPV'!FYH$8,0)</f>
        <v>-0.0</v>
      </c>
      <c r="FYH55" s="5">
        <f>-IFERROR('4. NPV'!FYI24/'4. NPV'!FYI$8,0)</f>
        <v>-0.0</v>
      </c>
      <c r="FYI55" s="5">
        <f>-IFERROR('4. NPV'!FYJ24/'4. NPV'!FYJ$8,0)</f>
        <v>-0.0</v>
      </c>
      <c r="FYJ55" s="5">
        <f>-IFERROR('4. NPV'!FYK24/'4. NPV'!FYK$8,0)</f>
        <v>-0.0</v>
      </c>
      <c r="FYK55" s="5">
        <f>-IFERROR('4. NPV'!FYL24/'4. NPV'!FYL$8,0)</f>
        <v>-0.0</v>
      </c>
      <c r="FYL55" s="5">
        <f>-IFERROR('4. NPV'!FYM24/'4. NPV'!FYM$8,0)</f>
        <v>-0.0</v>
      </c>
      <c r="FYM55" s="5">
        <f>-IFERROR('4. NPV'!FYN24/'4. NPV'!FYN$8,0)</f>
        <v>-0.0</v>
      </c>
      <c r="FYN55" s="5">
        <f>-IFERROR('4. NPV'!FYO24/'4. NPV'!FYO$8,0)</f>
        <v>-0.0</v>
      </c>
      <c r="FYO55" s="5">
        <f>-IFERROR('4. NPV'!FYP24/'4. NPV'!FYP$8,0)</f>
        <v>-0.0</v>
      </c>
      <c r="FYP55" s="5">
        <f>-IFERROR('4. NPV'!FYQ24/'4. NPV'!FYQ$8,0)</f>
        <v>-0.0</v>
      </c>
      <c r="FYQ55" s="5">
        <f>-IFERROR('4. NPV'!FYR24/'4. NPV'!FYR$8,0)</f>
        <v>-0.0</v>
      </c>
      <c r="FYR55" s="5">
        <f>-IFERROR('4. NPV'!FYS24/'4. NPV'!FYS$8,0)</f>
        <v>-0.0</v>
      </c>
      <c r="FYS55" s="5">
        <f>-IFERROR('4. NPV'!FYT24/'4. NPV'!FYT$8,0)</f>
        <v>-0.0</v>
      </c>
      <c r="FYT55" s="5">
        <f>-IFERROR('4. NPV'!FYU24/'4. NPV'!FYU$8,0)</f>
        <v>-0.0</v>
      </c>
      <c r="FYU55" s="5">
        <f>-IFERROR('4. NPV'!FYV24/'4. NPV'!FYV$8,0)</f>
        <v>-0.0</v>
      </c>
      <c r="FYV55" s="5">
        <f>-IFERROR('4. NPV'!FYW24/'4. NPV'!FYW$8,0)</f>
        <v>-0.0</v>
      </c>
      <c r="FYW55" s="5">
        <f>-IFERROR('4. NPV'!FYX24/'4. NPV'!FYX$8,0)</f>
        <v>-0.0</v>
      </c>
      <c r="FYX55" s="5">
        <f>-IFERROR('4. NPV'!FYY24/'4. NPV'!FYY$8,0)</f>
        <v>-0.0</v>
      </c>
      <c r="FYY55" s="5">
        <f>-IFERROR('4. NPV'!FYZ24/'4. NPV'!FYZ$8,0)</f>
        <v>-0.0</v>
      </c>
      <c r="FYZ55" s="5">
        <f>-IFERROR('4. NPV'!FZA24/'4. NPV'!FZA$8,0)</f>
        <v>-0.0</v>
      </c>
      <c r="FZA55" s="5">
        <f>-IFERROR('4. NPV'!FZB24/'4. NPV'!FZB$8,0)</f>
        <v>-0.0</v>
      </c>
      <c r="FZB55" s="5">
        <f>-IFERROR('4. NPV'!FZC24/'4. NPV'!FZC$8,0)</f>
        <v>-0.0</v>
      </c>
      <c r="FZC55" s="5">
        <f>-IFERROR('4. NPV'!FZD24/'4. NPV'!FZD$8,0)</f>
        <v>-0.0</v>
      </c>
      <c r="FZD55" s="5">
        <f>-IFERROR('4. NPV'!FZE24/'4. NPV'!FZE$8,0)</f>
        <v>-0.0</v>
      </c>
      <c r="FZE55" s="5">
        <f>-IFERROR('4. NPV'!FZF24/'4. NPV'!FZF$8,0)</f>
        <v>-0.0</v>
      </c>
      <c r="FZF55" s="5">
        <f>-IFERROR('4. NPV'!FZG24/'4. NPV'!FZG$8,0)</f>
        <v>-0.0</v>
      </c>
      <c r="FZG55" s="5">
        <f>-IFERROR('4. NPV'!FZH24/'4. NPV'!FZH$8,0)</f>
        <v>-0.0</v>
      </c>
      <c r="FZH55" s="5">
        <f>-IFERROR('4. NPV'!FZI24/'4. NPV'!FZI$8,0)</f>
        <v>-0.0</v>
      </c>
      <c r="FZI55" s="5">
        <f>-IFERROR('4. NPV'!FZJ24/'4. NPV'!FZJ$8,0)</f>
        <v>-0.0</v>
      </c>
      <c r="FZJ55" s="5">
        <f>-IFERROR('4. NPV'!FZK24/'4. NPV'!FZK$8,0)</f>
        <v>-0.0</v>
      </c>
      <c r="FZK55" s="5">
        <f>-IFERROR('4. NPV'!FZL24/'4. NPV'!FZL$8,0)</f>
        <v>-0.0</v>
      </c>
      <c r="FZL55" s="5">
        <f>-IFERROR('4. NPV'!FZM24/'4. NPV'!FZM$8,0)</f>
        <v>-0.0</v>
      </c>
      <c r="FZM55" s="5">
        <f>-IFERROR('4. NPV'!FZN24/'4. NPV'!FZN$8,0)</f>
        <v>-0.0</v>
      </c>
      <c r="FZN55" s="5">
        <f>-IFERROR('4. NPV'!FZO24/'4. NPV'!FZO$8,0)</f>
        <v>-0.0</v>
      </c>
      <c r="FZO55" s="5">
        <f>-IFERROR('4. NPV'!FZP24/'4. NPV'!FZP$8,0)</f>
        <v>-0.0</v>
      </c>
      <c r="FZP55" s="5">
        <f>-IFERROR('4. NPV'!FZQ24/'4. NPV'!FZQ$8,0)</f>
        <v>-0.0</v>
      </c>
      <c r="FZQ55" s="5">
        <f>-IFERROR('4. NPV'!FZR24/'4. NPV'!FZR$8,0)</f>
        <v>-0.0</v>
      </c>
      <c r="FZR55" s="5">
        <f>-IFERROR('4. NPV'!FZS24/'4. NPV'!FZS$8,0)</f>
        <v>-0.0</v>
      </c>
      <c r="FZS55" s="5">
        <f>-IFERROR('4. NPV'!FZT24/'4. NPV'!FZT$8,0)</f>
        <v>-0.0</v>
      </c>
      <c r="FZT55" s="5">
        <f>-IFERROR('4. NPV'!FZU24/'4. NPV'!FZU$8,0)</f>
        <v>-0.0</v>
      </c>
      <c r="FZU55" s="5">
        <f>-IFERROR('4. NPV'!FZV24/'4. NPV'!FZV$8,0)</f>
        <v>-0.0</v>
      </c>
      <c r="FZV55" s="5">
        <f>-IFERROR('4. NPV'!FZW24/'4. NPV'!FZW$8,0)</f>
        <v>-0.0</v>
      </c>
      <c r="FZW55" s="5">
        <f>-IFERROR('4. NPV'!FZX24/'4. NPV'!FZX$8,0)</f>
        <v>-0.0</v>
      </c>
      <c r="FZX55" s="5">
        <f>-IFERROR('4. NPV'!FZY24/'4. NPV'!FZY$8,0)</f>
        <v>-0.0</v>
      </c>
      <c r="FZY55" s="5">
        <f>-IFERROR('4. NPV'!FZZ24/'4. NPV'!FZZ$8,0)</f>
        <v>-0.0</v>
      </c>
      <c r="FZZ55" s="5">
        <f>-IFERROR('4. NPV'!GAA24/'4. NPV'!GAA$8,0)</f>
        <v>-0.0</v>
      </c>
      <c r="GAA55" s="5">
        <f>-IFERROR('4. NPV'!GAB24/'4. NPV'!GAB$8,0)</f>
        <v>-0.0</v>
      </c>
      <c r="GAB55" s="5">
        <f>-IFERROR('4. NPV'!GAC24/'4. NPV'!GAC$8,0)</f>
        <v>-0.0</v>
      </c>
      <c r="GAC55" s="5">
        <f>-IFERROR('4. NPV'!GAD24/'4. NPV'!GAD$8,0)</f>
        <v>-0.0</v>
      </c>
      <c r="GAD55" s="5">
        <f>-IFERROR('4. NPV'!GAE24/'4. NPV'!GAE$8,0)</f>
        <v>-0.0</v>
      </c>
      <c r="GAE55" s="5">
        <f>-IFERROR('4. NPV'!GAF24/'4. NPV'!GAF$8,0)</f>
        <v>-0.0</v>
      </c>
      <c r="GAF55" s="5">
        <f>-IFERROR('4. NPV'!GAG24/'4. NPV'!GAG$8,0)</f>
        <v>-0.0</v>
      </c>
      <c r="GAG55" s="5">
        <f>-IFERROR('4. NPV'!GAH24/'4. NPV'!GAH$8,0)</f>
        <v>-0.0</v>
      </c>
      <c r="GAH55" s="5">
        <f>-IFERROR('4. NPV'!GAI24/'4. NPV'!GAI$8,0)</f>
        <v>-0.0</v>
      </c>
      <c r="GAI55" s="5">
        <f>-IFERROR('4. NPV'!GAJ24/'4. NPV'!GAJ$8,0)</f>
        <v>-0.0</v>
      </c>
      <c r="GAJ55" s="5">
        <f>-IFERROR('4. NPV'!GAK24/'4. NPV'!GAK$8,0)</f>
        <v>-0.0</v>
      </c>
      <c r="GAK55" s="5">
        <f>-IFERROR('4. NPV'!GAL24/'4. NPV'!GAL$8,0)</f>
        <v>-0.0</v>
      </c>
      <c r="GAL55" s="5">
        <f>-IFERROR('4. NPV'!GAM24/'4. NPV'!GAM$8,0)</f>
        <v>-0.0</v>
      </c>
      <c r="GAM55" s="5">
        <f>-IFERROR('4. NPV'!GAN24/'4. NPV'!GAN$8,0)</f>
        <v>-0.0</v>
      </c>
      <c r="GAN55" s="5">
        <f>-IFERROR('4. NPV'!GAO24/'4. NPV'!GAO$8,0)</f>
        <v>-0.0</v>
      </c>
      <c r="GAO55" s="5">
        <f>-IFERROR('4. NPV'!GAP24/'4. NPV'!GAP$8,0)</f>
        <v>-0.0</v>
      </c>
      <c r="GAP55" s="5">
        <f>-IFERROR('4. NPV'!GAQ24/'4. NPV'!GAQ$8,0)</f>
        <v>-0.0</v>
      </c>
      <c r="GAQ55" s="5">
        <f>-IFERROR('4. NPV'!GAR24/'4. NPV'!GAR$8,0)</f>
        <v>-0.0</v>
      </c>
      <c r="GAR55" s="5">
        <f>-IFERROR('4. NPV'!GAS24/'4. NPV'!GAS$8,0)</f>
        <v>-0.0</v>
      </c>
      <c r="GAS55" s="5">
        <f>-IFERROR('4. NPV'!GAT24/'4. NPV'!GAT$8,0)</f>
        <v>-0.0</v>
      </c>
      <c r="GAT55" s="5">
        <f>-IFERROR('4. NPV'!GAU24/'4. NPV'!GAU$8,0)</f>
        <v>-0.0</v>
      </c>
      <c r="GAU55" s="5">
        <f>-IFERROR('4. NPV'!GAV24/'4. NPV'!GAV$8,0)</f>
        <v>-0.0</v>
      </c>
      <c r="GAV55" s="5">
        <f>-IFERROR('4. NPV'!GAW24/'4. NPV'!GAW$8,0)</f>
        <v>-0.0</v>
      </c>
      <c r="GAW55" s="5">
        <f>-IFERROR('4. NPV'!GAX24/'4. NPV'!GAX$8,0)</f>
        <v>-0.0</v>
      </c>
      <c r="GAX55" s="5">
        <f>-IFERROR('4. NPV'!GAY24/'4. NPV'!GAY$8,0)</f>
        <v>-0.0</v>
      </c>
      <c r="GAY55" s="5">
        <f>-IFERROR('4. NPV'!GAZ24/'4. NPV'!GAZ$8,0)</f>
        <v>-0.0</v>
      </c>
      <c r="GAZ55" s="5">
        <f>-IFERROR('4. NPV'!GBA24/'4. NPV'!GBA$8,0)</f>
        <v>-0.0</v>
      </c>
      <c r="GBA55" s="5">
        <f>-IFERROR('4. NPV'!GBB24/'4. NPV'!GBB$8,0)</f>
        <v>-0.0</v>
      </c>
      <c r="GBB55" s="5">
        <f>-IFERROR('4. NPV'!GBC24/'4. NPV'!GBC$8,0)</f>
        <v>-0.0</v>
      </c>
      <c r="GBC55" s="5">
        <f>-IFERROR('4. NPV'!GBD24/'4. NPV'!GBD$8,0)</f>
        <v>-0.0</v>
      </c>
      <c r="GBD55" s="5">
        <f>-IFERROR('4. NPV'!GBE24/'4. NPV'!GBE$8,0)</f>
        <v>-0.0</v>
      </c>
      <c r="GBE55" s="5">
        <f>-IFERROR('4. NPV'!GBF24/'4. NPV'!GBF$8,0)</f>
        <v>-0.0</v>
      </c>
      <c r="GBF55" s="5">
        <f>-IFERROR('4. NPV'!GBG24/'4. NPV'!GBG$8,0)</f>
        <v>-0.0</v>
      </c>
      <c r="GBG55" s="5">
        <f>-IFERROR('4. NPV'!GBH24/'4. NPV'!GBH$8,0)</f>
        <v>-0.0</v>
      </c>
      <c r="GBH55" s="5">
        <f>-IFERROR('4. NPV'!GBI24/'4. NPV'!GBI$8,0)</f>
        <v>-0.0</v>
      </c>
      <c r="GBI55" s="5">
        <f>-IFERROR('4. NPV'!GBJ24/'4. NPV'!GBJ$8,0)</f>
        <v>-0.0</v>
      </c>
      <c r="GBJ55" s="5">
        <f>-IFERROR('4. NPV'!GBK24/'4. NPV'!GBK$8,0)</f>
        <v>-0.0</v>
      </c>
      <c r="GBK55" s="5">
        <f>-IFERROR('4. NPV'!GBL24/'4. NPV'!GBL$8,0)</f>
        <v>-0.0</v>
      </c>
      <c r="GBL55" s="5">
        <f>-IFERROR('4. NPV'!GBM24/'4. NPV'!GBM$8,0)</f>
        <v>-0.0</v>
      </c>
      <c r="GBM55" s="5">
        <f>-IFERROR('4. NPV'!GBN24/'4. NPV'!GBN$8,0)</f>
        <v>-0.0</v>
      </c>
      <c r="GBN55" s="5">
        <f>-IFERROR('4. NPV'!GBO24/'4. NPV'!GBO$8,0)</f>
        <v>-0.0</v>
      </c>
      <c r="GBO55" s="5">
        <f>-IFERROR('4. NPV'!GBP24/'4. NPV'!GBP$8,0)</f>
        <v>-0.0</v>
      </c>
      <c r="GBP55" s="5">
        <f>-IFERROR('4. NPV'!GBQ24/'4. NPV'!GBQ$8,0)</f>
        <v>-0.0</v>
      </c>
      <c r="GBQ55" s="5">
        <f>-IFERROR('4. NPV'!GBR24/'4. NPV'!GBR$8,0)</f>
        <v>-0.0</v>
      </c>
      <c r="GBR55" s="5">
        <f>-IFERROR('4. NPV'!GBS24/'4. NPV'!GBS$8,0)</f>
        <v>-0.0</v>
      </c>
      <c r="GBS55" s="5">
        <f>-IFERROR('4. NPV'!GBT24/'4. NPV'!GBT$8,0)</f>
        <v>-0.0</v>
      </c>
      <c r="GBT55" s="5">
        <f>-IFERROR('4. NPV'!GBU24/'4. NPV'!GBU$8,0)</f>
        <v>-0.0</v>
      </c>
      <c r="GBU55" s="5">
        <f>-IFERROR('4. NPV'!GBV24/'4. NPV'!GBV$8,0)</f>
        <v>-0.0</v>
      </c>
      <c r="GBV55" s="5">
        <f>-IFERROR('4. NPV'!GBW24/'4. NPV'!GBW$8,0)</f>
        <v>-0.0</v>
      </c>
      <c r="GBW55" s="5">
        <f>-IFERROR('4. NPV'!GBX24/'4. NPV'!GBX$8,0)</f>
        <v>-0.0</v>
      </c>
      <c r="GBX55" s="5">
        <f>-IFERROR('4. NPV'!GBY24/'4. NPV'!GBY$8,0)</f>
        <v>-0.0</v>
      </c>
      <c r="GBY55" s="5">
        <f>-IFERROR('4. NPV'!GBZ24/'4. NPV'!GBZ$8,0)</f>
        <v>-0.0</v>
      </c>
      <c r="GBZ55" s="5">
        <f>-IFERROR('4. NPV'!GCA24/'4. NPV'!GCA$8,0)</f>
        <v>-0.0</v>
      </c>
      <c r="GCA55" s="5">
        <f>-IFERROR('4. NPV'!GCB24/'4. NPV'!GCB$8,0)</f>
        <v>-0.0</v>
      </c>
      <c r="GCB55" s="5">
        <f>-IFERROR('4. NPV'!GCC24/'4. NPV'!GCC$8,0)</f>
        <v>-0.0</v>
      </c>
      <c r="GCC55" s="5">
        <f>-IFERROR('4. NPV'!GCD24/'4. NPV'!GCD$8,0)</f>
        <v>-0.0</v>
      </c>
      <c r="GCD55" s="5">
        <f>-IFERROR('4. NPV'!GCE24/'4. NPV'!GCE$8,0)</f>
        <v>-0.0</v>
      </c>
      <c r="GCE55" s="5">
        <f>-IFERROR('4. NPV'!GCF24/'4. NPV'!GCF$8,0)</f>
        <v>-0.0</v>
      </c>
      <c r="GCF55" s="5">
        <f>-IFERROR('4. NPV'!GCG24/'4. NPV'!GCG$8,0)</f>
        <v>-0.0</v>
      </c>
      <c r="GCG55" s="5">
        <f>-IFERROR('4. NPV'!GCH24/'4. NPV'!GCH$8,0)</f>
        <v>-0.0</v>
      </c>
      <c r="GCH55" s="5">
        <f>-IFERROR('4. NPV'!GCI24/'4. NPV'!GCI$8,0)</f>
        <v>-0.0</v>
      </c>
      <c r="GCI55" s="5">
        <f>-IFERROR('4. NPV'!GCJ24/'4. NPV'!GCJ$8,0)</f>
        <v>-0.0</v>
      </c>
      <c r="GCJ55" s="5">
        <f>-IFERROR('4. NPV'!GCK24/'4. NPV'!GCK$8,0)</f>
        <v>-0.0</v>
      </c>
      <c r="GCK55" s="5">
        <f>-IFERROR('4. NPV'!GCL24/'4. NPV'!GCL$8,0)</f>
        <v>-0.0</v>
      </c>
      <c r="GCL55" s="5">
        <f>-IFERROR('4. NPV'!GCM24/'4. NPV'!GCM$8,0)</f>
        <v>-0.0</v>
      </c>
      <c r="GCM55" s="5">
        <f>-IFERROR('4. NPV'!GCN24/'4. NPV'!GCN$8,0)</f>
        <v>-0.0</v>
      </c>
      <c r="GCN55" s="5">
        <f>-IFERROR('4. NPV'!GCO24/'4. NPV'!GCO$8,0)</f>
        <v>-0.0</v>
      </c>
      <c r="GCO55" s="5">
        <f>-IFERROR('4. NPV'!GCP24/'4. NPV'!GCP$8,0)</f>
        <v>-0.0</v>
      </c>
      <c r="GCP55" s="5">
        <f>-IFERROR('4. NPV'!GCQ24/'4. NPV'!GCQ$8,0)</f>
        <v>-0.0</v>
      </c>
      <c r="GCQ55" s="5">
        <f>-IFERROR('4. NPV'!GCR24/'4. NPV'!GCR$8,0)</f>
        <v>-0.0</v>
      </c>
      <c r="GCR55" s="5">
        <f>-IFERROR('4. NPV'!GCS24/'4. NPV'!GCS$8,0)</f>
        <v>-0.0</v>
      </c>
      <c r="GCS55" s="5">
        <f>-IFERROR('4. NPV'!GCT24/'4. NPV'!GCT$8,0)</f>
        <v>-0.0</v>
      </c>
      <c r="GCT55" s="5">
        <f>-IFERROR('4. NPV'!GCU24/'4. NPV'!GCU$8,0)</f>
        <v>-0.0</v>
      </c>
      <c r="GCU55" s="5">
        <f>-IFERROR('4. NPV'!GCV24/'4. NPV'!GCV$8,0)</f>
        <v>-0.0</v>
      </c>
      <c r="GCV55" s="5">
        <f>-IFERROR('4. NPV'!GCW24/'4. NPV'!GCW$8,0)</f>
        <v>-0.0</v>
      </c>
      <c r="GCW55" s="5">
        <f>-IFERROR('4. NPV'!GCX24/'4. NPV'!GCX$8,0)</f>
        <v>-0.0</v>
      </c>
      <c r="GCX55" s="5">
        <f>-IFERROR('4. NPV'!GCY24/'4. NPV'!GCY$8,0)</f>
        <v>-0.0</v>
      </c>
      <c r="GCY55" s="5">
        <f>-IFERROR('4. NPV'!GCZ24/'4. NPV'!GCZ$8,0)</f>
        <v>-0.0</v>
      </c>
      <c r="GCZ55" s="5">
        <f>-IFERROR('4. NPV'!GDA24/'4. NPV'!GDA$8,0)</f>
        <v>-0.0</v>
      </c>
      <c r="GDA55" s="5">
        <f>-IFERROR('4. NPV'!GDB24/'4. NPV'!GDB$8,0)</f>
        <v>-0.0</v>
      </c>
      <c r="GDB55" s="5">
        <f>-IFERROR('4. NPV'!GDC24/'4. NPV'!GDC$8,0)</f>
        <v>-0.0</v>
      </c>
      <c r="GDC55" s="5">
        <f>-IFERROR('4. NPV'!GDD24/'4. NPV'!GDD$8,0)</f>
        <v>-0.0</v>
      </c>
      <c r="GDD55" s="5">
        <f>-IFERROR('4. NPV'!GDE24/'4. NPV'!GDE$8,0)</f>
        <v>-0.0</v>
      </c>
      <c r="GDE55" s="5">
        <f>-IFERROR('4. NPV'!GDF24/'4. NPV'!GDF$8,0)</f>
        <v>-0.0</v>
      </c>
      <c r="GDF55" s="5">
        <f>-IFERROR('4. NPV'!GDG24/'4. NPV'!GDG$8,0)</f>
        <v>-0.0</v>
      </c>
      <c r="GDG55" s="5">
        <f>-IFERROR('4. NPV'!GDH24/'4. NPV'!GDH$8,0)</f>
        <v>-0.0</v>
      </c>
      <c r="GDH55" s="5">
        <f>-IFERROR('4. NPV'!GDI24/'4. NPV'!GDI$8,0)</f>
        <v>-0.0</v>
      </c>
      <c r="GDI55" s="5">
        <f>-IFERROR('4. NPV'!GDJ24/'4. NPV'!GDJ$8,0)</f>
        <v>-0.0</v>
      </c>
      <c r="GDJ55" s="5">
        <f>-IFERROR('4. NPV'!GDK24/'4. NPV'!GDK$8,0)</f>
        <v>-0.0</v>
      </c>
      <c r="GDK55" s="5">
        <f>-IFERROR('4. NPV'!GDL24/'4. NPV'!GDL$8,0)</f>
        <v>-0.0</v>
      </c>
      <c r="GDL55" s="5">
        <f>-IFERROR('4. NPV'!GDM24/'4. NPV'!GDM$8,0)</f>
        <v>-0.0</v>
      </c>
      <c r="GDM55" s="5">
        <f>-IFERROR('4. NPV'!GDN24/'4. NPV'!GDN$8,0)</f>
        <v>-0.0</v>
      </c>
      <c r="GDN55" s="5">
        <f>-IFERROR('4. NPV'!GDO24/'4. NPV'!GDO$8,0)</f>
        <v>-0.0</v>
      </c>
      <c r="GDO55" s="5">
        <f>-IFERROR('4. NPV'!GDP24/'4. NPV'!GDP$8,0)</f>
        <v>-0.0</v>
      </c>
      <c r="GDP55" s="5">
        <f>-IFERROR('4. NPV'!GDQ24/'4. NPV'!GDQ$8,0)</f>
        <v>-0.0</v>
      </c>
      <c r="GDQ55" s="5">
        <f>-IFERROR('4. NPV'!GDR24/'4. NPV'!GDR$8,0)</f>
        <v>-0.0</v>
      </c>
      <c r="GDR55" s="5">
        <f>-IFERROR('4. NPV'!GDS24/'4. NPV'!GDS$8,0)</f>
        <v>-0.0</v>
      </c>
      <c r="GDS55" s="5">
        <f>-IFERROR('4. NPV'!GDT24/'4. NPV'!GDT$8,0)</f>
        <v>-0.0</v>
      </c>
      <c r="GDT55" s="5">
        <f>-IFERROR('4. NPV'!GDU24/'4. NPV'!GDU$8,0)</f>
        <v>-0.0</v>
      </c>
      <c r="GDU55" s="5">
        <f>-IFERROR('4. NPV'!GDV24/'4. NPV'!GDV$8,0)</f>
        <v>-0.0</v>
      </c>
      <c r="GDV55" s="5">
        <f>-IFERROR('4. NPV'!GDW24/'4. NPV'!GDW$8,0)</f>
        <v>-0.0</v>
      </c>
      <c r="GDW55" s="5">
        <f>-IFERROR('4. NPV'!GDX24/'4. NPV'!GDX$8,0)</f>
        <v>-0.0</v>
      </c>
      <c r="GDX55" s="5">
        <f>-IFERROR('4. NPV'!GDY24/'4. NPV'!GDY$8,0)</f>
        <v>-0.0</v>
      </c>
      <c r="GDY55" s="5">
        <f>-IFERROR('4. NPV'!GDZ24/'4. NPV'!GDZ$8,0)</f>
        <v>-0.0</v>
      </c>
      <c r="GDZ55" s="5">
        <f>-IFERROR('4. NPV'!GEA24/'4. NPV'!GEA$8,0)</f>
        <v>-0.0</v>
      </c>
      <c r="GEA55" s="5">
        <f>-IFERROR('4. NPV'!GEB24/'4. NPV'!GEB$8,0)</f>
        <v>-0.0</v>
      </c>
      <c r="GEB55" s="5">
        <f>-IFERROR('4. NPV'!GEC24/'4. NPV'!GEC$8,0)</f>
        <v>-0.0</v>
      </c>
      <c r="GEC55" s="5">
        <f>-IFERROR('4. NPV'!GED24/'4. NPV'!GED$8,0)</f>
        <v>-0.0</v>
      </c>
      <c r="GED55" s="5">
        <f>-IFERROR('4. NPV'!GEE24/'4. NPV'!GEE$8,0)</f>
        <v>-0.0</v>
      </c>
      <c r="GEE55" s="5">
        <f>-IFERROR('4. NPV'!GEF24/'4. NPV'!GEF$8,0)</f>
        <v>-0.0</v>
      </c>
      <c r="GEF55" s="5">
        <f>-IFERROR('4. NPV'!GEG24/'4. NPV'!GEG$8,0)</f>
        <v>-0.0</v>
      </c>
      <c r="GEG55" s="5">
        <f>-IFERROR('4. NPV'!GEH24/'4. NPV'!GEH$8,0)</f>
        <v>-0.0</v>
      </c>
      <c r="GEH55" s="5">
        <f>-IFERROR('4. NPV'!GEI24/'4. NPV'!GEI$8,0)</f>
        <v>-0.0</v>
      </c>
      <c r="GEI55" s="5">
        <f>-IFERROR('4. NPV'!GEJ24/'4. NPV'!GEJ$8,0)</f>
        <v>-0.0</v>
      </c>
      <c r="GEJ55" s="5">
        <f>-IFERROR('4. NPV'!GEK24/'4. NPV'!GEK$8,0)</f>
        <v>-0.0</v>
      </c>
      <c r="GEK55" s="5">
        <f>-IFERROR('4. NPV'!GEL24/'4. NPV'!GEL$8,0)</f>
        <v>-0.0</v>
      </c>
      <c r="GEL55" s="5">
        <f>-IFERROR('4. NPV'!GEM24/'4. NPV'!GEM$8,0)</f>
        <v>-0.0</v>
      </c>
      <c r="GEM55" s="5">
        <f>-IFERROR('4. NPV'!GEN24/'4. NPV'!GEN$8,0)</f>
        <v>-0.0</v>
      </c>
      <c r="GEN55" s="5">
        <f>-IFERROR('4. NPV'!GEO24/'4. NPV'!GEO$8,0)</f>
        <v>-0.0</v>
      </c>
      <c r="GEO55" s="5">
        <f>-IFERROR('4. NPV'!GEP24/'4. NPV'!GEP$8,0)</f>
        <v>-0.0</v>
      </c>
      <c r="GEP55" s="5">
        <f>-IFERROR('4. NPV'!GEQ24/'4. NPV'!GEQ$8,0)</f>
        <v>-0.0</v>
      </c>
      <c r="GEQ55" s="5">
        <f>-IFERROR('4. NPV'!GER24/'4. NPV'!GER$8,0)</f>
        <v>-0.0</v>
      </c>
      <c r="GER55" s="5">
        <f>-IFERROR('4. NPV'!GES24/'4. NPV'!GES$8,0)</f>
        <v>-0.0</v>
      </c>
      <c r="GES55" s="5">
        <f>-IFERROR('4. NPV'!GET24/'4. NPV'!GET$8,0)</f>
        <v>-0.0</v>
      </c>
      <c r="GET55" s="5">
        <f>-IFERROR('4. NPV'!GEU24/'4. NPV'!GEU$8,0)</f>
        <v>-0.0</v>
      </c>
      <c r="GEU55" s="5">
        <f>-IFERROR('4. NPV'!GEV24/'4. NPV'!GEV$8,0)</f>
        <v>-0.0</v>
      </c>
      <c r="GEV55" s="5">
        <f>-IFERROR('4. NPV'!GEW24/'4. NPV'!GEW$8,0)</f>
        <v>-0.0</v>
      </c>
      <c r="GEW55" s="5">
        <f>-IFERROR('4. NPV'!GEX24/'4. NPV'!GEX$8,0)</f>
        <v>-0.0</v>
      </c>
      <c r="GEX55" s="5">
        <f>-IFERROR('4. NPV'!GEY24/'4. NPV'!GEY$8,0)</f>
        <v>-0.0</v>
      </c>
      <c r="GEY55" s="5">
        <f>-IFERROR('4. NPV'!GEZ24/'4. NPV'!GEZ$8,0)</f>
        <v>-0.0</v>
      </c>
      <c r="GEZ55" s="5">
        <f>-IFERROR('4. NPV'!GFA24/'4. NPV'!GFA$8,0)</f>
        <v>-0.0</v>
      </c>
      <c r="GFA55" s="5">
        <f>-IFERROR('4. NPV'!GFB24/'4. NPV'!GFB$8,0)</f>
        <v>-0.0</v>
      </c>
      <c r="GFB55" s="5">
        <f>-IFERROR('4. NPV'!GFC24/'4. NPV'!GFC$8,0)</f>
        <v>-0.0</v>
      </c>
      <c r="GFC55" s="5">
        <f>-IFERROR('4. NPV'!GFD24/'4. NPV'!GFD$8,0)</f>
        <v>-0.0</v>
      </c>
      <c r="GFD55" s="5">
        <f>-IFERROR('4. NPV'!GFE24/'4. NPV'!GFE$8,0)</f>
        <v>-0.0</v>
      </c>
      <c r="GFE55" s="5">
        <f>-IFERROR('4. NPV'!GFF24/'4. NPV'!GFF$8,0)</f>
        <v>-0.0</v>
      </c>
      <c r="GFF55" s="5">
        <f>-IFERROR('4. NPV'!GFG24/'4. NPV'!GFG$8,0)</f>
        <v>-0.0</v>
      </c>
      <c r="GFG55" s="5">
        <f>-IFERROR('4. NPV'!GFH24/'4. NPV'!GFH$8,0)</f>
        <v>-0.0</v>
      </c>
      <c r="GFH55" s="5">
        <f>-IFERROR('4. NPV'!GFI24/'4. NPV'!GFI$8,0)</f>
        <v>-0.0</v>
      </c>
      <c r="GFI55" s="5">
        <f>-IFERROR('4. NPV'!GFJ24/'4. NPV'!GFJ$8,0)</f>
        <v>-0.0</v>
      </c>
      <c r="GFJ55" s="5">
        <f>-IFERROR('4. NPV'!GFK24/'4. NPV'!GFK$8,0)</f>
        <v>-0.0</v>
      </c>
      <c r="GFK55" s="5">
        <f>-IFERROR('4. NPV'!GFL24/'4. NPV'!GFL$8,0)</f>
        <v>-0.0</v>
      </c>
      <c r="GFL55" s="5">
        <f>-IFERROR('4. NPV'!GFM24/'4. NPV'!GFM$8,0)</f>
        <v>-0.0</v>
      </c>
      <c r="GFM55" s="5">
        <f>-IFERROR('4. NPV'!GFN24/'4. NPV'!GFN$8,0)</f>
        <v>-0.0</v>
      </c>
      <c r="GFN55" s="5">
        <f>-IFERROR('4. NPV'!GFO24/'4. NPV'!GFO$8,0)</f>
        <v>-0.0</v>
      </c>
      <c r="GFO55" s="5">
        <f>-IFERROR('4. NPV'!GFP24/'4. NPV'!GFP$8,0)</f>
        <v>-0.0</v>
      </c>
      <c r="GFP55" s="5">
        <f>-IFERROR('4. NPV'!GFQ24/'4. NPV'!GFQ$8,0)</f>
        <v>-0.0</v>
      </c>
      <c r="GFQ55" s="5">
        <f>-IFERROR('4. NPV'!GFR24/'4. NPV'!GFR$8,0)</f>
        <v>-0.0</v>
      </c>
      <c r="GFR55" s="5">
        <f>-IFERROR('4. NPV'!GFS24/'4. NPV'!GFS$8,0)</f>
        <v>-0.0</v>
      </c>
      <c r="GFS55" s="5">
        <f>-IFERROR('4. NPV'!GFT24/'4. NPV'!GFT$8,0)</f>
        <v>-0.0</v>
      </c>
      <c r="GFT55" s="5">
        <f>-IFERROR('4. NPV'!GFU24/'4. NPV'!GFU$8,0)</f>
        <v>-0.0</v>
      </c>
      <c r="GFU55" s="5">
        <f>-IFERROR('4. NPV'!GFV24/'4. NPV'!GFV$8,0)</f>
        <v>-0.0</v>
      </c>
      <c r="GFV55" s="5">
        <f>-IFERROR('4. NPV'!GFW24/'4. NPV'!GFW$8,0)</f>
        <v>-0.0</v>
      </c>
      <c r="GFW55" s="5">
        <f>-IFERROR('4. NPV'!GFX24/'4. NPV'!GFX$8,0)</f>
        <v>-0.0</v>
      </c>
      <c r="GFX55" s="5">
        <f>-IFERROR('4. NPV'!GFY24/'4. NPV'!GFY$8,0)</f>
        <v>-0.0</v>
      </c>
      <c r="GFY55" s="5">
        <f>-IFERROR('4. NPV'!GFZ24/'4. NPV'!GFZ$8,0)</f>
        <v>-0.0</v>
      </c>
      <c r="GFZ55" s="5">
        <f>-IFERROR('4. NPV'!GGA24/'4. NPV'!GGA$8,0)</f>
        <v>-0.0</v>
      </c>
      <c r="GGA55" s="5">
        <f>-IFERROR('4. NPV'!GGB24/'4. NPV'!GGB$8,0)</f>
        <v>-0.0</v>
      </c>
      <c r="GGB55" s="5">
        <f>-IFERROR('4. NPV'!GGC24/'4. NPV'!GGC$8,0)</f>
        <v>-0.0</v>
      </c>
      <c r="GGC55" s="5">
        <f>-IFERROR('4. NPV'!GGD24/'4. NPV'!GGD$8,0)</f>
        <v>-0.0</v>
      </c>
      <c r="GGD55" s="5">
        <f>-IFERROR('4. NPV'!GGE24/'4. NPV'!GGE$8,0)</f>
        <v>-0.0</v>
      </c>
      <c r="GGE55" s="5">
        <f>-IFERROR('4. NPV'!GGF24/'4. NPV'!GGF$8,0)</f>
        <v>-0.0</v>
      </c>
      <c r="GGF55" s="5">
        <f>-IFERROR('4. NPV'!GGG24/'4. NPV'!GGG$8,0)</f>
        <v>-0.0</v>
      </c>
      <c r="GGG55" s="5">
        <f>-IFERROR('4. NPV'!GGH24/'4. NPV'!GGH$8,0)</f>
        <v>-0.0</v>
      </c>
      <c r="GGH55" s="5">
        <f>-IFERROR('4. NPV'!GGI24/'4. NPV'!GGI$8,0)</f>
        <v>-0.0</v>
      </c>
      <c r="GGI55" s="5">
        <f>-IFERROR('4. NPV'!GGJ24/'4. NPV'!GGJ$8,0)</f>
        <v>-0.0</v>
      </c>
      <c r="GGJ55" s="5">
        <f>-IFERROR('4. NPV'!GGK24/'4. NPV'!GGK$8,0)</f>
        <v>-0.0</v>
      </c>
      <c r="GGK55" s="5">
        <f>-IFERROR('4. NPV'!GGL24/'4. NPV'!GGL$8,0)</f>
        <v>-0.0</v>
      </c>
      <c r="GGL55" s="5">
        <f>-IFERROR('4. NPV'!GGM24/'4. NPV'!GGM$8,0)</f>
        <v>-0.0</v>
      </c>
      <c r="GGM55" s="5">
        <f>-IFERROR('4. NPV'!GGN24/'4. NPV'!GGN$8,0)</f>
        <v>-0.0</v>
      </c>
      <c r="GGN55" s="5">
        <f>-IFERROR('4. NPV'!GGO24/'4. NPV'!GGO$8,0)</f>
        <v>-0.0</v>
      </c>
      <c r="GGO55" s="5">
        <f>-IFERROR('4. NPV'!GGP24/'4. NPV'!GGP$8,0)</f>
        <v>-0.0</v>
      </c>
      <c r="GGP55" s="5">
        <f>-IFERROR('4. NPV'!GGQ24/'4. NPV'!GGQ$8,0)</f>
        <v>-0.0</v>
      </c>
      <c r="GGQ55" s="5">
        <f>-IFERROR('4. NPV'!GGR24/'4. NPV'!GGR$8,0)</f>
        <v>-0.0</v>
      </c>
      <c r="GGR55" s="5">
        <f>-IFERROR('4. NPV'!GGS24/'4. NPV'!GGS$8,0)</f>
        <v>-0.0</v>
      </c>
      <c r="GGS55" s="5">
        <f>-IFERROR('4. NPV'!GGT24/'4. NPV'!GGT$8,0)</f>
        <v>-0.0</v>
      </c>
      <c r="GGT55" s="5">
        <f>-IFERROR('4. NPV'!GGU24/'4. NPV'!GGU$8,0)</f>
        <v>-0.0</v>
      </c>
      <c r="GGU55" s="5">
        <f>-IFERROR('4. NPV'!GGV24/'4. NPV'!GGV$8,0)</f>
        <v>-0.0</v>
      </c>
      <c r="GGV55" s="5">
        <f>-IFERROR('4. NPV'!GGW24/'4. NPV'!GGW$8,0)</f>
        <v>-0.0</v>
      </c>
      <c r="GGW55" s="5">
        <f>-IFERROR('4. NPV'!GGX24/'4. NPV'!GGX$8,0)</f>
        <v>-0.0</v>
      </c>
      <c r="GGX55" s="5">
        <f>-IFERROR('4. NPV'!GGY24/'4. NPV'!GGY$8,0)</f>
        <v>-0.0</v>
      </c>
      <c r="GGY55" s="5">
        <f>-IFERROR('4. NPV'!GGZ24/'4. NPV'!GGZ$8,0)</f>
        <v>-0.0</v>
      </c>
      <c r="GGZ55" s="5">
        <f>-IFERROR('4. NPV'!GHA24/'4. NPV'!GHA$8,0)</f>
        <v>-0.0</v>
      </c>
      <c r="GHA55" s="5">
        <f>-IFERROR('4. NPV'!GHB24/'4. NPV'!GHB$8,0)</f>
        <v>-0.0</v>
      </c>
      <c r="GHB55" s="5">
        <f>-IFERROR('4. NPV'!GHC24/'4. NPV'!GHC$8,0)</f>
        <v>-0.0</v>
      </c>
      <c r="GHC55" s="5">
        <f>-IFERROR('4. NPV'!GHD24/'4. NPV'!GHD$8,0)</f>
        <v>-0.0</v>
      </c>
      <c r="GHD55" s="5">
        <f>-IFERROR('4. NPV'!GHE24/'4. NPV'!GHE$8,0)</f>
        <v>-0.0</v>
      </c>
      <c r="GHE55" s="5">
        <f>-IFERROR('4. NPV'!GHF24/'4. NPV'!GHF$8,0)</f>
        <v>-0.0</v>
      </c>
      <c r="GHF55" s="5">
        <f>-IFERROR('4. NPV'!GHG24/'4. NPV'!GHG$8,0)</f>
        <v>-0.0</v>
      </c>
      <c r="GHG55" s="5">
        <f>-IFERROR('4. NPV'!GHH24/'4. NPV'!GHH$8,0)</f>
        <v>-0.0</v>
      </c>
      <c r="GHH55" s="5">
        <f>-IFERROR('4. NPV'!GHI24/'4. NPV'!GHI$8,0)</f>
        <v>-0.0</v>
      </c>
      <c r="GHI55" s="5">
        <f>-IFERROR('4. NPV'!GHJ24/'4. NPV'!GHJ$8,0)</f>
        <v>-0.0</v>
      </c>
      <c r="GHJ55" s="5">
        <f>-IFERROR('4. NPV'!GHK24/'4. NPV'!GHK$8,0)</f>
        <v>-0.0</v>
      </c>
      <c r="GHK55" s="5">
        <f>-IFERROR('4. NPV'!GHL24/'4. NPV'!GHL$8,0)</f>
        <v>-0.0</v>
      </c>
      <c r="GHL55" s="5">
        <f>-IFERROR('4. NPV'!GHM24/'4. NPV'!GHM$8,0)</f>
        <v>-0.0</v>
      </c>
      <c r="GHM55" s="5">
        <f>-IFERROR('4. NPV'!GHN24/'4. NPV'!GHN$8,0)</f>
        <v>-0.0</v>
      </c>
      <c r="GHN55" s="5">
        <f>-IFERROR('4. NPV'!GHO24/'4. NPV'!GHO$8,0)</f>
        <v>-0.0</v>
      </c>
      <c r="GHO55" s="5">
        <f>-IFERROR('4. NPV'!GHP24/'4. NPV'!GHP$8,0)</f>
        <v>-0.0</v>
      </c>
      <c r="GHP55" s="5">
        <f>-IFERROR('4. NPV'!GHQ24/'4. NPV'!GHQ$8,0)</f>
        <v>-0.0</v>
      </c>
      <c r="GHQ55" s="5">
        <f>-IFERROR('4. NPV'!GHR24/'4. NPV'!GHR$8,0)</f>
        <v>-0.0</v>
      </c>
      <c r="GHR55" s="5">
        <f>-IFERROR('4. NPV'!GHS24/'4. NPV'!GHS$8,0)</f>
        <v>-0.0</v>
      </c>
      <c r="GHS55" s="5">
        <f>-IFERROR('4. NPV'!GHT24/'4. NPV'!GHT$8,0)</f>
        <v>-0.0</v>
      </c>
      <c r="GHT55" s="5">
        <f>-IFERROR('4. NPV'!GHU24/'4. NPV'!GHU$8,0)</f>
        <v>-0.0</v>
      </c>
      <c r="GHU55" s="5">
        <f>-IFERROR('4. NPV'!GHV24/'4. NPV'!GHV$8,0)</f>
        <v>-0.0</v>
      </c>
      <c r="GHV55" s="5">
        <f>-IFERROR('4. NPV'!GHW24/'4. NPV'!GHW$8,0)</f>
        <v>-0.0</v>
      </c>
      <c r="GHW55" s="5">
        <f>-IFERROR('4. NPV'!GHX24/'4. NPV'!GHX$8,0)</f>
        <v>-0.0</v>
      </c>
      <c r="GHX55" s="5">
        <f>-IFERROR('4. NPV'!GHY24/'4. NPV'!GHY$8,0)</f>
        <v>-0.0</v>
      </c>
      <c r="GHY55" s="5">
        <f>-IFERROR('4. NPV'!GHZ24/'4. NPV'!GHZ$8,0)</f>
        <v>-0.0</v>
      </c>
      <c r="GHZ55" s="5">
        <f>-IFERROR('4. NPV'!GIA24/'4. NPV'!GIA$8,0)</f>
        <v>-0.0</v>
      </c>
      <c r="GIA55" s="5">
        <f>-IFERROR('4. NPV'!GIB24/'4. NPV'!GIB$8,0)</f>
        <v>-0.0</v>
      </c>
      <c r="GIB55" s="5">
        <f>-IFERROR('4. NPV'!GIC24/'4. NPV'!GIC$8,0)</f>
        <v>-0.0</v>
      </c>
      <c r="GIC55" s="5">
        <f>-IFERROR('4. NPV'!GID24/'4. NPV'!GID$8,0)</f>
        <v>-0.0</v>
      </c>
      <c r="GID55" s="5">
        <f>-IFERROR('4. NPV'!GIE24/'4. NPV'!GIE$8,0)</f>
        <v>-0.0</v>
      </c>
      <c r="GIE55" s="5">
        <f>-IFERROR('4. NPV'!GIF24/'4. NPV'!GIF$8,0)</f>
        <v>-0.0</v>
      </c>
      <c r="GIF55" s="5">
        <f>-IFERROR('4. NPV'!GIG24/'4. NPV'!GIG$8,0)</f>
        <v>-0.0</v>
      </c>
      <c r="GIG55" s="5">
        <f>-IFERROR('4. NPV'!GIH24/'4. NPV'!GIH$8,0)</f>
        <v>-0.0</v>
      </c>
      <c r="GIH55" s="5">
        <f>-IFERROR('4. NPV'!GII24/'4. NPV'!GII$8,0)</f>
        <v>-0.0</v>
      </c>
      <c r="GII55" s="5">
        <f>-IFERROR('4. NPV'!GIJ24/'4. NPV'!GIJ$8,0)</f>
        <v>-0.0</v>
      </c>
      <c r="GIJ55" s="5">
        <f>-IFERROR('4. NPV'!GIK24/'4. NPV'!GIK$8,0)</f>
        <v>-0.0</v>
      </c>
      <c r="GIK55" s="5">
        <f>-IFERROR('4. NPV'!GIL24/'4. NPV'!GIL$8,0)</f>
        <v>-0.0</v>
      </c>
      <c r="GIL55" s="5">
        <f>-IFERROR('4. NPV'!GIM24/'4. NPV'!GIM$8,0)</f>
        <v>-0.0</v>
      </c>
      <c r="GIM55" s="5">
        <f>-IFERROR('4. NPV'!GIN24/'4. NPV'!GIN$8,0)</f>
        <v>-0.0</v>
      </c>
      <c r="GIN55" s="5">
        <f>-IFERROR('4. NPV'!GIO24/'4. NPV'!GIO$8,0)</f>
        <v>-0.0</v>
      </c>
      <c r="GIO55" s="5">
        <f>-IFERROR('4. NPV'!GIP24/'4. NPV'!GIP$8,0)</f>
        <v>-0.0</v>
      </c>
      <c r="GIP55" s="5">
        <f>-IFERROR('4. NPV'!GIQ24/'4. NPV'!GIQ$8,0)</f>
        <v>-0.0</v>
      </c>
      <c r="GIQ55" s="5">
        <f>-IFERROR('4. NPV'!GIR24/'4. NPV'!GIR$8,0)</f>
        <v>-0.0</v>
      </c>
      <c r="GIR55" s="5">
        <f>-IFERROR('4. NPV'!GIS24/'4. NPV'!GIS$8,0)</f>
        <v>-0.0</v>
      </c>
      <c r="GIS55" s="5">
        <f>-IFERROR('4. NPV'!GIT24/'4. NPV'!GIT$8,0)</f>
        <v>-0.0</v>
      </c>
      <c r="GIT55" s="5">
        <f>-IFERROR('4. NPV'!GIU24/'4. NPV'!GIU$8,0)</f>
        <v>-0.0</v>
      </c>
      <c r="GIU55" s="5">
        <f>-IFERROR('4. NPV'!GIV24/'4. NPV'!GIV$8,0)</f>
        <v>-0.0</v>
      </c>
      <c r="GIV55" s="5">
        <f>-IFERROR('4. NPV'!GIW24/'4. NPV'!GIW$8,0)</f>
        <v>-0.0</v>
      </c>
      <c r="GIW55" s="5">
        <f>-IFERROR('4. NPV'!GIX24/'4. NPV'!GIX$8,0)</f>
        <v>-0.0</v>
      </c>
      <c r="GIX55" s="5">
        <f>-IFERROR('4. NPV'!GIY24/'4. NPV'!GIY$8,0)</f>
        <v>-0.0</v>
      </c>
      <c r="GIY55" s="5">
        <f>-IFERROR('4. NPV'!GIZ24/'4. NPV'!GIZ$8,0)</f>
        <v>-0.0</v>
      </c>
      <c r="GIZ55" s="5">
        <f>-IFERROR('4. NPV'!GJA24/'4. NPV'!GJA$8,0)</f>
        <v>-0.0</v>
      </c>
      <c r="GJA55" s="5">
        <f>-IFERROR('4. NPV'!GJB24/'4. NPV'!GJB$8,0)</f>
        <v>-0.0</v>
      </c>
      <c r="GJB55" s="5">
        <f>-IFERROR('4. NPV'!GJC24/'4. NPV'!GJC$8,0)</f>
        <v>-0.0</v>
      </c>
      <c r="GJC55" s="5">
        <f>-IFERROR('4. NPV'!GJD24/'4. NPV'!GJD$8,0)</f>
        <v>-0.0</v>
      </c>
      <c r="GJD55" s="5">
        <f>-IFERROR('4. NPV'!GJE24/'4. NPV'!GJE$8,0)</f>
        <v>-0.0</v>
      </c>
      <c r="GJE55" s="5">
        <f>-IFERROR('4. NPV'!GJF24/'4. NPV'!GJF$8,0)</f>
        <v>-0.0</v>
      </c>
      <c r="GJF55" s="5">
        <f>-IFERROR('4. NPV'!GJG24/'4. NPV'!GJG$8,0)</f>
        <v>-0.0</v>
      </c>
      <c r="GJG55" s="5">
        <f>-IFERROR('4. NPV'!GJH24/'4. NPV'!GJH$8,0)</f>
        <v>-0.0</v>
      </c>
      <c r="GJH55" s="5">
        <f>-IFERROR('4. NPV'!GJI24/'4. NPV'!GJI$8,0)</f>
        <v>-0.0</v>
      </c>
      <c r="GJI55" s="5">
        <f>-IFERROR('4. NPV'!GJJ24/'4. NPV'!GJJ$8,0)</f>
        <v>-0.0</v>
      </c>
      <c r="GJJ55" s="5">
        <f>-IFERROR('4. NPV'!GJK24/'4. NPV'!GJK$8,0)</f>
        <v>-0.0</v>
      </c>
      <c r="GJK55" s="5">
        <f>-IFERROR('4. NPV'!GJL24/'4. NPV'!GJL$8,0)</f>
        <v>-0.0</v>
      </c>
      <c r="GJL55" s="5">
        <f>-IFERROR('4. NPV'!GJM24/'4. NPV'!GJM$8,0)</f>
        <v>-0.0</v>
      </c>
      <c r="GJM55" s="5">
        <f>-IFERROR('4. NPV'!GJN24/'4. NPV'!GJN$8,0)</f>
        <v>-0.0</v>
      </c>
      <c r="GJN55" s="5">
        <f>-IFERROR('4. NPV'!GJO24/'4. NPV'!GJO$8,0)</f>
        <v>-0.0</v>
      </c>
      <c r="GJO55" s="5">
        <f>-IFERROR('4. NPV'!GJP24/'4. NPV'!GJP$8,0)</f>
        <v>-0.0</v>
      </c>
      <c r="GJP55" s="5">
        <f>-IFERROR('4. NPV'!GJQ24/'4. NPV'!GJQ$8,0)</f>
        <v>-0.0</v>
      </c>
      <c r="GJQ55" s="5">
        <f>-IFERROR('4. NPV'!GJR24/'4. NPV'!GJR$8,0)</f>
        <v>-0.0</v>
      </c>
      <c r="GJR55" s="5">
        <f>-IFERROR('4. NPV'!GJS24/'4. NPV'!GJS$8,0)</f>
        <v>-0.0</v>
      </c>
      <c r="GJS55" s="5">
        <f>-IFERROR('4. NPV'!GJT24/'4. NPV'!GJT$8,0)</f>
        <v>-0.0</v>
      </c>
      <c r="GJT55" s="5">
        <f>-IFERROR('4. NPV'!GJU24/'4. NPV'!GJU$8,0)</f>
        <v>-0.0</v>
      </c>
      <c r="GJU55" s="5">
        <f>-IFERROR('4. NPV'!GJV24/'4. NPV'!GJV$8,0)</f>
        <v>-0.0</v>
      </c>
      <c r="GJV55" s="5">
        <f>-IFERROR('4. NPV'!GJW24/'4. NPV'!GJW$8,0)</f>
        <v>-0.0</v>
      </c>
      <c r="GJW55" s="5">
        <f>-IFERROR('4. NPV'!GJX24/'4. NPV'!GJX$8,0)</f>
        <v>-0.0</v>
      </c>
      <c r="GJX55" s="5">
        <f>-IFERROR('4. NPV'!GJY24/'4. NPV'!GJY$8,0)</f>
        <v>-0.0</v>
      </c>
      <c r="GJY55" s="5">
        <f>-IFERROR('4. NPV'!GJZ24/'4. NPV'!GJZ$8,0)</f>
        <v>-0.0</v>
      </c>
      <c r="GJZ55" s="5">
        <f>-IFERROR('4. NPV'!GKA24/'4. NPV'!GKA$8,0)</f>
        <v>-0.0</v>
      </c>
      <c r="GKA55" s="5">
        <f>-IFERROR('4. NPV'!GKB24/'4. NPV'!GKB$8,0)</f>
        <v>-0.0</v>
      </c>
      <c r="GKB55" s="5">
        <f>-IFERROR('4. NPV'!GKC24/'4. NPV'!GKC$8,0)</f>
        <v>-0.0</v>
      </c>
      <c r="GKC55" s="5">
        <f>-IFERROR('4. NPV'!GKD24/'4. NPV'!GKD$8,0)</f>
        <v>-0.0</v>
      </c>
      <c r="GKD55" s="5">
        <f>-IFERROR('4. NPV'!GKE24/'4. NPV'!GKE$8,0)</f>
        <v>-0.0</v>
      </c>
      <c r="GKE55" s="5">
        <f>-IFERROR('4. NPV'!GKF24/'4. NPV'!GKF$8,0)</f>
        <v>-0.0</v>
      </c>
      <c r="GKF55" s="5">
        <f>-IFERROR('4. NPV'!GKG24/'4. NPV'!GKG$8,0)</f>
        <v>-0.0</v>
      </c>
      <c r="GKG55" s="5">
        <f>-IFERROR('4. NPV'!GKH24/'4. NPV'!GKH$8,0)</f>
        <v>-0.0</v>
      </c>
      <c r="GKH55" s="5">
        <f>-IFERROR('4. NPV'!GKI24/'4. NPV'!GKI$8,0)</f>
        <v>-0.0</v>
      </c>
      <c r="GKI55" s="5">
        <f>-IFERROR('4. NPV'!GKJ24/'4. NPV'!GKJ$8,0)</f>
        <v>-0.0</v>
      </c>
      <c r="GKJ55" s="5">
        <f>-IFERROR('4. NPV'!GKK24/'4. NPV'!GKK$8,0)</f>
        <v>-0.0</v>
      </c>
      <c r="GKK55" s="5">
        <f>-IFERROR('4. NPV'!GKL24/'4. NPV'!GKL$8,0)</f>
        <v>-0.0</v>
      </c>
      <c r="GKL55" s="5">
        <f>-IFERROR('4. NPV'!GKM24/'4. NPV'!GKM$8,0)</f>
        <v>-0.0</v>
      </c>
      <c r="GKM55" s="5">
        <f>-IFERROR('4. NPV'!GKN24/'4. NPV'!GKN$8,0)</f>
        <v>-0.0</v>
      </c>
      <c r="GKN55" s="5">
        <f>-IFERROR('4. NPV'!GKO24/'4. NPV'!GKO$8,0)</f>
        <v>-0.0</v>
      </c>
      <c r="GKO55" s="5">
        <f>-IFERROR('4. NPV'!GKP24/'4. NPV'!GKP$8,0)</f>
        <v>-0.0</v>
      </c>
      <c r="GKP55" s="5">
        <f>-IFERROR('4. NPV'!GKQ24/'4. NPV'!GKQ$8,0)</f>
        <v>-0.0</v>
      </c>
      <c r="GKQ55" s="5">
        <f>-IFERROR('4. NPV'!GKR24/'4. NPV'!GKR$8,0)</f>
        <v>-0.0</v>
      </c>
      <c r="GKR55" s="5">
        <f>-IFERROR('4. NPV'!GKS24/'4. NPV'!GKS$8,0)</f>
        <v>-0.0</v>
      </c>
      <c r="GKS55" s="5">
        <f>-IFERROR('4. NPV'!GKT24/'4. NPV'!GKT$8,0)</f>
        <v>-0.0</v>
      </c>
      <c r="GKT55" s="5">
        <f>-IFERROR('4. NPV'!GKU24/'4. NPV'!GKU$8,0)</f>
        <v>-0.0</v>
      </c>
      <c r="GKU55" s="5">
        <f>-IFERROR('4. NPV'!GKV24/'4. NPV'!GKV$8,0)</f>
        <v>-0.0</v>
      </c>
      <c r="GKV55" s="5">
        <f>-IFERROR('4. NPV'!GKW24/'4. NPV'!GKW$8,0)</f>
        <v>-0.0</v>
      </c>
      <c r="GKW55" s="5">
        <f>-IFERROR('4. NPV'!GKX24/'4. NPV'!GKX$8,0)</f>
        <v>-0.0</v>
      </c>
      <c r="GKX55" s="5">
        <f>-IFERROR('4. NPV'!GKY24/'4. NPV'!GKY$8,0)</f>
        <v>-0.0</v>
      </c>
      <c r="GKY55" s="5">
        <f>-IFERROR('4. NPV'!GKZ24/'4. NPV'!GKZ$8,0)</f>
        <v>-0.0</v>
      </c>
      <c r="GKZ55" s="5">
        <f>-IFERROR('4. NPV'!GLA24/'4. NPV'!GLA$8,0)</f>
        <v>-0.0</v>
      </c>
      <c r="GLA55" s="5">
        <f>-IFERROR('4. NPV'!GLB24/'4. NPV'!GLB$8,0)</f>
        <v>-0.0</v>
      </c>
      <c r="GLB55" s="5">
        <f>-IFERROR('4. NPV'!GLC24/'4. NPV'!GLC$8,0)</f>
        <v>-0.0</v>
      </c>
      <c r="GLC55" s="5">
        <f>-IFERROR('4. NPV'!GLD24/'4. NPV'!GLD$8,0)</f>
        <v>-0.0</v>
      </c>
      <c r="GLD55" s="5">
        <f>-IFERROR('4. NPV'!GLE24/'4. NPV'!GLE$8,0)</f>
        <v>-0.0</v>
      </c>
      <c r="GLE55" s="5">
        <f>-IFERROR('4. NPV'!GLF24/'4. NPV'!GLF$8,0)</f>
        <v>-0.0</v>
      </c>
      <c r="GLF55" s="5">
        <f>-IFERROR('4. NPV'!GLG24/'4. NPV'!GLG$8,0)</f>
        <v>-0.0</v>
      </c>
      <c r="GLG55" s="5">
        <f>-IFERROR('4. NPV'!GLH24/'4. NPV'!GLH$8,0)</f>
        <v>-0.0</v>
      </c>
      <c r="GLH55" s="5">
        <f>-IFERROR('4. NPV'!GLI24/'4. NPV'!GLI$8,0)</f>
        <v>-0.0</v>
      </c>
      <c r="GLI55" s="5">
        <f>-IFERROR('4. NPV'!GLJ24/'4. NPV'!GLJ$8,0)</f>
        <v>-0.0</v>
      </c>
      <c r="GLJ55" s="5">
        <f>-IFERROR('4. NPV'!GLK24/'4. NPV'!GLK$8,0)</f>
        <v>-0.0</v>
      </c>
      <c r="GLK55" s="5">
        <f>-IFERROR('4. NPV'!GLL24/'4. NPV'!GLL$8,0)</f>
        <v>-0.0</v>
      </c>
      <c r="GLL55" s="5">
        <f>-IFERROR('4. NPV'!GLM24/'4. NPV'!GLM$8,0)</f>
        <v>-0.0</v>
      </c>
      <c r="GLM55" s="5">
        <f>-IFERROR('4. NPV'!GLN24/'4. NPV'!GLN$8,0)</f>
        <v>-0.0</v>
      </c>
      <c r="GLN55" s="5">
        <f>-IFERROR('4. NPV'!GLO24/'4. NPV'!GLO$8,0)</f>
        <v>-0.0</v>
      </c>
      <c r="GLO55" s="5">
        <f>-IFERROR('4. NPV'!GLP24/'4. NPV'!GLP$8,0)</f>
        <v>-0.0</v>
      </c>
      <c r="GLP55" s="5">
        <f>-IFERROR('4. NPV'!GLQ24/'4. NPV'!GLQ$8,0)</f>
        <v>-0.0</v>
      </c>
      <c r="GLQ55" s="5">
        <f>-IFERROR('4. NPV'!GLR24/'4. NPV'!GLR$8,0)</f>
        <v>-0.0</v>
      </c>
      <c r="GLR55" s="5">
        <f>-IFERROR('4. NPV'!GLS24/'4. NPV'!GLS$8,0)</f>
        <v>-0.0</v>
      </c>
      <c r="GLS55" s="5">
        <f>-IFERROR('4. NPV'!GLT24/'4. NPV'!GLT$8,0)</f>
        <v>-0.0</v>
      </c>
      <c r="GLT55" s="5">
        <f>-IFERROR('4. NPV'!GLU24/'4. NPV'!GLU$8,0)</f>
        <v>-0.0</v>
      </c>
      <c r="GLU55" s="5">
        <f>-IFERROR('4. NPV'!GLV24/'4. NPV'!GLV$8,0)</f>
        <v>-0.0</v>
      </c>
      <c r="GLV55" s="5">
        <f>-IFERROR('4. NPV'!GLW24/'4. NPV'!GLW$8,0)</f>
        <v>-0.0</v>
      </c>
      <c r="GLW55" s="5">
        <f>-IFERROR('4. NPV'!GLX24/'4. NPV'!GLX$8,0)</f>
        <v>-0.0</v>
      </c>
      <c r="GLX55" s="5">
        <f>-IFERROR('4. NPV'!GLY24/'4. NPV'!GLY$8,0)</f>
        <v>-0.0</v>
      </c>
      <c r="GLY55" s="5">
        <f>-IFERROR('4. NPV'!GLZ24/'4. NPV'!GLZ$8,0)</f>
        <v>-0.0</v>
      </c>
      <c r="GLZ55" s="5">
        <f>-IFERROR('4. NPV'!GMA24/'4. NPV'!GMA$8,0)</f>
        <v>-0.0</v>
      </c>
      <c r="GMA55" s="5">
        <f>-IFERROR('4. NPV'!GMB24/'4. NPV'!GMB$8,0)</f>
        <v>-0.0</v>
      </c>
      <c r="GMB55" s="5">
        <f>-IFERROR('4. NPV'!GMC24/'4. NPV'!GMC$8,0)</f>
        <v>-0.0</v>
      </c>
      <c r="GMC55" s="5">
        <f>-IFERROR('4. NPV'!GMD24/'4. NPV'!GMD$8,0)</f>
        <v>-0.0</v>
      </c>
      <c r="GMD55" s="5">
        <f>-IFERROR('4. NPV'!GME24/'4. NPV'!GME$8,0)</f>
        <v>-0.0</v>
      </c>
      <c r="GME55" s="5">
        <f>-IFERROR('4. NPV'!GMF24/'4. NPV'!GMF$8,0)</f>
        <v>-0.0</v>
      </c>
      <c r="GMF55" s="5">
        <f>-IFERROR('4. NPV'!GMG24/'4. NPV'!GMG$8,0)</f>
        <v>-0.0</v>
      </c>
      <c r="GMG55" s="5">
        <f>-IFERROR('4. NPV'!GMH24/'4. NPV'!GMH$8,0)</f>
        <v>-0.0</v>
      </c>
      <c r="GMH55" s="5">
        <f>-IFERROR('4. NPV'!GMI24/'4. NPV'!GMI$8,0)</f>
        <v>-0.0</v>
      </c>
      <c r="GMI55" s="5">
        <f>-IFERROR('4. NPV'!GMJ24/'4. NPV'!GMJ$8,0)</f>
        <v>-0.0</v>
      </c>
      <c r="GMJ55" s="5">
        <f>-IFERROR('4. NPV'!GMK24/'4. NPV'!GMK$8,0)</f>
        <v>-0.0</v>
      </c>
      <c r="GMK55" s="5">
        <f>-IFERROR('4. NPV'!GML24/'4. NPV'!GML$8,0)</f>
        <v>-0.0</v>
      </c>
      <c r="GML55" s="5">
        <f>-IFERROR('4. NPV'!GMM24/'4. NPV'!GMM$8,0)</f>
        <v>-0.0</v>
      </c>
      <c r="GMM55" s="5">
        <f>-IFERROR('4. NPV'!GMN24/'4. NPV'!GMN$8,0)</f>
        <v>-0.0</v>
      </c>
      <c r="GMN55" s="5">
        <f>-IFERROR('4. NPV'!GMO24/'4. NPV'!GMO$8,0)</f>
        <v>-0.0</v>
      </c>
      <c r="GMO55" s="5">
        <f>-IFERROR('4. NPV'!GMP24/'4. NPV'!GMP$8,0)</f>
        <v>-0.0</v>
      </c>
      <c r="GMP55" s="5">
        <f>-IFERROR('4. NPV'!GMQ24/'4. NPV'!GMQ$8,0)</f>
        <v>-0.0</v>
      </c>
      <c r="GMQ55" s="5">
        <f>-IFERROR('4. NPV'!GMR24/'4. NPV'!GMR$8,0)</f>
        <v>-0.0</v>
      </c>
      <c r="GMR55" s="5">
        <f>-IFERROR('4. NPV'!GMS24/'4. NPV'!GMS$8,0)</f>
        <v>-0.0</v>
      </c>
      <c r="GMS55" s="5">
        <f>-IFERROR('4. NPV'!GMT24/'4. NPV'!GMT$8,0)</f>
        <v>-0.0</v>
      </c>
      <c r="GMT55" s="5">
        <f>-IFERROR('4. NPV'!GMU24/'4. NPV'!GMU$8,0)</f>
        <v>-0.0</v>
      </c>
      <c r="GMU55" s="5">
        <f>-IFERROR('4. NPV'!GMV24/'4. NPV'!GMV$8,0)</f>
        <v>-0.0</v>
      </c>
      <c r="GMV55" s="5">
        <f>-IFERROR('4. NPV'!GMW24/'4. NPV'!GMW$8,0)</f>
        <v>-0.0</v>
      </c>
      <c r="GMW55" s="5">
        <f>-IFERROR('4. NPV'!GMX24/'4. NPV'!GMX$8,0)</f>
        <v>-0.0</v>
      </c>
      <c r="GMX55" s="5">
        <f>-IFERROR('4. NPV'!GMY24/'4. NPV'!GMY$8,0)</f>
        <v>-0.0</v>
      </c>
      <c r="GMY55" s="5">
        <f>-IFERROR('4. NPV'!GMZ24/'4. NPV'!GMZ$8,0)</f>
        <v>-0.0</v>
      </c>
      <c r="GMZ55" s="5">
        <f>-IFERROR('4. NPV'!GNA24/'4. NPV'!GNA$8,0)</f>
        <v>-0.0</v>
      </c>
      <c r="GNA55" s="5">
        <f>-IFERROR('4. NPV'!GNB24/'4. NPV'!GNB$8,0)</f>
        <v>-0.0</v>
      </c>
      <c r="GNB55" s="5">
        <f>-IFERROR('4. NPV'!GNC24/'4. NPV'!GNC$8,0)</f>
        <v>-0.0</v>
      </c>
      <c r="GNC55" s="5">
        <f>-IFERROR('4. NPV'!GND24/'4. NPV'!GND$8,0)</f>
        <v>-0.0</v>
      </c>
      <c r="GND55" s="5">
        <f>-IFERROR('4. NPV'!GNE24/'4. NPV'!GNE$8,0)</f>
        <v>-0.0</v>
      </c>
      <c r="GNE55" s="5">
        <f>-IFERROR('4. NPV'!GNF24/'4. NPV'!GNF$8,0)</f>
        <v>-0.0</v>
      </c>
      <c r="GNF55" s="5">
        <f>-IFERROR('4. NPV'!GNG24/'4. NPV'!GNG$8,0)</f>
        <v>-0.0</v>
      </c>
      <c r="GNG55" s="5">
        <f>-IFERROR('4. NPV'!GNH24/'4. NPV'!GNH$8,0)</f>
        <v>-0.0</v>
      </c>
      <c r="GNH55" s="5">
        <f>-IFERROR('4. NPV'!GNI24/'4. NPV'!GNI$8,0)</f>
        <v>-0.0</v>
      </c>
      <c r="GNI55" s="5">
        <f>-IFERROR('4. NPV'!GNJ24/'4. NPV'!GNJ$8,0)</f>
        <v>-0.0</v>
      </c>
      <c r="GNJ55" s="5">
        <f>-IFERROR('4. NPV'!GNK24/'4. NPV'!GNK$8,0)</f>
        <v>-0.0</v>
      </c>
      <c r="GNK55" s="5">
        <f>-IFERROR('4. NPV'!GNL24/'4. NPV'!GNL$8,0)</f>
        <v>-0.0</v>
      </c>
      <c r="GNL55" s="5">
        <f>-IFERROR('4. NPV'!GNM24/'4. NPV'!GNM$8,0)</f>
        <v>-0.0</v>
      </c>
      <c r="GNM55" s="5">
        <f>-IFERROR('4. NPV'!GNN24/'4. NPV'!GNN$8,0)</f>
        <v>-0.0</v>
      </c>
      <c r="GNN55" s="5">
        <f>-IFERROR('4. NPV'!GNO24/'4. NPV'!GNO$8,0)</f>
        <v>-0.0</v>
      </c>
      <c r="GNO55" s="5">
        <f>-IFERROR('4. NPV'!GNP24/'4. NPV'!GNP$8,0)</f>
        <v>-0.0</v>
      </c>
      <c r="GNP55" s="5">
        <f>-IFERROR('4. NPV'!GNQ24/'4. NPV'!GNQ$8,0)</f>
        <v>-0.0</v>
      </c>
      <c r="GNQ55" s="5">
        <f>-IFERROR('4. NPV'!GNR24/'4. NPV'!GNR$8,0)</f>
        <v>-0.0</v>
      </c>
      <c r="GNR55" s="5">
        <f>-IFERROR('4. NPV'!GNS24/'4. NPV'!GNS$8,0)</f>
        <v>-0.0</v>
      </c>
      <c r="GNS55" s="5">
        <f>-IFERROR('4. NPV'!GNT24/'4. NPV'!GNT$8,0)</f>
        <v>-0.0</v>
      </c>
      <c r="GNT55" s="5">
        <f>-IFERROR('4. NPV'!GNU24/'4. NPV'!GNU$8,0)</f>
        <v>-0.0</v>
      </c>
      <c r="GNU55" s="5">
        <f>-IFERROR('4. NPV'!GNV24/'4. NPV'!GNV$8,0)</f>
        <v>-0.0</v>
      </c>
      <c r="GNV55" s="5">
        <f>-IFERROR('4. NPV'!GNW24/'4. NPV'!GNW$8,0)</f>
        <v>-0.0</v>
      </c>
      <c r="GNW55" s="5">
        <f>-IFERROR('4. NPV'!GNX24/'4. NPV'!GNX$8,0)</f>
        <v>-0.0</v>
      </c>
      <c r="GNX55" s="5">
        <f>-IFERROR('4. NPV'!GNY24/'4. NPV'!GNY$8,0)</f>
        <v>-0.0</v>
      </c>
      <c r="GNY55" s="5">
        <f>-IFERROR('4. NPV'!GNZ24/'4. NPV'!GNZ$8,0)</f>
        <v>-0.0</v>
      </c>
      <c r="GNZ55" s="5">
        <f>-IFERROR('4. NPV'!GOA24/'4. NPV'!GOA$8,0)</f>
        <v>-0.0</v>
      </c>
      <c r="GOA55" s="5">
        <f>-IFERROR('4. NPV'!GOB24/'4. NPV'!GOB$8,0)</f>
        <v>-0.0</v>
      </c>
      <c r="GOB55" s="5">
        <f>-IFERROR('4. NPV'!GOC24/'4. NPV'!GOC$8,0)</f>
        <v>-0.0</v>
      </c>
      <c r="GOC55" s="5">
        <f>-IFERROR('4. NPV'!GOD24/'4. NPV'!GOD$8,0)</f>
        <v>-0.0</v>
      </c>
      <c r="GOD55" s="5">
        <f>-IFERROR('4. NPV'!GOE24/'4. NPV'!GOE$8,0)</f>
        <v>-0.0</v>
      </c>
      <c r="GOE55" s="5">
        <f>-IFERROR('4. NPV'!GOF24/'4. NPV'!GOF$8,0)</f>
        <v>-0.0</v>
      </c>
      <c r="GOF55" s="5">
        <f>-IFERROR('4. NPV'!GOG24/'4. NPV'!GOG$8,0)</f>
        <v>-0.0</v>
      </c>
      <c r="GOG55" s="5">
        <f>-IFERROR('4. NPV'!GOH24/'4. NPV'!GOH$8,0)</f>
        <v>-0.0</v>
      </c>
      <c r="GOH55" s="5">
        <f>-IFERROR('4. NPV'!GOI24/'4. NPV'!GOI$8,0)</f>
        <v>-0.0</v>
      </c>
      <c r="GOI55" s="5">
        <f>-IFERROR('4. NPV'!GOJ24/'4. NPV'!GOJ$8,0)</f>
        <v>-0.0</v>
      </c>
      <c r="GOJ55" s="5">
        <f>-IFERROR('4. NPV'!GOK24/'4. NPV'!GOK$8,0)</f>
        <v>-0.0</v>
      </c>
      <c r="GOK55" s="5">
        <f>-IFERROR('4. NPV'!GOL24/'4. NPV'!GOL$8,0)</f>
        <v>-0.0</v>
      </c>
      <c r="GOL55" s="5">
        <f>-IFERROR('4. NPV'!GOM24/'4. NPV'!GOM$8,0)</f>
        <v>-0.0</v>
      </c>
      <c r="GOM55" s="5">
        <f>-IFERROR('4. NPV'!GON24/'4. NPV'!GON$8,0)</f>
        <v>-0.0</v>
      </c>
      <c r="GON55" s="5">
        <f>-IFERROR('4. NPV'!GOO24/'4. NPV'!GOO$8,0)</f>
        <v>-0.0</v>
      </c>
      <c r="GOO55" s="5">
        <f>-IFERROR('4. NPV'!GOP24/'4. NPV'!GOP$8,0)</f>
        <v>-0.0</v>
      </c>
      <c r="GOP55" s="5">
        <f>-IFERROR('4. NPV'!GOQ24/'4. NPV'!GOQ$8,0)</f>
        <v>-0.0</v>
      </c>
      <c r="GOQ55" s="5">
        <f>-IFERROR('4. NPV'!GOR24/'4. NPV'!GOR$8,0)</f>
        <v>-0.0</v>
      </c>
      <c r="GOR55" s="5">
        <f>-IFERROR('4. NPV'!GOS24/'4. NPV'!GOS$8,0)</f>
        <v>-0.0</v>
      </c>
      <c r="GOS55" s="5">
        <f>-IFERROR('4. NPV'!GOT24/'4. NPV'!GOT$8,0)</f>
        <v>-0.0</v>
      </c>
      <c r="GOT55" s="5">
        <f>-IFERROR('4. NPV'!GOU24/'4. NPV'!GOU$8,0)</f>
        <v>-0.0</v>
      </c>
      <c r="GOU55" s="5">
        <f>-IFERROR('4. NPV'!GOV24/'4. NPV'!GOV$8,0)</f>
        <v>-0.0</v>
      </c>
      <c r="GOV55" s="5">
        <f>-IFERROR('4. NPV'!GOW24/'4. NPV'!GOW$8,0)</f>
        <v>-0.0</v>
      </c>
      <c r="GOW55" s="5">
        <f>-IFERROR('4. NPV'!GOX24/'4. NPV'!GOX$8,0)</f>
        <v>-0.0</v>
      </c>
      <c r="GOX55" s="5">
        <f>-IFERROR('4. NPV'!GOY24/'4. NPV'!GOY$8,0)</f>
        <v>-0.0</v>
      </c>
      <c r="GOY55" s="5">
        <f>-IFERROR('4. NPV'!GOZ24/'4. NPV'!GOZ$8,0)</f>
        <v>-0.0</v>
      </c>
      <c r="GOZ55" s="5">
        <f>-IFERROR('4. NPV'!GPA24/'4. NPV'!GPA$8,0)</f>
        <v>-0.0</v>
      </c>
      <c r="GPA55" s="5">
        <f>-IFERROR('4. NPV'!GPB24/'4. NPV'!GPB$8,0)</f>
        <v>-0.0</v>
      </c>
      <c r="GPB55" s="5">
        <f>-IFERROR('4. NPV'!GPC24/'4. NPV'!GPC$8,0)</f>
        <v>-0.0</v>
      </c>
      <c r="GPC55" s="5">
        <f>-IFERROR('4. NPV'!GPD24/'4. NPV'!GPD$8,0)</f>
        <v>-0.0</v>
      </c>
      <c r="GPD55" s="5">
        <f>-IFERROR('4. NPV'!GPE24/'4. NPV'!GPE$8,0)</f>
        <v>-0.0</v>
      </c>
      <c r="GPE55" s="5">
        <f>-IFERROR('4. NPV'!GPF24/'4. NPV'!GPF$8,0)</f>
        <v>-0.0</v>
      </c>
      <c r="GPF55" s="5">
        <f>-IFERROR('4. NPV'!GPG24/'4. NPV'!GPG$8,0)</f>
        <v>-0.0</v>
      </c>
      <c r="GPG55" s="5">
        <f>-IFERROR('4. NPV'!GPH24/'4. NPV'!GPH$8,0)</f>
        <v>-0.0</v>
      </c>
      <c r="GPH55" s="5">
        <f>-IFERROR('4. NPV'!GPI24/'4. NPV'!GPI$8,0)</f>
        <v>-0.0</v>
      </c>
      <c r="GPI55" s="5">
        <f>-IFERROR('4. NPV'!GPJ24/'4. NPV'!GPJ$8,0)</f>
        <v>-0.0</v>
      </c>
      <c r="GPJ55" s="5">
        <f>-IFERROR('4. NPV'!GPK24/'4. NPV'!GPK$8,0)</f>
        <v>-0.0</v>
      </c>
      <c r="GPK55" s="5">
        <f>-IFERROR('4. NPV'!GPL24/'4. NPV'!GPL$8,0)</f>
        <v>-0.0</v>
      </c>
      <c r="GPL55" s="5">
        <f>-IFERROR('4. NPV'!GPM24/'4. NPV'!GPM$8,0)</f>
        <v>-0.0</v>
      </c>
      <c r="GPM55" s="5">
        <f>-IFERROR('4. NPV'!GPN24/'4. NPV'!GPN$8,0)</f>
        <v>-0.0</v>
      </c>
      <c r="GPN55" s="5">
        <f>-IFERROR('4. NPV'!GPO24/'4. NPV'!GPO$8,0)</f>
        <v>-0.0</v>
      </c>
      <c r="GPO55" s="5">
        <f>-IFERROR('4. NPV'!GPP24/'4. NPV'!GPP$8,0)</f>
        <v>-0.0</v>
      </c>
      <c r="GPP55" s="5">
        <f>-IFERROR('4. NPV'!GPQ24/'4. NPV'!GPQ$8,0)</f>
        <v>-0.0</v>
      </c>
      <c r="GPQ55" s="5">
        <f>-IFERROR('4. NPV'!GPR24/'4. NPV'!GPR$8,0)</f>
        <v>-0.0</v>
      </c>
      <c r="GPR55" s="5">
        <f>-IFERROR('4. NPV'!GPS24/'4. NPV'!GPS$8,0)</f>
        <v>-0.0</v>
      </c>
      <c r="GPS55" s="5">
        <f>-IFERROR('4. NPV'!GPT24/'4. NPV'!GPT$8,0)</f>
        <v>-0.0</v>
      </c>
      <c r="GPT55" s="5">
        <f>-IFERROR('4. NPV'!GPU24/'4. NPV'!GPU$8,0)</f>
        <v>-0.0</v>
      </c>
      <c r="GPU55" s="5">
        <f>-IFERROR('4. NPV'!GPV24/'4. NPV'!GPV$8,0)</f>
        <v>-0.0</v>
      </c>
      <c r="GPV55" s="5">
        <f>-IFERROR('4. NPV'!GPW24/'4. NPV'!GPW$8,0)</f>
        <v>-0.0</v>
      </c>
      <c r="GPW55" s="5">
        <f>-IFERROR('4. NPV'!GPX24/'4. NPV'!GPX$8,0)</f>
        <v>-0.0</v>
      </c>
      <c r="GPX55" s="5">
        <f>-IFERROR('4. NPV'!GPY24/'4. NPV'!GPY$8,0)</f>
        <v>-0.0</v>
      </c>
      <c r="GPY55" s="5">
        <f>-IFERROR('4. NPV'!GPZ24/'4. NPV'!GPZ$8,0)</f>
        <v>-0.0</v>
      </c>
      <c r="GPZ55" s="5">
        <f>-IFERROR('4. NPV'!GQA24/'4. NPV'!GQA$8,0)</f>
        <v>-0.0</v>
      </c>
      <c r="GQA55" s="5">
        <f>-IFERROR('4. NPV'!GQB24/'4. NPV'!GQB$8,0)</f>
        <v>-0.0</v>
      </c>
      <c r="GQB55" s="5">
        <f>-IFERROR('4. NPV'!GQC24/'4. NPV'!GQC$8,0)</f>
        <v>-0.0</v>
      </c>
      <c r="GQC55" s="5">
        <f>-IFERROR('4. NPV'!GQD24/'4. NPV'!GQD$8,0)</f>
        <v>-0.0</v>
      </c>
      <c r="GQD55" s="5">
        <f>-IFERROR('4. NPV'!GQE24/'4. NPV'!GQE$8,0)</f>
        <v>-0.0</v>
      </c>
      <c r="GQE55" s="5">
        <f>-IFERROR('4. NPV'!GQF24/'4. NPV'!GQF$8,0)</f>
        <v>-0.0</v>
      </c>
      <c r="GQF55" s="5">
        <f>-IFERROR('4. NPV'!GQG24/'4. NPV'!GQG$8,0)</f>
        <v>-0.0</v>
      </c>
      <c r="GQG55" s="5">
        <f>-IFERROR('4. NPV'!GQH24/'4. NPV'!GQH$8,0)</f>
        <v>-0.0</v>
      </c>
      <c r="GQH55" s="5">
        <f>-IFERROR('4. NPV'!GQI24/'4. NPV'!GQI$8,0)</f>
        <v>-0.0</v>
      </c>
      <c r="GQI55" s="5">
        <f>-IFERROR('4. NPV'!GQJ24/'4. NPV'!GQJ$8,0)</f>
        <v>-0.0</v>
      </c>
      <c r="GQJ55" s="5">
        <f>-IFERROR('4. NPV'!GQK24/'4. NPV'!GQK$8,0)</f>
        <v>-0.0</v>
      </c>
      <c r="GQK55" s="5">
        <f>-IFERROR('4. NPV'!GQL24/'4. NPV'!GQL$8,0)</f>
        <v>-0.0</v>
      </c>
      <c r="GQL55" s="5">
        <f>-IFERROR('4. NPV'!GQM24/'4. NPV'!GQM$8,0)</f>
        <v>-0.0</v>
      </c>
      <c r="GQM55" s="5">
        <f>-IFERROR('4. NPV'!GQN24/'4. NPV'!GQN$8,0)</f>
        <v>-0.0</v>
      </c>
      <c r="GQN55" s="5">
        <f>-IFERROR('4. NPV'!GQO24/'4. NPV'!GQO$8,0)</f>
        <v>-0.0</v>
      </c>
      <c r="GQO55" s="5">
        <f>-IFERROR('4. NPV'!GQP24/'4. NPV'!GQP$8,0)</f>
        <v>-0.0</v>
      </c>
      <c r="GQP55" s="5">
        <f>-IFERROR('4. NPV'!GQQ24/'4. NPV'!GQQ$8,0)</f>
        <v>-0.0</v>
      </c>
      <c r="GQQ55" s="5">
        <f>-IFERROR('4. NPV'!GQR24/'4. NPV'!GQR$8,0)</f>
        <v>-0.0</v>
      </c>
      <c r="GQR55" s="5">
        <f>-IFERROR('4. NPV'!GQS24/'4. NPV'!GQS$8,0)</f>
        <v>-0.0</v>
      </c>
      <c r="GQS55" s="5">
        <f>-IFERROR('4. NPV'!GQT24/'4. NPV'!GQT$8,0)</f>
        <v>-0.0</v>
      </c>
      <c r="GQT55" s="5">
        <f>-IFERROR('4. NPV'!GQU24/'4. NPV'!GQU$8,0)</f>
        <v>-0.0</v>
      </c>
      <c r="GQU55" s="5">
        <f>-IFERROR('4. NPV'!GQV24/'4. NPV'!GQV$8,0)</f>
        <v>-0.0</v>
      </c>
      <c r="GQV55" s="5">
        <f>-IFERROR('4. NPV'!GQW24/'4. NPV'!GQW$8,0)</f>
        <v>-0.0</v>
      </c>
      <c r="GQW55" s="5">
        <f>-IFERROR('4. NPV'!GQX24/'4. NPV'!GQX$8,0)</f>
        <v>-0.0</v>
      </c>
      <c r="GQX55" s="5">
        <f>-IFERROR('4. NPV'!GQY24/'4. NPV'!GQY$8,0)</f>
        <v>-0.0</v>
      </c>
      <c r="GQY55" s="5">
        <f>-IFERROR('4. NPV'!GQZ24/'4. NPV'!GQZ$8,0)</f>
        <v>-0.0</v>
      </c>
      <c r="GQZ55" s="5">
        <f>-IFERROR('4. NPV'!GRA24/'4. NPV'!GRA$8,0)</f>
        <v>-0.0</v>
      </c>
      <c r="GRA55" s="5">
        <f>-IFERROR('4. NPV'!GRB24/'4. NPV'!GRB$8,0)</f>
        <v>-0.0</v>
      </c>
      <c r="GRB55" s="5">
        <f>-IFERROR('4. NPV'!GRC24/'4. NPV'!GRC$8,0)</f>
        <v>-0.0</v>
      </c>
      <c r="GRC55" s="5">
        <f>-IFERROR('4. NPV'!GRD24/'4. NPV'!GRD$8,0)</f>
        <v>-0.0</v>
      </c>
      <c r="GRD55" s="5">
        <f>-IFERROR('4. NPV'!GRE24/'4. NPV'!GRE$8,0)</f>
        <v>-0.0</v>
      </c>
      <c r="GRE55" s="5">
        <f>-IFERROR('4. NPV'!GRF24/'4. NPV'!GRF$8,0)</f>
        <v>-0.0</v>
      </c>
      <c r="GRF55" s="5">
        <f>-IFERROR('4. NPV'!GRG24/'4. NPV'!GRG$8,0)</f>
        <v>-0.0</v>
      </c>
      <c r="GRG55" s="5">
        <f>-IFERROR('4. NPV'!GRH24/'4. NPV'!GRH$8,0)</f>
        <v>-0.0</v>
      </c>
      <c r="GRH55" s="5">
        <f>-IFERROR('4. NPV'!GRI24/'4. NPV'!GRI$8,0)</f>
        <v>-0.0</v>
      </c>
      <c r="GRI55" s="5">
        <f>-IFERROR('4. NPV'!GRJ24/'4. NPV'!GRJ$8,0)</f>
        <v>-0.0</v>
      </c>
      <c r="GRJ55" s="5">
        <f>-IFERROR('4. NPV'!GRK24/'4. NPV'!GRK$8,0)</f>
        <v>-0.0</v>
      </c>
      <c r="GRK55" s="5">
        <f>-IFERROR('4. NPV'!GRL24/'4. NPV'!GRL$8,0)</f>
        <v>-0.0</v>
      </c>
      <c r="GRL55" s="5">
        <f>-IFERROR('4. NPV'!GRM24/'4. NPV'!GRM$8,0)</f>
        <v>-0.0</v>
      </c>
      <c r="GRM55" s="5">
        <f>-IFERROR('4. NPV'!GRN24/'4. NPV'!GRN$8,0)</f>
        <v>-0.0</v>
      </c>
      <c r="GRN55" s="5">
        <f>-IFERROR('4. NPV'!GRO24/'4. NPV'!GRO$8,0)</f>
        <v>-0.0</v>
      </c>
      <c r="GRO55" s="5">
        <f>-IFERROR('4. NPV'!GRP24/'4. NPV'!GRP$8,0)</f>
        <v>-0.0</v>
      </c>
      <c r="GRP55" s="5">
        <f>-IFERROR('4. NPV'!GRQ24/'4. NPV'!GRQ$8,0)</f>
        <v>-0.0</v>
      </c>
      <c r="GRQ55" s="5">
        <f>-IFERROR('4. NPV'!GRR24/'4. NPV'!GRR$8,0)</f>
        <v>-0.0</v>
      </c>
      <c r="GRR55" s="5">
        <f>-IFERROR('4. NPV'!GRS24/'4. NPV'!GRS$8,0)</f>
        <v>-0.0</v>
      </c>
      <c r="GRS55" s="5">
        <f>-IFERROR('4. NPV'!GRT24/'4. NPV'!GRT$8,0)</f>
        <v>-0.0</v>
      </c>
      <c r="GRT55" s="5">
        <f>-IFERROR('4. NPV'!GRU24/'4. NPV'!GRU$8,0)</f>
        <v>-0.0</v>
      </c>
      <c r="GRU55" s="5">
        <f>-IFERROR('4. NPV'!GRV24/'4. NPV'!GRV$8,0)</f>
        <v>-0.0</v>
      </c>
      <c r="GRV55" s="5">
        <f>-IFERROR('4. NPV'!GRW24/'4. NPV'!GRW$8,0)</f>
        <v>-0.0</v>
      </c>
      <c r="GRW55" s="5">
        <f>-IFERROR('4. NPV'!GRX24/'4. NPV'!GRX$8,0)</f>
        <v>-0.0</v>
      </c>
      <c r="GRX55" s="5">
        <f>-IFERROR('4. NPV'!GRY24/'4. NPV'!GRY$8,0)</f>
        <v>-0.0</v>
      </c>
      <c r="GRY55" s="5">
        <f>-IFERROR('4. NPV'!GRZ24/'4. NPV'!GRZ$8,0)</f>
        <v>-0.0</v>
      </c>
      <c r="GRZ55" s="5">
        <f>-IFERROR('4. NPV'!GSA24/'4. NPV'!GSA$8,0)</f>
        <v>-0.0</v>
      </c>
      <c r="GSA55" s="5">
        <f>-IFERROR('4. NPV'!GSB24/'4. NPV'!GSB$8,0)</f>
        <v>-0.0</v>
      </c>
      <c r="GSB55" s="5">
        <f>-IFERROR('4. NPV'!GSC24/'4. NPV'!GSC$8,0)</f>
        <v>-0.0</v>
      </c>
      <c r="GSC55" s="5">
        <f>-IFERROR('4. NPV'!GSD24/'4. NPV'!GSD$8,0)</f>
        <v>-0.0</v>
      </c>
      <c r="GSD55" s="5">
        <f>-IFERROR('4. NPV'!GSE24/'4. NPV'!GSE$8,0)</f>
        <v>-0.0</v>
      </c>
      <c r="GSE55" s="5">
        <f>-IFERROR('4. NPV'!GSF24/'4. NPV'!GSF$8,0)</f>
        <v>-0.0</v>
      </c>
      <c r="GSF55" s="5">
        <f>-IFERROR('4. NPV'!GSG24/'4. NPV'!GSG$8,0)</f>
        <v>-0.0</v>
      </c>
      <c r="GSG55" s="5">
        <f>-IFERROR('4. NPV'!GSH24/'4. NPV'!GSH$8,0)</f>
        <v>-0.0</v>
      </c>
      <c r="GSH55" s="5">
        <f>-IFERROR('4. NPV'!GSI24/'4. NPV'!GSI$8,0)</f>
        <v>-0.0</v>
      </c>
      <c r="GSI55" s="5">
        <f>-IFERROR('4. NPV'!GSJ24/'4. NPV'!GSJ$8,0)</f>
        <v>-0.0</v>
      </c>
      <c r="GSJ55" s="5">
        <f>-IFERROR('4. NPV'!GSK24/'4. NPV'!GSK$8,0)</f>
        <v>-0.0</v>
      </c>
      <c r="GSK55" s="5">
        <f>-IFERROR('4. NPV'!GSL24/'4. NPV'!GSL$8,0)</f>
        <v>-0.0</v>
      </c>
      <c r="GSL55" s="5">
        <f>-IFERROR('4. NPV'!GSM24/'4. NPV'!GSM$8,0)</f>
        <v>-0.0</v>
      </c>
      <c r="GSM55" s="5">
        <f>-IFERROR('4. NPV'!GSN24/'4. NPV'!GSN$8,0)</f>
        <v>-0.0</v>
      </c>
      <c r="GSN55" s="5">
        <f>-IFERROR('4. NPV'!GSO24/'4. NPV'!GSO$8,0)</f>
        <v>-0.0</v>
      </c>
      <c r="GSO55" s="5">
        <f>-IFERROR('4. NPV'!GSP24/'4. NPV'!GSP$8,0)</f>
        <v>-0.0</v>
      </c>
      <c r="GSP55" s="5">
        <f>-IFERROR('4. NPV'!GSQ24/'4. NPV'!GSQ$8,0)</f>
        <v>-0.0</v>
      </c>
      <c r="GSQ55" s="5">
        <f>-IFERROR('4. NPV'!GSR24/'4. NPV'!GSR$8,0)</f>
        <v>-0.0</v>
      </c>
      <c r="GSR55" s="5">
        <f>-IFERROR('4. NPV'!GSS24/'4. NPV'!GSS$8,0)</f>
        <v>-0.0</v>
      </c>
      <c r="GSS55" s="5">
        <f>-IFERROR('4. NPV'!GST24/'4. NPV'!GST$8,0)</f>
        <v>-0.0</v>
      </c>
      <c r="GST55" s="5">
        <f>-IFERROR('4. NPV'!GSU24/'4. NPV'!GSU$8,0)</f>
        <v>-0.0</v>
      </c>
      <c r="GSU55" s="5">
        <f>-IFERROR('4. NPV'!GSV24/'4. NPV'!GSV$8,0)</f>
        <v>-0.0</v>
      </c>
      <c r="GSV55" s="5">
        <f>-IFERROR('4. NPV'!GSW24/'4. NPV'!GSW$8,0)</f>
        <v>-0.0</v>
      </c>
      <c r="GSW55" s="5">
        <f>-IFERROR('4. NPV'!GSX24/'4. NPV'!GSX$8,0)</f>
        <v>-0.0</v>
      </c>
      <c r="GSX55" s="5">
        <f>-IFERROR('4. NPV'!GSY24/'4. NPV'!GSY$8,0)</f>
        <v>-0.0</v>
      </c>
      <c r="GSY55" s="5">
        <f>-IFERROR('4. NPV'!GSZ24/'4. NPV'!GSZ$8,0)</f>
        <v>-0.0</v>
      </c>
      <c r="GSZ55" s="5">
        <f>-IFERROR('4. NPV'!GTA24/'4. NPV'!GTA$8,0)</f>
        <v>-0.0</v>
      </c>
      <c r="GTA55" s="5">
        <f>-IFERROR('4. NPV'!GTB24/'4. NPV'!GTB$8,0)</f>
        <v>-0.0</v>
      </c>
      <c r="GTB55" s="5">
        <f>-IFERROR('4. NPV'!GTC24/'4. NPV'!GTC$8,0)</f>
        <v>-0.0</v>
      </c>
      <c r="GTC55" s="5">
        <f>-IFERROR('4. NPV'!GTD24/'4. NPV'!GTD$8,0)</f>
        <v>-0.0</v>
      </c>
      <c r="GTD55" s="5">
        <f>-IFERROR('4. NPV'!GTE24/'4. NPV'!GTE$8,0)</f>
        <v>-0.0</v>
      </c>
      <c r="GTE55" s="5">
        <f>-IFERROR('4. NPV'!GTF24/'4. NPV'!GTF$8,0)</f>
        <v>-0.0</v>
      </c>
      <c r="GTF55" s="5">
        <f>-IFERROR('4. NPV'!GTG24/'4. NPV'!GTG$8,0)</f>
        <v>-0.0</v>
      </c>
      <c r="GTG55" s="5">
        <f>-IFERROR('4. NPV'!GTH24/'4. NPV'!GTH$8,0)</f>
        <v>-0.0</v>
      </c>
      <c r="GTH55" s="5">
        <f>-IFERROR('4. NPV'!GTI24/'4. NPV'!GTI$8,0)</f>
        <v>-0.0</v>
      </c>
      <c r="GTI55" s="5">
        <f>-IFERROR('4. NPV'!GTJ24/'4. NPV'!GTJ$8,0)</f>
        <v>-0.0</v>
      </c>
      <c r="GTJ55" s="5">
        <f>-IFERROR('4. NPV'!GTK24/'4. NPV'!GTK$8,0)</f>
        <v>-0.0</v>
      </c>
      <c r="GTK55" s="5">
        <f>-IFERROR('4. NPV'!GTL24/'4. NPV'!GTL$8,0)</f>
        <v>-0.0</v>
      </c>
      <c r="GTL55" s="5">
        <f>-IFERROR('4. NPV'!GTM24/'4. NPV'!GTM$8,0)</f>
        <v>-0.0</v>
      </c>
      <c r="GTM55" s="5">
        <f>-IFERROR('4. NPV'!GTN24/'4. NPV'!GTN$8,0)</f>
        <v>-0.0</v>
      </c>
      <c r="GTN55" s="5">
        <f>-IFERROR('4. NPV'!GTO24/'4. NPV'!GTO$8,0)</f>
        <v>-0.0</v>
      </c>
      <c r="GTO55" s="5">
        <f>-IFERROR('4. NPV'!GTP24/'4. NPV'!GTP$8,0)</f>
        <v>-0.0</v>
      </c>
      <c r="GTP55" s="5">
        <f>-IFERROR('4. NPV'!GTQ24/'4. NPV'!GTQ$8,0)</f>
        <v>-0.0</v>
      </c>
      <c r="GTQ55" s="5">
        <f>-IFERROR('4. NPV'!GTR24/'4. NPV'!GTR$8,0)</f>
        <v>-0.0</v>
      </c>
      <c r="GTR55" s="5">
        <f>-IFERROR('4. NPV'!GTS24/'4. NPV'!GTS$8,0)</f>
        <v>-0.0</v>
      </c>
      <c r="GTS55" s="5">
        <f>-IFERROR('4. NPV'!GTT24/'4. NPV'!GTT$8,0)</f>
        <v>-0.0</v>
      </c>
      <c r="GTT55" s="5">
        <f>-IFERROR('4. NPV'!GTU24/'4. NPV'!GTU$8,0)</f>
        <v>-0.0</v>
      </c>
      <c r="GTU55" s="5">
        <f>-IFERROR('4. NPV'!GTV24/'4. NPV'!GTV$8,0)</f>
        <v>-0.0</v>
      </c>
      <c r="GTV55" s="5">
        <f>-IFERROR('4. NPV'!GTW24/'4. NPV'!GTW$8,0)</f>
        <v>-0.0</v>
      </c>
      <c r="GTW55" s="5">
        <f>-IFERROR('4. NPV'!GTX24/'4. NPV'!GTX$8,0)</f>
        <v>-0.0</v>
      </c>
      <c r="GTX55" s="5">
        <f>-IFERROR('4. NPV'!GTY24/'4. NPV'!GTY$8,0)</f>
        <v>-0.0</v>
      </c>
      <c r="GTY55" s="5">
        <f>-IFERROR('4. NPV'!GTZ24/'4. NPV'!GTZ$8,0)</f>
        <v>-0.0</v>
      </c>
      <c r="GTZ55" s="5">
        <f>-IFERROR('4. NPV'!GUA24/'4. NPV'!GUA$8,0)</f>
        <v>-0.0</v>
      </c>
      <c r="GUA55" s="5">
        <f>-IFERROR('4. NPV'!GUB24/'4. NPV'!GUB$8,0)</f>
        <v>-0.0</v>
      </c>
      <c r="GUB55" s="5">
        <f>-IFERROR('4. NPV'!GUC24/'4. NPV'!GUC$8,0)</f>
        <v>-0.0</v>
      </c>
      <c r="GUC55" s="5">
        <f>-IFERROR('4. NPV'!GUD24/'4. NPV'!GUD$8,0)</f>
        <v>-0.0</v>
      </c>
      <c r="GUD55" s="5">
        <f>-IFERROR('4. NPV'!GUE24/'4. NPV'!GUE$8,0)</f>
        <v>-0.0</v>
      </c>
      <c r="GUE55" s="5">
        <f>-IFERROR('4. NPV'!GUF24/'4. NPV'!GUF$8,0)</f>
        <v>-0.0</v>
      </c>
      <c r="GUF55" s="5">
        <f>-IFERROR('4. NPV'!GUG24/'4. NPV'!GUG$8,0)</f>
        <v>-0.0</v>
      </c>
      <c r="GUG55" s="5">
        <f>-IFERROR('4. NPV'!GUH24/'4. NPV'!GUH$8,0)</f>
        <v>-0.0</v>
      </c>
      <c r="GUH55" s="5">
        <f>-IFERROR('4. NPV'!GUI24/'4. NPV'!GUI$8,0)</f>
        <v>-0.0</v>
      </c>
      <c r="GUI55" s="5">
        <f>-IFERROR('4. NPV'!GUJ24/'4. NPV'!GUJ$8,0)</f>
        <v>-0.0</v>
      </c>
      <c r="GUJ55" s="5">
        <f>-IFERROR('4. NPV'!GUK24/'4. NPV'!GUK$8,0)</f>
        <v>-0.0</v>
      </c>
      <c r="GUK55" s="5">
        <f>-IFERROR('4. NPV'!GUL24/'4. NPV'!GUL$8,0)</f>
        <v>-0.0</v>
      </c>
      <c r="GUL55" s="5">
        <f>-IFERROR('4. NPV'!GUM24/'4. NPV'!GUM$8,0)</f>
        <v>-0.0</v>
      </c>
      <c r="GUM55" s="5">
        <f>-IFERROR('4. NPV'!GUN24/'4. NPV'!GUN$8,0)</f>
        <v>-0.0</v>
      </c>
      <c r="GUN55" s="5">
        <f>-IFERROR('4. NPV'!GUO24/'4. NPV'!GUO$8,0)</f>
        <v>-0.0</v>
      </c>
      <c r="GUO55" s="5">
        <f>-IFERROR('4. NPV'!GUP24/'4. NPV'!GUP$8,0)</f>
        <v>-0.0</v>
      </c>
      <c r="GUP55" s="5">
        <f>-IFERROR('4. NPV'!GUQ24/'4. NPV'!GUQ$8,0)</f>
        <v>-0.0</v>
      </c>
      <c r="GUQ55" s="5">
        <f>-IFERROR('4. NPV'!GUR24/'4. NPV'!GUR$8,0)</f>
        <v>-0.0</v>
      </c>
      <c r="GUR55" s="5">
        <f>-IFERROR('4. NPV'!GUS24/'4. NPV'!GUS$8,0)</f>
        <v>-0.0</v>
      </c>
      <c r="GUS55" s="5">
        <f>-IFERROR('4. NPV'!GUT24/'4. NPV'!GUT$8,0)</f>
        <v>-0.0</v>
      </c>
      <c r="GUT55" s="5">
        <f>-IFERROR('4. NPV'!GUU24/'4. NPV'!GUU$8,0)</f>
        <v>-0.0</v>
      </c>
      <c r="GUU55" s="5">
        <f>-IFERROR('4. NPV'!GUV24/'4. NPV'!GUV$8,0)</f>
        <v>-0.0</v>
      </c>
      <c r="GUV55" s="5">
        <f>-IFERROR('4. NPV'!GUW24/'4. NPV'!GUW$8,0)</f>
        <v>-0.0</v>
      </c>
      <c r="GUW55" s="5">
        <f>-IFERROR('4. NPV'!GUX24/'4. NPV'!GUX$8,0)</f>
        <v>-0.0</v>
      </c>
      <c r="GUX55" s="5">
        <f>-IFERROR('4. NPV'!GUY24/'4. NPV'!GUY$8,0)</f>
        <v>-0.0</v>
      </c>
      <c r="GUY55" s="5">
        <f>-IFERROR('4. NPV'!GUZ24/'4. NPV'!GUZ$8,0)</f>
        <v>-0.0</v>
      </c>
      <c r="GUZ55" s="5">
        <f>-IFERROR('4. NPV'!GVA24/'4. NPV'!GVA$8,0)</f>
        <v>-0.0</v>
      </c>
      <c r="GVA55" s="5">
        <f>-IFERROR('4. NPV'!GVB24/'4. NPV'!GVB$8,0)</f>
        <v>-0.0</v>
      </c>
      <c r="GVB55" s="5">
        <f>-IFERROR('4. NPV'!GVC24/'4. NPV'!GVC$8,0)</f>
        <v>-0.0</v>
      </c>
      <c r="GVC55" s="5">
        <f>-IFERROR('4. NPV'!GVD24/'4. NPV'!GVD$8,0)</f>
        <v>-0.0</v>
      </c>
      <c r="GVD55" s="5">
        <f>-IFERROR('4. NPV'!GVE24/'4. NPV'!GVE$8,0)</f>
        <v>-0.0</v>
      </c>
      <c r="GVE55" s="5">
        <f>-IFERROR('4. NPV'!GVF24/'4. NPV'!GVF$8,0)</f>
        <v>-0.0</v>
      </c>
      <c r="GVF55" s="5">
        <f>-IFERROR('4. NPV'!GVG24/'4. NPV'!GVG$8,0)</f>
        <v>-0.0</v>
      </c>
      <c r="GVG55" s="5">
        <f>-IFERROR('4. NPV'!GVH24/'4. NPV'!GVH$8,0)</f>
        <v>-0.0</v>
      </c>
      <c r="GVH55" s="5">
        <f>-IFERROR('4. NPV'!GVI24/'4. NPV'!GVI$8,0)</f>
        <v>-0.0</v>
      </c>
      <c r="GVI55" s="5">
        <f>-IFERROR('4. NPV'!GVJ24/'4. NPV'!GVJ$8,0)</f>
        <v>-0.0</v>
      </c>
      <c r="GVJ55" s="5">
        <f>-IFERROR('4. NPV'!GVK24/'4. NPV'!GVK$8,0)</f>
        <v>-0.0</v>
      </c>
      <c r="GVK55" s="5">
        <f>-IFERROR('4. NPV'!GVL24/'4. NPV'!GVL$8,0)</f>
        <v>-0.0</v>
      </c>
      <c r="GVL55" s="5">
        <f>-IFERROR('4. NPV'!GVM24/'4. NPV'!GVM$8,0)</f>
        <v>-0.0</v>
      </c>
      <c r="GVM55" s="5">
        <f>-IFERROR('4. NPV'!GVN24/'4. NPV'!GVN$8,0)</f>
        <v>-0.0</v>
      </c>
      <c r="GVN55" s="5">
        <f>-IFERROR('4. NPV'!GVO24/'4. NPV'!GVO$8,0)</f>
        <v>-0.0</v>
      </c>
      <c r="GVO55" s="5">
        <f>-IFERROR('4. NPV'!GVP24/'4. NPV'!GVP$8,0)</f>
        <v>-0.0</v>
      </c>
      <c r="GVP55" s="5">
        <f>-IFERROR('4. NPV'!GVQ24/'4. NPV'!GVQ$8,0)</f>
        <v>-0.0</v>
      </c>
      <c r="GVQ55" s="5">
        <f>-IFERROR('4. NPV'!GVR24/'4. NPV'!GVR$8,0)</f>
        <v>-0.0</v>
      </c>
      <c r="GVR55" s="5">
        <f>-IFERROR('4. NPV'!GVS24/'4. NPV'!GVS$8,0)</f>
        <v>-0.0</v>
      </c>
      <c r="GVS55" s="5">
        <f>-IFERROR('4. NPV'!GVT24/'4. NPV'!GVT$8,0)</f>
        <v>-0.0</v>
      </c>
      <c r="GVT55" s="5">
        <f>-IFERROR('4. NPV'!GVU24/'4. NPV'!GVU$8,0)</f>
        <v>-0.0</v>
      </c>
      <c r="GVU55" s="5">
        <f>-IFERROR('4. NPV'!GVV24/'4. NPV'!GVV$8,0)</f>
        <v>-0.0</v>
      </c>
      <c r="GVV55" s="5">
        <f>-IFERROR('4. NPV'!GVW24/'4. NPV'!GVW$8,0)</f>
        <v>-0.0</v>
      </c>
      <c r="GVW55" s="5">
        <f>-IFERROR('4. NPV'!GVX24/'4. NPV'!GVX$8,0)</f>
        <v>-0.0</v>
      </c>
      <c r="GVX55" s="5">
        <f>-IFERROR('4. NPV'!GVY24/'4. NPV'!GVY$8,0)</f>
        <v>-0.0</v>
      </c>
      <c r="GVY55" s="5">
        <f>-IFERROR('4. NPV'!GVZ24/'4. NPV'!GVZ$8,0)</f>
        <v>-0.0</v>
      </c>
      <c r="GVZ55" s="5">
        <f>-IFERROR('4. NPV'!GWA24/'4. NPV'!GWA$8,0)</f>
        <v>-0.0</v>
      </c>
      <c r="GWA55" s="5">
        <f>-IFERROR('4. NPV'!GWB24/'4. NPV'!GWB$8,0)</f>
        <v>-0.0</v>
      </c>
      <c r="GWB55" s="5">
        <f>-IFERROR('4. NPV'!GWC24/'4. NPV'!GWC$8,0)</f>
        <v>-0.0</v>
      </c>
      <c r="GWC55" s="5">
        <f>-IFERROR('4. NPV'!GWD24/'4. NPV'!GWD$8,0)</f>
        <v>-0.0</v>
      </c>
      <c r="GWD55" s="5">
        <f>-IFERROR('4. NPV'!GWE24/'4. NPV'!GWE$8,0)</f>
        <v>-0.0</v>
      </c>
      <c r="GWE55" s="5">
        <f>-IFERROR('4. NPV'!GWF24/'4. NPV'!GWF$8,0)</f>
        <v>-0.0</v>
      </c>
      <c r="GWF55" s="5">
        <f>-IFERROR('4. NPV'!GWG24/'4. NPV'!GWG$8,0)</f>
        <v>-0.0</v>
      </c>
      <c r="GWG55" s="5">
        <f>-IFERROR('4. NPV'!GWH24/'4. NPV'!GWH$8,0)</f>
        <v>-0.0</v>
      </c>
      <c r="GWH55" s="5">
        <f>-IFERROR('4. NPV'!GWI24/'4. NPV'!GWI$8,0)</f>
        <v>-0.0</v>
      </c>
      <c r="GWI55" s="5">
        <f>-IFERROR('4. NPV'!GWJ24/'4. NPV'!GWJ$8,0)</f>
        <v>-0.0</v>
      </c>
      <c r="GWJ55" s="5">
        <f>-IFERROR('4. NPV'!GWK24/'4. NPV'!GWK$8,0)</f>
        <v>-0.0</v>
      </c>
      <c r="GWK55" s="5">
        <f>-IFERROR('4. NPV'!GWL24/'4. NPV'!GWL$8,0)</f>
        <v>-0.0</v>
      </c>
      <c r="GWL55" s="5">
        <f>-IFERROR('4. NPV'!GWM24/'4. NPV'!GWM$8,0)</f>
        <v>-0.0</v>
      </c>
      <c r="GWM55" s="5">
        <f>-IFERROR('4. NPV'!GWN24/'4. NPV'!GWN$8,0)</f>
        <v>-0.0</v>
      </c>
      <c r="GWN55" s="5">
        <f>-IFERROR('4. NPV'!GWO24/'4. NPV'!GWO$8,0)</f>
        <v>-0.0</v>
      </c>
      <c r="GWO55" s="5">
        <f>-IFERROR('4. NPV'!GWP24/'4. NPV'!GWP$8,0)</f>
        <v>-0.0</v>
      </c>
      <c r="GWP55" s="5">
        <f>-IFERROR('4. NPV'!GWQ24/'4. NPV'!GWQ$8,0)</f>
        <v>-0.0</v>
      </c>
      <c r="GWQ55" s="5">
        <f>-IFERROR('4. NPV'!GWR24/'4. NPV'!GWR$8,0)</f>
        <v>-0.0</v>
      </c>
      <c r="GWR55" s="5">
        <f>-IFERROR('4. NPV'!GWS24/'4. NPV'!GWS$8,0)</f>
        <v>-0.0</v>
      </c>
      <c r="GWS55" s="5">
        <f>-IFERROR('4. NPV'!GWT24/'4. NPV'!GWT$8,0)</f>
        <v>-0.0</v>
      </c>
      <c r="GWT55" s="5">
        <f>-IFERROR('4. NPV'!GWU24/'4. NPV'!GWU$8,0)</f>
        <v>-0.0</v>
      </c>
      <c r="GWU55" s="5">
        <f>-IFERROR('4. NPV'!GWV24/'4. NPV'!GWV$8,0)</f>
        <v>-0.0</v>
      </c>
      <c r="GWV55" s="5">
        <f>-IFERROR('4. NPV'!GWW24/'4. NPV'!GWW$8,0)</f>
        <v>-0.0</v>
      </c>
      <c r="GWW55" s="5">
        <f>-IFERROR('4. NPV'!GWX24/'4. NPV'!GWX$8,0)</f>
        <v>-0.0</v>
      </c>
      <c r="GWX55" s="5">
        <f>-IFERROR('4. NPV'!GWY24/'4. NPV'!GWY$8,0)</f>
        <v>-0.0</v>
      </c>
      <c r="GWY55" s="5">
        <f>-IFERROR('4. NPV'!GWZ24/'4. NPV'!GWZ$8,0)</f>
        <v>-0.0</v>
      </c>
      <c r="GWZ55" s="5">
        <f>-IFERROR('4. NPV'!GXA24/'4. NPV'!GXA$8,0)</f>
        <v>-0.0</v>
      </c>
      <c r="GXA55" s="5">
        <f>-IFERROR('4. NPV'!GXB24/'4. NPV'!GXB$8,0)</f>
        <v>-0.0</v>
      </c>
      <c r="GXB55" s="5">
        <f>-IFERROR('4. NPV'!GXC24/'4. NPV'!GXC$8,0)</f>
        <v>-0.0</v>
      </c>
      <c r="GXC55" s="5">
        <f>-IFERROR('4. NPV'!GXD24/'4. NPV'!GXD$8,0)</f>
        <v>-0.0</v>
      </c>
      <c r="GXD55" s="5">
        <f>-IFERROR('4. NPV'!GXE24/'4. NPV'!GXE$8,0)</f>
        <v>-0.0</v>
      </c>
      <c r="GXE55" s="5">
        <f>-IFERROR('4. NPV'!GXF24/'4. NPV'!GXF$8,0)</f>
        <v>-0.0</v>
      </c>
      <c r="GXF55" s="5">
        <f>-IFERROR('4. NPV'!GXG24/'4. NPV'!GXG$8,0)</f>
        <v>-0.0</v>
      </c>
      <c r="GXG55" s="5">
        <f>-IFERROR('4. NPV'!GXH24/'4. NPV'!GXH$8,0)</f>
        <v>-0.0</v>
      </c>
      <c r="GXH55" s="5">
        <f>-IFERROR('4. NPV'!GXI24/'4. NPV'!GXI$8,0)</f>
        <v>-0.0</v>
      </c>
      <c r="GXI55" s="5">
        <f>-IFERROR('4. NPV'!GXJ24/'4. NPV'!GXJ$8,0)</f>
        <v>-0.0</v>
      </c>
      <c r="GXJ55" s="5">
        <f>-IFERROR('4. NPV'!GXK24/'4. NPV'!GXK$8,0)</f>
        <v>-0.0</v>
      </c>
      <c r="GXK55" s="5">
        <f>-IFERROR('4. NPV'!GXL24/'4. NPV'!GXL$8,0)</f>
        <v>-0.0</v>
      </c>
      <c r="GXL55" s="5">
        <f>-IFERROR('4. NPV'!GXM24/'4. NPV'!GXM$8,0)</f>
        <v>-0.0</v>
      </c>
      <c r="GXM55" s="5">
        <f>-IFERROR('4. NPV'!GXN24/'4. NPV'!GXN$8,0)</f>
        <v>-0.0</v>
      </c>
      <c r="GXN55" s="5">
        <f>-IFERROR('4. NPV'!GXO24/'4. NPV'!GXO$8,0)</f>
        <v>-0.0</v>
      </c>
      <c r="GXO55" s="5">
        <f>-IFERROR('4. NPV'!GXP24/'4. NPV'!GXP$8,0)</f>
        <v>-0.0</v>
      </c>
      <c r="GXP55" s="5">
        <f>-IFERROR('4. NPV'!GXQ24/'4. NPV'!GXQ$8,0)</f>
        <v>-0.0</v>
      </c>
      <c r="GXQ55" s="5">
        <f>-IFERROR('4. NPV'!GXR24/'4. NPV'!GXR$8,0)</f>
        <v>-0.0</v>
      </c>
      <c r="GXR55" s="5">
        <f>-IFERROR('4. NPV'!GXS24/'4. NPV'!GXS$8,0)</f>
        <v>-0.0</v>
      </c>
      <c r="GXS55" s="5">
        <f>-IFERROR('4. NPV'!GXT24/'4. NPV'!GXT$8,0)</f>
        <v>-0.0</v>
      </c>
      <c r="GXT55" s="5">
        <f>-IFERROR('4. NPV'!GXU24/'4. NPV'!GXU$8,0)</f>
        <v>-0.0</v>
      </c>
      <c r="GXU55" s="5">
        <f>-IFERROR('4. NPV'!GXV24/'4. NPV'!GXV$8,0)</f>
        <v>-0.0</v>
      </c>
      <c r="GXV55" s="5">
        <f>-IFERROR('4. NPV'!GXW24/'4. NPV'!GXW$8,0)</f>
        <v>-0.0</v>
      </c>
      <c r="GXW55" s="5">
        <f>-IFERROR('4. NPV'!GXX24/'4. NPV'!GXX$8,0)</f>
        <v>-0.0</v>
      </c>
      <c r="GXX55" s="5">
        <f>-IFERROR('4. NPV'!GXY24/'4. NPV'!GXY$8,0)</f>
        <v>-0.0</v>
      </c>
      <c r="GXY55" s="5">
        <f>-IFERROR('4. NPV'!GXZ24/'4. NPV'!GXZ$8,0)</f>
        <v>-0.0</v>
      </c>
      <c r="GXZ55" s="5">
        <f>-IFERROR('4. NPV'!GYA24/'4. NPV'!GYA$8,0)</f>
        <v>-0.0</v>
      </c>
      <c r="GYA55" s="5">
        <f>-IFERROR('4. NPV'!GYB24/'4. NPV'!GYB$8,0)</f>
        <v>-0.0</v>
      </c>
      <c r="GYB55" s="5">
        <f>-IFERROR('4. NPV'!GYC24/'4. NPV'!GYC$8,0)</f>
        <v>-0.0</v>
      </c>
      <c r="GYC55" s="5">
        <f>-IFERROR('4. NPV'!GYD24/'4. NPV'!GYD$8,0)</f>
        <v>-0.0</v>
      </c>
      <c r="GYD55" s="5">
        <f>-IFERROR('4. NPV'!GYE24/'4. NPV'!GYE$8,0)</f>
        <v>-0.0</v>
      </c>
      <c r="GYE55" s="5">
        <f>-IFERROR('4. NPV'!GYF24/'4. NPV'!GYF$8,0)</f>
        <v>-0.0</v>
      </c>
      <c r="GYF55" s="5">
        <f>-IFERROR('4. NPV'!GYG24/'4. NPV'!GYG$8,0)</f>
        <v>-0.0</v>
      </c>
      <c r="GYG55" s="5">
        <f>-IFERROR('4. NPV'!GYH24/'4. NPV'!GYH$8,0)</f>
        <v>-0.0</v>
      </c>
      <c r="GYH55" s="5">
        <f>-IFERROR('4. NPV'!GYI24/'4. NPV'!GYI$8,0)</f>
        <v>-0.0</v>
      </c>
      <c r="GYI55" s="5">
        <f>-IFERROR('4. NPV'!GYJ24/'4. NPV'!GYJ$8,0)</f>
        <v>-0.0</v>
      </c>
      <c r="GYJ55" s="5">
        <f>-IFERROR('4. NPV'!GYK24/'4. NPV'!GYK$8,0)</f>
        <v>-0.0</v>
      </c>
      <c r="GYK55" s="5">
        <f>-IFERROR('4. NPV'!GYL24/'4. NPV'!GYL$8,0)</f>
        <v>-0.0</v>
      </c>
      <c r="GYL55" s="5">
        <f>-IFERROR('4. NPV'!GYM24/'4. NPV'!GYM$8,0)</f>
        <v>-0.0</v>
      </c>
      <c r="GYM55" s="5">
        <f>-IFERROR('4. NPV'!GYN24/'4. NPV'!GYN$8,0)</f>
        <v>-0.0</v>
      </c>
      <c r="GYN55" s="5">
        <f>-IFERROR('4. NPV'!GYO24/'4. NPV'!GYO$8,0)</f>
        <v>-0.0</v>
      </c>
      <c r="GYO55" s="5">
        <f>-IFERROR('4. NPV'!GYP24/'4. NPV'!GYP$8,0)</f>
        <v>-0.0</v>
      </c>
      <c r="GYP55" s="5">
        <f>-IFERROR('4. NPV'!GYQ24/'4. NPV'!GYQ$8,0)</f>
        <v>-0.0</v>
      </c>
      <c r="GYQ55" s="5">
        <f>-IFERROR('4. NPV'!GYR24/'4. NPV'!GYR$8,0)</f>
        <v>-0.0</v>
      </c>
      <c r="GYR55" s="5">
        <f>-IFERROR('4. NPV'!GYS24/'4. NPV'!GYS$8,0)</f>
        <v>-0.0</v>
      </c>
      <c r="GYS55" s="5">
        <f>-IFERROR('4. NPV'!GYT24/'4. NPV'!GYT$8,0)</f>
        <v>-0.0</v>
      </c>
      <c r="GYT55" s="5">
        <f>-IFERROR('4. NPV'!GYU24/'4. NPV'!GYU$8,0)</f>
        <v>-0.0</v>
      </c>
      <c r="GYU55" s="5">
        <f>-IFERROR('4. NPV'!GYV24/'4. NPV'!GYV$8,0)</f>
        <v>-0.0</v>
      </c>
      <c r="GYV55" s="5">
        <f>-IFERROR('4. NPV'!GYW24/'4. NPV'!GYW$8,0)</f>
        <v>-0.0</v>
      </c>
      <c r="GYW55" s="5">
        <f>-IFERROR('4. NPV'!GYX24/'4. NPV'!GYX$8,0)</f>
        <v>-0.0</v>
      </c>
      <c r="GYX55" s="5">
        <f>-IFERROR('4. NPV'!GYY24/'4. NPV'!GYY$8,0)</f>
        <v>-0.0</v>
      </c>
      <c r="GYY55" s="5">
        <f>-IFERROR('4. NPV'!GYZ24/'4. NPV'!GYZ$8,0)</f>
        <v>-0.0</v>
      </c>
      <c r="GYZ55" s="5">
        <f>-IFERROR('4. NPV'!GZA24/'4. NPV'!GZA$8,0)</f>
        <v>-0.0</v>
      </c>
      <c r="GZA55" s="5">
        <f>-IFERROR('4. NPV'!GZB24/'4. NPV'!GZB$8,0)</f>
        <v>-0.0</v>
      </c>
      <c r="GZB55" s="5">
        <f>-IFERROR('4. NPV'!GZC24/'4. NPV'!GZC$8,0)</f>
        <v>-0.0</v>
      </c>
      <c r="GZC55" s="5">
        <f>-IFERROR('4. NPV'!GZD24/'4. NPV'!GZD$8,0)</f>
        <v>-0.0</v>
      </c>
      <c r="GZD55" s="5">
        <f>-IFERROR('4. NPV'!GZE24/'4. NPV'!GZE$8,0)</f>
        <v>-0.0</v>
      </c>
      <c r="GZE55" s="5">
        <f>-IFERROR('4. NPV'!GZF24/'4. NPV'!GZF$8,0)</f>
        <v>-0.0</v>
      </c>
      <c r="GZF55" s="5">
        <f>-IFERROR('4. NPV'!GZG24/'4. NPV'!GZG$8,0)</f>
        <v>-0.0</v>
      </c>
      <c r="GZG55" s="5">
        <f>-IFERROR('4. NPV'!GZH24/'4. NPV'!GZH$8,0)</f>
        <v>-0.0</v>
      </c>
      <c r="GZH55" s="5">
        <f>-IFERROR('4. NPV'!GZI24/'4. NPV'!GZI$8,0)</f>
        <v>-0.0</v>
      </c>
      <c r="GZI55" s="5">
        <f>-IFERROR('4. NPV'!GZJ24/'4. NPV'!GZJ$8,0)</f>
        <v>-0.0</v>
      </c>
      <c r="GZJ55" s="5">
        <f>-IFERROR('4. NPV'!GZK24/'4. NPV'!GZK$8,0)</f>
        <v>-0.0</v>
      </c>
      <c r="GZK55" s="5">
        <f>-IFERROR('4. NPV'!GZL24/'4. NPV'!GZL$8,0)</f>
        <v>-0.0</v>
      </c>
      <c r="GZL55" s="5">
        <f>-IFERROR('4. NPV'!GZM24/'4. NPV'!GZM$8,0)</f>
        <v>-0.0</v>
      </c>
      <c r="GZM55" s="5">
        <f>-IFERROR('4. NPV'!GZN24/'4. NPV'!GZN$8,0)</f>
        <v>-0.0</v>
      </c>
      <c r="GZN55" s="5">
        <f>-IFERROR('4. NPV'!GZO24/'4. NPV'!GZO$8,0)</f>
        <v>-0.0</v>
      </c>
      <c r="GZO55" s="5">
        <f>-IFERROR('4. NPV'!GZP24/'4. NPV'!GZP$8,0)</f>
        <v>-0.0</v>
      </c>
      <c r="GZP55" s="5">
        <f>-IFERROR('4. NPV'!GZQ24/'4. NPV'!GZQ$8,0)</f>
        <v>-0.0</v>
      </c>
      <c r="GZQ55" s="5">
        <f>-IFERROR('4. NPV'!GZR24/'4. NPV'!GZR$8,0)</f>
        <v>-0.0</v>
      </c>
      <c r="GZR55" s="5">
        <f>-IFERROR('4. NPV'!GZS24/'4. NPV'!GZS$8,0)</f>
        <v>-0.0</v>
      </c>
      <c r="GZS55" s="5">
        <f>-IFERROR('4. NPV'!GZT24/'4. NPV'!GZT$8,0)</f>
        <v>-0.0</v>
      </c>
      <c r="GZT55" s="5">
        <f>-IFERROR('4. NPV'!GZU24/'4. NPV'!GZU$8,0)</f>
        <v>-0.0</v>
      </c>
      <c r="GZU55" s="5">
        <f>-IFERROR('4. NPV'!GZV24/'4. NPV'!GZV$8,0)</f>
        <v>-0.0</v>
      </c>
      <c r="GZV55" s="5">
        <f>-IFERROR('4. NPV'!GZW24/'4. NPV'!GZW$8,0)</f>
        <v>-0.0</v>
      </c>
      <c r="GZW55" s="5">
        <f>-IFERROR('4. NPV'!GZX24/'4. NPV'!GZX$8,0)</f>
        <v>-0.0</v>
      </c>
      <c r="GZX55" s="5">
        <f>-IFERROR('4. NPV'!GZY24/'4. NPV'!GZY$8,0)</f>
        <v>-0.0</v>
      </c>
      <c r="GZY55" s="5">
        <f>-IFERROR('4. NPV'!GZZ24/'4. NPV'!GZZ$8,0)</f>
        <v>-0.0</v>
      </c>
      <c r="GZZ55" s="5">
        <f>-IFERROR('4. NPV'!HAA24/'4. NPV'!HAA$8,0)</f>
        <v>-0.0</v>
      </c>
      <c r="HAA55" s="5">
        <f>-IFERROR('4. NPV'!HAB24/'4. NPV'!HAB$8,0)</f>
        <v>-0.0</v>
      </c>
      <c r="HAB55" s="5">
        <f>-IFERROR('4. NPV'!HAC24/'4. NPV'!HAC$8,0)</f>
        <v>-0.0</v>
      </c>
      <c r="HAC55" s="5">
        <f>-IFERROR('4. NPV'!HAD24/'4. NPV'!HAD$8,0)</f>
        <v>-0.0</v>
      </c>
      <c r="HAD55" s="5">
        <f>-IFERROR('4. NPV'!HAE24/'4. NPV'!HAE$8,0)</f>
        <v>-0.0</v>
      </c>
      <c r="HAE55" s="5">
        <f>-IFERROR('4. NPV'!HAF24/'4. NPV'!HAF$8,0)</f>
        <v>-0.0</v>
      </c>
      <c r="HAF55" s="5">
        <f>-IFERROR('4. NPV'!HAG24/'4. NPV'!HAG$8,0)</f>
        <v>-0.0</v>
      </c>
      <c r="HAG55" s="5">
        <f>-IFERROR('4. NPV'!HAH24/'4. NPV'!HAH$8,0)</f>
        <v>-0.0</v>
      </c>
      <c r="HAH55" s="5">
        <f>-IFERROR('4. NPV'!HAI24/'4. NPV'!HAI$8,0)</f>
        <v>-0.0</v>
      </c>
      <c r="HAI55" s="5">
        <f>-IFERROR('4. NPV'!HAJ24/'4. NPV'!HAJ$8,0)</f>
        <v>-0.0</v>
      </c>
      <c r="HAJ55" s="5">
        <f>-IFERROR('4. NPV'!HAK24/'4. NPV'!HAK$8,0)</f>
        <v>-0.0</v>
      </c>
      <c r="HAK55" s="5">
        <f>-IFERROR('4. NPV'!HAL24/'4. NPV'!HAL$8,0)</f>
        <v>-0.0</v>
      </c>
      <c r="HAL55" s="5">
        <f>-IFERROR('4. NPV'!HAM24/'4. NPV'!HAM$8,0)</f>
        <v>-0.0</v>
      </c>
      <c r="HAM55" s="5">
        <f>-IFERROR('4. NPV'!HAN24/'4. NPV'!HAN$8,0)</f>
        <v>-0.0</v>
      </c>
      <c r="HAN55" s="5">
        <f>-IFERROR('4. NPV'!HAO24/'4. NPV'!HAO$8,0)</f>
        <v>-0.0</v>
      </c>
      <c r="HAO55" s="5">
        <f>-IFERROR('4. NPV'!HAP24/'4. NPV'!HAP$8,0)</f>
        <v>-0.0</v>
      </c>
      <c r="HAP55" s="5">
        <f>-IFERROR('4. NPV'!HAQ24/'4. NPV'!HAQ$8,0)</f>
        <v>-0.0</v>
      </c>
      <c r="HAQ55" s="5">
        <f>-IFERROR('4. NPV'!HAR24/'4. NPV'!HAR$8,0)</f>
        <v>-0.0</v>
      </c>
      <c r="HAR55" s="5">
        <f>-IFERROR('4. NPV'!HAS24/'4. NPV'!HAS$8,0)</f>
        <v>-0.0</v>
      </c>
      <c r="HAS55" s="5">
        <f>-IFERROR('4. NPV'!HAT24/'4. NPV'!HAT$8,0)</f>
        <v>-0.0</v>
      </c>
      <c r="HAT55" s="5">
        <f>-IFERROR('4. NPV'!HAU24/'4. NPV'!HAU$8,0)</f>
        <v>-0.0</v>
      </c>
      <c r="HAU55" s="5">
        <f>-IFERROR('4. NPV'!HAV24/'4. NPV'!HAV$8,0)</f>
        <v>-0.0</v>
      </c>
      <c r="HAV55" s="5">
        <f>-IFERROR('4. NPV'!HAW24/'4. NPV'!HAW$8,0)</f>
        <v>-0.0</v>
      </c>
      <c r="HAW55" s="5">
        <f>-IFERROR('4. NPV'!HAX24/'4. NPV'!HAX$8,0)</f>
        <v>-0.0</v>
      </c>
      <c r="HAX55" s="5">
        <f>-IFERROR('4. NPV'!HAY24/'4. NPV'!HAY$8,0)</f>
        <v>-0.0</v>
      </c>
      <c r="HAY55" s="5">
        <f>-IFERROR('4. NPV'!HAZ24/'4. NPV'!HAZ$8,0)</f>
        <v>-0.0</v>
      </c>
      <c r="HAZ55" s="5">
        <f>-IFERROR('4. NPV'!HBA24/'4. NPV'!HBA$8,0)</f>
        <v>-0.0</v>
      </c>
      <c r="HBA55" s="5">
        <f>-IFERROR('4. NPV'!HBB24/'4. NPV'!HBB$8,0)</f>
        <v>-0.0</v>
      </c>
      <c r="HBB55" s="5">
        <f>-IFERROR('4. NPV'!HBC24/'4. NPV'!HBC$8,0)</f>
        <v>-0.0</v>
      </c>
      <c r="HBC55" s="5">
        <f>-IFERROR('4. NPV'!HBD24/'4. NPV'!HBD$8,0)</f>
        <v>-0.0</v>
      </c>
      <c r="HBD55" s="5">
        <f>-IFERROR('4. NPV'!HBE24/'4. NPV'!HBE$8,0)</f>
        <v>-0.0</v>
      </c>
      <c r="HBE55" s="5">
        <f>-IFERROR('4. NPV'!HBF24/'4. NPV'!HBF$8,0)</f>
        <v>-0.0</v>
      </c>
      <c r="HBF55" s="5">
        <f>-IFERROR('4. NPV'!HBG24/'4. NPV'!HBG$8,0)</f>
        <v>-0.0</v>
      </c>
      <c r="HBG55" s="5">
        <f>-IFERROR('4. NPV'!HBH24/'4. NPV'!HBH$8,0)</f>
        <v>-0.0</v>
      </c>
      <c r="HBH55" s="5">
        <f>-IFERROR('4. NPV'!HBI24/'4. NPV'!HBI$8,0)</f>
        <v>-0.0</v>
      </c>
      <c r="HBI55" s="5">
        <f>-IFERROR('4. NPV'!HBJ24/'4. NPV'!HBJ$8,0)</f>
        <v>-0.0</v>
      </c>
      <c r="HBJ55" s="5">
        <f>-IFERROR('4. NPV'!HBK24/'4. NPV'!HBK$8,0)</f>
        <v>-0.0</v>
      </c>
      <c r="HBK55" s="5">
        <f>-IFERROR('4. NPV'!HBL24/'4. NPV'!HBL$8,0)</f>
        <v>-0.0</v>
      </c>
      <c r="HBL55" s="5">
        <f>-IFERROR('4. NPV'!HBM24/'4. NPV'!HBM$8,0)</f>
        <v>-0.0</v>
      </c>
      <c r="HBM55" s="5">
        <f>-IFERROR('4. NPV'!HBN24/'4. NPV'!HBN$8,0)</f>
        <v>-0.0</v>
      </c>
      <c r="HBN55" s="5">
        <f>-IFERROR('4. NPV'!HBO24/'4. NPV'!HBO$8,0)</f>
        <v>-0.0</v>
      </c>
      <c r="HBO55" s="5">
        <f>-IFERROR('4. NPV'!HBP24/'4. NPV'!HBP$8,0)</f>
        <v>-0.0</v>
      </c>
      <c r="HBP55" s="5">
        <f>-IFERROR('4. NPV'!HBQ24/'4. NPV'!HBQ$8,0)</f>
        <v>-0.0</v>
      </c>
      <c r="HBQ55" s="5">
        <f>-IFERROR('4. NPV'!HBR24/'4. NPV'!HBR$8,0)</f>
        <v>-0.0</v>
      </c>
      <c r="HBR55" s="5">
        <f>-IFERROR('4. NPV'!HBS24/'4. NPV'!HBS$8,0)</f>
        <v>-0.0</v>
      </c>
      <c r="HBS55" s="5">
        <f>-IFERROR('4. NPV'!HBT24/'4. NPV'!HBT$8,0)</f>
        <v>-0.0</v>
      </c>
      <c r="HBT55" s="5">
        <f>-IFERROR('4. NPV'!HBU24/'4. NPV'!HBU$8,0)</f>
        <v>-0.0</v>
      </c>
      <c r="HBU55" s="5">
        <f>-IFERROR('4. NPV'!HBV24/'4. NPV'!HBV$8,0)</f>
        <v>-0.0</v>
      </c>
      <c r="HBV55" s="5">
        <f>-IFERROR('4. NPV'!HBW24/'4. NPV'!HBW$8,0)</f>
        <v>-0.0</v>
      </c>
      <c r="HBW55" s="5">
        <f>-IFERROR('4. NPV'!HBX24/'4. NPV'!HBX$8,0)</f>
        <v>-0.0</v>
      </c>
      <c r="HBX55" s="5">
        <f>-IFERROR('4. NPV'!HBY24/'4. NPV'!HBY$8,0)</f>
        <v>-0.0</v>
      </c>
      <c r="HBY55" s="5">
        <f>-IFERROR('4. NPV'!HBZ24/'4. NPV'!HBZ$8,0)</f>
        <v>-0.0</v>
      </c>
      <c r="HBZ55" s="5">
        <f>-IFERROR('4. NPV'!HCA24/'4. NPV'!HCA$8,0)</f>
        <v>-0.0</v>
      </c>
      <c r="HCA55" s="5">
        <f>-IFERROR('4. NPV'!HCB24/'4. NPV'!HCB$8,0)</f>
        <v>-0.0</v>
      </c>
      <c r="HCB55" s="5">
        <f>-IFERROR('4. NPV'!HCC24/'4. NPV'!HCC$8,0)</f>
        <v>-0.0</v>
      </c>
      <c r="HCC55" s="5">
        <f>-IFERROR('4. NPV'!HCD24/'4. NPV'!HCD$8,0)</f>
        <v>-0.0</v>
      </c>
      <c r="HCD55" s="5">
        <f>-IFERROR('4. NPV'!HCE24/'4. NPV'!HCE$8,0)</f>
        <v>-0.0</v>
      </c>
      <c r="HCE55" s="5">
        <f>-IFERROR('4. NPV'!HCF24/'4. NPV'!HCF$8,0)</f>
        <v>-0.0</v>
      </c>
      <c r="HCF55" s="5">
        <f>-IFERROR('4. NPV'!HCG24/'4. NPV'!HCG$8,0)</f>
        <v>-0.0</v>
      </c>
      <c r="HCG55" s="5">
        <f>-IFERROR('4. NPV'!HCH24/'4. NPV'!HCH$8,0)</f>
        <v>-0.0</v>
      </c>
      <c r="HCH55" s="5">
        <f>-IFERROR('4. NPV'!HCI24/'4. NPV'!HCI$8,0)</f>
        <v>-0.0</v>
      </c>
      <c r="HCI55" s="5">
        <f>-IFERROR('4. NPV'!HCJ24/'4. NPV'!HCJ$8,0)</f>
        <v>-0.0</v>
      </c>
      <c r="HCJ55" s="5">
        <f>-IFERROR('4. NPV'!HCK24/'4. NPV'!HCK$8,0)</f>
        <v>-0.0</v>
      </c>
      <c r="HCK55" s="5">
        <f>-IFERROR('4. NPV'!HCL24/'4. NPV'!HCL$8,0)</f>
        <v>-0.0</v>
      </c>
      <c r="HCL55" s="5">
        <f>-IFERROR('4. NPV'!HCM24/'4. NPV'!HCM$8,0)</f>
        <v>-0.0</v>
      </c>
      <c r="HCM55" s="5">
        <f>-IFERROR('4. NPV'!HCN24/'4. NPV'!HCN$8,0)</f>
        <v>-0.0</v>
      </c>
      <c r="HCN55" s="5">
        <f>-IFERROR('4. NPV'!HCO24/'4. NPV'!HCO$8,0)</f>
        <v>-0.0</v>
      </c>
      <c r="HCO55" s="5">
        <f>-IFERROR('4. NPV'!HCP24/'4. NPV'!HCP$8,0)</f>
        <v>-0.0</v>
      </c>
      <c r="HCP55" s="5">
        <f>-IFERROR('4. NPV'!HCQ24/'4. NPV'!HCQ$8,0)</f>
        <v>-0.0</v>
      </c>
      <c r="HCQ55" s="5">
        <f>-IFERROR('4. NPV'!HCR24/'4. NPV'!HCR$8,0)</f>
        <v>-0.0</v>
      </c>
      <c r="HCR55" s="5">
        <f>-IFERROR('4. NPV'!HCS24/'4. NPV'!HCS$8,0)</f>
        <v>-0.0</v>
      </c>
      <c r="HCS55" s="5">
        <f>-IFERROR('4. NPV'!HCT24/'4. NPV'!HCT$8,0)</f>
        <v>-0.0</v>
      </c>
      <c r="HCT55" s="5">
        <f>-IFERROR('4. NPV'!HCU24/'4. NPV'!HCU$8,0)</f>
        <v>-0.0</v>
      </c>
      <c r="HCU55" s="5">
        <f>-IFERROR('4. NPV'!HCV24/'4. NPV'!HCV$8,0)</f>
        <v>-0.0</v>
      </c>
      <c r="HCV55" s="5">
        <f>-IFERROR('4. NPV'!HCW24/'4. NPV'!HCW$8,0)</f>
        <v>-0.0</v>
      </c>
      <c r="HCW55" s="5">
        <f>-IFERROR('4. NPV'!HCX24/'4. NPV'!HCX$8,0)</f>
        <v>-0.0</v>
      </c>
      <c r="HCX55" s="5">
        <f>-IFERROR('4. NPV'!HCY24/'4. NPV'!HCY$8,0)</f>
        <v>-0.0</v>
      </c>
      <c r="HCY55" s="5">
        <f>-IFERROR('4. NPV'!HCZ24/'4. NPV'!HCZ$8,0)</f>
        <v>-0.0</v>
      </c>
      <c r="HCZ55" s="5">
        <f>-IFERROR('4. NPV'!HDA24/'4. NPV'!HDA$8,0)</f>
        <v>-0.0</v>
      </c>
      <c r="HDA55" s="5">
        <f>-IFERROR('4. NPV'!HDB24/'4. NPV'!HDB$8,0)</f>
        <v>-0.0</v>
      </c>
      <c r="HDB55" s="5">
        <f>-IFERROR('4. NPV'!HDC24/'4. NPV'!HDC$8,0)</f>
        <v>-0.0</v>
      </c>
      <c r="HDC55" s="5">
        <f>-IFERROR('4. NPV'!HDD24/'4. NPV'!HDD$8,0)</f>
        <v>-0.0</v>
      </c>
      <c r="HDD55" s="5">
        <f>-IFERROR('4. NPV'!HDE24/'4. NPV'!HDE$8,0)</f>
        <v>-0.0</v>
      </c>
      <c r="HDE55" s="5">
        <f>-IFERROR('4. NPV'!HDF24/'4. NPV'!HDF$8,0)</f>
        <v>-0.0</v>
      </c>
      <c r="HDF55" s="5">
        <f>-IFERROR('4. NPV'!HDG24/'4. NPV'!HDG$8,0)</f>
        <v>-0.0</v>
      </c>
      <c r="HDG55" s="5">
        <f>-IFERROR('4. NPV'!HDH24/'4. NPV'!HDH$8,0)</f>
        <v>-0.0</v>
      </c>
      <c r="HDH55" s="5">
        <f>-IFERROR('4. NPV'!HDI24/'4. NPV'!HDI$8,0)</f>
        <v>-0.0</v>
      </c>
      <c r="HDI55" s="5">
        <f>-IFERROR('4. NPV'!HDJ24/'4. NPV'!HDJ$8,0)</f>
        <v>-0.0</v>
      </c>
      <c r="HDJ55" s="5">
        <f>-IFERROR('4. NPV'!HDK24/'4. NPV'!HDK$8,0)</f>
        <v>-0.0</v>
      </c>
      <c r="HDK55" s="5">
        <f>-IFERROR('4. NPV'!HDL24/'4. NPV'!HDL$8,0)</f>
        <v>-0.0</v>
      </c>
      <c r="HDL55" s="5">
        <f>-IFERROR('4. NPV'!HDM24/'4. NPV'!HDM$8,0)</f>
        <v>-0.0</v>
      </c>
      <c r="HDM55" s="5">
        <f>-IFERROR('4. NPV'!HDN24/'4. NPV'!HDN$8,0)</f>
        <v>-0.0</v>
      </c>
      <c r="HDN55" s="5">
        <f>-IFERROR('4. NPV'!HDO24/'4. NPV'!HDO$8,0)</f>
        <v>-0.0</v>
      </c>
      <c r="HDO55" s="5">
        <f>-IFERROR('4. NPV'!HDP24/'4. NPV'!HDP$8,0)</f>
        <v>-0.0</v>
      </c>
      <c r="HDP55" s="5">
        <f>-IFERROR('4. NPV'!HDQ24/'4. NPV'!HDQ$8,0)</f>
        <v>-0.0</v>
      </c>
      <c r="HDQ55" s="5">
        <f>-IFERROR('4. NPV'!HDR24/'4. NPV'!HDR$8,0)</f>
        <v>-0.0</v>
      </c>
      <c r="HDR55" s="5">
        <f>-IFERROR('4. NPV'!HDS24/'4. NPV'!HDS$8,0)</f>
        <v>-0.0</v>
      </c>
      <c r="HDS55" s="5">
        <f>-IFERROR('4. NPV'!HDT24/'4. NPV'!HDT$8,0)</f>
        <v>-0.0</v>
      </c>
      <c r="HDT55" s="5">
        <f>-IFERROR('4. NPV'!HDU24/'4. NPV'!HDU$8,0)</f>
        <v>-0.0</v>
      </c>
      <c r="HDU55" s="5">
        <f>-IFERROR('4. NPV'!HDV24/'4. NPV'!HDV$8,0)</f>
        <v>-0.0</v>
      </c>
      <c r="HDV55" s="5">
        <f>-IFERROR('4. NPV'!HDW24/'4. NPV'!HDW$8,0)</f>
        <v>-0.0</v>
      </c>
      <c r="HDW55" s="5">
        <f>-IFERROR('4. NPV'!HDX24/'4. NPV'!HDX$8,0)</f>
        <v>-0.0</v>
      </c>
      <c r="HDX55" s="5">
        <f>-IFERROR('4. NPV'!HDY24/'4. NPV'!HDY$8,0)</f>
        <v>-0.0</v>
      </c>
      <c r="HDY55" s="5">
        <f>-IFERROR('4. NPV'!HDZ24/'4. NPV'!HDZ$8,0)</f>
        <v>-0.0</v>
      </c>
      <c r="HDZ55" s="5">
        <f>-IFERROR('4. NPV'!HEA24/'4. NPV'!HEA$8,0)</f>
        <v>-0.0</v>
      </c>
      <c r="HEA55" s="5">
        <f>-IFERROR('4. NPV'!HEB24/'4. NPV'!HEB$8,0)</f>
        <v>-0.0</v>
      </c>
      <c r="HEB55" s="5">
        <f>-IFERROR('4. NPV'!HEC24/'4. NPV'!HEC$8,0)</f>
        <v>-0.0</v>
      </c>
      <c r="HEC55" s="5">
        <f>-IFERROR('4. NPV'!HED24/'4. NPV'!HED$8,0)</f>
        <v>-0.0</v>
      </c>
      <c r="HED55" s="5">
        <f>-IFERROR('4. NPV'!HEE24/'4. NPV'!HEE$8,0)</f>
        <v>-0.0</v>
      </c>
      <c r="HEE55" s="5">
        <f>-IFERROR('4. NPV'!HEF24/'4. NPV'!HEF$8,0)</f>
        <v>-0.0</v>
      </c>
      <c r="HEF55" s="5">
        <f>-IFERROR('4. NPV'!HEG24/'4. NPV'!HEG$8,0)</f>
        <v>-0.0</v>
      </c>
      <c r="HEG55" s="5">
        <f>-IFERROR('4. NPV'!HEH24/'4. NPV'!HEH$8,0)</f>
        <v>-0.0</v>
      </c>
      <c r="HEH55" s="5">
        <f>-IFERROR('4. NPV'!HEI24/'4. NPV'!HEI$8,0)</f>
        <v>-0.0</v>
      </c>
      <c r="HEI55" s="5">
        <f>-IFERROR('4. NPV'!HEJ24/'4. NPV'!HEJ$8,0)</f>
        <v>-0.0</v>
      </c>
      <c r="HEJ55" s="5">
        <f>-IFERROR('4. NPV'!HEK24/'4. NPV'!HEK$8,0)</f>
        <v>-0.0</v>
      </c>
      <c r="HEK55" s="5">
        <f>-IFERROR('4. NPV'!HEL24/'4. NPV'!HEL$8,0)</f>
        <v>-0.0</v>
      </c>
      <c r="HEL55" s="5">
        <f>-IFERROR('4. NPV'!HEM24/'4. NPV'!HEM$8,0)</f>
        <v>-0.0</v>
      </c>
      <c r="HEM55" s="5">
        <f>-IFERROR('4. NPV'!HEN24/'4. NPV'!HEN$8,0)</f>
        <v>-0.0</v>
      </c>
      <c r="HEN55" s="5">
        <f>-IFERROR('4. NPV'!HEO24/'4. NPV'!HEO$8,0)</f>
        <v>-0.0</v>
      </c>
      <c r="HEO55" s="5">
        <f>-IFERROR('4. NPV'!HEP24/'4. NPV'!HEP$8,0)</f>
        <v>-0.0</v>
      </c>
      <c r="HEP55" s="5">
        <f>-IFERROR('4. NPV'!HEQ24/'4. NPV'!HEQ$8,0)</f>
        <v>-0.0</v>
      </c>
      <c r="HEQ55" s="5">
        <f>-IFERROR('4. NPV'!HER24/'4. NPV'!HER$8,0)</f>
        <v>-0.0</v>
      </c>
      <c r="HER55" s="5">
        <f>-IFERROR('4. NPV'!HES24/'4. NPV'!HES$8,0)</f>
        <v>-0.0</v>
      </c>
      <c r="HES55" s="5">
        <f>-IFERROR('4. NPV'!HET24/'4. NPV'!HET$8,0)</f>
        <v>-0.0</v>
      </c>
      <c r="HET55" s="5">
        <f>-IFERROR('4. NPV'!HEU24/'4. NPV'!HEU$8,0)</f>
        <v>-0.0</v>
      </c>
      <c r="HEU55" s="5">
        <f>-IFERROR('4. NPV'!HEV24/'4. NPV'!HEV$8,0)</f>
        <v>-0.0</v>
      </c>
      <c r="HEV55" s="5">
        <f>-IFERROR('4. NPV'!HEW24/'4. NPV'!HEW$8,0)</f>
        <v>-0.0</v>
      </c>
      <c r="HEW55" s="5">
        <f>-IFERROR('4. NPV'!HEX24/'4. NPV'!HEX$8,0)</f>
        <v>-0.0</v>
      </c>
      <c r="HEX55" s="5">
        <f>-IFERROR('4. NPV'!HEY24/'4. NPV'!HEY$8,0)</f>
        <v>-0.0</v>
      </c>
      <c r="HEY55" s="5">
        <f>-IFERROR('4. NPV'!HEZ24/'4. NPV'!HEZ$8,0)</f>
        <v>-0.0</v>
      </c>
      <c r="HEZ55" s="5">
        <f>-IFERROR('4. NPV'!HFA24/'4. NPV'!HFA$8,0)</f>
        <v>-0.0</v>
      </c>
      <c r="HFA55" s="5">
        <f>-IFERROR('4. NPV'!HFB24/'4. NPV'!HFB$8,0)</f>
        <v>-0.0</v>
      </c>
      <c r="HFB55" s="5">
        <f>-IFERROR('4. NPV'!HFC24/'4. NPV'!HFC$8,0)</f>
        <v>-0.0</v>
      </c>
      <c r="HFC55" s="5">
        <f>-IFERROR('4. NPV'!HFD24/'4. NPV'!HFD$8,0)</f>
        <v>-0.0</v>
      </c>
      <c r="HFD55" s="5">
        <f>-IFERROR('4. NPV'!HFE24/'4. NPV'!HFE$8,0)</f>
        <v>-0.0</v>
      </c>
      <c r="HFE55" s="5">
        <f>-IFERROR('4. NPV'!HFF24/'4. NPV'!HFF$8,0)</f>
        <v>-0.0</v>
      </c>
      <c r="HFF55" s="5">
        <f>-IFERROR('4. NPV'!HFG24/'4. NPV'!HFG$8,0)</f>
        <v>-0.0</v>
      </c>
      <c r="HFG55" s="5">
        <f>-IFERROR('4. NPV'!HFH24/'4. NPV'!HFH$8,0)</f>
        <v>-0.0</v>
      </c>
      <c r="HFH55" s="5">
        <f>-IFERROR('4. NPV'!HFI24/'4. NPV'!HFI$8,0)</f>
        <v>-0.0</v>
      </c>
      <c r="HFI55" s="5">
        <f>-IFERROR('4. NPV'!HFJ24/'4. NPV'!HFJ$8,0)</f>
        <v>-0.0</v>
      </c>
      <c r="HFJ55" s="5">
        <f>-IFERROR('4. NPV'!HFK24/'4. NPV'!HFK$8,0)</f>
        <v>-0.0</v>
      </c>
      <c r="HFK55" s="5">
        <f>-IFERROR('4. NPV'!HFL24/'4. NPV'!HFL$8,0)</f>
        <v>-0.0</v>
      </c>
      <c r="HFL55" s="5">
        <f>-IFERROR('4. NPV'!HFM24/'4. NPV'!HFM$8,0)</f>
        <v>-0.0</v>
      </c>
      <c r="HFM55" s="5">
        <f>-IFERROR('4. NPV'!HFN24/'4. NPV'!HFN$8,0)</f>
        <v>-0.0</v>
      </c>
      <c r="HFN55" s="5">
        <f>-IFERROR('4. NPV'!HFO24/'4. NPV'!HFO$8,0)</f>
        <v>-0.0</v>
      </c>
      <c r="HFO55" s="5">
        <f>-IFERROR('4. NPV'!HFP24/'4. NPV'!HFP$8,0)</f>
        <v>-0.0</v>
      </c>
      <c r="HFP55" s="5">
        <f>-IFERROR('4. NPV'!HFQ24/'4. NPV'!HFQ$8,0)</f>
        <v>-0.0</v>
      </c>
      <c r="HFQ55" s="5">
        <f>-IFERROR('4. NPV'!HFR24/'4. NPV'!HFR$8,0)</f>
        <v>-0.0</v>
      </c>
      <c r="HFR55" s="5">
        <f>-IFERROR('4. NPV'!HFS24/'4. NPV'!HFS$8,0)</f>
        <v>-0.0</v>
      </c>
      <c r="HFS55" s="5">
        <f>-IFERROR('4. NPV'!HFT24/'4. NPV'!HFT$8,0)</f>
        <v>-0.0</v>
      </c>
      <c r="HFT55" s="5">
        <f>-IFERROR('4. NPV'!HFU24/'4. NPV'!HFU$8,0)</f>
        <v>-0.0</v>
      </c>
      <c r="HFU55" s="5">
        <f>-IFERROR('4. NPV'!HFV24/'4. NPV'!HFV$8,0)</f>
        <v>-0.0</v>
      </c>
      <c r="HFV55" s="5">
        <f>-IFERROR('4. NPV'!HFW24/'4. NPV'!HFW$8,0)</f>
        <v>-0.0</v>
      </c>
      <c r="HFW55" s="5">
        <f>-IFERROR('4. NPV'!HFX24/'4. NPV'!HFX$8,0)</f>
        <v>-0.0</v>
      </c>
      <c r="HFX55" s="5">
        <f>-IFERROR('4. NPV'!HFY24/'4. NPV'!HFY$8,0)</f>
        <v>-0.0</v>
      </c>
      <c r="HFY55" s="5">
        <f>-IFERROR('4. NPV'!HFZ24/'4. NPV'!HFZ$8,0)</f>
        <v>-0.0</v>
      </c>
      <c r="HFZ55" s="5">
        <f>-IFERROR('4. NPV'!HGA24/'4. NPV'!HGA$8,0)</f>
        <v>-0.0</v>
      </c>
      <c r="HGA55" s="5">
        <f>-IFERROR('4. NPV'!HGB24/'4. NPV'!HGB$8,0)</f>
        <v>-0.0</v>
      </c>
      <c r="HGB55" s="5">
        <f>-IFERROR('4. NPV'!HGC24/'4. NPV'!HGC$8,0)</f>
        <v>-0.0</v>
      </c>
      <c r="HGC55" s="5">
        <f>-IFERROR('4. NPV'!HGD24/'4. NPV'!HGD$8,0)</f>
        <v>-0.0</v>
      </c>
      <c r="HGD55" s="5">
        <f>-IFERROR('4. NPV'!HGE24/'4. NPV'!HGE$8,0)</f>
        <v>-0.0</v>
      </c>
      <c r="HGE55" s="5">
        <f>-IFERROR('4. NPV'!HGF24/'4. NPV'!HGF$8,0)</f>
        <v>-0.0</v>
      </c>
      <c r="HGF55" s="5">
        <f>-IFERROR('4. NPV'!HGG24/'4. NPV'!HGG$8,0)</f>
        <v>-0.0</v>
      </c>
      <c r="HGG55" s="5">
        <f>-IFERROR('4. NPV'!HGH24/'4. NPV'!HGH$8,0)</f>
        <v>-0.0</v>
      </c>
      <c r="HGH55" s="5">
        <f>-IFERROR('4. NPV'!HGI24/'4. NPV'!HGI$8,0)</f>
        <v>-0.0</v>
      </c>
      <c r="HGI55" s="5">
        <f>-IFERROR('4. NPV'!HGJ24/'4. NPV'!HGJ$8,0)</f>
        <v>-0.0</v>
      </c>
      <c r="HGJ55" s="5">
        <f>-IFERROR('4. NPV'!HGK24/'4. NPV'!HGK$8,0)</f>
        <v>-0.0</v>
      </c>
      <c r="HGK55" s="5">
        <f>-IFERROR('4. NPV'!HGL24/'4. NPV'!HGL$8,0)</f>
        <v>-0.0</v>
      </c>
      <c r="HGL55" s="5">
        <f>-IFERROR('4. NPV'!HGM24/'4. NPV'!HGM$8,0)</f>
        <v>-0.0</v>
      </c>
      <c r="HGM55" s="5">
        <f>-IFERROR('4. NPV'!HGN24/'4. NPV'!HGN$8,0)</f>
        <v>-0.0</v>
      </c>
      <c r="HGN55" s="5">
        <f>-IFERROR('4. NPV'!HGO24/'4. NPV'!HGO$8,0)</f>
        <v>-0.0</v>
      </c>
      <c r="HGO55" s="5">
        <f>-IFERROR('4. NPV'!HGP24/'4. NPV'!HGP$8,0)</f>
        <v>-0.0</v>
      </c>
      <c r="HGP55" s="5">
        <f>-IFERROR('4. NPV'!HGQ24/'4. NPV'!HGQ$8,0)</f>
        <v>-0.0</v>
      </c>
      <c r="HGQ55" s="5">
        <f>-IFERROR('4. NPV'!HGR24/'4. NPV'!HGR$8,0)</f>
        <v>-0.0</v>
      </c>
      <c r="HGR55" s="5">
        <f>-IFERROR('4. NPV'!HGS24/'4. NPV'!HGS$8,0)</f>
        <v>-0.0</v>
      </c>
      <c r="HGS55" s="5">
        <f>-IFERROR('4. NPV'!HGT24/'4. NPV'!HGT$8,0)</f>
        <v>-0.0</v>
      </c>
      <c r="HGT55" s="5">
        <f>-IFERROR('4. NPV'!HGU24/'4. NPV'!HGU$8,0)</f>
        <v>-0.0</v>
      </c>
      <c r="HGU55" s="5">
        <f>-IFERROR('4. NPV'!HGV24/'4. NPV'!HGV$8,0)</f>
        <v>-0.0</v>
      </c>
      <c r="HGV55" s="5">
        <f>-IFERROR('4. NPV'!HGW24/'4. NPV'!HGW$8,0)</f>
        <v>-0.0</v>
      </c>
      <c r="HGW55" s="5">
        <f>-IFERROR('4. NPV'!HGX24/'4. NPV'!HGX$8,0)</f>
        <v>-0.0</v>
      </c>
      <c r="HGX55" s="5">
        <f>-IFERROR('4. NPV'!HGY24/'4. NPV'!HGY$8,0)</f>
        <v>-0.0</v>
      </c>
      <c r="HGY55" s="5">
        <f>-IFERROR('4. NPV'!HGZ24/'4. NPV'!HGZ$8,0)</f>
        <v>-0.0</v>
      </c>
      <c r="HGZ55" s="5">
        <f>-IFERROR('4. NPV'!HHA24/'4. NPV'!HHA$8,0)</f>
        <v>-0.0</v>
      </c>
      <c r="HHA55" s="5">
        <f>-IFERROR('4. NPV'!HHB24/'4. NPV'!HHB$8,0)</f>
        <v>-0.0</v>
      </c>
      <c r="HHB55" s="5">
        <f>-IFERROR('4. NPV'!HHC24/'4. NPV'!HHC$8,0)</f>
        <v>-0.0</v>
      </c>
      <c r="HHC55" s="5">
        <f>-IFERROR('4. NPV'!HHD24/'4. NPV'!HHD$8,0)</f>
        <v>-0.0</v>
      </c>
      <c r="HHD55" s="5">
        <f>-IFERROR('4. NPV'!HHE24/'4. NPV'!HHE$8,0)</f>
        <v>-0.0</v>
      </c>
      <c r="HHE55" s="5">
        <f>-IFERROR('4. NPV'!HHF24/'4. NPV'!HHF$8,0)</f>
        <v>-0.0</v>
      </c>
      <c r="HHF55" s="5">
        <f>-IFERROR('4. NPV'!HHG24/'4. NPV'!HHG$8,0)</f>
        <v>-0.0</v>
      </c>
      <c r="HHG55" s="5">
        <f>-IFERROR('4. NPV'!HHH24/'4. NPV'!HHH$8,0)</f>
        <v>-0.0</v>
      </c>
      <c r="HHH55" s="5">
        <f>-IFERROR('4. NPV'!HHI24/'4. NPV'!HHI$8,0)</f>
        <v>-0.0</v>
      </c>
      <c r="HHI55" s="5">
        <f>-IFERROR('4. NPV'!HHJ24/'4. NPV'!HHJ$8,0)</f>
        <v>-0.0</v>
      </c>
      <c r="HHJ55" s="5">
        <f>-IFERROR('4. NPV'!HHK24/'4. NPV'!HHK$8,0)</f>
        <v>-0.0</v>
      </c>
      <c r="HHK55" s="5">
        <f>-IFERROR('4. NPV'!HHL24/'4. NPV'!HHL$8,0)</f>
        <v>-0.0</v>
      </c>
      <c r="HHL55" s="5">
        <f>-IFERROR('4. NPV'!HHM24/'4. NPV'!HHM$8,0)</f>
        <v>-0.0</v>
      </c>
      <c r="HHM55" s="5">
        <f>-IFERROR('4. NPV'!HHN24/'4. NPV'!HHN$8,0)</f>
        <v>-0.0</v>
      </c>
      <c r="HHN55" s="5">
        <f>-IFERROR('4. NPV'!HHO24/'4. NPV'!HHO$8,0)</f>
        <v>-0.0</v>
      </c>
      <c r="HHO55" s="5">
        <f>-IFERROR('4. NPV'!HHP24/'4. NPV'!HHP$8,0)</f>
        <v>-0.0</v>
      </c>
      <c r="HHP55" s="5">
        <f>-IFERROR('4. NPV'!HHQ24/'4. NPV'!HHQ$8,0)</f>
        <v>-0.0</v>
      </c>
      <c r="HHQ55" s="5">
        <f>-IFERROR('4. NPV'!HHR24/'4. NPV'!HHR$8,0)</f>
        <v>-0.0</v>
      </c>
      <c r="HHR55" s="5">
        <f>-IFERROR('4. NPV'!HHS24/'4. NPV'!HHS$8,0)</f>
        <v>-0.0</v>
      </c>
      <c r="HHS55" s="5">
        <f>-IFERROR('4. NPV'!HHT24/'4. NPV'!HHT$8,0)</f>
        <v>-0.0</v>
      </c>
      <c r="HHT55" s="5">
        <f>-IFERROR('4. NPV'!HHU24/'4. NPV'!HHU$8,0)</f>
        <v>-0.0</v>
      </c>
      <c r="HHU55" s="5">
        <f>-IFERROR('4. NPV'!HHV24/'4. NPV'!HHV$8,0)</f>
        <v>-0.0</v>
      </c>
      <c r="HHV55" s="5">
        <f>-IFERROR('4. NPV'!HHW24/'4. NPV'!HHW$8,0)</f>
        <v>-0.0</v>
      </c>
      <c r="HHW55" s="5">
        <f>-IFERROR('4. NPV'!HHX24/'4. NPV'!HHX$8,0)</f>
        <v>-0.0</v>
      </c>
      <c r="HHX55" s="5">
        <f>-IFERROR('4. NPV'!HHY24/'4. NPV'!HHY$8,0)</f>
        <v>-0.0</v>
      </c>
      <c r="HHY55" s="5">
        <f>-IFERROR('4. NPV'!HHZ24/'4. NPV'!HHZ$8,0)</f>
        <v>-0.0</v>
      </c>
      <c r="HHZ55" s="5">
        <f>-IFERROR('4. NPV'!HIA24/'4. NPV'!HIA$8,0)</f>
        <v>-0.0</v>
      </c>
      <c r="HIA55" s="5">
        <f>-IFERROR('4. NPV'!HIB24/'4. NPV'!HIB$8,0)</f>
        <v>-0.0</v>
      </c>
      <c r="HIB55" s="5">
        <f>-IFERROR('4. NPV'!HIC24/'4. NPV'!HIC$8,0)</f>
        <v>-0.0</v>
      </c>
      <c r="HIC55" s="5">
        <f>-IFERROR('4. NPV'!HID24/'4. NPV'!HID$8,0)</f>
        <v>-0.0</v>
      </c>
      <c r="HID55" s="5">
        <f>-IFERROR('4. NPV'!HIE24/'4. NPV'!HIE$8,0)</f>
        <v>-0.0</v>
      </c>
      <c r="HIE55" s="5">
        <f>-IFERROR('4. NPV'!HIF24/'4. NPV'!HIF$8,0)</f>
        <v>-0.0</v>
      </c>
      <c r="HIF55" s="5">
        <f>-IFERROR('4. NPV'!HIG24/'4. NPV'!HIG$8,0)</f>
        <v>-0.0</v>
      </c>
      <c r="HIG55" s="5">
        <f>-IFERROR('4. NPV'!HIH24/'4. NPV'!HIH$8,0)</f>
        <v>-0.0</v>
      </c>
      <c r="HIH55" s="5">
        <f>-IFERROR('4. NPV'!HII24/'4. NPV'!HII$8,0)</f>
        <v>-0.0</v>
      </c>
      <c r="HII55" s="5">
        <f>-IFERROR('4. NPV'!HIJ24/'4. NPV'!HIJ$8,0)</f>
        <v>-0.0</v>
      </c>
      <c r="HIJ55" s="5">
        <f>-IFERROR('4. NPV'!HIK24/'4. NPV'!HIK$8,0)</f>
        <v>-0.0</v>
      </c>
      <c r="HIK55" s="5">
        <f>-IFERROR('4. NPV'!HIL24/'4. NPV'!HIL$8,0)</f>
        <v>-0.0</v>
      </c>
      <c r="HIL55" s="5">
        <f>-IFERROR('4. NPV'!HIM24/'4. NPV'!HIM$8,0)</f>
        <v>-0.0</v>
      </c>
      <c r="HIM55" s="5">
        <f>-IFERROR('4. NPV'!HIN24/'4. NPV'!HIN$8,0)</f>
        <v>-0.0</v>
      </c>
      <c r="HIN55" s="5">
        <f>-IFERROR('4. NPV'!HIO24/'4. NPV'!HIO$8,0)</f>
        <v>-0.0</v>
      </c>
      <c r="HIO55" s="5">
        <f>-IFERROR('4. NPV'!HIP24/'4. NPV'!HIP$8,0)</f>
        <v>-0.0</v>
      </c>
      <c r="HIP55" s="5">
        <f>-IFERROR('4. NPV'!HIQ24/'4. NPV'!HIQ$8,0)</f>
        <v>-0.0</v>
      </c>
      <c r="HIQ55" s="5">
        <f>-IFERROR('4. NPV'!HIR24/'4. NPV'!HIR$8,0)</f>
        <v>-0.0</v>
      </c>
      <c r="HIR55" s="5">
        <f>-IFERROR('4. NPV'!HIS24/'4. NPV'!HIS$8,0)</f>
        <v>-0.0</v>
      </c>
      <c r="HIS55" s="5">
        <f>-IFERROR('4. NPV'!HIT24/'4. NPV'!HIT$8,0)</f>
        <v>-0.0</v>
      </c>
      <c r="HIT55" s="5">
        <f>-IFERROR('4. NPV'!HIU24/'4. NPV'!HIU$8,0)</f>
        <v>-0.0</v>
      </c>
      <c r="HIU55" s="5">
        <f>-IFERROR('4. NPV'!HIV24/'4. NPV'!HIV$8,0)</f>
        <v>-0.0</v>
      </c>
      <c r="HIV55" s="5">
        <f>-IFERROR('4. NPV'!HIW24/'4. NPV'!HIW$8,0)</f>
        <v>-0.0</v>
      </c>
      <c r="HIW55" s="5">
        <f>-IFERROR('4. NPV'!HIX24/'4. NPV'!HIX$8,0)</f>
        <v>-0.0</v>
      </c>
      <c r="HIX55" s="5">
        <f>-IFERROR('4. NPV'!HIY24/'4. NPV'!HIY$8,0)</f>
        <v>-0.0</v>
      </c>
      <c r="HIY55" s="5">
        <f>-IFERROR('4. NPV'!HIZ24/'4. NPV'!HIZ$8,0)</f>
        <v>-0.0</v>
      </c>
      <c r="HIZ55" s="5">
        <f>-IFERROR('4. NPV'!HJA24/'4. NPV'!HJA$8,0)</f>
        <v>-0.0</v>
      </c>
      <c r="HJA55" s="5">
        <f>-IFERROR('4. NPV'!HJB24/'4. NPV'!HJB$8,0)</f>
        <v>-0.0</v>
      </c>
      <c r="HJB55" s="5">
        <f>-IFERROR('4. NPV'!HJC24/'4. NPV'!HJC$8,0)</f>
        <v>-0.0</v>
      </c>
      <c r="HJC55" s="5">
        <f>-IFERROR('4. NPV'!HJD24/'4. NPV'!HJD$8,0)</f>
        <v>-0.0</v>
      </c>
      <c r="HJD55" s="5">
        <f>-IFERROR('4. NPV'!HJE24/'4. NPV'!HJE$8,0)</f>
        <v>-0.0</v>
      </c>
      <c r="HJE55" s="5">
        <f>-IFERROR('4. NPV'!HJF24/'4. NPV'!HJF$8,0)</f>
        <v>-0.0</v>
      </c>
      <c r="HJF55" s="5">
        <f>-IFERROR('4. NPV'!HJG24/'4. NPV'!HJG$8,0)</f>
        <v>-0.0</v>
      </c>
      <c r="HJG55" s="5">
        <f>-IFERROR('4. NPV'!HJH24/'4. NPV'!HJH$8,0)</f>
        <v>-0.0</v>
      </c>
      <c r="HJH55" s="5">
        <f>-IFERROR('4. NPV'!HJI24/'4. NPV'!HJI$8,0)</f>
        <v>-0.0</v>
      </c>
      <c r="HJI55" s="5">
        <f>-IFERROR('4. NPV'!HJJ24/'4. NPV'!HJJ$8,0)</f>
        <v>-0.0</v>
      </c>
      <c r="HJJ55" s="5">
        <f>-IFERROR('4. NPV'!HJK24/'4. NPV'!HJK$8,0)</f>
        <v>-0.0</v>
      </c>
      <c r="HJK55" s="5">
        <f>-IFERROR('4. NPV'!HJL24/'4. NPV'!HJL$8,0)</f>
        <v>-0.0</v>
      </c>
      <c r="HJL55" s="5">
        <f>-IFERROR('4. NPV'!HJM24/'4. NPV'!HJM$8,0)</f>
        <v>-0.0</v>
      </c>
      <c r="HJM55" s="5">
        <f>-IFERROR('4. NPV'!HJN24/'4. NPV'!HJN$8,0)</f>
        <v>-0.0</v>
      </c>
      <c r="HJN55" s="5">
        <f>-IFERROR('4. NPV'!HJO24/'4. NPV'!HJO$8,0)</f>
        <v>-0.0</v>
      </c>
      <c r="HJO55" s="5">
        <f>-IFERROR('4. NPV'!HJP24/'4. NPV'!HJP$8,0)</f>
        <v>-0.0</v>
      </c>
      <c r="HJP55" s="5">
        <f>-IFERROR('4. NPV'!HJQ24/'4. NPV'!HJQ$8,0)</f>
        <v>-0.0</v>
      </c>
      <c r="HJQ55" s="5">
        <f>-IFERROR('4. NPV'!HJR24/'4. NPV'!HJR$8,0)</f>
        <v>-0.0</v>
      </c>
      <c r="HJR55" s="5">
        <f>-IFERROR('4. NPV'!HJS24/'4. NPV'!HJS$8,0)</f>
        <v>-0.0</v>
      </c>
      <c r="HJS55" s="5">
        <f>-IFERROR('4. NPV'!HJT24/'4. NPV'!HJT$8,0)</f>
        <v>-0.0</v>
      </c>
      <c r="HJT55" s="5">
        <f>-IFERROR('4. NPV'!HJU24/'4. NPV'!HJU$8,0)</f>
        <v>-0.0</v>
      </c>
      <c r="HJU55" s="5">
        <f>-IFERROR('4. NPV'!HJV24/'4. NPV'!HJV$8,0)</f>
        <v>-0.0</v>
      </c>
      <c r="HJV55" s="5">
        <f>-IFERROR('4. NPV'!HJW24/'4. NPV'!HJW$8,0)</f>
        <v>-0.0</v>
      </c>
      <c r="HJW55" s="5">
        <f>-IFERROR('4. NPV'!HJX24/'4. NPV'!HJX$8,0)</f>
        <v>-0.0</v>
      </c>
      <c r="HJX55" s="5">
        <f>-IFERROR('4. NPV'!HJY24/'4. NPV'!HJY$8,0)</f>
        <v>-0.0</v>
      </c>
      <c r="HJY55" s="5">
        <f>-IFERROR('4. NPV'!HJZ24/'4. NPV'!HJZ$8,0)</f>
        <v>-0.0</v>
      </c>
      <c r="HJZ55" s="5">
        <f>-IFERROR('4. NPV'!HKA24/'4. NPV'!HKA$8,0)</f>
        <v>-0.0</v>
      </c>
      <c r="HKA55" s="5">
        <f>-IFERROR('4. NPV'!HKB24/'4. NPV'!HKB$8,0)</f>
        <v>-0.0</v>
      </c>
      <c r="HKB55" s="5">
        <f>-IFERROR('4. NPV'!HKC24/'4. NPV'!HKC$8,0)</f>
        <v>-0.0</v>
      </c>
      <c r="HKC55" s="5">
        <f>-IFERROR('4. NPV'!HKD24/'4. NPV'!HKD$8,0)</f>
        <v>-0.0</v>
      </c>
      <c r="HKD55" s="5">
        <f>-IFERROR('4. NPV'!HKE24/'4. NPV'!HKE$8,0)</f>
        <v>-0.0</v>
      </c>
      <c r="HKE55" s="5">
        <f>-IFERROR('4. NPV'!HKF24/'4. NPV'!HKF$8,0)</f>
        <v>-0.0</v>
      </c>
      <c r="HKF55" s="5">
        <f>-IFERROR('4. NPV'!HKG24/'4. NPV'!HKG$8,0)</f>
        <v>-0.0</v>
      </c>
      <c r="HKG55" s="5">
        <f>-IFERROR('4. NPV'!HKH24/'4. NPV'!HKH$8,0)</f>
        <v>-0.0</v>
      </c>
      <c r="HKH55" s="5">
        <f>-IFERROR('4. NPV'!HKI24/'4. NPV'!HKI$8,0)</f>
        <v>-0.0</v>
      </c>
      <c r="HKI55" s="5">
        <f>-IFERROR('4. NPV'!HKJ24/'4. NPV'!HKJ$8,0)</f>
        <v>-0.0</v>
      </c>
      <c r="HKJ55" s="5">
        <f>-IFERROR('4. NPV'!HKK24/'4. NPV'!HKK$8,0)</f>
        <v>-0.0</v>
      </c>
      <c r="HKK55" s="5">
        <f>-IFERROR('4. NPV'!HKL24/'4. NPV'!HKL$8,0)</f>
        <v>-0.0</v>
      </c>
      <c r="HKL55" s="5">
        <f>-IFERROR('4. NPV'!HKM24/'4. NPV'!HKM$8,0)</f>
        <v>-0.0</v>
      </c>
      <c r="HKM55" s="5">
        <f>-IFERROR('4. NPV'!HKN24/'4. NPV'!HKN$8,0)</f>
        <v>-0.0</v>
      </c>
      <c r="HKN55" s="5">
        <f>-IFERROR('4. NPV'!HKO24/'4. NPV'!HKO$8,0)</f>
        <v>-0.0</v>
      </c>
      <c r="HKO55" s="5">
        <f>-IFERROR('4. NPV'!HKP24/'4. NPV'!HKP$8,0)</f>
        <v>-0.0</v>
      </c>
      <c r="HKP55" s="5">
        <f>-IFERROR('4. NPV'!HKQ24/'4. NPV'!HKQ$8,0)</f>
        <v>-0.0</v>
      </c>
      <c r="HKQ55" s="5">
        <f>-IFERROR('4. NPV'!HKR24/'4. NPV'!HKR$8,0)</f>
        <v>-0.0</v>
      </c>
      <c r="HKR55" s="5">
        <f>-IFERROR('4. NPV'!HKS24/'4. NPV'!HKS$8,0)</f>
        <v>-0.0</v>
      </c>
      <c r="HKS55" s="5">
        <f>-IFERROR('4. NPV'!HKT24/'4. NPV'!HKT$8,0)</f>
        <v>-0.0</v>
      </c>
      <c r="HKT55" s="5">
        <f>-IFERROR('4. NPV'!HKU24/'4. NPV'!HKU$8,0)</f>
        <v>-0.0</v>
      </c>
      <c r="HKU55" s="5">
        <f>-IFERROR('4. NPV'!HKV24/'4. NPV'!HKV$8,0)</f>
        <v>-0.0</v>
      </c>
      <c r="HKV55" s="5">
        <f>-IFERROR('4. NPV'!HKW24/'4. NPV'!HKW$8,0)</f>
        <v>-0.0</v>
      </c>
      <c r="HKW55" s="5">
        <f>-IFERROR('4. NPV'!HKX24/'4. NPV'!HKX$8,0)</f>
        <v>-0.0</v>
      </c>
      <c r="HKX55" s="5">
        <f>-IFERROR('4. NPV'!HKY24/'4. NPV'!HKY$8,0)</f>
        <v>-0.0</v>
      </c>
      <c r="HKY55" s="5">
        <f>-IFERROR('4. NPV'!HKZ24/'4. NPV'!HKZ$8,0)</f>
        <v>-0.0</v>
      </c>
      <c r="HKZ55" s="5">
        <f>-IFERROR('4. NPV'!HLA24/'4. NPV'!HLA$8,0)</f>
        <v>-0.0</v>
      </c>
      <c r="HLA55" s="5">
        <f>-IFERROR('4. NPV'!HLB24/'4. NPV'!HLB$8,0)</f>
        <v>-0.0</v>
      </c>
      <c r="HLB55" s="5">
        <f>-IFERROR('4. NPV'!HLC24/'4. NPV'!HLC$8,0)</f>
        <v>-0.0</v>
      </c>
      <c r="HLC55" s="5">
        <f>-IFERROR('4. NPV'!HLD24/'4. NPV'!HLD$8,0)</f>
        <v>-0.0</v>
      </c>
      <c r="HLD55" s="5">
        <f>-IFERROR('4. NPV'!HLE24/'4. NPV'!HLE$8,0)</f>
        <v>-0.0</v>
      </c>
      <c r="HLE55" s="5">
        <f>-IFERROR('4. NPV'!HLF24/'4. NPV'!HLF$8,0)</f>
        <v>-0.0</v>
      </c>
      <c r="HLF55" s="5">
        <f>-IFERROR('4. NPV'!HLG24/'4. NPV'!HLG$8,0)</f>
        <v>-0.0</v>
      </c>
      <c r="HLG55" s="5">
        <f>-IFERROR('4. NPV'!HLH24/'4. NPV'!HLH$8,0)</f>
        <v>-0.0</v>
      </c>
      <c r="HLH55" s="5">
        <f>-IFERROR('4. NPV'!HLI24/'4. NPV'!HLI$8,0)</f>
        <v>-0.0</v>
      </c>
      <c r="HLI55" s="5">
        <f>-IFERROR('4. NPV'!HLJ24/'4. NPV'!HLJ$8,0)</f>
        <v>-0.0</v>
      </c>
      <c r="HLJ55" s="5">
        <f>-IFERROR('4. NPV'!HLK24/'4. NPV'!HLK$8,0)</f>
        <v>-0.0</v>
      </c>
      <c r="HLK55" s="5">
        <f>-IFERROR('4. NPV'!HLL24/'4. NPV'!HLL$8,0)</f>
        <v>-0.0</v>
      </c>
      <c r="HLL55" s="5">
        <f>-IFERROR('4. NPV'!HLM24/'4. NPV'!HLM$8,0)</f>
        <v>-0.0</v>
      </c>
      <c r="HLM55" s="5">
        <f>-IFERROR('4. NPV'!HLN24/'4. NPV'!HLN$8,0)</f>
        <v>-0.0</v>
      </c>
      <c r="HLN55" s="5">
        <f>-IFERROR('4. NPV'!HLO24/'4. NPV'!HLO$8,0)</f>
        <v>-0.0</v>
      </c>
      <c r="HLO55" s="5">
        <f>-IFERROR('4. NPV'!HLP24/'4. NPV'!HLP$8,0)</f>
        <v>-0.0</v>
      </c>
      <c r="HLP55" s="5">
        <f>-IFERROR('4. NPV'!HLQ24/'4. NPV'!HLQ$8,0)</f>
        <v>-0.0</v>
      </c>
      <c r="HLQ55" s="5">
        <f>-IFERROR('4. NPV'!HLR24/'4. NPV'!HLR$8,0)</f>
        <v>-0.0</v>
      </c>
      <c r="HLR55" s="5">
        <f>-IFERROR('4. NPV'!HLS24/'4. NPV'!HLS$8,0)</f>
        <v>-0.0</v>
      </c>
      <c r="HLS55" s="5">
        <f>-IFERROR('4. NPV'!HLT24/'4. NPV'!HLT$8,0)</f>
        <v>-0.0</v>
      </c>
      <c r="HLT55" s="5">
        <f>-IFERROR('4. NPV'!HLU24/'4. NPV'!HLU$8,0)</f>
        <v>-0.0</v>
      </c>
      <c r="HLU55" s="5">
        <f>-IFERROR('4. NPV'!HLV24/'4. NPV'!HLV$8,0)</f>
        <v>-0.0</v>
      </c>
      <c r="HLV55" s="5">
        <f>-IFERROR('4. NPV'!HLW24/'4. NPV'!HLW$8,0)</f>
        <v>-0.0</v>
      </c>
      <c r="HLW55" s="5">
        <f>-IFERROR('4. NPV'!HLX24/'4. NPV'!HLX$8,0)</f>
        <v>-0.0</v>
      </c>
      <c r="HLX55" s="5">
        <f>-IFERROR('4. NPV'!HLY24/'4. NPV'!HLY$8,0)</f>
        <v>-0.0</v>
      </c>
      <c r="HLY55" s="5">
        <f>-IFERROR('4. NPV'!HLZ24/'4. NPV'!HLZ$8,0)</f>
        <v>-0.0</v>
      </c>
      <c r="HLZ55" s="5">
        <f>-IFERROR('4. NPV'!HMA24/'4. NPV'!HMA$8,0)</f>
        <v>-0.0</v>
      </c>
      <c r="HMA55" s="5">
        <f>-IFERROR('4. NPV'!HMB24/'4. NPV'!HMB$8,0)</f>
        <v>-0.0</v>
      </c>
      <c r="HMB55" s="5">
        <f>-IFERROR('4. NPV'!HMC24/'4. NPV'!HMC$8,0)</f>
        <v>-0.0</v>
      </c>
      <c r="HMC55" s="5">
        <f>-IFERROR('4. NPV'!HMD24/'4. NPV'!HMD$8,0)</f>
        <v>-0.0</v>
      </c>
      <c r="HMD55" s="5">
        <f>-IFERROR('4. NPV'!HME24/'4. NPV'!HME$8,0)</f>
        <v>-0.0</v>
      </c>
      <c r="HME55" s="5">
        <f>-IFERROR('4. NPV'!HMF24/'4. NPV'!HMF$8,0)</f>
        <v>-0.0</v>
      </c>
      <c r="HMF55" s="5">
        <f>-IFERROR('4. NPV'!HMG24/'4. NPV'!HMG$8,0)</f>
        <v>-0.0</v>
      </c>
      <c r="HMG55" s="5">
        <f>-IFERROR('4. NPV'!HMH24/'4. NPV'!HMH$8,0)</f>
        <v>-0.0</v>
      </c>
      <c r="HMH55" s="5">
        <f>-IFERROR('4. NPV'!HMI24/'4. NPV'!HMI$8,0)</f>
        <v>-0.0</v>
      </c>
      <c r="HMI55" s="5">
        <f>-IFERROR('4. NPV'!HMJ24/'4. NPV'!HMJ$8,0)</f>
        <v>-0.0</v>
      </c>
      <c r="HMJ55" s="5">
        <f>-IFERROR('4. NPV'!HMK24/'4. NPV'!HMK$8,0)</f>
        <v>-0.0</v>
      </c>
      <c r="HMK55" s="5">
        <f>-IFERROR('4. NPV'!HML24/'4. NPV'!HML$8,0)</f>
        <v>-0.0</v>
      </c>
      <c r="HML55" s="5">
        <f>-IFERROR('4. NPV'!HMM24/'4. NPV'!HMM$8,0)</f>
        <v>-0.0</v>
      </c>
      <c r="HMM55" s="5">
        <f>-IFERROR('4. NPV'!HMN24/'4. NPV'!HMN$8,0)</f>
        <v>-0.0</v>
      </c>
      <c r="HMN55" s="5">
        <f>-IFERROR('4. NPV'!HMO24/'4. NPV'!HMO$8,0)</f>
        <v>-0.0</v>
      </c>
      <c r="HMO55" s="5">
        <f>-IFERROR('4. NPV'!HMP24/'4. NPV'!HMP$8,0)</f>
        <v>-0.0</v>
      </c>
      <c r="HMP55" s="5">
        <f>-IFERROR('4. NPV'!HMQ24/'4. NPV'!HMQ$8,0)</f>
        <v>-0.0</v>
      </c>
      <c r="HMQ55" s="5">
        <f>-IFERROR('4. NPV'!HMR24/'4. NPV'!HMR$8,0)</f>
        <v>-0.0</v>
      </c>
      <c r="HMR55" s="5">
        <f>-IFERROR('4. NPV'!HMS24/'4. NPV'!HMS$8,0)</f>
        <v>-0.0</v>
      </c>
      <c r="HMS55" s="5">
        <f>-IFERROR('4. NPV'!HMT24/'4. NPV'!HMT$8,0)</f>
        <v>-0.0</v>
      </c>
      <c r="HMT55" s="5">
        <f>-IFERROR('4. NPV'!HMU24/'4. NPV'!HMU$8,0)</f>
        <v>-0.0</v>
      </c>
      <c r="HMU55" s="5">
        <f>-IFERROR('4. NPV'!HMV24/'4. NPV'!HMV$8,0)</f>
        <v>-0.0</v>
      </c>
      <c r="HMV55" s="5">
        <f>-IFERROR('4. NPV'!HMW24/'4. NPV'!HMW$8,0)</f>
        <v>-0.0</v>
      </c>
      <c r="HMW55" s="5">
        <f>-IFERROR('4. NPV'!HMX24/'4. NPV'!HMX$8,0)</f>
        <v>-0.0</v>
      </c>
      <c r="HMX55" s="5">
        <f>-IFERROR('4. NPV'!HMY24/'4. NPV'!HMY$8,0)</f>
        <v>-0.0</v>
      </c>
      <c r="HMY55" s="5">
        <f>-IFERROR('4. NPV'!HMZ24/'4. NPV'!HMZ$8,0)</f>
        <v>-0.0</v>
      </c>
      <c r="HMZ55" s="5">
        <f>-IFERROR('4. NPV'!HNA24/'4. NPV'!HNA$8,0)</f>
        <v>-0.0</v>
      </c>
      <c r="HNA55" s="5">
        <f>-IFERROR('4. NPV'!HNB24/'4. NPV'!HNB$8,0)</f>
        <v>-0.0</v>
      </c>
      <c r="HNB55" s="5">
        <f>-IFERROR('4. NPV'!HNC24/'4. NPV'!HNC$8,0)</f>
        <v>-0.0</v>
      </c>
      <c r="HNC55" s="5">
        <f>-IFERROR('4. NPV'!HND24/'4. NPV'!HND$8,0)</f>
        <v>-0.0</v>
      </c>
      <c r="HND55" s="5">
        <f>-IFERROR('4. NPV'!HNE24/'4. NPV'!HNE$8,0)</f>
        <v>-0.0</v>
      </c>
      <c r="HNE55" s="5">
        <f>-IFERROR('4. NPV'!HNF24/'4. NPV'!HNF$8,0)</f>
        <v>-0.0</v>
      </c>
      <c r="HNF55" s="5">
        <f>-IFERROR('4. NPV'!HNG24/'4. NPV'!HNG$8,0)</f>
        <v>-0.0</v>
      </c>
      <c r="HNG55" s="5">
        <f>-IFERROR('4. NPV'!HNH24/'4. NPV'!HNH$8,0)</f>
        <v>-0.0</v>
      </c>
      <c r="HNH55" s="5">
        <f>-IFERROR('4. NPV'!HNI24/'4. NPV'!HNI$8,0)</f>
        <v>-0.0</v>
      </c>
      <c r="HNI55" s="5">
        <f>-IFERROR('4. NPV'!HNJ24/'4. NPV'!HNJ$8,0)</f>
        <v>-0.0</v>
      </c>
      <c r="HNJ55" s="5">
        <f>-IFERROR('4. NPV'!HNK24/'4. NPV'!HNK$8,0)</f>
        <v>-0.0</v>
      </c>
      <c r="HNK55" s="5">
        <f>-IFERROR('4. NPV'!HNL24/'4. NPV'!HNL$8,0)</f>
        <v>-0.0</v>
      </c>
      <c r="HNL55" s="5">
        <f>-IFERROR('4. NPV'!HNM24/'4. NPV'!HNM$8,0)</f>
        <v>-0.0</v>
      </c>
      <c r="HNM55" s="5">
        <f>-IFERROR('4. NPV'!HNN24/'4. NPV'!HNN$8,0)</f>
        <v>-0.0</v>
      </c>
      <c r="HNN55" s="5">
        <f>-IFERROR('4. NPV'!HNO24/'4. NPV'!HNO$8,0)</f>
        <v>-0.0</v>
      </c>
      <c r="HNO55" s="5">
        <f>-IFERROR('4. NPV'!HNP24/'4. NPV'!HNP$8,0)</f>
        <v>-0.0</v>
      </c>
      <c r="HNP55" s="5">
        <f>-IFERROR('4. NPV'!HNQ24/'4. NPV'!HNQ$8,0)</f>
        <v>-0.0</v>
      </c>
      <c r="HNQ55" s="5">
        <f>-IFERROR('4. NPV'!HNR24/'4. NPV'!HNR$8,0)</f>
        <v>-0.0</v>
      </c>
      <c r="HNR55" s="5">
        <f>-IFERROR('4. NPV'!HNS24/'4. NPV'!HNS$8,0)</f>
        <v>-0.0</v>
      </c>
      <c r="HNS55" s="5">
        <f>-IFERROR('4. NPV'!HNT24/'4. NPV'!HNT$8,0)</f>
        <v>-0.0</v>
      </c>
      <c r="HNT55" s="5">
        <f>-IFERROR('4. NPV'!HNU24/'4. NPV'!HNU$8,0)</f>
        <v>-0.0</v>
      </c>
      <c r="HNU55" s="5">
        <f>-IFERROR('4. NPV'!HNV24/'4. NPV'!HNV$8,0)</f>
        <v>-0.0</v>
      </c>
      <c r="HNV55" s="5">
        <f>-IFERROR('4. NPV'!HNW24/'4. NPV'!HNW$8,0)</f>
        <v>-0.0</v>
      </c>
      <c r="HNW55" s="5">
        <f>-IFERROR('4. NPV'!HNX24/'4. NPV'!HNX$8,0)</f>
        <v>-0.0</v>
      </c>
      <c r="HNX55" s="5">
        <f>-IFERROR('4. NPV'!HNY24/'4. NPV'!HNY$8,0)</f>
        <v>-0.0</v>
      </c>
      <c r="HNY55" s="5">
        <f>-IFERROR('4. NPV'!HNZ24/'4. NPV'!HNZ$8,0)</f>
        <v>-0.0</v>
      </c>
      <c r="HNZ55" s="5">
        <f>-IFERROR('4. NPV'!HOA24/'4. NPV'!HOA$8,0)</f>
        <v>-0.0</v>
      </c>
      <c r="HOA55" s="5">
        <f>-IFERROR('4. NPV'!HOB24/'4. NPV'!HOB$8,0)</f>
        <v>-0.0</v>
      </c>
      <c r="HOB55" s="5">
        <f>-IFERROR('4. NPV'!HOC24/'4. NPV'!HOC$8,0)</f>
        <v>-0.0</v>
      </c>
      <c r="HOC55" s="5">
        <f>-IFERROR('4. NPV'!HOD24/'4. NPV'!HOD$8,0)</f>
        <v>-0.0</v>
      </c>
      <c r="HOD55" s="5">
        <f>-IFERROR('4. NPV'!HOE24/'4. NPV'!HOE$8,0)</f>
        <v>-0.0</v>
      </c>
      <c r="HOE55" s="5">
        <f>-IFERROR('4. NPV'!HOF24/'4. NPV'!HOF$8,0)</f>
        <v>-0.0</v>
      </c>
      <c r="HOF55" s="5">
        <f>-IFERROR('4. NPV'!HOG24/'4. NPV'!HOG$8,0)</f>
        <v>-0.0</v>
      </c>
      <c r="HOG55" s="5">
        <f>-IFERROR('4. NPV'!HOH24/'4. NPV'!HOH$8,0)</f>
        <v>-0.0</v>
      </c>
      <c r="HOH55" s="5">
        <f>-IFERROR('4. NPV'!HOI24/'4. NPV'!HOI$8,0)</f>
        <v>-0.0</v>
      </c>
      <c r="HOI55" s="5">
        <f>-IFERROR('4. NPV'!HOJ24/'4. NPV'!HOJ$8,0)</f>
        <v>-0.0</v>
      </c>
      <c r="HOJ55" s="5">
        <f>-IFERROR('4. NPV'!HOK24/'4. NPV'!HOK$8,0)</f>
        <v>-0.0</v>
      </c>
      <c r="HOK55" s="5">
        <f>-IFERROR('4. NPV'!HOL24/'4. NPV'!HOL$8,0)</f>
        <v>-0.0</v>
      </c>
      <c r="HOL55" s="5">
        <f>-IFERROR('4. NPV'!HOM24/'4. NPV'!HOM$8,0)</f>
        <v>-0.0</v>
      </c>
      <c r="HOM55" s="5">
        <f>-IFERROR('4. NPV'!HON24/'4. NPV'!HON$8,0)</f>
        <v>-0.0</v>
      </c>
      <c r="HON55" s="5">
        <f>-IFERROR('4. NPV'!HOO24/'4. NPV'!HOO$8,0)</f>
        <v>-0.0</v>
      </c>
      <c r="HOO55" s="5">
        <f>-IFERROR('4. NPV'!HOP24/'4. NPV'!HOP$8,0)</f>
        <v>-0.0</v>
      </c>
      <c r="HOP55" s="5">
        <f>-IFERROR('4. NPV'!HOQ24/'4. NPV'!HOQ$8,0)</f>
        <v>-0.0</v>
      </c>
      <c r="HOQ55" s="5">
        <f>-IFERROR('4. NPV'!HOR24/'4. NPV'!HOR$8,0)</f>
        <v>-0.0</v>
      </c>
      <c r="HOR55" s="5">
        <f>-IFERROR('4. NPV'!HOS24/'4. NPV'!HOS$8,0)</f>
        <v>-0.0</v>
      </c>
      <c r="HOS55" s="5">
        <f>-IFERROR('4. NPV'!HOT24/'4. NPV'!HOT$8,0)</f>
        <v>-0.0</v>
      </c>
      <c r="HOT55" s="5">
        <f>-IFERROR('4. NPV'!HOU24/'4. NPV'!HOU$8,0)</f>
        <v>-0.0</v>
      </c>
      <c r="HOU55" s="5">
        <f>-IFERROR('4. NPV'!HOV24/'4. NPV'!HOV$8,0)</f>
        <v>-0.0</v>
      </c>
      <c r="HOV55" s="5">
        <f>-IFERROR('4. NPV'!HOW24/'4. NPV'!HOW$8,0)</f>
        <v>-0.0</v>
      </c>
      <c r="HOW55" s="5">
        <f>-IFERROR('4. NPV'!HOX24/'4. NPV'!HOX$8,0)</f>
        <v>-0.0</v>
      </c>
      <c r="HOX55" s="5">
        <f>-IFERROR('4. NPV'!HOY24/'4. NPV'!HOY$8,0)</f>
        <v>-0.0</v>
      </c>
      <c r="HOY55" s="5">
        <f>-IFERROR('4. NPV'!HOZ24/'4. NPV'!HOZ$8,0)</f>
        <v>-0.0</v>
      </c>
      <c r="HOZ55" s="5">
        <f>-IFERROR('4. NPV'!HPA24/'4. NPV'!HPA$8,0)</f>
        <v>-0.0</v>
      </c>
      <c r="HPA55" s="5">
        <f>-IFERROR('4. NPV'!HPB24/'4. NPV'!HPB$8,0)</f>
        <v>-0.0</v>
      </c>
      <c r="HPB55" s="5">
        <f>-IFERROR('4. NPV'!HPC24/'4. NPV'!HPC$8,0)</f>
        <v>-0.0</v>
      </c>
      <c r="HPC55" s="5">
        <f>-IFERROR('4. NPV'!HPD24/'4. NPV'!HPD$8,0)</f>
        <v>-0.0</v>
      </c>
      <c r="HPD55" s="5">
        <f>-IFERROR('4. NPV'!HPE24/'4. NPV'!HPE$8,0)</f>
        <v>-0.0</v>
      </c>
      <c r="HPE55" s="5">
        <f>-IFERROR('4. NPV'!HPF24/'4. NPV'!HPF$8,0)</f>
        <v>-0.0</v>
      </c>
      <c r="HPF55" s="5">
        <f>-IFERROR('4. NPV'!HPG24/'4. NPV'!HPG$8,0)</f>
        <v>-0.0</v>
      </c>
      <c r="HPG55" s="5">
        <f>-IFERROR('4. NPV'!HPH24/'4. NPV'!HPH$8,0)</f>
        <v>-0.0</v>
      </c>
      <c r="HPH55" s="5">
        <f>-IFERROR('4. NPV'!HPI24/'4. NPV'!HPI$8,0)</f>
        <v>-0.0</v>
      </c>
      <c r="HPI55" s="5">
        <f>-IFERROR('4. NPV'!HPJ24/'4. NPV'!HPJ$8,0)</f>
        <v>-0.0</v>
      </c>
      <c r="HPJ55" s="5">
        <f>-IFERROR('4. NPV'!HPK24/'4. NPV'!HPK$8,0)</f>
        <v>-0.0</v>
      </c>
      <c r="HPK55" s="5">
        <f>-IFERROR('4. NPV'!HPL24/'4. NPV'!HPL$8,0)</f>
        <v>-0.0</v>
      </c>
      <c r="HPL55" s="5">
        <f>-IFERROR('4. NPV'!HPM24/'4. NPV'!HPM$8,0)</f>
        <v>-0.0</v>
      </c>
      <c r="HPM55" s="5">
        <f>-IFERROR('4. NPV'!HPN24/'4. NPV'!HPN$8,0)</f>
        <v>-0.0</v>
      </c>
      <c r="HPN55" s="5">
        <f>-IFERROR('4. NPV'!HPO24/'4. NPV'!HPO$8,0)</f>
        <v>-0.0</v>
      </c>
      <c r="HPO55" s="5">
        <f>-IFERROR('4. NPV'!HPP24/'4. NPV'!HPP$8,0)</f>
        <v>-0.0</v>
      </c>
      <c r="HPP55" s="5">
        <f>-IFERROR('4. NPV'!HPQ24/'4. NPV'!HPQ$8,0)</f>
        <v>-0.0</v>
      </c>
      <c r="HPQ55" s="5">
        <f>-IFERROR('4. NPV'!HPR24/'4. NPV'!HPR$8,0)</f>
        <v>-0.0</v>
      </c>
      <c r="HPR55" s="5">
        <f>-IFERROR('4. NPV'!HPS24/'4. NPV'!HPS$8,0)</f>
        <v>-0.0</v>
      </c>
      <c r="HPS55" s="5">
        <f>-IFERROR('4. NPV'!HPT24/'4. NPV'!HPT$8,0)</f>
        <v>-0.0</v>
      </c>
      <c r="HPT55" s="5">
        <f>-IFERROR('4. NPV'!HPU24/'4. NPV'!HPU$8,0)</f>
        <v>-0.0</v>
      </c>
      <c r="HPU55" s="5">
        <f>-IFERROR('4. NPV'!HPV24/'4. NPV'!HPV$8,0)</f>
        <v>-0.0</v>
      </c>
      <c r="HPV55" s="5">
        <f>-IFERROR('4. NPV'!HPW24/'4. NPV'!HPW$8,0)</f>
        <v>-0.0</v>
      </c>
      <c r="HPW55" s="5">
        <f>-IFERROR('4. NPV'!HPX24/'4. NPV'!HPX$8,0)</f>
        <v>-0.0</v>
      </c>
      <c r="HPX55" s="5">
        <f>-IFERROR('4. NPV'!HPY24/'4. NPV'!HPY$8,0)</f>
        <v>-0.0</v>
      </c>
      <c r="HPY55" s="5">
        <f>-IFERROR('4. NPV'!HPZ24/'4. NPV'!HPZ$8,0)</f>
        <v>-0.0</v>
      </c>
      <c r="HPZ55" s="5">
        <f>-IFERROR('4. NPV'!HQA24/'4. NPV'!HQA$8,0)</f>
        <v>-0.0</v>
      </c>
      <c r="HQA55" s="5">
        <f>-IFERROR('4. NPV'!HQB24/'4. NPV'!HQB$8,0)</f>
        <v>-0.0</v>
      </c>
      <c r="HQB55" s="5">
        <f>-IFERROR('4. NPV'!HQC24/'4. NPV'!HQC$8,0)</f>
        <v>-0.0</v>
      </c>
      <c r="HQC55" s="5">
        <f>-IFERROR('4. NPV'!HQD24/'4. NPV'!HQD$8,0)</f>
        <v>-0.0</v>
      </c>
      <c r="HQD55" s="5">
        <f>-IFERROR('4. NPV'!HQE24/'4. NPV'!HQE$8,0)</f>
        <v>-0.0</v>
      </c>
      <c r="HQE55" s="5">
        <f>-IFERROR('4. NPV'!HQF24/'4. NPV'!HQF$8,0)</f>
        <v>-0.0</v>
      </c>
      <c r="HQF55" s="5">
        <f>-IFERROR('4. NPV'!HQG24/'4. NPV'!HQG$8,0)</f>
        <v>-0.0</v>
      </c>
      <c r="HQG55" s="5">
        <f>-IFERROR('4. NPV'!HQH24/'4. NPV'!HQH$8,0)</f>
        <v>-0.0</v>
      </c>
      <c r="HQH55" s="5">
        <f>-IFERROR('4. NPV'!HQI24/'4. NPV'!HQI$8,0)</f>
        <v>-0.0</v>
      </c>
      <c r="HQI55" s="5">
        <f>-IFERROR('4. NPV'!HQJ24/'4. NPV'!HQJ$8,0)</f>
        <v>-0.0</v>
      </c>
      <c r="HQJ55" s="5">
        <f>-IFERROR('4. NPV'!HQK24/'4. NPV'!HQK$8,0)</f>
        <v>-0.0</v>
      </c>
      <c r="HQK55" s="5">
        <f>-IFERROR('4. NPV'!HQL24/'4. NPV'!HQL$8,0)</f>
        <v>-0.0</v>
      </c>
      <c r="HQL55" s="5">
        <f>-IFERROR('4. NPV'!HQM24/'4. NPV'!HQM$8,0)</f>
        <v>-0.0</v>
      </c>
      <c r="HQM55" s="5">
        <f>-IFERROR('4. NPV'!HQN24/'4. NPV'!HQN$8,0)</f>
        <v>-0.0</v>
      </c>
      <c r="HQN55" s="5">
        <f>-IFERROR('4. NPV'!HQO24/'4. NPV'!HQO$8,0)</f>
        <v>-0.0</v>
      </c>
      <c r="HQO55" s="5">
        <f>-IFERROR('4. NPV'!HQP24/'4. NPV'!HQP$8,0)</f>
        <v>-0.0</v>
      </c>
      <c r="HQP55" s="5">
        <f>-IFERROR('4. NPV'!HQQ24/'4. NPV'!HQQ$8,0)</f>
        <v>-0.0</v>
      </c>
      <c r="HQQ55" s="5">
        <f>-IFERROR('4. NPV'!HQR24/'4. NPV'!HQR$8,0)</f>
        <v>-0.0</v>
      </c>
      <c r="HQR55" s="5">
        <f>-IFERROR('4. NPV'!HQS24/'4. NPV'!HQS$8,0)</f>
        <v>-0.0</v>
      </c>
      <c r="HQS55" s="5">
        <f>-IFERROR('4. NPV'!HQT24/'4. NPV'!HQT$8,0)</f>
        <v>-0.0</v>
      </c>
      <c r="HQT55" s="5">
        <f>-IFERROR('4. NPV'!HQU24/'4. NPV'!HQU$8,0)</f>
        <v>-0.0</v>
      </c>
      <c r="HQU55" s="5">
        <f>-IFERROR('4. NPV'!HQV24/'4. NPV'!HQV$8,0)</f>
        <v>-0.0</v>
      </c>
      <c r="HQV55" s="5">
        <f>-IFERROR('4. NPV'!HQW24/'4. NPV'!HQW$8,0)</f>
        <v>-0.0</v>
      </c>
      <c r="HQW55" s="5">
        <f>-IFERROR('4. NPV'!HQX24/'4. NPV'!HQX$8,0)</f>
        <v>-0.0</v>
      </c>
      <c r="HQX55" s="5">
        <f>-IFERROR('4. NPV'!HQY24/'4. NPV'!HQY$8,0)</f>
        <v>-0.0</v>
      </c>
      <c r="HQY55" s="5">
        <f>-IFERROR('4. NPV'!HQZ24/'4. NPV'!HQZ$8,0)</f>
        <v>-0.0</v>
      </c>
      <c r="HQZ55" s="5">
        <f>-IFERROR('4. NPV'!HRA24/'4. NPV'!HRA$8,0)</f>
        <v>-0.0</v>
      </c>
      <c r="HRA55" s="5">
        <f>-IFERROR('4. NPV'!HRB24/'4. NPV'!HRB$8,0)</f>
        <v>-0.0</v>
      </c>
      <c r="HRB55" s="5">
        <f>-IFERROR('4. NPV'!HRC24/'4. NPV'!HRC$8,0)</f>
        <v>-0.0</v>
      </c>
      <c r="HRC55" s="5">
        <f>-IFERROR('4. NPV'!HRD24/'4. NPV'!HRD$8,0)</f>
        <v>-0.0</v>
      </c>
      <c r="HRD55" s="5">
        <f>-IFERROR('4. NPV'!HRE24/'4. NPV'!HRE$8,0)</f>
        <v>-0.0</v>
      </c>
      <c r="HRE55" s="5">
        <f>-IFERROR('4. NPV'!HRF24/'4. NPV'!HRF$8,0)</f>
        <v>-0.0</v>
      </c>
      <c r="HRF55" s="5">
        <f>-IFERROR('4. NPV'!HRG24/'4. NPV'!HRG$8,0)</f>
        <v>-0.0</v>
      </c>
      <c r="HRG55" s="5">
        <f>-IFERROR('4. NPV'!HRH24/'4. NPV'!HRH$8,0)</f>
        <v>-0.0</v>
      </c>
      <c r="HRH55" s="5">
        <f>-IFERROR('4. NPV'!HRI24/'4. NPV'!HRI$8,0)</f>
        <v>-0.0</v>
      </c>
      <c r="HRI55" s="5">
        <f>-IFERROR('4. NPV'!HRJ24/'4. NPV'!HRJ$8,0)</f>
        <v>-0.0</v>
      </c>
      <c r="HRJ55" s="5">
        <f>-IFERROR('4. NPV'!HRK24/'4. NPV'!HRK$8,0)</f>
        <v>-0.0</v>
      </c>
      <c r="HRK55" s="5">
        <f>-IFERROR('4. NPV'!HRL24/'4. NPV'!HRL$8,0)</f>
        <v>-0.0</v>
      </c>
      <c r="HRL55" s="5">
        <f>-IFERROR('4. NPV'!HRM24/'4. NPV'!HRM$8,0)</f>
        <v>-0.0</v>
      </c>
      <c r="HRM55" s="5">
        <f>-IFERROR('4. NPV'!HRN24/'4. NPV'!HRN$8,0)</f>
        <v>-0.0</v>
      </c>
      <c r="HRN55" s="5">
        <f>-IFERROR('4. NPV'!HRO24/'4. NPV'!HRO$8,0)</f>
        <v>-0.0</v>
      </c>
      <c r="HRO55" s="5">
        <f>-IFERROR('4. NPV'!HRP24/'4. NPV'!HRP$8,0)</f>
        <v>-0.0</v>
      </c>
      <c r="HRP55" s="5">
        <f>-IFERROR('4. NPV'!HRQ24/'4. NPV'!HRQ$8,0)</f>
        <v>-0.0</v>
      </c>
      <c r="HRQ55" s="5">
        <f>-IFERROR('4. NPV'!HRR24/'4. NPV'!HRR$8,0)</f>
        <v>-0.0</v>
      </c>
      <c r="HRR55" s="5">
        <f>-IFERROR('4. NPV'!HRS24/'4. NPV'!HRS$8,0)</f>
        <v>-0.0</v>
      </c>
      <c r="HRS55" s="5">
        <f>-IFERROR('4. NPV'!HRT24/'4. NPV'!HRT$8,0)</f>
        <v>-0.0</v>
      </c>
      <c r="HRT55" s="5">
        <f>-IFERROR('4. NPV'!HRU24/'4. NPV'!HRU$8,0)</f>
        <v>-0.0</v>
      </c>
      <c r="HRU55" s="5">
        <f>-IFERROR('4. NPV'!HRV24/'4. NPV'!HRV$8,0)</f>
        <v>-0.0</v>
      </c>
      <c r="HRV55" s="5">
        <f>-IFERROR('4. NPV'!HRW24/'4. NPV'!HRW$8,0)</f>
        <v>-0.0</v>
      </c>
      <c r="HRW55" s="5">
        <f>-IFERROR('4. NPV'!HRX24/'4. NPV'!HRX$8,0)</f>
        <v>-0.0</v>
      </c>
      <c r="HRX55" s="5">
        <f>-IFERROR('4. NPV'!HRY24/'4. NPV'!HRY$8,0)</f>
        <v>-0.0</v>
      </c>
      <c r="HRY55" s="5">
        <f>-IFERROR('4. NPV'!HRZ24/'4. NPV'!HRZ$8,0)</f>
        <v>-0.0</v>
      </c>
      <c r="HRZ55" s="5">
        <f>-IFERROR('4. NPV'!HSA24/'4. NPV'!HSA$8,0)</f>
        <v>-0.0</v>
      </c>
      <c r="HSA55" s="5">
        <f>-IFERROR('4. NPV'!HSB24/'4. NPV'!HSB$8,0)</f>
        <v>-0.0</v>
      </c>
      <c r="HSB55" s="5">
        <f>-IFERROR('4. NPV'!HSC24/'4. NPV'!HSC$8,0)</f>
        <v>-0.0</v>
      </c>
      <c r="HSC55" s="5">
        <f>-IFERROR('4. NPV'!HSD24/'4. NPV'!HSD$8,0)</f>
        <v>-0.0</v>
      </c>
      <c r="HSD55" s="5">
        <f>-IFERROR('4. NPV'!HSE24/'4. NPV'!HSE$8,0)</f>
        <v>-0.0</v>
      </c>
      <c r="HSE55" s="5">
        <f>-IFERROR('4. NPV'!HSF24/'4. NPV'!HSF$8,0)</f>
        <v>-0.0</v>
      </c>
      <c r="HSF55" s="5">
        <f>-IFERROR('4. NPV'!HSG24/'4. NPV'!HSG$8,0)</f>
        <v>-0.0</v>
      </c>
      <c r="HSG55" s="5">
        <f>-IFERROR('4. NPV'!HSH24/'4. NPV'!HSH$8,0)</f>
        <v>-0.0</v>
      </c>
      <c r="HSH55" s="5">
        <f>-IFERROR('4. NPV'!HSI24/'4. NPV'!HSI$8,0)</f>
        <v>-0.0</v>
      </c>
      <c r="HSI55" s="5">
        <f>-IFERROR('4. NPV'!HSJ24/'4. NPV'!HSJ$8,0)</f>
        <v>-0.0</v>
      </c>
      <c r="HSJ55" s="5">
        <f>-IFERROR('4. NPV'!HSK24/'4. NPV'!HSK$8,0)</f>
        <v>-0.0</v>
      </c>
      <c r="HSK55" s="5">
        <f>-IFERROR('4. NPV'!HSL24/'4. NPV'!HSL$8,0)</f>
        <v>-0.0</v>
      </c>
      <c r="HSL55" s="5">
        <f>-IFERROR('4. NPV'!HSM24/'4. NPV'!HSM$8,0)</f>
        <v>-0.0</v>
      </c>
      <c r="HSM55" s="5">
        <f>-IFERROR('4. NPV'!HSN24/'4. NPV'!HSN$8,0)</f>
        <v>-0.0</v>
      </c>
      <c r="HSN55" s="5">
        <f>-IFERROR('4. NPV'!HSO24/'4. NPV'!HSO$8,0)</f>
        <v>-0.0</v>
      </c>
      <c r="HSO55" s="5">
        <f>-IFERROR('4. NPV'!HSP24/'4. NPV'!HSP$8,0)</f>
        <v>-0.0</v>
      </c>
      <c r="HSP55" s="5">
        <f>-IFERROR('4. NPV'!HSQ24/'4. NPV'!HSQ$8,0)</f>
        <v>-0.0</v>
      </c>
      <c r="HSQ55" s="5">
        <f>-IFERROR('4. NPV'!HSR24/'4. NPV'!HSR$8,0)</f>
        <v>-0.0</v>
      </c>
      <c r="HSR55" s="5">
        <f>-IFERROR('4. NPV'!HSS24/'4. NPV'!HSS$8,0)</f>
        <v>-0.0</v>
      </c>
      <c r="HSS55" s="5">
        <f>-IFERROR('4. NPV'!HST24/'4. NPV'!HST$8,0)</f>
        <v>-0.0</v>
      </c>
      <c r="HST55" s="5">
        <f>-IFERROR('4. NPV'!HSU24/'4. NPV'!HSU$8,0)</f>
        <v>-0.0</v>
      </c>
      <c r="HSU55" s="5">
        <f>-IFERROR('4. NPV'!HSV24/'4. NPV'!HSV$8,0)</f>
        <v>-0.0</v>
      </c>
      <c r="HSV55" s="5">
        <f>-IFERROR('4. NPV'!HSW24/'4. NPV'!HSW$8,0)</f>
        <v>-0.0</v>
      </c>
      <c r="HSW55" s="5">
        <f>-IFERROR('4. NPV'!HSX24/'4. NPV'!HSX$8,0)</f>
        <v>-0.0</v>
      </c>
      <c r="HSX55" s="5">
        <f>-IFERROR('4. NPV'!HSY24/'4. NPV'!HSY$8,0)</f>
        <v>-0.0</v>
      </c>
      <c r="HSY55" s="5">
        <f>-IFERROR('4. NPV'!HSZ24/'4. NPV'!HSZ$8,0)</f>
        <v>-0.0</v>
      </c>
      <c r="HSZ55" s="5">
        <f>-IFERROR('4. NPV'!HTA24/'4. NPV'!HTA$8,0)</f>
        <v>-0.0</v>
      </c>
      <c r="HTA55" s="5">
        <f>-IFERROR('4. NPV'!HTB24/'4. NPV'!HTB$8,0)</f>
        <v>-0.0</v>
      </c>
      <c r="HTB55" s="5">
        <f>-IFERROR('4. NPV'!HTC24/'4. NPV'!HTC$8,0)</f>
        <v>-0.0</v>
      </c>
      <c r="HTC55" s="5">
        <f>-IFERROR('4. NPV'!HTD24/'4. NPV'!HTD$8,0)</f>
        <v>-0.0</v>
      </c>
      <c r="HTD55" s="5">
        <f>-IFERROR('4. NPV'!HTE24/'4. NPV'!HTE$8,0)</f>
        <v>-0.0</v>
      </c>
      <c r="HTE55" s="5">
        <f>-IFERROR('4. NPV'!HTF24/'4. NPV'!HTF$8,0)</f>
        <v>-0.0</v>
      </c>
      <c r="HTF55" s="5">
        <f>-IFERROR('4. NPV'!HTG24/'4. NPV'!HTG$8,0)</f>
        <v>-0.0</v>
      </c>
      <c r="HTG55" s="5">
        <f>-IFERROR('4. NPV'!HTH24/'4. NPV'!HTH$8,0)</f>
        <v>-0.0</v>
      </c>
      <c r="HTH55" s="5">
        <f>-IFERROR('4. NPV'!HTI24/'4. NPV'!HTI$8,0)</f>
        <v>-0.0</v>
      </c>
      <c r="HTI55" s="5">
        <f>-IFERROR('4. NPV'!HTJ24/'4. NPV'!HTJ$8,0)</f>
        <v>-0.0</v>
      </c>
      <c r="HTJ55" s="5">
        <f>-IFERROR('4. NPV'!HTK24/'4. NPV'!HTK$8,0)</f>
        <v>-0.0</v>
      </c>
      <c r="HTK55" s="5">
        <f>-IFERROR('4. NPV'!HTL24/'4. NPV'!HTL$8,0)</f>
        <v>-0.0</v>
      </c>
      <c r="HTL55" s="5">
        <f>-IFERROR('4. NPV'!HTM24/'4. NPV'!HTM$8,0)</f>
        <v>-0.0</v>
      </c>
      <c r="HTM55" s="5">
        <f>-IFERROR('4. NPV'!HTN24/'4. NPV'!HTN$8,0)</f>
        <v>-0.0</v>
      </c>
      <c r="HTN55" s="5">
        <f>-IFERROR('4. NPV'!HTO24/'4. NPV'!HTO$8,0)</f>
        <v>-0.0</v>
      </c>
      <c r="HTO55" s="5">
        <f>-IFERROR('4. NPV'!HTP24/'4. NPV'!HTP$8,0)</f>
        <v>-0.0</v>
      </c>
      <c r="HTP55" s="5">
        <f>-IFERROR('4. NPV'!HTQ24/'4. NPV'!HTQ$8,0)</f>
        <v>-0.0</v>
      </c>
      <c r="HTQ55" s="5">
        <f>-IFERROR('4. NPV'!HTR24/'4. NPV'!HTR$8,0)</f>
        <v>-0.0</v>
      </c>
      <c r="HTR55" s="5">
        <f>-IFERROR('4. NPV'!HTS24/'4. NPV'!HTS$8,0)</f>
        <v>-0.0</v>
      </c>
      <c r="HTS55" s="5">
        <f>-IFERROR('4. NPV'!HTT24/'4. NPV'!HTT$8,0)</f>
        <v>-0.0</v>
      </c>
      <c r="HTT55" s="5">
        <f>-IFERROR('4. NPV'!HTU24/'4. NPV'!HTU$8,0)</f>
        <v>-0.0</v>
      </c>
      <c r="HTU55" s="5">
        <f>-IFERROR('4. NPV'!HTV24/'4. NPV'!HTV$8,0)</f>
        <v>-0.0</v>
      </c>
      <c r="HTV55" s="5">
        <f>-IFERROR('4. NPV'!HTW24/'4. NPV'!HTW$8,0)</f>
        <v>-0.0</v>
      </c>
      <c r="HTW55" s="5">
        <f>-IFERROR('4. NPV'!HTX24/'4. NPV'!HTX$8,0)</f>
        <v>-0.0</v>
      </c>
      <c r="HTX55" s="5">
        <f>-IFERROR('4. NPV'!HTY24/'4. NPV'!HTY$8,0)</f>
        <v>-0.0</v>
      </c>
      <c r="HTY55" s="5">
        <f>-IFERROR('4. NPV'!HTZ24/'4. NPV'!HTZ$8,0)</f>
        <v>-0.0</v>
      </c>
      <c r="HTZ55" s="5">
        <f>-IFERROR('4. NPV'!HUA24/'4. NPV'!HUA$8,0)</f>
        <v>-0.0</v>
      </c>
      <c r="HUA55" s="5">
        <f>-IFERROR('4. NPV'!HUB24/'4. NPV'!HUB$8,0)</f>
        <v>-0.0</v>
      </c>
      <c r="HUB55" s="5">
        <f>-IFERROR('4. NPV'!HUC24/'4. NPV'!HUC$8,0)</f>
        <v>-0.0</v>
      </c>
      <c r="HUC55" s="5">
        <f>-IFERROR('4. NPV'!HUD24/'4. NPV'!HUD$8,0)</f>
        <v>-0.0</v>
      </c>
      <c r="HUD55" s="5">
        <f>-IFERROR('4. NPV'!HUE24/'4. NPV'!HUE$8,0)</f>
        <v>-0.0</v>
      </c>
      <c r="HUE55" s="5">
        <f>-IFERROR('4. NPV'!HUF24/'4. NPV'!HUF$8,0)</f>
        <v>-0.0</v>
      </c>
      <c r="HUF55" s="5">
        <f>-IFERROR('4. NPV'!HUG24/'4. NPV'!HUG$8,0)</f>
        <v>-0.0</v>
      </c>
      <c r="HUG55" s="5">
        <f>-IFERROR('4. NPV'!HUH24/'4. NPV'!HUH$8,0)</f>
        <v>-0.0</v>
      </c>
      <c r="HUH55" s="5">
        <f>-IFERROR('4. NPV'!HUI24/'4. NPV'!HUI$8,0)</f>
        <v>-0.0</v>
      </c>
      <c r="HUI55" s="5">
        <f>-IFERROR('4. NPV'!HUJ24/'4. NPV'!HUJ$8,0)</f>
        <v>-0.0</v>
      </c>
      <c r="HUJ55" s="5">
        <f>-IFERROR('4. NPV'!HUK24/'4. NPV'!HUK$8,0)</f>
        <v>-0.0</v>
      </c>
      <c r="HUK55" s="5">
        <f>-IFERROR('4. NPV'!HUL24/'4. NPV'!HUL$8,0)</f>
        <v>-0.0</v>
      </c>
      <c r="HUL55" s="5">
        <f>-IFERROR('4. NPV'!HUM24/'4. NPV'!HUM$8,0)</f>
        <v>-0.0</v>
      </c>
      <c r="HUM55" s="5">
        <f>-IFERROR('4. NPV'!HUN24/'4. NPV'!HUN$8,0)</f>
        <v>-0.0</v>
      </c>
      <c r="HUN55" s="5">
        <f>-IFERROR('4. NPV'!HUO24/'4. NPV'!HUO$8,0)</f>
        <v>-0.0</v>
      </c>
      <c r="HUO55" s="5">
        <f>-IFERROR('4. NPV'!HUP24/'4. NPV'!HUP$8,0)</f>
        <v>-0.0</v>
      </c>
      <c r="HUP55" s="5">
        <f>-IFERROR('4. NPV'!HUQ24/'4. NPV'!HUQ$8,0)</f>
        <v>-0.0</v>
      </c>
      <c r="HUQ55" s="5">
        <f>-IFERROR('4. NPV'!HUR24/'4. NPV'!HUR$8,0)</f>
        <v>-0.0</v>
      </c>
      <c r="HUR55" s="5">
        <f>-IFERROR('4. NPV'!HUS24/'4. NPV'!HUS$8,0)</f>
        <v>-0.0</v>
      </c>
      <c r="HUS55" s="5">
        <f>-IFERROR('4. NPV'!HUT24/'4. NPV'!HUT$8,0)</f>
        <v>-0.0</v>
      </c>
      <c r="HUT55" s="5">
        <f>-IFERROR('4. NPV'!HUU24/'4. NPV'!HUU$8,0)</f>
        <v>-0.0</v>
      </c>
      <c r="HUU55" s="5">
        <f>-IFERROR('4. NPV'!HUV24/'4. NPV'!HUV$8,0)</f>
        <v>-0.0</v>
      </c>
      <c r="HUV55" s="5">
        <f>-IFERROR('4. NPV'!HUW24/'4. NPV'!HUW$8,0)</f>
        <v>-0.0</v>
      </c>
      <c r="HUW55" s="5">
        <f>-IFERROR('4. NPV'!HUX24/'4. NPV'!HUX$8,0)</f>
        <v>-0.0</v>
      </c>
      <c r="HUX55" s="5">
        <f>-IFERROR('4. NPV'!HUY24/'4. NPV'!HUY$8,0)</f>
        <v>-0.0</v>
      </c>
      <c r="HUY55" s="5">
        <f>-IFERROR('4. NPV'!HUZ24/'4. NPV'!HUZ$8,0)</f>
        <v>-0.0</v>
      </c>
      <c r="HUZ55" s="5">
        <f>-IFERROR('4. NPV'!HVA24/'4. NPV'!HVA$8,0)</f>
        <v>-0.0</v>
      </c>
      <c r="HVA55" s="5">
        <f>-IFERROR('4. NPV'!HVB24/'4. NPV'!HVB$8,0)</f>
        <v>-0.0</v>
      </c>
      <c r="HVB55" s="5">
        <f>-IFERROR('4. NPV'!HVC24/'4. NPV'!HVC$8,0)</f>
        <v>-0.0</v>
      </c>
      <c r="HVC55" s="5">
        <f>-IFERROR('4. NPV'!HVD24/'4. NPV'!HVD$8,0)</f>
        <v>-0.0</v>
      </c>
      <c r="HVD55" s="5">
        <f>-IFERROR('4. NPV'!HVE24/'4. NPV'!HVE$8,0)</f>
        <v>-0.0</v>
      </c>
      <c r="HVE55" s="5">
        <f>-IFERROR('4. NPV'!HVF24/'4. NPV'!HVF$8,0)</f>
        <v>-0.0</v>
      </c>
      <c r="HVF55" s="5">
        <f>-IFERROR('4. NPV'!HVG24/'4. NPV'!HVG$8,0)</f>
        <v>-0.0</v>
      </c>
      <c r="HVG55" s="5">
        <f>-IFERROR('4. NPV'!HVH24/'4. NPV'!HVH$8,0)</f>
        <v>-0.0</v>
      </c>
      <c r="HVH55" s="5">
        <f>-IFERROR('4. NPV'!HVI24/'4. NPV'!HVI$8,0)</f>
        <v>-0.0</v>
      </c>
      <c r="HVI55" s="5">
        <f>-IFERROR('4. NPV'!HVJ24/'4. NPV'!HVJ$8,0)</f>
        <v>-0.0</v>
      </c>
      <c r="HVJ55" s="5">
        <f>-IFERROR('4. NPV'!HVK24/'4. NPV'!HVK$8,0)</f>
        <v>-0.0</v>
      </c>
      <c r="HVK55" s="5">
        <f>-IFERROR('4. NPV'!HVL24/'4. NPV'!HVL$8,0)</f>
        <v>-0.0</v>
      </c>
      <c r="HVL55" s="5">
        <f>-IFERROR('4. NPV'!HVM24/'4. NPV'!HVM$8,0)</f>
        <v>-0.0</v>
      </c>
      <c r="HVM55" s="5">
        <f>-IFERROR('4. NPV'!HVN24/'4. NPV'!HVN$8,0)</f>
        <v>-0.0</v>
      </c>
      <c r="HVN55" s="5">
        <f>-IFERROR('4. NPV'!HVO24/'4. NPV'!HVO$8,0)</f>
        <v>-0.0</v>
      </c>
      <c r="HVO55" s="5">
        <f>-IFERROR('4. NPV'!HVP24/'4. NPV'!HVP$8,0)</f>
        <v>-0.0</v>
      </c>
      <c r="HVP55" s="5">
        <f>-IFERROR('4. NPV'!HVQ24/'4. NPV'!HVQ$8,0)</f>
        <v>-0.0</v>
      </c>
      <c r="HVQ55" s="5">
        <f>-IFERROR('4. NPV'!HVR24/'4. NPV'!HVR$8,0)</f>
        <v>-0.0</v>
      </c>
      <c r="HVR55" s="5">
        <f>-IFERROR('4. NPV'!HVS24/'4. NPV'!HVS$8,0)</f>
        <v>-0.0</v>
      </c>
      <c r="HVS55" s="5">
        <f>-IFERROR('4. NPV'!HVT24/'4. NPV'!HVT$8,0)</f>
        <v>-0.0</v>
      </c>
      <c r="HVT55" s="5">
        <f>-IFERROR('4. NPV'!HVU24/'4. NPV'!HVU$8,0)</f>
        <v>-0.0</v>
      </c>
      <c r="HVU55" s="5">
        <f>-IFERROR('4. NPV'!HVV24/'4. NPV'!HVV$8,0)</f>
        <v>-0.0</v>
      </c>
      <c r="HVV55" s="5">
        <f>-IFERROR('4. NPV'!HVW24/'4. NPV'!HVW$8,0)</f>
        <v>-0.0</v>
      </c>
      <c r="HVW55" s="5">
        <f>-IFERROR('4. NPV'!HVX24/'4. NPV'!HVX$8,0)</f>
        <v>-0.0</v>
      </c>
      <c r="HVX55" s="5">
        <f>-IFERROR('4. NPV'!HVY24/'4. NPV'!HVY$8,0)</f>
        <v>-0.0</v>
      </c>
      <c r="HVY55" s="5">
        <f>-IFERROR('4. NPV'!HVZ24/'4. NPV'!HVZ$8,0)</f>
        <v>-0.0</v>
      </c>
      <c r="HVZ55" s="5">
        <f>-IFERROR('4. NPV'!HWA24/'4. NPV'!HWA$8,0)</f>
        <v>-0.0</v>
      </c>
      <c r="HWA55" s="5">
        <f>-IFERROR('4. NPV'!HWB24/'4. NPV'!HWB$8,0)</f>
        <v>-0.0</v>
      </c>
      <c r="HWB55" s="5">
        <f>-IFERROR('4. NPV'!HWC24/'4. NPV'!HWC$8,0)</f>
        <v>-0.0</v>
      </c>
      <c r="HWC55" s="5">
        <f>-IFERROR('4. NPV'!HWD24/'4. NPV'!HWD$8,0)</f>
        <v>-0.0</v>
      </c>
      <c r="HWD55" s="5">
        <f>-IFERROR('4. NPV'!HWE24/'4. NPV'!HWE$8,0)</f>
        <v>-0.0</v>
      </c>
      <c r="HWE55" s="5">
        <f>-IFERROR('4. NPV'!HWF24/'4. NPV'!HWF$8,0)</f>
        <v>-0.0</v>
      </c>
      <c r="HWF55" s="5">
        <f>-IFERROR('4. NPV'!HWG24/'4. NPV'!HWG$8,0)</f>
        <v>-0.0</v>
      </c>
      <c r="HWG55" s="5">
        <f>-IFERROR('4. NPV'!HWH24/'4. NPV'!HWH$8,0)</f>
        <v>-0.0</v>
      </c>
      <c r="HWH55" s="5">
        <f>-IFERROR('4. NPV'!HWI24/'4. NPV'!HWI$8,0)</f>
        <v>-0.0</v>
      </c>
      <c r="HWI55" s="5">
        <f>-IFERROR('4. NPV'!HWJ24/'4. NPV'!HWJ$8,0)</f>
        <v>-0.0</v>
      </c>
      <c r="HWJ55" s="5">
        <f>-IFERROR('4. NPV'!HWK24/'4. NPV'!HWK$8,0)</f>
        <v>-0.0</v>
      </c>
      <c r="HWK55" s="5">
        <f>-IFERROR('4. NPV'!HWL24/'4. NPV'!HWL$8,0)</f>
        <v>-0.0</v>
      </c>
      <c r="HWL55" s="5">
        <f>-IFERROR('4. NPV'!HWM24/'4. NPV'!HWM$8,0)</f>
        <v>-0.0</v>
      </c>
      <c r="HWM55" s="5">
        <f>-IFERROR('4. NPV'!HWN24/'4. NPV'!HWN$8,0)</f>
        <v>-0.0</v>
      </c>
      <c r="HWN55" s="5">
        <f>-IFERROR('4. NPV'!HWO24/'4. NPV'!HWO$8,0)</f>
        <v>-0.0</v>
      </c>
      <c r="HWO55" s="5">
        <f>-IFERROR('4. NPV'!HWP24/'4. NPV'!HWP$8,0)</f>
        <v>-0.0</v>
      </c>
      <c r="HWP55" s="5">
        <f>-IFERROR('4. NPV'!HWQ24/'4. NPV'!HWQ$8,0)</f>
        <v>-0.0</v>
      </c>
      <c r="HWQ55" s="5">
        <f>-IFERROR('4. NPV'!HWR24/'4. NPV'!HWR$8,0)</f>
        <v>-0.0</v>
      </c>
      <c r="HWR55" s="5">
        <f>-IFERROR('4. NPV'!HWS24/'4. NPV'!HWS$8,0)</f>
        <v>-0.0</v>
      </c>
      <c r="HWS55" s="5">
        <f>-IFERROR('4. NPV'!HWT24/'4. NPV'!HWT$8,0)</f>
        <v>-0.0</v>
      </c>
      <c r="HWT55" s="5">
        <f>-IFERROR('4. NPV'!HWU24/'4. NPV'!HWU$8,0)</f>
        <v>-0.0</v>
      </c>
      <c r="HWU55" s="5">
        <f>-IFERROR('4. NPV'!HWV24/'4. NPV'!HWV$8,0)</f>
        <v>-0.0</v>
      </c>
      <c r="HWV55" s="5">
        <f>-IFERROR('4. NPV'!HWW24/'4. NPV'!HWW$8,0)</f>
        <v>-0.0</v>
      </c>
      <c r="HWW55" s="5">
        <f>-IFERROR('4. NPV'!HWX24/'4. NPV'!HWX$8,0)</f>
        <v>-0.0</v>
      </c>
      <c r="HWX55" s="5">
        <f>-IFERROR('4. NPV'!HWY24/'4. NPV'!HWY$8,0)</f>
        <v>-0.0</v>
      </c>
      <c r="HWY55" s="5">
        <f>-IFERROR('4. NPV'!HWZ24/'4. NPV'!HWZ$8,0)</f>
        <v>-0.0</v>
      </c>
      <c r="HWZ55" s="5">
        <f>-IFERROR('4. NPV'!HXA24/'4. NPV'!HXA$8,0)</f>
        <v>-0.0</v>
      </c>
      <c r="HXA55" s="5">
        <f>-IFERROR('4. NPV'!HXB24/'4. NPV'!HXB$8,0)</f>
        <v>-0.0</v>
      </c>
      <c r="HXB55" s="5">
        <f>-IFERROR('4. NPV'!HXC24/'4. NPV'!HXC$8,0)</f>
        <v>-0.0</v>
      </c>
      <c r="HXC55" s="5">
        <f>-IFERROR('4. NPV'!HXD24/'4. NPV'!HXD$8,0)</f>
        <v>-0.0</v>
      </c>
      <c r="HXD55" s="5">
        <f>-IFERROR('4. NPV'!HXE24/'4. NPV'!HXE$8,0)</f>
        <v>-0.0</v>
      </c>
      <c r="HXE55" s="5">
        <f>-IFERROR('4. NPV'!HXF24/'4. NPV'!HXF$8,0)</f>
        <v>-0.0</v>
      </c>
      <c r="HXF55" s="5">
        <f>-IFERROR('4. NPV'!HXG24/'4. NPV'!HXG$8,0)</f>
        <v>-0.0</v>
      </c>
      <c r="HXG55" s="5">
        <f>-IFERROR('4. NPV'!HXH24/'4. NPV'!HXH$8,0)</f>
        <v>-0.0</v>
      </c>
      <c r="HXH55" s="5">
        <f>-IFERROR('4. NPV'!HXI24/'4. NPV'!HXI$8,0)</f>
        <v>-0.0</v>
      </c>
      <c r="HXI55" s="5">
        <f>-IFERROR('4. NPV'!HXJ24/'4. NPV'!HXJ$8,0)</f>
        <v>-0.0</v>
      </c>
      <c r="HXJ55" s="5">
        <f>-IFERROR('4. NPV'!HXK24/'4. NPV'!HXK$8,0)</f>
        <v>-0.0</v>
      </c>
      <c r="HXK55" s="5">
        <f>-IFERROR('4. NPV'!HXL24/'4. NPV'!HXL$8,0)</f>
        <v>-0.0</v>
      </c>
      <c r="HXL55" s="5">
        <f>-IFERROR('4. NPV'!HXM24/'4. NPV'!HXM$8,0)</f>
        <v>-0.0</v>
      </c>
      <c r="HXM55" s="5">
        <f>-IFERROR('4. NPV'!HXN24/'4. NPV'!HXN$8,0)</f>
        <v>-0.0</v>
      </c>
      <c r="HXN55" s="5">
        <f>-IFERROR('4. NPV'!HXO24/'4. NPV'!HXO$8,0)</f>
        <v>-0.0</v>
      </c>
      <c r="HXO55" s="5">
        <f>-IFERROR('4. NPV'!HXP24/'4. NPV'!HXP$8,0)</f>
        <v>-0.0</v>
      </c>
      <c r="HXP55" s="5">
        <f>-IFERROR('4. NPV'!HXQ24/'4. NPV'!HXQ$8,0)</f>
        <v>-0.0</v>
      </c>
      <c r="HXQ55" s="5">
        <f>-IFERROR('4. NPV'!HXR24/'4. NPV'!HXR$8,0)</f>
        <v>-0.0</v>
      </c>
      <c r="HXR55" s="5">
        <f>-IFERROR('4. NPV'!HXS24/'4. NPV'!HXS$8,0)</f>
        <v>-0.0</v>
      </c>
      <c r="HXS55" s="5">
        <f>-IFERROR('4. NPV'!HXT24/'4. NPV'!HXT$8,0)</f>
        <v>-0.0</v>
      </c>
      <c r="HXT55" s="5">
        <f>-IFERROR('4. NPV'!HXU24/'4. NPV'!HXU$8,0)</f>
        <v>-0.0</v>
      </c>
      <c r="HXU55" s="5">
        <f>-IFERROR('4. NPV'!HXV24/'4. NPV'!HXV$8,0)</f>
        <v>-0.0</v>
      </c>
      <c r="HXV55" s="5">
        <f>-IFERROR('4. NPV'!HXW24/'4. NPV'!HXW$8,0)</f>
        <v>-0.0</v>
      </c>
      <c r="HXW55" s="5">
        <f>-IFERROR('4. NPV'!HXX24/'4. NPV'!HXX$8,0)</f>
        <v>-0.0</v>
      </c>
      <c r="HXX55" s="5">
        <f>-IFERROR('4. NPV'!HXY24/'4. NPV'!HXY$8,0)</f>
        <v>-0.0</v>
      </c>
      <c r="HXY55" s="5">
        <f>-IFERROR('4. NPV'!HXZ24/'4. NPV'!HXZ$8,0)</f>
        <v>-0.0</v>
      </c>
      <c r="HXZ55" s="5">
        <f>-IFERROR('4. NPV'!HYA24/'4. NPV'!HYA$8,0)</f>
        <v>-0.0</v>
      </c>
      <c r="HYA55" s="5">
        <f>-IFERROR('4. NPV'!HYB24/'4. NPV'!HYB$8,0)</f>
        <v>-0.0</v>
      </c>
      <c r="HYB55" s="5">
        <f>-IFERROR('4. NPV'!HYC24/'4. NPV'!HYC$8,0)</f>
        <v>-0.0</v>
      </c>
      <c r="HYC55" s="5">
        <f>-IFERROR('4. NPV'!HYD24/'4. NPV'!HYD$8,0)</f>
        <v>-0.0</v>
      </c>
      <c r="HYD55" s="5">
        <f>-IFERROR('4. NPV'!HYE24/'4. NPV'!HYE$8,0)</f>
        <v>-0.0</v>
      </c>
      <c r="HYE55" s="5">
        <f>-IFERROR('4. NPV'!HYF24/'4. NPV'!HYF$8,0)</f>
        <v>-0.0</v>
      </c>
      <c r="HYF55" s="5">
        <f>-IFERROR('4. NPV'!HYG24/'4. NPV'!HYG$8,0)</f>
        <v>-0.0</v>
      </c>
      <c r="HYG55" s="5">
        <f>-IFERROR('4. NPV'!HYH24/'4. NPV'!HYH$8,0)</f>
        <v>-0.0</v>
      </c>
      <c r="HYH55" s="5">
        <f>-IFERROR('4. NPV'!HYI24/'4. NPV'!HYI$8,0)</f>
        <v>-0.0</v>
      </c>
      <c r="HYI55" s="5">
        <f>-IFERROR('4. NPV'!HYJ24/'4. NPV'!HYJ$8,0)</f>
        <v>-0.0</v>
      </c>
      <c r="HYJ55" s="5">
        <f>-IFERROR('4. NPV'!HYK24/'4. NPV'!HYK$8,0)</f>
        <v>-0.0</v>
      </c>
      <c r="HYK55" s="5">
        <f>-IFERROR('4. NPV'!HYL24/'4. NPV'!HYL$8,0)</f>
        <v>-0.0</v>
      </c>
      <c r="HYL55" s="5">
        <f>-IFERROR('4. NPV'!HYM24/'4. NPV'!HYM$8,0)</f>
        <v>-0.0</v>
      </c>
      <c r="HYM55" s="5">
        <f>-IFERROR('4. NPV'!HYN24/'4. NPV'!HYN$8,0)</f>
        <v>-0.0</v>
      </c>
      <c r="HYN55" s="5">
        <f>-IFERROR('4. NPV'!HYO24/'4. NPV'!HYO$8,0)</f>
        <v>-0.0</v>
      </c>
      <c r="HYO55" s="5">
        <f>-IFERROR('4. NPV'!HYP24/'4. NPV'!HYP$8,0)</f>
        <v>-0.0</v>
      </c>
      <c r="HYP55" s="5">
        <f>-IFERROR('4. NPV'!HYQ24/'4. NPV'!HYQ$8,0)</f>
        <v>-0.0</v>
      </c>
      <c r="HYQ55" s="5">
        <f>-IFERROR('4. NPV'!HYR24/'4. NPV'!HYR$8,0)</f>
        <v>-0.0</v>
      </c>
      <c r="HYR55" s="5">
        <f>-IFERROR('4. NPV'!HYS24/'4. NPV'!HYS$8,0)</f>
        <v>-0.0</v>
      </c>
      <c r="HYS55" s="5">
        <f>-IFERROR('4. NPV'!HYT24/'4. NPV'!HYT$8,0)</f>
        <v>-0.0</v>
      </c>
      <c r="HYT55" s="5">
        <f>-IFERROR('4. NPV'!HYU24/'4. NPV'!HYU$8,0)</f>
        <v>-0.0</v>
      </c>
      <c r="HYU55" s="5">
        <f>-IFERROR('4. NPV'!HYV24/'4. NPV'!HYV$8,0)</f>
        <v>-0.0</v>
      </c>
      <c r="HYV55" s="5">
        <f>-IFERROR('4. NPV'!HYW24/'4. NPV'!HYW$8,0)</f>
        <v>-0.0</v>
      </c>
      <c r="HYW55" s="5">
        <f>-IFERROR('4. NPV'!HYX24/'4. NPV'!HYX$8,0)</f>
        <v>-0.0</v>
      </c>
      <c r="HYX55" s="5">
        <f>-IFERROR('4. NPV'!HYY24/'4. NPV'!HYY$8,0)</f>
        <v>-0.0</v>
      </c>
      <c r="HYY55" s="5">
        <f>-IFERROR('4. NPV'!HYZ24/'4. NPV'!HYZ$8,0)</f>
        <v>-0.0</v>
      </c>
      <c r="HYZ55" s="5">
        <f>-IFERROR('4. NPV'!HZA24/'4. NPV'!HZA$8,0)</f>
        <v>-0.0</v>
      </c>
      <c r="HZA55" s="5">
        <f>-IFERROR('4. NPV'!HZB24/'4. NPV'!HZB$8,0)</f>
        <v>-0.0</v>
      </c>
      <c r="HZB55" s="5">
        <f>-IFERROR('4. NPV'!HZC24/'4. NPV'!HZC$8,0)</f>
        <v>-0.0</v>
      </c>
      <c r="HZC55" s="5">
        <f>-IFERROR('4. NPV'!HZD24/'4. NPV'!HZD$8,0)</f>
        <v>-0.0</v>
      </c>
      <c r="HZD55" s="5">
        <f>-IFERROR('4. NPV'!HZE24/'4. NPV'!HZE$8,0)</f>
        <v>-0.0</v>
      </c>
      <c r="HZE55" s="5">
        <f>-IFERROR('4. NPV'!HZF24/'4. NPV'!HZF$8,0)</f>
        <v>-0.0</v>
      </c>
      <c r="HZF55" s="5">
        <f>-IFERROR('4. NPV'!HZG24/'4. NPV'!HZG$8,0)</f>
        <v>-0.0</v>
      </c>
      <c r="HZG55" s="5">
        <f>-IFERROR('4. NPV'!HZH24/'4. NPV'!HZH$8,0)</f>
        <v>-0.0</v>
      </c>
      <c r="HZH55" s="5">
        <f>-IFERROR('4. NPV'!HZI24/'4. NPV'!HZI$8,0)</f>
        <v>-0.0</v>
      </c>
      <c r="HZI55" s="5">
        <f>-IFERROR('4. NPV'!HZJ24/'4. NPV'!HZJ$8,0)</f>
        <v>-0.0</v>
      </c>
      <c r="HZJ55" s="5">
        <f>-IFERROR('4. NPV'!HZK24/'4. NPV'!HZK$8,0)</f>
        <v>-0.0</v>
      </c>
      <c r="HZK55" s="5">
        <f>-IFERROR('4. NPV'!HZL24/'4. NPV'!HZL$8,0)</f>
        <v>-0.0</v>
      </c>
      <c r="HZL55" s="5">
        <f>-IFERROR('4. NPV'!HZM24/'4. NPV'!HZM$8,0)</f>
        <v>-0.0</v>
      </c>
      <c r="HZM55" s="5">
        <f>-IFERROR('4. NPV'!HZN24/'4. NPV'!HZN$8,0)</f>
        <v>-0.0</v>
      </c>
      <c r="HZN55" s="5">
        <f>-IFERROR('4. NPV'!HZO24/'4. NPV'!HZO$8,0)</f>
        <v>-0.0</v>
      </c>
      <c r="HZO55" s="5">
        <f>-IFERROR('4. NPV'!HZP24/'4. NPV'!HZP$8,0)</f>
        <v>-0.0</v>
      </c>
      <c r="HZP55" s="5">
        <f>-IFERROR('4. NPV'!HZQ24/'4. NPV'!HZQ$8,0)</f>
        <v>-0.0</v>
      </c>
      <c r="HZQ55" s="5">
        <f>-IFERROR('4. NPV'!HZR24/'4. NPV'!HZR$8,0)</f>
        <v>-0.0</v>
      </c>
      <c r="HZR55" s="5">
        <f>-IFERROR('4. NPV'!HZS24/'4. NPV'!HZS$8,0)</f>
        <v>-0.0</v>
      </c>
      <c r="HZS55" s="5">
        <f>-IFERROR('4. NPV'!HZT24/'4. NPV'!HZT$8,0)</f>
        <v>-0.0</v>
      </c>
      <c r="HZT55" s="5">
        <f>-IFERROR('4. NPV'!HZU24/'4. NPV'!HZU$8,0)</f>
        <v>-0.0</v>
      </c>
      <c r="HZU55" s="5">
        <f>-IFERROR('4. NPV'!HZV24/'4. NPV'!HZV$8,0)</f>
        <v>-0.0</v>
      </c>
      <c r="HZV55" s="5">
        <f>-IFERROR('4. NPV'!HZW24/'4. NPV'!HZW$8,0)</f>
        <v>-0.0</v>
      </c>
      <c r="HZW55" s="5">
        <f>-IFERROR('4. NPV'!HZX24/'4. NPV'!HZX$8,0)</f>
        <v>-0.0</v>
      </c>
      <c r="HZX55" s="5">
        <f>-IFERROR('4. NPV'!HZY24/'4. NPV'!HZY$8,0)</f>
        <v>-0.0</v>
      </c>
      <c r="HZY55" s="5">
        <f>-IFERROR('4. NPV'!HZZ24/'4. NPV'!HZZ$8,0)</f>
        <v>-0.0</v>
      </c>
      <c r="HZZ55" s="5">
        <f>-IFERROR('4. NPV'!IAA24/'4. NPV'!IAA$8,0)</f>
        <v>-0.0</v>
      </c>
      <c r="IAA55" s="5">
        <f>-IFERROR('4. NPV'!IAB24/'4. NPV'!IAB$8,0)</f>
        <v>-0.0</v>
      </c>
      <c r="IAB55" s="5">
        <f>-IFERROR('4. NPV'!IAC24/'4. NPV'!IAC$8,0)</f>
        <v>-0.0</v>
      </c>
      <c r="IAC55" s="5">
        <f>-IFERROR('4. NPV'!IAD24/'4. NPV'!IAD$8,0)</f>
        <v>-0.0</v>
      </c>
      <c r="IAD55" s="5">
        <f>-IFERROR('4. NPV'!IAE24/'4. NPV'!IAE$8,0)</f>
        <v>-0.0</v>
      </c>
      <c r="IAE55" s="5">
        <f>-IFERROR('4. NPV'!IAF24/'4. NPV'!IAF$8,0)</f>
        <v>-0.0</v>
      </c>
      <c r="IAF55" s="5">
        <f>-IFERROR('4. NPV'!IAG24/'4. NPV'!IAG$8,0)</f>
        <v>-0.0</v>
      </c>
      <c r="IAG55" s="5">
        <f>-IFERROR('4. NPV'!IAH24/'4. NPV'!IAH$8,0)</f>
        <v>-0.0</v>
      </c>
      <c r="IAH55" s="5">
        <f>-IFERROR('4. NPV'!IAI24/'4. NPV'!IAI$8,0)</f>
        <v>-0.0</v>
      </c>
      <c r="IAI55" s="5">
        <f>-IFERROR('4. NPV'!IAJ24/'4. NPV'!IAJ$8,0)</f>
        <v>-0.0</v>
      </c>
      <c r="IAJ55" s="5">
        <f>-IFERROR('4. NPV'!IAK24/'4. NPV'!IAK$8,0)</f>
        <v>-0.0</v>
      </c>
      <c r="IAK55" s="5">
        <f>-IFERROR('4. NPV'!IAL24/'4. NPV'!IAL$8,0)</f>
        <v>-0.0</v>
      </c>
      <c r="IAL55" s="5">
        <f>-IFERROR('4. NPV'!IAM24/'4. NPV'!IAM$8,0)</f>
        <v>-0.0</v>
      </c>
      <c r="IAM55" s="5">
        <f>-IFERROR('4. NPV'!IAN24/'4. NPV'!IAN$8,0)</f>
        <v>-0.0</v>
      </c>
      <c r="IAN55" s="5">
        <f>-IFERROR('4. NPV'!IAO24/'4. NPV'!IAO$8,0)</f>
        <v>-0.0</v>
      </c>
      <c r="IAO55" s="5">
        <f>-IFERROR('4. NPV'!IAP24/'4. NPV'!IAP$8,0)</f>
        <v>-0.0</v>
      </c>
      <c r="IAP55" s="5">
        <f>-IFERROR('4. NPV'!IAQ24/'4. NPV'!IAQ$8,0)</f>
        <v>-0.0</v>
      </c>
      <c r="IAQ55" s="5">
        <f>-IFERROR('4. NPV'!IAR24/'4. NPV'!IAR$8,0)</f>
        <v>-0.0</v>
      </c>
      <c r="IAR55" s="5">
        <f>-IFERROR('4. NPV'!IAS24/'4. NPV'!IAS$8,0)</f>
        <v>-0.0</v>
      </c>
      <c r="IAS55" s="5">
        <f>-IFERROR('4. NPV'!IAT24/'4. NPV'!IAT$8,0)</f>
        <v>-0.0</v>
      </c>
      <c r="IAT55" s="5">
        <f>-IFERROR('4. NPV'!IAU24/'4. NPV'!IAU$8,0)</f>
        <v>-0.0</v>
      </c>
      <c r="IAU55" s="5">
        <f>-IFERROR('4. NPV'!IAV24/'4. NPV'!IAV$8,0)</f>
        <v>-0.0</v>
      </c>
      <c r="IAV55" s="5">
        <f>-IFERROR('4. NPV'!IAW24/'4. NPV'!IAW$8,0)</f>
        <v>-0.0</v>
      </c>
      <c r="IAW55" s="5">
        <f>-IFERROR('4. NPV'!IAX24/'4. NPV'!IAX$8,0)</f>
        <v>-0.0</v>
      </c>
      <c r="IAX55" s="5">
        <f>-IFERROR('4. NPV'!IAY24/'4. NPV'!IAY$8,0)</f>
        <v>-0.0</v>
      </c>
      <c r="IAY55" s="5">
        <f>-IFERROR('4. NPV'!IAZ24/'4. NPV'!IAZ$8,0)</f>
        <v>-0.0</v>
      </c>
      <c r="IAZ55" s="5">
        <f>-IFERROR('4. NPV'!IBA24/'4. NPV'!IBA$8,0)</f>
        <v>-0.0</v>
      </c>
      <c r="IBA55" s="5">
        <f>-IFERROR('4. NPV'!IBB24/'4. NPV'!IBB$8,0)</f>
        <v>-0.0</v>
      </c>
      <c r="IBB55" s="5">
        <f>-IFERROR('4. NPV'!IBC24/'4. NPV'!IBC$8,0)</f>
        <v>-0.0</v>
      </c>
      <c r="IBC55" s="5">
        <f>-IFERROR('4. NPV'!IBD24/'4. NPV'!IBD$8,0)</f>
        <v>-0.0</v>
      </c>
      <c r="IBD55" s="5">
        <f>-IFERROR('4. NPV'!IBE24/'4. NPV'!IBE$8,0)</f>
        <v>-0.0</v>
      </c>
      <c r="IBE55" s="5">
        <f>-IFERROR('4. NPV'!IBF24/'4. NPV'!IBF$8,0)</f>
        <v>-0.0</v>
      </c>
      <c r="IBF55" s="5">
        <f>-IFERROR('4. NPV'!IBG24/'4. NPV'!IBG$8,0)</f>
        <v>-0.0</v>
      </c>
      <c r="IBG55" s="5">
        <f>-IFERROR('4. NPV'!IBH24/'4. NPV'!IBH$8,0)</f>
        <v>-0.0</v>
      </c>
      <c r="IBH55" s="5">
        <f>-IFERROR('4. NPV'!IBI24/'4. NPV'!IBI$8,0)</f>
        <v>-0.0</v>
      </c>
      <c r="IBI55" s="5">
        <f>-IFERROR('4. NPV'!IBJ24/'4. NPV'!IBJ$8,0)</f>
        <v>-0.0</v>
      </c>
      <c r="IBJ55" s="5">
        <f>-IFERROR('4. NPV'!IBK24/'4. NPV'!IBK$8,0)</f>
        <v>-0.0</v>
      </c>
      <c r="IBK55" s="5">
        <f>-IFERROR('4. NPV'!IBL24/'4. NPV'!IBL$8,0)</f>
        <v>-0.0</v>
      </c>
      <c r="IBL55" s="5">
        <f>-IFERROR('4. NPV'!IBM24/'4. NPV'!IBM$8,0)</f>
        <v>-0.0</v>
      </c>
      <c r="IBM55" s="5">
        <f>-IFERROR('4. NPV'!IBN24/'4. NPV'!IBN$8,0)</f>
        <v>-0.0</v>
      </c>
      <c r="IBN55" s="5">
        <f>-IFERROR('4. NPV'!IBO24/'4. NPV'!IBO$8,0)</f>
        <v>-0.0</v>
      </c>
      <c r="IBO55" s="5">
        <f>-IFERROR('4. NPV'!IBP24/'4. NPV'!IBP$8,0)</f>
        <v>-0.0</v>
      </c>
      <c r="IBP55" s="5">
        <f>-IFERROR('4. NPV'!IBQ24/'4. NPV'!IBQ$8,0)</f>
        <v>-0.0</v>
      </c>
      <c r="IBQ55" s="5">
        <f>-IFERROR('4. NPV'!IBR24/'4. NPV'!IBR$8,0)</f>
        <v>-0.0</v>
      </c>
      <c r="IBR55" s="5">
        <f>-IFERROR('4. NPV'!IBS24/'4. NPV'!IBS$8,0)</f>
        <v>-0.0</v>
      </c>
      <c r="IBS55" s="5">
        <f>-IFERROR('4. NPV'!IBT24/'4. NPV'!IBT$8,0)</f>
        <v>-0.0</v>
      </c>
      <c r="IBT55" s="5">
        <f>-IFERROR('4. NPV'!IBU24/'4. NPV'!IBU$8,0)</f>
        <v>-0.0</v>
      </c>
      <c r="IBU55" s="5">
        <f>-IFERROR('4. NPV'!IBV24/'4. NPV'!IBV$8,0)</f>
        <v>-0.0</v>
      </c>
      <c r="IBV55" s="5">
        <f>-IFERROR('4. NPV'!IBW24/'4. NPV'!IBW$8,0)</f>
        <v>-0.0</v>
      </c>
      <c r="IBW55" s="5">
        <f>-IFERROR('4. NPV'!IBX24/'4. NPV'!IBX$8,0)</f>
        <v>-0.0</v>
      </c>
      <c r="IBX55" s="5">
        <f>-IFERROR('4. NPV'!IBY24/'4. NPV'!IBY$8,0)</f>
        <v>-0.0</v>
      </c>
      <c r="IBY55" s="5">
        <f>-IFERROR('4. NPV'!IBZ24/'4. NPV'!IBZ$8,0)</f>
        <v>-0.0</v>
      </c>
      <c r="IBZ55" s="5">
        <f>-IFERROR('4. NPV'!ICA24/'4. NPV'!ICA$8,0)</f>
        <v>-0.0</v>
      </c>
      <c r="ICA55" s="5">
        <f>-IFERROR('4. NPV'!ICB24/'4. NPV'!ICB$8,0)</f>
        <v>-0.0</v>
      </c>
      <c r="ICB55" s="5">
        <f>-IFERROR('4. NPV'!ICC24/'4. NPV'!ICC$8,0)</f>
        <v>-0.0</v>
      </c>
      <c r="ICC55" s="5">
        <f>-IFERROR('4. NPV'!ICD24/'4. NPV'!ICD$8,0)</f>
        <v>-0.0</v>
      </c>
      <c r="ICD55" s="5">
        <f>-IFERROR('4. NPV'!ICE24/'4. NPV'!ICE$8,0)</f>
        <v>-0.0</v>
      </c>
      <c r="ICE55" s="5">
        <f>-IFERROR('4. NPV'!ICF24/'4. NPV'!ICF$8,0)</f>
        <v>-0.0</v>
      </c>
      <c r="ICF55" s="5">
        <f>-IFERROR('4. NPV'!ICG24/'4. NPV'!ICG$8,0)</f>
        <v>-0.0</v>
      </c>
      <c r="ICG55" s="5">
        <f>-IFERROR('4. NPV'!ICH24/'4. NPV'!ICH$8,0)</f>
        <v>-0.0</v>
      </c>
      <c r="ICH55" s="5">
        <f>-IFERROR('4. NPV'!ICI24/'4. NPV'!ICI$8,0)</f>
        <v>-0.0</v>
      </c>
      <c r="ICI55" s="5">
        <f>-IFERROR('4. NPV'!ICJ24/'4. NPV'!ICJ$8,0)</f>
        <v>-0.0</v>
      </c>
      <c r="ICJ55" s="5">
        <f>-IFERROR('4. NPV'!ICK24/'4. NPV'!ICK$8,0)</f>
        <v>-0.0</v>
      </c>
      <c r="ICK55" s="5">
        <f>-IFERROR('4. NPV'!ICL24/'4. NPV'!ICL$8,0)</f>
        <v>-0.0</v>
      </c>
      <c r="ICL55" s="5">
        <f>-IFERROR('4. NPV'!ICM24/'4. NPV'!ICM$8,0)</f>
        <v>-0.0</v>
      </c>
      <c r="ICM55" s="5">
        <f>-IFERROR('4. NPV'!ICN24/'4. NPV'!ICN$8,0)</f>
        <v>-0.0</v>
      </c>
      <c r="ICN55" s="5">
        <f>-IFERROR('4. NPV'!ICO24/'4. NPV'!ICO$8,0)</f>
        <v>-0.0</v>
      </c>
      <c r="ICO55" s="5">
        <f>-IFERROR('4. NPV'!ICP24/'4. NPV'!ICP$8,0)</f>
        <v>-0.0</v>
      </c>
      <c r="ICP55" s="5">
        <f>-IFERROR('4. NPV'!ICQ24/'4. NPV'!ICQ$8,0)</f>
        <v>-0.0</v>
      </c>
      <c r="ICQ55" s="5">
        <f>-IFERROR('4. NPV'!ICR24/'4. NPV'!ICR$8,0)</f>
        <v>-0.0</v>
      </c>
      <c r="ICR55" s="5">
        <f>-IFERROR('4. NPV'!ICS24/'4. NPV'!ICS$8,0)</f>
        <v>-0.0</v>
      </c>
      <c r="ICS55" s="5">
        <f>-IFERROR('4. NPV'!ICT24/'4. NPV'!ICT$8,0)</f>
        <v>-0.0</v>
      </c>
      <c r="ICT55" s="5">
        <f>-IFERROR('4. NPV'!ICU24/'4. NPV'!ICU$8,0)</f>
        <v>-0.0</v>
      </c>
      <c r="ICU55" s="5">
        <f>-IFERROR('4. NPV'!ICV24/'4. NPV'!ICV$8,0)</f>
        <v>-0.0</v>
      </c>
      <c r="ICV55" s="5">
        <f>-IFERROR('4. NPV'!ICW24/'4. NPV'!ICW$8,0)</f>
        <v>-0.0</v>
      </c>
      <c r="ICW55" s="5">
        <f>-IFERROR('4. NPV'!ICX24/'4. NPV'!ICX$8,0)</f>
        <v>-0.0</v>
      </c>
      <c r="ICX55" s="5">
        <f>-IFERROR('4. NPV'!ICY24/'4. NPV'!ICY$8,0)</f>
        <v>-0.0</v>
      </c>
      <c r="ICY55" s="5">
        <f>-IFERROR('4. NPV'!ICZ24/'4. NPV'!ICZ$8,0)</f>
        <v>-0.0</v>
      </c>
      <c r="ICZ55" s="5">
        <f>-IFERROR('4. NPV'!IDA24/'4. NPV'!IDA$8,0)</f>
        <v>-0.0</v>
      </c>
      <c r="IDA55" s="5">
        <f>-IFERROR('4. NPV'!IDB24/'4. NPV'!IDB$8,0)</f>
        <v>-0.0</v>
      </c>
      <c r="IDB55" s="5">
        <f>-IFERROR('4. NPV'!IDC24/'4. NPV'!IDC$8,0)</f>
        <v>-0.0</v>
      </c>
      <c r="IDC55" s="5">
        <f>-IFERROR('4. NPV'!IDD24/'4. NPV'!IDD$8,0)</f>
        <v>-0.0</v>
      </c>
      <c r="IDD55" s="5">
        <f>-IFERROR('4. NPV'!IDE24/'4. NPV'!IDE$8,0)</f>
        <v>-0.0</v>
      </c>
      <c r="IDE55" s="5">
        <f>-IFERROR('4. NPV'!IDF24/'4. NPV'!IDF$8,0)</f>
        <v>-0.0</v>
      </c>
      <c r="IDF55" s="5">
        <f>-IFERROR('4. NPV'!IDG24/'4. NPV'!IDG$8,0)</f>
        <v>-0.0</v>
      </c>
      <c r="IDG55" s="5">
        <f>-IFERROR('4. NPV'!IDH24/'4. NPV'!IDH$8,0)</f>
        <v>-0.0</v>
      </c>
      <c r="IDH55" s="5">
        <f>-IFERROR('4. NPV'!IDI24/'4. NPV'!IDI$8,0)</f>
        <v>-0.0</v>
      </c>
      <c r="IDI55" s="5">
        <f>-IFERROR('4. NPV'!IDJ24/'4. NPV'!IDJ$8,0)</f>
        <v>-0.0</v>
      </c>
      <c r="IDJ55" s="5">
        <f>-IFERROR('4. NPV'!IDK24/'4. NPV'!IDK$8,0)</f>
        <v>-0.0</v>
      </c>
      <c r="IDK55" s="5">
        <f>-IFERROR('4. NPV'!IDL24/'4. NPV'!IDL$8,0)</f>
        <v>-0.0</v>
      </c>
      <c r="IDL55" s="5">
        <f>-IFERROR('4. NPV'!IDM24/'4. NPV'!IDM$8,0)</f>
        <v>-0.0</v>
      </c>
      <c r="IDM55" s="5">
        <f>-IFERROR('4. NPV'!IDN24/'4. NPV'!IDN$8,0)</f>
        <v>-0.0</v>
      </c>
      <c r="IDN55" s="5">
        <f>-IFERROR('4. NPV'!IDO24/'4. NPV'!IDO$8,0)</f>
        <v>-0.0</v>
      </c>
      <c r="IDO55" s="5">
        <f>-IFERROR('4. NPV'!IDP24/'4. NPV'!IDP$8,0)</f>
        <v>-0.0</v>
      </c>
      <c r="IDP55" s="5">
        <f>-IFERROR('4. NPV'!IDQ24/'4. NPV'!IDQ$8,0)</f>
        <v>-0.0</v>
      </c>
      <c r="IDQ55" s="5">
        <f>-IFERROR('4. NPV'!IDR24/'4. NPV'!IDR$8,0)</f>
        <v>-0.0</v>
      </c>
      <c r="IDR55" s="5">
        <f>-IFERROR('4. NPV'!IDS24/'4. NPV'!IDS$8,0)</f>
        <v>-0.0</v>
      </c>
      <c r="IDS55" s="5">
        <f>-IFERROR('4. NPV'!IDT24/'4. NPV'!IDT$8,0)</f>
        <v>-0.0</v>
      </c>
      <c r="IDT55" s="5">
        <f>-IFERROR('4. NPV'!IDU24/'4. NPV'!IDU$8,0)</f>
        <v>-0.0</v>
      </c>
      <c r="IDU55" s="5">
        <f>-IFERROR('4. NPV'!IDV24/'4. NPV'!IDV$8,0)</f>
        <v>-0.0</v>
      </c>
      <c r="IDV55" s="5">
        <f>-IFERROR('4. NPV'!IDW24/'4. NPV'!IDW$8,0)</f>
        <v>-0.0</v>
      </c>
      <c r="IDW55" s="5">
        <f>-IFERROR('4. NPV'!IDX24/'4. NPV'!IDX$8,0)</f>
        <v>-0.0</v>
      </c>
      <c r="IDX55" s="5">
        <f>-IFERROR('4. NPV'!IDY24/'4. NPV'!IDY$8,0)</f>
        <v>-0.0</v>
      </c>
      <c r="IDY55" s="5">
        <f>-IFERROR('4. NPV'!IDZ24/'4. NPV'!IDZ$8,0)</f>
        <v>-0.0</v>
      </c>
      <c r="IDZ55" s="5">
        <f>-IFERROR('4. NPV'!IEA24/'4. NPV'!IEA$8,0)</f>
        <v>-0.0</v>
      </c>
      <c r="IEA55" s="5">
        <f>-IFERROR('4. NPV'!IEB24/'4. NPV'!IEB$8,0)</f>
        <v>-0.0</v>
      </c>
      <c r="IEB55" s="5">
        <f>-IFERROR('4. NPV'!IEC24/'4. NPV'!IEC$8,0)</f>
        <v>-0.0</v>
      </c>
      <c r="IEC55" s="5">
        <f>-IFERROR('4. NPV'!IED24/'4. NPV'!IED$8,0)</f>
        <v>-0.0</v>
      </c>
      <c r="IED55" s="5">
        <f>-IFERROR('4. NPV'!IEE24/'4. NPV'!IEE$8,0)</f>
        <v>-0.0</v>
      </c>
      <c r="IEE55" s="5">
        <f>-IFERROR('4. NPV'!IEF24/'4. NPV'!IEF$8,0)</f>
        <v>-0.0</v>
      </c>
      <c r="IEF55" s="5">
        <f>-IFERROR('4. NPV'!IEG24/'4. NPV'!IEG$8,0)</f>
        <v>-0.0</v>
      </c>
      <c r="IEG55" s="5">
        <f>-IFERROR('4. NPV'!IEH24/'4. NPV'!IEH$8,0)</f>
        <v>-0.0</v>
      </c>
      <c r="IEH55" s="5">
        <f>-IFERROR('4. NPV'!IEI24/'4. NPV'!IEI$8,0)</f>
        <v>-0.0</v>
      </c>
      <c r="IEI55" s="5">
        <f>-IFERROR('4. NPV'!IEJ24/'4. NPV'!IEJ$8,0)</f>
        <v>-0.0</v>
      </c>
      <c r="IEJ55" s="5">
        <f>-IFERROR('4. NPV'!IEK24/'4. NPV'!IEK$8,0)</f>
        <v>-0.0</v>
      </c>
      <c r="IEK55" s="5">
        <f>-IFERROR('4. NPV'!IEL24/'4. NPV'!IEL$8,0)</f>
        <v>-0.0</v>
      </c>
      <c r="IEL55" s="5">
        <f>-IFERROR('4. NPV'!IEM24/'4. NPV'!IEM$8,0)</f>
        <v>-0.0</v>
      </c>
      <c r="IEM55" s="5">
        <f>-IFERROR('4. NPV'!IEN24/'4. NPV'!IEN$8,0)</f>
        <v>-0.0</v>
      </c>
      <c r="IEN55" s="5">
        <f>-IFERROR('4. NPV'!IEO24/'4. NPV'!IEO$8,0)</f>
        <v>-0.0</v>
      </c>
      <c r="IEO55" s="5">
        <f>-IFERROR('4. NPV'!IEP24/'4. NPV'!IEP$8,0)</f>
        <v>-0.0</v>
      </c>
      <c r="IEP55" s="5">
        <f>-IFERROR('4. NPV'!IEQ24/'4. NPV'!IEQ$8,0)</f>
        <v>-0.0</v>
      </c>
      <c r="IEQ55" s="5">
        <f>-IFERROR('4. NPV'!IER24/'4. NPV'!IER$8,0)</f>
        <v>-0.0</v>
      </c>
      <c r="IER55" s="5">
        <f>-IFERROR('4. NPV'!IES24/'4. NPV'!IES$8,0)</f>
        <v>-0.0</v>
      </c>
      <c r="IES55" s="5">
        <f>-IFERROR('4. NPV'!IET24/'4. NPV'!IET$8,0)</f>
        <v>-0.0</v>
      </c>
      <c r="IET55" s="5">
        <f>-IFERROR('4. NPV'!IEU24/'4. NPV'!IEU$8,0)</f>
        <v>-0.0</v>
      </c>
      <c r="IEU55" s="5">
        <f>-IFERROR('4. NPV'!IEV24/'4. NPV'!IEV$8,0)</f>
        <v>-0.0</v>
      </c>
      <c r="IEV55" s="5">
        <f>-IFERROR('4. NPV'!IEW24/'4. NPV'!IEW$8,0)</f>
        <v>-0.0</v>
      </c>
      <c r="IEW55" s="5">
        <f>-IFERROR('4. NPV'!IEX24/'4. NPV'!IEX$8,0)</f>
        <v>-0.0</v>
      </c>
      <c r="IEX55" s="5">
        <f>-IFERROR('4. NPV'!IEY24/'4. NPV'!IEY$8,0)</f>
        <v>-0.0</v>
      </c>
      <c r="IEY55" s="5">
        <f>-IFERROR('4. NPV'!IEZ24/'4. NPV'!IEZ$8,0)</f>
        <v>-0.0</v>
      </c>
      <c r="IEZ55" s="5">
        <f>-IFERROR('4. NPV'!IFA24/'4. NPV'!IFA$8,0)</f>
        <v>-0.0</v>
      </c>
      <c r="IFA55" s="5">
        <f>-IFERROR('4. NPV'!IFB24/'4. NPV'!IFB$8,0)</f>
        <v>-0.0</v>
      </c>
      <c r="IFB55" s="5">
        <f>-IFERROR('4. NPV'!IFC24/'4. NPV'!IFC$8,0)</f>
        <v>-0.0</v>
      </c>
      <c r="IFC55" s="5">
        <f>-IFERROR('4. NPV'!IFD24/'4. NPV'!IFD$8,0)</f>
        <v>-0.0</v>
      </c>
      <c r="IFD55" s="5">
        <f>-IFERROR('4. NPV'!IFE24/'4. NPV'!IFE$8,0)</f>
        <v>-0.0</v>
      </c>
      <c r="IFE55" s="5">
        <f>-IFERROR('4. NPV'!IFF24/'4. NPV'!IFF$8,0)</f>
        <v>-0.0</v>
      </c>
      <c r="IFF55" s="5">
        <f>-IFERROR('4. NPV'!IFG24/'4. NPV'!IFG$8,0)</f>
        <v>-0.0</v>
      </c>
      <c r="IFG55" s="5">
        <f>-IFERROR('4. NPV'!IFH24/'4. NPV'!IFH$8,0)</f>
        <v>-0.0</v>
      </c>
      <c r="IFH55" s="5">
        <f>-IFERROR('4. NPV'!IFI24/'4. NPV'!IFI$8,0)</f>
        <v>-0.0</v>
      </c>
      <c r="IFI55" s="5">
        <f>-IFERROR('4. NPV'!IFJ24/'4. NPV'!IFJ$8,0)</f>
        <v>-0.0</v>
      </c>
      <c r="IFJ55" s="5">
        <f>-IFERROR('4. NPV'!IFK24/'4. NPV'!IFK$8,0)</f>
        <v>-0.0</v>
      </c>
      <c r="IFK55" s="5">
        <f>-IFERROR('4. NPV'!IFL24/'4. NPV'!IFL$8,0)</f>
        <v>-0.0</v>
      </c>
      <c r="IFL55" s="5">
        <f>-IFERROR('4. NPV'!IFM24/'4. NPV'!IFM$8,0)</f>
        <v>-0.0</v>
      </c>
      <c r="IFM55" s="5">
        <f>-IFERROR('4. NPV'!IFN24/'4. NPV'!IFN$8,0)</f>
        <v>-0.0</v>
      </c>
      <c r="IFN55" s="5">
        <f>-IFERROR('4. NPV'!IFO24/'4. NPV'!IFO$8,0)</f>
        <v>-0.0</v>
      </c>
      <c r="IFO55" s="5">
        <f>-IFERROR('4. NPV'!IFP24/'4. NPV'!IFP$8,0)</f>
        <v>-0.0</v>
      </c>
      <c r="IFP55" s="5">
        <f>-IFERROR('4. NPV'!IFQ24/'4. NPV'!IFQ$8,0)</f>
        <v>-0.0</v>
      </c>
      <c r="IFQ55" s="5">
        <f>-IFERROR('4. NPV'!IFR24/'4. NPV'!IFR$8,0)</f>
        <v>-0.0</v>
      </c>
      <c r="IFR55" s="5">
        <f>-IFERROR('4. NPV'!IFS24/'4. NPV'!IFS$8,0)</f>
        <v>-0.0</v>
      </c>
      <c r="IFS55" s="5">
        <f>-IFERROR('4. NPV'!IFT24/'4. NPV'!IFT$8,0)</f>
        <v>-0.0</v>
      </c>
      <c r="IFT55" s="5">
        <f>-IFERROR('4. NPV'!IFU24/'4. NPV'!IFU$8,0)</f>
        <v>-0.0</v>
      </c>
      <c r="IFU55" s="5">
        <f>-IFERROR('4. NPV'!IFV24/'4. NPV'!IFV$8,0)</f>
        <v>-0.0</v>
      </c>
      <c r="IFV55" s="5">
        <f>-IFERROR('4. NPV'!IFW24/'4. NPV'!IFW$8,0)</f>
        <v>-0.0</v>
      </c>
      <c r="IFW55" s="5">
        <f>-IFERROR('4. NPV'!IFX24/'4. NPV'!IFX$8,0)</f>
        <v>-0.0</v>
      </c>
      <c r="IFX55" s="5">
        <f>-IFERROR('4. NPV'!IFY24/'4. NPV'!IFY$8,0)</f>
        <v>-0.0</v>
      </c>
      <c r="IFY55" s="5">
        <f>-IFERROR('4. NPV'!IFZ24/'4. NPV'!IFZ$8,0)</f>
        <v>-0.0</v>
      </c>
      <c r="IFZ55" s="5">
        <f>-IFERROR('4. NPV'!IGA24/'4. NPV'!IGA$8,0)</f>
        <v>-0.0</v>
      </c>
      <c r="IGA55" s="5">
        <f>-IFERROR('4. NPV'!IGB24/'4. NPV'!IGB$8,0)</f>
        <v>-0.0</v>
      </c>
      <c r="IGB55" s="5">
        <f>-IFERROR('4. NPV'!IGC24/'4. NPV'!IGC$8,0)</f>
        <v>-0.0</v>
      </c>
      <c r="IGC55" s="5">
        <f>-IFERROR('4. NPV'!IGD24/'4. NPV'!IGD$8,0)</f>
        <v>-0.0</v>
      </c>
      <c r="IGD55" s="5">
        <f>-IFERROR('4. NPV'!IGE24/'4. NPV'!IGE$8,0)</f>
        <v>-0.0</v>
      </c>
      <c r="IGE55" s="5">
        <f>-IFERROR('4. NPV'!IGF24/'4. NPV'!IGF$8,0)</f>
        <v>-0.0</v>
      </c>
      <c r="IGF55" s="5">
        <f>-IFERROR('4. NPV'!IGG24/'4. NPV'!IGG$8,0)</f>
        <v>-0.0</v>
      </c>
      <c r="IGG55" s="5">
        <f>-IFERROR('4. NPV'!IGH24/'4. NPV'!IGH$8,0)</f>
        <v>-0.0</v>
      </c>
      <c r="IGH55" s="5">
        <f>-IFERROR('4. NPV'!IGI24/'4. NPV'!IGI$8,0)</f>
        <v>-0.0</v>
      </c>
      <c r="IGI55" s="5">
        <f>-IFERROR('4. NPV'!IGJ24/'4. NPV'!IGJ$8,0)</f>
        <v>-0.0</v>
      </c>
      <c r="IGJ55" s="5">
        <f>-IFERROR('4. NPV'!IGK24/'4. NPV'!IGK$8,0)</f>
        <v>-0.0</v>
      </c>
      <c r="IGK55" s="5">
        <f>-IFERROR('4. NPV'!IGL24/'4. NPV'!IGL$8,0)</f>
        <v>-0.0</v>
      </c>
      <c r="IGL55" s="5">
        <f>-IFERROR('4. NPV'!IGM24/'4. NPV'!IGM$8,0)</f>
        <v>-0.0</v>
      </c>
      <c r="IGM55" s="5">
        <f>-IFERROR('4. NPV'!IGN24/'4. NPV'!IGN$8,0)</f>
        <v>-0.0</v>
      </c>
      <c r="IGN55" s="5">
        <f>-IFERROR('4. NPV'!IGO24/'4. NPV'!IGO$8,0)</f>
        <v>-0.0</v>
      </c>
      <c r="IGO55" s="5">
        <f>-IFERROR('4. NPV'!IGP24/'4. NPV'!IGP$8,0)</f>
        <v>-0.0</v>
      </c>
      <c r="IGP55" s="5">
        <f>-IFERROR('4. NPV'!IGQ24/'4. NPV'!IGQ$8,0)</f>
        <v>-0.0</v>
      </c>
      <c r="IGQ55" s="5">
        <f>-IFERROR('4. NPV'!IGR24/'4. NPV'!IGR$8,0)</f>
        <v>-0.0</v>
      </c>
      <c r="IGR55" s="5">
        <f>-IFERROR('4. NPV'!IGS24/'4. NPV'!IGS$8,0)</f>
        <v>-0.0</v>
      </c>
      <c r="IGS55" s="5">
        <f>-IFERROR('4. NPV'!IGT24/'4. NPV'!IGT$8,0)</f>
        <v>-0.0</v>
      </c>
      <c r="IGT55" s="5">
        <f>-IFERROR('4. NPV'!IGU24/'4. NPV'!IGU$8,0)</f>
        <v>-0.0</v>
      </c>
      <c r="IGU55" s="5">
        <f>-IFERROR('4. NPV'!IGV24/'4. NPV'!IGV$8,0)</f>
        <v>-0.0</v>
      </c>
      <c r="IGV55" s="5">
        <f>-IFERROR('4. NPV'!IGW24/'4. NPV'!IGW$8,0)</f>
        <v>-0.0</v>
      </c>
      <c r="IGW55" s="5">
        <f>-IFERROR('4. NPV'!IGX24/'4. NPV'!IGX$8,0)</f>
        <v>-0.0</v>
      </c>
      <c r="IGX55" s="5">
        <f>-IFERROR('4. NPV'!IGY24/'4. NPV'!IGY$8,0)</f>
        <v>-0.0</v>
      </c>
      <c r="IGY55" s="5">
        <f>-IFERROR('4. NPV'!IGZ24/'4. NPV'!IGZ$8,0)</f>
        <v>-0.0</v>
      </c>
      <c r="IGZ55" s="5">
        <f>-IFERROR('4. NPV'!IHA24/'4. NPV'!IHA$8,0)</f>
        <v>-0.0</v>
      </c>
      <c r="IHA55" s="5">
        <f>-IFERROR('4. NPV'!IHB24/'4. NPV'!IHB$8,0)</f>
        <v>-0.0</v>
      </c>
      <c r="IHB55" s="5">
        <f>-IFERROR('4. NPV'!IHC24/'4. NPV'!IHC$8,0)</f>
        <v>-0.0</v>
      </c>
      <c r="IHC55" s="5">
        <f>-IFERROR('4. NPV'!IHD24/'4. NPV'!IHD$8,0)</f>
        <v>-0.0</v>
      </c>
      <c r="IHD55" s="5">
        <f>-IFERROR('4. NPV'!IHE24/'4. NPV'!IHE$8,0)</f>
        <v>-0.0</v>
      </c>
      <c r="IHE55" s="5">
        <f>-IFERROR('4. NPV'!IHF24/'4. NPV'!IHF$8,0)</f>
        <v>-0.0</v>
      </c>
      <c r="IHF55" s="5">
        <f>-IFERROR('4. NPV'!IHG24/'4. NPV'!IHG$8,0)</f>
        <v>-0.0</v>
      </c>
      <c r="IHG55" s="5">
        <f>-IFERROR('4. NPV'!IHH24/'4. NPV'!IHH$8,0)</f>
        <v>-0.0</v>
      </c>
      <c r="IHH55" s="5">
        <f>-IFERROR('4. NPV'!IHI24/'4. NPV'!IHI$8,0)</f>
        <v>-0.0</v>
      </c>
      <c r="IHI55" s="5">
        <f>-IFERROR('4. NPV'!IHJ24/'4. NPV'!IHJ$8,0)</f>
        <v>-0.0</v>
      </c>
      <c r="IHJ55" s="5">
        <f>-IFERROR('4. NPV'!IHK24/'4. NPV'!IHK$8,0)</f>
        <v>-0.0</v>
      </c>
      <c r="IHK55" s="5">
        <f>-IFERROR('4. NPV'!IHL24/'4. NPV'!IHL$8,0)</f>
        <v>-0.0</v>
      </c>
      <c r="IHL55" s="5">
        <f>-IFERROR('4. NPV'!IHM24/'4. NPV'!IHM$8,0)</f>
        <v>-0.0</v>
      </c>
      <c r="IHM55" s="5">
        <f>-IFERROR('4. NPV'!IHN24/'4. NPV'!IHN$8,0)</f>
        <v>-0.0</v>
      </c>
      <c r="IHN55" s="5">
        <f>-IFERROR('4. NPV'!IHO24/'4. NPV'!IHO$8,0)</f>
        <v>-0.0</v>
      </c>
      <c r="IHO55" s="5">
        <f>-IFERROR('4. NPV'!IHP24/'4. NPV'!IHP$8,0)</f>
        <v>-0.0</v>
      </c>
      <c r="IHP55" s="5">
        <f>-IFERROR('4. NPV'!IHQ24/'4. NPV'!IHQ$8,0)</f>
        <v>-0.0</v>
      </c>
      <c r="IHQ55" s="5">
        <f>-IFERROR('4. NPV'!IHR24/'4. NPV'!IHR$8,0)</f>
        <v>-0.0</v>
      </c>
      <c r="IHR55" s="5">
        <f>-IFERROR('4. NPV'!IHS24/'4. NPV'!IHS$8,0)</f>
        <v>-0.0</v>
      </c>
      <c r="IHS55" s="5">
        <f>-IFERROR('4. NPV'!IHT24/'4. NPV'!IHT$8,0)</f>
        <v>-0.0</v>
      </c>
      <c r="IHT55" s="5">
        <f>-IFERROR('4. NPV'!IHU24/'4. NPV'!IHU$8,0)</f>
        <v>-0.0</v>
      </c>
      <c r="IHU55" s="5">
        <f>-IFERROR('4. NPV'!IHV24/'4. NPV'!IHV$8,0)</f>
        <v>-0.0</v>
      </c>
      <c r="IHV55" s="5">
        <f>-IFERROR('4. NPV'!IHW24/'4. NPV'!IHW$8,0)</f>
        <v>-0.0</v>
      </c>
      <c r="IHW55" s="5">
        <f>-IFERROR('4. NPV'!IHX24/'4. NPV'!IHX$8,0)</f>
        <v>-0.0</v>
      </c>
      <c r="IHX55" s="5">
        <f>-IFERROR('4. NPV'!IHY24/'4. NPV'!IHY$8,0)</f>
        <v>-0.0</v>
      </c>
      <c r="IHY55" s="5">
        <f>-IFERROR('4. NPV'!IHZ24/'4. NPV'!IHZ$8,0)</f>
        <v>-0.0</v>
      </c>
      <c r="IHZ55" s="5">
        <f>-IFERROR('4. NPV'!IIA24/'4. NPV'!IIA$8,0)</f>
        <v>-0.0</v>
      </c>
      <c r="IIA55" s="5">
        <f>-IFERROR('4. NPV'!IIB24/'4. NPV'!IIB$8,0)</f>
        <v>-0.0</v>
      </c>
      <c r="IIB55" s="5">
        <f>-IFERROR('4. NPV'!IIC24/'4. NPV'!IIC$8,0)</f>
        <v>-0.0</v>
      </c>
      <c r="IIC55" s="5">
        <f>-IFERROR('4. NPV'!IID24/'4. NPV'!IID$8,0)</f>
        <v>-0.0</v>
      </c>
      <c r="IID55" s="5">
        <f>-IFERROR('4. NPV'!IIE24/'4. NPV'!IIE$8,0)</f>
        <v>-0.0</v>
      </c>
      <c r="IIE55" s="5">
        <f>-IFERROR('4. NPV'!IIF24/'4. NPV'!IIF$8,0)</f>
        <v>-0.0</v>
      </c>
      <c r="IIF55" s="5">
        <f>-IFERROR('4. NPV'!IIG24/'4. NPV'!IIG$8,0)</f>
        <v>-0.0</v>
      </c>
      <c r="IIG55" s="5">
        <f>-IFERROR('4. NPV'!IIH24/'4. NPV'!IIH$8,0)</f>
        <v>-0.0</v>
      </c>
      <c r="IIH55" s="5">
        <f>-IFERROR('4. NPV'!III24/'4. NPV'!III$8,0)</f>
        <v>-0.0</v>
      </c>
      <c r="III55" s="5">
        <f>-IFERROR('4. NPV'!IIJ24/'4. NPV'!IIJ$8,0)</f>
        <v>-0.0</v>
      </c>
      <c r="IIJ55" s="5">
        <f>-IFERROR('4. NPV'!IIK24/'4. NPV'!IIK$8,0)</f>
        <v>-0.0</v>
      </c>
      <c r="IIK55" s="5">
        <f>-IFERROR('4. NPV'!IIL24/'4. NPV'!IIL$8,0)</f>
        <v>-0.0</v>
      </c>
      <c r="IIL55" s="5">
        <f>-IFERROR('4. NPV'!IIM24/'4. NPV'!IIM$8,0)</f>
        <v>-0.0</v>
      </c>
      <c r="IIM55" s="5">
        <f>-IFERROR('4. NPV'!IIN24/'4. NPV'!IIN$8,0)</f>
        <v>-0.0</v>
      </c>
      <c r="IIN55" s="5">
        <f>-IFERROR('4. NPV'!IIO24/'4. NPV'!IIO$8,0)</f>
        <v>-0.0</v>
      </c>
      <c r="IIO55" s="5">
        <f>-IFERROR('4. NPV'!IIP24/'4. NPV'!IIP$8,0)</f>
        <v>-0.0</v>
      </c>
      <c r="IIP55" s="5">
        <f>-IFERROR('4. NPV'!IIQ24/'4. NPV'!IIQ$8,0)</f>
        <v>-0.0</v>
      </c>
      <c r="IIQ55" s="5">
        <f>-IFERROR('4. NPV'!IIR24/'4. NPV'!IIR$8,0)</f>
        <v>-0.0</v>
      </c>
      <c r="IIR55" s="5">
        <f>-IFERROR('4. NPV'!IIS24/'4. NPV'!IIS$8,0)</f>
        <v>-0.0</v>
      </c>
      <c r="IIS55" s="5">
        <f>-IFERROR('4. NPV'!IIT24/'4. NPV'!IIT$8,0)</f>
        <v>-0.0</v>
      </c>
      <c r="IIT55" s="5">
        <f>-IFERROR('4. NPV'!IIU24/'4. NPV'!IIU$8,0)</f>
        <v>-0.0</v>
      </c>
      <c r="IIU55" s="5">
        <f>-IFERROR('4. NPV'!IIV24/'4. NPV'!IIV$8,0)</f>
        <v>-0.0</v>
      </c>
      <c r="IIV55" s="5">
        <f>-IFERROR('4. NPV'!IIW24/'4. NPV'!IIW$8,0)</f>
        <v>-0.0</v>
      </c>
      <c r="IIW55" s="5">
        <f>-IFERROR('4. NPV'!IIX24/'4. NPV'!IIX$8,0)</f>
        <v>-0.0</v>
      </c>
      <c r="IIX55" s="5">
        <f>-IFERROR('4. NPV'!IIY24/'4. NPV'!IIY$8,0)</f>
        <v>-0.0</v>
      </c>
      <c r="IIY55" s="5">
        <f>-IFERROR('4. NPV'!IIZ24/'4. NPV'!IIZ$8,0)</f>
        <v>-0.0</v>
      </c>
      <c r="IIZ55" s="5">
        <f>-IFERROR('4. NPV'!IJA24/'4. NPV'!IJA$8,0)</f>
        <v>-0.0</v>
      </c>
      <c r="IJA55" s="5">
        <f>-IFERROR('4. NPV'!IJB24/'4. NPV'!IJB$8,0)</f>
        <v>-0.0</v>
      </c>
      <c r="IJB55" s="5">
        <f>-IFERROR('4. NPV'!IJC24/'4. NPV'!IJC$8,0)</f>
        <v>-0.0</v>
      </c>
      <c r="IJC55" s="5">
        <f>-IFERROR('4. NPV'!IJD24/'4. NPV'!IJD$8,0)</f>
        <v>-0.0</v>
      </c>
      <c r="IJD55" s="5">
        <f>-IFERROR('4. NPV'!IJE24/'4. NPV'!IJE$8,0)</f>
        <v>-0.0</v>
      </c>
      <c r="IJE55" s="5">
        <f>-IFERROR('4. NPV'!IJF24/'4. NPV'!IJF$8,0)</f>
        <v>-0.0</v>
      </c>
      <c r="IJF55" s="5">
        <f>-IFERROR('4. NPV'!IJG24/'4. NPV'!IJG$8,0)</f>
        <v>-0.0</v>
      </c>
      <c r="IJG55" s="5">
        <f>-IFERROR('4. NPV'!IJH24/'4. NPV'!IJH$8,0)</f>
        <v>-0.0</v>
      </c>
      <c r="IJH55" s="5">
        <f>-IFERROR('4. NPV'!IJI24/'4. NPV'!IJI$8,0)</f>
        <v>-0.0</v>
      </c>
      <c r="IJI55" s="5">
        <f>-IFERROR('4. NPV'!IJJ24/'4. NPV'!IJJ$8,0)</f>
        <v>-0.0</v>
      </c>
      <c r="IJJ55" s="5">
        <f>-IFERROR('4. NPV'!IJK24/'4. NPV'!IJK$8,0)</f>
        <v>-0.0</v>
      </c>
      <c r="IJK55" s="5">
        <f>-IFERROR('4. NPV'!IJL24/'4. NPV'!IJL$8,0)</f>
        <v>-0.0</v>
      </c>
      <c r="IJL55" s="5">
        <f>-IFERROR('4. NPV'!IJM24/'4. NPV'!IJM$8,0)</f>
        <v>-0.0</v>
      </c>
      <c r="IJM55" s="5">
        <f>-IFERROR('4. NPV'!IJN24/'4. NPV'!IJN$8,0)</f>
        <v>-0.0</v>
      </c>
      <c r="IJN55" s="5">
        <f>-IFERROR('4. NPV'!IJO24/'4. NPV'!IJO$8,0)</f>
        <v>-0.0</v>
      </c>
      <c r="IJO55" s="5">
        <f>-IFERROR('4. NPV'!IJP24/'4. NPV'!IJP$8,0)</f>
        <v>-0.0</v>
      </c>
      <c r="IJP55" s="5">
        <f>-IFERROR('4. NPV'!IJQ24/'4. NPV'!IJQ$8,0)</f>
        <v>-0.0</v>
      </c>
      <c r="IJQ55" s="5">
        <f>-IFERROR('4. NPV'!IJR24/'4. NPV'!IJR$8,0)</f>
        <v>-0.0</v>
      </c>
      <c r="IJR55" s="5">
        <f>-IFERROR('4. NPV'!IJS24/'4. NPV'!IJS$8,0)</f>
        <v>-0.0</v>
      </c>
      <c r="IJS55" s="5">
        <f>-IFERROR('4. NPV'!IJT24/'4. NPV'!IJT$8,0)</f>
        <v>-0.0</v>
      </c>
      <c r="IJT55" s="5">
        <f>-IFERROR('4. NPV'!IJU24/'4. NPV'!IJU$8,0)</f>
        <v>-0.0</v>
      </c>
      <c r="IJU55" s="5">
        <f>-IFERROR('4. NPV'!IJV24/'4. NPV'!IJV$8,0)</f>
        <v>-0.0</v>
      </c>
      <c r="IJV55" s="5">
        <f>-IFERROR('4. NPV'!IJW24/'4. NPV'!IJW$8,0)</f>
        <v>-0.0</v>
      </c>
      <c r="IJW55" s="5">
        <f>-IFERROR('4. NPV'!IJX24/'4. NPV'!IJX$8,0)</f>
        <v>-0.0</v>
      </c>
      <c r="IJX55" s="5">
        <f>-IFERROR('4. NPV'!IJY24/'4. NPV'!IJY$8,0)</f>
        <v>-0.0</v>
      </c>
      <c r="IJY55" s="5">
        <f>-IFERROR('4. NPV'!IJZ24/'4. NPV'!IJZ$8,0)</f>
        <v>-0.0</v>
      </c>
      <c r="IJZ55" s="5">
        <f>-IFERROR('4. NPV'!IKA24/'4. NPV'!IKA$8,0)</f>
        <v>-0.0</v>
      </c>
      <c r="IKA55" s="5">
        <f>-IFERROR('4. NPV'!IKB24/'4. NPV'!IKB$8,0)</f>
        <v>-0.0</v>
      </c>
      <c r="IKB55" s="5">
        <f>-IFERROR('4. NPV'!IKC24/'4. NPV'!IKC$8,0)</f>
        <v>-0.0</v>
      </c>
      <c r="IKC55" s="5">
        <f>-IFERROR('4. NPV'!IKD24/'4. NPV'!IKD$8,0)</f>
        <v>-0.0</v>
      </c>
      <c r="IKD55" s="5">
        <f>-IFERROR('4. NPV'!IKE24/'4. NPV'!IKE$8,0)</f>
        <v>-0.0</v>
      </c>
      <c r="IKE55" s="5">
        <f>-IFERROR('4. NPV'!IKF24/'4. NPV'!IKF$8,0)</f>
        <v>-0.0</v>
      </c>
      <c r="IKF55" s="5">
        <f>-IFERROR('4. NPV'!IKG24/'4. NPV'!IKG$8,0)</f>
        <v>-0.0</v>
      </c>
      <c r="IKG55" s="5">
        <f>-IFERROR('4. NPV'!IKH24/'4. NPV'!IKH$8,0)</f>
        <v>-0.0</v>
      </c>
      <c r="IKH55" s="5">
        <f>-IFERROR('4. NPV'!IKI24/'4. NPV'!IKI$8,0)</f>
        <v>-0.0</v>
      </c>
      <c r="IKI55" s="5">
        <f>-IFERROR('4. NPV'!IKJ24/'4. NPV'!IKJ$8,0)</f>
        <v>-0.0</v>
      </c>
      <c r="IKJ55" s="5">
        <f>-IFERROR('4. NPV'!IKK24/'4. NPV'!IKK$8,0)</f>
        <v>-0.0</v>
      </c>
      <c r="IKK55" s="5">
        <f>-IFERROR('4. NPV'!IKL24/'4. NPV'!IKL$8,0)</f>
        <v>-0.0</v>
      </c>
      <c r="IKL55" s="5">
        <f>-IFERROR('4. NPV'!IKM24/'4. NPV'!IKM$8,0)</f>
        <v>-0.0</v>
      </c>
      <c r="IKM55" s="5">
        <f>-IFERROR('4. NPV'!IKN24/'4. NPV'!IKN$8,0)</f>
        <v>-0.0</v>
      </c>
      <c r="IKN55" s="5">
        <f>-IFERROR('4. NPV'!IKO24/'4. NPV'!IKO$8,0)</f>
        <v>-0.0</v>
      </c>
      <c r="IKO55" s="5">
        <f>-IFERROR('4. NPV'!IKP24/'4. NPV'!IKP$8,0)</f>
        <v>-0.0</v>
      </c>
      <c r="IKP55" s="5">
        <f>-IFERROR('4. NPV'!IKQ24/'4. NPV'!IKQ$8,0)</f>
        <v>-0.0</v>
      </c>
      <c r="IKQ55" s="5">
        <f>-IFERROR('4. NPV'!IKR24/'4. NPV'!IKR$8,0)</f>
        <v>-0.0</v>
      </c>
      <c r="IKR55" s="5">
        <f>-IFERROR('4. NPV'!IKS24/'4. NPV'!IKS$8,0)</f>
        <v>-0.0</v>
      </c>
      <c r="IKS55" s="5">
        <f>-IFERROR('4. NPV'!IKT24/'4. NPV'!IKT$8,0)</f>
        <v>-0.0</v>
      </c>
      <c r="IKT55" s="5">
        <f>-IFERROR('4. NPV'!IKU24/'4. NPV'!IKU$8,0)</f>
        <v>-0.0</v>
      </c>
      <c r="IKU55" s="5">
        <f>-IFERROR('4. NPV'!IKV24/'4. NPV'!IKV$8,0)</f>
        <v>-0.0</v>
      </c>
      <c r="IKV55" s="5">
        <f>-IFERROR('4. NPV'!IKW24/'4. NPV'!IKW$8,0)</f>
        <v>-0.0</v>
      </c>
      <c r="IKW55" s="5">
        <f>-IFERROR('4. NPV'!IKX24/'4. NPV'!IKX$8,0)</f>
        <v>-0.0</v>
      </c>
      <c r="IKX55" s="5">
        <f>-IFERROR('4. NPV'!IKY24/'4. NPV'!IKY$8,0)</f>
        <v>-0.0</v>
      </c>
      <c r="IKY55" s="5">
        <f>-IFERROR('4. NPV'!IKZ24/'4. NPV'!IKZ$8,0)</f>
        <v>-0.0</v>
      </c>
      <c r="IKZ55" s="5">
        <f>-IFERROR('4. NPV'!ILA24/'4. NPV'!ILA$8,0)</f>
        <v>-0.0</v>
      </c>
      <c r="ILA55" s="5">
        <f>-IFERROR('4. NPV'!ILB24/'4. NPV'!ILB$8,0)</f>
        <v>-0.0</v>
      </c>
      <c r="ILB55" s="5">
        <f>-IFERROR('4. NPV'!ILC24/'4. NPV'!ILC$8,0)</f>
        <v>-0.0</v>
      </c>
      <c r="ILC55" s="5">
        <f>-IFERROR('4. NPV'!ILD24/'4. NPV'!ILD$8,0)</f>
        <v>-0.0</v>
      </c>
      <c r="ILD55" s="5">
        <f>-IFERROR('4. NPV'!ILE24/'4. NPV'!ILE$8,0)</f>
        <v>-0.0</v>
      </c>
      <c r="ILE55" s="5">
        <f>-IFERROR('4. NPV'!ILF24/'4. NPV'!ILF$8,0)</f>
        <v>-0.0</v>
      </c>
      <c r="ILF55" s="5">
        <f>-IFERROR('4. NPV'!ILG24/'4. NPV'!ILG$8,0)</f>
        <v>-0.0</v>
      </c>
      <c r="ILG55" s="5">
        <f>-IFERROR('4. NPV'!ILH24/'4. NPV'!ILH$8,0)</f>
        <v>-0.0</v>
      </c>
      <c r="ILH55" s="5">
        <f>-IFERROR('4. NPV'!ILI24/'4. NPV'!ILI$8,0)</f>
        <v>-0.0</v>
      </c>
      <c r="ILI55" s="5">
        <f>-IFERROR('4. NPV'!ILJ24/'4. NPV'!ILJ$8,0)</f>
        <v>-0.0</v>
      </c>
      <c r="ILJ55" s="5">
        <f>-IFERROR('4. NPV'!ILK24/'4. NPV'!ILK$8,0)</f>
        <v>-0.0</v>
      </c>
      <c r="ILK55" s="5">
        <f>-IFERROR('4. NPV'!ILL24/'4. NPV'!ILL$8,0)</f>
        <v>-0.0</v>
      </c>
      <c r="ILL55" s="5">
        <f>-IFERROR('4. NPV'!ILM24/'4. NPV'!ILM$8,0)</f>
        <v>-0.0</v>
      </c>
      <c r="ILM55" s="5">
        <f>-IFERROR('4. NPV'!ILN24/'4. NPV'!ILN$8,0)</f>
        <v>-0.0</v>
      </c>
      <c r="ILN55" s="5">
        <f>-IFERROR('4. NPV'!ILO24/'4. NPV'!ILO$8,0)</f>
        <v>-0.0</v>
      </c>
      <c r="ILO55" s="5">
        <f>-IFERROR('4. NPV'!ILP24/'4. NPV'!ILP$8,0)</f>
        <v>-0.0</v>
      </c>
      <c r="ILP55" s="5">
        <f>-IFERROR('4. NPV'!ILQ24/'4. NPV'!ILQ$8,0)</f>
        <v>-0.0</v>
      </c>
      <c r="ILQ55" s="5">
        <f>-IFERROR('4. NPV'!ILR24/'4. NPV'!ILR$8,0)</f>
        <v>-0.0</v>
      </c>
      <c r="ILR55" s="5">
        <f>-IFERROR('4. NPV'!ILS24/'4. NPV'!ILS$8,0)</f>
        <v>-0.0</v>
      </c>
      <c r="ILS55" s="5">
        <f>-IFERROR('4. NPV'!ILT24/'4. NPV'!ILT$8,0)</f>
        <v>-0.0</v>
      </c>
      <c r="ILT55" s="5">
        <f>-IFERROR('4. NPV'!ILU24/'4. NPV'!ILU$8,0)</f>
        <v>-0.0</v>
      </c>
      <c r="ILU55" s="5">
        <f>-IFERROR('4. NPV'!ILV24/'4. NPV'!ILV$8,0)</f>
        <v>-0.0</v>
      </c>
      <c r="ILV55" s="5">
        <f>-IFERROR('4. NPV'!ILW24/'4. NPV'!ILW$8,0)</f>
        <v>-0.0</v>
      </c>
      <c r="ILW55" s="5">
        <f>-IFERROR('4. NPV'!ILX24/'4. NPV'!ILX$8,0)</f>
        <v>-0.0</v>
      </c>
      <c r="ILX55" s="5">
        <f>-IFERROR('4. NPV'!ILY24/'4. NPV'!ILY$8,0)</f>
        <v>-0.0</v>
      </c>
      <c r="ILY55" s="5">
        <f>-IFERROR('4. NPV'!ILZ24/'4. NPV'!ILZ$8,0)</f>
        <v>-0.0</v>
      </c>
      <c r="ILZ55" s="5">
        <f>-IFERROR('4. NPV'!IMA24/'4. NPV'!IMA$8,0)</f>
        <v>-0.0</v>
      </c>
      <c r="IMA55" s="5">
        <f>-IFERROR('4. NPV'!IMB24/'4. NPV'!IMB$8,0)</f>
        <v>-0.0</v>
      </c>
      <c r="IMB55" s="5">
        <f>-IFERROR('4. NPV'!IMC24/'4. NPV'!IMC$8,0)</f>
        <v>-0.0</v>
      </c>
      <c r="IMC55" s="5">
        <f>-IFERROR('4. NPV'!IMD24/'4. NPV'!IMD$8,0)</f>
        <v>-0.0</v>
      </c>
      <c r="IMD55" s="5">
        <f>-IFERROR('4. NPV'!IME24/'4. NPV'!IME$8,0)</f>
        <v>-0.0</v>
      </c>
      <c r="IME55" s="5">
        <f>-IFERROR('4. NPV'!IMF24/'4. NPV'!IMF$8,0)</f>
        <v>-0.0</v>
      </c>
      <c r="IMF55" s="5">
        <f>-IFERROR('4. NPV'!IMG24/'4. NPV'!IMG$8,0)</f>
        <v>-0.0</v>
      </c>
      <c r="IMG55" s="5">
        <f>-IFERROR('4. NPV'!IMH24/'4. NPV'!IMH$8,0)</f>
        <v>-0.0</v>
      </c>
      <c r="IMH55" s="5">
        <f>-IFERROR('4. NPV'!IMI24/'4. NPV'!IMI$8,0)</f>
        <v>-0.0</v>
      </c>
      <c r="IMI55" s="5">
        <f>-IFERROR('4. NPV'!IMJ24/'4. NPV'!IMJ$8,0)</f>
        <v>-0.0</v>
      </c>
      <c r="IMJ55" s="5">
        <f>-IFERROR('4. NPV'!IMK24/'4. NPV'!IMK$8,0)</f>
        <v>-0.0</v>
      </c>
      <c r="IMK55" s="5">
        <f>-IFERROR('4. NPV'!IML24/'4. NPV'!IML$8,0)</f>
        <v>-0.0</v>
      </c>
      <c r="IML55" s="5">
        <f>-IFERROR('4. NPV'!IMM24/'4. NPV'!IMM$8,0)</f>
        <v>-0.0</v>
      </c>
      <c r="IMM55" s="5">
        <f>-IFERROR('4. NPV'!IMN24/'4. NPV'!IMN$8,0)</f>
        <v>-0.0</v>
      </c>
      <c r="IMN55" s="5">
        <f>-IFERROR('4. NPV'!IMO24/'4. NPV'!IMO$8,0)</f>
        <v>-0.0</v>
      </c>
      <c r="IMO55" s="5">
        <f>-IFERROR('4. NPV'!IMP24/'4. NPV'!IMP$8,0)</f>
        <v>-0.0</v>
      </c>
      <c r="IMP55" s="5">
        <f>-IFERROR('4. NPV'!IMQ24/'4. NPV'!IMQ$8,0)</f>
        <v>-0.0</v>
      </c>
      <c r="IMQ55" s="5">
        <f>-IFERROR('4. NPV'!IMR24/'4. NPV'!IMR$8,0)</f>
        <v>-0.0</v>
      </c>
      <c r="IMR55" s="5">
        <f>-IFERROR('4. NPV'!IMS24/'4. NPV'!IMS$8,0)</f>
        <v>-0.0</v>
      </c>
      <c r="IMS55" s="5">
        <f>-IFERROR('4. NPV'!IMT24/'4. NPV'!IMT$8,0)</f>
        <v>-0.0</v>
      </c>
      <c r="IMT55" s="5">
        <f>-IFERROR('4. NPV'!IMU24/'4. NPV'!IMU$8,0)</f>
        <v>-0.0</v>
      </c>
      <c r="IMU55" s="5">
        <f>-IFERROR('4. NPV'!IMV24/'4. NPV'!IMV$8,0)</f>
        <v>-0.0</v>
      </c>
      <c r="IMV55" s="5">
        <f>-IFERROR('4. NPV'!IMW24/'4. NPV'!IMW$8,0)</f>
        <v>-0.0</v>
      </c>
      <c r="IMW55" s="5">
        <f>-IFERROR('4. NPV'!IMX24/'4. NPV'!IMX$8,0)</f>
        <v>-0.0</v>
      </c>
      <c r="IMX55" s="5">
        <f>-IFERROR('4. NPV'!IMY24/'4. NPV'!IMY$8,0)</f>
        <v>-0.0</v>
      </c>
      <c r="IMY55" s="5">
        <f>-IFERROR('4. NPV'!IMZ24/'4. NPV'!IMZ$8,0)</f>
        <v>-0.0</v>
      </c>
      <c r="IMZ55" s="5">
        <f>-IFERROR('4. NPV'!INA24/'4. NPV'!INA$8,0)</f>
        <v>-0.0</v>
      </c>
      <c r="INA55" s="5">
        <f>-IFERROR('4. NPV'!INB24/'4. NPV'!INB$8,0)</f>
        <v>-0.0</v>
      </c>
      <c r="INB55" s="5">
        <f>-IFERROR('4. NPV'!INC24/'4. NPV'!INC$8,0)</f>
        <v>-0.0</v>
      </c>
      <c r="INC55" s="5">
        <f>-IFERROR('4. NPV'!IND24/'4. NPV'!IND$8,0)</f>
        <v>-0.0</v>
      </c>
      <c r="IND55" s="5">
        <f>-IFERROR('4. NPV'!INE24/'4. NPV'!INE$8,0)</f>
        <v>-0.0</v>
      </c>
      <c r="INE55" s="5">
        <f>-IFERROR('4. NPV'!INF24/'4. NPV'!INF$8,0)</f>
        <v>-0.0</v>
      </c>
      <c r="INF55" s="5">
        <f>-IFERROR('4. NPV'!ING24/'4. NPV'!ING$8,0)</f>
        <v>-0.0</v>
      </c>
      <c r="ING55" s="5">
        <f>-IFERROR('4. NPV'!INH24/'4. NPV'!INH$8,0)</f>
        <v>-0.0</v>
      </c>
      <c r="INH55" s="5">
        <f>-IFERROR('4. NPV'!INI24/'4. NPV'!INI$8,0)</f>
        <v>-0.0</v>
      </c>
      <c r="INI55" s="5">
        <f>-IFERROR('4. NPV'!INJ24/'4. NPV'!INJ$8,0)</f>
        <v>-0.0</v>
      </c>
      <c r="INJ55" s="5">
        <f>-IFERROR('4. NPV'!INK24/'4. NPV'!INK$8,0)</f>
        <v>-0.0</v>
      </c>
      <c r="INK55" s="5">
        <f>-IFERROR('4. NPV'!INL24/'4. NPV'!INL$8,0)</f>
        <v>-0.0</v>
      </c>
      <c r="INL55" s="5">
        <f>-IFERROR('4. NPV'!INM24/'4. NPV'!INM$8,0)</f>
        <v>-0.0</v>
      </c>
      <c r="INM55" s="5">
        <f>-IFERROR('4. NPV'!INN24/'4. NPV'!INN$8,0)</f>
        <v>-0.0</v>
      </c>
      <c r="INN55" s="5">
        <f>-IFERROR('4. NPV'!INO24/'4. NPV'!INO$8,0)</f>
        <v>-0.0</v>
      </c>
      <c r="INO55" s="5">
        <f>-IFERROR('4. NPV'!INP24/'4. NPV'!INP$8,0)</f>
        <v>-0.0</v>
      </c>
      <c r="INP55" s="5">
        <f>-IFERROR('4. NPV'!INQ24/'4. NPV'!INQ$8,0)</f>
        <v>-0.0</v>
      </c>
      <c r="INQ55" s="5">
        <f>-IFERROR('4. NPV'!INR24/'4. NPV'!INR$8,0)</f>
        <v>-0.0</v>
      </c>
      <c r="INR55" s="5">
        <f>-IFERROR('4. NPV'!INS24/'4. NPV'!INS$8,0)</f>
        <v>-0.0</v>
      </c>
      <c r="INS55" s="5">
        <f>-IFERROR('4. NPV'!INT24/'4. NPV'!INT$8,0)</f>
        <v>-0.0</v>
      </c>
      <c r="INT55" s="5">
        <f>-IFERROR('4. NPV'!INU24/'4. NPV'!INU$8,0)</f>
        <v>-0.0</v>
      </c>
      <c r="INU55" s="5">
        <f>-IFERROR('4. NPV'!INV24/'4. NPV'!INV$8,0)</f>
        <v>-0.0</v>
      </c>
      <c r="INV55" s="5">
        <f>-IFERROR('4. NPV'!INW24/'4. NPV'!INW$8,0)</f>
        <v>-0.0</v>
      </c>
      <c r="INW55" s="5">
        <f>-IFERROR('4. NPV'!INX24/'4. NPV'!INX$8,0)</f>
        <v>-0.0</v>
      </c>
      <c r="INX55" s="5">
        <f>-IFERROR('4. NPV'!INY24/'4. NPV'!INY$8,0)</f>
        <v>-0.0</v>
      </c>
      <c r="INY55" s="5">
        <f>-IFERROR('4. NPV'!INZ24/'4. NPV'!INZ$8,0)</f>
        <v>-0.0</v>
      </c>
      <c r="INZ55" s="5">
        <f>-IFERROR('4. NPV'!IOA24/'4. NPV'!IOA$8,0)</f>
        <v>-0.0</v>
      </c>
      <c r="IOA55" s="5">
        <f>-IFERROR('4. NPV'!IOB24/'4. NPV'!IOB$8,0)</f>
        <v>-0.0</v>
      </c>
      <c r="IOB55" s="5">
        <f>-IFERROR('4. NPV'!IOC24/'4. NPV'!IOC$8,0)</f>
        <v>-0.0</v>
      </c>
      <c r="IOC55" s="5">
        <f>-IFERROR('4. NPV'!IOD24/'4. NPV'!IOD$8,0)</f>
        <v>-0.0</v>
      </c>
      <c r="IOD55" s="5">
        <f>-IFERROR('4. NPV'!IOE24/'4. NPV'!IOE$8,0)</f>
        <v>-0.0</v>
      </c>
      <c r="IOE55" s="5">
        <f>-IFERROR('4. NPV'!IOF24/'4. NPV'!IOF$8,0)</f>
        <v>-0.0</v>
      </c>
      <c r="IOF55" s="5">
        <f>-IFERROR('4. NPV'!IOG24/'4. NPV'!IOG$8,0)</f>
        <v>-0.0</v>
      </c>
      <c r="IOG55" s="5">
        <f>-IFERROR('4. NPV'!IOH24/'4. NPV'!IOH$8,0)</f>
        <v>-0.0</v>
      </c>
      <c r="IOH55" s="5">
        <f>-IFERROR('4. NPV'!IOI24/'4. NPV'!IOI$8,0)</f>
        <v>-0.0</v>
      </c>
      <c r="IOI55" s="5">
        <f>-IFERROR('4. NPV'!IOJ24/'4. NPV'!IOJ$8,0)</f>
        <v>-0.0</v>
      </c>
      <c r="IOJ55" s="5">
        <f>-IFERROR('4. NPV'!IOK24/'4. NPV'!IOK$8,0)</f>
        <v>-0.0</v>
      </c>
      <c r="IOK55" s="5">
        <f>-IFERROR('4. NPV'!IOL24/'4. NPV'!IOL$8,0)</f>
        <v>-0.0</v>
      </c>
      <c r="IOL55" s="5">
        <f>-IFERROR('4. NPV'!IOM24/'4. NPV'!IOM$8,0)</f>
        <v>-0.0</v>
      </c>
      <c r="IOM55" s="5">
        <f>-IFERROR('4. NPV'!ION24/'4. NPV'!ION$8,0)</f>
        <v>-0.0</v>
      </c>
      <c r="ION55" s="5">
        <f>-IFERROR('4. NPV'!IOO24/'4. NPV'!IOO$8,0)</f>
        <v>-0.0</v>
      </c>
      <c r="IOO55" s="5">
        <f>-IFERROR('4. NPV'!IOP24/'4. NPV'!IOP$8,0)</f>
        <v>-0.0</v>
      </c>
      <c r="IOP55" s="5">
        <f>-IFERROR('4. NPV'!IOQ24/'4. NPV'!IOQ$8,0)</f>
        <v>-0.0</v>
      </c>
      <c r="IOQ55" s="5">
        <f>-IFERROR('4. NPV'!IOR24/'4. NPV'!IOR$8,0)</f>
        <v>-0.0</v>
      </c>
      <c r="IOR55" s="5">
        <f>-IFERROR('4. NPV'!IOS24/'4. NPV'!IOS$8,0)</f>
        <v>-0.0</v>
      </c>
      <c r="IOS55" s="5">
        <f>-IFERROR('4. NPV'!IOT24/'4. NPV'!IOT$8,0)</f>
        <v>-0.0</v>
      </c>
      <c r="IOT55" s="5">
        <f>-IFERROR('4. NPV'!IOU24/'4. NPV'!IOU$8,0)</f>
        <v>-0.0</v>
      </c>
      <c r="IOU55" s="5">
        <f>-IFERROR('4. NPV'!IOV24/'4. NPV'!IOV$8,0)</f>
        <v>-0.0</v>
      </c>
      <c r="IOV55" s="5">
        <f>-IFERROR('4. NPV'!IOW24/'4. NPV'!IOW$8,0)</f>
        <v>-0.0</v>
      </c>
      <c r="IOW55" s="5">
        <f>-IFERROR('4. NPV'!IOX24/'4. NPV'!IOX$8,0)</f>
        <v>-0.0</v>
      </c>
      <c r="IOX55" s="5">
        <f>-IFERROR('4. NPV'!IOY24/'4. NPV'!IOY$8,0)</f>
        <v>-0.0</v>
      </c>
      <c r="IOY55" s="5">
        <f>-IFERROR('4. NPV'!IOZ24/'4. NPV'!IOZ$8,0)</f>
        <v>-0.0</v>
      </c>
      <c r="IOZ55" s="5">
        <f>-IFERROR('4. NPV'!IPA24/'4. NPV'!IPA$8,0)</f>
        <v>-0.0</v>
      </c>
      <c r="IPA55" s="5">
        <f>-IFERROR('4. NPV'!IPB24/'4. NPV'!IPB$8,0)</f>
        <v>-0.0</v>
      </c>
      <c r="IPB55" s="5">
        <f>-IFERROR('4. NPV'!IPC24/'4. NPV'!IPC$8,0)</f>
        <v>-0.0</v>
      </c>
      <c r="IPC55" s="5">
        <f>-IFERROR('4. NPV'!IPD24/'4. NPV'!IPD$8,0)</f>
        <v>-0.0</v>
      </c>
      <c r="IPD55" s="5">
        <f>-IFERROR('4. NPV'!IPE24/'4. NPV'!IPE$8,0)</f>
        <v>-0.0</v>
      </c>
      <c r="IPE55" s="5">
        <f>-IFERROR('4. NPV'!IPF24/'4. NPV'!IPF$8,0)</f>
        <v>-0.0</v>
      </c>
      <c r="IPF55" s="5">
        <f>-IFERROR('4. NPV'!IPG24/'4. NPV'!IPG$8,0)</f>
        <v>-0.0</v>
      </c>
      <c r="IPG55" s="5">
        <f>-IFERROR('4. NPV'!IPH24/'4. NPV'!IPH$8,0)</f>
        <v>-0.0</v>
      </c>
      <c r="IPH55" s="5">
        <f>-IFERROR('4. NPV'!IPI24/'4. NPV'!IPI$8,0)</f>
        <v>-0.0</v>
      </c>
      <c r="IPI55" s="5">
        <f>-IFERROR('4. NPV'!IPJ24/'4. NPV'!IPJ$8,0)</f>
        <v>-0.0</v>
      </c>
      <c r="IPJ55" s="5">
        <f>-IFERROR('4. NPV'!IPK24/'4. NPV'!IPK$8,0)</f>
        <v>-0.0</v>
      </c>
      <c r="IPK55" s="5">
        <f>-IFERROR('4. NPV'!IPL24/'4. NPV'!IPL$8,0)</f>
        <v>-0.0</v>
      </c>
      <c r="IPL55" s="5">
        <f>-IFERROR('4. NPV'!IPM24/'4. NPV'!IPM$8,0)</f>
        <v>-0.0</v>
      </c>
      <c r="IPM55" s="5">
        <f>-IFERROR('4. NPV'!IPN24/'4. NPV'!IPN$8,0)</f>
        <v>-0.0</v>
      </c>
      <c r="IPN55" s="5">
        <f>-IFERROR('4. NPV'!IPO24/'4. NPV'!IPO$8,0)</f>
        <v>-0.0</v>
      </c>
      <c r="IPO55" s="5">
        <f>-IFERROR('4. NPV'!IPP24/'4. NPV'!IPP$8,0)</f>
        <v>-0.0</v>
      </c>
      <c r="IPP55" s="5">
        <f>-IFERROR('4. NPV'!IPQ24/'4. NPV'!IPQ$8,0)</f>
        <v>-0.0</v>
      </c>
      <c r="IPQ55" s="5">
        <f>-IFERROR('4. NPV'!IPR24/'4. NPV'!IPR$8,0)</f>
        <v>-0.0</v>
      </c>
      <c r="IPR55" s="5">
        <f>-IFERROR('4. NPV'!IPS24/'4. NPV'!IPS$8,0)</f>
        <v>-0.0</v>
      </c>
      <c r="IPS55" s="5">
        <f>-IFERROR('4. NPV'!IPT24/'4. NPV'!IPT$8,0)</f>
        <v>-0.0</v>
      </c>
      <c r="IPT55" s="5">
        <f>-IFERROR('4. NPV'!IPU24/'4. NPV'!IPU$8,0)</f>
        <v>-0.0</v>
      </c>
      <c r="IPU55" s="5">
        <f>-IFERROR('4. NPV'!IPV24/'4. NPV'!IPV$8,0)</f>
        <v>-0.0</v>
      </c>
      <c r="IPV55" s="5">
        <f>-IFERROR('4. NPV'!IPW24/'4. NPV'!IPW$8,0)</f>
        <v>-0.0</v>
      </c>
      <c r="IPW55" s="5">
        <f>-IFERROR('4. NPV'!IPX24/'4. NPV'!IPX$8,0)</f>
        <v>-0.0</v>
      </c>
      <c r="IPX55" s="5">
        <f>-IFERROR('4. NPV'!IPY24/'4. NPV'!IPY$8,0)</f>
        <v>-0.0</v>
      </c>
      <c r="IPY55" s="5">
        <f>-IFERROR('4. NPV'!IPZ24/'4. NPV'!IPZ$8,0)</f>
        <v>-0.0</v>
      </c>
      <c r="IPZ55" s="5">
        <f>-IFERROR('4. NPV'!IQA24/'4. NPV'!IQA$8,0)</f>
        <v>-0.0</v>
      </c>
      <c r="IQA55" s="5">
        <f>-IFERROR('4. NPV'!IQB24/'4. NPV'!IQB$8,0)</f>
        <v>-0.0</v>
      </c>
      <c r="IQB55" s="5">
        <f>-IFERROR('4. NPV'!IQC24/'4. NPV'!IQC$8,0)</f>
        <v>-0.0</v>
      </c>
      <c r="IQC55" s="5">
        <f>-IFERROR('4. NPV'!IQD24/'4. NPV'!IQD$8,0)</f>
        <v>-0.0</v>
      </c>
      <c r="IQD55" s="5">
        <f>-IFERROR('4. NPV'!IQE24/'4. NPV'!IQE$8,0)</f>
        <v>-0.0</v>
      </c>
      <c r="IQE55" s="5">
        <f>-IFERROR('4. NPV'!IQF24/'4. NPV'!IQF$8,0)</f>
        <v>-0.0</v>
      </c>
      <c r="IQF55" s="5">
        <f>-IFERROR('4. NPV'!IQG24/'4. NPV'!IQG$8,0)</f>
        <v>-0.0</v>
      </c>
      <c r="IQG55" s="5">
        <f>-IFERROR('4. NPV'!IQH24/'4. NPV'!IQH$8,0)</f>
        <v>-0.0</v>
      </c>
      <c r="IQH55" s="5">
        <f>-IFERROR('4. NPV'!IQI24/'4. NPV'!IQI$8,0)</f>
        <v>-0.0</v>
      </c>
      <c r="IQI55" s="5">
        <f>-IFERROR('4. NPV'!IQJ24/'4. NPV'!IQJ$8,0)</f>
        <v>-0.0</v>
      </c>
      <c r="IQJ55" s="5">
        <f>-IFERROR('4. NPV'!IQK24/'4. NPV'!IQK$8,0)</f>
        <v>-0.0</v>
      </c>
      <c r="IQK55" s="5">
        <f>-IFERROR('4. NPV'!IQL24/'4. NPV'!IQL$8,0)</f>
        <v>-0.0</v>
      </c>
      <c r="IQL55" s="5">
        <f>-IFERROR('4. NPV'!IQM24/'4. NPV'!IQM$8,0)</f>
        <v>-0.0</v>
      </c>
      <c r="IQM55" s="5">
        <f>-IFERROR('4. NPV'!IQN24/'4. NPV'!IQN$8,0)</f>
        <v>-0.0</v>
      </c>
      <c r="IQN55" s="5">
        <f>-IFERROR('4. NPV'!IQO24/'4. NPV'!IQO$8,0)</f>
        <v>-0.0</v>
      </c>
      <c r="IQO55" s="5">
        <f>-IFERROR('4. NPV'!IQP24/'4. NPV'!IQP$8,0)</f>
        <v>-0.0</v>
      </c>
      <c r="IQP55" s="5">
        <f>-IFERROR('4. NPV'!IQQ24/'4. NPV'!IQQ$8,0)</f>
        <v>-0.0</v>
      </c>
      <c r="IQQ55" s="5">
        <f>-IFERROR('4. NPV'!IQR24/'4. NPV'!IQR$8,0)</f>
        <v>-0.0</v>
      </c>
      <c r="IQR55" s="5">
        <f>-IFERROR('4. NPV'!IQS24/'4. NPV'!IQS$8,0)</f>
        <v>-0.0</v>
      </c>
      <c r="IQS55" s="5">
        <f>-IFERROR('4. NPV'!IQT24/'4. NPV'!IQT$8,0)</f>
        <v>-0.0</v>
      </c>
      <c r="IQT55" s="5">
        <f>-IFERROR('4. NPV'!IQU24/'4. NPV'!IQU$8,0)</f>
        <v>-0.0</v>
      </c>
      <c r="IQU55" s="5">
        <f>-IFERROR('4. NPV'!IQV24/'4. NPV'!IQV$8,0)</f>
        <v>-0.0</v>
      </c>
      <c r="IQV55" s="5">
        <f>-IFERROR('4. NPV'!IQW24/'4. NPV'!IQW$8,0)</f>
        <v>-0.0</v>
      </c>
      <c r="IQW55" s="5">
        <f>-IFERROR('4. NPV'!IQX24/'4. NPV'!IQX$8,0)</f>
        <v>-0.0</v>
      </c>
      <c r="IQX55" s="5">
        <f>-IFERROR('4. NPV'!IQY24/'4. NPV'!IQY$8,0)</f>
        <v>-0.0</v>
      </c>
      <c r="IQY55" s="5">
        <f>-IFERROR('4. NPV'!IQZ24/'4. NPV'!IQZ$8,0)</f>
        <v>-0.0</v>
      </c>
      <c r="IQZ55" s="5">
        <f>-IFERROR('4. NPV'!IRA24/'4. NPV'!IRA$8,0)</f>
        <v>-0.0</v>
      </c>
      <c r="IRA55" s="5">
        <f>-IFERROR('4. NPV'!IRB24/'4. NPV'!IRB$8,0)</f>
        <v>-0.0</v>
      </c>
      <c r="IRB55" s="5">
        <f>-IFERROR('4. NPV'!IRC24/'4. NPV'!IRC$8,0)</f>
        <v>-0.0</v>
      </c>
      <c r="IRC55" s="5">
        <f>-IFERROR('4. NPV'!IRD24/'4. NPV'!IRD$8,0)</f>
        <v>-0.0</v>
      </c>
      <c r="IRD55" s="5">
        <f>-IFERROR('4. NPV'!IRE24/'4. NPV'!IRE$8,0)</f>
        <v>-0.0</v>
      </c>
      <c r="IRE55" s="5">
        <f>-IFERROR('4. NPV'!IRF24/'4. NPV'!IRF$8,0)</f>
        <v>-0.0</v>
      </c>
      <c r="IRF55" s="5">
        <f>-IFERROR('4. NPV'!IRG24/'4. NPV'!IRG$8,0)</f>
        <v>-0.0</v>
      </c>
      <c r="IRG55" s="5">
        <f>-IFERROR('4. NPV'!IRH24/'4. NPV'!IRH$8,0)</f>
        <v>-0.0</v>
      </c>
      <c r="IRH55" s="5">
        <f>-IFERROR('4. NPV'!IRI24/'4. NPV'!IRI$8,0)</f>
        <v>-0.0</v>
      </c>
      <c r="IRI55" s="5">
        <f>-IFERROR('4. NPV'!IRJ24/'4. NPV'!IRJ$8,0)</f>
        <v>-0.0</v>
      </c>
      <c r="IRJ55" s="5">
        <f>-IFERROR('4. NPV'!IRK24/'4. NPV'!IRK$8,0)</f>
        <v>-0.0</v>
      </c>
      <c r="IRK55" s="5">
        <f>-IFERROR('4. NPV'!IRL24/'4. NPV'!IRL$8,0)</f>
        <v>-0.0</v>
      </c>
      <c r="IRL55" s="5">
        <f>-IFERROR('4. NPV'!IRM24/'4. NPV'!IRM$8,0)</f>
        <v>-0.0</v>
      </c>
      <c r="IRM55" s="5">
        <f>-IFERROR('4. NPV'!IRN24/'4. NPV'!IRN$8,0)</f>
        <v>-0.0</v>
      </c>
      <c r="IRN55" s="5">
        <f>-IFERROR('4. NPV'!IRO24/'4. NPV'!IRO$8,0)</f>
        <v>-0.0</v>
      </c>
      <c r="IRO55" s="5">
        <f>-IFERROR('4. NPV'!IRP24/'4. NPV'!IRP$8,0)</f>
        <v>-0.0</v>
      </c>
      <c r="IRP55" s="5">
        <f>-IFERROR('4. NPV'!IRQ24/'4. NPV'!IRQ$8,0)</f>
        <v>-0.0</v>
      </c>
      <c r="IRQ55" s="5">
        <f>-IFERROR('4. NPV'!IRR24/'4. NPV'!IRR$8,0)</f>
        <v>-0.0</v>
      </c>
      <c r="IRR55" s="5">
        <f>-IFERROR('4. NPV'!IRS24/'4. NPV'!IRS$8,0)</f>
        <v>-0.0</v>
      </c>
      <c r="IRS55" s="5">
        <f>-IFERROR('4. NPV'!IRT24/'4. NPV'!IRT$8,0)</f>
        <v>-0.0</v>
      </c>
      <c r="IRT55" s="5">
        <f>-IFERROR('4. NPV'!IRU24/'4. NPV'!IRU$8,0)</f>
        <v>-0.0</v>
      </c>
      <c r="IRU55" s="5">
        <f>-IFERROR('4. NPV'!IRV24/'4. NPV'!IRV$8,0)</f>
        <v>-0.0</v>
      </c>
      <c r="IRV55" s="5">
        <f>-IFERROR('4. NPV'!IRW24/'4. NPV'!IRW$8,0)</f>
        <v>-0.0</v>
      </c>
      <c r="IRW55" s="5">
        <f>-IFERROR('4. NPV'!IRX24/'4. NPV'!IRX$8,0)</f>
        <v>-0.0</v>
      </c>
      <c r="IRX55" s="5">
        <f>-IFERROR('4. NPV'!IRY24/'4. NPV'!IRY$8,0)</f>
        <v>-0.0</v>
      </c>
      <c r="IRY55" s="5">
        <f>-IFERROR('4. NPV'!IRZ24/'4. NPV'!IRZ$8,0)</f>
        <v>-0.0</v>
      </c>
      <c r="IRZ55" s="5">
        <f>-IFERROR('4. NPV'!ISA24/'4. NPV'!ISA$8,0)</f>
        <v>-0.0</v>
      </c>
      <c r="ISA55" s="5">
        <f>-IFERROR('4. NPV'!ISB24/'4. NPV'!ISB$8,0)</f>
        <v>-0.0</v>
      </c>
      <c r="ISB55" s="5">
        <f>-IFERROR('4. NPV'!ISC24/'4. NPV'!ISC$8,0)</f>
        <v>-0.0</v>
      </c>
      <c r="ISC55" s="5">
        <f>-IFERROR('4. NPV'!ISD24/'4. NPV'!ISD$8,0)</f>
        <v>-0.0</v>
      </c>
      <c r="ISD55" s="5">
        <f>-IFERROR('4. NPV'!ISE24/'4. NPV'!ISE$8,0)</f>
        <v>-0.0</v>
      </c>
      <c r="ISE55" s="5">
        <f>-IFERROR('4. NPV'!ISF24/'4. NPV'!ISF$8,0)</f>
        <v>-0.0</v>
      </c>
      <c r="ISF55" s="5">
        <f>-IFERROR('4. NPV'!ISG24/'4. NPV'!ISG$8,0)</f>
        <v>-0.0</v>
      </c>
      <c r="ISG55" s="5">
        <f>-IFERROR('4. NPV'!ISH24/'4. NPV'!ISH$8,0)</f>
        <v>-0.0</v>
      </c>
      <c r="ISH55" s="5">
        <f>-IFERROR('4. NPV'!ISI24/'4. NPV'!ISI$8,0)</f>
        <v>-0.0</v>
      </c>
      <c r="ISI55" s="5">
        <f>-IFERROR('4. NPV'!ISJ24/'4. NPV'!ISJ$8,0)</f>
        <v>-0.0</v>
      </c>
      <c r="ISJ55" s="5">
        <f>-IFERROR('4. NPV'!ISK24/'4. NPV'!ISK$8,0)</f>
        <v>-0.0</v>
      </c>
      <c r="ISK55" s="5">
        <f>-IFERROR('4. NPV'!ISL24/'4. NPV'!ISL$8,0)</f>
        <v>-0.0</v>
      </c>
      <c r="ISL55" s="5">
        <f>-IFERROR('4. NPV'!ISM24/'4. NPV'!ISM$8,0)</f>
        <v>-0.0</v>
      </c>
      <c r="ISM55" s="5">
        <f>-IFERROR('4. NPV'!ISN24/'4. NPV'!ISN$8,0)</f>
        <v>-0.0</v>
      </c>
      <c r="ISN55" s="5">
        <f>-IFERROR('4. NPV'!ISO24/'4. NPV'!ISO$8,0)</f>
        <v>-0.0</v>
      </c>
      <c r="ISO55" s="5">
        <f>-IFERROR('4. NPV'!ISP24/'4. NPV'!ISP$8,0)</f>
        <v>-0.0</v>
      </c>
      <c r="ISP55" s="5">
        <f>-IFERROR('4. NPV'!ISQ24/'4. NPV'!ISQ$8,0)</f>
        <v>-0.0</v>
      </c>
      <c r="ISQ55" s="5">
        <f>-IFERROR('4. NPV'!ISR24/'4. NPV'!ISR$8,0)</f>
        <v>-0.0</v>
      </c>
      <c r="ISR55" s="5">
        <f>-IFERROR('4. NPV'!ISS24/'4. NPV'!ISS$8,0)</f>
        <v>-0.0</v>
      </c>
      <c r="ISS55" s="5">
        <f>-IFERROR('4. NPV'!IST24/'4. NPV'!IST$8,0)</f>
        <v>-0.0</v>
      </c>
      <c r="IST55" s="5">
        <f>-IFERROR('4. NPV'!ISU24/'4. NPV'!ISU$8,0)</f>
        <v>-0.0</v>
      </c>
      <c r="ISU55" s="5">
        <f>-IFERROR('4. NPV'!ISV24/'4. NPV'!ISV$8,0)</f>
        <v>-0.0</v>
      </c>
      <c r="ISV55" s="5">
        <f>-IFERROR('4. NPV'!ISW24/'4. NPV'!ISW$8,0)</f>
        <v>-0.0</v>
      </c>
      <c r="ISW55" s="5">
        <f>-IFERROR('4. NPV'!ISX24/'4. NPV'!ISX$8,0)</f>
        <v>-0.0</v>
      </c>
      <c r="ISX55" s="5">
        <f>-IFERROR('4. NPV'!ISY24/'4. NPV'!ISY$8,0)</f>
        <v>-0.0</v>
      </c>
      <c r="ISY55" s="5">
        <f>-IFERROR('4. NPV'!ISZ24/'4. NPV'!ISZ$8,0)</f>
        <v>-0.0</v>
      </c>
      <c r="ISZ55" s="5">
        <f>-IFERROR('4. NPV'!ITA24/'4. NPV'!ITA$8,0)</f>
        <v>-0.0</v>
      </c>
      <c r="ITA55" s="5">
        <f>-IFERROR('4. NPV'!ITB24/'4. NPV'!ITB$8,0)</f>
        <v>-0.0</v>
      </c>
      <c r="ITB55" s="5">
        <f>-IFERROR('4. NPV'!ITC24/'4. NPV'!ITC$8,0)</f>
        <v>-0.0</v>
      </c>
      <c r="ITC55" s="5">
        <f>-IFERROR('4. NPV'!ITD24/'4. NPV'!ITD$8,0)</f>
        <v>-0.0</v>
      </c>
      <c r="ITD55" s="5">
        <f>-IFERROR('4. NPV'!ITE24/'4. NPV'!ITE$8,0)</f>
        <v>-0.0</v>
      </c>
      <c r="ITE55" s="5">
        <f>-IFERROR('4. NPV'!ITF24/'4. NPV'!ITF$8,0)</f>
        <v>-0.0</v>
      </c>
      <c r="ITF55" s="5">
        <f>-IFERROR('4. NPV'!ITG24/'4. NPV'!ITG$8,0)</f>
        <v>-0.0</v>
      </c>
      <c r="ITG55" s="5">
        <f>-IFERROR('4. NPV'!ITH24/'4. NPV'!ITH$8,0)</f>
        <v>-0.0</v>
      </c>
      <c r="ITH55" s="5">
        <f>-IFERROR('4. NPV'!ITI24/'4. NPV'!ITI$8,0)</f>
        <v>-0.0</v>
      </c>
      <c r="ITI55" s="5">
        <f>-IFERROR('4. NPV'!ITJ24/'4. NPV'!ITJ$8,0)</f>
        <v>-0.0</v>
      </c>
      <c r="ITJ55" s="5">
        <f>-IFERROR('4. NPV'!ITK24/'4. NPV'!ITK$8,0)</f>
        <v>-0.0</v>
      </c>
      <c r="ITK55" s="5">
        <f>-IFERROR('4. NPV'!ITL24/'4. NPV'!ITL$8,0)</f>
        <v>-0.0</v>
      </c>
      <c r="ITL55" s="5">
        <f>-IFERROR('4. NPV'!ITM24/'4. NPV'!ITM$8,0)</f>
        <v>-0.0</v>
      </c>
      <c r="ITM55" s="5">
        <f>-IFERROR('4. NPV'!ITN24/'4. NPV'!ITN$8,0)</f>
        <v>-0.0</v>
      </c>
      <c r="ITN55" s="5">
        <f>-IFERROR('4. NPV'!ITO24/'4. NPV'!ITO$8,0)</f>
        <v>-0.0</v>
      </c>
      <c r="ITO55" s="5">
        <f>-IFERROR('4. NPV'!ITP24/'4. NPV'!ITP$8,0)</f>
        <v>-0.0</v>
      </c>
      <c r="ITP55" s="5">
        <f>-IFERROR('4. NPV'!ITQ24/'4. NPV'!ITQ$8,0)</f>
        <v>-0.0</v>
      </c>
      <c r="ITQ55" s="5">
        <f>-IFERROR('4. NPV'!ITR24/'4. NPV'!ITR$8,0)</f>
        <v>-0.0</v>
      </c>
      <c r="ITR55" s="5">
        <f>-IFERROR('4. NPV'!ITS24/'4. NPV'!ITS$8,0)</f>
        <v>-0.0</v>
      </c>
      <c r="ITS55" s="5">
        <f>-IFERROR('4. NPV'!ITT24/'4. NPV'!ITT$8,0)</f>
        <v>-0.0</v>
      </c>
      <c r="ITT55" s="5">
        <f>-IFERROR('4. NPV'!ITU24/'4. NPV'!ITU$8,0)</f>
        <v>-0.0</v>
      </c>
      <c r="ITU55" s="5">
        <f>-IFERROR('4. NPV'!ITV24/'4. NPV'!ITV$8,0)</f>
        <v>-0.0</v>
      </c>
      <c r="ITV55" s="5">
        <f>-IFERROR('4. NPV'!ITW24/'4. NPV'!ITW$8,0)</f>
        <v>-0.0</v>
      </c>
      <c r="ITW55" s="5">
        <f>-IFERROR('4. NPV'!ITX24/'4. NPV'!ITX$8,0)</f>
        <v>-0.0</v>
      </c>
      <c r="ITX55" s="5">
        <f>-IFERROR('4. NPV'!ITY24/'4. NPV'!ITY$8,0)</f>
        <v>-0.0</v>
      </c>
      <c r="ITY55" s="5">
        <f>-IFERROR('4. NPV'!ITZ24/'4. NPV'!ITZ$8,0)</f>
        <v>-0.0</v>
      </c>
      <c r="ITZ55" s="5">
        <f>-IFERROR('4. NPV'!IUA24/'4. NPV'!IUA$8,0)</f>
        <v>-0.0</v>
      </c>
      <c r="IUA55" s="5">
        <f>-IFERROR('4. NPV'!IUB24/'4. NPV'!IUB$8,0)</f>
        <v>-0.0</v>
      </c>
      <c r="IUB55" s="5">
        <f>-IFERROR('4. NPV'!IUC24/'4. NPV'!IUC$8,0)</f>
        <v>-0.0</v>
      </c>
      <c r="IUC55" s="5">
        <f>-IFERROR('4. NPV'!IUD24/'4. NPV'!IUD$8,0)</f>
        <v>-0.0</v>
      </c>
      <c r="IUD55" s="5">
        <f>-IFERROR('4. NPV'!IUE24/'4. NPV'!IUE$8,0)</f>
        <v>-0.0</v>
      </c>
      <c r="IUE55" s="5">
        <f>-IFERROR('4. NPV'!IUF24/'4. NPV'!IUF$8,0)</f>
        <v>-0.0</v>
      </c>
      <c r="IUF55" s="5">
        <f>-IFERROR('4. NPV'!IUG24/'4. NPV'!IUG$8,0)</f>
        <v>-0.0</v>
      </c>
      <c r="IUG55" s="5">
        <f>-IFERROR('4. NPV'!IUH24/'4. NPV'!IUH$8,0)</f>
        <v>-0.0</v>
      </c>
      <c r="IUH55" s="5">
        <f>-IFERROR('4. NPV'!IUI24/'4. NPV'!IUI$8,0)</f>
        <v>-0.0</v>
      </c>
      <c r="IUI55" s="5">
        <f>-IFERROR('4. NPV'!IUJ24/'4. NPV'!IUJ$8,0)</f>
        <v>-0.0</v>
      </c>
      <c r="IUJ55" s="5">
        <f>-IFERROR('4. NPV'!IUK24/'4. NPV'!IUK$8,0)</f>
        <v>-0.0</v>
      </c>
      <c r="IUK55" s="5">
        <f>-IFERROR('4. NPV'!IUL24/'4. NPV'!IUL$8,0)</f>
        <v>-0.0</v>
      </c>
      <c r="IUL55" s="5">
        <f>-IFERROR('4. NPV'!IUM24/'4. NPV'!IUM$8,0)</f>
        <v>-0.0</v>
      </c>
      <c r="IUM55" s="5">
        <f>-IFERROR('4. NPV'!IUN24/'4. NPV'!IUN$8,0)</f>
        <v>-0.0</v>
      </c>
      <c r="IUN55" s="5">
        <f>-IFERROR('4. NPV'!IUO24/'4. NPV'!IUO$8,0)</f>
        <v>-0.0</v>
      </c>
      <c r="IUO55" s="5">
        <f>-IFERROR('4. NPV'!IUP24/'4. NPV'!IUP$8,0)</f>
        <v>-0.0</v>
      </c>
      <c r="IUP55" s="5">
        <f>-IFERROR('4. NPV'!IUQ24/'4. NPV'!IUQ$8,0)</f>
        <v>-0.0</v>
      </c>
      <c r="IUQ55" s="5">
        <f>-IFERROR('4. NPV'!IUR24/'4. NPV'!IUR$8,0)</f>
        <v>-0.0</v>
      </c>
      <c r="IUR55" s="5">
        <f>-IFERROR('4. NPV'!IUS24/'4. NPV'!IUS$8,0)</f>
        <v>-0.0</v>
      </c>
      <c r="IUS55" s="5">
        <f>-IFERROR('4. NPV'!IUT24/'4. NPV'!IUT$8,0)</f>
        <v>-0.0</v>
      </c>
      <c r="IUT55" s="5">
        <f>-IFERROR('4. NPV'!IUU24/'4. NPV'!IUU$8,0)</f>
        <v>-0.0</v>
      </c>
      <c r="IUU55" s="5">
        <f>-IFERROR('4. NPV'!IUV24/'4. NPV'!IUV$8,0)</f>
        <v>-0.0</v>
      </c>
      <c r="IUV55" s="5">
        <f>-IFERROR('4. NPV'!IUW24/'4. NPV'!IUW$8,0)</f>
        <v>-0.0</v>
      </c>
      <c r="IUW55" s="5">
        <f>-IFERROR('4. NPV'!IUX24/'4. NPV'!IUX$8,0)</f>
        <v>-0.0</v>
      </c>
      <c r="IUX55" s="5">
        <f>-IFERROR('4. NPV'!IUY24/'4. NPV'!IUY$8,0)</f>
        <v>-0.0</v>
      </c>
      <c r="IUY55" s="5">
        <f>-IFERROR('4. NPV'!IUZ24/'4. NPV'!IUZ$8,0)</f>
        <v>-0.0</v>
      </c>
      <c r="IUZ55" s="5">
        <f>-IFERROR('4. NPV'!IVA24/'4. NPV'!IVA$8,0)</f>
        <v>-0.0</v>
      </c>
      <c r="IVA55" s="5">
        <f>-IFERROR('4. NPV'!IVB24/'4. NPV'!IVB$8,0)</f>
        <v>-0.0</v>
      </c>
      <c r="IVB55" s="5">
        <f>-IFERROR('4. NPV'!IVC24/'4. NPV'!IVC$8,0)</f>
        <v>-0.0</v>
      </c>
      <c r="IVC55" s="5">
        <f>-IFERROR('4. NPV'!IVD24/'4. NPV'!IVD$8,0)</f>
        <v>-0.0</v>
      </c>
      <c r="IVD55" s="5">
        <f>-IFERROR('4. NPV'!IVE24/'4. NPV'!IVE$8,0)</f>
        <v>-0.0</v>
      </c>
      <c r="IVE55" s="5">
        <f>-IFERROR('4. NPV'!IVF24/'4. NPV'!IVF$8,0)</f>
        <v>-0.0</v>
      </c>
      <c r="IVF55" s="5">
        <f>-IFERROR('4. NPV'!IVG24/'4. NPV'!IVG$8,0)</f>
        <v>-0.0</v>
      </c>
      <c r="IVG55" s="5">
        <f>-IFERROR('4. NPV'!IVH24/'4. NPV'!IVH$8,0)</f>
        <v>-0.0</v>
      </c>
      <c r="IVH55" s="5">
        <f>-IFERROR('4. NPV'!IVI24/'4. NPV'!IVI$8,0)</f>
        <v>-0.0</v>
      </c>
      <c r="IVI55" s="5">
        <f>-IFERROR('4. NPV'!IVJ24/'4. NPV'!IVJ$8,0)</f>
        <v>-0.0</v>
      </c>
      <c r="IVJ55" s="5">
        <f>-IFERROR('4. NPV'!IVK24/'4. NPV'!IVK$8,0)</f>
        <v>-0.0</v>
      </c>
      <c r="IVK55" s="5">
        <f>-IFERROR('4. NPV'!IVL24/'4. NPV'!IVL$8,0)</f>
        <v>-0.0</v>
      </c>
      <c r="IVL55" s="5">
        <f>-IFERROR('4. NPV'!IVM24/'4. NPV'!IVM$8,0)</f>
        <v>-0.0</v>
      </c>
      <c r="IVM55" s="5">
        <f>-IFERROR('4. NPV'!IVN24/'4. NPV'!IVN$8,0)</f>
        <v>-0.0</v>
      </c>
      <c r="IVN55" s="5">
        <f>-IFERROR('4. NPV'!IVO24/'4. NPV'!IVO$8,0)</f>
        <v>-0.0</v>
      </c>
      <c r="IVO55" s="5">
        <f>-IFERROR('4. NPV'!IVP24/'4. NPV'!IVP$8,0)</f>
        <v>-0.0</v>
      </c>
      <c r="IVP55" s="5">
        <f>-IFERROR('4. NPV'!IVQ24/'4. NPV'!IVQ$8,0)</f>
        <v>-0.0</v>
      </c>
      <c r="IVQ55" s="5">
        <f>-IFERROR('4. NPV'!IVR24/'4. NPV'!IVR$8,0)</f>
        <v>-0.0</v>
      </c>
      <c r="IVR55" s="5">
        <f>-IFERROR('4. NPV'!IVS24/'4. NPV'!IVS$8,0)</f>
        <v>-0.0</v>
      </c>
      <c r="IVS55" s="5">
        <f>-IFERROR('4. NPV'!IVT24/'4. NPV'!IVT$8,0)</f>
        <v>-0.0</v>
      </c>
      <c r="IVT55" s="5">
        <f>-IFERROR('4. NPV'!IVU24/'4. NPV'!IVU$8,0)</f>
        <v>-0.0</v>
      </c>
      <c r="IVU55" s="5">
        <f>-IFERROR('4. NPV'!IVV24/'4. NPV'!IVV$8,0)</f>
        <v>-0.0</v>
      </c>
      <c r="IVV55" s="5">
        <f>-IFERROR('4. NPV'!IVW24/'4. NPV'!IVW$8,0)</f>
        <v>-0.0</v>
      </c>
      <c r="IVW55" s="5">
        <f>-IFERROR('4. NPV'!IVX24/'4. NPV'!IVX$8,0)</f>
        <v>-0.0</v>
      </c>
      <c r="IVX55" s="5">
        <f>-IFERROR('4. NPV'!IVY24/'4. NPV'!IVY$8,0)</f>
        <v>-0.0</v>
      </c>
      <c r="IVY55" s="5">
        <f>-IFERROR('4. NPV'!IVZ24/'4. NPV'!IVZ$8,0)</f>
        <v>-0.0</v>
      </c>
      <c r="IVZ55" s="5">
        <f>-IFERROR('4. NPV'!IWA24/'4. NPV'!IWA$8,0)</f>
        <v>-0.0</v>
      </c>
      <c r="IWA55" s="5">
        <f>-IFERROR('4. NPV'!IWB24/'4. NPV'!IWB$8,0)</f>
        <v>-0.0</v>
      </c>
      <c r="IWB55" s="5">
        <f>-IFERROR('4. NPV'!IWC24/'4. NPV'!IWC$8,0)</f>
        <v>-0.0</v>
      </c>
      <c r="IWC55" s="5">
        <f>-IFERROR('4. NPV'!IWD24/'4. NPV'!IWD$8,0)</f>
        <v>-0.0</v>
      </c>
      <c r="IWD55" s="5">
        <f>-IFERROR('4. NPV'!IWE24/'4. NPV'!IWE$8,0)</f>
        <v>-0.0</v>
      </c>
      <c r="IWE55" s="5">
        <f>-IFERROR('4. NPV'!IWF24/'4. NPV'!IWF$8,0)</f>
        <v>-0.0</v>
      </c>
      <c r="IWF55" s="5">
        <f>-IFERROR('4. NPV'!IWG24/'4. NPV'!IWG$8,0)</f>
        <v>-0.0</v>
      </c>
      <c r="IWG55" s="5">
        <f>-IFERROR('4. NPV'!IWH24/'4. NPV'!IWH$8,0)</f>
        <v>-0.0</v>
      </c>
      <c r="IWH55" s="5">
        <f>-IFERROR('4. NPV'!IWI24/'4. NPV'!IWI$8,0)</f>
        <v>-0.0</v>
      </c>
      <c r="IWI55" s="5">
        <f>-IFERROR('4. NPV'!IWJ24/'4. NPV'!IWJ$8,0)</f>
        <v>-0.0</v>
      </c>
      <c r="IWJ55" s="5">
        <f>-IFERROR('4. NPV'!IWK24/'4. NPV'!IWK$8,0)</f>
        <v>-0.0</v>
      </c>
      <c r="IWK55" s="5">
        <f>-IFERROR('4. NPV'!IWL24/'4. NPV'!IWL$8,0)</f>
        <v>-0.0</v>
      </c>
      <c r="IWL55" s="5">
        <f>-IFERROR('4. NPV'!IWM24/'4. NPV'!IWM$8,0)</f>
        <v>-0.0</v>
      </c>
      <c r="IWM55" s="5">
        <f>-IFERROR('4. NPV'!IWN24/'4. NPV'!IWN$8,0)</f>
        <v>-0.0</v>
      </c>
      <c r="IWN55" s="5">
        <f>-IFERROR('4. NPV'!IWO24/'4. NPV'!IWO$8,0)</f>
        <v>-0.0</v>
      </c>
      <c r="IWO55" s="5">
        <f>-IFERROR('4. NPV'!IWP24/'4. NPV'!IWP$8,0)</f>
        <v>-0.0</v>
      </c>
      <c r="IWP55" s="5">
        <f>-IFERROR('4. NPV'!IWQ24/'4. NPV'!IWQ$8,0)</f>
        <v>-0.0</v>
      </c>
      <c r="IWQ55" s="5">
        <f>-IFERROR('4. NPV'!IWR24/'4. NPV'!IWR$8,0)</f>
        <v>-0.0</v>
      </c>
      <c r="IWR55" s="5">
        <f>-IFERROR('4. NPV'!IWS24/'4. NPV'!IWS$8,0)</f>
        <v>-0.0</v>
      </c>
      <c r="IWS55" s="5">
        <f>-IFERROR('4. NPV'!IWT24/'4. NPV'!IWT$8,0)</f>
        <v>-0.0</v>
      </c>
      <c r="IWT55" s="5">
        <f>-IFERROR('4. NPV'!IWU24/'4. NPV'!IWU$8,0)</f>
        <v>-0.0</v>
      </c>
      <c r="IWU55" s="5">
        <f>-IFERROR('4. NPV'!IWV24/'4. NPV'!IWV$8,0)</f>
        <v>-0.0</v>
      </c>
      <c r="IWV55" s="5">
        <f>-IFERROR('4. NPV'!IWW24/'4. NPV'!IWW$8,0)</f>
        <v>-0.0</v>
      </c>
      <c r="IWW55" s="5">
        <f>-IFERROR('4. NPV'!IWX24/'4. NPV'!IWX$8,0)</f>
        <v>-0.0</v>
      </c>
      <c r="IWX55" s="5">
        <f>-IFERROR('4. NPV'!IWY24/'4. NPV'!IWY$8,0)</f>
        <v>-0.0</v>
      </c>
      <c r="IWY55" s="5">
        <f>-IFERROR('4. NPV'!IWZ24/'4. NPV'!IWZ$8,0)</f>
        <v>-0.0</v>
      </c>
      <c r="IWZ55" s="5">
        <f>-IFERROR('4. NPV'!IXA24/'4. NPV'!IXA$8,0)</f>
        <v>-0.0</v>
      </c>
      <c r="IXA55" s="5">
        <f>-IFERROR('4. NPV'!IXB24/'4. NPV'!IXB$8,0)</f>
        <v>-0.0</v>
      </c>
      <c r="IXB55" s="5">
        <f>-IFERROR('4. NPV'!IXC24/'4. NPV'!IXC$8,0)</f>
        <v>-0.0</v>
      </c>
      <c r="IXC55" s="5">
        <f>-IFERROR('4. NPV'!IXD24/'4. NPV'!IXD$8,0)</f>
        <v>-0.0</v>
      </c>
      <c r="IXD55" s="5">
        <f>-IFERROR('4. NPV'!IXE24/'4. NPV'!IXE$8,0)</f>
        <v>-0.0</v>
      </c>
      <c r="IXE55" s="5">
        <f>-IFERROR('4. NPV'!IXF24/'4. NPV'!IXF$8,0)</f>
        <v>-0.0</v>
      </c>
      <c r="IXF55" s="5">
        <f>-IFERROR('4. NPV'!IXG24/'4. NPV'!IXG$8,0)</f>
        <v>-0.0</v>
      </c>
      <c r="IXG55" s="5">
        <f>-IFERROR('4. NPV'!IXH24/'4. NPV'!IXH$8,0)</f>
        <v>-0.0</v>
      </c>
      <c r="IXH55" s="5">
        <f>-IFERROR('4. NPV'!IXI24/'4. NPV'!IXI$8,0)</f>
        <v>-0.0</v>
      </c>
      <c r="IXI55" s="5">
        <f>-IFERROR('4. NPV'!IXJ24/'4. NPV'!IXJ$8,0)</f>
        <v>-0.0</v>
      </c>
      <c r="IXJ55" s="5">
        <f>-IFERROR('4. NPV'!IXK24/'4. NPV'!IXK$8,0)</f>
        <v>-0.0</v>
      </c>
      <c r="IXK55" s="5">
        <f>-IFERROR('4. NPV'!IXL24/'4. NPV'!IXL$8,0)</f>
        <v>-0.0</v>
      </c>
      <c r="IXL55" s="5">
        <f>-IFERROR('4. NPV'!IXM24/'4. NPV'!IXM$8,0)</f>
        <v>-0.0</v>
      </c>
      <c r="IXM55" s="5">
        <f>-IFERROR('4. NPV'!IXN24/'4. NPV'!IXN$8,0)</f>
        <v>-0.0</v>
      </c>
      <c r="IXN55" s="5">
        <f>-IFERROR('4. NPV'!IXO24/'4. NPV'!IXO$8,0)</f>
        <v>-0.0</v>
      </c>
      <c r="IXO55" s="5">
        <f>-IFERROR('4. NPV'!IXP24/'4. NPV'!IXP$8,0)</f>
        <v>-0.0</v>
      </c>
      <c r="IXP55" s="5">
        <f>-IFERROR('4. NPV'!IXQ24/'4. NPV'!IXQ$8,0)</f>
        <v>-0.0</v>
      </c>
      <c r="IXQ55" s="5">
        <f>-IFERROR('4. NPV'!IXR24/'4. NPV'!IXR$8,0)</f>
        <v>-0.0</v>
      </c>
      <c r="IXR55" s="5">
        <f>-IFERROR('4. NPV'!IXS24/'4. NPV'!IXS$8,0)</f>
        <v>-0.0</v>
      </c>
      <c r="IXS55" s="5">
        <f>-IFERROR('4. NPV'!IXT24/'4. NPV'!IXT$8,0)</f>
        <v>-0.0</v>
      </c>
      <c r="IXT55" s="5">
        <f>-IFERROR('4. NPV'!IXU24/'4. NPV'!IXU$8,0)</f>
        <v>-0.0</v>
      </c>
      <c r="IXU55" s="5">
        <f>-IFERROR('4. NPV'!IXV24/'4. NPV'!IXV$8,0)</f>
        <v>-0.0</v>
      </c>
      <c r="IXV55" s="5">
        <f>-IFERROR('4. NPV'!IXW24/'4. NPV'!IXW$8,0)</f>
        <v>-0.0</v>
      </c>
      <c r="IXW55" s="5">
        <f>-IFERROR('4. NPV'!IXX24/'4. NPV'!IXX$8,0)</f>
        <v>-0.0</v>
      </c>
      <c r="IXX55" s="5">
        <f>-IFERROR('4. NPV'!IXY24/'4. NPV'!IXY$8,0)</f>
        <v>-0.0</v>
      </c>
      <c r="IXY55" s="5">
        <f>-IFERROR('4. NPV'!IXZ24/'4. NPV'!IXZ$8,0)</f>
        <v>-0.0</v>
      </c>
      <c r="IXZ55" s="5">
        <f>-IFERROR('4. NPV'!IYA24/'4. NPV'!IYA$8,0)</f>
        <v>-0.0</v>
      </c>
      <c r="IYA55" s="5">
        <f>-IFERROR('4. NPV'!IYB24/'4. NPV'!IYB$8,0)</f>
        <v>-0.0</v>
      </c>
      <c r="IYB55" s="5">
        <f>-IFERROR('4. NPV'!IYC24/'4. NPV'!IYC$8,0)</f>
        <v>-0.0</v>
      </c>
      <c r="IYC55" s="5">
        <f>-IFERROR('4. NPV'!IYD24/'4. NPV'!IYD$8,0)</f>
        <v>-0.0</v>
      </c>
      <c r="IYD55" s="5">
        <f>-IFERROR('4. NPV'!IYE24/'4. NPV'!IYE$8,0)</f>
        <v>-0.0</v>
      </c>
      <c r="IYE55" s="5">
        <f>-IFERROR('4. NPV'!IYF24/'4. NPV'!IYF$8,0)</f>
        <v>-0.0</v>
      </c>
      <c r="IYF55" s="5">
        <f>-IFERROR('4. NPV'!IYG24/'4. NPV'!IYG$8,0)</f>
        <v>-0.0</v>
      </c>
      <c r="IYG55" s="5">
        <f>-IFERROR('4. NPV'!IYH24/'4. NPV'!IYH$8,0)</f>
        <v>-0.0</v>
      </c>
      <c r="IYH55" s="5">
        <f>-IFERROR('4. NPV'!IYI24/'4. NPV'!IYI$8,0)</f>
        <v>-0.0</v>
      </c>
      <c r="IYI55" s="5">
        <f>-IFERROR('4. NPV'!IYJ24/'4. NPV'!IYJ$8,0)</f>
        <v>-0.0</v>
      </c>
      <c r="IYJ55" s="5">
        <f>-IFERROR('4. NPV'!IYK24/'4. NPV'!IYK$8,0)</f>
        <v>-0.0</v>
      </c>
      <c r="IYK55" s="5">
        <f>-IFERROR('4. NPV'!IYL24/'4. NPV'!IYL$8,0)</f>
        <v>-0.0</v>
      </c>
      <c r="IYL55" s="5">
        <f>-IFERROR('4. NPV'!IYM24/'4. NPV'!IYM$8,0)</f>
        <v>-0.0</v>
      </c>
      <c r="IYM55" s="5">
        <f>-IFERROR('4. NPV'!IYN24/'4. NPV'!IYN$8,0)</f>
        <v>-0.0</v>
      </c>
      <c r="IYN55" s="5">
        <f>-IFERROR('4. NPV'!IYO24/'4. NPV'!IYO$8,0)</f>
        <v>-0.0</v>
      </c>
      <c r="IYO55" s="5">
        <f>-IFERROR('4. NPV'!IYP24/'4. NPV'!IYP$8,0)</f>
        <v>-0.0</v>
      </c>
      <c r="IYP55" s="5">
        <f>-IFERROR('4. NPV'!IYQ24/'4. NPV'!IYQ$8,0)</f>
        <v>-0.0</v>
      </c>
      <c r="IYQ55" s="5">
        <f>-IFERROR('4. NPV'!IYR24/'4. NPV'!IYR$8,0)</f>
        <v>-0.0</v>
      </c>
      <c r="IYR55" s="5">
        <f>-IFERROR('4. NPV'!IYS24/'4. NPV'!IYS$8,0)</f>
        <v>-0.0</v>
      </c>
      <c r="IYS55" s="5">
        <f>-IFERROR('4. NPV'!IYT24/'4. NPV'!IYT$8,0)</f>
        <v>-0.0</v>
      </c>
      <c r="IYT55" s="5">
        <f>-IFERROR('4. NPV'!IYU24/'4. NPV'!IYU$8,0)</f>
        <v>-0.0</v>
      </c>
      <c r="IYU55" s="5">
        <f>-IFERROR('4. NPV'!IYV24/'4. NPV'!IYV$8,0)</f>
        <v>-0.0</v>
      </c>
      <c r="IYV55" s="5">
        <f>-IFERROR('4. NPV'!IYW24/'4. NPV'!IYW$8,0)</f>
        <v>-0.0</v>
      </c>
      <c r="IYW55" s="5">
        <f>-IFERROR('4. NPV'!IYX24/'4. NPV'!IYX$8,0)</f>
        <v>-0.0</v>
      </c>
      <c r="IYX55" s="5">
        <f>-IFERROR('4. NPV'!IYY24/'4. NPV'!IYY$8,0)</f>
        <v>-0.0</v>
      </c>
      <c r="IYY55" s="5">
        <f>-IFERROR('4. NPV'!IYZ24/'4. NPV'!IYZ$8,0)</f>
        <v>-0.0</v>
      </c>
      <c r="IYZ55" s="5">
        <f>-IFERROR('4. NPV'!IZA24/'4. NPV'!IZA$8,0)</f>
        <v>-0.0</v>
      </c>
      <c r="IZA55" s="5">
        <f>-IFERROR('4. NPV'!IZB24/'4. NPV'!IZB$8,0)</f>
        <v>-0.0</v>
      </c>
      <c r="IZB55" s="5">
        <f>-IFERROR('4. NPV'!IZC24/'4. NPV'!IZC$8,0)</f>
        <v>-0.0</v>
      </c>
      <c r="IZC55" s="5">
        <f>-IFERROR('4. NPV'!IZD24/'4. NPV'!IZD$8,0)</f>
        <v>-0.0</v>
      </c>
      <c r="IZD55" s="5">
        <f>-IFERROR('4. NPV'!IZE24/'4. NPV'!IZE$8,0)</f>
        <v>-0.0</v>
      </c>
      <c r="IZE55" s="5">
        <f>-IFERROR('4. NPV'!IZF24/'4. NPV'!IZF$8,0)</f>
        <v>-0.0</v>
      </c>
      <c r="IZF55" s="5">
        <f>-IFERROR('4. NPV'!IZG24/'4. NPV'!IZG$8,0)</f>
        <v>-0.0</v>
      </c>
      <c r="IZG55" s="5">
        <f>-IFERROR('4. NPV'!IZH24/'4. NPV'!IZH$8,0)</f>
        <v>-0.0</v>
      </c>
      <c r="IZH55" s="5">
        <f>-IFERROR('4. NPV'!IZI24/'4. NPV'!IZI$8,0)</f>
        <v>-0.0</v>
      </c>
      <c r="IZI55" s="5">
        <f>-IFERROR('4. NPV'!IZJ24/'4. NPV'!IZJ$8,0)</f>
        <v>-0.0</v>
      </c>
      <c r="IZJ55" s="5">
        <f>-IFERROR('4. NPV'!IZK24/'4. NPV'!IZK$8,0)</f>
        <v>-0.0</v>
      </c>
      <c r="IZK55" s="5">
        <f>-IFERROR('4. NPV'!IZL24/'4. NPV'!IZL$8,0)</f>
        <v>-0.0</v>
      </c>
      <c r="IZL55" s="5">
        <f>-IFERROR('4. NPV'!IZM24/'4. NPV'!IZM$8,0)</f>
        <v>-0.0</v>
      </c>
      <c r="IZM55" s="5">
        <f>-IFERROR('4. NPV'!IZN24/'4. NPV'!IZN$8,0)</f>
        <v>-0.0</v>
      </c>
      <c r="IZN55" s="5">
        <f>-IFERROR('4. NPV'!IZO24/'4. NPV'!IZO$8,0)</f>
        <v>-0.0</v>
      </c>
      <c r="IZO55" s="5">
        <f>-IFERROR('4. NPV'!IZP24/'4. NPV'!IZP$8,0)</f>
        <v>-0.0</v>
      </c>
      <c r="IZP55" s="5">
        <f>-IFERROR('4. NPV'!IZQ24/'4. NPV'!IZQ$8,0)</f>
        <v>-0.0</v>
      </c>
      <c r="IZQ55" s="5">
        <f>-IFERROR('4. NPV'!IZR24/'4. NPV'!IZR$8,0)</f>
        <v>-0.0</v>
      </c>
      <c r="IZR55" s="5">
        <f>-IFERROR('4. NPV'!IZS24/'4. NPV'!IZS$8,0)</f>
        <v>-0.0</v>
      </c>
      <c r="IZS55" s="5">
        <f>-IFERROR('4. NPV'!IZT24/'4. NPV'!IZT$8,0)</f>
        <v>-0.0</v>
      </c>
      <c r="IZT55" s="5">
        <f>-IFERROR('4. NPV'!IZU24/'4. NPV'!IZU$8,0)</f>
        <v>-0.0</v>
      </c>
      <c r="IZU55" s="5">
        <f>-IFERROR('4. NPV'!IZV24/'4. NPV'!IZV$8,0)</f>
        <v>-0.0</v>
      </c>
      <c r="IZV55" s="5">
        <f>-IFERROR('4. NPV'!IZW24/'4. NPV'!IZW$8,0)</f>
        <v>-0.0</v>
      </c>
      <c r="IZW55" s="5">
        <f>-IFERROR('4. NPV'!IZX24/'4. NPV'!IZX$8,0)</f>
        <v>-0.0</v>
      </c>
      <c r="IZX55" s="5">
        <f>-IFERROR('4. NPV'!IZY24/'4. NPV'!IZY$8,0)</f>
        <v>-0.0</v>
      </c>
      <c r="IZY55" s="5">
        <f>-IFERROR('4. NPV'!IZZ24/'4. NPV'!IZZ$8,0)</f>
        <v>-0.0</v>
      </c>
      <c r="IZZ55" s="5">
        <f>-IFERROR('4. NPV'!JAA24/'4. NPV'!JAA$8,0)</f>
        <v>-0.0</v>
      </c>
      <c r="JAA55" s="5">
        <f>-IFERROR('4. NPV'!JAB24/'4. NPV'!JAB$8,0)</f>
        <v>-0.0</v>
      </c>
      <c r="JAB55" s="5">
        <f>-IFERROR('4. NPV'!JAC24/'4. NPV'!JAC$8,0)</f>
        <v>-0.0</v>
      </c>
      <c r="JAC55" s="5">
        <f>-IFERROR('4. NPV'!JAD24/'4. NPV'!JAD$8,0)</f>
        <v>-0.0</v>
      </c>
      <c r="JAD55" s="5">
        <f>-IFERROR('4. NPV'!JAE24/'4. NPV'!JAE$8,0)</f>
        <v>-0.0</v>
      </c>
      <c r="JAE55" s="5">
        <f>-IFERROR('4. NPV'!JAF24/'4. NPV'!JAF$8,0)</f>
        <v>-0.0</v>
      </c>
      <c r="JAF55" s="5">
        <f>-IFERROR('4. NPV'!JAG24/'4. NPV'!JAG$8,0)</f>
        <v>-0.0</v>
      </c>
      <c r="JAG55" s="5">
        <f>-IFERROR('4. NPV'!JAH24/'4. NPV'!JAH$8,0)</f>
        <v>-0.0</v>
      </c>
      <c r="JAH55" s="5">
        <f>-IFERROR('4. NPV'!JAI24/'4. NPV'!JAI$8,0)</f>
        <v>-0.0</v>
      </c>
      <c r="JAI55" s="5">
        <f>-IFERROR('4. NPV'!JAJ24/'4. NPV'!JAJ$8,0)</f>
        <v>-0.0</v>
      </c>
      <c r="JAJ55" s="5">
        <f>-IFERROR('4. NPV'!JAK24/'4. NPV'!JAK$8,0)</f>
        <v>-0.0</v>
      </c>
      <c r="JAK55" s="5">
        <f>-IFERROR('4. NPV'!JAL24/'4. NPV'!JAL$8,0)</f>
        <v>-0.0</v>
      </c>
      <c r="JAL55" s="5">
        <f>-IFERROR('4. NPV'!JAM24/'4. NPV'!JAM$8,0)</f>
        <v>-0.0</v>
      </c>
      <c r="JAM55" s="5">
        <f>-IFERROR('4. NPV'!JAN24/'4. NPV'!JAN$8,0)</f>
        <v>-0.0</v>
      </c>
      <c r="JAN55" s="5">
        <f>-IFERROR('4. NPV'!JAO24/'4. NPV'!JAO$8,0)</f>
        <v>-0.0</v>
      </c>
      <c r="JAO55" s="5">
        <f>-IFERROR('4. NPV'!JAP24/'4. NPV'!JAP$8,0)</f>
        <v>-0.0</v>
      </c>
      <c r="JAP55" s="5">
        <f>-IFERROR('4. NPV'!JAQ24/'4. NPV'!JAQ$8,0)</f>
        <v>-0.0</v>
      </c>
      <c r="JAQ55" s="5">
        <f>-IFERROR('4. NPV'!JAR24/'4. NPV'!JAR$8,0)</f>
        <v>-0.0</v>
      </c>
      <c r="JAR55" s="5">
        <f>-IFERROR('4. NPV'!JAS24/'4. NPV'!JAS$8,0)</f>
        <v>-0.0</v>
      </c>
      <c r="JAS55" s="5">
        <f>-IFERROR('4. NPV'!JAT24/'4. NPV'!JAT$8,0)</f>
        <v>-0.0</v>
      </c>
      <c r="JAT55" s="5">
        <f>-IFERROR('4. NPV'!JAU24/'4. NPV'!JAU$8,0)</f>
        <v>-0.0</v>
      </c>
      <c r="JAU55" s="5">
        <f>-IFERROR('4. NPV'!JAV24/'4. NPV'!JAV$8,0)</f>
        <v>-0.0</v>
      </c>
      <c r="JAV55" s="5">
        <f>-IFERROR('4. NPV'!JAW24/'4. NPV'!JAW$8,0)</f>
        <v>-0.0</v>
      </c>
      <c r="JAW55" s="5">
        <f>-IFERROR('4. NPV'!JAX24/'4. NPV'!JAX$8,0)</f>
        <v>-0.0</v>
      </c>
      <c r="JAX55" s="5">
        <f>-IFERROR('4. NPV'!JAY24/'4. NPV'!JAY$8,0)</f>
        <v>-0.0</v>
      </c>
      <c r="JAY55" s="5">
        <f>-IFERROR('4. NPV'!JAZ24/'4. NPV'!JAZ$8,0)</f>
        <v>-0.0</v>
      </c>
      <c r="JAZ55" s="5">
        <f>-IFERROR('4. NPV'!JBA24/'4. NPV'!JBA$8,0)</f>
        <v>-0.0</v>
      </c>
      <c r="JBA55" s="5">
        <f>-IFERROR('4. NPV'!JBB24/'4. NPV'!JBB$8,0)</f>
        <v>-0.0</v>
      </c>
      <c r="JBB55" s="5">
        <f>-IFERROR('4. NPV'!JBC24/'4. NPV'!JBC$8,0)</f>
        <v>-0.0</v>
      </c>
      <c r="JBC55" s="5">
        <f>-IFERROR('4. NPV'!JBD24/'4. NPV'!JBD$8,0)</f>
        <v>-0.0</v>
      </c>
      <c r="JBD55" s="5">
        <f>-IFERROR('4. NPV'!JBE24/'4. NPV'!JBE$8,0)</f>
        <v>-0.0</v>
      </c>
      <c r="JBE55" s="5">
        <f>-IFERROR('4. NPV'!JBF24/'4. NPV'!JBF$8,0)</f>
        <v>-0.0</v>
      </c>
      <c r="JBF55" s="5">
        <f>-IFERROR('4. NPV'!JBG24/'4. NPV'!JBG$8,0)</f>
        <v>-0.0</v>
      </c>
      <c r="JBG55" s="5">
        <f>-IFERROR('4. NPV'!JBH24/'4. NPV'!JBH$8,0)</f>
        <v>-0.0</v>
      </c>
      <c r="JBH55" s="5">
        <f>-IFERROR('4. NPV'!JBI24/'4. NPV'!JBI$8,0)</f>
        <v>-0.0</v>
      </c>
      <c r="JBI55" s="5">
        <f>-IFERROR('4. NPV'!JBJ24/'4. NPV'!JBJ$8,0)</f>
        <v>-0.0</v>
      </c>
      <c r="JBJ55" s="5">
        <f>-IFERROR('4. NPV'!JBK24/'4. NPV'!JBK$8,0)</f>
        <v>-0.0</v>
      </c>
      <c r="JBK55" s="5">
        <f>-IFERROR('4. NPV'!JBL24/'4. NPV'!JBL$8,0)</f>
        <v>-0.0</v>
      </c>
      <c r="JBL55" s="5">
        <f>-IFERROR('4. NPV'!JBM24/'4. NPV'!JBM$8,0)</f>
        <v>-0.0</v>
      </c>
      <c r="JBM55" s="5">
        <f>-IFERROR('4. NPV'!JBN24/'4. NPV'!JBN$8,0)</f>
        <v>-0.0</v>
      </c>
      <c r="JBN55" s="5">
        <f>-IFERROR('4. NPV'!JBO24/'4. NPV'!JBO$8,0)</f>
        <v>-0.0</v>
      </c>
      <c r="JBO55" s="5">
        <f>-IFERROR('4. NPV'!JBP24/'4. NPV'!JBP$8,0)</f>
        <v>-0.0</v>
      </c>
      <c r="JBP55" s="5">
        <f>-IFERROR('4. NPV'!JBQ24/'4. NPV'!JBQ$8,0)</f>
        <v>-0.0</v>
      </c>
      <c r="JBQ55" s="5">
        <f>-IFERROR('4. NPV'!JBR24/'4. NPV'!JBR$8,0)</f>
        <v>-0.0</v>
      </c>
      <c r="JBR55" s="5">
        <f>-IFERROR('4. NPV'!JBS24/'4. NPV'!JBS$8,0)</f>
        <v>-0.0</v>
      </c>
      <c r="JBS55" s="5">
        <f>-IFERROR('4. NPV'!JBT24/'4. NPV'!JBT$8,0)</f>
        <v>-0.0</v>
      </c>
      <c r="JBT55" s="5">
        <f>-IFERROR('4. NPV'!JBU24/'4. NPV'!JBU$8,0)</f>
        <v>-0.0</v>
      </c>
      <c r="JBU55" s="5">
        <f>-IFERROR('4. NPV'!JBV24/'4. NPV'!JBV$8,0)</f>
        <v>-0.0</v>
      </c>
      <c r="JBV55" s="5">
        <f>-IFERROR('4. NPV'!JBW24/'4. NPV'!JBW$8,0)</f>
        <v>-0.0</v>
      </c>
      <c r="JBW55" s="5">
        <f>-IFERROR('4. NPV'!JBX24/'4. NPV'!JBX$8,0)</f>
        <v>-0.0</v>
      </c>
      <c r="JBX55" s="5">
        <f>-IFERROR('4. NPV'!JBY24/'4. NPV'!JBY$8,0)</f>
        <v>-0.0</v>
      </c>
      <c r="JBY55" s="5">
        <f>-IFERROR('4. NPV'!JBZ24/'4. NPV'!JBZ$8,0)</f>
        <v>-0.0</v>
      </c>
      <c r="JBZ55" s="5">
        <f>-IFERROR('4. NPV'!JCA24/'4. NPV'!JCA$8,0)</f>
        <v>-0.0</v>
      </c>
      <c r="JCA55" s="5">
        <f>-IFERROR('4. NPV'!JCB24/'4. NPV'!JCB$8,0)</f>
        <v>-0.0</v>
      </c>
      <c r="JCB55" s="5">
        <f>-IFERROR('4. NPV'!JCC24/'4. NPV'!JCC$8,0)</f>
        <v>-0.0</v>
      </c>
      <c r="JCC55" s="5">
        <f>-IFERROR('4. NPV'!JCD24/'4. NPV'!JCD$8,0)</f>
        <v>-0.0</v>
      </c>
      <c r="JCD55" s="5">
        <f>-IFERROR('4. NPV'!JCE24/'4. NPV'!JCE$8,0)</f>
        <v>-0.0</v>
      </c>
      <c r="JCE55" s="5">
        <f>-IFERROR('4. NPV'!JCF24/'4. NPV'!JCF$8,0)</f>
        <v>-0.0</v>
      </c>
      <c r="JCF55" s="5">
        <f>-IFERROR('4. NPV'!JCG24/'4. NPV'!JCG$8,0)</f>
        <v>-0.0</v>
      </c>
      <c r="JCG55" s="5">
        <f>-IFERROR('4. NPV'!JCH24/'4. NPV'!JCH$8,0)</f>
        <v>-0.0</v>
      </c>
      <c r="JCH55" s="5">
        <f>-IFERROR('4. NPV'!JCI24/'4. NPV'!JCI$8,0)</f>
        <v>-0.0</v>
      </c>
      <c r="JCI55" s="5">
        <f>-IFERROR('4. NPV'!JCJ24/'4. NPV'!JCJ$8,0)</f>
        <v>-0.0</v>
      </c>
      <c r="JCJ55" s="5">
        <f>-IFERROR('4. NPV'!JCK24/'4. NPV'!JCK$8,0)</f>
        <v>-0.0</v>
      </c>
      <c r="JCK55" s="5">
        <f>-IFERROR('4. NPV'!JCL24/'4. NPV'!JCL$8,0)</f>
        <v>-0.0</v>
      </c>
      <c r="JCL55" s="5">
        <f>-IFERROR('4. NPV'!JCM24/'4. NPV'!JCM$8,0)</f>
        <v>-0.0</v>
      </c>
      <c r="JCM55" s="5">
        <f>-IFERROR('4. NPV'!JCN24/'4. NPV'!JCN$8,0)</f>
        <v>-0.0</v>
      </c>
      <c r="JCN55" s="5">
        <f>-IFERROR('4. NPV'!JCO24/'4. NPV'!JCO$8,0)</f>
        <v>-0.0</v>
      </c>
      <c r="JCO55" s="5">
        <f>-IFERROR('4. NPV'!JCP24/'4. NPV'!JCP$8,0)</f>
        <v>-0.0</v>
      </c>
      <c r="JCP55" s="5">
        <f>-IFERROR('4. NPV'!JCQ24/'4. NPV'!JCQ$8,0)</f>
        <v>-0.0</v>
      </c>
      <c r="JCQ55" s="5">
        <f>-IFERROR('4. NPV'!JCR24/'4. NPV'!JCR$8,0)</f>
        <v>-0.0</v>
      </c>
      <c r="JCR55" s="5">
        <f>-IFERROR('4. NPV'!JCS24/'4. NPV'!JCS$8,0)</f>
        <v>-0.0</v>
      </c>
      <c r="JCS55" s="5">
        <f>-IFERROR('4. NPV'!JCT24/'4. NPV'!JCT$8,0)</f>
        <v>-0.0</v>
      </c>
      <c r="JCT55" s="5">
        <f>-IFERROR('4. NPV'!JCU24/'4. NPV'!JCU$8,0)</f>
        <v>-0.0</v>
      </c>
      <c r="JCU55" s="5">
        <f>-IFERROR('4. NPV'!JCV24/'4. NPV'!JCV$8,0)</f>
        <v>-0.0</v>
      </c>
      <c r="JCV55" s="5">
        <f>-IFERROR('4. NPV'!JCW24/'4. NPV'!JCW$8,0)</f>
        <v>-0.0</v>
      </c>
      <c r="JCW55" s="5">
        <f>-IFERROR('4. NPV'!JCX24/'4. NPV'!JCX$8,0)</f>
        <v>-0.0</v>
      </c>
      <c r="JCX55" s="5">
        <f>-IFERROR('4. NPV'!JCY24/'4. NPV'!JCY$8,0)</f>
        <v>-0.0</v>
      </c>
      <c r="JCY55" s="5">
        <f>-IFERROR('4. NPV'!JCZ24/'4. NPV'!JCZ$8,0)</f>
        <v>-0.0</v>
      </c>
      <c r="JCZ55" s="5">
        <f>-IFERROR('4. NPV'!JDA24/'4. NPV'!JDA$8,0)</f>
        <v>-0.0</v>
      </c>
      <c r="JDA55" s="5">
        <f>-IFERROR('4. NPV'!JDB24/'4. NPV'!JDB$8,0)</f>
        <v>-0.0</v>
      </c>
      <c r="JDB55" s="5">
        <f>-IFERROR('4. NPV'!JDC24/'4. NPV'!JDC$8,0)</f>
        <v>-0.0</v>
      </c>
      <c r="JDC55" s="5">
        <f>-IFERROR('4. NPV'!JDD24/'4. NPV'!JDD$8,0)</f>
        <v>-0.0</v>
      </c>
      <c r="JDD55" s="5">
        <f>-IFERROR('4. NPV'!JDE24/'4. NPV'!JDE$8,0)</f>
        <v>-0.0</v>
      </c>
      <c r="JDE55" s="5">
        <f>-IFERROR('4. NPV'!JDF24/'4. NPV'!JDF$8,0)</f>
        <v>-0.0</v>
      </c>
      <c r="JDF55" s="5">
        <f>-IFERROR('4. NPV'!JDG24/'4. NPV'!JDG$8,0)</f>
        <v>-0.0</v>
      </c>
      <c r="JDG55" s="5">
        <f>-IFERROR('4. NPV'!JDH24/'4. NPV'!JDH$8,0)</f>
        <v>-0.0</v>
      </c>
      <c r="JDH55" s="5">
        <f>-IFERROR('4. NPV'!JDI24/'4. NPV'!JDI$8,0)</f>
        <v>-0.0</v>
      </c>
      <c r="JDI55" s="5">
        <f>-IFERROR('4. NPV'!JDJ24/'4. NPV'!JDJ$8,0)</f>
        <v>-0.0</v>
      </c>
      <c r="JDJ55" s="5">
        <f>-IFERROR('4. NPV'!JDK24/'4. NPV'!JDK$8,0)</f>
        <v>-0.0</v>
      </c>
      <c r="JDK55" s="5">
        <f>-IFERROR('4. NPV'!JDL24/'4. NPV'!JDL$8,0)</f>
        <v>-0.0</v>
      </c>
      <c r="JDL55" s="5">
        <f>-IFERROR('4. NPV'!JDM24/'4. NPV'!JDM$8,0)</f>
        <v>-0.0</v>
      </c>
      <c r="JDM55" s="5">
        <f>-IFERROR('4. NPV'!JDN24/'4. NPV'!JDN$8,0)</f>
        <v>-0.0</v>
      </c>
      <c r="JDN55" s="5">
        <f>-IFERROR('4. NPV'!JDO24/'4. NPV'!JDO$8,0)</f>
        <v>-0.0</v>
      </c>
      <c r="JDO55" s="5">
        <f>-IFERROR('4. NPV'!JDP24/'4. NPV'!JDP$8,0)</f>
        <v>-0.0</v>
      </c>
      <c r="JDP55" s="5">
        <f>-IFERROR('4. NPV'!JDQ24/'4. NPV'!JDQ$8,0)</f>
        <v>-0.0</v>
      </c>
      <c r="JDQ55" s="5">
        <f>-IFERROR('4. NPV'!JDR24/'4. NPV'!JDR$8,0)</f>
        <v>-0.0</v>
      </c>
      <c r="JDR55" s="5">
        <f>-IFERROR('4. NPV'!JDS24/'4. NPV'!JDS$8,0)</f>
        <v>-0.0</v>
      </c>
      <c r="JDS55" s="5">
        <f>-IFERROR('4. NPV'!JDT24/'4. NPV'!JDT$8,0)</f>
        <v>-0.0</v>
      </c>
      <c r="JDT55" s="5">
        <f>-IFERROR('4. NPV'!JDU24/'4. NPV'!JDU$8,0)</f>
        <v>-0.0</v>
      </c>
      <c r="JDU55" s="5">
        <f>-IFERROR('4. NPV'!JDV24/'4. NPV'!JDV$8,0)</f>
        <v>-0.0</v>
      </c>
      <c r="JDV55" s="5">
        <f>-IFERROR('4. NPV'!JDW24/'4. NPV'!JDW$8,0)</f>
        <v>-0.0</v>
      </c>
      <c r="JDW55" s="5">
        <f>-IFERROR('4. NPV'!JDX24/'4. NPV'!JDX$8,0)</f>
        <v>-0.0</v>
      </c>
      <c r="JDX55" s="5">
        <f>-IFERROR('4. NPV'!JDY24/'4. NPV'!JDY$8,0)</f>
        <v>-0.0</v>
      </c>
      <c r="JDY55" s="5">
        <f>-IFERROR('4. NPV'!JDZ24/'4. NPV'!JDZ$8,0)</f>
        <v>-0.0</v>
      </c>
      <c r="JDZ55" s="5">
        <f>-IFERROR('4. NPV'!JEA24/'4. NPV'!JEA$8,0)</f>
        <v>-0.0</v>
      </c>
      <c r="JEA55" s="5">
        <f>-IFERROR('4. NPV'!JEB24/'4. NPV'!JEB$8,0)</f>
        <v>-0.0</v>
      </c>
      <c r="JEB55" s="5">
        <f>-IFERROR('4. NPV'!JEC24/'4. NPV'!JEC$8,0)</f>
        <v>-0.0</v>
      </c>
      <c r="JEC55" s="5">
        <f>-IFERROR('4. NPV'!JED24/'4. NPV'!JED$8,0)</f>
        <v>-0.0</v>
      </c>
      <c r="JED55" s="5">
        <f>-IFERROR('4. NPV'!JEE24/'4. NPV'!JEE$8,0)</f>
        <v>-0.0</v>
      </c>
      <c r="JEE55" s="5">
        <f>-IFERROR('4. NPV'!JEF24/'4. NPV'!JEF$8,0)</f>
        <v>-0.0</v>
      </c>
      <c r="JEF55" s="5">
        <f>-IFERROR('4. NPV'!JEG24/'4. NPV'!JEG$8,0)</f>
        <v>-0.0</v>
      </c>
      <c r="JEG55" s="5">
        <f>-IFERROR('4. NPV'!JEH24/'4. NPV'!JEH$8,0)</f>
        <v>-0.0</v>
      </c>
      <c r="JEH55" s="5">
        <f>-IFERROR('4. NPV'!JEI24/'4. NPV'!JEI$8,0)</f>
        <v>-0.0</v>
      </c>
      <c r="JEI55" s="5">
        <f>-IFERROR('4. NPV'!JEJ24/'4. NPV'!JEJ$8,0)</f>
        <v>-0.0</v>
      </c>
      <c r="JEJ55" s="5">
        <f>-IFERROR('4. NPV'!JEK24/'4. NPV'!JEK$8,0)</f>
        <v>-0.0</v>
      </c>
      <c r="JEK55" s="5">
        <f>-IFERROR('4. NPV'!JEL24/'4. NPV'!JEL$8,0)</f>
        <v>-0.0</v>
      </c>
      <c r="JEL55" s="5">
        <f>-IFERROR('4. NPV'!JEM24/'4. NPV'!JEM$8,0)</f>
        <v>-0.0</v>
      </c>
      <c r="JEM55" s="5">
        <f>-IFERROR('4. NPV'!JEN24/'4. NPV'!JEN$8,0)</f>
        <v>-0.0</v>
      </c>
      <c r="JEN55" s="5">
        <f>-IFERROR('4. NPV'!JEO24/'4. NPV'!JEO$8,0)</f>
        <v>-0.0</v>
      </c>
      <c r="JEO55" s="5">
        <f>-IFERROR('4. NPV'!JEP24/'4. NPV'!JEP$8,0)</f>
        <v>-0.0</v>
      </c>
      <c r="JEP55" s="5">
        <f>-IFERROR('4. NPV'!JEQ24/'4. NPV'!JEQ$8,0)</f>
        <v>-0.0</v>
      </c>
      <c r="JEQ55" s="5">
        <f>-IFERROR('4. NPV'!JER24/'4. NPV'!JER$8,0)</f>
        <v>-0.0</v>
      </c>
      <c r="JER55" s="5">
        <f>-IFERROR('4. NPV'!JES24/'4. NPV'!JES$8,0)</f>
        <v>-0.0</v>
      </c>
      <c r="JES55" s="5">
        <f>-IFERROR('4. NPV'!JET24/'4. NPV'!JET$8,0)</f>
        <v>-0.0</v>
      </c>
      <c r="JET55" s="5">
        <f>-IFERROR('4. NPV'!JEU24/'4. NPV'!JEU$8,0)</f>
        <v>-0.0</v>
      </c>
      <c r="JEU55" s="5">
        <f>-IFERROR('4. NPV'!JEV24/'4. NPV'!JEV$8,0)</f>
        <v>-0.0</v>
      </c>
      <c r="JEV55" s="5">
        <f>-IFERROR('4. NPV'!JEW24/'4. NPV'!JEW$8,0)</f>
        <v>-0.0</v>
      </c>
      <c r="JEW55" s="5">
        <f>-IFERROR('4. NPV'!JEX24/'4. NPV'!JEX$8,0)</f>
        <v>-0.0</v>
      </c>
      <c r="JEX55" s="5">
        <f>-IFERROR('4. NPV'!JEY24/'4. NPV'!JEY$8,0)</f>
        <v>-0.0</v>
      </c>
      <c r="JEY55" s="5">
        <f>-IFERROR('4. NPV'!JEZ24/'4. NPV'!JEZ$8,0)</f>
        <v>-0.0</v>
      </c>
      <c r="JEZ55" s="5">
        <f>-IFERROR('4. NPV'!JFA24/'4. NPV'!JFA$8,0)</f>
        <v>-0.0</v>
      </c>
      <c r="JFA55" s="5">
        <f>-IFERROR('4. NPV'!JFB24/'4. NPV'!JFB$8,0)</f>
        <v>-0.0</v>
      </c>
      <c r="JFB55" s="5">
        <f>-IFERROR('4. NPV'!JFC24/'4. NPV'!JFC$8,0)</f>
        <v>-0.0</v>
      </c>
      <c r="JFC55" s="5">
        <f>-IFERROR('4. NPV'!JFD24/'4. NPV'!JFD$8,0)</f>
        <v>-0.0</v>
      </c>
      <c r="JFD55" s="5">
        <f>-IFERROR('4. NPV'!JFE24/'4. NPV'!JFE$8,0)</f>
        <v>-0.0</v>
      </c>
      <c r="JFE55" s="5">
        <f>-IFERROR('4. NPV'!JFF24/'4. NPV'!JFF$8,0)</f>
        <v>-0.0</v>
      </c>
      <c r="JFF55" s="5">
        <f>-IFERROR('4. NPV'!JFG24/'4. NPV'!JFG$8,0)</f>
        <v>-0.0</v>
      </c>
      <c r="JFG55" s="5">
        <f>-IFERROR('4. NPV'!JFH24/'4. NPV'!JFH$8,0)</f>
        <v>-0.0</v>
      </c>
      <c r="JFH55" s="5">
        <f>-IFERROR('4. NPV'!JFI24/'4. NPV'!JFI$8,0)</f>
        <v>-0.0</v>
      </c>
      <c r="JFI55" s="5">
        <f>-IFERROR('4. NPV'!JFJ24/'4. NPV'!JFJ$8,0)</f>
        <v>-0.0</v>
      </c>
      <c r="JFJ55" s="5">
        <f>-IFERROR('4. NPV'!JFK24/'4. NPV'!JFK$8,0)</f>
        <v>-0.0</v>
      </c>
      <c r="JFK55" s="5">
        <f>-IFERROR('4. NPV'!JFL24/'4. NPV'!JFL$8,0)</f>
        <v>-0.0</v>
      </c>
      <c r="JFL55" s="5">
        <f>-IFERROR('4. NPV'!JFM24/'4. NPV'!JFM$8,0)</f>
        <v>-0.0</v>
      </c>
      <c r="JFM55" s="5">
        <f>-IFERROR('4. NPV'!JFN24/'4. NPV'!JFN$8,0)</f>
        <v>-0.0</v>
      </c>
      <c r="JFN55" s="5">
        <f>-IFERROR('4. NPV'!JFO24/'4. NPV'!JFO$8,0)</f>
        <v>-0.0</v>
      </c>
      <c r="JFO55" s="5">
        <f>-IFERROR('4. NPV'!JFP24/'4. NPV'!JFP$8,0)</f>
        <v>-0.0</v>
      </c>
      <c r="JFP55" s="5">
        <f>-IFERROR('4. NPV'!JFQ24/'4. NPV'!JFQ$8,0)</f>
        <v>-0.0</v>
      </c>
      <c r="JFQ55" s="5">
        <f>-IFERROR('4. NPV'!JFR24/'4. NPV'!JFR$8,0)</f>
        <v>-0.0</v>
      </c>
      <c r="JFR55" s="5">
        <f>-IFERROR('4. NPV'!JFS24/'4. NPV'!JFS$8,0)</f>
        <v>-0.0</v>
      </c>
      <c r="JFS55" s="5">
        <f>-IFERROR('4. NPV'!JFT24/'4. NPV'!JFT$8,0)</f>
        <v>-0.0</v>
      </c>
      <c r="JFT55" s="5">
        <f>-IFERROR('4. NPV'!JFU24/'4. NPV'!JFU$8,0)</f>
        <v>-0.0</v>
      </c>
      <c r="JFU55" s="5">
        <f>-IFERROR('4. NPV'!JFV24/'4. NPV'!JFV$8,0)</f>
        <v>-0.0</v>
      </c>
      <c r="JFV55" s="5">
        <f>-IFERROR('4. NPV'!JFW24/'4. NPV'!JFW$8,0)</f>
        <v>-0.0</v>
      </c>
      <c r="JFW55" s="5">
        <f>-IFERROR('4. NPV'!JFX24/'4. NPV'!JFX$8,0)</f>
        <v>-0.0</v>
      </c>
      <c r="JFX55" s="5">
        <f>-IFERROR('4. NPV'!JFY24/'4. NPV'!JFY$8,0)</f>
        <v>-0.0</v>
      </c>
      <c r="JFY55" s="5">
        <f>-IFERROR('4. NPV'!JFZ24/'4. NPV'!JFZ$8,0)</f>
        <v>-0.0</v>
      </c>
      <c r="JFZ55" s="5">
        <f>-IFERROR('4. NPV'!JGA24/'4. NPV'!JGA$8,0)</f>
        <v>-0.0</v>
      </c>
      <c r="JGA55" s="5">
        <f>-IFERROR('4. NPV'!JGB24/'4. NPV'!JGB$8,0)</f>
        <v>-0.0</v>
      </c>
      <c r="JGB55" s="5">
        <f>-IFERROR('4. NPV'!JGC24/'4. NPV'!JGC$8,0)</f>
        <v>-0.0</v>
      </c>
      <c r="JGC55" s="5">
        <f>-IFERROR('4. NPV'!JGD24/'4. NPV'!JGD$8,0)</f>
        <v>-0.0</v>
      </c>
      <c r="JGD55" s="5">
        <f>-IFERROR('4. NPV'!JGE24/'4. NPV'!JGE$8,0)</f>
        <v>-0.0</v>
      </c>
      <c r="JGE55" s="5">
        <f>-IFERROR('4. NPV'!JGF24/'4. NPV'!JGF$8,0)</f>
        <v>-0.0</v>
      </c>
      <c r="JGF55" s="5">
        <f>-IFERROR('4. NPV'!JGG24/'4. NPV'!JGG$8,0)</f>
        <v>-0.0</v>
      </c>
      <c r="JGG55" s="5">
        <f>-IFERROR('4. NPV'!JGH24/'4. NPV'!JGH$8,0)</f>
        <v>-0.0</v>
      </c>
      <c r="JGH55" s="5">
        <f>-IFERROR('4. NPV'!JGI24/'4. NPV'!JGI$8,0)</f>
        <v>-0.0</v>
      </c>
      <c r="JGI55" s="5">
        <f>-IFERROR('4. NPV'!JGJ24/'4. NPV'!JGJ$8,0)</f>
        <v>-0.0</v>
      </c>
      <c r="JGJ55" s="5">
        <f>-IFERROR('4. NPV'!JGK24/'4. NPV'!JGK$8,0)</f>
        <v>-0.0</v>
      </c>
      <c r="JGK55" s="5">
        <f>-IFERROR('4. NPV'!JGL24/'4. NPV'!JGL$8,0)</f>
        <v>-0.0</v>
      </c>
      <c r="JGL55" s="5">
        <f>-IFERROR('4. NPV'!JGM24/'4. NPV'!JGM$8,0)</f>
        <v>-0.0</v>
      </c>
      <c r="JGM55" s="5">
        <f>-IFERROR('4. NPV'!JGN24/'4. NPV'!JGN$8,0)</f>
        <v>-0.0</v>
      </c>
      <c r="JGN55" s="5">
        <f>-IFERROR('4. NPV'!JGO24/'4. NPV'!JGO$8,0)</f>
        <v>-0.0</v>
      </c>
      <c r="JGO55" s="5">
        <f>-IFERROR('4. NPV'!JGP24/'4. NPV'!JGP$8,0)</f>
        <v>-0.0</v>
      </c>
      <c r="JGP55" s="5">
        <f>-IFERROR('4. NPV'!JGQ24/'4. NPV'!JGQ$8,0)</f>
        <v>-0.0</v>
      </c>
      <c r="JGQ55" s="5">
        <f>-IFERROR('4. NPV'!JGR24/'4. NPV'!JGR$8,0)</f>
        <v>-0.0</v>
      </c>
      <c r="JGR55" s="5">
        <f>-IFERROR('4. NPV'!JGS24/'4. NPV'!JGS$8,0)</f>
        <v>-0.0</v>
      </c>
      <c r="JGS55" s="5">
        <f>-IFERROR('4. NPV'!JGT24/'4. NPV'!JGT$8,0)</f>
        <v>-0.0</v>
      </c>
      <c r="JGT55" s="5">
        <f>-IFERROR('4. NPV'!JGU24/'4. NPV'!JGU$8,0)</f>
        <v>-0.0</v>
      </c>
      <c r="JGU55" s="5">
        <f>-IFERROR('4. NPV'!JGV24/'4. NPV'!JGV$8,0)</f>
        <v>-0.0</v>
      </c>
      <c r="JGV55" s="5">
        <f>-IFERROR('4. NPV'!JGW24/'4. NPV'!JGW$8,0)</f>
        <v>-0.0</v>
      </c>
      <c r="JGW55" s="5">
        <f>-IFERROR('4. NPV'!JGX24/'4. NPV'!JGX$8,0)</f>
        <v>-0.0</v>
      </c>
      <c r="JGX55" s="5">
        <f>-IFERROR('4. NPV'!JGY24/'4. NPV'!JGY$8,0)</f>
        <v>-0.0</v>
      </c>
      <c r="JGY55" s="5">
        <f>-IFERROR('4. NPV'!JGZ24/'4. NPV'!JGZ$8,0)</f>
        <v>-0.0</v>
      </c>
      <c r="JGZ55" s="5">
        <f>-IFERROR('4. NPV'!JHA24/'4. NPV'!JHA$8,0)</f>
        <v>-0.0</v>
      </c>
      <c r="JHA55" s="5">
        <f>-IFERROR('4. NPV'!JHB24/'4. NPV'!JHB$8,0)</f>
        <v>-0.0</v>
      </c>
      <c r="JHB55" s="5">
        <f>-IFERROR('4. NPV'!JHC24/'4. NPV'!JHC$8,0)</f>
        <v>-0.0</v>
      </c>
      <c r="JHC55" s="5">
        <f>-IFERROR('4. NPV'!JHD24/'4. NPV'!JHD$8,0)</f>
        <v>-0.0</v>
      </c>
      <c r="JHD55" s="5">
        <f>-IFERROR('4. NPV'!JHE24/'4. NPV'!JHE$8,0)</f>
        <v>-0.0</v>
      </c>
      <c r="JHE55" s="5">
        <f>-IFERROR('4. NPV'!JHF24/'4. NPV'!JHF$8,0)</f>
        <v>-0.0</v>
      </c>
      <c r="JHF55" s="5">
        <f>-IFERROR('4. NPV'!JHG24/'4. NPV'!JHG$8,0)</f>
        <v>-0.0</v>
      </c>
      <c r="JHG55" s="5">
        <f>-IFERROR('4. NPV'!JHH24/'4. NPV'!JHH$8,0)</f>
        <v>-0.0</v>
      </c>
      <c r="JHH55" s="5">
        <f>-IFERROR('4. NPV'!JHI24/'4. NPV'!JHI$8,0)</f>
        <v>-0.0</v>
      </c>
      <c r="JHI55" s="5">
        <f>-IFERROR('4. NPV'!JHJ24/'4. NPV'!JHJ$8,0)</f>
        <v>-0.0</v>
      </c>
      <c r="JHJ55" s="5">
        <f>-IFERROR('4. NPV'!JHK24/'4. NPV'!JHK$8,0)</f>
        <v>-0.0</v>
      </c>
      <c r="JHK55" s="5">
        <f>-IFERROR('4. NPV'!JHL24/'4. NPV'!JHL$8,0)</f>
        <v>-0.0</v>
      </c>
      <c r="JHL55" s="5">
        <f>-IFERROR('4. NPV'!JHM24/'4. NPV'!JHM$8,0)</f>
        <v>-0.0</v>
      </c>
      <c r="JHM55" s="5">
        <f>-IFERROR('4. NPV'!JHN24/'4. NPV'!JHN$8,0)</f>
        <v>-0.0</v>
      </c>
      <c r="JHN55" s="5">
        <f>-IFERROR('4. NPV'!JHO24/'4. NPV'!JHO$8,0)</f>
        <v>-0.0</v>
      </c>
      <c r="JHO55" s="5">
        <f>-IFERROR('4. NPV'!JHP24/'4. NPV'!JHP$8,0)</f>
        <v>-0.0</v>
      </c>
      <c r="JHP55" s="5">
        <f>-IFERROR('4. NPV'!JHQ24/'4. NPV'!JHQ$8,0)</f>
        <v>-0.0</v>
      </c>
      <c r="JHQ55" s="5">
        <f>-IFERROR('4. NPV'!JHR24/'4. NPV'!JHR$8,0)</f>
        <v>-0.0</v>
      </c>
      <c r="JHR55" s="5">
        <f>-IFERROR('4. NPV'!JHS24/'4. NPV'!JHS$8,0)</f>
        <v>-0.0</v>
      </c>
      <c r="JHS55" s="5">
        <f>-IFERROR('4. NPV'!JHT24/'4. NPV'!JHT$8,0)</f>
        <v>-0.0</v>
      </c>
      <c r="JHT55" s="5">
        <f>-IFERROR('4. NPV'!JHU24/'4. NPV'!JHU$8,0)</f>
        <v>-0.0</v>
      </c>
      <c r="JHU55" s="5">
        <f>-IFERROR('4. NPV'!JHV24/'4. NPV'!JHV$8,0)</f>
        <v>-0.0</v>
      </c>
      <c r="JHV55" s="5">
        <f>-IFERROR('4. NPV'!JHW24/'4. NPV'!JHW$8,0)</f>
        <v>-0.0</v>
      </c>
      <c r="JHW55" s="5">
        <f>-IFERROR('4. NPV'!JHX24/'4. NPV'!JHX$8,0)</f>
        <v>-0.0</v>
      </c>
      <c r="JHX55" s="5">
        <f>-IFERROR('4. NPV'!JHY24/'4. NPV'!JHY$8,0)</f>
        <v>-0.0</v>
      </c>
      <c r="JHY55" s="5">
        <f>-IFERROR('4. NPV'!JHZ24/'4. NPV'!JHZ$8,0)</f>
        <v>-0.0</v>
      </c>
      <c r="JHZ55" s="5">
        <f>-IFERROR('4. NPV'!JIA24/'4. NPV'!JIA$8,0)</f>
        <v>-0.0</v>
      </c>
      <c r="JIA55" s="5">
        <f>-IFERROR('4. NPV'!JIB24/'4. NPV'!JIB$8,0)</f>
        <v>-0.0</v>
      </c>
      <c r="JIB55" s="5">
        <f>-IFERROR('4. NPV'!JIC24/'4. NPV'!JIC$8,0)</f>
        <v>-0.0</v>
      </c>
      <c r="JIC55" s="5">
        <f>-IFERROR('4. NPV'!JID24/'4. NPV'!JID$8,0)</f>
        <v>-0.0</v>
      </c>
      <c r="JID55" s="5">
        <f>-IFERROR('4. NPV'!JIE24/'4. NPV'!JIE$8,0)</f>
        <v>-0.0</v>
      </c>
      <c r="JIE55" s="5">
        <f>-IFERROR('4. NPV'!JIF24/'4. NPV'!JIF$8,0)</f>
        <v>-0.0</v>
      </c>
      <c r="JIF55" s="5">
        <f>-IFERROR('4. NPV'!JIG24/'4. NPV'!JIG$8,0)</f>
        <v>-0.0</v>
      </c>
      <c r="JIG55" s="5">
        <f>-IFERROR('4. NPV'!JIH24/'4. NPV'!JIH$8,0)</f>
        <v>-0.0</v>
      </c>
      <c r="JIH55" s="5">
        <f>-IFERROR('4. NPV'!JII24/'4. NPV'!JII$8,0)</f>
        <v>-0.0</v>
      </c>
      <c r="JII55" s="5">
        <f>-IFERROR('4. NPV'!JIJ24/'4. NPV'!JIJ$8,0)</f>
        <v>-0.0</v>
      </c>
      <c r="JIJ55" s="5">
        <f>-IFERROR('4. NPV'!JIK24/'4. NPV'!JIK$8,0)</f>
        <v>-0.0</v>
      </c>
      <c r="JIK55" s="5">
        <f>-IFERROR('4. NPV'!JIL24/'4. NPV'!JIL$8,0)</f>
        <v>-0.0</v>
      </c>
      <c r="JIL55" s="5">
        <f>-IFERROR('4. NPV'!JIM24/'4. NPV'!JIM$8,0)</f>
        <v>-0.0</v>
      </c>
      <c r="JIM55" s="5">
        <f>-IFERROR('4. NPV'!JIN24/'4. NPV'!JIN$8,0)</f>
        <v>-0.0</v>
      </c>
      <c r="JIN55" s="5">
        <f>-IFERROR('4. NPV'!JIO24/'4. NPV'!JIO$8,0)</f>
        <v>-0.0</v>
      </c>
      <c r="JIO55" s="5">
        <f>-IFERROR('4. NPV'!JIP24/'4. NPV'!JIP$8,0)</f>
        <v>-0.0</v>
      </c>
      <c r="JIP55" s="5">
        <f>-IFERROR('4. NPV'!JIQ24/'4. NPV'!JIQ$8,0)</f>
        <v>-0.0</v>
      </c>
      <c r="JIQ55" s="5">
        <f>-IFERROR('4. NPV'!JIR24/'4. NPV'!JIR$8,0)</f>
        <v>-0.0</v>
      </c>
      <c r="JIR55" s="5">
        <f>-IFERROR('4. NPV'!JIS24/'4. NPV'!JIS$8,0)</f>
        <v>-0.0</v>
      </c>
      <c r="JIS55" s="5">
        <f>-IFERROR('4. NPV'!JIT24/'4. NPV'!JIT$8,0)</f>
        <v>-0.0</v>
      </c>
      <c r="JIT55" s="5">
        <f>-IFERROR('4. NPV'!JIU24/'4. NPV'!JIU$8,0)</f>
        <v>-0.0</v>
      </c>
      <c r="JIU55" s="5">
        <f>-IFERROR('4. NPV'!JIV24/'4. NPV'!JIV$8,0)</f>
        <v>-0.0</v>
      </c>
      <c r="JIV55" s="5">
        <f>-IFERROR('4. NPV'!JIW24/'4. NPV'!JIW$8,0)</f>
        <v>-0.0</v>
      </c>
      <c r="JIW55" s="5">
        <f>-IFERROR('4. NPV'!JIX24/'4. NPV'!JIX$8,0)</f>
        <v>-0.0</v>
      </c>
      <c r="JIX55" s="5">
        <f>-IFERROR('4. NPV'!JIY24/'4. NPV'!JIY$8,0)</f>
        <v>-0.0</v>
      </c>
      <c r="JIY55" s="5">
        <f>-IFERROR('4. NPV'!JIZ24/'4. NPV'!JIZ$8,0)</f>
        <v>-0.0</v>
      </c>
      <c r="JIZ55" s="5">
        <f>-IFERROR('4. NPV'!JJA24/'4. NPV'!JJA$8,0)</f>
        <v>-0.0</v>
      </c>
      <c r="JJA55" s="5">
        <f>-IFERROR('4. NPV'!JJB24/'4. NPV'!JJB$8,0)</f>
        <v>-0.0</v>
      </c>
      <c r="JJB55" s="5">
        <f>-IFERROR('4. NPV'!JJC24/'4. NPV'!JJC$8,0)</f>
        <v>-0.0</v>
      </c>
      <c r="JJC55" s="5">
        <f>-IFERROR('4. NPV'!JJD24/'4. NPV'!JJD$8,0)</f>
        <v>-0.0</v>
      </c>
      <c r="JJD55" s="5">
        <f>-IFERROR('4. NPV'!JJE24/'4. NPV'!JJE$8,0)</f>
        <v>-0.0</v>
      </c>
      <c r="JJE55" s="5">
        <f>-IFERROR('4. NPV'!JJF24/'4. NPV'!JJF$8,0)</f>
        <v>-0.0</v>
      </c>
      <c r="JJF55" s="5">
        <f>-IFERROR('4. NPV'!JJG24/'4. NPV'!JJG$8,0)</f>
        <v>-0.0</v>
      </c>
      <c r="JJG55" s="5">
        <f>-IFERROR('4. NPV'!JJH24/'4. NPV'!JJH$8,0)</f>
        <v>-0.0</v>
      </c>
      <c r="JJH55" s="5">
        <f>-IFERROR('4. NPV'!JJI24/'4. NPV'!JJI$8,0)</f>
        <v>-0.0</v>
      </c>
      <c r="JJI55" s="5">
        <f>-IFERROR('4. NPV'!JJJ24/'4. NPV'!JJJ$8,0)</f>
        <v>-0.0</v>
      </c>
      <c r="JJJ55" s="5">
        <f>-IFERROR('4. NPV'!JJK24/'4. NPV'!JJK$8,0)</f>
        <v>-0.0</v>
      </c>
      <c r="JJK55" s="5">
        <f>-IFERROR('4. NPV'!JJL24/'4. NPV'!JJL$8,0)</f>
        <v>-0.0</v>
      </c>
      <c r="JJL55" s="5">
        <f>-IFERROR('4. NPV'!JJM24/'4. NPV'!JJM$8,0)</f>
        <v>-0.0</v>
      </c>
      <c r="JJM55" s="5">
        <f>-IFERROR('4. NPV'!JJN24/'4. NPV'!JJN$8,0)</f>
        <v>-0.0</v>
      </c>
      <c r="JJN55" s="5">
        <f>-IFERROR('4. NPV'!JJO24/'4. NPV'!JJO$8,0)</f>
        <v>-0.0</v>
      </c>
      <c r="JJO55" s="5">
        <f>-IFERROR('4. NPV'!JJP24/'4. NPV'!JJP$8,0)</f>
        <v>-0.0</v>
      </c>
      <c r="JJP55" s="5">
        <f>-IFERROR('4. NPV'!JJQ24/'4. NPV'!JJQ$8,0)</f>
        <v>-0.0</v>
      </c>
      <c r="JJQ55" s="5">
        <f>-IFERROR('4. NPV'!JJR24/'4. NPV'!JJR$8,0)</f>
        <v>-0.0</v>
      </c>
      <c r="JJR55" s="5">
        <f>-IFERROR('4. NPV'!JJS24/'4. NPV'!JJS$8,0)</f>
        <v>-0.0</v>
      </c>
      <c r="JJS55" s="5">
        <f>-IFERROR('4. NPV'!JJT24/'4. NPV'!JJT$8,0)</f>
        <v>-0.0</v>
      </c>
      <c r="JJT55" s="5">
        <f>-IFERROR('4. NPV'!JJU24/'4. NPV'!JJU$8,0)</f>
        <v>-0.0</v>
      </c>
      <c r="JJU55" s="5">
        <f>-IFERROR('4. NPV'!JJV24/'4. NPV'!JJV$8,0)</f>
        <v>-0.0</v>
      </c>
      <c r="JJV55" s="5">
        <f>-IFERROR('4. NPV'!JJW24/'4. NPV'!JJW$8,0)</f>
        <v>-0.0</v>
      </c>
      <c r="JJW55" s="5">
        <f>-IFERROR('4. NPV'!JJX24/'4. NPV'!JJX$8,0)</f>
        <v>-0.0</v>
      </c>
      <c r="JJX55" s="5">
        <f>-IFERROR('4. NPV'!JJY24/'4. NPV'!JJY$8,0)</f>
        <v>-0.0</v>
      </c>
      <c r="JJY55" s="5">
        <f>-IFERROR('4. NPV'!JJZ24/'4. NPV'!JJZ$8,0)</f>
        <v>-0.0</v>
      </c>
      <c r="JJZ55" s="5">
        <f>-IFERROR('4. NPV'!JKA24/'4. NPV'!JKA$8,0)</f>
        <v>-0.0</v>
      </c>
      <c r="JKA55" s="5">
        <f>-IFERROR('4. NPV'!JKB24/'4. NPV'!JKB$8,0)</f>
        <v>-0.0</v>
      </c>
      <c r="JKB55" s="5">
        <f>-IFERROR('4. NPV'!JKC24/'4. NPV'!JKC$8,0)</f>
        <v>-0.0</v>
      </c>
      <c r="JKC55" s="5">
        <f>-IFERROR('4. NPV'!JKD24/'4. NPV'!JKD$8,0)</f>
        <v>-0.0</v>
      </c>
      <c r="JKD55" s="5">
        <f>-IFERROR('4. NPV'!JKE24/'4. NPV'!JKE$8,0)</f>
        <v>-0.0</v>
      </c>
      <c r="JKE55" s="5">
        <f>-IFERROR('4. NPV'!JKF24/'4. NPV'!JKF$8,0)</f>
        <v>-0.0</v>
      </c>
      <c r="JKF55" s="5">
        <f>-IFERROR('4. NPV'!JKG24/'4. NPV'!JKG$8,0)</f>
        <v>-0.0</v>
      </c>
      <c r="JKG55" s="5">
        <f>-IFERROR('4. NPV'!JKH24/'4. NPV'!JKH$8,0)</f>
        <v>-0.0</v>
      </c>
      <c r="JKH55" s="5">
        <f>-IFERROR('4. NPV'!JKI24/'4. NPV'!JKI$8,0)</f>
        <v>-0.0</v>
      </c>
      <c r="JKI55" s="5">
        <f>-IFERROR('4. NPV'!JKJ24/'4. NPV'!JKJ$8,0)</f>
        <v>-0.0</v>
      </c>
      <c r="JKJ55" s="5">
        <f>-IFERROR('4. NPV'!JKK24/'4. NPV'!JKK$8,0)</f>
        <v>-0.0</v>
      </c>
      <c r="JKK55" s="5">
        <f>-IFERROR('4. NPV'!JKL24/'4. NPV'!JKL$8,0)</f>
        <v>-0.0</v>
      </c>
      <c r="JKL55" s="5">
        <f>-IFERROR('4. NPV'!JKM24/'4. NPV'!JKM$8,0)</f>
        <v>-0.0</v>
      </c>
      <c r="JKM55" s="5">
        <f>-IFERROR('4. NPV'!JKN24/'4. NPV'!JKN$8,0)</f>
        <v>-0.0</v>
      </c>
      <c r="JKN55" s="5">
        <f>-IFERROR('4. NPV'!JKO24/'4. NPV'!JKO$8,0)</f>
        <v>-0.0</v>
      </c>
      <c r="JKO55" s="5">
        <f>-IFERROR('4. NPV'!JKP24/'4. NPV'!JKP$8,0)</f>
        <v>-0.0</v>
      </c>
      <c r="JKP55" s="5">
        <f>-IFERROR('4. NPV'!JKQ24/'4. NPV'!JKQ$8,0)</f>
        <v>-0.0</v>
      </c>
      <c r="JKQ55" s="5">
        <f>-IFERROR('4. NPV'!JKR24/'4. NPV'!JKR$8,0)</f>
        <v>-0.0</v>
      </c>
      <c r="JKR55" s="5">
        <f>-IFERROR('4. NPV'!JKS24/'4. NPV'!JKS$8,0)</f>
        <v>-0.0</v>
      </c>
      <c r="JKS55" s="5">
        <f>-IFERROR('4. NPV'!JKT24/'4. NPV'!JKT$8,0)</f>
        <v>-0.0</v>
      </c>
      <c r="JKT55" s="5">
        <f>-IFERROR('4. NPV'!JKU24/'4. NPV'!JKU$8,0)</f>
        <v>-0.0</v>
      </c>
      <c r="JKU55" s="5">
        <f>-IFERROR('4. NPV'!JKV24/'4. NPV'!JKV$8,0)</f>
        <v>-0.0</v>
      </c>
      <c r="JKV55" s="5">
        <f>-IFERROR('4. NPV'!JKW24/'4. NPV'!JKW$8,0)</f>
        <v>-0.0</v>
      </c>
      <c r="JKW55" s="5">
        <f>-IFERROR('4. NPV'!JKX24/'4. NPV'!JKX$8,0)</f>
        <v>-0.0</v>
      </c>
      <c r="JKX55" s="5">
        <f>-IFERROR('4. NPV'!JKY24/'4. NPV'!JKY$8,0)</f>
        <v>-0.0</v>
      </c>
      <c r="JKY55" s="5">
        <f>-IFERROR('4. NPV'!JKZ24/'4. NPV'!JKZ$8,0)</f>
        <v>-0.0</v>
      </c>
      <c r="JKZ55" s="5">
        <f>-IFERROR('4. NPV'!JLA24/'4. NPV'!JLA$8,0)</f>
        <v>-0.0</v>
      </c>
      <c r="JLA55" s="5">
        <f>-IFERROR('4. NPV'!JLB24/'4. NPV'!JLB$8,0)</f>
        <v>-0.0</v>
      </c>
      <c r="JLB55" s="5">
        <f>-IFERROR('4. NPV'!JLC24/'4. NPV'!JLC$8,0)</f>
        <v>-0.0</v>
      </c>
      <c r="JLC55" s="5">
        <f>-IFERROR('4. NPV'!JLD24/'4. NPV'!JLD$8,0)</f>
        <v>-0.0</v>
      </c>
      <c r="JLD55" s="5">
        <f>-IFERROR('4. NPV'!JLE24/'4. NPV'!JLE$8,0)</f>
        <v>-0.0</v>
      </c>
      <c r="JLE55" s="5">
        <f>-IFERROR('4. NPV'!JLF24/'4. NPV'!JLF$8,0)</f>
        <v>-0.0</v>
      </c>
      <c r="JLF55" s="5">
        <f>-IFERROR('4. NPV'!JLG24/'4. NPV'!JLG$8,0)</f>
        <v>-0.0</v>
      </c>
      <c r="JLG55" s="5">
        <f>-IFERROR('4. NPV'!JLH24/'4. NPV'!JLH$8,0)</f>
        <v>-0.0</v>
      </c>
      <c r="JLH55" s="5">
        <f>-IFERROR('4. NPV'!JLI24/'4. NPV'!JLI$8,0)</f>
        <v>-0.0</v>
      </c>
      <c r="JLI55" s="5">
        <f>-IFERROR('4. NPV'!JLJ24/'4. NPV'!JLJ$8,0)</f>
        <v>-0.0</v>
      </c>
      <c r="JLJ55" s="5">
        <f>-IFERROR('4. NPV'!JLK24/'4. NPV'!JLK$8,0)</f>
        <v>-0.0</v>
      </c>
      <c r="JLK55" s="5">
        <f>-IFERROR('4. NPV'!JLL24/'4. NPV'!JLL$8,0)</f>
        <v>-0.0</v>
      </c>
      <c r="JLL55" s="5">
        <f>-IFERROR('4. NPV'!JLM24/'4. NPV'!JLM$8,0)</f>
        <v>-0.0</v>
      </c>
      <c r="JLM55" s="5">
        <f>-IFERROR('4. NPV'!JLN24/'4. NPV'!JLN$8,0)</f>
        <v>-0.0</v>
      </c>
      <c r="JLN55" s="5">
        <f>-IFERROR('4. NPV'!JLO24/'4. NPV'!JLO$8,0)</f>
        <v>-0.0</v>
      </c>
      <c r="JLO55" s="5">
        <f>-IFERROR('4. NPV'!JLP24/'4. NPV'!JLP$8,0)</f>
        <v>-0.0</v>
      </c>
      <c r="JLP55" s="5">
        <f>-IFERROR('4. NPV'!JLQ24/'4. NPV'!JLQ$8,0)</f>
        <v>-0.0</v>
      </c>
      <c r="JLQ55" s="5">
        <f>-IFERROR('4. NPV'!JLR24/'4. NPV'!JLR$8,0)</f>
        <v>-0.0</v>
      </c>
      <c r="JLR55" s="5">
        <f>-IFERROR('4. NPV'!JLS24/'4. NPV'!JLS$8,0)</f>
        <v>-0.0</v>
      </c>
      <c r="JLS55" s="5">
        <f>-IFERROR('4. NPV'!JLT24/'4. NPV'!JLT$8,0)</f>
        <v>-0.0</v>
      </c>
      <c r="JLT55" s="5">
        <f>-IFERROR('4. NPV'!JLU24/'4. NPV'!JLU$8,0)</f>
        <v>-0.0</v>
      </c>
      <c r="JLU55" s="5">
        <f>-IFERROR('4. NPV'!JLV24/'4. NPV'!JLV$8,0)</f>
        <v>-0.0</v>
      </c>
      <c r="JLV55" s="5">
        <f>-IFERROR('4. NPV'!JLW24/'4. NPV'!JLW$8,0)</f>
        <v>-0.0</v>
      </c>
      <c r="JLW55" s="5">
        <f>-IFERROR('4. NPV'!JLX24/'4. NPV'!JLX$8,0)</f>
        <v>-0.0</v>
      </c>
      <c r="JLX55" s="5">
        <f>-IFERROR('4. NPV'!JLY24/'4. NPV'!JLY$8,0)</f>
        <v>-0.0</v>
      </c>
      <c r="JLY55" s="5">
        <f>-IFERROR('4. NPV'!JLZ24/'4. NPV'!JLZ$8,0)</f>
        <v>-0.0</v>
      </c>
      <c r="JLZ55" s="5">
        <f>-IFERROR('4. NPV'!JMA24/'4. NPV'!JMA$8,0)</f>
        <v>-0.0</v>
      </c>
      <c r="JMA55" s="5">
        <f>-IFERROR('4. NPV'!JMB24/'4. NPV'!JMB$8,0)</f>
        <v>-0.0</v>
      </c>
      <c r="JMB55" s="5">
        <f>-IFERROR('4. NPV'!JMC24/'4. NPV'!JMC$8,0)</f>
        <v>-0.0</v>
      </c>
      <c r="JMC55" s="5">
        <f>-IFERROR('4. NPV'!JMD24/'4. NPV'!JMD$8,0)</f>
        <v>-0.0</v>
      </c>
      <c r="JMD55" s="5">
        <f>-IFERROR('4. NPV'!JME24/'4. NPV'!JME$8,0)</f>
        <v>-0.0</v>
      </c>
      <c r="JME55" s="5">
        <f>-IFERROR('4. NPV'!JMF24/'4. NPV'!JMF$8,0)</f>
        <v>-0.0</v>
      </c>
      <c r="JMF55" s="5">
        <f>-IFERROR('4. NPV'!JMG24/'4. NPV'!JMG$8,0)</f>
        <v>-0.0</v>
      </c>
      <c r="JMG55" s="5">
        <f>-IFERROR('4. NPV'!JMH24/'4. NPV'!JMH$8,0)</f>
        <v>-0.0</v>
      </c>
      <c r="JMH55" s="5">
        <f>-IFERROR('4. NPV'!JMI24/'4. NPV'!JMI$8,0)</f>
        <v>-0.0</v>
      </c>
      <c r="JMI55" s="5">
        <f>-IFERROR('4. NPV'!JMJ24/'4. NPV'!JMJ$8,0)</f>
        <v>-0.0</v>
      </c>
      <c r="JMJ55" s="5">
        <f>-IFERROR('4. NPV'!JMK24/'4. NPV'!JMK$8,0)</f>
        <v>-0.0</v>
      </c>
      <c r="JMK55" s="5">
        <f>-IFERROR('4. NPV'!JML24/'4. NPV'!JML$8,0)</f>
        <v>-0.0</v>
      </c>
      <c r="JML55" s="5">
        <f>-IFERROR('4. NPV'!JMM24/'4. NPV'!JMM$8,0)</f>
        <v>-0.0</v>
      </c>
      <c r="JMM55" s="5">
        <f>-IFERROR('4. NPV'!JMN24/'4. NPV'!JMN$8,0)</f>
        <v>-0.0</v>
      </c>
      <c r="JMN55" s="5">
        <f>-IFERROR('4. NPV'!JMO24/'4. NPV'!JMO$8,0)</f>
        <v>-0.0</v>
      </c>
      <c r="JMO55" s="5">
        <f>-IFERROR('4. NPV'!JMP24/'4. NPV'!JMP$8,0)</f>
        <v>-0.0</v>
      </c>
      <c r="JMP55" s="5">
        <f>-IFERROR('4. NPV'!JMQ24/'4. NPV'!JMQ$8,0)</f>
        <v>-0.0</v>
      </c>
      <c r="JMQ55" s="5">
        <f>-IFERROR('4. NPV'!JMR24/'4. NPV'!JMR$8,0)</f>
        <v>-0.0</v>
      </c>
      <c r="JMR55" s="5">
        <f>-IFERROR('4. NPV'!JMS24/'4. NPV'!JMS$8,0)</f>
        <v>-0.0</v>
      </c>
      <c r="JMS55" s="5">
        <f>-IFERROR('4. NPV'!JMT24/'4. NPV'!JMT$8,0)</f>
        <v>-0.0</v>
      </c>
      <c r="JMT55" s="5">
        <f>-IFERROR('4. NPV'!JMU24/'4. NPV'!JMU$8,0)</f>
        <v>-0.0</v>
      </c>
      <c r="JMU55" s="5">
        <f>-IFERROR('4. NPV'!JMV24/'4. NPV'!JMV$8,0)</f>
        <v>-0.0</v>
      </c>
      <c r="JMV55" s="5">
        <f>-IFERROR('4. NPV'!JMW24/'4. NPV'!JMW$8,0)</f>
        <v>-0.0</v>
      </c>
      <c r="JMW55" s="5">
        <f>-IFERROR('4. NPV'!JMX24/'4. NPV'!JMX$8,0)</f>
        <v>-0.0</v>
      </c>
      <c r="JMX55" s="5">
        <f>-IFERROR('4. NPV'!JMY24/'4. NPV'!JMY$8,0)</f>
        <v>-0.0</v>
      </c>
      <c r="JMY55" s="5">
        <f>-IFERROR('4. NPV'!JMZ24/'4. NPV'!JMZ$8,0)</f>
        <v>-0.0</v>
      </c>
      <c r="JMZ55" s="5">
        <f>-IFERROR('4. NPV'!JNA24/'4. NPV'!JNA$8,0)</f>
        <v>-0.0</v>
      </c>
      <c r="JNA55" s="5">
        <f>-IFERROR('4. NPV'!JNB24/'4. NPV'!JNB$8,0)</f>
        <v>-0.0</v>
      </c>
      <c r="JNB55" s="5">
        <f>-IFERROR('4. NPV'!JNC24/'4. NPV'!JNC$8,0)</f>
        <v>-0.0</v>
      </c>
      <c r="JNC55" s="5">
        <f>-IFERROR('4. NPV'!JND24/'4. NPV'!JND$8,0)</f>
        <v>-0.0</v>
      </c>
      <c r="JND55" s="5">
        <f>-IFERROR('4. NPV'!JNE24/'4. NPV'!JNE$8,0)</f>
        <v>-0.0</v>
      </c>
      <c r="JNE55" s="5">
        <f>-IFERROR('4. NPV'!JNF24/'4. NPV'!JNF$8,0)</f>
        <v>-0.0</v>
      </c>
      <c r="JNF55" s="5">
        <f>-IFERROR('4. NPV'!JNG24/'4. NPV'!JNG$8,0)</f>
        <v>-0.0</v>
      </c>
      <c r="JNG55" s="5">
        <f>-IFERROR('4. NPV'!JNH24/'4. NPV'!JNH$8,0)</f>
        <v>-0.0</v>
      </c>
      <c r="JNH55" s="5">
        <f>-IFERROR('4. NPV'!JNI24/'4. NPV'!JNI$8,0)</f>
        <v>-0.0</v>
      </c>
      <c r="JNI55" s="5">
        <f>-IFERROR('4. NPV'!JNJ24/'4. NPV'!JNJ$8,0)</f>
        <v>-0.0</v>
      </c>
      <c r="JNJ55" s="5">
        <f>-IFERROR('4. NPV'!JNK24/'4. NPV'!JNK$8,0)</f>
        <v>-0.0</v>
      </c>
      <c r="JNK55" s="5">
        <f>-IFERROR('4. NPV'!JNL24/'4. NPV'!JNL$8,0)</f>
        <v>-0.0</v>
      </c>
      <c r="JNL55" s="5">
        <f>-IFERROR('4. NPV'!JNM24/'4. NPV'!JNM$8,0)</f>
        <v>-0.0</v>
      </c>
      <c r="JNM55" s="5">
        <f>-IFERROR('4. NPV'!JNN24/'4. NPV'!JNN$8,0)</f>
        <v>-0.0</v>
      </c>
      <c r="JNN55" s="5">
        <f>-IFERROR('4. NPV'!JNO24/'4. NPV'!JNO$8,0)</f>
        <v>-0.0</v>
      </c>
      <c r="JNO55" s="5">
        <f>-IFERROR('4. NPV'!JNP24/'4. NPV'!JNP$8,0)</f>
        <v>-0.0</v>
      </c>
      <c r="JNP55" s="5">
        <f>-IFERROR('4. NPV'!JNQ24/'4. NPV'!JNQ$8,0)</f>
        <v>-0.0</v>
      </c>
      <c r="JNQ55" s="5">
        <f>-IFERROR('4. NPV'!JNR24/'4. NPV'!JNR$8,0)</f>
        <v>-0.0</v>
      </c>
      <c r="JNR55" s="5">
        <f>-IFERROR('4. NPV'!JNS24/'4. NPV'!JNS$8,0)</f>
        <v>-0.0</v>
      </c>
      <c r="JNS55" s="5">
        <f>-IFERROR('4. NPV'!JNT24/'4. NPV'!JNT$8,0)</f>
        <v>-0.0</v>
      </c>
      <c r="JNT55" s="5">
        <f>-IFERROR('4. NPV'!JNU24/'4. NPV'!JNU$8,0)</f>
        <v>-0.0</v>
      </c>
      <c r="JNU55" s="5">
        <f>-IFERROR('4. NPV'!JNV24/'4. NPV'!JNV$8,0)</f>
        <v>-0.0</v>
      </c>
      <c r="JNV55" s="5">
        <f>-IFERROR('4. NPV'!JNW24/'4. NPV'!JNW$8,0)</f>
        <v>-0.0</v>
      </c>
      <c r="JNW55" s="5">
        <f>-IFERROR('4. NPV'!JNX24/'4. NPV'!JNX$8,0)</f>
        <v>-0.0</v>
      </c>
      <c r="JNX55" s="5">
        <f>-IFERROR('4. NPV'!JNY24/'4. NPV'!JNY$8,0)</f>
        <v>-0.0</v>
      </c>
      <c r="JNY55" s="5">
        <f>-IFERROR('4. NPV'!JNZ24/'4. NPV'!JNZ$8,0)</f>
        <v>-0.0</v>
      </c>
      <c r="JNZ55" s="5">
        <f>-IFERROR('4. NPV'!JOA24/'4. NPV'!JOA$8,0)</f>
        <v>-0.0</v>
      </c>
      <c r="JOA55" s="5">
        <f>-IFERROR('4. NPV'!JOB24/'4. NPV'!JOB$8,0)</f>
        <v>-0.0</v>
      </c>
      <c r="JOB55" s="5">
        <f>-IFERROR('4. NPV'!JOC24/'4. NPV'!JOC$8,0)</f>
        <v>-0.0</v>
      </c>
      <c r="JOC55" s="5">
        <f>-IFERROR('4. NPV'!JOD24/'4. NPV'!JOD$8,0)</f>
        <v>-0.0</v>
      </c>
      <c r="JOD55" s="5">
        <f>-IFERROR('4. NPV'!JOE24/'4. NPV'!JOE$8,0)</f>
        <v>-0.0</v>
      </c>
      <c r="JOE55" s="5">
        <f>-IFERROR('4. NPV'!JOF24/'4. NPV'!JOF$8,0)</f>
        <v>-0.0</v>
      </c>
      <c r="JOF55" s="5">
        <f>-IFERROR('4. NPV'!JOG24/'4. NPV'!JOG$8,0)</f>
        <v>-0.0</v>
      </c>
      <c r="JOG55" s="5">
        <f>-IFERROR('4. NPV'!JOH24/'4. NPV'!JOH$8,0)</f>
        <v>-0.0</v>
      </c>
      <c r="JOH55" s="5">
        <f>-IFERROR('4. NPV'!JOI24/'4. NPV'!JOI$8,0)</f>
        <v>-0.0</v>
      </c>
      <c r="JOI55" s="5">
        <f>-IFERROR('4. NPV'!JOJ24/'4. NPV'!JOJ$8,0)</f>
        <v>-0.0</v>
      </c>
      <c r="JOJ55" s="5">
        <f>-IFERROR('4. NPV'!JOK24/'4. NPV'!JOK$8,0)</f>
        <v>-0.0</v>
      </c>
      <c r="JOK55" s="5">
        <f>-IFERROR('4. NPV'!JOL24/'4. NPV'!JOL$8,0)</f>
        <v>-0.0</v>
      </c>
      <c r="JOL55" s="5">
        <f>-IFERROR('4. NPV'!JOM24/'4. NPV'!JOM$8,0)</f>
        <v>-0.0</v>
      </c>
      <c r="JOM55" s="5">
        <f>-IFERROR('4. NPV'!JON24/'4. NPV'!JON$8,0)</f>
        <v>-0.0</v>
      </c>
      <c r="JON55" s="5">
        <f>-IFERROR('4. NPV'!JOO24/'4. NPV'!JOO$8,0)</f>
        <v>-0.0</v>
      </c>
      <c r="JOO55" s="5">
        <f>-IFERROR('4. NPV'!JOP24/'4. NPV'!JOP$8,0)</f>
        <v>-0.0</v>
      </c>
      <c r="JOP55" s="5">
        <f>-IFERROR('4. NPV'!JOQ24/'4. NPV'!JOQ$8,0)</f>
        <v>-0.0</v>
      </c>
      <c r="JOQ55" s="5">
        <f>-IFERROR('4. NPV'!JOR24/'4. NPV'!JOR$8,0)</f>
        <v>-0.0</v>
      </c>
      <c r="JOR55" s="5">
        <f>-IFERROR('4. NPV'!JOS24/'4. NPV'!JOS$8,0)</f>
        <v>-0.0</v>
      </c>
      <c r="JOS55" s="5">
        <f>-IFERROR('4. NPV'!JOT24/'4. NPV'!JOT$8,0)</f>
        <v>-0.0</v>
      </c>
      <c r="JOT55" s="5">
        <f>-IFERROR('4. NPV'!JOU24/'4. NPV'!JOU$8,0)</f>
        <v>-0.0</v>
      </c>
      <c r="JOU55" s="5">
        <f>-IFERROR('4. NPV'!JOV24/'4. NPV'!JOV$8,0)</f>
        <v>-0.0</v>
      </c>
      <c r="JOV55" s="5">
        <f>-IFERROR('4. NPV'!JOW24/'4. NPV'!JOW$8,0)</f>
        <v>-0.0</v>
      </c>
      <c r="JOW55" s="5">
        <f>-IFERROR('4. NPV'!JOX24/'4. NPV'!JOX$8,0)</f>
        <v>-0.0</v>
      </c>
      <c r="JOX55" s="5">
        <f>-IFERROR('4. NPV'!JOY24/'4. NPV'!JOY$8,0)</f>
        <v>-0.0</v>
      </c>
      <c r="JOY55" s="5">
        <f>-IFERROR('4. NPV'!JOZ24/'4. NPV'!JOZ$8,0)</f>
        <v>-0.0</v>
      </c>
      <c r="JOZ55" s="5">
        <f>-IFERROR('4. NPV'!JPA24/'4. NPV'!JPA$8,0)</f>
        <v>-0.0</v>
      </c>
      <c r="JPA55" s="5">
        <f>-IFERROR('4. NPV'!JPB24/'4. NPV'!JPB$8,0)</f>
        <v>-0.0</v>
      </c>
      <c r="JPB55" s="5">
        <f>-IFERROR('4. NPV'!JPC24/'4. NPV'!JPC$8,0)</f>
        <v>-0.0</v>
      </c>
      <c r="JPC55" s="5">
        <f>-IFERROR('4. NPV'!JPD24/'4. NPV'!JPD$8,0)</f>
        <v>-0.0</v>
      </c>
      <c r="JPD55" s="5">
        <f>-IFERROR('4. NPV'!JPE24/'4. NPV'!JPE$8,0)</f>
        <v>-0.0</v>
      </c>
      <c r="JPE55" s="5">
        <f>-IFERROR('4. NPV'!JPF24/'4. NPV'!JPF$8,0)</f>
        <v>-0.0</v>
      </c>
      <c r="JPF55" s="5">
        <f>-IFERROR('4. NPV'!JPG24/'4. NPV'!JPG$8,0)</f>
        <v>-0.0</v>
      </c>
      <c r="JPG55" s="5">
        <f>-IFERROR('4. NPV'!JPH24/'4. NPV'!JPH$8,0)</f>
        <v>-0.0</v>
      </c>
      <c r="JPH55" s="5">
        <f>-IFERROR('4. NPV'!JPI24/'4. NPV'!JPI$8,0)</f>
        <v>-0.0</v>
      </c>
      <c r="JPI55" s="5">
        <f>-IFERROR('4. NPV'!JPJ24/'4. NPV'!JPJ$8,0)</f>
        <v>-0.0</v>
      </c>
      <c r="JPJ55" s="5">
        <f>-IFERROR('4. NPV'!JPK24/'4. NPV'!JPK$8,0)</f>
        <v>-0.0</v>
      </c>
      <c r="JPK55" s="5">
        <f>-IFERROR('4. NPV'!JPL24/'4. NPV'!JPL$8,0)</f>
        <v>-0.0</v>
      </c>
      <c r="JPL55" s="5">
        <f>-IFERROR('4. NPV'!JPM24/'4. NPV'!JPM$8,0)</f>
        <v>-0.0</v>
      </c>
      <c r="JPM55" s="5">
        <f>-IFERROR('4. NPV'!JPN24/'4. NPV'!JPN$8,0)</f>
        <v>-0.0</v>
      </c>
      <c r="JPN55" s="5">
        <f>-IFERROR('4. NPV'!JPO24/'4. NPV'!JPO$8,0)</f>
        <v>-0.0</v>
      </c>
      <c r="JPO55" s="5">
        <f>-IFERROR('4. NPV'!JPP24/'4. NPV'!JPP$8,0)</f>
        <v>-0.0</v>
      </c>
      <c r="JPP55" s="5">
        <f>-IFERROR('4. NPV'!JPQ24/'4. NPV'!JPQ$8,0)</f>
        <v>-0.0</v>
      </c>
      <c r="JPQ55" s="5">
        <f>-IFERROR('4. NPV'!JPR24/'4. NPV'!JPR$8,0)</f>
        <v>-0.0</v>
      </c>
      <c r="JPR55" s="5">
        <f>-IFERROR('4. NPV'!JPS24/'4. NPV'!JPS$8,0)</f>
        <v>-0.0</v>
      </c>
      <c r="JPS55" s="5">
        <f>-IFERROR('4. NPV'!JPT24/'4. NPV'!JPT$8,0)</f>
        <v>-0.0</v>
      </c>
      <c r="JPT55" s="5">
        <f>-IFERROR('4. NPV'!JPU24/'4. NPV'!JPU$8,0)</f>
        <v>-0.0</v>
      </c>
      <c r="JPU55" s="5">
        <f>-IFERROR('4. NPV'!JPV24/'4. NPV'!JPV$8,0)</f>
        <v>-0.0</v>
      </c>
      <c r="JPV55" s="5">
        <f>-IFERROR('4. NPV'!JPW24/'4. NPV'!JPW$8,0)</f>
        <v>-0.0</v>
      </c>
      <c r="JPW55" s="5">
        <f>-IFERROR('4. NPV'!JPX24/'4. NPV'!JPX$8,0)</f>
        <v>-0.0</v>
      </c>
      <c r="JPX55" s="5">
        <f>-IFERROR('4. NPV'!JPY24/'4. NPV'!JPY$8,0)</f>
        <v>-0.0</v>
      </c>
      <c r="JPY55" s="5">
        <f>-IFERROR('4. NPV'!JPZ24/'4. NPV'!JPZ$8,0)</f>
        <v>-0.0</v>
      </c>
      <c r="JPZ55" s="5">
        <f>-IFERROR('4. NPV'!JQA24/'4. NPV'!JQA$8,0)</f>
        <v>-0.0</v>
      </c>
      <c r="JQA55" s="5">
        <f>-IFERROR('4. NPV'!JQB24/'4. NPV'!JQB$8,0)</f>
        <v>-0.0</v>
      </c>
      <c r="JQB55" s="5">
        <f>-IFERROR('4. NPV'!JQC24/'4. NPV'!JQC$8,0)</f>
        <v>-0.0</v>
      </c>
      <c r="JQC55" s="5">
        <f>-IFERROR('4. NPV'!JQD24/'4. NPV'!JQD$8,0)</f>
        <v>-0.0</v>
      </c>
      <c r="JQD55" s="5">
        <f>-IFERROR('4. NPV'!JQE24/'4. NPV'!JQE$8,0)</f>
        <v>-0.0</v>
      </c>
      <c r="JQE55" s="5">
        <f>-IFERROR('4. NPV'!JQF24/'4. NPV'!JQF$8,0)</f>
        <v>-0.0</v>
      </c>
      <c r="JQF55" s="5">
        <f>-IFERROR('4. NPV'!JQG24/'4. NPV'!JQG$8,0)</f>
        <v>-0.0</v>
      </c>
      <c r="JQG55" s="5">
        <f>-IFERROR('4. NPV'!JQH24/'4. NPV'!JQH$8,0)</f>
        <v>-0.0</v>
      </c>
      <c r="JQH55" s="5">
        <f>-IFERROR('4. NPV'!JQI24/'4. NPV'!JQI$8,0)</f>
        <v>-0.0</v>
      </c>
      <c r="JQI55" s="5">
        <f>-IFERROR('4. NPV'!JQJ24/'4. NPV'!JQJ$8,0)</f>
        <v>-0.0</v>
      </c>
      <c r="JQJ55" s="5">
        <f>-IFERROR('4. NPV'!JQK24/'4. NPV'!JQK$8,0)</f>
        <v>-0.0</v>
      </c>
      <c r="JQK55" s="5">
        <f>-IFERROR('4. NPV'!JQL24/'4. NPV'!JQL$8,0)</f>
        <v>-0.0</v>
      </c>
      <c r="JQL55" s="5">
        <f>-IFERROR('4. NPV'!JQM24/'4. NPV'!JQM$8,0)</f>
        <v>-0.0</v>
      </c>
      <c r="JQM55" s="5">
        <f>-IFERROR('4. NPV'!JQN24/'4. NPV'!JQN$8,0)</f>
        <v>-0.0</v>
      </c>
      <c r="JQN55" s="5">
        <f>-IFERROR('4. NPV'!JQO24/'4. NPV'!JQO$8,0)</f>
        <v>-0.0</v>
      </c>
      <c r="JQO55" s="5">
        <f>-IFERROR('4. NPV'!JQP24/'4. NPV'!JQP$8,0)</f>
        <v>-0.0</v>
      </c>
      <c r="JQP55" s="5">
        <f>-IFERROR('4. NPV'!JQQ24/'4. NPV'!JQQ$8,0)</f>
        <v>-0.0</v>
      </c>
      <c r="JQQ55" s="5">
        <f>-IFERROR('4. NPV'!JQR24/'4. NPV'!JQR$8,0)</f>
        <v>-0.0</v>
      </c>
      <c r="JQR55" s="5">
        <f>-IFERROR('4. NPV'!JQS24/'4. NPV'!JQS$8,0)</f>
        <v>-0.0</v>
      </c>
      <c r="JQS55" s="5">
        <f>-IFERROR('4. NPV'!JQT24/'4. NPV'!JQT$8,0)</f>
        <v>-0.0</v>
      </c>
      <c r="JQT55" s="5">
        <f>-IFERROR('4. NPV'!JQU24/'4. NPV'!JQU$8,0)</f>
        <v>-0.0</v>
      </c>
      <c r="JQU55" s="5">
        <f>-IFERROR('4. NPV'!JQV24/'4. NPV'!JQV$8,0)</f>
        <v>-0.0</v>
      </c>
      <c r="JQV55" s="5">
        <f>-IFERROR('4. NPV'!JQW24/'4. NPV'!JQW$8,0)</f>
        <v>-0.0</v>
      </c>
      <c r="JQW55" s="5">
        <f>-IFERROR('4. NPV'!JQX24/'4. NPV'!JQX$8,0)</f>
        <v>-0.0</v>
      </c>
      <c r="JQX55" s="5">
        <f>-IFERROR('4. NPV'!JQY24/'4. NPV'!JQY$8,0)</f>
        <v>-0.0</v>
      </c>
      <c r="JQY55" s="5">
        <f>-IFERROR('4. NPV'!JQZ24/'4. NPV'!JQZ$8,0)</f>
        <v>-0.0</v>
      </c>
      <c r="JQZ55" s="5">
        <f>-IFERROR('4. NPV'!JRA24/'4. NPV'!JRA$8,0)</f>
        <v>-0.0</v>
      </c>
      <c r="JRA55" s="5">
        <f>-IFERROR('4. NPV'!JRB24/'4. NPV'!JRB$8,0)</f>
        <v>-0.0</v>
      </c>
      <c r="JRB55" s="5">
        <f>-IFERROR('4. NPV'!JRC24/'4. NPV'!JRC$8,0)</f>
        <v>-0.0</v>
      </c>
      <c r="JRC55" s="5">
        <f>-IFERROR('4. NPV'!JRD24/'4. NPV'!JRD$8,0)</f>
        <v>-0.0</v>
      </c>
      <c r="JRD55" s="5">
        <f>-IFERROR('4. NPV'!JRE24/'4. NPV'!JRE$8,0)</f>
        <v>-0.0</v>
      </c>
      <c r="JRE55" s="5">
        <f>-IFERROR('4. NPV'!JRF24/'4. NPV'!JRF$8,0)</f>
        <v>-0.0</v>
      </c>
      <c r="JRF55" s="5">
        <f>-IFERROR('4. NPV'!JRG24/'4. NPV'!JRG$8,0)</f>
        <v>-0.0</v>
      </c>
      <c r="JRG55" s="5">
        <f>-IFERROR('4. NPV'!JRH24/'4. NPV'!JRH$8,0)</f>
        <v>-0.0</v>
      </c>
      <c r="JRH55" s="5">
        <f>-IFERROR('4. NPV'!JRI24/'4. NPV'!JRI$8,0)</f>
        <v>-0.0</v>
      </c>
      <c r="JRI55" s="5">
        <f>-IFERROR('4. NPV'!JRJ24/'4. NPV'!JRJ$8,0)</f>
        <v>-0.0</v>
      </c>
      <c r="JRJ55" s="5">
        <f>-IFERROR('4. NPV'!JRK24/'4. NPV'!JRK$8,0)</f>
        <v>-0.0</v>
      </c>
      <c r="JRK55" s="5">
        <f>-IFERROR('4. NPV'!JRL24/'4. NPV'!JRL$8,0)</f>
        <v>-0.0</v>
      </c>
      <c r="JRL55" s="5">
        <f>-IFERROR('4. NPV'!JRM24/'4. NPV'!JRM$8,0)</f>
        <v>-0.0</v>
      </c>
      <c r="JRM55" s="5">
        <f>-IFERROR('4. NPV'!JRN24/'4. NPV'!JRN$8,0)</f>
        <v>-0.0</v>
      </c>
      <c r="JRN55" s="5">
        <f>-IFERROR('4. NPV'!JRO24/'4. NPV'!JRO$8,0)</f>
        <v>-0.0</v>
      </c>
      <c r="JRO55" s="5">
        <f>-IFERROR('4. NPV'!JRP24/'4. NPV'!JRP$8,0)</f>
        <v>-0.0</v>
      </c>
      <c r="JRP55" s="5">
        <f>-IFERROR('4. NPV'!JRQ24/'4. NPV'!JRQ$8,0)</f>
        <v>-0.0</v>
      </c>
      <c r="JRQ55" s="5">
        <f>-IFERROR('4. NPV'!JRR24/'4. NPV'!JRR$8,0)</f>
        <v>-0.0</v>
      </c>
      <c r="JRR55" s="5">
        <f>-IFERROR('4. NPV'!JRS24/'4. NPV'!JRS$8,0)</f>
        <v>-0.0</v>
      </c>
      <c r="JRS55" s="5">
        <f>-IFERROR('4. NPV'!JRT24/'4. NPV'!JRT$8,0)</f>
        <v>-0.0</v>
      </c>
      <c r="JRT55" s="5">
        <f>-IFERROR('4. NPV'!JRU24/'4. NPV'!JRU$8,0)</f>
        <v>-0.0</v>
      </c>
      <c r="JRU55" s="5">
        <f>-IFERROR('4. NPV'!JRV24/'4. NPV'!JRV$8,0)</f>
        <v>-0.0</v>
      </c>
      <c r="JRV55" s="5">
        <f>-IFERROR('4. NPV'!JRW24/'4. NPV'!JRW$8,0)</f>
        <v>-0.0</v>
      </c>
      <c r="JRW55" s="5">
        <f>-IFERROR('4. NPV'!JRX24/'4. NPV'!JRX$8,0)</f>
        <v>-0.0</v>
      </c>
      <c r="JRX55" s="5">
        <f>-IFERROR('4. NPV'!JRY24/'4. NPV'!JRY$8,0)</f>
        <v>-0.0</v>
      </c>
      <c r="JRY55" s="5">
        <f>-IFERROR('4. NPV'!JRZ24/'4. NPV'!JRZ$8,0)</f>
        <v>-0.0</v>
      </c>
      <c r="JRZ55" s="5">
        <f>-IFERROR('4. NPV'!JSA24/'4. NPV'!JSA$8,0)</f>
        <v>-0.0</v>
      </c>
      <c r="JSA55" s="5">
        <f>-IFERROR('4. NPV'!JSB24/'4. NPV'!JSB$8,0)</f>
        <v>-0.0</v>
      </c>
      <c r="JSB55" s="5">
        <f>-IFERROR('4. NPV'!JSC24/'4. NPV'!JSC$8,0)</f>
        <v>-0.0</v>
      </c>
      <c r="JSC55" s="5">
        <f>-IFERROR('4. NPV'!JSD24/'4. NPV'!JSD$8,0)</f>
        <v>-0.0</v>
      </c>
      <c r="JSD55" s="5">
        <f>-IFERROR('4. NPV'!JSE24/'4. NPV'!JSE$8,0)</f>
        <v>-0.0</v>
      </c>
      <c r="JSE55" s="5">
        <f>-IFERROR('4. NPV'!JSF24/'4. NPV'!JSF$8,0)</f>
        <v>-0.0</v>
      </c>
      <c r="JSF55" s="5">
        <f>-IFERROR('4. NPV'!JSG24/'4. NPV'!JSG$8,0)</f>
        <v>-0.0</v>
      </c>
      <c r="JSG55" s="5">
        <f>-IFERROR('4. NPV'!JSH24/'4. NPV'!JSH$8,0)</f>
        <v>-0.0</v>
      </c>
      <c r="JSH55" s="5">
        <f>-IFERROR('4. NPV'!JSI24/'4. NPV'!JSI$8,0)</f>
        <v>-0.0</v>
      </c>
      <c r="JSI55" s="5">
        <f>-IFERROR('4. NPV'!JSJ24/'4. NPV'!JSJ$8,0)</f>
        <v>-0.0</v>
      </c>
      <c r="JSJ55" s="5">
        <f>-IFERROR('4. NPV'!JSK24/'4. NPV'!JSK$8,0)</f>
        <v>-0.0</v>
      </c>
      <c r="JSK55" s="5">
        <f>-IFERROR('4. NPV'!JSL24/'4. NPV'!JSL$8,0)</f>
        <v>-0.0</v>
      </c>
      <c r="JSL55" s="5">
        <f>-IFERROR('4. NPV'!JSM24/'4. NPV'!JSM$8,0)</f>
        <v>-0.0</v>
      </c>
      <c r="JSM55" s="5">
        <f>-IFERROR('4. NPV'!JSN24/'4. NPV'!JSN$8,0)</f>
        <v>-0.0</v>
      </c>
      <c r="JSN55" s="5">
        <f>-IFERROR('4. NPV'!JSO24/'4. NPV'!JSO$8,0)</f>
        <v>-0.0</v>
      </c>
      <c r="JSO55" s="5">
        <f>-IFERROR('4. NPV'!JSP24/'4. NPV'!JSP$8,0)</f>
        <v>-0.0</v>
      </c>
      <c r="JSP55" s="5">
        <f>-IFERROR('4. NPV'!JSQ24/'4. NPV'!JSQ$8,0)</f>
        <v>-0.0</v>
      </c>
      <c r="JSQ55" s="5">
        <f>-IFERROR('4. NPV'!JSR24/'4. NPV'!JSR$8,0)</f>
        <v>-0.0</v>
      </c>
      <c r="JSR55" s="5">
        <f>-IFERROR('4. NPV'!JSS24/'4. NPV'!JSS$8,0)</f>
        <v>-0.0</v>
      </c>
      <c r="JSS55" s="5">
        <f>-IFERROR('4. NPV'!JST24/'4. NPV'!JST$8,0)</f>
        <v>-0.0</v>
      </c>
      <c r="JST55" s="5">
        <f>-IFERROR('4. NPV'!JSU24/'4. NPV'!JSU$8,0)</f>
        <v>-0.0</v>
      </c>
      <c r="JSU55" s="5">
        <f>-IFERROR('4. NPV'!JSV24/'4. NPV'!JSV$8,0)</f>
        <v>-0.0</v>
      </c>
      <c r="JSV55" s="5">
        <f>-IFERROR('4. NPV'!JSW24/'4. NPV'!JSW$8,0)</f>
        <v>-0.0</v>
      </c>
      <c r="JSW55" s="5">
        <f>-IFERROR('4. NPV'!JSX24/'4. NPV'!JSX$8,0)</f>
        <v>-0.0</v>
      </c>
      <c r="JSX55" s="5">
        <f>-IFERROR('4. NPV'!JSY24/'4. NPV'!JSY$8,0)</f>
        <v>-0.0</v>
      </c>
      <c r="JSY55" s="5">
        <f>-IFERROR('4. NPV'!JSZ24/'4. NPV'!JSZ$8,0)</f>
        <v>-0.0</v>
      </c>
      <c r="JSZ55" s="5">
        <f>-IFERROR('4. NPV'!JTA24/'4. NPV'!JTA$8,0)</f>
        <v>-0.0</v>
      </c>
      <c r="JTA55" s="5">
        <f>-IFERROR('4. NPV'!JTB24/'4. NPV'!JTB$8,0)</f>
        <v>-0.0</v>
      </c>
      <c r="JTB55" s="5">
        <f>-IFERROR('4. NPV'!JTC24/'4. NPV'!JTC$8,0)</f>
        <v>-0.0</v>
      </c>
      <c r="JTC55" s="5">
        <f>-IFERROR('4. NPV'!JTD24/'4. NPV'!JTD$8,0)</f>
        <v>-0.0</v>
      </c>
      <c r="JTD55" s="5">
        <f>-IFERROR('4. NPV'!JTE24/'4. NPV'!JTE$8,0)</f>
        <v>-0.0</v>
      </c>
      <c r="JTE55" s="5">
        <f>-IFERROR('4. NPV'!JTF24/'4. NPV'!JTF$8,0)</f>
        <v>-0.0</v>
      </c>
      <c r="JTF55" s="5">
        <f>-IFERROR('4. NPV'!JTG24/'4. NPV'!JTG$8,0)</f>
        <v>-0.0</v>
      </c>
      <c r="JTG55" s="5">
        <f>-IFERROR('4. NPV'!JTH24/'4. NPV'!JTH$8,0)</f>
        <v>-0.0</v>
      </c>
      <c r="JTH55" s="5">
        <f>-IFERROR('4. NPV'!JTI24/'4. NPV'!JTI$8,0)</f>
        <v>-0.0</v>
      </c>
      <c r="JTI55" s="5">
        <f>-IFERROR('4. NPV'!JTJ24/'4. NPV'!JTJ$8,0)</f>
        <v>-0.0</v>
      </c>
      <c r="JTJ55" s="5">
        <f>-IFERROR('4. NPV'!JTK24/'4. NPV'!JTK$8,0)</f>
        <v>-0.0</v>
      </c>
      <c r="JTK55" s="5">
        <f>-IFERROR('4. NPV'!JTL24/'4. NPV'!JTL$8,0)</f>
        <v>-0.0</v>
      </c>
      <c r="JTL55" s="5">
        <f>-IFERROR('4. NPV'!JTM24/'4. NPV'!JTM$8,0)</f>
        <v>-0.0</v>
      </c>
      <c r="JTM55" s="5">
        <f>-IFERROR('4. NPV'!JTN24/'4. NPV'!JTN$8,0)</f>
        <v>-0.0</v>
      </c>
      <c r="JTN55" s="5">
        <f>-IFERROR('4. NPV'!JTO24/'4. NPV'!JTO$8,0)</f>
        <v>-0.0</v>
      </c>
      <c r="JTO55" s="5">
        <f>-IFERROR('4. NPV'!JTP24/'4. NPV'!JTP$8,0)</f>
        <v>-0.0</v>
      </c>
      <c r="JTP55" s="5">
        <f>-IFERROR('4. NPV'!JTQ24/'4. NPV'!JTQ$8,0)</f>
        <v>-0.0</v>
      </c>
      <c r="JTQ55" s="5">
        <f>-IFERROR('4. NPV'!JTR24/'4. NPV'!JTR$8,0)</f>
        <v>-0.0</v>
      </c>
      <c r="JTR55" s="5">
        <f>-IFERROR('4. NPV'!JTS24/'4. NPV'!JTS$8,0)</f>
        <v>-0.0</v>
      </c>
      <c r="JTS55" s="5">
        <f>-IFERROR('4. NPV'!JTT24/'4. NPV'!JTT$8,0)</f>
        <v>-0.0</v>
      </c>
      <c r="JTT55" s="5">
        <f>-IFERROR('4. NPV'!JTU24/'4. NPV'!JTU$8,0)</f>
        <v>-0.0</v>
      </c>
      <c r="JTU55" s="5">
        <f>-IFERROR('4. NPV'!JTV24/'4. NPV'!JTV$8,0)</f>
        <v>-0.0</v>
      </c>
      <c r="JTV55" s="5">
        <f>-IFERROR('4. NPV'!JTW24/'4. NPV'!JTW$8,0)</f>
        <v>-0.0</v>
      </c>
      <c r="JTW55" s="5">
        <f>-IFERROR('4. NPV'!JTX24/'4. NPV'!JTX$8,0)</f>
        <v>-0.0</v>
      </c>
      <c r="JTX55" s="5">
        <f>-IFERROR('4. NPV'!JTY24/'4. NPV'!JTY$8,0)</f>
        <v>-0.0</v>
      </c>
      <c r="JTY55" s="5">
        <f>-IFERROR('4. NPV'!JTZ24/'4. NPV'!JTZ$8,0)</f>
        <v>-0.0</v>
      </c>
      <c r="JTZ55" s="5">
        <f>-IFERROR('4. NPV'!JUA24/'4. NPV'!JUA$8,0)</f>
        <v>-0.0</v>
      </c>
      <c r="JUA55" s="5">
        <f>-IFERROR('4. NPV'!JUB24/'4. NPV'!JUB$8,0)</f>
        <v>-0.0</v>
      </c>
      <c r="JUB55" s="5">
        <f>-IFERROR('4. NPV'!JUC24/'4. NPV'!JUC$8,0)</f>
        <v>-0.0</v>
      </c>
      <c r="JUC55" s="5">
        <f>-IFERROR('4. NPV'!JUD24/'4. NPV'!JUD$8,0)</f>
        <v>-0.0</v>
      </c>
      <c r="JUD55" s="5">
        <f>-IFERROR('4. NPV'!JUE24/'4. NPV'!JUE$8,0)</f>
        <v>-0.0</v>
      </c>
      <c r="JUE55" s="5">
        <f>-IFERROR('4. NPV'!JUF24/'4. NPV'!JUF$8,0)</f>
        <v>-0.0</v>
      </c>
      <c r="JUF55" s="5">
        <f>-IFERROR('4. NPV'!JUG24/'4. NPV'!JUG$8,0)</f>
        <v>-0.0</v>
      </c>
      <c r="JUG55" s="5">
        <f>-IFERROR('4. NPV'!JUH24/'4. NPV'!JUH$8,0)</f>
        <v>-0.0</v>
      </c>
      <c r="JUH55" s="5">
        <f>-IFERROR('4. NPV'!JUI24/'4. NPV'!JUI$8,0)</f>
        <v>-0.0</v>
      </c>
      <c r="JUI55" s="5">
        <f>-IFERROR('4. NPV'!JUJ24/'4. NPV'!JUJ$8,0)</f>
        <v>-0.0</v>
      </c>
      <c r="JUJ55" s="5">
        <f>-IFERROR('4. NPV'!JUK24/'4. NPV'!JUK$8,0)</f>
        <v>-0.0</v>
      </c>
      <c r="JUK55" s="5">
        <f>-IFERROR('4. NPV'!JUL24/'4. NPV'!JUL$8,0)</f>
        <v>-0.0</v>
      </c>
      <c r="JUL55" s="5">
        <f>-IFERROR('4. NPV'!JUM24/'4. NPV'!JUM$8,0)</f>
        <v>-0.0</v>
      </c>
      <c r="JUM55" s="5">
        <f>-IFERROR('4. NPV'!JUN24/'4. NPV'!JUN$8,0)</f>
        <v>-0.0</v>
      </c>
      <c r="JUN55" s="5">
        <f>-IFERROR('4. NPV'!JUO24/'4. NPV'!JUO$8,0)</f>
        <v>-0.0</v>
      </c>
      <c r="JUO55" s="5">
        <f>-IFERROR('4. NPV'!JUP24/'4. NPV'!JUP$8,0)</f>
        <v>-0.0</v>
      </c>
      <c r="JUP55" s="5">
        <f>-IFERROR('4. NPV'!JUQ24/'4. NPV'!JUQ$8,0)</f>
        <v>-0.0</v>
      </c>
      <c r="JUQ55" s="5">
        <f>-IFERROR('4. NPV'!JUR24/'4. NPV'!JUR$8,0)</f>
        <v>-0.0</v>
      </c>
      <c r="JUR55" s="5">
        <f>-IFERROR('4. NPV'!JUS24/'4. NPV'!JUS$8,0)</f>
        <v>-0.0</v>
      </c>
      <c r="JUS55" s="5">
        <f>-IFERROR('4. NPV'!JUT24/'4. NPV'!JUT$8,0)</f>
        <v>-0.0</v>
      </c>
      <c r="JUT55" s="5">
        <f>-IFERROR('4. NPV'!JUU24/'4. NPV'!JUU$8,0)</f>
        <v>-0.0</v>
      </c>
      <c r="JUU55" s="5">
        <f>-IFERROR('4. NPV'!JUV24/'4. NPV'!JUV$8,0)</f>
        <v>-0.0</v>
      </c>
      <c r="JUV55" s="5">
        <f>-IFERROR('4. NPV'!JUW24/'4. NPV'!JUW$8,0)</f>
        <v>-0.0</v>
      </c>
      <c r="JUW55" s="5">
        <f>-IFERROR('4. NPV'!JUX24/'4. NPV'!JUX$8,0)</f>
        <v>-0.0</v>
      </c>
      <c r="JUX55" s="5">
        <f>-IFERROR('4. NPV'!JUY24/'4. NPV'!JUY$8,0)</f>
        <v>-0.0</v>
      </c>
      <c r="JUY55" s="5">
        <f>-IFERROR('4. NPV'!JUZ24/'4. NPV'!JUZ$8,0)</f>
        <v>-0.0</v>
      </c>
      <c r="JUZ55" s="5">
        <f>-IFERROR('4. NPV'!JVA24/'4. NPV'!JVA$8,0)</f>
        <v>-0.0</v>
      </c>
      <c r="JVA55" s="5">
        <f>-IFERROR('4. NPV'!JVB24/'4. NPV'!JVB$8,0)</f>
        <v>-0.0</v>
      </c>
      <c r="JVB55" s="5">
        <f>-IFERROR('4. NPV'!JVC24/'4. NPV'!JVC$8,0)</f>
        <v>-0.0</v>
      </c>
      <c r="JVC55" s="5">
        <f>-IFERROR('4. NPV'!JVD24/'4. NPV'!JVD$8,0)</f>
        <v>-0.0</v>
      </c>
      <c r="JVD55" s="5">
        <f>-IFERROR('4. NPV'!JVE24/'4. NPV'!JVE$8,0)</f>
        <v>-0.0</v>
      </c>
      <c r="JVE55" s="5">
        <f>-IFERROR('4. NPV'!JVF24/'4. NPV'!JVF$8,0)</f>
        <v>-0.0</v>
      </c>
      <c r="JVF55" s="5">
        <f>-IFERROR('4. NPV'!JVG24/'4. NPV'!JVG$8,0)</f>
        <v>-0.0</v>
      </c>
      <c r="JVG55" s="5">
        <f>-IFERROR('4. NPV'!JVH24/'4. NPV'!JVH$8,0)</f>
        <v>-0.0</v>
      </c>
      <c r="JVH55" s="5">
        <f>-IFERROR('4. NPV'!JVI24/'4. NPV'!JVI$8,0)</f>
        <v>-0.0</v>
      </c>
      <c r="JVI55" s="5">
        <f>-IFERROR('4. NPV'!JVJ24/'4. NPV'!JVJ$8,0)</f>
        <v>-0.0</v>
      </c>
      <c r="JVJ55" s="5">
        <f>-IFERROR('4. NPV'!JVK24/'4. NPV'!JVK$8,0)</f>
        <v>-0.0</v>
      </c>
      <c r="JVK55" s="5">
        <f>-IFERROR('4. NPV'!JVL24/'4. NPV'!JVL$8,0)</f>
        <v>-0.0</v>
      </c>
      <c r="JVL55" s="5">
        <f>-IFERROR('4. NPV'!JVM24/'4. NPV'!JVM$8,0)</f>
        <v>-0.0</v>
      </c>
      <c r="JVM55" s="5">
        <f>-IFERROR('4. NPV'!JVN24/'4. NPV'!JVN$8,0)</f>
        <v>-0.0</v>
      </c>
      <c r="JVN55" s="5">
        <f>-IFERROR('4. NPV'!JVO24/'4. NPV'!JVO$8,0)</f>
        <v>-0.0</v>
      </c>
      <c r="JVO55" s="5">
        <f>-IFERROR('4. NPV'!JVP24/'4. NPV'!JVP$8,0)</f>
        <v>-0.0</v>
      </c>
      <c r="JVP55" s="5">
        <f>-IFERROR('4. NPV'!JVQ24/'4. NPV'!JVQ$8,0)</f>
        <v>-0.0</v>
      </c>
      <c r="JVQ55" s="5">
        <f>-IFERROR('4. NPV'!JVR24/'4. NPV'!JVR$8,0)</f>
        <v>-0.0</v>
      </c>
      <c r="JVR55" s="5">
        <f>-IFERROR('4. NPV'!JVS24/'4. NPV'!JVS$8,0)</f>
        <v>-0.0</v>
      </c>
      <c r="JVS55" s="5">
        <f>-IFERROR('4. NPV'!JVT24/'4. NPV'!JVT$8,0)</f>
        <v>-0.0</v>
      </c>
      <c r="JVT55" s="5">
        <f>-IFERROR('4. NPV'!JVU24/'4. NPV'!JVU$8,0)</f>
        <v>-0.0</v>
      </c>
      <c r="JVU55" s="5">
        <f>-IFERROR('4. NPV'!JVV24/'4. NPV'!JVV$8,0)</f>
        <v>-0.0</v>
      </c>
      <c r="JVV55" s="5">
        <f>-IFERROR('4. NPV'!JVW24/'4. NPV'!JVW$8,0)</f>
        <v>-0.0</v>
      </c>
      <c r="JVW55" s="5">
        <f>-IFERROR('4. NPV'!JVX24/'4. NPV'!JVX$8,0)</f>
        <v>-0.0</v>
      </c>
      <c r="JVX55" s="5">
        <f>-IFERROR('4. NPV'!JVY24/'4. NPV'!JVY$8,0)</f>
        <v>-0.0</v>
      </c>
      <c r="JVY55" s="5">
        <f>-IFERROR('4. NPV'!JVZ24/'4. NPV'!JVZ$8,0)</f>
        <v>-0.0</v>
      </c>
      <c r="JVZ55" s="5">
        <f>-IFERROR('4. NPV'!JWA24/'4. NPV'!JWA$8,0)</f>
        <v>-0.0</v>
      </c>
      <c r="JWA55" s="5">
        <f>-IFERROR('4. NPV'!JWB24/'4. NPV'!JWB$8,0)</f>
        <v>-0.0</v>
      </c>
      <c r="JWB55" s="5">
        <f>-IFERROR('4. NPV'!JWC24/'4. NPV'!JWC$8,0)</f>
        <v>-0.0</v>
      </c>
      <c r="JWC55" s="5">
        <f>-IFERROR('4. NPV'!JWD24/'4. NPV'!JWD$8,0)</f>
        <v>-0.0</v>
      </c>
      <c r="JWD55" s="5">
        <f>-IFERROR('4. NPV'!JWE24/'4. NPV'!JWE$8,0)</f>
        <v>-0.0</v>
      </c>
      <c r="JWE55" s="5">
        <f>-IFERROR('4. NPV'!JWF24/'4. NPV'!JWF$8,0)</f>
        <v>-0.0</v>
      </c>
      <c r="JWF55" s="5">
        <f>-IFERROR('4. NPV'!JWG24/'4. NPV'!JWG$8,0)</f>
        <v>-0.0</v>
      </c>
      <c r="JWG55" s="5">
        <f>-IFERROR('4. NPV'!JWH24/'4. NPV'!JWH$8,0)</f>
        <v>-0.0</v>
      </c>
      <c r="JWH55" s="5">
        <f>-IFERROR('4. NPV'!JWI24/'4. NPV'!JWI$8,0)</f>
        <v>-0.0</v>
      </c>
      <c r="JWI55" s="5">
        <f>-IFERROR('4. NPV'!JWJ24/'4. NPV'!JWJ$8,0)</f>
        <v>-0.0</v>
      </c>
      <c r="JWJ55" s="5">
        <f>-IFERROR('4. NPV'!JWK24/'4. NPV'!JWK$8,0)</f>
        <v>-0.0</v>
      </c>
      <c r="JWK55" s="5">
        <f>-IFERROR('4. NPV'!JWL24/'4. NPV'!JWL$8,0)</f>
        <v>-0.0</v>
      </c>
      <c r="JWL55" s="5">
        <f>-IFERROR('4. NPV'!JWM24/'4. NPV'!JWM$8,0)</f>
        <v>-0.0</v>
      </c>
      <c r="JWM55" s="5">
        <f>-IFERROR('4. NPV'!JWN24/'4. NPV'!JWN$8,0)</f>
        <v>-0.0</v>
      </c>
      <c r="JWN55" s="5">
        <f>-IFERROR('4. NPV'!JWO24/'4. NPV'!JWO$8,0)</f>
        <v>-0.0</v>
      </c>
      <c r="JWO55" s="5">
        <f>-IFERROR('4. NPV'!JWP24/'4. NPV'!JWP$8,0)</f>
        <v>-0.0</v>
      </c>
      <c r="JWP55" s="5">
        <f>-IFERROR('4. NPV'!JWQ24/'4. NPV'!JWQ$8,0)</f>
        <v>-0.0</v>
      </c>
      <c r="JWQ55" s="5">
        <f>-IFERROR('4. NPV'!JWR24/'4. NPV'!JWR$8,0)</f>
        <v>-0.0</v>
      </c>
      <c r="JWR55" s="5">
        <f>-IFERROR('4. NPV'!JWS24/'4. NPV'!JWS$8,0)</f>
        <v>-0.0</v>
      </c>
      <c r="JWS55" s="5">
        <f>-IFERROR('4. NPV'!JWT24/'4. NPV'!JWT$8,0)</f>
        <v>-0.0</v>
      </c>
      <c r="JWT55" s="5">
        <f>-IFERROR('4. NPV'!JWU24/'4. NPV'!JWU$8,0)</f>
        <v>-0.0</v>
      </c>
      <c r="JWU55" s="5">
        <f>-IFERROR('4. NPV'!JWV24/'4. NPV'!JWV$8,0)</f>
        <v>-0.0</v>
      </c>
      <c r="JWV55" s="5">
        <f>-IFERROR('4. NPV'!JWW24/'4. NPV'!JWW$8,0)</f>
        <v>-0.0</v>
      </c>
      <c r="JWW55" s="5">
        <f>-IFERROR('4. NPV'!JWX24/'4. NPV'!JWX$8,0)</f>
        <v>-0.0</v>
      </c>
      <c r="JWX55" s="5">
        <f>-IFERROR('4. NPV'!JWY24/'4. NPV'!JWY$8,0)</f>
        <v>-0.0</v>
      </c>
      <c r="JWY55" s="5">
        <f>-IFERROR('4. NPV'!JWZ24/'4. NPV'!JWZ$8,0)</f>
        <v>-0.0</v>
      </c>
      <c r="JWZ55" s="5">
        <f>-IFERROR('4. NPV'!JXA24/'4. NPV'!JXA$8,0)</f>
        <v>-0.0</v>
      </c>
      <c r="JXA55" s="5">
        <f>-IFERROR('4. NPV'!JXB24/'4. NPV'!JXB$8,0)</f>
        <v>-0.0</v>
      </c>
      <c r="JXB55" s="5">
        <f>-IFERROR('4. NPV'!JXC24/'4. NPV'!JXC$8,0)</f>
        <v>-0.0</v>
      </c>
      <c r="JXC55" s="5">
        <f>-IFERROR('4. NPV'!JXD24/'4. NPV'!JXD$8,0)</f>
        <v>-0.0</v>
      </c>
      <c r="JXD55" s="5">
        <f>-IFERROR('4. NPV'!JXE24/'4. NPV'!JXE$8,0)</f>
        <v>-0.0</v>
      </c>
      <c r="JXE55" s="5">
        <f>-IFERROR('4. NPV'!JXF24/'4. NPV'!JXF$8,0)</f>
        <v>-0.0</v>
      </c>
      <c r="JXF55" s="5">
        <f>-IFERROR('4. NPV'!JXG24/'4. NPV'!JXG$8,0)</f>
        <v>-0.0</v>
      </c>
      <c r="JXG55" s="5">
        <f>-IFERROR('4. NPV'!JXH24/'4. NPV'!JXH$8,0)</f>
        <v>-0.0</v>
      </c>
      <c r="JXH55" s="5">
        <f>-IFERROR('4. NPV'!JXI24/'4. NPV'!JXI$8,0)</f>
        <v>-0.0</v>
      </c>
      <c r="JXI55" s="5">
        <f>-IFERROR('4. NPV'!JXJ24/'4. NPV'!JXJ$8,0)</f>
        <v>-0.0</v>
      </c>
      <c r="JXJ55" s="5">
        <f>-IFERROR('4. NPV'!JXK24/'4. NPV'!JXK$8,0)</f>
        <v>-0.0</v>
      </c>
      <c r="JXK55" s="5">
        <f>-IFERROR('4. NPV'!JXL24/'4. NPV'!JXL$8,0)</f>
        <v>-0.0</v>
      </c>
      <c r="JXL55" s="5">
        <f>-IFERROR('4. NPV'!JXM24/'4. NPV'!JXM$8,0)</f>
        <v>-0.0</v>
      </c>
      <c r="JXM55" s="5">
        <f>-IFERROR('4. NPV'!JXN24/'4. NPV'!JXN$8,0)</f>
        <v>-0.0</v>
      </c>
      <c r="JXN55" s="5">
        <f>-IFERROR('4. NPV'!JXO24/'4. NPV'!JXO$8,0)</f>
        <v>-0.0</v>
      </c>
      <c r="JXO55" s="5">
        <f>-IFERROR('4. NPV'!JXP24/'4. NPV'!JXP$8,0)</f>
        <v>-0.0</v>
      </c>
      <c r="JXP55" s="5">
        <f>-IFERROR('4. NPV'!JXQ24/'4. NPV'!JXQ$8,0)</f>
        <v>-0.0</v>
      </c>
      <c r="JXQ55" s="5">
        <f>-IFERROR('4. NPV'!JXR24/'4. NPV'!JXR$8,0)</f>
        <v>-0.0</v>
      </c>
      <c r="JXR55" s="5">
        <f>-IFERROR('4. NPV'!JXS24/'4. NPV'!JXS$8,0)</f>
        <v>-0.0</v>
      </c>
      <c r="JXS55" s="5">
        <f>-IFERROR('4. NPV'!JXT24/'4. NPV'!JXT$8,0)</f>
        <v>-0.0</v>
      </c>
      <c r="JXT55" s="5">
        <f>-IFERROR('4. NPV'!JXU24/'4. NPV'!JXU$8,0)</f>
        <v>-0.0</v>
      </c>
      <c r="JXU55" s="5">
        <f>-IFERROR('4. NPV'!JXV24/'4. NPV'!JXV$8,0)</f>
        <v>-0.0</v>
      </c>
      <c r="JXV55" s="5">
        <f>-IFERROR('4. NPV'!JXW24/'4. NPV'!JXW$8,0)</f>
        <v>-0.0</v>
      </c>
      <c r="JXW55" s="5">
        <f>-IFERROR('4. NPV'!JXX24/'4. NPV'!JXX$8,0)</f>
        <v>-0.0</v>
      </c>
      <c r="JXX55" s="5">
        <f>-IFERROR('4. NPV'!JXY24/'4. NPV'!JXY$8,0)</f>
        <v>-0.0</v>
      </c>
      <c r="JXY55" s="5">
        <f>-IFERROR('4. NPV'!JXZ24/'4. NPV'!JXZ$8,0)</f>
        <v>-0.0</v>
      </c>
      <c r="JXZ55" s="5">
        <f>-IFERROR('4. NPV'!JYA24/'4. NPV'!JYA$8,0)</f>
        <v>-0.0</v>
      </c>
      <c r="JYA55" s="5">
        <f>-IFERROR('4. NPV'!JYB24/'4. NPV'!JYB$8,0)</f>
        <v>-0.0</v>
      </c>
      <c r="JYB55" s="5">
        <f>-IFERROR('4. NPV'!JYC24/'4. NPV'!JYC$8,0)</f>
        <v>-0.0</v>
      </c>
      <c r="JYC55" s="5">
        <f>-IFERROR('4. NPV'!JYD24/'4. NPV'!JYD$8,0)</f>
        <v>-0.0</v>
      </c>
      <c r="JYD55" s="5">
        <f>-IFERROR('4. NPV'!JYE24/'4. NPV'!JYE$8,0)</f>
        <v>-0.0</v>
      </c>
      <c r="JYE55" s="5">
        <f>-IFERROR('4. NPV'!JYF24/'4. NPV'!JYF$8,0)</f>
        <v>-0.0</v>
      </c>
      <c r="JYF55" s="5">
        <f>-IFERROR('4. NPV'!JYG24/'4. NPV'!JYG$8,0)</f>
        <v>-0.0</v>
      </c>
      <c r="JYG55" s="5">
        <f>-IFERROR('4. NPV'!JYH24/'4. NPV'!JYH$8,0)</f>
        <v>-0.0</v>
      </c>
      <c r="JYH55" s="5">
        <f>-IFERROR('4. NPV'!JYI24/'4. NPV'!JYI$8,0)</f>
        <v>-0.0</v>
      </c>
      <c r="JYI55" s="5">
        <f>-IFERROR('4. NPV'!JYJ24/'4. NPV'!JYJ$8,0)</f>
        <v>-0.0</v>
      </c>
      <c r="JYJ55" s="5">
        <f>-IFERROR('4. NPV'!JYK24/'4. NPV'!JYK$8,0)</f>
        <v>-0.0</v>
      </c>
      <c r="JYK55" s="5">
        <f>-IFERROR('4. NPV'!JYL24/'4. NPV'!JYL$8,0)</f>
        <v>-0.0</v>
      </c>
      <c r="JYL55" s="5">
        <f>-IFERROR('4. NPV'!JYM24/'4. NPV'!JYM$8,0)</f>
        <v>-0.0</v>
      </c>
      <c r="JYM55" s="5">
        <f>-IFERROR('4. NPV'!JYN24/'4. NPV'!JYN$8,0)</f>
        <v>-0.0</v>
      </c>
      <c r="JYN55" s="5">
        <f>-IFERROR('4. NPV'!JYO24/'4. NPV'!JYO$8,0)</f>
        <v>-0.0</v>
      </c>
      <c r="JYO55" s="5">
        <f>-IFERROR('4. NPV'!JYP24/'4. NPV'!JYP$8,0)</f>
        <v>-0.0</v>
      </c>
      <c r="JYP55" s="5">
        <f>-IFERROR('4. NPV'!JYQ24/'4. NPV'!JYQ$8,0)</f>
        <v>-0.0</v>
      </c>
      <c r="JYQ55" s="5">
        <f>-IFERROR('4. NPV'!JYR24/'4. NPV'!JYR$8,0)</f>
        <v>-0.0</v>
      </c>
      <c r="JYR55" s="5">
        <f>-IFERROR('4. NPV'!JYS24/'4. NPV'!JYS$8,0)</f>
        <v>-0.0</v>
      </c>
      <c r="JYS55" s="5">
        <f>-IFERROR('4. NPV'!JYT24/'4. NPV'!JYT$8,0)</f>
        <v>-0.0</v>
      </c>
      <c r="JYT55" s="5">
        <f>-IFERROR('4. NPV'!JYU24/'4. NPV'!JYU$8,0)</f>
        <v>-0.0</v>
      </c>
      <c r="JYU55" s="5">
        <f>-IFERROR('4. NPV'!JYV24/'4. NPV'!JYV$8,0)</f>
        <v>-0.0</v>
      </c>
      <c r="JYV55" s="5">
        <f>-IFERROR('4. NPV'!JYW24/'4. NPV'!JYW$8,0)</f>
        <v>-0.0</v>
      </c>
      <c r="JYW55" s="5">
        <f>-IFERROR('4. NPV'!JYX24/'4. NPV'!JYX$8,0)</f>
        <v>-0.0</v>
      </c>
      <c r="JYX55" s="5">
        <f>-IFERROR('4. NPV'!JYY24/'4. NPV'!JYY$8,0)</f>
        <v>-0.0</v>
      </c>
      <c r="JYY55" s="5">
        <f>-IFERROR('4. NPV'!JYZ24/'4. NPV'!JYZ$8,0)</f>
        <v>-0.0</v>
      </c>
      <c r="JYZ55" s="5">
        <f>-IFERROR('4. NPV'!JZA24/'4. NPV'!JZA$8,0)</f>
        <v>-0.0</v>
      </c>
      <c r="JZA55" s="5">
        <f>-IFERROR('4. NPV'!JZB24/'4. NPV'!JZB$8,0)</f>
        <v>-0.0</v>
      </c>
      <c r="JZB55" s="5">
        <f>-IFERROR('4. NPV'!JZC24/'4. NPV'!JZC$8,0)</f>
        <v>-0.0</v>
      </c>
      <c r="JZC55" s="5">
        <f>-IFERROR('4. NPV'!JZD24/'4. NPV'!JZD$8,0)</f>
        <v>-0.0</v>
      </c>
      <c r="JZD55" s="5">
        <f>-IFERROR('4. NPV'!JZE24/'4. NPV'!JZE$8,0)</f>
        <v>-0.0</v>
      </c>
      <c r="JZE55" s="5">
        <f>-IFERROR('4. NPV'!JZF24/'4. NPV'!JZF$8,0)</f>
        <v>-0.0</v>
      </c>
      <c r="JZF55" s="5">
        <f>-IFERROR('4. NPV'!JZG24/'4. NPV'!JZG$8,0)</f>
        <v>-0.0</v>
      </c>
      <c r="JZG55" s="5">
        <f>-IFERROR('4. NPV'!JZH24/'4. NPV'!JZH$8,0)</f>
        <v>-0.0</v>
      </c>
      <c r="JZH55" s="5">
        <f>-IFERROR('4. NPV'!JZI24/'4. NPV'!JZI$8,0)</f>
        <v>-0.0</v>
      </c>
      <c r="JZI55" s="5">
        <f>-IFERROR('4. NPV'!JZJ24/'4. NPV'!JZJ$8,0)</f>
        <v>-0.0</v>
      </c>
      <c r="JZJ55" s="5">
        <f>-IFERROR('4. NPV'!JZK24/'4. NPV'!JZK$8,0)</f>
        <v>-0.0</v>
      </c>
      <c r="JZK55" s="5">
        <f>-IFERROR('4. NPV'!JZL24/'4. NPV'!JZL$8,0)</f>
        <v>-0.0</v>
      </c>
      <c r="JZL55" s="5">
        <f>-IFERROR('4. NPV'!JZM24/'4. NPV'!JZM$8,0)</f>
        <v>-0.0</v>
      </c>
      <c r="JZM55" s="5">
        <f>-IFERROR('4. NPV'!JZN24/'4. NPV'!JZN$8,0)</f>
        <v>-0.0</v>
      </c>
      <c r="JZN55" s="5">
        <f>-IFERROR('4. NPV'!JZO24/'4. NPV'!JZO$8,0)</f>
        <v>-0.0</v>
      </c>
      <c r="JZO55" s="5">
        <f>-IFERROR('4. NPV'!JZP24/'4. NPV'!JZP$8,0)</f>
        <v>-0.0</v>
      </c>
      <c r="JZP55" s="5">
        <f>-IFERROR('4. NPV'!JZQ24/'4. NPV'!JZQ$8,0)</f>
        <v>-0.0</v>
      </c>
      <c r="JZQ55" s="5">
        <f>-IFERROR('4. NPV'!JZR24/'4. NPV'!JZR$8,0)</f>
        <v>-0.0</v>
      </c>
      <c r="JZR55" s="5">
        <f>-IFERROR('4. NPV'!JZS24/'4. NPV'!JZS$8,0)</f>
        <v>-0.0</v>
      </c>
      <c r="JZS55" s="5">
        <f>-IFERROR('4. NPV'!JZT24/'4. NPV'!JZT$8,0)</f>
        <v>-0.0</v>
      </c>
      <c r="JZT55" s="5">
        <f>-IFERROR('4. NPV'!JZU24/'4. NPV'!JZU$8,0)</f>
        <v>-0.0</v>
      </c>
      <c r="JZU55" s="5">
        <f>-IFERROR('4. NPV'!JZV24/'4. NPV'!JZV$8,0)</f>
        <v>-0.0</v>
      </c>
      <c r="JZV55" s="5">
        <f>-IFERROR('4. NPV'!JZW24/'4. NPV'!JZW$8,0)</f>
        <v>-0.0</v>
      </c>
      <c r="JZW55" s="5">
        <f>-IFERROR('4. NPV'!JZX24/'4. NPV'!JZX$8,0)</f>
        <v>-0.0</v>
      </c>
      <c r="JZX55" s="5">
        <f>-IFERROR('4. NPV'!JZY24/'4. NPV'!JZY$8,0)</f>
        <v>-0.0</v>
      </c>
      <c r="JZY55" s="5">
        <f>-IFERROR('4. NPV'!JZZ24/'4. NPV'!JZZ$8,0)</f>
        <v>-0.0</v>
      </c>
      <c r="JZZ55" s="5">
        <f>-IFERROR('4. NPV'!KAA24/'4. NPV'!KAA$8,0)</f>
        <v>-0.0</v>
      </c>
      <c r="KAA55" s="5">
        <f>-IFERROR('4. NPV'!KAB24/'4. NPV'!KAB$8,0)</f>
        <v>-0.0</v>
      </c>
      <c r="KAB55" s="5">
        <f>-IFERROR('4. NPV'!KAC24/'4. NPV'!KAC$8,0)</f>
        <v>-0.0</v>
      </c>
      <c r="KAC55" s="5">
        <f>-IFERROR('4. NPV'!KAD24/'4. NPV'!KAD$8,0)</f>
        <v>-0.0</v>
      </c>
      <c r="KAD55" s="5">
        <f>-IFERROR('4. NPV'!KAE24/'4. NPV'!KAE$8,0)</f>
        <v>-0.0</v>
      </c>
      <c r="KAE55" s="5">
        <f>-IFERROR('4. NPV'!KAF24/'4. NPV'!KAF$8,0)</f>
        <v>-0.0</v>
      </c>
      <c r="KAF55" s="5">
        <f>-IFERROR('4. NPV'!KAG24/'4. NPV'!KAG$8,0)</f>
        <v>-0.0</v>
      </c>
      <c r="KAG55" s="5">
        <f>-IFERROR('4. NPV'!KAH24/'4. NPV'!KAH$8,0)</f>
        <v>-0.0</v>
      </c>
      <c r="KAH55" s="5">
        <f>-IFERROR('4. NPV'!KAI24/'4. NPV'!KAI$8,0)</f>
        <v>-0.0</v>
      </c>
      <c r="KAI55" s="5">
        <f>-IFERROR('4. NPV'!KAJ24/'4. NPV'!KAJ$8,0)</f>
        <v>-0.0</v>
      </c>
      <c r="KAJ55" s="5">
        <f>-IFERROR('4. NPV'!KAK24/'4. NPV'!KAK$8,0)</f>
        <v>-0.0</v>
      </c>
      <c r="KAK55" s="5">
        <f>-IFERROR('4. NPV'!KAL24/'4. NPV'!KAL$8,0)</f>
        <v>-0.0</v>
      </c>
      <c r="KAL55" s="5">
        <f>-IFERROR('4. NPV'!KAM24/'4. NPV'!KAM$8,0)</f>
        <v>-0.0</v>
      </c>
      <c r="KAM55" s="5">
        <f>-IFERROR('4. NPV'!KAN24/'4. NPV'!KAN$8,0)</f>
        <v>-0.0</v>
      </c>
      <c r="KAN55" s="5">
        <f>-IFERROR('4. NPV'!KAO24/'4. NPV'!KAO$8,0)</f>
        <v>-0.0</v>
      </c>
      <c r="KAO55" s="5">
        <f>-IFERROR('4. NPV'!KAP24/'4. NPV'!KAP$8,0)</f>
        <v>-0.0</v>
      </c>
      <c r="KAP55" s="5">
        <f>-IFERROR('4. NPV'!KAQ24/'4. NPV'!KAQ$8,0)</f>
        <v>-0.0</v>
      </c>
      <c r="KAQ55" s="5">
        <f>-IFERROR('4. NPV'!KAR24/'4. NPV'!KAR$8,0)</f>
        <v>-0.0</v>
      </c>
      <c r="KAR55" s="5">
        <f>-IFERROR('4. NPV'!KAS24/'4. NPV'!KAS$8,0)</f>
        <v>-0.0</v>
      </c>
      <c r="KAS55" s="5">
        <f>-IFERROR('4. NPV'!KAT24/'4. NPV'!KAT$8,0)</f>
        <v>-0.0</v>
      </c>
      <c r="KAT55" s="5">
        <f>-IFERROR('4. NPV'!KAU24/'4. NPV'!KAU$8,0)</f>
        <v>-0.0</v>
      </c>
      <c r="KAU55" s="5">
        <f>-IFERROR('4. NPV'!KAV24/'4. NPV'!KAV$8,0)</f>
        <v>-0.0</v>
      </c>
      <c r="KAV55" s="5">
        <f>-IFERROR('4. NPV'!KAW24/'4. NPV'!KAW$8,0)</f>
        <v>-0.0</v>
      </c>
      <c r="KAW55" s="5">
        <f>-IFERROR('4. NPV'!KAX24/'4. NPV'!KAX$8,0)</f>
        <v>-0.0</v>
      </c>
      <c r="KAX55" s="5">
        <f>-IFERROR('4. NPV'!KAY24/'4. NPV'!KAY$8,0)</f>
        <v>-0.0</v>
      </c>
      <c r="KAY55" s="5">
        <f>-IFERROR('4. NPV'!KAZ24/'4. NPV'!KAZ$8,0)</f>
        <v>-0.0</v>
      </c>
      <c r="KAZ55" s="5">
        <f>-IFERROR('4. NPV'!KBA24/'4. NPV'!KBA$8,0)</f>
        <v>-0.0</v>
      </c>
      <c r="KBA55" s="5">
        <f>-IFERROR('4. NPV'!KBB24/'4. NPV'!KBB$8,0)</f>
        <v>-0.0</v>
      </c>
      <c r="KBB55" s="5">
        <f>-IFERROR('4. NPV'!KBC24/'4. NPV'!KBC$8,0)</f>
        <v>-0.0</v>
      </c>
      <c r="KBC55" s="5">
        <f>-IFERROR('4. NPV'!KBD24/'4. NPV'!KBD$8,0)</f>
        <v>-0.0</v>
      </c>
      <c r="KBD55" s="5">
        <f>-IFERROR('4. NPV'!KBE24/'4. NPV'!KBE$8,0)</f>
        <v>-0.0</v>
      </c>
      <c r="KBE55" s="5">
        <f>-IFERROR('4. NPV'!KBF24/'4. NPV'!KBF$8,0)</f>
        <v>-0.0</v>
      </c>
      <c r="KBF55" s="5">
        <f>-IFERROR('4. NPV'!KBG24/'4. NPV'!KBG$8,0)</f>
        <v>-0.0</v>
      </c>
      <c r="KBG55" s="5">
        <f>-IFERROR('4. NPV'!KBH24/'4. NPV'!KBH$8,0)</f>
        <v>-0.0</v>
      </c>
      <c r="KBH55" s="5">
        <f>-IFERROR('4. NPV'!KBI24/'4. NPV'!KBI$8,0)</f>
        <v>-0.0</v>
      </c>
      <c r="KBI55" s="5">
        <f>-IFERROR('4. NPV'!KBJ24/'4. NPV'!KBJ$8,0)</f>
        <v>-0.0</v>
      </c>
      <c r="KBJ55" s="5">
        <f>-IFERROR('4. NPV'!KBK24/'4. NPV'!KBK$8,0)</f>
        <v>-0.0</v>
      </c>
      <c r="KBK55" s="5">
        <f>-IFERROR('4. NPV'!KBL24/'4. NPV'!KBL$8,0)</f>
        <v>-0.0</v>
      </c>
      <c r="KBL55" s="5">
        <f>-IFERROR('4. NPV'!KBM24/'4. NPV'!KBM$8,0)</f>
        <v>-0.0</v>
      </c>
      <c r="KBM55" s="5">
        <f>-IFERROR('4. NPV'!KBN24/'4. NPV'!KBN$8,0)</f>
        <v>-0.0</v>
      </c>
      <c r="KBN55" s="5">
        <f>-IFERROR('4. NPV'!KBO24/'4. NPV'!KBO$8,0)</f>
        <v>-0.0</v>
      </c>
      <c r="KBO55" s="5">
        <f>-IFERROR('4. NPV'!KBP24/'4. NPV'!KBP$8,0)</f>
        <v>-0.0</v>
      </c>
      <c r="KBP55" s="5">
        <f>-IFERROR('4. NPV'!KBQ24/'4. NPV'!KBQ$8,0)</f>
        <v>-0.0</v>
      </c>
      <c r="KBQ55" s="5">
        <f>-IFERROR('4. NPV'!KBR24/'4. NPV'!KBR$8,0)</f>
        <v>-0.0</v>
      </c>
      <c r="KBR55" s="5">
        <f>-IFERROR('4. NPV'!KBS24/'4. NPV'!KBS$8,0)</f>
        <v>-0.0</v>
      </c>
      <c r="KBS55" s="5">
        <f>-IFERROR('4. NPV'!KBT24/'4. NPV'!KBT$8,0)</f>
        <v>-0.0</v>
      </c>
      <c r="KBT55" s="5">
        <f>-IFERROR('4. NPV'!KBU24/'4. NPV'!KBU$8,0)</f>
        <v>-0.0</v>
      </c>
      <c r="KBU55" s="5">
        <f>-IFERROR('4. NPV'!KBV24/'4. NPV'!KBV$8,0)</f>
        <v>-0.0</v>
      </c>
      <c r="KBV55" s="5">
        <f>-IFERROR('4. NPV'!KBW24/'4. NPV'!KBW$8,0)</f>
        <v>-0.0</v>
      </c>
      <c r="KBW55" s="5">
        <f>-IFERROR('4. NPV'!KBX24/'4. NPV'!KBX$8,0)</f>
        <v>-0.0</v>
      </c>
      <c r="KBX55" s="5">
        <f>-IFERROR('4. NPV'!KBY24/'4. NPV'!KBY$8,0)</f>
        <v>-0.0</v>
      </c>
      <c r="KBY55" s="5">
        <f>-IFERROR('4. NPV'!KBZ24/'4. NPV'!KBZ$8,0)</f>
        <v>-0.0</v>
      </c>
      <c r="KBZ55" s="5">
        <f>-IFERROR('4. NPV'!KCA24/'4. NPV'!KCA$8,0)</f>
        <v>-0.0</v>
      </c>
      <c r="KCA55" s="5">
        <f>-IFERROR('4. NPV'!KCB24/'4. NPV'!KCB$8,0)</f>
        <v>-0.0</v>
      </c>
      <c r="KCB55" s="5">
        <f>-IFERROR('4. NPV'!KCC24/'4. NPV'!KCC$8,0)</f>
        <v>-0.0</v>
      </c>
      <c r="KCC55" s="5">
        <f>-IFERROR('4. NPV'!KCD24/'4. NPV'!KCD$8,0)</f>
        <v>-0.0</v>
      </c>
      <c r="KCD55" s="5">
        <f>-IFERROR('4. NPV'!KCE24/'4. NPV'!KCE$8,0)</f>
        <v>-0.0</v>
      </c>
      <c r="KCE55" s="5">
        <f>-IFERROR('4. NPV'!KCF24/'4. NPV'!KCF$8,0)</f>
        <v>-0.0</v>
      </c>
      <c r="KCF55" s="5">
        <f>-IFERROR('4. NPV'!KCG24/'4. NPV'!KCG$8,0)</f>
        <v>-0.0</v>
      </c>
      <c r="KCG55" s="5">
        <f>-IFERROR('4. NPV'!KCH24/'4. NPV'!KCH$8,0)</f>
        <v>-0.0</v>
      </c>
      <c r="KCH55" s="5">
        <f>-IFERROR('4. NPV'!KCI24/'4. NPV'!KCI$8,0)</f>
        <v>-0.0</v>
      </c>
      <c r="KCI55" s="5">
        <f>-IFERROR('4. NPV'!KCJ24/'4. NPV'!KCJ$8,0)</f>
        <v>-0.0</v>
      </c>
      <c r="KCJ55" s="5">
        <f>-IFERROR('4. NPV'!KCK24/'4. NPV'!KCK$8,0)</f>
        <v>-0.0</v>
      </c>
      <c r="KCK55" s="5">
        <f>-IFERROR('4. NPV'!KCL24/'4. NPV'!KCL$8,0)</f>
        <v>-0.0</v>
      </c>
      <c r="KCL55" s="5">
        <f>-IFERROR('4. NPV'!KCM24/'4. NPV'!KCM$8,0)</f>
        <v>-0.0</v>
      </c>
      <c r="KCM55" s="5">
        <f>-IFERROR('4. NPV'!KCN24/'4. NPV'!KCN$8,0)</f>
        <v>-0.0</v>
      </c>
      <c r="KCN55" s="5">
        <f>-IFERROR('4. NPV'!KCO24/'4. NPV'!KCO$8,0)</f>
        <v>-0.0</v>
      </c>
      <c r="KCO55" s="5">
        <f>-IFERROR('4. NPV'!KCP24/'4. NPV'!KCP$8,0)</f>
        <v>-0.0</v>
      </c>
      <c r="KCP55" s="5">
        <f>-IFERROR('4. NPV'!KCQ24/'4. NPV'!KCQ$8,0)</f>
        <v>-0.0</v>
      </c>
      <c r="KCQ55" s="5">
        <f>-IFERROR('4. NPV'!KCR24/'4. NPV'!KCR$8,0)</f>
        <v>-0.0</v>
      </c>
      <c r="KCR55" s="5">
        <f>-IFERROR('4. NPV'!KCS24/'4. NPV'!KCS$8,0)</f>
        <v>-0.0</v>
      </c>
      <c r="KCS55" s="5">
        <f>-IFERROR('4. NPV'!KCT24/'4. NPV'!KCT$8,0)</f>
        <v>-0.0</v>
      </c>
      <c r="KCT55" s="5">
        <f>-IFERROR('4. NPV'!KCU24/'4. NPV'!KCU$8,0)</f>
        <v>-0.0</v>
      </c>
      <c r="KCU55" s="5">
        <f>-IFERROR('4. NPV'!KCV24/'4. NPV'!KCV$8,0)</f>
        <v>-0.0</v>
      </c>
      <c r="KCV55" s="5">
        <f>-IFERROR('4. NPV'!KCW24/'4. NPV'!KCW$8,0)</f>
        <v>-0.0</v>
      </c>
      <c r="KCW55" s="5">
        <f>-IFERROR('4. NPV'!KCX24/'4. NPV'!KCX$8,0)</f>
        <v>-0.0</v>
      </c>
      <c r="KCX55" s="5">
        <f>-IFERROR('4. NPV'!KCY24/'4. NPV'!KCY$8,0)</f>
        <v>-0.0</v>
      </c>
      <c r="KCY55" s="5">
        <f>-IFERROR('4. NPV'!KCZ24/'4. NPV'!KCZ$8,0)</f>
        <v>-0.0</v>
      </c>
      <c r="KCZ55" s="5">
        <f>-IFERROR('4. NPV'!KDA24/'4. NPV'!KDA$8,0)</f>
        <v>-0.0</v>
      </c>
      <c r="KDA55" s="5">
        <f>-IFERROR('4. NPV'!KDB24/'4. NPV'!KDB$8,0)</f>
        <v>-0.0</v>
      </c>
      <c r="KDB55" s="5">
        <f>-IFERROR('4. NPV'!KDC24/'4. NPV'!KDC$8,0)</f>
        <v>-0.0</v>
      </c>
      <c r="KDC55" s="5">
        <f>-IFERROR('4. NPV'!KDD24/'4. NPV'!KDD$8,0)</f>
        <v>-0.0</v>
      </c>
      <c r="KDD55" s="5">
        <f>-IFERROR('4. NPV'!KDE24/'4. NPV'!KDE$8,0)</f>
        <v>-0.0</v>
      </c>
      <c r="KDE55" s="5">
        <f>-IFERROR('4. NPV'!KDF24/'4. NPV'!KDF$8,0)</f>
        <v>-0.0</v>
      </c>
      <c r="KDF55" s="5">
        <f>-IFERROR('4. NPV'!KDG24/'4. NPV'!KDG$8,0)</f>
        <v>-0.0</v>
      </c>
      <c r="KDG55" s="5">
        <f>-IFERROR('4. NPV'!KDH24/'4. NPV'!KDH$8,0)</f>
        <v>-0.0</v>
      </c>
      <c r="KDH55" s="5">
        <f>-IFERROR('4. NPV'!KDI24/'4. NPV'!KDI$8,0)</f>
        <v>-0.0</v>
      </c>
      <c r="KDI55" s="5">
        <f>-IFERROR('4. NPV'!KDJ24/'4. NPV'!KDJ$8,0)</f>
        <v>-0.0</v>
      </c>
      <c r="KDJ55" s="5">
        <f>-IFERROR('4. NPV'!KDK24/'4. NPV'!KDK$8,0)</f>
        <v>-0.0</v>
      </c>
      <c r="KDK55" s="5">
        <f>-IFERROR('4. NPV'!KDL24/'4. NPV'!KDL$8,0)</f>
        <v>-0.0</v>
      </c>
      <c r="KDL55" s="5">
        <f>-IFERROR('4. NPV'!KDM24/'4. NPV'!KDM$8,0)</f>
        <v>-0.0</v>
      </c>
      <c r="KDM55" s="5">
        <f>-IFERROR('4. NPV'!KDN24/'4. NPV'!KDN$8,0)</f>
        <v>-0.0</v>
      </c>
      <c r="KDN55" s="5">
        <f>-IFERROR('4. NPV'!KDO24/'4. NPV'!KDO$8,0)</f>
        <v>-0.0</v>
      </c>
      <c r="KDO55" s="5">
        <f>-IFERROR('4. NPV'!KDP24/'4. NPV'!KDP$8,0)</f>
        <v>-0.0</v>
      </c>
      <c r="KDP55" s="5">
        <f>-IFERROR('4. NPV'!KDQ24/'4. NPV'!KDQ$8,0)</f>
        <v>-0.0</v>
      </c>
      <c r="KDQ55" s="5">
        <f>-IFERROR('4. NPV'!KDR24/'4. NPV'!KDR$8,0)</f>
        <v>-0.0</v>
      </c>
      <c r="KDR55" s="5">
        <f>-IFERROR('4. NPV'!KDS24/'4. NPV'!KDS$8,0)</f>
        <v>-0.0</v>
      </c>
      <c r="KDS55" s="5">
        <f>-IFERROR('4. NPV'!KDT24/'4. NPV'!KDT$8,0)</f>
        <v>-0.0</v>
      </c>
      <c r="KDT55" s="5">
        <f>-IFERROR('4. NPV'!KDU24/'4. NPV'!KDU$8,0)</f>
        <v>-0.0</v>
      </c>
      <c r="KDU55" s="5">
        <f>-IFERROR('4. NPV'!KDV24/'4. NPV'!KDV$8,0)</f>
        <v>-0.0</v>
      </c>
      <c r="KDV55" s="5">
        <f>-IFERROR('4. NPV'!KDW24/'4. NPV'!KDW$8,0)</f>
        <v>-0.0</v>
      </c>
      <c r="KDW55" s="5">
        <f>-IFERROR('4. NPV'!KDX24/'4. NPV'!KDX$8,0)</f>
        <v>-0.0</v>
      </c>
      <c r="KDX55" s="5">
        <f>-IFERROR('4. NPV'!KDY24/'4. NPV'!KDY$8,0)</f>
        <v>-0.0</v>
      </c>
      <c r="KDY55" s="5">
        <f>-IFERROR('4. NPV'!KDZ24/'4. NPV'!KDZ$8,0)</f>
        <v>-0.0</v>
      </c>
      <c r="KDZ55" s="5">
        <f>-IFERROR('4. NPV'!KEA24/'4. NPV'!KEA$8,0)</f>
        <v>-0.0</v>
      </c>
      <c r="KEA55" s="5">
        <f>-IFERROR('4. NPV'!KEB24/'4. NPV'!KEB$8,0)</f>
        <v>-0.0</v>
      </c>
      <c r="KEB55" s="5">
        <f>-IFERROR('4. NPV'!KEC24/'4. NPV'!KEC$8,0)</f>
        <v>-0.0</v>
      </c>
      <c r="KEC55" s="5">
        <f>-IFERROR('4. NPV'!KED24/'4. NPV'!KED$8,0)</f>
        <v>-0.0</v>
      </c>
      <c r="KED55" s="5">
        <f>-IFERROR('4. NPV'!KEE24/'4. NPV'!KEE$8,0)</f>
        <v>-0.0</v>
      </c>
      <c r="KEE55" s="5">
        <f>-IFERROR('4. NPV'!KEF24/'4. NPV'!KEF$8,0)</f>
        <v>-0.0</v>
      </c>
      <c r="KEF55" s="5">
        <f>-IFERROR('4. NPV'!KEG24/'4. NPV'!KEG$8,0)</f>
        <v>-0.0</v>
      </c>
      <c r="KEG55" s="5">
        <f>-IFERROR('4. NPV'!KEH24/'4. NPV'!KEH$8,0)</f>
        <v>-0.0</v>
      </c>
      <c r="KEH55" s="5">
        <f>-IFERROR('4. NPV'!KEI24/'4. NPV'!KEI$8,0)</f>
        <v>-0.0</v>
      </c>
      <c r="KEI55" s="5">
        <f>-IFERROR('4. NPV'!KEJ24/'4. NPV'!KEJ$8,0)</f>
        <v>-0.0</v>
      </c>
      <c r="KEJ55" s="5">
        <f>-IFERROR('4. NPV'!KEK24/'4. NPV'!KEK$8,0)</f>
        <v>-0.0</v>
      </c>
      <c r="KEK55" s="5">
        <f>-IFERROR('4. NPV'!KEL24/'4. NPV'!KEL$8,0)</f>
        <v>-0.0</v>
      </c>
      <c r="KEL55" s="5">
        <f>-IFERROR('4. NPV'!KEM24/'4. NPV'!KEM$8,0)</f>
        <v>-0.0</v>
      </c>
      <c r="KEM55" s="5">
        <f>-IFERROR('4. NPV'!KEN24/'4. NPV'!KEN$8,0)</f>
        <v>-0.0</v>
      </c>
      <c r="KEN55" s="5">
        <f>-IFERROR('4. NPV'!KEO24/'4. NPV'!KEO$8,0)</f>
        <v>-0.0</v>
      </c>
      <c r="KEO55" s="5">
        <f>-IFERROR('4. NPV'!KEP24/'4. NPV'!KEP$8,0)</f>
        <v>-0.0</v>
      </c>
      <c r="KEP55" s="5">
        <f>-IFERROR('4. NPV'!KEQ24/'4. NPV'!KEQ$8,0)</f>
        <v>-0.0</v>
      </c>
      <c r="KEQ55" s="5">
        <f>-IFERROR('4. NPV'!KER24/'4. NPV'!KER$8,0)</f>
        <v>-0.0</v>
      </c>
      <c r="KER55" s="5">
        <f>-IFERROR('4. NPV'!KES24/'4. NPV'!KES$8,0)</f>
        <v>-0.0</v>
      </c>
      <c r="KES55" s="5">
        <f>-IFERROR('4. NPV'!KET24/'4. NPV'!KET$8,0)</f>
        <v>-0.0</v>
      </c>
      <c r="KET55" s="5">
        <f>-IFERROR('4. NPV'!KEU24/'4. NPV'!KEU$8,0)</f>
        <v>-0.0</v>
      </c>
      <c r="KEU55" s="5">
        <f>-IFERROR('4. NPV'!KEV24/'4. NPV'!KEV$8,0)</f>
        <v>-0.0</v>
      </c>
      <c r="KEV55" s="5">
        <f>-IFERROR('4. NPV'!KEW24/'4. NPV'!KEW$8,0)</f>
        <v>-0.0</v>
      </c>
      <c r="KEW55" s="5">
        <f>-IFERROR('4. NPV'!KEX24/'4. NPV'!KEX$8,0)</f>
        <v>-0.0</v>
      </c>
      <c r="KEX55" s="5">
        <f>-IFERROR('4. NPV'!KEY24/'4. NPV'!KEY$8,0)</f>
        <v>-0.0</v>
      </c>
      <c r="KEY55" s="5">
        <f>-IFERROR('4. NPV'!KEZ24/'4. NPV'!KEZ$8,0)</f>
        <v>-0.0</v>
      </c>
      <c r="KEZ55" s="5">
        <f>-IFERROR('4. NPV'!KFA24/'4. NPV'!KFA$8,0)</f>
        <v>-0.0</v>
      </c>
      <c r="KFA55" s="5">
        <f>-IFERROR('4. NPV'!KFB24/'4. NPV'!KFB$8,0)</f>
        <v>-0.0</v>
      </c>
      <c r="KFB55" s="5">
        <f>-IFERROR('4. NPV'!KFC24/'4. NPV'!KFC$8,0)</f>
        <v>-0.0</v>
      </c>
      <c r="KFC55" s="5">
        <f>-IFERROR('4. NPV'!KFD24/'4. NPV'!KFD$8,0)</f>
        <v>-0.0</v>
      </c>
      <c r="KFD55" s="5">
        <f>-IFERROR('4. NPV'!KFE24/'4. NPV'!KFE$8,0)</f>
        <v>-0.0</v>
      </c>
      <c r="KFE55" s="5">
        <f>-IFERROR('4. NPV'!KFF24/'4. NPV'!KFF$8,0)</f>
        <v>-0.0</v>
      </c>
      <c r="KFF55" s="5">
        <f>-IFERROR('4. NPV'!KFG24/'4. NPV'!KFG$8,0)</f>
        <v>-0.0</v>
      </c>
      <c r="KFG55" s="5">
        <f>-IFERROR('4. NPV'!KFH24/'4. NPV'!KFH$8,0)</f>
        <v>-0.0</v>
      </c>
      <c r="KFH55" s="5">
        <f>-IFERROR('4. NPV'!KFI24/'4. NPV'!KFI$8,0)</f>
        <v>-0.0</v>
      </c>
      <c r="KFI55" s="5">
        <f>-IFERROR('4. NPV'!KFJ24/'4. NPV'!KFJ$8,0)</f>
        <v>-0.0</v>
      </c>
      <c r="KFJ55" s="5">
        <f>-IFERROR('4. NPV'!KFK24/'4. NPV'!KFK$8,0)</f>
        <v>-0.0</v>
      </c>
      <c r="KFK55" s="5">
        <f>-IFERROR('4. NPV'!KFL24/'4. NPV'!KFL$8,0)</f>
        <v>-0.0</v>
      </c>
      <c r="KFL55" s="5">
        <f>-IFERROR('4. NPV'!KFM24/'4. NPV'!KFM$8,0)</f>
        <v>-0.0</v>
      </c>
      <c r="KFM55" s="5">
        <f>-IFERROR('4. NPV'!KFN24/'4. NPV'!KFN$8,0)</f>
        <v>-0.0</v>
      </c>
      <c r="KFN55" s="5">
        <f>-IFERROR('4. NPV'!KFO24/'4. NPV'!KFO$8,0)</f>
        <v>-0.0</v>
      </c>
      <c r="KFO55" s="5">
        <f>-IFERROR('4. NPV'!KFP24/'4. NPV'!KFP$8,0)</f>
        <v>-0.0</v>
      </c>
      <c r="KFP55" s="5">
        <f>-IFERROR('4. NPV'!KFQ24/'4. NPV'!KFQ$8,0)</f>
        <v>-0.0</v>
      </c>
      <c r="KFQ55" s="5">
        <f>-IFERROR('4. NPV'!KFR24/'4. NPV'!KFR$8,0)</f>
        <v>-0.0</v>
      </c>
      <c r="KFR55" s="5">
        <f>-IFERROR('4. NPV'!KFS24/'4. NPV'!KFS$8,0)</f>
        <v>-0.0</v>
      </c>
      <c r="KFS55" s="5">
        <f>-IFERROR('4. NPV'!KFT24/'4. NPV'!KFT$8,0)</f>
        <v>-0.0</v>
      </c>
      <c r="KFT55" s="5">
        <f>-IFERROR('4. NPV'!KFU24/'4. NPV'!KFU$8,0)</f>
        <v>-0.0</v>
      </c>
      <c r="KFU55" s="5">
        <f>-IFERROR('4. NPV'!KFV24/'4. NPV'!KFV$8,0)</f>
        <v>-0.0</v>
      </c>
      <c r="KFV55" s="5">
        <f>-IFERROR('4. NPV'!KFW24/'4. NPV'!KFW$8,0)</f>
        <v>-0.0</v>
      </c>
      <c r="KFW55" s="5">
        <f>-IFERROR('4. NPV'!KFX24/'4. NPV'!KFX$8,0)</f>
        <v>-0.0</v>
      </c>
      <c r="KFX55" s="5">
        <f>-IFERROR('4. NPV'!KFY24/'4. NPV'!KFY$8,0)</f>
        <v>-0.0</v>
      </c>
      <c r="KFY55" s="5">
        <f>-IFERROR('4. NPV'!KFZ24/'4. NPV'!KFZ$8,0)</f>
        <v>-0.0</v>
      </c>
      <c r="KFZ55" s="5">
        <f>-IFERROR('4. NPV'!KGA24/'4. NPV'!KGA$8,0)</f>
        <v>-0.0</v>
      </c>
      <c r="KGA55" s="5">
        <f>-IFERROR('4. NPV'!KGB24/'4. NPV'!KGB$8,0)</f>
        <v>-0.0</v>
      </c>
      <c r="KGB55" s="5">
        <f>-IFERROR('4. NPV'!KGC24/'4. NPV'!KGC$8,0)</f>
        <v>-0.0</v>
      </c>
      <c r="KGC55" s="5">
        <f>-IFERROR('4. NPV'!KGD24/'4. NPV'!KGD$8,0)</f>
        <v>-0.0</v>
      </c>
      <c r="KGD55" s="5">
        <f>-IFERROR('4. NPV'!KGE24/'4. NPV'!KGE$8,0)</f>
        <v>-0.0</v>
      </c>
      <c r="KGE55" s="5">
        <f>-IFERROR('4. NPV'!KGF24/'4. NPV'!KGF$8,0)</f>
        <v>-0.0</v>
      </c>
      <c r="KGF55" s="5">
        <f>-IFERROR('4. NPV'!KGG24/'4. NPV'!KGG$8,0)</f>
        <v>-0.0</v>
      </c>
      <c r="KGG55" s="5">
        <f>-IFERROR('4. NPV'!KGH24/'4. NPV'!KGH$8,0)</f>
        <v>-0.0</v>
      </c>
      <c r="KGH55" s="5">
        <f>-IFERROR('4. NPV'!KGI24/'4. NPV'!KGI$8,0)</f>
        <v>-0.0</v>
      </c>
      <c r="KGI55" s="5">
        <f>-IFERROR('4. NPV'!KGJ24/'4. NPV'!KGJ$8,0)</f>
        <v>-0.0</v>
      </c>
      <c r="KGJ55" s="5">
        <f>-IFERROR('4. NPV'!KGK24/'4. NPV'!KGK$8,0)</f>
        <v>-0.0</v>
      </c>
      <c r="KGK55" s="5">
        <f>-IFERROR('4. NPV'!KGL24/'4. NPV'!KGL$8,0)</f>
        <v>-0.0</v>
      </c>
      <c r="KGL55" s="5">
        <f>-IFERROR('4. NPV'!KGM24/'4. NPV'!KGM$8,0)</f>
        <v>-0.0</v>
      </c>
      <c r="KGM55" s="5">
        <f>-IFERROR('4. NPV'!KGN24/'4. NPV'!KGN$8,0)</f>
        <v>-0.0</v>
      </c>
      <c r="KGN55" s="5">
        <f>-IFERROR('4. NPV'!KGO24/'4. NPV'!KGO$8,0)</f>
        <v>-0.0</v>
      </c>
      <c r="KGO55" s="5">
        <f>-IFERROR('4. NPV'!KGP24/'4. NPV'!KGP$8,0)</f>
        <v>-0.0</v>
      </c>
      <c r="KGP55" s="5">
        <f>-IFERROR('4. NPV'!KGQ24/'4. NPV'!KGQ$8,0)</f>
        <v>-0.0</v>
      </c>
      <c r="KGQ55" s="5">
        <f>-IFERROR('4. NPV'!KGR24/'4. NPV'!KGR$8,0)</f>
        <v>-0.0</v>
      </c>
      <c r="KGR55" s="5">
        <f>-IFERROR('4. NPV'!KGS24/'4. NPV'!KGS$8,0)</f>
        <v>-0.0</v>
      </c>
      <c r="KGS55" s="5">
        <f>-IFERROR('4. NPV'!KGT24/'4. NPV'!KGT$8,0)</f>
        <v>-0.0</v>
      </c>
      <c r="KGT55" s="5">
        <f>-IFERROR('4. NPV'!KGU24/'4. NPV'!KGU$8,0)</f>
        <v>-0.0</v>
      </c>
      <c r="KGU55" s="5">
        <f>-IFERROR('4. NPV'!KGV24/'4. NPV'!KGV$8,0)</f>
        <v>-0.0</v>
      </c>
      <c r="KGV55" s="5">
        <f>-IFERROR('4. NPV'!KGW24/'4. NPV'!KGW$8,0)</f>
        <v>-0.0</v>
      </c>
      <c r="KGW55" s="5">
        <f>-IFERROR('4. NPV'!KGX24/'4. NPV'!KGX$8,0)</f>
        <v>-0.0</v>
      </c>
      <c r="KGX55" s="5">
        <f>-IFERROR('4. NPV'!KGY24/'4. NPV'!KGY$8,0)</f>
        <v>-0.0</v>
      </c>
      <c r="KGY55" s="5">
        <f>-IFERROR('4. NPV'!KGZ24/'4. NPV'!KGZ$8,0)</f>
        <v>-0.0</v>
      </c>
      <c r="KGZ55" s="5">
        <f>-IFERROR('4. NPV'!KHA24/'4. NPV'!KHA$8,0)</f>
        <v>-0.0</v>
      </c>
      <c r="KHA55" s="5">
        <f>-IFERROR('4. NPV'!KHB24/'4. NPV'!KHB$8,0)</f>
        <v>-0.0</v>
      </c>
      <c r="KHB55" s="5">
        <f>-IFERROR('4. NPV'!KHC24/'4. NPV'!KHC$8,0)</f>
        <v>-0.0</v>
      </c>
      <c r="KHC55" s="5">
        <f>-IFERROR('4. NPV'!KHD24/'4. NPV'!KHD$8,0)</f>
        <v>-0.0</v>
      </c>
      <c r="KHD55" s="5">
        <f>-IFERROR('4. NPV'!KHE24/'4. NPV'!KHE$8,0)</f>
        <v>-0.0</v>
      </c>
      <c r="KHE55" s="5">
        <f>-IFERROR('4. NPV'!KHF24/'4. NPV'!KHF$8,0)</f>
        <v>-0.0</v>
      </c>
      <c r="KHF55" s="5">
        <f>-IFERROR('4. NPV'!KHG24/'4. NPV'!KHG$8,0)</f>
        <v>-0.0</v>
      </c>
      <c r="KHG55" s="5">
        <f>-IFERROR('4. NPV'!KHH24/'4. NPV'!KHH$8,0)</f>
        <v>-0.0</v>
      </c>
      <c r="KHH55" s="5">
        <f>-IFERROR('4. NPV'!KHI24/'4. NPV'!KHI$8,0)</f>
        <v>-0.0</v>
      </c>
      <c r="KHI55" s="5">
        <f>-IFERROR('4. NPV'!KHJ24/'4. NPV'!KHJ$8,0)</f>
        <v>-0.0</v>
      </c>
      <c r="KHJ55" s="5">
        <f>-IFERROR('4. NPV'!KHK24/'4. NPV'!KHK$8,0)</f>
        <v>-0.0</v>
      </c>
      <c r="KHK55" s="5">
        <f>-IFERROR('4. NPV'!KHL24/'4. NPV'!KHL$8,0)</f>
        <v>-0.0</v>
      </c>
      <c r="KHL55" s="5">
        <f>-IFERROR('4. NPV'!KHM24/'4. NPV'!KHM$8,0)</f>
        <v>-0.0</v>
      </c>
      <c r="KHM55" s="5">
        <f>-IFERROR('4. NPV'!KHN24/'4. NPV'!KHN$8,0)</f>
        <v>-0.0</v>
      </c>
      <c r="KHN55" s="5">
        <f>-IFERROR('4. NPV'!KHO24/'4. NPV'!KHO$8,0)</f>
        <v>-0.0</v>
      </c>
      <c r="KHO55" s="5">
        <f>-IFERROR('4. NPV'!KHP24/'4. NPV'!KHP$8,0)</f>
        <v>-0.0</v>
      </c>
      <c r="KHP55" s="5">
        <f>-IFERROR('4. NPV'!KHQ24/'4. NPV'!KHQ$8,0)</f>
        <v>-0.0</v>
      </c>
      <c r="KHQ55" s="5">
        <f>-IFERROR('4. NPV'!KHR24/'4. NPV'!KHR$8,0)</f>
        <v>-0.0</v>
      </c>
      <c r="KHR55" s="5">
        <f>-IFERROR('4. NPV'!KHS24/'4. NPV'!KHS$8,0)</f>
        <v>-0.0</v>
      </c>
      <c r="KHS55" s="5">
        <f>-IFERROR('4. NPV'!KHT24/'4. NPV'!KHT$8,0)</f>
        <v>-0.0</v>
      </c>
      <c r="KHT55" s="5">
        <f>-IFERROR('4. NPV'!KHU24/'4. NPV'!KHU$8,0)</f>
        <v>-0.0</v>
      </c>
      <c r="KHU55" s="5">
        <f>-IFERROR('4. NPV'!KHV24/'4. NPV'!KHV$8,0)</f>
        <v>-0.0</v>
      </c>
      <c r="KHV55" s="5">
        <f>-IFERROR('4. NPV'!KHW24/'4. NPV'!KHW$8,0)</f>
        <v>-0.0</v>
      </c>
      <c r="KHW55" s="5">
        <f>-IFERROR('4. NPV'!KHX24/'4. NPV'!KHX$8,0)</f>
        <v>-0.0</v>
      </c>
      <c r="KHX55" s="5">
        <f>-IFERROR('4. NPV'!KHY24/'4. NPV'!KHY$8,0)</f>
        <v>-0.0</v>
      </c>
      <c r="KHY55" s="5">
        <f>-IFERROR('4. NPV'!KHZ24/'4. NPV'!KHZ$8,0)</f>
        <v>-0.0</v>
      </c>
      <c r="KHZ55" s="5">
        <f>-IFERROR('4. NPV'!KIA24/'4. NPV'!KIA$8,0)</f>
        <v>-0.0</v>
      </c>
      <c r="KIA55" s="5">
        <f>-IFERROR('4. NPV'!KIB24/'4. NPV'!KIB$8,0)</f>
        <v>-0.0</v>
      </c>
      <c r="KIB55" s="5">
        <f>-IFERROR('4. NPV'!KIC24/'4. NPV'!KIC$8,0)</f>
        <v>-0.0</v>
      </c>
      <c r="KIC55" s="5">
        <f>-IFERROR('4. NPV'!KID24/'4. NPV'!KID$8,0)</f>
        <v>-0.0</v>
      </c>
      <c r="KID55" s="5">
        <f>-IFERROR('4. NPV'!KIE24/'4. NPV'!KIE$8,0)</f>
        <v>-0.0</v>
      </c>
      <c r="KIE55" s="5">
        <f>-IFERROR('4. NPV'!KIF24/'4. NPV'!KIF$8,0)</f>
        <v>-0.0</v>
      </c>
      <c r="KIF55" s="5">
        <f>-IFERROR('4. NPV'!KIG24/'4. NPV'!KIG$8,0)</f>
        <v>-0.0</v>
      </c>
      <c r="KIG55" s="5">
        <f>-IFERROR('4. NPV'!KIH24/'4. NPV'!KIH$8,0)</f>
        <v>-0.0</v>
      </c>
      <c r="KIH55" s="5">
        <f>-IFERROR('4. NPV'!KII24/'4. NPV'!KII$8,0)</f>
        <v>-0.0</v>
      </c>
      <c r="KII55" s="5">
        <f>-IFERROR('4. NPV'!KIJ24/'4. NPV'!KIJ$8,0)</f>
        <v>-0.0</v>
      </c>
      <c r="KIJ55" s="5">
        <f>-IFERROR('4. NPV'!KIK24/'4. NPV'!KIK$8,0)</f>
        <v>-0.0</v>
      </c>
      <c r="KIK55" s="5">
        <f>-IFERROR('4. NPV'!KIL24/'4. NPV'!KIL$8,0)</f>
        <v>-0.0</v>
      </c>
      <c r="KIL55" s="5">
        <f>-IFERROR('4. NPV'!KIM24/'4. NPV'!KIM$8,0)</f>
        <v>-0.0</v>
      </c>
      <c r="KIM55" s="5">
        <f>-IFERROR('4. NPV'!KIN24/'4. NPV'!KIN$8,0)</f>
        <v>-0.0</v>
      </c>
      <c r="KIN55" s="5">
        <f>-IFERROR('4. NPV'!KIO24/'4. NPV'!KIO$8,0)</f>
        <v>-0.0</v>
      </c>
      <c r="KIO55" s="5">
        <f>-IFERROR('4. NPV'!KIP24/'4. NPV'!KIP$8,0)</f>
        <v>-0.0</v>
      </c>
      <c r="KIP55" s="5">
        <f>-IFERROR('4. NPV'!KIQ24/'4. NPV'!KIQ$8,0)</f>
        <v>-0.0</v>
      </c>
      <c r="KIQ55" s="5">
        <f>-IFERROR('4. NPV'!KIR24/'4. NPV'!KIR$8,0)</f>
        <v>-0.0</v>
      </c>
      <c r="KIR55" s="5">
        <f>-IFERROR('4. NPV'!KIS24/'4. NPV'!KIS$8,0)</f>
        <v>-0.0</v>
      </c>
      <c r="KIS55" s="5">
        <f>-IFERROR('4. NPV'!KIT24/'4. NPV'!KIT$8,0)</f>
        <v>-0.0</v>
      </c>
      <c r="KIT55" s="5">
        <f>-IFERROR('4. NPV'!KIU24/'4. NPV'!KIU$8,0)</f>
        <v>-0.0</v>
      </c>
      <c r="KIU55" s="5">
        <f>-IFERROR('4. NPV'!KIV24/'4. NPV'!KIV$8,0)</f>
        <v>-0.0</v>
      </c>
      <c r="KIV55" s="5">
        <f>-IFERROR('4. NPV'!KIW24/'4. NPV'!KIW$8,0)</f>
        <v>-0.0</v>
      </c>
      <c r="KIW55" s="5">
        <f>-IFERROR('4. NPV'!KIX24/'4. NPV'!KIX$8,0)</f>
        <v>-0.0</v>
      </c>
      <c r="KIX55" s="5">
        <f>-IFERROR('4. NPV'!KIY24/'4. NPV'!KIY$8,0)</f>
        <v>-0.0</v>
      </c>
      <c r="KIY55" s="5">
        <f>-IFERROR('4. NPV'!KIZ24/'4. NPV'!KIZ$8,0)</f>
        <v>-0.0</v>
      </c>
      <c r="KIZ55" s="5">
        <f>-IFERROR('4. NPV'!KJA24/'4. NPV'!KJA$8,0)</f>
        <v>-0.0</v>
      </c>
      <c r="KJA55" s="5">
        <f>-IFERROR('4. NPV'!KJB24/'4. NPV'!KJB$8,0)</f>
        <v>-0.0</v>
      </c>
      <c r="KJB55" s="5">
        <f>-IFERROR('4. NPV'!KJC24/'4. NPV'!KJC$8,0)</f>
        <v>-0.0</v>
      </c>
      <c r="KJC55" s="5">
        <f>-IFERROR('4. NPV'!KJD24/'4. NPV'!KJD$8,0)</f>
        <v>-0.0</v>
      </c>
      <c r="KJD55" s="5">
        <f>-IFERROR('4. NPV'!KJE24/'4. NPV'!KJE$8,0)</f>
        <v>-0.0</v>
      </c>
      <c r="KJE55" s="5">
        <f>-IFERROR('4. NPV'!KJF24/'4. NPV'!KJF$8,0)</f>
        <v>-0.0</v>
      </c>
      <c r="KJF55" s="5">
        <f>-IFERROR('4. NPV'!KJG24/'4. NPV'!KJG$8,0)</f>
        <v>-0.0</v>
      </c>
      <c r="KJG55" s="5">
        <f>-IFERROR('4. NPV'!KJH24/'4. NPV'!KJH$8,0)</f>
        <v>-0.0</v>
      </c>
      <c r="KJH55" s="5">
        <f>-IFERROR('4. NPV'!KJI24/'4. NPV'!KJI$8,0)</f>
        <v>-0.0</v>
      </c>
      <c r="KJI55" s="5">
        <f>-IFERROR('4. NPV'!KJJ24/'4. NPV'!KJJ$8,0)</f>
        <v>-0.0</v>
      </c>
      <c r="KJJ55" s="5">
        <f>-IFERROR('4. NPV'!KJK24/'4. NPV'!KJK$8,0)</f>
        <v>-0.0</v>
      </c>
      <c r="KJK55" s="5">
        <f>-IFERROR('4. NPV'!KJL24/'4. NPV'!KJL$8,0)</f>
        <v>-0.0</v>
      </c>
      <c r="KJL55" s="5">
        <f>-IFERROR('4. NPV'!KJM24/'4. NPV'!KJM$8,0)</f>
        <v>-0.0</v>
      </c>
      <c r="KJM55" s="5">
        <f>-IFERROR('4. NPV'!KJN24/'4. NPV'!KJN$8,0)</f>
        <v>-0.0</v>
      </c>
      <c r="KJN55" s="5">
        <f>-IFERROR('4. NPV'!KJO24/'4. NPV'!KJO$8,0)</f>
        <v>-0.0</v>
      </c>
      <c r="KJO55" s="5">
        <f>-IFERROR('4. NPV'!KJP24/'4. NPV'!KJP$8,0)</f>
        <v>-0.0</v>
      </c>
      <c r="KJP55" s="5">
        <f>-IFERROR('4. NPV'!KJQ24/'4. NPV'!KJQ$8,0)</f>
        <v>-0.0</v>
      </c>
      <c r="KJQ55" s="5">
        <f>-IFERROR('4. NPV'!KJR24/'4. NPV'!KJR$8,0)</f>
        <v>-0.0</v>
      </c>
      <c r="KJR55" s="5">
        <f>-IFERROR('4. NPV'!KJS24/'4. NPV'!KJS$8,0)</f>
        <v>-0.0</v>
      </c>
      <c r="KJS55" s="5">
        <f>-IFERROR('4. NPV'!KJT24/'4. NPV'!KJT$8,0)</f>
        <v>-0.0</v>
      </c>
      <c r="KJT55" s="5">
        <f>-IFERROR('4. NPV'!KJU24/'4. NPV'!KJU$8,0)</f>
        <v>-0.0</v>
      </c>
      <c r="KJU55" s="5">
        <f>-IFERROR('4. NPV'!KJV24/'4. NPV'!KJV$8,0)</f>
        <v>-0.0</v>
      </c>
      <c r="KJV55" s="5">
        <f>-IFERROR('4. NPV'!KJW24/'4. NPV'!KJW$8,0)</f>
        <v>-0.0</v>
      </c>
      <c r="KJW55" s="5">
        <f>-IFERROR('4. NPV'!KJX24/'4. NPV'!KJX$8,0)</f>
        <v>-0.0</v>
      </c>
      <c r="KJX55" s="5">
        <f>-IFERROR('4. NPV'!KJY24/'4. NPV'!KJY$8,0)</f>
        <v>-0.0</v>
      </c>
      <c r="KJY55" s="5">
        <f>-IFERROR('4. NPV'!KJZ24/'4. NPV'!KJZ$8,0)</f>
        <v>-0.0</v>
      </c>
      <c r="KJZ55" s="5">
        <f>-IFERROR('4. NPV'!KKA24/'4. NPV'!KKA$8,0)</f>
        <v>-0.0</v>
      </c>
      <c r="KKA55" s="5">
        <f>-IFERROR('4. NPV'!KKB24/'4. NPV'!KKB$8,0)</f>
        <v>-0.0</v>
      </c>
      <c r="KKB55" s="5">
        <f>-IFERROR('4. NPV'!KKC24/'4. NPV'!KKC$8,0)</f>
        <v>-0.0</v>
      </c>
      <c r="KKC55" s="5">
        <f>-IFERROR('4. NPV'!KKD24/'4. NPV'!KKD$8,0)</f>
        <v>-0.0</v>
      </c>
      <c r="KKD55" s="5">
        <f>-IFERROR('4. NPV'!KKE24/'4. NPV'!KKE$8,0)</f>
        <v>-0.0</v>
      </c>
      <c r="KKE55" s="5">
        <f>-IFERROR('4. NPV'!KKF24/'4. NPV'!KKF$8,0)</f>
        <v>-0.0</v>
      </c>
      <c r="KKF55" s="5">
        <f>-IFERROR('4. NPV'!KKG24/'4. NPV'!KKG$8,0)</f>
        <v>-0.0</v>
      </c>
      <c r="KKG55" s="5">
        <f>-IFERROR('4. NPV'!KKH24/'4. NPV'!KKH$8,0)</f>
        <v>-0.0</v>
      </c>
      <c r="KKH55" s="5">
        <f>-IFERROR('4. NPV'!KKI24/'4. NPV'!KKI$8,0)</f>
        <v>-0.0</v>
      </c>
      <c r="KKI55" s="5">
        <f>-IFERROR('4. NPV'!KKJ24/'4. NPV'!KKJ$8,0)</f>
        <v>-0.0</v>
      </c>
      <c r="KKJ55" s="5">
        <f>-IFERROR('4. NPV'!KKK24/'4. NPV'!KKK$8,0)</f>
        <v>-0.0</v>
      </c>
      <c r="KKK55" s="5">
        <f>-IFERROR('4. NPV'!KKL24/'4. NPV'!KKL$8,0)</f>
        <v>-0.0</v>
      </c>
      <c r="KKL55" s="5">
        <f>-IFERROR('4. NPV'!KKM24/'4. NPV'!KKM$8,0)</f>
        <v>-0.0</v>
      </c>
      <c r="KKM55" s="5">
        <f>-IFERROR('4. NPV'!KKN24/'4. NPV'!KKN$8,0)</f>
        <v>-0.0</v>
      </c>
      <c r="KKN55" s="5">
        <f>-IFERROR('4. NPV'!KKO24/'4. NPV'!KKO$8,0)</f>
        <v>-0.0</v>
      </c>
      <c r="KKO55" s="5">
        <f>-IFERROR('4. NPV'!KKP24/'4. NPV'!KKP$8,0)</f>
        <v>-0.0</v>
      </c>
      <c r="KKP55" s="5">
        <f>-IFERROR('4. NPV'!KKQ24/'4. NPV'!KKQ$8,0)</f>
        <v>-0.0</v>
      </c>
      <c r="KKQ55" s="5">
        <f>-IFERROR('4. NPV'!KKR24/'4. NPV'!KKR$8,0)</f>
        <v>-0.0</v>
      </c>
      <c r="KKR55" s="5">
        <f>-IFERROR('4. NPV'!KKS24/'4. NPV'!KKS$8,0)</f>
        <v>-0.0</v>
      </c>
      <c r="KKS55" s="5">
        <f>-IFERROR('4. NPV'!KKT24/'4. NPV'!KKT$8,0)</f>
        <v>-0.0</v>
      </c>
      <c r="KKT55" s="5">
        <f>-IFERROR('4. NPV'!KKU24/'4. NPV'!KKU$8,0)</f>
        <v>-0.0</v>
      </c>
      <c r="KKU55" s="5">
        <f>-IFERROR('4. NPV'!KKV24/'4. NPV'!KKV$8,0)</f>
        <v>-0.0</v>
      </c>
      <c r="KKV55" s="5">
        <f>-IFERROR('4. NPV'!KKW24/'4. NPV'!KKW$8,0)</f>
        <v>-0.0</v>
      </c>
      <c r="KKW55" s="5">
        <f>-IFERROR('4. NPV'!KKX24/'4. NPV'!KKX$8,0)</f>
        <v>-0.0</v>
      </c>
      <c r="KKX55" s="5">
        <f>-IFERROR('4. NPV'!KKY24/'4. NPV'!KKY$8,0)</f>
        <v>-0.0</v>
      </c>
      <c r="KKY55" s="5">
        <f>-IFERROR('4. NPV'!KKZ24/'4. NPV'!KKZ$8,0)</f>
        <v>-0.0</v>
      </c>
      <c r="KKZ55" s="5">
        <f>-IFERROR('4. NPV'!KLA24/'4. NPV'!KLA$8,0)</f>
        <v>-0.0</v>
      </c>
      <c r="KLA55" s="5">
        <f>-IFERROR('4. NPV'!KLB24/'4. NPV'!KLB$8,0)</f>
        <v>-0.0</v>
      </c>
      <c r="KLB55" s="5">
        <f>-IFERROR('4. NPV'!KLC24/'4. NPV'!KLC$8,0)</f>
        <v>-0.0</v>
      </c>
      <c r="KLC55" s="5">
        <f>-IFERROR('4. NPV'!KLD24/'4. NPV'!KLD$8,0)</f>
        <v>-0.0</v>
      </c>
      <c r="KLD55" s="5">
        <f>-IFERROR('4. NPV'!KLE24/'4. NPV'!KLE$8,0)</f>
        <v>-0.0</v>
      </c>
      <c r="KLE55" s="5">
        <f>-IFERROR('4. NPV'!KLF24/'4. NPV'!KLF$8,0)</f>
        <v>-0.0</v>
      </c>
      <c r="KLF55" s="5">
        <f>-IFERROR('4. NPV'!KLG24/'4. NPV'!KLG$8,0)</f>
        <v>-0.0</v>
      </c>
      <c r="KLG55" s="5">
        <f>-IFERROR('4. NPV'!KLH24/'4. NPV'!KLH$8,0)</f>
        <v>-0.0</v>
      </c>
      <c r="KLH55" s="5">
        <f>-IFERROR('4. NPV'!KLI24/'4. NPV'!KLI$8,0)</f>
        <v>-0.0</v>
      </c>
      <c r="KLI55" s="5">
        <f>-IFERROR('4. NPV'!KLJ24/'4. NPV'!KLJ$8,0)</f>
        <v>-0.0</v>
      </c>
      <c r="KLJ55" s="5">
        <f>-IFERROR('4. NPV'!KLK24/'4. NPV'!KLK$8,0)</f>
        <v>-0.0</v>
      </c>
      <c r="KLK55" s="5">
        <f>-IFERROR('4. NPV'!KLL24/'4. NPV'!KLL$8,0)</f>
        <v>-0.0</v>
      </c>
      <c r="KLL55" s="5">
        <f>-IFERROR('4. NPV'!KLM24/'4. NPV'!KLM$8,0)</f>
        <v>-0.0</v>
      </c>
      <c r="KLM55" s="5">
        <f>-IFERROR('4. NPV'!KLN24/'4. NPV'!KLN$8,0)</f>
        <v>-0.0</v>
      </c>
      <c r="KLN55" s="5">
        <f>-IFERROR('4. NPV'!KLO24/'4. NPV'!KLO$8,0)</f>
        <v>-0.0</v>
      </c>
      <c r="KLO55" s="5">
        <f>-IFERROR('4. NPV'!KLP24/'4. NPV'!KLP$8,0)</f>
        <v>-0.0</v>
      </c>
      <c r="KLP55" s="5">
        <f>-IFERROR('4. NPV'!KLQ24/'4. NPV'!KLQ$8,0)</f>
        <v>-0.0</v>
      </c>
      <c r="KLQ55" s="5">
        <f>-IFERROR('4. NPV'!KLR24/'4. NPV'!KLR$8,0)</f>
        <v>-0.0</v>
      </c>
      <c r="KLR55" s="5">
        <f>-IFERROR('4. NPV'!KLS24/'4. NPV'!KLS$8,0)</f>
        <v>-0.0</v>
      </c>
      <c r="KLS55" s="5">
        <f>-IFERROR('4. NPV'!KLT24/'4. NPV'!KLT$8,0)</f>
        <v>-0.0</v>
      </c>
      <c r="KLT55" s="5">
        <f>-IFERROR('4. NPV'!KLU24/'4. NPV'!KLU$8,0)</f>
        <v>-0.0</v>
      </c>
      <c r="KLU55" s="5">
        <f>-IFERROR('4. NPV'!KLV24/'4. NPV'!KLV$8,0)</f>
        <v>-0.0</v>
      </c>
      <c r="KLV55" s="5">
        <f>-IFERROR('4. NPV'!KLW24/'4. NPV'!KLW$8,0)</f>
        <v>-0.0</v>
      </c>
      <c r="KLW55" s="5">
        <f>-IFERROR('4. NPV'!KLX24/'4. NPV'!KLX$8,0)</f>
        <v>-0.0</v>
      </c>
      <c r="KLX55" s="5">
        <f>-IFERROR('4. NPV'!KLY24/'4. NPV'!KLY$8,0)</f>
        <v>-0.0</v>
      </c>
      <c r="KLY55" s="5">
        <f>-IFERROR('4. NPV'!KLZ24/'4. NPV'!KLZ$8,0)</f>
        <v>-0.0</v>
      </c>
      <c r="KLZ55" s="5">
        <f>-IFERROR('4. NPV'!KMA24/'4. NPV'!KMA$8,0)</f>
        <v>-0.0</v>
      </c>
      <c r="KMA55" s="5">
        <f>-IFERROR('4. NPV'!KMB24/'4. NPV'!KMB$8,0)</f>
        <v>-0.0</v>
      </c>
      <c r="KMB55" s="5">
        <f>-IFERROR('4. NPV'!KMC24/'4. NPV'!KMC$8,0)</f>
        <v>-0.0</v>
      </c>
      <c r="KMC55" s="5">
        <f>-IFERROR('4. NPV'!KMD24/'4. NPV'!KMD$8,0)</f>
        <v>-0.0</v>
      </c>
      <c r="KMD55" s="5">
        <f>-IFERROR('4. NPV'!KME24/'4. NPV'!KME$8,0)</f>
        <v>-0.0</v>
      </c>
      <c r="KME55" s="5">
        <f>-IFERROR('4. NPV'!KMF24/'4. NPV'!KMF$8,0)</f>
        <v>-0.0</v>
      </c>
      <c r="KMF55" s="5">
        <f>-IFERROR('4. NPV'!KMG24/'4. NPV'!KMG$8,0)</f>
        <v>-0.0</v>
      </c>
      <c r="KMG55" s="5">
        <f>-IFERROR('4. NPV'!KMH24/'4. NPV'!KMH$8,0)</f>
        <v>-0.0</v>
      </c>
      <c r="KMH55" s="5">
        <f>-IFERROR('4. NPV'!KMI24/'4. NPV'!KMI$8,0)</f>
        <v>-0.0</v>
      </c>
      <c r="KMI55" s="5">
        <f>-IFERROR('4. NPV'!KMJ24/'4. NPV'!KMJ$8,0)</f>
        <v>-0.0</v>
      </c>
      <c r="KMJ55" s="5">
        <f>-IFERROR('4. NPV'!KMK24/'4. NPV'!KMK$8,0)</f>
        <v>-0.0</v>
      </c>
      <c r="KMK55" s="5">
        <f>-IFERROR('4. NPV'!KML24/'4. NPV'!KML$8,0)</f>
        <v>-0.0</v>
      </c>
      <c r="KML55" s="5">
        <f>-IFERROR('4. NPV'!KMM24/'4. NPV'!KMM$8,0)</f>
        <v>-0.0</v>
      </c>
      <c r="KMM55" s="5">
        <f>-IFERROR('4. NPV'!KMN24/'4. NPV'!KMN$8,0)</f>
        <v>-0.0</v>
      </c>
      <c r="KMN55" s="5">
        <f>-IFERROR('4. NPV'!KMO24/'4. NPV'!KMO$8,0)</f>
        <v>-0.0</v>
      </c>
      <c r="KMO55" s="5">
        <f>-IFERROR('4. NPV'!KMP24/'4. NPV'!KMP$8,0)</f>
        <v>-0.0</v>
      </c>
      <c r="KMP55" s="5">
        <f>-IFERROR('4. NPV'!KMQ24/'4. NPV'!KMQ$8,0)</f>
        <v>-0.0</v>
      </c>
      <c r="KMQ55" s="5">
        <f>-IFERROR('4. NPV'!KMR24/'4. NPV'!KMR$8,0)</f>
        <v>-0.0</v>
      </c>
      <c r="KMR55" s="5">
        <f>-IFERROR('4. NPV'!KMS24/'4. NPV'!KMS$8,0)</f>
        <v>-0.0</v>
      </c>
      <c r="KMS55" s="5">
        <f>-IFERROR('4. NPV'!KMT24/'4. NPV'!KMT$8,0)</f>
        <v>-0.0</v>
      </c>
      <c r="KMT55" s="5">
        <f>-IFERROR('4. NPV'!KMU24/'4. NPV'!KMU$8,0)</f>
        <v>-0.0</v>
      </c>
      <c r="KMU55" s="5">
        <f>-IFERROR('4. NPV'!KMV24/'4. NPV'!KMV$8,0)</f>
        <v>-0.0</v>
      </c>
      <c r="KMV55" s="5">
        <f>-IFERROR('4. NPV'!KMW24/'4. NPV'!KMW$8,0)</f>
        <v>-0.0</v>
      </c>
      <c r="KMW55" s="5">
        <f>-IFERROR('4. NPV'!KMX24/'4. NPV'!KMX$8,0)</f>
        <v>-0.0</v>
      </c>
      <c r="KMX55" s="5">
        <f>-IFERROR('4. NPV'!KMY24/'4. NPV'!KMY$8,0)</f>
        <v>-0.0</v>
      </c>
      <c r="KMY55" s="5">
        <f>-IFERROR('4. NPV'!KMZ24/'4. NPV'!KMZ$8,0)</f>
        <v>-0.0</v>
      </c>
      <c r="KMZ55" s="5">
        <f>-IFERROR('4. NPV'!KNA24/'4. NPV'!KNA$8,0)</f>
        <v>-0.0</v>
      </c>
      <c r="KNA55" s="5">
        <f>-IFERROR('4. NPV'!KNB24/'4. NPV'!KNB$8,0)</f>
        <v>-0.0</v>
      </c>
      <c r="KNB55" s="5">
        <f>-IFERROR('4. NPV'!KNC24/'4. NPV'!KNC$8,0)</f>
        <v>-0.0</v>
      </c>
      <c r="KNC55" s="5">
        <f>-IFERROR('4. NPV'!KND24/'4. NPV'!KND$8,0)</f>
        <v>-0.0</v>
      </c>
      <c r="KND55" s="5">
        <f>-IFERROR('4. NPV'!KNE24/'4. NPV'!KNE$8,0)</f>
        <v>-0.0</v>
      </c>
      <c r="KNE55" s="5">
        <f>-IFERROR('4. NPV'!KNF24/'4. NPV'!KNF$8,0)</f>
        <v>-0.0</v>
      </c>
      <c r="KNF55" s="5">
        <f>-IFERROR('4. NPV'!KNG24/'4. NPV'!KNG$8,0)</f>
        <v>-0.0</v>
      </c>
      <c r="KNG55" s="5">
        <f>-IFERROR('4. NPV'!KNH24/'4. NPV'!KNH$8,0)</f>
        <v>-0.0</v>
      </c>
      <c r="KNH55" s="5">
        <f>-IFERROR('4. NPV'!KNI24/'4. NPV'!KNI$8,0)</f>
        <v>-0.0</v>
      </c>
      <c r="KNI55" s="5">
        <f>-IFERROR('4. NPV'!KNJ24/'4. NPV'!KNJ$8,0)</f>
        <v>-0.0</v>
      </c>
      <c r="KNJ55" s="5">
        <f>-IFERROR('4. NPV'!KNK24/'4. NPV'!KNK$8,0)</f>
        <v>-0.0</v>
      </c>
      <c r="KNK55" s="5">
        <f>-IFERROR('4. NPV'!KNL24/'4. NPV'!KNL$8,0)</f>
        <v>-0.0</v>
      </c>
      <c r="KNL55" s="5">
        <f>-IFERROR('4. NPV'!KNM24/'4. NPV'!KNM$8,0)</f>
        <v>-0.0</v>
      </c>
      <c r="KNM55" s="5">
        <f>-IFERROR('4. NPV'!KNN24/'4. NPV'!KNN$8,0)</f>
        <v>-0.0</v>
      </c>
      <c r="KNN55" s="5">
        <f>-IFERROR('4. NPV'!KNO24/'4. NPV'!KNO$8,0)</f>
        <v>-0.0</v>
      </c>
      <c r="KNO55" s="5">
        <f>-IFERROR('4. NPV'!KNP24/'4. NPV'!KNP$8,0)</f>
        <v>-0.0</v>
      </c>
      <c r="KNP55" s="5">
        <f>-IFERROR('4. NPV'!KNQ24/'4. NPV'!KNQ$8,0)</f>
        <v>-0.0</v>
      </c>
      <c r="KNQ55" s="5">
        <f>-IFERROR('4. NPV'!KNR24/'4. NPV'!KNR$8,0)</f>
        <v>-0.0</v>
      </c>
      <c r="KNR55" s="5">
        <f>-IFERROR('4. NPV'!KNS24/'4. NPV'!KNS$8,0)</f>
        <v>-0.0</v>
      </c>
      <c r="KNS55" s="5">
        <f>-IFERROR('4. NPV'!KNT24/'4. NPV'!KNT$8,0)</f>
        <v>-0.0</v>
      </c>
      <c r="KNT55" s="5">
        <f>-IFERROR('4. NPV'!KNU24/'4. NPV'!KNU$8,0)</f>
        <v>-0.0</v>
      </c>
      <c r="KNU55" s="5">
        <f>-IFERROR('4. NPV'!KNV24/'4. NPV'!KNV$8,0)</f>
        <v>-0.0</v>
      </c>
      <c r="KNV55" s="5">
        <f>-IFERROR('4. NPV'!KNW24/'4. NPV'!KNW$8,0)</f>
        <v>-0.0</v>
      </c>
      <c r="KNW55" s="5">
        <f>-IFERROR('4. NPV'!KNX24/'4. NPV'!KNX$8,0)</f>
        <v>-0.0</v>
      </c>
      <c r="KNX55" s="5">
        <f>-IFERROR('4. NPV'!KNY24/'4. NPV'!KNY$8,0)</f>
        <v>-0.0</v>
      </c>
      <c r="KNY55" s="5">
        <f>-IFERROR('4. NPV'!KNZ24/'4. NPV'!KNZ$8,0)</f>
        <v>-0.0</v>
      </c>
      <c r="KNZ55" s="5">
        <f>-IFERROR('4. NPV'!KOA24/'4. NPV'!KOA$8,0)</f>
        <v>-0.0</v>
      </c>
      <c r="KOA55" s="5">
        <f>-IFERROR('4. NPV'!KOB24/'4. NPV'!KOB$8,0)</f>
        <v>-0.0</v>
      </c>
      <c r="KOB55" s="5">
        <f>-IFERROR('4. NPV'!KOC24/'4. NPV'!KOC$8,0)</f>
        <v>-0.0</v>
      </c>
      <c r="KOC55" s="5">
        <f>-IFERROR('4. NPV'!KOD24/'4. NPV'!KOD$8,0)</f>
        <v>-0.0</v>
      </c>
      <c r="KOD55" s="5">
        <f>-IFERROR('4. NPV'!KOE24/'4. NPV'!KOE$8,0)</f>
        <v>-0.0</v>
      </c>
      <c r="KOE55" s="5">
        <f>-IFERROR('4. NPV'!KOF24/'4. NPV'!KOF$8,0)</f>
        <v>-0.0</v>
      </c>
      <c r="KOF55" s="5">
        <f>-IFERROR('4. NPV'!KOG24/'4. NPV'!KOG$8,0)</f>
        <v>-0.0</v>
      </c>
      <c r="KOG55" s="5">
        <f>-IFERROR('4. NPV'!KOH24/'4. NPV'!KOH$8,0)</f>
        <v>-0.0</v>
      </c>
      <c r="KOH55" s="5">
        <f>-IFERROR('4. NPV'!KOI24/'4. NPV'!KOI$8,0)</f>
        <v>-0.0</v>
      </c>
      <c r="KOI55" s="5">
        <f>-IFERROR('4. NPV'!KOJ24/'4. NPV'!KOJ$8,0)</f>
        <v>-0.0</v>
      </c>
      <c r="KOJ55" s="5">
        <f>-IFERROR('4. NPV'!KOK24/'4. NPV'!KOK$8,0)</f>
        <v>-0.0</v>
      </c>
      <c r="KOK55" s="5">
        <f>-IFERROR('4. NPV'!KOL24/'4. NPV'!KOL$8,0)</f>
        <v>-0.0</v>
      </c>
      <c r="KOL55" s="5">
        <f>-IFERROR('4. NPV'!KOM24/'4. NPV'!KOM$8,0)</f>
        <v>-0.0</v>
      </c>
      <c r="KOM55" s="5">
        <f>-IFERROR('4. NPV'!KON24/'4. NPV'!KON$8,0)</f>
        <v>-0.0</v>
      </c>
      <c r="KON55" s="5">
        <f>-IFERROR('4. NPV'!KOO24/'4. NPV'!KOO$8,0)</f>
        <v>-0.0</v>
      </c>
      <c r="KOO55" s="5">
        <f>-IFERROR('4. NPV'!KOP24/'4. NPV'!KOP$8,0)</f>
        <v>-0.0</v>
      </c>
      <c r="KOP55" s="5">
        <f>-IFERROR('4. NPV'!KOQ24/'4. NPV'!KOQ$8,0)</f>
        <v>-0.0</v>
      </c>
      <c r="KOQ55" s="5">
        <f>-IFERROR('4. NPV'!KOR24/'4. NPV'!KOR$8,0)</f>
        <v>-0.0</v>
      </c>
      <c r="KOR55" s="5">
        <f>-IFERROR('4. NPV'!KOS24/'4. NPV'!KOS$8,0)</f>
        <v>-0.0</v>
      </c>
      <c r="KOS55" s="5">
        <f>-IFERROR('4. NPV'!KOT24/'4. NPV'!KOT$8,0)</f>
        <v>-0.0</v>
      </c>
      <c r="KOT55" s="5">
        <f>-IFERROR('4. NPV'!KOU24/'4. NPV'!KOU$8,0)</f>
        <v>-0.0</v>
      </c>
      <c r="KOU55" s="5">
        <f>-IFERROR('4. NPV'!KOV24/'4. NPV'!KOV$8,0)</f>
        <v>-0.0</v>
      </c>
      <c r="KOV55" s="5">
        <f>-IFERROR('4. NPV'!KOW24/'4. NPV'!KOW$8,0)</f>
        <v>-0.0</v>
      </c>
      <c r="KOW55" s="5">
        <f>-IFERROR('4. NPV'!KOX24/'4. NPV'!KOX$8,0)</f>
        <v>-0.0</v>
      </c>
      <c r="KOX55" s="5">
        <f>-IFERROR('4. NPV'!KOY24/'4. NPV'!KOY$8,0)</f>
        <v>-0.0</v>
      </c>
      <c r="KOY55" s="5">
        <f>-IFERROR('4. NPV'!KOZ24/'4. NPV'!KOZ$8,0)</f>
        <v>-0.0</v>
      </c>
      <c r="KOZ55" s="5">
        <f>-IFERROR('4. NPV'!KPA24/'4. NPV'!KPA$8,0)</f>
        <v>-0.0</v>
      </c>
      <c r="KPA55" s="5">
        <f>-IFERROR('4. NPV'!KPB24/'4. NPV'!KPB$8,0)</f>
        <v>-0.0</v>
      </c>
      <c r="KPB55" s="5">
        <f>-IFERROR('4. NPV'!KPC24/'4. NPV'!KPC$8,0)</f>
        <v>-0.0</v>
      </c>
      <c r="KPC55" s="5">
        <f>-IFERROR('4. NPV'!KPD24/'4. NPV'!KPD$8,0)</f>
        <v>-0.0</v>
      </c>
      <c r="KPD55" s="5">
        <f>-IFERROR('4. NPV'!KPE24/'4. NPV'!KPE$8,0)</f>
        <v>-0.0</v>
      </c>
      <c r="KPE55" s="5">
        <f>-IFERROR('4. NPV'!KPF24/'4. NPV'!KPF$8,0)</f>
        <v>-0.0</v>
      </c>
      <c r="KPF55" s="5">
        <f>-IFERROR('4. NPV'!KPG24/'4. NPV'!KPG$8,0)</f>
        <v>-0.0</v>
      </c>
      <c r="KPG55" s="5">
        <f>-IFERROR('4. NPV'!KPH24/'4. NPV'!KPH$8,0)</f>
        <v>-0.0</v>
      </c>
      <c r="KPH55" s="5">
        <f>-IFERROR('4. NPV'!KPI24/'4. NPV'!KPI$8,0)</f>
        <v>-0.0</v>
      </c>
      <c r="KPI55" s="5">
        <f>-IFERROR('4. NPV'!KPJ24/'4. NPV'!KPJ$8,0)</f>
        <v>-0.0</v>
      </c>
      <c r="KPJ55" s="5">
        <f>-IFERROR('4. NPV'!KPK24/'4. NPV'!KPK$8,0)</f>
        <v>-0.0</v>
      </c>
      <c r="KPK55" s="5">
        <f>-IFERROR('4. NPV'!KPL24/'4. NPV'!KPL$8,0)</f>
        <v>-0.0</v>
      </c>
      <c r="KPL55" s="5">
        <f>-IFERROR('4. NPV'!KPM24/'4. NPV'!KPM$8,0)</f>
        <v>-0.0</v>
      </c>
      <c r="KPM55" s="5">
        <f>-IFERROR('4. NPV'!KPN24/'4. NPV'!KPN$8,0)</f>
        <v>-0.0</v>
      </c>
      <c r="KPN55" s="5">
        <f>-IFERROR('4. NPV'!KPO24/'4. NPV'!KPO$8,0)</f>
        <v>-0.0</v>
      </c>
      <c r="KPO55" s="5">
        <f>-IFERROR('4. NPV'!KPP24/'4. NPV'!KPP$8,0)</f>
        <v>-0.0</v>
      </c>
      <c r="KPP55" s="5">
        <f>-IFERROR('4. NPV'!KPQ24/'4. NPV'!KPQ$8,0)</f>
        <v>-0.0</v>
      </c>
      <c r="KPQ55" s="5">
        <f>-IFERROR('4. NPV'!KPR24/'4. NPV'!KPR$8,0)</f>
        <v>-0.0</v>
      </c>
      <c r="KPR55" s="5">
        <f>-IFERROR('4. NPV'!KPS24/'4. NPV'!KPS$8,0)</f>
        <v>-0.0</v>
      </c>
      <c r="KPS55" s="5">
        <f>-IFERROR('4. NPV'!KPT24/'4. NPV'!KPT$8,0)</f>
        <v>-0.0</v>
      </c>
      <c r="KPT55" s="5">
        <f>-IFERROR('4. NPV'!KPU24/'4. NPV'!KPU$8,0)</f>
        <v>-0.0</v>
      </c>
      <c r="KPU55" s="5">
        <f>-IFERROR('4. NPV'!KPV24/'4. NPV'!KPV$8,0)</f>
        <v>-0.0</v>
      </c>
      <c r="KPV55" s="5">
        <f>-IFERROR('4. NPV'!KPW24/'4. NPV'!KPW$8,0)</f>
        <v>-0.0</v>
      </c>
      <c r="KPW55" s="5">
        <f>-IFERROR('4. NPV'!KPX24/'4. NPV'!KPX$8,0)</f>
        <v>-0.0</v>
      </c>
      <c r="KPX55" s="5">
        <f>-IFERROR('4. NPV'!KPY24/'4. NPV'!KPY$8,0)</f>
        <v>-0.0</v>
      </c>
      <c r="KPY55" s="5">
        <f>-IFERROR('4. NPV'!KPZ24/'4. NPV'!KPZ$8,0)</f>
        <v>-0.0</v>
      </c>
      <c r="KPZ55" s="5">
        <f>-IFERROR('4. NPV'!KQA24/'4. NPV'!KQA$8,0)</f>
        <v>-0.0</v>
      </c>
      <c r="KQA55" s="5">
        <f>-IFERROR('4. NPV'!KQB24/'4. NPV'!KQB$8,0)</f>
        <v>-0.0</v>
      </c>
      <c r="KQB55" s="5">
        <f>-IFERROR('4. NPV'!KQC24/'4. NPV'!KQC$8,0)</f>
        <v>-0.0</v>
      </c>
      <c r="KQC55" s="5">
        <f>-IFERROR('4. NPV'!KQD24/'4. NPV'!KQD$8,0)</f>
        <v>-0.0</v>
      </c>
      <c r="KQD55" s="5">
        <f>-IFERROR('4. NPV'!KQE24/'4. NPV'!KQE$8,0)</f>
        <v>-0.0</v>
      </c>
      <c r="KQE55" s="5">
        <f>-IFERROR('4. NPV'!KQF24/'4. NPV'!KQF$8,0)</f>
        <v>-0.0</v>
      </c>
      <c r="KQF55" s="5">
        <f>-IFERROR('4. NPV'!KQG24/'4. NPV'!KQG$8,0)</f>
        <v>-0.0</v>
      </c>
      <c r="KQG55" s="5">
        <f>-IFERROR('4. NPV'!KQH24/'4. NPV'!KQH$8,0)</f>
        <v>-0.0</v>
      </c>
      <c r="KQH55" s="5">
        <f>-IFERROR('4. NPV'!KQI24/'4. NPV'!KQI$8,0)</f>
        <v>-0.0</v>
      </c>
      <c r="KQI55" s="5">
        <f>-IFERROR('4. NPV'!KQJ24/'4. NPV'!KQJ$8,0)</f>
        <v>-0.0</v>
      </c>
      <c r="KQJ55" s="5">
        <f>-IFERROR('4. NPV'!KQK24/'4. NPV'!KQK$8,0)</f>
        <v>-0.0</v>
      </c>
      <c r="KQK55" s="5">
        <f>-IFERROR('4. NPV'!KQL24/'4. NPV'!KQL$8,0)</f>
        <v>-0.0</v>
      </c>
      <c r="KQL55" s="5">
        <f>-IFERROR('4. NPV'!KQM24/'4. NPV'!KQM$8,0)</f>
        <v>-0.0</v>
      </c>
      <c r="KQM55" s="5">
        <f>-IFERROR('4. NPV'!KQN24/'4. NPV'!KQN$8,0)</f>
        <v>-0.0</v>
      </c>
      <c r="KQN55" s="5">
        <f>-IFERROR('4. NPV'!KQO24/'4. NPV'!KQO$8,0)</f>
        <v>-0.0</v>
      </c>
      <c r="KQO55" s="5">
        <f>-IFERROR('4. NPV'!KQP24/'4. NPV'!KQP$8,0)</f>
        <v>-0.0</v>
      </c>
      <c r="KQP55" s="5">
        <f>-IFERROR('4. NPV'!KQQ24/'4. NPV'!KQQ$8,0)</f>
        <v>-0.0</v>
      </c>
      <c r="KQQ55" s="5">
        <f>-IFERROR('4. NPV'!KQR24/'4. NPV'!KQR$8,0)</f>
        <v>-0.0</v>
      </c>
      <c r="KQR55" s="5">
        <f>-IFERROR('4. NPV'!KQS24/'4. NPV'!KQS$8,0)</f>
        <v>-0.0</v>
      </c>
      <c r="KQS55" s="5">
        <f>-IFERROR('4. NPV'!KQT24/'4. NPV'!KQT$8,0)</f>
        <v>-0.0</v>
      </c>
      <c r="KQT55" s="5">
        <f>-IFERROR('4. NPV'!KQU24/'4. NPV'!KQU$8,0)</f>
        <v>-0.0</v>
      </c>
      <c r="KQU55" s="5">
        <f>-IFERROR('4. NPV'!KQV24/'4. NPV'!KQV$8,0)</f>
        <v>-0.0</v>
      </c>
      <c r="KQV55" s="5">
        <f>-IFERROR('4. NPV'!KQW24/'4. NPV'!KQW$8,0)</f>
        <v>-0.0</v>
      </c>
      <c r="KQW55" s="5">
        <f>-IFERROR('4. NPV'!KQX24/'4. NPV'!KQX$8,0)</f>
        <v>-0.0</v>
      </c>
      <c r="KQX55" s="5">
        <f>-IFERROR('4. NPV'!KQY24/'4. NPV'!KQY$8,0)</f>
        <v>-0.0</v>
      </c>
      <c r="KQY55" s="5">
        <f>-IFERROR('4. NPV'!KQZ24/'4. NPV'!KQZ$8,0)</f>
        <v>-0.0</v>
      </c>
      <c r="KQZ55" s="5">
        <f>-IFERROR('4. NPV'!KRA24/'4. NPV'!KRA$8,0)</f>
        <v>-0.0</v>
      </c>
      <c r="KRA55" s="5">
        <f>-IFERROR('4. NPV'!KRB24/'4. NPV'!KRB$8,0)</f>
        <v>-0.0</v>
      </c>
      <c r="KRB55" s="5">
        <f>-IFERROR('4. NPV'!KRC24/'4. NPV'!KRC$8,0)</f>
        <v>-0.0</v>
      </c>
      <c r="KRC55" s="5">
        <f>-IFERROR('4. NPV'!KRD24/'4. NPV'!KRD$8,0)</f>
        <v>-0.0</v>
      </c>
      <c r="KRD55" s="5">
        <f>-IFERROR('4. NPV'!KRE24/'4. NPV'!KRE$8,0)</f>
        <v>-0.0</v>
      </c>
      <c r="KRE55" s="5">
        <f>-IFERROR('4. NPV'!KRF24/'4. NPV'!KRF$8,0)</f>
        <v>-0.0</v>
      </c>
      <c r="KRF55" s="5">
        <f>-IFERROR('4. NPV'!KRG24/'4. NPV'!KRG$8,0)</f>
        <v>-0.0</v>
      </c>
      <c r="KRG55" s="5">
        <f>-IFERROR('4. NPV'!KRH24/'4. NPV'!KRH$8,0)</f>
        <v>-0.0</v>
      </c>
      <c r="KRH55" s="5">
        <f>-IFERROR('4. NPV'!KRI24/'4. NPV'!KRI$8,0)</f>
        <v>-0.0</v>
      </c>
      <c r="KRI55" s="5">
        <f>-IFERROR('4. NPV'!KRJ24/'4. NPV'!KRJ$8,0)</f>
        <v>-0.0</v>
      </c>
      <c r="KRJ55" s="5">
        <f>-IFERROR('4. NPV'!KRK24/'4. NPV'!KRK$8,0)</f>
        <v>-0.0</v>
      </c>
      <c r="KRK55" s="5">
        <f>-IFERROR('4. NPV'!KRL24/'4. NPV'!KRL$8,0)</f>
        <v>-0.0</v>
      </c>
      <c r="KRL55" s="5">
        <f>-IFERROR('4. NPV'!KRM24/'4. NPV'!KRM$8,0)</f>
        <v>-0.0</v>
      </c>
      <c r="KRM55" s="5">
        <f>-IFERROR('4. NPV'!KRN24/'4. NPV'!KRN$8,0)</f>
        <v>-0.0</v>
      </c>
      <c r="KRN55" s="5">
        <f>-IFERROR('4. NPV'!KRO24/'4. NPV'!KRO$8,0)</f>
        <v>-0.0</v>
      </c>
      <c r="KRO55" s="5">
        <f>-IFERROR('4. NPV'!KRP24/'4. NPV'!KRP$8,0)</f>
        <v>-0.0</v>
      </c>
      <c r="KRP55" s="5">
        <f>-IFERROR('4. NPV'!KRQ24/'4. NPV'!KRQ$8,0)</f>
        <v>-0.0</v>
      </c>
      <c r="KRQ55" s="5">
        <f>-IFERROR('4. NPV'!KRR24/'4. NPV'!KRR$8,0)</f>
        <v>-0.0</v>
      </c>
      <c r="KRR55" s="5">
        <f>-IFERROR('4. NPV'!KRS24/'4. NPV'!KRS$8,0)</f>
        <v>-0.0</v>
      </c>
      <c r="KRS55" s="5">
        <f>-IFERROR('4. NPV'!KRT24/'4. NPV'!KRT$8,0)</f>
        <v>-0.0</v>
      </c>
      <c r="KRT55" s="5">
        <f>-IFERROR('4. NPV'!KRU24/'4. NPV'!KRU$8,0)</f>
        <v>-0.0</v>
      </c>
      <c r="KRU55" s="5">
        <f>-IFERROR('4. NPV'!KRV24/'4. NPV'!KRV$8,0)</f>
        <v>-0.0</v>
      </c>
      <c r="KRV55" s="5">
        <f>-IFERROR('4. NPV'!KRW24/'4. NPV'!KRW$8,0)</f>
        <v>-0.0</v>
      </c>
      <c r="KRW55" s="5">
        <f>-IFERROR('4. NPV'!KRX24/'4. NPV'!KRX$8,0)</f>
        <v>-0.0</v>
      </c>
      <c r="KRX55" s="5">
        <f>-IFERROR('4. NPV'!KRY24/'4. NPV'!KRY$8,0)</f>
        <v>-0.0</v>
      </c>
      <c r="KRY55" s="5">
        <f>-IFERROR('4. NPV'!KRZ24/'4. NPV'!KRZ$8,0)</f>
        <v>-0.0</v>
      </c>
      <c r="KRZ55" s="5">
        <f>-IFERROR('4. NPV'!KSA24/'4. NPV'!KSA$8,0)</f>
        <v>-0.0</v>
      </c>
      <c r="KSA55" s="5">
        <f>-IFERROR('4. NPV'!KSB24/'4. NPV'!KSB$8,0)</f>
        <v>-0.0</v>
      </c>
      <c r="KSB55" s="5">
        <f>-IFERROR('4. NPV'!KSC24/'4. NPV'!KSC$8,0)</f>
        <v>-0.0</v>
      </c>
      <c r="KSC55" s="5">
        <f>-IFERROR('4. NPV'!KSD24/'4. NPV'!KSD$8,0)</f>
        <v>-0.0</v>
      </c>
      <c r="KSD55" s="5">
        <f>-IFERROR('4. NPV'!KSE24/'4. NPV'!KSE$8,0)</f>
        <v>-0.0</v>
      </c>
      <c r="KSE55" s="5">
        <f>-IFERROR('4. NPV'!KSF24/'4. NPV'!KSF$8,0)</f>
        <v>-0.0</v>
      </c>
      <c r="KSF55" s="5">
        <f>-IFERROR('4. NPV'!KSG24/'4. NPV'!KSG$8,0)</f>
        <v>-0.0</v>
      </c>
      <c r="KSG55" s="5">
        <f>-IFERROR('4. NPV'!KSH24/'4. NPV'!KSH$8,0)</f>
        <v>-0.0</v>
      </c>
      <c r="KSH55" s="5">
        <f>-IFERROR('4. NPV'!KSI24/'4. NPV'!KSI$8,0)</f>
        <v>-0.0</v>
      </c>
      <c r="KSI55" s="5">
        <f>-IFERROR('4. NPV'!KSJ24/'4. NPV'!KSJ$8,0)</f>
        <v>-0.0</v>
      </c>
      <c r="KSJ55" s="5">
        <f>-IFERROR('4. NPV'!KSK24/'4. NPV'!KSK$8,0)</f>
        <v>-0.0</v>
      </c>
      <c r="KSK55" s="5">
        <f>-IFERROR('4. NPV'!KSL24/'4. NPV'!KSL$8,0)</f>
        <v>-0.0</v>
      </c>
      <c r="KSL55" s="5">
        <f>-IFERROR('4. NPV'!KSM24/'4. NPV'!KSM$8,0)</f>
        <v>-0.0</v>
      </c>
      <c r="KSM55" s="5">
        <f>-IFERROR('4. NPV'!KSN24/'4. NPV'!KSN$8,0)</f>
        <v>-0.0</v>
      </c>
      <c r="KSN55" s="5">
        <f>-IFERROR('4. NPV'!KSO24/'4. NPV'!KSO$8,0)</f>
        <v>-0.0</v>
      </c>
      <c r="KSO55" s="5">
        <f>-IFERROR('4. NPV'!KSP24/'4. NPV'!KSP$8,0)</f>
        <v>-0.0</v>
      </c>
      <c r="KSP55" s="5">
        <f>-IFERROR('4. NPV'!KSQ24/'4. NPV'!KSQ$8,0)</f>
        <v>-0.0</v>
      </c>
      <c r="KSQ55" s="5">
        <f>-IFERROR('4. NPV'!KSR24/'4. NPV'!KSR$8,0)</f>
        <v>-0.0</v>
      </c>
      <c r="KSR55" s="5">
        <f>-IFERROR('4. NPV'!KSS24/'4. NPV'!KSS$8,0)</f>
        <v>-0.0</v>
      </c>
      <c r="KSS55" s="5">
        <f>-IFERROR('4. NPV'!KST24/'4. NPV'!KST$8,0)</f>
        <v>-0.0</v>
      </c>
      <c r="KST55" s="5">
        <f>-IFERROR('4. NPV'!KSU24/'4. NPV'!KSU$8,0)</f>
        <v>-0.0</v>
      </c>
      <c r="KSU55" s="5">
        <f>-IFERROR('4. NPV'!KSV24/'4. NPV'!KSV$8,0)</f>
        <v>-0.0</v>
      </c>
      <c r="KSV55" s="5">
        <f>-IFERROR('4. NPV'!KSW24/'4. NPV'!KSW$8,0)</f>
        <v>-0.0</v>
      </c>
      <c r="KSW55" s="5">
        <f>-IFERROR('4. NPV'!KSX24/'4. NPV'!KSX$8,0)</f>
        <v>-0.0</v>
      </c>
      <c r="KSX55" s="5">
        <f>-IFERROR('4. NPV'!KSY24/'4. NPV'!KSY$8,0)</f>
        <v>-0.0</v>
      </c>
      <c r="KSY55" s="5">
        <f>-IFERROR('4. NPV'!KSZ24/'4. NPV'!KSZ$8,0)</f>
        <v>-0.0</v>
      </c>
      <c r="KSZ55" s="5">
        <f>-IFERROR('4. NPV'!KTA24/'4. NPV'!KTA$8,0)</f>
        <v>-0.0</v>
      </c>
      <c r="KTA55" s="5">
        <f>-IFERROR('4. NPV'!KTB24/'4. NPV'!KTB$8,0)</f>
        <v>-0.0</v>
      </c>
      <c r="KTB55" s="5">
        <f>-IFERROR('4. NPV'!KTC24/'4. NPV'!KTC$8,0)</f>
        <v>-0.0</v>
      </c>
      <c r="KTC55" s="5">
        <f>-IFERROR('4. NPV'!KTD24/'4. NPV'!KTD$8,0)</f>
        <v>-0.0</v>
      </c>
      <c r="KTD55" s="5">
        <f>-IFERROR('4. NPV'!KTE24/'4. NPV'!KTE$8,0)</f>
        <v>-0.0</v>
      </c>
      <c r="KTE55" s="5">
        <f>-IFERROR('4. NPV'!KTF24/'4. NPV'!KTF$8,0)</f>
        <v>-0.0</v>
      </c>
      <c r="KTF55" s="5">
        <f>-IFERROR('4. NPV'!KTG24/'4. NPV'!KTG$8,0)</f>
        <v>-0.0</v>
      </c>
      <c r="KTG55" s="5">
        <f>-IFERROR('4. NPV'!KTH24/'4. NPV'!KTH$8,0)</f>
        <v>-0.0</v>
      </c>
      <c r="KTH55" s="5">
        <f>-IFERROR('4. NPV'!KTI24/'4. NPV'!KTI$8,0)</f>
        <v>-0.0</v>
      </c>
      <c r="KTI55" s="5">
        <f>-IFERROR('4. NPV'!KTJ24/'4. NPV'!KTJ$8,0)</f>
        <v>-0.0</v>
      </c>
      <c r="KTJ55" s="5">
        <f>-IFERROR('4. NPV'!KTK24/'4. NPV'!KTK$8,0)</f>
        <v>-0.0</v>
      </c>
      <c r="KTK55" s="5">
        <f>-IFERROR('4. NPV'!KTL24/'4. NPV'!KTL$8,0)</f>
        <v>-0.0</v>
      </c>
      <c r="KTL55" s="5">
        <f>-IFERROR('4. NPV'!KTM24/'4. NPV'!KTM$8,0)</f>
        <v>-0.0</v>
      </c>
      <c r="KTM55" s="5">
        <f>-IFERROR('4. NPV'!KTN24/'4. NPV'!KTN$8,0)</f>
        <v>-0.0</v>
      </c>
      <c r="KTN55" s="5">
        <f>-IFERROR('4. NPV'!KTO24/'4. NPV'!KTO$8,0)</f>
        <v>-0.0</v>
      </c>
      <c r="KTO55" s="5">
        <f>-IFERROR('4. NPV'!KTP24/'4. NPV'!KTP$8,0)</f>
        <v>-0.0</v>
      </c>
      <c r="KTP55" s="5">
        <f>-IFERROR('4. NPV'!KTQ24/'4. NPV'!KTQ$8,0)</f>
        <v>-0.0</v>
      </c>
      <c r="KTQ55" s="5">
        <f>-IFERROR('4. NPV'!KTR24/'4. NPV'!KTR$8,0)</f>
        <v>-0.0</v>
      </c>
      <c r="KTR55" s="5">
        <f>-IFERROR('4. NPV'!KTS24/'4. NPV'!KTS$8,0)</f>
        <v>-0.0</v>
      </c>
      <c r="KTS55" s="5">
        <f>-IFERROR('4. NPV'!KTT24/'4. NPV'!KTT$8,0)</f>
        <v>-0.0</v>
      </c>
      <c r="KTT55" s="5">
        <f>-IFERROR('4. NPV'!KTU24/'4. NPV'!KTU$8,0)</f>
        <v>-0.0</v>
      </c>
      <c r="KTU55" s="5">
        <f>-IFERROR('4. NPV'!KTV24/'4. NPV'!KTV$8,0)</f>
        <v>-0.0</v>
      </c>
      <c r="KTV55" s="5">
        <f>-IFERROR('4. NPV'!KTW24/'4. NPV'!KTW$8,0)</f>
        <v>-0.0</v>
      </c>
      <c r="KTW55" s="5">
        <f>-IFERROR('4. NPV'!KTX24/'4. NPV'!KTX$8,0)</f>
        <v>-0.0</v>
      </c>
      <c r="KTX55" s="5">
        <f>-IFERROR('4. NPV'!KTY24/'4. NPV'!KTY$8,0)</f>
        <v>-0.0</v>
      </c>
      <c r="KTY55" s="5">
        <f>-IFERROR('4. NPV'!KTZ24/'4. NPV'!KTZ$8,0)</f>
        <v>-0.0</v>
      </c>
      <c r="KTZ55" s="5">
        <f>-IFERROR('4. NPV'!KUA24/'4. NPV'!KUA$8,0)</f>
        <v>-0.0</v>
      </c>
      <c r="KUA55" s="5">
        <f>-IFERROR('4. NPV'!KUB24/'4. NPV'!KUB$8,0)</f>
        <v>-0.0</v>
      </c>
      <c r="KUB55" s="5">
        <f>-IFERROR('4. NPV'!KUC24/'4. NPV'!KUC$8,0)</f>
        <v>-0.0</v>
      </c>
      <c r="KUC55" s="5">
        <f>-IFERROR('4. NPV'!KUD24/'4. NPV'!KUD$8,0)</f>
        <v>-0.0</v>
      </c>
      <c r="KUD55" s="5">
        <f>-IFERROR('4. NPV'!KUE24/'4. NPV'!KUE$8,0)</f>
        <v>-0.0</v>
      </c>
      <c r="KUE55" s="5">
        <f>-IFERROR('4. NPV'!KUF24/'4. NPV'!KUF$8,0)</f>
        <v>-0.0</v>
      </c>
      <c r="KUF55" s="5">
        <f>-IFERROR('4. NPV'!KUG24/'4. NPV'!KUG$8,0)</f>
        <v>-0.0</v>
      </c>
      <c r="KUG55" s="5">
        <f>-IFERROR('4. NPV'!KUH24/'4. NPV'!KUH$8,0)</f>
        <v>-0.0</v>
      </c>
      <c r="KUH55" s="5">
        <f>-IFERROR('4. NPV'!KUI24/'4. NPV'!KUI$8,0)</f>
        <v>-0.0</v>
      </c>
      <c r="KUI55" s="5">
        <f>-IFERROR('4. NPV'!KUJ24/'4. NPV'!KUJ$8,0)</f>
        <v>-0.0</v>
      </c>
      <c r="KUJ55" s="5">
        <f>-IFERROR('4. NPV'!KUK24/'4. NPV'!KUK$8,0)</f>
        <v>-0.0</v>
      </c>
      <c r="KUK55" s="5">
        <f>-IFERROR('4. NPV'!KUL24/'4. NPV'!KUL$8,0)</f>
        <v>-0.0</v>
      </c>
      <c r="KUL55" s="5">
        <f>-IFERROR('4. NPV'!KUM24/'4. NPV'!KUM$8,0)</f>
        <v>-0.0</v>
      </c>
      <c r="KUM55" s="5">
        <f>-IFERROR('4. NPV'!KUN24/'4. NPV'!KUN$8,0)</f>
        <v>-0.0</v>
      </c>
      <c r="KUN55" s="5">
        <f>-IFERROR('4. NPV'!KUO24/'4. NPV'!KUO$8,0)</f>
        <v>-0.0</v>
      </c>
      <c r="KUO55" s="5">
        <f>-IFERROR('4. NPV'!KUP24/'4. NPV'!KUP$8,0)</f>
        <v>-0.0</v>
      </c>
      <c r="KUP55" s="5">
        <f>-IFERROR('4. NPV'!KUQ24/'4. NPV'!KUQ$8,0)</f>
        <v>-0.0</v>
      </c>
      <c r="KUQ55" s="5">
        <f>-IFERROR('4. NPV'!KUR24/'4. NPV'!KUR$8,0)</f>
        <v>-0.0</v>
      </c>
      <c r="KUR55" s="5">
        <f>-IFERROR('4. NPV'!KUS24/'4. NPV'!KUS$8,0)</f>
        <v>-0.0</v>
      </c>
      <c r="KUS55" s="5">
        <f>-IFERROR('4. NPV'!KUT24/'4. NPV'!KUT$8,0)</f>
        <v>-0.0</v>
      </c>
      <c r="KUT55" s="5">
        <f>-IFERROR('4. NPV'!KUU24/'4. NPV'!KUU$8,0)</f>
        <v>-0.0</v>
      </c>
      <c r="KUU55" s="5">
        <f>-IFERROR('4. NPV'!KUV24/'4. NPV'!KUV$8,0)</f>
        <v>-0.0</v>
      </c>
      <c r="KUV55" s="5">
        <f>-IFERROR('4. NPV'!KUW24/'4. NPV'!KUW$8,0)</f>
        <v>-0.0</v>
      </c>
      <c r="KUW55" s="5">
        <f>-IFERROR('4. NPV'!KUX24/'4. NPV'!KUX$8,0)</f>
        <v>-0.0</v>
      </c>
      <c r="KUX55" s="5">
        <f>-IFERROR('4. NPV'!KUY24/'4. NPV'!KUY$8,0)</f>
        <v>-0.0</v>
      </c>
      <c r="KUY55" s="5">
        <f>-IFERROR('4. NPV'!KUZ24/'4. NPV'!KUZ$8,0)</f>
        <v>-0.0</v>
      </c>
      <c r="KUZ55" s="5">
        <f>-IFERROR('4. NPV'!KVA24/'4. NPV'!KVA$8,0)</f>
        <v>-0.0</v>
      </c>
      <c r="KVA55" s="5">
        <f>-IFERROR('4. NPV'!KVB24/'4. NPV'!KVB$8,0)</f>
        <v>-0.0</v>
      </c>
      <c r="KVB55" s="5">
        <f>-IFERROR('4. NPV'!KVC24/'4. NPV'!KVC$8,0)</f>
        <v>-0.0</v>
      </c>
      <c r="KVC55" s="5">
        <f>-IFERROR('4. NPV'!KVD24/'4. NPV'!KVD$8,0)</f>
        <v>-0.0</v>
      </c>
      <c r="KVD55" s="5">
        <f>-IFERROR('4. NPV'!KVE24/'4. NPV'!KVE$8,0)</f>
        <v>-0.0</v>
      </c>
      <c r="KVE55" s="5">
        <f>-IFERROR('4. NPV'!KVF24/'4. NPV'!KVF$8,0)</f>
        <v>-0.0</v>
      </c>
      <c r="KVF55" s="5">
        <f>-IFERROR('4. NPV'!KVG24/'4. NPV'!KVG$8,0)</f>
        <v>-0.0</v>
      </c>
      <c r="KVG55" s="5">
        <f>-IFERROR('4. NPV'!KVH24/'4. NPV'!KVH$8,0)</f>
        <v>-0.0</v>
      </c>
      <c r="KVH55" s="5">
        <f>-IFERROR('4. NPV'!KVI24/'4. NPV'!KVI$8,0)</f>
        <v>-0.0</v>
      </c>
      <c r="KVI55" s="5">
        <f>-IFERROR('4. NPV'!KVJ24/'4. NPV'!KVJ$8,0)</f>
        <v>-0.0</v>
      </c>
      <c r="KVJ55" s="5">
        <f>-IFERROR('4. NPV'!KVK24/'4. NPV'!KVK$8,0)</f>
        <v>-0.0</v>
      </c>
      <c r="KVK55" s="5">
        <f>-IFERROR('4. NPV'!KVL24/'4. NPV'!KVL$8,0)</f>
        <v>-0.0</v>
      </c>
      <c r="KVL55" s="5">
        <f>-IFERROR('4. NPV'!KVM24/'4. NPV'!KVM$8,0)</f>
        <v>-0.0</v>
      </c>
      <c r="KVM55" s="5">
        <f>-IFERROR('4. NPV'!KVN24/'4. NPV'!KVN$8,0)</f>
        <v>-0.0</v>
      </c>
      <c r="KVN55" s="5">
        <f>-IFERROR('4. NPV'!KVO24/'4. NPV'!KVO$8,0)</f>
        <v>-0.0</v>
      </c>
      <c r="KVO55" s="5">
        <f>-IFERROR('4. NPV'!KVP24/'4. NPV'!KVP$8,0)</f>
        <v>-0.0</v>
      </c>
      <c r="KVP55" s="5">
        <f>-IFERROR('4. NPV'!KVQ24/'4. NPV'!KVQ$8,0)</f>
        <v>-0.0</v>
      </c>
      <c r="KVQ55" s="5">
        <f>-IFERROR('4. NPV'!KVR24/'4. NPV'!KVR$8,0)</f>
        <v>-0.0</v>
      </c>
      <c r="KVR55" s="5">
        <f>-IFERROR('4. NPV'!KVS24/'4. NPV'!KVS$8,0)</f>
        <v>-0.0</v>
      </c>
      <c r="KVS55" s="5">
        <f>-IFERROR('4. NPV'!KVT24/'4. NPV'!KVT$8,0)</f>
        <v>-0.0</v>
      </c>
      <c r="KVT55" s="5">
        <f>-IFERROR('4. NPV'!KVU24/'4. NPV'!KVU$8,0)</f>
        <v>-0.0</v>
      </c>
      <c r="KVU55" s="5">
        <f>-IFERROR('4. NPV'!KVV24/'4. NPV'!KVV$8,0)</f>
        <v>-0.0</v>
      </c>
      <c r="KVV55" s="5">
        <f>-IFERROR('4. NPV'!KVW24/'4. NPV'!KVW$8,0)</f>
        <v>-0.0</v>
      </c>
      <c r="KVW55" s="5">
        <f>-IFERROR('4. NPV'!KVX24/'4. NPV'!KVX$8,0)</f>
        <v>-0.0</v>
      </c>
      <c r="KVX55" s="5">
        <f>-IFERROR('4. NPV'!KVY24/'4. NPV'!KVY$8,0)</f>
        <v>-0.0</v>
      </c>
      <c r="KVY55" s="5">
        <f>-IFERROR('4. NPV'!KVZ24/'4. NPV'!KVZ$8,0)</f>
        <v>-0.0</v>
      </c>
      <c r="KVZ55" s="5">
        <f>-IFERROR('4. NPV'!KWA24/'4. NPV'!KWA$8,0)</f>
        <v>-0.0</v>
      </c>
      <c r="KWA55" s="5">
        <f>-IFERROR('4. NPV'!KWB24/'4. NPV'!KWB$8,0)</f>
        <v>-0.0</v>
      </c>
      <c r="KWB55" s="5">
        <f>-IFERROR('4. NPV'!KWC24/'4. NPV'!KWC$8,0)</f>
        <v>-0.0</v>
      </c>
      <c r="KWC55" s="5">
        <f>-IFERROR('4. NPV'!KWD24/'4. NPV'!KWD$8,0)</f>
        <v>-0.0</v>
      </c>
      <c r="KWD55" s="5">
        <f>-IFERROR('4. NPV'!KWE24/'4. NPV'!KWE$8,0)</f>
        <v>-0.0</v>
      </c>
      <c r="KWE55" s="5">
        <f>-IFERROR('4. NPV'!KWF24/'4. NPV'!KWF$8,0)</f>
        <v>-0.0</v>
      </c>
      <c r="KWF55" s="5">
        <f>-IFERROR('4. NPV'!KWG24/'4. NPV'!KWG$8,0)</f>
        <v>-0.0</v>
      </c>
      <c r="KWG55" s="5">
        <f>-IFERROR('4. NPV'!KWH24/'4. NPV'!KWH$8,0)</f>
        <v>-0.0</v>
      </c>
      <c r="KWH55" s="5">
        <f>-IFERROR('4. NPV'!KWI24/'4. NPV'!KWI$8,0)</f>
        <v>-0.0</v>
      </c>
      <c r="KWI55" s="5">
        <f>-IFERROR('4. NPV'!KWJ24/'4. NPV'!KWJ$8,0)</f>
        <v>-0.0</v>
      </c>
      <c r="KWJ55" s="5">
        <f>-IFERROR('4. NPV'!KWK24/'4. NPV'!KWK$8,0)</f>
        <v>-0.0</v>
      </c>
      <c r="KWK55" s="5">
        <f>-IFERROR('4. NPV'!KWL24/'4. NPV'!KWL$8,0)</f>
        <v>-0.0</v>
      </c>
      <c r="KWL55" s="5">
        <f>-IFERROR('4. NPV'!KWM24/'4. NPV'!KWM$8,0)</f>
        <v>-0.0</v>
      </c>
      <c r="KWM55" s="5">
        <f>-IFERROR('4. NPV'!KWN24/'4. NPV'!KWN$8,0)</f>
        <v>-0.0</v>
      </c>
      <c r="KWN55" s="5">
        <f>-IFERROR('4. NPV'!KWO24/'4. NPV'!KWO$8,0)</f>
        <v>-0.0</v>
      </c>
      <c r="KWO55" s="5">
        <f>-IFERROR('4. NPV'!KWP24/'4. NPV'!KWP$8,0)</f>
        <v>-0.0</v>
      </c>
      <c r="KWP55" s="5">
        <f>-IFERROR('4. NPV'!KWQ24/'4. NPV'!KWQ$8,0)</f>
        <v>-0.0</v>
      </c>
      <c r="KWQ55" s="5">
        <f>-IFERROR('4. NPV'!KWR24/'4. NPV'!KWR$8,0)</f>
        <v>-0.0</v>
      </c>
      <c r="KWR55" s="5">
        <f>-IFERROR('4. NPV'!KWS24/'4. NPV'!KWS$8,0)</f>
        <v>-0.0</v>
      </c>
      <c r="KWS55" s="5">
        <f>-IFERROR('4. NPV'!KWT24/'4. NPV'!KWT$8,0)</f>
        <v>-0.0</v>
      </c>
      <c r="KWT55" s="5">
        <f>-IFERROR('4. NPV'!KWU24/'4. NPV'!KWU$8,0)</f>
        <v>-0.0</v>
      </c>
      <c r="KWU55" s="5">
        <f>-IFERROR('4. NPV'!KWV24/'4. NPV'!KWV$8,0)</f>
        <v>-0.0</v>
      </c>
      <c r="KWV55" s="5">
        <f>-IFERROR('4. NPV'!KWW24/'4. NPV'!KWW$8,0)</f>
        <v>-0.0</v>
      </c>
      <c r="KWW55" s="5">
        <f>-IFERROR('4. NPV'!KWX24/'4. NPV'!KWX$8,0)</f>
        <v>-0.0</v>
      </c>
      <c r="KWX55" s="5">
        <f>-IFERROR('4. NPV'!KWY24/'4. NPV'!KWY$8,0)</f>
        <v>-0.0</v>
      </c>
      <c r="KWY55" s="5">
        <f>-IFERROR('4. NPV'!KWZ24/'4. NPV'!KWZ$8,0)</f>
        <v>-0.0</v>
      </c>
      <c r="KWZ55" s="5">
        <f>-IFERROR('4. NPV'!KXA24/'4. NPV'!KXA$8,0)</f>
        <v>-0.0</v>
      </c>
      <c r="KXA55" s="5">
        <f>-IFERROR('4. NPV'!KXB24/'4. NPV'!KXB$8,0)</f>
        <v>-0.0</v>
      </c>
      <c r="KXB55" s="5">
        <f>-IFERROR('4. NPV'!KXC24/'4. NPV'!KXC$8,0)</f>
        <v>-0.0</v>
      </c>
      <c r="KXC55" s="5">
        <f>-IFERROR('4. NPV'!KXD24/'4. NPV'!KXD$8,0)</f>
        <v>-0.0</v>
      </c>
      <c r="KXD55" s="5">
        <f>-IFERROR('4. NPV'!KXE24/'4. NPV'!KXE$8,0)</f>
        <v>-0.0</v>
      </c>
      <c r="KXE55" s="5">
        <f>-IFERROR('4. NPV'!KXF24/'4. NPV'!KXF$8,0)</f>
        <v>-0.0</v>
      </c>
      <c r="KXF55" s="5">
        <f>-IFERROR('4. NPV'!KXG24/'4. NPV'!KXG$8,0)</f>
        <v>-0.0</v>
      </c>
      <c r="KXG55" s="5">
        <f>-IFERROR('4. NPV'!KXH24/'4. NPV'!KXH$8,0)</f>
        <v>-0.0</v>
      </c>
      <c r="KXH55" s="5">
        <f>-IFERROR('4. NPV'!KXI24/'4. NPV'!KXI$8,0)</f>
        <v>-0.0</v>
      </c>
      <c r="KXI55" s="5">
        <f>-IFERROR('4. NPV'!KXJ24/'4. NPV'!KXJ$8,0)</f>
        <v>-0.0</v>
      </c>
      <c r="KXJ55" s="5">
        <f>-IFERROR('4. NPV'!KXK24/'4. NPV'!KXK$8,0)</f>
        <v>-0.0</v>
      </c>
      <c r="KXK55" s="5">
        <f>-IFERROR('4. NPV'!KXL24/'4. NPV'!KXL$8,0)</f>
        <v>-0.0</v>
      </c>
      <c r="KXL55" s="5">
        <f>-IFERROR('4. NPV'!KXM24/'4. NPV'!KXM$8,0)</f>
        <v>-0.0</v>
      </c>
      <c r="KXM55" s="5">
        <f>-IFERROR('4. NPV'!KXN24/'4. NPV'!KXN$8,0)</f>
        <v>-0.0</v>
      </c>
      <c r="KXN55" s="5">
        <f>-IFERROR('4. NPV'!KXO24/'4. NPV'!KXO$8,0)</f>
        <v>-0.0</v>
      </c>
      <c r="KXO55" s="5">
        <f>-IFERROR('4. NPV'!KXP24/'4. NPV'!KXP$8,0)</f>
        <v>-0.0</v>
      </c>
      <c r="KXP55" s="5">
        <f>-IFERROR('4. NPV'!KXQ24/'4. NPV'!KXQ$8,0)</f>
        <v>-0.0</v>
      </c>
      <c r="KXQ55" s="5">
        <f>-IFERROR('4. NPV'!KXR24/'4. NPV'!KXR$8,0)</f>
        <v>-0.0</v>
      </c>
      <c r="KXR55" s="5">
        <f>-IFERROR('4. NPV'!KXS24/'4. NPV'!KXS$8,0)</f>
        <v>-0.0</v>
      </c>
      <c r="KXS55" s="5">
        <f>-IFERROR('4. NPV'!KXT24/'4. NPV'!KXT$8,0)</f>
        <v>-0.0</v>
      </c>
      <c r="KXT55" s="5">
        <f>-IFERROR('4. NPV'!KXU24/'4. NPV'!KXU$8,0)</f>
        <v>-0.0</v>
      </c>
      <c r="KXU55" s="5">
        <f>-IFERROR('4. NPV'!KXV24/'4. NPV'!KXV$8,0)</f>
        <v>-0.0</v>
      </c>
      <c r="KXV55" s="5">
        <f>-IFERROR('4. NPV'!KXW24/'4. NPV'!KXW$8,0)</f>
        <v>-0.0</v>
      </c>
      <c r="KXW55" s="5">
        <f>-IFERROR('4. NPV'!KXX24/'4. NPV'!KXX$8,0)</f>
        <v>-0.0</v>
      </c>
      <c r="KXX55" s="5">
        <f>-IFERROR('4. NPV'!KXY24/'4. NPV'!KXY$8,0)</f>
        <v>-0.0</v>
      </c>
      <c r="KXY55" s="5">
        <f>-IFERROR('4. NPV'!KXZ24/'4. NPV'!KXZ$8,0)</f>
        <v>-0.0</v>
      </c>
      <c r="KXZ55" s="5">
        <f>-IFERROR('4. NPV'!KYA24/'4. NPV'!KYA$8,0)</f>
        <v>-0.0</v>
      </c>
      <c r="KYA55" s="5">
        <f>-IFERROR('4. NPV'!KYB24/'4. NPV'!KYB$8,0)</f>
        <v>-0.0</v>
      </c>
      <c r="KYB55" s="5">
        <f>-IFERROR('4. NPV'!KYC24/'4. NPV'!KYC$8,0)</f>
        <v>-0.0</v>
      </c>
      <c r="KYC55" s="5">
        <f>-IFERROR('4. NPV'!KYD24/'4. NPV'!KYD$8,0)</f>
        <v>-0.0</v>
      </c>
      <c r="KYD55" s="5">
        <f>-IFERROR('4. NPV'!KYE24/'4. NPV'!KYE$8,0)</f>
        <v>-0.0</v>
      </c>
      <c r="KYE55" s="5">
        <f>-IFERROR('4. NPV'!KYF24/'4. NPV'!KYF$8,0)</f>
        <v>-0.0</v>
      </c>
      <c r="KYF55" s="5">
        <f>-IFERROR('4. NPV'!KYG24/'4. NPV'!KYG$8,0)</f>
        <v>-0.0</v>
      </c>
      <c r="KYG55" s="5">
        <f>-IFERROR('4. NPV'!KYH24/'4. NPV'!KYH$8,0)</f>
        <v>-0.0</v>
      </c>
      <c r="KYH55" s="5">
        <f>-IFERROR('4. NPV'!KYI24/'4. NPV'!KYI$8,0)</f>
        <v>-0.0</v>
      </c>
      <c r="KYI55" s="5">
        <f>-IFERROR('4. NPV'!KYJ24/'4. NPV'!KYJ$8,0)</f>
        <v>-0.0</v>
      </c>
      <c r="KYJ55" s="5">
        <f>-IFERROR('4. NPV'!KYK24/'4. NPV'!KYK$8,0)</f>
        <v>-0.0</v>
      </c>
      <c r="KYK55" s="5">
        <f>-IFERROR('4. NPV'!KYL24/'4. NPV'!KYL$8,0)</f>
        <v>-0.0</v>
      </c>
      <c r="KYL55" s="5">
        <f>-IFERROR('4. NPV'!KYM24/'4. NPV'!KYM$8,0)</f>
        <v>-0.0</v>
      </c>
      <c r="KYM55" s="5">
        <f>-IFERROR('4. NPV'!KYN24/'4. NPV'!KYN$8,0)</f>
        <v>-0.0</v>
      </c>
      <c r="KYN55" s="5">
        <f>-IFERROR('4. NPV'!KYO24/'4. NPV'!KYO$8,0)</f>
        <v>-0.0</v>
      </c>
      <c r="KYO55" s="5">
        <f>-IFERROR('4. NPV'!KYP24/'4. NPV'!KYP$8,0)</f>
        <v>-0.0</v>
      </c>
      <c r="KYP55" s="5">
        <f>-IFERROR('4. NPV'!KYQ24/'4. NPV'!KYQ$8,0)</f>
        <v>-0.0</v>
      </c>
      <c r="KYQ55" s="5">
        <f>-IFERROR('4. NPV'!KYR24/'4. NPV'!KYR$8,0)</f>
        <v>-0.0</v>
      </c>
      <c r="KYR55" s="5">
        <f>-IFERROR('4. NPV'!KYS24/'4. NPV'!KYS$8,0)</f>
        <v>-0.0</v>
      </c>
      <c r="KYS55" s="5">
        <f>-IFERROR('4. NPV'!KYT24/'4. NPV'!KYT$8,0)</f>
        <v>-0.0</v>
      </c>
      <c r="KYT55" s="5">
        <f>-IFERROR('4. NPV'!KYU24/'4. NPV'!KYU$8,0)</f>
        <v>-0.0</v>
      </c>
      <c r="KYU55" s="5">
        <f>-IFERROR('4. NPV'!KYV24/'4. NPV'!KYV$8,0)</f>
        <v>-0.0</v>
      </c>
      <c r="KYV55" s="5">
        <f>-IFERROR('4. NPV'!KYW24/'4. NPV'!KYW$8,0)</f>
        <v>-0.0</v>
      </c>
      <c r="KYW55" s="5">
        <f>-IFERROR('4. NPV'!KYX24/'4. NPV'!KYX$8,0)</f>
        <v>-0.0</v>
      </c>
      <c r="KYX55" s="5">
        <f>-IFERROR('4. NPV'!KYY24/'4. NPV'!KYY$8,0)</f>
        <v>-0.0</v>
      </c>
      <c r="KYY55" s="5">
        <f>-IFERROR('4. NPV'!KYZ24/'4. NPV'!KYZ$8,0)</f>
        <v>-0.0</v>
      </c>
      <c r="KYZ55" s="5">
        <f>-IFERROR('4. NPV'!KZA24/'4. NPV'!KZA$8,0)</f>
        <v>-0.0</v>
      </c>
      <c r="KZA55" s="5">
        <f>-IFERROR('4. NPV'!KZB24/'4. NPV'!KZB$8,0)</f>
        <v>-0.0</v>
      </c>
      <c r="KZB55" s="5">
        <f>-IFERROR('4. NPV'!KZC24/'4. NPV'!KZC$8,0)</f>
        <v>-0.0</v>
      </c>
      <c r="KZC55" s="5">
        <f>-IFERROR('4. NPV'!KZD24/'4. NPV'!KZD$8,0)</f>
        <v>-0.0</v>
      </c>
      <c r="KZD55" s="5">
        <f>-IFERROR('4. NPV'!KZE24/'4. NPV'!KZE$8,0)</f>
        <v>-0.0</v>
      </c>
      <c r="KZE55" s="5">
        <f>-IFERROR('4. NPV'!KZF24/'4. NPV'!KZF$8,0)</f>
        <v>-0.0</v>
      </c>
      <c r="KZF55" s="5">
        <f>-IFERROR('4. NPV'!KZG24/'4. NPV'!KZG$8,0)</f>
        <v>-0.0</v>
      </c>
      <c r="KZG55" s="5">
        <f>-IFERROR('4. NPV'!KZH24/'4. NPV'!KZH$8,0)</f>
        <v>-0.0</v>
      </c>
      <c r="KZH55" s="5">
        <f>-IFERROR('4. NPV'!KZI24/'4. NPV'!KZI$8,0)</f>
        <v>-0.0</v>
      </c>
      <c r="KZI55" s="5">
        <f>-IFERROR('4. NPV'!KZJ24/'4. NPV'!KZJ$8,0)</f>
        <v>-0.0</v>
      </c>
      <c r="KZJ55" s="5">
        <f>-IFERROR('4. NPV'!KZK24/'4. NPV'!KZK$8,0)</f>
        <v>-0.0</v>
      </c>
      <c r="KZK55" s="5">
        <f>-IFERROR('4. NPV'!KZL24/'4. NPV'!KZL$8,0)</f>
        <v>-0.0</v>
      </c>
      <c r="KZL55" s="5">
        <f>-IFERROR('4. NPV'!KZM24/'4. NPV'!KZM$8,0)</f>
        <v>-0.0</v>
      </c>
      <c r="KZM55" s="5">
        <f>-IFERROR('4. NPV'!KZN24/'4. NPV'!KZN$8,0)</f>
        <v>-0.0</v>
      </c>
      <c r="KZN55" s="5">
        <f>-IFERROR('4. NPV'!KZO24/'4. NPV'!KZO$8,0)</f>
        <v>-0.0</v>
      </c>
      <c r="KZO55" s="5">
        <f>-IFERROR('4. NPV'!KZP24/'4. NPV'!KZP$8,0)</f>
        <v>-0.0</v>
      </c>
      <c r="KZP55" s="5">
        <f>-IFERROR('4. NPV'!KZQ24/'4. NPV'!KZQ$8,0)</f>
        <v>-0.0</v>
      </c>
      <c r="KZQ55" s="5">
        <f>-IFERROR('4. NPV'!KZR24/'4. NPV'!KZR$8,0)</f>
        <v>-0.0</v>
      </c>
      <c r="KZR55" s="5">
        <f>-IFERROR('4. NPV'!KZS24/'4. NPV'!KZS$8,0)</f>
        <v>-0.0</v>
      </c>
      <c r="KZS55" s="5">
        <f>-IFERROR('4. NPV'!KZT24/'4. NPV'!KZT$8,0)</f>
        <v>-0.0</v>
      </c>
      <c r="KZT55" s="5">
        <f>-IFERROR('4. NPV'!KZU24/'4. NPV'!KZU$8,0)</f>
        <v>-0.0</v>
      </c>
      <c r="KZU55" s="5">
        <f>-IFERROR('4. NPV'!KZV24/'4. NPV'!KZV$8,0)</f>
        <v>-0.0</v>
      </c>
      <c r="KZV55" s="5">
        <f>-IFERROR('4. NPV'!KZW24/'4. NPV'!KZW$8,0)</f>
        <v>-0.0</v>
      </c>
      <c r="KZW55" s="5">
        <f>-IFERROR('4. NPV'!KZX24/'4. NPV'!KZX$8,0)</f>
        <v>-0.0</v>
      </c>
      <c r="KZX55" s="5">
        <f>-IFERROR('4. NPV'!KZY24/'4. NPV'!KZY$8,0)</f>
        <v>-0.0</v>
      </c>
      <c r="KZY55" s="5">
        <f>-IFERROR('4. NPV'!KZZ24/'4. NPV'!KZZ$8,0)</f>
        <v>-0.0</v>
      </c>
      <c r="KZZ55" s="5">
        <f>-IFERROR('4. NPV'!LAA24/'4. NPV'!LAA$8,0)</f>
        <v>-0.0</v>
      </c>
      <c r="LAA55" s="5">
        <f>-IFERROR('4. NPV'!LAB24/'4. NPV'!LAB$8,0)</f>
        <v>-0.0</v>
      </c>
      <c r="LAB55" s="5">
        <f>-IFERROR('4. NPV'!LAC24/'4. NPV'!LAC$8,0)</f>
        <v>-0.0</v>
      </c>
      <c r="LAC55" s="5">
        <f>-IFERROR('4. NPV'!LAD24/'4. NPV'!LAD$8,0)</f>
        <v>-0.0</v>
      </c>
      <c r="LAD55" s="5">
        <f>-IFERROR('4. NPV'!LAE24/'4. NPV'!LAE$8,0)</f>
        <v>-0.0</v>
      </c>
      <c r="LAE55" s="5">
        <f>-IFERROR('4. NPV'!LAF24/'4. NPV'!LAF$8,0)</f>
        <v>-0.0</v>
      </c>
      <c r="LAF55" s="5">
        <f>-IFERROR('4. NPV'!LAG24/'4. NPV'!LAG$8,0)</f>
        <v>-0.0</v>
      </c>
      <c r="LAG55" s="5">
        <f>-IFERROR('4. NPV'!LAH24/'4. NPV'!LAH$8,0)</f>
        <v>-0.0</v>
      </c>
      <c r="LAH55" s="5">
        <f>-IFERROR('4. NPV'!LAI24/'4. NPV'!LAI$8,0)</f>
        <v>-0.0</v>
      </c>
      <c r="LAI55" s="5">
        <f>-IFERROR('4. NPV'!LAJ24/'4. NPV'!LAJ$8,0)</f>
        <v>-0.0</v>
      </c>
      <c r="LAJ55" s="5">
        <f>-IFERROR('4. NPV'!LAK24/'4. NPV'!LAK$8,0)</f>
        <v>-0.0</v>
      </c>
      <c r="LAK55" s="5">
        <f>-IFERROR('4. NPV'!LAL24/'4. NPV'!LAL$8,0)</f>
        <v>-0.0</v>
      </c>
      <c r="LAL55" s="5">
        <f>-IFERROR('4. NPV'!LAM24/'4. NPV'!LAM$8,0)</f>
        <v>-0.0</v>
      </c>
      <c r="LAM55" s="5">
        <f>-IFERROR('4. NPV'!LAN24/'4. NPV'!LAN$8,0)</f>
        <v>-0.0</v>
      </c>
      <c r="LAN55" s="5">
        <f>-IFERROR('4. NPV'!LAO24/'4. NPV'!LAO$8,0)</f>
        <v>-0.0</v>
      </c>
      <c r="LAO55" s="5">
        <f>-IFERROR('4. NPV'!LAP24/'4. NPV'!LAP$8,0)</f>
        <v>-0.0</v>
      </c>
      <c r="LAP55" s="5">
        <f>-IFERROR('4. NPV'!LAQ24/'4. NPV'!LAQ$8,0)</f>
        <v>-0.0</v>
      </c>
      <c r="LAQ55" s="5">
        <f>-IFERROR('4. NPV'!LAR24/'4. NPV'!LAR$8,0)</f>
        <v>-0.0</v>
      </c>
      <c r="LAR55" s="5">
        <f>-IFERROR('4. NPV'!LAS24/'4. NPV'!LAS$8,0)</f>
        <v>-0.0</v>
      </c>
      <c r="LAS55" s="5">
        <f>-IFERROR('4. NPV'!LAT24/'4. NPV'!LAT$8,0)</f>
        <v>-0.0</v>
      </c>
      <c r="LAT55" s="5">
        <f>-IFERROR('4. NPV'!LAU24/'4. NPV'!LAU$8,0)</f>
        <v>-0.0</v>
      </c>
      <c r="LAU55" s="5">
        <f>-IFERROR('4. NPV'!LAV24/'4. NPV'!LAV$8,0)</f>
        <v>-0.0</v>
      </c>
      <c r="LAV55" s="5">
        <f>-IFERROR('4. NPV'!LAW24/'4. NPV'!LAW$8,0)</f>
        <v>-0.0</v>
      </c>
      <c r="LAW55" s="5">
        <f>-IFERROR('4. NPV'!LAX24/'4. NPV'!LAX$8,0)</f>
        <v>-0.0</v>
      </c>
      <c r="LAX55" s="5">
        <f>-IFERROR('4. NPV'!LAY24/'4. NPV'!LAY$8,0)</f>
        <v>-0.0</v>
      </c>
      <c r="LAY55" s="5">
        <f>-IFERROR('4. NPV'!LAZ24/'4. NPV'!LAZ$8,0)</f>
        <v>-0.0</v>
      </c>
      <c r="LAZ55" s="5">
        <f>-IFERROR('4. NPV'!LBA24/'4. NPV'!LBA$8,0)</f>
        <v>-0.0</v>
      </c>
      <c r="LBA55" s="5">
        <f>-IFERROR('4. NPV'!LBB24/'4. NPV'!LBB$8,0)</f>
        <v>-0.0</v>
      </c>
      <c r="LBB55" s="5">
        <f>-IFERROR('4. NPV'!LBC24/'4. NPV'!LBC$8,0)</f>
        <v>-0.0</v>
      </c>
      <c r="LBC55" s="5">
        <f>-IFERROR('4. NPV'!LBD24/'4. NPV'!LBD$8,0)</f>
        <v>-0.0</v>
      </c>
      <c r="LBD55" s="5">
        <f>-IFERROR('4. NPV'!LBE24/'4. NPV'!LBE$8,0)</f>
        <v>-0.0</v>
      </c>
      <c r="LBE55" s="5">
        <f>-IFERROR('4. NPV'!LBF24/'4. NPV'!LBF$8,0)</f>
        <v>-0.0</v>
      </c>
      <c r="LBF55" s="5">
        <f>-IFERROR('4. NPV'!LBG24/'4. NPV'!LBG$8,0)</f>
        <v>-0.0</v>
      </c>
      <c r="LBG55" s="5">
        <f>-IFERROR('4. NPV'!LBH24/'4. NPV'!LBH$8,0)</f>
        <v>-0.0</v>
      </c>
      <c r="LBH55" s="5">
        <f>-IFERROR('4. NPV'!LBI24/'4. NPV'!LBI$8,0)</f>
        <v>-0.0</v>
      </c>
      <c r="LBI55" s="5">
        <f>-IFERROR('4. NPV'!LBJ24/'4. NPV'!LBJ$8,0)</f>
        <v>-0.0</v>
      </c>
      <c r="LBJ55" s="5">
        <f>-IFERROR('4. NPV'!LBK24/'4. NPV'!LBK$8,0)</f>
        <v>-0.0</v>
      </c>
      <c r="LBK55" s="5">
        <f>-IFERROR('4. NPV'!LBL24/'4. NPV'!LBL$8,0)</f>
        <v>-0.0</v>
      </c>
      <c r="LBL55" s="5">
        <f>-IFERROR('4. NPV'!LBM24/'4. NPV'!LBM$8,0)</f>
        <v>-0.0</v>
      </c>
      <c r="LBM55" s="5">
        <f>-IFERROR('4. NPV'!LBN24/'4. NPV'!LBN$8,0)</f>
        <v>-0.0</v>
      </c>
      <c r="LBN55" s="5">
        <f>-IFERROR('4. NPV'!LBO24/'4. NPV'!LBO$8,0)</f>
        <v>-0.0</v>
      </c>
      <c r="LBO55" s="5">
        <f>-IFERROR('4. NPV'!LBP24/'4. NPV'!LBP$8,0)</f>
        <v>-0.0</v>
      </c>
      <c r="LBP55" s="5">
        <f>-IFERROR('4. NPV'!LBQ24/'4. NPV'!LBQ$8,0)</f>
        <v>-0.0</v>
      </c>
      <c r="LBQ55" s="5">
        <f>-IFERROR('4. NPV'!LBR24/'4. NPV'!LBR$8,0)</f>
        <v>-0.0</v>
      </c>
      <c r="LBR55" s="5">
        <f>-IFERROR('4. NPV'!LBS24/'4. NPV'!LBS$8,0)</f>
        <v>-0.0</v>
      </c>
      <c r="LBS55" s="5">
        <f>-IFERROR('4. NPV'!LBT24/'4. NPV'!LBT$8,0)</f>
        <v>-0.0</v>
      </c>
      <c r="LBT55" s="5">
        <f>-IFERROR('4. NPV'!LBU24/'4. NPV'!LBU$8,0)</f>
        <v>-0.0</v>
      </c>
      <c r="LBU55" s="5">
        <f>-IFERROR('4. NPV'!LBV24/'4. NPV'!LBV$8,0)</f>
        <v>-0.0</v>
      </c>
      <c r="LBV55" s="5">
        <f>-IFERROR('4. NPV'!LBW24/'4. NPV'!LBW$8,0)</f>
        <v>-0.0</v>
      </c>
      <c r="LBW55" s="5">
        <f>-IFERROR('4. NPV'!LBX24/'4. NPV'!LBX$8,0)</f>
        <v>-0.0</v>
      </c>
      <c r="LBX55" s="5">
        <f>-IFERROR('4. NPV'!LBY24/'4. NPV'!LBY$8,0)</f>
        <v>-0.0</v>
      </c>
      <c r="LBY55" s="5">
        <f>-IFERROR('4. NPV'!LBZ24/'4. NPV'!LBZ$8,0)</f>
        <v>-0.0</v>
      </c>
      <c r="LBZ55" s="5">
        <f>-IFERROR('4. NPV'!LCA24/'4. NPV'!LCA$8,0)</f>
        <v>-0.0</v>
      </c>
      <c r="LCA55" s="5">
        <f>-IFERROR('4. NPV'!LCB24/'4. NPV'!LCB$8,0)</f>
        <v>-0.0</v>
      </c>
      <c r="LCB55" s="5">
        <f>-IFERROR('4. NPV'!LCC24/'4. NPV'!LCC$8,0)</f>
        <v>-0.0</v>
      </c>
      <c r="LCC55" s="5">
        <f>-IFERROR('4. NPV'!LCD24/'4. NPV'!LCD$8,0)</f>
        <v>-0.0</v>
      </c>
      <c r="LCD55" s="5">
        <f>-IFERROR('4. NPV'!LCE24/'4. NPV'!LCE$8,0)</f>
        <v>-0.0</v>
      </c>
      <c r="LCE55" s="5">
        <f>-IFERROR('4. NPV'!LCF24/'4. NPV'!LCF$8,0)</f>
        <v>-0.0</v>
      </c>
      <c r="LCF55" s="5">
        <f>-IFERROR('4. NPV'!LCG24/'4. NPV'!LCG$8,0)</f>
        <v>-0.0</v>
      </c>
      <c r="LCG55" s="5">
        <f>-IFERROR('4. NPV'!LCH24/'4. NPV'!LCH$8,0)</f>
        <v>-0.0</v>
      </c>
      <c r="LCH55" s="5">
        <f>-IFERROR('4. NPV'!LCI24/'4. NPV'!LCI$8,0)</f>
        <v>-0.0</v>
      </c>
      <c r="LCI55" s="5">
        <f>-IFERROR('4. NPV'!LCJ24/'4. NPV'!LCJ$8,0)</f>
        <v>-0.0</v>
      </c>
      <c r="LCJ55" s="5">
        <f>-IFERROR('4. NPV'!LCK24/'4. NPV'!LCK$8,0)</f>
        <v>-0.0</v>
      </c>
      <c r="LCK55" s="5">
        <f>-IFERROR('4. NPV'!LCL24/'4. NPV'!LCL$8,0)</f>
        <v>-0.0</v>
      </c>
      <c r="LCL55" s="5">
        <f>-IFERROR('4. NPV'!LCM24/'4. NPV'!LCM$8,0)</f>
        <v>-0.0</v>
      </c>
      <c r="LCM55" s="5">
        <f>-IFERROR('4. NPV'!LCN24/'4. NPV'!LCN$8,0)</f>
        <v>-0.0</v>
      </c>
      <c r="LCN55" s="5">
        <f>-IFERROR('4. NPV'!LCO24/'4. NPV'!LCO$8,0)</f>
        <v>-0.0</v>
      </c>
      <c r="LCO55" s="5">
        <f>-IFERROR('4. NPV'!LCP24/'4. NPV'!LCP$8,0)</f>
        <v>-0.0</v>
      </c>
      <c r="LCP55" s="5">
        <f>-IFERROR('4. NPV'!LCQ24/'4. NPV'!LCQ$8,0)</f>
        <v>-0.0</v>
      </c>
      <c r="LCQ55" s="5">
        <f>-IFERROR('4. NPV'!LCR24/'4. NPV'!LCR$8,0)</f>
        <v>-0.0</v>
      </c>
      <c r="LCR55" s="5">
        <f>-IFERROR('4. NPV'!LCS24/'4. NPV'!LCS$8,0)</f>
        <v>-0.0</v>
      </c>
      <c r="LCS55" s="5">
        <f>-IFERROR('4. NPV'!LCT24/'4. NPV'!LCT$8,0)</f>
        <v>-0.0</v>
      </c>
      <c r="LCT55" s="5">
        <f>-IFERROR('4. NPV'!LCU24/'4. NPV'!LCU$8,0)</f>
        <v>-0.0</v>
      </c>
      <c r="LCU55" s="5">
        <f>-IFERROR('4. NPV'!LCV24/'4. NPV'!LCV$8,0)</f>
        <v>-0.0</v>
      </c>
      <c r="LCV55" s="5">
        <f>-IFERROR('4. NPV'!LCW24/'4. NPV'!LCW$8,0)</f>
        <v>-0.0</v>
      </c>
      <c r="LCW55" s="5">
        <f>-IFERROR('4. NPV'!LCX24/'4. NPV'!LCX$8,0)</f>
        <v>-0.0</v>
      </c>
      <c r="LCX55" s="5">
        <f>-IFERROR('4. NPV'!LCY24/'4. NPV'!LCY$8,0)</f>
        <v>-0.0</v>
      </c>
      <c r="LCY55" s="5">
        <f>-IFERROR('4. NPV'!LCZ24/'4. NPV'!LCZ$8,0)</f>
        <v>-0.0</v>
      </c>
      <c r="LCZ55" s="5">
        <f>-IFERROR('4. NPV'!LDA24/'4. NPV'!LDA$8,0)</f>
        <v>-0.0</v>
      </c>
      <c r="LDA55" s="5">
        <f>-IFERROR('4. NPV'!LDB24/'4. NPV'!LDB$8,0)</f>
        <v>-0.0</v>
      </c>
      <c r="LDB55" s="5">
        <f>-IFERROR('4. NPV'!LDC24/'4. NPV'!LDC$8,0)</f>
        <v>-0.0</v>
      </c>
      <c r="LDC55" s="5">
        <f>-IFERROR('4. NPV'!LDD24/'4. NPV'!LDD$8,0)</f>
        <v>-0.0</v>
      </c>
      <c r="LDD55" s="5">
        <f>-IFERROR('4. NPV'!LDE24/'4. NPV'!LDE$8,0)</f>
        <v>-0.0</v>
      </c>
      <c r="LDE55" s="5">
        <f>-IFERROR('4. NPV'!LDF24/'4. NPV'!LDF$8,0)</f>
        <v>-0.0</v>
      </c>
      <c r="LDF55" s="5">
        <f>-IFERROR('4. NPV'!LDG24/'4. NPV'!LDG$8,0)</f>
        <v>-0.0</v>
      </c>
      <c r="LDG55" s="5">
        <f>-IFERROR('4. NPV'!LDH24/'4. NPV'!LDH$8,0)</f>
        <v>-0.0</v>
      </c>
      <c r="LDH55" s="5">
        <f>-IFERROR('4. NPV'!LDI24/'4. NPV'!LDI$8,0)</f>
        <v>-0.0</v>
      </c>
      <c r="LDI55" s="5">
        <f>-IFERROR('4. NPV'!LDJ24/'4. NPV'!LDJ$8,0)</f>
        <v>-0.0</v>
      </c>
      <c r="LDJ55" s="5">
        <f>-IFERROR('4. NPV'!LDK24/'4. NPV'!LDK$8,0)</f>
        <v>-0.0</v>
      </c>
      <c r="LDK55" s="5">
        <f>-IFERROR('4. NPV'!LDL24/'4. NPV'!LDL$8,0)</f>
        <v>-0.0</v>
      </c>
      <c r="LDL55" s="5">
        <f>-IFERROR('4. NPV'!LDM24/'4. NPV'!LDM$8,0)</f>
        <v>-0.0</v>
      </c>
      <c r="LDM55" s="5">
        <f>-IFERROR('4. NPV'!LDN24/'4. NPV'!LDN$8,0)</f>
        <v>-0.0</v>
      </c>
      <c r="LDN55" s="5">
        <f>-IFERROR('4. NPV'!LDO24/'4. NPV'!LDO$8,0)</f>
        <v>-0.0</v>
      </c>
      <c r="LDO55" s="5">
        <f>-IFERROR('4. NPV'!LDP24/'4. NPV'!LDP$8,0)</f>
        <v>-0.0</v>
      </c>
      <c r="LDP55" s="5">
        <f>-IFERROR('4. NPV'!LDQ24/'4. NPV'!LDQ$8,0)</f>
        <v>-0.0</v>
      </c>
      <c r="LDQ55" s="5">
        <f>-IFERROR('4. NPV'!LDR24/'4. NPV'!LDR$8,0)</f>
        <v>-0.0</v>
      </c>
      <c r="LDR55" s="5">
        <f>-IFERROR('4. NPV'!LDS24/'4. NPV'!LDS$8,0)</f>
        <v>-0.0</v>
      </c>
      <c r="LDS55" s="5">
        <f>-IFERROR('4. NPV'!LDT24/'4. NPV'!LDT$8,0)</f>
        <v>-0.0</v>
      </c>
      <c r="LDT55" s="5">
        <f>-IFERROR('4. NPV'!LDU24/'4. NPV'!LDU$8,0)</f>
        <v>-0.0</v>
      </c>
      <c r="LDU55" s="5">
        <f>-IFERROR('4. NPV'!LDV24/'4. NPV'!LDV$8,0)</f>
        <v>-0.0</v>
      </c>
      <c r="LDV55" s="5">
        <f>-IFERROR('4. NPV'!LDW24/'4. NPV'!LDW$8,0)</f>
        <v>-0.0</v>
      </c>
      <c r="LDW55" s="5">
        <f>-IFERROR('4. NPV'!LDX24/'4. NPV'!LDX$8,0)</f>
        <v>-0.0</v>
      </c>
      <c r="LDX55" s="5">
        <f>-IFERROR('4. NPV'!LDY24/'4. NPV'!LDY$8,0)</f>
        <v>-0.0</v>
      </c>
      <c r="LDY55" s="5">
        <f>-IFERROR('4. NPV'!LDZ24/'4. NPV'!LDZ$8,0)</f>
        <v>-0.0</v>
      </c>
      <c r="LDZ55" s="5">
        <f>-IFERROR('4. NPV'!LEA24/'4. NPV'!LEA$8,0)</f>
        <v>-0.0</v>
      </c>
      <c r="LEA55" s="5">
        <f>-IFERROR('4. NPV'!LEB24/'4. NPV'!LEB$8,0)</f>
        <v>-0.0</v>
      </c>
      <c r="LEB55" s="5">
        <f>-IFERROR('4. NPV'!LEC24/'4. NPV'!LEC$8,0)</f>
        <v>-0.0</v>
      </c>
      <c r="LEC55" s="5">
        <f>-IFERROR('4. NPV'!LED24/'4. NPV'!LED$8,0)</f>
        <v>-0.0</v>
      </c>
      <c r="LED55" s="5">
        <f>-IFERROR('4. NPV'!LEE24/'4. NPV'!LEE$8,0)</f>
        <v>-0.0</v>
      </c>
      <c r="LEE55" s="5">
        <f>-IFERROR('4. NPV'!LEF24/'4. NPV'!LEF$8,0)</f>
        <v>-0.0</v>
      </c>
      <c r="LEF55" s="5">
        <f>-IFERROR('4. NPV'!LEG24/'4. NPV'!LEG$8,0)</f>
        <v>-0.0</v>
      </c>
      <c r="LEG55" s="5">
        <f>-IFERROR('4. NPV'!LEH24/'4. NPV'!LEH$8,0)</f>
        <v>-0.0</v>
      </c>
      <c r="LEH55" s="5">
        <f>-IFERROR('4. NPV'!LEI24/'4. NPV'!LEI$8,0)</f>
        <v>-0.0</v>
      </c>
      <c r="LEI55" s="5">
        <f>-IFERROR('4. NPV'!LEJ24/'4. NPV'!LEJ$8,0)</f>
        <v>-0.0</v>
      </c>
      <c r="LEJ55" s="5">
        <f>-IFERROR('4. NPV'!LEK24/'4. NPV'!LEK$8,0)</f>
        <v>-0.0</v>
      </c>
      <c r="LEK55" s="5">
        <f>-IFERROR('4. NPV'!LEL24/'4. NPV'!LEL$8,0)</f>
        <v>-0.0</v>
      </c>
      <c r="LEL55" s="5">
        <f>-IFERROR('4. NPV'!LEM24/'4. NPV'!LEM$8,0)</f>
        <v>-0.0</v>
      </c>
      <c r="LEM55" s="5">
        <f>-IFERROR('4. NPV'!LEN24/'4. NPV'!LEN$8,0)</f>
        <v>-0.0</v>
      </c>
      <c r="LEN55" s="5">
        <f>-IFERROR('4. NPV'!LEO24/'4. NPV'!LEO$8,0)</f>
        <v>-0.0</v>
      </c>
      <c r="LEO55" s="5">
        <f>-IFERROR('4. NPV'!LEP24/'4. NPV'!LEP$8,0)</f>
        <v>-0.0</v>
      </c>
      <c r="LEP55" s="5">
        <f>-IFERROR('4. NPV'!LEQ24/'4. NPV'!LEQ$8,0)</f>
        <v>-0.0</v>
      </c>
      <c r="LEQ55" s="5">
        <f>-IFERROR('4. NPV'!LER24/'4. NPV'!LER$8,0)</f>
        <v>-0.0</v>
      </c>
      <c r="LER55" s="5">
        <f>-IFERROR('4. NPV'!LES24/'4. NPV'!LES$8,0)</f>
        <v>-0.0</v>
      </c>
      <c r="LES55" s="5">
        <f>-IFERROR('4. NPV'!LET24/'4. NPV'!LET$8,0)</f>
        <v>-0.0</v>
      </c>
      <c r="LET55" s="5">
        <f>-IFERROR('4. NPV'!LEU24/'4. NPV'!LEU$8,0)</f>
        <v>-0.0</v>
      </c>
      <c r="LEU55" s="5">
        <f>-IFERROR('4. NPV'!LEV24/'4. NPV'!LEV$8,0)</f>
        <v>-0.0</v>
      </c>
      <c r="LEV55" s="5">
        <f>-IFERROR('4. NPV'!LEW24/'4. NPV'!LEW$8,0)</f>
        <v>-0.0</v>
      </c>
      <c r="LEW55" s="5">
        <f>-IFERROR('4. NPV'!LEX24/'4. NPV'!LEX$8,0)</f>
        <v>-0.0</v>
      </c>
      <c r="LEX55" s="5">
        <f>-IFERROR('4. NPV'!LEY24/'4. NPV'!LEY$8,0)</f>
        <v>-0.0</v>
      </c>
      <c r="LEY55" s="5">
        <f>-IFERROR('4. NPV'!LEZ24/'4. NPV'!LEZ$8,0)</f>
        <v>-0.0</v>
      </c>
      <c r="LEZ55" s="5">
        <f>-IFERROR('4. NPV'!LFA24/'4. NPV'!LFA$8,0)</f>
        <v>-0.0</v>
      </c>
      <c r="LFA55" s="5">
        <f>-IFERROR('4. NPV'!LFB24/'4. NPV'!LFB$8,0)</f>
        <v>-0.0</v>
      </c>
      <c r="LFB55" s="5">
        <f>-IFERROR('4. NPV'!LFC24/'4. NPV'!LFC$8,0)</f>
        <v>-0.0</v>
      </c>
      <c r="LFC55" s="5">
        <f>-IFERROR('4. NPV'!LFD24/'4. NPV'!LFD$8,0)</f>
        <v>-0.0</v>
      </c>
      <c r="LFD55" s="5">
        <f>-IFERROR('4. NPV'!LFE24/'4. NPV'!LFE$8,0)</f>
        <v>-0.0</v>
      </c>
      <c r="LFE55" s="5">
        <f>-IFERROR('4. NPV'!LFF24/'4. NPV'!LFF$8,0)</f>
        <v>-0.0</v>
      </c>
      <c r="LFF55" s="5">
        <f>-IFERROR('4. NPV'!LFG24/'4. NPV'!LFG$8,0)</f>
        <v>-0.0</v>
      </c>
      <c r="LFG55" s="5">
        <f>-IFERROR('4. NPV'!LFH24/'4. NPV'!LFH$8,0)</f>
        <v>-0.0</v>
      </c>
      <c r="LFH55" s="5">
        <f>-IFERROR('4. NPV'!LFI24/'4. NPV'!LFI$8,0)</f>
        <v>-0.0</v>
      </c>
      <c r="LFI55" s="5">
        <f>-IFERROR('4. NPV'!LFJ24/'4. NPV'!LFJ$8,0)</f>
        <v>-0.0</v>
      </c>
      <c r="LFJ55" s="5">
        <f>-IFERROR('4. NPV'!LFK24/'4. NPV'!LFK$8,0)</f>
        <v>-0.0</v>
      </c>
      <c r="LFK55" s="5">
        <f>-IFERROR('4. NPV'!LFL24/'4. NPV'!LFL$8,0)</f>
        <v>-0.0</v>
      </c>
      <c r="LFL55" s="5">
        <f>-IFERROR('4. NPV'!LFM24/'4. NPV'!LFM$8,0)</f>
        <v>-0.0</v>
      </c>
      <c r="LFM55" s="5">
        <f>-IFERROR('4. NPV'!LFN24/'4. NPV'!LFN$8,0)</f>
        <v>-0.0</v>
      </c>
      <c r="LFN55" s="5">
        <f>-IFERROR('4. NPV'!LFO24/'4. NPV'!LFO$8,0)</f>
        <v>-0.0</v>
      </c>
      <c r="LFO55" s="5">
        <f>-IFERROR('4. NPV'!LFP24/'4. NPV'!LFP$8,0)</f>
        <v>-0.0</v>
      </c>
      <c r="LFP55" s="5">
        <f>-IFERROR('4. NPV'!LFQ24/'4. NPV'!LFQ$8,0)</f>
        <v>-0.0</v>
      </c>
      <c r="LFQ55" s="5">
        <f>-IFERROR('4. NPV'!LFR24/'4. NPV'!LFR$8,0)</f>
        <v>-0.0</v>
      </c>
      <c r="LFR55" s="5">
        <f>-IFERROR('4. NPV'!LFS24/'4. NPV'!LFS$8,0)</f>
        <v>-0.0</v>
      </c>
      <c r="LFS55" s="5">
        <f>-IFERROR('4. NPV'!LFT24/'4. NPV'!LFT$8,0)</f>
        <v>-0.0</v>
      </c>
      <c r="LFT55" s="5">
        <f>-IFERROR('4. NPV'!LFU24/'4. NPV'!LFU$8,0)</f>
        <v>-0.0</v>
      </c>
      <c r="LFU55" s="5">
        <f>-IFERROR('4. NPV'!LFV24/'4. NPV'!LFV$8,0)</f>
        <v>-0.0</v>
      </c>
      <c r="LFV55" s="5">
        <f>-IFERROR('4. NPV'!LFW24/'4. NPV'!LFW$8,0)</f>
        <v>-0.0</v>
      </c>
      <c r="LFW55" s="5">
        <f>-IFERROR('4. NPV'!LFX24/'4. NPV'!LFX$8,0)</f>
        <v>-0.0</v>
      </c>
      <c r="LFX55" s="5">
        <f>-IFERROR('4. NPV'!LFY24/'4. NPV'!LFY$8,0)</f>
        <v>-0.0</v>
      </c>
      <c r="LFY55" s="5">
        <f>-IFERROR('4. NPV'!LFZ24/'4. NPV'!LFZ$8,0)</f>
        <v>-0.0</v>
      </c>
      <c r="LFZ55" s="5">
        <f>-IFERROR('4. NPV'!LGA24/'4. NPV'!LGA$8,0)</f>
        <v>-0.0</v>
      </c>
      <c r="LGA55" s="5">
        <f>-IFERROR('4. NPV'!LGB24/'4. NPV'!LGB$8,0)</f>
        <v>-0.0</v>
      </c>
      <c r="LGB55" s="5">
        <f>-IFERROR('4. NPV'!LGC24/'4. NPV'!LGC$8,0)</f>
        <v>-0.0</v>
      </c>
      <c r="LGC55" s="5">
        <f>-IFERROR('4. NPV'!LGD24/'4. NPV'!LGD$8,0)</f>
        <v>-0.0</v>
      </c>
      <c r="LGD55" s="5">
        <f>-IFERROR('4. NPV'!LGE24/'4. NPV'!LGE$8,0)</f>
        <v>-0.0</v>
      </c>
      <c r="LGE55" s="5">
        <f>-IFERROR('4. NPV'!LGF24/'4. NPV'!LGF$8,0)</f>
        <v>-0.0</v>
      </c>
      <c r="LGF55" s="5">
        <f>-IFERROR('4. NPV'!LGG24/'4. NPV'!LGG$8,0)</f>
        <v>-0.0</v>
      </c>
      <c r="LGG55" s="5">
        <f>-IFERROR('4. NPV'!LGH24/'4. NPV'!LGH$8,0)</f>
        <v>-0.0</v>
      </c>
      <c r="LGH55" s="5">
        <f>-IFERROR('4. NPV'!LGI24/'4. NPV'!LGI$8,0)</f>
        <v>-0.0</v>
      </c>
      <c r="LGI55" s="5">
        <f>-IFERROR('4. NPV'!LGJ24/'4. NPV'!LGJ$8,0)</f>
        <v>-0.0</v>
      </c>
      <c r="LGJ55" s="5">
        <f>-IFERROR('4. NPV'!LGK24/'4. NPV'!LGK$8,0)</f>
        <v>-0.0</v>
      </c>
      <c r="LGK55" s="5">
        <f>-IFERROR('4. NPV'!LGL24/'4. NPV'!LGL$8,0)</f>
        <v>-0.0</v>
      </c>
      <c r="LGL55" s="5">
        <f>-IFERROR('4. NPV'!LGM24/'4. NPV'!LGM$8,0)</f>
        <v>-0.0</v>
      </c>
      <c r="LGM55" s="5">
        <f>-IFERROR('4. NPV'!LGN24/'4. NPV'!LGN$8,0)</f>
        <v>-0.0</v>
      </c>
      <c r="LGN55" s="5">
        <f>-IFERROR('4. NPV'!LGO24/'4. NPV'!LGO$8,0)</f>
        <v>-0.0</v>
      </c>
      <c r="LGO55" s="5">
        <f>-IFERROR('4. NPV'!LGP24/'4. NPV'!LGP$8,0)</f>
        <v>-0.0</v>
      </c>
      <c r="LGP55" s="5">
        <f>-IFERROR('4. NPV'!LGQ24/'4. NPV'!LGQ$8,0)</f>
        <v>-0.0</v>
      </c>
      <c r="LGQ55" s="5">
        <f>-IFERROR('4. NPV'!LGR24/'4. NPV'!LGR$8,0)</f>
        <v>-0.0</v>
      </c>
      <c r="LGR55" s="5">
        <f>-IFERROR('4. NPV'!LGS24/'4. NPV'!LGS$8,0)</f>
        <v>-0.0</v>
      </c>
      <c r="LGS55" s="5">
        <f>-IFERROR('4. NPV'!LGT24/'4. NPV'!LGT$8,0)</f>
        <v>-0.0</v>
      </c>
      <c r="LGT55" s="5">
        <f>-IFERROR('4. NPV'!LGU24/'4. NPV'!LGU$8,0)</f>
        <v>-0.0</v>
      </c>
      <c r="LGU55" s="5">
        <f>-IFERROR('4. NPV'!LGV24/'4. NPV'!LGV$8,0)</f>
        <v>-0.0</v>
      </c>
      <c r="LGV55" s="5">
        <f>-IFERROR('4. NPV'!LGW24/'4. NPV'!LGW$8,0)</f>
        <v>-0.0</v>
      </c>
      <c r="LGW55" s="5">
        <f>-IFERROR('4. NPV'!LGX24/'4. NPV'!LGX$8,0)</f>
        <v>-0.0</v>
      </c>
      <c r="LGX55" s="5">
        <f>-IFERROR('4. NPV'!LGY24/'4. NPV'!LGY$8,0)</f>
        <v>-0.0</v>
      </c>
      <c r="LGY55" s="5">
        <f>-IFERROR('4. NPV'!LGZ24/'4. NPV'!LGZ$8,0)</f>
        <v>-0.0</v>
      </c>
      <c r="LGZ55" s="5">
        <f>-IFERROR('4. NPV'!LHA24/'4. NPV'!LHA$8,0)</f>
        <v>-0.0</v>
      </c>
      <c r="LHA55" s="5">
        <f>-IFERROR('4. NPV'!LHB24/'4. NPV'!LHB$8,0)</f>
        <v>-0.0</v>
      </c>
      <c r="LHB55" s="5">
        <f>-IFERROR('4. NPV'!LHC24/'4. NPV'!LHC$8,0)</f>
        <v>-0.0</v>
      </c>
      <c r="LHC55" s="5">
        <f>-IFERROR('4. NPV'!LHD24/'4. NPV'!LHD$8,0)</f>
        <v>-0.0</v>
      </c>
      <c r="LHD55" s="5">
        <f>-IFERROR('4. NPV'!LHE24/'4. NPV'!LHE$8,0)</f>
        <v>-0.0</v>
      </c>
      <c r="LHE55" s="5">
        <f>-IFERROR('4. NPV'!LHF24/'4. NPV'!LHF$8,0)</f>
        <v>-0.0</v>
      </c>
      <c r="LHF55" s="5">
        <f>-IFERROR('4. NPV'!LHG24/'4. NPV'!LHG$8,0)</f>
        <v>-0.0</v>
      </c>
      <c r="LHG55" s="5">
        <f>-IFERROR('4. NPV'!LHH24/'4. NPV'!LHH$8,0)</f>
        <v>-0.0</v>
      </c>
      <c r="LHH55" s="5">
        <f>-IFERROR('4. NPV'!LHI24/'4. NPV'!LHI$8,0)</f>
        <v>-0.0</v>
      </c>
      <c r="LHI55" s="5">
        <f>-IFERROR('4. NPV'!LHJ24/'4. NPV'!LHJ$8,0)</f>
        <v>-0.0</v>
      </c>
      <c r="LHJ55" s="5">
        <f>-IFERROR('4. NPV'!LHK24/'4. NPV'!LHK$8,0)</f>
        <v>-0.0</v>
      </c>
      <c r="LHK55" s="5">
        <f>-IFERROR('4. NPV'!LHL24/'4. NPV'!LHL$8,0)</f>
        <v>-0.0</v>
      </c>
      <c r="LHL55" s="5">
        <f>-IFERROR('4. NPV'!LHM24/'4. NPV'!LHM$8,0)</f>
        <v>-0.0</v>
      </c>
      <c r="LHM55" s="5">
        <f>-IFERROR('4. NPV'!LHN24/'4. NPV'!LHN$8,0)</f>
        <v>-0.0</v>
      </c>
      <c r="LHN55" s="5">
        <f>-IFERROR('4. NPV'!LHO24/'4. NPV'!LHO$8,0)</f>
        <v>-0.0</v>
      </c>
      <c r="LHO55" s="5">
        <f>-IFERROR('4. NPV'!LHP24/'4. NPV'!LHP$8,0)</f>
        <v>-0.0</v>
      </c>
      <c r="LHP55" s="5">
        <f>-IFERROR('4. NPV'!LHQ24/'4. NPV'!LHQ$8,0)</f>
        <v>-0.0</v>
      </c>
      <c r="LHQ55" s="5">
        <f>-IFERROR('4. NPV'!LHR24/'4. NPV'!LHR$8,0)</f>
        <v>-0.0</v>
      </c>
      <c r="LHR55" s="5">
        <f>-IFERROR('4. NPV'!LHS24/'4. NPV'!LHS$8,0)</f>
        <v>-0.0</v>
      </c>
      <c r="LHS55" s="5">
        <f>-IFERROR('4. NPV'!LHT24/'4. NPV'!LHT$8,0)</f>
        <v>-0.0</v>
      </c>
      <c r="LHT55" s="5">
        <f>-IFERROR('4. NPV'!LHU24/'4. NPV'!LHU$8,0)</f>
        <v>-0.0</v>
      </c>
      <c r="LHU55" s="5">
        <f>-IFERROR('4. NPV'!LHV24/'4. NPV'!LHV$8,0)</f>
        <v>-0.0</v>
      </c>
      <c r="LHV55" s="5">
        <f>-IFERROR('4. NPV'!LHW24/'4. NPV'!LHW$8,0)</f>
        <v>-0.0</v>
      </c>
      <c r="LHW55" s="5">
        <f>-IFERROR('4. NPV'!LHX24/'4. NPV'!LHX$8,0)</f>
        <v>-0.0</v>
      </c>
      <c r="LHX55" s="5">
        <f>-IFERROR('4. NPV'!LHY24/'4. NPV'!LHY$8,0)</f>
        <v>-0.0</v>
      </c>
      <c r="LHY55" s="5">
        <f>-IFERROR('4. NPV'!LHZ24/'4. NPV'!LHZ$8,0)</f>
        <v>-0.0</v>
      </c>
      <c r="LHZ55" s="5">
        <f>-IFERROR('4. NPV'!LIA24/'4. NPV'!LIA$8,0)</f>
        <v>-0.0</v>
      </c>
      <c r="LIA55" s="5">
        <f>-IFERROR('4. NPV'!LIB24/'4. NPV'!LIB$8,0)</f>
        <v>-0.0</v>
      </c>
      <c r="LIB55" s="5">
        <f>-IFERROR('4. NPV'!LIC24/'4. NPV'!LIC$8,0)</f>
        <v>-0.0</v>
      </c>
      <c r="LIC55" s="5">
        <f>-IFERROR('4. NPV'!LID24/'4. NPV'!LID$8,0)</f>
        <v>-0.0</v>
      </c>
      <c r="LID55" s="5">
        <f>-IFERROR('4. NPV'!LIE24/'4. NPV'!LIE$8,0)</f>
        <v>-0.0</v>
      </c>
      <c r="LIE55" s="5">
        <f>-IFERROR('4. NPV'!LIF24/'4. NPV'!LIF$8,0)</f>
        <v>-0.0</v>
      </c>
      <c r="LIF55" s="5">
        <f>-IFERROR('4. NPV'!LIG24/'4. NPV'!LIG$8,0)</f>
        <v>-0.0</v>
      </c>
      <c r="LIG55" s="5">
        <f>-IFERROR('4. NPV'!LIH24/'4. NPV'!LIH$8,0)</f>
        <v>-0.0</v>
      </c>
      <c r="LIH55" s="5">
        <f>-IFERROR('4. NPV'!LII24/'4. NPV'!LII$8,0)</f>
        <v>-0.0</v>
      </c>
      <c r="LII55" s="5">
        <f>-IFERROR('4. NPV'!LIJ24/'4. NPV'!LIJ$8,0)</f>
        <v>-0.0</v>
      </c>
      <c r="LIJ55" s="5">
        <f>-IFERROR('4. NPV'!LIK24/'4. NPV'!LIK$8,0)</f>
        <v>-0.0</v>
      </c>
      <c r="LIK55" s="5">
        <f>-IFERROR('4. NPV'!LIL24/'4. NPV'!LIL$8,0)</f>
        <v>-0.0</v>
      </c>
      <c r="LIL55" s="5">
        <f>-IFERROR('4. NPV'!LIM24/'4. NPV'!LIM$8,0)</f>
        <v>-0.0</v>
      </c>
      <c r="LIM55" s="5">
        <f>-IFERROR('4. NPV'!LIN24/'4. NPV'!LIN$8,0)</f>
        <v>-0.0</v>
      </c>
      <c r="LIN55" s="5">
        <f>-IFERROR('4. NPV'!LIO24/'4. NPV'!LIO$8,0)</f>
        <v>-0.0</v>
      </c>
      <c r="LIO55" s="5">
        <f>-IFERROR('4. NPV'!LIP24/'4. NPV'!LIP$8,0)</f>
        <v>-0.0</v>
      </c>
      <c r="LIP55" s="5">
        <f>-IFERROR('4. NPV'!LIQ24/'4. NPV'!LIQ$8,0)</f>
        <v>-0.0</v>
      </c>
      <c r="LIQ55" s="5">
        <f>-IFERROR('4. NPV'!LIR24/'4. NPV'!LIR$8,0)</f>
        <v>-0.0</v>
      </c>
      <c r="LIR55" s="5">
        <f>-IFERROR('4. NPV'!LIS24/'4. NPV'!LIS$8,0)</f>
        <v>-0.0</v>
      </c>
      <c r="LIS55" s="5">
        <f>-IFERROR('4. NPV'!LIT24/'4. NPV'!LIT$8,0)</f>
        <v>-0.0</v>
      </c>
      <c r="LIT55" s="5">
        <f>-IFERROR('4. NPV'!LIU24/'4. NPV'!LIU$8,0)</f>
        <v>-0.0</v>
      </c>
      <c r="LIU55" s="5">
        <f>-IFERROR('4. NPV'!LIV24/'4. NPV'!LIV$8,0)</f>
        <v>-0.0</v>
      </c>
      <c r="LIV55" s="5">
        <f>-IFERROR('4. NPV'!LIW24/'4. NPV'!LIW$8,0)</f>
        <v>-0.0</v>
      </c>
      <c r="LIW55" s="5">
        <f>-IFERROR('4. NPV'!LIX24/'4. NPV'!LIX$8,0)</f>
        <v>-0.0</v>
      </c>
      <c r="LIX55" s="5">
        <f>-IFERROR('4. NPV'!LIY24/'4. NPV'!LIY$8,0)</f>
        <v>-0.0</v>
      </c>
      <c r="LIY55" s="5">
        <f>-IFERROR('4. NPV'!LIZ24/'4. NPV'!LIZ$8,0)</f>
        <v>-0.0</v>
      </c>
      <c r="LIZ55" s="5">
        <f>-IFERROR('4. NPV'!LJA24/'4. NPV'!LJA$8,0)</f>
        <v>-0.0</v>
      </c>
      <c r="LJA55" s="5">
        <f>-IFERROR('4. NPV'!LJB24/'4. NPV'!LJB$8,0)</f>
        <v>-0.0</v>
      </c>
      <c r="LJB55" s="5">
        <f>-IFERROR('4. NPV'!LJC24/'4. NPV'!LJC$8,0)</f>
        <v>-0.0</v>
      </c>
      <c r="LJC55" s="5">
        <f>-IFERROR('4. NPV'!LJD24/'4. NPV'!LJD$8,0)</f>
        <v>-0.0</v>
      </c>
      <c r="LJD55" s="5">
        <f>-IFERROR('4. NPV'!LJE24/'4. NPV'!LJE$8,0)</f>
        <v>-0.0</v>
      </c>
      <c r="LJE55" s="5">
        <f>-IFERROR('4. NPV'!LJF24/'4. NPV'!LJF$8,0)</f>
        <v>-0.0</v>
      </c>
      <c r="LJF55" s="5">
        <f>-IFERROR('4. NPV'!LJG24/'4. NPV'!LJG$8,0)</f>
        <v>-0.0</v>
      </c>
      <c r="LJG55" s="5">
        <f>-IFERROR('4. NPV'!LJH24/'4. NPV'!LJH$8,0)</f>
        <v>-0.0</v>
      </c>
      <c r="LJH55" s="5">
        <f>-IFERROR('4. NPV'!LJI24/'4. NPV'!LJI$8,0)</f>
        <v>-0.0</v>
      </c>
      <c r="LJI55" s="5">
        <f>-IFERROR('4. NPV'!LJJ24/'4. NPV'!LJJ$8,0)</f>
        <v>-0.0</v>
      </c>
      <c r="LJJ55" s="5">
        <f>-IFERROR('4. NPV'!LJK24/'4. NPV'!LJK$8,0)</f>
        <v>-0.0</v>
      </c>
      <c r="LJK55" s="5">
        <f>-IFERROR('4. NPV'!LJL24/'4. NPV'!LJL$8,0)</f>
        <v>-0.0</v>
      </c>
      <c r="LJL55" s="5">
        <f>-IFERROR('4. NPV'!LJM24/'4. NPV'!LJM$8,0)</f>
        <v>-0.0</v>
      </c>
      <c r="LJM55" s="5">
        <f>-IFERROR('4. NPV'!LJN24/'4. NPV'!LJN$8,0)</f>
        <v>-0.0</v>
      </c>
      <c r="LJN55" s="5">
        <f>-IFERROR('4. NPV'!LJO24/'4. NPV'!LJO$8,0)</f>
        <v>-0.0</v>
      </c>
      <c r="LJO55" s="5">
        <f>-IFERROR('4. NPV'!LJP24/'4. NPV'!LJP$8,0)</f>
        <v>-0.0</v>
      </c>
      <c r="LJP55" s="5">
        <f>-IFERROR('4. NPV'!LJQ24/'4. NPV'!LJQ$8,0)</f>
        <v>-0.0</v>
      </c>
      <c r="LJQ55" s="5">
        <f>-IFERROR('4. NPV'!LJR24/'4. NPV'!LJR$8,0)</f>
        <v>-0.0</v>
      </c>
      <c r="LJR55" s="5">
        <f>-IFERROR('4. NPV'!LJS24/'4. NPV'!LJS$8,0)</f>
        <v>-0.0</v>
      </c>
      <c r="LJS55" s="5">
        <f>-IFERROR('4. NPV'!LJT24/'4. NPV'!LJT$8,0)</f>
        <v>-0.0</v>
      </c>
      <c r="LJT55" s="5">
        <f>-IFERROR('4. NPV'!LJU24/'4. NPV'!LJU$8,0)</f>
        <v>-0.0</v>
      </c>
      <c r="LJU55" s="5">
        <f>-IFERROR('4. NPV'!LJV24/'4. NPV'!LJV$8,0)</f>
        <v>-0.0</v>
      </c>
      <c r="LJV55" s="5">
        <f>-IFERROR('4. NPV'!LJW24/'4. NPV'!LJW$8,0)</f>
        <v>-0.0</v>
      </c>
      <c r="LJW55" s="5">
        <f>-IFERROR('4. NPV'!LJX24/'4. NPV'!LJX$8,0)</f>
        <v>-0.0</v>
      </c>
      <c r="LJX55" s="5">
        <f>-IFERROR('4. NPV'!LJY24/'4. NPV'!LJY$8,0)</f>
        <v>-0.0</v>
      </c>
      <c r="LJY55" s="5">
        <f>-IFERROR('4. NPV'!LJZ24/'4. NPV'!LJZ$8,0)</f>
        <v>-0.0</v>
      </c>
      <c r="LJZ55" s="5">
        <f>-IFERROR('4. NPV'!LKA24/'4. NPV'!LKA$8,0)</f>
        <v>-0.0</v>
      </c>
      <c r="LKA55" s="5">
        <f>-IFERROR('4. NPV'!LKB24/'4. NPV'!LKB$8,0)</f>
        <v>-0.0</v>
      </c>
      <c r="LKB55" s="5">
        <f>-IFERROR('4. NPV'!LKC24/'4. NPV'!LKC$8,0)</f>
        <v>-0.0</v>
      </c>
      <c r="LKC55" s="5">
        <f>-IFERROR('4. NPV'!LKD24/'4. NPV'!LKD$8,0)</f>
        <v>-0.0</v>
      </c>
      <c r="LKD55" s="5">
        <f>-IFERROR('4. NPV'!LKE24/'4. NPV'!LKE$8,0)</f>
        <v>-0.0</v>
      </c>
      <c r="LKE55" s="5">
        <f>-IFERROR('4. NPV'!LKF24/'4. NPV'!LKF$8,0)</f>
        <v>-0.0</v>
      </c>
      <c r="LKF55" s="5">
        <f>-IFERROR('4. NPV'!LKG24/'4. NPV'!LKG$8,0)</f>
        <v>-0.0</v>
      </c>
      <c r="LKG55" s="5">
        <f>-IFERROR('4. NPV'!LKH24/'4. NPV'!LKH$8,0)</f>
        <v>-0.0</v>
      </c>
      <c r="LKH55" s="5">
        <f>-IFERROR('4. NPV'!LKI24/'4. NPV'!LKI$8,0)</f>
        <v>-0.0</v>
      </c>
      <c r="LKI55" s="5">
        <f>-IFERROR('4. NPV'!LKJ24/'4. NPV'!LKJ$8,0)</f>
        <v>-0.0</v>
      </c>
      <c r="LKJ55" s="5">
        <f>-IFERROR('4. NPV'!LKK24/'4. NPV'!LKK$8,0)</f>
        <v>-0.0</v>
      </c>
      <c r="LKK55" s="5">
        <f>-IFERROR('4. NPV'!LKL24/'4. NPV'!LKL$8,0)</f>
        <v>-0.0</v>
      </c>
      <c r="LKL55" s="5">
        <f>-IFERROR('4. NPV'!LKM24/'4. NPV'!LKM$8,0)</f>
        <v>-0.0</v>
      </c>
      <c r="LKM55" s="5">
        <f>-IFERROR('4. NPV'!LKN24/'4. NPV'!LKN$8,0)</f>
        <v>-0.0</v>
      </c>
      <c r="LKN55" s="5">
        <f>-IFERROR('4. NPV'!LKO24/'4. NPV'!LKO$8,0)</f>
        <v>-0.0</v>
      </c>
      <c r="LKO55" s="5">
        <f>-IFERROR('4. NPV'!LKP24/'4. NPV'!LKP$8,0)</f>
        <v>-0.0</v>
      </c>
      <c r="LKP55" s="5">
        <f>-IFERROR('4. NPV'!LKQ24/'4. NPV'!LKQ$8,0)</f>
        <v>-0.0</v>
      </c>
      <c r="LKQ55" s="5">
        <f>-IFERROR('4. NPV'!LKR24/'4. NPV'!LKR$8,0)</f>
        <v>-0.0</v>
      </c>
      <c r="LKR55" s="5">
        <f>-IFERROR('4. NPV'!LKS24/'4. NPV'!LKS$8,0)</f>
        <v>-0.0</v>
      </c>
      <c r="LKS55" s="5">
        <f>-IFERROR('4. NPV'!LKT24/'4. NPV'!LKT$8,0)</f>
        <v>-0.0</v>
      </c>
      <c r="LKT55" s="5">
        <f>-IFERROR('4. NPV'!LKU24/'4. NPV'!LKU$8,0)</f>
        <v>-0.0</v>
      </c>
      <c r="LKU55" s="5">
        <f>-IFERROR('4. NPV'!LKV24/'4. NPV'!LKV$8,0)</f>
        <v>-0.0</v>
      </c>
      <c r="LKV55" s="5">
        <f>-IFERROR('4. NPV'!LKW24/'4. NPV'!LKW$8,0)</f>
        <v>-0.0</v>
      </c>
      <c r="LKW55" s="5">
        <f>-IFERROR('4. NPV'!LKX24/'4. NPV'!LKX$8,0)</f>
        <v>-0.0</v>
      </c>
      <c r="LKX55" s="5">
        <f>-IFERROR('4. NPV'!LKY24/'4. NPV'!LKY$8,0)</f>
        <v>-0.0</v>
      </c>
      <c r="LKY55" s="5">
        <f>-IFERROR('4. NPV'!LKZ24/'4. NPV'!LKZ$8,0)</f>
        <v>-0.0</v>
      </c>
      <c r="LKZ55" s="5">
        <f>-IFERROR('4. NPV'!LLA24/'4. NPV'!LLA$8,0)</f>
        <v>-0.0</v>
      </c>
      <c r="LLA55" s="5">
        <f>-IFERROR('4. NPV'!LLB24/'4. NPV'!LLB$8,0)</f>
        <v>-0.0</v>
      </c>
      <c r="LLB55" s="5">
        <f>-IFERROR('4. NPV'!LLC24/'4. NPV'!LLC$8,0)</f>
        <v>-0.0</v>
      </c>
      <c r="LLC55" s="5">
        <f>-IFERROR('4. NPV'!LLD24/'4. NPV'!LLD$8,0)</f>
        <v>-0.0</v>
      </c>
      <c r="LLD55" s="5">
        <f>-IFERROR('4. NPV'!LLE24/'4. NPV'!LLE$8,0)</f>
        <v>-0.0</v>
      </c>
      <c r="LLE55" s="5">
        <f>-IFERROR('4. NPV'!LLF24/'4. NPV'!LLF$8,0)</f>
        <v>-0.0</v>
      </c>
      <c r="LLF55" s="5">
        <f>-IFERROR('4. NPV'!LLG24/'4. NPV'!LLG$8,0)</f>
        <v>-0.0</v>
      </c>
      <c r="LLG55" s="5">
        <f>-IFERROR('4. NPV'!LLH24/'4. NPV'!LLH$8,0)</f>
        <v>-0.0</v>
      </c>
      <c r="LLH55" s="5">
        <f>-IFERROR('4. NPV'!LLI24/'4. NPV'!LLI$8,0)</f>
        <v>-0.0</v>
      </c>
      <c r="LLI55" s="5">
        <f>-IFERROR('4. NPV'!LLJ24/'4. NPV'!LLJ$8,0)</f>
        <v>-0.0</v>
      </c>
      <c r="LLJ55" s="5">
        <f>-IFERROR('4. NPV'!LLK24/'4. NPV'!LLK$8,0)</f>
        <v>-0.0</v>
      </c>
      <c r="LLK55" s="5">
        <f>-IFERROR('4. NPV'!LLL24/'4. NPV'!LLL$8,0)</f>
        <v>-0.0</v>
      </c>
      <c r="LLL55" s="5">
        <f>-IFERROR('4. NPV'!LLM24/'4. NPV'!LLM$8,0)</f>
        <v>-0.0</v>
      </c>
      <c r="LLM55" s="5">
        <f>-IFERROR('4. NPV'!LLN24/'4. NPV'!LLN$8,0)</f>
        <v>-0.0</v>
      </c>
      <c r="LLN55" s="5">
        <f>-IFERROR('4. NPV'!LLO24/'4. NPV'!LLO$8,0)</f>
        <v>-0.0</v>
      </c>
      <c r="LLO55" s="5">
        <f>-IFERROR('4. NPV'!LLP24/'4. NPV'!LLP$8,0)</f>
        <v>-0.0</v>
      </c>
      <c r="LLP55" s="5">
        <f>-IFERROR('4. NPV'!LLQ24/'4. NPV'!LLQ$8,0)</f>
        <v>-0.0</v>
      </c>
      <c r="LLQ55" s="5">
        <f>-IFERROR('4. NPV'!LLR24/'4. NPV'!LLR$8,0)</f>
        <v>-0.0</v>
      </c>
      <c r="LLR55" s="5">
        <f>-IFERROR('4. NPV'!LLS24/'4. NPV'!LLS$8,0)</f>
        <v>-0.0</v>
      </c>
      <c r="LLS55" s="5">
        <f>-IFERROR('4. NPV'!LLT24/'4. NPV'!LLT$8,0)</f>
        <v>-0.0</v>
      </c>
      <c r="LLT55" s="5">
        <f>-IFERROR('4. NPV'!LLU24/'4. NPV'!LLU$8,0)</f>
        <v>-0.0</v>
      </c>
      <c r="LLU55" s="5">
        <f>-IFERROR('4. NPV'!LLV24/'4. NPV'!LLV$8,0)</f>
        <v>-0.0</v>
      </c>
      <c r="LLV55" s="5">
        <f>-IFERROR('4. NPV'!LLW24/'4. NPV'!LLW$8,0)</f>
        <v>-0.0</v>
      </c>
      <c r="LLW55" s="5">
        <f>-IFERROR('4. NPV'!LLX24/'4. NPV'!LLX$8,0)</f>
        <v>-0.0</v>
      </c>
      <c r="LLX55" s="5">
        <f>-IFERROR('4. NPV'!LLY24/'4. NPV'!LLY$8,0)</f>
        <v>-0.0</v>
      </c>
      <c r="LLY55" s="5">
        <f>-IFERROR('4. NPV'!LLZ24/'4. NPV'!LLZ$8,0)</f>
        <v>-0.0</v>
      </c>
      <c r="LLZ55" s="5">
        <f>-IFERROR('4. NPV'!LMA24/'4. NPV'!LMA$8,0)</f>
        <v>-0.0</v>
      </c>
      <c r="LMA55" s="5">
        <f>-IFERROR('4. NPV'!LMB24/'4. NPV'!LMB$8,0)</f>
        <v>-0.0</v>
      </c>
      <c r="LMB55" s="5">
        <f>-IFERROR('4. NPV'!LMC24/'4. NPV'!LMC$8,0)</f>
        <v>-0.0</v>
      </c>
      <c r="LMC55" s="5">
        <f>-IFERROR('4. NPV'!LMD24/'4. NPV'!LMD$8,0)</f>
        <v>-0.0</v>
      </c>
      <c r="LMD55" s="5">
        <f>-IFERROR('4. NPV'!LME24/'4. NPV'!LME$8,0)</f>
        <v>-0.0</v>
      </c>
      <c r="LME55" s="5">
        <f>-IFERROR('4. NPV'!LMF24/'4. NPV'!LMF$8,0)</f>
        <v>-0.0</v>
      </c>
      <c r="LMF55" s="5">
        <f>-IFERROR('4. NPV'!LMG24/'4. NPV'!LMG$8,0)</f>
        <v>-0.0</v>
      </c>
      <c r="LMG55" s="5">
        <f>-IFERROR('4. NPV'!LMH24/'4. NPV'!LMH$8,0)</f>
        <v>-0.0</v>
      </c>
      <c r="LMH55" s="5">
        <f>-IFERROR('4. NPV'!LMI24/'4. NPV'!LMI$8,0)</f>
        <v>-0.0</v>
      </c>
      <c r="LMI55" s="5">
        <f>-IFERROR('4. NPV'!LMJ24/'4. NPV'!LMJ$8,0)</f>
        <v>-0.0</v>
      </c>
      <c r="LMJ55" s="5">
        <f>-IFERROR('4. NPV'!LMK24/'4. NPV'!LMK$8,0)</f>
        <v>-0.0</v>
      </c>
      <c r="LMK55" s="5">
        <f>-IFERROR('4. NPV'!LML24/'4. NPV'!LML$8,0)</f>
        <v>-0.0</v>
      </c>
      <c r="LML55" s="5">
        <f>-IFERROR('4. NPV'!LMM24/'4. NPV'!LMM$8,0)</f>
        <v>-0.0</v>
      </c>
      <c r="LMM55" s="5">
        <f>-IFERROR('4. NPV'!LMN24/'4. NPV'!LMN$8,0)</f>
        <v>-0.0</v>
      </c>
      <c r="LMN55" s="5">
        <f>-IFERROR('4. NPV'!LMO24/'4. NPV'!LMO$8,0)</f>
        <v>-0.0</v>
      </c>
      <c r="LMO55" s="5">
        <f>-IFERROR('4. NPV'!LMP24/'4. NPV'!LMP$8,0)</f>
        <v>-0.0</v>
      </c>
      <c r="LMP55" s="5">
        <f>-IFERROR('4. NPV'!LMQ24/'4. NPV'!LMQ$8,0)</f>
        <v>-0.0</v>
      </c>
      <c r="LMQ55" s="5">
        <f>-IFERROR('4. NPV'!LMR24/'4. NPV'!LMR$8,0)</f>
        <v>-0.0</v>
      </c>
      <c r="LMR55" s="5">
        <f>-IFERROR('4. NPV'!LMS24/'4. NPV'!LMS$8,0)</f>
        <v>-0.0</v>
      </c>
      <c r="LMS55" s="5">
        <f>-IFERROR('4. NPV'!LMT24/'4. NPV'!LMT$8,0)</f>
        <v>-0.0</v>
      </c>
      <c r="LMT55" s="5">
        <f>-IFERROR('4. NPV'!LMU24/'4. NPV'!LMU$8,0)</f>
        <v>-0.0</v>
      </c>
      <c r="LMU55" s="5">
        <f>-IFERROR('4. NPV'!LMV24/'4. NPV'!LMV$8,0)</f>
        <v>-0.0</v>
      </c>
      <c r="LMV55" s="5">
        <f>-IFERROR('4. NPV'!LMW24/'4. NPV'!LMW$8,0)</f>
        <v>-0.0</v>
      </c>
      <c r="LMW55" s="5">
        <f>-IFERROR('4. NPV'!LMX24/'4. NPV'!LMX$8,0)</f>
        <v>-0.0</v>
      </c>
      <c r="LMX55" s="5">
        <f>-IFERROR('4. NPV'!LMY24/'4. NPV'!LMY$8,0)</f>
        <v>-0.0</v>
      </c>
      <c r="LMY55" s="5">
        <f>-IFERROR('4. NPV'!LMZ24/'4. NPV'!LMZ$8,0)</f>
        <v>-0.0</v>
      </c>
      <c r="LMZ55" s="5">
        <f>-IFERROR('4. NPV'!LNA24/'4. NPV'!LNA$8,0)</f>
        <v>-0.0</v>
      </c>
      <c r="LNA55" s="5">
        <f>-IFERROR('4. NPV'!LNB24/'4. NPV'!LNB$8,0)</f>
        <v>-0.0</v>
      </c>
      <c r="LNB55" s="5">
        <f>-IFERROR('4. NPV'!LNC24/'4. NPV'!LNC$8,0)</f>
        <v>-0.0</v>
      </c>
      <c r="LNC55" s="5">
        <f>-IFERROR('4. NPV'!LND24/'4. NPV'!LND$8,0)</f>
        <v>-0.0</v>
      </c>
      <c r="LND55" s="5">
        <f>-IFERROR('4. NPV'!LNE24/'4. NPV'!LNE$8,0)</f>
        <v>-0.0</v>
      </c>
      <c r="LNE55" s="5">
        <f>-IFERROR('4. NPV'!LNF24/'4. NPV'!LNF$8,0)</f>
        <v>-0.0</v>
      </c>
      <c r="LNF55" s="5">
        <f>-IFERROR('4. NPV'!LNG24/'4. NPV'!LNG$8,0)</f>
        <v>-0.0</v>
      </c>
      <c r="LNG55" s="5">
        <f>-IFERROR('4. NPV'!LNH24/'4. NPV'!LNH$8,0)</f>
        <v>-0.0</v>
      </c>
      <c r="LNH55" s="5">
        <f>-IFERROR('4. NPV'!LNI24/'4. NPV'!LNI$8,0)</f>
        <v>-0.0</v>
      </c>
      <c r="LNI55" s="5">
        <f>-IFERROR('4. NPV'!LNJ24/'4. NPV'!LNJ$8,0)</f>
        <v>-0.0</v>
      </c>
      <c r="LNJ55" s="5">
        <f>-IFERROR('4. NPV'!LNK24/'4. NPV'!LNK$8,0)</f>
        <v>-0.0</v>
      </c>
      <c r="LNK55" s="5">
        <f>-IFERROR('4. NPV'!LNL24/'4. NPV'!LNL$8,0)</f>
        <v>-0.0</v>
      </c>
      <c r="LNL55" s="5">
        <f>-IFERROR('4. NPV'!LNM24/'4. NPV'!LNM$8,0)</f>
        <v>-0.0</v>
      </c>
      <c r="LNM55" s="5">
        <f>-IFERROR('4. NPV'!LNN24/'4. NPV'!LNN$8,0)</f>
        <v>-0.0</v>
      </c>
      <c r="LNN55" s="5">
        <f>-IFERROR('4. NPV'!LNO24/'4. NPV'!LNO$8,0)</f>
        <v>-0.0</v>
      </c>
      <c r="LNO55" s="5">
        <f>-IFERROR('4. NPV'!LNP24/'4. NPV'!LNP$8,0)</f>
        <v>-0.0</v>
      </c>
      <c r="LNP55" s="5">
        <f>-IFERROR('4. NPV'!LNQ24/'4. NPV'!LNQ$8,0)</f>
        <v>-0.0</v>
      </c>
      <c r="LNQ55" s="5">
        <f>-IFERROR('4. NPV'!LNR24/'4. NPV'!LNR$8,0)</f>
        <v>-0.0</v>
      </c>
      <c r="LNR55" s="5">
        <f>-IFERROR('4. NPV'!LNS24/'4. NPV'!LNS$8,0)</f>
        <v>-0.0</v>
      </c>
      <c r="LNS55" s="5">
        <f>-IFERROR('4. NPV'!LNT24/'4. NPV'!LNT$8,0)</f>
        <v>-0.0</v>
      </c>
      <c r="LNT55" s="5">
        <f>-IFERROR('4. NPV'!LNU24/'4. NPV'!LNU$8,0)</f>
        <v>-0.0</v>
      </c>
      <c r="LNU55" s="5">
        <f>-IFERROR('4. NPV'!LNV24/'4. NPV'!LNV$8,0)</f>
        <v>-0.0</v>
      </c>
      <c r="LNV55" s="5">
        <f>-IFERROR('4. NPV'!LNW24/'4. NPV'!LNW$8,0)</f>
        <v>-0.0</v>
      </c>
      <c r="LNW55" s="5">
        <f>-IFERROR('4. NPV'!LNX24/'4. NPV'!LNX$8,0)</f>
        <v>-0.0</v>
      </c>
      <c r="LNX55" s="5">
        <f>-IFERROR('4. NPV'!LNY24/'4. NPV'!LNY$8,0)</f>
        <v>-0.0</v>
      </c>
      <c r="LNY55" s="5">
        <f>-IFERROR('4. NPV'!LNZ24/'4. NPV'!LNZ$8,0)</f>
        <v>-0.0</v>
      </c>
      <c r="LNZ55" s="5">
        <f>-IFERROR('4. NPV'!LOA24/'4. NPV'!LOA$8,0)</f>
        <v>-0.0</v>
      </c>
      <c r="LOA55" s="5">
        <f>-IFERROR('4. NPV'!LOB24/'4. NPV'!LOB$8,0)</f>
        <v>-0.0</v>
      </c>
      <c r="LOB55" s="5">
        <f>-IFERROR('4. NPV'!LOC24/'4. NPV'!LOC$8,0)</f>
        <v>-0.0</v>
      </c>
      <c r="LOC55" s="5">
        <f>-IFERROR('4. NPV'!LOD24/'4. NPV'!LOD$8,0)</f>
        <v>-0.0</v>
      </c>
      <c r="LOD55" s="5">
        <f>-IFERROR('4. NPV'!LOE24/'4. NPV'!LOE$8,0)</f>
        <v>-0.0</v>
      </c>
      <c r="LOE55" s="5">
        <f>-IFERROR('4. NPV'!LOF24/'4. NPV'!LOF$8,0)</f>
        <v>-0.0</v>
      </c>
      <c r="LOF55" s="5">
        <f>-IFERROR('4. NPV'!LOG24/'4. NPV'!LOG$8,0)</f>
        <v>-0.0</v>
      </c>
      <c r="LOG55" s="5">
        <f>-IFERROR('4. NPV'!LOH24/'4. NPV'!LOH$8,0)</f>
        <v>-0.0</v>
      </c>
      <c r="LOH55" s="5">
        <f>-IFERROR('4. NPV'!LOI24/'4. NPV'!LOI$8,0)</f>
        <v>-0.0</v>
      </c>
      <c r="LOI55" s="5">
        <f>-IFERROR('4. NPV'!LOJ24/'4. NPV'!LOJ$8,0)</f>
        <v>-0.0</v>
      </c>
      <c r="LOJ55" s="5">
        <f>-IFERROR('4. NPV'!LOK24/'4. NPV'!LOK$8,0)</f>
        <v>-0.0</v>
      </c>
      <c r="LOK55" s="5">
        <f>-IFERROR('4. NPV'!LOL24/'4. NPV'!LOL$8,0)</f>
        <v>-0.0</v>
      </c>
      <c r="LOL55" s="5">
        <f>-IFERROR('4. NPV'!LOM24/'4. NPV'!LOM$8,0)</f>
        <v>-0.0</v>
      </c>
      <c r="LOM55" s="5">
        <f>-IFERROR('4. NPV'!LON24/'4. NPV'!LON$8,0)</f>
        <v>-0.0</v>
      </c>
      <c r="LON55" s="5">
        <f>-IFERROR('4. NPV'!LOO24/'4. NPV'!LOO$8,0)</f>
        <v>-0.0</v>
      </c>
      <c r="LOO55" s="5">
        <f>-IFERROR('4. NPV'!LOP24/'4. NPV'!LOP$8,0)</f>
        <v>-0.0</v>
      </c>
      <c r="LOP55" s="5">
        <f>-IFERROR('4. NPV'!LOQ24/'4. NPV'!LOQ$8,0)</f>
        <v>-0.0</v>
      </c>
      <c r="LOQ55" s="5">
        <f>-IFERROR('4. NPV'!LOR24/'4. NPV'!LOR$8,0)</f>
        <v>-0.0</v>
      </c>
      <c r="LOR55" s="5">
        <f>-IFERROR('4. NPV'!LOS24/'4. NPV'!LOS$8,0)</f>
        <v>-0.0</v>
      </c>
      <c r="LOS55" s="5">
        <f>-IFERROR('4. NPV'!LOT24/'4. NPV'!LOT$8,0)</f>
        <v>-0.0</v>
      </c>
      <c r="LOT55" s="5">
        <f>-IFERROR('4. NPV'!LOU24/'4. NPV'!LOU$8,0)</f>
        <v>-0.0</v>
      </c>
      <c r="LOU55" s="5">
        <f>-IFERROR('4. NPV'!LOV24/'4. NPV'!LOV$8,0)</f>
        <v>-0.0</v>
      </c>
      <c r="LOV55" s="5">
        <f>-IFERROR('4. NPV'!LOW24/'4. NPV'!LOW$8,0)</f>
        <v>-0.0</v>
      </c>
      <c r="LOW55" s="5">
        <f>-IFERROR('4. NPV'!LOX24/'4. NPV'!LOX$8,0)</f>
        <v>-0.0</v>
      </c>
      <c r="LOX55" s="5">
        <f>-IFERROR('4. NPV'!LOY24/'4. NPV'!LOY$8,0)</f>
        <v>-0.0</v>
      </c>
      <c r="LOY55" s="5">
        <f>-IFERROR('4. NPV'!LOZ24/'4. NPV'!LOZ$8,0)</f>
        <v>-0.0</v>
      </c>
      <c r="LOZ55" s="5">
        <f>-IFERROR('4. NPV'!LPA24/'4. NPV'!LPA$8,0)</f>
        <v>-0.0</v>
      </c>
      <c r="LPA55" s="5">
        <f>-IFERROR('4. NPV'!LPB24/'4. NPV'!LPB$8,0)</f>
        <v>-0.0</v>
      </c>
      <c r="LPB55" s="5">
        <f>-IFERROR('4. NPV'!LPC24/'4. NPV'!LPC$8,0)</f>
        <v>-0.0</v>
      </c>
      <c r="LPC55" s="5">
        <f>-IFERROR('4. NPV'!LPD24/'4. NPV'!LPD$8,0)</f>
        <v>-0.0</v>
      </c>
      <c r="LPD55" s="5">
        <f>-IFERROR('4. NPV'!LPE24/'4. NPV'!LPE$8,0)</f>
        <v>-0.0</v>
      </c>
      <c r="LPE55" s="5">
        <f>-IFERROR('4. NPV'!LPF24/'4. NPV'!LPF$8,0)</f>
        <v>-0.0</v>
      </c>
      <c r="LPF55" s="5">
        <f>-IFERROR('4. NPV'!LPG24/'4. NPV'!LPG$8,0)</f>
        <v>-0.0</v>
      </c>
      <c r="LPG55" s="5">
        <f>-IFERROR('4. NPV'!LPH24/'4. NPV'!LPH$8,0)</f>
        <v>-0.0</v>
      </c>
      <c r="LPH55" s="5">
        <f>-IFERROR('4. NPV'!LPI24/'4. NPV'!LPI$8,0)</f>
        <v>-0.0</v>
      </c>
      <c r="LPI55" s="5">
        <f>-IFERROR('4. NPV'!LPJ24/'4. NPV'!LPJ$8,0)</f>
        <v>-0.0</v>
      </c>
      <c r="LPJ55" s="5">
        <f>-IFERROR('4. NPV'!LPK24/'4. NPV'!LPK$8,0)</f>
        <v>-0.0</v>
      </c>
      <c r="LPK55" s="5">
        <f>-IFERROR('4. NPV'!LPL24/'4. NPV'!LPL$8,0)</f>
        <v>-0.0</v>
      </c>
      <c r="LPL55" s="5">
        <f>-IFERROR('4. NPV'!LPM24/'4. NPV'!LPM$8,0)</f>
        <v>-0.0</v>
      </c>
      <c r="LPM55" s="5">
        <f>-IFERROR('4. NPV'!LPN24/'4. NPV'!LPN$8,0)</f>
        <v>-0.0</v>
      </c>
      <c r="LPN55" s="5">
        <f>-IFERROR('4. NPV'!LPO24/'4. NPV'!LPO$8,0)</f>
        <v>-0.0</v>
      </c>
      <c r="LPO55" s="5">
        <f>-IFERROR('4. NPV'!LPP24/'4. NPV'!LPP$8,0)</f>
        <v>-0.0</v>
      </c>
      <c r="LPP55" s="5">
        <f>-IFERROR('4. NPV'!LPQ24/'4. NPV'!LPQ$8,0)</f>
        <v>-0.0</v>
      </c>
      <c r="LPQ55" s="5">
        <f>-IFERROR('4. NPV'!LPR24/'4. NPV'!LPR$8,0)</f>
        <v>-0.0</v>
      </c>
      <c r="LPR55" s="5">
        <f>-IFERROR('4. NPV'!LPS24/'4. NPV'!LPS$8,0)</f>
        <v>-0.0</v>
      </c>
      <c r="LPS55" s="5">
        <f>-IFERROR('4. NPV'!LPT24/'4. NPV'!LPT$8,0)</f>
        <v>-0.0</v>
      </c>
      <c r="LPT55" s="5">
        <f>-IFERROR('4. NPV'!LPU24/'4. NPV'!LPU$8,0)</f>
        <v>-0.0</v>
      </c>
      <c r="LPU55" s="5">
        <f>-IFERROR('4. NPV'!LPV24/'4. NPV'!LPV$8,0)</f>
        <v>-0.0</v>
      </c>
      <c r="LPV55" s="5">
        <f>-IFERROR('4. NPV'!LPW24/'4. NPV'!LPW$8,0)</f>
        <v>-0.0</v>
      </c>
      <c r="LPW55" s="5">
        <f>-IFERROR('4. NPV'!LPX24/'4. NPV'!LPX$8,0)</f>
        <v>-0.0</v>
      </c>
      <c r="LPX55" s="5">
        <f>-IFERROR('4. NPV'!LPY24/'4. NPV'!LPY$8,0)</f>
        <v>-0.0</v>
      </c>
      <c r="LPY55" s="5">
        <f>-IFERROR('4. NPV'!LPZ24/'4. NPV'!LPZ$8,0)</f>
        <v>-0.0</v>
      </c>
      <c r="LPZ55" s="5">
        <f>-IFERROR('4. NPV'!LQA24/'4. NPV'!LQA$8,0)</f>
        <v>-0.0</v>
      </c>
      <c r="LQA55" s="5">
        <f>-IFERROR('4. NPV'!LQB24/'4. NPV'!LQB$8,0)</f>
        <v>-0.0</v>
      </c>
      <c r="LQB55" s="5">
        <f>-IFERROR('4. NPV'!LQC24/'4. NPV'!LQC$8,0)</f>
        <v>-0.0</v>
      </c>
      <c r="LQC55" s="5">
        <f>-IFERROR('4. NPV'!LQD24/'4. NPV'!LQD$8,0)</f>
        <v>-0.0</v>
      </c>
      <c r="LQD55" s="5">
        <f>-IFERROR('4. NPV'!LQE24/'4. NPV'!LQE$8,0)</f>
        <v>-0.0</v>
      </c>
      <c r="LQE55" s="5">
        <f>-IFERROR('4. NPV'!LQF24/'4. NPV'!LQF$8,0)</f>
        <v>-0.0</v>
      </c>
      <c r="LQF55" s="5">
        <f>-IFERROR('4. NPV'!LQG24/'4. NPV'!LQG$8,0)</f>
        <v>-0.0</v>
      </c>
      <c r="LQG55" s="5">
        <f>-IFERROR('4. NPV'!LQH24/'4. NPV'!LQH$8,0)</f>
        <v>-0.0</v>
      </c>
      <c r="LQH55" s="5">
        <f>-IFERROR('4. NPV'!LQI24/'4. NPV'!LQI$8,0)</f>
        <v>-0.0</v>
      </c>
      <c r="LQI55" s="5">
        <f>-IFERROR('4. NPV'!LQJ24/'4. NPV'!LQJ$8,0)</f>
        <v>-0.0</v>
      </c>
      <c r="LQJ55" s="5">
        <f>-IFERROR('4. NPV'!LQK24/'4. NPV'!LQK$8,0)</f>
        <v>-0.0</v>
      </c>
      <c r="LQK55" s="5">
        <f>-IFERROR('4. NPV'!LQL24/'4. NPV'!LQL$8,0)</f>
        <v>-0.0</v>
      </c>
      <c r="LQL55" s="5">
        <f>-IFERROR('4. NPV'!LQM24/'4. NPV'!LQM$8,0)</f>
        <v>-0.0</v>
      </c>
      <c r="LQM55" s="5">
        <f>-IFERROR('4. NPV'!LQN24/'4. NPV'!LQN$8,0)</f>
        <v>-0.0</v>
      </c>
      <c r="LQN55" s="5">
        <f>-IFERROR('4. NPV'!LQO24/'4. NPV'!LQO$8,0)</f>
        <v>-0.0</v>
      </c>
      <c r="LQO55" s="5">
        <f>-IFERROR('4. NPV'!LQP24/'4. NPV'!LQP$8,0)</f>
        <v>-0.0</v>
      </c>
      <c r="LQP55" s="5">
        <f>-IFERROR('4. NPV'!LQQ24/'4. NPV'!LQQ$8,0)</f>
        <v>-0.0</v>
      </c>
      <c r="LQQ55" s="5">
        <f>-IFERROR('4. NPV'!LQR24/'4. NPV'!LQR$8,0)</f>
        <v>-0.0</v>
      </c>
      <c r="LQR55" s="5">
        <f>-IFERROR('4. NPV'!LQS24/'4. NPV'!LQS$8,0)</f>
        <v>-0.0</v>
      </c>
      <c r="LQS55" s="5">
        <f>-IFERROR('4. NPV'!LQT24/'4. NPV'!LQT$8,0)</f>
        <v>-0.0</v>
      </c>
      <c r="LQT55" s="5">
        <f>-IFERROR('4. NPV'!LQU24/'4. NPV'!LQU$8,0)</f>
        <v>-0.0</v>
      </c>
      <c r="LQU55" s="5">
        <f>-IFERROR('4. NPV'!LQV24/'4. NPV'!LQV$8,0)</f>
        <v>-0.0</v>
      </c>
      <c r="LQV55" s="5">
        <f>-IFERROR('4. NPV'!LQW24/'4. NPV'!LQW$8,0)</f>
        <v>-0.0</v>
      </c>
      <c r="LQW55" s="5">
        <f>-IFERROR('4. NPV'!LQX24/'4. NPV'!LQX$8,0)</f>
        <v>-0.0</v>
      </c>
      <c r="LQX55" s="5">
        <f>-IFERROR('4. NPV'!LQY24/'4. NPV'!LQY$8,0)</f>
        <v>-0.0</v>
      </c>
      <c r="LQY55" s="5">
        <f>-IFERROR('4. NPV'!LQZ24/'4. NPV'!LQZ$8,0)</f>
        <v>-0.0</v>
      </c>
      <c r="LQZ55" s="5">
        <f>-IFERROR('4. NPV'!LRA24/'4. NPV'!LRA$8,0)</f>
        <v>-0.0</v>
      </c>
      <c r="LRA55" s="5">
        <f>-IFERROR('4. NPV'!LRB24/'4. NPV'!LRB$8,0)</f>
        <v>-0.0</v>
      </c>
      <c r="LRB55" s="5">
        <f>-IFERROR('4. NPV'!LRC24/'4. NPV'!LRC$8,0)</f>
        <v>-0.0</v>
      </c>
      <c r="LRC55" s="5">
        <f>-IFERROR('4. NPV'!LRD24/'4. NPV'!LRD$8,0)</f>
        <v>-0.0</v>
      </c>
      <c r="LRD55" s="5">
        <f>-IFERROR('4. NPV'!LRE24/'4. NPV'!LRE$8,0)</f>
        <v>-0.0</v>
      </c>
      <c r="LRE55" s="5">
        <f>-IFERROR('4. NPV'!LRF24/'4. NPV'!LRF$8,0)</f>
        <v>-0.0</v>
      </c>
      <c r="LRF55" s="5">
        <f>-IFERROR('4. NPV'!LRG24/'4. NPV'!LRG$8,0)</f>
        <v>-0.0</v>
      </c>
      <c r="LRG55" s="5">
        <f>-IFERROR('4. NPV'!LRH24/'4. NPV'!LRH$8,0)</f>
        <v>-0.0</v>
      </c>
      <c r="LRH55" s="5">
        <f>-IFERROR('4. NPV'!LRI24/'4. NPV'!LRI$8,0)</f>
        <v>-0.0</v>
      </c>
      <c r="LRI55" s="5">
        <f>-IFERROR('4. NPV'!LRJ24/'4. NPV'!LRJ$8,0)</f>
        <v>-0.0</v>
      </c>
      <c r="LRJ55" s="5">
        <f>-IFERROR('4. NPV'!LRK24/'4. NPV'!LRK$8,0)</f>
        <v>-0.0</v>
      </c>
      <c r="LRK55" s="5">
        <f>-IFERROR('4. NPV'!LRL24/'4. NPV'!LRL$8,0)</f>
        <v>-0.0</v>
      </c>
      <c r="LRL55" s="5">
        <f>-IFERROR('4. NPV'!LRM24/'4. NPV'!LRM$8,0)</f>
        <v>-0.0</v>
      </c>
      <c r="LRM55" s="5">
        <f>-IFERROR('4. NPV'!LRN24/'4. NPV'!LRN$8,0)</f>
        <v>-0.0</v>
      </c>
      <c r="LRN55" s="5">
        <f>-IFERROR('4. NPV'!LRO24/'4. NPV'!LRO$8,0)</f>
        <v>-0.0</v>
      </c>
      <c r="LRO55" s="5">
        <f>-IFERROR('4. NPV'!LRP24/'4. NPV'!LRP$8,0)</f>
        <v>-0.0</v>
      </c>
      <c r="LRP55" s="5">
        <f>-IFERROR('4. NPV'!LRQ24/'4. NPV'!LRQ$8,0)</f>
        <v>-0.0</v>
      </c>
      <c r="LRQ55" s="5">
        <f>-IFERROR('4. NPV'!LRR24/'4. NPV'!LRR$8,0)</f>
        <v>-0.0</v>
      </c>
      <c r="LRR55" s="5">
        <f>-IFERROR('4. NPV'!LRS24/'4. NPV'!LRS$8,0)</f>
        <v>-0.0</v>
      </c>
      <c r="LRS55" s="5">
        <f>-IFERROR('4. NPV'!LRT24/'4. NPV'!LRT$8,0)</f>
        <v>-0.0</v>
      </c>
      <c r="LRT55" s="5">
        <f>-IFERROR('4. NPV'!LRU24/'4. NPV'!LRU$8,0)</f>
        <v>-0.0</v>
      </c>
      <c r="LRU55" s="5">
        <f>-IFERROR('4. NPV'!LRV24/'4. NPV'!LRV$8,0)</f>
        <v>-0.0</v>
      </c>
      <c r="LRV55" s="5">
        <f>-IFERROR('4. NPV'!LRW24/'4. NPV'!LRW$8,0)</f>
        <v>-0.0</v>
      </c>
      <c r="LRW55" s="5">
        <f>-IFERROR('4. NPV'!LRX24/'4. NPV'!LRX$8,0)</f>
        <v>-0.0</v>
      </c>
      <c r="LRX55" s="5">
        <f>-IFERROR('4. NPV'!LRY24/'4. NPV'!LRY$8,0)</f>
        <v>-0.0</v>
      </c>
      <c r="LRY55" s="5">
        <f>-IFERROR('4. NPV'!LRZ24/'4. NPV'!LRZ$8,0)</f>
        <v>-0.0</v>
      </c>
      <c r="LRZ55" s="5">
        <f>-IFERROR('4. NPV'!LSA24/'4. NPV'!LSA$8,0)</f>
        <v>-0.0</v>
      </c>
      <c r="LSA55" s="5">
        <f>-IFERROR('4. NPV'!LSB24/'4. NPV'!LSB$8,0)</f>
        <v>-0.0</v>
      </c>
      <c r="LSB55" s="5">
        <f>-IFERROR('4. NPV'!LSC24/'4. NPV'!LSC$8,0)</f>
        <v>-0.0</v>
      </c>
      <c r="LSC55" s="5">
        <f>-IFERROR('4. NPV'!LSD24/'4. NPV'!LSD$8,0)</f>
        <v>-0.0</v>
      </c>
      <c r="LSD55" s="5">
        <f>-IFERROR('4. NPV'!LSE24/'4. NPV'!LSE$8,0)</f>
        <v>-0.0</v>
      </c>
      <c r="LSE55" s="5">
        <f>-IFERROR('4. NPV'!LSF24/'4. NPV'!LSF$8,0)</f>
        <v>-0.0</v>
      </c>
      <c r="LSF55" s="5">
        <f>-IFERROR('4. NPV'!LSG24/'4. NPV'!LSG$8,0)</f>
        <v>-0.0</v>
      </c>
      <c r="LSG55" s="5">
        <f>-IFERROR('4. NPV'!LSH24/'4. NPV'!LSH$8,0)</f>
        <v>-0.0</v>
      </c>
      <c r="LSH55" s="5">
        <f>-IFERROR('4. NPV'!LSI24/'4. NPV'!LSI$8,0)</f>
        <v>-0.0</v>
      </c>
      <c r="LSI55" s="5">
        <f>-IFERROR('4. NPV'!LSJ24/'4. NPV'!LSJ$8,0)</f>
        <v>-0.0</v>
      </c>
      <c r="LSJ55" s="5">
        <f>-IFERROR('4. NPV'!LSK24/'4. NPV'!LSK$8,0)</f>
        <v>-0.0</v>
      </c>
      <c r="LSK55" s="5">
        <f>-IFERROR('4. NPV'!LSL24/'4. NPV'!LSL$8,0)</f>
        <v>-0.0</v>
      </c>
      <c r="LSL55" s="5">
        <f>-IFERROR('4. NPV'!LSM24/'4. NPV'!LSM$8,0)</f>
        <v>-0.0</v>
      </c>
      <c r="LSM55" s="5">
        <f>-IFERROR('4. NPV'!LSN24/'4. NPV'!LSN$8,0)</f>
        <v>-0.0</v>
      </c>
      <c r="LSN55" s="5">
        <f>-IFERROR('4. NPV'!LSO24/'4. NPV'!LSO$8,0)</f>
        <v>-0.0</v>
      </c>
      <c r="LSO55" s="5">
        <f>-IFERROR('4. NPV'!LSP24/'4. NPV'!LSP$8,0)</f>
        <v>-0.0</v>
      </c>
      <c r="LSP55" s="5">
        <f>-IFERROR('4. NPV'!LSQ24/'4. NPV'!LSQ$8,0)</f>
        <v>-0.0</v>
      </c>
      <c r="LSQ55" s="5">
        <f>-IFERROR('4. NPV'!LSR24/'4. NPV'!LSR$8,0)</f>
        <v>-0.0</v>
      </c>
      <c r="LSR55" s="5">
        <f>-IFERROR('4. NPV'!LSS24/'4. NPV'!LSS$8,0)</f>
        <v>-0.0</v>
      </c>
      <c r="LSS55" s="5">
        <f>-IFERROR('4. NPV'!LST24/'4. NPV'!LST$8,0)</f>
        <v>-0.0</v>
      </c>
      <c r="LST55" s="5">
        <f>-IFERROR('4. NPV'!LSU24/'4. NPV'!LSU$8,0)</f>
        <v>-0.0</v>
      </c>
      <c r="LSU55" s="5">
        <f>-IFERROR('4. NPV'!LSV24/'4. NPV'!LSV$8,0)</f>
        <v>-0.0</v>
      </c>
      <c r="LSV55" s="5">
        <f>-IFERROR('4. NPV'!LSW24/'4. NPV'!LSW$8,0)</f>
        <v>-0.0</v>
      </c>
      <c r="LSW55" s="5">
        <f>-IFERROR('4. NPV'!LSX24/'4. NPV'!LSX$8,0)</f>
        <v>-0.0</v>
      </c>
      <c r="LSX55" s="5">
        <f>-IFERROR('4. NPV'!LSY24/'4. NPV'!LSY$8,0)</f>
        <v>-0.0</v>
      </c>
      <c r="LSY55" s="5">
        <f>-IFERROR('4. NPV'!LSZ24/'4. NPV'!LSZ$8,0)</f>
        <v>-0.0</v>
      </c>
      <c r="LSZ55" s="5">
        <f>-IFERROR('4. NPV'!LTA24/'4. NPV'!LTA$8,0)</f>
        <v>-0.0</v>
      </c>
      <c r="LTA55" s="5">
        <f>-IFERROR('4. NPV'!LTB24/'4. NPV'!LTB$8,0)</f>
        <v>-0.0</v>
      </c>
      <c r="LTB55" s="5">
        <f>-IFERROR('4. NPV'!LTC24/'4. NPV'!LTC$8,0)</f>
        <v>-0.0</v>
      </c>
      <c r="LTC55" s="5">
        <f>-IFERROR('4. NPV'!LTD24/'4. NPV'!LTD$8,0)</f>
        <v>-0.0</v>
      </c>
      <c r="LTD55" s="5">
        <f>-IFERROR('4. NPV'!LTE24/'4. NPV'!LTE$8,0)</f>
        <v>-0.0</v>
      </c>
      <c r="LTE55" s="5">
        <f>-IFERROR('4. NPV'!LTF24/'4. NPV'!LTF$8,0)</f>
        <v>-0.0</v>
      </c>
      <c r="LTF55" s="5">
        <f>-IFERROR('4. NPV'!LTG24/'4. NPV'!LTG$8,0)</f>
        <v>-0.0</v>
      </c>
      <c r="LTG55" s="5">
        <f>-IFERROR('4. NPV'!LTH24/'4. NPV'!LTH$8,0)</f>
        <v>-0.0</v>
      </c>
      <c r="LTH55" s="5">
        <f>-IFERROR('4. NPV'!LTI24/'4. NPV'!LTI$8,0)</f>
        <v>-0.0</v>
      </c>
      <c r="LTI55" s="5">
        <f>-IFERROR('4. NPV'!LTJ24/'4. NPV'!LTJ$8,0)</f>
        <v>-0.0</v>
      </c>
      <c r="LTJ55" s="5">
        <f>-IFERROR('4. NPV'!LTK24/'4. NPV'!LTK$8,0)</f>
        <v>-0.0</v>
      </c>
      <c r="LTK55" s="5">
        <f>-IFERROR('4. NPV'!LTL24/'4. NPV'!LTL$8,0)</f>
        <v>-0.0</v>
      </c>
      <c r="LTL55" s="5">
        <f>-IFERROR('4. NPV'!LTM24/'4. NPV'!LTM$8,0)</f>
        <v>-0.0</v>
      </c>
      <c r="LTM55" s="5">
        <f>-IFERROR('4. NPV'!LTN24/'4. NPV'!LTN$8,0)</f>
        <v>-0.0</v>
      </c>
      <c r="LTN55" s="5">
        <f>-IFERROR('4. NPV'!LTO24/'4. NPV'!LTO$8,0)</f>
        <v>-0.0</v>
      </c>
      <c r="LTO55" s="5">
        <f>-IFERROR('4. NPV'!LTP24/'4. NPV'!LTP$8,0)</f>
        <v>-0.0</v>
      </c>
      <c r="LTP55" s="5">
        <f>-IFERROR('4. NPV'!LTQ24/'4. NPV'!LTQ$8,0)</f>
        <v>-0.0</v>
      </c>
      <c r="LTQ55" s="5">
        <f>-IFERROR('4. NPV'!LTR24/'4. NPV'!LTR$8,0)</f>
        <v>-0.0</v>
      </c>
      <c r="LTR55" s="5">
        <f>-IFERROR('4. NPV'!LTS24/'4. NPV'!LTS$8,0)</f>
        <v>-0.0</v>
      </c>
      <c r="LTS55" s="5">
        <f>-IFERROR('4. NPV'!LTT24/'4. NPV'!LTT$8,0)</f>
        <v>-0.0</v>
      </c>
      <c r="LTT55" s="5">
        <f>-IFERROR('4. NPV'!LTU24/'4. NPV'!LTU$8,0)</f>
        <v>-0.0</v>
      </c>
      <c r="LTU55" s="5">
        <f>-IFERROR('4. NPV'!LTV24/'4. NPV'!LTV$8,0)</f>
        <v>-0.0</v>
      </c>
      <c r="LTV55" s="5">
        <f>-IFERROR('4. NPV'!LTW24/'4. NPV'!LTW$8,0)</f>
        <v>-0.0</v>
      </c>
      <c r="LTW55" s="5">
        <f>-IFERROR('4. NPV'!LTX24/'4. NPV'!LTX$8,0)</f>
        <v>-0.0</v>
      </c>
      <c r="LTX55" s="5">
        <f>-IFERROR('4. NPV'!LTY24/'4. NPV'!LTY$8,0)</f>
        <v>-0.0</v>
      </c>
      <c r="LTY55" s="5">
        <f>-IFERROR('4. NPV'!LTZ24/'4. NPV'!LTZ$8,0)</f>
        <v>-0.0</v>
      </c>
      <c r="LTZ55" s="5">
        <f>-IFERROR('4. NPV'!LUA24/'4. NPV'!LUA$8,0)</f>
        <v>-0.0</v>
      </c>
      <c r="LUA55" s="5">
        <f>-IFERROR('4. NPV'!LUB24/'4. NPV'!LUB$8,0)</f>
        <v>-0.0</v>
      </c>
      <c r="LUB55" s="5">
        <f>-IFERROR('4. NPV'!LUC24/'4. NPV'!LUC$8,0)</f>
        <v>-0.0</v>
      </c>
      <c r="LUC55" s="5">
        <f>-IFERROR('4. NPV'!LUD24/'4. NPV'!LUD$8,0)</f>
        <v>-0.0</v>
      </c>
      <c r="LUD55" s="5">
        <f>-IFERROR('4. NPV'!LUE24/'4. NPV'!LUE$8,0)</f>
        <v>-0.0</v>
      </c>
      <c r="LUE55" s="5">
        <f>-IFERROR('4. NPV'!LUF24/'4. NPV'!LUF$8,0)</f>
        <v>-0.0</v>
      </c>
      <c r="LUF55" s="5">
        <f>-IFERROR('4. NPV'!LUG24/'4. NPV'!LUG$8,0)</f>
        <v>-0.0</v>
      </c>
      <c r="LUG55" s="5">
        <f>-IFERROR('4. NPV'!LUH24/'4. NPV'!LUH$8,0)</f>
        <v>-0.0</v>
      </c>
      <c r="LUH55" s="5">
        <f>-IFERROR('4. NPV'!LUI24/'4. NPV'!LUI$8,0)</f>
        <v>-0.0</v>
      </c>
      <c r="LUI55" s="5">
        <f>-IFERROR('4. NPV'!LUJ24/'4. NPV'!LUJ$8,0)</f>
        <v>-0.0</v>
      </c>
      <c r="LUJ55" s="5">
        <f>-IFERROR('4. NPV'!LUK24/'4. NPV'!LUK$8,0)</f>
        <v>-0.0</v>
      </c>
      <c r="LUK55" s="5">
        <f>-IFERROR('4. NPV'!LUL24/'4. NPV'!LUL$8,0)</f>
        <v>-0.0</v>
      </c>
      <c r="LUL55" s="5">
        <f>-IFERROR('4. NPV'!LUM24/'4. NPV'!LUM$8,0)</f>
        <v>-0.0</v>
      </c>
      <c r="LUM55" s="5">
        <f>-IFERROR('4. NPV'!LUN24/'4. NPV'!LUN$8,0)</f>
        <v>-0.0</v>
      </c>
      <c r="LUN55" s="5">
        <f>-IFERROR('4. NPV'!LUO24/'4. NPV'!LUO$8,0)</f>
        <v>-0.0</v>
      </c>
      <c r="LUO55" s="5">
        <f>-IFERROR('4. NPV'!LUP24/'4. NPV'!LUP$8,0)</f>
        <v>-0.0</v>
      </c>
      <c r="LUP55" s="5">
        <f>-IFERROR('4. NPV'!LUQ24/'4. NPV'!LUQ$8,0)</f>
        <v>-0.0</v>
      </c>
      <c r="LUQ55" s="5">
        <f>-IFERROR('4. NPV'!LUR24/'4. NPV'!LUR$8,0)</f>
        <v>-0.0</v>
      </c>
      <c r="LUR55" s="5">
        <f>-IFERROR('4. NPV'!LUS24/'4. NPV'!LUS$8,0)</f>
        <v>-0.0</v>
      </c>
      <c r="LUS55" s="5">
        <f>-IFERROR('4. NPV'!LUT24/'4. NPV'!LUT$8,0)</f>
        <v>-0.0</v>
      </c>
      <c r="LUT55" s="5">
        <f>-IFERROR('4. NPV'!LUU24/'4. NPV'!LUU$8,0)</f>
        <v>-0.0</v>
      </c>
      <c r="LUU55" s="5">
        <f>-IFERROR('4. NPV'!LUV24/'4. NPV'!LUV$8,0)</f>
        <v>-0.0</v>
      </c>
      <c r="LUV55" s="5">
        <f>-IFERROR('4. NPV'!LUW24/'4. NPV'!LUW$8,0)</f>
        <v>-0.0</v>
      </c>
      <c r="LUW55" s="5">
        <f>-IFERROR('4. NPV'!LUX24/'4. NPV'!LUX$8,0)</f>
        <v>-0.0</v>
      </c>
      <c r="LUX55" s="5">
        <f>-IFERROR('4. NPV'!LUY24/'4. NPV'!LUY$8,0)</f>
        <v>-0.0</v>
      </c>
      <c r="LUY55" s="5">
        <f>-IFERROR('4. NPV'!LUZ24/'4. NPV'!LUZ$8,0)</f>
        <v>-0.0</v>
      </c>
      <c r="LUZ55" s="5">
        <f>-IFERROR('4. NPV'!LVA24/'4. NPV'!LVA$8,0)</f>
        <v>-0.0</v>
      </c>
      <c r="LVA55" s="5">
        <f>-IFERROR('4. NPV'!LVB24/'4. NPV'!LVB$8,0)</f>
        <v>-0.0</v>
      </c>
      <c r="LVB55" s="5">
        <f>-IFERROR('4. NPV'!LVC24/'4. NPV'!LVC$8,0)</f>
        <v>-0.0</v>
      </c>
      <c r="LVC55" s="5">
        <f>-IFERROR('4. NPV'!LVD24/'4. NPV'!LVD$8,0)</f>
        <v>-0.0</v>
      </c>
      <c r="LVD55" s="5">
        <f>-IFERROR('4. NPV'!LVE24/'4. NPV'!LVE$8,0)</f>
        <v>-0.0</v>
      </c>
      <c r="LVE55" s="5">
        <f>-IFERROR('4. NPV'!LVF24/'4. NPV'!LVF$8,0)</f>
        <v>-0.0</v>
      </c>
      <c r="LVF55" s="5">
        <f>-IFERROR('4. NPV'!LVG24/'4. NPV'!LVG$8,0)</f>
        <v>-0.0</v>
      </c>
      <c r="LVG55" s="5">
        <f>-IFERROR('4. NPV'!LVH24/'4. NPV'!LVH$8,0)</f>
        <v>-0.0</v>
      </c>
      <c r="LVH55" s="5">
        <f>-IFERROR('4. NPV'!LVI24/'4. NPV'!LVI$8,0)</f>
        <v>-0.0</v>
      </c>
      <c r="LVI55" s="5">
        <f>-IFERROR('4. NPV'!LVJ24/'4. NPV'!LVJ$8,0)</f>
        <v>-0.0</v>
      </c>
      <c r="LVJ55" s="5">
        <f>-IFERROR('4. NPV'!LVK24/'4. NPV'!LVK$8,0)</f>
        <v>-0.0</v>
      </c>
      <c r="LVK55" s="5">
        <f>-IFERROR('4. NPV'!LVL24/'4. NPV'!LVL$8,0)</f>
        <v>-0.0</v>
      </c>
      <c r="LVL55" s="5">
        <f>-IFERROR('4. NPV'!LVM24/'4. NPV'!LVM$8,0)</f>
        <v>-0.0</v>
      </c>
      <c r="LVM55" s="5">
        <f>-IFERROR('4. NPV'!LVN24/'4. NPV'!LVN$8,0)</f>
        <v>-0.0</v>
      </c>
      <c r="LVN55" s="5">
        <f>-IFERROR('4. NPV'!LVO24/'4. NPV'!LVO$8,0)</f>
        <v>-0.0</v>
      </c>
      <c r="LVO55" s="5">
        <f>-IFERROR('4. NPV'!LVP24/'4. NPV'!LVP$8,0)</f>
        <v>-0.0</v>
      </c>
      <c r="LVP55" s="5">
        <f>-IFERROR('4. NPV'!LVQ24/'4. NPV'!LVQ$8,0)</f>
        <v>-0.0</v>
      </c>
      <c r="LVQ55" s="5">
        <f>-IFERROR('4. NPV'!LVR24/'4. NPV'!LVR$8,0)</f>
        <v>-0.0</v>
      </c>
      <c r="LVR55" s="5">
        <f>-IFERROR('4. NPV'!LVS24/'4. NPV'!LVS$8,0)</f>
        <v>-0.0</v>
      </c>
      <c r="LVS55" s="5">
        <f>-IFERROR('4. NPV'!LVT24/'4. NPV'!LVT$8,0)</f>
        <v>-0.0</v>
      </c>
      <c r="LVT55" s="5">
        <f>-IFERROR('4. NPV'!LVU24/'4. NPV'!LVU$8,0)</f>
        <v>-0.0</v>
      </c>
      <c r="LVU55" s="5">
        <f>-IFERROR('4. NPV'!LVV24/'4. NPV'!LVV$8,0)</f>
        <v>-0.0</v>
      </c>
      <c r="LVV55" s="5">
        <f>-IFERROR('4. NPV'!LVW24/'4. NPV'!LVW$8,0)</f>
        <v>-0.0</v>
      </c>
      <c r="LVW55" s="5">
        <f>-IFERROR('4. NPV'!LVX24/'4. NPV'!LVX$8,0)</f>
        <v>-0.0</v>
      </c>
      <c r="LVX55" s="5">
        <f>-IFERROR('4. NPV'!LVY24/'4. NPV'!LVY$8,0)</f>
        <v>-0.0</v>
      </c>
      <c r="LVY55" s="5">
        <f>-IFERROR('4. NPV'!LVZ24/'4. NPV'!LVZ$8,0)</f>
        <v>-0.0</v>
      </c>
      <c r="LVZ55" s="5">
        <f>-IFERROR('4. NPV'!LWA24/'4. NPV'!LWA$8,0)</f>
        <v>-0.0</v>
      </c>
      <c r="LWA55" s="5">
        <f>-IFERROR('4. NPV'!LWB24/'4. NPV'!LWB$8,0)</f>
        <v>-0.0</v>
      </c>
      <c r="LWB55" s="5">
        <f>-IFERROR('4. NPV'!LWC24/'4. NPV'!LWC$8,0)</f>
        <v>-0.0</v>
      </c>
      <c r="LWC55" s="5">
        <f>-IFERROR('4. NPV'!LWD24/'4. NPV'!LWD$8,0)</f>
        <v>-0.0</v>
      </c>
      <c r="LWD55" s="5">
        <f>-IFERROR('4. NPV'!LWE24/'4. NPV'!LWE$8,0)</f>
        <v>-0.0</v>
      </c>
      <c r="LWE55" s="5">
        <f>-IFERROR('4. NPV'!LWF24/'4. NPV'!LWF$8,0)</f>
        <v>-0.0</v>
      </c>
      <c r="LWF55" s="5">
        <f>-IFERROR('4. NPV'!LWG24/'4. NPV'!LWG$8,0)</f>
        <v>-0.0</v>
      </c>
      <c r="LWG55" s="5">
        <f>-IFERROR('4. NPV'!LWH24/'4. NPV'!LWH$8,0)</f>
        <v>-0.0</v>
      </c>
      <c r="LWH55" s="5">
        <f>-IFERROR('4. NPV'!LWI24/'4. NPV'!LWI$8,0)</f>
        <v>-0.0</v>
      </c>
      <c r="LWI55" s="5">
        <f>-IFERROR('4. NPV'!LWJ24/'4. NPV'!LWJ$8,0)</f>
        <v>-0.0</v>
      </c>
      <c r="LWJ55" s="5">
        <f>-IFERROR('4. NPV'!LWK24/'4. NPV'!LWK$8,0)</f>
        <v>-0.0</v>
      </c>
      <c r="LWK55" s="5">
        <f>-IFERROR('4. NPV'!LWL24/'4. NPV'!LWL$8,0)</f>
        <v>-0.0</v>
      </c>
      <c r="LWL55" s="5">
        <f>-IFERROR('4. NPV'!LWM24/'4. NPV'!LWM$8,0)</f>
        <v>-0.0</v>
      </c>
      <c r="LWM55" s="5">
        <f>-IFERROR('4. NPV'!LWN24/'4. NPV'!LWN$8,0)</f>
        <v>-0.0</v>
      </c>
      <c r="LWN55" s="5">
        <f>-IFERROR('4. NPV'!LWO24/'4. NPV'!LWO$8,0)</f>
        <v>-0.0</v>
      </c>
      <c r="LWO55" s="5">
        <f>-IFERROR('4. NPV'!LWP24/'4. NPV'!LWP$8,0)</f>
        <v>-0.0</v>
      </c>
      <c r="LWP55" s="5">
        <f>-IFERROR('4. NPV'!LWQ24/'4. NPV'!LWQ$8,0)</f>
        <v>-0.0</v>
      </c>
      <c r="LWQ55" s="5">
        <f>-IFERROR('4. NPV'!LWR24/'4. NPV'!LWR$8,0)</f>
        <v>-0.0</v>
      </c>
      <c r="LWR55" s="5">
        <f>-IFERROR('4. NPV'!LWS24/'4. NPV'!LWS$8,0)</f>
        <v>-0.0</v>
      </c>
      <c r="LWS55" s="5">
        <f>-IFERROR('4. NPV'!LWT24/'4. NPV'!LWT$8,0)</f>
        <v>-0.0</v>
      </c>
      <c r="LWT55" s="5">
        <f>-IFERROR('4. NPV'!LWU24/'4. NPV'!LWU$8,0)</f>
        <v>-0.0</v>
      </c>
      <c r="LWU55" s="5">
        <f>-IFERROR('4. NPV'!LWV24/'4. NPV'!LWV$8,0)</f>
        <v>-0.0</v>
      </c>
      <c r="LWV55" s="5">
        <f>-IFERROR('4. NPV'!LWW24/'4. NPV'!LWW$8,0)</f>
        <v>-0.0</v>
      </c>
      <c r="LWW55" s="5">
        <f>-IFERROR('4. NPV'!LWX24/'4. NPV'!LWX$8,0)</f>
        <v>-0.0</v>
      </c>
      <c r="LWX55" s="5">
        <f>-IFERROR('4. NPV'!LWY24/'4. NPV'!LWY$8,0)</f>
        <v>-0.0</v>
      </c>
      <c r="LWY55" s="5">
        <f>-IFERROR('4. NPV'!LWZ24/'4. NPV'!LWZ$8,0)</f>
        <v>-0.0</v>
      </c>
      <c r="LWZ55" s="5">
        <f>-IFERROR('4. NPV'!LXA24/'4. NPV'!LXA$8,0)</f>
        <v>-0.0</v>
      </c>
      <c r="LXA55" s="5">
        <f>-IFERROR('4. NPV'!LXB24/'4. NPV'!LXB$8,0)</f>
        <v>-0.0</v>
      </c>
      <c r="LXB55" s="5">
        <f>-IFERROR('4. NPV'!LXC24/'4. NPV'!LXC$8,0)</f>
        <v>-0.0</v>
      </c>
      <c r="LXC55" s="5">
        <f>-IFERROR('4. NPV'!LXD24/'4. NPV'!LXD$8,0)</f>
        <v>-0.0</v>
      </c>
      <c r="LXD55" s="5">
        <f>-IFERROR('4. NPV'!LXE24/'4. NPV'!LXE$8,0)</f>
        <v>-0.0</v>
      </c>
      <c r="LXE55" s="5">
        <f>-IFERROR('4. NPV'!LXF24/'4. NPV'!LXF$8,0)</f>
        <v>-0.0</v>
      </c>
      <c r="LXF55" s="5">
        <f>-IFERROR('4. NPV'!LXG24/'4. NPV'!LXG$8,0)</f>
        <v>-0.0</v>
      </c>
      <c r="LXG55" s="5">
        <f>-IFERROR('4. NPV'!LXH24/'4. NPV'!LXH$8,0)</f>
        <v>-0.0</v>
      </c>
      <c r="LXH55" s="5">
        <f>-IFERROR('4. NPV'!LXI24/'4. NPV'!LXI$8,0)</f>
        <v>-0.0</v>
      </c>
      <c r="LXI55" s="5">
        <f>-IFERROR('4. NPV'!LXJ24/'4. NPV'!LXJ$8,0)</f>
        <v>-0.0</v>
      </c>
      <c r="LXJ55" s="5">
        <f>-IFERROR('4. NPV'!LXK24/'4. NPV'!LXK$8,0)</f>
        <v>-0.0</v>
      </c>
      <c r="LXK55" s="5">
        <f>-IFERROR('4. NPV'!LXL24/'4. NPV'!LXL$8,0)</f>
        <v>-0.0</v>
      </c>
      <c r="LXL55" s="5">
        <f>-IFERROR('4. NPV'!LXM24/'4. NPV'!LXM$8,0)</f>
        <v>-0.0</v>
      </c>
      <c r="LXM55" s="5">
        <f>-IFERROR('4. NPV'!LXN24/'4. NPV'!LXN$8,0)</f>
        <v>-0.0</v>
      </c>
      <c r="LXN55" s="5">
        <f>-IFERROR('4. NPV'!LXO24/'4. NPV'!LXO$8,0)</f>
        <v>-0.0</v>
      </c>
      <c r="LXO55" s="5">
        <f>-IFERROR('4. NPV'!LXP24/'4. NPV'!LXP$8,0)</f>
        <v>-0.0</v>
      </c>
      <c r="LXP55" s="5">
        <f>-IFERROR('4. NPV'!LXQ24/'4. NPV'!LXQ$8,0)</f>
        <v>-0.0</v>
      </c>
      <c r="LXQ55" s="5">
        <f>-IFERROR('4. NPV'!LXR24/'4. NPV'!LXR$8,0)</f>
        <v>-0.0</v>
      </c>
      <c r="LXR55" s="5">
        <f>-IFERROR('4. NPV'!LXS24/'4. NPV'!LXS$8,0)</f>
        <v>-0.0</v>
      </c>
      <c r="LXS55" s="5">
        <f>-IFERROR('4. NPV'!LXT24/'4. NPV'!LXT$8,0)</f>
        <v>-0.0</v>
      </c>
      <c r="LXT55" s="5">
        <f>-IFERROR('4. NPV'!LXU24/'4. NPV'!LXU$8,0)</f>
        <v>-0.0</v>
      </c>
      <c r="LXU55" s="5">
        <f>-IFERROR('4. NPV'!LXV24/'4. NPV'!LXV$8,0)</f>
        <v>-0.0</v>
      </c>
      <c r="LXV55" s="5">
        <f>-IFERROR('4. NPV'!LXW24/'4. NPV'!LXW$8,0)</f>
        <v>-0.0</v>
      </c>
      <c r="LXW55" s="5">
        <f>-IFERROR('4. NPV'!LXX24/'4. NPV'!LXX$8,0)</f>
        <v>-0.0</v>
      </c>
      <c r="LXX55" s="5">
        <f>-IFERROR('4. NPV'!LXY24/'4. NPV'!LXY$8,0)</f>
        <v>-0.0</v>
      </c>
      <c r="LXY55" s="5">
        <f>-IFERROR('4. NPV'!LXZ24/'4. NPV'!LXZ$8,0)</f>
        <v>-0.0</v>
      </c>
      <c r="LXZ55" s="5">
        <f>-IFERROR('4. NPV'!LYA24/'4. NPV'!LYA$8,0)</f>
        <v>-0.0</v>
      </c>
      <c r="LYA55" s="5">
        <f>-IFERROR('4. NPV'!LYB24/'4. NPV'!LYB$8,0)</f>
        <v>-0.0</v>
      </c>
      <c r="LYB55" s="5">
        <f>-IFERROR('4. NPV'!LYC24/'4. NPV'!LYC$8,0)</f>
        <v>-0.0</v>
      </c>
      <c r="LYC55" s="5">
        <f>-IFERROR('4. NPV'!LYD24/'4. NPV'!LYD$8,0)</f>
        <v>-0.0</v>
      </c>
      <c r="LYD55" s="5">
        <f>-IFERROR('4. NPV'!LYE24/'4. NPV'!LYE$8,0)</f>
        <v>-0.0</v>
      </c>
      <c r="LYE55" s="5">
        <f>-IFERROR('4. NPV'!LYF24/'4. NPV'!LYF$8,0)</f>
        <v>-0.0</v>
      </c>
      <c r="LYF55" s="5">
        <f>-IFERROR('4. NPV'!LYG24/'4. NPV'!LYG$8,0)</f>
        <v>-0.0</v>
      </c>
      <c r="LYG55" s="5">
        <f>-IFERROR('4. NPV'!LYH24/'4. NPV'!LYH$8,0)</f>
        <v>-0.0</v>
      </c>
      <c r="LYH55" s="5">
        <f>-IFERROR('4. NPV'!LYI24/'4. NPV'!LYI$8,0)</f>
        <v>-0.0</v>
      </c>
      <c r="LYI55" s="5">
        <f>-IFERROR('4. NPV'!LYJ24/'4. NPV'!LYJ$8,0)</f>
        <v>-0.0</v>
      </c>
      <c r="LYJ55" s="5">
        <f>-IFERROR('4. NPV'!LYK24/'4. NPV'!LYK$8,0)</f>
        <v>-0.0</v>
      </c>
      <c r="LYK55" s="5">
        <f>-IFERROR('4. NPV'!LYL24/'4. NPV'!LYL$8,0)</f>
        <v>-0.0</v>
      </c>
      <c r="LYL55" s="5">
        <f>-IFERROR('4. NPV'!LYM24/'4. NPV'!LYM$8,0)</f>
        <v>-0.0</v>
      </c>
      <c r="LYM55" s="5">
        <f>-IFERROR('4. NPV'!LYN24/'4. NPV'!LYN$8,0)</f>
        <v>-0.0</v>
      </c>
      <c r="LYN55" s="5">
        <f>-IFERROR('4. NPV'!LYO24/'4. NPV'!LYO$8,0)</f>
        <v>-0.0</v>
      </c>
      <c r="LYO55" s="5">
        <f>-IFERROR('4. NPV'!LYP24/'4. NPV'!LYP$8,0)</f>
        <v>-0.0</v>
      </c>
      <c r="LYP55" s="5">
        <f>-IFERROR('4. NPV'!LYQ24/'4. NPV'!LYQ$8,0)</f>
        <v>-0.0</v>
      </c>
      <c r="LYQ55" s="5">
        <f>-IFERROR('4. NPV'!LYR24/'4. NPV'!LYR$8,0)</f>
        <v>-0.0</v>
      </c>
      <c r="LYR55" s="5">
        <f>-IFERROR('4. NPV'!LYS24/'4. NPV'!LYS$8,0)</f>
        <v>-0.0</v>
      </c>
      <c r="LYS55" s="5">
        <f>-IFERROR('4. NPV'!LYT24/'4. NPV'!LYT$8,0)</f>
        <v>-0.0</v>
      </c>
      <c r="LYT55" s="5">
        <f>-IFERROR('4. NPV'!LYU24/'4. NPV'!LYU$8,0)</f>
        <v>-0.0</v>
      </c>
      <c r="LYU55" s="5">
        <f>-IFERROR('4. NPV'!LYV24/'4. NPV'!LYV$8,0)</f>
        <v>-0.0</v>
      </c>
      <c r="LYV55" s="5">
        <f>-IFERROR('4. NPV'!LYW24/'4. NPV'!LYW$8,0)</f>
        <v>-0.0</v>
      </c>
      <c r="LYW55" s="5">
        <f>-IFERROR('4. NPV'!LYX24/'4. NPV'!LYX$8,0)</f>
        <v>-0.0</v>
      </c>
      <c r="LYX55" s="5">
        <f>-IFERROR('4. NPV'!LYY24/'4. NPV'!LYY$8,0)</f>
        <v>-0.0</v>
      </c>
      <c r="LYY55" s="5">
        <f>-IFERROR('4. NPV'!LYZ24/'4. NPV'!LYZ$8,0)</f>
        <v>-0.0</v>
      </c>
      <c r="LYZ55" s="5">
        <f>-IFERROR('4. NPV'!LZA24/'4. NPV'!LZA$8,0)</f>
        <v>-0.0</v>
      </c>
      <c r="LZA55" s="5">
        <f>-IFERROR('4. NPV'!LZB24/'4. NPV'!LZB$8,0)</f>
        <v>-0.0</v>
      </c>
      <c r="LZB55" s="5">
        <f>-IFERROR('4. NPV'!LZC24/'4. NPV'!LZC$8,0)</f>
        <v>-0.0</v>
      </c>
      <c r="LZC55" s="5">
        <f>-IFERROR('4. NPV'!LZD24/'4. NPV'!LZD$8,0)</f>
        <v>-0.0</v>
      </c>
      <c r="LZD55" s="5">
        <f>-IFERROR('4. NPV'!LZE24/'4. NPV'!LZE$8,0)</f>
        <v>-0.0</v>
      </c>
      <c r="LZE55" s="5">
        <f>-IFERROR('4. NPV'!LZF24/'4. NPV'!LZF$8,0)</f>
        <v>-0.0</v>
      </c>
      <c r="LZF55" s="5">
        <f>-IFERROR('4. NPV'!LZG24/'4. NPV'!LZG$8,0)</f>
        <v>-0.0</v>
      </c>
      <c r="LZG55" s="5">
        <f>-IFERROR('4. NPV'!LZH24/'4. NPV'!LZH$8,0)</f>
        <v>-0.0</v>
      </c>
      <c r="LZH55" s="5">
        <f>-IFERROR('4. NPV'!LZI24/'4. NPV'!LZI$8,0)</f>
        <v>-0.0</v>
      </c>
      <c r="LZI55" s="5">
        <f>-IFERROR('4. NPV'!LZJ24/'4. NPV'!LZJ$8,0)</f>
        <v>-0.0</v>
      </c>
      <c r="LZJ55" s="5">
        <f>-IFERROR('4. NPV'!LZK24/'4. NPV'!LZK$8,0)</f>
        <v>-0.0</v>
      </c>
      <c r="LZK55" s="5">
        <f>-IFERROR('4. NPV'!LZL24/'4. NPV'!LZL$8,0)</f>
        <v>-0.0</v>
      </c>
      <c r="LZL55" s="5">
        <f>-IFERROR('4. NPV'!LZM24/'4. NPV'!LZM$8,0)</f>
        <v>-0.0</v>
      </c>
      <c r="LZM55" s="5">
        <f>-IFERROR('4. NPV'!LZN24/'4. NPV'!LZN$8,0)</f>
        <v>-0.0</v>
      </c>
      <c r="LZN55" s="5">
        <f>-IFERROR('4. NPV'!LZO24/'4. NPV'!LZO$8,0)</f>
        <v>-0.0</v>
      </c>
      <c r="LZO55" s="5">
        <f>-IFERROR('4. NPV'!LZP24/'4. NPV'!LZP$8,0)</f>
        <v>-0.0</v>
      </c>
      <c r="LZP55" s="5">
        <f>-IFERROR('4. NPV'!LZQ24/'4. NPV'!LZQ$8,0)</f>
        <v>-0.0</v>
      </c>
      <c r="LZQ55" s="5">
        <f>-IFERROR('4. NPV'!LZR24/'4. NPV'!LZR$8,0)</f>
        <v>-0.0</v>
      </c>
      <c r="LZR55" s="5">
        <f>-IFERROR('4. NPV'!LZS24/'4. NPV'!LZS$8,0)</f>
        <v>-0.0</v>
      </c>
      <c r="LZS55" s="5">
        <f>-IFERROR('4. NPV'!LZT24/'4. NPV'!LZT$8,0)</f>
        <v>-0.0</v>
      </c>
      <c r="LZT55" s="5">
        <f>-IFERROR('4. NPV'!LZU24/'4. NPV'!LZU$8,0)</f>
        <v>-0.0</v>
      </c>
      <c r="LZU55" s="5">
        <f>-IFERROR('4. NPV'!LZV24/'4. NPV'!LZV$8,0)</f>
        <v>-0.0</v>
      </c>
      <c r="LZV55" s="5">
        <f>-IFERROR('4. NPV'!LZW24/'4. NPV'!LZW$8,0)</f>
        <v>-0.0</v>
      </c>
      <c r="LZW55" s="5">
        <f>-IFERROR('4. NPV'!LZX24/'4. NPV'!LZX$8,0)</f>
        <v>-0.0</v>
      </c>
      <c r="LZX55" s="5">
        <f>-IFERROR('4. NPV'!LZY24/'4. NPV'!LZY$8,0)</f>
        <v>-0.0</v>
      </c>
      <c r="LZY55" s="5">
        <f>-IFERROR('4. NPV'!LZZ24/'4. NPV'!LZZ$8,0)</f>
        <v>-0.0</v>
      </c>
      <c r="LZZ55" s="5">
        <f>-IFERROR('4. NPV'!MAA24/'4. NPV'!MAA$8,0)</f>
        <v>-0.0</v>
      </c>
      <c r="MAA55" s="5">
        <f>-IFERROR('4. NPV'!MAB24/'4. NPV'!MAB$8,0)</f>
        <v>-0.0</v>
      </c>
      <c r="MAB55" s="5">
        <f>-IFERROR('4. NPV'!MAC24/'4. NPV'!MAC$8,0)</f>
        <v>-0.0</v>
      </c>
      <c r="MAC55" s="5">
        <f>-IFERROR('4. NPV'!MAD24/'4. NPV'!MAD$8,0)</f>
        <v>-0.0</v>
      </c>
      <c r="MAD55" s="5">
        <f>-IFERROR('4. NPV'!MAE24/'4. NPV'!MAE$8,0)</f>
        <v>-0.0</v>
      </c>
      <c r="MAE55" s="5">
        <f>-IFERROR('4. NPV'!MAF24/'4. NPV'!MAF$8,0)</f>
        <v>-0.0</v>
      </c>
      <c r="MAF55" s="5">
        <f>-IFERROR('4. NPV'!MAG24/'4. NPV'!MAG$8,0)</f>
        <v>-0.0</v>
      </c>
      <c r="MAG55" s="5">
        <f>-IFERROR('4. NPV'!MAH24/'4. NPV'!MAH$8,0)</f>
        <v>-0.0</v>
      </c>
      <c r="MAH55" s="5">
        <f>-IFERROR('4. NPV'!MAI24/'4. NPV'!MAI$8,0)</f>
        <v>-0.0</v>
      </c>
      <c r="MAI55" s="5">
        <f>-IFERROR('4. NPV'!MAJ24/'4. NPV'!MAJ$8,0)</f>
        <v>-0.0</v>
      </c>
      <c r="MAJ55" s="5">
        <f>-IFERROR('4. NPV'!MAK24/'4. NPV'!MAK$8,0)</f>
        <v>-0.0</v>
      </c>
      <c r="MAK55" s="5">
        <f>-IFERROR('4. NPV'!MAL24/'4. NPV'!MAL$8,0)</f>
        <v>-0.0</v>
      </c>
      <c r="MAL55" s="5">
        <f>-IFERROR('4. NPV'!MAM24/'4. NPV'!MAM$8,0)</f>
        <v>-0.0</v>
      </c>
      <c r="MAM55" s="5">
        <f>-IFERROR('4. NPV'!MAN24/'4. NPV'!MAN$8,0)</f>
        <v>-0.0</v>
      </c>
      <c r="MAN55" s="5">
        <f>-IFERROR('4. NPV'!MAO24/'4. NPV'!MAO$8,0)</f>
        <v>-0.0</v>
      </c>
      <c r="MAO55" s="5">
        <f>-IFERROR('4. NPV'!MAP24/'4. NPV'!MAP$8,0)</f>
        <v>-0.0</v>
      </c>
      <c r="MAP55" s="5">
        <f>-IFERROR('4. NPV'!MAQ24/'4. NPV'!MAQ$8,0)</f>
        <v>-0.0</v>
      </c>
      <c r="MAQ55" s="5">
        <f>-IFERROR('4. NPV'!MAR24/'4. NPV'!MAR$8,0)</f>
        <v>-0.0</v>
      </c>
      <c r="MAR55" s="5">
        <f>-IFERROR('4. NPV'!MAS24/'4. NPV'!MAS$8,0)</f>
        <v>-0.0</v>
      </c>
      <c r="MAS55" s="5">
        <f>-IFERROR('4. NPV'!MAT24/'4. NPV'!MAT$8,0)</f>
        <v>-0.0</v>
      </c>
      <c r="MAT55" s="5">
        <f>-IFERROR('4. NPV'!MAU24/'4. NPV'!MAU$8,0)</f>
        <v>-0.0</v>
      </c>
      <c r="MAU55" s="5">
        <f>-IFERROR('4. NPV'!MAV24/'4. NPV'!MAV$8,0)</f>
        <v>-0.0</v>
      </c>
      <c r="MAV55" s="5">
        <f>-IFERROR('4. NPV'!MAW24/'4. NPV'!MAW$8,0)</f>
        <v>-0.0</v>
      </c>
      <c r="MAW55" s="5">
        <f>-IFERROR('4. NPV'!MAX24/'4. NPV'!MAX$8,0)</f>
        <v>-0.0</v>
      </c>
      <c r="MAX55" s="5">
        <f>-IFERROR('4. NPV'!MAY24/'4. NPV'!MAY$8,0)</f>
        <v>-0.0</v>
      </c>
      <c r="MAY55" s="5">
        <f>-IFERROR('4. NPV'!MAZ24/'4. NPV'!MAZ$8,0)</f>
        <v>-0.0</v>
      </c>
      <c r="MAZ55" s="5">
        <f>-IFERROR('4. NPV'!MBA24/'4. NPV'!MBA$8,0)</f>
        <v>-0.0</v>
      </c>
      <c r="MBA55" s="5">
        <f>-IFERROR('4. NPV'!MBB24/'4. NPV'!MBB$8,0)</f>
        <v>-0.0</v>
      </c>
      <c r="MBB55" s="5">
        <f>-IFERROR('4. NPV'!MBC24/'4. NPV'!MBC$8,0)</f>
        <v>-0.0</v>
      </c>
      <c r="MBC55" s="5">
        <f>-IFERROR('4. NPV'!MBD24/'4. NPV'!MBD$8,0)</f>
        <v>-0.0</v>
      </c>
      <c r="MBD55" s="5">
        <f>-IFERROR('4. NPV'!MBE24/'4. NPV'!MBE$8,0)</f>
        <v>-0.0</v>
      </c>
      <c r="MBE55" s="5">
        <f>-IFERROR('4. NPV'!MBF24/'4. NPV'!MBF$8,0)</f>
        <v>-0.0</v>
      </c>
      <c r="MBF55" s="5">
        <f>-IFERROR('4. NPV'!MBG24/'4. NPV'!MBG$8,0)</f>
        <v>-0.0</v>
      </c>
      <c r="MBG55" s="5">
        <f>-IFERROR('4. NPV'!MBH24/'4. NPV'!MBH$8,0)</f>
        <v>-0.0</v>
      </c>
      <c r="MBH55" s="5">
        <f>-IFERROR('4. NPV'!MBI24/'4. NPV'!MBI$8,0)</f>
        <v>-0.0</v>
      </c>
      <c r="MBI55" s="5">
        <f>-IFERROR('4. NPV'!MBJ24/'4. NPV'!MBJ$8,0)</f>
        <v>-0.0</v>
      </c>
      <c r="MBJ55" s="5">
        <f>-IFERROR('4. NPV'!MBK24/'4. NPV'!MBK$8,0)</f>
        <v>-0.0</v>
      </c>
      <c r="MBK55" s="5">
        <f>-IFERROR('4. NPV'!MBL24/'4. NPV'!MBL$8,0)</f>
        <v>-0.0</v>
      </c>
      <c r="MBL55" s="5">
        <f>-IFERROR('4. NPV'!MBM24/'4. NPV'!MBM$8,0)</f>
        <v>-0.0</v>
      </c>
      <c r="MBM55" s="5">
        <f>-IFERROR('4. NPV'!MBN24/'4. NPV'!MBN$8,0)</f>
        <v>-0.0</v>
      </c>
      <c r="MBN55" s="5">
        <f>-IFERROR('4. NPV'!MBO24/'4. NPV'!MBO$8,0)</f>
        <v>-0.0</v>
      </c>
      <c r="MBO55" s="5">
        <f>-IFERROR('4. NPV'!MBP24/'4. NPV'!MBP$8,0)</f>
        <v>-0.0</v>
      </c>
      <c r="MBP55" s="5">
        <f>-IFERROR('4. NPV'!MBQ24/'4. NPV'!MBQ$8,0)</f>
        <v>-0.0</v>
      </c>
      <c r="MBQ55" s="5">
        <f>-IFERROR('4. NPV'!MBR24/'4. NPV'!MBR$8,0)</f>
        <v>-0.0</v>
      </c>
      <c r="MBR55" s="5">
        <f>-IFERROR('4. NPV'!MBS24/'4. NPV'!MBS$8,0)</f>
        <v>-0.0</v>
      </c>
      <c r="MBS55" s="5">
        <f>-IFERROR('4. NPV'!MBT24/'4. NPV'!MBT$8,0)</f>
        <v>-0.0</v>
      </c>
      <c r="MBT55" s="5">
        <f>-IFERROR('4. NPV'!MBU24/'4. NPV'!MBU$8,0)</f>
        <v>-0.0</v>
      </c>
      <c r="MBU55" s="5">
        <f>-IFERROR('4. NPV'!MBV24/'4. NPV'!MBV$8,0)</f>
        <v>-0.0</v>
      </c>
      <c r="MBV55" s="5">
        <f>-IFERROR('4. NPV'!MBW24/'4. NPV'!MBW$8,0)</f>
        <v>-0.0</v>
      </c>
      <c r="MBW55" s="5">
        <f>-IFERROR('4. NPV'!MBX24/'4. NPV'!MBX$8,0)</f>
        <v>-0.0</v>
      </c>
      <c r="MBX55" s="5">
        <f>-IFERROR('4. NPV'!MBY24/'4. NPV'!MBY$8,0)</f>
        <v>-0.0</v>
      </c>
      <c r="MBY55" s="5">
        <f>-IFERROR('4. NPV'!MBZ24/'4. NPV'!MBZ$8,0)</f>
        <v>-0.0</v>
      </c>
      <c r="MBZ55" s="5">
        <f>-IFERROR('4. NPV'!MCA24/'4. NPV'!MCA$8,0)</f>
        <v>-0.0</v>
      </c>
      <c r="MCA55" s="5">
        <f>-IFERROR('4. NPV'!MCB24/'4. NPV'!MCB$8,0)</f>
        <v>-0.0</v>
      </c>
      <c r="MCB55" s="5">
        <f>-IFERROR('4. NPV'!MCC24/'4. NPV'!MCC$8,0)</f>
        <v>-0.0</v>
      </c>
      <c r="MCC55" s="5">
        <f>-IFERROR('4. NPV'!MCD24/'4. NPV'!MCD$8,0)</f>
        <v>-0.0</v>
      </c>
      <c r="MCD55" s="5">
        <f>-IFERROR('4. NPV'!MCE24/'4. NPV'!MCE$8,0)</f>
        <v>-0.0</v>
      </c>
      <c r="MCE55" s="5">
        <f>-IFERROR('4. NPV'!MCF24/'4. NPV'!MCF$8,0)</f>
        <v>-0.0</v>
      </c>
      <c r="MCF55" s="5">
        <f>-IFERROR('4. NPV'!MCG24/'4. NPV'!MCG$8,0)</f>
        <v>-0.0</v>
      </c>
      <c r="MCG55" s="5">
        <f>-IFERROR('4. NPV'!MCH24/'4. NPV'!MCH$8,0)</f>
        <v>-0.0</v>
      </c>
      <c r="MCH55" s="5">
        <f>-IFERROR('4. NPV'!MCI24/'4. NPV'!MCI$8,0)</f>
        <v>-0.0</v>
      </c>
      <c r="MCI55" s="5">
        <f>-IFERROR('4. NPV'!MCJ24/'4. NPV'!MCJ$8,0)</f>
        <v>-0.0</v>
      </c>
      <c r="MCJ55" s="5">
        <f>-IFERROR('4. NPV'!MCK24/'4. NPV'!MCK$8,0)</f>
        <v>-0.0</v>
      </c>
      <c r="MCK55" s="5">
        <f>-IFERROR('4. NPV'!MCL24/'4. NPV'!MCL$8,0)</f>
        <v>-0.0</v>
      </c>
      <c r="MCL55" s="5">
        <f>-IFERROR('4. NPV'!MCM24/'4. NPV'!MCM$8,0)</f>
        <v>-0.0</v>
      </c>
      <c r="MCM55" s="5">
        <f>-IFERROR('4. NPV'!MCN24/'4. NPV'!MCN$8,0)</f>
        <v>-0.0</v>
      </c>
      <c r="MCN55" s="5">
        <f>-IFERROR('4. NPV'!MCO24/'4. NPV'!MCO$8,0)</f>
        <v>-0.0</v>
      </c>
      <c r="MCO55" s="5">
        <f>-IFERROR('4. NPV'!MCP24/'4. NPV'!MCP$8,0)</f>
        <v>-0.0</v>
      </c>
      <c r="MCP55" s="5">
        <f>-IFERROR('4. NPV'!MCQ24/'4. NPV'!MCQ$8,0)</f>
        <v>-0.0</v>
      </c>
      <c r="MCQ55" s="5">
        <f>-IFERROR('4. NPV'!MCR24/'4. NPV'!MCR$8,0)</f>
        <v>-0.0</v>
      </c>
      <c r="MCR55" s="5">
        <f>-IFERROR('4. NPV'!MCS24/'4. NPV'!MCS$8,0)</f>
        <v>-0.0</v>
      </c>
      <c r="MCS55" s="5">
        <f>-IFERROR('4. NPV'!MCT24/'4. NPV'!MCT$8,0)</f>
        <v>-0.0</v>
      </c>
      <c r="MCT55" s="5">
        <f>-IFERROR('4. NPV'!MCU24/'4. NPV'!MCU$8,0)</f>
        <v>-0.0</v>
      </c>
      <c r="MCU55" s="5">
        <f>-IFERROR('4. NPV'!MCV24/'4. NPV'!MCV$8,0)</f>
        <v>-0.0</v>
      </c>
      <c r="MCV55" s="5">
        <f>-IFERROR('4. NPV'!MCW24/'4. NPV'!MCW$8,0)</f>
        <v>-0.0</v>
      </c>
      <c r="MCW55" s="5">
        <f>-IFERROR('4. NPV'!MCX24/'4. NPV'!MCX$8,0)</f>
        <v>-0.0</v>
      </c>
      <c r="MCX55" s="5">
        <f>-IFERROR('4. NPV'!MCY24/'4. NPV'!MCY$8,0)</f>
        <v>-0.0</v>
      </c>
      <c r="MCY55" s="5">
        <f>-IFERROR('4. NPV'!MCZ24/'4. NPV'!MCZ$8,0)</f>
        <v>-0.0</v>
      </c>
      <c r="MCZ55" s="5">
        <f>-IFERROR('4. NPV'!MDA24/'4. NPV'!MDA$8,0)</f>
        <v>-0.0</v>
      </c>
      <c r="MDA55" s="5">
        <f>-IFERROR('4. NPV'!MDB24/'4. NPV'!MDB$8,0)</f>
        <v>-0.0</v>
      </c>
      <c r="MDB55" s="5">
        <f>-IFERROR('4. NPV'!MDC24/'4. NPV'!MDC$8,0)</f>
        <v>-0.0</v>
      </c>
      <c r="MDC55" s="5">
        <f>-IFERROR('4. NPV'!MDD24/'4. NPV'!MDD$8,0)</f>
        <v>-0.0</v>
      </c>
      <c r="MDD55" s="5">
        <f>-IFERROR('4. NPV'!MDE24/'4. NPV'!MDE$8,0)</f>
        <v>-0.0</v>
      </c>
      <c r="MDE55" s="5">
        <f>-IFERROR('4. NPV'!MDF24/'4. NPV'!MDF$8,0)</f>
        <v>-0.0</v>
      </c>
      <c r="MDF55" s="5">
        <f>-IFERROR('4. NPV'!MDG24/'4. NPV'!MDG$8,0)</f>
        <v>-0.0</v>
      </c>
      <c r="MDG55" s="5">
        <f>-IFERROR('4. NPV'!MDH24/'4. NPV'!MDH$8,0)</f>
        <v>-0.0</v>
      </c>
      <c r="MDH55" s="5">
        <f>-IFERROR('4. NPV'!MDI24/'4. NPV'!MDI$8,0)</f>
        <v>-0.0</v>
      </c>
      <c r="MDI55" s="5">
        <f>-IFERROR('4. NPV'!MDJ24/'4. NPV'!MDJ$8,0)</f>
        <v>-0.0</v>
      </c>
      <c r="MDJ55" s="5">
        <f>-IFERROR('4. NPV'!MDK24/'4. NPV'!MDK$8,0)</f>
        <v>-0.0</v>
      </c>
      <c r="MDK55" s="5">
        <f>-IFERROR('4. NPV'!MDL24/'4. NPV'!MDL$8,0)</f>
        <v>-0.0</v>
      </c>
      <c r="MDL55" s="5">
        <f>-IFERROR('4. NPV'!MDM24/'4. NPV'!MDM$8,0)</f>
        <v>-0.0</v>
      </c>
      <c r="MDM55" s="5">
        <f>-IFERROR('4. NPV'!MDN24/'4. NPV'!MDN$8,0)</f>
        <v>-0.0</v>
      </c>
      <c r="MDN55" s="5">
        <f>-IFERROR('4. NPV'!MDO24/'4. NPV'!MDO$8,0)</f>
        <v>-0.0</v>
      </c>
      <c r="MDO55" s="5">
        <f>-IFERROR('4. NPV'!MDP24/'4. NPV'!MDP$8,0)</f>
        <v>-0.0</v>
      </c>
      <c r="MDP55" s="5">
        <f>-IFERROR('4. NPV'!MDQ24/'4. NPV'!MDQ$8,0)</f>
        <v>-0.0</v>
      </c>
      <c r="MDQ55" s="5">
        <f>-IFERROR('4. NPV'!MDR24/'4. NPV'!MDR$8,0)</f>
        <v>-0.0</v>
      </c>
      <c r="MDR55" s="5">
        <f>-IFERROR('4. NPV'!MDS24/'4. NPV'!MDS$8,0)</f>
        <v>-0.0</v>
      </c>
      <c r="MDS55" s="5">
        <f>-IFERROR('4. NPV'!MDT24/'4. NPV'!MDT$8,0)</f>
        <v>-0.0</v>
      </c>
      <c r="MDT55" s="5">
        <f>-IFERROR('4. NPV'!MDU24/'4. NPV'!MDU$8,0)</f>
        <v>-0.0</v>
      </c>
      <c r="MDU55" s="5">
        <f>-IFERROR('4. NPV'!MDV24/'4. NPV'!MDV$8,0)</f>
        <v>-0.0</v>
      </c>
      <c r="MDV55" s="5">
        <f>-IFERROR('4. NPV'!MDW24/'4. NPV'!MDW$8,0)</f>
        <v>-0.0</v>
      </c>
      <c r="MDW55" s="5">
        <f>-IFERROR('4. NPV'!MDX24/'4. NPV'!MDX$8,0)</f>
        <v>-0.0</v>
      </c>
      <c r="MDX55" s="5">
        <f>-IFERROR('4. NPV'!MDY24/'4. NPV'!MDY$8,0)</f>
        <v>-0.0</v>
      </c>
      <c r="MDY55" s="5">
        <f>-IFERROR('4. NPV'!MDZ24/'4. NPV'!MDZ$8,0)</f>
        <v>-0.0</v>
      </c>
      <c r="MDZ55" s="5">
        <f>-IFERROR('4. NPV'!MEA24/'4. NPV'!MEA$8,0)</f>
        <v>-0.0</v>
      </c>
      <c r="MEA55" s="5">
        <f>-IFERROR('4. NPV'!MEB24/'4. NPV'!MEB$8,0)</f>
        <v>-0.0</v>
      </c>
      <c r="MEB55" s="5">
        <f>-IFERROR('4. NPV'!MEC24/'4. NPV'!MEC$8,0)</f>
        <v>-0.0</v>
      </c>
      <c r="MEC55" s="5">
        <f>-IFERROR('4. NPV'!MED24/'4. NPV'!MED$8,0)</f>
        <v>-0.0</v>
      </c>
      <c r="MED55" s="5">
        <f>-IFERROR('4. NPV'!MEE24/'4. NPV'!MEE$8,0)</f>
        <v>-0.0</v>
      </c>
      <c r="MEE55" s="5">
        <f>-IFERROR('4. NPV'!MEF24/'4. NPV'!MEF$8,0)</f>
        <v>-0.0</v>
      </c>
      <c r="MEF55" s="5">
        <f>-IFERROR('4. NPV'!MEG24/'4. NPV'!MEG$8,0)</f>
        <v>-0.0</v>
      </c>
      <c r="MEG55" s="5">
        <f>-IFERROR('4. NPV'!MEH24/'4. NPV'!MEH$8,0)</f>
        <v>-0.0</v>
      </c>
      <c r="MEH55" s="5">
        <f>-IFERROR('4. NPV'!MEI24/'4. NPV'!MEI$8,0)</f>
        <v>-0.0</v>
      </c>
      <c r="MEI55" s="5">
        <f>-IFERROR('4. NPV'!MEJ24/'4. NPV'!MEJ$8,0)</f>
        <v>-0.0</v>
      </c>
      <c r="MEJ55" s="5">
        <f>-IFERROR('4. NPV'!MEK24/'4. NPV'!MEK$8,0)</f>
        <v>-0.0</v>
      </c>
      <c r="MEK55" s="5">
        <f>-IFERROR('4. NPV'!MEL24/'4. NPV'!MEL$8,0)</f>
        <v>-0.0</v>
      </c>
      <c r="MEL55" s="5">
        <f>-IFERROR('4. NPV'!MEM24/'4. NPV'!MEM$8,0)</f>
        <v>-0.0</v>
      </c>
      <c r="MEM55" s="5">
        <f>-IFERROR('4. NPV'!MEN24/'4. NPV'!MEN$8,0)</f>
        <v>-0.0</v>
      </c>
      <c r="MEN55" s="5">
        <f>-IFERROR('4. NPV'!MEO24/'4. NPV'!MEO$8,0)</f>
        <v>-0.0</v>
      </c>
      <c r="MEO55" s="5">
        <f>-IFERROR('4. NPV'!MEP24/'4. NPV'!MEP$8,0)</f>
        <v>-0.0</v>
      </c>
      <c r="MEP55" s="5">
        <f>-IFERROR('4. NPV'!MEQ24/'4. NPV'!MEQ$8,0)</f>
        <v>-0.0</v>
      </c>
      <c r="MEQ55" s="5">
        <f>-IFERROR('4. NPV'!MER24/'4. NPV'!MER$8,0)</f>
        <v>-0.0</v>
      </c>
      <c r="MER55" s="5">
        <f>-IFERROR('4. NPV'!MES24/'4. NPV'!MES$8,0)</f>
        <v>-0.0</v>
      </c>
      <c r="MES55" s="5">
        <f>-IFERROR('4. NPV'!MET24/'4. NPV'!MET$8,0)</f>
        <v>-0.0</v>
      </c>
      <c r="MET55" s="5">
        <f>-IFERROR('4. NPV'!MEU24/'4. NPV'!MEU$8,0)</f>
        <v>-0.0</v>
      </c>
      <c r="MEU55" s="5">
        <f>-IFERROR('4. NPV'!MEV24/'4. NPV'!MEV$8,0)</f>
        <v>-0.0</v>
      </c>
      <c r="MEV55" s="5">
        <f>-IFERROR('4. NPV'!MEW24/'4. NPV'!MEW$8,0)</f>
        <v>-0.0</v>
      </c>
      <c r="MEW55" s="5">
        <f>-IFERROR('4. NPV'!MEX24/'4. NPV'!MEX$8,0)</f>
        <v>-0.0</v>
      </c>
      <c r="MEX55" s="5">
        <f>-IFERROR('4. NPV'!MEY24/'4. NPV'!MEY$8,0)</f>
        <v>-0.0</v>
      </c>
      <c r="MEY55" s="5">
        <f>-IFERROR('4. NPV'!MEZ24/'4. NPV'!MEZ$8,0)</f>
        <v>-0.0</v>
      </c>
      <c r="MEZ55" s="5">
        <f>-IFERROR('4. NPV'!MFA24/'4. NPV'!MFA$8,0)</f>
        <v>-0.0</v>
      </c>
      <c r="MFA55" s="5">
        <f>-IFERROR('4. NPV'!MFB24/'4. NPV'!MFB$8,0)</f>
        <v>-0.0</v>
      </c>
      <c r="MFB55" s="5">
        <f>-IFERROR('4. NPV'!MFC24/'4. NPV'!MFC$8,0)</f>
        <v>-0.0</v>
      </c>
      <c r="MFC55" s="5">
        <f>-IFERROR('4. NPV'!MFD24/'4. NPV'!MFD$8,0)</f>
        <v>-0.0</v>
      </c>
      <c r="MFD55" s="5">
        <f>-IFERROR('4. NPV'!MFE24/'4. NPV'!MFE$8,0)</f>
        <v>-0.0</v>
      </c>
      <c r="MFE55" s="5">
        <f>-IFERROR('4. NPV'!MFF24/'4. NPV'!MFF$8,0)</f>
        <v>-0.0</v>
      </c>
      <c r="MFF55" s="5">
        <f>-IFERROR('4. NPV'!MFG24/'4. NPV'!MFG$8,0)</f>
        <v>-0.0</v>
      </c>
      <c r="MFG55" s="5">
        <f>-IFERROR('4. NPV'!MFH24/'4. NPV'!MFH$8,0)</f>
        <v>-0.0</v>
      </c>
      <c r="MFH55" s="5">
        <f>-IFERROR('4. NPV'!MFI24/'4. NPV'!MFI$8,0)</f>
        <v>-0.0</v>
      </c>
      <c r="MFI55" s="5">
        <f>-IFERROR('4. NPV'!MFJ24/'4. NPV'!MFJ$8,0)</f>
        <v>-0.0</v>
      </c>
      <c r="MFJ55" s="5">
        <f>-IFERROR('4. NPV'!MFK24/'4. NPV'!MFK$8,0)</f>
        <v>-0.0</v>
      </c>
      <c r="MFK55" s="5">
        <f>-IFERROR('4. NPV'!MFL24/'4. NPV'!MFL$8,0)</f>
        <v>-0.0</v>
      </c>
      <c r="MFL55" s="5">
        <f>-IFERROR('4. NPV'!MFM24/'4. NPV'!MFM$8,0)</f>
        <v>-0.0</v>
      </c>
      <c r="MFM55" s="5">
        <f>-IFERROR('4. NPV'!MFN24/'4. NPV'!MFN$8,0)</f>
        <v>-0.0</v>
      </c>
      <c r="MFN55" s="5">
        <f>-IFERROR('4. NPV'!MFO24/'4. NPV'!MFO$8,0)</f>
        <v>-0.0</v>
      </c>
      <c r="MFO55" s="5">
        <f>-IFERROR('4. NPV'!MFP24/'4. NPV'!MFP$8,0)</f>
        <v>-0.0</v>
      </c>
      <c r="MFP55" s="5">
        <f>-IFERROR('4. NPV'!MFQ24/'4. NPV'!MFQ$8,0)</f>
        <v>-0.0</v>
      </c>
      <c r="MFQ55" s="5">
        <f>-IFERROR('4. NPV'!MFR24/'4. NPV'!MFR$8,0)</f>
        <v>-0.0</v>
      </c>
      <c r="MFR55" s="5">
        <f>-IFERROR('4. NPV'!MFS24/'4. NPV'!MFS$8,0)</f>
        <v>-0.0</v>
      </c>
      <c r="MFS55" s="5">
        <f>-IFERROR('4. NPV'!MFT24/'4. NPV'!MFT$8,0)</f>
        <v>-0.0</v>
      </c>
      <c r="MFT55" s="5">
        <f>-IFERROR('4. NPV'!MFU24/'4. NPV'!MFU$8,0)</f>
        <v>-0.0</v>
      </c>
      <c r="MFU55" s="5">
        <f>-IFERROR('4. NPV'!MFV24/'4. NPV'!MFV$8,0)</f>
        <v>-0.0</v>
      </c>
      <c r="MFV55" s="5">
        <f>-IFERROR('4. NPV'!MFW24/'4. NPV'!MFW$8,0)</f>
        <v>-0.0</v>
      </c>
      <c r="MFW55" s="5">
        <f>-IFERROR('4. NPV'!MFX24/'4. NPV'!MFX$8,0)</f>
        <v>-0.0</v>
      </c>
      <c r="MFX55" s="5">
        <f>-IFERROR('4. NPV'!MFY24/'4. NPV'!MFY$8,0)</f>
        <v>-0.0</v>
      </c>
      <c r="MFY55" s="5">
        <f>-IFERROR('4. NPV'!MFZ24/'4. NPV'!MFZ$8,0)</f>
        <v>-0.0</v>
      </c>
      <c r="MFZ55" s="5">
        <f>-IFERROR('4. NPV'!MGA24/'4. NPV'!MGA$8,0)</f>
        <v>-0.0</v>
      </c>
      <c r="MGA55" s="5">
        <f>-IFERROR('4. NPV'!MGB24/'4. NPV'!MGB$8,0)</f>
        <v>-0.0</v>
      </c>
      <c r="MGB55" s="5">
        <f>-IFERROR('4. NPV'!MGC24/'4. NPV'!MGC$8,0)</f>
        <v>-0.0</v>
      </c>
      <c r="MGC55" s="5">
        <f>-IFERROR('4. NPV'!MGD24/'4. NPV'!MGD$8,0)</f>
        <v>-0.0</v>
      </c>
      <c r="MGD55" s="5">
        <f>-IFERROR('4. NPV'!MGE24/'4. NPV'!MGE$8,0)</f>
        <v>-0.0</v>
      </c>
      <c r="MGE55" s="5">
        <f>-IFERROR('4. NPV'!MGF24/'4. NPV'!MGF$8,0)</f>
        <v>-0.0</v>
      </c>
      <c r="MGF55" s="5">
        <f>-IFERROR('4. NPV'!MGG24/'4. NPV'!MGG$8,0)</f>
        <v>-0.0</v>
      </c>
      <c r="MGG55" s="5">
        <f>-IFERROR('4. NPV'!MGH24/'4. NPV'!MGH$8,0)</f>
        <v>-0.0</v>
      </c>
      <c r="MGH55" s="5">
        <f>-IFERROR('4. NPV'!MGI24/'4. NPV'!MGI$8,0)</f>
        <v>-0.0</v>
      </c>
      <c r="MGI55" s="5">
        <f>-IFERROR('4. NPV'!MGJ24/'4. NPV'!MGJ$8,0)</f>
        <v>-0.0</v>
      </c>
      <c r="MGJ55" s="5">
        <f>-IFERROR('4. NPV'!MGK24/'4. NPV'!MGK$8,0)</f>
        <v>-0.0</v>
      </c>
      <c r="MGK55" s="5">
        <f>-IFERROR('4. NPV'!MGL24/'4. NPV'!MGL$8,0)</f>
        <v>-0.0</v>
      </c>
      <c r="MGL55" s="5">
        <f>-IFERROR('4. NPV'!MGM24/'4. NPV'!MGM$8,0)</f>
        <v>-0.0</v>
      </c>
      <c r="MGM55" s="5">
        <f>-IFERROR('4. NPV'!MGN24/'4. NPV'!MGN$8,0)</f>
        <v>-0.0</v>
      </c>
      <c r="MGN55" s="5">
        <f>-IFERROR('4. NPV'!MGO24/'4. NPV'!MGO$8,0)</f>
        <v>-0.0</v>
      </c>
      <c r="MGO55" s="5">
        <f>-IFERROR('4. NPV'!MGP24/'4. NPV'!MGP$8,0)</f>
        <v>-0.0</v>
      </c>
      <c r="MGP55" s="5">
        <f>-IFERROR('4. NPV'!MGQ24/'4. NPV'!MGQ$8,0)</f>
        <v>-0.0</v>
      </c>
      <c r="MGQ55" s="5">
        <f>-IFERROR('4. NPV'!MGR24/'4. NPV'!MGR$8,0)</f>
        <v>-0.0</v>
      </c>
      <c r="MGR55" s="5">
        <f>-IFERROR('4. NPV'!MGS24/'4. NPV'!MGS$8,0)</f>
        <v>-0.0</v>
      </c>
      <c r="MGS55" s="5">
        <f>-IFERROR('4. NPV'!MGT24/'4. NPV'!MGT$8,0)</f>
        <v>-0.0</v>
      </c>
      <c r="MGT55" s="5">
        <f>-IFERROR('4. NPV'!MGU24/'4. NPV'!MGU$8,0)</f>
        <v>-0.0</v>
      </c>
      <c r="MGU55" s="5">
        <f>-IFERROR('4. NPV'!MGV24/'4. NPV'!MGV$8,0)</f>
        <v>-0.0</v>
      </c>
      <c r="MGV55" s="5">
        <f>-IFERROR('4. NPV'!MGW24/'4. NPV'!MGW$8,0)</f>
        <v>-0.0</v>
      </c>
      <c r="MGW55" s="5">
        <f>-IFERROR('4. NPV'!MGX24/'4. NPV'!MGX$8,0)</f>
        <v>-0.0</v>
      </c>
      <c r="MGX55" s="5">
        <f>-IFERROR('4. NPV'!MGY24/'4. NPV'!MGY$8,0)</f>
        <v>-0.0</v>
      </c>
      <c r="MGY55" s="5">
        <f>-IFERROR('4. NPV'!MGZ24/'4. NPV'!MGZ$8,0)</f>
        <v>-0.0</v>
      </c>
      <c r="MGZ55" s="5">
        <f>-IFERROR('4. NPV'!MHA24/'4. NPV'!MHA$8,0)</f>
        <v>-0.0</v>
      </c>
      <c r="MHA55" s="5">
        <f>-IFERROR('4. NPV'!MHB24/'4. NPV'!MHB$8,0)</f>
        <v>-0.0</v>
      </c>
      <c r="MHB55" s="5">
        <f>-IFERROR('4. NPV'!MHC24/'4. NPV'!MHC$8,0)</f>
        <v>-0.0</v>
      </c>
      <c r="MHC55" s="5">
        <f>-IFERROR('4. NPV'!MHD24/'4. NPV'!MHD$8,0)</f>
        <v>-0.0</v>
      </c>
      <c r="MHD55" s="5">
        <f>-IFERROR('4. NPV'!MHE24/'4. NPV'!MHE$8,0)</f>
        <v>-0.0</v>
      </c>
      <c r="MHE55" s="5">
        <f>-IFERROR('4. NPV'!MHF24/'4. NPV'!MHF$8,0)</f>
        <v>-0.0</v>
      </c>
      <c r="MHF55" s="5">
        <f>-IFERROR('4. NPV'!MHG24/'4. NPV'!MHG$8,0)</f>
        <v>-0.0</v>
      </c>
      <c r="MHG55" s="5">
        <f>-IFERROR('4. NPV'!MHH24/'4. NPV'!MHH$8,0)</f>
        <v>-0.0</v>
      </c>
      <c r="MHH55" s="5">
        <f>-IFERROR('4. NPV'!MHI24/'4. NPV'!MHI$8,0)</f>
        <v>-0.0</v>
      </c>
      <c r="MHI55" s="5">
        <f>-IFERROR('4. NPV'!MHJ24/'4. NPV'!MHJ$8,0)</f>
        <v>-0.0</v>
      </c>
      <c r="MHJ55" s="5">
        <f>-IFERROR('4. NPV'!MHK24/'4. NPV'!MHK$8,0)</f>
        <v>-0.0</v>
      </c>
      <c r="MHK55" s="5">
        <f>-IFERROR('4. NPV'!MHL24/'4. NPV'!MHL$8,0)</f>
        <v>-0.0</v>
      </c>
      <c r="MHL55" s="5">
        <f>-IFERROR('4. NPV'!MHM24/'4. NPV'!MHM$8,0)</f>
        <v>-0.0</v>
      </c>
      <c r="MHM55" s="5">
        <f>-IFERROR('4. NPV'!MHN24/'4. NPV'!MHN$8,0)</f>
        <v>-0.0</v>
      </c>
      <c r="MHN55" s="5">
        <f>-IFERROR('4. NPV'!MHO24/'4. NPV'!MHO$8,0)</f>
        <v>-0.0</v>
      </c>
      <c r="MHO55" s="5">
        <f>-IFERROR('4. NPV'!MHP24/'4. NPV'!MHP$8,0)</f>
        <v>-0.0</v>
      </c>
      <c r="MHP55" s="5">
        <f>-IFERROR('4. NPV'!MHQ24/'4. NPV'!MHQ$8,0)</f>
        <v>-0.0</v>
      </c>
      <c r="MHQ55" s="5">
        <f>-IFERROR('4. NPV'!MHR24/'4. NPV'!MHR$8,0)</f>
        <v>-0.0</v>
      </c>
      <c r="MHR55" s="5">
        <f>-IFERROR('4. NPV'!MHS24/'4. NPV'!MHS$8,0)</f>
        <v>-0.0</v>
      </c>
      <c r="MHS55" s="5">
        <f>-IFERROR('4. NPV'!MHT24/'4. NPV'!MHT$8,0)</f>
        <v>-0.0</v>
      </c>
      <c r="MHT55" s="5">
        <f>-IFERROR('4. NPV'!MHU24/'4. NPV'!MHU$8,0)</f>
        <v>-0.0</v>
      </c>
      <c r="MHU55" s="5">
        <f>-IFERROR('4. NPV'!MHV24/'4. NPV'!MHV$8,0)</f>
        <v>-0.0</v>
      </c>
      <c r="MHV55" s="5">
        <f>-IFERROR('4. NPV'!MHW24/'4. NPV'!MHW$8,0)</f>
        <v>-0.0</v>
      </c>
      <c r="MHW55" s="5">
        <f>-IFERROR('4. NPV'!MHX24/'4. NPV'!MHX$8,0)</f>
        <v>-0.0</v>
      </c>
      <c r="MHX55" s="5">
        <f>-IFERROR('4. NPV'!MHY24/'4. NPV'!MHY$8,0)</f>
        <v>-0.0</v>
      </c>
      <c r="MHY55" s="5">
        <f>-IFERROR('4. NPV'!MHZ24/'4. NPV'!MHZ$8,0)</f>
        <v>-0.0</v>
      </c>
      <c r="MHZ55" s="5">
        <f>-IFERROR('4. NPV'!MIA24/'4. NPV'!MIA$8,0)</f>
        <v>-0.0</v>
      </c>
      <c r="MIA55" s="5">
        <f>-IFERROR('4. NPV'!MIB24/'4. NPV'!MIB$8,0)</f>
        <v>-0.0</v>
      </c>
      <c r="MIB55" s="5">
        <f>-IFERROR('4. NPV'!MIC24/'4. NPV'!MIC$8,0)</f>
        <v>-0.0</v>
      </c>
      <c r="MIC55" s="5">
        <f>-IFERROR('4. NPV'!MID24/'4. NPV'!MID$8,0)</f>
        <v>-0.0</v>
      </c>
      <c r="MID55" s="5">
        <f>-IFERROR('4. NPV'!MIE24/'4. NPV'!MIE$8,0)</f>
        <v>-0.0</v>
      </c>
      <c r="MIE55" s="5">
        <f>-IFERROR('4. NPV'!MIF24/'4. NPV'!MIF$8,0)</f>
        <v>-0.0</v>
      </c>
      <c r="MIF55" s="5">
        <f>-IFERROR('4. NPV'!MIG24/'4. NPV'!MIG$8,0)</f>
        <v>-0.0</v>
      </c>
      <c r="MIG55" s="5">
        <f>-IFERROR('4. NPV'!MIH24/'4. NPV'!MIH$8,0)</f>
        <v>-0.0</v>
      </c>
      <c r="MIH55" s="5">
        <f>-IFERROR('4. NPV'!MII24/'4. NPV'!MII$8,0)</f>
        <v>-0.0</v>
      </c>
      <c r="MII55" s="5">
        <f>-IFERROR('4. NPV'!MIJ24/'4. NPV'!MIJ$8,0)</f>
        <v>-0.0</v>
      </c>
      <c r="MIJ55" s="5">
        <f>-IFERROR('4. NPV'!MIK24/'4. NPV'!MIK$8,0)</f>
        <v>-0.0</v>
      </c>
      <c r="MIK55" s="5">
        <f>-IFERROR('4. NPV'!MIL24/'4. NPV'!MIL$8,0)</f>
        <v>-0.0</v>
      </c>
      <c r="MIL55" s="5">
        <f>-IFERROR('4. NPV'!MIM24/'4. NPV'!MIM$8,0)</f>
        <v>-0.0</v>
      </c>
      <c r="MIM55" s="5">
        <f>-IFERROR('4. NPV'!MIN24/'4. NPV'!MIN$8,0)</f>
        <v>-0.0</v>
      </c>
      <c r="MIN55" s="5">
        <f>-IFERROR('4. NPV'!MIO24/'4. NPV'!MIO$8,0)</f>
        <v>-0.0</v>
      </c>
      <c r="MIO55" s="5">
        <f>-IFERROR('4. NPV'!MIP24/'4. NPV'!MIP$8,0)</f>
        <v>-0.0</v>
      </c>
      <c r="MIP55" s="5">
        <f>-IFERROR('4. NPV'!MIQ24/'4. NPV'!MIQ$8,0)</f>
        <v>-0.0</v>
      </c>
      <c r="MIQ55" s="5">
        <f>-IFERROR('4. NPV'!MIR24/'4. NPV'!MIR$8,0)</f>
        <v>-0.0</v>
      </c>
      <c r="MIR55" s="5">
        <f>-IFERROR('4. NPV'!MIS24/'4. NPV'!MIS$8,0)</f>
        <v>-0.0</v>
      </c>
      <c r="MIS55" s="5">
        <f>-IFERROR('4. NPV'!MIT24/'4. NPV'!MIT$8,0)</f>
        <v>-0.0</v>
      </c>
      <c r="MIT55" s="5">
        <f>-IFERROR('4. NPV'!MIU24/'4. NPV'!MIU$8,0)</f>
        <v>-0.0</v>
      </c>
      <c r="MIU55" s="5">
        <f>-IFERROR('4. NPV'!MIV24/'4. NPV'!MIV$8,0)</f>
        <v>-0.0</v>
      </c>
      <c r="MIV55" s="5">
        <f>-IFERROR('4. NPV'!MIW24/'4. NPV'!MIW$8,0)</f>
        <v>-0.0</v>
      </c>
      <c r="MIW55" s="5">
        <f>-IFERROR('4. NPV'!MIX24/'4. NPV'!MIX$8,0)</f>
        <v>-0.0</v>
      </c>
      <c r="MIX55" s="5">
        <f>-IFERROR('4. NPV'!MIY24/'4. NPV'!MIY$8,0)</f>
        <v>-0.0</v>
      </c>
      <c r="MIY55" s="5">
        <f>-IFERROR('4. NPV'!MIZ24/'4. NPV'!MIZ$8,0)</f>
        <v>-0.0</v>
      </c>
      <c r="MIZ55" s="5">
        <f>-IFERROR('4. NPV'!MJA24/'4. NPV'!MJA$8,0)</f>
        <v>-0.0</v>
      </c>
      <c r="MJA55" s="5">
        <f>-IFERROR('4. NPV'!MJB24/'4. NPV'!MJB$8,0)</f>
        <v>-0.0</v>
      </c>
      <c r="MJB55" s="5">
        <f>-IFERROR('4. NPV'!MJC24/'4. NPV'!MJC$8,0)</f>
        <v>-0.0</v>
      </c>
      <c r="MJC55" s="5">
        <f>-IFERROR('4. NPV'!MJD24/'4. NPV'!MJD$8,0)</f>
        <v>-0.0</v>
      </c>
      <c r="MJD55" s="5">
        <f>-IFERROR('4. NPV'!MJE24/'4. NPV'!MJE$8,0)</f>
        <v>-0.0</v>
      </c>
      <c r="MJE55" s="5">
        <f>-IFERROR('4. NPV'!MJF24/'4. NPV'!MJF$8,0)</f>
        <v>-0.0</v>
      </c>
      <c r="MJF55" s="5">
        <f>-IFERROR('4. NPV'!MJG24/'4. NPV'!MJG$8,0)</f>
        <v>-0.0</v>
      </c>
      <c r="MJG55" s="5">
        <f>-IFERROR('4. NPV'!MJH24/'4. NPV'!MJH$8,0)</f>
        <v>-0.0</v>
      </c>
      <c r="MJH55" s="5">
        <f>-IFERROR('4. NPV'!MJI24/'4. NPV'!MJI$8,0)</f>
        <v>-0.0</v>
      </c>
      <c r="MJI55" s="5">
        <f>-IFERROR('4. NPV'!MJJ24/'4. NPV'!MJJ$8,0)</f>
        <v>-0.0</v>
      </c>
      <c r="MJJ55" s="5">
        <f>-IFERROR('4. NPV'!MJK24/'4. NPV'!MJK$8,0)</f>
        <v>-0.0</v>
      </c>
      <c r="MJK55" s="5">
        <f>-IFERROR('4. NPV'!MJL24/'4. NPV'!MJL$8,0)</f>
        <v>-0.0</v>
      </c>
      <c r="MJL55" s="5">
        <f>-IFERROR('4. NPV'!MJM24/'4. NPV'!MJM$8,0)</f>
        <v>-0.0</v>
      </c>
      <c r="MJM55" s="5">
        <f>-IFERROR('4. NPV'!MJN24/'4. NPV'!MJN$8,0)</f>
        <v>-0.0</v>
      </c>
      <c r="MJN55" s="5">
        <f>-IFERROR('4. NPV'!MJO24/'4. NPV'!MJO$8,0)</f>
        <v>-0.0</v>
      </c>
      <c r="MJO55" s="5">
        <f>-IFERROR('4. NPV'!MJP24/'4. NPV'!MJP$8,0)</f>
        <v>-0.0</v>
      </c>
      <c r="MJP55" s="5">
        <f>-IFERROR('4. NPV'!MJQ24/'4. NPV'!MJQ$8,0)</f>
        <v>-0.0</v>
      </c>
      <c r="MJQ55" s="5">
        <f>-IFERROR('4. NPV'!MJR24/'4. NPV'!MJR$8,0)</f>
        <v>-0.0</v>
      </c>
      <c r="MJR55" s="5">
        <f>-IFERROR('4. NPV'!MJS24/'4. NPV'!MJS$8,0)</f>
        <v>-0.0</v>
      </c>
      <c r="MJS55" s="5">
        <f>-IFERROR('4. NPV'!MJT24/'4. NPV'!MJT$8,0)</f>
        <v>-0.0</v>
      </c>
      <c r="MJT55" s="5">
        <f>-IFERROR('4. NPV'!MJU24/'4. NPV'!MJU$8,0)</f>
        <v>-0.0</v>
      </c>
      <c r="MJU55" s="5">
        <f>-IFERROR('4. NPV'!MJV24/'4. NPV'!MJV$8,0)</f>
        <v>-0.0</v>
      </c>
      <c r="MJV55" s="5">
        <f>-IFERROR('4. NPV'!MJW24/'4. NPV'!MJW$8,0)</f>
        <v>-0.0</v>
      </c>
      <c r="MJW55" s="5">
        <f>-IFERROR('4. NPV'!MJX24/'4. NPV'!MJX$8,0)</f>
        <v>-0.0</v>
      </c>
      <c r="MJX55" s="5">
        <f>-IFERROR('4. NPV'!MJY24/'4. NPV'!MJY$8,0)</f>
        <v>-0.0</v>
      </c>
      <c r="MJY55" s="5">
        <f>-IFERROR('4. NPV'!MJZ24/'4. NPV'!MJZ$8,0)</f>
        <v>-0.0</v>
      </c>
      <c r="MJZ55" s="5">
        <f>-IFERROR('4. NPV'!MKA24/'4. NPV'!MKA$8,0)</f>
        <v>-0.0</v>
      </c>
      <c r="MKA55" s="5">
        <f>-IFERROR('4. NPV'!MKB24/'4. NPV'!MKB$8,0)</f>
        <v>-0.0</v>
      </c>
      <c r="MKB55" s="5">
        <f>-IFERROR('4. NPV'!MKC24/'4. NPV'!MKC$8,0)</f>
        <v>-0.0</v>
      </c>
      <c r="MKC55" s="5">
        <f>-IFERROR('4. NPV'!MKD24/'4. NPV'!MKD$8,0)</f>
        <v>-0.0</v>
      </c>
      <c r="MKD55" s="5">
        <f>-IFERROR('4. NPV'!MKE24/'4. NPV'!MKE$8,0)</f>
        <v>-0.0</v>
      </c>
      <c r="MKE55" s="5">
        <f>-IFERROR('4. NPV'!MKF24/'4. NPV'!MKF$8,0)</f>
        <v>-0.0</v>
      </c>
      <c r="MKF55" s="5">
        <f>-IFERROR('4. NPV'!MKG24/'4. NPV'!MKG$8,0)</f>
        <v>-0.0</v>
      </c>
      <c r="MKG55" s="5">
        <f>-IFERROR('4. NPV'!MKH24/'4. NPV'!MKH$8,0)</f>
        <v>-0.0</v>
      </c>
      <c r="MKH55" s="5">
        <f>-IFERROR('4. NPV'!MKI24/'4. NPV'!MKI$8,0)</f>
        <v>-0.0</v>
      </c>
      <c r="MKI55" s="5">
        <f>-IFERROR('4. NPV'!MKJ24/'4. NPV'!MKJ$8,0)</f>
        <v>-0.0</v>
      </c>
      <c r="MKJ55" s="5">
        <f>-IFERROR('4. NPV'!MKK24/'4. NPV'!MKK$8,0)</f>
        <v>-0.0</v>
      </c>
      <c r="MKK55" s="5">
        <f>-IFERROR('4. NPV'!MKL24/'4. NPV'!MKL$8,0)</f>
        <v>-0.0</v>
      </c>
      <c r="MKL55" s="5">
        <f>-IFERROR('4. NPV'!MKM24/'4. NPV'!MKM$8,0)</f>
        <v>-0.0</v>
      </c>
      <c r="MKM55" s="5">
        <f>-IFERROR('4. NPV'!MKN24/'4. NPV'!MKN$8,0)</f>
        <v>-0.0</v>
      </c>
      <c r="MKN55" s="5">
        <f>-IFERROR('4. NPV'!MKO24/'4. NPV'!MKO$8,0)</f>
        <v>-0.0</v>
      </c>
      <c r="MKO55" s="5">
        <f>-IFERROR('4. NPV'!MKP24/'4. NPV'!MKP$8,0)</f>
        <v>-0.0</v>
      </c>
      <c r="MKP55" s="5">
        <f>-IFERROR('4. NPV'!MKQ24/'4. NPV'!MKQ$8,0)</f>
        <v>-0.0</v>
      </c>
      <c r="MKQ55" s="5">
        <f>-IFERROR('4. NPV'!MKR24/'4. NPV'!MKR$8,0)</f>
        <v>-0.0</v>
      </c>
      <c r="MKR55" s="5">
        <f>-IFERROR('4. NPV'!MKS24/'4. NPV'!MKS$8,0)</f>
        <v>-0.0</v>
      </c>
      <c r="MKS55" s="5">
        <f>-IFERROR('4. NPV'!MKT24/'4. NPV'!MKT$8,0)</f>
        <v>-0.0</v>
      </c>
      <c r="MKT55" s="5">
        <f>-IFERROR('4. NPV'!MKU24/'4. NPV'!MKU$8,0)</f>
        <v>-0.0</v>
      </c>
      <c r="MKU55" s="5">
        <f>-IFERROR('4. NPV'!MKV24/'4. NPV'!MKV$8,0)</f>
        <v>-0.0</v>
      </c>
      <c r="MKV55" s="5">
        <f>-IFERROR('4. NPV'!MKW24/'4. NPV'!MKW$8,0)</f>
        <v>-0.0</v>
      </c>
      <c r="MKW55" s="5">
        <f>-IFERROR('4. NPV'!MKX24/'4. NPV'!MKX$8,0)</f>
        <v>-0.0</v>
      </c>
      <c r="MKX55" s="5">
        <f>-IFERROR('4. NPV'!MKY24/'4. NPV'!MKY$8,0)</f>
        <v>-0.0</v>
      </c>
      <c r="MKY55" s="5">
        <f>-IFERROR('4. NPV'!MKZ24/'4. NPV'!MKZ$8,0)</f>
        <v>-0.0</v>
      </c>
      <c r="MKZ55" s="5">
        <f>-IFERROR('4. NPV'!MLA24/'4. NPV'!MLA$8,0)</f>
        <v>-0.0</v>
      </c>
      <c r="MLA55" s="5">
        <f>-IFERROR('4. NPV'!MLB24/'4. NPV'!MLB$8,0)</f>
        <v>-0.0</v>
      </c>
      <c r="MLB55" s="5">
        <f>-IFERROR('4. NPV'!MLC24/'4. NPV'!MLC$8,0)</f>
        <v>-0.0</v>
      </c>
      <c r="MLC55" s="5">
        <f>-IFERROR('4. NPV'!MLD24/'4. NPV'!MLD$8,0)</f>
        <v>-0.0</v>
      </c>
      <c r="MLD55" s="5">
        <f>-IFERROR('4. NPV'!MLE24/'4. NPV'!MLE$8,0)</f>
        <v>-0.0</v>
      </c>
      <c r="MLE55" s="5">
        <f>-IFERROR('4. NPV'!MLF24/'4. NPV'!MLF$8,0)</f>
        <v>-0.0</v>
      </c>
      <c r="MLF55" s="5">
        <f>-IFERROR('4. NPV'!MLG24/'4. NPV'!MLG$8,0)</f>
        <v>-0.0</v>
      </c>
      <c r="MLG55" s="5">
        <f>-IFERROR('4. NPV'!MLH24/'4. NPV'!MLH$8,0)</f>
        <v>-0.0</v>
      </c>
      <c r="MLH55" s="5">
        <f>-IFERROR('4. NPV'!MLI24/'4. NPV'!MLI$8,0)</f>
        <v>-0.0</v>
      </c>
      <c r="MLI55" s="5">
        <f>-IFERROR('4. NPV'!MLJ24/'4. NPV'!MLJ$8,0)</f>
        <v>-0.0</v>
      </c>
      <c r="MLJ55" s="5">
        <f>-IFERROR('4. NPV'!MLK24/'4. NPV'!MLK$8,0)</f>
        <v>-0.0</v>
      </c>
      <c r="MLK55" s="5">
        <f>-IFERROR('4. NPV'!MLL24/'4. NPV'!MLL$8,0)</f>
        <v>-0.0</v>
      </c>
      <c r="MLL55" s="5">
        <f>-IFERROR('4. NPV'!MLM24/'4. NPV'!MLM$8,0)</f>
        <v>-0.0</v>
      </c>
      <c r="MLM55" s="5">
        <f>-IFERROR('4. NPV'!MLN24/'4. NPV'!MLN$8,0)</f>
        <v>-0.0</v>
      </c>
      <c r="MLN55" s="5">
        <f>-IFERROR('4. NPV'!MLO24/'4. NPV'!MLO$8,0)</f>
        <v>-0.0</v>
      </c>
      <c r="MLO55" s="5">
        <f>-IFERROR('4. NPV'!MLP24/'4. NPV'!MLP$8,0)</f>
        <v>-0.0</v>
      </c>
      <c r="MLP55" s="5">
        <f>-IFERROR('4. NPV'!MLQ24/'4. NPV'!MLQ$8,0)</f>
        <v>-0.0</v>
      </c>
      <c r="MLQ55" s="5">
        <f>-IFERROR('4. NPV'!MLR24/'4. NPV'!MLR$8,0)</f>
        <v>-0.0</v>
      </c>
      <c r="MLR55" s="5">
        <f>-IFERROR('4. NPV'!MLS24/'4. NPV'!MLS$8,0)</f>
        <v>-0.0</v>
      </c>
      <c r="MLS55" s="5">
        <f>-IFERROR('4. NPV'!MLT24/'4. NPV'!MLT$8,0)</f>
        <v>-0.0</v>
      </c>
      <c r="MLT55" s="5">
        <f>-IFERROR('4. NPV'!MLU24/'4. NPV'!MLU$8,0)</f>
        <v>-0.0</v>
      </c>
      <c r="MLU55" s="5">
        <f>-IFERROR('4. NPV'!MLV24/'4. NPV'!MLV$8,0)</f>
        <v>-0.0</v>
      </c>
      <c r="MLV55" s="5">
        <f>-IFERROR('4. NPV'!MLW24/'4. NPV'!MLW$8,0)</f>
        <v>-0.0</v>
      </c>
      <c r="MLW55" s="5">
        <f>-IFERROR('4. NPV'!MLX24/'4. NPV'!MLX$8,0)</f>
        <v>-0.0</v>
      </c>
      <c r="MLX55" s="5">
        <f>-IFERROR('4. NPV'!MLY24/'4. NPV'!MLY$8,0)</f>
        <v>-0.0</v>
      </c>
      <c r="MLY55" s="5">
        <f>-IFERROR('4. NPV'!MLZ24/'4. NPV'!MLZ$8,0)</f>
        <v>-0.0</v>
      </c>
      <c r="MLZ55" s="5">
        <f>-IFERROR('4. NPV'!MMA24/'4. NPV'!MMA$8,0)</f>
        <v>-0.0</v>
      </c>
      <c r="MMA55" s="5">
        <f>-IFERROR('4. NPV'!MMB24/'4. NPV'!MMB$8,0)</f>
        <v>-0.0</v>
      </c>
      <c r="MMB55" s="5">
        <f>-IFERROR('4. NPV'!MMC24/'4. NPV'!MMC$8,0)</f>
        <v>-0.0</v>
      </c>
      <c r="MMC55" s="5">
        <f>-IFERROR('4. NPV'!MMD24/'4. NPV'!MMD$8,0)</f>
        <v>-0.0</v>
      </c>
      <c r="MMD55" s="5">
        <f>-IFERROR('4. NPV'!MME24/'4. NPV'!MME$8,0)</f>
        <v>-0.0</v>
      </c>
      <c r="MME55" s="5">
        <f>-IFERROR('4. NPV'!MMF24/'4. NPV'!MMF$8,0)</f>
        <v>-0.0</v>
      </c>
      <c r="MMF55" s="5">
        <f>-IFERROR('4. NPV'!MMG24/'4. NPV'!MMG$8,0)</f>
        <v>-0.0</v>
      </c>
      <c r="MMG55" s="5">
        <f>-IFERROR('4. NPV'!MMH24/'4. NPV'!MMH$8,0)</f>
        <v>-0.0</v>
      </c>
      <c r="MMH55" s="5">
        <f>-IFERROR('4. NPV'!MMI24/'4. NPV'!MMI$8,0)</f>
        <v>-0.0</v>
      </c>
      <c r="MMI55" s="5">
        <f>-IFERROR('4. NPV'!MMJ24/'4. NPV'!MMJ$8,0)</f>
        <v>-0.0</v>
      </c>
      <c r="MMJ55" s="5">
        <f>-IFERROR('4. NPV'!MMK24/'4. NPV'!MMK$8,0)</f>
        <v>-0.0</v>
      </c>
      <c r="MMK55" s="5">
        <f>-IFERROR('4. NPV'!MML24/'4. NPV'!MML$8,0)</f>
        <v>-0.0</v>
      </c>
      <c r="MML55" s="5">
        <f>-IFERROR('4. NPV'!MMM24/'4. NPV'!MMM$8,0)</f>
        <v>-0.0</v>
      </c>
      <c r="MMM55" s="5">
        <f>-IFERROR('4. NPV'!MMN24/'4. NPV'!MMN$8,0)</f>
        <v>-0.0</v>
      </c>
      <c r="MMN55" s="5">
        <f>-IFERROR('4. NPV'!MMO24/'4. NPV'!MMO$8,0)</f>
        <v>-0.0</v>
      </c>
      <c r="MMO55" s="5">
        <f>-IFERROR('4. NPV'!MMP24/'4. NPV'!MMP$8,0)</f>
        <v>-0.0</v>
      </c>
      <c r="MMP55" s="5">
        <f>-IFERROR('4. NPV'!MMQ24/'4. NPV'!MMQ$8,0)</f>
        <v>-0.0</v>
      </c>
      <c r="MMQ55" s="5">
        <f>-IFERROR('4. NPV'!MMR24/'4. NPV'!MMR$8,0)</f>
        <v>-0.0</v>
      </c>
      <c r="MMR55" s="5">
        <f>-IFERROR('4. NPV'!MMS24/'4. NPV'!MMS$8,0)</f>
        <v>-0.0</v>
      </c>
      <c r="MMS55" s="5">
        <f>-IFERROR('4. NPV'!MMT24/'4. NPV'!MMT$8,0)</f>
        <v>-0.0</v>
      </c>
      <c r="MMT55" s="5">
        <f>-IFERROR('4. NPV'!MMU24/'4. NPV'!MMU$8,0)</f>
        <v>-0.0</v>
      </c>
      <c r="MMU55" s="5">
        <f>-IFERROR('4. NPV'!MMV24/'4. NPV'!MMV$8,0)</f>
        <v>-0.0</v>
      </c>
      <c r="MMV55" s="5">
        <f>-IFERROR('4. NPV'!MMW24/'4. NPV'!MMW$8,0)</f>
        <v>-0.0</v>
      </c>
      <c r="MMW55" s="5">
        <f>-IFERROR('4. NPV'!MMX24/'4. NPV'!MMX$8,0)</f>
        <v>-0.0</v>
      </c>
      <c r="MMX55" s="5">
        <f>-IFERROR('4. NPV'!MMY24/'4. NPV'!MMY$8,0)</f>
        <v>-0.0</v>
      </c>
      <c r="MMY55" s="5">
        <f>-IFERROR('4. NPV'!MMZ24/'4. NPV'!MMZ$8,0)</f>
        <v>-0.0</v>
      </c>
      <c r="MMZ55" s="5">
        <f>-IFERROR('4. NPV'!MNA24/'4. NPV'!MNA$8,0)</f>
        <v>-0.0</v>
      </c>
      <c r="MNA55" s="5">
        <f>-IFERROR('4. NPV'!MNB24/'4. NPV'!MNB$8,0)</f>
        <v>-0.0</v>
      </c>
      <c r="MNB55" s="5">
        <f>-IFERROR('4. NPV'!MNC24/'4. NPV'!MNC$8,0)</f>
        <v>-0.0</v>
      </c>
      <c r="MNC55" s="5">
        <f>-IFERROR('4. NPV'!MND24/'4. NPV'!MND$8,0)</f>
        <v>-0.0</v>
      </c>
      <c r="MND55" s="5">
        <f>-IFERROR('4. NPV'!MNE24/'4. NPV'!MNE$8,0)</f>
        <v>-0.0</v>
      </c>
      <c r="MNE55" s="5">
        <f>-IFERROR('4. NPV'!MNF24/'4. NPV'!MNF$8,0)</f>
        <v>-0.0</v>
      </c>
      <c r="MNF55" s="5">
        <f>-IFERROR('4. NPV'!MNG24/'4. NPV'!MNG$8,0)</f>
        <v>-0.0</v>
      </c>
      <c r="MNG55" s="5">
        <f>-IFERROR('4. NPV'!MNH24/'4. NPV'!MNH$8,0)</f>
        <v>-0.0</v>
      </c>
      <c r="MNH55" s="5">
        <f>-IFERROR('4. NPV'!MNI24/'4. NPV'!MNI$8,0)</f>
        <v>-0.0</v>
      </c>
      <c r="MNI55" s="5">
        <f>-IFERROR('4. NPV'!MNJ24/'4. NPV'!MNJ$8,0)</f>
        <v>-0.0</v>
      </c>
      <c r="MNJ55" s="5">
        <f>-IFERROR('4. NPV'!MNK24/'4. NPV'!MNK$8,0)</f>
        <v>-0.0</v>
      </c>
      <c r="MNK55" s="5">
        <f>-IFERROR('4. NPV'!MNL24/'4. NPV'!MNL$8,0)</f>
        <v>-0.0</v>
      </c>
      <c r="MNL55" s="5">
        <f>-IFERROR('4. NPV'!MNM24/'4. NPV'!MNM$8,0)</f>
        <v>-0.0</v>
      </c>
      <c r="MNM55" s="5">
        <f>-IFERROR('4. NPV'!MNN24/'4. NPV'!MNN$8,0)</f>
        <v>-0.0</v>
      </c>
      <c r="MNN55" s="5">
        <f>-IFERROR('4. NPV'!MNO24/'4. NPV'!MNO$8,0)</f>
        <v>-0.0</v>
      </c>
      <c r="MNO55" s="5">
        <f>-IFERROR('4. NPV'!MNP24/'4. NPV'!MNP$8,0)</f>
        <v>-0.0</v>
      </c>
      <c r="MNP55" s="5">
        <f>-IFERROR('4. NPV'!MNQ24/'4. NPV'!MNQ$8,0)</f>
        <v>-0.0</v>
      </c>
      <c r="MNQ55" s="5">
        <f>-IFERROR('4. NPV'!MNR24/'4. NPV'!MNR$8,0)</f>
        <v>-0.0</v>
      </c>
      <c r="MNR55" s="5">
        <f>-IFERROR('4. NPV'!MNS24/'4. NPV'!MNS$8,0)</f>
        <v>-0.0</v>
      </c>
      <c r="MNS55" s="5">
        <f>-IFERROR('4. NPV'!MNT24/'4. NPV'!MNT$8,0)</f>
        <v>-0.0</v>
      </c>
      <c r="MNT55" s="5">
        <f>-IFERROR('4. NPV'!MNU24/'4. NPV'!MNU$8,0)</f>
        <v>-0.0</v>
      </c>
      <c r="MNU55" s="5">
        <f>-IFERROR('4. NPV'!MNV24/'4. NPV'!MNV$8,0)</f>
        <v>-0.0</v>
      </c>
      <c r="MNV55" s="5">
        <f>-IFERROR('4. NPV'!MNW24/'4. NPV'!MNW$8,0)</f>
        <v>-0.0</v>
      </c>
      <c r="MNW55" s="5">
        <f>-IFERROR('4. NPV'!MNX24/'4. NPV'!MNX$8,0)</f>
        <v>-0.0</v>
      </c>
      <c r="MNX55" s="5">
        <f>-IFERROR('4. NPV'!MNY24/'4. NPV'!MNY$8,0)</f>
        <v>-0.0</v>
      </c>
      <c r="MNY55" s="5">
        <f>-IFERROR('4. NPV'!MNZ24/'4. NPV'!MNZ$8,0)</f>
        <v>-0.0</v>
      </c>
      <c r="MNZ55" s="5">
        <f>-IFERROR('4. NPV'!MOA24/'4. NPV'!MOA$8,0)</f>
        <v>-0.0</v>
      </c>
      <c r="MOA55" s="5">
        <f>-IFERROR('4. NPV'!MOB24/'4. NPV'!MOB$8,0)</f>
        <v>-0.0</v>
      </c>
      <c r="MOB55" s="5">
        <f>-IFERROR('4. NPV'!MOC24/'4. NPV'!MOC$8,0)</f>
        <v>-0.0</v>
      </c>
      <c r="MOC55" s="5">
        <f>-IFERROR('4. NPV'!MOD24/'4. NPV'!MOD$8,0)</f>
        <v>-0.0</v>
      </c>
      <c r="MOD55" s="5">
        <f>-IFERROR('4. NPV'!MOE24/'4. NPV'!MOE$8,0)</f>
        <v>-0.0</v>
      </c>
      <c r="MOE55" s="5">
        <f>-IFERROR('4. NPV'!MOF24/'4. NPV'!MOF$8,0)</f>
        <v>-0.0</v>
      </c>
      <c r="MOF55" s="5">
        <f>-IFERROR('4. NPV'!MOG24/'4. NPV'!MOG$8,0)</f>
        <v>-0.0</v>
      </c>
      <c r="MOG55" s="5">
        <f>-IFERROR('4. NPV'!MOH24/'4. NPV'!MOH$8,0)</f>
        <v>-0.0</v>
      </c>
      <c r="MOH55" s="5">
        <f>-IFERROR('4. NPV'!MOI24/'4. NPV'!MOI$8,0)</f>
        <v>-0.0</v>
      </c>
      <c r="MOI55" s="5">
        <f>-IFERROR('4. NPV'!MOJ24/'4. NPV'!MOJ$8,0)</f>
        <v>-0.0</v>
      </c>
      <c r="MOJ55" s="5">
        <f>-IFERROR('4. NPV'!MOK24/'4. NPV'!MOK$8,0)</f>
        <v>-0.0</v>
      </c>
      <c r="MOK55" s="5">
        <f>-IFERROR('4. NPV'!MOL24/'4. NPV'!MOL$8,0)</f>
        <v>-0.0</v>
      </c>
      <c r="MOL55" s="5">
        <f>-IFERROR('4. NPV'!MOM24/'4. NPV'!MOM$8,0)</f>
        <v>-0.0</v>
      </c>
      <c r="MOM55" s="5">
        <f>-IFERROR('4. NPV'!MON24/'4. NPV'!MON$8,0)</f>
        <v>-0.0</v>
      </c>
      <c r="MON55" s="5">
        <f>-IFERROR('4. NPV'!MOO24/'4. NPV'!MOO$8,0)</f>
        <v>-0.0</v>
      </c>
      <c r="MOO55" s="5">
        <f>-IFERROR('4. NPV'!MOP24/'4. NPV'!MOP$8,0)</f>
        <v>-0.0</v>
      </c>
      <c r="MOP55" s="5">
        <f>-IFERROR('4. NPV'!MOQ24/'4. NPV'!MOQ$8,0)</f>
        <v>-0.0</v>
      </c>
      <c r="MOQ55" s="5">
        <f>-IFERROR('4. NPV'!MOR24/'4. NPV'!MOR$8,0)</f>
        <v>-0.0</v>
      </c>
      <c r="MOR55" s="5">
        <f>-IFERROR('4. NPV'!MOS24/'4. NPV'!MOS$8,0)</f>
        <v>-0.0</v>
      </c>
      <c r="MOS55" s="5">
        <f>-IFERROR('4. NPV'!MOT24/'4. NPV'!MOT$8,0)</f>
        <v>-0.0</v>
      </c>
      <c r="MOT55" s="5">
        <f>-IFERROR('4. NPV'!MOU24/'4. NPV'!MOU$8,0)</f>
        <v>-0.0</v>
      </c>
      <c r="MOU55" s="5">
        <f>-IFERROR('4. NPV'!MOV24/'4. NPV'!MOV$8,0)</f>
        <v>-0.0</v>
      </c>
      <c r="MOV55" s="5">
        <f>-IFERROR('4. NPV'!MOW24/'4. NPV'!MOW$8,0)</f>
        <v>-0.0</v>
      </c>
      <c r="MOW55" s="5">
        <f>-IFERROR('4. NPV'!MOX24/'4. NPV'!MOX$8,0)</f>
        <v>-0.0</v>
      </c>
      <c r="MOX55" s="5">
        <f>-IFERROR('4. NPV'!MOY24/'4. NPV'!MOY$8,0)</f>
        <v>-0.0</v>
      </c>
      <c r="MOY55" s="5">
        <f>-IFERROR('4. NPV'!MOZ24/'4. NPV'!MOZ$8,0)</f>
        <v>-0.0</v>
      </c>
      <c r="MOZ55" s="5">
        <f>-IFERROR('4. NPV'!MPA24/'4. NPV'!MPA$8,0)</f>
        <v>-0.0</v>
      </c>
      <c r="MPA55" s="5">
        <f>-IFERROR('4. NPV'!MPB24/'4. NPV'!MPB$8,0)</f>
        <v>-0.0</v>
      </c>
      <c r="MPB55" s="5">
        <f>-IFERROR('4. NPV'!MPC24/'4. NPV'!MPC$8,0)</f>
        <v>-0.0</v>
      </c>
      <c r="MPC55" s="5">
        <f>-IFERROR('4. NPV'!MPD24/'4. NPV'!MPD$8,0)</f>
        <v>-0.0</v>
      </c>
      <c r="MPD55" s="5">
        <f>-IFERROR('4. NPV'!MPE24/'4. NPV'!MPE$8,0)</f>
        <v>-0.0</v>
      </c>
      <c r="MPE55" s="5">
        <f>-IFERROR('4. NPV'!MPF24/'4. NPV'!MPF$8,0)</f>
        <v>-0.0</v>
      </c>
      <c r="MPF55" s="5">
        <f>-IFERROR('4. NPV'!MPG24/'4. NPV'!MPG$8,0)</f>
        <v>-0.0</v>
      </c>
      <c r="MPG55" s="5">
        <f>-IFERROR('4. NPV'!MPH24/'4. NPV'!MPH$8,0)</f>
        <v>-0.0</v>
      </c>
      <c r="MPH55" s="5">
        <f>-IFERROR('4. NPV'!MPI24/'4. NPV'!MPI$8,0)</f>
        <v>-0.0</v>
      </c>
      <c r="MPI55" s="5">
        <f>-IFERROR('4. NPV'!MPJ24/'4. NPV'!MPJ$8,0)</f>
        <v>-0.0</v>
      </c>
      <c r="MPJ55" s="5">
        <f>-IFERROR('4. NPV'!MPK24/'4. NPV'!MPK$8,0)</f>
        <v>-0.0</v>
      </c>
      <c r="MPK55" s="5">
        <f>-IFERROR('4. NPV'!MPL24/'4. NPV'!MPL$8,0)</f>
        <v>-0.0</v>
      </c>
      <c r="MPL55" s="5">
        <f>-IFERROR('4. NPV'!MPM24/'4. NPV'!MPM$8,0)</f>
        <v>-0.0</v>
      </c>
      <c r="MPM55" s="5">
        <f>-IFERROR('4. NPV'!MPN24/'4. NPV'!MPN$8,0)</f>
        <v>-0.0</v>
      </c>
      <c r="MPN55" s="5">
        <f>-IFERROR('4. NPV'!MPO24/'4. NPV'!MPO$8,0)</f>
        <v>-0.0</v>
      </c>
      <c r="MPO55" s="5">
        <f>-IFERROR('4. NPV'!MPP24/'4. NPV'!MPP$8,0)</f>
        <v>-0.0</v>
      </c>
      <c r="MPP55" s="5">
        <f>-IFERROR('4. NPV'!MPQ24/'4. NPV'!MPQ$8,0)</f>
        <v>-0.0</v>
      </c>
      <c r="MPQ55" s="5">
        <f>-IFERROR('4. NPV'!MPR24/'4. NPV'!MPR$8,0)</f>
        <v>-0.0</v>
      </c>
      <c r="MPR55" s="5">
        <f>-IFERROR('4. NPV'!MPS24/'4. NPV'!MPS$8,0)</f>
        <v>-0.0</v>
      </c>
      <c r="MPS55" s="5">
        <f>-IFERROR('4. NPV'!MPT24/'4. NPV'!MPT$8,0)</f>
        <v>-0.0</v>
      </c>
      <c r="MPT55" s="5">
        <f>-IFERROR('4. NPV'!MPU24/'4. NPV'!MPU$8,0)</f>
        <v>-0.0</v>
      </c>
      <c r="MPU55" s="5">
        <f>-IFERROR('4. NPV'!MPV24/'4. NPV'!MPV$8,0)</f>
        <v>-0.0</v>
      </c>
      <c r="MPV55" s="5">
        <f>-IFERROR('4. NPV'!MPW24/'4. NPV'!MPW$8,0)</f>
        <v>-0.0</v>
      </c>
      <c r="MPW55" s="5">
        <f>-IFERROR('4. NPV'!MPX24/'4. NPV'!MPX$8,0)</f>
        <v>-0.0</v>
      </c>
      <c r="MPX55" s="5">
        <f>-IFERROR('4. NPV'!MPY24/'4. NPV'!MPY$8,0)</f>
        <v>-0.0</v>
      </c>
      <c r="MPY55" s="5">
        <f>-IFERROR('4. NPV'!MPZ24/'4. NPV'!MPZ$8,0)</f>
        <v>-0.0</v>
      </c>
      <c r="MPZ55" s="5">
        <f>-IFERROR('4. NPV'!MQA24/'4. NPV'!MQA$8,0)</f>
        <v>-0.0</v>
      </c>
      <c r="MQA55" s="5">
        <f>-IFERROR('4. NPV'!MQB24/'4. NPV'!MQB$8,0)</f>
        <v>-0.0</v>
      </c>
      <c r="MQB55" s="5">
        <f>-IFERROR('4. NPV'!MQC24/'4. NPV'!MQC$8,0)</f>
        <v>-0.0</v>
      </c>
      <c r="MQC55" s="5">
        <f>-IFERROR('4. NPV'!MQD24/'4. NPV'!MQD$8,0)</f>
        <v>-0.0</v>
      </c>
      <c r="MQD55" s="5">
        <f>-IFERROR('4. NPV'!MQE24/'4. NPV'!MQE$8,0)</f>
        <v>-0.0</v>
      </c>
      <c r="MQE55" s="5">
        <f>-IFERROR('4. NPV'!MQF24/'4. NPV'!MQF$8,0)</f>
        <v>-0.0</v>
      </c>
      <c r="MQF55" s="5">
        <f>-IFERROR('4. NPV'!MQG24/'4. NPV'!MQG$8,0)</f>
        <v>-0.0</v>
      </c>
      <c r="MQG55" s="5">
        <f>-IFERROR('4. NPV'!MQH24/'4. NPV'!MQH$8,0)</f>
        <v>-0.0</v>
      </c>
      <c r="MQH55" s="5">
        <f>-IFERROR('4. NPV'!MQI24/'4. NPV'!MQI$8,0)</f>
        <v>-0.0</v>
      </c>
      <c r="MQI55" s="5">
        <f>-IFERROR('4. NPV'!MQJ24/'4. NPV'!MQJ$8,0)</f>
        <v>-0.0</v>
      </c>
      <c r="MQJ55" s="5">
        <f>-IFERROR('4. NPV'!MQK24/'4. NPV'!MQK$8,0)</f>
        <v>-0.0</v>
      </c>
      <c r="MQK55" s="5">
        <f>-IFERROR('4. NPV'!MQL24/'4. NPV'!MQL$8,0)</f>
        <v>-0.0</v>
      </c>
      <c r="MQL55" s="5">
        <f>-IFERROR('4. NPV'!MQM24/'4. NPV'!MQM$8,0)</f>
        <v>-0.0</v>
      </c>
      <c r="MQM55" s="5">
        <f>-IFERROR('4. NPV'!MQN24/'4. NPV'!MQN$8,0)</f>
        <v>-0.0</v>
      </c>
      <c r="MQN55" s="5">
        <f>-IFERROR('4. NPV'!MQO24/'4. NPV'!MQO$8,0)</f>
        <v>-0.0</v>
      </c>
      <c r="MQO55" s="5">
        <f>-IFERROR('4. NPV'!MQP24/'4. NPV'!MQP$8,0)</f>
        <v>-0.0</v>
      </c>
      <c r="MQP55" s="5">
        <f>-IFERROR('4. NPV'!MQQ24/'4. NPV'!MQQ$8,0)</f>
        <v>-0.0</v>
      </c>
      <c r="MQQ55" s="5">
        <f>-IFERROR('4. NPV'!MQR24/'4. NPV'!MQR$8,0)</f>
        <v>-0.0</v>
      </c>
      <c r="MQR55" s="5">
        <f>-IFERROR('4. NPV'!MQS24/'4. NPV'!MQS$8,0)</f>
        <v>-0.0</v>
      </c>
      <c r="MQS55" s="5">
        <f>-IFERROR('4. NPV'!MQT24/'4. NPV'!MQT$8,0)</f>
        <v>-0.0</v>
      </c>
      <c r="MQT55" s="5">
        <f>-IFERROR('4. NPV'!MQU24/'4. NPV'!MQU$8,0)</f>
        <v>-0.0</v>
      </c>
      <c r="MQU55" s="5">
        <f>-IFERROR('4. NPV'!MQV24/'4. NPV'!MQV$8,0)</f>
        <v>-0.0</v>
      </c>
      <c r="MQV55" s="5">
        <f>-IFERROR('4. NPV'!MQW24/'4. NPV'!MQW$8,0)</f>
        <v>-0.0</v>
      </c>
      <c r="MQW55" s="5">
        <f>-IFERROR('4. NPV'!MQX24/'4. NPV'!MQX$8,0)</f>
        <v>-0.0</v>
      </c>
      <c r="MQX55" s="5">
        <f>-IFERROR('4. NPV'!MQY24/'4. NPV'!MQY$8,0)</f>
        <v>-0.0</v>
      </c>
      <c r="MQY55" s="5">
        <f>-IFERROR('4. NPV'!MQZ24/'4. NPV'!MQZ$8,0)</f>
        <v>-0.0</v>
      </c>
      <c r="MQZ55" s="5">
        <f>-IFERROR('4. NPV'!MRA24/'4. NPV'!MRA$8,0)</f>
        <v>-0.0</v>
      </c>
      <c r="MRA55" s="5">
        <f>-IFERROR('4. NPV'!MRB24/'4. NPV'!MRB$8,0)</f>
        <v>-0.0</v>
      </c>
      <c r="MRB55" s="5">
        <f>-IFERROR('4. NPV'!MRC24/'4. NPV'!MRC$8,0)</f>
        <v>-0.0</v>
      </c>
      <c r="MRC55" s="5">
        <f>-IFERROR('4. NPV'!MRD24/'4. NPV'!MRD$8,0)</f>
        <v>-0.0</v>
      </c>
      <c r="MRD55" s="5">
        <f>-IFERROR('4. NPV'!MRE24/'4. NPV'!MRE$8,0)</f>
        <v>-0.0</v>
      </c>
      <c r="MRE55" s="5">
        <f>-IFERROR('4. NPV'!MRF24/'4. NPV'!MRF$8,0)</f>
        <v>-0.0</v>
      </c>
      <c r="MRF55" s="5">
        <f>-IFERROR('4. NPV'!MRG24/'4. NPV'!MRG$8,0)</f>
        <v>-0.0</v>
      </c>
      <c r="MRG55" s="5">
        <f>-IFERROR('4. NPV'!MRH24/'4. NPV'!MRH$8,0)</f>
        <v>-0.0</v>
      </c>
      <c r="MRH55" s="5">
        <f>-IFERROR('4. NPV'!MRI24/'4. NPV'!MRI$8,0)</f>
        <v>-0.0</v>
      </c>
      <c r="MRI55" s="5">
        <f>-IFERROR('4. NPV'!MRJ24/'4. NPV'!MRJ$8,0)</f>
        <v>-0.0</v>
      </c>
      <c r="MRJ55" s="5">
        <f>-IFERROR('4. NPV'!MRK24/'4. NPV'!MRK$8,0)</f>
        <v>-0.0</v>
      </c>
      <c r="MRK55" s="5">
        <f>-IFERROR('4. NPV'!MRL24/'4. NPV'!MRL$8,0)</f>
        <v>-0.0</v>
      </c>
      <c r="MRL55" s="5">
        <f>-IFERROR('4. NPV'!MRM24/'4. NPV'!MRM$8,0)</f>
        <v>-0.0</v>
      </c>
      <c r="MRM55" s="5">
        <f>-IFERROR('4. NPV'!MRN24/'4. NPV'!MRN$8,0)</f>
        <v>-0.0</v>
      </c>
      <c r="MRN55" s="5">
        <f>-IFERROR('4. NPV'!MRO24/'4. NPV'!MRO$8,0)</f>
        <v>-0.0</v>
      </c>
      <c r="MRO55" s="5">
        <f>-IFERROR('4. NPV'!MRP24/'4. NPV'!MRP$8,0)</f>
        <v>-0.0</v>
      </c>
      <c r="MRP55" s="5">
        <f>-IFERROR('4. NPV'!MRQ24/'4. NPV'!MRQ$8,0)</f>
        <v>-0.0</v>
      </c>
      <c r="MRQ55" s="5">
        <f>-IFERROR('4. NPV'!MRR24/'4. NPV'!MRR$8,0)</f>
        <v>-0.0</v>
      </c>
      <c r="MRR55" s="5">
        <f>-IFERROR('4. NPV'!MRS24/'4. NPV'!MRS$8,0)</f>
        <v>-0.0</v>
      </c>
      <c r="MRS55" s="5">
        <f>-IFERROR('4. NPV'!MRT24/'4. NPV'!MRT$8,0)</f>
        <v>-0.0</v>
      </c>
      <c r="MRT55" s="5">
        <f>-IFERROR('4. NPV'!MRU24/'4. NPV'!MRU$8,0)</f>
        <v>-0.0</v>
      </c>
      <c r="MRU55" s="5">
        <f>-IFERROR('4. NPV'!MRV24/'4. NPV'!MRV$8,0)</f>
        <v>-0.0</v>
      </c>
      <c r="MRV55" s="5">
        <f>-IFERROR('4. NPV'!MRW24/'4. NPV'!MRW$8,0)</f>
        <v>-0.0</v>
      </c>
      <c r="MRW55" s="5">
        <f>-IFERROR('4. NPV'!MRX24/'4. NPV'!MRX$8,0)</f>
        <v>-0.0</v>
      </c>
      <c r="MRX55" s="5">
        <f>-IFERROR('4. NPV'!MRY24/'4. NPV'!MRY$8,0)</f>
        <v>-0.0</v>
      </c>
      <c r="MRY55" s="5">
        <f>-IFERROR('4. NPV'!MRZ24/'4. NPV'!MRZ$8,0)</f>
        <v>-0.0</v>
      </c>
      <c r="MRZ55" s="5">
        <f>-IFERROR('4. NPV'!MSA24/'4. NPV'!MSA$8,0)</f>
        <v>-0.0</v>
      </c>
      <c r="MSA55" s="5">
        <f>-IFERROR('4. NPV'!MSB24/'4. NPV'!MSB$8,0)</f>
        <v>-0.0</v>
      </c>
      <c r="MSB55" s="5">
        <f>-IFERROR('4. NPV'!MSC24/'4. NPV'!MSC$8,0)</f>
        <v>-0.0</v>
      </c>
      <c r="MSC55" s="5">
        <f>-IFERROR('4. NPV'!MSD24/'4. NPV'!MSD$8,0)</f>
        <v>-0.0</v>
      </c>
      <c r="MSD55" s="5">
        <f>-IFERROR('4. NPV'!MSE24/'4. NPV'!MSE$8,0)</f>
        <v>-0.0</v>
      </c>
      <c r="MSE55" s="5">
        <f>-IFERROR('4. NPV'!MSF24/'4. NPV'!MSF$8,0)</f>
        <v>-0.0</v>
      </c>
      <c r="MSF55" s="5">
        <f>-IFERROR('4. NPV'!MSG24/'4. NPV'!MSG$8,0)</f>
        <v>-0.0</v>
      </c>
      <c r="MSG55" s="5">
        <f>-IFERROR('4. NPV'!MSH24/'4. NPV'!MSH$8,0)</f>
        <v>-0.0</v>
      </c>
      <c r="MSH55" s="5">
        <f>-IFERROR('4. NPV'!MSI24/'4. NPV'!MSI$8,0)</f>
        <v>-0.0</v>
      </c>
      <c r="MSI55" s="5">
        <f>-IFERROR('4. NPV'!MSJ24/'4. NPV'!MSJ$8,0)</f>
        <v>-0.0</v>
      </c>
      <c r="MSJ55" s="5">
        <f>-IFERROR('4. NPV'!MSK24/'4. NPV'!MSK$8,0)</f>
        <v>-0.0</v>
      </c>
      <c r="MSK55" s="5">
        <f>-IFERROR('4. NPV'!MSL24/'4. NPV'!MSL$8,0)</f>
        <v>-0.0</v>
      </c>
      <c r="MSL55" s="5">
        <f>-IFERROR('4. NPV'!MSM24/'4. NPV'!MSM$8,0)</f>
        <v>-0.0</v>
      </c>
      <c r="MSM55" s="5">
        <f>-IFERROR('4. NPV'!MSN24/'4. NPV'!MSN$8,0)</f>
        <v>-0.0</v>
      </c>
      <c r="MSN55" s="5">
        <f>-IFERROR('4. NPV'!MSO24/'4. NPV'!MSO$8,0)</f>
        <v>-0.0</v>
      </c>
      <c r="MSO55" s="5">
        <f>-IFERROR('4. NPV'!MSP24/'4. NPV'!MSP$8,0)</f>
        <v>-0.0</v>
      </c>
      <c r="MSP55" s="5">
        <f>-IFERROR('4. NPV'!MSQ24/'4. NPV'!MSQ$8,0)</f>
        <v>-0.0</v>
      </c>
      <c r="MSQ55" s="5">
        <f>-IFERROR('4. NPV'!MSR24/'4. NPV'!MSR$8,0)</f>
        <v>-0.0</v>
      </c>
      <c r="MSR55" s="5">
        <f>-IFERROR('4. NPV'!MSS24/'4. NPV'!MSS$8,0)</f>
        <v>-0.0</v>
      </c>
      <c r="MSS55" s="5">
        <f>-IFERROR('4. NPV'!MST24/'4. NPV'!MST$8,0)</f>
        <v>-0.0</v>
      </c>
      <c r="MST55" s="5">
        <f>-IFERROR('4. NPV'!MSU24/'4. NPV'!MSU$8,0)</f>
        <v>-0.0</v>
      </c>
      <c r="MSU55" s="5">
        <f>-IFERROR('4. NPV'!MSV24/'4. NPV'!MSV$8,0)</f>
        <v>-0.0</v>
      </c>
      <c r="MSV55" s="5">
        <f>-IFERROR('4. NPV'!MSW24/'4. NPV'!MSW$8,0)</f>
        <v>-0.0</v>
      </c>
      <c r="MSW55" s="5">
        <f>-IFERROR('4. NPV'!MSX24/'4. NPV'!MSX$8,0)</f>
        <v>-0.0</v>
      </c>
      <c r="MSX55" s="5">
        <f>-IFERROR('4. NPV'!MSY24/'4. NPV'!MSY$8,0)</f>
        <v>-0.0</v>
      </c>
      <c r="MSY55" s="5">
        <f>-IFERROR('4. NPV'!MSZ24/'4. NPV'!MSZ$8,0)</f>
        <v>-0.0</v>
      </c>
      <c r="MSZ55" s="5">
        <f>-IFERROR('4. NPV'!MTA24/'4. NPV'!MTA$8,0)</f>
        <v>-0.0</v>
      </c>
      <c r="MTA55" s="5">
        <f>-IFERROR('4. NPV'!MTB24/'4. NPV'!MTB$8,0)</f>
        <v>-0.0</v>
      </c>
      <c r="MTB55" s="5">
        <f>-IFERROR('4. NPV'!MTC24/'4. NPV'!MTC$8,0)</f>
        <v>-0.0</v>
      </c>
      <c r="MTC55" s="5">
        <f>-IFERROR('4. NPV'!MTD24/'4. NPV'!MTD$8,0)</f>
        <v>-0.0</v>
      </c>
      <c r="MTD55" s="5">
        <f>-IFERROR('4. NPV'!MTE24/'4. NPV'!MTE$8,0)</f>
        <v>-0.0</v>
      </c>
      <c r="MTE55" s="5">
        <f>-IFERROR('4. NPV'!MTF24/'4. NPV'!MTF$8,0)</f>
        <v>-0.0</v>
      </c>
      <c r="MTF55" s="5">
        <f>-IFERROR('4. NPV'!MTG24/'4. NPV'!MTG$8,0)</f>
        <v>-0.0</v>
      </c>
      <c r="MTG55" s="5">
        <f>-IFERROR('4. NPV'!MTH24/'4. NPV'!MTH$8,0)</f>
        <v>-0.0</v>
      </c>
      <c r="MTH55" s="5">
        <f>-IFERROR('4. NPV'!MTI24/'4. NPV'!MTI$8,0)</f>
        <v>-0.0</v>
      </c>
      <c r="MTI55" s="5">
        <f>-IFERROR('4. NPV'!MTJ24/'4. NPV'!MTJ$8,0)</f>
        <v>-0.0</v>
      </c>
      <c r="MTJ55" s="5">
        <f>-IFERROR('4. NPV'!MTK24/'4. NPV'!MTK$8,0)</f>
        <v>-0.0</v>
      </c>
      <c r="MTK55" s="5">
        <f>-IFERROR('4. NPV'!MTL24/'4. NPV'!MTL$8,0)</f>
        <v>-0.0</v>
      </c>
      <c r="MTL55" s="5">
        <f>-IFERROR('4. NPV'!MTM24/'4. NPV'!MTM$8,0)</f>
        <v>-0.0</v>
      </c>
      <c r="MTM55" s="5">
        <f>-IFERROR('4. NPV'!MTN24/'4. NPV'!MTN$8,0)</f>
        <v>-0.0</v>
      </c>
      <c r="MTN55" s="5">
        <f>-IFERROR('4. NPV'!MTO24/'4. NPV'!MTO$8,0)</f>
        <v>-0.0</v>
      </c>
      <c r="MTO55" s="5">
        <f>-IFERROR('4. NPV'!MTP24/'4. NPV'!MTP$8,0)</f>
        <v>-0.0</v>
      </c>
      <c r="MTP55" s="5">
        <f>-IFERROR('4. NPV'!MTQ24/'4. NPV'!MTQ$8,0)</f>
        <v>-0.0</v>
      </c>
      <c r="MTQ55" s="5">
        <f>-IFERROR('4. NPV'!MTR24/'4. NPV'!MTR$8,0)</f>
        <v>-0.0</v>
      </c>
      <c r="MTR55" s="5">
        <f>-IFERROR('4. NPV'!MTS24/'4. NPV'!MTS$8,0)</f>
        <v>-0.0</v>
      </c>
      <c r="MTS55" s="5">
        <f>-IFERROR('4. NPV'!MTT24/'4. NPV'!MTT$8,0)</f>
        <v>-0.0</v>
      </c>
      <c r="MTT55" s="5">
        <f>-IFERROR('4. NPV'!MTU24/'4. NPV'!MTU$8,0)</f>
        <v>-0.0</v>
      </c>
      <c r="MTU55" s="5">
        <f>-IFERROR('4. NPV'!MTV24/'4. NPV'!MTV$8,0)</f>
        <v>-0.0</v>
      </c>
      <c r="MTV55" s="5">
        <f>-IFERROR('4. NPV'!MTW24/'4. NPV'!MTW$8,0)</f>
        <v>-0.0</v>
      </c>
      <c r="MTW55" s="5">
        <f>-IFERROR('4. NPV'!MTX24/'4. NPV'!MTX$8,0)</f>
        <v>-0.0</v>
      </c>
      <c r="MTX55" s="5">
        <f>-IFERROR('4. NPV'!MTY24/'4. NPV'!MTY$8,0)</f>
        <v>-0.0</v>
      </c>
      <c r="MTY55" s="5">
        <f>-IFERROR('4. NPV'!MTZ24/'4. NPV'!MTZ$8,0)</f>
        <v>-0.0</v>
      </c>
      <c r="MTZ55" s="5">
        <f>-IFERROR('4. NPV'!MUA24/'4. NPV'!MUA$8,0)</f>
        <v>-0.0</v>
      </c>
      <c r="MUA55" s="5">
        <f>-IFERROR('4. NPV'!MUB24/'4. NPV'!MUB$8,0)</f>
        <v>-0.0</v>
      </c>
      <c r="MUB55" s="5">
        <f>-IFERROR('4. NPV'!MUC24/'4. NPV'!MUC$8,0)</f>
        <v>-0.0</v>
      </c>
      <c r="MUC55" s="5">
        <f>-IFERROR('4. NPV'!MUD24/'4. NPV'!MUD$8,0)</f>
        <v>-0.0</v>
      </c>
      <c r="MUD55" s="5">
        <f>-IFERROR('4. NPV'!MUE24/'4. NPV'!MUE$8,0)</f>
        <v>-0.0</v>
      </c>
      <c r="MUE55" s="5">
        <f>-IFERROR('4. NPV'!MUF24/'4. NPV'!MUF$8,0)</f>
        <v>-0.0</v>
      </c>
      <c r="MUF55" s="5">
        <f>-IFERROR('4. NPV'!MUG24/'4. NPV'!MUG$8,0)</f>
        <v>-0.0</v>
      </c>
      <c r="MUG55" s="5">
        <f>-IFERROR('4. NPV'!MUH24/'4. NPV'!MUH$8,0)</f>
        <v>-0.0</v>
      </c>
      <c r="MUH55" s="5">
        <f>-IFERROR('4. NPV'!MUI24/'4. NPV'!MUI$8,0)</f>
        <v>-0.0</v>
      </c>
      <c r="MUI55" s="5">
        <f>-IFERROR('4. NPV'!MUJ24/'4. NPV'!MUJ$8,0)</f>
        <v>-0.0</v>
      </c>
      <c r="MUJ55" s="5">
        <f>-IFERROR('4. NPV'!MUK24/'4. NPV'!MUK$8,0)</f>
        <v>-0.0</v>
      </c>
      <c r="MUK55" s="5">
        <f>-IFERROR('4. NPV'!MUL24/'4. NPV'!MUL$8,0)</f>
        <v>-0.0</v>
      </c>
      <c r="MUL55" s="5">
        <f>-IFERROR('4. NPV'!MUM24/'4. NPV'!MUM$8,0)</f>
        <v>-0.0</v>
      </c>
      <c r="MUM55" s="5">
        <f>-IFERROR('4. NPV'!MUN24/'4. NPV'!MUN$8,0)</f>
        <v>-0.0</v>
      </c>
      <c r="MUN55" s="5">
        <f>-IFERROR('4. NPV'!MUO24/'4. NPV'!MUO$8,0)</f>
        <v>-0.0</v>
      </c>
      <c r="MUO55" s="5">
        <f>-IFERROR('4. NPV'!MUP24/'4. NPV'!MUP$8,0)</f>
        <v>-0.0</v>
      </c>
      <c r="MUP55" s="5">
        <f>-IFERROR('4. NPV'!MUQ24/'4. NPV'!MUQ$8,0)</f>
        <v>-0.0</v>
      </c>
      <c r="MUQ55" s="5">
        <f>-IFERROR('4. NPV'!MUR24/'4. NPV'!MUR$8,0)</f>
        <v>-0.0</v>
      </c>
      <c r="MUR55" s="5">
        <f>-IFERROR('4. NPV'!MUS24/'4. NPV'!MUS$8,0)</f>
        <v>-0.0</v>
      </c>
      <c r="MUS55" s="5">
        <f>-IFERROR('4. NPV'!MUT24/'4. NPV'!MUT$8,0)</f>
        <v>-0.0</v>
      </c>
      <c r="MUT55" s="5">
        <f>-IFERROR('4. NPV'!MUU24/'4. NPV'!MUU$8,0)</f>
        <v>-0.0</v>
      </c>
      <c r="MUU55" s="5">
        <f>-IFERROR('4. NPV'!MUV24/'4. NPV'!MUV$8,0)</f>
        <v>-0.0</v>
      </c>
      <c r="MUV55" s="5">
        <f>-IFERROR('4. NPV'!MUW24/'4. NPV'!MUW$8,0)</f>
        <v>-0.0</v>
      </c>
      <c r="MUW55" s="5">
        <f>-IFERROR('4. NPV'!MUX24/'4. NPV'!MUX$8,0)</f>
        <v>-0.0</v>
      </c>
      <c r="MUX55" s="5">
        <f>-IFERROR('4. NPV'!MUY24/'4. NPV'!MUY$8,0)</f>
        <v>-0.0</v>
      </c>
      <c r="MUY55" s="5">
        <f>-IFERROR('4. NPV'!MUZ24/'4. NPV'!MUZ$8,0)</f>
        <v>-0.0</v>
      </c>
      <c r="MUZ55" s="5">
        <f>-IFERROR('4. NPV'!MVA24/'4. NPV'!MVA$8,0)</f>
        <v>-0.0</v>
      </c>
      <c r="MVA55" s="5">
        <f>-IFERROR('4. NPV'!MVB24/'4. NPV'!MVB$8,0)</f>
        <v>-0.0</v>
      </c>
      <c r="MVB55" s="5">
        <f>-IFERROR('4. NPV'!MVC24/'4. NPV'!MVC$8,0)</f>
        <v>-0.0</v>
      </c>
      <c r="MVC55" s="5">
        <f>-IFERROR('4. NPV'!MVD24/'4. NPV'!MVD$8,0)</f>
        <v>-0.0</v>
      </c>
      <c r="MVD55" s="5">
        <f>-IFERROR('4. NPV'!MVE24/'4. NPV'!MVE$8,0)</f>
        <v>-0.0</v>
      </c>
      <c r="MVE55" s="5">
        <f>-IFERROR('4. NPV'!MVF24/'4. NPV'!MVF$8,0)</f>
        <v>-0.0</v>
      </c>
      <c r="MVF55" s="5">
        <f>-IFERROR('4. NPV'!MVG24/'4. NPV'!MVG$8,0)</f>
        <v>-0.0</v>
      </c>
      <c r="MVG55" s="5">
        <f>-IFERROR('4. NPV'!MVH24/'4. NPV'!MVH$8,0)</f>
        <v>-0.0</v>
      </c>
      <c r="MVH55" s="5">
        <f>-IFERROR('4. NPV'!MVI24/'4. NPV'!MVI$8,0)</f>
        <v>-0.0</v>
      </c>
      <c r="MVI55" s="5">
        <f>-IFERROR('4. NPV'!MVJ24/'4. NPV'!MVJ$8,0)</f>
        <v>-0.0</v>
      </c>
      <c r="MVJ55" s="5">
        <f>-IFERROR('4. NPV'!MVK24/'4. NPV'!MVK$8,0)</f>
        <v>-0.0</v>
      </c>
      <c r="MVK55" s="5">
        <f>-IFERROR('4. NPV'!MVL24/'4. NPV'!MVL$8,0)</f>
        <v>-0.0</v>
      </c>
      <c r="MVL55" s="5">
        <f>-IFERROR('4. NPV'!MVM24/'4. NPV'!MVM$8,0)</f>
        <v>-0.0</v>
      </c>
      <c r="MVM55" s="5">
        <f>-IFERROR('4. NPV'!MVN24/'4. NPV'!MVN$8,0)</f>
        <v>-0.0</v>
      </c>
      <c r="MVN55" s="5">
        <f>-IFERROR('4. NPV'!MVO24/'4. NPV'!MVO$8,0)</f>
        <v>-0.0</v>
      </c>
      <c r="MVO55" s="5">
        <f>-IFERROR('4. NPV'!MVP24/'4. NPV'!MVP$8,0)</f>
        <v>-0.0</v>
      </c>
      <c r="MVP55" s="5">
        <f>-IFERROR('4. NPV'!MVQ24/'4. NPV'!MVQ$8,0)</f>
        <v>-0.0</v>
      </c>
      <c r="MVQ55" s="5">
        <f>-IFERROR('4. NPV'!MVR24/'4. NPV'!MVR$8,0)</f>
        <v>-0.0</v>
      </c>
      <c r="MVR55" s="5">
        <f>-IFERROR('4. NPV'!MVS24/'4. NPV'!MVS$8,0)</f>
        <v>-0.0</v>
      </c>
      <c r="MVS55" s="5">
        <f>-IFERROR('4. NPV'!MVT24/'4. NPV'!MVT$8,0)</f>
        <v>-0.0</v>
      </c>
      <c r="MVT55" s="5">
        <f>-IFERROR('4. NPV'!MVU24/'4. NPV'!MVU$8,0)</f>
        <v>-0.0</v>
      </c>
      <c r="MVU55" s="5">
        <f>-IFERROR('4. NPV'!MVV24/'4. NPV'!MVV$8,0)</f>
        <v>-0.0</v>
      </c>
      <c r="MVV55" s="5">
        <f>-IFERROR('4. NPV'!MVW24/'4. NPV'!MVW$8,0)</f>
        <v>-0.0</v>
      </c>
      <c r="MVW55" s="5">
        <f>-IFERROR('4. NPV'!MVX24/'4. NPV'!MVX$8,0)</f>
        <v>-0.0</v>
      </c>
      <c r="MVX55" s="5">
        <f>-IFERROR('4. NPV'!MVY24/'4. NPV'!MVY$8,0)</f>
        <v>-0.0</v>
      </c>
      <c r="MVY55" s="5">
        <f>-IFERROR('4. NPV'!MVZ24/'4. NPV'!MVZ$8,0)</f>
        <v>-0.0</v>
      </c>
      <c r="MVZ55" s="5">
        <f>-IFERROR('4. NPV'!MWA24/'4. NPV'!MWA$8,0)</f>
        <v>-0.0</v>
      </c>
      <c r="MWA55" s="5">
        <f>-IFERROR('4. NPV'!MWB24/'4. NPV'!MWB$8,0)</f>
        <v>-0.0</v>
      </c>
      <c r="MWB55" s="5">
        <f>-IFERROR('4. NPV'!MWC24/'4. NPV'!MWC$8,0)</f>
        <v>-0.0</v>
      </c>
      <c r="MWC55" s="5">
        <f>-IFERROR('4. NPV'!MWD24/'4. NPV'!MWD$8,0)</f>
        <v>-0.0</v>
      </c>
      <c r="MWD55" s="5">
        <f>-IFERROR('4. NPV'!MWE24/'4. NPV'!MWE$8,0)</f>
        <v>-0.0</v>
      </c>
      <c r="MWE55" s="5">
        <f>-IFERROR('4. NPV'!MWF24/'4. NPV'!MWF$8,0)</f>
        <v>-0.0</v>
      </c>
      <c r="MWF55" s="5">
        <f>-IFERROR('4. NPV'!MWG24/'4. NPV'!MWG$8,0)</f>
        <v>-0.0</v>
      </c>
      <c r="MWG55" s="5">
        <f>-IFERROR('4. NPV'!MWH24/'4. NPV'!MWH$8,0)</f>
        <v>-0.0</v>
      </c>
      <c r="MWH55" s="5">
        <f>-IFERROR('4. NPV'!MWI24/'4. NPV'!MWI$8,0)</f>
        <v>-0.0</v>
      </c>
      <c r="MWI55" s="5">
        <f>-IFERROR('4. NPV'!MWJ24/'4. NPV'!MWJ$8,0)</f>
        <v>-0.0</v>
      </c>
      <c r="MWJ55" s="5">
        <f>-IFERROR('4. NPV'!MWK24/'4. NPV'!MWK$8,0)</f>
        <v>-0.0</v>
      </c>
      <c r="MWK55" s="5">
        <f>-IFERROR('4. NPV'!MWL24/'4. NPV'!MWL$8,0)</f>
        <v>-0.0</v>
      </c>
      <c r="MWL55" s="5">
        <f>-IFERROR('4. NPV'!MWM24/'4. NPV'!MWM$8,0)</f>
        <v>-0.0</v>
      </c>
      <c r="MWM55" s="5">
        <f>-IFERROR('4. NPV'!MWN24/'4. NPV'!MWN$8,0)</f>
        <v>-0.0</v>
      </c>
      <c r="MWN55" s="5">
        <f>-IFERROR('4. NPV'!MWO24/'4. NPV'!MWO$8,0)</f>
        <v>-0.0</v>
      </c>
      <c r="MWO55" s="5">
        <f>-IFERROR('4. NPV'!MWP24/'4. NPV'!MWP$8,0)</f>
        <v>-0.0</v>
      </c>
      <c r="MWP55" s="5">
        <f>-IFERROR('4. NPV'!MWQ24/'4. NPV'!MWQ$8,0)</f>
        <v>-0.0</v>
      </c>
      <c r="MWQ55" s="5">
        <f>-IFERROR('4. NPV'!MWR24/'4. NPV'!MWR$8,0)</f>
        <v>-0.0</v>
      </c>
      <c r="MWR55" s="5">
        <f>-IFERROR('4. NPV'!MWS24/'4. NPV'!MWS$8,0)</f>
        <v>-0.0</v>
      </c>
      <c r="MWS55" s="5">
        <f>-IFERROR('4. NPV'!MWT24/'4. NPV'!MWT$8,0)</f>
        <v>-0.0</v>
      </c>
      <c r="MWT55" s="5">
        <f>-IFERROR('4. NPV'!MWU24/'4. NPV'!MWU$8,0)</f>
        <v>-0.0</v>
      </c>
      <c r="MWU55" s="5">
        <f>-IFERROR('4. NPV'!MWV24/'4. NPV'!MWV$8,0)</f>
        <v>-0.0</v>
      </c>
      <c r="MWV55" s="5">
        <f>-IFERROR('4. NPV'!MWW24/'4. NPV'!MWW$8,0)</f>
        <v>-0.0</v>
      </c>
      <c r="MWW55" s="5">
        <f>-IFERROR('4. NPV'!MWX24/'4. NPV'!MWX$8,0)</f>
        <v>-0.0</v>
      </c>
      <c r="MWX55" s="5">
        <f>-IFERROR('4. NPV'!MWY24/'4. NPV'!MWY$8,0)</f>
        <v>-0.0</v>
      </c>
      <c r="MWY55" s="5">
        <f>-IFERROR('4. NPV'!MWZ24/'4. NPV'!MWZ$8,0)</f>
        <v>-0.0</v>
      </c>
      <c r="MWZ55" s="5">
        <f>-IFERROR('4. NPV'!MXA24/'4. NPV'!MXA$8,0)</f>
        <v>-0.0</v>
      </c>
      <c r="MXA55" s="5">
        <f>-IFERROR('4. NPV'!MXB24/'4. NPV'!MXB$8,0)</f>
        <v>-0.0</v>
      </c>
      <c r="MXB55" s="5">
        <f>-IFERROR('4. NPV'!MXC24/'4. NPV'!MXC$8,0)</f>
        <v>-0.0</v>
      </c>
      <c r="MXC55" s="5">
        <f>-IFERROR('4. NPV'!MXD24/'4. NPV'!MXD$8,0)</f>
        <v>-0.0</v>
      </c>
      <c r="MXD55" s="5">
        <f>-IFERROR('4. NPV'!MXE24/'4. NPV'!MXE$8,0)</f>
        <v>-0.0</v>
      </c>
      <c r="MXE55" s="5">
        <f>-IFERROR('4. NPV'!MXF24/'4. NPV'!MXF$8,0)</f>
        <v>-0.0</v>
      </c>
      <c r="MXF55" s="5">
        <f>-IFERROR('4. NPV'!MXG24/'4. NPV'!MXG$8,0)</f>
        <v>-0.0</v>
      </c>
      <c r="MXG55" s="5">
        <f>-IFERROR('4. NPV'!MXH24/'4. NPV'!MXH$8,0)</f>
        <v>-0.0</v>
      </c>
      <c r="MXH55" s="5">
        <f>-IFERROR('4. NPV'!MXI24/'4. NPV'!MXI$8,0)</f>
        <v>-0.0</v>
      </c>
      <c r="MXI55" s="5">
        <f>-IFERROR('4. NPV'!MXJ24/'4. NPV'!MXJ$8,0)</f>
        <v>-0.0</v>
      </c>
      <c r="MXJ55" s="5">
        <f>-IFERROR('4. NPV'!MXK24/'4. NPV'!MXK$8,0)</f>
        <v>-0.0</v>
      </c>
      <c r="MXK55" s="5">
        <f>-IFERROR('4. NPV'!MXL24/'4. NPV'!MXL$8,0)</f>
        <v>-0.0</v>
      </c>
      <c r="MXL55" s="5">
        <f>-IFERROR('4. NPV'!MXM24/'4. NPV'!MXM$8,0)</f>
        <v>-0.0</v>
      </c>
      <c r="MXM55" s="5">
        <f>-IFERROR('4. NPV'!MXN24/'4. NPV'!MXN$8,0)</f>
        <v>-0.0</v>
      </c>
      <c r="MXN55" s="5">
        <f>-IFERROR('4. NPV'!MXO24/'4. NPV'!MXO$8,0)</f>
        <v>-0.0</v>
      </c>
      <c r="MXO55" s="5">
        <f>-IFERROR('4. NPV'!MXP24/'4. NPV'!MXP$8,0)</f>
        <v>-0.0</v>
      </c>
      <c r="MXP55" s="5">
        <f>-IFERROR('4. NPV'!MXQ24/'4. NPV'!MXQ$8,0)</f>
        <v>-0.0</v>
      </c>
      <c r="MXQ55" s="5">
        <f>-IFERROR('4. NPV'!MXR24/'4. NPV'!MXR$8,0)</f>
        <v>-0.0</v>
      </c>
      <c r="MXR55" s="5">
        <f>-IFERROR('4. NPV'!MXS24/'4. NPV'!MXS$8,0)</f>
        <v>-0.0</v>
      </c>
      <c r="MXS55" s="5">
        <f>-IFERROR('4. NPV'!MXT24/'4. NPV'!MXT$8,0)</f>
        <v>-0.0</v>
      </c>
      <c r="MXT55" s="5">
        <f>-IFERROR('4. NPV'!MXU24/'4. NPV'!MXU$8,0)</f>
        <v>-0.0</v>
      </c>
      <c r="MXU55" s="5">
        <f>-IFERROR('4. NPV'!MXV24/'4. NPV'!MXV$8,0)</f>
        <v>-0.0</v>
      </c>
      <c r="MXV55" s="5">
        <f>-IFERROR('4. NPV'!MXW24/'4. NPV'!MXW$8,0)</f>
        <v>-0.0</v>
      </c>
      <c r="MXW55" s="5">
        <f>-IFERROR('4. NPV'!MXX24/'4. NPV'!MXX$8,0)</f>
        <v>-0.0</v>
      </c>
      <c r="MXX55" s="5">
        <f>-IFERROR('4. NPV'!MXY24/'4. NPV'!MXY$8,0)</f>
        <v>-0.0</v>
      </c>
      <c r="MXY55" s="5">
        <f>-IFERROR('4. NPV'!MXZ24/'4. NPV'!MXZ$8,0)</f>
        <v>-0.0</v>
      </c>
      <c r="MXZ55" s="5">
        <f>-IFERROR('4. NPV'!MYA24/'4. NPV'!MYA$8,0)</f>
        <v>-0.0</v>
      </c>
      <c r="MYA55" s="5">
        <f>-IFERROR('4. NPV'!MYB24/'4. NPV'!MYB$8,0)</f>
        <v>-0.0</v>
      </c>
      <c r="MYB55" s="5">
        <f>-IFERROR('4. NPV'!MYC24/'4. NPV'!MYC$8,0)</f>
        <v>-0.0</v>
      </c>
      <c r="MYC55" s="5">
        <f>-IFERROR('4. NPV'!MYD24/'4. NPV'!MYD$8,0)</f>
        <v>-0.0</v>
      </c>
      <c r="MYD55" s="5">
        <f>-IFERROR('4. NPV'!MYE24/'4. NPV'!MYE$8,0)</f>
        <v>-0.0</v>
      </c>
      <c r="MYE55" s="5">
        <f>-IFERROR('4. NPV'!MYF24/'4. NPV'!MYF$8,0)</f>
        <v>-0.0</v>
      </c>
      <c r="MYF55" s="5">
        <f>-IFERROR('4. NPV'!MYG24/'4. NPV'!MYG$8,0)</f>
        <v>-0.0</v>
      </c>
      <c r="MYG55" s="5">
        <f>-IFERROR('4. NPV'!MYH24/'4. NPV'!MYH$8,0)</f>
        <v>-0.0</v>
      </c>
      <c r="MYH55" s="5">
        <f>-IFERROR('4. NPV'!MYI24/'4. NPV'!MYI$8,0)</f>
        <v>-0.0</v>
      </c>
      <c r="MYI55" s="5">
        <f>-IFERROR('4. NPV'!MYJ24/'4. NPV'!MYJ$8,0)</f>
        <v>-0.0</v>
      </c>
      <c r="MYJ55" s="5">
        <f>-IFERROR('4. NPV'!MYK24/'4. NPV'!MYK$8,0)</f>
        <v>-0.0</v>
      </c>
      <c r="MYK55" s="5">
        <f>-IFERROR('4. NPV'!MYL24/'4. NPV'!MYL$8,0)</f>
        <v>-0.0</v>
      </c>
      <c r="MYL55" s="5">
        <f>-IFERROR('4. NPV'!MYM24/'4. NPV'!MYM$8,0)</f>
        <v>-0.0</v>
      </c>
      <c r="MYM55" s="5">
        <f>-IFERROR('4. NPV'!MYN24/'4. NPV'!MYN$8,0)</f>
        <v>-0.0</v>
      </c>
      <c r="MYN55" s="5">
        <f>-IFERROR('4. NPV'!MYO24/'4. NPV'!MYO$8,0)</f>
        <v>-0.0</v>
      </c>
      <c r="MYO55" s="5">
        <f>-IFERROR('4. NPV'!MYP24/'4. NPV'!MYP$8,0)</f>
        <v>-0.0</v>
      </c>
      <c r="MYP55" s="5">
        <f>-IFERROR('4. NPV'!MYQ24/'4. NPV'!MYQ$8,0)</f>
        <v>-0.0</v>
      </c>
      <c r="MYQ55" s="5">
        <f>-IFERROR('4. NPV'!MYR24/'4. NPV'!MYR$8,0)</f>
        <v>-0.0</v>
      </c>
      <c r="MYR55" s="5">
        <f>-IFERROR('4. NPV'!MYS24/'4. NPV'!MYS$8,0)</f>
        <v>-0.0</v>
      </c>
      <c r="MYS55" s="5">
        <f>-IFERROR('4. NPV'!MYT24/'4. NPV'!MYT$8,0)</f>
        <v>-0.0</v>
      </c>
      <c r="MYT55" s="5">
        <f>-IFERROR('4. NPV'!MYU24/'4. NPV'!MYU$8,0)</f>
        <v>-0.0</v>
      </c>
      <c r="MYU55" s="5">
        <f>-IFERROR('4. NPV'!MYV24/'4. NPV'!MYV$8,0)</f>
        <v>-0.0</v>
      </c>
      <c r="MYV55" s="5">
        <f>-IFERROR('4. NPV'!MYW24/'4. NPV'!MYW$8,0)</f>
        <v>-0.0</v>
      </c>
      <c r="MYW55" s="5">
        <f>-IFERROR('4. NPV'!MYX24/'4. NPV'!MYX$8,0)</f>
        <v>-0.0</v>
      </c>
      <c r="MYX55" s="5">
        <f>-IFERROR('4. NPV'!MYY24/'4. NPV'!MYY$8,0)</f>
        <v>-0.0</v>
      </c>
      <c r="MYY55" s="5">
        <f>-IFERROR('4. NPV'!MYZ24/'4. NPV'!MYZ$8,0)</f>
        <v>-0.0</v>
      </c>
      <c r="MYZ55" s="5">
        <f>-IFERROR('4. NPV'!MZA24/'4. NPV'!MZA$8,0)</f>
        <v>-0.0</v>
      </c>
      <c r="MZA55" s="5">
        <f>-IFERROR('4. NPV'!MZB24/'4. NPV'!MZB$8,0)</f>
        <v>-0.0</v>
      </c>
      <c r="MZB55" s="5">
        <f>-IFERROR('4. NPV'!MZC24/'4. NPV'!MZC$8,0)</f>
        <v>-0.0</v>
      </c>
      <c r="MZC55" s="5">
        <f>-IFERROR('4. NPV'!MZD24/'4. NPV'!MZD$8,0)</f>
        <v>-0.0</v>
      </c>
      <c r="MZD55" s="5">
        <f>-IFERROR('4. NPV'!MZE24/'4. NPV'!MZE$8,0)</f>
        <v>-0.0</v>
      </c>
      <c r="MZE55" s="5">
        <f>-IFERROR('4. NPV'!MZF24/'4. NPV'!MZF$8,0)</f>
        <v>-0.0</v>
      </c>
      <c r="MZF55" s="5">
        <f>-IFERROR('4. NPV'!MZG24/'4. NPV'!MZG$8,0)</f>
        <v>-0.0</v>
      </c>
      <c r="MZG55" s="5">
        <f>-IFERROR('4. NPV'!MZH24/'4. NPV'!MZH$8,0)</f>
        <v>-0.0</v>
      </c>
      <c r="MZH55" s="5">
        <f>-IFERROR('4. NPV'!MZI24/'4. NPV'!MZI$8,0)</f>
        <v>-0.0</v>
      </c>
      <c r="MZI55" s="5">
        <f>-IFERROR('4. NPV'!MZJ24/'4. NPV'!MZJ$8,0)</f>
        <v>-0.0</v>
      </c>
      <c r="MZJ55" s="5">
        <f>-IFERROR('4. NPV'!MZK24/'4. NPV'!MZK$8,0)</f>
        <v>-0.0</v>
      </c>
      <c r="MZK55" s="5">
        <f>-IFERROR('4. NPV'!MZL24/'4. NPV'!MZL$8,0)</f>
        <v>-0.0</v>
      </c>
      <c r="MZL55" s="5">
        <f>-IFERROR('4. NPV'!MZM24/'4. NPV'!MZM$8,0)</f>
        <v>-0.0</v>
      </c>
      <c r="MZM55" s="5">
        <f>-IFERROR('4. NPV'!MZN24/'4. NPV'!MZN$8,0)</f>
        <v>-0.0</v>
      </c>
      <c r="MZN55" s="5">
        <f>-IFERROR('4. NPV'!MZO24/'4. NPV'!MZO$8,0)</f>
        <v>-0.0</v>
      </c>
      <c r="MZO55" s="5">
        <f>-IFERROR('4. NPV'!MZP24/'4. NPV'!MZP$8,0)</f>
        <v>-0.0</v>
      </c>
      <c r="MZP55" s="5">
        <f>-IFERROR('4. NPV'!MZQ24/'4. NPV'!MZQ$8,0)</f>
        <v>-0.0</v>
      </c>
      <c r="MZQ55" s="5">
        <f>-IFERROR('4. NPV'!MZR24/'4. NPV'!MZR$8,0)</f>
        <v>-0.0</v>
      </c>
      <c r="MZR55" s="5">
        <f>-IFERROR('4. NPV'!MZS24/'4. NPV'!MZS$8,0)</f>
        <v>-0.0</v>
      </c>
      <c r="MZS55" s="5">
        <f>-IFERROR('4. NPV'!MZT24/'4. NPV'!MZT$8,0)</f>
        <v>-0.0</v>
      </c>
      <c r="MZT55" s="5">
        <f>-IFERROR('4. NPV'!MZU24/'4. NPV'!MZU$8,0)</f>
        <v>-0.0</v>
      </c>
      <c r="MZU55" s="5">
        <f>-IFERROR('4. NPV'!MZV24/'4. NPV'!MZV$8,0)</f>
        <v>-0.0</v>
      </c>
      <c r="MZV55" s="5">
        <f>-IFERROR('4. NPV'!MZW24/'4. NPV'!MZW$8,0)</f>
        <v>-0.0</v>
      </c>
      <c r="MZW55" s="5">
        <f>-IFERROR('4. NPV'!MZX24/'4. NPV'!MZX$8,0)</f>
        <v>-0.0</v>
      </c>
      <c r="MZX55" s="5">
        <f>-IFERROR('4. NPV'!MZY24/'4. NPV'!MZY$8,0)</f>
        <v>-0.0</v>
      </c>
      <c r="MZY55" s="5">
        <f>-IFERROR('4. NPV'!MZZ24/'4. NPV'!MZZ$8,0)</f>
        <v>-0.0</v>
      </c>
      <c r="MZZ55" s="5">
        <f>-IFERROR('4. NPV'!NAA24/'4. NPV'!NAA$8,0)</f>
        <v>-0.0</v>
      </c>
      <c r="NAA55" s="5">
        <f>-IFERROR('4. NPV'!NAB24/'4. NPV'!NAB$8,0)</f>
        <v>-0.0</v>
      </c>
      <c r="NAB55" s="5">
        <f>-IFERROR('4. NPV'!NAC24/'4. NPV'!NAC$8,0)</f>
        <v>-0.0</v>
      </c>
      <c r="NAC55" s="5">
        <f>-IFERROR('4. NPV'!NAD24/'4. NPV'!NAD$8,0)</f>
        <v>-0.0</v>
      </c>
      <c r="NAD55" s="5">
        <f>-IFERROR('4. NPV'!NAE24/'4. NPV'!NAE$8,0)</f>
        <v>-0.0</v>
      </c>
      <c r="NAE55" s="5">
        <f>-IFERROR('4. NPV'!NAF24/'4. NPV'!NAF$8,0)</f>
        <v>-0.0</v>
      </c>
      <c r="NAF55" s="5">
        <f>-IFERROR('4. NPV'!NAG24/'4. NPV'!NAG$8,0)</f>
        <v>-0.0</v>
      </c>
      <c r="NAG55" s="5">
        <f>-IFERROR('4. NPV'!NAH24/'4. NPV'!NAH$8,0)</f>
        <v>-0.0</v>
      </c>
      <c r="NAH55" s="5">
        <f>-IFERROR('4. NPV'!NAI24/'4. NPV'!NAI$8,0)</f>
        <v>-0.0</v>
      </c>
      <c r="NAI55" s="5">
        <f>-IFERROR('4. NPV'!NAJ24/'4. NPV'!NAJ$8,0)</f>
        <v>-0.0</v>
      </c>
      <c r="NAJ55" s="5">
        <f>-IFERROR('4. NPV'!NAK24/'4. NPV'!NAK$8,0)</f>
        <v>-0.0</v>
      </c>
      <c r="NAK55" s="5">
        <f>-IFERROR('4. NPV'!NAL24/'4. NPV'!NAL$8,0)</f>
        <v>-0.0</v>
      </c>
      <c r="NAL55" s="5">
        <f>-IFERROR('4. NPV'!NAM24/'4. NPV'!NAM$8,0)</f>
        <v>-0.0</v>
      </c>
      <c r="NAM55" s="5">
        <f>-IFERROR('4. NPV'!NAN24/'4. NPV'!NAN$8,0)</f>
        <v>-0.0</v>
      </c>
      <c r="NAN55" s="5">
        <f>-IFERROR('4. NPV'!NAO24/'4. NPV'!NAO$8,0)</f>
        <v>-0.0</v>
      </c>
      <c r="NAO55" s="5">
        <f>-IFERROR('4. NPV'!NAP24/'4. NPV'!NAP$8,0)</f>
        <v>-0.0</v>
      </c>
      <c r="NAP55" s="5">
        <f>-IFERROR('4. NPV'!NAQ24/'4. NPV'!NAQ$8,0)</f>
        <v>-0.0</v>
      </c>
      <c r="NAQ55" s="5">
        <f>-IFERROR('4. NPV'!NAR24/'4. NPV'!NAR$8,0)</f>
        <v>-0.0</v>
      </c>
      <c r="NAR55" s="5">
        <f>-IFERROR('4. NPV'!NAS24/'4. NPV'!NAS$8,0)</f>
        <v>-0.0</v>
      </c>
      <c r="NAS55" s="5">
        <f>-IFERROR('4. NPV'!NAT24/'4. NPV'!NAT$8,0)</f>
        <v>-0.0</v>
      </c>
      <c r="NAT55" s="5">
        <f>-IFERROR('4. NPV'!NAU24/'4. NPV'!NAU$8,0)</f>
        <v>-0.0</v>
      </c>
      <c r="NAU55" s="5">
        <f>-IFERROR('4. NPV'!NAV24/'4. NPV'!NAV$8,0)</f>
        <v>-0.0</v>
      </c>
      <c r="NAV55" s="5">
        <f>-IFERROR('4. NPV'!NAW24/'4. NPV'!NAW$8,0)</f>
        <v>-0.0</v>
      </c>
      <c r="NAW55" s="5">
        <f>-IFERROR('4. NPV'!NAX24/'4. NPV'!NAX$8,0)</f>
        <v>-0.0</v>
      </c>
      <c r="NAX55" s="5">
        <f>-IFERROR('4. NPV'!NAY24/'4. NPV'!NAY$8,0)</f>
        <v>-0.0</v>
      </c>
      <c r="NAY55" s="5">
        <f>-IFERROR('4. NPV'!NAZ24/'4. NPV'!NAZ$8,0)</f>
        <v>-0.0</v>
      </c>
      <c r="NAZ55" s="5">
        <f>-IFERROR('4. NPV'!NBA24/'4. NPV'!NBA$8,0)</f>
        <v>-0.0</v>
      </c>
      <c r="NBA55" s="5">
        <f>-IFERROR('4. NPV'!NBB24/'4. NPV'!NBB$8,0)</f>
        <v>-0.0</v>
      </c>
      <c r="NBB55" s="5">
        <f>-IFERROR('4. NPV'!NBC24/'4. NPV'!NBC$8,0)</f>
        <v>-0.0</v>
      </c>
      <c r="NBC55" s="5">
        <f>-IFERROR('4. NPV'!NBD24/'4. NPV'!NBD$8,0)</f>
        <v>-0.0</v>
      </c>
      <c r="NBD55" s="5">
        <f>-IFERROR('4. NPV'!NBE24/'4. NPV'!NBE$8,0)</f>
        <v>-0.0</v>
      </c>
      <c r="NBE55" s="5">
        <f>-IFERROR('4. NPV'!NBF24/'4. NPV'!NBF$8,0)</f>
        <v>-0.0</v>
      </c>
      <c r="NBF55" s="5">
        <f>-IFERROR('4. NPV'!NBG24/'4. NPV'!NBG$8,0)</f>
        <v>-0.0</v>
      </c>
      <c r="NBG55" s="5">
        <f>-IFERROR('4. NPV'!NBH24/'4. NPV'!NBH$8,0)</f>
        <v>-0.0</v>
      </c>
      <c r="NBH55" s="5">
        <f>-IFERROR('4. NPV'!NBI24/'4. NPV'!NBI$8,0)</f>
        <v>-0.0</v>
      </c>
      <c r="NBI55" s="5">
        <f>-IFERROR('4. NPV'!NBJ24/'4. NPV'!NBJ$8,0)</f>
        <v>-0.0</v>
      </c>
      <c r="NBJ55" s="5">
        <f>-IFERROR('4. NPV'!NBK24/'4. NPV'!NBK$8,0)</f>
        <v>-0.0</v>
      </c>
      <c r="NBK55" s="5">
        <f>-IFERROR('4. NPV'!NBL24/'4. NPV'!NBL$8,0)</f>
        <v>-0.0</v>
      </c>
      <c r="NBL55" s="5">
        <f>-IFERROR('4. NPV'!NBM24/'4. NPV'!NBM$8,0)</f>
        <v>-0.0</v>
      </c>
      <c r="NBM55" s="5">
        <f>-IFERROR('4. NPV'!NBN24/'4. NPV'!NBN$8,0)</f>
        <v>-0.0</v>
      </c>
      <c r="NBN55" s="5">
        <f>-IFERROR('4. NPV'!NBO24/'4. NPV'!NBO$8,0)</f>
        <v>-0.0</v>
      </c>
      <c r="NBO55" s="5">
        <f>-IFERROR('4. NPV'!NBP24/'4. NPV'!NBP$8,0)</f>
        <v>-0.0</v>
      </c>
      <c r="NBP55" s="5">
        <f>-IFERROR('4. NPV'!NBQ24/'4. NPV'!NBQ$8,0)</f>
        <v>-0.0</v>
      </c>
      <c r="NBQ55" s="5">
        <f>-IFERROR('4. NPV'!NBR24/'4. NPV'!NBR$8,0)</f>
        <v>-0.0</v>
      </c>
      <c r="NBR55" s="5">
        <f>-IFERROR('4. NPV'!NBS24/'4. NPV'!NBS$8,0)</f>
        <v>-0.0</v>
      </c>
      <c r="NBS55" s="5">
        <f>-IFERROR('4. NPV'!NBT24/'4. NPV'!NBT$8,0)</f>
        <v>-0.0</v>
      </c>
      <c r="NBT55" s="5">
        <f>-IFERROR('4. NPV'!NBU24/'4. NPV'!NBU$8,0)</f>
        <v>-0.0</v>
      </c>
      <c r="NBU55" s="5">
        <f>-IFERROR('4. NPV'!NBV24/'4. NPV'!NBV$8,0)</f>
        <v>-0.0</v>
      </c>
      <c r="NBV55" s="5">
        <f>-IFERROR('4. NPV'!NBW24/'4. NPV'!NBW$8,0)</f>
        <v>-0.0</v>
      </c>
      <c r="NBW55" s="5">
        <f>-IFERROR('4. NPV'!NBX24/'4. NPV'!NBX$8,0)</f>
        <v>-0.0</v>
      </c>
      <c r="NBX55" s="5">
        <f>-IFERROR('4. NPV'!NBY24/'4. NPV'!NBY$8,0)</f>
        <v>-0.0</v>
      </c>
      <c r="NBY55" s="5">
        <f>-IFERROR('4. NPV'!NBZ24/'4. NPV'!NBZ$8,0)</f>
        <v>-0.0</v>
      </c>
      <c r="NBZ55" s="5">
        <f>-IFERROR('4. NPV'!NCA24/'4. NPV'!NCA$8,0)</f>
        <v>-0.0</v>
      </c>
      <c r="NCA55" s="5">
        <f>-IFERROR('4. NPV'!NCB24/'4. NPV'!NCB$8,0)</f>
        <v>-0.0</v>
      </c>
      <c r="NCB55" s="5">
        <f>-IFERROR('4. NPV'!NCC24/'4. NPV'!NCC$8,0)</f>
        <v>-0.0</v>
      </c>
      <c r="NCC55" s="5">
        <f>-IFERROR('4. NPV'!NCD24/'4. NPV'!NCD$8,0)</f>
        <v>-0.0</v>
      </c>
      <c r="NCD55" s="5">
        <f>-IFERROR('4. NPV'!NCE24/'4. NPV'!NCE$8,0)</f>
        <v>-0.0</v>
      </c>
      <c r="NCE55" s="5">
        <f>-IFERROR('4. NPV'!NCF24/'4. NPV'!NCF$8,0)</f>
        <v>-0.0</v>
      </c>
      <c r="NCF55" s="5">
        <f>-IFERROR('4. NPV'!NCG24/'4. NPV'!NCG$8,0)</f>
        <v>-0.0</v>
      </c>
      <c r="NCG55" s="5">
        <f>-IFERROR('4. NPV'!NCH24/'4. NPV'!NCH$8,0)</f>
        <v>-0.0</v>
      </c>
      <c r="NCH55" s="5">
        <f>-IFERROR('4. NPV'!NCI24/'4. NPV'!NCI$8,0)</f>
        <v>-0.0</v>
      </c>
      <c r="NCI55" s="5">
        <f>-IFERROR('4. NPV'!NCJ24/'4. NPV'!NCJ$8,0)</f>
        <v>-0.0</v>
      </c>
      <c r="NCJ55" s="5">
        <f>-IFERROR('4. NPV'!NCK24/'4. NPV'!NCK$8,0)</f>
        <v>-0.0</v>
      </c>
      <c r="NCK55" s="5">
        <f>-IFERROR('4. NPV'!NCL24/'4. NPV'!NCL$8,0)</f>
        <v>-0.0</v>
      </c>
      <c r="NCL55" s="5">
        <f>-IFERROR('4. NPV'!NCM24/'4. NPV'!NCM$8,0)</f>
        <v>-0.0</v>
      </c>
      <c r="NCM55" s="5">
        <f>-IFERROR('4. NPV'!NCN24/'4. NPV'!NCN$8,0)</f>
        <v>-0.0</v>
      </c>
      <c r="NCN55" s="5">
        <f>-IFERROR('4. NPV'!NCO24/'4. NPV'!NCO$8,0)</f>
        <v>-0.0</v>
      </c>
      <c r="NCO55" s="5">
        <f>-IFERROR('4. NPV'!NCP24/'4. NPV'!NCP$8,0)</f>
        <v>-0.0</v>
      </c>
      <c r="NCP55" s="5">
        <f>-IFERROR('4. NPV'!NCQ24/'4. NPV'!NCQ$8,0)</f>
        <v>-0.0</v>
      </c>
      <c r="NCQ55" s="5">
        <f>-IFERROR('4. NPV'!NCR24/'4. NPV'!NCR$8,0)</f>
        <v>-0.0</v>
      </c>
      <c r="NCR55" s="5">
        <f>-IFERROR('4. NPV'!NCS24/'4. NPV'!NCS$8,0)</f>
        <v>-0.0</v>
      </c>
      <c r="NCS55" s="5">
        <f>-IFERROR('4. NPV'!NCT24/'4. NPV'!NCT$8,0)</f>
        <v>-0.0</v>
      </c>
      <c r="NCT55" s="5">
        <f>-IFERROR('4. NPV'!NCU24/'4. NPV'!NCU$8,0)</f>
        <v>-0.0</v>
      </c>
      <c r="NCU55" s="5">
        <f>-IFERROR('4. NPV'!NCV24/'4. NPV'!NCV$8,0)</f>
        <v>-0.0</v>
      </c>
      <c r="NCV55" s="5">
        <f>-IFERROR('4. NPV'!NCW24/'4. NPV'!NCW$8,0)</f>
        <v>-0.0</v>
      </c>
      <c r="NCW55" s="5">
        <f>-IFERROR('4. NPV'!NCX24/'4. NPV'!NCX$8,0)</f>
        <v>-0.0</v>
      </c>
      <c r="NCX55" s="5">
        <f>-IFERROR('4. NPV'!NCY24/'4. NPV'!NCY$8,0)</f>
        <v>-0.0</v>
      </c>
      <c r="NCY55" s="5">
        <f>-IFERROR('4. NPV'!NCZ24/'4. NPV'!NCZ$8,0)</f>
        <v>-0.0</v>
      </c>
      <c r="NCZ55" s="5">
        <f>-IFERROR('4. NPV'!NDA24/'4. NPV'!NDA$8,0)</f>
        <v>-0.0</v>
      </c>
      <c r="NDA55" s="5">
        <f>-IFERROR('4. NPV'!NDB24/'4. NPV'!NDB$8,0)</f>
        <v>-0.0</v>
      </c>
      <c r="NDB55" s="5">
        <f>-IFERROR('4. NPV'!NDC24/'4. NPV'!NDC$8,0)</f>
        <v>-0.0</v>
      </c>
      <c r="NDC55" s="5">
        <f>-IFERROR('4. NPV'!NDD24/'4. NPV'!NDD$8,0)</f>
        <v>-0.0</v>
      </c>
      <c r="NDD55" s="5">
        <f>-IFERROR('4. NPV'!NDE24/'4. NPV'!NDE$8,0)</f>
        <v>-0.0</v>
      </c>
      <c r="NDE55" s="5">
        <f>-IFERROR('4. NPV'!NDF24/'4. NPV'!NDF$8,0)</f>
        <v>-0.0</v>
      </c>
      <c r="NDF55" s="5">
        <f>-IFERROR('4. NPV'!NDG24/'4. NPV'!NDG$8,0)</f>
        <v>-0.0</v>
      </c>
      <c r="NDG55" s="5">
        <f>-IFERROR('4. NPV'!NDH24/'4. NPV'!NDH$8,0)</f>
        <v>-0.0</v>
      </c>
      <c r="NDH55" s="5">
        <f>-IFERROR('4. NPV'!NDI24/'4. NPV'!NDI$8,0)</f>
        <v>-0.0</v>
      </c>
      <c r="NDI55" s="5">
        <f>-IFERROR('4. NPV'!NDJ24/'4. NPV'!NDJ$8,0)</f>
        <v>-0.0</v>
      </c>
      <c r="NDJ55" s="5">
        <f>-IFERROR('4. NPV'!NDK24/'4. NPV'!NDK$8,0)</f>
        <v>-0.0</v>
      </c>
      <c r="NDK55" s="5">
        <f>-IFERROR('4. NPV'!NDL24/'4. NPV'!NDL$8,0)</f>
        <v>-0.0</v>
      </c>
      <c r="NDL55" s="5">
        <f>-IFERROR('4. NPV'!NDM24/'4. NPV'!NDM$8,0)</f>
        <v>-0.0</v>
      </c>
      <c r="NDM55" s="5">
        <f>-IFERROR('4. NPV'!NDN24/'4. NPV'!NDN$8,0)</f>
        <v>-0.0</v>
      </c>
      <c r="NDN55" s="5">
        <f>-IFERROR('4. NPV'!NDO24/'4. NPV'!NDO$8,0)</f>
        <v>-0.0</v>
      </c>
      <c r="NDO55" s="5">
        <f>-IFERROR('4. NPV'!NDP24/'4. NPV'!NDP$8,0)</f>
        <v>-0.0</v>
      </c>
      <c r="NDP55" s="5">
        <f>-IFERROR('4. NPV'!NDQ24/'4. NPV'!NDQ$8,0)</f>
        <v>-0.0</v>
      </c>
      <c r="NDQ55" s="5">
        <f>-IFERROR('4. NPV'!NDR24/'4. NPV'!NDR$8,0)</f>
        <v>-0.0</v>
      </c>
      <c r="NDR55" s="5">
        <f>-IFERROR('4. NPV'!NDS24/'4. NPV'!NDS$8,0)</f>
        <v>-0.0</v>
      </c>
      <c r="NDS55" s="5">
        <f>-IFERROR('4. NPV'!NDT24/'4. NPV'!NDT$8,0)</f>
        <v>-0.0</v>
      </c>
      <c r="NDT55" s="5">
        <f>-IFERROR('4. NPV'!NDU24/'4. NPV'!NDU$8,0)</f>
        <v>-0.0</v>
      </c>
      <c r="NDU55" s="5">
        <f>-IFERROR('4. NPV'!NDV24/'4. NPV'!NDV$8,0)</f>
        <v>-0.0</v>
      </c>
      <c r="NDV55" s="5">
        <f>-IFERROR('4. NPV'!NDW24/'4. NPV'!NDW$8,0)</f>
        <v>-0.0</v>
      </c>
      <c r="NDW55" s="5">
        <f>-IFERROR('4. NPV'!NDX24/'4. NPV'!NDX$8,0)</f>
        <v>-0.0</v>
      </c>
      <c r="NDX55" s="5">
        <f>-IFERROR('4. NPV'!NDY24/'4. NPV'!NDY$8,0)</f>
        <v>-0.0</v>
      </c>
      <c r="NDY55" s="5">
        <f>-IFERROR('4. NPV'!NDZ24/'4. NPV'!NDZ$8,0)</f>
        <v>-0.0</v>
      </c>
      <c r="NDZ55" s="5">
        <f>-IFERROR('4. NPV'!NEA24/'4. NPV'!NEA$8,0)</f>
        <v>-0.0</v>
      </c>
      <c r="NEA55" s="5">
        <f>-IFERROR('4. NPV'!NEB24/'4. NPV'!NEB$8,0)</f>
        <v>-0.0</v>
      </c>
      <c r="NEB55" s="5">
        <f>-IFERROR('4. NPV'!NEC24/'4. NPV'!NEC$8,0)</f>
        <v>-0.0</v>
      </c>
      <c r="NEC55" s="5">
        <f>-IFERROR('4. NPV'!NED24/'4. NPV'!NED$8,0)</f>
        <v>-0.0</v>
      </c>
      <c r="NED55" s="5">
        <f>-IFERROR('4. NPV'!NEE24/'4. NPV'!NEE$8,0)</f>
        <v>-0.0</v>
      </c>
      <c r="NEE55" s="5">
        <f>-IFERROR('4. NPV'!NEF24/'4. NPV'!NEF$8,0)</f>
        <v>-0.0</v>
      </c>
      <c r="NEF55" s="5">
        <f>-IFERROR('4. NPV'!NEG24/'4. NPV'!NEG$8,0)</f>
        <v>-0.0</v>
      </c>
      <c r="NEG55" s="5">
        <f>-IFERROR('4. NPV'!NEH24/'4. NPV'!NEH$8,0)</f>
        <v>-0.0</v>
      </c>
      <c r="NEH55" s="5">
        <f>-IFERROR('4. NPV'!NEI24/'4. NPV'!NEI$8,0)</f>
        <v>-0.0</v>
      </c>
      <c r="NEI55" s="5">
        <f>-IFERROR('4. NPV'!NEJ24/'4. NPV'!NEJ$8,0)</f>
        <v>-0.0</v>
      </c>
      <c r="NEJ55" s="5">
        <f>-IFERROR('4. NPV'!NEK24/'4. NPV'!NEK$8,0)</f>
        <v>-0.0</v>
      </c>
      <c r="NEK55" s="5">
        <f>-IFERROR('4. NPV'!NEL24/'4. NPV'!NEL$8,0)</f>
        <v>-0.0</v>
      </c>
      <c r="NEL55" s="5">
        <f>-IFERROR('4. NPV'!NEM24/'4. NPV'!NEM$8,0)</f>
        <v>-0.0</v>
      </c>
      <c r="NEM55" s="5">
        <f>-IFERROR('4. NPV'!NEN24/'4. NPV'!NEN$8,0)</f>
        <v>-0.0</v>
      </c>
      <c r="NEN55" s="5">
        <f>-IFERROR('4. NPV'!NEO24/'4. NPV'!NEO$8,0)</f>
        <v>-0.0</v>
      </c>
      <c r="NEO55" s="5">
        <f>-IFERROR('4. NPV'!NEP24/'4. NPV'!NEP$8,0)</f>
        <v>-0.0</v>
      </c>
      <c r="NEP55" s="5">
        <f>-IFERROR('4. NPV'!NEQ24/'4. NPV'!NEQ$8,0)</f>
        <v>-0.0</v>
      </c>
      <c r="NEQ55" s="5">
        <f>-IFERROR('4. NPV'!NER24/'4. NPV'!NER$8,0)</f>
        <v>-0.0</v>
      </c>
      <c r="NER55" s="5">
        <f>-IFERROR('4. NPV'!NES24/'4. NPV'!NES$8,0)</f>
        <v>-0.0</v>
      </c>
      <c r="NES55" s="5">
        <f>-IFERROR('4. NPV'!NET24/'4. NPV'!NET$8,0)</f>
        <v>-0.0</v>
      </c>
      <c r="NET55" s="5">
        <f>-IFERROR('4. NPV'!NEU24/'4. NPV'!NEU$8,0)</f>
        <v>-0.0</v>
      </c>
      <c r="NEU55" s="5">
        <f>-IFERROR('4. NPV'!NEV24/'4. NPV'!NEV$8,0)</f>
        <v>-0.0</v>
      </c>
      <c r="NEV55" s="5">
        <f>-IFERROR('4. NPV'!NEW24/'4. NPV'!NEW$8,0)</f>
        <v>-0.0</v>
      </c>
      <c r="NEW55" s="5">
        <f>-IFERROR('4. NPV'!NEX24/'4. NPV'!NEX$8,0)</f>
        <v>-0.0</v>
      </c>
      <c r="NEX55" s="5">
        <f>-IFERROR('4. NPV'!NEY24/'4. NPV'!NEY$8,0)</f>
        <v>-0.0</v>
      </c>
      <c r="NEY55" s="5">
        <f>-IFERROR('4. NPV'!NEZ24/'4. NPV'!NEZ$8,0)</f>
        <v>-0.0</v>
      </c>
      <c r="NEZ55" s="5">
        <f>-IFERROR('4. NPV'!NFA24/'4. NPV'!NFA$8,0)</f>
        <v>-0.0</v>
      </c>
      <c r="NFA55" s="5">
        <f>-IFERROR('4. NPV'!NFB24/'4. NPV'!NFB$8,0)</f>
        <v>-0.0</v>
      </c>
      <c r="NFB55" s="5">
        <f>-IFERROR('4. NPV'!NFC24/'4. NPV'!NFC$8,0)</f>
        <v>-0.0</v>
      </c>
      <c r="NFC55" s="5">
        <f>-IFERROR('4. NPV'!NFD24/'4. NPV'!NFD$8,0)</f>
        <v>-0.0</v>
      </c>
      <c r="NFD55" s="5">
        <f>-IFERROR('4. NPV'!NFE24/'4. NPV'!NFE$8,0)</f>
        <v>-0.0</v>
      </c>
      <c r="NFE55" s="5">
        <f>-IFERROR('4. NPV'!NFF24/'4. NPV'!NFF$8,0)</f>
        <v>-0.0</v>
      </c>
      <c r="NFF55" s="5">
        <f>-IFERROR('4. NPV'!NFG24/'4. NPV'!NFG$8,0)</f>
        <v>-0.0</v>
      </c>
      <c r="NFG55" s="5">
        <f>-IFERROR('4. NPV'!NFH24/'4. NPV'!NFH$8,0)</f>
        <v>-0.0</v>
      </c>
      <c r="NFH55" s="5">
        <f>-IFERROR('4. NPV'!NFI24/'4. NPV'!NFI$8,0)</f>
        <v>-0.0</v>
      </c>
      <c r="NFI55" s="5">
        <f>-IFERROR('4. NPV'!NFJ24/'4. NPV'!NFJ$8,0)</f>
        <v>-0.0</v>
      </c>
      <c r="NFJ55" s="5">
        <f>-IFERROR('4. NPV'!NFK24/'4. NPV'!NFK$8,0)</f>
        <v>-0.0</v>
      </c>
      <c r="NFK55" s="5">
        <f>-IFERROR('4. NPV'!NFL24/'4. NPV'!NFL$8,0)</f>
        <v>-0.0</v>
      </c>
      <c r="NFL55" s="5">
        <f>-IFERROR('4. NPV'!NFM24/'4. NPV'!NFM$8,0)</f>
        <v>-0.0</v>
      </c>
      <c r="NFM55" s="5">
        <f>-IFERROR('4. NPV'!NFN24/'4. NPV'!NFN$8,0)</f>
        <v>-0.0</v>
      </c>
      <c r="NFN55" s="5">
        <f>-IFERROR('4. NPV'!NFO24/'4. NPV'!NFO$8,0)</f>
        <v>-0.0</v>
      </c>
      <c r="NFO55" s="5">
        <f>-IFERROR('4. NPV'!NFP24/'4. NPV'!NFP$8,0)</f>
        <v>-0.0</v>
      </c>
      <c r="NFP55" s="5">
        <f>-IFERROR('4. NPV'!NFQ24/'4. NPV'!NFQ$8,0)</f>
        <v>-0.0</v>
      </c>
      <c r="NFQ55" s="5">
        <f>-IFERROR('4. NPV'!NFR24/'4. NPV'!NFR$8,0)</f>
        <v>-0.0</v>
      </c>
      <c r="NFR55" s="5">
        <f>-IFERROR('4. NPV'!NFS24/'4. NPV'!NFS$8,0)</f>
        <v>-0.0</v>
      </c>
      <c r="NFS55" s="5">
        <f>-IFERROR('4. NPV'!NFT24/'4. NPV'!NFT$8,0)</f>
        <v>-0.0</v>
      </c>
      <c r="NFT55" s="5">
        <f>-IFERROR('4. NPV'!NFU24/'4. NPV'!NFU$8,0)</f>
        <v>-0.0</v>
      </c>
      <c r="NFU55" s="5">
        <f>-IFERROR('4. NPV'!NFV24/'4. NPV'!NFV$8,0)</f>
        <v>-0.0</v>
      </c>
      <c r="NFV55" s="5">
        <f>-IFERROR('4. NPV'!NFW24/'4. NPV'!NFW$8,0)</f>
        <v>-0.0</v>
      </c>
      <c r="NFW55" s="5">
        <f>-IFERROR('4. NPV'!NFX24/'4. NPV'!NFX$8,0)</f>
        <v>-0.0</v>
      </c>
      <c r="NFX55" s="5">
        <f>-IFERROR('4. NPV'!NFY24/'4. NPV'!NFY$8,0)</f>
        <v>-0.0</v>
      </c>
      <c r="NFY55" s="5">
        <f>-IFERROR('4. NPV'!NFZ24/'4. NPV'!NFZ$8,0)</f>
        <v>-0.0</v>
      </c>
      <c r="NFZ55" s="5">
        <f>-IFERROR('4. NPV'!NGA24/'4. NPV'!NGA$8,0)</f>
        <v>-0.0</v>
      </c>
      <c r="NGA55" s="5">
        <f>-IFERROR('4. NPV'!NGB24/'4. NPV'!NGB$8,0)</f>
        <v>-0.0</v>
      </c>
      <c r="NGB55" s="5">
        <f>-IFERROR('4. NPV'!NGC24/'4. NPV'!NGC$8,0)</f>
        <v>-0.0</v>
      </c>
      <c r="NGC55" s="5">
        <f>-IFERROR('4. NPV'!NGD24/'4. NPV'!NGD$8,0)</f>
        <v>-0.0</v>
      </c>
      <c r="NGD55" s="5">
        <f>-IFERROR('4. NPV'!NGE24/'4. NPV'!NGE$8,0)</f>
        <v>-0.0</v>
      </c>
      <c r="NGE55" s="5">
        <f>-IFERROR('4. NPV'!NGF24/'4. NPV'!NGF$8,0)</f>
        <v>-0.0</v>
      </c>
      <c r="NGF55" s="5">
        <f>-IFERROR('4. NPV'!NGG24/'4. NPV'!NGG$8,0)</f>
        <v>-0.0</v>
      </c>
      <c r="NGG55" s="5">
        <f>-IFERROR('4. NPV'!NGH24/'4. NPV'!NGH$8,0)</f>
        <v>-0.0</v>
      </c>
      <c r="NGH55" s="5">
        <f>-IFERROR('4. NPV'!NGI24/'4. NPV'!NGI$8,0)</f>
        <v>-0.0</v>
      </c>
      <c r="NGI55" s="5">
        <f>-IFERROR('4. NPV'!NGJ24/'4. NPV'!NGJ$8,0)</f>
        <v>-0.0</v>
      </c>
      <c r="NGJ55" s="5">
        <f>-IFERROR('4. NPV'!NGK24/'4. NPV'!NGK$8,0)</f>
        <v>-0.0</v>
      </c>
      <c r="NGK55" s="5">
        <f>-IFERROR('4. NPV'!NGL24/'4. NPV'!NGL$8,0)</f>
        <v>-0.0</v>
      </c>
      <c r="NGL55" s="5">
        <f>-IFERROR('4. NPV'!NGM24/'4. NPV'!NGM$8,0)</f>
        <v>-0.0</v>
      </c>
      <c r="NGM55" s="5">
        <f>-IFERROR('4. NPV'!NGN24/'4. NPV'!NGN$8,0)</f>
        <v>-0.0</v>
      </c>
      <c r="NGN55" s="5">
        <f>-IFERROR('4. NPV'!NGO24/'4. NPV'!NGO$8,0)</f>
        <v>-0.0</v>
      </c>
      <c r="NGO55" s="5">
        <f>-IFERROR('4. NPV'!NGP24/'4. NPV'!NGP$8,0)</f>
        <v>-0.0</v>
      </c>
      <c r="NGP55" s="5">
        <f>-IFERROR('4. NPV'!NGQ24/'4. NPV'!NGQ$8,0)</f>
        <v>-0.0</v>
      </c>
      <c r="NGQ55" s="5">
        <f>-IFERROR('4. NPV'!NGR24/'4. NPV'!NGR$8,0)</f>
        <v>-0.0</v>
      </c>
      <c r="NGR55" s="5">
        <f>-IFERROR('4. NPV'!NGS24/'4. NPV'!NGS$8,0)</f>
        <v>-0.0</v>
      </c>
      <c r="NGS55" s="5">
        <f>-IFERROR('4. NPV'!NGT24/'4. NPV'!NGT$8,0)</f>
        <v>-0.0</v>
      </c>
      <c r="NGT55" s="5">
        <f>-IFERROR('4. NPV'!NGU24/'4. NPV'!NGU$8,0)</f>
        <v>-0.0</v>
      </c>
      <c r="NGU55" s="5">
        <f>-IFERROR('4. NPV'!NGV24/'4. NPV'!NGV$8,0)</f>
        <v>-0.0</v>
      </c>
      <c r="NGV55" s="5">
        <f>-IFERROR('4. NPV'!NGW24/'4. NPV'!NGW$8,0)</f>
        <v>-0.0</v>
      </c>
      <c r="NGW55" s="5">
        <f>-IFERROR('4. NPV'!NGX24/'4. NPV'!NGX$8,0)</f>
        <v>-0.0</v>
      </c>
      <c r="NGX55" s="5">
        <f>-IFERROR('4. NPV'!NGY24/'4. NPV'!NGY$8,0)</f>
        <v>-0.0</v>
      </c>
      <c r="NGY55" s="5">
        <f>-IFERROR('4. NPV'!NGZ24/'4. NPV'!NGZ$8,0)</f>
        <v>-0.0</v>
      </c>
      <c r="NGZ55" s="5">
        <f>-IFERROR('4. NPV'!NHA24/'4. NPV'!NHA$8,0)</f>
        <v>-0.0</v>
      </c>
      <c r="NHA55" s="5">
        <f>-IFERROR('4. NPV'!NHB24/'4. NPV'!NHB$8,0)</f>
        <v>-0.0</v>
      </c>
      <c r="NHB55" s="5">
        <f>-IFERROR('4. NPV'!NHC24/'4. NPV'!NHC$8,0)</f>
        <v>-0.0</v>
      </c>
      <c r="NHC55" s="5">
        <f>-IFERROR('4. NPV'!NHD24/'4. NPV'!NHD$8,0)</f>
        <v>-0.0</v>
      </c>
      <c r="NHD55" s="5">
        <f>-IFERROR('4. NPV'!NHE24/'4. NPV'!NHE$8,0)</f>
        <v>-0.0</v>
      </c>
      <c r="NHE55" s="5">
        <f>-IFERROR('4. NPV'!NHF24/'4. NPV'!NHF$8,0)</f>
        <v>-0.0</v>
      </c>
      <c r="NHF55" s="5">
        <f>-IFERROR('4. NPV'!NHG24/'4. NPV'!NHG$8,0)</f>
        <v>-0.0</v>
      </c>
      <c r="NHG55" s="5">
        <f>-IFERROR('4. NPV'!NHH24/'4. NPV'!NHH$8,0)</f>
        <v>-0.0</v>
      </c>
      <c r="NHH55" s="5">
        <f>-IFERROR('4. NPV'!NHI24/'4. NPV'!NHI$8,0)</f>
        <v>-0.0</v>
      </c>
      <c r="NHI55" s="5">
        <f>-IFERROR('4. NPV'!NHJ24/'4. NPV'!NHJ$8,0)</f>
        <v>-0.0</v>
      </c>
      <c r="NHJ55" s="5">
        <f>-IFERROR('4. NPV'!NHK24/'4. NPV'!NHK$8,0)</f>
        <v>-0.0</v>
      </c>
      <c r="NHK55" s="5">
        <f>-IFERROR('4. NPV'!NHL24/'4. NPV'!NHL$8,0)</f>
        <v>-0.0</v>
      </c>
      <c r="NHL55" s="5">
        <f>-IFERROR('4. NPV'!NHM24/'4. NPV'!NHM$8,0)</f>
        <v>-0.0</v>
      </c>
      <c r="NHM55" s="5">
        <f>-IFERROR('4. NPV'!NHN24/'4. NPV'!NHN$8,0)</f>
        <v>-0.0</v>
      </c>
      <c r="NHN55" s="5">
        <f>-IFERROR('4. NPV'!NHO24/'4. NPV'!NHO$8,0)</f>
        <v>-0.0</v>
      </c>
      <c r="NHO55" s="5">
        <f>-IFERROR('4. NPV'!NHP24/'4. NPV'!NHP$8,0)</f>
        <v>-0.0</v>
      </c>
      <c r="NHP55" s="5">
        <f>-IFERROR('4. NPV'!NHQ24/'4. NPV'!NHQ$8,0)</f>
        <v>-0.0</v>
      </c>
      <c r="NHQ55" s="5">
        <f>-IFERROR('4. NPV'!NHR24/'4. NPV'!NHR$8,0)</f>
        <v>-0.0</v>
      </c>
      <c r="NHR55" s="5">
        <f>-IFERROR('4. NPV'!NHS24/'4. NPV'!NHS$8,0)</f>
        <v>-0.0</v>
      </c>
      <c r="NHS55" s="5">
        <f>-IFERROR('4. NPV'!NHT24/'4. NPV'!NHT$8,0)</f>
        <v>-0.0</v>
      </c>
      <c r="NHT55" s="5">
        <f>-IFERROR('4. NPV'!NHU24/'4. NPV'!NHU$8,0)</f>
        <v>-0.0</v>
      </c>
      <c r="NHU55" s="5">
        <f>-IFERROR('4. NPV'!NHV24/'4. NPV'!NHV$8,0)</f>
        <v>-0.0</v>
      </c>
      <c r="NHV55" s="5">
        <f>-IFERROR('4. NPV'!NHW24/'4. NPV'!NHW$8,0)</f>
        <v>-0.0</v>
      </c>
      <c r="NHW55" s="5">
        <f>-IFERROR('4. NPV'!NHX24/'4. NPV'!NHX$8,0)</f>
        <v>-0.0</v>
      </c>
      <c r="NHX55" s="5">
        <f>-IFERROR('4. NPV'!NHY24/'4. NPV'!NHY$8,0)</f>
        <v>-0.0</v>
      </c>
      <c r="NHY55" s="5">
        <f>-IFERROR('4. NPV'!NHZ24/'4. NPV'!NHZ$8,0)</f>
        <v>-0.0</v>
      </c>
      <c r="NHZ55" s="5">
        <f>-IFERROR('4. NPV'!NIA24/'4. NPV'!NIA$8,0)</f>
        <v>-0.0</v>
      </c>
      <c r="NIA55" s="5">
        <f>-IFERROR('4. NPV'!NIB24/'4. NPV'!NIB$8,0)</f>
        <v>-0.0</v>
      </c>
      <c r="NIB55" s="5">
        <f>-IFERROR('4. NPV'!NIC24/'4. NPV'!NIC$8,0)</f>
        <v>-0.0</v>
      </c>
      <c r="NIC55" s="5">
        <f>-IFERROR('4. NPV'!NID24/'4. NPV'!NID$8,0)</f>
        <v>-0.0</v>
      </c>
      <c r="NID55" s="5">
        <f>-IFERROR('4. NPV'!NIE24/'4. NPV'!NIE$8,0)</f>
        <v>-0.0</v>
      </c>
      <c r="NIE55" s="5">
        <f>-IFERROR('4. NPV'!NIF24/'4. NPV'!NIF$8,0)</f>
        <v>-0.0</v>
      </c>
      <c r="NIF55" s="5">
        <f>-IFERROR('4. NPV'!NIG24/'4. NPV'!NIG$8,0)</f>
        <v>-0.0</v>
      </c>
      <c r="NIG55" s="5">
        <f>-IFERROR('4. NPV'!NIH24/'4. NPV'!NIH$8,0)</f>
        <v>-0.0</v>
      </c>
      <c r="NIH55" s="5">
        <f>-IFERROR('4. NPV'!NII24/'4. NPV'!NII$8,0)</f>
        <v>-0.0</v>
      </c>
      <c r="NII55" s="5">
        <f>-IFERROR('4. NPV'!NIJ24/'4. NPV'!NIJ$8,0)</f>
        <v>-0.0</v>
      </c>
      <c r="NIJ55" s="5">
        <f>-IFERROR('4. NPV'!NIK24/'4. NPV'!NIK$8,0)</f>
        <v>-0.0</v>
      </c>
      <c r="NIK55" s="5">
        <f>-IFERROR('4. NPV'!NIL24/'4. NPV'!NIL$8,0)</f>
        <v>-0.0</v>
      </c>
      <c r="NIL55" s="5">
        <f>-IFERROR('4. NPV'!NIM24/'4. NPV'!NIM$8,0)</f>
        <v>-0.0</v>
      </c>
      <c r="NIM55" s="5">
        <f>-IFERROR('4. NPV'!NIN24/'4. NPV'!NIN$8,0)</f>
        <v>-0.0</v>
      </c>
      <c r="NIN55" s="5">
        <f>-IFERROR('4. NPV'!NIO24/'4. NPV'!NIO$8,0)</f>
        <v>-0.0</v>
      </c>
      <c r="NIO55" s="5">
        <f>-IFERROR('4. NPV'!NIP24/'4. NPV'!NIP$8,0)</f>
        <v>-0.0</v>
      </c>
      <c r="NIP55" s="5">
        <f>-IFERROR('4. NPV'!NIQ24/'4. NPV'!NIQ$8,0)</f>
        <v>-0.0</v>
      </c>
      <c r="NIQ55" s="5">
        <f>-IFERROR('4. NPV'!NIR24/'4. NPV'!NIR$8,0)</f>
        <v>-0.0</v>
      </c>
      <c r="NIR55" s="5">
        <f>-IFERROR('4. NPV'!NIS24/'4. NPV'!NIS$8,0)</f>
        <v>-0.0</v>
      </c>
      <c r="NIS55" s="5">
        <f>-IFERROR('4. NPV'!NIT24/'4. NPV'!NIT$8,0)</f>
        <v>-0.0</v>
      </c>
      <c r="NIT55" s="5">
        <f>-IFERROR('4. NPV'!NIU24/'4. NPV'!NIU$8,0)</f>
        <v>-0.0</v>
      </c>
      <c r="NIU55" s="5">
        <f>-IFERROR('4. NPV'!NIV24/'4. NPV'!NIV$8,0)</f>
        <v>-0.0</v>
      </c>
      <c r="NIV55" s="5">
        <f>-IFERROR('4. NPV'!NIW24/'4. NPV'!NIW$8,0)</f>
        <v>-0.0</v>
      </c>
      <c r="NIW55" s="5">
        <f>-IFERROR('4. NPV'!NIX24/'4. NPV'!NIX$8,0)</f>
        <v>-0.0</v>
      </c>
      <c r="NIX55" s="5">
        <f>-IFERROR('4. NPV'!NIY24/'4. NPV'!NIY$8,0)</f>
        <v>-0.0</v>
      </c>
      <c r="NIY55" s="5">
        <f>-IFERROR('4. NPV'!NIZ24/'4. NPV'!NIZ$8,0)</f>
        <v>-0.0</v>
      </c>
      <c r="NIZ55" s="5">
        <f>-IFERROR('4. NPV'!NJA24/'4. NPV'!NJA$8,0)</f>
        <v>-0.0</v>
      </c>
      <c r="NJA55" s="5">
        <f>-IFERROR('4. NPV'!NJB24/'4. NPV'!NJB$8,0)</f>
        <v>-0.0</v>
      </c>
      <c r="NJB55" s="5">
        <f>-IFERROR('4. NPV'!NJC24/'4. NPV'!NJC$8,0)</f>
        <v>-0.0</v>
      </c>
      <c r="NJC55" s="5">
        <f>-IFERROR('4. NPV'!NJD24/'4. NPV'!NJD$8,0)</f>
        <v>-0.0</v>
      </c>
      <c r="NJD55" s="5">
        <f>-IFERROR('4. NPV'!NJE24/'4. NPV'!NJE$8,0)</f>
        <v>-0.0</v>
      </c>
      <c r="NJE55" s="5">
        <f>-IFERROR('4. NPV'!NJF24/'4. NPV'!NJF$8,0)</f>
        <v>-0.0</v>
      </c>
      <c r="NJF55" s="5">
        <f>-IFERROR('4. NPV'!NJG24/'4. NPV'!NJG$8,0)</f>
        <v>-0.0</v>
      </c>
      <c r="NJG55" s="5">
        <f>-IFERROR('4. NPV'!NJH24/'4. NPV'!NJH$8,0)</f>
        <v>-0.0</v>
      </c>
      <c r="NJH55" s="5">
        <f>-IFERROR('4. NPV'!NJI24/'4. NPV'!NJI$8,0)</f>
        <v>-0.0</v>
      </c>
      <c r="NJI55" s="5">
        <f>-IFERROR('4. NPV'!NJJ24/'4. NPV'!NJJ$8,0)</f>
        <v>-0.0</v>
      </c>
      <c r="NJJ55" s="5">
        <f>-IFERROR('4. NPV'!NJK24/'4. NPV'!NJK$8,0)</f>
        <v>-0.0</v>
      </c>
      <c r="NJK55" s="5">
        <f>-IFERROR('4. NPV'!NJL24/'4. NPV'!NJL$8,0)</f>
        <v>-0.0</v>
      </c>
      <c r="NJL55" s="5">
        <f>-IFERROR('4. NPV'!NJM24/'4. NPV'!NJM$8,0)</f>
        <v>-0.0</v>
      </c>
      <c r="NJM55" s="5">
        <f>-IFERROR('4. NPV'!NJN24/'4. NPV'!NJN$8,0)</f>
        <v>-0.0</v>
      </c>
      <c r="NJN55" s="5">
        <f>-IFERROR('4. NPV'!NJO24/'4. NPV'!NJO$8,0)</f>
        <v>-0.0</v>
      </c>
      <c r="NJO55" s="5">
        <f>-IFERROR('4. NPV'!NJP24/'4. NPV'!NJP$8,0)</f>
        <v>-0.0</v>
      </c>
      <c r="NJP55" s="5">
        <f>-IFERROR('4. NPV'!NJQ24/'4. NPV'!NJQ$8,0)</f>
        <v>-0.0</v>
      </c>
      <c r="NJQ55" s="5">
        <f>-IFERROR('4. NPV'!NJR24/'4. NPV'!NJR$8,0)</f>
        <v>-0.0</v>
      </c>
      <c r="NJR55" s="5">
        <f>-IFERROR('4. NPV'!NJS24/'4. NPV'!NJS$8,0)</f>
        <v>-0.0</v>
      </c>
      <c r="NJS55" s="5">
        <f>-IFERROR('4. NPV'!NJT24/'4. NPV'!NJT$8,0)</f>
        <v>-0.0</v>
      </c>
      <c r="NJT55" s="5">
        <f>-IFERROR('4. NPV'!NJU24/'4. NPV'!NJU$8,0)</f>
        <v>-0.0</v>
      </c>
      <c r="NJU55" s="5">
        <f>-IFERROR('4. NPV'!NJV24/'4. NPV'!NJV$8,0)</f>
        <v>-0.0</v>
      </c>
      <c r="NJV55" s="5">
        <f>-IFERROR('4. NPV'!NJW24/'4. NPV'!NJW$8,0)</f>
        <v>-0.0</v>
      </c>
      <c r="NJW55" s="5">
        <f>-IFERROR('4. NPV'!NJX24/'4. NPV'!NJX$8,0)</f>
        <v>-0.0</v>
      </c>
      <c r="NJX55" s="5">
        <f>-IFERROR('4. NPV'!NJY24/'4. NPV'!NJY$8,0)</f>
        <v>-0.0</v>
      </c>
      <c r="NJY55" s="5">
        <f>-IFERROR('4. NPV'!NJZ24/'4. NPV'!NJZ$8,0)</f>
        <v>-0.0</v>
      </c>
      <c r="NJZ55" s="5">
        <f>-IFERROR('4. NPV'!NKA24/'4. NPV'!NKA$8,0)</f>
        <v>-0.0</v>
      </c>
      <c r="NKA55" s="5">
        <f>-IFERROR('4. NPV'!NKB24/'4. NPV'!NKB$8,0)</f>
        <v>-0.0</v>
      </c>
      <c r="NKB55" s="5">
        <f>-IFERROR('4. NPV'!NKC24/'4. NPV'!NKC$8,0)</f>
        <v>-0.0</v>
      </c>
      <c r="NKC55" s="5">
        <f>-IFERROR('4. NPV'!NKD24/'4. NPV'!NKD$8,0)</f>
        <v>-0.0</v>
      </c>
      <c r="NKD55" s="5">
        <f>-IFERROR('4. NPV'!NKE24/'4. NPV'!NKE$8,0)</f>
        <v>-0.0</v>
      </c>
      <c r="NKE55" s="5">
        <f>-IFERROR('4. NPV'!NKF24/'4. NPV'!NKF$8,0)</f>
        <v>-0.0</v>
      </c>
      <c r="NKF55" s="5">
        <f>-IFERROR('4. NPV'!NKG24/'4. NPV'!NKG$8,0)</f>
        <v>-0.0</v>
      </c>
      <c r="NKG55" s="5">
        <f>-IFERROR('4. NPV'!NKH24/'4. NPV'!NKH$8,0)</f>
        <v>-0.0</v>
      </c>
      <c r="NKH55" s="5">
        <f>-IFERROR('4. NPV'!NKI24/'4. NPV'!NKI$8,0)</f>
        <v>-0.0</v>
      </c>
      <c r="NKI55" s="5">
        <f>-IFERROR('4. NPV'!NKJ24/'4. NPV'!NKJ$8,0)</f>
        <v>-0.0</v>
      </c>
      <c r="NKJ55" s="5">
        <f>-IFERROR('4. NPV'!NKK24/'4. NPV'!NKK$8,0)</f>
        <v>-0.0</v>
      </c>
      <c r="NKK55" s="5">
        <f>-IFERROR('4. NPV'!NKL24/'4. NPV'!NKL$8,0)</f>
        <v>-0.0</v>
      </c>
      <c r="NKL55" s="5">
        <f>-IFERROR('4. NPV'!NKM24/'4. NPV'!NKM$8,0)</f>
        <v>-0.0</v>
      </c>
      <c r="NKM55" s="5">
        <f>-IFERROR('4. NPV'!NKN24/'4. NPV'!NKN$8,0)</f>
        <v>-0.0</v>
      </c>
      <c r="NKN55" s="5">
        <f>-IFERROR('4. NPV'!NKO24/'4. NPV'!NKO$8,0)</f>
        <v>-0.0</v>
      </c>
      <c r="NKO55" s="5">
        <f>-IFERROR('4. NPV'!NKP24/'4. NPV'!NKP$8,0)</f>
        <v>-0.0</v>
      </c>
      <c r="NKP55" s="5">
        <f>-IFERROR('4. NPV'!NKQ24/'4. NPV'!NKQ$8,0)</f>
        <v>-0.0</v>
      </c>
      <c r="NKQ55" s="5">
        <f>-IFERROR('4. NPV'!NKR24/'4. NPV'!NKR$8,0)</f>
        <v>-0.0</v>
      </c>
      <c r="NKR55" s="5">
        <f>-IFERROR('4. NPV'!NKS24/'4. NPV'!NKS$8,0)</f>
        <v>-0.0</v>
      </c>
      <c r="NKS55" s="5">
        <f>-IFERROR('4. NPV'!NKT24/'4. NPV'!NKT$8,0)</f>
        <v>-0.0</v>
      </c>
      <c r="NKT55" s="5">
        <f>-IFERROR('4. NPV'!NKU24/'4. NPV'!NKU$8,0)</f>
        <v>-0.0</v>
      </c>
      <c r="NKU55" s="5">
        <f>-IFERROR('4. NPV'!NKV24/'4. NPV'!NKV$8,0)</f>
        <v>-0.0</v>
      </c>
      <c r="NKV55" s="5">
        <f>-IFERROR('4. NPV'!NKW24/'4. NPV'!NKW$8,0)</f>
        <v>-0.0</v>
      </c>
      <c r="NKW55" s="5">
        <f>-IFERROR('4. NPV'!NKX24/'4. NPV'!NKX$8,0)</f>
        <v>-0.0</v>
      </c>
      <c r="NKX55" s="5">
        <f>-IFERROR('4. NPV'!NKY24/'4. NPV'!NKY$8,0)</f>
        <v>-0.0</v>
      </c>
      <c r="NKY55" s="5">
        <f>-IFERROR('4. NPV'!NKZ24/'4. NPV'!NKZ$8,0)</f>
        <v>-0.0</v>
      </c>
      <c r="NKZ55" s="5">
        <f>-IFERROR('4. NPV'!NLA24/'4. NPV'!NLA$8,0)</f>
        <v>-0.0</v>
      </c>
      <c r="NLA55" s="5">
        <f>-IFERROR('4. NPV'!NLB24/'4. NPV'!NLB$8,0)</f>
        <v>-0.0</v>
      </c>
      <c r="NLB55" s="5">
        <f>-IFERROR('4. NPV'!NLC24/'4. NPV'!NLC$8,0)</f>
        <v>-0.0</v>
      </c>
      <c r="NLC55" s="5">
        <f>-IFERROR('4. NPV'!NLD24/'4. NPV'!NLD$8,0)</f>
        <v>-0.0</v>
      </c>
      <c r="NLD55" s="5">
        <f>-IFERROR('4. NPV'!NLE24/'4. NPV'!NLE$8,0)</f>
        <v>-0.0</v>
      </c>
      <c r="NLE55" s="5">
        <f>-IFERROR('4. NPV'!NLF24/'4. NPV'!NLF$8,0)</f>
        <v>-0.0</v>
      </c>
      <c r="NLF55" s="5">
        <f>-IFERROR('4. NPV'!NLG24/'4. NPV'!NLG$8,0)</f>
        <v>-0.0</v>
      </c>
      <c r="NLG55" s="5">
        <f>-IFERROR('4. NPV'!NLH24/'4. NPV'!NLH$8,0)</f>
        <v>-0.0</v>
      </c>
      <c r="NLH55" s="5">
        <f>-IFERROR('4. NPV'!NLI24/'4. NPV'!NLI$8,0)</f>
        <v>-0.0</v>
      </c>
      <c r="NLI55" s="5">
        <f>-IFERROR('4. NPV'!NLJ24/'4. NPV'!NLJ$8,0)</f>
        <v>-0.0</v>
      </c>
      <c r="NLJ55" s="5">
        <f>-IFERROR('4. NPV'!NLK24/'4. NPV'!NLK$8,0)</f>
        <v>-0.0</v>
      </c>
      <c r="NLK55" s="5">
        <f>-IFERROR('4. NPV'!NLL24/'4. NPV'!NLL$8,0)</f>
        <v>-0.0</v>
      </c>
      <c r="NLL55" s="5">
        <f>-IFERROR('4. NPV'!NLM24/'4. NPV'!NLM$8,0)</f>
        <v>-0.0</v>
      </c>
      <c r="NLM55" s="5">
        <f>-IFERROR('4. NPV'!NLN24/'4. NPV'!NLN$8,0)</f>
        <v>-0.0</v>
      </c>
      <c r="NLN55" s="5">
        <f>-IFERROR('4. NPV'!NLO24/'4. NPV'!NLO$8,0)</f>
        <v>-0.0</v>
      </c>
      <c r="NLO55" s="5">
        <f>-IFERROR('4. NPV'!NLP24/'4. NPV'!NLP$8,0)</f>
        <v>-0.0</v>
      </c>
      <c r="NLP55" s="5">
        <f>-IFERROR('4. NPV'!NLQ24/'4. NPV'!NLQ$8,0)</f>
        <v>-0.0</v>
      </c>
      <c r="NLQ55" s="5">
        <f>-IFERROR('4. NPV'!NLR24/'4. NPV'!NLR$8,0)</f>
        <v>-0.0</v>
      </c>
      <c r="NLR55" s="5">
        <f>-IFERROR('4. NPV'!NLS24/'4. NPV'!NLS$8,0)</f>
        <v>-0.0</v>
      </c>
      <c r="NLS55" s="5">
        <f>-IFERROR('4. NPV'!NLT24/'4. NPV'!NLT$8,0)</f>
        <v>-0.0</v>
      </c>
      <c r="NLT55" s="5">
        <f>-IFERROR('4. NPV'!NLU24/'4. NPV'!NLU$8,0)</f>
        <v>-0.0</v>
      </c>
      <c r="NLU55" s="5">
        <f>-IFERROR('4. NPV'!NLV24/'4. NPV'!NLV$8,0)</f>
        <v>-0.0</v>
      </c>
      <c r="NLV55" s="5">
        <f>-IFERROR('4. NPV'!NLW24/'4. NPV'!NLW$8,0)</f>
        <v>-0.0</v>
      </c>
      <c r="NLW55" s="5">
        <f>-IFERROR('4. NPV'!NLX24/'4. NPV'!NLX$8,0)</f>
        <v>-0.0</v>
      </c>
      <c r="NLX55" s="5">
        <f>-IFERROR('4. NPV'!NLY24/'4. NPV'!NLY$8,0)</f>
        <v>-0.0</v>
      </c>
      <c r="NLY55" s="5">
        <f>-IFERROR('4. NPV'!NLZ24/'4. NPV'!NLZ$8,0)</f>
        <v>-0.0</v>
      </c>
      <c r="NLZ55" s="5">
        <f>-IFERROR('4. NPV'!NMA24/'4. NPV'!NMA$8,0)</f>
        <v>-0.0</v>
      </c>
      <c r="NMA55" s="5">
        <f>-IFERROR('4. NPV'!NMB24/'4. NPV'!NMB$8,0)</f>
        <v>-0.0</v>
      </c>
      <c r="NMB55" s="5">
        <f>-IFERROR('4. NPV'!NMC24/'4. NPV'!NMC$8,0)</f>
        <v>-0.0</v>
      </c>
      <c r="NMC55" s="5">
        <f>-IFERROR('4. NPV'!NMD24/'4. NPV'!NMD$8,0)</f>
        <v>-0.0</v>
      </c>
      <c r="NMD55" s="5">
        <f>-IFERROR('4. NPV'!NME24/'4. NPV'!NME$8,0)</f>
        <v>-0.0</v>
      </c>
      <c r="NME55" s="5">
        <f>-IFERROR('4. NPV'!NMF24/'4. NPV'!NMF$8,0)</f>
        <v>-0.0</v>
      </c>
      <c r="NMF55" s="5">
        <f>-IFERROR('4. NPV'!NMG24/'4. NPV'!NMG$8,0)</f>
        <v>-0.0</v>
      </c>
      <c r="NMG55" s="5">
        <f>-IFERROR('4. NPV'!NMH24/'4. NPV'!NMH$8,0)</f>
        <v>-0.0</v>
      </c>
      <c r="NMH55" s="5">
        <f>-IFERROR('4. NPV'!NMI24/'4. NPV'!NMI$8,0)</f>
        <v>-0.0</v>
      </c>
      <c r="NMI55" s="5">
        <f>-IFERROR('4. NPV'!NMJ24/'4. NPV'!NMJ$8,0)</f>
        <v>-0.0</v>
      </c>
      <c r="NMJ55" s="5">
        <f>-IFERROR('4. NPV'!NMK24/'4. NPV'!NMK$8,0)</f>
        <v>-0.0</v>
      </c>
      <c r="NMK55" s="5">
        <f>-IFERROR('4. NPV'!NML24/'4. NPV'!NML$8,0)</f>
        <v>-0.0</v>
      </c>
      <c r="NML55" s="5">
        <f>-IFERROR('4. NPV'!NMM24/'4. NPV'!NMM$8,0)</f>
        <v>-0.0</v>
      </c>
      <c r="NMM55" s="5">
        <f>-IFERROR('4. NPV'!NMN24/'4. NPV'!NMN$8,0)</f>
        <v>-0.0</v>
      </c>
      <c r="NMN55" s="5">
        <f>-IFERROR('4. NPV'!NMO24/'4. NPV'!NMO$8,0)</f>
        <v>-0.0</v>
      </c>
      <c r="NMO55" s="5">
        <f>-IFERROR('4. NPV'!NMP24/'4. NPV'!NMP$8,0)</f>
        <v>-0.0</v>
      </c>
      <c r="NMP55" s="5">
        <f>-IFERROR('4. NPV'!NMQ24/'4. NPV'!NMQ$8,0)</f>
        <v>-0.0</v>
      </c>
      <c r="NMQ55" s="5">
        <f>-IFERROR('4. NPV'!NMR24/'4. NPV'!NMR$8,0)</f>
        <v>-0.0</v>
      </c>
      <c r="NMR55" s="5">
        <f>-IFERROR('4. NPV'!NMS24/'4. NPV'!NMS$8,0)</f>
        <v>-0.0</v>
      </c>
      <c r="NMS55" s="5">
        <f>-IFERROR('4. NPV'!NMT24/'4. NPV'!NMT$8,0)</f>
        <v>-0.0</v>
      </c>
      <c r="NMT55" s="5">
        <f>-IFERROR('4. NPV'!NMU24/'4. NPV'!NMU$8,0)</f>
        <v>-0.0</v>
      </c>
      <c r="NMU55" s="5">
        <f>-IFERROR('4. NPV'!NMV24/'4. NPV'!NMV$8,0)</f>
        <v>-0.0</v>
      </c>
      <c r="NMV55" s="5">
        <f>-IFERROR('4. NPV'!NMW24/'4. NPV'!NMW$8,0)</f>
        <v>-0.0</v>
      </c>
      <c r="NMW55" s="5">
        <f>-IFERROR('4. NPV'!NMX24/'4. NPV'!NMX$8,0)</f>
        <v>-0.0</v>
      </c>
      <c r="NMX55" s="5">
        <f>-IFERROR('4. NPV'!NMY24/'4. NPV'!NMY$8,0)</f>
        <v>-0.0</v>
      </c>
      <c r="NMY55" s="5">
        <f>-IFERROR('4. NPV'!NMZ24/'4. NPV'!NMZ$8,0)</f>
        <v>-0.0</v>
      </c>
      <c r="NMZ55" s="5">
        <f>-IFERROR('4. NPV'!NNA24/'4. NPV'!NNA$8,0)</f>
        <v>-0.0</v>
      </c>
      <c r="NNA55" s="5">
        <f>-IFERROR('4. NPV'!NNB24/'4. NPV'!NNB$8,0)</f>
        <v>-0.0</v>
      </c>
      <c r="NNB55" s="5">
        <f>-IFERROR('4. NPV'!NNC24/'4. NPV'!NNC$8,0)</f>
        <v>-0.0</v>
      </c>
      <c r="NNC55" s="5">
        <f>-IFERROR('4. NPV'!NND24/'4. NPV'!NND$8,0)</f>
        <v>-0.0</v>
      </c>
      <c r="NND55" s="5">
        <f>-IFERROR('4. NPV'!NNE24/'4. NPV'!NNE$8,0)</f>
        <v>-0.0</v>
      </c>
      <c r="NNE55" s="5">
        <f>-IFERROR('4. NPV'!NNF24/'4. NPV'!NNF$8,0)</f>
        <v>-0.0</v>
      </c>
      <c r="NNF55" s="5">
        <f>-IFERROR('4. NPV'!NNG24/'4. NPV'!NNG$8,0)</f>
        <v>-0.0</v>
      </c>
      <c r="NNG55" s="5">
        <f>-IFERROR('4. NPV'!NNH24/'4. NPV'!NNH$8,0)</f>
        <v>-0.0</v>
      </c>
      <c r="NNH55" s="5">
        <f>-IFERROR('4. NPV'!NNI24/'4. NPV'!NNI$8,0)</f>
        <v>-0.0</v>
      </c>
      <c r="NNI55" s="5">
        <f>-IFERROR('4. NPV'!NNJ24/'4. NPV'!NNJ$8,0)</f>
        <v>-0.0</v>
      </c>
      <c r="NNJ55" s="5">
        <f>-IFERROR('4. NPV'!NNK24/'4. NPV'!NNK$8,0)</f>
        <v>-0.0</v>
      </c>
      <c r="NNK55" s="5">
        <f>-IFERROR('4. NPV'!NNL24/'4. NPV'!NNL$8,0)</f>
        <v>-0.0</v>
      </c>
      <c r="NNL55" s="5">
        <f>-IFERROR('4. NPV'!NNM24/'4. NPV'!NNM$8,0)</f>
        <v>-0.0</v>
      </c>
      <c r="NNM55" s="5">
        <f>-IFERROR('4. NPV'!NNN24/'4. NPV'!NNN$8,0)</f>
        <v>-0.0</v>
      </c>
      <c r="NNN55" s="5">
        <f>-IFERROR('4. NPV'!NNO24/'4. NPV'!NNO$8,0)</f>
        <v>-0.0</v>
      </c>
      <c r="NNO55" s="5">
        <f>-IFERROR('4. NPV'!NNP24/'4. NPV'!NNP$8,0)</f>
        <v>-0.0</v>
      </c>
      <c r="NNP55" s="5">
        <f>-IFERROR('4. NPV'!NNQ24/'4. NPV'!NNQ$8,0)</f>
        <v>-0.0</v>
      </c>
      <c r="NNQ55" s="5">
        <f>-IFERROR('4. NPV'!NNR24/'4. NPV'!NNR$8,0)</f>
        <v>-0.0</v>
      </c>
      <c r="NNR55" s="5">
        <f>-IFERROR('4. NPV'!NNS24/'4. NPV'!NNS$8,0)</f>
        <v>-0.0</v>
      </c>
      <c r="NNS55" s="5">
        <f>-IFERROR('4. NPV'!NNT24/'4. NPV'!NNT$8,0)</f>
        <v>-0.0</v>
      </c>
      <c r="NNT55" s="5">
        <f>-IFERROR('4. NPV'!NNU24/'4. NPV'!NNU$8,0)</f>
        <v>-0.0</v>
      </c>
      <c r="NNU55" s="5">
        <f>-IFERROR('4. NPV'!NNV24/'4. NPV'!NNV$8,0)</f>
        <v>-0.0</v>
      </c>
      <c r="NNV55" s="5">
        <f>-IFERROR('4. NPV'!NNW24/'4. NPV'!NNW$8,0)</f>
        <v>-0.0</v>
      </c>
      <c r="NNW55" s="5">
        <f>-IFERROR('4. NPV'!NNX24/'4. NPV'!NNX$8,0)</f>
        <v>-0.0</v>
      </c>
      <c r="NNX55" s="5">
        <f>-IFERROR('4. NPV'!NNY24/'4. NPV'!NNY$8,0)</f>
        <v>-0.0</v>
      </c>
      <c r="NNY55" s="5">
        <f>-IFERROR('4. NPV'!NNZ24/'4. NPV'!NNZ$8,0)</f>
        <v>-0.0</v>
      </c>
      <c r="NNZ55" s="5">
        <f>-IFERROR('4. NPV'!NOA24/'4. NPV'!NOA$8,0)</f>
        <v>-0.0</v>
      </c>
      <c r="NOA55" s="5">
        <f>-IFERROR('4. NPV'!NOB24/'4. NPV'!NOB$8,0)</f>
        <v>-0.0</v>
      </c>
      <c r="NOB55" s="5">
        <f>-IFERROR('4. NPV'!NOC24/'4. NPV'!NOC$8,0)</f>
        <v>-0.0</v>
      </c>
      <c r="NOC55" s="5">
        <f>-IFERROR('4. NPV'!NOD24/'4. NPV'!NOD$8,0)</f>
        <v>-0.0</v>
      </c>
      <c r="NOD55" s="5">
        <f>-IFERROR('4. NPV'!NOE24/'4. NPV'!NOE$8,0)</f>
        <v>-0.0</v>
      </c>
      <c r="NOE55" s="5">
        <f>-IFERROR('4. NPV'!NOF24/'4. NPV'!NOF$8,0)</f>
        <v>-0.0</v>
      </c>
      <c r="NOF55" s="5">
        <f>-IFERROR('4. NPV'!NOG24/'4. NPV'!NOG$8,0)</f>
        <v>-0.0</v>
      </c>
      <c r="NOG55" s="5">
        <f>-IFERROR('4. NPV'!NOH24/'4. NPV'!NOH$8,0)</f>
        <v>-0.0</v>
      </c>
      <c r="NOH55" s="5">
        <f>-IFERROR('4. NPV'!NOI24/'4. NPV'!NOI$8,0)</f>
        <v>-0.0</v>
      </c>
      <c r="NOI55" s="5">
        <f>-IFERROR('4. NPV'!NOJ24/'4. NPV'!NOJ$8,0)</f>
        <v>-0.0</v>
      </c>
      <c r="NOJ55" s="5">
        <f>-IFERROR('4. NPV'!NOK24/'4. NPV'!NOK$8,0)</f>
        <v>-0.0</v>
      </c>
      <c r="NOK55" s="5">
        <f>-IFERROR('4. NPV'!NOL24/'4. NPV'!NOL$8,0)</f>
        <v>-0.0</v>
      </c>
      <c r="NOL55" s="5">
        <f>-IFERROR('4. NPV'!NOM24/'4. NPV'!NOM$8,0)</f>
        <v>-0.0</v>
      </c>
      <c r="NOM55" s="5">
        <f>-IFERROR('4. NPV'!NON24/'4. NPV'!NON$8,0)</f>
        <v>-0.0</v>
      </c>
      <c r="NON55" s="5">
        <f>-IFERROR('4. NPV'!NOO24/'4. NPV'!NOO$8,0)</f>
        <v>-0.0</v>
      </c>
      <c r="NOO55" s="5">
        <f>-IFERROR('4. NPV'!NOP24/'4. NPV'!NOP$8,0)</f>
        <v>-0.0</v>
      </c>
      <c r="NOP55" s="5">
        <f>-IFERROR('4. NPV'!NOQ24/'4. NPV'!NOQ$8,0)</f>
        <v>-0.0</v>
      </c>
      <c r="NOQ55" s="5">
        <f>-IFERROR('4. NPV'!NOR24/'4. NPV'!NOR$8,0)</f>
        <v>-0.0</v>
      </c>
      <c r="NOR55" s="5">
        <f>-IFERROR('4. NPV'!NOS24/'4. NPV'!NOS$8,0)</f>
        <v>-0.0</v>
      </c>
      <c r="NOS55" s="5">
        <f>-IFERROR('4. NPV'!NOT24/'4. NPV'!NOT$8,0)</f>
        <v>-0.0</v>
      </c>
      <c r="NOT55" s="5">
        <f>-IFERROR('4. NPV'!NOU24/'4. NPV'!NOU$8,0)</f>
        <v>-0.0</v>
      </c>
      <c r="NOU55" s="5">
        <f>-IFERROR('4. NPV'!NOV24/'4. NPV'!NOV$8,0)</f>
        <v>-0.0</v>
      </c>
      <c r="NOV55" s="5">
        <f>-IFERROR('4. NPV'!NOW24/'4. NPV'!NOW$8,0)</f>
        <v>-0.0</v>
      </c>
      <c r="NOW55" s="5">
        <f>-IFERROR('4. NPV'!NOX24/'4. NPV'!NOX$8,0)</f>
        <v>-0.0</v>
      </c>
      <c r="NOX55" s="5">
        <f>-IFERROR('4. NPV'!NOY24/'4. NPV'!NOY$8,0)</f>
        <v>-0.0</v>
      </c>
      <c r="NOY55" s="5">
        <f>-IFERROR('4. NPV'!NOZ24/'4. NPV'!NOZ$8,0)</f>
        <v>-0.0</v>
      </c>
      <c r="NOZ55" s="5">
        <f>-IFERROR('4. NPV'!NPA24/'4. NPV'!NPA$8,0)</f>
        <v>-0.0</v>
      </c>
      <c r="NPA55" s="5">
        <f>-IFERROR('4. NPV'!NPB24/'4. NPV'!NPB$8,0)</f>
        <v>-0.0</v>
      </c>
      <c r="NPB55" s="5">
        <f>-IFERROR('4. NPV'!NPC24/'4. NPV'!NPC$8,0)</f>
        <v>-0.0</v>
      </c>
      <c r="NPC55" s="5">
        <f>-IFERROR('4. NPV'!NPD24/'4. NPV'!NPD$8,0)</f>
        <v>-0.0</v>
      </c>
      <c r="NPD55" s="5">
        <f>-IFERROR('4. NPV'!NPE24/'4. NPV'!NPE$8,0)</f>
        <v>-0.0</v>
      </c>
      <c r="NPE55" s="5">
        <f>-IFERROR('4. NPV'!NPF24/'4. NPV'!NPF$8,0)</f>
        <v>-0.0</v>
      </c>
      <c r="NPF55" s="5">
        <f>-IFERROR('4. NPV'!NPG24/'4. NPV'!NPG$8,0)</f>
        <v>-0.0</v>
      </c>
      <c r="NPG55" s="5">
        <f>-IFERROR('4. NPV'!NPH24/'4. NPV'!NPH$8,0)</f>
        <v>-0.0</v>
      </c>
      <c r="NPH55" s="5">
        <f>-IFERROR('4. NPV'!NPI24/'4. NPV'!NPI$8,0)</f>
        <v>-0.0</v>
      </c>
      <c r="NPI55" s="5">
        <f>-IFERROR('4. NPV'!NPJ24/'4. NPV'!NPJ$8,0)</f>
        <v>-0.0</v>
      </c>
      <c r="NPJ55" s="5">
        <f>-IFERROR('4. NPV'!NPK24/'4. NPV'!NPK$8,0)</f>
        <v>-0.0</v>
      </c>
      <c r="NPK55" s="5">
        <f>-IFERROR('4. NPV'!NPL24/'4. NPV'!NPL$8,0)</f>
        <v>-0.0</v>
      </c>
      <c r="NPL55" s="5">
        <f>-IFERROR('4. NPV'!NPM24/'4. NPV'!NPM$8,0)</f>
        <v>-0.0</v>
      </c>
      <c r="NPM55" s="5">
        <f>-IFERROR('4. NPV'!NPN24/'4. NPV'!NPN$8,0)</f>
        <v>-0.0</v>
      </c>
      <c r="NPN55" s="5">
        <f>-IFERROR('4. NPV'!NPO24/'4. NPV'!NPO$8,0)</f>
        <v>-0.0</v>
      </c>
      <c r="NPO55" s="5">
        <f>-IFERROR('4. NPV'!NPP24/'4. NPV'!NPP$8,0)</f>
        <v>-0.0</v>
      </c>
      <c r="NPP55" s="5">
        <f>-IFERROR('4. NPV'!NPQ24/'4. NPV'!NPQ$8,0)</f>
        <v>-0.0</v>
      </c>
      <c r="NPQ55" s="5">
        <f>-IFERROR('4. NPV'!NPR24/'4. NPV'!NPR$8,0)</f>
        <v>-0.0</v>
      </c>
      <c r="NPR55" s="5">
        <f>-IFERROR('4. NPV'!NPS24/'4. NPV'!NPS$8,0)</f>
        <v>-0.0</v>
      </c>
      <c r="NPS55" s="5">
        <f>-IFERROR('4. NPV'!NPT24/'4. NPV'!NPT$8,0)</f>
        <v>-0.0</v>
      </c>
      <c r="NPT55" s="5">
        <f>-IFERROR('4. NPV'!NPU24/'4. NPV'!NPU$8,0)</f>
        <v>-0.0</v>
      </c>
      <c r="NPU55" s="5">
        <f>-IFERROR('4. NPV'!NPV24/'4. NPV'!NPV$8,0)</f>
        <v>-0.0</v>
      </c>
      <c r="NPV55" s="5">
        <f>-IFERROR('4. NPV'!NPW24/'4. NPV'!NPW$8,0)</f>
        <v>-0.0</v>
      </c>
      <c r="NPW55" s="5">
        <f>-IFERROR('4. NPV'!NPX24/'4. NPV'!NPX$8,0)</f>
        <v>-0.0</v>
      </c>
      <c r="NPX55" s="5">
        <f>-IFERROR('4. NPV'!NPY24/'4. NPV'!NPY$8,0)</f>
        <v>-0.0</v>
      </c>
      <c r="NPY55" s="5">
        <f>-IFERROR('4. NPV'!NPZ24/'4. NPV'!NPZ$8,0)</f>
        <v>-0.0</v>
      </c>
      <c r="NPZ55" s="5">
        <f>-IFERROR('4. NPV'!NQA24/'4. NPV'!NQA$8,0)</f>
        <v>-0.0</v>
      </c>
      <c r="NQA55" s="5">
        <f>-IFERROR('4. NPV'!NQB24/'4. NPV'!NQB$8,0)</f>
        <v>-0.0</v>
      </c>
      <c r="NQB55" s="5">
        <f>-IFERROR('4. NPV'!NQC24/'4. NPV'!NQC$8,0)</f>
        <v>-0.0</v>
      </c>
      <c r="NQC55" s="5">
        <f>-IFERROR('4. NPV'!NQD24/'4. NPV'!NQD$8,0)</f>
        <v>-0.0</v>
      </c>
      <c r="NQD55" s="5">
        <f>-IFERROR('4. NPV'!NQE24/'4. NPV'!NQE$8,0)</f>
        <v>-0.0</v>
      </c>
      <c r="NQE55" s="5">
        <f>-IFERROR('4. NPV'!NQF24/'4. NPV'!NQF$8,0)</f>
        <v>-0.0</v>
      </c>
      <c r="NQF55" s="5">
        <f>-IFERROR('4. NPV'!NQG24/'4. NPV'!NQG$8,0)</f>
        <v>-0.0</v>
      </c>
      <c r="NQG55" s="5">
        <f>-IFERROR('4. NPV'!NQH24/'4. NPV'!NQH$8,0)</f>
        <v>-0.0</v>
      </c>
      <c r="NQH55" s="5">
        <f>-IFERROR('4. NPV'!NQI24/'4. NPV'!NQI$8,0)</f>
        <v>-0.0</v>
      </c>
      <c r="NQI55" s="5">
        <f>-IFERROR('4. NPV'!NQJ24/'4. NPV'!NQJ$8,0)</f>
        <v>-0.0</v>
      </c>
      <c r="NQJ55" s="5">
        <f>-IFERROR('4. NPV'!NQK24/'4. NPV'!NQK$8,0)</f>
        <v>-0.0</v>
      </c>
      <c r="NQK55" s="5">
        <f>-IFERROR('4. NPV'!NQL24/'4. NPV'!NQL$8,0)</f>
        <v>-0.0</v>
      </c>
      <c r="NQL55" s="5">
        <f>-IFERROR('4. NPV'!NQM24/'4. NPV'!NQM$8,0)</f>
        <v>-0.0</v>
      </c>
      <c r="NQM55" s="5">
        <f>-IFERROR('4. NPV'!NQN24/'4. NPV'!NQN$8,0)</f>
        <v>-0.0</v>
      </c>
      <c r="NQN55" s="5">
        <f>-IFERROR('4. NPV'!NQO24/'4. NPV'!NQO$8,0)</f>
        <v>-0.0</v>
      </c>
      <c r="NQO55" s="5">
        <f>-IFERROR('4. NPV'!NQP24/'4. NPV'!NQP$8,0)</f>
        <v>-0.0</v>
      </c>
      <c r="NQP55" s="5">
        <f>-IFERROR('4. NPV'!NQQ24/'4. NPV'!NQQ$8,0)</f>
        <v>-0.0</v>
      </c>
      <c r="NQQ55" s="5">
        <f>-IFERROR('4. NPV'!NQR24/'4. NPV'!NQR$8,0)</f>
        <v>-0.0</v>
      </c>
      <c r="NQR55" s="5">
        <f>-IFERROR('4. NPV'!NQS24/'4. NPV'!NQS$8,0)</f>
        <v>-0.0</v>
      </c>
      <c r="NQS55" s="5">
        <f>-IFERROR('4. NPV'!NQT24/'4. NPV'!NQT$8,0)</f>
        <v>-0.0</v>
      </c>
      <c r="NQT55" s="5">
        <f>-IFERROR('4. NPV'!NQU24/'4. NPV'!NQU$8,0)</f>
        <v>-0.0</v>
      </c>
      <c r="NQU55" s="5">
        <f>-IFERROR('4. NPV'!NQV24/'4. NPV'!NQV$8,0)</f>
        <v>-0.0</v>
      </c>
      <c r="NQV55" s="5">
        <f>-IFERROR('4. NPV'!NQW24/'4. NPV'!NQW$8,0)</f>
        <v>-0.0</v>
      </c>
      <c r="NQW55" s="5">
        <f>-IFERROR('4. NPV'!NQX24/'4. NPV'!NQX$8,0)</f>
        <v>-0.0</v>
      </c>
      <c r="NQX55" s="5">
        <f>-IFERROR('4. NPV'!NQY24/'4. NPV'!NQY$8,0)</f>
        <v>-0.0</v>
      </c>
      <c r="NQY55" s="5">
        <f>-IFERROR('4. NPV'!NQZ24/'4. NPV'!NQZ$8,0)</f>
        <v>-0.0</v>
      </c>
      <c r="NQZ55" s="5">
        <f>-IFERROR('4. NPV'!NRA24/'4. NPV'!NRA$8,0)</f>
        <v>-0.0</v>
      </c>
      <c r="NRA55" s="5">
        <f>-IFERROR('4. NPV'!NRB24/'4. NPV'!NRB$8,0)</f>
        <v>-0.0</v>
      </c>
      <c r="NRB55" s="5">
        <f>-IFERROR('4. NPV'!NRC24/'4. NPV'!NRC$8,0)</f>
        <v>-0.0</v>
      </c>
      <c r="NRC55" s="5">
        <f>-IFERROR('4. NPV'!NRD24/'4. NPV'!NRD$8,0)</f>
        <v>-0.0</v>
      </c>
      <c r="NRD55" s="5">
        <f>-IFERROR('4. NPV'!NRE24/'4. NPV'!NRE$8,0)</f>
        <v>-0.0</v>
      </c>
      <c r="NRE55" s="5">
        <f>-IFERROR('4. NPV'!NRF24/'4. NPV'!NRF$8,0)</f>
        <v>-0.0</v>
      </c>
      <c r="NRF55" s="5">
        <f>-IFERROR('4. NPV'!NRG24/'4. NPV'!NRG$8,0)</f>
        <v>-0.0</v>
      </c>
      <c r="NRG55" s="5">
        <f>-IFERROR('4. NPV'!NRH24/'4. NPV'!NRH$8,0)</f>
        <v>-0.0</v>
      </c>
      <c r="NRH55" s="5">
        <f>-IFERROR('4. NPV'!NRI24/'4. NPV'!NRI$8,0)</f>
        <v>-0.0</v>
      </c>
      <c r="NRI55" s="5">
        <f>-IFERROR('4. NPV'!NRJ24/'4. NPV'!NRJ$8,0)</f>
        <v>-0.0</v>
      </c>
      <c r="NRJ55" s="5">
        <f>-IFERROR('4. NPV'!NRK24/'4. NPV'!NRK$8,0)</f>
        <v>-0.0</v>
      </c>
      <c r="NRK55" s="5">
        <f>-IFERROR('4. NPV'!NRL24/'4. NPV'!NRL$8,0)</f>
        <v>-0.0</v>
      </c>
      <c r="NRL55" s="5">
        <f>-IFERROR('4. NPV'!NRM24/'4. NPV'!NRM$8,0)</f>
        <v>-0.0</v>
      </c>
      <c r="NRM55" s="5">
        <f>-IFERROR('4. NPV'!NRN24/'4. NPV'!NRN$8,0)</f>
        <v>-0.0</v>
      </c>
      <c r="NRN55" s="5">
        <f>-IFERROR('4. NPV'!NRO24/'4. NPV'!NRO$8,0)</f>
        <v>-0.0</v>
      </c>
      <c r="NRO55" s="5">
        <f>-IFERROR('4. NPV'!NRP24/'4. NPV'!NRP$8,0)</f>
        <v>-0.0</v>
      </c>
      <c r="NRP55" s="5">
        <f>-IFERROR('4. NPV'!NRQ24/'4. NPV'!NRQ$8,0)</f>
        <v>-0.0</v>
      </c>
      <c r="NRQ55" s="5">
        <f>-IFERROR('4. NPV'!NRR24/'4. NPV'!NRR$8,0)</f>
        <v>-0.0</v>
      </c>
      <c r="NRR55" s="5">
        <f>-IFERROR('4. NPV'!NRS24/'4. NPV'!NRS$8,0)</f>
        <v>-0.0</v>
      </c>
      <c r="NRS55" s="5">
        <f>-IFERROR('4. NPV'!NRT24/'4. NPV'!NRT$8,0)</f>
        <v>-0.0</v>
      </c>
      <c r="NRT55" s="5">
        <f>-IFERROR('4. NPV'!NRU24/'4. NPV'!NRU$8,0)</f>
        <v>-0.0</v>
      </c>
      <c r="NRU55" s="5">
        <f>-IFERROR('4. NPV'!NRV24/'4. NPV'!NRV$8,0)</f>
        <v>-0.0</v>
      </c>
      <c r="NRV55" s="5">
        <f>-IFERROR('4. NPV'!NRW24/'4. NPV'!NRW$8,0)</f>
        <v>-0.0</v>
      </c>
      <c r="NRW55" s="5">
        <f>-IFERROR('4. NPV'!NRX24/'4. NPV'!NRX$8,0)</f>
        <v>-0.0</v>
      </c>
      <c r="NRX55" s="5">
        <f>-IFERROR('4. NPV'!NRY24/'4. NPV'!NRY$8,0)</f>
        <v>-0.0</v>
      </c>
      <c r="NRY55" s="5">
        <f>-IFERROR('4. NPV'!NRZ24/'4. NPV'!NRZ$8,0)</f>
        <v>-0.0</v>
      </c>
      <c r="NRZ55" s="5">
        <f>-IFERROR('4. NPV'!NSA24/'4. NPV'!NSA$8,0)</f>
        <v>-0.0</v>
      </c>
      <c r="NSA55" s="5">
        <f>-IFERROR('4. NPV'!NSB24/'4. NPV'!NSB$8,0)</f>
        <v>-0.0</v>
      </c>
      <c r="NSB55" s="5">
        <f>-IFERROR('4. NPV'!NSC24/'4. NPV'!NSC$8,0)</f>
        <v>-0.0</v>
      </c>
      <c r="NSC55" s="5">
        <f>-IFERROR('4. NPV'!NSD24/'4. NPV'!NSD$8,0)</f>
        <v>-0.0</v>
      </c>
      <c r="NSD55" s="5">
        <f>-IFERROR('4. NPV'!NSE24/'4. NPV'!NSE$8,0)</f>
        <v>-0.0</v>
      </c>
      <c r="NSE55" s="5">
        <f>-IFERROR('4. NPV'!NSF24/'4. NPV'!NSF$8,0)</f>
        <v>-0.0</v>
      </c>
      <c r="NSF55" s="5">
        <f>-IFERROR('4. NPV'!NSG24/'4. NPV'!NSG$8,0)</f>
        <v>-0.0</v>
      </c>
      <c r="NSG55" s="5">
        <f>-IFERROR('4. NPV'!NSH24/'4. NPV'!NSH$8,0)</f>
        <v>-0.0</v>
      </c>
      <c r="NSH55" s="5">
        <f>-IFERROR('4. NPV'!NSI24/'4. NPV'!NSI$8,0)</f>
        <v>-0.0</v>
      </c>
      <c r="NSI55" s="5">
        <f>-IFERROR('4. NPV'!NSJ24/'4. NPV'!NSJ$8,0)</f>
        <v>-0.0</v>
      </c>
      <c r="NSJ55" s="5">
        <f>-IFERROR('4. NPV'!NSK24/'4. NPV'!NSK$8,0)</f>
        <v>-0.0</v>
      </c>
      <c r="NSK55" s="5">
        <f>-IFERROR('4. NPV'!NSL24/'4. NPV'!NSL$8,0)</f>
        <v>-0.0</v>
      </c>
      <c r="NSL55" s="5">
        <f>-IFERROR('4. NPV'!NSM24/'4. NPV'!NSM$8,0)</f>
        <v>-0.0</v>
      </c>
      <c r="NSM55" s="5">
        <f>-IFERROR('4. NPV'!NSN24/'4. NPV'!NSN$8,0)</f>
        <v>-0.0</v>
      </c>
      <c r="NSN55" s="5">
        <f>-IFERROR('4. NPV'!NSO24/'4. NPV'!NSO$8,0)</f>
        <v>-0.0</v>
      </c>
      <c r="NSO55" s="5">
        <f>-IFERROR('4. NPV'!NSP24/'4. NPV'!NSP$8,0)</f>
        <v>-0.0</v>
      </c>
      <c r="NSP55" s="5">
        <f>-IFERROR('4. NPV'!NSQ24/'4. NPV'!NSQ$8,0)</f>
        <v>-0.0</v>
      </c>
      <c r="NSQ55" s="5">
        <f>-IFERROR('4. NPV'!NSR24/'4. NPV'!NSR$8,0)</f>
        <v>-0.0</v>
      </c>
      <c r="NSR55" s="5">
        <f>-IFERROR('4. NPV'!NSS24/'4. NPV'!NSS$8,0)</f>
        <v>-0.0</v>
      </c>
      <c r="NSS55" s="5">
        <f>-IFERROR('4. NPV'!NST24/'4. NPV'!NST$8,0)</f>
        <v>-0.0</v>
      </c>
      <c r="NST55" s="5">
        <f>-IFERROR('4. NPV'!NSU24/'4. NPV'!NSU$8,0)</f>
        <v>-0.0</v>
      </c>
      <c r="NSU55" s="5">
        <f>-IFERROR('4. NPV'!NSV24/'4. NPV'!NSV$8,0)</f>
        <v>-0.0</v>
      </c>
      <c r="NSV55" s="5">
        <f>-IFERROR('4. NPV'!NSW24/'4. NPV'!NSW$8,0)</f>
        <v>-0.0</v>
      </c>
      <c r="NSW55" s="5">
        <f>-IFERROR('4. NPV'!NSX24/'4. NPV'!NSX$8,0)</f>
        <v>-0.0</v>
      </c>
      <c r="NSX55" s="5">
        <f>-IFERROR('4. NPV'!NSY24/'4. NPV'!NSY$8,0)</f>
        <v>-0.0</v>
      </c>
      <c r="NSY55" s="5">
        <f>-IFERROR('4. NPV'!NSZ24/'4. NPV'!NSZ$8,0)</f>
        <v>-0.0</v>
      </c>
      <c r="NSZ55" s="5">
        <f>-IFERROR('4. NPV'!NTA24/'4. NPV'!NTA$8,0)</f>
        <v>-0.0</v>
      </c>
      <c r="NTA55" s="5">
        <f>-IFERROR('4. NPV'!NTB24/'4. NPV'!NTB$8,0)</f>
        <v>-0.0</v>
      </c>
      <c r="NTB55" s="5">
        <f>-IFERROR('4. NPV'!NTC24/'4. NPV'!NTC$8,0)</f>
        <v>-0.0</v>
      </c>
      <c r="NTC55" s="5">
        <f>-IFERROR('4. NPV'!NTD24/'4. NPV'!NTD$8,0)</f>
        <v>-0.0</v>
      </c>
      <c r="NTD55" s="5">
        <f>-IFERROR('4. NPV'!NTE24/'4. NPV'!NTE$8,0)</f>
        <v>-0.0</v>
      </c>
      <c r="NTE55" s="5">
        <f>-IFERROR('4. NPV'!NTF24/'4. NPV'!NTF$8,0)</f>
        <v>-0.0</v>
      </c>
      <c r="NTF55" s="5">
        <f>-IFERROR('4. NPV'!NTG24/'4. NPV'!NTG$8,0)</f>
        <v>-0.0</v>
      </c>
      <c r="NTG55" s="5">
        <f>-IFERROR('4. NPV'!NTH24/'4. NPV'!NTH$8,0)</f>
        <v>-0.0</v>
      </c>
      <c r="NTH55" s="5">
        <f>-IFERROR('4. NPV'!NTI24/'4. NPV'!NTI$8,0)</f>
        <v>-0.0</v>
      </c>
      <c r="NTI55" s="5">
        <f>-IFERROR('4. NPV'!NTJ24/'4. NPV'!NTJ$8,0)</f>
        <v>-0.0</v>
      </c>
      <c r="NTJ55" s="5">
        <f>-IFERROR('4. NPV'!NTK24/'4. NPV'!NTK$8,0)</f>
        <v>-0.0</v>
      </c>
      <c r="NTK55" s="5">
        <f>-IFERROR('4. NPV'!NTL24/'4. NPV'!NTL$8,0)</f>
        <v>-0.0</v>
      </c>
      <c r="NTL55" s="5">
        <f>-IFERROR('4. NPV'!NTM24/'4. NPV'!NTM$8,0)</f>
        <v>-0.0</v>
      </c>
      <c r="NTM55" s="5">
        <f>-IFERROR('4. NPV'!NTN24/'4. NPV'!NTN$8,0)</f>
        <v>-0.0</v>
      </c>
      <c r="NTN55" s="5">
        <f>-IFERROR('4. NPV'!NTO24/'4. NPV'!NTO$8,0)</f>
        <v>-0.0</v>
      </c>
      <c r="NTO55" s="5">
        <f>-IFERROR('4. NPV'!NTP24/'4. NPV'!NTP$8,0)</f>
        <v>-0.0</v>
      </c>
      <c r="NTP55" s="5">
        <f>-IFERROR('4. NPV'!NTQ24/'4. NPV'!NTQ$8,0)</f>
        <v>-0.0</v>
      </c>
      <c r="NTQ55" s="5">
        <f>-IFERROR('4. NPV'!NTR24/'4. NPV'!NTR$8,0)</f>
        <v>-0.0</v>
      </c>
      <c r="NTR55" s="5">
        <f>-IFERROR('4. NPV'!NTS24/'4. NPV'!NTS$8,0)</f>
        <v>-0.0</v>
      </c>
      <c r="NTS55" s="5">
        <f>-IFERROR('4. NPV'!NTT24/'4. NPV'!NTT$8,0)</f>
        <v>-0.0</v>
      </c>
      <c r="NTT55" s="5">
        <f>-IFERROR('4. NPV'!NTU24/'4. NPV'!NTU$8,0)</f>
        <v>-0.0</v>
      </c>
      <c r="NTU55" s="5">
        <f>-IFERROR('4. NPV'!NTV24/'4. NPV'!NTV$8,0)</f>
        <v>-0.0</v>
      </c>
      <c r="NTV55" s="5">
        <f>-IFERROR('4. NPV'!NTW24/'4. NPV'!NTW$8,0)</f>
        <v>-0.0</v>
      </c>
      <c r="NTW55" s="5">
        <f>-IFERROR('4. NPV'!NTX24/'4. NPV'!NTX$8,0)</f>
        <v>-0.0</v>
      </c>
      <c r="NTX55" s="5">
        <f>-IFERROR('4. NPV'!NTY24/'4. NPV'!NTY$8,0)</f>
        <v>-0.0</v>
      </c>
      <c r="NTY55" s="5">
        <f>-IFERROR('4. NPV'!NTZ24/'4. NPV'!NTZ$8,0)</f>
        <v>-0.0</v>
      </c>
      <c r="NTZ55" s="5">
        <f>-IFERROR('4. NPV'!NUA24/'4. NPV'!NUA$8,0)</f>
        <v>-0.0</v>
      </c>
      <c r="NUA55" s="5">
        <f>-IFERROR('4. NPV'!NUB24/'4. NPV'!NUB$8,0)</f>
        <v>-0.0</v>
      </c>
      <c r="NUB55" s="5">
        <f>-IFERROR('4. NPV'!NUC24/'4. NPV'!NUC$8,0)</f>
        <v>-0.0</v>
      </c>
      <c r="NUC55" s="5">
        <f>-IFERROR('4. NPV'!NUD24/'4. NPV'!NUD$8,0)</f>
        <v>-0.0</v>
      </c>
      <c r="NUD55" s="5">
        <f>-IFERROR('4. NPV'!NUE24/'4. NPV'!NUE$8,0)</f>
        <v>-0.0</v>
      </c>
      <c r="NUE55" s="5">
        <f>-IFERROR('4. NPV'!NUF24/'4. NPV'!NUF$8,0)</f>
        <v>-0.0</v>
      </c>
      <c r="NUF55" s="5">
        <f>-IFERROR('4. NPV'!NUG24/'4. NPV'!NUG$8,0)</f>
        <v>-0.0</v>
      </c>
      <c r="NUG55" s="5">
        <f>-IFERROR('4. NPV'!NUH24/'4. NPV'!NUH$8,0)</f>
        <v>-0.0</v>
      </c>
      <c r="NUH55" s="5">
        <f>-IFERROR('4. NPV'!NUI24/'4. NPV'!NUI$8,0)</f>
        <v>-0.0</v>
      </c>
      <c r="NUI55" s="5">
        <f>-IFERROR('4. NPV'!NUJ24/'4. NPV'!NUJ$8,0)</f>
        <v>-0.0</v>
      </c>
      <c r="NUJ55" s="5">
        <f>-IFERROR('4. NPV'!NUK24/'4. NPV'!NUK$8,0)</f>
        <v>-0.0</v>
      </c>
      <c r="NUK55" s="5">
        <f>-IFERROR('4. NPV'!NUL24/'4. NPV'!NUL$8,0)</f>
        <v>-0.0</v>
      </c>
      <c r="NUL55" s="5">
        <f>-IFERROR('4. NPV'!NUM24/'4. NPV'!NUM$8,0)</f>
        <v>-0.0</v>
      </c>
      <c r="NUM55" s="5">
        <f>-IFERROR('4. NPV'!NUN24/'4. NPV'!NUN$8,0)</f>
        <v>-0.0</v>
      </c>
      <c r="NUN55" s="5">
        <f>-IFERROR('4. NPV'!NUO24/'4. NPV'!NUO$8,0)</f>
        <v>-0.0</v>
      </c>
      <c r="NUO55" s="5">
        <f>-IFERROR('4. NPV'!NUP24/'4. NPV'!NUP$8,0)</f>
        <v>-0.0</v>
      </c>
      <c r="NUP55" s="5">
        <f>-IFERROR('4. NPV'!NUQ24/'4. NPV'!NUQ$8,0)</f>
        <v>-0.0</v>
      </c>
      <c r="NUQ55" s="5">
        <f>-IFERROR('4. NPV'!NUR24/'4. NPV'!NUR$8,0)</f>
        <v>-0.0</v>
      </c>
      <c r="NUR55" s="5">
        <f>-IFERROR('4. NPV'!NUS24/'4. NPV'!NUS$8,0)</f>
        <v>-0.0</v>
      </c>
      <c r="NUS55" s="5">
        <f>-IFERROR('4. NPV'!NUT24/'4. NPV'!NUT$8,0)</f>
        <v>-0.0</v>
      </c>
      <c r="NUT55" s="5">
        <f>-IFERROR('4. NPV'!NUU24/'4. NPV'!NUU$8,0)</f>
        <v>-0.0</v>
      </c>
      <c r="NUU55" s="5">
        <f>-IFERROR('4. NPV'!NUV24/'4. NPV'!NUV$8,0)</f>
        <v>-0.0</v>
      </c>
      <c r="NUV55" s="5">
        <f>-IFERROR('4. NPV'!NUW24/'4. NPV'!NUW$8,0)</f>
        <v>-0.0</v>
      </c>
      <c r="NUW55" s="5">
        <f>-IFERROR('4. NPV'!NUX24/'4. NPV'!NUX$8,0)</f>
        <v>-0.0</v>
      </c>
      <c r="NUX55" s="5">
        <f>-IFERROR('4. NPV'!NUY24/'4. NPV'!NUY$8,0)</f>
        <v>-0.0</v>
      </c>
      <c r="NUY55" s="5">
        <f>-IFERROR('4. NPV'!NUZ24/'4. NPV'!NUZ$8,0)</f>
        <v>-0.0</v>
      </c>
      <c r="NUZ55" s="5">
        <f>-IFERROR('4. NPV'!NVA24/'4. NPV'!NVA$8,0)</f>
        <v>-0.0</v>
      </c>
      <c r="NVA55" s="5">
        <f>-IFERROR('4. NPV'!NVB24/'4. NPV'!NVB$8,0)</f>
        <v>-0.0</v>
      </c>
      <c r="NVB55" s="5">
        <f>-IFERROR('4. NPV'!NVC24/'4. NPV'!NVC$8,0)</f>
        <v>-0.0</v>
      </c>
      <c r="NVC55" s="5">
        <f>-IFERROR('4. NPV'!NVD24/'4. NPV'!NVD$8,0)</f>
        <v>-0.0</v>
      </c>
      <c r="NVD55" s="5">
        <f>-IFERROR('4. NPV'!NVE24/'4. NPV'!NVE$8,0)</f>
        <v>-0.0</v>
      </c>
      <c r="NVE55" s="5">
        <f>-IFERROR('4. NPV'!NVF24/'4. NPV'!NVF$8,0)</f>
        <v>-0.0</v>
      </c>
      <c r="NVF55" s="5">
        <f>-IFERROR('4. NPV'!NVG24/'4. NPV'!NVG$8,0)</f>
        <v>-0.0</v>
      </c>
      <c r="NVG55" s="5">
        <f>-IFERROR('4. NPV'!NVH24/'4. NPV'!NVH$8,0)</f>
        <v>-0.0</v>
      </c>
      <c r="NVH55" s="5">
        <f>-IFERROR('4. NPV'!NVI24/'4. NPV'!NVI$8,0)</f>
        <v>-0.0</v>
      </c>
      <c r="NVI55" s="5">
        <f>-IFERROR('4. NPV'!NVJ24/'4. NPV'!NVJ$8,0)</f>
        <v>-0.0</v>
      </c>
      <c r="NVJ55" s="5">
        <f>-IFERROR('4. NPV'!NVK24/'4. NPV'!NVK$8,0)</f>
        <v>-0.0</v>
      </c>
      <c r="NVK55" s="5">
        <f>-IFERROR('4. NPV'!NVL24/'4. NPV'!NVL$8,0)</f>
        <v>-0.0</v>
      </c>
      <c r="NVL55" s="5">
        <f>-IFERROR('4. NPV'!NVM24/'4. NPV'!NVM$8,0)</f>
        <v>-0.0</v>
      </c>
      <c r="NVM55" s="5">
        <f>-IFERROR('4. NPV'!NVN24/'4. NPV'!NVN$8,0)</f>
        <v>-0.0</v>
      </c>
      <c r="NVN55" s="5">
        <f>-IFERROR('4. NPV'!NVO24/'4. NPV'!NVO$8,0)</f>
        <v>-0.0</v>
      </c>
      <c r="NVO55" s="5">
        <f>-IFERROR('4. NPV'!NVP24/'4. NPV'!NVP$8,0)</f>
        <v>-0.0</v>
      </c>
      <c r="NVP55" s="5">
        <f>-IFERROR('4. NPV'!NVQ24/'4. NPV'!NVQ$8,0)</f>
        <v>-0.0</v>
      </c>
      <c r="NVQ55" s="5">
        <f>-IFERROR('4. NPV'!NVR24/'4. NPV'!NVR$8,0)</f>
        <v>-0.0</v>
      </c>
      <c r="NVR55" s="5">
        <f>-IFERROR('4. NPV'!NVS24/'4. NPV'!NVS$8,0)</f>
        <v>-0.0</v>
      </c>
      <c r="NVS55" s="5">
        <f>-IFERROR('4. NPV'!NVT24/'4. NPV'!NVT$8,0)</f>
        <v>-0.0</v>
      </c>
      <c r="NVT55" s="5">
        <f>-IFERROR('4. NPV'!NVU24/'4. NPV'!NVU$8,0)</f>
        <v>-0.0</v>
      </c>
      <c r="NVU55" s="5">
        <f>-IFERROR('4. NPV'!NVV24/'4. NPV'!NVV$8,0)</f>
        <v>-0.0</v>
      </c>
      <c r="NVV55" s="5">
        <f>-IFERROR('4. NPV'!NVW24/'4. NPV'!NVW$8,0)</f>
        <v>-0.0</v>
      </c>
      <c r="NVW55" s="5">
        <f>-IFERROR('4. NPV'!NVX24/'4. NPV'!NVX$8,0)</f>
        <v>-0.0</v>
      </c>
      <c r="NVX55" s="5">
        <f>-IFERROR('4. NPV'!NVY24/'4. NPV'!NVY$8,0)</f>
        <v>-0.0</v>
      </c>
      <c r="NVY55" s="5">
        <f>-IFERROR('4. NPV'!NVZ24/'4. NPV'!NVZ$8,0)</f>
        <v>-0.0</v>
      </c>
      <c r="NVZ55" s="5">
        <f>-IFERROR('4. NPV'!NWA24/'4. NPV'!NWA$8,0)</f>
        <v>-0.0</v>
      </c>
      <c r="NWA55" s="5">
        <f>-IFERROR('4. NPV'!NWB24/'4. NPV'!NWB$8,0)</f>
        <v>-0.0</v>
      </c>
      <c r="NWB55" s="5">
        <f>-IFERROR('4. NPV'!NWC24/'4. NPV'!NWC$8,0)</f>
        <v>-0.0</v>
      </c>
      <c r="NWC55" s="5">
        <f>-IFERROR('4. NPV'!NWD24/'4. NPV'!NWD$8,0)</f>
        <v>-0.0</v>
      </c>
      <c r="NWD55" s="5">
        <f>-IFERROR('4. NPV'!NWE24/'4. NPV'!NWE$8,0)</f>
        <v>-0.0</v>
      </c>
      <c r="NWE55" s="5">
        <f>-IFERROR('4. NPV'!NWF24/'4. NPV'!NWF$8,0)</f>
        <v>-0.0</v>
      </c>
      <c r="NWF55" s="5">
        <f>-IFERROR('4. NPV'!NWG24/'4. NPV'!NWG$8,0)</f>
        <v>-0.0</v>
      </c>
      <c r="NWG55" s="5">
        <f>-IFERROR('4. NPV'!NWH24/'4. NPV'!NWH$8,0)</f>
        <v>-0.0</v>
      </c>
      <c r="NWH55" s="5">
        <f>-IFERROR('4. NPV'!NWI24/'4. NPV'!NWI$8,0)</f>
        <v>-0.0</v>
      </c>
      <c r="NWI55" s="5">
        <f>-IFERROR('4. NPV'!NWJ24/'4. NPV'!NWJ$8,0)</f>
        <v>-0.0</v>
      </c>
      <c r="NWJ55" s="5">
        <f>-IFERROR('4. NPV'!NWK24/'4. NPV'!NWK$8,0)</f>
        <v>-0.0</v>
      </c>
      <c r="NWK55" s="5">
        <f>-IFERROR('4. NPV'!NWL24/'4. NPV'!NWL$8,0)</f>
        <v>-0.0</v>
      </c>
      <c r="NWL55" s="5">
        <f>-IFERROR('4. NPV'!NWM24/'4. NPV'!NWM$8,0)</f>
        <v>-0.0</v>
      </c>
      <c r="NWM55" s="5">
        <f>-IFERROR('4. NPV'!NWN24/'4. NPV'!NWN$8,0)</f>
        <v>-0.0</v>
      </c>
      <c r="NWN55" s="5">
        <f>-IFERROR('4. NPV'!NWO24/'4. NPV'!NWO$8,0)</f>
        <v>-0.0</v>
      </c>
      <c r="NWO55" s="5">
        <f>-IFERROR('4. NPV'!NWP24/'4. NPV'!NWP$8,0)</f>
        <v>-0.0</v>
      </c>
      <c r="NWP55" s="5">
        <f>-IFERROR('4. NPV'!NWQ24/'4. NPV'!NWQ$8,0)</f>
        <v>-0.0</v>
      </c>
      <c r="NWQ55" s="5">
        <f>-IFERROR('4. NPV'!NWR24/'4. NPV'!NWR$8,0)</f>
        <v>-0.0</v>
      </c>
      <c r="NWR55" s="5">
        <f>-IFERROR('4. NPV'!NWS24/'4. NPV'!NWS$8,0)</f>
        <v>-0.0</v>
      </c>
      <c r="NWS55" s="5">
        <f>-IFERROR('4. NPV'!NWT24/'4. NPV'!NWT$8,0)</f>
        <v>-0.0</v>
      </c>
      <c r="NWT55" s="5">
        <f>-IFERROR('4. NPV'!NWU24/'4. NPV'!NWU$8,0)</f>
        <v>-0.0</v>
      </c>
      <c r="NWU55" s="5">
        <f>-IFERROR('4. NPV'!NWV24/'4. NPV'!NWV$8,0)</f>
        <v>-0.0</v>
      </c>
      <c r="NWV55" s="5">
        <f>-IFERROR('4. NPV'!NWW24/'4. NPV'!NWW$8,0)</f>
        <v>-0.0</v>
      </c>
      <c r="NWW55" s="5">
        <f>-IFERROR('4. NPV'!NWX24/'4. NPV'!NWX$8,0)</f>
        <v>-0.0</v>
      </c>
      <c r="NWX55" s="5">
        <f>-IFERROR('4. NPV'!NWY24/'4. NPV'!NWY$8,0)</f>
        <v>-0.0</v>
      </c>
      <c r="NWY55" s="5">
        <f>-IFERROR('4. NPV'!NWZ24/'4. NPV'!NWZ$8,0)</f>
        <v>-0.0</v>
      </c>
      <c r="NWZ55" s="5">
        <f>-IFERROR('4. NPV'!NXA24/'4. NPV'!NXA$8,0)</f>
        <v>-0.0</v>
      </c>
      <c r="NXA55" s="5">
        <f>-IFERROR('4. NPV'!NXB24/'4. NPV'!NXB$8,0)</f>
        <v>-0.0</v>
      </c>
      <c r="NXB55" s="5">
        <f>-IFERROR('4. NPV'!NXC24/'4. NPV'!NXC$8,0)</f>
        <v>-0.0</v>
      </c>
      <c r="NXC55" s="5">
        <f>-IFERROR('4. NPV'!NXD24/'4. NPV'!NXD$8,0)</f>
        <v>-0.0</v>
      </c>
      <c r="NXD55" s="5">
        <f>-IFERROR('4. NPV'!NXE24/'4. NPV'!NXE$8,0)</f>
        <v>-0.0</v>
      </c>
      <c r="NXE55" s="5">
        <f>-IFERROR('4. NPV'!NXF24/'4. NPV'!NXF$8,0)</f>
        <v>-0.0</v>
      </c>
      <c r="NXF55" s="5">
        <f>-IFERROR('4. NPV'!NXG24/'4. NPV'!NXG$8,0)</f>
        <v>-0.0</v>
      </c>
      <c r="NXG55" s="5">
        <f>-IFERROR('4. NPV'!NXH24/'4. NPV'!NXH$8,0)</f>
        <v>-0.0</v>
      </c>
      <c r="NXH55" s="5">
        <f>-IFERROR('4. NPV'!NXI24/'4. NPV'!NXI$8,0)</f>
        <v>-0.0</v>
      </c>
      <c r="NXI55" s="5">
        <f>-IFERROR('4. NPV'!NXJ24/'4. NPV'!NXJ$8,0)</f>
        <v>-0.0</v>
      </c>
      <c r="NXJ55" s="5">
        <f>-IFERROR('4. NPV'!NXK24/'4. NPV'!NXK$8,0)</f>
        <v>-0.0</v>
      </c>
      <c r="NXK55" s="5">
        <f>-IFERROR('4. NPV'!NXL24/'4. NPV'!NXL$8,0)</f>
        <v>-0.0</v>
      </c>
      <c r="NXL55" s="5">
        <f>-IFERROR('4. NPV'!NXM24/'4. NPV'!NXM$8,0)</f>
        <v>-0.0</v>
      </c>
      <c r="NXM55" s="5">
        <f>-IFERROR('4. NPV'!NXN24/'4. NPV'!NXN$8,0)</f>
        <v>-0.0</v>
      </c>
      <c r="NXN55" s="5">
        <f>-IFERROR('4. NPV'!NXO24/'4. NPV'!NXO$8,0)</f>
        <v>-0.0</v>
      </c>
      <c r="NXO55" s="5">
        <f>-IFERROR('4. NPV'!NXP24/'4. NPV'!NXP$8,0)</f>
        <v>-0.0</v>
      </c>
      <c r="NXP55" s="5">
        <f>-IFERROR('4. NPV'!NXQ24/'4. NPV'!NXQ$8,0)</f>
        <v>-0.0</v>
      </c>
      <c r="NXQ55" s="5">
        <f>-IFERROR('4. NPV'!NXR24/'4. NPV'!NXR$8,0)</f>
        <v>-0.0</v>
      </c>
      <c r="NXR55" s="5">
        <f>-IFERROR('4. NPV'!NXS24/'4. NPV'!NXS$8,0)</f>
        <v>-0.0</v>
      </c>
      <c r="NXS55" s="5">
        <f>-IFERROR('4. NPV'!NXT24/'4. NPV'!NXT$8,0)</f>
        <v>-0.0</v>
      </c>
      <c r="NXT55" s="5">
        <f>-IFERROR('4. NPV'!NXU24/'4. NPV'!NXU$8,0)</f>
        <v>-0.0</v>
      </c>
      <c r="NXU55" s="5">
        <f>-IFERROR('4. NPV'!NXV24/'4. NPV'!NXV$8,0)</f>
        <v>-0.0</v>
      </c>
      <c r="NXV55" s="5">
        <f>-IFERROR('4. NPV'!NXW24/'4. NPV'!NXW$8,0)</f>
        <v>-0.0</v>
      </c>
      <c r="NXW55" s="5">
        <f>-IFERROR('4. NPV'!NXX24/'4. NPV'!NXX$8,0)</f>
        <v>-0.0</v>
      </c>
      <c r="NXX55" s="5">
        <f>-IFERROR('4. NPV'!NXY24/'4. NPV'!NXY$8,0)</f>
        <v>-0.0</v>
      </c>
      <c r="NXY55" s="5">
        <f>-IFERROR('4. NPV'!NXZ24/'4. NPV'!NXZ$8,0)</f>
        <v>-0.0</v>
      </c>
      <c r="NXZ55" s="5">
        <f>-IFERROR('4. NPV'!NYA24/'4. NPV'!NYA$8,0)</f>
        <v>-0.0</v>
      </c>
      <c r="NYA55" s="5">
        <f>-IFERROR('4. NPV'!NYB24/'4. NPV'!NYB$8,0)</f>
        <v>-0.0</v>
      </c>
      <c r="NYB55" s="5">
        <f>-IFERROR('4. NPV'!NYC24/'4. NPV'!NYC$8,0)</f>
        <v>-0.0</v>
      </c>
      <c r="NYC55" s="5">
        <f>-IFERROR('4. NPV'!NYD24/'4. NPV'!NYD$8,0)</f>
        <v>-0.0</v>
      </c>
      <c r="NYD55" s="5">
        <f>-IFERROR('4. NPV'!NYE24/'4. NPV'!NYE$8,0)</f>
        <v>-0.0</v>
      </c>
      <c r="NYE55" s="5">
        <f>-IFERROR('4. NPV'!NYF24/'4. NPV'!NYF$8,0)</f>
        <v>-0.0</v>
      </c>
      <c r="NYF55" s="5">
        <f>-IFERROR('4. NPV'!NYG24/'4. NPV'!NYG$8,0)</f>
        <v>-0.0</v>
      </c>
      <c r="NYG55" s="5">
        <f>-IFERROR('4. NPV'!NYH24/'4. NPV'!NYH$8,0)</f>
        <v>-0.0</v>
      </c>
      <c r="NYH55" s="5">
        <f>-IFERROR('4. NPV'!NYI24/'4. NPV'!NYI$8,0)</f>
        <v>-0.0</v>
      </c>
      <c r="NYI55" s="5">
        <f>-IFERROR('4. NPV'!NYJ24/'4. NPV'!NYJ$8,0)</f>
        <v>-0.0</v>
      </c>
      <c r="NYJ55" s="5">
        <f>-IFERROR('4. NPV'!NYK24/'4. NPV'!NYK$8,0)</f>
        <v>-0.0</v>
      </c>
      <c r="NYK55" s="5">
        <f>-IFERROR('4. NPV'!NYL24/'4. NPV'!NYL$8,0)</f>
        <v>-0.0</v>
      </c>
      <c r="NYL55" s="5">
        <f>-IFERROR('4. NPV'!NYM24/'4. NPV'!NYM$8,0)</f>
        <v>-0.0</v>
      </c>
      <c r="NYM55" s="5">
        <f>-IFERROR('4. NPV'!NYN24/'4. NPV'!NYN$8,0)</f>
        <v>-0.0</v>
      </c>
      <c r="NYN55" s="5">
        <f>-IFERROR('4. NPV'!NYO24/'4. NPV'!NYO$8,0)</f>
        <v>-0.0</v>
      </c>
      <c r="NYO55" s="5">
        <f>-IFERROR('4. NPV'!NYP24/'4. NPV'!NYP$8,0)</f>
        <v>-0.0</v>
      </c>
      <c r="NYP55" s="5">
        <f>-IFERROR('4. NPV'!NYQ24/'4. NPV'!NYQ$8,0)</f>
        <v>-0.0</v>
      </c>
      <c r="NYQ55" s="5">
        <f>-IFERROR('4. NPV'!NYR24/'4. NPV'!NYR$8,0)</f>
        <v>-0.0</v>
      </c>
      <c r="NYR55" s="5">
        <f>-IFERROR('4. NPV'!NYS24/'4. NPV'!NYS$8,0)</f>
        <v>-0.0</v>
      </c>
      <c r="NYS55" s="5">
        <f>-IFERROR('4. NPV'!NYT24/'4. NPV'!NYT$8,0)</f>
        <v>-0.0</v>
      </c>
      <c r="NYT55" s="5">
        <f>-IFERROR('4. NPV'!NYU24/'4. NPV'!NYU$8,0)</f>
        <v>-0.0</v>
      </c>
      <c r="NYU55" s="5">
        <f>-IFERROR('4. NPV'!NYV24/'4. NPV'!NYV$8,0)</f>
        <v>-0.0</v>
      </c>
      <c r="NYV55" s="5">
        <f>-IFERROR('4. NPV'!NYW24/'4. NPV'!NYW$8,0)</f>
        <v>-0.0</v>
      </c>
      <c r="NYW55" s="5">
        <f>-IFERROR('4. NPV'!NYX24/'4. NPV'!NYX$8,0)</f>
        <v>-0.0</v>
      </c>
      <c r="NYX55" s="5">
        <f>-IFERROR('4. NPV'!NYY24/'4. NPV'!NYY$8,0)</f>
        <v>-0.0</v>
      </c>
      <c r="NYY55" s="5">
        <f>-IFERROR('4. NPV'!NYZ24/'4. NPV'!NYZ$8,0)</f>
        <v>-0.0</v>
      </c>
      <c r="NYZ55" s="5">
        <f>-IFERROR('4. NPV'!NZA24/'4. NPV'!NZA$8,0)</f>
        <v>-0.0</v>
      </c>
      <c r="NZA55" s="5">
        <f>-IFERROR('4. NPV'!NZB24/'4. NPV'!NZB$8,0)</f>
        <v>-0.0</v>
      </c>
      <c r="NZB55" s="5">
        <f>-IFERROR('4. NPV'!NZC24/'4. NPV'!NZC$8,0)</f>
        <v>-0.0</v>
      </c>
      <c r="NZC55" s="5">
        <f>-IFERROR('4. NPV'!NZD24/'4. NPV'!NZD$8,0)</f>
        <v>-0.0</v>
      </c>
      <c r="NZD55" s="5">
        <f>-IFERROR('4. NPV'!NZE24/'4. NPV'!NZE$8,0)</f>
        <v>-0.0</v>
      </c>
      <c r="NZE55" s="5">
        <f>-IFERROR('4. NPV'!NZF24/'4. NPV'!NZF$8,0)</f>
        <v>-0.0</v>
      </c>
      <c r="NZF55" s="5">
        <f>-IFERROR('4. NPV'!NZG24/'4. NPV'!NZG$8,0)</f>
        <v>-0.0</v>
      </c>
      <c r="NZG55" s="5">
        <f>-IFERROR('4. NPV'!NZH24/'4. NPV'!NZH$8,0)</f>
        <v>-0.0</v>
      </c>
      <c r="NZH55" s="5">
        <f>-IFERROR('4. NPV'!NZI24/'4. NPV'!NZI$8,0)</f>
        <v>-0.0</v>
      </c>
      <c r="NZI55" s="5">
        <f>-IFERROR('4. NPV'!NZJ24/'4. NPV'!NZJ$8,0)</f>
        <v>-0.0</v>
      </c>
      <c r="NZJ55" s="5">
        <f>-IFERROR('4. NPV'!NZK24/'4. NPV'!NZK$8,0)</f>
        <v>-0.0</v>
      </c>
      <c r="NZK55" s="5">
        <f>-IFERROR('4. NPV'!NZL24/'4. NPV'!NZL$8,0)</f>
        <v>-0.0</v>
      </c>
      <c r="NZL55" s="5">
        <f>-IFERROR('4. NPV'!NZM24/'4. NPV'!NZM$8,0)</f>
        <v>-0.0</v>
      </c>
      <c r="NZM55" s="5">
        <f>-IFERROR('4. NPV'!NZN24/'4. NPV'!NZN$8,0)</f>
        <v>-0.0</v>
      </c>
      <c r="NZN55" s="5">
        <f>-IFERROR('4. NPV'!NZO24/'4. NPV'!NZO$8,0)</f>
        <v>-0.0</v>
      </c>
      <c r="NZO55" s="5">
        <f>-IFERROR('4. NPV'!NZP24/'4. NPV'!NZP$8,0)</f>
        <v>-0.0</v>
      </c>
      <c r="NZP55" s="5">
        <f>-IFERROR('4. NPV'!NZQ24/'4. NPV'!NZQ$8,0)</f>
        <v>-0.0</v>
      </c>
      <c r="NZQ55" s="5">
        <f>-IFERROR('4. NPV'!NZR24/'4. NPV'!NZR$8,0)</f>
        <v>-0.0</v>
      </c>
      <c r="NZR55" s="5">
        <f>-IFERROR('4. NPV'!NZS24/'4. NPV'!NZS$8,0)</f>
        <v>-0.0</v>
      </c>
      <c r="NZS55" s="5">
        <f>-IFERROR('4. NPV'!NZT24/'4. NPV'!NZT$8,0)</f>
        <v>-0.0</v>
      </c>
      <c r="NZT55" s="5">
        <f>-IFERROR('4. NPV'!NZU24/'4. NPV'!NZU$8,0)</f>
        <v>-0.0</v>
      </c>
      <c r="NZU55" s="5">
        <f>-IFERROR('4. NPV'!NZV24/'4. NPV'!NZV$8,0)</f>
        <v>-0.0</v>
      </c>
      <c r="NZV55" s="5">
        <f>-IFERROR('4. NPV'!NZW24/'4. NPV'!NZW$8,0)</f>
        <v>-0.0</v>
      </c>
      <c r="NZW55" s="5">
        <f>-IFERROR('4. NPV'!NZX24/'4. NPV'!NZX$8,0)</f>
        <v>-0.0</v>
      </c>
      <c r="NZX55" s="5">
        <f>-IFERROR('4. NPV'!NZY24/'4. NPV'!NZY$8,0)</f>
        <v>-0.0</v>
      </c>
      <c r="NZY55" s="5">
        <f>-IFERROR('4. NPV'!NZZ24/'4. NPV'!NZZ$8,0)</f>
        <v>-0.0</v>
      </c>
      <c r="NZZ55" s="5">
        <f>-IFERROR('4. NPV'!OAA24/'4. NPV'!OAA$8,0)</f>
        <v>-0.0</v>
      </c>
      <c r="OAA55" s="5">
        <f>-IFERROR('4. NPV'!OAB24/'4. NPV'!OAB$8,0)</f>
        <v>-0.0</v>
      </c>
      <c r="OAB55" s="5">
        <f>-IFERROR('4. NPV'!OAC24/'4. NPV'!OAC$8,0)</f>
        <v>-0.0</v>
      </c>
      <c r="OAC55" s="5">
        <f>-IFERROR('4. NPV'!OAD24/'4. NPV'!OAD$8,0)</f>
        <v>-0.0</v>
      </c>
      <c r="OAD55" s="5">
        <f>-IFERROR('4. NPV'!OAE24/'4. NPV'!OAE$8,0)</f>
        <v>-0.0</v>
      </c>
      <c r="OAE55" s="5">
        <f>-IFERROR('4. NPV'!OAF24/'4. NPV'!OAF$8,0)</f>
        <v>-0.0</v>
      </c>
      <c r="OAF55" s="5">
        <f>-IFERROR('4. NPV'!OAG24/'4. NPV'!OAG$8,0)</f>
        <v>-0.0</v>
      </c>
      <c r="OAG55" s="5">
        <f>-IFERROR('4. NPV'!OAH24/'4. NPV'!OAH$8,0)</f>
        <v>-0.0</v>
      </c>
      <c r="OAH55" s="5">
        <f>-IFERROR('4. NPV'!OAI24/'4. NPV'!OAI$8,0)</f>
        <v>-0.0</v>
      </c>
      <c r="OAI55" s="5">
        <f>-IFERROR('4. NPV'!OAJ24/'4. NPV'!OAJ$8,0)</f>
        <v>-0.0</v>
      </c>
      <c r="OAJ55" s="5">
        <f>-IFERROR('4. NPV'!OAK24/'4. NPV'!OAK$8,0)</f>
        <v>-0.0</v>
      </c>
      <c r="OAK55" s="5">
        <f>-IFERROR('4. NPV'!OAL24/'4. NPV'!OAL$8,0)</f>
        <v>-0.0</v>
      </c>
      <c r="OAL55" s="5">
        <f>-IFERROR('4. NPV'!OAM24/'4. NPV'!OAM$8,0)</f>
        <v>-0.0</v>
      </c>
      <c r="OAM55" s="5">
        <f>-IFERROR('4. NPV'!OAN24/'4. NPV'!OAN$8,0)</f>
        <v>-0.0</v>
      </c>
      <c r="OAN55" s="5">
        <f>-IFERROR('4. NPV'!OAO24/'4. NPV'!OAO$8,0)</f>
        <v>-0.0</v>
      </c>
      <c r="OAO55" s="5">
        <f>-IFERROR('4. NPV'!OAP24/'4. NPV'!OAP$8,0)</f>
        <v>-0.0</v>
      </c>
      <c r="OAP55" s="5">
        <f>-IFERROR('4. NPV'!OAQ24/'4. NPV'!OAQ$8,0)</f>
        <v>-0.0</v>
      </c>
      <c r="OAQ55" s="5">
        <f>-IFERROR('4. NPV'!OAR24/'4. NPV'!OAR$8,0)</f>
        <v>-0.0</v>
      </c>
      <c r="OAR55" s="5">
        <f>-IFERROR('4. NPV'!OAS24/'4. NPV'!OAS$8,0)</f>
        <v>-0.0</v>
      </c>
      <c r="OAS55" s="5">
        <f>-IFERROR('4. NPV'!OAT24/'4. NPV'!OAT$8,0)</f>
        <v>-0.0</v>
      </c>
      <c r="OAT55" s="5">
        <f>-IFERROR('4. NPV'!OAU24/'4. NPV'!OAU$8,0)</f>
        <v>-0.0</v>
      </c>
      <c r="OAU55" s="5">
        <f>-IFERROR('4. NPV'!OAV24/'4. NPV'!OAV$8,0)</f>
        <v>-0.0</v>
      </c>
      <c r="OAV55" s="5">
        <f>-IFERROR('4. NPV'!OAW24/'4. NPV'!OAW$8,0)</f>
        <v>-0.0</v>
      </c>
      <c r="OAW55" s="5">
        <f>-IFERROR('4. NPV'!OAX24/'4. NPV'!OAX$8,0)</f>
        <v>-0.0</v>
      </c>
      <c r="OAX55" s="5">
        <f>-IFERROR('4. NPV'!OAY24/'4. NPV'!OAY$8,0)</f>
        <v>-0.0</v>
      </c>
      <c r="OAY55" s="5">
        <f>-IFERROR('4. NPV'!OAZ24/'4. NPV'!OAZ$8,0)</f>
        <v>-0.0</v>
      </c>
      <c r="OAZ55" s="5">
        <f>-IFERROR('4. NPV'!OBA24/'4. NPV'!OBA$8,0)</f>
        <v>-0.0</v>
      </c>
      <c r="OBA55" s="5">
        <f>-IFERROR('4. NPV'!OBB24/'4. NPV'!OBB$8,0)</f>
        <v>-0.0</v>
      </c>
      <c r="OBB55" s="5">
        <f>-IFERROR('4. NPV'!OBC24/'4. NPV'!OBC$8,0)</f>
        <v>-0.0</v>
      </c>
      <c r="OBC55" s="5">
        <f>-IFERROR('4. NPV'!OBD24/'4. NPV'!OBD$8,0)</f>
        <v>-0.0</v>
      </c>
      <c r="OBD55" s="5">
        <f>-IFERROR('4. NPV'!OBE24/'4. NPV'!OBE$8,0)</f>
        <v>-0.0</v>
      </c>
      <c r="OBE55" s="5">
        <f>-IFERROR('4. NPV'!OBF24/'4. NPV'!OBF$8,0)</f>
        <v>-0.0</v>
      </c>
      <c r="OBF55" s="5">
        <f>-IFERROR('4. NPV'!OBG24/'4. NPV'!OBG$8,0)</f>
        <v>-0.0</v>
      </c>
      <c r="OBG55" s="5">
        <f>-IFERROR('4. NPV'!OBH24/'4. NPV'!OBH$8,0)</f>
        <v>-0.0</v>
      </c>
      <c r="OBH55" s="5">
        <f>-IFERROR('4. NPV'!OBI24/'4. NPV'!OBI$8,0)</f>
        <v>-0.0</v>
      </c>
      <c r="OBI55" s="5">
        <f>-IFERROR('4. NPV'!OBJ24/'4. NPV'!OBJ$8,0)</f>
        <v>-0.0</v>
      </c>
      <c r="OBJ55" s="5">
        <f>-IFERROR('4. NPV'!OBK24/'4. NPV'!OBK$8,0)</f>
        <v>-0.0</v>
      </c>
      <c r="OBK55" s="5">
        <f>-IFERROR('4. NPV'!OBL24/'4. NPV'!OBL$8,0)</f>
        <v>-0.0</v>
      </c>
      <c r="OBL55" s="5">
        <f>-IFERROR('4. NPV'!OBM24/'4. NPV'!OBM$8,0)</f>
        <v>-0.0</v>
      </c>
      <c r="OBM55" s="5">
        <f>-IFERROR('4. NPV'!OBN24/'4. NPV'!OBN$8,0)</f>
        <v>-0.0</v>
      </c>
      <c r="OBN55" s="5">
        <f>-IFERROR('4. NPV'!OBO24/'4. NPV'!OBO$8,0)</f>
        <v>-0.0</v>
      </c>
      <c r="OBO55" s="5">
        <f>-IFERROR('4. NPV'!OBP24/'4. NPV'!OBP$8,0)</f>
        <v>-0.0</v>
      </c>
      <c r="OBP55" s="5">
        <f>-IFERROR('4. NPV'!OBQ24/'4. NPV'!OBQ$8,0)</f>
        <v>-0.0</v>
      </c>
      <c r="OBQ55" s="5">
        <f>-IFERROR('4. NPV'!OBR24/'4. NPV'!OBR$8,0)</f>
        <v>-0.0</v>
      </c>
      <c r="OBR55" s="5">
        <f>-IFERROR('4. NPV'!OBS24/'4. NPV'!OBS$8,0)</f>
        <v>-0.0</v>
      </c>
      <c r="OBS55" s="5">
        <f>-IFERROR('4. NPV'!OBT24/'4. NPV'!OBT$8,0)</f>
        <v>-0.0</v>
      </c>
      <c r="OBT55" s="5">
        <f>-IFERROR('4. NPV'!OBU24/'4. NPV'!OBU$8,0)</f>
        <v>-0.0</v>
      </c>
      <c r="OBU55" s="5">
        <f>-IFERROR('4. NPV'!OBV24/'4. NPV'!OBV$8,0)</f>
        <v>-0.0</v>
      </c>
      <c r="OBV55" s="5">
        <f>-IFERROR('4. NPV'!OBW24/'4. NPV'!OBW$8,0)</f>
        <v>-0.0</v>
      </c>
      <c r="OBW55" s="5">
        <f>-IFERROR('4. NPV'!OBX24/'4. NPV'!OBX$8,0)</f>
        <v>-0.0</v>
      </c>
      <c r="OBX55" s="5">
        <f>-IFERROR('4. NPV'!OBY24/'4. NPV'!OBY$8,0)</f>
        <v>-0.0</v>
      </c>
      <c r="OBY55" s="5">
        <f>-IFERROR('4. NPV'!OBZ24/'4. NPV'!OBZ$8,0)</f>
        <v>-0.0</v>
      </c>
      <c r="OBZ55" s="5">
        <f>-IFERROR('4. NPV'!OCA24/'4. NPV'!OCA$8,0)</f>
        <v>-0.0</v>
      </c>
      <c r="OCA55" s="5">
        <f>-IFERROR('4. NPV'!OCB24/'4. NPV'!OCB$8,0)</f>
        <v>-0.0</v>
      </c>
      <c r="OCB55" s="5">
        <f>-IFERROR('4. NPV'!OCC24/'4. NPV'!OCC$8,0)</f>
        <v>-0.0</v>
      </c>
      <c r="OCC55" s="5">
        <f>-IFERROR('4. NPV'!OCD24/'4. NPV'!OCD$8,0)</f>
        <v>-0.0</v>
      </c>
      <c r="OCD55" s="5">
        <f>-IFERROR('4. NPV'!OCE24/'4. NPV'!OCE$8,0)</f>
        <v>-0.0</v>
      </c>
      <c r="OCE55" s="5">
        <f>-IFERROR('4. NPV'!OCF24/'4. NPV'!OCF$8,0)</f>
        <v>-0.0</v>
      </c>
      <c r="OCF55" s="5">
        <f>-IFERROR('4. NPV'!OCG24/'4. NPV'!OCG$8,0)</f>
        <v>-0.0</v>
      </c>
      <c r="OCG55" s="5">
        <f>-IFERROR('4. NPV'!OCH24/'4. NPV'!OCH$8,0)</f>
        <v>-0.0</v>
      </c>
      <c r="OCH55" s="5">
        <f>-IFERROR('4. NPV'!OCI24/'4. NPV'!OCI$8,0)</f>
        <v>-0.0</v>
      </c>
      <c r="OCI55" s="5">
        <f>-IFERROR('4. NPV'!OCJ24/'4. NPV'!OCJ$8,0)</f>
        <v>-0.0</v>
      </c>
      <c r="OCJ55" s="5">
        <f>-IFERROR('4. NPV'!OCK24/'4. NPV'!OCK$8,0)</f>
        <v>-0.0</v>
      </c>
      <c r="OCK55" s="5">
        <f>-IFERROR('4. NPV'!OCL24/'4. NPV'!OCL$8,0)</f>
        <v>-0.0</v>
      </c>
      <c r="OCL55" s="5">
        <f>-IFERROR('4. NPV'!OCM24/'4. NPV'!OCM$8,0)</f>
        <v>-0.0</v>
      </c>
      <c r="OCM55" s="5">
        <f>-IFERROR('4. NPV'!OCN24/'4. NPV'!OCN$8,0)</f>
        <v>-0.0</v>
      </c>
      <c r="OCN55" s="5">
        <f>-IFERROR('4. NPV'!OCO24/'4. NPV'!OCO$8,0)</f>
        <v>-0.0</v>
      </c>
      <c r="OCO55" s="5">
        <f>-IFERROR('4. NPV'!OCP24/'4. NPV'!OCP$8,0)</f>
        <v>-0.0</v>
      </c>
      <c r="OCP55" s="5">
        <f>-IFERROR('4. NPV'!OCQ24/'4. NPV'!OCQ$8,0)</f>
        <v>-0.0</v>
      </c>
      <c r="OCQ55" s="5">
        <f>-IFERROR('4. NPV'!OCR24/'4. NPV'!OCR$8,0)</f>
        <v>-0.0</v>
      </c>
      <c r="OCR55" s="5">
        <f>-IFERROR('4. NPV'!OCS24/'4. NPV'!OCS$8,0)</f>
        <v>-0.0</v>
      </c>
      <c r="OCS55" s="5">
        <f>-IFERROR('4. NPV'!OCT24/'4. NPV'!OCT$8,0)</f>
        <v>-0.0</v>
      </c>
      <c r="OCT55" s="5">
        <f>-IFERROR('4. NPV'!OCU24/'4. NPV'!OCU$8,0)</f>
        <v>-0.0</v>
      </c>
      <c r="OCU55" s="5">
        <f>-IFERROR('4. NPV'!OCV24/'4. NPV'!OCV$8,0)</f>
        <v>-0.0</v>
      </c>
      <c r="OCV55" s="5">
        <f>-IFERROR('4. NPV'!OCW24/'4. NPV'!OCW$8,0)</f>
        <v>-0.0</v>
      </c>
      <c r="OCW55" s="5">
        <f>-IFERROR('4. NPV'!OCX24/'4. NPV'!OCX$8,0)</f>
        <v>-0.0</v>
      </c>
      <c r="OCX55" s="5">
        <f>-IFERROR('4. NPV'!OCY24/'4. NPV'!OCY$8,0)</f>
        <v>-0.0</v>
      </c>
      <c r="OCY55" s="5">
        <f>-IFERROR('4. NPV'!OCZ24/'4. NPV'!OCZ$8,0)</f>
        <v>-0.0</v>
      </c>
      <c r="OCZ55" s="5">
        <f>-IFERROR('4. NPV'!ODA24/'4. NPV'!ODA$8,0)</f>
        <v>-0.0</v>
      </c>
      <c r="ODA55" s="5">
        <f>-IFERROR('4. NPV'!ODB24/'4. NPV'!ODB$8,0)</f>
        <v>-0.0</v>
      </c>
      <c r="ODB55" s="5">
        <f>-IFERROR('4. NPV'!ODC24/'4. NPV'!ODC$8,0)</f>
        <v>-0.0</v>
      </c>
      <c r="ODC55" s="5">
        <f>-IFERROR('4. NPV'!ODD24/'4. NPV'!ODD$8,0)</f>
        <v>-0.0</v>
      </c>
      <c r="ODD55" s="5">
        <f>-IFERROR('4. NPV'!ODE24/'4. NPV'!ODE$8,0)</f>
        <v>-0.0</v>
      </c>
      <c r="ODE55" s="5">
        <f>-IFERROR('4. NPV'!ODF24/'4. NPV'!ODF$8,0)</f>
        <v>-0.0</v>
      </c>
      <c r="ODF55" s="5">
        <f>-IFERROR('4. NPV'!ODG24/'4. NPV'!ODG$8,0)</f>
        <v>-0.0</v>
      </c>
      <c r="ODG55" s="5">
        <f>-IFERROR('4. NPV'!ODH24/'4. NPV'!ODH$8,0)</f>
        <v>-0.0</v>
      </c>
      <c r="ODH55" s="5">
        <f>-IFERROR('4. NPV'!ODI24/'4. NPV'!ODI$8,0)</f>
        <v>-0.0</v>
      </c>
      <c r="ODI55" s="5">
        <f>-IFERROR('4. NPV'!ODJ24/'4. NPV'!ODJ$8,0)</f>
        <v>-0.0</v>
      </c>
      <c r="ODJ55" s="5">
        <f>-IFERROR('4. NPV'!ODK24/'4. NPV'!ODK$8,0)</f>
        <v>-0.0</v>
      </c>
      <c r="ODK55" s="5">
        <f>-IFERROR('4. NPV'!ODL24/'4. NPV'!ODL$8,0)</f>
        <v>-0.0</v>
      </c>
      <c r="ODL55" s="5">
        <f>-IFERROR('4. NPV'!ODM24/'4. NPV'!ODM$8,0)</f>
        <v>-0.0</v>
      </c>
      <c r="ODM55" s="5">
        <f>-IFERROR('4. NPV'!ODN24/'4. NPV'!ODN$8,0)</f>
        <v>-0.0</v>
      </c>
      <c r="ODN55" s="5">
        <f>-IFERROR('4. NPV'!ODO24/'4. NPV'!ODO$8,0)</f>
        <v>-0.0</v>
      </c>
      <c r="ODO55" s="5">
        <f>-IFERROR('4. NPV'!ODP24/'4. NPV'!ODP$8,0)</f>
        <v>-0.0</v>
      </c>
      <c r="ODP55" s="5">
        <f>-IFERROR('4. NPV'!ODQ24/'4. NPV'!ODQ$8,0)</f>
        <v>-0.0</v>
      </c>
      <c r="ODQ55" s="5">
        <f>-IFERROR('4. NPV'!ODR24/'4. NPV'!ODR$8,0)</f>
        <v>-0.0</v>
      </c>
      <c r="ODR55" s="5">
        <f>-IFERROR('4. NPV'!ODS24/'4. NPV'!ODS$8,0)</f>
        <v>-0.0</v>
      </c>
      <c r="ODS55" s="5">
        <f>-IFERROR('4. NPV'!ODT24/'4. NPV'!ODT$8,0)</f>
        <v>-0.0</v>
      </c>
      <c r="ODT55" s="5">
        <f>-IFERROR('4. NPV'!ODU24/'4. NPV'!ODU$8,0)</f>
        <v>-0.0</v>
      </c>
      <c r="ODU55" s="5">
        <f>-IFERROR('4. NPV'!ODV24/'4. NPV'!ODV$8,0)</f>
        <v>-0.0</v>
      </c>
      <c r="ODV55" s="5">
        <f>-IFERROR('4. NPV'!ODW24/'4. NPV'!ODW$8,0)</f>
        <v>-0.0</v>
      </c>
      <c r="ODW55" s="5">
        <f>-IFERROR('4. NPV'!ODX24/'4. NPV'!ODX$8,0)</f>
        <v>-0.0</v>
      </c>
      <c r="ODX55" s="5">
        <f>-IFERROR('4. NPV'!ODY24/'4. NPV'!ODY$8,0)</f>
        <v>-0.0</v>
      </c>
      <c r="ODY55" s="5">
        <f>-IFERROR('4. NPV'!ODZ24/'4. NPV'!ODZ$8,0)</f>
        <v>-0.0</v>
      </c>
      <c r="ODZ55" s="5">
        <f>-IFERROR('4. NPV'!OEA24/'4. NPV'!OEA$8,0)</f>
        <v>-0.0</v>
      </c>
      <c r="OEA55" s="5">
        <f>-IFERROR('4. NPV'!OEB24/'4. NPV'!OEB$8,0)</f>
        <v>-0.0</v>
      </c>
      <c r="OEB55" s="5">
        <f>-IFERROR('4. NPV'!OEC24/'4. NPV'!OEC$8,0)</f>
        <v>-0.0</v>
      </c>
      <c r="OEC55" s="5">
        <f>-IFERROR('4. NPV'!OED24/'4. NPV'!OED$8,0)</f>
        <v>-0.0</v>
      </c>
      <c r="OED55" s="5">
        <f>-IFERROR('4. NPV'!OEE24/'4. NPV'!OEE$8,0)</f>
        <v>-0.0</v>
      </c>
      <c r="OEE55" s="5">
        <f>-IFERROR('4. NPV'!OEF24/'4. NPV'!OEF$8,0)</f>
        <v>-0.0</v>
      </c>
      <c r="OEF55" s="5">
        <f>-IFERROR('4. NPV'!OEG24/'4. NPV'!OEG$8,0)</f>
        <v>-0.0</v>
      </c>
      <c r="OEG55" s="5">
        <f>-IFERROR('4. NPV'!OEH24/'4. NPV'!OEH$8,0)</f>
        <v>-0.0</v>
      </c>
      <c r="OEH55" s="5">
        <f>-IFERROR('4. NPV'!OEI24/'4. NPV'!OEI$8,0)</f>
        <v>-0.0</v>
      </c>
      <c r="OEI55" s="5">
        <f>-IFERROR('4. NPV'!OEJ24/'4. NPV'!OEJ$8,0)</f>
        <v>-0.0</v>
      </c>
      <c r="OEJ55" s="5">
        <f>-IFERROR('4. NPV'!OEK24/'4. NPV'!OEK$8,0)</f>
        <v>-0.0</v>
      </c>
      <c r="OEK55" s="5">
        <f>-IFERROR('4. NPV'!OEL24/'4. NPV'!OEL$8,0)</f>
        <v>-0.0</v>
      </c>
      <c r="OEL55" s="5">
        <f>-IFERROR('4. NPV'!OEM24/'4. NPV'!OEM$8,0)</f>
        <v>-0.0</v>
      </c>
      <c r="OEM55" s="5">
        <f>-IFERROR('4. NPV'!OEN24/'4. NPV'!OEN$8,0)</f>
        <v>-0.0</v>
      </c>
      <c r="OEN55" s="5">
        <f>-IFERROR('4. NPV'!OEO24/'4. NPV'!OEO$8,0)</f>
        <v>-0.0</v>
      </c>
      <c r="OEO55" s="5">
        <f>-IFERROR('4. NPV'!OEP24/'4. NPV'!OEP$8,0)</f>
        <v>-0.0</v>
      </c>
      <c r="OEP55" s="5">
        <f>-IFERROR('4. NPV'!OEQ24/'4. NPV'!OEQ$8,0)</f>
        <v>-0.0</v>
      </c>
      <c r="OEQ55" s="5">
        <f>-IFERROR('4. NPV'!OER24/'4. NPV'!OER$8,0)</f>
        <v>-0.0</v>
      </c>
      <c r="OER55" s="5">
        <f>-IFERROR('4. NPV'!OES24/'4. NPV'!OES$8,0)</f>
        <v>-0.0</v>
      </c>
      <c r="OES55" s="5">
        <f>-IFERROR('4. NPV'!OET24/'4. NPV'!OET$8,0)</f>
        <v>-0.0</v>
      </c>
      <c r="OET55" s="5">
        <f>-IFERROR('4. NPV'!OEU24/'4. NPV'!OEU$8,0)</f>
        <v>-0.0</v>
      </c>
      <c r="OEU55" s="5">
        <f>-IFERROR('4. NPV'!OEV24/'4. NPV'!OEV$8,0)</f>
        <v>-0.0</v>
      </c>
      <c r="OEV55" s="5">
        <f>-IFERROR('4. NPV'!OEW24/'4. NPV'!OEW$8,0)</f>
        <v>-0.0</v>
      </c>
      <c r="OEW55" s="5">
        <f>-IFERROR('4. NPV'!OEX24/'4. NPV'!OEX$8,0)</f>
        <v>-0.0</v>
      </c>
      <c r="OEX55" s="5">
        <f>-IFERROR('4. NPV'!OEY24/'4. NPV'!OEY$8,0)</f>
        <v>-0.0</v>
      </c>
      <c r="OEY55" s="5">
        <f>-IFERROR('4. NPV'!OEZ24/'4. NPV'!OEZ$8,0)</f>
        <v>-0.0</v>
      </c>
      <c r="OEZ55" s="5">
        <f>-IFERROR('4. NPV'!OFA24/'4. NPV'!OFA$8,0)</f>
        <v>-0.0</v>
      </c>
      <c r="OFA55" s="5">
        <f>-IFERROR('4. NPV'!OFB24/'4. NPV'!OFB$8,0)</f>
        <v>-0.0</v>
      </c>
      <c r="OFB55" s="5">
        <f>-IFERROR('4. NPV'!OFC24/'4. NPV'!OFC$8,0)</f>
        <v>-0.0</v>
      </c>
      <c r="OFC55" s="5">
        <f>-IFERROR('4. NPV'!OFD24/'4. NPV'!OFD$8,0)</f>
        <v>-0.0</v>
      </c>
      <c r="OFD55" s="5">
        <f>-IFERROR('4. NPV'!OFE24/'4. NPV'!OFE$8,0)</f>
        <v>-0.0</v>
      </c>
      <c r="OFE55" s="5">
        <f>-IFERROR('4. NPV'!OFF24/'4. NPV'!OFF$8,0)</f>
        <v>-0.0</v>
      </c>
      <c r="OFF55" s="5">
        <f>-IFERROR('4. NPV'!OFG24/'4. NPV'!OFG$8,0)</f>
        <v>-0.0</v>
      </c>
      <c r="OFG55" s="5">
        <f>-IFERROR('4. NPV'!OFH24/'4. NPV'!OFH$8,0)</f>
        <v>-0.0</v>
      </c>
      <c r="OFH55" s="5">
        <f>-IFERROR('4. NPV'!OFI24/'4. NPV'!OFI$8,0)</f>
        <v>-0.0</v>
      </c>
      <c r="OFI55" s="5">
        <f>-IFERROR('4. NPV'!OFJ24/'4. NPV'!OFJ$8,0)</f>
        <v>-0.0</v>
      </c>
      <c r="OFJ55" s="5">
        <f>-IFERROR('4. NPV'!OFK24/'4. NPV'!OFK$8,0)</f>
        <v>-0.0</v>
      </c>
      <c r="OFK55" s="5">
        <f>-IFERROR('4. NPV'!OFL24/'4. NPV'!OFL$8,0)</f>
        <v>-0.0</v>
      </c>
      <c r="OFL55" s="5">
        <f>-IFERROR('4. NPV'!OFM24/'4. NPV'!OFM$8,0)</f>
        <v>-0.0</v>
      </c>
      <c r="OFM55" s="5">
        <f>-IFERROR('4. NPV'!OFN24/'4. NPV'!OFN$8,0)</f>
        <v>-0.0</v>
      </c>
      <c r="OFN55" s="5">
        <f>-IFERROR('4. NPV'!OFO24/'4. NPV'!OFO$8,0)</f>
        <v>-0.0</v>
      </c>
      <c r="OFO55" s="5">
        <f>-IFERROR('4. NPV'!OFP24/'4. NPV'!OFP$8,0)</f>
        <v>-0.0</v>
      </c>
      <c r="OFP55" s="5">
        <f>-IFERROR('4. NPV'!OFQ24/'4. NPV'!OFQ$8,0)</f>
        <v>-0.0</v>
      </c>
      <c r="OFQ55" s="5">
        <f>-IFERROR('4. NPV'!OFR24/'4. NPV'!OFR$8,0)</f>
        <v>-0.0</v>
      </c>
      <c r="OFR55" s="5">
        <f>-IFERROR('4. NPV'!OFS24/'4. NPV'!OFS$8,0)</f>
        <v>-0.0</v>
      </c>
      <c r="OFS55" s="5">
        <f>-IFERROR('4. NPV'!OFT24/'4. NPV'!OFT$8,0)</f>
        <v>-0.0</v>
      </c>
      <c r="OFT55" s="5">
        <f>-IFERROR('4. NPV'!OFU24/'4. NPV'!OFU$8,0)</f>
        <v>-0.0</v>
      </c>
      <c r="OFU55" s="5">
        <f>-IFERROR('4. NPV'!OFV24/'4. NPV'!OFV$8,0)</f>
        <v>-0.0</v>
      </c>
      <c r="OFV55" s="5">
        <f>-IFERROR('4. NPV'!OFW24/'4. NPV'!OFW$8,0)</f>
        <v>-0.0</v>
      </c>
      <c r="OFW55" s="5">
        <f>-IFERROR('4. NPV'!OFX24/'4. NPV'!OFX$8,0)</f>
        <v>-0.0</v>
      </c>
      <c r="OFX55" s="5">
        <f>-IFERROR('4. NPV'!OFY24/'4. NPV'!OFY$8,0)</f>
        <v>-0.0</v>
      </c>
      <c r="OFY55" s="5">
        <f>-IFERROR('4. NPV'!OFZ24/'4. NPV'!OFZ$8,0)</f>
        <v>-0.0</v>
      </c>
      <c r="OFZ55" s="5">
        <f>-IFERROR('4. NPV'!OGA24/'4. NPV'!OGA$8,0)</f>
        <v>-0.0</v>
      </c>
      <c r="OGA55" s="5">
        <f>-IFERROR('4. NPV'!OGB24/'4. NPV'!OGB$8,0)</f>
        <v>-0.0</v>
      </c>
      <c r="OGB55" s="5">
        <f>-IFERROR('4. NPV'!OGC24/'4. NPV'!OGC$8,0)</f>
        <v>-0.0</v>
      </c>
      <c r="OGC55" s="5">
        <f>-IFERROR('4. NPV'!OGD24/'4. NPV'!OGD$8,0)</f>
        <v>-0.0</v>
      </c>
      <c r="OGD55" s="5">
        <f>-IFERROR('4. NPV'!OGE24/'4. NPV'!OGE$8,0)</f>
        <v>-0.0</v>
      </c>
      <c r="OGE55" s="5">
        <f>-IFERROR('4. NPV'!OGF24/'4. NPV'!OGF$8,0)</f>
        <v>-0.0</v>
      </c>
      <c r="OGF55" s="5">
        <f>-IFERROR('4. NPV'!OGG24/'4. NPV'!OGG$8,0)</f>
        <v>-0.0</v>
      </c>
      <c r="OGG55" s="5">
        <f>-IFERROR('4. NPV'!OGH24/'4. NPV'!OGH$8,0)</f>
        <v>-0.0</v>
      </c>
      <c r="OGH55" s="5">
        <f>-IFERROR('4. NPV'!OGI24/'4. NPV'!OGI$8,0)</f>
        <v>-0.0</v>
      </c>
      <c r="OGI55" s="5">
        <f>-IFERROR('4. NPV'!OGJ24/'4. NPV'!OGJ$8,0)</f>
        <v>-0.0</v>
      </c>
      <c r="OGJ55" s="5">
        <f>-IFERROR('4. NPV'!OGK24/'4. NPV'!OGK$8,0)</f>
        <v>-0.0</v>
      </c>
      <c r="OGK55" s="5">
        <f>-IFERROR('4. NPV'!OGL24/'4. NPV'!OGL$8,0)</f>
        <v>-0.0</v>
      </c>
      <c r="OGL55" s="5">
        <f>-IFERROR('4. NPV'!OGM24/'4. NPV'!OGM$8,0)</f>
        <v>-0.0</v>
      </c>
      <c r="OGM55" s="5">
        <f>-IFERROR('4. NPV'!OGN24/'4. NPV'!OGN$8,0)</f>
        <v>-0.0</v>
      </c>
      <c r="OGN55" s="5">
        <f>-IFERROR('4. NPV'!OGO24/'4. NPV'!OGO$8,0)</f>
        <v>-0.0</v>
      </c>
      <c r="OGO55" s="5">
        <f>-IFERROR('4. NPV'!OGP24/'4. NPV'!OGP$8,0)</f>
        <v>-0.0</v>
      </c>
      <c r="OGP55" s="5">
        <f>-IFERROR('4. NPV'!OGQ24/'4. NPV'!OGQ$8,0)</f>
        <v>-0.0</v>
      </c>
      <c r="OGQ55" s="5">
        <f>-IFERROR('4. NPV'!OGR24/'4. NPV'!OGR$8,0)</f>
        <v>-0.0</v>
      </c>
      <c r="OGR55" s="5">
        <f>-IFERROR('4. NPV'!OGS24/'4. NPV'!OGS$8,0)</f>
        <v>-0.0</v>
      </c>
      <c r="OGS55" s="5">
        <f>-IFERROR('4. NPV'!OGT24/'4. NPV'!OGT$8,0)</f>
        <v>-0.0</v>
      </c>
      <c r="OGT55" s="5">
        <f>-IFERROR('4. NPV'!OGU24/'4. NPV'!OGU$8,0)</f>
        <v>-0.0</v>
      </c>
      <c r="OGU55" s="5">
        <f>-IFERROR('4. NPV'!OGV24/'4. NPV'!OGV$8,0)</f>
        <v>-0.0</v>
      </c>
      <c r="OGV55" s="5">
        <f>-IFERROR('4. NPV'!OGW24/'4. NPV'!OGW$8,0)</f>
        <v>-0.0</v>
      </c>
      <c r="OGW55" s="5">
        <f>-IFERROR('4. NPV'!OGX24/'4. NPV'!OGX$8,0)</f>
        <v>-0.0</v>
      </c>
      <c r="OGX55" s="5">
        <f>-IFERROR('4. NPV'!OGY24/'4. NPV'!OGY$8,0)</f>
        <v>-0.0</v>
      </c>
      <c r="OGY55" s="5">
        <f>-IFERROR('4. NPV'!OGZ24/'4. NPV'!OGZ$8,0)</f>
        <v>-0.0</v>
      </c>
      <c r="OGZ55" s="5">
        <f>-IFERROR('4. NPV'!OHA24/'4. NPV'!OHA$8,0)</f>
        <v>-0.0</v>
      </c>
      <c r="OHA55" s="5">
        <f>-IFERROR('4. NPV'!OHB24/'4. NPV'!OHB$8,0)</f>
        <v>-0.0</v>
      </c>
      <c r="OHB55" s="5">
        <f>-IFERROR('4. NPV'!OHC24/'4. NPV'!OHC$8,0)</f>
        <v>-0.0</v>
      </c>
      <c r="OHC55" s="5">
        <f>-IFERROR('4. NPV'!OHD24/'4. NPV'!OHD$8,0)</f>
        <v>-0.0</v>
      </c>
      <c r="OHD55" s="5">
        <f>-IFERROR('4. NPV'!OHE24/'4. NPV'!OHE$8,0)</f>
        <v>-0.0</v>
      </c>
      <c r="OHE55" s="5">
        <f>-IFERROR('4. NPV'!OHF24/'4. NPV'!OHF$8,0)</f>
        <v>-0.0</v>
      </c>
      <c r="OHF55" s="5">
        <f>-IFERROR('4. NPV'!OHG24/'4. NPV'!OHG$8,0)</f>
        <v>-0.0</v>
      </c>
      <c r="OHG55" s="5">
        <f>-IFERROR('4. NPV'!OHH24/'4. NPV'!OHH$8,0)</f>
        <v>-0.0</v>
      </c>
      <c r="OHH55" s="5">
        <f>-IFERROR('4. NPV'!OHI24/'4. NPV'!OHI$8,0)</f>
        <v>-0.0</v>
      </c>
      <c r="OHI55" s="5">
        <f>-IFERROR('4. NPV'!OHJ24/'4. NPV'!OHJ$8,0)</f>
        <v>-0.0</v>
      </c>
      <c r="OHJ55" s="5">
        <f>-IFERROR('4. NPV'!OHK24/'4. NPV'!OHK$8,0)</f>
        <v>-0.0</v>
      </c>
      <c r="OHK55" s="5">
        <f>-IFERROR('4. NPV'!OHL24/'4. NPV'!OHL$8,0)</f>
        <v>-0.0</v>
      </c>
      <c r="OHL55" s="5">
        <f>-IFERROR('4. NPV'!OHM24/'4. NPV'!OHM$8,0)</f>
        <v>-0.0</v>
      </c>
      <c r="OHM55" s="5">
        <f>-IFERROR('4. NPV'!OHN24/'4. NPV'!OHN$8,0)</f>
        <v>-0.0</v>
      </c>
      <c r="OHN55" s="5">
        <f>-IFERROR('4. NPV'!OHO24/'4. NPV'!OHO$8,0)</f>
        <v>-0.0</v>
      </c>
      <c r="OHO55" s="5">
        <f>-IFERROR('4. NPV'!OHP24/'4. NPV'!OHP$8,0)</f>
        <v>-0.0</v>
      </c>
      <c r="OHP55" s="5">
        <f>-IFERROR('4. NPV'!OHQ24/'4. NPV'!OHQ$8,0)</f>
        <v>-0.0</v>
      </c>
      <c r="OHQ55" s="5">
        <f>-IFERROR('4. NPV'!OHR24/'4. NPV'!OHR$8,0)</f>
        <v>-0.0</v>
      </c>
      <c r="OHR55" s="5">
        <f>-IFERROR('4. NPV'!OHS24/'4. NPV'!OHS$8,0)</f>
        <v>-0.0</v>
      </c>
      <c r="OHS55" s="5">
        <f>-IFERROR('4. NPV'!OHT24/'4. NPV'!OHT$8,0)</f>
        <v>-0.0</v>
      </c>
      <c r="OHT55" s="5">
        <f>-IFERROR('4. NPV'!OHU24/'4. NPV'!OHU$8,0)</f>
        <v>-0.0</v>
      </c>
      <c r="OHU55" s="5">
        <f>-IFERROR('4. NPV'!OHV24/'4. NPV'!OHV$8,0)</f>
        <v>-0.0</v>
      </c>
      <c r="OHV55" s="5">
        <f>-IFERROR('4. NPV'!OHW24/'4. NPV'!OHW$8,0)</f>
        <v>-0.0</v>
      </c>
      <c r="OHW55" s="5">
        <f>-IFERROR('4. NPV'!OHX24/'4. NPV'!OHX$8,0)</f>
        <v>-0.0</v>
      </c>
      <c r="OHX55" s="5">
        <f>-IFERROR('4. NPV'!OHY24/'4. NPV'!OHY$8,0)</f>
        <v>-0.0</v>
      </c>
      <c r="OHY55" s="5">
        <f>-IFERROR('4. NPV'!OHZ24/'4. NPV'!OHZ$8,0)</f>
        <v>-0.0</v>
      </c>
      <c r="OHZ55" s="5">
        <f>-IFERROR('4. NPV'!OIA24/'4. NPV'!OIA$8,0)</f>
        <v>-0.0</v>
      </c>
      <c r="OIA55" s="5">
        <f>-IFERROR('4. NPV'!OIB24/'4. NPV'!OIB$8,0)</f>
        <v>-0.0</v>
      </c>
      <c r="OIB55" s="5">
        <f>-IFERROR('4. NPV'!OIC24/'4. NPV'!OIC$8,0)</f>
        <v>-0.0</v>
      </c>
      <c r="OIC55" s="5">
        <f>-IFERROR('4. NPV'!OID24/'4. NPV'!OID$8,0)</f>
        <v>-0.0</v>
      </c>
      <c r="OID55" s="5">
        <f>-IFERROR('4. NPV'!OIE24/'4. NPV'!OIE$8,0)</f>
        <v>-0.0</v>
      </c>
      <c r="OIE55" s="5">
        <f>-IFERROR('4. NPV'!OIF24/'4. NPV'!OIF$8,0)</f>
        <v>-0.0</v>
      </c>
      <c r="OIF55" s="5">
        <f>-IFERROR('4. NPV'!OIG24/'4. NPV'!OIG$8,0)</f>
        <v>-0.0</v>
      </c>
      <c r="OIG55" s="5">
        <f>-IFERROR('4. NPV'!OIH24/'4. NPV'!OIH$8,0)</f>
        <v>-0.0</v>
      </c>
      <c r="OIH55" s="5">
        <f>-IFERROR('4. NPV'!OII24/'4. NPV'!OII$8,0)</f>
        <v>-0.0</v>
      </c>
      <c r="OII55" s="5">
        <f>-IFERROR('4. NPV'!OIJ24/'4. NPV'!OIJ$8,0)</f>
        <v>-0.0</v>
      </c>
      <c r="OIJ55" s="5">
        <f>-IFERROR('4. NPV'!OIK24/'4. NPV'!OIK$8,0)</f>
        <v>-0.0</v>
      </c>
      <c r="OIK55" s="5">
        <f>-IFERROR('4. NPV'!OIL24/'4. NPV'!OIL$8,0)</f>
        <v>-0.0</v>
      </c>
      <c r="OIL55" s="5">
        <f>-IFERROR('4. NPV'!OIM24/'4. NPV'!OIM$8,0)</f>
        <v>-0.0</v>
      </c>
      <c r="OIM55" s="5">
        <f>-IFERROR('4. NPV'!OIN24/'4. NPV'!OIN$8,0)</f>
        <v>-0.0</v>
      </c>
      <c r="OIN55" s="5">
        <f>-IFERROR('4. NPV'!OIO24/'4. NPV'!OIO$8,0)</f>
        <v>-0.0</v>
      </c>
      <c r="OIO55" s="5">
        <f>-IFERROR('4. NPV'!OIP24/'4. NPV'!OIP$8,0)</f>
        <v>-0.0</v>
      </c>
      <c r="OIP55" s="5">
        <f>-IFERROR('4. NPV'!OIQ24/'4. NPV'!OIQ$8,0)</f>
        <v>-0.0</v>
      </c>
      <c r="OIQ55" s="5">
        <f>-IFERROR('4. NPV'!OIR24/'4. NPV'!OIR$8,0)</f>
        <v>-0.0</v>
      </c>
      <c r="OIR55" s="5">
        <f>-IFERROR('4. NPV'!OIS24/'4. NPV'!OIS$8,0)</f>
        <v>-0.0</v>
      </c>
      <c r="OIS55" s="5">
        <f>-IFERROR('4. NPV'!OIT24/'4. NPV'!OIT$8,0)</f>
        <v>-0.0</v>
      </c>
      <c r="OIT55" s="5">
        <f>-IFERROR('4. NPV'!OIU24/'4. NPV'!OIU$8,0)</f>
        <v>-0.0</v>
      </c>
      <c r="OIU55" s="5">
        <f>-IFERROR('4. NPV'!OIV24/'4. NPV'!OIV$8,0)</f>
        <v>-0.0</v>
      </c>
      <c r="OIV55" s="5">
        <f>-IFERROR('4. NPV'!OIW24/'4. NPV'!OIW$8,0)</f>
        <v>-0.0</v>
      </c>
      <c r="OIW55" s="5">
        <f>-IFERROR('4. NPV'!OIX24/'4. NPV'!OIX$8,0)</f>
        <v>-0.0</v>
      </c>
      <c r="OIX55" s="5">
        <f>-IFERROR('4. NPV'!OIY24/'4. NPV'!OIY$8,0)</f>
        <v>-0.0</v>
      </c>
      <c r="OIY55" s="5">
        <f>-IFERROR('4. NPV'!OIZ24/'4. NPV'!OIZ$8,0)</f>
        <v>-0.0</v>
      </c>
      <c r="OIZ55" s="5">
        <f>-IFERROR('4. NPV'!OJA24/'4. NPV'!OJA$8,0)</f>
        <v>-0.0</v>
      </c>
      <c r="OJA55" s="5">
        <f>-IFERROR('4. NPV'!OJB24/'4. NPV'!OJB$8,0)</f>
        <v>-0.0</v>
      </c>
      <c r="OJB55" s="5">
        <f>-IFERROR('4. NPV'!OJC24/'4. NPV'!OJC$8,0)</f>
        <v>-0.0</v>
      </c>
      <c r="OJC55" s="5">
        <f>-IFERROR('4. NPV'!OJD24/'4. NPV'!OJD$8,0)</f>
        <v>-0.0</v>
      </c>
      <c r="OJD55" s="5">
        <f>-IFERROR('4. NPV'!OJE24/'4. NPV'!OJE$8,0)</f>
        <v>-0.0</v>
      </c>
      <c r="OJE55" s="5">
        <f>-IFERROR('4. NPV'!OJF24/'4. NPV'!OJF$8,0)</f>
        <v>-0.0</v>
      </c>
      <c r="OJF55" s="5">
        <f>-IFERROR('4. NPV'!OJG24/'4. NPV'!OJG$8,0)</f>
        <v>-0.0</v>
      </c>
      <c r="OJG55" s="5">
        <f>-IFERROR('4. NPV'!OJH24/'4. NPV'!OJH$8,0)</f>
        <v>-0.0</v>
      </c>
      <c r="OJH55" s="5">
        <f>-IFERROR('4. NPV'!OJI24/'4. NPV'!OJI$8,0)</f>
        <v>-0.0</v>
      </c>
      <c r="OJI55" s="5">
        <f>-IFERROR('4. NPV'!OJJ24/'4. NPV'!OJJ$8,0)</f>
        <v>-0.0</v>
      </c>
      <c r="OJJ55" s="5">
        <f>-IFERROR('4. NPV'!OJK24/'4. NPV'!OJK$8,0)</f>
        <v>-0.0</v>
      </c>
      <c r="OJK55" s="5">
        <f>-IFERROR('4. NPV'!OJL24/'4. NPV'!OJL$8,0)</f>
        <v>-0.0</v>
      </c>
      <c r="OJL55" s="5">
        <f>-IFERROR('4. NPV'!OJM24/'4. NPV'!OJM$8,0)</f>
        <v>-0.0</v>
      </c>
      <c r="OJM55" s="5">
        <f>-IFERROR('4. NPV'!OJN24/'4. NPV'!OJN$8,0)</f>
        <v>-0.0</v>
      </c>
      <c r="OJN55" s="5">
        <f>-IFERROR('4. NPV'!OJO24/'4. NPV'!OJO$8,0)</f>
        <v>-0.0</v>
      </c>
      <c r="OJO55" s="5">
        <f>-IFERROR('4. NPV'!OJP24/'4. NPV'!OJP$8,0)</f>
        <v>-0.0</v>
      </c>
      <c r="OJP55" s="5">
        <f>-IFERROR('4. NPV'!OJQ24/'4. NPV'!OJQ$8,0)</f>
        <v>-0.0</v>
      </c>
      <c r="OJQ55" s="5">
        <f>-IFERROR('4. NPV'!OJR24/'4. NPV'!OJR$8,0)</f>
        <v>-0.0</v>
      </c>
      <c r="OJR55" s="5">
        <f>-IFERROR('4. NPV'!OJS24/'4. NPV'!OJS$8,0)</f>
        <v>-0.0</v>
      </c>
      <c r="OJS55" s="5">
        <f>-IFERROR('4. NPV'!OJT24/'4. NPV'!OJT$8,0)</f>
        <v>-0.0</v>
      </c>
      <c r="OJT55" s="5">
        <f>-IFERROR('4. NPV'!OJU24/'4. NPV'!OJU$8,0)</f>
        <v>-0.0</v>
      </c>
      <c r="OJU55" s="5">
        <f>-IFERROR('4. NPV'!OJV24/'4. NPV'!OJV$8,0)</f>
        <v>-0.0</v>
      </c>
      <c r="OJV55" s="5">
        <f>-IFERROR('4. NPV'!OJW24/'4. NPV'!OJW$8,0)</f>
        <v>-0.0</v>
      </c>
      <c r="OJW55" s="5">
        <f>-IFERROR('4. NPV'!OJX24/'4. NPV'!OJX$8,0)</f>
        <v>-0.0</v>
      </c>
      <c r="OJX55" s="5">
        <f>-IFERROR('4. NPV'!OJY24/'4. NPV'!OJY$8,0)</f>
        <v>-0.0</v>
      </c>
      <c r="OJY55" s="5">
        <f>-IFERROR('4. NPV'!OJZ24/'4. NPV'!OJZ$8,0)</f>
        <v>-0.0</v>
      </c>
      <c r="OJZ55" s="5">
        <f>-IFERROR('4. NPV'!OKA24/'4. NPV'!OKA$8,0)</f>
        <v>-0.0</v>
      </c>
      <c r="OKA55" s="5">
        <f>-IFERROR('4. NPV'!OKB24/'4. NPV'!OKB$8,0)</f>
        <v>-0.0</v>
      </c>
      <c r="OKB55" s="5">
        <f>-IFERROR('4. NPV'!OKC24/'4. NPV'!OKC$8,0)</f>
        <v>-0.0</v>
      </c>
      <c r="OKC55" s="5">
        <f>-IFERROR('4. NPV'!OKD24/'4. NPV'!OKD$8,0)</f>
        <v>-0.0</v>
      </c>
      <c r="OKD55" s="5">
        <f>-IFERROR('4. NPV'!OKE24/'4. NPV'!OKE$8,0)</f>
        <v>-0.0</v>
      </c>
      <c r="OKE55" s="5">
        <f>-IFERROR('4. NPV'!OKF24/'4. NPV'!OKF$8,0)</f>
        <v>-0.0</v>
      </c>
      <c r="OKF55" s="5">
        <f>-IFERROR('4. NPV'!OKG24/'4. NPV'!OKG$8,0)</f>
        <v>-0.0</v>
      </c>
      <c r="OKG55" s="5">
        <f>-IFERROR('4. NPV'!OKH24/'4. NPV'!OKH$8,0)</f>
        <v>-0.0</v>
      </c>
      <c r="OKH55" s="5">
        <f>-IFERROR('4. NPV'!OKI24/'4. NPV'!OKI$8,0)</f>
        <v>-0.0</v>
      </c>
      <c r="OKI55" s="5">
        <f>-IFERROR('4. NPV'!OKJ24/'4. NPV'!OKJ$8,0)</f>
        <v>-0.0</v>
      </c>
      <c r="OKJ55" s="5">
        <f>-IFERROR('4. NPV'!OKK24/'4. NPV'!OKK$8,0)</f>
        <v>-0.0</v>
      </c>
      <c r="OKK55" s="5">
        <f>-IFERROR('4. NPV'!OKL24/'4. NPV'!OKL$8,0)</f>
        <v>-0.0</v>
      </c>
      <c r="OKL55" s="5">
        <f>-IFERROR('4. NPV'!OKM24/'4. NPV'!OKM$8,0)</f>
        <v>-0.0</v>
      </c>
      <c r="OKM55" s="5">
        <f>-IFERROR('4. NPV'!OKN24/'4. NPV'!OKN$8,0)</f>
        <v>-0.0</v>
      </c>
      <c r="OKN55" s="5">
        <f>-IFERROR('4. NPV'!OKO24/'4. NPV'!OKO$8,0)</f>
        <v>-0.0</v>
      </c>
      <c r="OKO55" s="5">
        <f>-IFERROR('4. NPV'!OKP24/'4. NPV'!OKP$8,0)</f>
        <v>-0.0</v>
      </c>
      <c r="OKP55" s="5">
        <f>-IFERROR('4. NPV'!OKQ24/'4. NPV'!OKQ$8,0)</f>
        <v>-0.0</v>
      </c>
      <c r="OKQ55" s="5">
        <f>-IFERROR('4. NPV'!OKR24/'4. NPV'!OKR$8,0)</f>
        <v>-0.0</v>
      </c>
      <c r="OKR55" s="5">
        <f>-IFERROR('4. NPV'!OKS24/'4. NPV'!OKS$8,0)</f>
        <v>-0.0</v>
      </c>
      <c r="OKS55" s="5">
        <f>-IFERROR('4. NPV'!OKT24/'4. NPV'!OKT$8,0)</f>
        <v>-0.0</v>
      </c>
      <c r="OKT55" s="5">
        <f>-IFERROR('4. NPV'!OKU24/'4. NPV'!OKU$8,0)</f>
        <v>-0.0</v>
      </c>
      <c r="OKU55" s="5">
        <f>-IFERROR('4. NPV'!OKV24/'4. NPV'!OKV$8,0)</f>
        <v>-0.0</v>
      </c>
      <c r="OKV55" s="5">
        <f>-IFERROR('4. NPV'!OKW24/'4. NPV'!OKW$8,0)</f>
        <v>-0.0</v>
      </c>
      <c r="OKW55" s="5">
        <f>-IFERROR('4. NPV'!OKX24/'4. NPV'!OKX$8,0)</f>
        <v>-0.0</v>
      </c>
      <c r="OKX55" s="5">
        <f>-IFERROR('4. NPV'!OKY24/'4. NPV'!OKY$8,0)</f>
        <v>-0.0</v>
      </c>
      <c r="OKY55" s="5">
        <f>-IFERROR('4. NPV'!OKZ24/'4. NPV'!OKZ$8,0)</f>
        <v>-0.0</v>
      </c>
      <c r="OKZ55" s="5">
        <f>-IFERROR('4. NPV'!OLA24/'4. NPV'!OLA$8,0)</f>
        <v>-0.0</v>
      </c>
      <c r="OLA55" s="5">
        <f>-IFERROR('4. NPV'!OLB24/'4. NPV'!OLB$8,0)</f>
        <v>-0.0</v>
      </c>
      <c r="OLB55" s="5">
        <f>-IFERROR('4. NPV'!OLC24/'4. NPV'!OLC$8,0)</f>
        <v>-0.0</v>
      </c>
      <c r="OLC55" s="5">
        <f>-IFERROR('4. NPV'!OLD24/'4. NPV'!OLD$8,0)</f>
        <v>-0.0</v>
      </c>
      <c r="OLD55" s="5">
        <f>-IFERROR('4. NPV'!OLE24/'4. NPV'!OLE$8,0)</f>
        <v>-0.0</v>
      </c>
      <c r="OLE55" s="5">
        <f>-IFERROR('4. NPV'!OLF24/'4. NPV'!OLF$8,0)</f>
        <v>-0.0</v>
      </c>
      <c r="OLF55" s="5">
        <f>-IFERROR('4. NPV'!OLG24/'4. NPV'!OLG$8,0)</f>
        <v>-0.0</v>
      </c>
      <c r="OLG55" s="5">
        <f>-IFERROR('4. NPV'!OLH24/'4. NPV'!OLH$8,0)</f>
        <v>-0.0</v>
      </c>
      <c r="OLH55" s="5">
        <f>-IFERROR('4. NPV'!OLI24/'4. NPV'!OLI$8,0)</f>
        <v>-0.0</v>
      </c>
      <c r="OLI55" s="5">
        <f>-IFERROR('4. NPV'!OLJ24/'4. NPV'!OLJ$8,0)</f>
        <v>-0.0</v>
      </c>
      <c r="OLJ55" s="5">
        <f>-IFERROR('4. NPV'!OLK24/'4. NPV'!OLK$8,0)</f>
        <v>-0.0</v>
      </c>
      <c r="OLK55" s="5">
        <f>-IFERROR('4. NPV'!OLL24/'4. NPV'!OLL$8,0)</f>
        <v>-0.0</v>
      </c>
      <c r="OLL55" s="5">
        <f>-IFERROR('4. NPV'!OLM24/'4. NPV'!OLM$8,0)</f>
        <v>-0.0</v>
      </c>
      <c r="OLM55" s="5">
        <f>-IFERROR('4. NPV'!OLN24/'4. NPV'!OLN$8,0)</f>
        <v>-0.0</v>
      </c>
      <c r="OLN55" s="5">
        <f>-IFERROR('4. NPV'!OLO24/'4. NPV'!OLO$8,0)</f>
        <v>-0.0</v>
      </c>
      <c r="OLO55" s="5">
        <f>-IFERROR('4. NPV'!OLP24/'4. NPV'!OLP$8,0)</f>
        <v>-0.0</v>
      </c>
      <c r="OLP55" s="5">
        <f>-IFERROR('4. NPV'!OLQ24/'4. NPV'!OLQ$8,0)</f>
        <v>-0.0</v>
      </c>
      <c r="OLQ55" s="5">
        <f>-IFERROR('4. NPV'!OLR24/'4. NPV'!OLR$8,0)</f>
        <v>-0.0</v>
      </c>
      <c r="OLR55" s="5">
        <f>-IFERROR('4. NPV'!OLS24/'4. NPV'!OLS$8,0)</f>
        <v>-0.0</v>
      </c>
      <c r="OLS55" s="5">
        <f>-IFERROR('4. NPV'!OLT24/'4. NPV'!OLT$8,0)</f>
        <v>-0.0</v>
      </c>
      <c r="OLT55" s="5">
        <f>-IFERROR('4. NPV'!OLU24/'4. NPV'!OLU$8,0)</f>
        <v>-0.0</v>
      </c>
      <c r="OLU55" s="5">
        <f>-IFERROR('4. NPV'!OLV24/'4. NPV'!OLV$8,0)</f>
        <v>-0.0</v>
      </c>
      <c r="OLV55" s="5">
        <f>-IFERROR('4. NPV'!OLW24/'4. NPV'!OLW$8,0)</f>
        <v>-0.0</v>
      </c>
      <c r="OLW55" s="5">
        <f>-IFERROR('4. NPV'!OLX24/'4. NPV'!OLX$8,0)</f>
        <v>-0.0</v>
      </c>
      <c r="OLX55" s="5">
        <f>-IFERROR('4. NPV'!OLY24/'4. NPV'!OLY$8,0)</f>
        <v>-0.0</v>
      </c>
      <c r="OLY55" s="5">
        <f>-IFERROR('4. NPV'!OLZ24/'4. NPV'!OLZ$8,0)</f>
        <v>-0.0</v>
      </c>
      <c r="OLZ55" s="5">
        <f>-IFERROR('4. NPV'!OMA24/'4. NPV'!OMA$8,0)</f>
        <v>-0.0</v>
      </c>
      <c r="OMA55" s="5">
        <f>-IFERROR('4. NPV'!OMB24/'4. NPV'!OMB$8,0)</f>
        <v>-0.0</v>
      </c>
      <c r="OMB55" s="5">
        <f>-IFERROR('4. NPV'!OMC24/'4. NPV'!OMC$8,0)</f>
        <v>-0.0</v>
      </c>
      <c r="OMC55" s="5">
        <f>-IFERROR('4. NPV'!OMD24/'4. NPV'!OMD$8,0)</f>
        <v>-0.0</v>
      </c>
      <c r="OMD55" s="5">
        <f>-IFERROR('4. NPV'!OME24/'4. NPV'!OME$8,0)</f>
        <v>-0.0</v>
      </c>
      <c r="OME55" s="5">
        <f>-IFERROR('4. NPV'!OMF24/'4. NPV'!OMF$8,0)</f>
        <v>-0.0</v>
      </c>
      <c r="OMF55" s="5">
        <f>-IFERROR('4. NPV'!OMG24/'4. NPV'!OMG$8,0)</f>
        <v>-0.0</v>
      </c>
      <c r="OMG55" s="5">
        <f>-IFERROR('4. NPV'!OMH24/'4. NPV'!OMH$8,0)</f>
        <v>-0.0</v>
      </c>
      <c r="OMH55" s="5">
        <f>-IFERROR('4. NPV'!OMI24/'4. NPV'!OMI$8,0)</f>
        <v>-0.0</v>
      </c>
      <c r="OMI55" s="5">
        <f>-IFERROR('4. NPV'!OMJ24/'4. NPV'!OMJ$8,0)</f>
        <v>-0.0</v>
      </c>
      <c r="OMJ55" s="5">
        <f>-IFERROR('4. NPV'!OMK24/'4. NPV'!OMK$8,0)</f>
        <v>-0.0</v>
      </c>
      <c r="OMK55" s="5">
        <f>-IFERROR('4. NPV'!OML24/'4. NPV'!OML$8,0)</f>
        <v>-0.0</v>
      </c>
      <c r="OML55" s="5">
        <f>-IFERROR('4. NPV'!OMM24/'4. NPV'!OMM$8,0)</f>
        <v>-0.0</v>
      </c>
      <c r="OMM55" s="5">
        <f>-IFERROR('4. NPV'!OMN24/'4. NPV'!OMN$8,0)</f>
        <v>-0.0</v>
      </c>
      <c r="OMN55" s="5">
        <f>-IFERROR('4. NPV'!OMO24/'4. NPV'!OMO$8,0)</f>
        <v>-0.0</v>
      </c>
      <c r="OMO55" s="5">
        <f>-IFERROR('4. NPV'!OMP24/'4. NPV'!OMP$8,0)</f>
        <v>-0.0</v>
      </c>
      <c r="OMP55" s="5">
        <f>-IFERROR('4. NPV'!OMQ24/'4. NPV'!OMQ$8,0)</f>
        <v>-0.0</v>
      </c>
      <c r="OMQ55" s="5">
        <f>-IFERROR('4. NPV'!OMR24/'4. NPV'!OMR$8,0)</f>
        <v>-0.0</v>
      </c>
      <c r="OMR55" s="5">
        <f>-IFERROR('4. NPV'!OMS24/'4. NPV'!OMS$8,0)</f>
        <v>-0.0</v>
      </c>
      <c r="OMS55" s="5">
        <f>-IFERROR('4. NPV'!OMT24/'4. NPV'!OMT$8,0)</f>
        <v>-0.0</v>
      </c>
      <c r="OMT55" s="5">
        <f>-IFERROR('4. NPV'!OMU24/'4. NPV'!OMU$8,0)</f>
        <v>-0.0</v>
      </c>
      <c r="OMU55" s="5">
        <f>-IFERROR('4. NPV'!OMV24/'4. NPV'!OMV$8,0)</f>
        <v>-0.0</v>
      </c>
      <c r="OMV55" s="5">
        <f>-IFERROR('4. NPV'!OMW24/'4. NPV'!OMW$8,0)</f>
        <v>-0.0</v>
      </c>
      <c r="OMW55" s="5">
        <f>-IFERROR('4. NPV'!OMX24/'4. NPV'!OMX$8,0)</f>
        <v>-0.0</v>
      </c>
      <c r="OMX55" s="5">
        <f>-IFERROR('4. NPV'!OMY24/'4. NPV'!OMY$8,0)</f>
        <v>-0.0</v>
      </c>
      <c r="OMY55" s="5">
        <f>-IFERROR('4. NPV'!OMZ24/'4. NPV'!OMZ$8,0)</f>
        <v>-0.0</v>
      </c>
      <c r="OMZ55" s="5">
        <f>-IFERROR('4. NPV'!ONA24/'4. NPV'!ONA$8,0)</f>
        <v>-0.0</v>
      </c>
      <c r="ONA55" s="5">
        <f>-IFERROR('4. NPV'!ONB24/'4. NPV'!ONB$8,0)</f>
        <v>-0.0</v>
      </c>
      <c r="ONB55" s="5">
        <f>-IFERROR('4. NPV'!ONC24/'4. NPV'!ONC$8,0)</f>
        <v>-0.0</v>
      </c>
      <c r="ONC55" s="5">
        <f>-IFERROR('4. NPV'!OND24/'4. NPV'!OND$8,0)</f>
        <v>-0.0</v>
      </c>
      <c r="OND55" s="5">
        <f>-IFERROR('4. NPV'!ONE24/'4. NPV'!ONE$8,0)</f>
        <v>-0.0</v>
      </c>
      <c r="ONE55" s="5">
        <f>-IFERROR('4. NPV'!ONF24/'4. NPV'!ONF$8,0)</f>
        <v>-0.0</v>
      </c>
      <c r="ONF55" s="5">
        <f>-IFERROR('4. NPV'!ONG24/'4. NPV'!ONG$8,0)</f>
        <v>-0.0</v>
      </c>
      <c r="ONG55" s="5">
        <f>-IFERROR('4. NPV'!ONH24/'4. NPV'!ONH$8,0)</f>
        <v>-0.0</v>
      </c>
      <c r="ONH55" s="5">
        <f>-IFERROR('4. NPV'!ONI24/'4. NPV'!ONI$8,0)</f>
        <v>-0.0</v>
      </c>
      <c r="ONI55" s="5">
        <f>-IFERROR('4. NPV'!ONJ24/'4. NPV'!ONJ$8,0)</f>
        <v>-0.0</v>
      </c>
      <c r="ONJ55" s="5">
        <f>-IFERROR('4. NPV'!ONK24/'4. NPV'!ONK$8,0)</f>
        <v>-0.0</v>
      </c>
      <c r="ONK55" s="5">
        <f>-IFERROR('4. NPV'!ONL24/'4. NPV'!ONL$8,0)</f>
        <v>-0.0</v>
      </c>
      <c r="ONL55" s="5">
        <f>-IFERROR('4. NPV'!ONM24/'4. NPV'!ONM$8,0)</f>
        <v>-0.0</v>
      </c>
      <c r="ONM55" s="5">
        <f>-IFERROR('4. NPV'!ONN24/'4. NPV'!ONN$8,0)</f>
        <v>-0.0</v>
      </c>
      <c r="ONN55" s="5">
        <f>-IFERROR('4. NPV'!ONO24/'4. NPV'!ONO$8,0)</f>
        <v>-0.0</v>
      </c>
      <c r="ONO55" s="5">
        <f>-IFERROR('4. NPV'!ONP24/'4. NPV'!ONP$8,0)</f>
        <v>-0.0</v>
      </c>
      <c r="ONP55" s="5">
        <f>-IFERROR('4. NPV'!ONQ24/'4. NPV'!ONQ$8,0)</f>
        <v>-0.0</v>
      </c>
      <c r="ONQ55" s="5">
        <f>-IFERROR('4. NPV'!ONR24/'4. NPV'!ONR$8,0)</f>
        <v>-0.0</v>
      </c>
      <c r="ONR55" s="5">
        <f>-IFERROR('4. NPV'!ONS24/'4. NPV'!ONS$8,0)</f>
        <v>-0.0</v>
      </c>
      <c r="ONS55" s="5">
        <f>-IFERROR('4. NPV'!ONT24/'4. NPV'!ONT$8,0)</f>
        <v>-0.0</v>
      </c>
      <c r="ONT55" s="5">
        <f>-IFERROR('4. NPV'!ONU24/'4. NPV'!ONU$8,0)</f>
        <v>-0.0</v>
      </c>
      <c r="ONU55" s="5">
        <f>-IFERROR('4. NPV'!ONV24/'4. NPV'!ONV$8,0)</f>
        <v>-0.0</v>
      </c>
      <c r="ONV55" s="5">
        <f>-IFERROR('4. NPV'!ONW24/'4. NPV'!ONW$8,0)</f>
        <v>-0.0</v>
      </c>
      <c r="ONW55" s="5">
        <f>-IFERROR('4. NPV'!ONX24/'4. NPV'!ONX$8,0)</f>
        <v>-0.0</v>
      </c>
      <c r="ONX55" s="5">
        <f>-IFERROR('4. NPV'!ONY24/'4. NPV'!ONY$8,0)</f>
        <v>-0.0</v>
      </c>
      <c r="ONY55" s="5">
        <f>-IFERROR('4. NPV'!ONZ24/'4. NPV'!ONZ$8,0)</f>
        <v>-0.0</v>
      </c>
      <c r="ONZ55" s="5">
        <f>-IFERROR('4. NPV'!OOA24/'4. NPV'!OOA$8,0)</f>
        <v>-0.0</v>
      </c>
      <c r="OOA55" s="5">
        <f>-IFERROR('4. NPV'!OOB24/'4. NPV'!OOB$8,0)</f>
        <v>-0.0</v>
      </c>
      <c r="OOB55" s="5">
        <f>-IFERROR('4. NPV'!OOC24/'4. NPV'!OOC$8,0)</f>
        <v>-0.0</v>
      </c>
      <c r="OOC55" s="5">
        <f>-IFERROR('4. NPV'!OOD24/'4. NPV'!OOD$8,0)</f>
        <v>-0.0</v>
      </c>
      <c r="OOD55" s="5">
        <f>-IFERROR('4. NPV'!OOE24/'4. NPV'!OOE$8,0)</f>
        <v>-0.0</v>
      </c>
      <c r="OOE55" s="5">
        <f>-IFERROR('4. NPV'!OOF24/'4. NPV'!OOF$8,0)</f>
        <v>-0.0</v>
      </c>
      <c r="OOF55" s="5">
        <f>-IFERROR('4. NPV'!OOG24/'4. NPV'!OOG$8,0)</f>
        <v>-0.0</v>
      </c>
      <c r="OOG55" s="5">
        <f>-IFERROR('4. NPV'!OOH24/'4. NPV'!OOH$8,0)</f>
        <v>-0.0</v>
      </c>
      <c r="OOH55" s="5">
        <f>-IFERROR('4. NPV'!OOI24/'4. NPV'!OOI$8,0)</f>
        <v>-0.0</v>
      </c>
      <c r="OOI55" s="5">
        <f>-IFERROR('4. NPV'!OOJ24/'4. NPV'!OOJ$8,0)</f>
        <v>-0.0</v>
      </c>
      <c r="OOJ55" s="5">
        <f>-IFERROR('4. NPV'!OOK24/'4. NPV'!OOK$8,0)</f>
        <v>-0.0</v>
      </c>
      <c r="OOK55" s="5">
        <f>-IFERROR('4. NPV'!OOL24/'4. NPV'!OOL$8,0)</f>
        <v>-0.0</v>
      </c>
      <c r="OOL55" s="5">
        <f>-IFERROR('4. NPV'!OOM24/'4. NPV'!OOM$8,0)</f>
        <v>-0.0</v>
      </c>
      <c r="OOM55" s="5">
        <f>-IFERROR('4. NPV'!OON24/'4. NPV'!OON$8,0)</f>
        <v>-0.0</v>
      </c>
      <c r="OON55" s="5">
        <f>-IFERROR('4. NPV'!OOO24/'4. NPV'!OOO$8,0)</f>
        <v>-0.0</v>
      </c>
      <c r="OOO55" s="5">
        <f>-IFERROR('4. NPV'!OOP24/'4. NPV'!OOP$8,0)</f>
        <v>-0.0</v>
      </c>
      <c r="OOP55" s="5">
        <f>-IFERROR('4. NPV'!OOQ24/'4. NPV'!OOQ$8,0)</f>
        <v>-0.0</v>
      </c>
      <c r="OOQ55" s="5">
        <f>-IFERROR('4. NPV'!OOR24/'4. NPV'!OOR$8,0)</f>
        <v>-0.0</v>
      </c>
      <c r="OOR55" s="5">
        <f>-IFERROR('4. NPV'!OOS24/'4. NPV'!OOS$8,0)</f>
        <v>-0.0</v>
      </c>
      <c r="OOS55" s="5">
        <f>-IFERROR('4. NPV'!OOT24/'4. NPV'!OOT$8,0)</f>
        <v>-0.0</v>
      </c>
      <c r="OOT55" s="5">
        <f>-IFERROR('4. NPV'!OOU24/'4. NPV'!OOU$8,0)</f>
        <v>-0.0</v>
      </c>
      <c r="OOU55" s="5">
        <f>-IFERROR('4. NPV'!OOV24/'4. NPV'!OOV$8,0)</f>
        <v>-0.0</v>
      </c>
      <c r="OOV55" s="5">
        <f>-IFERROR('4. NPV'!OOW24/'4. NPV'!OOW$8,0)</f>
        <v>-0.0</v>
      </c>
      <c r="OOW55" s="5">
        <f>-IFERROR('4. NPV'!OOX24/'4. NPV'!OOX$8,0)</f>
        <v>-0.0</v>
      </c>
      <c r="OOX55" s="5">
        <f>-IFERROR('4. NPV'!OOY24/'4. NPV'!OOY$8,0)</f>
        <v>-0.0</v>
      </c>
      <c r="OOY55" s="5">
        <f>-IFERROR('4. NPV'!OOZ24/'4. NPV'!OOZ$8,0)</f>
        <v>-0.0</v>
      </c>
      <c r="OOZ55" s="5">
        <f>-IFERROR('4. NPV'!OPA24/'4. NPV'!OPA$8,0)</f>
        <v>-0.0</v>
      </c>
      <c r="OPA55" s="5">
        <f>-IFERROR('4. NPV'!OPB24/'4. NPV'!OPB$8,0)</f>
        <v>-0.0</v>
      </c>
      <c r="OPB55" s="5">
        <f>-IFERROR('4. NPV'!OPC24/'4. NPV'!OPC$8,0)</f>
        <v>-0.0</v>
      </c>
      <c r="OPC55" s="5">
        <f>-IFERROR('4. NPV'!OPD24/'4. NPV'!OPD$8,0)</f>
        <v>-0.0</v>
      </c>
      <c r="OPD55" s="5">
        <f>-IFERROR('4. NPV'!OPE24/'4. NPV'!OPE$8,0)</f>
        <v>-0.0</v>
      </c>
      <c r="OPE55" s="5">
        <f>-IFERROR('4. NPV'!OPF24/'4. NPV'!OPF$8,0)</f>
        <v>-0.0</v>
      </c>
      <c r="OPF55" s="5">
        <f>-IFERROR('4. NPV'!OPG24/'4. NPV'!OPG$8,0)</f>
        <v>-0.0</v>
      </c>
      <c r="OPG55" s="5">
        <f>-IFERROR('4. NPV'!OPH24/'4. NPV'!OPH$8,0)</f>
        <v>-0.0</v>
      </c>
      <c r="OPH55" s="5">
        <f>-IFERROR('4. NPV'!OPI24/'4. NPV'!OPI$8,0)</f>
        <v>-0.0</v>
      </c>
      <c r="OPI55" s="5">
        <f>-IFERROR('4. NPV'!OPJ24/'4. NPV'!OPJ$8,0)</f>
        <v>-0.0</v>
      </c>
      <c r="OPJ55" s="5">
        <f>-IFERROR('4. NPV'!OPK24/'4. NPV'!OPK$8,0)</f>
        <v>-0.0</v>
      </c>
      <c r="OPK55" s="5">
        <f>-IFERROR('4. NPV'!OPL24/'4. NPV'!OPL$8,0)</f>
        <v>-0.0</v>
      </c>
      <c r="OPL55" s="5">
        <f>-IFERROR('4. NPV'!OPM24/'4. NPV'!OPM$8,0)</f>
        <v>-0.0</v>
      </c>
      <c r="OPM55" s="5">
        <f>-IFERROR('4. NPV'!OPN24/'4. NPV'!OPN$8,0)</f>
        <v>-0.0</v>
      </c>
      <c r="OPN55" s="5">
        <f>-IFERROR('4. NPV'!OPO24/'4. NPV'!OPO$8,0)</f>
        <v>-0.0</v>
      </c>
      <c r="OPO55" s="5">
        <f>-IFERROR('4. NPV'!OPP24/'4. NPV'!OPP$8,0)</f>
        <v>-0.0</v>
      </c>
      <c r="OPP55" s="5">
        <f>-IFERROR('4. NPV'!OPQ24/'4. NPV'!OPQ$8,0)</f>
        <v>-0.0</v>
      </c>
      <c r="OPQ55" s="5">
        <f>-IFERROR('4. NPV'!OPR24/'4. NPV'!OPR$8,0)</f>
        <v>-0.0</v>
      </c>
      <c r="OPR55" s="5">
        <f>-IFERROR('4. NPV'!OPS24/'4. NPV'!OPS$8,0)</f>
        <v>-0.0</v>
      </c>
      <c r="OPS55" s="5">
        <f>-IFERROR('4. NPV'!OPT24/'4. NPV'!OPT$8,0)</f>
        <v>-0.0</v>
      </c>
      <c r="OPT55" s="5">
        <f>-IFERROR('4. NPV'!OPU24/'4. NPV'!OPU$8,0)</f>
        <v>-0.0</v>
      </c>
      <c r="OPU55" s="5">
        <f>-IFERROR('4. NPV'!OPV24/'4. NPV'!OPV$8,0)</f>
        <v>-0.0</v>
      </c>
      <c r="OPV55" s="5">
        <f>-IFERROR('4. NPV'!OPW24/'4. NPV'!OPW$8,0)</f>
        <v>-0.0</v>
      </c>
      <c r="OPW55" s="5">
        <f>-IFERROR('4. NPV'!OPX24/'4. NPV'!OPX$8,0)</f>
        <v>-0.0</v>
      </c>
      <c r="OPX55" s="5">
        <f>-IFERROR('4. NPV'!OPY24/'4. NPV'!OPY$8,0)</f>
        <v>-0.0</v>
      </c>
      <c r="OPY55" s="5">
        <f>-IFERROR('4. NPV'!OPZ24/'4. NPV'!OPZ$8,0)</f>
        <v>-0.0</v>
      </c>
      <c r="OPZ55" s="5">
        <f>-IFERROR('4. NPV'!OQA24/'4. NPV'!OQA$8,0)</f>
        <v>-0.0</v>
      </c>
      <c r="OQA55" s="5">
        <f>-IFERROR('4. NPV'!OQB24/'4. NPV'!OQB$8,0)</f>
        <v>-0.0</v>
      </c>
      <c r="OQB55" s="5">
        <f>-IFERROR('4. NPV'!OQC24/'4. NPV'!OQC$8,0)</f>
        <v>-0.0</v>
      </c>
      <c r="OQC55" s="5">
        <f>-IFERROR('4. NPV'!OQD24/'4. NPV'!OQD$8,0)</f>
        <v>-0.0</v>
      </c>
      <c r="OQD55" s="5">
        <f>-IFERROR('4. NPV'!OQE24/'4. NPV'!OQE$8,0)</f>
        <v>-0.0</v>
      </c>
      <c r="OQE55" s="5">
        <f>-IFERROR('4. NPV'!OQF24/'4. NPV'!OQF$8,0)</f>
        <v>-0.0</v>
      </c>
      <c r="OQF55" s="5">
        <f>-IFERROR('4. NPV'!OQG24/'4. NPV'!OQG$8,0)</f>
        <v>-0.0</v>
      </c>
      <c r="OQG55" s="5">
        <f>-IFERROR('4. NPV'!OQH24/'4. NPV'!OQH$8,0)</f>
        <v>-0.0</v>
      </c>
      <c r="OQH55" s="5">
        <f>-IFERROR('4. NPV'!OQI24/'4. NPV'!OQI$8,0)</f>
        <v>-0.0</v>
      </c>
      <c r="OQI55" s="5">
        <f>-IFERROR('4. NPV'!OQJ24/'4. NPV'!OQJ$8,0)</f>
        <v>-0.0</v>
      </c>
      <c r="OQJ55" s="5">
        <f>-IFERROR('4. NPV'!OQK24/'4. NPV'!OQK$8,0)</f>
        <v>-0.0</v>
      </c>
      <c r="OQK55" s="5">
        <f>-IFERROR('4. NPV'!OQL24/'4. NPV'!OQL$8,0)</f>
        <v>-0.0</v>
      </c>
      <c r="OQL55" s="5">
        <f>-IFERROR('4. NPV'!OQM24/'4. NPV'!OQM$8,0)</f>
        <v>-0.0</v>
      </c>
      <c r="OQM55" s="5">
        <f>-IFERROR('4. NPV'!OQN24/'4. NPV'!OQN$8,0)</f>
        <v>-0.0</v>
      </c>
      <c r="OQN55" s="5">
        <f>-IFERROR('4. NPV'!OQO24/'4. NPV'!OQO$8,0)</f>
        <v>-0.0</v>
      </c>
      <c r="OQO55" s="5">
        <f>-IFERROR('4. NPV'!OQP24/'4. NPV'!OQP$8,0)</f>
        <v>-0.0</v>
      </c>
      <c r="OQP55" s="5">
        <f>-IFERROR('4. NPV'!OQQ24/'4. NPV'!OQQ$8,0)</f>
        <v>-0.0</v>
      </c>
      <c r="OQQ55" s="5">
        <f>-IFERROR('4. NPV'!OQR24/'4. NPV'!OQR$8,0)</f>
        <v>-0.0</v>
      </c>
      <c r="OQR55" s="5">
        <f>-IFERROR('4. NPV'!OQS24/'4. NPV'!OQS$8,0)</f>
        <v>-0.0</v>
      </c>
      <c r="OQS55" s="5">
        <f>-IFERROR('4. NPV'!OQT24/'4. NPV'!OQT$8,0)</f>
        <v>-0.0</v>
      </c>
      <c r="OQT55" s="5">
        <f>-IFERROR('4. NPV'!OQU24/'4. NPV'!OQU$8,0)</f>
        <v>-0.0</v>
      </c>
      <c r="OQU55" s="5">
        <f>-IFERROR('4. NPV'!OQV24/'4. NPV'!OQV$8,0)</f>
        <v>-0.0</v>
      </c>
      <c r="OQV55" s="5">
        <f>-IFERROR('4. NPV'!OQW24/'4. NPV'!OQW$8,0)</f>
        <v>-0.0</v>
      </c>
      <c r="OQW55" s="5">
        <f>-IFERROR('4. NPV'!OQX24/'4. NPV'!OQX$8,0)</f>
        <v>-0.0</v>
      </c>
      <c r="OQX55" s="5">
        <f>-IFERROR('4. NPV'!OQY24/'4. NPV'!OQY$8,0)</f>
        <v>-0.0</v>
      </c>
      <c r="OQY55" s="5">
        <f>-IFERROR('4. NPV'!OQZ24/'4. NPV'!OQZ$8,0)</f>
        <v>-0.0</v>
      </c>
      <c r="OQZ55" s="5">
        <f>-IFERROR('4. NPV'!ORA24/'4. NPV'!ORA$8,0)</f>
        <v>-0.0</v>
      </c>
      <c r="ORA55" s="5">
        <f>-IFERROR('4. NPV'!ORB24/'4. NPV'!ORB$8,0)</f>
        <v>-0.0</v>
      </c>
      <c r="ORB55" s="5">
        <f>-IFERROR('4. NPV'!ORC24/'4. NPV'!ORC$8,0)</f>
        <v>-0.0</v>
      </c>
      <c r="ORC55" s="5">
        <f>-IFERROR('4. NPV'!ORD24/'4. NPV'!ORD$8,0)</f>
        <v>-0.0</v>
      </c>
      <c r="ORD55" s="5">
        <f>-IFERROR('4. NPV'!ORE24/'4. NPV'!ORE$8,0)</f>
        <v>-0.0</v>
      </c>
      <c r="ORE55" s="5">
        <f>-IFERROR('4. NPV'!ORF24/'4. NPV'!ORF$8,0)</f>
        <v>-0.0</v>
      </c>
      <c r="ORF55" s="5">
        <f>-IFERROR('4. NPV'!ORG24/'4. NPV'!ORG$8,0)</f>
        <v>-0.0</v>
      </c>
      <c r="ORG55" s="5">
        <f>-IFERROR('4. NPV'!ORH24/'4. NPV'!ORH$8,0)</f>
        <v>-0.0</v>
      </c>
      <c r="ORH55" s="5">
        <f>-IFERROR('4. NPV'!ORI24/'4. NPV'!ORI$8,0)</f>
        <v>-0.0</v>
      </c>
      <c r="ORI55" s="5">
        <f>-IFERROR('4. NPV'!ORJ24/'4. NPV'!ORJ$8,0)</f>
        <v>-0.0</v>
      </c>
      <c r="ORJ55" s="5">
        <f>-IFERROR('4. NPV'!ORK24/'4. NPV'!ORK$8,0)</f>
        <v>-0.0</v>
      </c>
      <c r="ORK55" s="5">
        <f>-IFERROR('4. NPV'!ORL24/'4. NPV'!ORL$8,0)</f>
        <v>-0.0</v>
      </c>
      <c r="ORL55" s="5">
        <f>-IFERROR('4. NPV'!ORM24/'4. NPV'!ORM$8,0)</f>
        <v>-0.0</v>
      </c>
      <c r="ORM55" s="5">
        <f>-IFERROR('4. NPV'!ORN24/'4. NPV'!ORN$8,0)</f>
        <v>-0.0</v>
      </c>
      <c r="ORN55" s="5">
        <f>-IFERROR('4. NPV'!ORO24/'4. NPV'!ORO$8,0)</f>
        <v>-0.0</v>
      </c>
      <c r="ORO55" s="5">
        <f>-IFERROR('4. NPV'!ORP24/'4. NPV'!ORP$8,0)</f>
        <v>-0.0</v>
      </c>
      <c r="ORP55" s="5">
        <f>-IFERROR('4. NPV'!ORQ24/'4. NPV'!ORQ$8,0)</f>
        <v>-0.0</v>
      </c>
      <c r="ORQ55" s="5">
        <f>-IFERROR('4. NPV'!ORR24/'4. NPV'!ORR$8,0)</f>
        <v>-0.0</v>
      </c>
      <c r="ORR55" s="5">
        <f>-IFERROR('4. NPV'!ORS24/'4. NPV'!ORS$8,0)</f>
        <v>-0.0</v>
      </c>
      <c r="ORS55" s="5">
        <f>-IFERROR('4. NPV'!ORT24/'4. NPV'!ORT$8,0)</f>
        <v>-0.0</v>
      </c>
      <c r="ORT55" s="5">
        <f>-IFERROR('4. NPV'!ORU24/'4. NPV'!ORU$8,0)</f>
        <v>-0.0</v>
      </c>
      <c r="ORU55" s="5">
        <f>-IFERROR('4. NPV'!ORV24/'4. NPV'!ORV$8,0)</f>
        <v>-0.0</v>
      </c>
      <c r="ORV55" s="5">
        <f>-IFERROR('4. NPV'!ORW24/'4. NPV'!ORW$8,0)</f>
        <v>-0.0</v>
      </c>
      <c r="ORW55" s="5">
        <f>-IFERROR('4. NPV'!ORX24/'4. NPV'!ORX$8,0)</f>
        <v>-0.0</v>
      </c>
      <c r="ORX55" s="5">
        <f>-IFERROR('4. NPV'!ORY24/'4. NPV'!ORY$8,0)</f>
        <v>-0.0</v>
      </c>
      <c r="ORY55" s="5">
        <f>-IFERROR('4. NPV'!ORZ24/'4. NPV'!ORZ$8,0)</f>
        <v>-0.0</v>
      </c>
      <c r="ORZ55" s="5">
        <f>-IFERROR('4. NPV'!OSA24/'4. NPV'!OSA$8,0)</f>
        <v>-0.0</v>
      </c>
      <c r="OSA55" s="5">
        <f>-IFERROR('4. NPV'!OSB24/'4. NPV'!OSB$8,0)</f>
        <v>-0.0</v>
      </c>
      <c r="OSB55" s="5">
        <f>-IFERROR('4. NPV'!OSC24/'4. NPV'!OSC$8,0)</f>
        <v>-0.0</v>
      </c>
      <c r="OSC55" s="5">
        <f>-IFERROR('4. NPV'!OSD24/'4. NPV'!OSD$8,0)</f>
        <v>-0.0</v>
      </c>
      <c r="OSD55" s="5">
        <f>-IFERROR('4. NPV'!OSE24/'4. NPV'!OSE$8,0)</f>
        <v>-0.0</v>
      </c>
      <c r="OSE55" s="5">
        <f>-IFERROR('4. NPV'!OSF24/'4. NPV'!OSF$8,0)</f>
        <v>-0.0</v>
      </c>
      <c r="OSF55" s="5">
        <f>-IFERROR('4. NPV'!OSG24/'4. NPV'!OSG$8,0)</f>
        <v>-0.0</v>
      </c>
      <c r="OSG55" s="5">
        <f>-IFERROR('4. NPV'!OSH24/'4. NPV'!OSH$8,0)</f>
        <v>-0.0</v>
      </c>
      <c r="OSH55" s="5">
        <f>-IFERROR('4. NPV'!OSI24/'4. NPV'!OSI$8,0)</f>
        <v>-0.0</v>
      </c>
      <c r="OSI55" s="5">
        <f>-IFERROR('4. NPV'!OSJ24/'4. NPV'!OSJ$8,0)</f>
        <v>-0.0</v>
      </c>
      <c r="OSJ55" s="5">
        <f>-IFERROR('4. NPV'!OSK24/'4. NPV'!OSK$8,0)</f>
        <v>-0.0</v>
      </c>
      <c r="OSK55" s="5">
        <f>-IFERROR('4. NPV'!OSL24/'4. NPV'!OSL$8,0)</f>
        <v>-0.0</v>
      </c>
      <c r="OSL55" s="5">
        <f>-IFERROR('4. NPV'!OSM24/'4. NPV'!OSM$8,0)</f>
        <v>-0.0</v>
      </c>
      <c r="OSM55" s="5">
        <f>-IFERROR('4. NPV'!OSN24/'4. NPV'!OSN$8,0)</f>
        <v>-0.0</v>
      </c>
      <c r="OSN55" s="5">
        <f>-IFERROR('4. NPV'!OSO24/'4. NPV'!OSO$8,0)</f>
        <v>-0.0</v>
      </c>
      <c r="OSO55" s="5">
        <f>-IFERROR('4. NPV'!OSP24/'4. NPV'!OSP$8,0)</f>
        <v>-0.0</v>
      </c>
      <c r="OSP55" s="5">
        <f>-IFERROR('4. NPV'!OSQ24/'4. NPV'!OSQ$8,0)</f>
        <v>-0.0</v>
      </c>
      <c r="OSQ55" s="5">
        <f>-IFERROR('4. NPV'!OSR24/'4. NPV'!OSR$8,0)</f>
        <v>-0.0</v>
      </c>
      <c r="OSR55" s="5">
        <f>-IFERROR('4. NPV'!OSS24/'4. NPV'!OSS$8,0)</f>
        <v>-0.0</v>
      </c>
      <c r="OSS55" s="5">
        <f>-IFERROR('4. NPV'!OST24/'4. NPV'!OST$8,0)</f>
        <v>-0.0</v>
      </c>
      <c r="OST55" s="5">
        <f>-IFERROR('4. NPV'!OSU24/'4. NPV'!OSU$8,0)</f>
        <v>-0.0</v>
      </c>
      <c r="OSU55" s="5">
        <f>-IFERROR('4. NPV'!OSV24/'4. NPV'!OSV$8,0)</f>
        <v>-0.0</v>
      </c>
      <c r="OSV55" s="5">
        <f>-IFERROR('4. NPV'!OSW24/'4. NPV'!OSW$8,0)</f>
        <v>-0.0</v>
      </c>
      <c r="OSW55" s="5">
        <f>-IFERROR('4. NPV'!OSX24/'4. NPV'!OSX$8,0)</f>
        <v>-0.0</v>
      </c>
      <c r="OSX55" s="5">
        <f>-IFERROR('4. NPV'!OSY24/'4. NPV'!OSY$8,0)</f>
        <v>-0.0</v>
      </c>
      <c r="OSY55" s="5">
        <f>-IFERROR('4. NPV'!OSZ24/'4. NPV'!OSZ$8,0)</f>
        <v>-0.0</v>
      </c>
      <c r="OSZ55" s="5">
        <f>-IFERROR('4. NPV'!OTA24/'4. NPV'!OTA$8,0)</f>
        <v>-0.0</v>
      </c>
      <c r="OTA55" s="5">
        <f>-IFERROR('4. NPV'!OTB24/'4. NPV'!OTB$8,0)</f>
        <v>-0.0</v>
      </c>
      <c r="OTB55" s="5">
        <f>-IFERROR('4. NPV'!OTC24/'4. NPV'!OTC$8,0)</f>
        <v>-0.0</v>
      </c>
      <c r="OTC55" s="5">
        <f>-IFERROR('4. NPV'!OTD24/'4. NPV'!OTD$8,0)</f>
        <v>-0.0</v>
      </c>
      <c r="OTD55" s="5">
        <f>-IFERROR('4. NPV'!OTE24/'4. NPV'!OTE$8,0)</f>
        <v>-0.0</v>
      </c>
      <c r="OTE55" s="5">
        <f>-IFERROR('4. NPV'!OTF24/'4. NPV'!OTF$8,0)</f>
        <v>-0.0</v>
      </c>
      <c r="OTF55" s="5">
        <f>-IFERROR('4. NPV'!OTG24/'4. NPV'!OTG$8,0)</f>
        <v>-0.0</v>
      </c>
      <c r="OTG55" s="5">
        <f>-IFERROR('4. NPV'!OTH24/'4. NPV'!OTH$8,0)</f>
        <v>-0.0</v>
      </c>
      <c r="OTH55" s="5">
        <f>-IFERROR('4. NPV'!OTI24/'4. NPV'!OTI$8,0)</f>
        <v>-0.0</v>
      </c>
      <c r="OTI55" s="5">
        <f>-IFERROR('4. NPV'!OTJ24/'4. NPV'!OTJ$8,0)</f>
        <v>-0.0</v>
      </c>
      <c r="OTJ55" s="5">
        <f>-IFERROR('4. NPV'!OTK24/'4. NPV'!OTK$8,0)</f>
        <v>-0.0</v>
      </c>
      <c r="OTK55" s="5">
        <f>-IFERROR('4. NPV'!OTL24/'4. NPV'!OTL$8,0)</f>
        <v>-0.0</v>
      </c>
      <c r="OTL55" s="5">
        <f>-IFERROR('4. NPV'!OTM24/'4. NPV'!OTM$8,0)</f>
        <v>-0.0</v>
      </c>
      <c r="OTM55" s="5">
        <f>-IFERROR('4. NPV'!OTN24/'4. NPV'!OTN$8,0)</f>
        <v>-0.0</v>
      </c>
      <c r="OTN55" s="5">
        <f>-IFERROR('4. NPV'!OTO24/'4. NPV'!OTO$8,0)</f>
        <v>-0.0</v>
      </c>
      <c r="OTO55" s="5">
        <f>-IFERROR('4. NPV'!OTP24/'4. NPV'!OTP$8,0)</f>
        <v>-0.0</v>
      </c>
      <c r="OTP55" s="5">
        <f>-IFERROR('4. NPV'!OTQ24/'4. NPV'!OTQ$8,0)</f>
        <v>-0.0</v>
      </c>
      <c r="OTQ55" s="5">
        <f>-IFERROR('4. NPV'!OTR24/'4. NPV'!OTR$8,0)</f>
        <v>-0.0</v>
      </c>
      <c r="OTR55" s="5">
        <f>-IFERROR('4. NPV'!OTS24/'4. NPV'!OTS$8,0)</f>
        <v>-0.0</v>
      </c>
      <c r="OTS55" s="5">
        <f>-IFERROR('4. NPV'!OTT24/'4. NPV'!OTT$8,0)</f>
        <v>-0.0</v>
      </c>
      <c r="OTT55" s="5">
        <f>-IFERROR('4. NPV'!OTU24/'4. NPV'!OTU$8,0)</f>
        <v>-0.0</v>
      </c>
      <c r="OTU55" s="5">
        <f>-IFERROR('4. NPV'!OTV24/'4. NPV'!OTV$8,0)</f>
        <v>-0.0</v>
      </c>
      <c r="OTV55" s="5">
        <f>-IFERROR('4. NPV'!OTW24/'4. NPV'!OTW$8,0)</f>
        <v>-0.0</v>
      </c>
      <c r="OTW55" s="5">
        <f>-IFERROR('4. NPV'!OTX24/'4. NPV'!OTX$8,0)</f>
        <v>-0.0</v>
      </c>
      <c r="OTX55" s="5">
        <f>-IFERROR('4. NPV'!OTY24/'4. NPV'!OTY$8,0)</f>
        <v>-0.0</v>
      </c>
      <c r="OTY55" s="5">
        <f>-IFERROR('4. NPV'!OTZ24/'4. NPV'!OTZ$8,0)</f>
        <v>-0.0</v>
      </c>
      <c r="OTZ55" s="5">
        <f>-IFERROR('4. NPV'!OUA24/'4. NPV'!OUA$8,0)</f>
        <v>-0.0</v>
      </c>
      <c r="OUA55" s="5">
        <f>-IFERROR('4. NPV'!OUB24/'4. NPV'!OUB$8,0)</f>
        <v>-0.0</v>
      </c>
      <c r="OUB55" s="5">
        <f>-IFERROR('4. NPV'!OUC24/'4. NPV'!OUC$8,0)</f>
        <v>-0.0</v>
      </c>
      <c r="OUC55" s="5">
        <f>-IFERROR('4. NPV'!OUD24/'4. NPV'!OUD$8,0)</f>
        <v>-0.0</v>
      </c>
      <c r="OUD55" s="5">
        <f>-IFERROR('4. NPV'!OUE24/'4. NPV'!OUE$8,0)</f>
        <v>-0.0</v>
      </c>
      <c r="OUE55" s="5">
        <f>-IFERROR('4. NPV'!OUF24/'4. NPV'!OUF$8,0)</f>
        <v>-0.0</v>
      </c>
      <c r="OUF55" s="5">
        <f>-IFERROR('4. NPV'!OUG24/'4. NPV'!OUG$8,0)</f>
        <v>-0.0</v>
      </c>
      <c r="OUG55" s="5">
        <f>-IFERROR('4. NPV'!OUH24/'4. NPV'!OUH$8,0)</f>
        <v>-0.0</v>
      </c>
      <c r="OUH55" s="5">
        <f>-IFERROR('4. NPV'!OUI24/'4. NPV'!OUI$8,0)</f>
        <v>-0.0</v>
      </c>
      <c r="OUI55" s="5">
        <f>-IFERROR('4. NPV'!OUJ24/'4. NPV'!OUJ$8,0)</f>
        <v>-0.0</v>
      </c>
      <c r="OUJ55" s="5">
        <f>-IFERROR('4. NPV'!OUK24/'4. NPV'!OUK$8,0)</f>
        <v>-0.0</v>
      </c>
      <c r="OUK55" s="5">
        <f>-IFERROR('4. NPV'!OUL24/'4. NPV'!OUL$8,0)</f>
        <v>-0.0</v>
      </c>
      <c r="OUL55" s="5">
        <f>-IFERROR('4. NPV'!OUM24/'4. NPV'!OUM$8,0)</f>
        <v>-0.0</v>
      </c>
      <c r="OUM55" s="5">
        <f>-IFERROR('4. NPV'!OUN24/'4. NPV'!OUN$8,0)</f>
        <v>-0.0</v>
      </c>
      <c r="OUN55" s="5">
        <f>-IFERROR('4. NPV'!OUO24/'4. NPV'!OUO$8,0)</f>
        <v>-0.0</v>
      </c>
      <c r="OUO55" s="5">
        <f>-IFERROR('4. NPV'!OUP24/'4. NPV'!OUP$8,0)</f>
        <v>-0.0</v>
      </c>
      <c r="OUP55" s="5">
        <f>-IFERROR('4. NPV'!OUQ24/'4. NPV'!OUQ$8,0)</f>
        <v>-0.0</v>
      </c>
      <c r="OUQ55" s="5">
        <f>-IFERROR('4. NPV'!OUR24/'4. NPV'!OUR$8,0)</f>
        <v>-0.0</v>
      </c>
      <c r="OUR55" s="5">
        <f>-IFERROR('4. NPV'!OUS24/'4. NPV'!OUS$8,0)</f>
        <v>-0.0</v>
      </c>
      <c r="OUS55" s="5">
        <f>-IFERROR('4. NPV'!OUT24/'4. NPV'!OUT$8,0)</f>
        <v>-0.0</v>
      </c>
      <c r="OUT55" s="5">
        <f>-IFERROR('4. NPV'!OUU24/'4. NPV'!OUU$8,0)</f>
        <v>-0.0</v>
      </c>
      <c r="OUU55" s="5">
        <f>-IFERROR('4. NPV'!OUV24/'4. NPV'!OUV$8,0)</f>
        <v>-0.0</v>
      </c>
      <c r="OUV55" s="5">
        <f>-IFERROR('4. NPV'!OUW24/'4. NPV'!OUW$8,0)</f>
        <v>-0.0</v>
      </c>
      <c r="OUW55" s="5">
        <f>-IFERROR('4. NPV'!OUX24/'4. NPV'!OUX$8,0)</f>
        <v>-0.0</v>
      </c>
      <c r="OUX55" s="5">
        <f>-IFERROR('4. NPV'!OUY24/'4. NPV'!OUY$8,0)</f>
        <v>-0.0</v>
      </c>
      <c r="OUY55" s="5">
        <f>-IFERROR('4. NPV'!OUZ24/'4. NPV'!OUZ$8,0)</f>
        <v>-0.0</v>
      </c>
      <c r="OUZ55" s="5">
        <f>-IFERROR('4. NPV'!OVA24/'4. NPV'!OVA$8,0)</f>
        <v>-0.0</v>
      </c>
      <c r="OVA55" s="5">
        <f>-IFERROR('4. NPV'!OVB24/'4. NPV'!OVB$8,0)</f>
        <v>-0.0</v>
      </c>
      <c r="OVB55" s="5">
        <f>-IFERROR('4. NPV'!OVC24/'4. NPV'!OVC$8,0)</f>
        <v>-0.0</v>
      </c>
      <c r="OVC55" s="5">
        <f>-IFERROR('4. NPV'!OVD24/'4. NPV'!OVD$8,0)</f>
        <v>-0.0</v>
      </c>
      <c r="OVD55" s="5">
        <f>-IFERROR('4. NPV'!OVE24/'4. NPV'!OVE$8,0)</f>
        <v>-0.0</v>
      </c>
      <c r="OVE55" s="5">
        <f>-IFERROR('4. NPV'!OVF24/'4. NPV'!OVF$8,0)</f>
        <v>-0.0</v>
      </c>
      <c r="OVF55" s="5">
        <f>-IFERROR('4. NPV'!OVG24/'4. NPV'!OVG$8,0)</f>
        <v>-0.0</v>
      </c>
      <c r="OVG55" s="5">
        <f>-IFERROR('4. NPV'!OVH24/'4. NPV'!OVH$8,0)</f>
        <v>-0.0</v>
      </c>
      <c r="OVH55" s="5">
        <f>-IFERROR('4. NPV'!OVI24/'4. NPV'!OVI$8,0)</f>
        <v>-0.0</v>
      </c>
      <c r="OVI55" s="5">
        <f>-IFERROR('4. NPV'!OVJ24/'4. NPV'!OVJ$8,0)</f>
        <v>-0.0</v>
      </c>
      <c r="OVJ55" s="5">
        <f>-IFERROR('4. NPV'!OVK24/'4. NPV'!OVK$8,0)</f>
        <v>-0.0</v>
      </c>
      <c r="OVK55" s="5">
        <f>-IFERROR('4. NPV'!OVL24/'4. NPV'!OVL$8,0)</f>
        <v>-0.0</v>
      </c>
      <c r="OVL55" s="5">
        <f>-IFERROR('4. NPV'!OVM24/'4. NPV'!OVM$8,0)</f>
        <v>-0.0</v>
      </c>
      <c r="OVM55" s="5">
        <f>-IFERROR('4. NPV'!OVN24/'4. NPV'!OVN$8,0)</f>
        <v>-0.0</v>
      </c>
      <c r="OVN55" s="5">
        <f>-IFERROR('4. NPV'!OVO24/'4. NPV'!OVO$8,0)</f>
        <v>-0.0</v>
      </c>
      <c r="OVO55" s="5">
        <f>-IFERROR('4. NPV'!OVP24/'4. NPV'!OVP$8,0)</f>
        <v>-0.0</v>
      </c>
      <c r="OVP55" s="5">
        <f>-IFERROR('4. NPV'!OVQ24/'4. NPV'!OVQ$8,0)</f>
        <v>-0.0</v>
      </c>
      <c r="OVQ55" s="5">
        <f>-IFERROR('4. NPV'!OVR24/'4. NPV'!OVR$8,0)</f>
        <v>-0.0</v>
      </c>
      <c r="OVR55" s="5">
        <f>-IFERROR('4. NPV'!OVS24/'4. NPV'!OVS$8,0)</f>
        <v>-0.0</v>
      </c>
      <c r="OVS55" s="5">
        <f>-IFERROR('4. NPV'!OVT24/'4. NPV'!OVT$8,0)</f>
        <v>-0.0</v>
      </c>
      <c r="OVT55" s="5">
        <f>-IFERROR('4. NPV'!OVU24/'4. NPV'!OVU$8,0)</f>
        <v>-0.0</v>
      </c>
      <c r="OVU55" s="5">
        <f>-IFERROR('4. NPV'!OVV24/'4. NPV'!OVV$8,0)</f>
        <v>-0.0</v>
      </c>
      <c r="OVV55" s="5">
        <f>-IFERROR('4. NPV'!OVW24/'4. NPV'!OVW$8,0)</f>
        <v>-0.0</v>
      </c>
      <c r="OVW55" s="5">
        <f>-IFERROR('4. NPV'!OVX24/'4. NPV'!OVX$8,0)</f>
        <v>-0.0</v>
      </c>
      <c r="OVX55" s="5">
        <f>-IFERROR('4. NPV'!OVY24/'4. NPV'!OVY$8,0)</f>
        <v>-0.0</v>
      </c>
      <c r="OVY55" s="5">
        <f>-IFERROR('4. NPV'!OVZ24/'4. NPV'!OVZ$8,0)</f>
        <v>-0.0</v>
      </c>
      <c r="OVZ55" s="5">
        <f>-IFERROR('4. NPV'!OWA24/'4. NPV'!OWA$8,0)</f>
        <v>-0.0</v>
      </c>
      <c r="OWA55" s="5">
        <f>-IFERROR('4. NPV'!OWB24/'4. NPV'!OWB$8,0)</f>
        <v>-0.0</v>
      </c>
      <c r="OWB55" s="5">
        <f>-IFERROR('4. NPV'!OWC24/'4. NPV'!OWC$8,0)</f>
        <v>-0.0</v>
      </c>
      <c r="OWC55" s="5">
        <f>-IFERROR('4. NPV'!OWD24/'4. NPV'!OWD$8,0)</f>
        <v>-0.0</v>
      </c>
      <c r="OWD55" s="5">
        <f>-IFERROR('4. NPV'!OWE24/'4. NPV'!OWE$8,0)</f>
        <v>-0.0</v>
      </c>
      <c r="OWE55" s="5">
        <f>-IFERROR('4. NPV'!OWF24/'4. NPV'!OWF$8,0)</f>
        <v>-0.0</v>
      </c>
      <c r="OWF55" s="5">
        <f>-IFERROR('4. NPV'!OWG24/'4. NPV'!OWG$8,0)</f>
        <v>-0.0</v>
      </c>
      <c r="OWG55" s="5">
        <f>-IFERROR('4. NPV'!OWH24/'4. NPV'!OWH$8,0)</f>
        <v>-0.0</v>
      </c>
      <c r="OWH55" s="5">
        <f>-IFERROR('4. NPV'!OWI24/'4. NPV'!OWI$8,0)</f>
        <v>-0.0</v>
      </c>
      <c r="OWI55" s="5">
        <f>-IFERROR('4. NPV'!OWJ24/'4. NPV'!OWJ$8,0)</f>
        <v>-0.0</v>
      </c>
      <c r="OWJ55" s="5">
        <f>-IFERROR('4. NPV'!OWK24/'4. NPV'!OWK$8,0)</f>
        <v>-0.0</v>
      </c>
      <c r="OWK55" s="5">
        <f>-IFERROR('4. NPV'!OWL24/'4. NPV'!OWL$8,0)</f>
        <v>-0.0</v>
      </c>
      <c r="OWL55" s="5">
        <f>-IFERROR('4. NPV'!OWM24/'4. NPV'!OWM$8,0)</f>
        <v>-0.0</v>
      </c>
      <c r="OWM55" s="5">
        <f>-IFERROR('4. NPV'!OWN24/'4. NPV'!OWN$8,0)</f>
        <v>-0.0</v>
      </c>
      <c r="OWN55" s="5">
        <f>-IFERROR('4. NPV'!OWO24/'4. NPV'!OWO$8,0)</f>
        <v>-0.0</v>
      </c>
      <c r="OWO55" s="5">
        <f>-IFERROR('4. NPV'!OWP24/'4. NPV'!OWP$8,0)</f>
        <v>-0.0</v>
      </c>
      <c r="OWP55" s="5">
        <f>-IFERROR('4. NPV'!OWQ24/'4. NPV'!OWQ$8,0)</f>
        <v>-0.0</v>
      </c>
      <c r="OWQ55" s="5">
        <f>-IFERROR('4. NPV'!OWR24/'4. NPV'!OWR$8,0)</f>
        <v>-0.0</v>
      </c>
      <c r="OWR55" s="5">
        <f>-IFERROR('4. NPV'!OWS24/'4. NPV'!OWS$8,0)</f>
        <v>-0.0</v>
      </c>
      <c r="OWS55" s="5">
        <f>-IFERROR('4. NPV'!OWT24/'4. NPV'!OWT$8,0)</f>
        <v>-0.0</v>
      </c>
      <c r="OWT55" s="5">
        <f>-IFERROR('4. NPV'!OWU24/'4. NPV'!OWU$8,0)</f>
        <v>-0.0</v>
      </c>
      <c r="OWU55" s="5">
        <f>-IFERROR('4. NPV'!OWV24/'4. NPV'!OWV$8,0)</f>
        <v>-0.0</v>
      </c>
      <c r="OWV55" s="5">
        <f>-IFERROR('4. NPV'!OWW24/'4. NPV'!OWW$8,0)</f>
        <v>-0.0</v>
      </c>
      <c r="OWW55" s="5">
        <f>-IFERROR('4. NPV'!OWX24/'4. NPV'!OWX$8,0)</f>
        <v>-0.0</v>
      </c>
      <c r="OWX55" s="5">
        <f>-IFERROR('4. NPV'!OWY24/'4. NPV'!OWY$8,0)</f>
        <v>-0.0</v>
      </c>
      <c r="OWY55" s="5">
        <f>-IFERROR('4. NPV'!OWZ24/'4. NPV'!OWZ$8,0)</f>
        <v>-0.0</v>
      </c>
      <c r="OWZ55" s="5">
        <f>-IFERROR('4. NPV'!OXA24/'4. NPV'!OXA$8,0)</f>
        <v>-0.0</v>
      </c>
      <c r="OXA55" s="5">
        <f>-IFERROR('4. NPV'!OXB24/'4. NPV'!OXB$8,0)</f>
        <v>-0.0</v>
      </c>
      <c r="OXB55" s="5">
        <f>-IFERROR('4. NPV'!OXC24/'4. NPV'!OXC$8,0)</f>
        <v>-0.0</v>
      </c>
      <c r="OXC55" s="5">
        <f>-IFERROR('4. NPV'!OXD24/'4. NPV'!OXD$8,0)</f>
        <v>-0.0</v>
      </c>
      <c r="OXD55" s="5">
        <f>-IFERROR('4. NPV'!OXE24/'4. NPV'!OXE$8,0)</f>
        <v>-0.0</v>
      </c>
      <c r="OXE55" s="5">
        <f>-IFERROR('4. NPV'!OXF24/'4. NPV'!OXF$8,0)</f>
        <v>-0.0</v>
      </c>
      <c r="OXF55" s="5">
        <f>-IFERROR('4. NPV'!OXG24/'4. NPV'!OXG$8,0)</f>
        <v>-0.0</v>
      </c>
      <c r="OXG55" s="5">
        <f>-IFERROR('4. NPV'!OXH24/'4. NPV'!OXH$8,0)</f>
        <v>-0.0</v>
      </c>
      <c r="OXH55" s="5">
        <f>-IFERROR('4. NPV'!OXI24/'4. NPV'!OXI$8,0)</f>
        <v>-0.0</v>
      </c>
      <c r="OXI55" s="5">
        <f>-IFERROR('4. NPV'!OXJ24/'4. NPV'!OXJ$8,0)</f>
        <v>-0.0</v>
      </c>
      <c r="OXJ55" s="5">
        <f>-IFERROR('4. NPV'!OXK24/'4. NPV'!OXK$8,0)</f>
        <v>-0.0</v>
      </c>
      <c r="OXK55" s="5">
        <f>-IFERROR('4. NPV'!OXL24/'4. NPV'!OXL$8,0)</f>
        <v>-0.0</v>
      </c>
      <c r="OXL55" s="5">
        <f>-IFERROR('4. NPV'!OXM24/'4. NPV'!OXM$8,0)</f>
        <v>-0.0</v>
      </c>
      <c r="OXM55" s="5">
        <f>-IFERROR('4. NPV'!OXN24/'4. NPV'!OXN$8,0)</f>
        <v>-0.0</v>
      </c>
      <c r="OXN55" s="5">
        <f>-IFERROR('4. NPV'!OXO24/'4. NPV'!OXO$8,0)</f>
        <v>-0.0</v>
      </c>
      <c r="OXO55" s="5">
        <f>-IFERROR('4. NPV'!OXP24/'4. NPV'!OXP$8,0)</f>
        <v>-0.0</v>
      </c>
      <c r="OXP55" s="5">
        <f>-IFERROR('4. NPV'!OXQ24/'4. NPV'!OXQ$8,0)</f>
        <v>-0.0</v>
      </c>
      <c r="OXQ55" s="5">
        <f>-IFERROR('4. NPV'!OXR24/'4. NPV'!OXR$8,0)</f>
        <v>-0.0</v>
      </c>
      <c r="OXR55" s="5">
        <f>-IFERROR('4. NPV'!OXS24/'4. NPV'!OXS$8,0)</f>
        <v>-0.0</v>
      </c>
      <c r="OXS55" s="5">
        <f>-IFERROR('4. NPV'!OXT24/'4. NPV'!OXT$8,0)</f>
        <v>-0.0</v>
      </c>
      <c r="OXT55" s="5">
        <f>-IFERROR('4. NPV'!OXU24/'4. NPV'!OXU$8,0)</f>
        <v>-0.0</v>
      </c>
      <c r="OXU55" s="5">
        <f>-IFERROR('4. NPV'!OXV24/'4. NPV'!OXV$8,0)</f>
        <v>-0.0</v>
      </c>
      <c r="OXV55" s="5">
        <f>-IFERROR('4. NPV'!OXW24/'4. NPV'!OXW$8,0)</f>
        <v>-0.0</v>
      </c>
      <c r="OXW55" s="5">
        <f>-IFERROR('4. NPV'!OXX24/'4. NPV'!OXX$8,0)</f>
        <v>-0.0</v>
      </c>
      <c r="OXX55" s="5">
        <f>-IFERROR('4. NPV'!OXY24/'4. NPV'!OXY$8,0)</f>
        <v>-0.0</v>
      </c>
      <c r="OXY55" s="5">
        <f>-IFERROR('4. NPV'!OXZ24/'4. NPV'!OXZ$8,0)</f>
        <v>-0.0</v>
      </c>
      <c r="OXZ55" s="5">
        <f>-IFERROR('4. NPV'!OYA24/'4. NPV'!OYA$8,0)</f>
        <v>-0.0</v>
      </c>
      <c r="OYA55" s="5">
        <f>-IFERROR('4. NPV'!OYB24/'4. NPV'!OYB$8,0)</f>
        <v>-0.0</v>
      </c>
      <c r="OYB55" s="5">
        <f>-IFERROR('4. NPV'!OYC24/'4. NPV'!OYC$8,0)</f>
        <v>-0.0</v>
      </c>
      <c r="OYC55" s="5">
        <f>-IFERROR('4. NPV'!OYD24/'4. NPV'!OYD$8,0)</f>
        <v>-0.0</v>
      </c>
      <c r="OYD55" s="5">
        <f>-IFERROR('4. NPV'!OYE24/'4. NPV'!OYE$8,0)</f>
        <v>-0.0</v>
      </c>
      <c r="OYE55" s="5">
        <f>-IFERROR('4. NPV'!OYF24/'4. NPV'!OYF$8,0)</f>
        <v>-0.0</v>
      </c>
      <c r="OYF55" s="5">
        <f>-IFERROR('4. NPV'!OYG24/'4. NPV'!OYG$8,0)</f>
        <v>-0.0</v>
      </c>
      <c r="OYG55" s="5">
        <f>-IFERROR('4. NPV'!OYH24/'4. NPV'!OYH$8,0)</f>
        <v>-0.0</v>
      </c>
      <c r="OYH55" s="5">
        <f>-IFERROR('4. NPV'!OYI24/'4. NPV'!OYI$8,0)</f>
        <v>-0.0</v>
      </c>
      <c r="OYI55" s="5">
        <f>-IFERROR('4. NPV'!OYJ24/'4. NPV'!OYJ$8,0)</f>
        <v>-0.0</v>
      </c>
      <c r="OYJ55" s="5">
        <f>-IFERROR('4. NPV'!OYK24/'4. NPV'!OYK$8,0)</f>
        <v>-0.0</v>
      </c>
      <c r="OYK55" s="5">
        <f>-IFERROR('4. NPV'!OYL24/'4. NPV'!OYL$8,0)</f>
        <v>-0.0</v>
      </c>
      <c r="OYL55" s="5">
        <f>-IFERROR('4. NPV'!OYM24/'4. NPV'!OYM$8,0)</f>
        <v>-0.0</v>
      </c>
      <c r="OYM55" s="5">
        <f>-IFERROR('4. NPV'!OYN24/'4. NPV'!OYN$8,0)</f>
        <v>-0.0</v>
      </c>
      <c r="OYN55" s="5">
        <f>-IFERROR('4. NPV'!OYO24/'4. NPV'!OYO$8,0)</f>
        <v>-0.0</v>
      </c>
      <c r="OYO55" s="5">
        <f>-IFERROR('4. NPV'!OYP24/'4. NPV'!OYP$8,0)</f>
        <v>-0.0</v>
      </c>
      <c r="OYP55" s="5">
        <f>-IFERROR('4. NPV'!OYQ24/'4. NPV'!OYQ$8,0)</f>
        <v>-0.0</v>
      </c>
      <c r="OYQ55" s="5">
        <f>-IFERROR('4. NPV'!OYR24/'4. NPV'!OYR$8,0)</f>
        <v>-0.0</v>
      </c>
      <c r="OYR55" s="5">
        <f>-IFERROR('4. NPV'!OYS24/'4. NPV'!OYS$8,0)</f>
        <v>-0.0</v>
      </c>
      <c r="OYS55" s="5">
        <f>-IFERROR('4. NPV'!OYT24/'4. NPV'!OYT$8,0)</f>
        <v>-0.0</v>
      </c>
      <c r="OYT55" s="5">
        <f>-IFERROR('4. NPV'!OYU24/'4. NPV'!OYU$8,0)</f>
        <v>-0.0</v>
      </c>
      <c r="OYU55" s="5">
        <f>-IFERROR('4. NPV'!OYV24/'4. NPV'!OYV$8,0)</f>
        <v>-0.0</v>
      </c>
      <c r="OYV55" s="5">
        <f>-IFERROR('4. NPV'!OYW24/'4. NPV'!OYW$8,0)</f>
        <v>-0.0</v>
      </c>
      <c r="OYW55" s="5">
        <f>-IFERROR('4. NPV'!OYX24/'4. NPV'!OYX$8,0)</f>
        <v>-0.0</v>
      </c>
      <c r="OYX55" s="5">
        <f>-IFERROR('4. NPV'!OYY24/'4. NPV'!OYY$8,0)</f>
        <v>-0.0</v>
      </c>
      <c r="OYY55" s="5">
        <f>-IFERROR('4. NPV'!OYZ24/'4. NPV'!OYZ$8,0)</f>
        <v>-0.0</v>
      </c>
      <c r="OYZ55" s="5">
        <f>-IFERROR('4. NPV'!OZA24/'4. NPV'!OZA$8,0)</f>
        <v>-0.0</v>
      </c>
      <c r="OZA55" s="5">
        <f>-IFERROR('4. NPV'!OZB24/'4. NPV'!OZB$8,0)</f>
        <v>-0.0</v>
      </c>
      <c r="OZB55" s="5">
        <f>-IFERROR('4. NPV'!OZC24/'4. NPV'!OZC$8,0)</f>
        <v>-0.0</v>
      </c>
      <c r="OZC55" s="5">
        <f>-IFERROR('4. NPV'!OZD24/'4. NPV'!OZD$8,0)</f>
        <v>-0.0</v>
      </c>
      <c r="OZD55" s="5">
        <f>-IFERROR('4. NPV'!OZE24/'4. NPV'!OZE$8,0)</f>
        <v>-0.0</v>
      </c>
      <c r="OZE55" s="5">
        <f>-IFERROR('4. NPV'!OZF24/'4. NPV'!OZF$8,0)</f>
        <v>-0.0</v>
      </c>
      <c r="OZF55" s="5">
        <f>-IFERROR('4. NPV'!OZG24/'4. NPV'!OZG$8,0)</f>
        <v>-0.0</v>
      </c>
      <c r="OZG55" s="5">
        <f>-IFERROR('4. NPV'!OZH24/'4. NPV'!OZH$8,0)</f>
        <v>-0.0</v>
      </c>
      <c r="OZH55" s="5">
        <f>-IFERROR('4. NPV'!OZI24/'4. NPV'!OZI$8,0)</f>
        <v>-0.0</v>
      </c>
      <c r="OZI55" s="5">
        <f>-IFERROR('4. NPV'!OZJ24/'4. NPV'!OZJ$8,0)</f>
        <v>-0.0</v>
      </c>
      <c r="OZJ55" s="5">
        <f>-IFERROR('4. NPV'!OZK24/'4. NPV'!OZK$8,0)</f>
        <v>-0.0</v>
      </c>
      <c r="OZK55" s="5">
        <f>-IFERROR('4. NPV'!OZL24/'4. NPV'!OZL$8,0)</f>
        <v>-0.0</v>
      </c>
      <c r="OZL55" s="5">
        <f>-IFERROR('4. NPV'!OZM24/'4. NPV'!OZM$8,0)</f>
        <v>-0.0</v>
      </c>
      <c r="OZM55" s="5">
        <f>-IFERROR('4. NPV'!OZN24/'4. NPV'!OZN$8,0)</f>
        <v>-0.0</v>
      </c>
      <c r="OZN55" s="5">
        <f>-IFERROR('4. NPV'!OZO24/'4. NPV'!OZO$8,0)</f>
        <v>-0.0</v>
      </c>
      <c r="OZO55" s="5">
        <f>-IFERROR('4. NPV'!OZP24/'4. NPV'!OZP$8,0)</f>
        <v>-0.0</v>
      </c>
      <c r="OZP55" s="5">
        <f>-IFERROR('4. NPV'!OZQ24/'4. NPV'!OZQ$8,0)</f>
        <v>-0.0</v>
      </c>
      <c r="OZQ55" s="5">
        <f>-IFERROR('4. NPV'!OZR24/'4. NPV'!OZR$8,0)</f>
        <v>-0.0</v>
      </c>
      <c r="OZR55" s="5">
        <f>-IFERROR('4. NPV'!OZS24/'4. NPV'!OZS$8,0)</f>
        <v>-0.0</v>
      </c>
      <c r="OZS55" s="5">
        <f>-IFERROR('4. NPV'!OZT24/'4. NPV'!OZT$8,0)</f>
        <v>-0.0</v>
      </c>
      <c r="OZT55" s="5">
        <f>-IFERROR('4. NPV'!OZU24/'4. NPV'!OZU$8,0)</f>
        <v>-0.0</v>
      </c>
      <c r="OZU55" s="5">
        <f>-IFERROR('4. NPV'!OZV24/'4. NPV'!OZV$8,0)</f>
        <v>-0.0</v>
      </c>
      <c r="OZV55" s="5">
        <f>-IFERROR('4. NPV'!OZW24/'4. NPV'!OZW$8,0)</f>
        <v>-0.0</v>
      </c>
      <c r="OZW55" s="5">
        <f>-IFERROR('4. NPV'!OZX24/'4. NPV'!OZX$8,0)</f>
        <v>-0.0</v>
      </c>
      <c r="OZX55" s="5">
        <f>-IFERROR('4. NPV'!OZY24/'4. NPV'!OZY$8,0)</f>
        <v>-0.0</v>
      </c>
      <c r="OZY55" s="5">
        <f>-IFERROR('4. NPV'!OZZ24/'4. NPV'!OZZ$8,0)</f>
        <v>-0.0</v>
      </c>
      <c r="OZZ55" s="5">
        <f>-IFERROR('4. NPV'!PAA24/'4. NPV'!PAA$8,0)</f>
        <v>-0.0</v>
      </c>
      <c r="PAA55" s="5">
        <f>-IFERROR('4. NPV'!PAB24/'4. NPV'!PAB$8,0)</f>
        <v>-0.0</v>
      </c>
      <c r="PAB55" s="5">
        <f>-IFERROR('4. NPV'!PAC24/'4. NPV'!PAC$8,0)</f>
        <v>-0.0</v>
      </c>
      <c r="PAC55" s="5">
        <f>-IFERROR('4. NPV'!PAD24/'4. NPV'!PAD$8,0)</f>
        <v>-0.0</v>
      </c>
      <c r="PAD55" s="5">
        <f>-IFERROR('4. NPV'!PAE24/'4. NPV'!PAE$8,0)</f>
        <v>-0.0</v>
      </c>
      <c r="PAE55" s="5">
        <f>-IFERROR('4. NPV'!PAF24/'4. NPV'!PAF$8,0)</f>
        <v>-0.0</v>
      </c>
      <c r="PAF55" s="5">
        <f>-IFERROR('4. NPV'!PAG24/'4. NPV'!PAG$8,0)</f>
        <v>-0.0</v>
      </c>
      <c r="PAG55" s="5">
        <f>-IFERROR('4. NPV'!PAH24/'4. NPV'!PAH$8,0)</f>
        <v>-0.0</v>
      </c>
      <c r="PAH55" s="5">
        <f>-IFERROR('4. NPV'!PAI24/'4. NPV'!PAI$8,0)</f>
        <v>-0.0</v>
      </c>
      <c r="PAI55" s="5">
        <f>-IFERROR('4. NPV'!PAJ24/'4. NPV'!PAJ$8,0)</f>
        <v>-0.0</v>
      </c>
      <c r="PAJ55" s="5">
        <f>-IFERROR('4. NPV'!PAK24/'4. NPV'!PAK$8,0)</f>
        <v>-0.0</v>
      </c>
      <c r="PAK55" s="5">
        <f>-IFERROR('4. NPV'!PAL24/'4. NPV'!PAL$8,0)</f>
        <v>-0.0</v>
      </c>
      <c r="PAL55" s="5">
        <f>-IFERROR('4. NPV'!PAM24/'4. NPV'!PAM$8,0)</f>
        <v>-0.0</v>
      </c>
      <c r="PAM55" s="5">
        <f>-IFERROR('4. NPV'!PAN24/'4. NPV'!PAN$8,0)</f>
        <v>-0.0</v>
      </c>
      <c r="PAN55" s="5">
        <f>-IFERROR('4. NPV'!PAO24/'4. NPV'!PAO$8,0)</f>
        <v>-0.0</v>
      </c>
      <c r="PAO55" s="5">
        <f>-IFERROR('4. NPV'!PAP24/'4. NPV'!PAP$8,0)</f>
        <v>-0.0</v>
      </c>
      <c r="PAP55" s="5">
        <f>-IFERROR('4. NPV'!PAQ24/'4. NPV'!PAQ$8,0)</f>
        <v>-0.0</v>
      </c>
      <c r="PAQ55" s="5">
        <f>-IFERROR('4. NPV'!PAR24/'4. NPV'!PAR$8,0)</f>
        <v>-0.0</v>
      </c>
      <c r="PAR55" s="5">
        <f>-IFERROR('4. NPV'!PAS24/'4. NPV'!PAS$8,0)</f>
        <v>-0.0</v>
      </c>
      <c r="PAS55" s="5">
        <f>-IFERROR('4. NPV'!PAT24/'4. NPV'!PAT$8,0)</f>
        <v>-0.0</v>
      </c>
      <c r="PAT55" s="5">
        <f>-IFERROR('4. NPV'!PAU24/'4. NPV'!PAU$8,0)</f>
        <v>-0.0</v>
      </c>
      <c r="PAU55" s="5">
        <f>-IFERROR('4. NPV'!PAV24/'4. NPV'!PAV$8,0)</f>
        <v>-0.0</v>
      </c>
      <c r="PAV55" s="5">
        <f>-IFERROR('4. NPV'!PAW24/'4. NPV'!PAW$8,0)</f>
        <v>-0.0</v>
      </c>
      <c r="PAW55" s="5">
        <f>-IFERROR('4. NPV'!PAX24/'4. NPV'!PAX$8,0)</f>
        <v>-0.0</v>
      </c>
      <c r="PAX55" s="5">
        <f>-IFERROR('4. NPV'!PAY24/'4. NPV'!PAY$8,0)</f>
        <v>-0.0</v>
      </c>
      <c r="PAY55" s="5">
        <f>-IFERROR('4. NPV'!PAZ24/'4. NPV'!PAZ$8,0)</f>
        <v>-0.0</v>
      </c>
      <c r="PAZ55" s="5">
        <f>-IFERROR('4. NPV'!PBA24/'4. NPV'!PBA$8,0)</f>
        <v>-0.0</v>
      </c>
      <c r="PBA55" s="5">
        <f>-IFERROR('4. NPV'!PBB24/'4. NPV'!PBB$8,0)</f>
        <v>-0.0</v>
      </c>
      <c r="PBB55" s="5">
        <f>-IFERROR('4. NPV'!PBC24/'4. NPV'!PBC$8,0)</f>
        <v>-0.0</v>
      </c>
      <c r="PBC55" s="5">
        <f>-IFERROR('4. NPV'!PBD24/'4. NPV'!PBD$8,0)</f>
        <v>-0.0</v>
      </c>
      <c r="PBD55" s="5">
        <f>-IFERROR('4. NPV'!PBE24/'4. NPV'!PBE$8,0)</f>
        <v>-0.0</v>
      </c>
      <c r="PBE55" s="5">
        <f>-IFERROR('4. NPV'!PBF24/'4. NPV'!PBF$8,0)</f>
        <v>-0.0</v>
      </c>
      <c r="PBF55" s="5">
        <f>-IFERROR('4. NPV'!PBG24/'4. NPV'!PBG$8,0)</f>
        <v>-0.0</v>
      </c>
      <c r="PBG55" s="5">
        <f>-IFERROR('4. NPV'!PBH24/'4. NPV'!PBH$8,0)</f>
        <v>-0.0</v>
      </c>
      <c r="PBH55" s="5">
        <f>-IFERROR('4. NPV'!PBI24/'4. NPV'!PBI$8,0)</f>
        <v>-0.0</v>
      </c>
      <c r="PBI55" s="5">
        <f>-IFERROR('4. NPV'!PBJ24/'4. NPV'!PBJ$8,0)</f>
        <v>-0.0</v>
      </c>
      <c r="PBJ55" s="5">
        <f>-IFERROR('4. NPV'!PBK24/'4. NPV'!PBK$8,0)</f>
        <v>-0.0</v>
      </c>
      <c r="PBK55" s="5">
        <f>-IFERROR('4. NPV'!PBL24/'4. NPV'!PBL$8,0)</f>
        <v>-0.0</v>
      </c>
      <c r="PBL55" s="5">
        <f>-IFERROR('4. NPV'!PBM24/'4. NPV'!PBM$8,0)</f>
        <v>-0.0</v>
      </c>
      <c r="PBM55" s="5">
        <f>-IFERROR('4. NPV'!PBN24/'4. NPV'!PBN$8,0)</f>
        <v>-0.0</v>
      </c>
      <c r="PBN55" s="5">
        <f>-IFERROR('4. NPV'!PBO24/'4. NPV'!PBO$8,0)</f>
        <v>-0.0</v>
      </c>
      <c r="PBO55" s="5">
        <f>-IFERROR('4. NPV'!PBP24/'4. NPV'!PBP$8,0)</f>
        <v>-0.0</v>
      </c>
      <c r="PBP55" s="5">
        <f>-IFERROR('4. NPV'!PBQ24/'4. NPV'!PBQ$8,0)</f>
        <v>-0.0</v>
      </c>
      <c r="PBQ55" s="5">
        <f>-IFERROR('4. NPV'!PBR24/'4. NPV'!PBR$8,0)</f>
        <v>-0.0</v>
      </c>
      <c r="PBR55" s="5">
        <f>-IFERROR('4. NPV'!PBS24/'4. NPV'!PBS$8,0)</f>
        <v>-0.0</v>
      </c>
      <c r="PBS55" s="5">
        <f>-IFERROR('4. NPV'!PBT24/'4. NPV'!PBT$8,0)</f>
        <v>-0.0</v>
      </c>
      <c r="PBT55" s="5">
        <f>-IFERROR('4. NPV'!PBU24/'4. NPV'!PBU$8,0)</f>
        <v>-0.0</v>
      </c>
      <c r="PBU55" s="5">
        <f>-IFERROR('4. NPV'!PBV24/'4. NPV'!PBV$8,0)</f>
        <v>-0.0</v>
      </c>
      <c r="PBV55" s="5">
        <f>-IFERROR('4. NPV'!PBW24/'4. NPV'!PBW$8,0)</f>
        <v>-0.0</v>
      </c>
      <c r="PBW55" s="5">
        <f>-IFERROR('4. NPV'!PBX24/'4. NPV'!PBX$8,0)</f>
        <v>-0.0</v>
      </c>
      <c r="PBX55" s="5">
        <f>-IFERROR('4. NPV'!PBY24/'4. NPV'!PBY$8,0)</f>
        <v>-0.0</v>
      </c>
      <c r="PBY55" s="5">
        <f>-IFERROR('4. NPV'!PBZ24/'4. NPV'!PBZ$8,0)</f>
        <v>-0.0</v>
      </c>
      <c r="PBZ55" s="5">
        <f>-IFERROR('4. NPV'!PCA24/'4. NPV'!PCA$8,0)</f>
        <v>-0.0</v>
      </c>
      <c r="PCA55" s="5">
        <f>-IFERROR('4. NPV'!PCB24/'4. NPV'!PCB$8,0)</f>
        <v>-0.0</v>
      </c>
      <c r="PCB55" s="5">
        <f>-IFERROR('4. NPV'!PCC24/'4. NPV'!PCC$8,0)</f>
        <v>-0.0</v>
      </c>
      <c r="PCC55" s="5">
        <f>-IFERROR('4. NPV'!PCD24/'4. NPV'!PCD$8,0)</f>
        <v>-0.0</v>
      </c>
      <c r="PCD55" s="5">
        <f>-IFERROR('4. NPV'!PCE24/'4. NPV'!PCE$8,0)</f>
        <v>-0.0</v>
      </c>
      <c r="PCE55" s="5">
        <f>-IFERROR('4. NPV'!PCF24/'4. NPV'!PCF$8,0)</f>
        <v>-0.0</v>
      </c>
      <c r="PCF55" s="5">
        <f>-IFERROR('4. NPV'!PCG24/'4. NPV'!PCG$8,0)</f>
        <v>-0.0</v>
      </c>
      <c r="PCG55" s="5">
        <f>-IFERROR('4. NPV'!PCH24/'4. NPV'!PCH$8,0)</f>
        <v>-0.0</v>
      </c>
      <c r="PCH55" s="5">
        <f>-IFERROR('4. NPV'!PCI24/'4. NPV'!PCI$8,0)</f>
        <v>-0.0</v>
      </c>
      <c r="PCI55" s="5">
        <f>-IFERROR('4. NPV'!PCJ24/'4. NPV'!PCJ$8,0)</f>
        <v>-0.0</v>
      </c>
      <c r="PCJ55" s="5">
        <f>-IFERROR('4. NPV'!PCK24/'4. NPV'!PCK$8,0)</f>
        <v>-0.0</v>
      </c>
      <c r="PCK55" s="5">
        <f>-IFERROR('4. NPV'!PCL24/'4. NPV'!PCL$8,0)</f>
        <v>-0.0</v>
      </c>
      <c r="PCL55" s="5">
        <f>-IFERROR('4. NPV'!PCM24/'4. NPV'!PCM$8,0)</f>
        <v>-0.0</v>
      </c>
      <c r="PCM55" s="5">
        <f>-IFERROR('4. NPV'!PCN24/'4. NPV'!PCN$8,0)</f>
        <v>-0.0</v>
      </c>
      <c r="PCN55" s="5">
        <f>-IFERROR('4. NPV'!PCO24/'4. NPV'!PCO$8,0)</f>
        <v>-0.0</v>
      </c>
      <c r="PCO55" s="5">
        <f>-IFERROR('4. NPV'!PCP24/'4. NPV'!PCP$8,0)</f>
        <v>-0.0</v>
      </c>
      <c r="PCP55" s="5">
        <f>-IFERROR('4. NPV'!PCQ24/'4. NPV'!PCQ$8,0)</f>
        <v>-0.0</v>
      </c>
      <c r="PCQ55" s="5">
        <f>-IFERROR('4. NPV'!PCR24/'4. NPV'!PCR$8,0)</f>
        <v>-0.0</v>
      </c>
      <c r="PCR55" s="5">
        <f>-IFERROR('4. NPV'!PCS24/'4. NPV'!PCS$8,0)</f>
        <v>-0.0</v>
      </c>
      <c r="PCS55" s="5">
        <f>-IFERROR('4. NPV'!PCT24/'4. NPV'!PCT$8,0)</f>
        <v>-0.0</v>
      </c>
      <c r="PCT55" s="5">
        <f>-IFERROR('4. NPV'!PCU24/'4. NPV'!PCU$8,0)</f>
        <v>-0.0</v>
      </c>
      <c r="PCU55" s="5">
        <f>-IFERROR('4. NPV'!PCV24/'4. NPV'!PCV$8,0)</f>
        <v>-0.0</v>
      </c>
      <c r="PCV55" s="5">
        <f>-IFERROR('4. NPV'!PCW24/'4. NPV'!PCW$8,0)</f>
        <v>-0.0</v>
      </c>
      <c r="PCW55" s="5">
        <f>-IFERROR('4. NPV'!PCX24/'4. NPV'!PCX$8,0)</f>
        <v>-0.0</v>
      </c>
      <c r="PCX55" s="5">
        <f>-IFERROR('4. NPV'!PCY24/'4. NPV'!PCY$8,0)</f>
        <v>-0.0</v>
      </c>
      <c r="PCY55" s="5">
        <f>-IFERROR('4. NPV'!PCZ24/'4. NPV'!PCZ$8,0)</f>
        <v>-0.0</v>
      </c>
      <c r="PCZ55" s="5">
        <f>-IFERROR('4. NPV'!PDA24/'4. NPV'!PDA$8,0)</f>
        <v>-0.0</v>
      </c>
      <c r="PDA55" s="5">
        <f>-IFERROR('4. NPV'!PDB24/'4. NPV'!PDB$8,0)</f>
        <v>-0.0</v>
      </c>
      <c r="PDB55" s="5">
        <f>-IFERROR('4. NPV'!PDC24/'4. NPV'!PDC$8,0)</f>
        <v>-0.0</v>
      </c>
      <c r="PDC55" s="5">
        <f>-IFERROR('4. NPV'!PDD24/'4. NPV'!PDD$8,0)</f>
        <v>-0.0</v>
      </c>
      <c r="PDD55" s="5">
        <f>-IFERROR('4. NPV'!PDE24/'4. NPV'!PDE$8,0)</f>
        <v>-0.0</v>
      </c>
      <c r="PDE55" s="5">
        <f>-IFERROR('4. NPV'!PDF24/'4. NPV'!PDF$8,0)</f>
        <v>-0.0</v>
      </c>
      <c r="PDF55" s="5">
        <f>-IFERROR('4. NPV'!PDG24/'4. NPV'!PDG$8,0)</f>
        <v>-0.0</v>
      </c>
      <c r="PDG55" s="5">
        <f>-IFERROR('4. NPV'!PDH24/'4. NPV'!PDH$8,0)</f>
        <v>-0.0</v>
      </c>
      <c r="PDH55" s="5">
        <f>-IFERROR('4. NPV'!PDI24/'4. NPV'!PDI$8,0)</f>
        <v>-0.0</v>
      </c>
      <c r="PDI55" s="5">
        <f>-IFERROR('4. NPV'!PDJ24/'4. NPV'!PDJ$8,0)</f>
        <v>-0.0</v>
      </c>
      <c r="PDJ55" s="5">
        <f>-IFERROR('4. NPV'!PDK24/'4. NPV'!PDK$8,0)</f>
        <v>-0.0</v>
      </c>
      <c r="PDK55" s="5">
        <f>-IFERROR('4. NPV'!PDL24/'4. NPV'!PDL$8,0)</f>
        <v>-0.0</v>
      </c>
      <c r="PDL55" s="5">
        <f>-IFERROR('4. NPV'!PDM24/'4. NPV'!PDM$8,0)</f>
        <v>-0.0</v>
      </c>
      <c r="PDM55" s="5">
        <f>-IFERROR('4. NPV'!PDN24/'4. NPV'!PDN$8,0)</f>
        <v>-0.0</v>
      </c>
      <c r="PDN55" s="5">
        <f>-IFERROR('4. NPV'!PDO24/'4. NPV'!PDO$8,0)</f>
        <v>-0.0</v>
      </c>
      <c r="PDO55" s="5">
        <f>-IFERROR('4. NPV'!PDP24/'4. NPV'!PDP$8,0)</f>
        <v>-0.0</v>
      </c>
      <c r="PDP55" s="5">
        <f>-IFERROR('4. NPV'!PDQ24/'4. NPV'!PDQ$8,0)</f>
        <v>-0.0</v>
      </c>
      <c r="PDQ55" s="5">
        <f>-IFERROR('4. NPV'!PDR24/'4. NPV'!PDR$8,0)</f>
        <v>-0.0</v>
      </c>
      <c r="PDR55" s="5">
        <f>-IFERROR('4. NPV'!PDS24/'4. NPV'!PDS$8,0)</f>
        <v>-0.0</v>
      </c>
      <c r="PDS55" s="5">
        <f>-IFERROR('4. NPV'!PDT24/'4. NPV'!PDT$8,0)</f>
        <v>-0.0</v>
      </c>
      <c r="PDT55" s="5">
        <f>-IFERROR('4. NPV'!PDU24/'4. NPV'!PDU$8,0)</f>
        <v>-0.0</v>
      </c>
      <c r="PDU55" s="5">
        <f>-IFERROR('4. NPV'!PDV24/'4. NPV'!PDV$8,0)</f>
        <v>-0.0</v>
      </c>
      <c r="PDV55" s="5">
        <f>-IFERROR('4. NPV'!PDW24/'4. NPV'!PDW$8,0)</f>
        <v>-0.0</v>
      </c>
      <c r="PDW55" s="5">
        <f>-IFERROR('4. NPV'!PDX24/'4. NPV'!PDX$8,0)</f>
        <v>-0.0</v>
      </c>
      <c r="PDX55" s="5">
        <f>-IFERROR('4. NPV'!PDY24/'4. NPV'!PDY$8,0)</f>
        <v>-0.0</v>
      </c>
      <c r="PDY55" s="5">
        <f>-IFERROR('4. NPV'!PDZ24/'4. NPV'!PDZ$8,0)</f>
        <v>-0.0</v>
      </c>
      <c r="PDZ55" s="5">
        <f>-IFERROR('4. NPV'!PEA24/'4. NPV'!PEA$8,0)</f>
        <v>-0.0</v>
      </c>
      <c r="PEA55" s="5">
        <f>-IFERROR('4. NPV'!PEB24/'4. NPV'!PEB$8,0)</f>
        <v>-0.0</v>
      </c>
      <c r="PEB55" s="5">
        <f>-IFERROR('4. NPV'!PEC24/'4. NPV'!PEC$8,0)</f>
        <v>-0.0</v>
      </c>
      <c r="PEC55" s="5">
        <f>-IFERROR('4. NPV'!PED24/'4. NPV'!PED$8,0)</f>
        <v>-0.0</v>
      </c>
      <c r="PED55" s="5">
        <f>-IFERROR('4. NPV'!PEE24/'4. NPV'!PEE$8,0)</f>
        <v>-0.0</v>
      </c>
      <c r="PEE55" s="5">
        <f>-IFERROR('4. NPV'!PEF24/'4. NPV'!PEF$8,0)</f>
        <v>-0.0</v>
      </c>
      <c r="PEF55" s="5">
        <f>-IFERROR('4. NPV'!PEG24/'4. NPV'!PEG$8,0)</f>
        <v>-0.0</v>
      </c>
      <c r="PEG55" s="5">
        <f>-IFERROR('4. NPV'!PEH24/'4. NPV'!PEH$8,0)</f>
        <v>-0.0</v>
      </c>
      <c r="PEH55" s="5">
        <f>-IFERROR('4. NPV'!PEI24/'4. NPV'!PEI$8,0)</f>
        <v>-0.0</v>
      </c>
      <c r="PEI55" s="5">
        <f>-IFERROR('4. NPV'!PEJ24/'4. NPV'!PEJ$8,0)</f>
        <v>-0.0</v>
      </c>
      <c r="PEJ55" s="5">
        <f>-IFERROR('4. NPV'!PEK24/'4. NPV'!PEK$8,0)</f>
        <v>-0.0</v>
      </c>
      <c r="PEK55" s="5">
        <f>-IFERROR('4. NPV'!PEL24/'4. NPV'!PEL$8,0)</f>
        <v>-0.0</v>
      </c>
      <c r="PEL55" s="5">
        <f>-IFERROR('4. NPV'!PEM24/'4. NPV'!PEM$8,0)</f>
        <v>-0.0</v>
      </c>
      <c r="PEM55" s="5">
        <f>-IFERROR('4. NPV'!PEN24/'4. NPV'!PEN$8,0)</f>
        <v>-0.0</v>
      </c>
      <c r="PEN55" s="5">
        <f>-IFERROR('4. NPV'!PEO24/'4. NPV'!PEO$8,0)</f>
        <v>-0.0</v>
      </c>
      <c r="PEO55" s="5">
        <f>-IFERROR('4. NPV'!PEP24/'4. NPV'!PEP$8,0)</f>
        <v>-0.0</v>
      </c>
      <c r="PEP55" s="5">
        <f>-IFERROR('4. NPV'!PEQ24/'4. NPV'!PEQ$8,0)</f>
        <v>-0.0</v>
      </c>
      <c r="PEQ55" s="5">
        <f>-IFERROR('4. NPV'!PER24/'4. NPV'!PER$8,0)</f>
        <v>-0.0</v>
      </c>
      <c r="PER55" s="5">
        <f>-IFERROR('4. NPV'!PES24/'4. NPV'!PES$8,0)</f>
        <v>-0.0</v>
      </c>
      <c r="PES55" s="5">
        <f>-IFERROR('4. NPV'!PET24/'4. NPV'!PET$8,0)</f>
        <v>-0.0</v>
      </c>
      <c r="PET55" s="5">
        <f>-IFERROR('4. NPV'!PEU24/'4. NPV'!PEU$8,0)</f>
        <v>-0.0</v>
      </c>
      <c r="PEU55" s="5">
        <f>-IFERROR('4. NPV'!PEV24/'4. NPV'!PEV$8,0)</f>
        <v>-0.0</v>
      </c>
      <c r="PEV55" s="5">
        <f>-IFERROR('4. NPV'!PEW24/'4. NPV'!PEW$8,0)</f>
        <v>-0.0</v>
      </c>
      <c r="PEW55" s="5">
        <f>-IFERROR('4. NPV'!PEX24/'4. NPV'!PEX$8,0)</f>
        <v>-0.0</v>
      </c>
      <c r="PEX55" s="5">
        <f>-IFERROR('4. NPV'!PEY24/'4. NPV'!PEY$8,0)</f>
        <v>-0.0</v>
      </c>
      <c r="PEY55" s="5">
        <f>-IFERROR('4. NPV'!PEZ24/'4. NPV'!PEZ$8,0)</f>
        <v>-0.0</v>
      </c>
      <c r="PEZ55" s="5">
        <f>-IFERROR('4. NPV'!PFA24/'4. NPV'!PFA$8,0)</f>
        <v>-0.0</v>
      </c>
      <c r="PFA55" s="5">
        <f>-IFERROR('4. NPV'!PFB24/'4. NPV'!PFB$8,0)</f>
        <v>-0.0</v>
      </c>
      <c r="PFB55" s="5">
        <f>-IFERROR('4. NPV'!PFC24/'4. NPV'!PFC$8,0)</f>
        <v>-0.0</v>
      </c>
      <c r="PFC55" s="5">
        <f>-IFERROR('4. NPV'!PFD24/'4. NPV'!PFD$8,0)</f>
        <v>-0.0</v>
      </c>
      <c r="PFD55" s="5">
        <f>-IFERROR('4. NPV'!PFE24/'4. NPV'!PFE$8,0)</f>
        <v>-0.0</v>
      </c>
      <c r="PFE55" s="5">
        <f>-IFERROR('4. NPV'!PFF24/'4. NPV'!PFF$8,0)</f>
        <v>-0.0</v>
      </c>
      <c r="PFF55" s="5">
        <f>-IFERROR('4. NPV'!PFG24/'4. NPV'!PFG$8,0)</f>
        <v>-0.0</v>
      </c>
      <c r="PFG55" s="5">
        <f>-IFERROR('4. NPV'!PFH24/'4. NPV'!PFH$8,0)</f>
        <v>-0.0</v>
      </c>
      <c r="PFH55" s="5">
        <f>-IFERROR('4. NPV'!PFI24/'4. NPV'!PFI$8,0)</f>
        <v>-0.0</v>
      </c>
      <c r="PFI55" s="5">
        <f>-IFERROR('4. NPV'!PFJ24/'4. NPV'!PFJ$8,0)</f>
        <v>-0.0</v>
      </c>
      <c r="PFJ55" s="5">
        <f>-IFERROR('4. NPV'!PFK24/'4. NPV'!PFK$8,0)</f>
        <v>-0.0</v>
      </c>
      <c r="PFK55" s="5">
        <f>-IFERROR('4. NPV'!PFL24/'4. NPV'!PFL$8,0)</f>
        <v>-0.0</v>
      </c>
      <c r="PFL55" s="5">
        <f>-IFERROR('4. NPV'!PFM24/'4. NPV'!PFM$8,0)</f>
        <v>-0.0</v>
      </c>
      <c r="PFM55" s="5">
        <f>-IFERROR('4. NPV'!PFN24/'4. NPV'!PFN$8,0)</f>
        <v>-0.0</v>
      </c>
      <c r="PFN55" s="5">
        <f>-IFERROR('4. NPV'!PFO24/'4. NPV'!PFO$8,0)</f>
        <v>-0.0</v>
      </c>
      <c r="PFO55" s="5">
        <f>-IFERROR('4. NPV'!PFP24/'4. NPV'!PFP$8,0)</f>
        <v>-0.0</v>
      </c>
      <c r="PFP55" s="5">
        <f>-IFERROR('4. NPV'!PFQ24/'4. NPV'!PFQ$8,0)</f>
        <v>-0.0</v>
      </c>
      <c r="PFQ55" s="5">
        <f>-IFERROR('4. NPV'!PFR24/'4. NPV'!PFR$8,0)</f>
        <v>-0.0</v>
      </c>
      <c r="PFR55" s="5">
        <f>-IFERROR('4. NPV'!PFS24/'4. NPV'!PFS$8,0)</f>
        <v>-0.0</v>
      </c>
      <c r="PFS55" s="5">
        <f>-IFERROR('4. NPV'!PFT24/'4. NPV'!PFT$8,0)</f>
        <v>-0.0</v>
      </c>
      <c r="PFT55" s="5">
        <f>-IFERROR('4. NPV'!PFU24/'4. NPV'!PFU$8,0)</f>
        <v>-0.0</v>
      </c>
      <c r="PFU55" s="5">
        <f>-IFERROR('4. NPV'!PFV24/'4. NPV'!PFV$8,0)</f>
        <v>-0.0</v>
      </c>
      <c r="PFV55" s="5">
        <f>-IFERROR('4. NPV'!PFW24/'4. NPV'!PFW$8,0)</f>
        <v>-0.0</v>
      </c>
      <c r="PFW55" s="5">
        <f>-IFERROR('4. NPV'!PFX24/'4. NPV'!PFX$8,0)</f>
        <v>-0.0</v>
      </c>
      <c r="PFX55" s="5">
        <f>-IFERROR('4. NPV'!PFY24/'4. NPV'!PFY$8,0)</f>
        <v>-0.0</v>
      </c>
      <c r="PFY55" s="5">
        <f>-IFERROR('4. NPV'!PFZ24/'4. NPV'!PFZ$8,0)</f>
        <v>-0.0</v>
      </c>
      <c r="PFZ55" s="5">
        <f>-IFERROR('4. NPV'!PGA24/'4. NPV'!PGA$8,0)</f>
        <v>-0.0</v>
      </c>
      <c r="PGA55" s="5">
        <f>-IFERROR('4. NPV'!PGB24/'4. NPV'!PGB$8,0)</f>
        <v>-0.0</v>
      </c>
      <c r="PGB55" s="5">
        <f>-IFERROR('4. NPV'!PGC24/'4. NPV'!PGC$8,0)</f>
        <v>-0.0</v>
      </c>
      <c r="PGC55" s="5">
        <f>-IFERROR('4. NPV'!PGD24/'4. NPV'!PGD$8,0)</f>
        <v>-0.0</v>
      </c>
      <c r="PGD55" s="5">
        <f>-IFERROR('4. NPV'!PGE24/'4. NPV'!PGE$8,0)</f>
        <v>-0.0</v>
      </c>
      <c r="PGE55" s="5">
        <f>-IFERROR('4. NPV'!PGF24/'4. NPV'!PGF$8,0)</f>
        <v>-0.0</v>
      </c>
      <c r="PGF55" s="5">
        <f>-IFERROR('4. NPV'!PGG24/'4. NPV'!PGG$8,0)</f>
        <v>-0.0</v>
      </c>
      <c r="PGG55" s="5">
        <f>-IFERROR('4. NPV'!PGH24/'4. NPV'!PGH$8,0)</f>
        <v>-0.0</v>
      </c>
      <c r="PGH55" s="5">
        <f>-IFERROR('4. NPV'!PGI24/'4. NPV'!PGI$8,0)</f>
        <v>-0.0</v>
      </c>
      <c r="PGI55" s="5">
        <f>-IFERROR('4. NPV'!PGJ24/'4. NPV'!PGJ$8,0)</f>
        <v>-0.0</v>
      </c>
      <c r="PGJ55" s="5">
        <f>-IFERROR('4. NPV'!PGK24/'4. NPV'!PGK$8,0)</f>
        <v>-0.0</v>
      </c>
      <c r="PGK55" s="5">
        <f>-IFERROR('4. NPV'!PGL24/'4. NPV'!PGL$8,0)</f>
        <v>-0.0</v>
      </c>
      <c r="PGL55" s="5">
        <f>-IFERROR('4. NPV'!PGM24/'4. NPV'!PGM$8,0)</f>
        <v>-0.0</v>
      </c>
      <c r="PGM55" s="5">
        <f>-IFERROR('4. NPV'!PGN24/'4. NPV'!PGN$8,0)</f>
        <v>-0.0</v>
      </c>
      <c r="PGN55" s="5">
        <f>-IFERROR('4. NPV'!PGO24/'4. NPV'!PGO$8,0)</f>
        <v>-0.0</v>
      </c>
      <c r="PGO55" s="5">
        <f>-IFERROR('4. NPV'!PGP24/'4. NPV'!PGP$8,0)</f>
        <v>-0.0</v>
      </c>
      <c r="PGP55" s="5">
        <f>-IFERROR('4. NPV'!PGQ24/'4. NPV'!PGQ$8,0)</f>
        <v>-0.0</v>
      </c>
      <c r="PGQ55" s="5">
        <f>-IFERROR('4. NPV'!PGR24/'4. NPV'!PGR$8,0)</f>
        <v>-0.0</v>
      </c>
      <c r="PGR55" s="5">
        <f>-IFERROR('4. NPV'!PGS24/'4. NPV'!PGS$8,0)</f>
        <v>-0.0</v>
      </c>
      <c r="PGS55" s="5">
        <f>-IFERROR('4. NPV'!PGT24/'4. NPV'!PGT$8,0)</f>
        <v>-0.0</v>
      </c>
      <c r="PGT55" s="5">
        <f>-IFERROR('4. NPV'!PGU24/'4. NPV'!PGU$8,0)</f>
        <v>-0.0</v>
      </c>
      <c r="PGU55" s="5">
        <f>-IFERROR('4. NPV'!PGV24/'4. NPV'!PGV$8,0)</f>
        <v>-0.0</v>
      </c>
      <c r="PGV55" s="5">
        <f>-IFERROR('4. NPV'!PGW24/'4. NPV'!PGW$8,0)</f>
        <v>-0.0</v>
      </c>
      <c r="PGW55" s="5">
        <f>-IFERROR('4. NPV'!PGX24/'4. NPV'!PGX$8,0)</f>
        <v>-0.0</v>
      </c>
      <c r="PGX55" s="5">
        <f>-IFERROR('4. NPV'!PGY24/'4. NPV'!PGY$8,0)</f>
        <v>-0.0</v>
      </c>
      <c r="PGY55" s="5">
        <f>-IFERROR('4. NPV'!PGZ24/'4. NPV'!PGZ$8,0)</f>
        <v>-0.0</v>
      </c>
      <c r="PGZ55" s="5">
        <f>-IFERROR('4. NPV'!PHA24/'4. NPV'!PHA$8,0)</f>
        <v>-0.0</v>
      </c>
      <c r="PHA55" s="5">
        <f>-IFERROR('4. NPV'!PHB24/'4. NPV'!PHB$8,0)</f>
        <v>-0.0</v>
      </c>
      <c r="PHB55" s="5">
        <f>-IFERROR('4. NPV'!PHC24/'4. NPV'!PHC$8,0)</f>
        <v>-0.0</v>
      </c>
      <c r="PHC55" s="5">
        <f>-IFERROR('4. NPV'!PHD24/'4. NPV'!PHD$8,0)</f>
        <v>-0.0</v>
      </c>
      <c r="PHD55" s="5">
        <f>-IFERROR('4. NPV'!PHE24/'4. NPV'!PHE$8,0)</f>
        <v>-0.0</v>
      </c>
      <c r="PHE55" s="5">
        <f>-IFERROR('4. NPV'!PHF24/'4. NPV'!PHF$8,0)</f>
        <v>-0.0</v>
      </c>
      <c r="PHF55" s="5">
        <f>-IFERROR('4. NPV'!PHG24/'4. NPV'!PHG$8,0)</f>
        <v>-0.0</v>
      </c>
      <c r="PHG55" s="5">
        <f>-IFERROR('4. NPV'!PHH24/'4. NPV'!PHH$8,0)</f>
        <v>-0.0</v>
      </c>
      <c r="PHH55" s="5">
        <f>-IFERROR('4. NPV'!PHI24/'4. NPV'!PHI$8,0)</f>
        <v>-0.0</v>
      </c>
      <c r="PHI55" s="5">
        <f>-IFERROR('4. NPV'!PHJ24/'4. NPV'!PHJ$8,0)</f>
        <v>-0.0</v>
      </c>
      <c r="PHJ55" s="5">
        <f>-IFERROR('4. NPV'!PHK24/'4. NPV'!PHK$8,0)</f>
        <v>-0.0</v>
      </c>
      <c r="PHK55" s="5">
        <f>-IFERROR('4. NPV'!PHL24/'4. NPV'!PHL$8,0)</f>
        <v>-0.0</v>
      </c>
      <c r="PHL55" s="5">
        <f>-IFERROR('4. NPV'!PHM24/'4. NPV'!PHM$8,0)</f>
        <v>-0.0</v>
      </c>
      <c r="PHM55" s="5">
        <f>-IFERROR('4. NPV'!PHN24/'4. NPV'!PHN$8,0)</f>
        <v>-0.0</v>
      </c>
      <c r="PHN55" s="5">
        <f>-IFERROR('4. NPV'!PHO24/'4. NPV'!PHO$8,0)</f>
        <v>-0.0</v>
      </c>
      <c r="PHO55" s="5">
        <f>-IFERROR('4. NPV'!PHP24/'4. NPV'!PHP$8,0)</f>
        <v>-0.0</v>
      </c>
      <c r="PHP55" s="5">
        <f>-IFERROR('4. NPV'!PHQ24/'4. NPV'!PHQ$8,0)</f>
        <v>-0.0</v>
      </c>
      <c r="PHQ55" s="5">
        <f>-IFERROR('4. NPV'!PHR24/'4. NPV'!PHR$8,0)</f>
        <v>-0.0</v>
      </c>
      <c r="PHR55" s="5">
        <f>-IFERROR('4. NPV'!PHS24/'4. NPV'!PHS$8,0)</f>
        <v>-0.0</v>
      </c>
      <c r="PHS55" s="5">
        <f>-IFERROR('4. NPV'!PHT24/'4. NPV'!PHT$8,0)</f>
        <v>-0.0</v>
      </c>
      <c r="PHT55" s="5">
        <f>-IFERROR('4. NPV'!PHU24/'4. NPV'!PHU$8,0)</f>
        <v>-0.0</v>
      </c>
      <c r="PHU55" s="5">
        <f>-IFERROR('4. NPV'!PHV24/'4. NPV'!PHV$8,0)</f>
        <v>-0.0</v>
      </c>
      <c r="PHV55" s="5">
        <f>-IFERROR('4. NPV'!PHW24/'4. NPV'!PHW$8,0)</f>
        <v>-0.0</v>
      </c>
      <c r="PHW55" s="5">
        <f>-IFERROR('4. NPV'!PHX24/'4. NPV'!PHX$8,0)</f>
        <v>-0.0</v>
      </c>
      <c r="PHX55" s="5">
        <f>-IFERROR('4. NPV'!PHY24/'4. NPV'!PHY$8,0)</f>
        <v>-0.0</v>
      </c>
      <c r="PHY55" s="5">
        <f>-IFERROR('4. NPV'!PHZ24/'4. NPV'!PHZ$8,0)</f>
        <v>-0.0</v>
      </c>
      <c r="PHZ55" s="5">
        <f>-IFERROR('4. NPV'!PIA24/'4. NPV'!PIA$8,0)</f>
        <v>-0.0</v>
      </c>
      <c r="PIA55" s="5">
        <f>-IFERROR('4. NPV'!PIB24/'4. NPV'!PIB$8,0)</f>
        <v>-0.0</v>
      </c>
      <c r="PIB55" s="5">
        <f>-IFERROR('4. NPV'!PIC24/'4. NPV'!PIC$8,0)</f>
        <v>-0.0</v>
      </c>
      <c r="PIC55" s="5">
        <f>-IFERROR('4. NPV'!PID24/'4. NPV'!PID$8,0)</f>
        <v>-0.0</v>
      </c>
      <c r="PID55" s="5">
        <f>-IFERROR('4. NPV'!PIE24/'4. NPV'!PIE$8,0)</f>
        <v>-0.0</v>
      </c>
      <c r="PIE55" s="5">
        <f>-IFERROR('4. NPV'!PIF24/'4. NPV'!PIF$8,0)</f>
        <v>-0.0</v>
      </c>
      <c r="PIF55" s="5">
        <f>-IFERROR('4. NPV'!PIG24/'4. NPV'!PIG$8,0)</f>
        <v>-0.0</v>
      </c>
      <c r="PIG55" s="5">
        <f>-IFERROR('4. NPV'!PIH24/'4. NPV'!PIH$8,0)</f>
        <v>-0.0</v>
      </c>
      <c r="PIH55" s="5">
        <f>-IFERROR('4. NPV'!PII24/'4. NPV'!PII$8,0)</f>
        <v>-0.0</v>
      </c>
      <c r="PII55" s="5">
        <f>-IFERROR('4. NPV'!PIJ24/'4. NPV'!PIJ$8,0)</f>
        <v>-0.0</v>
      </c>
      <c r="PIJ55" s="5">
        <f>-IFERROR('4. NPV'!PIK24/'4. NPV'!PIK$8,0)</f>
        <v>-0.0</v>
      </c>
      <c r="PIK55" s="5">
        <f>-IFERROR('4. NPV'!PIL24/'4. NPV'!PIL$8,0)</f>
        <v>-0.0</v>
      </c>
      <c r="PIL55" s="5">
        <f>-IFERROR('4. NPV'!PIM24/'4. NPV'!PIM$8,0)</f>
        <v>-0.0</v>
      </c>
      <c r="PIM55" s="5">
        <f>-IFERROR('4. NPV'!PIN24/'4. NPV'!PIN$8,0)</f>
        <v>-0.0</v>
      </c>
      <c r="PIN55" s="5">
        <f>-IFERROR('4. NPV'!PIO24/'4. NPV'!PIO$8,0)</f>
        <v>-0.0</v>
      </c>
      <c r="PIO55" s="5">
        <f>-IFERROR('4. NPV'!PIP24/'4. NPV'!PIP$8,0)</f>
        <v>-0.0</v>
      </c>
      <c r="PIP55" s="5">
        <f>-IFERROR('4. NPV'!PIQ24/'4. NPV'!PIQ$8,0)</f>
        <v>-0.0</v>
      </c>
      <c r="PIQ55" s="5">
        <f>-IFERROR('4. NPV'!PIR24/'4. NPV'!PIR$8,0)</f>
        <v>-0.0</v>
      </c>
      <c r="PIR55" s="5">
        <f>-IFERROR('4. NPV'!PIS24/'4. NPV'!PIS$8,0)</f>
        <v>-0.0</v>
      </c>
      <c r="PIS55" s="5">
        <f>-IFERROR('4. NPV'!PIT24/'4. NPV'!PIT$8,0)</f>
        <v>-0.0</v>
      </c>
      <c r="PIT55" s="5">
        <f>-IFERROR('4. NPV'!PIU24/'4. NPV'!PIU$8,0)</f>
        <v>-0.0</v>
      </c>
      <c r="PIU55" s="5">
        <f>-IFERROR('4. NPV'!PIV24/'4. NPV'!PIV$8,0)</f>
        <v>-0.0</v>
      </c>
      <c r="PIV55" s="5">
        <f>-IFERROR('4. NPV'!PIW24/'4. NPV'!PIW$8,0)</f>
        <v>-0.0</v>
      </c>
      <c r="PIW55" s="5">
        <f>-IFERROR('4. NPV'!PIX24/'4. NPV'!PIX$8,0)</f>
        <v>-0.0</v>
      </c>
      <c r="PIX55" s="5">
        <f>-IFERROR('4. NPV'!PIY24/'4. NPV'!PIY$8,0)</f>
        <v>-0.0</v>
      </c>
      <c r="PIY55" s="5">
        <f>-IFERROR('4. NPV'!PIZ24/'4. NPV'!PIZ$8,0)</f>
        <v>-0.0</v>
      </c>
      <c r="PIZ55" s="5">
        <f>-IFERROR('4. NPV'!PJA24/'4. NPV'!PJA$8,0)</f>
        <v>-0.0</v>
      </c>
      <c r="PJA55" s="5">
        <f>-IFERROR('4. NPV'!PJB24/'4. NPV'!PJB$8,0)</f>
        <v>-0.0</v>
      </c>
      <c r="PJB55" s="5">
        <f>-IFERROR('4. NPV'!PJC24/'4. NPV'!PJC$8,0)</f>
        <v>-0.0</v>
      </c>
      <c r="PJC55" s="5">
        <f>-IFERROR('4. NPV'!PJD24/'4. NPV'!PJD$8,0)</f>
        <v>-0.0</v>
      </c>
      <c r="PJD55" s="5">
        <f>-IFERROR('4. NPV'!PJE24/'4. NPV'!PJE$8,0)</f>
        <v>-0.0</v>
      </c>
      <c r="PJE55" s="5">
        <f>-IFERROR('4. NPV'!PJF24/'4. NPV'!PJF$8,0)</f>
        <v>-0.0</v>
      </c>
      <c r="PJF55" s="5">
        <f>-IFERROR('4. NPV'!PJG24/'4. NPV'!PJG$8,0)</f>
        <v>-0.0</v>
      </c>
      <c r="PJG55" s="5">
        <f>-IFERROR('4. NPV'!PJH24/'4. NPV'!PJH$8,0)</f>
        <v>-0.0</v>
      </c>
      <c r="PJH55" s="5">
        <f>-IFERROR('4. NPV'!PJI24/'4. NPV'!PJI$8,0)</f>
        <v>-0.0</v>
      </c>
      <c r="PJI55" s="5">
        <f>-IFERROR('4. NPV'!PJJ24/'4. NPV'!PJJ$8,0)</f>
        <v>-0.0</v>
      </c>
      <c r="PJJ55" s="5">
        <f>-IFERROR('4. NPV'!PJK24/'4. NPV'!PJK$8,0)</f>
        <v>-0.0</v>
      </c>
      <c r="PJK55" s="5">
        <f>-IFERROR('4. NPV'!PJL24/'4. NPV'!PJL$8,0)</f>
        <v>-0.0</v>
      </c>
      <c r="PJL55" s="5">
        <f>-IFERROR('4. NPV'!PJM24/'4. NPV'!PJM$8,0)</f>
        <v>-0.0</v>
      </c>
      <c r="PJM55" s="5">
        <f>-IFERROR('4. NPV'!PJN24/'4. NPV'!PJN$8,0)</f>
        <v>-0.0</v>
      </c>
      <c r="PJN55" s="5">
        <f>-IFERROR('4. NPV'!PJO24/'4. NPV'!PJO$8,0)</f>
        <v>-0.0</v>
      </c>
      <c r="PJO55" s="5">
        <f>-IFERROR('4. NPV'!PJP24/'4. NPV'!PJP$8,0)</f>
        <v>-0.0</v>
      </c>
      <c r="PJP55" s="5">
        <f>-IFERROR('4. NPV'!PJQ24/'4. NPV'!PJQ$8,0)</f>
        <v>-0.0</v>
      </c>
      <c r="PJQ55" s="5">
        <f>-IFERROR('4. NPV'!PJR24/'4. NPV'!PJR$8,0)</f>
        <v>-0.0</v>
      </c>
      <c r="PJR55" s="5">
        <f>-IFERROR('4. NPV'!PJS24/'4. NPV'!PJS$8,0)</f>
        <v>-0.0</v>
      </c>
      <c r="PJS55" s="5">
        <f>-IFERROR('4. NPV'!PJT24/'4. NPV'!PJT$8,0)</f>
        <v>-0.0</v>
      </c>
      <c r="PJT55" s="5">
        <f>-IFERROR('4. NPV'!PJU24/'4. NPV'!PJU$8,0)</f>
        <v>-0.0</v>
      </c>
      <c r="PJU55" s="5">
        <f>-IFERROR('4. NPV'!PJV24/'4. NPV'!PJV$8,0)</f>
        <v>-0.0</v>
      </c>
      <c r="PJV55" s="5">
        <f>-IFERROR('4. NPV'!PJW24/'4. NPV'!PJW$8,0)</f>
        <v>-0.0</v>
      </c>
      <c r="PJW55" s="5">
        <f>-IFERROR('4. NPV'!PJX24/'4. NPV'!PJX$8,0)</f>
        <v>-0.0</v>
      </c>
      <c r="PJX55" s="5">
        <f>-IFERROR('4. NPV'!PJY24/'4. NPV'!PJY$8,0)</f>
        <v>-0.0</v>
      </c>
      <c r="PJY55" s="5">
        <f>-IFERROR('4. NPV'!PJZ24/'4. NPV'!PJZ$8,0)</f>
        <v>-0.0</v>
      </c>
      <c r="PJZ55" s="5">
        <f>-IFERROR('4. NPV'!PKA24/'4. NPV'!PKA$8,0)</f>
        <v>-0.0</v>
      </c>
      <c r="PKA55" s="5">
        <f>-IFERROR('4. NPV'!PKB24/'4. NPV'!PKB$8,0)</f>
        <v>-0.0</v>
      </c>
      <c r="PKB55" s="5">
        <f>-IFERROR('4. NPV'!PKC24/'4. NPV'!PKC$8,0)</f>
        <v>-0.0</v>
      </c>
      <c r="PKC55" s="5">
        <f>-IFERROR('4. NPV'!PKD24/'4. NPV'!PKD$8,0)</f>
        <v>-0.0</v>
      </c>
      <c r="PKD55" s="5">
        <f>-IFERROR('4. NPV'!PKE24/'4. NPV'!PKE$8,0)</f>
        <v>-0.0</v>
      </c>
      <c r="PKE55" s="5">
        <f>-IFERROR('4. NPV'!PKF24/'4. NPV'!PKF$8,0)</f>
        <v>-0.0</v>
      </c>
      <c r="PKF55" s="5">
        <f>-IFERROR('4. NPV'!PKG24/'4. NPV'!PKG$8,0)</f>
        <v>-0.0</v>
      </c>
      <c r="PKG55" s="5">
        <f>-IFERROR('4. NPV'!PKH24/'4. NPV'!PKH$8,0)</f>
        <v>-0.0</v>
      </c>
      <c r="PKH55" s="5">
        <f>-IFERROR('4. NPV'!PKI24/'4. NPV'!PKI$8,0)</f>
        <v>-0.0</v>
      </c>
      <c r="PKI55" s="5">
        <f>-IFERROR('4. NPV'!PKJ24/'4. NPV'!PKJ$8,0)</f>
        <v>-0.0</v>
      </c>
      <c r="PKJ55" s="5">
        <f>-IFERROR('4. NPV'!PKK24/'4. NPV'!PKK$8,0)</f>
        <v>-0.0</v>
      </c>
      <c r="PKK55" s="5">
        <f>-IFERROR('4. NPV'!PKL24/'4. NPV'!PKL$8,0)</f>
        <v>-0.0</v>
      </c>
      <c r="PKL55" s="5">
        <f>-IFERROR('4. NPV'!PKM24/'4. NPV'!PKM$8,0)</f>
        <v>-0.0</v>
      </c>
      <c r="PKM55" s="5">
        <f>-IFERROR('4. NPV'!PKN24/'4. NPV'!PKN$8,0)</f>
        <v>-0.0</v>
      </c>
      <c r="PKN55" s="5">
        <f>-IFERROR('4. NPV'!PKO24/'4. NPV'!PKO$8,0)</f>
        <v>-0.0</v>
      </c>
      <c r="PKO55" s="5">
        <f>-IFERROR('4. NPV'!PKP24/'4. NPV'!PKP$8,0)</f>
        <v>-0.0</v>
      </c>
      <c r="PKP55" s="5">
        <f>-IFERROR('4. NPV'!PKQ24/'4. NPV'!PKQ$8,0)</f>
        <v>-0.0</v>
      </c>
      <c r="PKQ55" s="5">
        <f>-IFERROR('4. NPV'!PKR24/'4. NPV'!PKR$8,0)</f>
        <v>-0.0</v>
      </c>
      <c r="PKR55" s="5">
        <f>-IFERROR('4. NPV'!PKS24/'4. NPV'!PKS$8,0)</f>
        <v>-0.0</v>
      </c>
      <c r="PKS55" s="5">
        <f>-IFERROR('4. NPV'!PKT24/'4. NPV'!PKT$8,0)</f>
        <v>-0.0</v>
      </c>
      <c r="PKT55" s="5">
        <f>-IFERROR('4. NPV'!PKU24/'4. NPV'!PKU$8,0)</f>
        <v>-0.0</v>
      </c>
      <c r="PKU55" s="5">
        <f>-IFERROR('4. NPV'!PKV24/'4. NPV'!PKV$8,0)</f>
        <v>-0.0</v>
      </c>
      <c r="PKV55" s="5">
        <f>-IFERROR('4. NPV'!PKW24/'4. NPV'!PKW$8,0)</f>
        <v>-0.0</v>
      </c>
      <c r="PKW55" s="5">
        <f>-IFERROR('4. NPV'!PKX24/'4. NPV'!PKX$8,0)</f>
        <v>-0.0</v>
      </c>
      <c r="PKX55" s="5">
        <f>-IFERROR('4. NPV'!PKY24/'4. NPV'!PKY$8,0)</f>
        <v>-0.0</v>
      </c>
      <c r="PKY55" s="5">
        <f>-IFERROR('4. NPV'!PKZ24/'4. NPV'!PKZ$8,0)</f>
        <v>-0.0</v>
      </c>
      <c r="PKZ55" s="5">
        <f>-IFERROR('4. NPV'!PLA24/'4. NPV'!PLA$8,0)</f>
        <v>-0.0</v>
      </c>
      <c r="PLA55" s="5">
        <f>-IFERROR('4. NPV'!PLB24/'4. NPV'!PLB$8,0)</f>
        <v>-0.0</v>
      </c>
      <c r="PLB55" s="5">
        <f>-IFERROR('4. NPV'!PLC24/'4. NPV'!PLC$8,0)</f>
        <v>-0.0</v>
      </c>
      <c r="PLC55" s="5">
        <f>-IFERROR('4. NPV'!PLD24/'4. NPV'!PLD$8,0)</f>
        <v>-0.0</v>
      </c>
      <c r="PLD55" s="5">
        <f>-IFERROR('4. NPV'!PLE24/'4. NPV'!PLE$8,0)</f>
        <v>-0.0</v>
      </c>
      <c r="PLE55" s="5">
        <f>-IFERROR('4. NPV'!PLF24/'4. NPV'!PLF$8,0)</f>
        <v>-0.0</v>
      </c>
      <c r="PLF55" s="5">
        <f>-IFERROR('4. NPV'!PLG24/'4. NPV'!PLG$8,0)</f>
        <v>-0.0</v>
      </c>
      <c r="PLG55" s="5">
        <f>-IFERROR('4. NPV'!PLH24/'4. NPV'!PLH$8,0)</f>
        <v>-0.0</v>
      </c>
      <c r="PLH55" s="5">
        <f>-IFERROR('4. NPV'!PLI24/'4. NPV'!PLI$8,0)</f>
        <v>-0.0</v>
      </c>
      <c r="PLI55" s="5">
        <f>-IFERROR('4. NPV'!PLJ24/'4. NPV'!PLJ$8,0)</f>
        <v>-0.0</v>
      </c>
      <c r="PLJ55" s="5">
        <f>-IFERROR('4. NPV'!PLK24/'4. NPV'!PLK$8,0)</f>
        <v>-0.0</v>
      </c>
      <c r="PLK55" s="5">
        <f>-IFERROR('4. NPV'!PLL24/'4. NPV'!PLL$8,0)</f>
        <v>-0.0</v>
      </c>
      <c r="PLL55" s="5">
        <f>-IFERROR('4. NPV'!PLM24/'4. NPV'!PLM$8,0)</f>
        <v>-0.0</v>
      </c>
      <c r="PLM55" s="5">
        <f>-IFERROR('4. NPV'!PLN24/'4. NPV'!PLN$8,0)</f>
        <v>-0.0</v>
      </c>
      <c r="PLN55" s="5">
        <f>-IFERROR('4. NPV'!PLO24/'4. NPV'!PLO$8,0)</f>
        <v>-0.0</v>
      </c>
      <c r="PLO55" s="5">
        <f>-IFERROR('4. NPV'!PLP24/'4. NPV'!PLP$8,0)</f>
        <v>-0.0</v>
      </c>
      <c r="PLP55" s="5">
        <f>-IFERROR('4. NPV'!PLQ24/'4. NPV'!PLQ$8,0)</f>
        <v>-0.0</v>
      </c>
      <c r="PLQ55" s="5">
        <f>-IFERROR('4. NPV'!PLR24/'4. NPV'!PLR$8,0)</f>
        <v>-0.0</v>
      </c>
      <c r="PLR55" s="5">
        <f>-IFERROR('4. NPV'!PLS24/'4. NPV'!PLS$8,0)</f>
        <v>-0.0</v>
      </c>
      <c r="PLS55" s="5">
        <f>-IFERROR('4. NPV'!PLT24/'4. NPV'!PLT$8,0)</f>
        <v>-0.0</v>
      </c>
      <c r="PLT55" s="5">
        <f>-IFERROR('4. NPV'!PLU24/'4. NPV'!PLU$8,0)</f>
        <v>-0.0</v>
      </c>
      <c r="PLU55" s="5">
        <f>-IFERROR('4. NPV'!PLV24/'4. NPV'!PLV$8,0)</f>
        <v>-0.0</v>
      </c>
      <c r="PLV55" s="5">
        <f>-IFERROR('4. NPV'!PLW24/'4. NPV'!PLW$8,0)</f>
        <v>-0.0</v>
      </c>
      <c r="PLW55" s="5">
        <f>-IFERROR('4. NPV'!PLX24/'4. NPV'!PLX$8,0)</f>
        <v>-0.0</v>
      </c>
      <c r="PLX55" s="5">
        <f>-IFERROR('4. NPV'!PLY24/'4. NPV'!PLY$8,0)</f>
        <v>-0.0</v>
      </c>
      <c r="PLY55" s="5">
        <f>-IFERROR('4. NPV'!PLZ24/'4. NPV'!PLZ$8,0)</f>
        <v>-0.0</v>
      </c>
      <c r="PLZ55" s="5">
        <f>-IFERROR('4. NPV'!PMA24/'4. NPV'!PMA$8,0)</f>
        <v>-0.0</v>
      </c>
      <c r="PMA55" s="5">
        <f>-IFERROR('4. NPV'!PMB24/'4. NPV'!PMB$8,0)</f>
        <v>-0.0</v>
      </c>
      <c r="PMB55" s="5">
        <f>-IFERROR('4. NPV'!PMC24/'4. NPV'!PMC$8,0)</f>
        <v>-0.0</v>
      </c>
      <c r="PMC55" s="5">
        <f>-IFERROR('4. NPV'!PMD24/'4. NPV'!PMD$8,0)</f>
        <v>-0.0</v>
      </c>
      <c r="PMD55" s="5">
        <f>-IFERROR('4. NPV'!PME24/'4. NPV'!PME$8,0)</f>
        <v>-0.0</v>
      </c>
      <c r="PME55" s="5">
        <f>-IFERROR('4. NPV'!PMF24/'4. NPV'!PMF$8,0)</f>
        <v>-0.0</v>
      </c>
      <c r="PMF55" s="5">
        <f>-IFERROR('4. NPV'!PMG24/'4. NPV'!PMG$8,0)</f>
        <v>-0.0</v>
      </c>
      <c r="PMG55" s="5">
        <f>-IFERROR('4. NPV'!PMH24/'4. NPV'!PMH$8,0)</f>
        <v>-0.0</v>
      </c>
      <c r="PMH55" s="5">
        <f>-IFERROR('4. NPV'!PMI24/'4. NPV'!PMI$8,0)</f>
        <v>-0.0</v>
      </c>
      <c r="PMI55" s="5">
        <f>-IFERROR('4. NPV'!PMJ24/'4. NPV'!PMJ$8,0)</f>
        <v>-0.0</v>
      </c>
      <c r="PMJ55" s="5">
        <f>-IFERROR('4. NPV'!PMK24/'4. NPV'!PMK$8,0)</f>
        <v>-0.0</v>
      </c>
      <c r="PMK55" s="5">
        <f>-IFERROR('4. NPV'!PML24/'4. NPV'!PML$8,0)</f>
        <v>-0.0</v>
      </c>
      <c r="PML55" s="5">
        <f>-IFERROR('4. NPV'!PMM24/'4. NPV'!PMM$8,0)</f>
        <v>-0.0</v>
      </c>
      <c r="PMM55" s="5">
        <f>-IFERROR('4. NPV'!PMN24/'4. NPV'!PMN$8,0)</f>
        <v>-0.0</v>
      </c>
      <c r="PMN55" s="5">
        <f>-IFERROR('4. NPV'!PMO24/'4. NPV'!PMO$8,0)</f>
        <v>-0.0</v>
      </c>
      <c r="PMO55" s="5">
        <f>-IFERROR('4. NPV'!PMP24/'4. NPV'!PMP$8,0)</f>
        <v>-0.0</v>
      </c>
      <c r="PMP55" s="5">
        <f>-IFERROR('4. NPV'!PMQ24/'4. NPV'!PMQ$8,0)</f>
        <v>-0.0</v>
      </c>
      <c r="PMQ55" s="5">
        <f>-IFERROR('4. NPV'!PMR24/'4. NPV'!PMR$8,0)</f>
        <v>-0.0</v>
      </c>
      <c r="PMR55" s="5">
        <f>-IFERROR('4. NPV'!PMS24/'4. NPV'!PMS$8,0)</f>
        <v>-0.0</v>
      </c>
      <c r="PMS55" s="5">
        <f>-IFERROR('4. NPV'!PMT24/'4. NPV'!PMT$8,0)</f>
        <v>-0.0</v>
      </c>
      <c r="PMT55" s="5">
        <f>-IFERROR('4. NPV'!PMU24/'4. NPV'!PMU$8,0)</f>
        <v>-0.0</v>
      </c>
      <c r="PMU55" s="5">
        <f>-IFERROR('4. NPV'!PMV24/'4. NPV'!PMV$8,0)</f>
        <v>-0.0</v>
      </c>
      <c r="PMV55" s="5">
        <f>-IFERROR('4. NPV'!PMW24/'4. NPV'!PMW$8,0)</f>
        <v>-0.0</v>
      </c>
      <c r="PMW55" s="5">
        <f>-IFERROR('4. NPV'!PMX24/'4. NPV'!PMX$8,0)</f>
        <v>-0.0</v>
      </c>
      <c r="PMX55" s="5">
        <f>-IFERROR('4. NPV'!PMY24/'4. NPV'!PMY$8,0)</f>
        <v>-0.0</v>
      </c>
      <c r="PMY55" s="5">
        <f>-IFERROR('4. NPV'!PMZ24/'4. NPV'!PMZ$8,0)</f>
        <v>-0.0</v>
      </c>
      <c r="PMZ55" s="5">
        <f>-IFERROR('4. NPV'!PNA24/'4. NPV'!PNA$8,0)</f>
        <v>-0.0</v>
      </c>
      <c r="PNA55" s="5">
        <f>-IFERROR('4. NPV'!PNB24/'4. NPV'!PNB$8,0)</f>
        <v>-0.0</v>
      </c>
      <c r="PNB55" s="5">
        <f>-IFERROR('4. NPV'!PNC24/'4. NPV'!PNC$8,0)</f>
        <v>-0.0</v>
      </c>
      <c r="PNC55" s="5">
        <f>-IFERROR('4. NPV'!PND24/'4. NPV'!PND$8,0)</f>
        <v>-0.0</v>
      </c>
      <c r="PND55" s="5">
        <f>-IFERROR('4. NPV'!PNE24/'4. NPV'!PNE$8,0)</f>
        <v>-0.0</v>
      </c>
      <c r="PNE55" s="5">
        <f>-IFERROR('4. NPV'!PNF24/'4. NPV'!PNF$8,0)</f>
        <v>-0.0</v>
      </c>
      <c r="PNF55" s="5">
        <f>-IFERROR('4. NPV'!PNG24/'4. NPV'!PNG$8,0)</f>
        <v>-0.0</v>
      </c>
      <c r="PNG55" s="5">
        <f>-IFERROR('4. NPV'!PNH24/'4. NPV'!PNH$8,0)</f>
        <v>-0.0</v>
      </c>
      <c r="PNH55" s="5">
        <f>-IFERROR('4. NPV'!PNI24/'4. NPV'!PNI$8,0)</f>
        <v>-0.0</v>
      </c>
      <c r="PNI55" s="5">
        <f>-IFERROR('4. NPV'!PNJ24/'4. NPV'!PNJ$8,0)</f>
        <v>-0.0</v>
      </c>
      <c r="PNJ55" s="5">
        <f>-IFERROR('4. NPV'!PNK24/'4. NPV'!PNK$8,0)</f>
        <v>-0.0</v>
      </c>
      <c r="PNK55" s="5">
        <f>-IFERROR('4. NPV'!PNL24/'4. NPV'!PNL$8,0)</f>
        <v>-0.0</v>
      </c>
      <c r="PNL55" s="5">
        <f>-IFERROR('4. NPV'!PNM24/'4. NPV'!PNM$8,0)</f>
        <v>-0.0</v>
      </c>
      <c r="PNM55" s="5">
        <f>-IFERROR('4. NPV'!PNN24/'4. NPV'!PNN$8,0)</f>
        <v>-0.0</v>
      </c>
      <c r="PNN55" s="5">
        <f>-IFERROR('4. NPV'!PNO24/'4. NPV'!PNO$8,0)</f>
        <v>-0.0</v>
      </c>
      <c r="PNO55" s="5">
        <f>-IFERROR('4. NPV'!PNP24/'4. NPV'!PNP$8,0)</f>
        <v>-0.0</v>
      </c>
      <c r="PNP55" s="5">
        <f>-IFERROR('4. NPV'!PNQ24/'4. NPV'!PNQ$8,0)</f>
        <v>-0.0</v>
      </c>
      <c r="PNQ55" s="5">
        <f>-IFERROR('4. NPV'!PNR24/'4. NPV'!PNR$8,0)</f>
        <v>-0.0</v>
      </c>
      <c r="PNR55" s="5">
        <f>-IFERROR('4. NPV'!PNS24/'4. NPV'!PNS$8,0)</f>
        <v>-0.0</v>
      </c>
      <c r="PNS55" s="5">
        <f>-IFERROR('4. NPV'!PNT24/'4. NPV'!PNT$8,0)</f>
        <v>-0.0</v>
      </c>
      <c r="PNT55" s="5">
        <f>-IFERROR('4. NPV'!PNU24/'4. NPV'!PNU$8,0)</f>
        <v>-0.0</v>
      </c>
      <c r="PNU55" s="5">
        <f>-IFERROR('4. NPV'!PNV24/'4. NPV'!PNV$8,0)</f>
        <v>-0.0</v>
      </c>
      <c r="PNV55" s="5">
        <f>-IFERROR('4. NPV'!PNW24/'4. NPV'!PNW$8,0)</f>
        <v>-0.0</v>
      </c>
      <c r="PNW55" s="5">
        <f>-IFERROR('4. NPV'!PNX24/'4. NPV'!PNX$8,0)</f>
        <v>-0.0</v>
      </c>
      <c r="PNX55" s="5">
        <f>-IFERROR('4. NPV'!PNY24/'4. NPV'!PNY$8,0)</f>
        <v>-0.0</v>
      </c>
      <c r="PNY55" s="5">
        <f>-IFERROR('4. NPV'!PNZ24/'4. NPV'!PNZ$8,0)</f>
        <v>-0.0</v>
      </c>
      <c r="PNZ55" s="5">
        <f>-IFERROR('4. NPV'!POA24/'4. NPV'!POA$8,0)</f>
        <v>-0.0</v>
      </c>
      <c r="POA55" s="5">
        <f>-IFERROR('4. NPV'!POB24/'4. NPV'!POB$8,0)</f>
        <v>-0.0</v>
      </c>
      <c r="POB55" s="5">
        <f>-IFERROR('4. NPV'!POC24/'4. NPV'!POC$8,0)</f>
        <v>-0.0</v>
      </c>
      <c r="POC55" s="5">
        <f>-IFERROR('4. NPV'!POD24/'4. NPV'!POD$8,0)</f>
        <v>-0.0</v>
      </c>
      <c r="POD55" s="5">
        <f>-IFERROR('4. NPV'!POE24/'4. NPV'!POE$8,0)</f>
        <v>-0.0</v>
      </c>
      <c r="POE55" s="5">
        <f>-IFERROR('4. NPV'!POF24/'4. NPV'!POF$8,0)</f>
        <v>-0.0</v>
      </c>
      <c r="POF55" s="5">
        <f>-IFERROR('4. NPV'!POG24/'4. NPV'!POG$8,0)</f>
        <v>-0.0</v>
      </c>
      <c r="POG55" s="5">
        <f>-IFERROR('4. NPV'!POH24/'4. NPV'!POH$8,0)</f>
        <v>-0.0</v>
      </c>
      <c r="POH55" s="5">
        <f>-IFERROR('4. NPV'!POI24/'4. NPV'!POI$8,0)</f>
        <v>-0.0</v>
      </c>
      <c r="POI55" s="5">
        <f>-IFERROR('4. NPV'!POJ24/'4. NPV'!POJ$8,0)</f>
        <v>-0.0</v>
      </c>
      <c r="POJ55" s="5">
        <f>-IFERROR('4. NPV'!POK24/'4. NPV'!POK$8,0)</f>
        <v>-0.0</v>
      </c>
      <c r="POK55" s="5">
        <f>-IFERROR('4. NPV'!POL24/'4. NPV'!POL$8,0)</f>
        <v>-0.0</v>
      </c>
      <c r="POL55" s="5">
        <f>-IFERROR('4. NPV'!POM24/'4. NPV'!POM$8,0)</f>
        <v>-0.0</v>
      </c>
      <c r="POM55" s="5">
        <f>-IFERROR('4. NPV'!PON24/'4. NPV'!PON$8,0)</f>
        <v>-0.0</v>
      </c>
      <c r="PON55" s="5">
        <f>-IFERROR('4. NPV'!POO24/'4. NPV'!POO$8,0)</f>
        <v>-0.0</v>
      </c>
      <c r="POO55" s="5">
        <f>-IFERROR('4. NPV'!POP24/'4. NPV'!POP$8,0)</f>
        <v>-0.0</v>
      </c>
      <c r="POP55" s="5">
        <f>-IFERROR('4. NPV'!POQ24/'4. NPV'!POQ$8,0)</f>
        <v>-0.0</v>
      </c>
      <c r="POQ55" s="5">
        <f>-IFERROR('4. NPV'!POR24/'4. NPV'!POR$8,0)</f>
        <v>-0.0</v>
      </c>
      <c r="POR55" s="5">
        <f>-IFERROR('4. NPV'!POS24/'4. NPV'!POS$8,0)</f>
        <v>-0.0</v>
      </c>
      <c r="POS55" s="5">
        <f>-IFERROR('4. NPV'!POT24/'4. NPV'!POT$8,0)</f>
        <v>-0.0</v>
      </c>
      <c r="POT55" s="5">
        <f>-IFERROR('4. NPV'!POU24/'4. NPV'!POU$8,0)</f>
        <v>-0.0</v>
      </c>
      <c r="POU55" s="5">
        <f>-IFERROR('4. NPV'!POV24/'4. NPV'!POV$8,0)</f>
        <v>-0.0</v>
      </c>
      <c r="POV55" s="5">
        <f>-IFERROR('4. NPV'!POW24/'4. NPV'!POW$8,0)</f>
        <v>-0.0</v>
      </c>
      <c r="POW55" s="5">
        <f>-IFERROR('4. NPV'!POX24/'4. NPV'!POX$8,0)</f>
        <v>-0.0</v>
      </c>
      <c r="POX55" s="5">
        <f>-IFERROR('4. NPV'!POY24/'4. NPV'!POY$8,0)</f>
        <v>-0.0</v>
      </c>
      <c r="POY55" s="5">
        <f>-IFERROR('4. NPV'!POZ24/'4. NPV'!POZ$8,0)</f>
        <v>-0.0</v>
      </c>
      <c r="POZ55" s="5">
        <f>-IFERROR('4. NPV'!PPA24/'4. NPV'!PPA$8,0)</f>
        <v>-0.0</v>
      </c>
      <c r="PPA55" s="5">
        <f>-IFERROR('4. NPV'!PPB24/'4. NPV'!PPB$8,0)</f>
        <v>-0.0</v>
      </c>
      <c r="PPB55" s="5">
        <f>-IFERROR('4. NPV'!PPC24/'4. NPV'!PPC$8,0)</f>
        <v>-0.0</v>
      </c>
      <c r="PPC55" s="5">
        <f>-IFERROR('4. NPV'!PPD24/'4. NPV'!PPD$8,0)</f>
        <v>-0.0</v>
      </c>
      <c r="PPD55" s="5">
        <f>-IFERROR('4. NPV'!PPE24/'4. NPV'!PPE$8,0)</f>
        <v>-0.0</v>
      </c>
      <c r="PPE55" s="5">
        <f>-IFERROR('4. NPV'!PPF24/'4. NPV'!PPF$8,0)</f>
        <v>-0.0</v>
      </c>
      <c r="PPF55" s="5">
        <f>-IFERROR('4. NPV'!PPG24/'4. NPV'!PPG$8,0)</f>
        <v>-0.0</v>
      </c>
      <c r="PPG55" s="5">
        <f>-IFERROR('4. NPV'!PPH24/'4. NPV'!PPH$8,0)</f>
        <v>-0.0</v>
      </c>
      <c r="PPH55" s="5">
        <f>-IFERROR('4. NPV'!PPI24/'4. NPV'!PPI$8,0)</f>
        <v>-0.0</v>
      </c>
      <c r="PPI55" s="5">
        <f>-IFERROR('4. NPV'!PPJ24/'4. NPV'!PPJ$8,0)</f>
        <v>-0.0</v>
      </c>
      <c r="PPJ55" s="5">
        <f>-IFERROR('4. NPV'!PPK24/'4. NPV'!PPK$8,0)</f>
        <v>-0.0</v>
      </c>
      <c r="PPK55" s="5">
        <f>-IFERROR('4. NPV'!PPL24/'4. NPV'!PPL$8,0)</f>
        <v>-0.0</v>
      </c>
      <c r="PPL55" s="5">
        <f>-IFERROR('4. NPV'!PPM24/'4. NPV'!PPM$8,0)</f>
        <v>-0.0</v>
      </c>
      <c r="PPM55" s="5">
        <f>-IFERROR('4. NPV'!PPN24/'4. NPV'!PPN$8,0)</f>
        <v>-0.0</v>
      </c>
      <c r="PPN55" s="5">
        <f>-IFERROR('4. NPV'!PPO24/'4. NPV'!PPO$8,0)</f>
        <v>-0.0</v>
      </c>
      <c r="PPO55" s="5">
        <f>-IFERROR('4. NPV'!PPP24/'4. NPV'!PPP$8,0)</f>
        <v>-0.0</v>
      </c>
      <c r="PPP55" s="5">
        <f>-IFERROR('4. NPV'!PPQ24/'4. NPV'!PPQ$8,0)</f>
        <v>-0.0</v>
      </c>
      <c r="PPQ55" s="5">
        <f>-IFERROR('4. NPV'!PPR24/'4. NPV'!PPR$8,0)</f>
        <v>-0.0</v>
      </c>
      <c r="PPR55" s="5">
        <f>-IFERROR('4. NPV'!PPS24/'4. NPV'!PPS$8,0)</f>
        <v>-0.0</v>
      </c>
      <c r="PPS55" s="5">
        <f>-IFERROR('4. NPV'!PPT24/'4. NPV'!PPT$8,0)</f>
        <v>-0.0</v>
      </c>
      <c r="PPT55" s="5">
        <f>-IFERROR('4. NPV'!PPU24/'4. NPV'!PPU$8,0)</f>
        <v>-0.0</v>
      </c>
      <c r="PPU55" s="5">
        <f>-IFERROR('4. NPV'!PPV24/'4. NPV'!PPV$8,0)</f>
        <v>-0.0</v>
      </c>
      <c r="PPV55" s="5">
        <f>-IFERROR('4. NPV'!PPW24/'4. NPV'!PPW$8,0)</f>
        <v>-0.0</v>
      </c>
      <c r="PPW55" s="5">
        <f>-IFERROR('4. NPV'!PPX24/'4. NPV'!PPX$8,0)</f>
        <v>-0.0</v>
      </c>
      <c r="PPX55" s="5">
        <f>-IFERROR('4. NPV'!PPY24/'4. NPV'!PPY$8,0)</f>
        <v>-0.0</v>
      </c>
      <c r="PPY55" s="5">
        <f>-IFERROR('4. NPV'!PPZ24/'4. NPV'!PPZ$8,0)</f>
        <v>-0.0</v>
      </c>
      <c r="PPZ55" s="5">
        <f>-IFERROR('4. NPV'!PQA24/'4. NPV'!PQA$8,0)</f>
        <v>-0.0</v>
      </c>
      <c r="PQA55" s="5">
        <f>-IFERROR('4. NPV'!PQB24/'4. NPV'!PQB$8,0)</f>
        <v>-0.0</v>
      </c>
      <c r="PQB55" s="5">
        <f>-IFERROR('4. NPV'!PQC24/'4. NPV'!PQC$8,0)</f>
        <v>-0.0</v>
      </c>
      <c r="PQC55" s="5">
        <f>-IFERROR('4. NPV'!PQD24/'4. NPV'!PQD$8,0)</f>
        <v>-0.0</v>
      </c>
      <c r="PQD55" s="5">
        <f>-IFERROR('4. NPV'!PQE24/'4. NPV'!PQE$8,0)</f>
        <v>-0.0</v>
      </c>
      <c r="PQE55" s="5">
        <f>-IFERROR('4. NPV'!PQF24/'4. NPV'!PQF$8,0)</f>
        <v>-0.0</v>
      </c>
      <c r="PQF55" s="5">
        <f>-IFERROR('4. NPV'!PQG24/'4. NPV'!PQG$8,0)</f>
        <v>-0.0</v>
      </c>
      <c r="PQG55" s="5">
        <f>-IFERROR('4. NPV'!PQH24/'4. NPV'!PQH$8,0)</f>
        <v>-0.0</v>
      </c>
      <c r="PQH55" s="5">
        <f>-IFERROR('4. NPV'!PQI24/'4. NPV'!PQI$8,0)</f>
        <v>-0.0</v>
      </c>
      <c r="PQI55" s="5">
        <f>-IFERROR('4. NPV'!PQJ24/'4. NPV'!PQJ$8,0)</f>
        <v>-0.0</v>
      </c>
      <c r="PQJ55" s="5">
        <f>-IFERROR('4. NPV'!PQK24/'4. NPV'!PQK$8,0)</f>
        <v>-0.0</v>
      </c>
      <c r="PQK55" s="5">
        <f>-IFERROR('4. NPV'!PQL24/'4. NPV'!PQL$8,0)</f>
        <v>-0.0</v>
      </c>
      <c r="PQL55" s="5">
        <f>-IFERROR('4. NPV'!PQM24/'4. NPV'!PQM$8,0)</f>
        <v>-0.0</v>
      </c>
      <c r="PQM55" s="5">
        <f>-IFERROR('4. NPV'!PQN24/'4. NPV'!PQN$8,0)</f>
        <v>-0.0</v>
      </c>
      <c r="PQN55" s="5">
        <f>-IFERROR('4. NPV'!PQO24/'4. NPV'!PQO$8,0)</f>
        <v>-0.0</v>
      </c>
      <c r="PQO55" s="5">
        <f>-IFERROR('4. NPV'!PQP24/'4. NPV'!PQP$8,0)</f>
        <v>-0.0</v>
      </c>
      <c r="PQP55" s="5">
        <f>-IFERROR('4. NPV'!PQQ24/'4. NPV'!PQQ$8,0)</f>
        <v>-0.0</v>
      </c>
      <c r="PQQ55" s="5">
        <f>-IFERROR('4. NPV'!PQR24/'4. NPV'!PQR$8,0)</f>
        <v>-0.0</v>
      </c>
      <c r="PQR55" s="5">
        <f>-IFERROR('4. NPV'!PQS24/'4. NPV'!PQS$8,0)</f>
        <v>-0.0</v>
      </c>
      <c r="PQS55" s="5">
        <f>-IFERROR('4. NPV'!PQT24/'4. NPV'!PQT$8,0)</f>
        <v>-0.0</v>
      </c>
      <c r="PQT55" s="5">
        <f>-IFERROR('4. NPV'!PQU24/'4. NPV'!PQU$8,0)</f>
        <v>-0.0</v>
      </c>
      <c r="PQU55" s="5">
        <f>-IFERROR('4. NPV'!PQV24/'4. NPV'!PQV$8,0)</f>
        <v>-0.0</v>
      </c>
      <c r="PQV55" s="5">
        <f>-IFERROR('4. NPV'!PQW24/'4. NPV'!PQW$8,0)</f>
        <v>-0.0</v>
      </c>
      <c r="PQW55" s="5">
        <f>-IFERROR('4. NPV'!PQX24/'4. NPV'!PQX$8,0)</f>
        <v>-0.0</v>
      </c>
      <c r="PQX55" s="5">
        <f>-IFERROR('4. NPV'!PQY24/'4. NPV'!PQY$8,0)</f>
        <v>-0.0</v>
      </c>
      <c r="PQY55" s="5">
        <f>-IFERROR('4. NPV'!PQZ24/'4. NPV'!PQZ$8,0)</f>
        <v>-0.0</v>
      </c>
      <c r="PQZ55" s="5">
        <f>-IFERROR('4. NPV'!PRA24/'4. NPV'!PRA$8,0)</f>
        <v>-0.0</v>
      </c>
      <c r="PRA55" s="5">
        <f>-IFERROR('4. NPV'!PRB24/'4. NPV'!PRB$8,0)</f>
        <v>-0.0</v>
      </c>
      <c r="PRB55" s="5">
        <f>-IFERROR('4. NPV'!PRC24/'4. NPV'!PRC$8,0)</f>
        <v>-0.0</v>
      </c>
      <c r="PRC55" s="5">
        <f>-IFERROR('4. NPV'!PRD24/'4. NPV'!PRD$8,0)</f>
        <v>-0.0</v>
      </c>
      <c r="PRD55" s="5">
        <f>-IFERROR('4. NPV'!PRE24/'4. NPV'!PRE$8,0)</f>
        <v>-0.0</v>
      </c>
      <c r="PRE55" s="5">
        <f>-IFERROR('4. NPV'!PRF24/'4. NPV'!PRF$8,0)</f>
        <v>-0.0</v>
      </c>
      <c r="PRF55" s="5">
        <f>-IFERROR('4. NPV'!PRG24/'4. NPV'!PRG$8,0)</f>
        <v>-0.0</v>
      </c>
      <c r="PRG55" s="5">
        <f>-IFERROR('4. NPV'!PRH24/'4. NPV'!PRH$8,0)</f>
        <v>-0.0</v>
      </c>
      <c r="PRH55" s="5">
        <f>-IFERROR('4. NPV'!PRI24/'4. NPV'!PRI$8,0)</f>
        <v>-0.0</v>
      </c>
      <c r="PRI55" s="5">
        <f>-IFERROR('4. NPV'!PRJ24/'4. NPV'!PRJ$8,0)</f>
        <v>-0.0</v>
      </c>
      <c r="PRJ55" s="5">
        <f>-IFERROR('4. NPV'!PRK24/'4. NPV'!PRK$8,0)</f>
        <v>-0.0</v>
      </c>
      <c r="PRK55" s="5">
        <f>-IFERROR('4. NPV'!PRL24/'4. NPV'!PRL$8,0)</f>
        <v>-0.0</v>
      </c>
      <c r="PRL55" s="5">
        <f>-IFERROR('4. NPV'!PRM24/'4. NPV'!PRM$8,0)</f>
        <v>-0.0</v>
      </c>
      <c r="PRM55" s="5">
        <f>-IFERROR('4. NPV'!PRN24/'4. NPV'!PRN$8,0)</f>
        <v>-0.0</v>
      </c>
      <c r="PRN55" s="5">
        <f>-IFERROR('4. NPV'!PRO24/'4. NPV'!PRO$8,0)</f>
        <v>-0.0</v>
      </c>
      <c r="PRO55" s="5">
        <f>-IFERROR('4. NPV'!PRP24/'4. NPV'!PRP$8,0)</f>
        <v>-0.0</v>
      </c>
      <c r="PRP55" s="5">
        <f>-IFERROR('4. NPV'!PRQ24/'4. NPV'!PRQ$8,0)</f>
        <v>-0.0</v>
      </c>
      <c r="PRQ55" s="5">
        <f>-IFERROR('4. NPV'!PRR24/'4. NPV'!PRR$8,0)</f>
        <v>-0.0</v>
      </c>
      <c r="PRR55" s="5">
        <f>-IFERROR('4. NPV'!PRS24/'4. NPV'!PRS$8,0)</f>
        <v>-0.0</v>
      </c>
      <c r="PRS55" s="5">
        <f>-IFERROR('4. NPV'!PRT24/'4. NPV'!PRT$8,0)</f>
        <v>-0.0</v>
      </c>
      <c r="PRT55" s="5">
        <f>-IFERROR('4. NPV'!PRU24/'4. NPV'!PRU$8,0)</f>
        <v>-0.0</v>
      </c>
      <c r="PRU55" s="5">
        <f>-IFERROR('4. NPV'!PRV24/'4. NPV'!PRV$8,0)</f>
        <v>-0.0</v>
      </c>
      <c r="PRV55" s="5">
        <f>-IFERROR('4. NPV'!PRW24/'4. NPV'!PRW$8,0)</f>
        <v>-0.0</v>
      </c>
      <c r="PRW55" s="5">
        <f>-IFERROR('4. NPV'!PRX24/'4. NPV'!PRX$8,0)</f>
        <v>-0.0</v>
      </c>
      <c r="PRX55" s="5">
        <f>-IFERROR('4. NPV'!PRY24/'4. NPV'!PRY$8,0)</f>
        <v>-0.0</v>
      </c>
      <c r="PRY55" s="5">
        <f>-IFERROR('4. NPV'!PRZ24/'4. NPV'!PRZ$8,0)</f>
        <v>-0.0</v>
      </c>
      <c r="PRZ55" s="5">
        <f>-IFERROR('4. NPV'!PSA24/'4. NPV'!PSA$8,0)</f>
        <v>-0.0</v>
      </c>
      <c r="PSA55" s="5">
        <f>-IFERROR('4. NPV'!PSB24/'4. NPV'!PSB$8,0)</f>
        <v>-0.0</v>
      </c>
      <c r="PSB55" s="5">
        <f>-IFERROR('4. NPV'!PSC24/'4. NPV'!PSC$8,0)</f>
        <v>-0.0</v>
      </c>
      <c r="PSC55" s="5">
        <f>-IFERROR('4. NPV'!PSD24/'4. NPV'!PSD$8,0)</f>
        <v>-0.0</v>
      </c>
      <c r="PSD55" s="5">
        <f>-IFERROR('4. NPV'!PSE24/'4. NPV'!PSE$8,0)</f>
        <v>-0.0</v>
      </c>
      <c r="PSE55" s="5">
        <f>-IFERROR('4. NPV'!PSF24/'4. NPV'!PSF$8,0)</f>
        <v>-0.0</v>
      </c>
      <c r="PSF55" s="5">
        <f>-IFERROR('4. NPV'!PSG24/'4. NPV'!PSG$8,0)</f>
        <v>-0.0</v>
      </c>
      <c r="PSG55" s="5">
        <f>-IFERROR('4. NPV'!PSH24/'4. NPV'!PSH$8,0)</f>
        <v>-0.0</v>
      </c>
      <c r="PSH55" s="5">
        <f>-IFERROR('4. NPV'!PSI24/'4. NPV'!PSI$8,0)</f>
        <v>-0.0</v>
      </c>
      <c r="PSI55" s="5">
        <f>-IFERROR('4. NPV'!PSJ24/'4. NPV'!PSJ$8,0)</f>
        <v>-0.0</v>
      </c>
      <c r="PSJ55" s="5">
        <f>-IFERROR('4. NPV'!PSK24/'4. NPV'!PSK$8,0)</f>
        <v>-0.0</v>
      </c>
      <c r="PSK55" s="5">
        <f>-IFERROR('4. NPV'!PSL24/'4. NPV'!PSL$8,0)</f>
        <v>-0.0</v>
      </c>
      <c r="PSL55" s="5">
        <f>-IFERROR('4. NPV'!PSM24/'4. NPV'!PSM$8,0)</f>
        <v>-0.0</v>
      </c>
      <c r="PSM55" s="5">
        <f>-IFERROR('4. NPV'!PSN24/'4. NPV'!PSN$8,0)</f>
        <v>-0.0</v>
      </c>
      <c r="PSN55" s="5">
        <f>-IFERROR('4. NPV'!PSO24/'4. NPV'!PSO$8,0)</f>
        <v>-0.0</v>
      </c>
      <c r="PSO55" s="5">
        <f>-IFERROR('4. NPV'!PSP24/'4. NPV'!PSP$8,0)</f>
        <v>-0.0</v>
      </c>
      <c r="PSP55" s="5">
        <f>-IFERROR('4. NPV'!PSQ24/'4. NPV'!PSQ$8,0)</f>
        <v>-0.0</v>
      </c>
      <c r="PSQ55" s="5">
        <f>-IFERROR('4. NPV'!PSR24/'4. NPV'!PSR$8,0)</f>
        <v>-0.0</v>
      </c>
      <c r="PSR55" s="5">
        <f>-IFERROR('4. NPV'!PSS24/'4. NPV'!PSS$8,0)</f>
        <v>-0.0</v>
      </c>
      <c r="PSS55" s="5">
        <f>-IFERROR('4. NPV'!PST24/'4. NPV'!PST$8,0)</f>
        <v>-0.0</v>
      </c>
      <c r="PST55" s="5">
        <f>-IFERROR('4. NPV'!PSU24/'4. NPV'!PSU$8,0)</f>
        <v>-0.0</v>
      </c>
      <c r="PSU55" s="5">
        <f>-IFERROR('4. NPV'!PSV24/'4. NPV'!PSV$8,0)</f>
        <v>-0.0</v>
      </c>
      <c r="PSV55" s="5">
        <f>-IFERROR('4. NPV'!PSW24/'4. NPV'!PSW$8,0)</f>
        <v>-0.0</v>
      </c>
      <c r="PSW55" s="5">
        <f>-IFERROR('4. NPV'!PSX24/'4. NPV'!PSX$8,0)</f>
        <v>-0.0</v>
      </c>
      <c r="PSX55" s="5">
        <f>-IFERROR('4. NPV'!PSY24/'4. NPV'!PSY$8,0)</f>
        <v>-0.0</v>
      </c>
      <c r="PSY55" s="5">
        <f>-IFERROR('4. NPV'!PSZ24/'4. NPV'!PSZ$8,0)</f>
        <v>-0.0</v>
      </c>
      <c r="PSZ55" s="5">
        <f>-IFERROR('4. NPV'!PTA24/'4. NPV'!PTA$8,0)</f>
        <v>-0.0</v>
      </c>
      <c r="PTA55" s="5">
        <f>-IFERROR('4. NPV'!PTB24/'4. NPV'!PTB$8,0)</f>
        <v>-0.0</v>
      </c>
      <c r="PTB55" s="5">
        <f>-IFERROR('4. NPV'!PTC24/'4. NPV'!PTC$8,0)</f>
        <v>-0.0</v>
      </c>
      <c r="PTC55" s="5">
        <f>-IFERROR('4. NPV'!PTD24/'4. NPV'!PTD$8,0)</f>
        <v>-0.0</v>
      </c>
      <c r="PTD55" s="5">
        <f>-IFERROR('4. NPV'!PTE24/'4. NPV'!PTE$8,0)</f>
        <v>-0.0</v>
      </c>
      <c r="PTE55" s="5">
        <f>-IFERROR('4. NPV'!PTF24/'4. NPV'!PTF$8,0)</f>
        <v>-0.0</v>
      </c>
      <c r="PTF55" s="5">
        <f>-IFERROR('4. NPV'!PTG24/'4. NPV'!PTG$8,0)</f>
        <v>-0.0</v>
      </c>
      <c r="PTG55" s="5">
        <f>-IFERROR('4. NPV'!PTH24/'4. NPV'!PTH$8,0)</f>
        <v>-0.0</v>
      </c>
      <c r="PTH55" s="5">
        <f>-IFERROR('4. NPV'!PTI24/'4. NPV'!PTI$8,0)</f>
        <v>-0.0</v>
      </c>
      <c r="PTI55" s="5">
        <f>-IFERROR('4. NPV'!PTJ24/'4. NPV'!PTJ$8,0)</f>
        <v>-0.0</v>
      </c>
      <c r="PTJ55" s="5">
        <f>-IFERROR('4. NPV'!PTK24/'4. NPV'!PTK$8,0)</f>
        <v>-0.0</v>
      </c>
      <c r="PTK55" s="5">
        <f>-IFERROR('4. NPV'!PTL24/'4. NPV'!PTL$8,0)</f>
        <v>-0.0</v>
      </c>
      <c r="PTL55" s="5">
        <f>-IFERROR('4. NPV'!PTM24/'4. NPV'!PTM$8,0)</f>
        <v>-0.0</v>
      </c>
      <c r="PTM55" s="5">
        <f>-IFERROR('4. NPV'!PTN24/'4. NPV'!PTN$8,0)</f>
        <v>-0.0</v>
      </c>
      <c r="PTN55" s="5">
        <f>-IFERROR('4. NPV'!PTO24/'4. NPV'!PTO$8,0)</f>
        <v>-0.0</v>
      </c>
      <c r="PTO55" s="5">
        <f>-IFERROR('4. NPV'!PTP24/'4. NPV'!PTP$8,0)</f>
        <v>-0.0</v>
      </c>
      <c r="PTP55" s="5">
        <f>-IFERROR('4. NPV'!PTQ24/'4. NPV'!PTQ$8,0)</f>
        <v>-0.0</v>
      </c>
      <c r="PTQ55" s="5">
        <f>-IFERROR('4. NPV'!PTR24/'4. NPV'!PTR$8,0)</f>
        <v>-0.0</v>
      </c>
      <c r="PTR55" s="5">
        <f>-IFERROR('4. NPV'!PTS24/'4. NPV'!PTS$8,0)</f>
        <v>-0.0</v>
      </c>
      <c r="PTS55" s="5">
        <f>-IFERROR('4. NPV'!PTT24/'4. NPV'!PTT$8,0)</f>
        <v>-0.0</v>
      </c>
      <c r="PTT55" s="5">
        <f>-IFERROR('4. NPV'!PTU24/'4. NPV'!PTU$8,0)</f>
        <v>-0.0</v>
      </c>
      <c r="PTU55" s="5">
        <f>-IFERROR('4. NPV'!PTV24/'4. NPV'!PTV$8,0)</f>
        <v>-0.0</v>
      </c>
      <c r="PTV55" s="5">
        <f>-IFERROR('4. NPV'!PTW24/'4. NPV'!PTW$8,0)</f>
        <v>-0.0</v>
      </c>
      <c r="PTW55" s="5">
        <f>-IFERROR('4. NPV'!PTX24/'4. NPV'!PTX$8,0)</f>
        <v>-0.0</v>
      </c>
      <c r="PTX55" s="5">
        <f>-IFERROR('4. NPV'!PTY24/'4. NPV'!PTY$8,0)</f>
        <v>-0.0</v>
      </c>
      <c r="PTY55" s="5">
        <f>-IFERROR('4. NPV'!PTZ24/'4. NPV'!PTZ$8,0)</f>
        <v>-0.0</v>
      </c>
      <c r="PTZ55" s="5">
        <f>-IFERROR('4. NPV'!PUA24/'4. NPV'!PUA$8,0)</f>
        <v>-0.0</v>
      </c>
      <c r="PUA55" s="5">
        <f>-IFERROR('4. NPV'!PUB24/'4. NPV'!PUB$8,0)</f>
        <v>-0.0</v>
      </c>
      <c r="PUB55" s="5">
        <f>-IFERROR('4. NPV'!PUC24/'4. NPV'!PUC$8,0)</f>
        <v>-0.0</v>
      </c>
      <c r="PUC55" s="5">
        <f>-IFERROR('4. NPV'!PUD24/'4. NPV'!PUD$8,0)</f>
        <v>-0.0</v>
      </c>
      <c r="PUD55" s="5">
        <f>-IFERROR('4. NPV'!PUE24/'4. NPV'!PUE$8,0)</f>
        <v>-0.0</v>
      </c>
      <c r="PUE55" s="5">
        <f>-IFERROR('4. NPV'!PUF24/'4. NPV'!PUF$8,0)</f>
        <v>-0.0</v>
      </c>
      <c r="PUF55" s="5">
        <f>-IFERROR('4. NPV'!PUG24/'4. NPV'!PUG$8,0)</f>
        <v>-0.0</v>
      </c>
      <c r="PUG55" s="5">
        <f>-IFERROR('4. NPV'!PUH24/'4. NPV'!PUH$8,0)</f>
        <v>-0.0</v>
      </c>
      <c r="PUH55" s="5">
        <f>-IFERROR('4. NPV'!PUI24/'4. NPV'!PUI$8,0)</f>
        <v>-0.0</v>
      </c>
      <c r="PUI55" s="5">
        <f>-IFERROR('4. NPV'!PUJ24/'4. NPV'!PUJ$8,0)</f>
        <v>-0.0</v>
      </c>
      <c r="PUJ55" s="5">
        <f>-IFERROR('4. NPV'!PUK24/'4. NPV'!PUK$8,0)</f>
        <v>-0.0</v>
      </c>
      <c r="PUK55" s="5">
        <f>-IFERROR('4. NPV'!PUL24/'4. NPV'!PUL$8,0)</f>
        <v>-0.0</v>
      </c>
      <c r="PUL55" s="5">
        <f>-IFERROR('4. NPV'!PUM24/'4. NPV'!PUM$8,0)</f>
        <v>-0.0</v>
      </c>
      <c r="PUM55" s="5">
        <f>-IFERROR('4. NPV'!PUN24/'4. NPV'!PUN$8,0)</f>
        <v>-0.0</v>
      </c>
      <c r="PUN55" s="5">
        <f>-IFERROR('4. NPV'!PUO24/'4. NPV'!PUO$8,0)</f>
        <v>-0.0</v>
      </c>
      <c r="PUO55" s="5">
        <f>-IFERROR('4. NPV'!PUP24/'4. NPV'!PUP$8,0)</f>
        <v>-0.0</v>
      </c>
      <c r="PUP55" s="5">
        <f>-IFERROR('4. NPV'!PUQ24/'4. NPV'!PUQ$8,0)</f>
        <v>-0.0</v>
      </c>
      <c r="PUQ55" s="5">
        <f>-IFERROR('4. NPV'!PUR24/'4. NPV'!PUR$8,0)</f>
        <v>-0.0</v>
      </c>
      <c r="PUR55" s="5">
        <f>-IFERROR('4. NPV'!PUS24/'4. NPV'!PUS$8,0)</f>
        <v>-0.0</v>
      </c>
      <c r="PUS55" s="5">
        <f>-IFERROR('4. NPV'!PUT24/'4. NPV'!PUT$8,0)</f>
        <v>-0.0</v>
      </c>
      <c r="PUT55" s="5">
        <f>-IFERROR('4. NPV'!PUU24/'4. NPV'!PUU$8,0)</f>
        <v>-0.0</v>
      </c>
      <c r="PUU55" s="5">
        <f>-IFERROR('4. NPV'!PUV24/'4. NPV'!PUV$8,0)</f>
        <v>-0.0</v>
      </c>
      <c r="PUV55" s="5">
        <f>-IFERROR('4. NPV'!PUW24/'4. NPV'!PUW$8,0)</f>
        <v>-0.0</v>
      </c>
      <c r="PUW55" s="5">
        <f>-IFERROR('4. NPV'!PUX24/'4. NPV'!PUX$8,0)</f>
        <v>-0.0</v>
      </c>
      <c r="PUX55" s="5">
        <f>-IFERROR('4. NPV'!PUY24/'4. NPV'!PUY$8,0)</f>
        <v>-0.0</v>
      </c>
      <c r="PUY55" s="5">
        <f>-IFERROR('4. NPV'!PUZ24/'4. NPV'!PUZ$8,0)</f>
        <v>-0.0</v>
      </c>
      <c r="PUZ55" s="5">
        <f>-IFERROR('4. NPV'!PVA24/'4. NPV'!PVA$8,0)</f>
        <v>-0.0</v>
      </c>
      <c r="PVA55" s="5">
        <f>-IFERROR('4. NPV'!PVB24/'4. NPV'!PVB$8,0)</f>
        <v>-0.0</v>
      </c>
      <c r="PVB55" s="5">
        <f>-IFERROR('4. NPV'!PVC24/'4. NPV'!PVC$8,0)</f>
        <v>-0.0</v>
      </c>
      <c r="PVC55" s="5">
        <f>-IFERROR('4. NPV'!PVD24/'4. NPV'!PVD$8,0)</f>
        <v>-0.0</v>
      </c>
      <c r="PVD55" s="5">
        <f>-IFERROR('4. NPV'!PVE24/'4. NPV'!PVE$8,0)</f>
        <v>-0.0</v>
      </c>
      <c r="PVE55" s="5">
        <f>-IFERROR('4. NPV'!PVF24/'4. NPV'!PVF$8,0)</f>
        <v>-0.0</v>
      </c>
      <c r="PVF55" s="5">
        <f>-IFERROR('4. NPV'!PVG24/'4. NPV'!PVG$8,0)</f>
        <v>-0.0</v>
      </c>
      <c r="PVG55" s="5">
        <f>-IFERROR('4. NPV'!PVH24/'4. NPV'!PVH$8,0)</f>
        <v>-0.0</v>
      </c>
      <c r="PVH55" s="5">
        <f>-IFERROR('4. NPV'!PVI24/'4. NPV'!PVI$8,0)</f>
        <v>-0.0</v>
      </c>
      <c r="PVI55" s="5">
        <f>-IFERROR('4. NPV'!PVJ24/'4. NPV'!PVJ$8,0)</f>
        <v>-0.0</v>
      </c>
      <c r="PVJ55" s="5">
        <f>-IFERROR('4. NPV'!PVK24/'4. NPV'!PVK$8,0)</f>
        <v>-0.0</v>
      </c>
      <c r="PVK55" s="5">
        <f>-IFERROR('4. NPV'!PVL24/'4. NPV'!PVL$8,0)</f>
        <v>-0.0</v>
      </c>
      <c r="PVL55" s="5">
        <f>-IFERROR('4. NPV'!PVM24/'4. NPV'!PVM$8,0)</f>
        <v>-0.0</v>
      </c>
      <c r="PVM55" s="5">
        <f>-IFERROR('4. NPV'!PVN24/'4. NPV'!PVN$8,0)</f>
        <v>-0.0</v>
      </c>
      <c r="PVN55" s="5">
        <f>-IFERROR('4. NPV'!PVO24/'4. NPV'!PVO$8,0)</f>
        <v>-0.0</v>
      </c>
      <c r="PVO55" s="5">
        <f>-IFERROR('4. NPV'!PVP24/'4. NPV'!PVP$8,0)</f>
        <v>-0.0</v>
      </c>
      <c r="PVP55" s="5">
        <f>-IFERROR('4. NPV'!PVQ24/'4. NPV'!PVQ$8,0)</f>
        <v>-0.0</v>
      </c>
      <c r="PVQ55" s="5">
        <f>-IFERROR('4. NPV'!PVR24/'4. NPV'!PVR$8,0)</f>
        <v>-0.0</v>
      </c>
      <c r="PVR55" s="5">
        <f>-IFERROR('4. NPV'!PVS24/'4. NPV'!PVS$8,0)</f>
        <v>-0.0</v>
      </c>
      <c r="PVS55" s="5">
        <f>-IFERROR('4. NPV'!PVT24/'4. NPV'!PVT$8,0)</f>
        <v>-0.0</v>
      </c>
      <c r="PVT55" s="5">
        <f>-IFERROR('4. NPV'!PVU24/'4. NPV'!PVU$8,0)</f>
        <v>-0.0</v>
      </c>
      <c r="PVU55" s="5">
        <f>-IFERROR('4. NPV'!PVV24/'4. NPV'!PVV$8,0)</f>
        <v>-0.0</v>
      </c>
      <c r="PVV55" s="5">
        <f>-IFERROR('4. NPV'!PVW24/'4. NPV'!PVW$8,0)</f>
        <v>-0.0</v>
      </c>
      <c r="PVW55" s="5">
        <f>-IFERROR('4. NPV'!PVX24/'4. NPV'!PVX$8,0)</f>
        <v>-0.0</v>
      </c>
      <c r="PVX55" s="5">
        <f>-IFERROR('4. NPV'!PVY24/'4. NPV'!PVY$8,0)</f>
        <v>-0.0</v>
      </c>
      <c r="PVY55" s="5">
        <f>-IFERROR('4. NPV'!PVZ24/'4. NPV'!PVZ$8,0)</f>
        <v>-0.0</v>
      </c>
      <c r="PVZ55" s="5">
        <f>-IFERROR('4. NPV'!PWA24/'4. NPV'!PWA$8,0)</f>
        <v>-0.0</v>
      </c>
      <c r="PWA55" s="5">
        <f>-IFERROR('4. NPV'!PWB24/'4. NPV'!PWB$8,0)</f>
        <v>-0.0</v>
      </c>
      <c r="PWB55" s="5">
        <f>-IFERROR('4. NPV'!PWC24/'4. NPV'!PWC$8,0)</f>
        <v>-0.0</v>
      </c>
      <c r="PWC55" s="5">
        <f>-IFERROR('4. NPV'!PWD24/'4. NPV'!PWD$8,0)</f>
        <v>-0.0</v>
      </c>
      <c r="PWD55" s="5">
        <f>-IFERROR('4. NPV'!PWE24/'4. NPV'!PWE$8,0)</f>
        <v>-0.0</v>
      </c>
      <c r="PWE55" s="5">
        <f>-IFERROR('4. NPV'!PWF24/'4. NPV'!PWF$8,0)</f>
        <v>-0.0</v>
      </c>
      <c r="PWF55" s="5">
        <f>-IFERROR('4. NPV'!PWG24/'4. NPV'!PWG$8,0)</f>
        <v>-0.0</v>
      </c>
      <c r="PWG55" s="5">
        <f>-IFERROR('4. NPV'!PWH24/'4. NPV'!PWH$8,0)</f>
        <v>-0.0</v>
      </c>
      <c r="PWH55" s="5">
        <f>-IFERROR('4. NPV'!PWI24/'4. NPV'!PWI$8,0)</f>
        <v>-0.0</v>
      </c>
      <c r="PWI55" s="5">
        <f>-IFERROR('4. NPV'!PWJ24/'4. NPV'!PWJ$8,0)</f>
        <v>-0.0</v>
      </c>
      <c r="PWJ55" s="5">
        <f>-IFERROR('4. NPV'!PWK24/'4. NPV'!PWK$8,0)</f>
        <v>-0.0</v>
      </c>
      <c r="PWK55" s="5">
        <f>-IFERROR('4. NPV'!PWL24/'4. NPV'!PWL$8,0)</f>
        <v>-0.0</v>
      </c>
      <c r="PWL55" s="5">
        <f>-IFERROR('4. NPV'!PWM24/'4. NPV'!PWM$8,0)</f>
        <v>-0.0</v>
      </c>
      <c r="PWM55" s="5">
        <f>-IFERROR('4. NPV'!PWN24/'4. NPV'!PWN$8,0)</f>
        <v>-0.0</v>
      </c>
      <c r="PWN55" s="5">
        <f>-IFERROR('4. NPV'!PWO24/'4. NPV'!PWO$8,0)</f>
        <v>-0.0</v>
      </c>
      <c r="PWO55" s="5">
        <f>-IFERROR('4. NPV'!PWP24/'4. NPV'!PWP$8,0)</f>
        <v>-0.0</v>
      </c>
      <c r="PWP55" s="5">
        <f>-IFERROR('4. NPV'!PWQ24/'4. NPV'!PWQ$8,0)</f>
        <v>-0.0</v>
      </c>
      <c r="PWQ55" s="5">
        <f>-IFERROR('4. NPV'!PWR24/'4. NPV'!PWR$8,0)</f>
        <v>-0.0</v>
      </c>
      <c r="PWR55" s="5">
        <f>-IFERROR('4. NPV'!PWS24/'4. NPV'!PWS$8,0)</f>
        <v>-0.0</v>
      </c>
      <c r="PWS55" s="5">
        <f>-IFERROR('4. NPV'!PWT24/'4. NPV'!PWT$8,0)</f>
        <v>-0.0</v>
      </c>
      <c r="PWT55" s="5">
        <f>-IFERROR('4. NPV'!PWU24/'4. NPV'!PWU$8,0)</f>
        <v>-0.0</v>
      </c>
      <c r="PWU55" s="5">
        <f>-IFERROR('4. NPV'!PWV24/'4. NPV'!PWV$8,0)</f>
        <v>-0.0</v>
      </c>
      <c r="PWV55" s="5">
        <f>-IFERROR('4. NPV'!PWW24/'4. NPV'!PWW$8,0)</f>
        <v>-0.0</v>
      </c>
      <c r="PWW55" s="5">
        <f>-IFERROR('4. NPV'!PWX24/'4. NPV'!PWX$8,0)</f>
        <v>-0.0</v>
      </c>
      <c r="PWX55" s="5">
        <f>-IFERROR('4. NPV'!PWY24/'4. NPV'!PWY$8,0)</f>
        <v>-0.0</v>
      </c>
      <c r="PWY55" s="5">
        <f>-IFERROR('4. NPV'!PWZ24/'4. NPV'!PWZ$8,0)</f>
        <v>-0.0</v>
      </c>
      <c r="PWZ55" s="5">
        <f>-IFERROR('4. NPV'!PXA24/'4. NPV'!PXA$8,0)</f>
        <v>-0.0</v>
      </c>
      <c r="PXA55" s="5">
        <f>-IFERROR('4. NPV'!PXB24/'4. NPV'!PXB$8,0)</f>
        <v>-0.0</v>
      </c>
      <c r="PXB55" s="5">
        <f>-IFERROR('4. NPV'!PXC24/'4. NPV'!PXC$8,0)</f>
        <v>-0.0</v>
      </c>
      <c r="PXC55" s="5">
        <f>-IFERROR('4. NPV'!PXD24/'4. NPV'!PXD$8,0)</f>
        <v>-0.0</v>
      </c>
      <c r="PXD55" s="5">
        <f>-IFERROR('4. NPV'!PXE24/'4. NPV'!PXE$8,0)</f>
        <v>-0.0</v>
      </c>
      <c r="PXE55" s="5">
        <f>-IFERROR('4. NPV'!PXF24/'4. NPV'!PXF$8,0)</f>
        <v>-0.0</v>
      </c>
      <c r="PXF55" s="5">
        <f>-IFERROR('4. NPV'!PXG24/'4. NPV'!PXG$8,0)</f>
        <v>-0.0</v>
      </c>
      <c r="PXG55" s="5">
        <f>-IFERROR('4. NPV'!PXH24/'4. NPV'!PXH$8,0)</f>
        <v>-0.0</v>
      </c>
      <c r="PXH55" s="5">
        <f>-IFERROR('4. NPV'!PXI24/'4. NPV'!PXI$8,0)</f>
        <v>-0.0</v>
      </c>
      <c r="PXI55" s="5">
        <f>-IFERROR('4. NPV'!PXJ24/'4. NPV'!PXJ$8,0)</f>
        <v>-0.0</v>
      </c>
      <c r="PXJ55" s="5">
        <f>-IFERROR('4. NPV'!PXK24/'4. NPV'!PXK$8,0)</f>
        <v>-0.0</v>
      </c>
      <c r="PXK55" s="5">
        <f>-IFERROR('4. NPV'!PXL24/'4. NPV'!PXL$8,0)</f>
        <v>-0.0</v>
      </c>
      <c r="PXL55" s="5">
        <f>-IFERROR('4. NPV'!PXM24/'4. NPV'!PXM$8,0)</f>
        <v>-0.0</v>
      </c>
      <c r="PXM55" s="5">
        <f>-IFERROR('4. NPV'!PXN24/'4. NPV'!PXN$8,0)</f>
        <v>-0.0</v>
      </c>
      <c r="PXN55" s="5">
        <f>-IFERROR('4. NPV'!PXO24/'4. NPV'!PXO$8,0)</f>
        <v>-0.0</v>
      </c>
      <c r="PXO55" s="5">
        <f>-IFERROR('4. NPV'!PXP24/'4. NPV'!PXP$8,0)</f>
        <v>-0.0</v>
      </c>
      <c r="PXP55" s="5">
        <f>-IFERROR('4. NPV'!PXQ24/'4. NPV'!PXQ$8,0)</f>
        <v>-0.0</v>
      </c>
      <c r="PXQ55" s="5">
        <f>-IFERROR('4. NPV'!PXR24/'4. NPV'!PXR$8,0)</f>
        <v>-0.0</v>
      </c>
      <c r="PXR55" s="5">
        <f>-IFERROR('4. NPV'!PXS24/'4. NPV'!PXS$8,0)</f>
        <v>-0.0</v>
      </c>
      <c r="PXS55" s="5">
        <f>-IFERROR('4. NPV'!PXT24/'4. NPV'!PXT$8,0)</f>
        <v>-0.0</v>
      </c>
      <c r="PXT55" s="5">
        <f>-IFERROR('4. NPV'!PXU24/'4. NPV'!PXU$8,0)</f>
        <v>-0.0</v>
      </c>
      <c r="PXU55" s="5">
        <f>-IFERROR('4. NPV'!PXV24/'4. NPV'!PXV$8,0)</f>
        <v>-0.0</v>
      </c>
      <c r="PXV55" s="5">
        <f>-IFERROR('4. NPV'!PXW24/'4. NPV'!PXW$8,0)</f>
        <v>-0.0</v>
      </c>
      <c r="PXW55" s="5">
        <f>-IFERROR('4. NPV'!PXX24/'4. NPV'!PXX$8,0)</f>
        <v>-0.0</v>
      </c>
      <c r="PXX55" s="5">
        <f>-IFERROR('4. NPV'!PXY24/'4. NPV'!PXY$8,0)</f>
        <v>-0.0</v>
      </c>
      <c r="PXY55" s="5">
        <f>-IFERROR('4. NPV'!PXZ24/'4. NPV'!PXZ$8,0)</f>
        <v>-0.0</v>
      </c>
      <c r="PXZ55" s="5">
        <f>-IFERROR('4. NPV'!PYA24/'4. NPV'!PYA$8,0)</f>
        <v>-0.0</v>
      </c>
      <c r="PYA55" s="5">
        <f>-IFERROR('4. NPV'!PYB24/'4. NPV'!PYB$8,0)</f>
        <v>-0.0</v>
      </c>
      <c r="PYB55" s="5">
        <f>-IFERROR('4. NPV'!PYC24/'4. NPV'!PYC$8,0)</f>
        <v>-0.0</v>
      </c>
      <c r="PYC55" s="5">
        <f>-IFERROR('4. NPV'!PYD24/'4. NPV'!PYD$8,0)</f>
        <v>-0.0</v>
      </c>
      <c r="PYD55" s="5">
        <f>-IFERROR('4. NPV'!PYE24/'4. NPV'!PYE$8,0)</f>
        <v>-0.0</v>
      </c>
      <c r="PYE55" s="5">
        <f>-IFERROR('4. NPV'!PYF24/'4. NPV'!PYF$8,0)</f>
        <v>-0.0</v>
      </c>
      <c r="PYF55" s="5">
        <f>-IFERROR('4. NPV'!PYG24/'4. NPV'!PYG$8,0)</f>
        <v>-0.0</v>
      </c>
      <c r="PYG55" s="5">
        <f>-IFERROR('4. NPV'!PYH24/'4. NPV'!PYH$8,0)</f>
        <v>-0.0</v>
      </c>
      <c r="PYH55" s="5">
        <f>-IFERROR('4. NPV'!PYI24/'4. NPV'!PYI$8,0)</f>
        <v>-0.0</v>
      </c>
      <c r="PYI55" s="5">
        <f>-IFERROR('4. NPV'!PYJ24/'4. NPV'!PYJ$8,0)</f>
        <v>-0.0</v>
      </c>
      <c r="PYJ55" s="5">
        <f>-IFERROR('4. NPV'!PYK24/'4. NPV'!PYK$8,0)</f>
        <v>-0.0</v>
      </c>
      <c r="PYK55" s="5">
        <f>-IFERROR('4. NPV'!PYL24/'4. NPV'!PYL$8,0)</f>
        <v>-0.0</v>
      </c>
      <c r="PYL55" s="5">
        <f>-IFERROR('4. NPV'!PYM24/'4. NPV'!PYM$8,0)</f>
        <v>-0.0</v>
      </c>
      <c r="PYM55" s="5">
        <f>-IFERROR('4. NPV'!PYN24/'4. NPV'!PYN$8,0)</f>
        <v>-0.0</v>
      </c>
      <c r="PYN55" s="5">
        <f>-IFERROR('4. NPV'!PYO24/'4. NPV'!PYO$8,0)</f>
        <v>-0.0</v>
      </c>
      <c r="PYO55" s="5">
        <f>-IFERROR('4. NPV'!PYP24/'4. NPV'!PYP$8,0)</f>
        <v>-0.0</v>
      </c>
      <c r="PYP55" s="5">
        <f>-IFERROR('4. NPV'!PYQ24/'4. NPV'!PYQ$8,0)</f>
        <v>-0.0</v>
      </c>
      <c r="PYQ55" s="5">
        <f>-IFERROR('4. NPV'!PYR24/'4. NPV'!PYR$8,0)</f>
        <v>-0.0</v>
      </c>
      <c r="PYR55" s="5">
        <f>-IFERROR('4. NPV'!PYS24/'4. NPV'!PYS$8,0)</f>
        <v>-0.0</v>
      </c>
      <c r="PYS55" s="5">
        <f>-IFERROR('4. NPV'!PYT24/'4. NPV'!PYT$8,0)</f>
        <v>-0.0</v>
      </c>
      <c r="PYT55" s="5">
        <f>-IFERROR('4. NPV'!PYU24/'4. NPV'!PYU$8,0)</f>
        <v>-0.0</v>
      </c>
      <c r="PYU55" s="5">
        <f>-IFERROR('4. NPV'!PYV24/'4. NPV'!PYV$8,0)</f>
        <v>-0.0</v>
      </c>
      <c r="PYV55" s="5">
        <f>-IFERROR('4. NPV'!PYW24/'4. NPV'!PYW$8,0)</f>
        <v>-0.0</v>
      </c>
      <c r="PYW55" s="5">
        <f>-IFERROR('4. NPV'!PYX24/'4. NPV'!PYX$8,0)</f>
        <v>-0.0</v>
      </c>
      <c r="PYX55" s="5">
        <f>-IFERROR('4. NPV'!PYY24/'4. NPV'!PYY$8,0)</f>
        <v>-0.0</v>
      </c>
      <c r="PYY55" s="5">
        <f>-IFERROR('4. NPV'!PYZ24/'4. NPV'!PYZ$8,0)</f>
        <v>-0.0</v>
      </c>
      <c r="PYZ55" s="5">
        <f>-IFERROR('4. NPV'!PZA24/'4. NPV'!PZA$8,0)</f>
        <v>-0.0</v>
      </c>
      <c r="PZA55" s="5">
        <f>-IFERROR('4. NPV'!PZB24/'4. NPV'!PZB$8,0)</f>
        <v>-0.0</v>
      </c>
      <c r="PZB55" s="5">
        <f>-IFERROR('4. NPV'!PZC24/'4. NPV'!PZC$8,0)</f>
        <v>-0.0</v>
      </c>
      <c r="PZC55" s="5">
        <f>-IFERROR('4. NPV'!PZD24/'4. NPV'!PZD$8,0)</f>
        <v>-0.0</v>
      </c>
      <c r="PZD55" s="5">
        <f>-IFERROR('4. NPV'!PZE24/'4. NPV'!PZE$8,0)</f>
        <v>-0.0</v>
      </c>
      <c r="PZE55" s="5">
        <f>-IFERROR('4. NPV'!PZF24/'4. NPV'!PZF$8,0)</f>
        <v>-0.0</v>
      </c>
      <c r="PZF55" s="5">
        <f>-IFERROR('4. NPV'!PZG24/'4. NPV'!PZG$8,0)</f>
        <v>-0.0</v>
      </c>
      <c r="PZG55" s="5">
        <f>-IFERROR('4. NPV'!PZH24/'4. NPV'!PZH$8,0)</f>
        <v>-0.0</v>
      </c>
      <c r="PZH55" s="5">
        <f>-IFERROR('4. NPV'!PZI24/'4. NPV'!PZI$8,0)</f>
        <v>-0.0</v>
      </c>
      <c r="PZI55" s="5">
        <f>-IFERROR('4. NPV'!PZJ24/'4. NPV'!PZJ$8,0)</f>
        <v>-0.0</v>
      </c>
      <c r="PZJ55" s="5">
        <f>-IFERROR('4. NPV'!PZK24/'4. NPV'!PZK$8,0)</f>
        <v>-0.0</v>
      </c>
      <c r="PZK55" s="5">
        <f>-IFERROR('4. NPV'!PZL24/'4. NPV'!PZL$8,0)</f>
        <v>-0.0</v>
      </c>
      <c r="PZL55" s="5">
        <f>-IFERROR('4. NPV'!PZM24/'4. NPV'!PZM$8,0)</f>
        <v>-0.0</v>
      </c>
      <c r="PZM55" s="5">
        <f>-IFERROR('4. NPV'!PZN24/'4. NPV'!PZN$8,0)</f>
        <v>-0.0</v>
      </c>
      <c r="PZN55" s="5">
        <f>-IFERROR('4. NPV'!PZO24/'4. NPV'!PZO$8,0)</f>
        <v>-0.0</v>
      </c>
      <c r="PZO55" s="5">
        <f>-IFERROR('4. NPV'!PZP24/'4. NPV'!PZP$8,0)</f>
        <v>-0.0</v>
      </c>
      <c r="PZP55" s="5">
        <f>-IFERROR('4. NPV'!PZQ24/'4. NPV'!PZQ$8,0)</f>
        <v>-0.0</v>
      </c>
      <c r="PZQ55" s="5">
        <f>-IFERROR('4. NPV'!PZR24/'4. NPV'!PZR$8,0)</f>
        <v>-0.0</v>
      </c>
      <c r="PZR55" s="5">
        <f>-IFERROR('4. NPV'!PZS24/'4. NPV'!PZS$8,0)</f>
        <v>-0.0</v>
      </c>
      <c r="PZS55" s="5">
        <f>-IFERROR('4. NPV'!PZT24/'4. NPV'!PZT$8,0)</f>
        <v>-0.0</v>
      </c>
      <c r="PZT55" s="5">
        <f>-IFERROR('4. NPV'!PZU24/'4. NPV'!PZU$8,0)</f>
        <v>-0.0</v>
      </c>
      <c r="PZU55" s="5">
        <f>-IFERROR('4. NPV'!PZV24/'4. NPV'!PZV$8,0)</f>
        <v>-0.0</v>
      </c>
      <c r="PZV55" s="5">
        <f>-IFERROR('4. NPV'!PZW24/'4. NPV'!PZW$8,0)</f>
        <v>-0.0</v>
      </c>
      <c r="PZW55" s="5">
        <f>-IFERROR('4. NPV'!PZX24/'4. NPV'!PZX$8,0)</f>
        <v>-0.0</v>
      </c>
      <c r="PZX55" s="5">
        <f>-IFERROR('4. NPV'!PZY24/'4. NPV'!PZY$8,0)</f>
        <v>-0.0</v>
      </c>
      <c r="PZY55" s="5">
        <f>-IFERROR('4. NPV'!PZZ24/'4. NPV'!PZZ$8,0)</f>
        <v>-0.0</v>
      </c>
      <c r="PZZ55" s="5">
        <f>-IFERROR('4. NPV'!QAA24/'4. NPV'!QAA$8,0)</f>
        <v>-0.0</v>
      </c>
      <c r="QAA55" s="5">
        <f>-IFERROR('4. NPV'!QAB24/'4. NPV'!QAB$8,0)</f>
        <v>-0.0</v>
      </c>
      <c r="QAB55" s="5">
        <f>-IFERROR('4. NPV'!QAC24/'4. NPV'!QAC$8,0)</f>
        <v>-0.0</v>
      </c>
      <c r="QAC55" s="5">
        <f>-IFERROR('4. NPV'!QAD24/'4. NPV'!QAD$8,0)</f>
        <v>-0.0</v>
      </c>
      <c r="QAD55" s="5">
        <f>-IFERROR('4. NPV'!QAE24/'4. NPV'!QAE$8,0)</f>
        <v>-0.0</v>
      </c>
      <c r="QAE55" s="5">
        <f>-IFERROR('4. NPV'!QAF24/'4. NPV'!QAF$8,0)</f>
        <v>-0.0</v>
      </c>
      <c r="QAF55" s="5">
        <f>-IFERROR('4. NPV'!QAG24/'4. NPV'!QAG$8,0)</f>
        <v>-0.0</v>
      </c>
      <c r="QAG55" s="5">
        <f>-IFERROR('4. NPV'!QAH24/'4. NPV'!QAH$8,0)</f>
        <v>-0.0</v>
      </c>
      <c r="QAH55" s="5">
        <f>-IFERROR('4. NPV'!QAI24/'4. NPV'!QAI$8,0)</f>
        <v>-0.0</v>
      </c>
      <c r="QAI55" s="5">
        <f>-IFERROR('4. NPV'!QAJ24/'4. NPV'!QAJ$8,0)</f>
        <v>-0.0</v>
      </c>
      <c r="QAJ55" s="5">
        <f>-IFERROR('4. NPV'!QAK24/'4. NPV'!QAK$8,0)</f>
        <v>-0.0</v>
      </c>
      <c r="QAK55" s="5">
        <f>-IFERROR('4. NPV'!QAL24/'4. NPV'!QAL$8,0)</f>
        <v>-0.0</v>
      </c>
      <c r="QAL55" s="5">
        <f>-IFERROR('4. NPV'!QAM24/'4. NPV'!QAM$8,0)</f>
        <v>-0.0</v>
      </c>
      <c r="QAM55" s="5">
        <f>-IFERROR('4. NPV'!QAN24/'4. NPV'!QAN$8,0)</f>
        <v>-0.0</v>
      </c>
      <c r="QAN55" s="5">
        <f>-IFERROR('4. NPV'!QAO24/'4. NPV'!QAO$8,0)</f>
        <v>-0.0</v>
      </c>
      <c r="QAO55" s="5">
        <f>-IFERROR('4. NPV'!QAP24/'4. NPV'!QAP$8,0)</f>
        <v>-0.0</v>
      </c>
      <c r="QAP55" s="5">
        <f>-IFERROR('4. NPV'!QAQ24/'4. NPV'!QAQ$8,0)</f>
        <v>-0.0</v>
      </c>
      <c r="QAQ55" s="5">
        <f>-IFERROR('4. NPV'!QAR24/'4. NPV'!QAR$8,0)</f>
        <v>-0.0</v>
      </c>
      <c r="QAR55" s="5">
        <f>-IFERROR('4. NPV'!QAS24/'4. NPV'!QAS$8,0)</f>
        <v>-0.0</v>
      </c>
      <c r="QAS55" s="5">
        <f>-IFERROR('4. NPV'!QAT24/'4. NPV'!QAT$8,0)</f>
        <v>-0.0</v>
      </c>
      <c r="QAT55" s="5">
        <f>-IFERROR('4. NPV'!QAU24/'4. NPV'!QAU$8,0)</f>
        <v>-0.0</v>
      </c>
      <c r="QAU55" s="5">
        <f>-IFERROR('4. NPV'!QAV24/'4. NPV'!QAV$8,0)</f>
        <v>-0.0</v>
      </c>
      <c r="QAV55" s="5">
        <f>-IFERROR('4. NPV'!QAW24/'4. NPV'!QAW$8,0)</f>
        <v>-0.0</v>
      </c>
      <c r="QAW55" s="5">
        <f>-IFERROR('4. NPV'!QAX24/'4. NPV'!QAX$8,0)</f>
        <v>-0.0</v>
      </c>
      <c r="QAX55" s="5">
        <f>-IFERROR('4. NPV'!QAY24/'4. NPV'!QAY$8,0)</f>
        <v>-0.0</v>
      </c>
      <c r="QAY55" s="5">
        <f>-IFERROR('4. NPV'!QAZ24/'4. NPV'!QAZ$8,0)</f>
        <v>-0.0</v>
      </c>
      <c r="QAZ55" s="5">
        <f>-IFERROR('4. NPV'!QBA24/'4. NPV'!QBA$8,0)</f>
        <v>-0.0</v>
      </c>
      <c r="QBA55" s="5">
        <f>-IFERROR('4. NPV'!QBB24/'4. NPV'!QBB$8,0)</f>
        <v>-0.0</v>
      </c>
      <c r="QBB55" s="5">
        <f>-IFERROR('4. NPV'!QBC24/'4. NPV'!QBC$8,0)</f>
        <v>-0.0</v>
      </c>
      <c r="QBC55" s="5">
        <f>-IFERROR('4. NPV'!QBD24/'4. NPV'!QBD$8,0)</f>
        <v>-0.0</v>
      </c>
      <c r="QBD55" s="5">
        <f>-IFERROR('4. NPV'!QBE24/'4. NPV'!QBE$8,0)</f>
        <v>-0.0</v>
      </c>
      <c r="QBE55" s="5">
        <f>-IFERROR('4. NPV'!QBF24/'4. NPV'!QBF$8,0)</f>
        <v>-0.0</v>
      </c>
      <c r="QBF55" s="5">
        <f>-IFERROR('4. NPV'!QBG24/'4. NPV'!QBG$8,0)</f>
        <v>-0.0</v>
      </c>
      <c r="QBG55" s="5">
        <f>-IFERROR('4. NPV'!QBH24/'4. NPV'!QBH$8,0)</f>
        <v>-0.0</v>
      </c>
      <c r="QBH55" s="5">
        <f>-IFERROR('4. NPV'!QBI24/'4. NPV'!QBI$8,0)</f>
        <v>-0.0</v>
      </c>
      <c r="QBI55" s="5">
        <f>-IFERROR('4. NPV'!QBJ24/'4. NPV'!QBJ$8,0)</f>
        <v>-0.0</v>
      </c>
      <c r="QBJ55" s="5">
        <f>-IFERROR('4. NPV'!QBK24/'4. NPV'!QBK$8,0)</f>
        <v>-0.0</v>
      </c>
      <c r="QBK55" s="5">
        <f>-IFERROR('4. NPV'!QBL24/'4. NPV'!QBL$8,0)</f>
        <v>-0.0</v>
      </c>
      <c r="QBL55" s="5">
        <f>-IFERROR('4. NPV'!QBM24/'4. NPV'!QBM$8,0)</f>
        <v>-0.0</v>
      </c>
      <c r="QBM55" s="5">
        <f>-IFERROR('4. NPV'!QBN24/'4. NPV'!QBN$8,0)</f>
        <v>-0.0</v>
      </c>
      <c r="QBN55" s="5">
        <f>-IFERROR('4. NPV'!QBO24/'4. NPV'!QBO$8,0)</f>
        <v>-0.0</v>
      </c>
      <c r="QBO55" s="5">
        <f>-IFERROR('4. NPV'!QBP24/'4. NPV'!QBP$8,0)</f>
        <v>-0.0</v>
      </c>
      <c r="QBP55" s="5">
        <f>-IFERROR('4. NPV'!QBQ24/'4. NPV'!QBQ$8,0)</f>
        <v>-0.0</v>
      </c>
      <c r="QBQ55" s="5">
        <f>-IFERROR('4. NPV'!QBR24/'4. NPV'!QBR$8,0)</f>
        <v>-0.0</v>
      </c>
      <c r="QBR55" s="5">
        <f>-IFERROR('4. NPV'!QBS24/'4. NPV'!QBS$8,0)</f>
        <v>-0.0</v>
      </c>
      <c r="QBS55" s="5">
        <f>-IFERROR('4. NPV'!QBT24/'4. NPV'!QBT$8,0)</f>
        <v>-0.0</v>
      </c>
      <c r="QBT55" s="5">
        <f>-IFERROR('4. NPV'!QBU24/'4. NPV'!QBU$8,0)</f>
        <v>-0.0</v>
      </c>
      <c r="QBU55" s="5">
        <f>-IFERROR('4. NPV'!QBV24/'4. NPV'!QBV$8,0)</f>
        <v>-0.0</v>
      </c>
      <c r="QBV55" s="5">
        <f>-IFERROR('4. NPV'!QBW24/'4. NPV'!QBW$8,0)</f>
        <v>-0.0</v>
      </c>
      <c r="QBW55" s="5">
        <f>-IFERROR('4. NPV'!QBX24/'4. NPV'!QBX$8,0)</f>
        <v>-0.0</v>
      </c>
      <c r="QBX55" s="5">
        <f>-IFERROR('4. NPV'!QBY24/'4. NPV'!QBY$8,0)</f>
        <v>-0.0</v>
      </c>
      <c r="QBY55" s="5">
        <f>-IFERROR('4. NPV'!QBZ24/'4. NPV'!QBZ$8,0)</f>
        <v>-0.0</v>
      </c>
      <c r="QBZ55" s="5">
        <f>-IFERROR('4. NPV'!QCA24/'4. NPV'!QCA$8,0)</f>
        <v>-0.0</v>
      </c>
      <c r="QCA55" s="5">
        <f>-IFERROR('4. NPV'!QCB24/'4. NPV'!QCB$8,0)</f>
        <v>-0.0</v>
      </c>
      <c r="QCB55" s="5">
        <f>-IFERROR('4. NPV'!QCC24/'4. NPV'!QCC$8,0)</f>
        <v>-0.0</v>
      </c>
      <c r="QCC55" s="5">
        <f>-IFERROR('4. NPV'!QCD24/'4. NPV'!QCD$8,0)</f>
        <v>-0.0</v>
      </c>
      <c r="QCD55" s="5">
        <f>-IFERROR('4. NPV'!QCE24/'4. NPV'!QCE$8,0)</f>
        <v>-0.0</v>
      </c>
      <c r="QCE55" s="5">
        <f>-IFERROR('4. NPV'!QCF24/'4. NPV'!QCF$8,0)</f>
        <v>-0.0</v>
      </c>
      <c r="QCF55" s="5">
        <f>-IFERROR('4. NPV'!QCG24/'4. NPV'!QCG$8,0)</f>
        <v>-0.0</v>
      </c>
      <c r="QCG55" s="5">
        <f>-IFERROR('4. NPV'!QCH24/'4. NPV'!QCH$8,0)</f>
        <v>-0.0</v>
      </c>
      <c r="QCH55" s="5">
        <f>-IFERROR('4. NPV'!QCI24/'4. NPV'!QCI$8,0)</f>
        <v>-0.0</v>
      </c>
      <c r="QCI55" s="5">
        <f>-IFERROR('4. NPV'!QCJ24/'4. NPV'!QCJ$8,0)</f>
        <v>-0.0</v>
      </c>
      <c r="QCJ55" s="5">
        <f>-IFERROR('4. NPV'!QCK24/'4. NPV'!QCK$8,0)</f>
        <v>-0.0</v>
      </c>
      <c r="QCK55" s="5">
        <f>-IFERROR('4. NPV'!QCL24/'4. NPV'!QCL$8,0)</f>
        <v>-0.0</v>
      </c>
      <c r="QCL55" s="5">
        <f>-IFERROR('4. NPV'!QCM24/'4. NPV'!QCM$8,0)</f>
        <v>-0.0</v>
      </c>
      <c r="QCM55" s="5">
        <f>-IFERROR('4. NPV'!QCN24/'4. NPV'!QCN$8,0)</f>
        <v>-0.0</v>
      </c>
      <c r="QCN55" s="5">
        <f>-IFERROR('4. NPV'!QCO24/'4. NPV'!QCO$8,0)</f>
        <v>-0.0</v>
      </c>
      <c r="QCO55" s="5">
        <f>-IFERROR('4. NPV'!QCP24/'4. NPV'!QCP$8,0)</f>
        <v>-0.0</v>
      </c>
      <c r="QCP55" s="5">
        <f>-IFERROR('4. NPV'!QCQ24/'4. NPV'!QCQ$8,0)</f>
        <v>-0.0</v>
      </c>
      <c r="QCQ55" s="5">
        <f>-IFERROR('4. NPV'!QCR24/'4. NPV'!QCR$8,0)</f>
        <v>-0.0</v>
      </c>
      <c r="QCR55" s="5">
        <f>-IFERROR('4. NPV'!QCS24/'4. NPV'!QCS$8,0)</f>
        <v>-0.0</v>
      </c>
      <c r="QCS55" s="5">
        <f>-IFERROR('4. NPV'!QCT24/'4. NPV'!QCT$8,0)</f>
        <v>-0.0</v>
      </c>
      <c r="QCT55" s="5">
        <f>-IFERROR('4. NPV'!QCU24/'4. NPV'!QCU$8,0)</f>
        <v>-0.0</v>
      </c>
      <c r="QCU55" s="5">
        <f>-IFERROR('4. NPV'!QCV24/'4. NPV'!QCV$8,0)</f>
        <v>-0.0</v>
      </c>
      <c r="QCV55" s="5">
        <f>-IFERROR('4. NPV'!QCW24/'4. NPV'!QCW$8,0)</f>
        <v>-0.0</v>
      </c>
      <c r="QCW55" s="5">
        <f>-IFERROR('4. NPV'!QCX24/'4. NPV'!QCX$8,0)</f>
        <v>-0.0</v>
      </c>
      <c r="QCX55" s="5">
        <f>-IFERROR('4. NPV'!QCY24/'4. NPV'!QCY$8,0)</f>
        <v>-0.0</v>
      </c>
      <c r="QCY55" s="5">
        <f>-IFERROR('4. NPV'!QCZ24/'4. NPV'!QCZ$8,0)</f>
        <v>-0.0</v>
      </c>
      <c r="QCZ55" s="5">
        <f>-IFERROR('4. NPV'!QDA24/'4. NPV'!QDA$8,0)</f>
        <v>-0.0</v>
      </c>
      <c r="QDA55" s="5">
        <f>-IFERROR('4. NPV'!QDB24/'4. NPV'!QDB$8,0)</f>
        <v>-0.0</v>
      </c>
      <c r="QDB55" s="5">
        <f>-IFERROR('4. NPV'!QDC24/'4. NPV'!QDC$8,0)</f>
        <v>-0.0</v>
      </c>
      <c r="QDC55" s="5">
        <f>-IFERROR('4. NPV'!QDD24/'4. NPV'!QDD$8,0)</f>
        <v>-0.0</v>
      </c>
      <c r="QDD55" s="5">
        <f>-IFERROR('4. NPV'!QDE24/'4. NPV'!QDE$8,0)</f>
        <v>-0.0</v>
      </c>
      <c r="QDE55" s="5">
        <f>-IFERROR('4. NPV'!QDF24/'4. NPV'!QDF$8,0)</f>
        <v>-0.0</v>
      </c>
      <c r="QDF55" s="5">
        <f>-IFERROR('4. NPV'!QDG24/'4. NPV'!QDG$8,0)</f>
        <v>-0.0</v>
      </c>
      <c r="QDG55" s="5">
        <f>-IFERROR('4. NPV'!QDH24/'4. NPV'!QDH$8,0)</f>
        <v>-0.0</v>
      </c>
      <c r="QDH55" s="5">
        <f>-IFERROR('4. NPV'!QDI24/'4. NPV'!QDI$8,0)</f>
        <v>-0.0</v>
      </c>
      <c r="QDI55" s="5">
        <f>-IFERROR('4. NPV'!QDJ24/'4. NPV'!QDJ$8,0)</f>
        <v>-0.0</v>
      </c>
      <c r="QDJ55" s="5">
        <f>-IFERROR('4. NPV'!QDK24/'4. NPV'!QDK$8,0)</f>
        <v>-0.0</v>
      </c>
      <c r="QDK55" s="5">
        <f>-IFERROR('4. NPV'!QDL24/'4. NPV'!QDL$8,0)</f>
        <v>-0.0</v>
      </c>
      <c r="QDL55" s="5">
        <f>-IFERROR('4. NPV'!QDM24/'4. NPV'!QDM$8,0)</f>
        <v>-0.0</v>
      </c>
      <c r="QDM55" s="5">
        <f>-IFERROR('4. NPV'!QDN24/'4. NPV'!QDN$8,0)</f>
        <v>-0.0</v>
      </c>
      <c r="QDN55" s="5">
        <f>-IFERROR('4. NPV'!QDO24/'4. NPV'!QDO$8,0)</f>
        <v>-0.0</v>
      </c>
      <c r="QDO55" s="5">
        <f>-IFERROR('4. NPV'!QDP24/'4. NPV'!QDP$8,0)</f>
        <v>-0.0</v>
      </c>
      <c r="QDP55" s="5">
        <f>-IFERROR('4. NPV'!QDQ24/'4. NPV'!QDQ$8,0)</f>
        <v>-0.0</v>
      </c>
      <c r="QDQ55" s="5">
        <f>-IFERROR('4. NPV'!QDR24/'4. NPV'!QDR$8,0)</f>
        <v>-0.0</v>
      </c>
      <c r="QDR55" s="5">
        <f>-IFERROR('4. NPV'!QDS24/'4. NPV'!QDS$8,0)</f>
        <v>-0.0</v>
      </c>
      <c r="QDS55" s="5">
        <f>-IFERROR('4. NPV'!QDT24/'4. NPV'!QDT$8,0)</f>
        <v>-0.0</v>
      </c>
      <c r="QDT55" s="5">
        <f>-IFERROR('4. NPV'!QDU24/'4. NPV'!QDU$8,0)</f>
        <v>-0.0</v>
      </c>
      <c r="QDU55" s="5">
        <f>-IFERROR('4. NPV'!QDV24/'4. NPV'!QDV$8,0)</f>
        <v>-0.0</v>
      </c>
      <c r="QDV55" s="5">
        <f>-IFERROR('4. NPV'!QDW24/'4. NPV'!QDW$8,0)</f>
        <v>-0.0</v>
      </c>
      <c r="QDW55" s="5">
        <f>-IFERROR('4. NPV'!QDX24/'4. NPV'!QDX$8,0)</f>
        <v>-0.0</v>
      </c>
      <c r="QDX55" s="5">
        <f>-IFERROR('4. NPV'!QDY24/'4. NPV'!QDY$8,0)</f>
        <v>-0.0</v>
      </c>
      <c r="QDY55" s="5">
        <f>-IFERROR('4. NPV'!QDZ24/'4. NPV'!QDZ$8,0)</f>
        <v>-0.0</v>
      </c>
      <c r="QDZ55" s="5">
        <f>-IFERROR('4. NPV'!QEA24/'4. NPV'!QEA$8,0)</f>
        <v>-0.0</v>
      </c>
      <c r="QEA55" s="5">
        <f>-IFERROR('4. NPV'!QEB24/'4. NPV'!QEB$8,0)</f>
        <v>-0.0</v>
      </c>
      <c r="QEB55" s="5">
        <f>-IFERROR('4. NPV'!QEC24/'4. NPV'!QEC$8,0)</f>
        <v>-0.0</v>
      </c>
      <c r="QEC55" s="5">
        <f>-IFERROR('4. NPV'!QED24/'4. NPV'!QED$8,0)</f>
        <v>-0.0</v>
      </c>
      <c r="QED55" s="5">
        <f>-IFERROR('4. NPV'!QEE24/'4. NPV'!QEE$8,0)</f>
        <v>-0.0</v>
      </c>
      <c r="QEE55" s="5">
        <f>-IFERROR('4. NPV'!QEF24/'4. NPV'!QEF$8,0)</f>
        <v>-0.0</v>
      </c>
      <c r="QEF55" s="5">
        <f>-IFERROR('4. NPV'!QEG24/'4. NPV'!QEG$8,0)</f>
        <v>-0.0</v>
      </c>
      <c r="QEG55" s="5">
        <f>-IFERROR('4. NPV'!QEH24/'4. NPV'!QEH$8,0)</f>
        <v>-0.0</v>
      </c>
      <c r="QEH55" s="5">
        <f>-IFERROR('4. NPV'!QEI24/'4. NPV'!QEI$8,0)</f>
        <v>-0.0</v>
      </c>
      <c r="QEI55" s="5">
        <f>-IFERROR('4. NPV'!QEJ24/'4. NPV'!QEJ$8,0)</f>
        <v>-0.0</v>
      </c>
      <c r="QEJ55" s="5">
        <f>-IFERROR('4. NPV'!QEK24/'4. NPV'!QEK$8,0)</f>
        <v>-0.0</v>
      </c>
      <c r="QEK55" s="5">
        <f>-IFERROR('4. NPV'!QEL24/'4. NPV'!QEL$8,0)</f>
        <v>-0.0</v>
      </c>
      <c r="QEL55" s="5">
        <f>-IFERROR('4. NPV'!QEM24/'4. NPV'!QEM$8,0)</f>
        <v>-0.0</v>
      </c>
      <c r="QEM55" s="5">
        <f>-IFERROR('4. NPV'!QEN24/'4. NPV'!QEN$8,0)</f>
        <v>-0.0</v>
      </c>
      <c r="QEN55" s="5">
        <f>-IFERROR('4. NPV'!QEO24/'4. NPV'!QEO$8,0)</f>
        <v>-0.0</v>
      </c>
      <c r="QEO55" s="5">
        <f>-IFERROR('4. NPV'!QEP24/'4. NPV'!QEP$8,0)</f>
        <v>-0.0</v>
      </c>
      <c r="QEP55" s="5">
        <f>-IFERROR('4. NPV'!QEQ24/'4. NPV'!QEQ$8,0)</f>
        <v>-0.0</v>
      </c>
      <c r="QEQ55" s="5">
        <f>-IFERROR('4. NPV'!QER24/'4. NPV'!QER$8,0)</f>
        <v>-0.0</v>
      </c>
      <c r="QER55" s="5">
        <f>-IFERROR('4. NPV'!QES24/'4. NPV'!QES$8,0)</f>
        <v>-0.0</v>
      </c>
      <c r="QES55" s="5">
        <f>-IFERROR('4. NPV'!QET24/'4. NPV'!QET$8,0)</f>
        <v>-0.0</v>
      </c>
      <c r="QET55" s="5">
        <f>-IFERROR('4. NPV'!QEU24/'4. NPV'!QEU$8,0)</f>
        <v>-0.0</v>
      </c>
      <c r="QEU55" s="5">
        <f>-IFERROR('4. NPV'!QEV24/'4. NPV'!QEV$8,0)</f>
        <v>-0.0</v>
      </c>
      <c r="QEV55" s="5">
        <f>-IFERROR('4. NPV'!QEW24/'4. NPV'!QEW$8,0)</f>
        <v>-0.0</v>
      </c>
      <c r="QEW55" s="5">
        <f>-IFERROR('4. NPV'!QEX24/'4. NPV'!QEX$8,0)</f>
        <v>-0.0</v>
      </c>
      <c r="QEX55" s="5">
        <f>-IFERROR('4. NPV'!QEY24/'4. NPV'!QEY$8,0)</f>
        <v>-0.0</v>
      </c>
      <c r="QEY55" s="5">
        <f>-IFERROR('4. NPV'!QEZ24/'4. NPV'!QEZ$8,0)</f>
        <v>-0.0</v>
      </c>
      <c r="QEZ55" s="5">
        <f>-IFERROR('4. NPV'!QFA24/'4. NPV'!QFA$8,0)</f>
        <v>-0.0</v>
      </c>
      <c r="QFA55" s="5">
        <f>-IFERROR('4. NPV'!QFB24/'4. NPV'!QFB$8,0)</f>
        <v>-0.0</v>
      </c>
      <c r="QFB55" s="5">
        <f>-IFERROR('4. NPV'!QFC24/'4. NPV'!QFC$8,0)</f>
        <v>-0.0</v>
      </c>
      <c r="QFC55" s="5">
        <f>-IFERROR('4. NPV'!QFD24/'4. NPV'!QFD$8,0)</f>
        <v>-0.0</v>
      </c>
      <c r="QFD55" s="5">
        <f>-IFERROR('4. NPV'!QFE24/'4. NPV'!QFE$8,0)</f>
        <v>-0.0</v>
      </c>
      <c r="QFE55" s="5">
        <f>-IFERROR('4. NPV'!QFF24/'4. NPV'!QFF$8,0)</f>
        <v>-0.0</v>
      </c>
      <c r="QFF55" s="5">
        <f>-IFERROR('4. NPV'!QFG24/'4. NPV'!QFG$8,0)</f>
        <v>-0.0</v>
      </c>
      <c r="QFG55" s="5">
        <f>-IFERROR('4. NPV'!QFH24/'4. NPV'!QFH$8,0)</f>
        <v>-0.0</v>
      </c>
      <c r="QFH55" s="5">
        <f>-IFERROR('4. NPV'!QFI24/'4. NPV'!QFI$8,0)</f>
        <v>-0.0</v>
      </c>
      <c r="QFI55" s="5">
        <f>-IFERROR('4. NPV'!QFJ24/'4. NPV'!QFJ$8,0)</f>
        <v>-0.0</v>
      </c>
      <c r="QFJ55" s="5">
        <f>-IFERROR('4. NPV'!QFK24/'4. NPV'!QFK$8,0)</f>
        <v>-0.0</v>
      </c>
      <c r="QFK55" s="5">
        <f>-IFERROR('4. NPV'!QFL24/'4. NPV'!QFL$8,0)</f>
        <v>-0.0</v>
      </c>
      <c r="QFL55" s="5">
        <f>-IFERROR('4. NPV'!QFM24/'4. NPV'!QFM$8,0)</f>
        <v>-0.0</v>
      </c>
      <c r="QFM55" s="5">
        <f>-IFERROR('4. NPV'!QFN24/'4. NPV'!QFN$8,0)</f>
        <v>-0.0</v>
      </c>
      <c r="QFN55" s="5">
        <f>-IFERROR('4. NPV'!QFO24/'4. NPV'!QFO$8,0)</f>
        <v>-0.0</v>
      </c>
      <c r="QFO55" s="5">
        <f>-IFERROR('4. NPV'!QFP24/'4. NPV'!QFP$8,0)</f>
        <v>-0.0</v>
      </c>
      <c r="QFP55" s="5">
        <f>-IFERROR('4. NPV'!QFQ24/'4. NPV'!QFQ$8,0)</f>
        <v>-0.0</v>
      </c>
      <c r="QFQ55" s="5">
        <f>-IFERROR('4. NPV'!QFR24/'4. NPV'!QFR$8,0)</f>
        <v>-0.0</v>
      </c>
      <c r="QFR55" s="5">
        <f>-IFERROR('4. NPV'!QFS24/'4. NPV'!QFS$8,0)</f>
        <v>-0.0</v>
      </c>
      <c r="QFS55" s="5">
        <f>-IFERROR('4. NPV'!QFT24/'4. NPV'!QFT$8,0)</f>
        <v>-0.0</v>
      </c>
      <c r="QFT55" s="5">
        <f>-IFERROR('4. NPV'!QFU24/'4. NPV'!QFU$8,0)</f>
        <v>-0.0</v>
      </c>
      <c r="QFU55" s="5">
        <f>-IFERROR('4. NPV'!QFV24/'4. NPV'!QFV$8,0)</f>
        <v>-0.0</v>
      </c>
      <c r="QFV55" s="5">
        <f>-IFERROR('4. NPV'!QFW24/'4. NPV'!QFW$8,0)</f>
        <v>-0.0</v>
      </c>
      <c r="QFW55" s="5">
        <f>-IFERROR('4. NPV'!QFX24/'4. NPV'!QFX$8,0)</f>
        <v>-0.0</v>
      </c>
      <c r="QFX55" s="5">
        <f>-IFERROR('4. NPV'!QFY24/'4. NPV'!QFY$8,0)</f>
        <v>-0.0</v>
      </c>
      <c r="QFY55" s="5">
        <f>-IFERROR('4. NPV'!QFZ24/'4. NPV'!QFZ$8,0)</f>
        <v>-0.0</v>
      </c>
      <c r="QFZ55" s="5">
        <f>-IFERROR('4. NPV'!QGA24/'4. NPV'!QGA$8,0)</f>
        <v>-0.0</v>
      </c>
      <c r="QGA55" s="5">
        <f>-IFERROR('4. NPV'!QGB24/'4. NPV'!QGB$8,0)</f>
        <v>-0.0</v>
      </c>
      <c r="QGB55" s="5">
        <f>-IFERROR('4. NPV'!QGC24/'4. NPV'!QGC$8,0)</f>
        <v>-0.0</v>
      </c>
      <c r="QGC55" s="5">
        <f>-IFERROR('4. NPV'!QGD24/'4. NPV'!QGD$8,0)</f>
        <v>-0.0</v>
      </c>
      <c r="QGD55" s="5">
        <f>-IFERROR('4. NPV'!QGE24/'4. NPV'!QGE$8,0)</f>
        <v>-0.0</v>
      </c>
      <c r="QGE55" s="5">
        <f>-IFERROR('4. NPV'!QGF24/'4. NPV'!QGF$8,0)</f>
        <v>-0.0</v>
      </c>
      <c r="QGF55" s="5">
        <f>-IFERROR('4. NPV'!QGG24/'4. NPV'!QGG$8,0)</f>
        <v>-0.0</v>
      </c>
      <c r="QGG55" s="5">
        <f>-IFERROR('4. NPV'!QGH24/'4. NPV'!QGH$8,0)</f>
        <v>-0.0</v>
      </c>
      <c r="QGH55" s="5">
        <f>-IFERROR('4. NPV'!QGI24/'4. NPV'!QGI$8,0)</f>
        <v>-0.0</v>
      </c>
      <c r="QGI55" s="5">
        <f>-IFERROR('4. NPV'!QGJ24/'4. NPV'!QGJ$8,0)</f>
        <v>-0.0</v>
      </c>
      <c r="QGJ55" s="5">
        <f>-IFERROR('4. NPV'!QGK24/'4. NPV'!QGK$8,0)</f>
        <v>-0.0</v>
      </c>
      <c r="QGK55" s="5">
        <f>-IFERROR('4. NPV'!QGL24/'4. NPV'!QGL$8,0)</f>
        <v>-0.0</v>
      </c>
      <c r="QGL55" s="5">
        <f>-IFERROR('4. NPV'!QGM24/'4. NPV'!QGM$8,0)</f>
        <v>-0.0</v>
      </c>
      <c r="QGM55" s="5">
        <f>-IFERROR('4. NPV'!QGN24/'4. NPV'!QGN$8,0)</f>
        <v>-0.0</v>
      </c>
      <c r="QGN55" s="5">
        <f>-IFERROR('4. NPV'!QGO24/'4. NPV'!QGO$8,0)</f>
        <v>-0.0</v>
      </c>
      <c r="QGO55" s="5">
        <f>-IFERROR('4. NPV'!QGP24/'4. NPV'!QGP$8,0)</f>
        <v>-0.0</v>
      </c>
      <c r="QGP55" s="5">
        <f>-IFERROR('4. NPV'!QGQ24/'4. NPV'!QGQ$8,0)</f>
        <v>-0.0</v>
      </c>
      <c r="QGQ55" s="5">
        <f>-IFERROR('4. NPV'!QGR24/'4. NPV'!QGR$8,0)</f>
        <v>-0.0</v>
      </c>
      <c r="QGR55" s="5">
        <f>-IFERROR('4. NPV'!QGS24/'4. NPV'!QGS$8,0)</f>
        <v>-0.0</v>
      </c>
      <c r="QGS55" s="5">
        <f>-IFERROR('4. NPV'!QGT24/'4. NPV'!QGT$8,0)</f>
        <v>-0.0</v>
      </c>
      <c r="QGT55" s="5">
        <f>-IFERROR('4. NPV'!QGU24/'4. NPV'!QGU$8,0)</f>
        <v>-0.0</v>
      </c>
      <c r="QGU55" s="5">
        <f>-IFERROR('4. NPV'!QGV24/'4. NPV'!QGV$8,0)</f>
        <v>-0.0</v>
      </c>
      <c r="QGV55" s="5">
        <f>-IFERROR('4. NPV'!QGW24/'4. NPV'!QGW$8,0)</f>
        <v>-0.0</v>
      </c>
      <c r="QGW55" s="5">
        <f>-IFERROR('4. NPV'!QGX24/'4. NPV'!QGX$8,0)</f>
        <v>-0.0</v>
      </c>
      <c r="QGX55" s="5">
        <f>-IFERROR('4. NPV'!QGY24/'4. NPV'!QGY$8,0)</f>
        <v>-0.0</v>
      </c>
      <c r="QGY55" s="5">
        <f>-IFERROR('4. NPV'!QGZ24/'4. NPV'!QGZ$8,0)</f>
        <v>-0.0</v>
      </c>
      <c r="QGZ55" s="5">
        <f>-IFERROR('4. NPV'!QHA24/'4. NPV'!QHA$8,0)</f>
        <v>-0.0</v>
      </c>
      <c r="QHA55" s="5">
        <f>-IFERROR('4. NPV'!QHB24/'4. NPV'!QHB$8,0)</f>
        <v>-0.0</v>
      </c>
      <c r="QHB55" s="5">
        <f>-IFERROR('4. NPV'!QHC24/'4. NPV'!QHC$8,0)</f>
        <v>-0.0</v>
      </c>
      <c r="QHC55" s="5">
        <f>-IFERROR('4. NPV'!QHD24/'4. NPV'!QHD$8,0)</f>
        <v>-0.0</v>
      </c>
      <c r="QHD55" s="5">
        <f>-IFERROR('4. NPV'!QHE24/'4. NPV'!QHE$8,0)</f>
        <v>-0.0</v>
      </c>
      <c r="QHE55" s="5">
        <f>-IFERROR('4. NPV'!QHF24/'4. NPV'!QHF$8,0)</f>
        <v>-0.0</v>
      </c>
      <c r="QHF55" s="5">
        <f>-IFERROR('4. NPV'!QHG24/'4. NPV'!QHG$8,0)</f>
        <v>-0.0</v>
      </c>
      <c r="QHG55" s="5">
        <f>-IFERROR('4. NPV'!QHH24/'4. NPV'!QHH$8,0)</f>
        <v>-0.0</v>
      </c>
      <c r="QHH55" s="5">
        <f>-IFERROR('4. NPV'!QHI24/'4. NPV'!QHI$8,0)</f>
        <v>-0.0</v>
      </c>
      <c r="QHI55" s="5">
        <f>-IFERROR('4. NPV'!QHJ24/'4. NPV'!QHJ$8,0)</f>
        <v>-0.0</v>
      </c>
      <c r="QHJ55" s="5">
        <f>-IFERROR('4. NPV'!QHK24/'4. NPV'!QHK$8,0)</f>
        <v>-0.0</v>
      </c>
      <c r="QHK55" s="5">
        <f>-IFERROR('4. NPV'!QHL24/'4. NPV'!QHL$8,0)</f>
        <v>-0.0</v>
      </c>
      <c r="QHL55" s="5">
        <f>-IFERROR('4. NPV'!QHM24/'4. NPV'!QHM$8,0)</f>
        <v>-0.0</v>
      </c>
      <c r="QHM55" s="5">
        <f>-IFERROR('4. NPV'!QHN24/'4. NPV'!QHN$8,0)</f>
        <v>-0.0</v>
      </c>
      <c r="QHN55" s="5">
        <f>-IFERROR('4. NPV'!QHO24/'4. NPV'!QHO$8,0)</f>
        <v>-0.0</v>
      </c>
      <c r="QHO55" s="5">
        <f>-IFERROR('4. NPV'!QHP24/'4. NPV'!QHP$8,0)</f>
        <v>-0.0</v>
      </c>
      <c r="QHP55" s="5">
        <f>-IFERROR('4. NPV'!QHQ24/'4. NPV'!QHQ$8,0)</f>
        <v>-0.0</v>
      </c>
      <c r="QHQ55" s="5">
        <f>-IFERROR('4. NPV'!QHR24/'4. NPV'!QHR$8,0)</f>
        <v>-0.0</v>
      </c>
      <c r="QHR55" s="5">
        <f>-IFERROR('4. NPV'!QHS24/'4. NPV'!QHS$8,0)</f>
        <v>-0.0</v>
      </c>
      <c r="QHS55" s="5">
        <f>-IFERROR('4. NPV'!QHT24/'4. NPV'!QHT$8,0)</f>
        <v>-0.0</v>
      </c>
      <c r="QHT55" s="5">
        <f>-IFERROR('4. NPV'!QHU24/'4. NPV'!QHU$8,0)</f>
        <v>-0.0</v>
      </c>
      <c r="QHU55" s="5">
        <f>-IFERROR('4. NPV'!QHV24/'4. NPV'!QHV$8,0)</f>
        <v>-0.0</v>
      </c>
      <c r="QHV55" s="5">
        <f>-IFERROR('4. NPV'!QHW24/'4. NPV'!QHW$8,0)</f>
        <v>-0.0</v>
      </c>
      <c r="QHW55" s="5">
        <f>-IFERROR('4. NPV'!QHX24/'4. NPV'!QHX$8,0)</f>
        <v>-0.0</v>
      </c>
      <c r="QHX55" s="5">
        <f>-IFERROR('4. NPV'!QHY24/'4. NPV'!QHY$8,0)</f>
        <v>-0.0</v>
      </c>
      <c r="QHY55" s="5">
        <f>-IFERROR('4. NPV'!QHZ24/'4. NPV'!QHZ$8,0)</f>
        <v>-0.0</v>
      </c>
      <c r="QHZ55" s="5">
        <f>-IFERROR('4. NPV'!QIA24/'4. NPV'!QIA$8,0)</f>
        <v>-0.0</v>
      </c>
      <c r="QIA55" s="5">
        <f>-IFERROR('4. NPV'!QIB24/'4. NPV'!QIB$8,0)</f>
        <v>-0.0</v>
      </c>
      <c r="QIB55" s="5">
        <f>-IFERROR('4. NPV'!QIC24/'4. NPV'!QIC$8,0)</f>
        <v>-0.0</v>
      </c>
      <c r="QIC55" s="5">
        <f>-IFERROR('4. NPV'!QID24/'4. NPV'!QID$8,0)</f>
        <v>-0.0</v>
      </c>
      <c r="QID55" s="5">
        <f>-IFERROR('4. NPV'!QIE24/'4. NPV'!QIE$8,0)</f>
        <v>-0.0</v>
      </c>
      <c r="QIE55" s="5">
        <f>-IFERROR('4. NPV'!QIF24/'4. NPV'!QIF$8,0)</f>
        <v>-0.0</v>
      </c>
      <c r="QIF55" s="5">
        <f>-IFERROR('4. NPV'!QIG24/'4. NPV'!QIG$8,0)</f>
        <v>-0.0</v>
      </c>
      <c r="QIG55" s="5">
        <f>-IFERROR('4. NPV'!QIH24/'4. NPV'!QIH$8,0)</f>
        <v>-0.0</v>
      </c>
      <c r="QIH55" s="5">
        <f>-IFERROR('4. NPV'!QII24/'4. NPV'!QII$8,0)</f>
        <v>-0.0</v>
      </c>
      <c r="QII55" s="5">
        <f>-IFERROR('4. NPV'!QIJ24/'4. NPV'!QIJ$8,0)</f>
        <v>-0.0</v>
      </c>
      <c r="QIJ55" s="5">
        <f>-IFERROR('4. NPV'!QIK24/'4. NPV'!QIK$8,0)</f>
        <v>-0.0</v>
      </c>
      <c r="QIK55" s="5">
        <f>-IFERROR('4. NPV'!QIL24/'4. NPV'!QIL$8,0)</f>
        <v>-0.0</v>
      </c>
      <c r="QIL55" s="5">
        <f>-IFERROR('4. NPV'!QIM24/'4. NPV'!QIM$8,0)</f>
        <v>-0.0</v>
      </c>
      <c r="QIM55" s="5">
        <f>-IFERROR('4. NPV'!QIN24/'4. NPV'!QIN$8,0)</f>
        <v>-0.0</v>
      </c>
      <c r="QIN55" s="5">
        <f>-IFERROR('4. NPV'!QIO24/'4. NPV'!QIO$8,0)</f>
        <v>-0.0</v>
      </c>
      <c r="QIO55" s="5">
        <f>-IFERROR('4. NPV'!QIP24/'4. NPV'!QIP$8,0)</f>
        <v>-0.0</v>
      </c>
      <c r="QIP55" s="5">
        <f>-IFERROR('4. NPV'!QIQ24/'4. NPV'!QIQ$8,0)</f>
        <v>-0.0</v>
      </c>
      <c r="QIQ55" s="5">
        <f>-IFERROR('4. NPV'!QIR24/'4. NPV'!QIR$8,0)</f>
        <v>-0.0</v>
      </c>
      <c r="QIR55" s="5">
        <f>-IFERROR('4. NPV'!QIS24/'4. NPV'!QIS$8,0)</f>
        <v>-0.0</v>
      </c>
      <c r="QIS55" s="5">
        <f>-IFERROR('4. NPV'!QIT24/'4. NPV'!QIT$8,0)</f>
        <v>-0.0</v>
      </c>
      <c r="QIT55" s="5">
        <f>-IFERROR('4. NPV'!QIU24/'4. NPV'!QIU$8,0)</f>
        <v>-0.0</v>
      </c>
      <c r="QIU55" s="5">
        <f>-IFERROR('4. NPV'!QIV24/'4. NPV'!QIV$8,0)</f>
        <v>-0.0</v>
      </c>
      <c r="QIV55" s="5">
        <f>-IFERROR('4. NPV'!QIW24/'4. NPV'!QIW$8,0)</f>
        <v>-0.0</v>
      </c>
      <c r="QIW55" s="5">
        <f>-IFERROR('4. NPV'!QIX24/'4. NPV'!QIX$8,0)</f>
        <v>-0.0</v>
      </c>
      <c r="QIX55" s="5">
        <f>-IFERROR('4. NPV'!QIY24/'4. NPV'!QIY$8,0)</f>
        <v>-0.0</v>
      </c>
      <c r="QIY55" s="5">
        <f>-IFERROR('4. NPV'!QIZ24/'4. NPV'!QIZ$8,0)</f>
        <v>-0.0</v>
      </c>
      <c r="QIZ55" s="5">
        <f>-IFERROR('4. NPV'!QJA24/'4. NPV'!QJA$8,0)</f>
        <v>-0.0</v>
      </c>
      <c r="QJA55" s="5">
        <f>-IFERROR('4. NPV'!QJB24/'4. NPV'!QJB$8,0)</f>
        <v>-0.0</v>
      </c>
      <c r="QJB55" s="5">
        <f>-IFERROR('4. NPV'!QJC24/'4. NPV'!QJC$8,0)</f>
        <v>-0.0</v>
      </c>
      <c r="QJC55" s="5">
        <f>-IFERROR('4. NPV'!QJD24/'4. NPV'!QJD$8,0)</f>
        <v>-0.0</v>
      </c>
      <c r="QJD55" s="5">
        <f>-IFERROR('4. NPV'!QJE24/'4. NPV'!QJE$8,0)</f>
        <v>-0.0</v>
      </c>
      <c r="QJE55" s="5">
        <f>-IFERROR('4. NPV'!QJF24/'4. NPV'!QJF$8,0)</f>
        <v>-0.0</v>
      </c>
      <c r="QJF55" s="5">
        <f>-IFERROR('4. NPV'!QJG24/'4. NPV'!QJG$8,0)</f>
        <v>-0.0</v>
      </c>
      <c r="QJG55" s="5">
        <f>-IFERROR('4. NPV'!QJH24/'4. NPV'!QJH$8,0)</f>
        <v>-0.0</v>
      </c>
      <c r="QJH55" s="5">
        <f>-IFERROR('4. NPV'!QJI24/'4. NPV'!QJI$8,0)</f>
        <v>-0.0</v>
      </c>
      <c r="QJI55" s="5">
        <f>-IFERROR('4. NPV'!QJJ24/'4. NPV'!QJJ$8,0)</f>
        <v>-0.0</v>
      </c>
      <c r="QJJ55" s="5">
        <f>-IFERROR('4. NPV'!QJK24/'4. NPV'!QJK$8,0)</f>
        <v>-0.0</v>
      </c>
      <c r="QJK55" s="5">
        <f>-IFERROR('4. NPV'!QJL24/'4. NPV'!QJL$8,0)</f>
        <v>-0.0</v>
      </c>
      <c r="QJL55" s="5">
        <f>-IFERROR('4. NPV'!QJM24/'4. NPV'!QJM$8,0)</f>
        <v>-0.0</v>
      </c>
      <c r="QJM55" s="5">
        <f>-IFERROR('4. NPV'!QJN24/'4. NPV'!QJN$8,0)</f>
        <v>-0.0</v>
      </c>
      <c r="QJN55" s="5">
        <f>-IFERROR('4. NPV'!QJO24/'4. NPV'!QJO$8,0)</f>
        <v>-0.0</v>
      </c>
      <c r="QJO55" s="5">
        <f>-IFERROR('4. NPV'!QJP24/'4. NPV'!QJP$8,0)</f>
        <v>-0.0</v>
      </c>
      <c r="QJP55" s="5">
        <f>-IFERROR('4. NPV'!QJQ24/'4. NPV'!QJQ$8,0)</f>
        <v>-0.0</v>
      </c>
      <c r="QJQ55" s="5">
        <f>-IFERROR('4. NPV'!QJR24/'4. NPV'!QJR$8,0)</f>
        <v>-0.0</v>
      </c>
      <c r="QJR55" s="5">
        <f>-IFERROR('4. NPV'!QJS24/'4. NPV'!QJS$8,0)</f>
        <v>-0.0</v>
      </c>
      <c r="QJS55" s="5">
        <f>-IFERROR('4. NPV'!QJT24/'4. NPV'!QJT$8,0)</f>
        <v>-0.0</v>
      </c>
      <c r="QJT55" s="5">
        <f>-IFERROR('4. NPV'!QJU24/'4. NPV'!QJU$8,0)</f>
        <v>-0.0</v>
      </c>
      <c r="QJU55" s="5">
        <f>-IFERROR('4. NPV'!QJV24/'4. NPV'!QJV$8,0)</f>
        <v>-0.0</v>
      </c>
      <c r="QJV55" s="5">
        <f>-IFERROR('4. NPV'!QJW24/'4. NPV'!QJW$8,0)</f>
        <v>-0.0</v>
      </c>
      <c r="QJW55" s="5">
        <f>-IFERROR('4. NPV'!QJX24/'4. NPV'!QJX$8,0)</f>
        <v>-0.0</v>
      </c>
      <c r="QJX55" s="5">
        <f>-IFERROR('4. NPV'!QJY24/'4. NPV'!QJY$8,0)</f>
        <v>-0.0</v>
      </c>
      <c r="QJY55" s="5">
        <f>-IFERROR('4. NPV'!QJZ24/'4. NPV'!QJZ$8,0)</f>
        <v>-0.0</v>
      </c>
      <c r="QJZ55" s="5">
        <f>-IFERROR('4. NPV'!QKA24/'4. NPV'!QKA$8,0)</f>
        <v>-0.0</v>
      </c>
      <c r="QKA55" s="5">
        <f>-IFERROR('4. NPV'!QKB24/'4. NPV'!QKB$8,0)</f>
        <v>-0.0</v>
      </c>
      <c r="QKB55" s="5">
        <f>-IFERROR('4. NPV'!QKC24/'4. NPV'!QKC$8,0)</f>
        <v>-0.0</v>
      </c>
      <c r="QKC55" s="5">
        <f>-IFERROR('4. NPV'!QKD24/'4. NPV'!QKD$8,0)</f>
        <v>-0.0</v>
      </c>
      <c r="QKD55" s="5">
        <f>-IFERROR('4. NPV'!QKE24/'4. NPV'!QKE$8,0)</f>
        <v>-0.0</v>
      </c>
      <c r="QKE55" s="5">
        <f>-IFERROR('4. NPV'!QKF24/'4. NPV'!QKF$8,0)</f>
        <v>-0.0</v>
      </c>
      <c r="QKF55" s="5">
        <f>-IFERROR('4. NPV'!QKG24/'4. NPV'!QKG$8,0)</f>
        <v>-0.0</v>
      </c>
      <c r="QKG55" s="5">
        <f>-IFERROR('4. NPV'!QKH24/'4. NPV'!QKH$8,0)</f>
        <v>-0.0</v>
      </c>
      <c r="QKH55" s="5">
        <f>-IFERROR('4. NPV'!QKI24/'4. NPV'!QKI$8,0)</f>
        <v>-0.0</v>
      </c>
      <c r="QKI55" s="5">
        <f>-IFERROR('4. NPV'!QKJ24/'4. NPV'!QKJ$8,0)</f>
        <v>-0.0</v>
      </c>
      <c r="QKJ55" s="5">
        <f>-IFERROR('4. NPV'!QKK24/'4. NPV'!QKK$8,0)</f>
        <v>-0.0</v>
      </c>
      <c r="QKK55" s="5">
        <f>-IFERROR('4. NPV'!QKL24/'4. NPV'!QKL$8,0)</f>
        <v>-0.0</v>
      </c>
      <c r="QKL55" s="5">
        <f>-IFERROR('4. NPV'!QKM24/'4. NPV'!QKM$8,0)</f>
        <v>-0.0</v>
      </c>
      <c r="QKM55" s="5">
        <f>-IFERROR('4. NPV'!QKN24/'4. NPV'!QKN$8,0)</f>
        <v>-0.0</v>
      </c>
      <c r="QKN55" s="5">
        <f>-IFERROR('4. NPV'!QKO24/'4. NPV'!QKO$8,0)</f>
        <v>-0.0</v>
      </c>
      <c r="QKO55" s="5">
        <f>-IFERROR('4. NPV'!QKP24/'4. NPV'!QKP$8,0)</f>
        <v>-0.0</v>
      </c>
      <c r="QKP55" s="5">
        <f>-IFERROR('4. NPV'!QKQ24/'4. NPV'!QKQ$8,0)</f>
        <v>-0.0</v>
      </c>
      <c r="QKQ55" s="5">
        <f>-IFERROR('4. NPV'!QKR24/'4. NPV'!QKR$8,0)</f>
        <v>-0.0</v>
      </c>
      <c r="QKR55" s="5">
        <f>-IFERROR('4. NPV'!QKS24/'4. NPV'!QKS$8,0)</f>
        <v>-0.0</v>
      </c>
      <c r="QKS55" s="5">
        <f>-IFERROR('4. NPV'!QKT24/'4. NPV'!QKT$8,0)</f>
        <v>-0.0</v>
      </c>
      <c r="QKT55" s="5">
        <f>-IFERROR('4. NPV'!QKU24/'4. NPV'!QKU$8,0)</f>
        <v>-0.0</v>
      </c>
      <c r="QKU55" s="5">
        <f>-IFERROR('4. NPV'!QKV24/'4. NPV'!QKV$8,0)</f>
        <v>-0.0</v>
      </c>
      <c r="QKV55" s="5">
        <f>-IFERROR('4. NPV'!QKW24/'4. NPV'!QKW$8,0)</f>
        <v>-0.0</v>
      </c>
      <c r="QKW55" s="5">
        <f>-IFERROR('4. NPV'!QKX24/'4. NPV'!QKX$8,0)</f>
        <v>-0.0</v>
      </c>
      <c r="QKX55" s="5">
        <f>-IFERROR('4. NPV'!QKY24/'4. NPV'!QKY$8,0)</f>
        <v>-0.0</v>
      </c>
      <c r="QKY55" s="5">
        <f>-IFERROR('4. NPV'!QKZ24/'4. NPV'!QKZ$8,0)</f>
        <v>-0.0</v>
      </c>
      <c r="QKZ55" s="5">
        <f>-IFERROR('4. NPV'!QLA24/'4. NPV'!QLA$8,0)</f>
        <v>-0.0</v>
      </c>
      <c r="QLA55" s="5">
        <f>-IFERROR('4. NPV'!QLB24/'4. NPV'!QLB$8,0)</f>
        <v>-0.0</v>
      </c>
      <c r="QLB55" s="5">
        <f>-IFERROR('4. NPV'!QLC24/'4. NPV'!QLC$8,0)</f>
        <v>-0.0</v>
      </c>
      <c r="QLC55" s="5">
        <f>-IFERROR('4. NPV'!QLD24/'4. NPV'!QLD$8,0)</f>
        <v>-0.0</v>
      </c>
      <c r="QLD55" s="5">
        <f>-IFERROR('4. NPV'!QLE24/'4. NPV'!QLE$8,0)</f>
        <v>-0.0</v>
      </c>
      <c r="QLE55" s="5">
        <f>-IFERROR('4. NPV'!QLF24/'4. NPV'!QLF$8,0)</f>
        <v>-0.0</v>
      </c>
      <c r="QLF55" s="5">
        <f>-IFERROR('4. NPV'!QLG24/'4. NPV'!QLG$8,0)</f>
        <v>-0.0</v>
      </c>
      <c r="QLG55" s="5">
        <f>-IFERROR('4. NPV'!QLH24/'4. NPV'!QLH$8,0)</f>
        <v>-0.0</v>
      </c>
      <c r="QLH55" s="5">
        <f>-IFERROR('4. NPV'!QLI24/'4. NPV'!QLI$8,0)</f>
        <v>-0.0</v>
      </c>
      <c r="QLI55" s="5">
        <f>-IFERROR('4. NPV'!QLJ24/'4. NPV'!QLJ$8,0)</f>
        <v>-0.0</v>
      </c>
      <c r="QLJ55" s="5">
        <f>-IFERROR('4. NPV'!QLK24/'4. NPV'!QLK$8,0)</f>
        <v>-0.0</v>
      </c>
      <c r="QLK55" s="5">
        <f>-IFERROR('4. NPV'!QLL24/'4. NPV'!QLL$8,0)</f>
        <v>-0.0</v>
      </c>
      <c r="QLL55" s="5">
        <f>-IFERROR('4. NPV'!QLM24/'4. NPV'!QLM$8,0)</f>
        <v>-0.0</v>
      </c>
      <c r="QLM55" s="5">
        <f>-IFERROR('4. NPV'!QLN24/'4. NPV'!QLN$8,0)</f>
        <v>-0.0</v>
      </c>
      <c r="QLN55" s="5">
        <f>-IFERROR('4. NPV'!QLO24/'4. NPV'!QLO$8,0)</f>
        <v>-0.0</v>
      </c>
      <c r="QLO55" s="5">
        <f>-IFERROR('4. NPV'!QLP24/'4. NPV'!QLP$8,0)</f>
        <v>-0.0</v>
      </c>
      <c r="QLP55" s="5">
        <f>-IFERROR('4. NPV'!QLQ24/'4. NPV'!QLQ$8,0)</f>
        <v>-0.0</v>
      </c>
      <c r="QLQ55" s="5">
        <f>-IFERROR('4. NPV'!QLR24/'4. NPV'!QLR$8,0)</f>
        <v>-0.0</v>
      </c>
      <c r="QLR55" s="5">
        <f>-IFERROR('4. NPV'!QLS24/'4. NPV'!QLS$8,0)</f>
        <v>-0.0</v>
      </c>
      <c r="QLS55" s="5">
        <f>-IFERROR('4. NPV'!QLT24/'4. NPV'!QLT$8,0)</f>
        <v>-0.0</v>
      </c>
      <c r="QLT55" s="5">
        <f>-IFERROR('4. NPV'!QLU24/'4. NPV'!QLU$8,0)</f>
        <v>-0.0</v>
      </c>
      <c r="QLU55" s="5">
        <f>-IFERROR('4. NPV'!QLV24/'4. NPV'!QLV$8,0)</f>
        <v>-0.0</v>
      </c>
      <c r="QLV55" s="5">
        <f>-IFERROR('4. NPV'!QLW24/'4. NPV'!QLW$8,0)</f>
        <v>-0.0</v>
      </c>
      <c r="QLW55" s="5">
        <f>-IFERROR('4. NPV'!QLX24/'4. NPV'!QLX$8,0)</f>
        <v>-0.0</v>
      </c>
      <c r="QLX55" s="5">
        <f>-IFERROR('4. NPV'!QLY24/'4. NPV'!QLY$8,0)</f>
        <v>-0.0</v>
      </c>
      <c r="QLY55" s="5">
        <f>-IFERROR('4. NPV'!QLZ24/'4. NPV'!QLZ$8,0)</f>
        <v>-0.0</v>
      </c>
      <c r="QLZ55" s="5">
        <f>-IFERROR('4. NPV'!QMA24/'4. NPV'!QMA$8,0)</f>
        <v>-0.0</v>
      </c>
      <c r="QMA55" s="5">
        <f>-IFERROR('4. NPV'!QMB24/'4. NPV'!QMB$8,0)</f>
        <v>-0.0</v>
      </c>
      <c r="QMB55" s="5">
        <f>-IFERROR('4. NPV'!QMC24/'4. NPV'!QMC$8,0)</f>
        <v>-0.0</v>
      </c>
      <c r="QMC55" s="5">
        <f>-IFERROR('4. NPV'!QMD24/'4. NPV'!QMD$8,0)</f>
        <v>-0.0</v>
      </c>
      <c r="QMD55" s="5">
        <f>-IFERROR('4. NPV'!QME24/'4. NPV'!QME$8,0)</f>
        <v>-0.0</v>
      </c>
      <c r="QME55" s="5">
        <f>-IFERROR('4. NPV'!QMF24/'4. NPV'!QMF$8,0)</f>
        <v>-0.0</v>
      </c>
      <c r="QMF55" s="5">
        <f>-IFERROR('4. NPV'!QMG24/'4. NPV'!QMG$8,0)</f>
        <v>-0.0</v>
      </c>
      <c r="QMG55" s="5">
        <f>-IFERROR('4. NPV'!QMH24/'4. NPV'!QMH$8,0)</f>
        <v>-0.0</v>
      </c>
      <c r="QMH55" s="5">
        <f>-IFERROR('4. NPV'!QMI24/'4. NPV'!QMI$8,0)</f>
        <v>-0.0</v>
      </c>
      <c r="QMI55" s="5">
        <f>-IFERROR('4. NPV'!QMJ24/'4. NPV'!QMJ$8,0)</f>
        <v>-0.0</v>
      </c>
      <c r="QMJ55" s="5">
        <f>-IFERROR('4. NPV'!QMK24/'4. NPV'!QMK$8,0)</f>
        <v>-0.0</v>
      </c>
      <c r="QMK55" s="5">
        <f>-IFERROR('4. NPV'!QML24/'4. NPV'!QML$8,0)</f>
        <v>-0.0</v>
      </c>
      <c r="QML55" s="5">
        <f>-IFERROR('4. NPV'!QMM24/'4. NPV'!QMM$8,0)</f>
        <v>-0.0</v>
      </c>
      <c r="QMM55" s="5">
        <f>-IFERROR('4. NPV'!QMN24/'4. NPV'!QMN$8,0)</f>
        <v>-0.0</v>
      </c>
      <c r="QMN55" s="5">
        <f>-IFERROR('4. NPV'!QMO24/'4. NPV'!QMO$8,0)</f>
        <v>-0.0</v>
      </c>
      <c r="QMO55" s="5">
        <f>-IFERROR('4. NPV'!QMP24/'4. NPV'!QMP$8,0)</f>
        <v>-0.0</v>
      </c>
      <c r="QMP55" s="5">
        <f>-IFERROR('4. NPV'!QMQ24/'4. NPV'!QMQ$8,0)</f>
        <v>-0.0</v>
      </c>
      <c r="QMQ55" s="5">
        <f>-IFERROR('4. NPV'!QMR24/'4. NPV'!QMR$8,0)</f>
        <v>-0.0</v>
      </c>
      <c r="QMR55" s="5">
        <f>-IFERROR('4. NPV'!QMS24/'4. NPV'!QMS$8,0)</f>
        <v>-0.0</v>
      </c>
      <c r="QMS55" s="5">
        <f>-IFERROR('4. NPV'!QMT24/'4. NPV'!QMT$8,0)</f>
        <v>-0.0</v>
      </c>
      <c r="QMT55" s="5">
        <f>-IFERROR('4. NPV'!QMU24/'4. NPV'!QMU$8,0)</f>
        <v>-0.0</v>
      </c>
      <c r="QMU55" s="5">
        <f>-IFERROR('4. NPV'!QMV24/'4. NPV'!QMV$8,0)</f>
        <v>-0.0</v>
      </c>
      <c r="QMV55" s="5">
        <f>-IFERROR('4. NPV'!QMW24/'4. NPV'!QMW$8,0)</f>
        <v>-0.0</v>
      </c>
      <c r="QMW55" s="5">
        <f>-IFERROR('4. NPV'!QMX24/'4. NPV'!QMX$8,0)</f>
        <v>-0.0</v>
      </c>
      <c r="QMX55" s="5">
        <f>-IFERROR('4. NPV'!QMY24/'4. NPV'!QMY$8,0)</f>
        <v>-0.0</v>
      </c>
      <c r="QMY55" s="5">
        <f>-IFERROR('4. NPV'!QMZ24/'4. NPV'!QMZ$8,0)</f>
        <v>-0.0</v>
      </c>
      <c r="QMZ55" s="5">
        <f>-IFERROR('4. NPV'!QNA24/'4. NPV'!QNA$8,0)</f>
        <v>-0.0</v>
      </c>
      <c r="QNA55" s="5">
        <f>-IFERROR('4. NPV'!QNB24/'4. NPV'!QNB$8,0)</f>
        <v>-0.0</v>
      </c>
      <c r="QNB55" s="5">
        <f>-IFERROR('4. NPV'!QNC24/'4. NPV'!QNC$8,0)</f>
        <v>-0.0</v>
      </c>
      <c r="QNC55" s="5">
        <f>-IFERROR('4. NPV'!QND24/'4. NPV'!QND$8,0)</f>
        <v>-0.0</v>
      </c>
      <c r="QND55" s="5">
        <f>-IFERROR('4. NPV'!QNE24/'4. NPV'!QNE$8,0)</f>
        <v>-0.0</v>
      </c>
      <c r="QNE55" s="5">
        <f>-IFERROR('4. NPV'!QNF24/'4. NPV'!QNF$8,0)</f>
        <v>-0.0</v>
      </c>
      <c r="QNF55" s="5">
        <f>-IFERROR('4. NPV'!QNG24/'4. NPV'!QNG$8,0)</f>
        <v>-0.0</v>
      </c>
      <c r="QNG55" s="5">
        <f>-IFERROR('4. NPV'!QNH24/'4. NPV'!QNH$8,0)</f>
        <v>-0.0</v>
      </c>
      <c r="QNH55" s="5">
        <f>-IFERROR('4. NPV'!QNI24/'4. NPV'!QNI$8,0)</f>
        <v>-0.0</v>
      </c>
      <c r="QNI55" s="5">
        <f>-IFERROR('4. NPV'!QNJ24/'4. NPV'!QNJ$8,0)</f>
        <v>-0.0</v>
      </c>
      <c r="QNJ55" s="5">
        <f>-IFERROR('4. NPV'!QNK24/'4. NPV'!QNK$8,0)</f>
        <v>-0.0</v>
      </c>
      <c r="QNK55" s="5">
        <f>-IFERROR('4. NPV'!QNL24/'4. NPV'!QNL$8,0)</f>
        <v>-0.0</v>
      </c>
      <c r="QNL55" s="5">
        <f>-IFERROR('4. NPV'!QNM24/'4. NPV'!QNM$8,0)</f>
        <v>-0.0</v>
      </c>
      <c r="QNM55" s="5">
        <f>-IFERROR('4. NPV'!QNN24/'4. NPV'!QNN$8,0)</f>
        <v>-0.0</v>
      </c>
      <c r="QNN55" s="5">
        <f>-IFERROR('4. NPV'!QNO24/'4. NPV'!QNO$8,0)</f>
        <v>-0.0</v>
      </c>
      <c r="QNO55" s="5">
        <f>-IFERROR('4. NPV'!QNP24/'4. NPV'!QNP$8,0)</f>
        <v>-0.0</v>
      </c>
      <c r="QNP55" s="5">
        <f>-IFERROR('4. NPV'!QNQ24/'4. NPV'!QNQ$8,0)</f>
        <v>-0.0</v>
      </c>
      <c r="QNQ55" s="5">
        <f>-IFERROR('4. NPV'!QNR24/'4. NPV'!QNR$8,0)</f>
        <v>-0.0</v>
      </c>
      <c r="QNR55" s="5">
        <f>-IFERROR('4. NPV'!QNS24/'4. NPV'!QNS$8,0)</f>
        <v>-0.0</v>
      </c>
      <c r="QNS55" s="5">
        <f>-IFERROR('4. NPV'!QNT24/'4. NPV'!QNT$8,0)</f>
        <v>-0.0</v>
      </c>
      <c r="QNT55" s="5">
        <f>-IFERROR('4. NPV'!QNU24/'4. NPV'!QNU$8,0)</f>
        <v>-0.0</v>
      </c>
      <c r="QNU55" s="5">
        <f>-IFERROR('4. NPV'!QNV24/'4. NPV'!QNV$8,0)</f>
        <v>-0.0</v>
      </c>
      <c r="QNV55" s="5">
        <f>-IFERROR('4. NPV'!QNW24/'4. NPV'!QNW$8,0)</f>
        <v>-0.0</v>
      </c>
      <c r="QNW55" s="5">
        <f>-IFERROR('4. NPV'!QNX24/'4. NPV'!QNX$8,0)</f>
        <v>-0.0</v>
      </c>
      <c r="QNX55" s="5">
        <f>-IFERROR('4. NPV'!QNY24/'4. NPV'!QNY$8,0)</f>
        <v>-0.0</v>
      </c>
      <c r="QNY55" s="5">
        <f>-IFERROR('4. NPV'!QNZ24/'4. NPV'!QNZ$8,0)</f>
        <v>-0.0</v>
      </c>
      <c r="QNZ55" s="5">
        <f>-IFERROR('4. NPV'!QOA24/'4. NPV'!QOA$8,0)</f>
        <v>-0.0</v>
      </c>
      <c r="QOA55" s="5">
        <f>-IFERROR('4. NPV'!QOB24/'4. NPV'!QOB$8,0)</f>
        <v>-0.0</v>
      </c>
      <c r="QOB55" s="5">
        <f>-IFERROR('4. NPV'!QOC24/'4. NPV'!QOC$8,0)</f>
        <v>-0.0</v>
      </c>
      <c r="QOC55" s="5">
        <f>-IFERROR('4. NPV'!QOD24/'4. NPV'!QOD$8,0)</f>
        <v>-0.0</v>
      </c>
      <c r="QOD55" s="5">
        <f>-IFERROR('4. NPV'!QOE24/'4. NPV'!QOE$8,0)</f>
        <v>-0.0</v>
      </c>
      <c r="QOE55" s="5">
        <f>-IFERROR('4. NPV'!QOF24/'4. NPV'!QOF$8,0)</f>
        <v>-0.0</v>
      </c>
      <c r="QOF55" s="5">
        <f>-IFERROR('4. NPV'!QOG24/'4. NPV'!QOG$8,0)</f>
        <v>-0.0</v>
      </c>
      <c r="QOG55" s="5">
        <f>-IFERROR('4. NPV'!QOH24/'4. NPV'!QOH$8,0)</f>
        <v>-0.0</v>
      </c>
      <c r="QOH55" s="5">
        <f>-IFERROR('4. NPV'!QOI24/'4. NPV'!QOI$8,0)</f>
        <v>-0.0</v>
      </c>
      <c r="QOI55" s="5">
        <f>-IFERROR('4. NPV'!QOJ24/'4. NPV'!QOJ$8,0)</f>
        <v>-0.0</v>
      </c>
      <c r="QOJ55" s="5">
        <f>-IFERROR('4. NPV'!QOK24/'4. NPV'!QOK$8,0)</f>
        <v>-0.0</v>
      </c>
      <c r="QOK55" s="5">
        <f>-IFERROR('4. NPV'!QOL24/'4. NPV'!QOL$8,0)</f>
        <v>-0.0</v>
      </c>
      <c r="QOL55" s="5">
        <f>-IFERROR('4. NPV'!QOM24/'4. NPV'!QOM$8,0)</f>
        <v>-0.0</v>
      </c>
      <c r="QOM55" s="5">
        <f>-IFERROR('4. NPV'!QON24/'4. NPV'!QON$8,0)</f>
        <v>-0.0</v>
      </c>
      <c r="QON55" s="5">
        <f>-IFERROR('4. NPV'!QOO24/'4. NPV'!QOO$8,0)</f>
        <v>-0.0</v>
      </c>
      <c r="QOO55" s="5">
        <f>-IFERROR('4. NPV'!QOP24/'4. NPV'!QOP$8,0)</f>
        <v>-0.0</v>
      </c>
      <c r="QOP55" s="5">
        <f>-IFERROR('4. NPV'!QOQ24/'4. NPV'!QOQ$8,0)</f>
        <v>-0.0</v>
      </c>
      <c r="QOQ55" s="5">
        <f>-IFERROR('4. NPV'!QOR24/'4. NPV'!QOR$8,0)</f>
        <v>-0.0</v>
      </c>
      <c r="QOR55" s="5">
        <f>-IFERROR('4. NPV'!QOS24/'4. NPV'!QOS$8,0)</f>
        <v>-0.0</v>
      </c>
      <c r="QOS55" s="5">
        <f>-IFERROR('4. NPV'!QOT24/'4. NPV'!QOT$8,0)</f>
        <v>-0.0</v>
      </c>
      <c r="QOT55" s="5">
        <f>-IFERROR('4. NPV'!QOU24/'4. NPV'!QOU$8,0)</f>
        <v>-0.0</v>
      </c>
      <c r="QOU55" s="5">
        <f>-IFERROR('4. NPV'!QOV24/'4. NPV'!QOV$8,0)</f>
        <v>-0.0</v>
      </c>
      <c r="QOV55" s="5">
        <f>-IFERROR('4. NPV'!QOW24/'4. NPV'!QOW$8,0)</f>
        <v>-0.0</v>
      </c>
      <c r="QOW55" s="5">
        <f>-IFERROR('4. NPV'!QOX24/'4. NPV'!QOX$8,0)</f>
        <v>-0.0</v>
      </c>
      <c r="QOX55" s="5">
        <f>-IFERROR('4. NPV'!QOY24/'4. NPV'!QOY$8,0)</f>
        <v>-0.0</v>
      </c>
      <c r="QOY55" s="5">
        <f>-IFERROR('4. NPV'!QOZ24/'4. NPV'!QOZ$8,0)</f>
        <v>-0.0</v>
      </c>
      <c r="QOZ55" s="5">
        <f>-IFERROR('4. NPV'!QPA24/'4. NPV'!QPA$8,0)</f>
        <v>-0.0</v>
      </c>
      <c r="QPA55" s="5">
        <f>-IFERROR('4. NPV'!QPB24/'4. NPV'!QPB$8,0)</f>
        <v>-0.0</v>
      </c>
      <c r="QPB55" s="5">
        <f>-IFERROR('4. NPV'!QPC24/'4. NPV'!QPC$8,0)</f>
        <v>-0.0</v>
      </c>
      <c r="QPC55" s="5">
        <f>-IFERROR('4. NPV'!QPD24/'4. NPV'!QPD$8,0)</f>
        <v>-0.0</v>
      </c>
      <c r="QPD55" s="5">
        <f>-IFERROR('4. NPV'!QPE24/'4. NPV'!QPE$8,0)</f>
        <v>-0.0</v>
      </c>
      <c r="QPE55" s="5">
        <f>-IFERROR('4. NPV'!QPF24/'4. NPV'!QPF$8,0)</f>
        <v>-0.0</v>
      </c>
      <c r="QPF55" s="5">
        <f>-IFERROR('4. NPV'!QPG24/'4. NPV'!QPG$8,0)</f>
        <v>-0.0</v>
      </c>
      <c r="QPG55" s="5">
        <f>-IFERROR('4. NPV'!QPH24/'4. NPV'!QPH$8,0)</f>
        <v>-0.0</v>
      </c>
      <c r="QPH55" s="5">
        <f>-IFERROR('4. NPV'!QPI24/'4. NPV'!QPI$8,0)</f>
        <v>-0.0</v>
      </c>
      <c r="QPI55" s="5">
        <f>-IFERROR('4. NPV'!QPJ24/'4. NPV'!QPJ$8,0)</f>
        <v>-0.0</v>
      </c>
      <c r="QPJ55" s="5">
        <f>-IFERROR('4. NPV'!QPK24/'4. NPV'!QPK$8,0)</f>
        <v>-0.0</v>
      </c>
      <c r="QPK55" s="5">
        <f>-IFERROR('4. NPV'!QPL24/'4. NPV'!QPL$8,0)</f>
        <v>-0.0</v>
      </c>
      <c r="QPL55" s="5">
        <f>-IFERROR('4. NPV'!QPM24/'4. NPV'!QPM$8,0)</f>
        <v>-0.0</v>
      </c>
      <c r="QPM55" s="5">
        <f>-IFERROR('4. NPV'!QPN24/'4. NPV'!QPN$8,0)</f>
        <v>-0.0</v>
      </c>
      <c r="QPN55" s="5">
        <f>-IFERROR('4. NPV'!QPO24/'4. NPV'!QPO$8,0)</f>
        <v>-0.0</v>
      </c>
      <c r="QPO55" s="5">
        <f>-IFERROR('4. NPV'!QPP24/'4. NPV'!QPP$8,0)</f>
        <v>-0.0</v>
      </c>
      <c r="QPP55" s="5">
        <f>-IFERROR('4. NPV'!QPQ24/'4. NPV'!QPQ$8,0)</f>
        <v>-0.0</v>
      </c>
      <c r="QPQ55" s="5">
        <f>-IFERROR('4. NPV'!QPR24/'4. NPV'!QPR$8,0)</f>
        <v>-0.0</v>
      </c>
      <c r="QPR55" s="5">
        <f>-IFERROR('4. NPV'!QPS24/'4. NPV'!QPS$8,0)</f>
        <v>-0.0</v>
      </c>
      <c r="QPS55" s="5">
        <f>-IFERROR('4. NPV'!QPT24/'4. NPV'!QPT$8,0)</f>
        <v>-0.0</v>
      </c>
      <c r="QPT55" s="5">
        <f>-IFERROR('4. NPV'!QPU24/'4. NPV'!QPU$8,0)</f>
        <v>-0.0</v>
      </c>
      <c r="QPU55" s="5">
        <f>-IFERROR('4. NPV'!QPV24/'4. NPV'!QPV$8,0)</f>
        <v>-0.0</v>
      </c>
      <c r="QPV55" s="5">
        <f>-IFERROR('4. NPV'!QPW24/'4. NPV'!QPW$8,0)</f>
        <v>-0.0</v>
      </c>
      <c r="QPW55" s="5">
        <f>-IFERROR('4. NPV'!QPX24/'4. NPV'!QPX$8,0)</f>
        <v>-0.0</v>
      </c>
      <c r="QPX55" s="5">
        <f>-IFERROR('4. NPV'!QPY24/'4. NPV'!QPY$8,0)</f>
        <v>-0.0</v>
      </c>
      <c r="QPY55" s="5">
        <f>-IFERROR('4. NPV'!QPZ24/'4. NPV'!QPZ$8,0)</f>
        <v>-0.0</v>
      </c>
      <c r="QPZ55" s="5">
        <f>-IFERROR('4. NPV'!QQA24/'4. NPV'!QQA$8,0)</f>
        <v>-0.0</v>
      </c>
      <c r="QQA55" s="5">
        <f>-IFERROR('4. NPV'!QQB24/'4. NPV'!QQB$8,0)</f>
        <v>-0.0</v>
      </c>
      <c r="QQB55" s="5">
        <f>-IFERROR('4. NPV'!QQC24/'4. NPV'!QQC$8,0)</f>
        <v>-0.0</v>
      </c>
      <c r="QQC55" s="5">
        <f>-IFERROR('4. NPV'!QQD24/'4. NPV'!QQD$8,0)</f>
        <v>-0.0</v>
      </c>
      <c r="QQD55" s="5">
        <f>-IFERROR('4. NPV'!QQE24/'4. NPV'!QQE$8,0)</f>
        <v>-0.0</v>
      </c>
      <c r="QQE55" s="5">
        <f>-IFERROR('4. NPV'!QQF24/'4. NPV'!QQF$8,0)</f>
        <v>-0.0</v>
      </c>
      <c r="QQF55" s="5">
        <f>-IFERROR('4. NPV'!QQG24/'4. NPV'!QQG$8,0)</f>
        <v>-0.0</v>
      </c>
      <c r="QQG55" s="5">
        <f>-IFERROR('4. NPV'!QQH24/'4. NPV'!QQH$8,0)</f>
        <v>-0.0</v>
      </c>
      <c r="QQH55" s="5">
        <f>-IFERROR('4. NPV'!QQI24/'4. NPV'!QQI$8,0)</f>
        <v>-0.0</v>
      </c>
      <c r="QQI55" s="5">
        <f>-IFERROR('4. NPV'!QQJ24/'4. NPV'!QQJ$8,0)</f>
        <v>-0.0</v>
      </c>
      <c r="QQJ55" s="5">
        <f>-IFERROR('4. NPV'!QQK24/'4. NPV'!QQK$8,0)</f>
        <v>-0.0</v>
      </c>
      <c r="QQK55" s="5">
        <f>-IFERROR('4. NPV'!QQL24/'4. NPV'!QQL$8,0)</f>
        <v>-0.0</v>
      </c>
      <c r="QQL55" s="5">
        <f>-IFERROR('4. NPV'!QQM24/'4. NPV'!QQM$8,0)</f>
        <v>-0.0</v>
      </c>
      <c r="QQM55" s="5">
        <f>-IFERROR('4. NPV'!QQN24/'4. NPV'!QQN$8,0)</f>
        <v>-0.0</v>
      </c>
      <c r="QQN55" s="5">
        <f>-IFERROR('4. NPV'!QQO24/'4. NPV'!QQO$8,0)</f>
        <v>-0.0</v>
      </c>
      <c r="QQO55" s="5">
        <f>-IFERROR('4. NPV'!QQP24/'4. NPV'!QQP$8,0)</f>
        <v>-0.0</v>
      </c>
      <c r="QQP55" s="5">
        <f>-IFERROR('4. NPV'!QQQ24/'4. NPV'!QQQ$8,0)</f>
        <v>-0.0</v>
      </c>
      <c r="QQQ55" s="5">
        <f>-IFERROR('4. NPV'!QQR24/'4. NPV'!QQR$8,0)</f>
        <v>-0.0</v>
      </c>
      <c r="QQR55" s="5">
        <f>-IFERROR('4. NPV'!QQS24/'4. NPV'!QQS$8,0)</f>
        <v>-0.0</v>
      </c>
      <c r="QQS55" s="5">
        <f>-IFERROR('4. NPV'!QQT24/'4. NPV'!QQT$8,0)</f>
        <v>-0.0</v>
      </c>
      <c r="QQT55" s="5">
        <f>-IFERROR('4. NPV'!QQU24/'4. NPV'!QQU$8,0)</f>
        <v>-0.0</v>
      </c>
      <c r="QQU55" s="5">
        <f>-IFERROR('4. NPV'!QQV24/'4. NPV'!QQV$8,0)</f>
        <v>-0.0</v>
      </c>
      <c r="QQV55" s="5">
        <f>-IFERROR('4. NPV'!QQW24/'4. NPV'!QQW$8,0)</f>
        <v>-0.0</v>
      </c>
      <c r="QQW55" s="5">
        <f>-IFERROR('4. NPV'!QQX24/'4. NPV'!QQX$8,0)</f>
        <v>-0.0</v>
      </c>
      <c r="QQX55" s="5">
        <f>-IFERROR('4. NPV'!QQY24/'4. NPV'!QQY$8,0)</f>
        <v>-0.0</v>
      </c>
      <c r="QQY55" s="5">
        <f>-IFERROR('4. NPV'!QQZ24/'4. NPV'!QQZ$8,0)</f>
        <v>-0.0</v>
      </c>
      <c r="QQZ55" s="5">
        <f>-IFERROR('4. NPV'!QRA24/'4. NPV'!QRA$8,0)</f>
        <v>-0.0</v>
      </c>
      <c r="QRA55" s="5">
        <f>-IFERROR('4. NPV'!QRB24/'4. NPV'!QRB$8,0)</f>
        <v>-0.0</v>
      </c>
      <c r="QRB55" s="5">
        <f>-IFERROR('4. NPV'!QRC24/'4. NPV'!QRC$8,0)</f>
        <v>-0.0</v>
      </c>
      <c r="QRC55" s="5">
        <f>-IFERROR('4. NPV'!QRD24/'4. NPV'!QRD$8,0)</f>
        <v>-0.0</v>
      </c>
      <c r="QRD55" s="5">
        <f>-IFERROR('4. NPV'!QRE24/'4. NPV'!QRE$8,0)</f>
        <v>-0.0</v>
      </c>
      <c r="QRE55" s="5">
        <f>-IFERROR('4. NPV'!QRF24/'4. NPV'!QRF$8,0)</f>
        <v>-0.0</v>
      </c>
      <c r="QRF55" s="5">
        <f>-IFERROR('4. NPV'!QRG24/'4. NPV'!QRG$8,0)</f>
        <v>-0.0</v>
      </c>
      <c r="QRG55" s="5">
        <f>-IFERROR('4. NPV'!QRH24/'4. NPV'!QRH$8,0)</f>
        <v>-0.0</v>
      </c>
      <c r="QRH55" s="5">
        <f>-IFERROR('4. NPV'!QRI24/'4. NPV'!QRI$8,0)</f>
        <v>-0.0</v>
      </c>
      <c r="QRI55" s="5">
        <f>-IFERROR('4. NPV'!QRJ24/'4. NPV'!QRJ$8,0)</f>
        <v>-0.0</v>
      </c>
      <c r="QRJ55" s="5">
        <f>-IFERROR('4. NPV'!QRK24/'4. NPV'!QRK$8,0)</f>
        <v>-0.0</v>
      </c>
      <c r="QRK55" s="5">
        <f>-IFERROR('4. NPV'!QRL24/'4. NPV'!QRL$8,0)</f>
        <v>-0.0</v>
      </c>
      <c r="QRL55" s="5">
        <f>-IFERROR('4. NPV'!QRM24/'4. NPV'!QRM$8,0)</f>
        <v>-0.0</v>
      </c>
      <c r="QRM55" s="5">
        <f>-IFERROR('4. NPV'!QRN24/'4. NPV'!QRN$8,0)</f>
        <v>-0.0</v>
      </c>
      <c r="QRN55" s="5">
        <f>-IFERROR('4. NPV'!QRO24/'4. NPV'!QRO$8,0)</f>
        <v>-0.0</v>
      </c>
      <c r="QRO55" s="5">
        <f>-IFERROR('4. NPV'!QRP24/'4. NPV'!QRP$8,0)</f>
        <v>-0.0</v>
      </c>
      <c r="QRP55" s="5">
        <f>-IFERROR('4. NPV'!QRQ24/'4. NPV'!QRQ$8,0)</f>
        <v>-0.0</v>
      </c>
      <c r="QRQ55" s="5">
        <f>-IFERROR('4. NPV'!QRR24/'4. NPV'!QRR$8,0)</f>
        <v>-0.0</v>
      </c>
      <c r="QRR55" s="5">
        <f>-IFERROR('4. NPV'!QRS24/'4. NPV'!QRS$8,0)</f>
        <v>-0.0</v>
      </c>
      <c r="QRS55" s="5">
        <f>-IFERROR('4. NPV'!QRT24/'4. NPV'!QRT$8,0)</f>
        <v>-0.0</v>
      </c>
      <c r="QRT55" s="5">
        <f>-IFERROR('4. NPV'!QRU24/'4. NPV'!QRU$8,0)</f>
        <v>-0.0</v>
      </c>
      <c r="QRU55" s="5">
        <f>-IFERROR('4. NPV'!QRV24/'4. NPV'!QRV$8,0)</f>
        <v>-0.0</v>
      </c>
      <c r="QRV55" s="5">
        <f>-IFERROR('4. NPV'!QRW24/'4. NPV'!QRW$8,0)</f>
        <v>-0.0</v>
      </c>
      <c r="QRW55" s="5">
        <f>-IFERROR('4. NPV'!QRX24/'4. NPV'!QRX$8,0)</f>
        <v>-0.0</v>
      </c>
      <c r="QRX55" s="5">
        <f>-IFERROR('4. NPV'!QRY24/'4. NPV'!QRY$8,0)</f>
        <v>-0.0</v>
      </c>
      <c r="QRY55" s="5">
        <f>-IFERROR('4. NPV'!QRZ24/'4. NPV'!QRZ$8,0)</f>
        <v>-0.0</v>
      </c>
      <c r="QRZ55" s="5">
        <f>-IFERROR('4. NPV'!QSA24/'4. NPV'!QSA$8,0)</f>
        <v>-0.0</v>
      </c>
      <c r="QSA55" s="5">
        <f>-IFERROR('4. NPV'!QSB24/'4. NPV'!QSB$8,0)</f>
        <v>-0.0</v>
      </c>
      <c r="QSB55" s="5">
        <f>-IFERROR('4. NPV'!QSC24/'4. NPV'!QSC$8,0)</f>
        <v>-0.0</v>
      </c>
      <c r="QSC55" s="5">
        <f>-IFERROR('4. NPV'!QSD24/'4. NPV'!QSD$8,0)</f>
        <v>-0.0</v>
      </c>
      <c r="QSD55" s="5">
        <f>-IFERROR('4. NPV'!QSE24/'4. NPV'!QSE$8,0)</f>
        <v>-0.0</v>
      </c>
      <c r="QSE55" s="5">
        <f>-IFERROR('4. NPV'!QSF24/'4. NPV'!QSF$8,0)</f>
        <v>-0.0</v>
      </c>
      <c r="QSF55" s="5">
        <f>-IFERROR('4. NPV'!QSG24/'4. NPV'!QSG$8,0)</f>
        <v>-0.0</v>
      </c>
      <c r="QSG55" s="5">
        <f>-IFERROR('4. NPV'!QSH24/'4. NPV'!QSH$8,0)</f>
        <v>-0.0</v>
      </c>
      <c r="QSH55" s="5">
        <f>-IFERROR('4. NPV'!QSI24/'4. NPV'!QSI$8,0)</f>
        <v>-0.0</v>
      </c>
      <c r="QSI55" s="5">
        <f>-IFERROR('4. NPV'!QSJ24/'4. NPV'!QSJ$8,0)</f>
        <v>-0.0</v>
      </c>
      <c r="QSJ55" s="5">
        <f>-IFERROR('4. NPV'!QSK24/'4. NPV'!QSK$8,0)</f>
        <v>-0.0</v>
      </c>
      <c r="QSK55" s="5">
        <f>-IFERROR('4. NPV'!QSL24/'4. NPV'!QSL$8,0)</f>
        <v>-0.0</v>
      </c>
      <c r="QSL55" s="5">
        <f>-IFERROR('4. NPV'!QSM24/'4. NPV'!QSM$8,0)</f>
        <v>-0.0</v>
      </c>
      <c r="QSM55" s="5">
        <f>-IFERROR('4. NPV'!QSN24/'4. NPV'!QSN$8,0)</f>
        <v>-0.0</v>
      </c>
      <c r="QSN55" s="5">
        <f>-IFERROR('4. NPV'!QSO24/'4. NPV'!QSO$8,0)</f>
        <v>-0.0</v>
      </c>
      <c r="QSO55" s="5">
        <f>-IFERROR('4. NPV'!QSP24/'4. NPV'!QSP$8,0)</f>
        <v>-0.0</v>
      </c>
      <c r="QSP55" s="5">
        <f>-IFERROR('4. NPV'!QSQ24/'4. NPV'!QSQ$8,0)</f>
        <v>-0.0</v>
      </c>
      <c r="QSQ55" s="5">
        <f>-IFERROR('4. NPV'!QSR24/'4. NPV'!QSR$8,0)</f>
        <v>-0.0</v>
      </c>
      <c r="QSR55" s="5">
        <f>-IFERROR('4. NPV'!QSS24/'4. NPV'!QSS$8,0)</f>
        <v>-0.0</v>
      </c>
      <c r="QSS55" s="5">
        <f>-IFERROR('4. NPV'!QST24/'4. NPV'!QST$8,0)</f>
        <v>-0.0</v>
      </c>
      <c r="QST55" s="5">
        <f>-IFERROR('4. NPV'!QSU24/'4. NPV'!QSU$8,0)</f>
        <v>-0.0</v>
      </c>
      <c r="QSU55" s="5">
        <f>-IFERROR('4. NPV'!QSV24/'4. NPV'!QSV$8,0)</f>
        <v>-0.0</v>
      </c>
      <c r="QSV55" s="5">
        <f>-IFERROR('4. NPV'!QSW24/'4. NPV'!QSW$8,0)</f>
        <v>-0.0</v>
      </c>
      <c r="QSW55" s="5">
        <f>-IFERROR('4. NPV'!QSX24/'4. NPV'!QSX$8,0)</f>
        <v>-0.0</v>
      </c>
      <c r="QSX55" s="5">
        <f>-IFERROR('4. NPV'!QSY24/'4. NPV'!QSY$8,0)</f>
        <v>-0.0</v>
      </c>
      <c r="QSY55" s="5">
        <f>-IFERROR('4. NPV'!QSZ24/'4. NPV'!QSZ$8,0)</f>
        <v>-0.0</v>
      </c>
      <c r="QSZ55" s="5">
        <f>-IFERROR('4. NPV'!QTA24/'4. NPV'!QTA$8,0)</f>
        <v>-0.0</v>
      </c>
      <c r="QTA55" s="5">
        <f>-IFERROR('4. NPV'!QTB24/'4. NPV'!QTB$8,0)</f>
        <v>-0.0</v>
      </c>
      <c r="QTB55" s="5">
        <f>-IFERROR('4. NPV'!QTC24/'4. NPV'!QTC$8,0)</f>
        <v>-0.0</v>
      </c>
      <c r="QTC55" s="5">
        <f>-IFERROR('4. NPV'!QTD24/'4. NPV'!QTD$8,0)</f>
        <v>-0.0</v>
      </c>
      <c r="QTD55" s="5">
        <f>-IFERROR('4. NPV'!QTE24/'4. NPV'!QTE$8,0)</f>
        <v>-0.0</v>
      </c>
      <c r="QTE55" s="5">
        <f>-IFERROR('4. NPV'!QTF24/'4. NPV'!QTF$8,0)</f>
        <v>-0.0</v>
      </c>
      <c r="QTF55" s="5">
        <f>-IFERROR('4. NPV'!QTG24/'4. NPV'!QTG$8,0)</f>
        <v>-0.0</v>
      </c>
      <c r="QTG55" s="5">
        <f>-IFERROR('4. NPV'!QTH24/'4. NPV'!QTH$8,0)</f>
        <v>-0.0</v>
      </c>
      <c r="QTH55" s="5">
        <f>-IFERROR('4. NPV'!QTI24/'4. NPV'!QTI$8,0)</f>
        <v>-0.0</v>
      </c>
      <c r="QTI55" s="5">
        <f>-IFERROR('4. NPV'!QTJ24/'4. NPV'!QTJ$8,0)</f>
        <v>-0.0</v>
      </c>
      <c r="QTJ55" s="5">
        <f>-IFERROR('4. NPV'!QTK24/'4. NPV'!QTK$8,0)</f>
        <v>-0.0</v>
      </c>
      <c r="QTK55" s="5">
        <f>-IFERROR('4. NPV'!QTL24/'4. NPV'!QTL$8,0)</f>
        <v>-0.0</v>
      </c>
      <c r="QTL55" s="5">
        <f>-IFERROR('4. NPV'!QTM24/'4. NPV'!QTM$8,0)</f>
        <v>-0.0</v>
      </c>
      <c r="QTM55" s="5">
        <f>-IFERROR('4. NPV'!QTN24/'4. NPV'!QTN$8,0)</f>
        <v>-0.0</v>
      </c>
      <c r="QTN55" s="5">
        <f>-IFERROR('4. NPV'!QTO24/'4. NPV'!QTO$8,0)</f>
        <v>-0.0</v>
      </c>
      <c r="QTO55" s="5">
        <f>-IFERROR('4. NPV'!QTP24/'4. NPV'!QTP$8,0)</f>
        <v>-0.0</v>
      </c>
      <c r="QTP55" s="5">
        <f>-IFERROR('4. NPV'!QTQ24/'4. NPV'!QTQ$8,0)</f>
        <v>-0.0</v>
      </c>
      <c r="QTQ55" s="5">
        <f>-IFERROR('4. NPV'!QTR24/'4. NPV'!QTR$8,0)</f>
        <v>-0.0</v>
      </c>
      <c r="QTR55" s="5">
        <f>-IFERROR('4. NPV'!QTS24/'4. NPV'!QTS$8,0)</f>
        <v>-0.0</v>
      </c>
      <c r="QTS55" s="5">
        <f>-IFERROR('4. NPV'!QTT24/'4. NPV'!QTT$8,0)</f>
        <v>-0.0</v>
      </c>
      <c r="QTT55" s="5">
        <f>-IFERROR('4. NPV'!QTU24/'4. NPV'!QTU$8,0)</f>
        <v>-0.0</v>
      </c>
      <c r="QTU55" s="5">
        <f>-IFERROR('4. NPV'!QTV24/'4. NPV'!QTV$8,0)</f>
        <v>-0.0</v>
      </c>
      <c r="QTV55" s="5">
        <f>-IFERROR('4. NPV'!QTW24/'4. NPV'!QTW$8,0)</f>
        <v>-0.0</v>
      </c>
      <c r="QTW55" s="5">
        <f>-IFERROR('4. NPV'!QTX24/'4. NPV'!QTX$8,0)</f>
        <v>-0.0</v>
      </c>
      <c r="QTX55" s="5">
        <f>-IFERROR('4. NPV'!QTY24/'4. NPV'!QTY$8,0)</f>
        <v>-0.0</v>
      </c>
      <c r="QTY55" s="5">
        <f>-IFERROR('4. NPV'!QTZ24/'4. NPV'!QTZ$8,0)</f>
        <v>-0.0</v>
      </c>
      <c r="QTZ55" s="5">
        <f>-IFERROR('4. NPV'!QUA24/'4. NPV'!QUA$8,0)</f>
        <v>-0.0</v>
      </c>
      <c r="QUA55" s="5">
        <f>-IFERROR('4. NPV'!QUB24/'4. NPV'!QUB$8,0)</f>
        <v>-0.0</v>
      </c>
      <c r="QUB55" s="5">
        <f>-IFERROR('4. NPV'!QUC24/'4. NPV'!QUC$8,0)</f>
        <v>-0.0</v>
      </c>
      <c r="QUC55" s="5">
        <f>-IFERROR('4. NPV'!QUD24/'4. NPV'!QUD$8,0)</f>
        <v>-0.0</v>
      </c>
      <c r="QUD55" s="5">
        <f>-IFERROR('4. NPV'!QUE24/'4. NPV'!QUE$8,0)</f>
        <v>-0.0</v>
      </c>
      <c r="QUE55" s="5">
        <f>-IFERROR('4. NPV'!QUF24/'4. NPV'!QUF$8,0)</f>
        <v>-0.0</v>
      </c>
      <c r="QUF55" s="5">
        <f>-IFERROR('4. NPV'!QUG24/'4. NPV'!QUG$8,0)</f>
        <v>-0.0</v>
      </c>
      <c r="QUG55" s="5">
        <f>-IFERROR('4. NPV'!QUH24/'4. NPV'!QUH$8,0)</f>
        <v>-0.0</v>
      </c>
      <c r="QUH55" s="5">
        <f>-IFERROR('4. NPV'!QUI24/'4. NPV'!QUI$8,0)</f>
        <v>-0.0</v>
      </c>
      <c r="QUI55" s="5">
        <f>-IFERROR('4. NPV'!QUJ24/'4. NPV'!QUJ$8,0)</f>
        <v>-0.0</v>
      </c>
      <c r="QUJ55" s="5">
        <f>-IFERROR('4. NPV'!QUK24/'4. NPV'!QUK$8,0)</f>
        <v>-0.0</v>
      </c>
      <c r="QUK55" s="5">
        <f>-IFERROR('4. NPV'!QUL24/'4. NPV'!QUL$8,0)</f>
        <v>-0.0</v>
      </c>
      <c r="QUL55" s="5">
        <f>-IFERROR('4. NPV'!QUM24/'4. NPV'!QUM$8,0)</f>
        <v>-0.0</v>
      </c>
      <c r="QUM55" s="5">
        <f>-IFERROR('4. NPV'!QUN24/'4. NPV'!QUN$8,0)</f>
        <v>-0.0</v>
      </c>
      <c r="QUN55" s="5">
        <f>-IFERROR('4. NPV'!QUO24/'4. NPV'!QUO$8,0)</f>
        <v>-0.0</v>
      </c>
      <c r="QUO55" s="5">
        <f>-IFERROR('4. NPV'!QUP24/'4. NPV'!QUP$8,0)</f>
        <v>-0.0</v>
      </c>
      <c r="QUP55" s="5">
        <f>-IFERROR('4. NPV'!QUQ24/'4. NPV'!QUQ$8,0)</f>
        <v>-0.0</v>
      </c>
      <c r="QUQ55" s="5">
        <f>-IFERROR('4. NPV'!QUR24/'4. NPV'!QUR$8,0)</f>
        <v>-0.0</v>
      </c>
      <c r="QUR55" s="5">
        <f>-IFERROR('4. NPV'!QUS24/'4. NPV'!QUS$8,0)</f>
        <v>-0.0</v>
      </c>
      <c r="QUS55" s="5">
        <f>-IFERROR('4. NPV'!QUT24/'4. NPV'!QUT$8,0)</f>
        <v>-0.0</v>
      </c>
      <c r="QUT55" s="5">
        <f>-IFERROR('4. NPV'!QUU24/'4. NPV'!QUU$8,0)</f>
        <v>-0.0</v>
      </c>
      <c r="QUU55" s="5">
        <f>-IFERROR('4. NPV'!QUV24/'4. NPV'!QUV$8,0)</f>
        <v>-0.0</v>
      </c>
      <c r="QUV55" s="5">
        <f>-IFERROR('4. NPV'!QUW24/'4. NPV'!QUW$8,0)</f>
        <v>-0.0</v>
      </c>
      <c r="QUW55" s="5">
        <f>-IFERROR('4. NPV'!QUX24/'4. NPV'!QUX$8,0)</f>
        <v>-0.0</v>
      </c>
      <c r="QUX55" s="5">
        <f>-IFERROR('4. NPV'!QUY24/'4. NPV'!QUY$8,0)</f>
        <v>-0.0</v>
      </c>
      <c r="QUY55" s="5">
        <f>-IFERROR('4. NPV'!QUZ24/'4. NPV'!QUZ$8,0)</f>
        <v>-0.0</v>
      </c>
      <c r="QUZ55" s="5">
        <f>-IFERROR('4. NPV'!QVA24/'4. NPV'!QVA$8,0)</f>
        <v>-0.0</v>
      </c>
      <c r="QVA55" s="5">
        <f>-IFERROR('4. NPV'!QVB24/'4. NPV'!QVB$8,0)</f>
        <v>-0.0</v>
      </c>
      <c r="QVB55" s="5">
        <f>-IFERROR('4. NPV'!QVC24/'4. NPV'!QVC$8,0)</f>
        <v>-0.0</v>
      </c>
      <c r="QVC55" s="5">
        <f>-IFERROR('4. NPV'!QVD24/'4. NPV'!QVD$8,0)</f>
        <v>-0.0</v>
      </c>
      <c r="QVD55" s="5">
        <f>-IFERROR('4. NPV'!QVE24/'4. NPV'!QVE$8,0)</f>
        <v>-0.0</v>
      </c>
      <c r="QVE55" s="5">
        <f>-IFERROR('4. NPV'!QVF24/'4. NPV'!QVF$8,0)</f>
        <v>-0.0</v>
      </c>
      <c r="QVF55" s="5">
        <f>-IFERROR('4. NPV'!QVG24/'4. NPV'!QVG$8,0)</f>
        <v>-0.0</v>
      </c>
      <c r="QVG55" s="5">
        <f>-IFERROR('4. NPV'!QVH24/'4. NPV'!QVH$8,0)</f>
        <v>-0.0</v>
      </c>
      <c r="QVH55" s="5">
        <f>-IFERROR('4. NPV'!QVI24/'4. NPV'!QVI$8,0)</f>
        <v>-0.0</v>
      </c>
      <c r="QVI55" s="5">
        <f>-IFERROR('4. NPV'!QVJ24/'4. NPV'!QVJ$8,0)</f>
        <v>-0.0</v>
      </c>
      <c r="QVJ55" s="5">
        <f>-IFERROR('4. NPV'!QVK24/'4. NPV'!QVK$8,0)</f>
        <v>-0.0</v>
      </c>
      <c r="QVK55" s="5">
        <f>-IFERROR('4. NPV'!QVL24/'4. NPV'!QVL$8,0)</f>
        <v>-0.0</v>
      </c>
      <c r="QVL55" s="5">
        <f>-IFERROR('4. NPV'!QVM24/'4. NPV'!QVM$8,0)</f>
        <v>-0.0</v>
      </c>
      <c r="QVM55" s="5">
        <f>-IFERROR('4. NPV'!QVN24/'4. NPV'!QVN$8,0)</f>
        <v>-0.0</v>
      </c>
      <c r="QVN55" s="5">
        <f>-IFERROR('4. NPV'!QVO24/'4. NPV'!QVO$8,0)</f>
        <v>-0.0</v>
      </c>
      <c r="QVO55" s="5">
        <f>-IFERROR('4. NPV'!QVP24/'4. NPV'!QVP$8,0)</f>
        <v>-0.0</v>
      </c>
      <c r="QVP55" s="5">
        <f>-IFERROR('4. NPV'!QVQ24/'4. NPV'!QVQ$8,0)</f>
        <v>-0.0</v>
      </c>
      <c r="QVQ55" s="5">
        <f>-IFERROR('4. NPV'!QVR24/'4. NPV'!QVR$8,0)</f>
        <v>-0.0</v>
      </c>
      <c r="QVR55" s="5">
        <f>-IFERROR('4. NPV'!QVS24/'4. NPV'!QVS$8,0)</f>
        <v>-0.0</v>
      </c>
      <c r="QVS55" s="5">
        <f>-IFERROR('4. NPV'!QVT24/'4. NPV'!QVT$8,0)</f>
        <v>-0.0</v>
      </c>
      <c r="QVT55" s="5">
        <f>-IFERROR('4. NPV'!QVU24/'4. NPV'!QVU$8,0)</f>
        <v>-0.0</v>
      </c>
      <c r="QVU55" s="5">
        <f>-IFERROR('4. NPV'!QVV24/'4. NPV'!QVV$8,0)</f>
        <v>-0.0</v>
      </c>
      <c r="QVV55" s="5">
        <f>-IFERROR('4. NPV'!QVW24/'4. NPV'!QVW$8,0)</f>
        <v>-0.0</v>
      </c>
      <c r="QVW55" s="5">
        <f>-IFERROR('4. NPV'!QVX24/'4. NPV'!QVX$8,0)</f>
        <v>-0.0</v>
      </c>
      <c r="QVX55" s="5">
        <f>-IFERROR('4. NPV'!QVY24/'4. NPV'!QVY$8,0)</f>
        <v>-0.0</v>
      </c>
      <c r="QVY55" s="5">
        <f>-IFERROR('4. NPV'!QVZ24/'4. NPV'!QVZ$8,0)</f>
        <v>-0.0</v>
      </c>
      <c r="QVZ55" s="5">
        <f>-IFERROR('4. NPV'!QWA24/'4. NPV'!QWA$8,0)</f>
        <v>-0.0</v>
      </c>
      <c r="QWA55" s="5">
        <f>-IFERROR('4. NPV'!QWB24/'4. NPV'!QWB$8,0)</f>
        <v>-0.0</v>
      </c>
      <c r="QWB55" s="5">
        <f>-IFERROR('4. NPV'!QWC24/'4. NPV'!QWC$8,0)</f>
        <v>-0.0</v>
      </c>
      <c r="QWC55" s="5">
        <f>-IFERROR('4. NPV'!QWD24/'4. NPV'!QWD$8,0)</f>
        <v>-0.0</v>
      </c>
      <c r="QWD55" s="5">
        <f>-IFERROR('4. NPV'!QWE24/'4. NPV'!QWE$8,0)</f>
        <v>-0.0</v>
      </c>
      <c r="QWE55" s="5">
        <f>-IFERROR('4. NPV'!QWF24/'4. NPV'!QWF$8,0)</f>
        <v>-0.0</v>
      </c>
      <c r="QWF55" s="5">
        <f>-IFERROR('4. NPV'!QWG24/'4. NPV'!QWG$8,0)</f>
        <v>-0.0</v>
      </c>
      <c r="QWG55" s="5">
        <f>-IFERROR('4. NPV'!QWH24/'4. NPV'!QWH$8,0)</f>
        <v>-0.0</v>
      </c>
      <c r="QWH55" s="5">
        <f>-IFERROR('4. NPV'!QWI24/'4. NPV'!QWI$8,0)</f>
        <v>-0.0</v>
      </c>
      <c r="QWI55" s="5">
        <f>-IFERROR('4. NPV'!QWJ24/'4. NPV'!QWJ$8,0)</f>
        <v>-0.0</v>
      </c>
      <c r="QWJ55" s="5">
        <f>-IFERROR('4. NPV'!QWK24/'4. NPV'!QWK$8,0)</f>
        <v>-0.0</v>
      </c>
      <c r="QWK55" s="5">
        <f>-IFERROR('4. NPV'!QWL24/'4. NPV'!QWL$8,0)</f>
        <v>-0.0</v>
      </c>
      <c r="QWL55" s="5">
        <f>-IFERROR('4. NPV'!QWM24/'4. NPV'!QWM$8,0)</f>
        <v>-0.0</v>
      </c>
      <c r="QWM55" s="5">
        <f>-IFERROR('4. NPV'!QWN24/'4. NPV'!QWN$8,0)</f>
        <v>-0.0</v>
      </c>
      <c r="QWN55" s="5">
        <f>-IFERROR('4. NPV'!QWO24/'4. NPV'!QWO$8,0)</f>
        <v>-0.0</v>
      </c>
      <c r="QWO55" s="5">
        <f>-IFERROR('4. NPV'!QWP24/'4. NPV'!QWP$8,0)</f>
        <v>-0.0</v>
      </c>
      <c r="QWP55" s="5">
        <f>-IFERROR('4. NPV'!QWQ24/'4. NPV'!QWQ$8,0)</f>
        <v>-0.0</v>
      </c>
      <c r="QWQ55" s="5">
        <f>-IFERROR('4. NPV'!QWR24/'4. NPV'!QWR$8,0)</f>
        <v>-0.0</v>
      </c>
      <c r="QWR55" s="5">
        <f>-IFERROR('4. NPV'!QWS24/'4. NPV'!QWS$8,0)</f>
        <v>-0.0</v>
      </c>
      <c r="QWS55" s="5">
        <f>-IFERROR('4. NPV'!QWT24/'4. NPV'!QWT$8,0)</f>
        <v>-0.0</v>
      </c>
      <c r="QWT55" s="5">
        <f>-IFERROR('4. NPV'!QWU24/'4. NPV'!QWU$8,0)</f>
        <v>-0.0</v>
      </c>
      <c r="QWU55" s="5">
        <f>-IFERROR('4. NPV'!QWV24/'4. NPV'!QWV$8,0)</f>
        <v>-0.0</v>
      </c>
      <c r="QWV55" s="5">
        <f>-IFERROR('4. NPV'!QWW24/'4. NPV'!QWW$8,0)</f>
        <v>-0.0</v>
      </c>
      <c r="QWW55" s="5">
        <f>-IFERROR('4. NPV'!QWX24/'4. NPV'!QWX$8,0)</f>
        <v>-0.0</v>
      </c>
      <c r="QWX55" s="5">
        <f>-IFERROR('4. NPV'!QWY24/'4. NPV'!QWY$8,0)</f>
        <v>-0.0</v>
      </c>
      <c r="QWY55" s="5">
        <f>-IFERROR('4. NPV'!QWZ24/'4. NPV'!QWZ$8,0)</f>
        <v>-0.0</v>
      </c>
      <c r="QWZ55" s="5">
        <f>-IFERROR('4. NPV'!QXA24/'4. NPV'!QXA$8,0)</f>
        <v>-0.0</v>
      </c>
      <c r="QXA55" s="5">
        <f>-IFERROR('4. NPV'!QXB24/'4. NPV'!QXB$8,0)</f>
        <v>-0.0</v>
      </c>
      <c r="QXB55" s="5">
        <f>-IFERROR('4. NPV'!QXC24/'4. NPV'!QXC$8,0)</f>
        <v>-0.0</v>
      </c>
      <c r="QXC55" s="5">
        <f>-IFERROR('4. NPV'!QXD24/'4. NPV'!QXD$8,0)</f>
        <v>-0.0</v>
      </c>
      <c r="QXD55" s="5">
        <f>-IFERROR('4. NPV'!QXE24/'4. NPV'!QXE$8,0)</f>
        <v>-0.0</v>
      </c>
      <c r="QXE55" s="5">
        <f>-IFERROR('4. NPV'!QXF24/'4. NPV'!QXF$8,0)</f>
        <v>-0.0</v>
      </c>
      <c r="QXF55" s="5">
        <f>-IFERROR('4. NPV'!QXG24/'4. NPV'!QXG$8,0)</f>
        <v>-0.0</v>
      </c>
      <c r="QXG55" s="5">
        <f>-IFERROR('4. NPV'!QXH24/'4. NPV'!QXH$8,0)</f>
        <v>-0.0</v>
      </c>
      <c r="QXH55" s="5">
        <f>-IFERROR('4. NPV'!QXI24/'4. NPV'!QXI$8,0)</f>
        <v>-0.0</v>
      </c>
      <c r="QXI55" s="5">
        <f>-IFERROR('4. NPV'!QXJ24/'4. NPV'!QXJ$8,0)</f>
        <v>-0.0</v>
      </c>
      <c r="QXJ55" s="5">
        <f>-IFERROR('4. NPV'!QXK24/'4. NPV'!QXK$8,0)</f>
        <v>-0.0</v>
      </c>
      <c r="QXK55" s="5">
        <f>-IFERROR('4. NPV'!QXL24/'4. NPV'!QXL$8,0)</f>
        <v>-0.0</v>
      </c>
      <c r="QXL55" s="5">
        <f>-IFERROR('4. NPV'!QXM24/'4. NPV'!QXM$8,0)</f>
        <v>-0.0</v>
      </c>
      <c r="QXM55" s="5">
        <f>-IFERROR('4. NPV'!QXN24/'4. NPV'!QXN$8,0)</f>
        <v>-0.0</v>
      </c>
      <c r="QXN55" s="5">
        <f>-IFERROR('4. NPV'!QXO24/'4. NPV'!QXO$8,0)</f>
        <v>-0.0</v>
      </c>
      <c r="QXO55" s="5">
        <f>-IFERROR('4. NPV'!QXP24/'4. NPV'!QXP$8,0)</f>
        <v>-0.0</v>
      </c>
      <c r="QXP55" s="5">
        <f>-IFERROR('4. NPV'!QXQ24/'4. NPV'!QXQ$8,0)</f>
        <v>-0.0</v>
      </c>
      <c r="QXQ55" s="5">
        <f>-IFERROR('4. NPV'!QXR24/'4. NPV'!QXR$8,0)</f>
        <v>-0.0</v>
      </c>
      <c r="QXR55" s="5">
        <f>-IFERROR('4. NPV'!QXS24/'4. NPV'!QXS$8,0)</f>
        <v>-0.0</v>
      </c>
      <c r="QXS55" s="5">
        <f>-IFERROR('4. NPV'!QXT24/'4. NPV'!QXT$8,0)</f>
        <v>-0.0</v>
      </c>
      <c r="QXT55" s="5">
        <f>-IFERROR('4. NPV'!QXU24/'4. NPV'!QXU$8,0)</f>
        <v>-0.0</v>
      </c>
      <c r="QXU55" s="5">
        <f>-IFERROR('4. NPV'!QXV24/'4. NPV'!QXV$8,0)</f>
        <v>-0.0</v>
      </c>
      <c r="QXV55" s="5">
        <f>-IFERROR('4. NPV'!QXW24/'4. NPV'!QXW$8,0)</f>
        <v>-0.0</v>
      </c>
      <c r="QXW55" s="5">
        <f>-IFERROR('4. NPV'!QXX24/'4. NPV'!QXX$8,0)</f>
        <v>-0.0</v>
      </c>
      <c r="QXX55" s="5">
        <f>-IFERROR('4. NPV'!QXY24/'4. NPV'!QXY$8,0)</f>
        <v>-0.0</v>
      </c>
      <c r="QXY55" s="5">
        <f>-IFERROR('4. NPV'!QXZ24/'4. NPV'!QXZ$8,0)</f>
        <v>-0.0</v>
      </c>
      <c r="QXZ55" s="5">
        <f>-IFERROR('4. NPV'!QYA24/'4. NPV'!QYA$8,0)</f>
        <v>-0.0</v>
      </c>
      <c r="QYA55" s="5">
        <f>-IFERROR('4. NPV'!QYB24/'4. NPV'!QYB$8,0)</f>
        <v>-0.0</v>
      </c>
      <c r="QYB55" s="5">
        <f>-IFERROR('4. NPV'!QYC24/'4. NPV'!QYC$8,0)</f>
        <v>-0.0</v>
      </c>
      <c r="QYC55" s="5">
        <f>-IFERROR('4. NPV'!QYD24/'4. NPV'!QYD$8,0)</f>
        <v>-0.0</v>
      </c>
      <c r="QYD55" s="5">
        <f>-IFERROR('4. NPV'!QYE24/'4. NPV'!QYE$8,0)</f>
        <v>-0.0</v>
      </c>
      <c r="QYE55" s="5">
        <f>-IFERROR('4. NPV'!QYF24/'4. NPV'!QYF$8,0)</f>
        <v>-0.0</v>
      </c>
      <c r="QYF55" s="5">
        <f>-IFERROR('4. NPV'!QYG24/'4. NPV'!QYG$8,0)</f>
        <v>-0.0</v>
      </c>
      <c r="QYG55" s="5">
        <f>-IFERROR('4. NPV'!QYH24/'4. NPV'!QYH$8,0)</f>
        <v>-0.0</v>
      </c>
      <c r="QYH55" s="5">
        <f>-IFERROR('4. NPV'!QYI24/'4. NPV'!QYI$8,0)</f>
        <v>-0.0</v>
      </c>
      <c r="QYI55" s="5">
        <f>-IFERROR('4. NPV'!QYJ24/'4. NPV'!QYJ$8,0)</f>
        <v>-0.0</v>
      </c>
      <c r="QYJ55" s="5">
        <f>-IFERROR('4. NPV'!QYK24/'4. NPV'!QYK$8,0)</f>
        <v>-0.0</v>
      </c>
      <c r="QYK55" s="5">
        <f>-IFERROR('4. NPV'!QYL24/'4. NPV'!QYL$8,0)</f>
        <v>-0.0</v>
      </c>
      <c r="QYL55" s="5">
        <f>-IFERROR('4. NPV'!QYM24/'4. NPV'!QYM$8,0)</f>
        <v>-0.0</v>
      </c>
      <c r="QYM55" s="5">
        <f>-IFERROR('4. NPV'!QYN24/'4. NPV'!QYN$8,0)</f>
        <v>-0.0</v>
      </c>
      <c r="QYN55" s="5">
        <f>-IFERROR('4. NPV'!QYO24/'4. NPV'!QYO$8,0)</f>
        <v>-0.0</v>
      </c>
      <c r="QYO55" s="5">
        <f>-IFERROR('4. NPV'!QYP24/'4. NPV'!QYP$8,0)</f>
        <v>-0.0</v>
      </c>
      <c r="QYP55" s="5">
        <f>-IFERROR('4. NPV'!QYQ24/'4. NPV'!QYQ$8,0)</f>
        <v>-0.0</v>
      </c>
      <c r="QYQ55" s="5">
        <f>-IFERROR('4. NPV'!QYR24/'4. NPV'!QYR$8,0)</f>
        <v>-0.0</v>
      </c>
      <c r="QYR55" s="5">
        <f>-IFERROR('4. NPV'!QYS24/'4. NPV'!QYS$8,0)</f>
        <v>-0.0</v>
      </c>
      <c r="QYS55" s="5">
        <f>-IFERROR('4. NPV'!QYT24/'4. NPV'!QYT$8,0)</f>
        <v>-0.0</v>
      </c>
      <c r="QYT55" s="5">
        <f>-IFERROR('4. NPV'!QYU24/'4. NPV'!QYU$8,0)</f>
        <v>-0.0</v>
      </c>
      <c r="QYU55" s="5">
        <f>-IFERROR('4. NPV'!QYV24/'4. NPV'!QYV$8,0)</f>
        <v>-0.0</v>
      </c>
      <c r="QYV55" s="5">
        <f>-IFERROR('4. NPV'!QYW24/'4. NPV'!QYW$8,0)</f>
        <v>-0.0</v>
      </c>
      <c r="QYW55" s="5">
        <f>-IFERROR('4. NPV'!QYX24/'4. NPV'!QYX$8,0)</f>
        <v>-0.0</v>
      </c>
      <c r="QYX55" s="5">
        <f>-IFERROR('4. NPV'!QYY24/'4. NPV'!QYY$8,0)</f>
        <v>-0.0</v>
      </c>
      <c r="QYY55" s="5">
        <f>-IFERROR('4. NPV'!QYZ24/'4. NPV'!QYZ$8,0)</f>
        <v>-0.0</v>
      </c>
      <c r="QYZ55" s="5">
        <f>-IFERROR('4. NPV'!QZA24/'4. NPV'!QZA$8,0)</f>
        <v>-0.0</v>
      </c>
      <c r="QZA55" s="5">
        <f>-IFERROR('4. NPV'!QZB24/'4. NPV'!QZB$8,0)</f>
        <v>-0.0</v>
      </c>
      <c r="QZB55" s="5">
        <f>-IFERROR('4. NPV'!QZC24/'4. NPV'!QZC$8,0)</f>
        <v>-0.0</v>
      </c>
      <c r="QZC55" s="5">
        <f>-IFERROR('4. NPV'!QZD24/'4. NPV'!QZD$8,0)</f>
        <v>-0.0</v>
      </c>
      <c r="QZD55" s="5">
        <f>-IFERROR('4. NPV'!QZE24/'4. NPV'!QZE$8,0)</f>
        <v>-0.0</v>
      </c>
      <c r="QZE55" s="5">
        <f>-IFERROR('4. NPV'!QZF24/'4. NPV'!QZF$8,0)</f>
        <v>-0.0</v>
      </c>
      <c r="QZF55" s="5">
        <f>-IFERROR('4. NPV'!QZG24/'4. NPV'!QZG$8,0)</f>
        <v>-0.0</v>
      </c>
      <c r="QZG55" s="5">
        <f>-IFERROR('4. NPV'!QZH24/'4. NPV'!QZH$8,0)</f>
        <v>-0.0</v>
      </c>
      <c r="QZH55" s="5">
        <f>-IFERROR('4. NPV'!QZI24/'4. NPV'!QZI$8,0)</f>
        <v>-0.0</v>
      </c>
      <c r="QZI55" s="5">
        <f>-IFERROR('4. NPV'!QZJ24/'4. NPV'!QZJ$8,0)</f>
        <v>-0.0</v>
      </c>
      <c r="QZJ55" s="5">
        <f>-IFERROR('4. NPV'!QZK24/'4. NPV'!QZK$8,0)</f>
        <v>-0.0</v>
      </c>
      <c r="QZK55" s="5">
        <f>-IFERROR('4. NPV'!QZL24/'4. NPV'!QZL$8,0)</f>
        <v>-0.0</v>
      </c>
      <c r="QZL55" s="5">
        <f>-IFERROR('4. NPV'!QZM24/'4. NPV'!QZM$8,0)</f>
        <v>-0.0</v>
      </c>
      <c r="QZM55" s="5">
        <f>-IFERROR('4. NPV'!QZN24/'4. NPV'!QZN$8,0)</f>
        <v>-0.0</v>
      </c>
      <c r="QZN55" s="5">
        <f>-IFERROR('4. NPV'!QZO24/'4. NPV'!QZO$8,0)</f>
        <v>-0.0</v>
      </c>
      <c r="QZO55" s="5">
        <f>-IFERROR('4. NPV'!QZP24/'4. NPV'!QZP$8,0)</f>
        <v>-0.0</v>
      </c>
      <c r="QZP55" s="5">
        <f>-IFERROR('4. NPV'!QZQ24/'4. NPV'!QZQ$8,0)</f>
        <v>-0.0</v>
      </c>
      <c r="QZQ55" s="5">
        <f>-IFERROR('4. NPV'!QZR24/'4. NPV'!QZR$8,0)</f>
        <v>-0.0</v>
      </c>
      <c r="QZR55" s="5">
        <f>-IFERROR('4. NPV'!QZS24/'4. NPV'!QZS$8,0)</f>
        <v>-0.0</v>
      </c>
      <c r="QZS55" s="5">
        <f>-IFERROR('4. NPV'!QZT24/'4. NPV'!QZT$8,0)</f>
        <v>-0.0</v>
      </c>
      <c r="QZT55" s="5">
        <f>-IFERROR('4. NPV'!QZU24/'4. NPV'!QZU$8,0)</f>
        <v>-0.0</v>
      </c>
      <c r="QZU55" s="5">
        <f>-IFERROR('4. NPV'!QZV24/'4. NPV'!QZV$8,0)</f>
        <v>-0.0</v>
      </c>
      <c r="QZV55" s="5">
        <f>-IFERROR('4. NPV'!QZW24/'4. NPV'!QZW$8,0)</f>
        <v>-0.0</v>
      </c>
      <c r="QZW55" s="5">
        <f>-IFERROR('4. NPV'!QZX24/'4. NPV'!QZX$8,0)</f>
        <v>-0.0</v>
      </c>
      <c r="QZX55" s="5">
        <f>-IFERROR('4. NPV'!QZY24/'4. NPV'!QZY$8,0)</f>
        <v>-0.0</v>
      </c>
      <c r="QZY55" s="5">
        <f>-IFERROR('4. NPV'!QZZ24/'4. NPV'!QZZ$8,0)</f>
        <v>-0.0</v>
      </c>
      <c r="QZZ55" s="5">
        <f>-IFERROR('4. NPV'!RAA24/'4. NPV'!RAA$8,0)</f>
        <v>-0.0</v>
      </c>
      <c r="RAA55" s="5">
        <f>-IFERROR('4. NPV'!RAB24/'4. NPV'!RAB$8,0)</f>
        <v>-0.0</v>
      </c>
      <c r="RAB55" s="5">
        <f>-IFERROR('4. NPV'!RAC24/'4. NPV'!RAC$8,0)</f>
        <v>-0.0</v>
      </c>
      <c r="RAC55" s="5">
        <f>-IFERROR('4. NPV'!RAD24/'4. NPV'!RAD$8,0)</f>
        <v>-0.0</v>
      </c>
      <c r="RAD55" s="5">
        <f>-IFERROR('4. NPV'!RAE24/'4. NPV'!RAE$8,0)</f>
        <v>-0.0</v>
      </c>
      <c r="RAE55" s="5">
        <f>-IFERROR('4. NPV'!RAF24/'4. NPV'!RAF$8,0)</f>
        <v>-0.0</v>
      </c>
      <c r="RAF55" s="5">
        <f>-IFERROR('4. NPV'!RAG24/'4. NPV'!RAG$8,0)</f>
        <v>-0.0</v>
      </c>
      <c r="RAG55" s="5">
        <f>-IFERROR('4. NPV'!RAH24/'4. NPV'!RAH$8,0)</f>
        <v>-0.0</v>
      </c>
      <c r="RAH55" s="5">
        <f>-IFERROR('4. NPV'!RAI24/'4. NPV'!RAI$8,0)</f>
        <v>-0.0</v>
      </c>
      <c r="RAI55" s="5">
        <f>-IFERROR('4. NPV'!RAJ24/'4. NPV'!RAJ$8,0)</f>
        <v>-0.0</v>
      </c>
      <c r="RAJ55" s="5">
        <f>-IFERROR('4. NPV'!RAK24/'4. NPV'!RAK$8,0)</f>
        <v>-0.0</v>
      </c>
      <c r="RAK55" s="5">
        <f>-IFERROR('4. NPV'!RAL24/'4. NPV'!RAL$8,0)</f>
        <v>-0.0</v>
      </c>
      <c r="RAL55" s="5">
        <f>-IFERROR('4. NPV'!RAM24/'4. NPV'!RAM$8,0)</f>
        <v>-0.0</v>
      </c>
      <c r="RAM55" s="5">
        <f>-IFERROR('4. NPV'!RAN24/'4. NPV'!RAN$8,0)</f>
        <v>-0.0</v>
      </c>
      <c r="RAN55" s="5">
        <f>-IFERROR('4. NPV'!RAO24/'4. NPV'!RAO$8,0)</f>
        <v>-0.0</v>
      </c>
      <c r="RAO55" s="5">
        <f>-IFERROR('4. NPV'!RAP24/'4. NPV'!RAP$8,0)</f>
        <v>-0.0</v>
      </c>
      <c r="RAP55" s="5">
        <f>-IFERROR('4. NPV'!RAQ24/'4. NPV'!RAQ$8,0)</f>
        <v>-0.0</v>
      </c>
      <c r="RAQ55" s="5">
        <f>-IFERROR('4. NPV'!RAR24/'4. NPV'!RAR$8,0)</f>
        <v>-0.0</v>
      </c>
      <c r="RAR55" s="5">
        <f>-IFERROR('4. NPV'!RAS24/'4. NPV'!RAS$8,0)</f>
        <v>-0.0</v>
      </c>
      <c r="RAS55" s="5">
        <f>-IFERROR('4. NPV'!RAT24/'4. NPV'!RAT$8,0)</f>
        <v>-0.0</v>
      </c>
      <c r="RAT55" s="5">
        <f>-IFERROR('4. NPV'!RAU24/'4. NPV'!RAU$8,0)</f>
        <v>-0.0</v>
      </c>
      <c r="RAU55" s="5">
        <f>-IFERROR('4. NPV'!RAV24/'4. NPV'!RAV$8,0)</f>
        <v>-0.0</v>
      </c>
      <c r="RAV55" s="5">
        <f>-IFERROR('4. NPV'!RAW24/'4. NPV'!RAW$8,0)</f>
        <v>-0.0</v>
      </c>
      <c r="RAW55" s="5">
        <f>-IFERROR('4. NPV'!RAX24/'4. NPV'!RAX$8,0)</f>
        <v>-0.0</v>
      </c>
      <c r="RAX55" s="5">
        <f>-IFERROR('4. NPV'!RAY24/'4. NPV'!RAY$8,0)</f>
        <v>-0.0</v>
      </c>
      <c r="RAY55" s="5">
        <f>-IFERROR('4. NPV'!RAZ24/'4. NPV'!RAZ$8,0)</f>
        <v>-0.0</v>
      </c>
      <c r="RAZ55" s="5">
        <f>-IFERROR('4. NPV'!RBA24/'4. NPV'!RBA$8,0)</f>
        <v>-0.0</v>
      </c>
      <c r="RBA55" s="5">
        <f>-IFERROR('4. NPV'!RBB24/'4. NPV'!RBB$8,0)</f>
        <v>-0.0</v>
      </c>
      <c r="RBB55" s="5">
        <f>-IFERROR('4. NPV'!RBC24/'4. NPV'!RBC$8,0)</f>
        <v>-0.0</v>
      </c>
      <c r="RBC55" s="5">
        <f>-IFERROR('4. NPV'!RBD24/'4. NPV'!RBD$8,0)</f>
        <v>-0.0</v>
      </c>
      <c r="RBD55" s="5">
        <f>-IFERROR('4. NPV'!RBE24/'4. NPV'!RBE$8,0)</f>
        <v>-0.0</v>
      </c>
      <c r="RBE55" s="5">
        <f>-IFERROR('4. NPV'!RBF24/'4. NPV'!RBF$8,0)</f>
        <v>-0.0</v>
      </c>
      <c r="RBF55" s="5">
        <f>-IFERROR('4. NPV'!RBG24/'4. NPV'!RBG$8,0)</f>
        <v>-0.0</v>
      </c>
      <c r="RBG55" s="5">
        <f>-IFERROR('4. NPV'!RBH24/'4. NPV'!RBH$8,0)</f>
        <v>-0.0</v>
      </c>
      <c r="RBH55" s="5">
        <f>-IFERROR('4. NPV'!RBI24/'4. NPV'!RBI$8,0)</f>
        <v>-0.0</v>
      </c>
      <c r="RBI55" s="5">
        <f>-IFERROR('4. NPV'!RBJ24/'4. NPV'!RBJ$8,0)</f>
        <v>-0.0</v>
      </c>
      <c r="RBJ55" s="5">
        <f>-IFERROR('4. NPV'!RBK24/'4. NPV'!RBK$8,0)</f>
        <v>-0.0</v>
      </c>
      <c r="RBK55" s="5">
        <f>-IFERROR('4. NPV'!RBL24/'4. NPV'!RBL$8,0)</f>
        <v>-0.0</v>
      </c>
      <c r="RBL55" s="5">
        <f>-IFERROR('4. NPV'!RBM24/'4. NPV'!RBM$8,0)</f>
        <v>-0.0</v>
      </c>
      <c r="RBM55" s="5">
        <f>-IFERROR('4. NPV'!RBN24/'4. NPV'!RBN$8,0)</f>
        <v>-0.0</v>
      </c>
      <c r="RBN55" s="5">
        <f>-IFERROR('4. NPV'!RBO24/'4. NPV'!RBO$8,0)</f>
        <v>-0.0</v>
      </c>
      <c r="RBO55" s="5">
        <f>-IFERROR('4. NPV'!RBP24/'4. NPV'!RBP$8,0)</f>
        <v>-0.0</v>
      </c>
      <c r="RBP55" s="5">
        <f>-IFERROR('4. NPV'!RBQ24/'4. NPV'!RBQ$8,0)</f>
        <v>-0.0</v>
      </c>
      <c r="RBQ55" s="5">
        <f>-IFERROR('4. NPV'!RBR24/'4. NPV'!RBR$8,0)</f>
        <v>-0.0</v>
      </c>
      <c r="RBR55" s="5">
        <f>-IFERROR('4. NPV'!RBS24/'4. NPV'!RBS$8,0)</f>
        <v>-0.0</v>
      </c>
      <c r="RBS55" s="5">
        <f>-IFERROR('4. NPV'!RBT24/'4. NPV'!RBT$8,0)</f>
        <v>-0.0</v>
      </c>
      <c r="RBT55" s="5">
        <f>-IFERROR('4. NPV'!RBU24/'4. NPV'!RBU$8,0)</f>
        <v>-0.0</v>
      </c>
      <c r="RBU55" s="5">
        <f>-IFERROR('4. NPV'!RBV24/'4. NPV'!RBV$8,0)</f>
        <v>-0.0</v>
      </c>
      <c r="RBV55" s="5">
        <f>-IFERROR('4. NPV'!RBW24/'4. NPV'!RBW$8,0)</f>
        <v>-0.0</v>
      </c>
      <c r="RBW55" s="5">
        <f>-IFERROR('4. NPV'!RBX24/'4. NPV'!RBX$8,0)</f>
        <v>-0.0</v>
      </c>
      <c r="RBX55" s="5">
        <f>-IFERROR('4. NPV'!RBY24/'4. NPV'!RBY$8,0)</f>
        <v>-0.0</v>
      </c>
      <c r="RBY55" s="5">
        <f>-IFERROR('4. NPV'!RBZ24/'4. NPV'!RBZ$8,0)</f>
        <v>-0.0</v>
      </c>
      <c r="RBZ55" s="5">
        <f>-IFERROR('4. NPV'!RCA24/'4. NPV'!RCA$8,0)</f>
        <v>-0.0</v>
      </c>
      <c r="RCA55" s="5">
        <f>-IFERROR('4. NPV'!RCB24/'4. NPV'!RCB$8,0)</f>
        <v>-0.0</v>
      </c>
      <c r="RCB55" s="5">
        <f>-IFERROR('4. NPV'!RCC24/'4. NPV'!RCC$8,0)</f>
        <v>-0.0</v>
      </c>
      <c r="RCC55" s="5">
        <f>-IFERROR('4. NPV'!RCD24/'4. NPV'!RCD$8,0)</f>
        <v>-0.0</v>
      </c>
      <c r="RCD55" s="5">
        <f>-IFERROR('4. NPV'!RCE24/'4. NPV'!RCE$8,0)</f>
        <v>-0.0</v>
      </c>
      <c r="RCE55" s="5">
        <f>-IFERROR('4. NPV'!RCF24/'4. NPV'!RCF$8,0)</f>
        <v>-0.0</v>
      </c>
      <c r="RCF55" s="5">
        <f>-IFERROR('4. NPV'!RCG24/'4. NPV'!RCG$8,0)</f>
        <v>-0.0</v>
      </c>
      <c r="RCG55" s="5">
        <f>-IFERROR('4. NPV'!RCH24/'4. NPV'!RCH$8,0)</f>
        <v>-0.0</v>
      </c>
      <c r="RCH55" s="5">
        <f>-IFERROR('4. NPV'!RCI24/'4. NPV'!RCI$8,0)</f>
        <v>-0.0</v>
      </c>
      <c r="RCI55" s="5">
        <f>-IFERROR('4. NPV'!RCJ24/'4. NPV'!RCJ$8,0)</f>
        <v>-0.0</v>
      </c>
      <c r="RCJ55" s="5">
        <f>-IFERROR('4. NPV'!RCK24/'4. NPV'!RCK$8,0)</f>
        <v>-0.0</v>
      </c>
      <c r="RCK55" s="5">
        <f>-IFERROR('4. NPV'!RCL24/'4. NPV'!RCL$8,0)</f>
        <v>-0.0</v>
      </c>
      <c r="RCL55" s="5">
        <f>-IFERROR('4. NPV'!RCM24/'4. NPV'!RCM$8,0)</f>
        <v>-0.0</v>
      </c>
      <c r="RCM55" s="5">
        <f>-IFERROR('4. NPV'!RCN24/'4. NPV'!RCN$8,0)</f>
        <v>-0.0</v>
      </c>
      <c r="RCN55" s="5">
        <f>-IFERROR('4. NPV'!RCO24/'4. NPV'!RCO$8,0)</f>
        <v>-0.0</v>
      </c>
      <c r="RCO55" s="5">
        <f>-IFERROR('4. NPV'!RCP24/'4. NPV'!RCP$8,0)</f>
        <v>-0.0</v>
      </c>
      <c r="RCP55" s="5">
        <f>-IFERROR('4. NPV'!RCQ24/'4. NPV'!RCQ$8,0)</f>
        <v>-0.0</v>
      </c>
      <c r="RCQ55" s="5">
        <f>-IFERROR('4. NPV'!RCR24/'4. NPV'!RCR$8,0)</f>
        <v>-0.0</v>
      </c>
      <c r="RCR55" s="5">
        <f>-IFERROR('4. NPV'!RCS24/'4. NPV'!RCS$8,0)</f>
        <v>-0.0</v>
      </c>
      <c r="RCS55" s="5">
        <f>-IFERROR('4. NPV'!RCT24/'4. NPV'!RCT$8,0)</f>
        <v>-0.0</v>
      </c>
      <c r="RCT55" s="5">
        <f>-IFERROR('4. NPV'!RCU24/'4. NPV'!RCU$8,0)</f>
        <v>-0.0</v>
      </c>
      <c r="RCU55" s="5">
        <f>-IFERROR('4. NPV'!RCV24/'4. NPV'!RCV$8,0)</f>
        <v>-0.0</v>
      </c>
      <c r="RCV55" s="5">
        <f>-IFERROR('4. NPV'!RCW24/'4. NPV'!RCW$8,0)</f>
        <v>-0.0</v>
      </c>
      <c r="RCW55" s="5">
        <f>-IFERROR('4. NPV'!RCX24/'4. NPV'!RCX$8,0)</f>
        <v>-0.0</v>
      </c>
      <c r="RCX55" s="5">
        <f>-IFERROR('4. NPV'!RCY24/'4. NPV'!RCY$8,0)</f>
        <v>-0.0</v>
      </c>
      <c r="RCY55" s="5">
        <f>-IFERROR('4. NPV'!RCZ24/'4. NPV'!RCZ$8,0)</f>
        <v>-0.0</v>
      </c>
      <c r="RCZ55" s="5">
        <f>-IFERROR('4. NPV'!RDA24/'4. NPV'!RDA$8,0)</f>
        <v>-0.0</v>
      </c>
      <c r="RDA55" s="5">
        <f>-IFERROR('4. NPV'!RDB24/'4. NPV'!RDB$8,0)</f>
        <v>-0.0</v>
      </c>
      <c r="RDB55" s="5">
        <f>-IFERROR('4. NPV'!RDC24/'4. NPV'!RDC$8,0)</f>
        <v>-0.0</v>
      </c>
      <c r="RDC55" s="5">
        <f>-IFERROR('4. NPV'!RDD24/'4. NPV'!RDD$8,0)</f>
        <v>-0.0</v>
      </c>
      <c r="RDD55" s="5">
        <f>-IFERROR('4. NPV'!RDE24/'4. NPV'!RDE$8,0)</f>
        <v>-0.0</v>
      </c>
      <c r="RDE55" s="5">
        <f>-IFERROR('4. NPV'!RDF24/'4. NPV'!RDF$8,0)</f>
        <v>-0.0</v>
      </c>
      <c r="RDF55" s="5">
        <f>-IFERROR('4. NPV'!RDG24/'4. NPV'!RDG$8,0)</f>
        <v>-0.0</v>
      </c>
      <c r="RDG55" s="5">
        <f>-IFERROR('4. NPV'!RDH24/'4. NPV'!RDH$8,0)</f>
        <v>-0.0</v>
      </c>
      <c r="RDH55" s="5">
        <f>-IFERROR('4. NPV'!RDI24/'4. NPV'!RDI$8,0)</f>
        <v>-0.0</v>
      </c>
      <c r="RDI55" s="5">
        <f>-IFERROR('4. NPV'!RDJ24/'4. NPV'!RDJ$8,0)</f>
        <v>-0.0</v>
      </c>
      <c r="RDJ55" s="5">
        <f>-IFERROR('4. NPV'!RDK24/'4. NPV'!RDK$8,0)</f>
        <v>-0.0</v>
      </c>
      <c r="RDK55" s="5">
        <f>-IFERROR('4. NPV'!RDL24/'4. NPV'!RDL$8,0)</f>
        <v>-0.0</v>
      </c>
      <c r="RDL55" s="5">
        <f>-IFERROR('4. NPV'!RDM24/'4. NPV'!RDM$8,0)</f>
        <v>-0.0</v>
      </c>
      <c r="RDM55" s="5">
        <f>-IFERROR('4. NPV'!RDN24/'4. NPV'!RDN$8,0)</f>
        <v>-0.0</v>
      </c>
      <c r="RDN55" s="5">
        <f>-IFERROR('4. NPV'!RDO24/'4. NPV'!RDO$8,0)</f>
        <v>-0.0</v>
      </c>
      <c r="RDO55" s="5">
        <f>-IFERROR('4. NPV'!RDP24/'4. NPV'!RDP$8,0)</f>
        <v>-0.0</v>
      </c>
      <c r="RDP55" s="5">
        <f>-IFERROR('4. NPV'!RDQ24/'4. NPV'!RDQ$8,0)</f>
        <v>-0.0</v>
      </c>
      <c r="RDQ55" s="5">
        <f>-IFERROR('4. NPV'!RDR24/'4. NPV'!RDR$8,0)</f>
        <v>-0.0</v>
      </c>
      <c r="RDR55" s="5">
        <f>-IFERROR('4. NPV'!RDS24/'4. NPV'!RDS$8,0)</f>
        <v>-0.0</v>
      </c>
      <c r="RDS55" s="5">
        <f>-IFERROR('4. NPV'!RDT24/'4. NPV'!RDT$8,0)</f>
        <v>-0.0</v>
      </c>
      <c r="RDT55" s="5">
        <f>-IFERROR('4. NPV'!RDU24/'4. NPV'!RDU$8,0)</f>
        <v>-0.0</v>
      </c>
      <c r="RDU55" s="5">
        <f>-IFERROR('4. NPV'!RDV24/'4. NPV'!RDV$8,0)</f>
        <v>-0.0</v>
      </c>
      <c r="RDV55" s="5">
        <f>-IFERROR('4. NPV'!RDW24/'4. NPV'!RDW$8,0)</f>
        <v>-0.0</v>
      </c>
      <c r="RDW55" s="5">
        <f>-IFERROR('4. NPV'!RDX24/'4. NPV'!RDX$8,0)</f>
        <v>-0.0</v>
      </c>
      <c r="RDX55" s="5">
        <f>-IFERROR('4. NPV'!RDY24/'4. NPV'!RDY$8,0)</f>
        <v>-0.0</v>
      </c>
      <c r="RDY55" s="5">
        <f>-IFERROR('4. NPV'!RDZ24/'4. NPV'!RDZ$8,0)</f>
        <v>-0.0</v>
      </c>
      <c r="RDZ55" s="5">
        <f>-IFERROR('4. NPV'!REA24/'4. NPV'!REA$8,0)</f>
        <v>-0.0</v>
      </c>
      <c r="REA55" s="5">
        <f>-IFERROR('4. NPV'!REB24/'4. NPV'!REB$8,0)</f>
        <v>-0.0</v>
      </c>
      <c r="REB55" s="5">
        <f>-IFERROR('4. NPV'!REC24/'4. NPV'!REC$8,0)</f>
        <v>-0.0</v>
      </c>
      <c r="REC55" s="5">
        <f>-IFERROR('4. NPV'!RED24/'4. NPV'!RED$8,0)</f>
        <v>-0.0</v>
      </c>
      <c r="RED55" s="5">
        <f>-IFERROR('4. NPV'!REE24/'4. NPV'!REE$8,0)</f>
        <v>-0.0</v>
      </c>
      <c r="REE55" s="5">
        <f>-IFERROR('4. NPV'!REF24/'4. NPV'!REF$8,0)</f>
        <v>-0.0</v>
      </c>
      <c r="REF55" s="5">
        <f>-IFERROR('4. NPV'!REG24/'4. NPV'!REG$8,0)</f>
        <v>-0.0</v>
      </c>
      <c r="REG55" s="5">
        <f>-IFERROR('4. NPV'!REH24/'4. NPV'!REH$8,0)</f>
        <v>-0.0</v>
      </c>
      <c r="REH55" s="5">
        <f>-IFERROR('4. NPV'!REI24/'4. NPV'!REI$8,0)</f>
        <v>-0.0</v>
      </c>
      <c r="REI55" s="5">
        <f>-IFERROR('4. NPV'!REJ24/'4. NPV'!REJ$8,0)</f>
        <v>-0.0</v>
      </c>
      <c r="REJ55" s="5">
        <f>-IFERROR('4. NPV'!REK24/'4. NPV'!REK$8,0)</f>
        <v>-0.0</v>
      </c>
      <c r="REK55" s="5">
        <f>-IFERROR('4. NPV'!REL24/'4. NPV'!REL$8,0)</f>
        <v>-0.0</v>
      </c>
      <c r="REL55" s="5">
        <f>-IFERROR('4. NPV'!REM24/'4. NPV'!REM$8,0)</f>
        <v>-0.0</v>
      </c>
      <c r="REM55" s="5">
        <f>-IFERROR('4. NPV'!REN24/'4. NPV'!REN$8,0)</f>
        <v>-0.0</v>
      </c>
      <c r="REN55" s="5">
        <f>-IFERROR('4. NPV'!REO24/'4. NPV'!REO$8,0)</f>
        <v>-0.0</v>
      </c>
      <c r="REO55" s="5">
        <f>-IFERROR('4. NPV'!REP24/'4. NPV'!REP$8,0)</f>
        <v>-0.0</v>
      </c>
      <c r="REP55" s="5">
        <f>-IFERROR('4. NPV'!REQ24/'4. NPV'!REQ$8,0)</f>
        <v>-0.0</v>
      </c>
      <c r="REQ55" s="5">
        <f>-IFERROR('4. NPV'!RER24/'4. NPV'!RER$8,0)</f>
        <v>-0.0</v>
      </c>
      <c r="RER55" s="5">
        <f>-IFERROR('4. NPV'!RES24/'4. NPV'!RES$8,0)</f>
        <v>-0.0</v>
      </c>
      <c r="RES55" s="5">
        <f>-IFERROR('4. NPV'!RET24/'4. NPV'!RET$8,0)</f>
        <v>-0.0</v>
      </c>
      <c r="RET55" s="5">
        <f>-IFERROR('4. NPV'!REU24/'4. NPV'!REU$8,0)</f>
        <v>-0.0</v>
      </c>
      <c r="REU55" s="5">
        <f>-IFERROR('4. NPV'!REV24/'4. NPV'!REV$8,0)</f>
        <v>-0.0</v>
      </c>
      <c r="REV55" s="5">
        <f>-IFERROR('4. NPV'!REW24/'4. NPV'!REW$8,0)</f>
        <v>-0.0</v>
      </c>
      <c r="REW55" s="5">
        <f>-IFERROR('4. NPV'!REX24/'4. NPV'!REX$8,0)</f>
        <v>-0.0</v>
      </c>
      <c r="REX55" s="5">
        <f>-IFERROR('4. NPV'!REY24/'4. NPV'!REY$8,0)</f>
        <v>-0.0</v>
      </c>
      <c r="REY55" s="5">
        <f>-IFERROR('4. NPV'!REZ24/'4. NPV'!REZ$8,0)</f>
        <v>-0.0</v>
      </c>
      <c r="REZ55" s="5">
        <f>-IFERROR('4. NPV'!RFA24/'4. NPV'!RFA$8,0)</f>
        <v>-0.0</v>
      </c>
      <c r="RFA55" s="5">
        <f>-IFERROR('4. NPV'!RFB24/'4. NPV'!RFB$8,0)</f>
        <v>-0.0</v>
      </c>
      <c r="RFB55" s="5">
        <f>-IFERROR('4. NPV'!RFC24/'4. NPV'!RFC$8,0)</f>
        <v>-0.0</v>
      </c>
      <c r="RFC55" s="5">
        <f>-IFERROR('4. NPV'!RFD24/'4. NPV'!RFD$8,0)</f>
        <v>-0.0</v>
      </c>
      <c r="RFD55" s="5">
        <f>-IFERROR('4. NPV'!RFE24/'4. NPV'!RFE$8,0)</f>
        <v>-0.0</v>
      </c>
      <c r="RFE55" s="5">
        <f>-IFERROR('4. NPV'!RFF24/'4. NPV'!RFF$8,0)</f>
        <v>-0.0</v>
      </c>
      <c r="RFF55" s="5">
        <f>-IFERROR('4. NPV'!RFG24/'4. NPV'!RFG$8,0)</f>
        <v>-0.0</v>
      </c>
      <c r="RFG55" s="5">
        <f>-IFERROR('4. NPV'!RFH24/'4. NPV'!RFH$8,0)</f>
        <v>-0.0</v>
      </c>
      <c r="RFH55" s="5">
        <f>-IFERROR('4. NPV'!RFI24/'4. NPV'!RFI$8,0)</f>
        <v>-0.0</v>
      </c>
      <c r="RFI55" s="5">
        <f>-IFERROR('4. NPV'!RFJ24/'4. NPV'!RFJ$8,0)</f>
        <v>-0.0</v>
      </c>
      <c r="RFJ55" s="5">
        <f>-IFERROR('4. NPV'!RFK24/'4. NPV'!RFK$8,0)</f>
        <v>-0.0</v>
      </c>
      <c r="RFK55" s="5">
        <f>-IFERROR('4. NPV'!RFL24/'4. NPV'!RFL$8,0)</f>
        <v>-0.0</v>
      </c>
      <c r="RFL55" s="5">
        <f>-IFERROR('4. NPV'!RFM24/'4. NPV'!RFM$8,0)</f>
        <v>-0.0</v>
      </c>
      <c r="RFM55" s="5">
        <f>-IFERROR('4. NPV'!RFN24/'4. NPV'!RFN$8,0)</f>
        <v>-0.0</v>
      </c>
      <c r="RFN55" s="5">
        <f>-IFERROR('4. NPV'!RFO24/'4. NPV'!RFO$8,0)</f>
        <v>-0.0</v>
      </c>
      <c r="RFO55" s="5">
        <f>-IFERROR('4. NPV'!RFP24/'4. NPV'!RFP$8,0)</f>
        <v>-0.0</v>
      </c>
      <c r="RFP55" s="5">
        <f>-IFERROR('4. NPV'!RFQ24/'4. NPV'!RFQ$8,0)</f>
        <v>-0.0</v>
      </c>
      <c r="RFQ55" s="5">
        <f>-IFERROR('4. NPV'!RFR24/'4. NPV'!RFR$8,0)</f>
        <v>-0.0</v>
      </c>
      <c r="RFR55" s="5">
        <f>-IFERROR('4. NPV'!RFS24/'4. NPV'!RFS$8,0)</f>
        <v>-0.0</v>
      </c>
      <c r="RFS55" s="5">
        <f>-IFERROR('4. NPV'!RFT24/'4. NPV'!RFT$8,0)</f>
        <v>-0.0</v>
      </c>
      <c r="RFT55" s="5">
        <f>-IFERROR('4. NPV'!RFU24/'4. NPV'!RFU$8,0)</f>
        <v>-0.0</v>
      </c>
      <c r="RFU55" s="5">
        <f>-IFERROR('4. NPV'!RFV24/'4. NPV'!RFV$8,0)</f>
        <v>-0.0</v>
      </c>
      <c r="RFV55" s="5">
        <f>-IFERROR('4. NPV'!RFW24/'4. NPV'!RFW$8,0)</f>
        <v>-0.0</v>
      </c>
      <c r="RFW55" s="5">
        <f>-IFERROR('4. NPV'!RFX24/'4. NPV'!RFX$8,0)</f>
        <v>-0.0</v>
      </c>
      <c r="RFX55" s="5">
        <f>-IFERROR('4. NPV'!RFY24/'4. NPV'!RFY$8,0)</f>
        <v>-0.0</v>
      </c>
      <c r="RFY55" s="5">
        <f>-IFERROR('4. NPV'!RFZ24/'4. NPV'!RFZ$8,0)</f>
        <v>-0.0</v>
      </c>
      <c r="RFZ55" s="5">
        <f>-IFERROR('4. NPV'!RGA24/'4. NPV'!RGA$8,0)</f>
        <v>-0.0</v>
      </c>
      <c r="RGA55" s="5">
        <f>-IFERROR('4. NPV'!RGB24/'4. NPV'!RGB$8,0)</f>
        <v>-0.0</v>
      </c>
      <c r="RGB55" s="5">
        <f>-IFERROR('4. NPV'!RGC24/'4. NPV'!RGC$8,0)</f>
        <v>-0.0</v>
      </c>
      <c r="RGC55" s="5">
        <f>-IFERROR('4. NPV'!RGD24/'4. NPV'!RGD$8,0)</f>
        <v>-0.0</v>
      </c>
      <c r="RGD55" s="5">
        <f>-IFERROR('4. NPV'!RGE24/'4. NPV'!RGE$8,0)</f>
        <v>-0.0</v>
      </c>
      <c r="RGE55" s="5">
        <f>-IFERROR('4. NPV'!RGF24/'4. NPV'!RGF$8,0)</f>
        <v>-0.0</v>
      </c>
      <c r="RGF55" s="5">
        <f>-IFERROR('4. NPV'!RGG24/'4. NPV'!RGG$8,0)</f>
        <v>-0.0</v>
      </c>
      <c r="RGG55" s="5">
        <f>-IFERROR('4. NPV'!RGH24/'4. NPV'!RGH$8,0)</f>
        <v>-0.0</v>
      </c>
      <c r="RGH55" s="5">
        <f>-IFERROR('4. NPV'!RGI24/'4. NPV'!RGI$8,0)</f>
        <v>-0.0</v>
      </c>
      <c r="RGI55" s="5">
        <f>-IFERROR('4. NPV'!RGJ24/'4. NPV'!RGJ$8,0)</f>
        <v>-0.0</v>
      </c>
      <c r="RGJ55" s="5">
        <f>-IFERROR('4. NPV'!RGK24/'4. NPV'!RGK$8,0)</f>
        <v>-0.0</v>
      </c>
      <c r="RGK55" s="5">
        <f>-IFERROR('4. NPV'!RGL24/'4. NPV'!RGL$8,0)</f>
        <v>-0.0</v>
      </c>
      <c r="RGL55" s="5">
        <f>-IFERROR('4. NPV'!RGM24/'4. NPV'!RGM$8,0)</f>
        <v>-0.0</v>
      </c>
      <c r="RGM55" s="5">
        <f>-IFERROR('4. NPV'!RGN24/'4. NPV'!RGN$8,0)</f>
        <v>-0.0</v>
      </c>
      <c r="RGN55" s="5">
        <f>-IFERROR('4. NPV'!RGO24/'4. NPV'!RGO$8,0)</f>
        <v>-0.0</v>
      </c>
      <c r="RGO55" s="5">
        <f>-IFERROR('4. NPV'!RGP24/'4. NPV'!RGP$8,0)</f>
        <v>-0.0</v>
      </c>
      <c r="RGP55" s="5">
        <f>-IFERROR('4. NPV'!RGQ24/'4. NPV'!RGQ$8,0)</f>
        <v>-0.0</v>
      </c>
      <c r="RGQ55" s="5">
        <f>-IFERROR('4. NPV'!RGR24/'4. NPV'!RGR$8,0)</f>
        <v>-0.0</v>
      </c>
      <c r="RGR55" s="5">
        <f>-IFERROR('4. NPV'!RGS24/'4. NPV'!RGS$8,0)</f>
        <v>-0.0</v>
      </c>
      <c r="RGS55" s="5">
        <f>-IFERROR('4. NPV'!RGT24/'4. NPV'!RGT$8,0)</f>
        <v>-0.0</v>
      </c>
      <c r="RGT55" s="5">
        <f>-IFERROR('4. NPV'!RGU24/'4. NPV'!RGU$8,0)</f>
        <v>-0.0</v>
      </c>
      <c r="RGU55" s="5">
        <f>-IFERROR('4. NPV'!RGV24/'4. NPV'!RGV$8,0)</f>
        <v>-0.0</v>
      </c>
      <c r="RGV55" s="5">
        <f>-IFERROR('4. NPV'!RGW24/'4. NPV'!RGW$8,0)</f>
        <v>-0.0</v>
      </c>
      <c r="RGW55" s="5">
        <f>-IFERROR('4. NPV'!RGX24/'4. NPV'!RGX$8,0)</f>
        <v>-0.0</v>
      </c>
      <c r="RGX55" s="5">
        <f>-IFERROR('4. NPV'!RGY24/'4. NPV'!RGY$8,0)</f>
        <v>-0.0</v>
      </c>
      <c r="RGY55" s="5">
        <f>-IFERROR('4. NPV'!RGZ24/'4. NPV'!RGZ$8,0)</f>
        <v>-0.0</v>
      </c>
      <c r="RGZ55" s="5">
        <f>-IFERROR('4. NPV'!RHA24/'4. NPV'!RHA$8,0)</f>
        <v>-0.0</v>
      </c>
      <c r="RHA55" s="5">
        <f>-IFERROR('4. NPV'!RHB24/'4. NPV'!RHB$8,0)</f>
        <v>-0.0</v>
      </c>
      <c r="RHB55" s="5">
        <f>-IFERROR('4. NPV'!RHC24/'4. NPV'!RHC$8,0)</f>
        <v>-0.0</v>
      </c>
      <c r="RHC55" s="5">
        <f>-IFERROR('4. NPV'!RHD24/'4. NPV'!RHD$8,0)</f>
        <v>-0.0</v>
      </c>
      <c r="RHD55" s="5">
        <f>-IFERROR('4. NPV'!RHE24/'4. NPV'!RHE$8,0)</f>
        <v>-0.0</v>
      </c>
      <c r="RHE55" s="5">
        <f>-IFERROR('4. NPV'!RHF24/'4. NPV'!RHF$8,0)</f>
        <v>-0.0</v>
      </c>
      <c r="RHF55" s="5">
        <f>-IFERROR('4. NPV'!RHG24/'4. NPV'!RHG$8,0)</f>
        <v>-0.0</v>
      </c>
      <c r="RHG55" s="5">
        <f>-IFERROR('4. NPV'!RHH24/'4. NPV'!RHH$8,0)</f>
        <v>-0.0</v>
      </c>
      <c r="RHH55" s="5">
        <f>-IFERROR('4. NPV'!RHI24/'4. NPV'!RHI$8,0)</f>
        <v>-0.0</v>
      </c>
      <c r="RHI55" s="5">
        <f>-IFERROR('4. NPV'!RHJ24/'4. NPV'!RHJ$8,0)</f>
        <v>-0.0</v>
      </c>
      <c r="RHJ55" s="5">
        <f>-IFERROR('4. NPV'!RHK24/'4. NPV'!RHK$8,0)</f>
        <v>-0.0</v>
      </c>
      <c r="RHK55" s="5">
        <f>-IFERROR('4. NPV'!RHL24/'4. NPV'!RHL$8,0)</f>
        <v>-0.0</v>
      </c>
      <c r="RHL55" s="5">
        <f>-IFERROR('4. NPV'!RHM24/'4. NPV'!RHM$8,0)</f>
        <v>-0.0</v>
      </c>
      <c r="RHM55" s="5">
        <f>-IFERROR('4. NPV'!RHN24/'4. NPV'!RHN$8,0)</f>
        <v>-0.0</v>
      </c>
      <c r="RHN55" s="5">
        <f>-IFERROR('4. NPV'!RHO24/'4. NPV'!RHO$8,0)</f>
        <v>-0.0</v>
      </c>
      <c r="RHO55" s="5">
        <f>-IFERROR('4. NPV'!RHP24/'4. NPV'!RHP$8,0)</f>
        <v>-0.0</v>
      </c>
      <c r="RHP55" s="5">
        <f>-IFERROR('4. NPV'!RHQ24/'4. NPV'!RHQ$8,0)</f>
        <v>-0.0</v>
      </c>
      <c r="RHQ55" s="5">
        <f>-IFERROR('4. NPV'!RHR24/'4. NPV'!RHR$8,0)</f>
        <v>-0.0</v>
      </c>
      <c r="RHR55" s="5">
        <f>-IFERROR('4. NPV'!RHS24/'4. NPV'!RHS$8,0)</f>
        <v>-0.0</v>
      </c>
      <c r="RHS55" s="5">
        <f>-IFERROR('4. NPV'!RHT24/'4. NPV'!RHT$8,0)</f>
        <v>-0.0</v>
      </c>
      <c r="RHT55" s="5">
        <f>-IFERROR('4. NPV'!RHU24/'4. NPV'!RHU$8,0)</f>
        <v>-0.0</v>
      </c>
      <c r="RHU55" s="5">
        <f>-IFERROR('4. NPV'!RHV24/'4. NPV'!RHV$8,0)</f>
        <v>-0.0</v>
      </c>
      <c r="RHV55" s="5">
        <f>-IFERROR('4. NPV'!RHW24/'4. NPV'!RHW$8,0)</f>
        <v>-0.0</v>
      </c>
      <c r="RHW55" s="5">
        <f>-IFERROR('4. NPV'!RHX24/'4. NPV'!RHX$8,0)</f>
        <v>-0.0</v>
      </c>
      <c r="RHX55" s="5">
        <f>-IFERROR('4. NPV'!RHY24/'4. NPV'!RHY$8,0)</f>
        <v>-0.0</v>
      </c>
      <c r="RHY55" s="5">
        <f>-IFERROR('4. NPV'!RHZ24/'4. NPV'!RHZ$8,0)</f>
        <v>-0.0</v>
      </c>
      <c r="RHZ55" s="5">
        <f>-IFERROR('4. NPV'!RIA24/'4. NPV'!RIA$8,0)</f>
        <v>-0.0</v>
      </c>
      <c r="RIA55" s="5">
        <f>-IFERROR('4. NPV'!RIB24/'4. NPV'!RIB$8,0)</f>
        <v>-0.0</v>
      </c>
      <c r="RIB55" s="5">
        <f>-IFERROR('4. NPV'!RIC24/'4. NPV'!RIC$8,0)</f>
        <v>-0.0</v>
      </c>
      <c r="RIC55" s="5">
        <f>-IFERROR('4. NPV'!RID24/'4. NPV'!RID$8,0)</f>
        <v>-0.0</v>
      </c>
      <c r="RID55" s="5">
        <f>-IFERROR('4. NPV'!RIE24/'4. NPV'!RIE$8,0)</f>
        <v>-0.0</v>
      </c>
      <c r="RIE55" s="5">
        <f>-IFERROR('4. NPV'!RIF24/'4. NPV'!RIF$8,0)</f>
        <v>-0.0</v>
      </c>
      <c r="RIF55" s="5">
        <f>-IFERROR('4. NPV'!RIG24/'4. NPV'!RIG$8,0)</f>
        <v>-0.0</v>
      </c>
      <c r="RIG55" s="5">
        <f>-IFERROR('4. NPV'!RIH24/'4. NPV'!RIH$8,0)</f>
        <v>-0.0</v>
      </c>
      <c r="RIH55" s="5">
        <f>-IFERROR('4. NPV'!RII24/'4. NPV'!RII$8,0)</f>
        <v>-0.0</v>
      </c>
      <c r="RII55" s="5">
        <f>-IFERROR('4. NPV'!RIJ24/'4. NPV'!RIJ$8,0)</f>
        <v>-0.0</v>
      </c>
      <c r="RIJ55" s="5">
        <f>-IFERROR('4. NPV'!RIK24/'4. NPV'!RIK$8,0)</f>
        <v>-0.0</v>
      </c>
      <c r="RIK55" s="5">
        <f>-IFERROR('4. NPV'!RIL24/'4. NPV'!RIL$8,0)</f>
        <v>-0.0</v>
      </c>
      <c r="RIL55" s="5">
        <f>-IFERROR('4. NPV'!RIM24/'4. NPV'!RIM$8,0)</f>
        <v>-0.0</v>
      </c>
      <c r="RIM55" s="5">
        <f>-IFERROR('4. NPV'!RIN24/'4. NPV'!RIN$8,0)</f>
        <v>-0.0</v>
      </c>
      <c r="RIN55" s="5">
        <f>-IFERROR('4. NPV'!RIO24/'4. NPV'!RIO$8,0)</f>
        <v>-0.0</v>
      </c>
      <c r="RIO55" s="5">
        <f>-IFERROR('4. NPV'!RIP24/'4. NPV'!RIP$8,0)</f>
        <v>-0.0</v>
      </c>
      <c r="RIP55" s="5">
        <f>-IFERROR('4. NPV'!RIQ24/'4. NPV'!RIQ$8,0)</f>
        <v>-0.0</v>
      </c>
      <c r="RIQ55" s="5">
        <f>-IFERROR('4. NPV'!RIR24/'4. NPV'!RIR$8,0)</f>
        <v>-0.0</v>
      </c>
      <c r="RIR55" s="5">
        <f>-IFERROR('4. NPV'!RIS24/'4. NPV'!RIS$8,0)</f>
        <v>-0.0</v>
      </c>
      <c r="RIS55" s="5">
        <f>-IFERROR('4. NPV'!RIT24/'4. NPV'!RIT$8,0)</f>
        <v>-0.0</v>
      </c>
      <c r="RIT55" s="5">
        <f>-IFERROR('4. NPV'!RIU24/'4. NPV'!RIU$8,0)</f>
        <v>-0.0</v>
      </c>
      <c r="RIU55" s="5">
        <f>-IFERROR('4. NPV'!RIV24/'4. NPV'!RIV$8,0)</f>
        <v>-0.0</v>
      </c>
      <c r="RIV55" s="5">
        <f>-IFERROR('4. NPV'!RIW24/'4. NPV'!RIW$8,0)</f>
        <v>-0.0</v>
      </c>
      <c r="RIW55" s="5">
        <f>-IFERROR('4. NPV'!RIX24/'4. NPV'!RIX$8,0)</f>
        <v>-0.0</v>
      </c>
      <c r="RIX55" s="5">
        <f>-IFERROR('4. NPV'!RIY24/'4. NPV'!RIY$8,0)</f>
        <v>-0.0</v>
      </c>
      <c r="RIY55" s="5">
        <f>-IFERROR('4. NPV'!RIZ24/'4. NPV'!RIZ$8,0)</f>
        <v>-0.0</v>
      </c>
      <c r="RIZ55" s="5">
        <f>-IFERROR('4. NPV'!RJA24/'4. NPV'!RJA$8,0)</f>
        <v>-0.0</v>
      </c>
      <c r="RJA55" s="5">
        <f>-IFERROR('4. NPV'!RJB24/'4. NPV'!RJB$8,0)</f>
        <v>-0.0</v>
      </c>
      <c r="RJB55" s="5">
        <f>-IFERROR('4. NPV'!RJC24/'4. NPV'!RJC$8,0)</f>
        <v>-0.0</v>
      </c>
      <c r="RJC55" s="5">
        <f>-IFERROR('4. NPV'!RJD24/'4. NPV'!RJD$8,0)</f>
        <v>-0.0</v>
      </c>
      <c r="RJD55" s="5">
        <f>-IFERROR('4. NPV'!RJE24/'4. NPV'!RJE$8,0)</f>
        <v>-0.0</v>
      </c>
      <c r="RJE55" s="5">
        <f>-IFERROR('4. NPV'!RJF24/'4. NPV'!RJF$8,0)</f>
        <v>-0.0</v>
      </c>
      <c r="RJF55" s="5">
        <f>-IFERROR('4. NPV'!RJG24/'4. NPV'!RJG$8,0)</f>
        <v>-0.0</v>
      </c>
      <c r="RJG55" s="5">
        <f>-IFERROR('4. NPV'!RJH24/'4. NPV'!RJH$8,0)</f>
        <v>-0.0</v>
      </c>
      <c r="RJH55" s="5">
        <f>-IFERROR('4. NPV'!RJI24/'4. NPV'!RJI$8,0)</f>
        <v>-0.0</v>
      </c>
      <c r="RJI55" s="5">
        <f>-IFERROR('4. NPV'!RJJ24/'4. NPV'!RJJ$8,0)</f>
        <v>-0.0</v>
      </c>
      <c r="RJJ55" s="5">
        <f>-IFERROR('4. NPV'!RJK24/'4. NPV'!RJK$8,0)</f>
        <v>-0.0</v>
      </c>
      <c r="RJK55" s="5">
        <f>-IFERROR('4. NPV'!RJL24/'4. NPV'!RJL$8,0)</f>
        <v>-0.0</v>
      </c>
      <c r="RJL55" s="5">
        <f>-IFERROR('4. NPV'!RJM24/'4. NPV'!RJM$8,0)</f>
        <v>-0.0</v>
      </c>
      <c r="RJM55" s="5">
        <f>-IFERROR('4. NPV'!RJN24/'4. NPV'!RJN$8,0)</f>
        <v>-0.0</v>
      </c>
      <c r="RJN55" s="5">
        <f>-IFERROR('4. NPV'!RJO24/'4. NPV'!RJO$8,0)</f>
        <v>-0.0</v>
      </c>
      <c r="RJO55" s="5">
        <f>-IFERROR('4. NPV'!RJP24/'4. NPV'!RJP$8,0)</f>
        <v>-0.0</v>
      </c>
      <c r="RJP55" s="5">
        <f>-IFERROR('4. NPV'!RJQ24/'4. NPV'!RJQ$8,0)</f>
        <v>-0.0</v>
      </c>
      <c r="RJQ55" s="5">
        <f>-IFERROR('4. NPV'!RJR24/'4. NPV'!RJR$8,0)</f>
        <v>-0.0</v>
      </c>
      <c r="RJR55" s="5">
        <f>-IFERROR('4. NPV'!RJS24/'4. NPV'!RJS$8,0)</f>
        <v>-0.0</v>
      </c>
      <c r="RJS55" s="5">
        <f>-IFERROR('4. NPV'!RJT24/'4. NPV'!RJT$8,0)</f>
        <v>-0.0</v>
      </c>
      <c r="RJT55" s="5">
        <f>-IFERROR('4. NPV'!RJU24/'4. NPV'!RJU$8,0)</f>
        <v>-0.0</v>
      </c>
      <c r="RJU55" s="5">
        <f>-IFERROR('4. NPV'!RJV24/'4. NPV'!RJV$8,0)</f>
        <v>-0.0</v>
      </c>
      <c r="RJV55" s="5">
        <f>-IFERROR('4. NPV'!RJW24/'4. NPV'!RJW$8,0)</f>
        <v>-0.0</v>
      </c>
      <c r="RJW55" s="5">
        <f>-IFERROR('4. NPV'!RJX24/'4. NPV'!RJX$8,0)</f>
        <v>-0.0</v>
      </c>
      <c r="RJX55" s="5">
        <f>-IFERROR('4. NPV'!RJY24/'4. NPV'!RJY$8,0)</f>
        <v>-0.0</v>
      </c>
      <c r="RJY55" s="5">
        <f>-IFERROR('4. NPV'!RJZ24/'4. NPV'!RJZ$8,0)</f>
        <v>-0.0</v>
      </c>
      <c r="RJZ55" s="5">
        <f>-IFERROR('4. NPV'!RKA24/'4. NPV'!RKA$8,0)</f>
        <v>-0.0</v>
      </c>
      <c r="RKA55" s="5">
        <f>-IFERROR('4. NPV'!RKB24/'4. NPV'!RKB$8,0)</f>
        <v>-0.0</v>
      </c>
      <c r="RKB55" s="5">
        <f>-IFERROR('4. NPV'!RKC24/'4. NPV'!RKC$8,0)</f>
        <v>-0.0</v>
      </c>
      <c r="RKC55" s="5">
        <f>-IFERROR('4. NPV'!RKD24/'4. NPV'!RKD$8,0)</f>
        <v>-0.0</v>
      </c>
      <c r="RKD55" s="5">
        <f>-IFERROR('4. NPV'!RKE24/'4. NPV'!RKE$8,0)</f>
        <v>-0.0</v>
      </c>
      <c r="RKE55" s="5">
        <f>-IFERROR('4. NPV'!RKF24/'4. NPV'!RKF$8,0)</f>
        <v>-0.0</v>
      </c>
      <c r="RKF55" s="5">
        <f>-IFERROR('4. NPV'!RKG24/'4. NPV'!RKG$8,0)</f>
        <v>-0.0</v>
      </c>
      <c r="RKG55" s="5">
        <f>-IFERROR('4. NPV'!RKH24/'4. NPV'!RKH$8,0)</f>
        <v>-0.0</v>
      </c>
      <c r="RKH55" s="5">
        <f>-IFERROR('4. NPV'!RKI24/'4. NPV'!RKI$8,0)</f>
        <v>-0.0</v>
      </c>
      <c r="RKI55" s="5">
        <f>-IFERROR('4. NPV'!RKJ24/'4. NPV'!RKJ$8,0)</f>
        <v>-0.0</v>
      </c>
      <c r="RKJ55" s="5">
        <f>-IFERROR('4. NPV'!RKK24/'4. NPV'!RKK$8,0)</f>
        <v>-0.0</v>
      </c>
      <c r="RKK55" s="5">
        <f>-IFERROR('4. NPV'!RKL24/'4. NPV'!RKL$8,0)</f>
        <v>-0.0</v>
      </c>
      <c r="RKL55" s="5">
        <f>-IFERROR('4. NPV'!RKM24/'4. NPV'!RKM$8,0)</f>
        <v>-0.0</v>
      </c>
      <c r="RKM55" s="5">
        <f>-IFERROR('4. NPV'!RKN24/'4. NPV'!RKN$8,0)</f>
        <v>-0.0</v>
      </c>
      <c r="RKN55" s="5">
        <f>-IFERROR('4. NPV'!RKO24/'4. NPV'!RKO$8,0)</f>
        <v>-0.0</v>
      </c>
      <c r="RKO55" s="5">
        <f>-IFERROR('4. NPV'!RKP24/'4. NPV'!RKP$8,0)</f>
        <v>-0.0</v>
      </c>
      <c r="RKP55" s="5">
        <f>-IFERROR('4. NPV'!RKQ24/'4. NPV'!RKQ$8,0)</f>
        <v>-0.0</v>
      </c>
      <c r="RKQ55" s="5">
        <f>-IFERROR('4. NPV'!RKR24/'4. NPV'!RKR$8,0)</f>
        <v>-0.0</v>
      </c>
      <c r="RKR55" s="5">
        <f>-IFERROR('4. NPV'!RKS24/'4. NPV'!RKS$8,0)</f>
        <v>-0.0</v>
      </c>
      <c r="RKS55" s="5">
        <f>-IFERROR('4. NPV'!RKT24/'4. NPV'!RKT$8,0)</f>
        <v>-0.0</v>
      </c>
      <c r="RKT55" s="5">
        <f>-IFERROR('4. NPV'!RKU24/'4. NPV'!RKU$8,0)</f>
        <v>-0.0</v>
      </c>
      <c r="RKU55" s="5">
        <f>-IFERROR('4. NPV'!RKV24/'4. NPV'!RKV$8,0)</f>
        <v>-0.0</v>
      </c>
      <c r="RKV55" s="5">
        <f>-IFERROR('4. NPV'!RKW24/'4. NPV'!RKW$8,0)</f>
        <v>-0.0</v>
      </c>
      <c r="RKW55" s="5">
        <f>-IFERROR('4. NPV'!RKX24/'4. NPV'!RKX$8,0)</f>
        <v>-0.0</v>
      </c>
      <c r="RKX55" s="5">
        <f>-IFERROR('4. NPV'!RKY24/'4. NPV'!RKY$8,0)</f>
        <v>-0.0</v>
      </c>
      <c r="RKY55" s="5">
        <f>-IFERROR('4. NPV'!RKZ24/'4. NPV'!RKZ$8,0)</f>
        <v>-0.0</v>
      </c>
      <c r="RKZ55" s="5">
        <f>-IFERROR('4. NPV'!RLA24/'4. NPV'!RLA$8,0)</f>
        <v>-0.0</v>
      </c>
      <c r="RLA55" s="5">
        <f>-IFERROR('4. NPV'!RLB24/'4. NPV'!RLB$8,0)</f>
        <v>-0.0</v>
      </c>
      <c r="RLB55" s="5">
        <f>-IFERROR('4. NPV'!RLC24/'4. NPV'!RLC$8,0)</f>
        <v>-0.0</v>
      </c>
      <c r="RLC55" s="5">
        <f>-IFERROR('4. NPV'!RLD24/'4. NPV'!RLD$8,0)</f>
        <v>-0.0</v>
      </c>
      <c r="RLD55" s="5">
        <f>-IFERROR('4. NPV'!RLE24/'4. NPV'!RLE$8,0)</f>
        <v>-0.0</v>
      </c>
      <c r="RLE55" s="5">
        <f>-IFERROR('4. NPV'!RLF24/'4. NPV'!RLF$8,0)</f>
        <v>-0.0</v>
      </c>
      <c r="RLF55" s="5">
        <f>-IFERROR('4. NPV'!RLG24/'4. NPV'!RLG$8,0)</f>
        <v>-0.0</v>
      </c>
      <c r="RLG55" s="5">
        <f>-IFERROR('4. NPV'!RLH24/'4. NPV'!RLH$8,0)</f>
        <v>-0.0</v>
      </c>
      <c r="RLH55" s="5">
        <f>-IFERROR('4. NPV'!RLI24/'4. NPV'!RLI$8,0)</f>
        <v>-0.0</v>
      </c>
      <c r="RLI55" s="5">
        <f>-IFERROR('4. NPV'!RLJ24/'4. NPV'!RLJ$8,0)</f>
        <v>-0.0</v>
      </c>
      <c r="RLJ55" s="5">
        <f>-IFERROR('4. NPV'!RLK24/'4. NPV'!RLK$8,0)</f>
        <v>-0.0</v>
      </c>
      <c r="RLK55" s="5">
        <f>-IFERROR('4. NPV'!RLL24/'4. NPV'!RLL$8,0)</f>
        <v>-0.0</v>
      </c>
      <c r="RLL55" s="5">
        <f>-IFERROR('4. NPV'!RLM24/'4. NPV'!RLM$8,0)</f>
        <v>-0.0</v>
      </c>
      <c r="RLM55" s="5">
        <f>-IFERROR('4. NPV'!RLN24/'4. NPV'!RLN$8,0)</f>
        <v>-0.0</v>
      </c>
      <c r="RLN55" s="5">
        <f>-IFERROR('4. NPV'!RLO24/'4. NPV'!RLO$8,0)</f>
        <v>-0.0</v>
      </c>
      <c r="RLO55" s="5">
        <f>-IFERROR('4. NPV'!RLP24/'4. NPV'!RLP$8,0)</f>
        <v>-0.0</v>
      </c>
      <c r="RLP55" s="5">
        <f>-IFERROR('4. NPV'!RLQ24/'4. NPV'!RLQ$8,0)</f>
        <v>-0.0</v>
      </c>
      <c r="RLQ55" s="5">
        <f>-IFERROR('4. NPV'!RLR24/'4. NPV'!RLR$8,0)</f>
        <v>-0.0</v>
      </c>
      <c r="RLR55" s="5">
        <f>-IFERROR('4. NPV'!RLS24/'4. NPV'!RLS$8,0)</f>
        <v>-0.0</v>
      </c>
      <c r="RLS55" s="5">
        <f>-IFERROR('4. NPV'!RLT24/'4. NPV'!RLT$8,0)</f>
        <v>-0.0</v>
      </c>
      <c r="RLT55" s="5">
        <f>-IFERROR('4. NPV'!RLU24/'4. NPV'!RLU$8,0)</f>
        <v>-0.0</v>
      </c>
      <c r="RLU55" s="5">
        <f>-IFERROR('4. NPV'!RLV24/'4. NPV'!RLV$8,0)</f>
        <v>-0.0</v>
      </c>
      <c r="RLV55" s="5">
        <f>-IFERROR('4. NPV'!RLW24/'4. NPV'!RLW$8,0)</f>
        <v>-0.0</v>
      </c>
      <c r="RLW55" s="5">
        <f>-IFERROR('4. NPV'!RLX24/'4. NPV'!RLX$8,0)</f>
        <v>-0.0</v>
      </c>
      <c r="RLX55" s="5">
        <f>-IFERROR('4. NPV'!RLY24/'4. NPV'!RLY$8,0)</f>
        <v>-0.0</v>
      </c>
      <c r="RLY55" s="5">
        <f>-IFERROR('4. NPV'!RLZ24/'4. NPV'!RLZ$8,0)</f>
        <v>-0.0</v>
      </c>
      <c r="RLZ55" s="5">
        <f>-IFERROR('4. NPV'!RMA24/'4. NPV'!RMA$8,0)</f>
        <v>-0.0</v>
      </c>
      <c r="RMA55" s="5">
        <f>-IFERROR('4. NPV'!RMB24/'4. NPV'!RMB$8,0)</f>
        <v>-0.0</v>
      </c>
      <c r="RMB55" s="5">
        <f>-IFERROR('4. NPV'!RMC24/'4. NPV'!RMC$8,0)</f>
        <v>-0.0</v>
      </c>
      <c r="RMC55" s="5">
        <f>-IFERROR('4. NPV'!RMD24/'4. NPV'!RMD$8,0)</f>
        <v>-0.0</v>
      </c>
      <c r="RMD55" s="5">
        <f>-IFERROR('4. NPV'!RME24/'4. NPV'!RME$8,0)</f>
        <v>-0.0</v>
      </c>
      <c r="RME55" s="5">
        <f>-IFERROR('4. NPV'!RMF24/'4. NPV'!RMF$8,0)</f>
        <v>-0.0</v>
      </c>
      <c r="RMF55" s="5">
        <f>-IFERROR('4. NPV'!RMG24/'4. NPV'!RMG$8,0)</f>
        <v>-0.0</v>
      </c>
      <c r="RMG55" s="5">
        <f>-IFERROR('4. NPV'!RMH24/'4. NPV'!RMH$8,0)</f>
        <v>-0.0</v>
      </c>
      <c r="RMH55" s="5">
        <f>-IFERROR('4. NPV'!RMI24/'4. NPV'!RMI$8,0)</f>
        <v>-0.0</v>
      </c>
      <c r="RMI55" s="5">
        <f>-IFERROR('4. NPV'!RMJ24/'4. NPV'!RMJ$8,0)</f>
        <v>-0.0</v>
      </c>
      <c r="RMJ55" s="5">
        <f>-IFERROR('4. NPV'!RMK24/'4. NPV'!RMK$8,0)</f>
        <v>-0.0</v>
      </c>
      <c r="RMK55" s="5">
        <f>-IFERROR('4. NPV'!RML24/'4. NPV'!RML$8,0)</f>
        <v>-0.0</v>
      </c>
      <c r="RML55" s="5">
        <f>-IFERROR('4. NPV'!RMM24/'4. NPV'!RMM$8,0)</f>
        <v>-0.0</v>
      </c>
      <c r="RMM55" s="5">
        <f>-IFERROR('4. NPV'!RMN24/'4. NPV'!RMN$8,0)</f>
        <v>-0.0</v>
      </c>
      <c r="RMN55" s="5">
        <f>-IFERROR('4. NPV'!RMO24/'4. NPV'!RMO$8,0)</f>
        <v>-0.0</v>
      </c>
      <c r="RMO55" s="5">
        <f>-IFERROR('4. NPV'!RMP24/'4. NPV'!RMP$8,0)</f>
        <v>-0.0</v>
      </c>
      <c r="RMP55" s="5">
        <f>-IFERROR('4. NPV'!RMQ24/'4. NPV'!RMQ$8,0)</f>
        <v>-0.0</v>
      </c>
      <c r="RMQ55" s="5">
        <f>-IFERROR('4. NPV'!RMR24/'4. NPV'!RMR$8,0)</f>
        <v>-0.0</v>
      </c>
      <c r="RMR55" s="5">
        <f>-IFERROR('4. NPV'!RMS24/'4. NPV'!RMS$8,0)</f>
        <v>-0.0</v>
      </c>
      <c r="RMS55" s="5">
        <f>-IFERROR('4. NPV'!RMT24/'4. NPV'!RMT$8,0)</f>
        <v>-0.0</v>
      </c>
      <c r="RMT55" s="5">
        <f>-IFERROR('4. NPV'!RMU24/'4. NPV'!RMU$8,0)</f>
        <v>-0.0</v>
      </c>
      <c r="RMU55" s="5">
        <f>-IFERROR('4. NPV'!RMV24/'4. NPV'!RMV$8,0)</f>
        <v>-0.0</v>
      </c>
      <c r="RMV55" s="5">
        <f>-IFERROR('4. NPV'!RMW24/'4. NPV'!RMW$8,0)</f>
        <v>-0.0</v>
      </c>
      <c r="RMW55" s="5">
        <f>-IFERROR('4. NPV'!RMX24/'4. NPV'!RMX$8,0)</f>
        <v>-0.0</v>
      </c>
      <c r="RMX55" s="5">
        <f>-IFERROR('4. NPV'!RMY24/'4. NPV'!RMY$8,0)</f>
        <v>-0.0</v>
      </c>
      <c r="RMY55" s="5">
        <f>-IFERROR('4. NPV'!RMZ24/'4. NPV'!RMZ$8,0)</f>
        <v>-0.0</v>
      </c>
      <c r="RMZ55" s="5">
        <f>-IFERROR('4. NPV'!RNA24/'4. NPV'!RNA$8,0)</f>
        <v>-0.0</v>
      </c>
      <c r="RNA55" s="5">
        <f>-IFERROR('4. NPV'!RNB24/'4. NPV'!RNB$8,0)</f>
        <v>-0.0</v>
      </c>
      <c r="RNB55" s="5">
        <f>-IFERROR('4. NPV'!RNC24/'4. NPV'!RNC$8,0)</f>
        <v>-0.0</v>
      </c>
      <c r="RNC55" s="5">
        <f>-IFERROR('4. NPV'!RND24/'4. NPV'!RND$8,0)</f>
        <v>-0.0</v>
      </c>
      <c r="RND55" s="5">
        <f>-IFERROR('4. NPV'!RNE24/'4. NPV'!RNE$8,0)</f>
        <v>-0.0</v>
      </c>
      <c r="RNE55" s="5">
        <f>-IFERROR('4. NPV'!RNF24/'4. NPV'!RNF$8,0)</f>
        <v>-0.0</v>
      </c>
      <c r="RNF55" s="5">
        <f>-IFERROR('4. NPV'!RNG24/'4. NPV'!RNG$8,0)</f>
        <v>-0.0</v>
      </c>
      <c r="RNG55" s="5">
        <f>-IFERROR('4. NPV'!RNH24/'4. NPV'!RNH$8,0)</f>
        <v>-0.0</v>
      </c>
      <c r="RNH55" s="5">
        <f>-IFERROR('4. NPV'!RNI24/'4. NPV'!RNI$8,0)</f>
        <v>-0.0</v>
      </c>
      <c r="RNI55" s="5">
        <f>-IFERROR('4. NPV'!RNJ24/'4. NPV'!RNJ$8,0)</f>
        <v>-0.0</v>
      </c>
      <c r="RNJ55" s="5">
        <f>-IFERROR('4. NPV'!RNK24/'4. NPV'!RNK$8,0)</f>
        <v>-0.0</v>
      </c>
      <c r="RNK55" s="5">
        <f>-IFERROR('4. NPV'!RNL24/'4. NPV'!RNL$8,0)</f>
        <v>-0.0</v>
      </c>
      <c r="RNL55" s="5">
        <f>-IFERROR('4. NPV'!RNM24/'4. NPV'!RNM$8,0)</f>
        <v>-0.0</v>
      </c>
      <c r="RNM55" s="5">
        <f>-IFERROR('4. NPV'!RNN24/'4. NPV'!RNN$8,0)</f>
        <v>-0.0</v>
      </c>
      <c r="RNN55" s="5">
        <f>-IFERROR('4. NPV'!RNO24/'4. NPV'!RNO$8,0)</f>
        <v>-0.0</v>
      </c>
      <c r="RNO55" s="5">
        <f>-IFERROR('4. NPV'!RNP24/'4. NPV'!RNP$8,0)</f>
        <v>-0.0</v>
      </c>
      <c r="RNP55" s="5">
        <f>-IFERROR('4. NPV'!RNQ24/'4. NPV'!RNQ$8,0)</f>
        <v>-0.0</v>
      </c>
      <c r="RNQ55" s="5">
        <f>-IFERROR('4. NPV'!RNR24/'4. NPV'!RNR$8,0)</f>
        <v>-0.0</v>
      </c>
      <c r="RNR55" s="5">
        <f>-IFERROR('4. NPV'!RNS24/'4. NPV'!RNS$8,0)</f>
        <v>-0.0</v>
      </c>
      <c r="RNS55" s="5">
        <f>-IFERROR('4. NPV'!RNT24/'4. NPV'!RNT$8,0)</f>
        <v>-0.0</v>
      </c>
      <c r="RNT55" s="5">
        <f>-IFERROR('4. NPV'!RNU24/'4. NPV'!RNU$8,0)</f>
        <v>-0.0</v>
      </c>
      <c r="RNU55" s="5">
        <f>-IFERROR('4. NPV'!RNV24/'4. NPV'!RNV$8,0)</f>
        <v>-0.0</v>
      </c>
      <c r="RNV55" s="5">
        <f>-IFERROR('4. NPV'!RNW24/'4. NPV'!RNW$8,0)</f>
        <v>-0.0</v>
      </c>
      <c r="RNW55" s="5">
        <f>-IFERROR('4. NPV'!RNX24/'4. NPV'!RNX$8,0)</f>
        <v>-0.0</v>
      </c>
      <c r="RNX55" s="5">
        <f>-IFERROR('4. NPV'!RNY24/'4. NPV'!RNY$8,0)</f>
        <v>-0.0</v>
      </c>
      <c r="RNY55" s="5">
        <f>-IFERROR('4. NPV'!RNZ24/'4. NPV'!RNZ$8,0)</f>
        <v>-0.0</v>
      </c>
      <c r="RNZ55" s="5">
        <f>-IFERROR('4. NPV'!ROA24/'4. NPV'!ROA$8,0)</f>
        <v>-0.0</v>
      </c>
      <c r="ROA55" s="5">
        <f>-IFERROR('4. NPV'!ROB24/'4. NPV'!ROB$8,0)</f>
        <v>-0.0</v>
      </c>
      <c r="ROB55" s="5">
        <f>-IFERROR('4. NPV'!ROC24/'4. NPV'!ROC$8,0)</f>
        <v>-0.0</v>
      </c>
      <c r="ROC55" s="5">
        <f>-IFERROR('4. NPV'!ROD24/'4. NPV'!ROD$8,0)</f>
        <v>-0.0</v>
      </c>
      <c r="ROD55" s="5">
        <f>-IFERROR('4. NPV'!ROE24/'4. NPV'!ROE$8,0)</f>
        <v>-0.0</v>
      </c>
      <c r="ROE55" s="5">
        <f>-IFERROR('4. NPV'!ROF24/'4. NPV'!ROF$8,0)</f>
        <v>-0.0</v>
      </c>
      <c r="ROF55" s="5">
        <f>-IFERROR('4. NPV'!ROG24/'4. NPV'!ROG$8,0)</f>
        <v>-0.0</v>
      </c>
      <c r="ROG55" s="5">
        <f>-IFERROR('4. NPV'!ROH24/'4. NPV'!ROH$8,0)</f>
        <v>-0.0</v>
      </c>
      <c r="ROH55" s="5">
        <f>-IFERROR('4. NPV'!ROI24/'4. NPV'!ROI$8,0)</f>
        <v>-0.0</v>
      </c>
      <c r="ROI55" s="5">
        <f>-IFERROR('4. NPV'!ROJ24/'4. NPV'!ROJ$8,0)</f>
        <v>-0.0</v>
      </c>
      <c r="ROJ55" s="5">
        <f>-IFERROR('4. NPV'!ROK24/'4. NPV'!ROK$8,0)</f>
        <v>-0.0</v>
      </c>
      <c r="ROK55" s="5">
        <f>-IFERROR('4. NPV'!ROL24/'4. NPV'!ROL$8,0)</f>
        <v>-0.0</v>
      </c>
      <c r="ROL55" s="5">
        <f>-IFERROR('4. NPV'!ROM24/'4. NPV'!ROM$8,0)</f>
        <v>-0.0</v>
      </c>
      <c r="ROM55" s="5">
        <f>-IFERROR('4. NPV'!RON24/'4. NPV'!RON$8,0)</f>
        <v>-0.0</v>
      </c>
      <c r="RON55" s="5">
        <f>-IFERROR('4. NPV'!ROO24/'4. NPV'!ROO$8,0)</f>
        <v>-0.0</v>
      </c>
      <c r="ROO55" s="5">
        <f>-IFERROR('4. NPV'!ROP24/'4. NPV'!ROP$8,0)</f>
        <v>-0.0</v>
      </c>
      <c r="ROP55" s="5">
        <f>-IFERROR('4. NPV'!ROQ24/'4. NPV'!ROQ$8,0)</f>
        <v>-0.0</v>
      </c>
      <c r="ROQ55" s="5">
        <f>-IFERROR('4. NPV'!ROR24/'4. NPV'!ROR$8,0)</f>
        <v>-0.0</v>
      </c>
      <c r="ROR55" s="5">
        <f>-IFERROR('4. NPV'!ROS24/'4. NPV'!ROS$8,0)</f>
        <v>-0.0</v>
      </c>
      <c r="ROS55" s="5">
        <f>-IFERROR('4. NPV'!ROT24/'4. NPV'!ROT$8,0)</f>
        <v>-0.0</v>
      </c>
      <c r="ROT55" s="5">
        <f>-IFERROR('4. NPV'!ROU24/'4. NPV'!ROU$8,0)</f>
        <v>-0.0</v>
      </c>
      <c r="ROU55" s="5">
        <f>-IFERROR('4. NPV'!ROV24/'4. NPV'!ROV$8,0)</f>
        <v>-0.0</v>
      </c>
      <c r="ROV55" s="5">
        <f>-IFERROR('4. NPV'!ROW24/'4. NPV'!ROW$8,0)</f>
        <v>-0.0</v>
      </c>
      <c r="ROW55" s="5">
        <f>-IFERROR('4. NPV'!ROX24/'4. NPV'!ROX$8,0)</f>
        <v>-0.0</v>
      </c>
      <c r="ROX55" s="5">
        <f>-IFERROR('4. NPV'!ROY24/'4. NPV'!ROY$8,0)</f>
        <v>-0.0</v>
      </c>
      <c r="ROY55" s="5">
        <f>-IFERROR('4. NPV'!ROZ24/'4. NPV'!ROZ$8,0)</f>
        <v>-0.0</v>
      </c>
      <c r="ROZ55" s="5">
        <f>-IFERROR('4. NPV'!RPA24/'4. NPV'!RPA$8,0)</f>
        <v>-0.0</v>
      </c>
      <c r="RPA55" s="5">
        <f>-IFERROR('4. NPV'!RPB24/'4. NPV'!RPB$8,0)</f>
        <v>-0.0</v>
      </c>
      <c r="RPB55" s="5">
        <f>-IFERROR('4. NPV'!RPC24/'4. NPV'!RPC$8,0)</f>
        <v>-0.0</v>
      </c>
      <c r="RPC55" s="5">
        <f>-IFERROR('4. NPV'!RPD24/'4. NPV'!RPD$8,0)</f>
        <v>-0.0</v>
      </c>
      <c r="RPD55" s="5">
        <f>-IFERROR('4. NPV'!RPE24/'4. NPV'!RPE$8,0)</f>
        <v>-0.0</v>
      </c>
      <c r="RPE55" s="5">
        <f>-IFERROR('4. NPV'!RPF24/'4. NPV'!RPF$8,0)</f>
        <v>-0.0</v>
      </c>
      <c r="RPF55" s="5">
        <f>-IFERROR('4. NPV'!RPG24/'4. NPV'!RPG$8,0)</f>
        <v>-0.0</v>
      </c>
      <c r="RPG55" s="5">
        <f>-IFERROR('4. NPV'!RPH24/'4. NPV'!RPH$8,0)</f>
        <v>-0.0</v>
      </c>
      <c r="RPH55" s="5">
        <f>-IFERROR('4. NPV'!RPI24/'4. NPV'!RPI$8,0)</f>
        <v>-0.0</v>
      </c>
      <c r="RPI55" s="5">
        <f>-IFERROR('4. NPV'!RPJ24/'4. NPV'!RPJ$8,0)</f>
        <v>-0.0</v>
      </c>
      <c r="RPJ55" s="5">
        <f>-IFERROR('4. NPV'!RPK24/'4. NPV'!RPK$8,0)</f>
        <v>-0.0</v>
      </c>
      <c r="RPK55" s="5">
        <f>-IFERROR('4. NPV'!RPL24/'4. NPV'!RPL$8,0)</f>
        <v>-0.0</v>
      </c>
      <c r="RPL55" s="5">
        <f>-IFERROR('4. NPV'!RPM24/'4. NPV'!RPM$8,0)</f>
        <v>-0.0</v>
      </c>
      <c r="RPM55" s="5">
        <f>-IFERROR('4. NPV'!RPN24/'4. NPV'!RPN$8,0)</f>
        <v>-0.0</v>
      </c>
      <c r="RPN55" s="5">
        <f>-IFERROR('4. NPV'!RPO24/'4. NPV'!RPO$8,0)</f>
        <v>-0.0</v>
      </c>
      <c r="RPO55" s="5">
        <f>-IFERROR('4. NPV'!RPP24/'4. NPV'!RPP$8,0)</f>
        <v>-0.0</v>
      </c>
      <c r="RPP55" s="5">
        <f>-IFERROR('4. NPV'!RPQ24/'4. NPV'!RPQ$8,0)</f>
        <v>-0.0</v>
      </c>
      <c r="RPQ55" s="5">
        <f>-IFERROR('4. NPV'!RPR24/'4. NPV'!RPR$8,0)</f>
        <v>-0.0</v>
      </c>
      <c r="RPR55" s="5">
        <f>-IFERROR('4. NPV'!RPS24/'4. NPV'!RPS$8,0)</f>
        <v>-0.0</v>
      </c>
      <c r="RPS55" s="5">
        <f>-IFERROR('4. NPV'!RPT24/'4. NPV'!RPT$8,0)</f>
        <v>-0.0</v>
      </c>
      <c r="RPT55" s="5">
        <f>-IFERROR('4. NPV'!RPU24/'4. NPV'!RPU$8,0)</f>
        <v>-0.0</v>
      </c>
      <c r="RPU55" s="5">
        <f>-IFERROR('4. NPV'!RPV24/'4. NPV'!RPV$8,0)</f>
        <v>-0.0</v>
      </c>
      <c r="RPV55" s="5">
        <f>-IFERROR('4. NPV'!RPW24/'4. NPV'!RPW$8,0)</f>
        <v>-0.0</v>
      </c>
      <c r="RPW55" s="5">
        <f>-IFERROR('4. NPV'!RPX24/'4. NPV'!RPX$8,0)</f>
        <v>-0.0</v>
      </c>
      <c r="RPX55" s="5">
        <f>-IFERROR('4. NPV'!RPY24/'4. NPV'!RPY$8,0)</f>
        <v>-0.0</v>
      </c>
      <c r="RPY55" s="5">
        <f>-IFERROR('4. NPV'!RPZ24/'4. NPV'!RPZ$8,0)</f>
        <v>-0.0</v>
      </c>
      <c r="RPZ55" s="5">
        <f>-IFERROR('4. NPV'!RQA24/'4. NPV'!RQA$8,0)</f>
        <v>-0.0</v>
      </c>
      <c r="RQA55" s="5">
        <f>-IFERROR('4. NPV'!RQB24/'4. NPV'!RQB$8,0)</f>
        <v>-0.0</v>
      </c>
      <c r="RQB55" s="5">
        <f>-IFERROR('4. NPV'!RQC24/'4. NPV'!RQC$8,0)</f>
        <v>-0.0</v>
      </c>
      <c r="RQC55" s="5">
        <f>-IFERROR('4. NPV'!RQD24/'4. NPV'!RQD$8,0)</f>
        <v>-0.0</v>
      </c>
      <c r="RQD55" s="5">
        <f>-IFERROR('4. NPV'!RQE24/'4. NPV'!RQE$8,0)</f>
        <v>-0.0</v>
      </c>
      <c r="RQE55" s="5">
        <f>-IFERROR('4. NPV'!RQF24/'4. NPV'!RQF$8,0)</f>
        <v>-0.0</v>
      </c>
      <c r="RQF55" s="5">
        <f>-IFERROR('4. NPV'!RQG24/'4. NPV'!RQG$8,0)</f>
        <v>-0.0</v>
      </c>
      <c r="RQG55" s="5">
        <f>-IFERROR('4. NPV'!RQH24/'4. NPV'!RQH$8,0)</f>
        <v>-0.0</v>
      </c>
      <c r="RQH55" s="5">
        <f>-IFERROR('4. NPV'!RQI24/'4. NPV'!RQI$8,0)</f>
        <v>-0.0</v>
      </c>
      <c r="RQI55" s="5">
        <f>-IFERROR('4. NPV'!RQJ24/'4. NPV'!RQJ$8,0)</f>
        <v>-0.0</v>
      </c>
      <c r="RQJ55" s="5">
        <f>-IFERROR('4. NPV'!RQK24/'4. NPV'!RQK$8,0)</f>
        <v>-0.0</v>
      </c>
      <c r="RQK55" s="5">
        <f>-IFERROR('4. NPV'!RQL24/'4. NPV'!RQL$8,0)</f>
        <v>-0.0</v>
      </c>
      <c r="RQL55" s="5">
        <f>-IFERROR('4. NPV'!RQM24/'4. NPV'!RQM$8,0)</f>
        <v>-0.0</v>
      </c>
      <c r="RQM55" s="5">
        <f>-IFERROR('4. NPV'!RQN24/'4. NPV'!RQN$8,0)</f>
        <v>-0.0</v>
      </c>
      <c r="RQN55" s="5">
        <f>-IFERROR('4. NPV'!RQO24/'4. NPV'!RQO$8,0)</f>
        <v>-0.0</v>
      </c>
      <c r="RQO55" s="5">
        <f>-IFERROR('4. NPV'!RQP24/'4. NPV'!RQP$8,0)</f>
        <v>-0.0</v>
      </c>
      <c r="RQP55" s="5">
        <f>-IFERROR('4. NPV'!RQQ24/'4. NPV'!RQQ$8,0)</f>
        <v>-0.0</v>
      </c>
      <c r="RQQ55" s="5">
        <f>-IFERROR('4. NPV'!RQR24/'4. NPV'!RQR$8,0)</f>
        <v>-0.0</v>
      </c>
      <c r="RQR55" s="5">
        <f>-IFERROR('4. NPV'!RQS24/'4. NPV'!RQS$8,0)</f>
        <v>-0.0</v>
      </c>
      <c r="RQS55" s="5">
        <f>-IFERROR('4. NPV'!RQT24/'4. NPV'!RQT$8,0)</f>
        <v>-0.0</v>
      </c>
      <c r="RQT55" s="5">
        <f>-IFERROR('4. NPV'!RQU24/'4. NPV'!RQU$8,0)</f>
        <v>-0.0</v>
      </c>
      <c r="RQU55" s="5">
        <f>-IFERROR('4. NPV'!RQV24/'4. NPV'!RQV$8,0)</f>
        <v>-0.0</v>
      </c>
      <c r="RQV55" s="5">
        <f>-IFERROR('4. NPV'!RQW24/'4. NPV'!RQW$8,0)</f>
        <v>-0.0</v>
      </c>
      <c r="RQW55" s="5">
        <f>-IFERROR('4. NPV'!RQX24/'4. NPV'!RQX$8,0)</f>
        <v>-0.0</v>
      </c>
      <c r="RQX55" s="5">
        <f>-IFERROR('4. NPV'!RQY24/'4. NPV'!RQY$8,0)</f>
        <v>-0.0</v>
      </c>
      <c r="RQY55" s="5">
        <f>-IFERROR('4. NPV'!RQZ24/'4. NPV'!RQZ$8,0)</f>
        <v>-0.0</v>
      </c>
      <c r="RQZ55" s="5">
        <f>-IFERROR('4. NPV'!RRA24/'4. NPV'!RRA$8,0)</f>
        <v>-0.0</v>
      </c>
      <c r="RRA55" s="5">
        <f>-IFERROR('4. NPV'!RRB24/'4. NPV'!RRB$8,0)</f>
        <v>-0.0</v>
      </c>
      <c r="RRB55" s="5">
        <f>-IFERROR('4. NPV'!RRC24/'4. NPV'!RRC$8,0)</f>
        <v>-0.0</v>
      </c>
      <c r="RRC55" s="5">
        <f>-IFERROR('4. NPV'!RRD24/'4. NPV'!RRD$8,0)</f>
        <v>-0.0</v>
      </c>
      <c r="RRD55" s="5">
        <f>-IFERROR('4. NPV'!RRE24/'4. NPV'!RRE$8,0)</f>
        <v>-0.0</v>
      </c>
      <c r="RRE55" s="5">
        <f>-IFERROR('4. NPV'!RRF24/'4. NPV'!RRF$8,0)</f>
        <v>-0.0</v>
      </c>
      <c r="RRF55" s="5">
        <f>-IFERROR('4. NPV'!RRG24/'4. NPV'!RRG$8,0)</f>
        <v>-0.0</v>
      </c>
      <c r="RRG55" s="5">
        <f>-IFERROR('4. NPV'!RRH24/'4. NPV'!RRH$8,0)</f>
        <v>-0.0</v>
      </c>
      <c r="RRH55" s="5">
        <f>-IFERROR('4. NPV'!RRI24/'4. NPV'!RRI$8,0)</f>
        <v>-0.0</v>
      </c>
      <c r="RRI55" s="5">
        <f>-IFERROR('4. NPV'!RRJ24/'4. NPV'!RRJ$8,0)</f>
        <v>-0.0</v>
      </c>
      <c r="RRJ55" s="5">
        <f>-IFERROR('4. NPV'!RRK24/'4. NPV'!RRK$8,0)</f>
        <v>-0.0</v>
      </c>
      <c r="RRK55" s="5">
        <f>-IFERROR('4. NPV'!RRL24/'4. NPV'!RRL$8,0)</f>
        <v>-0.0</v>
      </c>
      <c r="RRL55" s="5">
        <f>-IFERROR('4. NPV'!RRM24/'4. NPV'!RRM$8,0)</f>
        <v>-0.0</v>
      </c>
      <c r="RRM55" s="5">
        <f>-IFERROR('4. NPV'!RRN24/'4. NPV'!RRN$8,0)</f>
        <v>-0.0</v>
      </c>
      <c r="RRN55" s="5">
        <f>-IFERROR('4. NPV'!RRO24/'4. NPV'!RRO$8,0)</f>
        <v>-0.0</v>
      </c>
      <c r="RRO55" s="5">
        <f>-IFERROR('4. NPV'!RRP24/'4. NPV'!RRP$8,0)</f>
        <v>-0.0</v>
      </c>
      <c r="RRP55" s="5">
        <f>-IFERROR('4. NPV'!RRQ24/'4. NPV'!RRQ$8,0)</f>
        <v>-0.0</v>
      </c>
      <c r="RRQ55" s="5">
        <f>-IFERROR('4. NPV'!RRR24/'4. NPV'!RRR$8,0)</f>
        <v>-0.0</v>
      </c>
      <c r="RRR55" s="5">
        <f>-IFERROR('4. NPV'!RRS24/'4. NPV'!RRS$8,0)</f>
        <v>-0.0</v>
      </c>
      <c r="RRS55" s="5">
        <f>-IFERROR('4. NPV'!RRT24/'4. NPV'!RRT$8,0)</f>
        <v>-0.0</v>
      </c>
      <c r="RRT55" s="5">
        <f>-IFERROR('4. NPV'!RRU24/'4. NPV'!RRU$8,0)</f>
        <v>-0.0</v>
      </c>
      <c r="RRU55" s="5">
        <f>-IFERROR('4. NPV'!RRV24/'4. NPV'!RRV$8,0)</f>
        <v>-0.0</v>
      </c>
      <c r="RRV55" s="5">
        <f>-IFERROR('4. NPV'!RRW24/'4. NPV'!RRW$8,0)</f>
        <v>-0.0</v>
      </c>
      <c r="RRW55" s="5">
        <f>-IFERROR('4. NPV'!RRX24/'4. NPV'!RRX$8,0)</f>
        <v>-0.0</v>
      </c>
      <c r="RRX55" s="5">
        <f>-IFERROR('4. NPV'!RRY24/'4. NPV'!RRY$8,0)</f>
        <v>-0.0</v>
      </c>
      <c r="RRY55" s="5">
        <f>-IFERROR('4. NPV'!RRZ24/'4. NPV'!RRZ$8,0)</f>
        <v>-0.0</v>
      </c>
      <c r="RRZ55" s="5">
        <f>-IFERROR('4. NPV'!RSA24/'4. NPV'!RSA$8,0)</f>
        <v>-0.0</v>
      </c>
      <c r="RSA55" s="5">
        <f>-IFERROR('4. NPV'!RSB24/'4. NPV'!RSB$8,0)</f>
        <v>-0.0</v>
      </c>
      <c r="RSB55" s="5">
        <f>-IFERROR('4. NPV'!RSC24/'4. NPV'!RSC$8,0)</f>
        <v>-0.0</v>
      </c>
      <c r="RSC55" s="5">
        <f>-IFERROR('4. NPV'!RSD24/'4. NPV'!RSD$8,0)</f>
        <v>-0.0</v>
      </c>
      <c r="RSD55" s="5">
        <f>-IFERROR('4. NPV'!RSE24/'4. NPV'!RSE$8,0)</f>
        <v>-0.0</v>
      </c>
      <c r="RSE55" s="5">
        <f>-IFERROR('4. NPV'!RSF24/'4. NPV'!RSF$8,0)</f>
        <v>-0.0</v>
      </c>
      <c r="RSF55" s="5">
        <f>-IFERROR('4. NPV'!RSG24/'4. NPV'!RSG$8,0)</f>
        <v>-0.0</v>
      </c>
      <c r="RSG55" s="5">
        <f>-IFERROR('4. NPV'!RSH24/'4. NPV'!RSH$8,0)</f>
        <v>-0.0</v>
      </c>
      <c r="RSH55" s="5">
        <f>-IFERROR('4. NPV'!RSI24/'4. NPV'!RSI$8,0)</f>
        <v>-0.0</v>
      </c>
      <c r="RSI55" s="5">
        <f>-IFERROR('4. NPV'!RSJ24/'4. NPV'!RSJ$8,0)</f>
        <v>-0.0</v>
      </c>
      <c r="RSJ55" s="5">
        <f>-IFERROR('4. NPV'!RSK24/'4. NPV'!RSK$8,0)</f>
        <v>-0.0</v>
      </c>
      <c r="RSK55" s="5">
        <f>-IFERROR('4. NPV'!RSL24/'4. NPV'!RSL$8,0)</f>
        <v>-0.0</v>
      </c>
      <c r="RSL55" s="5">
        <f>-IFERROR('4. NPV'!RSM24/'4. NPV'!RSM$8,0)</f>
        <v>-0.0</v>
      </c>
      <c r="RSM55" s="5">
        <f>-IFERROR('4. NPV'!RSN24/'4. NPV'!RSN$8,0)</f>
        <v>-0.0</v>
      </c>
      <c r="RSN55" s="5">
        <f>-IFERROR('4. NPV'!RSO24/'4. NPV'!RSO$8,0)</f>
        <v>-0.0</v>
      </c>
      <c r="RSO55" s="5">
        <f>-IFERROR('4. NPV'!RSP24/'4. NPV'!RSP$8,0)</f>
        <v>-0.0</v>
      </c>
      <c r="RSP55" s="5">
        <f>-IFERROR('4. NPV'!RSQ24/'4. NPV'!RSQ$8,0)</f>
        <v>-0.0</v>
      </c>
      <c r="RSQ55" s="5">
        <f>-IFERROR('4. NPV'!RSR24/'4. NPV'!RSR$8,0)</f>
        <v>-0.0</v>
      </c>
      <c r="RSR55" s="5">
        <f>-IFERROR('4. NPV'!RSS24/'4. NPV'!RSS$8,0)</f>
        <v>-0.0</v>
      </c>
      <c r="RSS55" s="5">
        <f>-IFERROR('4. NPV'!RST24/'4. NPV'!RST$8,0)</f>
        <v>-0.0</v>
      </c>
      <c r="RST55" s="5">
        <f>-IFERROR('4. NPV'!RSU24/'4. NPV'!RSU$8,0)</f>
        <v>-0.0</v>
      </c>
      <c r="RSU55" s="5">
        <f>-IFERROR('4. NPV'!RSV24/'4. NPV'!RSV$8,0)</f>
        <v>-0.0</v>
      </c>
      <c r="RSV55" s="5">
        <f>-IFERROR('4. NPV'!RSW24/'4. NPV'!RSW$8,0)</f>
        <v>-0.0</v>
      </c>
      <c r="RSW55" s="5">
        <f>-IFERROR('4. NPV'!RSX24/'4. NPV'!RSX$8,0)</f>
        <v>-0.0</v>
      </c>
      <c r="RSX55" s="5">
        <f>-IFERROR('4. NPV'!RSY24/'4. NPV'!RSY$8,0)</f>
        <v>-0.0</v>
      </c>
      <c r="RSY55" s="5">
        <f>-IFERROR('4. NPV'!RSZ24/'4. NPV'!RSZ$8,0)</f>
        <v>-0.0</v>
      </c>
      <c r="RSZ55" s="5">
        <f>-IFERROR('4. NPV'!RTA24/'4. NPV'!RTA$8,0)</f>
        <v>-0.0</v>
      </c>
      <c r="RTA55" s="5">
        <f>-IFERROR('4. NPV'!RTB24/'4. NPV'!RTB$8,0)</f>
        <v>-0.0</v>
      </c>
      <c r="RTB55" s="5">
        <f>-IFERROR('4. NPV'!RTC24/'4. NPV'!RTC$8,0)</f>
        <v>-0.0</v>
      </c>
      <c r="RTC55" s="5">
        <f>-IFERROR('4. NPV'!RTD24/'4. NPV'!RTD$8,0)</f>
        <v>-0.0</v>
      </c>
      <c r="RTD55" s="5">
        <f>-IFERROR('4. NPV'!RTE24/'4. NPV'!RTE$8,0)</f>
        <v>-0.0</v>
      </c>
      <c r="RTE55" s="5">
        <f>-IFERROR('4. NPV'!RTF24/'4. NPV'!RTF$8,0)</f>
        <v>-0.0</v>
      </c>
      <c r="RTF55" s="5">
        <f>-IFERROR('4. NPV'!RTG24/'4. NPV'!RTG$8,0)</f>
        <v>-0.0</v>
      </c>
      <c r="RTG55" s="5">
        <f>-IFERROR('4. NPV'!RTH24/'4. NPV'!RTH$8,0)</f>
        <v>-0.0</v>
      </c>
      <c r="RTH55" s="5">
        <f>-IFERROR('4. NPV'!RTI24/'4. NPV'!RTI$8,0)</f>
        <v>-0.0</v>
      </c>
      <c r="RTI55" s="5">
        <f>-IFERROR('4. NPV'!RTJ24/'4. NPV'!RTJ$8,0)</f>
        <v>-0.0</v>
      </c>
      <c r="RTJ55" s="5">
        <f>-IFERROR('4. NPV'!RTK24/'4. NPV'!RTK$8,0)</f>
        <v>-0.0</v>
      </c>
      <c r="RTK55" s="5">
        <f>-IFERROR('4. NPV'!RTL24/'4. NPV'!RTL$8,0)</f>
        <v>-0.0</v>
      </c>
      <c r="RTL55" s="5">
        <f>-IFERROR('4. NPV'!RTM24/'4. NPV'!RTM$8,0)</f>
        <v>-0.0</v>
      </c>
      <c r="RTM55" s="5">
        <f>-IFERROR('4. NPV'!RTN24/'4. NPV'!RTN$8,0)</f>
        <v>-0.0</v>
      </c>
      <c r="RTN55" s="5">
        <f>-IFERROR('4. NPV'!RTO24/'4. NPV'!RTO$8,0)</f>
        <v>-0.0</v>
      </c>
      <c r="RTO55" s="5">
        <f>-IFERROR('4. NPV'!RTP24/'4. NPV'!RTP$8,0)</f>
        <v>-0.0</v>
      </c>
      <c r="RTP55" s="5">
        <f>-IFERROR('4. NPV'!RTQ24/'4. NPV'!RTQ$8,0)</f>
        <v>-0.0</v>
      </c>
      <c r="RTQ55" s="5">
        <f>-IFERROR('4. NPV'!RTR24/'4. NPV'!RTR$8,0)</f>
        <v>-0.0</v>
      </c>
      <c r="RTR55" s="5">
        <f>-IFERROR('4. NPV'!RTS24/'4. NPV'!RTS$8,0)</f>
        <v>-0.0</v>
      </c>
      <c r="RTS55" s="5">
        <f>-IFERROR('4. NPV'!RTT24/'4. NPV'!RTT$8,0)</f>
        <v>-0.0</v>
      </c>
      <c r="RTT55" s="5">
        <f>-IFERROR('4. NPV'!RTU24/'4. NPV'!RTU$8,0)</f>
        <v>-0.0</v>
      </c>
      <c r="RTU55" s="5">
        <f>-IFERROR('4. NPV'!RTV24/'4. NPV'!RTV$8,0)</f>
        <v>-0.0</v>
      </c>
      <c r="RTV55" s="5">
        <f>-IFERROR('4. NPV'!RTW24/'4. NPV'!RTW$8,0)</f>
        <v>-0.0</v>
      </c>
      <c r="RTW55" s="5">
        <f>-IFERROR('4. NPV'!RTX24/'4. NPV'!RTX$8,0)</f>
        <v>-0.0</v>
      </c>
      <c r="RTX55" s="5">
        <f>-IFERROR('4. NPV'!RTY24/'4. NPV'!RTY$8,0)</f>
        <v>-0.0</v>
      </c>
      <c r="RTY55" s="5">
        <f>-IFERROR('4. NPV'!RTZ24/'4. NPV'!RTZ$8,0)</f>
        <v>-0.0</v>
      </c>
      <c r="RTZ55" s="5">
        <f>-IFERROR('4. NPV'!RUA24/'4. NPV'!RUA$8,0)</f>
        <v>-0.0</v>
      </c>
      <c r="RUA55" s="5">
        <f>-IFERROR('4. NPV'!RUB24/'4. NPV'!RUB$8,0)</f>
        <v>-0.0</v>
      </c>
      <c r="RUB55" s="5">
        <f>-IFERROR('4. NPV'!RUC24/'4. NPV'!RUC$8,0)</f>
        <v>-0.0</v>
      </c>
      <c r="RUC55" s="5">
        <f>-IFERROR('4. NPV'!RUD24/'4. NPV'!RUD$8,0)</f>
        <v>-0.0</v>
      </c>
      <c r="RUD55" s="5">
        <f>-IFERROR('4. NPV'!RUE24/'4. NPV'!RUE$8,0)</f>
        <v>-0.0</v>
      </c>
      <c r="RUE55" s="5">
        <f>-IFERROR('4. NPV'!RUF24/'4. NPV'!RUF$8,0)</f>
        <v>-0.0</v>
      </c>
      <c r="RUF55" s="5">
        <f>-IFERROR('4. NPV'!RUG24/'4. NPV'!RUG$8,0)</f>
        <v>-0.0</v>
      </c>
      <c r="RUG55" s="5">
        <f>-IFERROR('4. NPV'!RUH24/'4. NPV'!RUH$8,0)</f>
        <v>-0.0</v>
      </c>
      <c r="RUH55" s="5">
        <f>-IFERROR('4. NPV'!RUI24/'4. NPV'!RUI$8,0)</f>
        <v>-0.0</v>
      </c>
      <c r="RUI55" s="5">
        <f>-IFERROR('4. NPV'!RUJ24/'4. NPV'!RUJ$8,0)</f>
        <v>-0.0</v>
      </c>
      <c r="RUJ55" s="5">
        <f>-IFERROR('4. NPV'!RUK24/'4. NPV'!RUK$8,0)</f>
        <v>-0.0</v>
      </c>
      <c r="RUK55" s="5">
        <f>-IFERROR('4. NPV'!RUL24/'4. NPV'!RUL$8,0)</f>
        <v>-0.0</v>
      </c>
      <c r="RUL55" s="5">
        <f>-IFERROR('4. NPV'!RUM24/'4. NPV'!RUM$8,0)</f>
        <v>-0.0</v>
      </c>
      <c r="RUM55" s="5">
        <f>-IFERROR('4. NPV'!RUN24/'4. NPV'!RUN$8,0)</f>
        <v>-0.0</v>
      </c>
      <c r="RUN55" s="5">
        <f>-IFERROR('4. NPV'!RUO24/'4. NPV'!RUO$8,0)</f>
        <v>-0.0</v>
      </c>
      <c r="RUO55" s="5">
        <f>-IFERROR('4. NPV'!RUP24/'4. NPV'!RUP$8,0)</f>
        <v>-0.0</v>
      </c>
      <c r="RUP55" s="5">
        <f>-IFERROR('4. NPV'!RUQ24/'4. NPV'!RUQ$8,0)</f>
        <v>-0.0</v>
      </c>
      <c r="RUQ55" s="5">
        <f>-IFERROR('4. NPV'!RUR24/'4. NPV'!RUR$8,0)</f>
        <v>-0.0</v>
      </c>
      <c r="RUR55" s="5">
        <f>-IFERROR('4. NPV'!RUS24/'4. NPV'!RUS$8,0)</f>
        <v>-0.0</v>
      </c>
      <c r="RUS55" s="5">
        <f>-IFERROR('4. NPV'!RUT24/'4. NPV'!RUT$8,0)</f>
        <v>-0.0</v>
      </c>
      <c r="RUT55" s="5">
        <f>-IFERROR('4. NPV'!RUU24/'4. NPV'!RUU$8,0)</f>
        <v>-0.0</v>
      </c>
      <c r="RUU55" s="5">
        <f>-IFERROR('4. NPV'!RUV24/'4. NPV'!RUV$8,0)</f>
        <v>-0.0</v>
      </c>
      <c r="RUV55" s="5">
        <f>-IFERROR('4. NPV'!RUW24/'4. NPV'!RUW$8,0)</f>
        <v>-0.0</v>
      </c>
      <c r="RUW55" s="5">
        <f>-IFERROR('4. NPV'!RUX24/'4. NPV'!RUX$8,0)</f>
        <v>-0.0</v>
      </c>
      <c r="RUX55" s="5">
        <f>-IFERROR('4. NPV'!RUY24/'4. NPV'!RUY$8,0)</f>
        <v>-0.0</v>
      </c>
      <c r="RUY55" s="5">
        <f>-IFERROR('4. NPV'!RUZ24/'4. NPV'!RUZ$8,0)</f>
        <v>-0.0</v>
      </c>
      <c r="RUZ55" s="5">
        <f>-IFERROR('4. NPV'!RVA24/'4. NPV'!RVA$8,0)</f>
        <v>-0.0</v>
      </c>
      <c r="RVA55" s="5">
        <f>-IFERROR('4. NPV'!RVB24/'4. NPV'!RVB$8,0)</f>
        <v>-0.0</v>
      </c>
      <c r="RVB55" s="5">
        <f>-IFERROR('4. NPV'!RVC24/'4. NPV'!RVC$8,0)</f>
        <v>-0.0</v>
      </c>
      <c r="RVC55" s="5">
        <f>-IFERROR('4. NPV'!RVD24/'4. NPV'!RVD$8,0)</f>
        <v>-0.0</v>
      </c>
      <c r="RVD55" s="5">
        <f>-IFERROR('4. NPV'!RVE24/'4. NPV'!RVE$8,0)</f>
        <v>-0.0</v>
      </c>
      <c r="RVE55" s="5">
        <f>-IFERROR('4. NPV'!RVF24/'4. NPV'!RVF$8,0)</f>
        <v>-0.0</v>
      </c>
      <c r="RVF55" s="5">
        <f>-IFERROR('4. NPV'!RVG24/'4. NPV'!RVG$8,0)</f>
        <v>-0.0</v>
      </c>
      <c r="RVG55" s="5">
        <f>-IFERROR('4. NPV'!RVH24/'4. NPV'!RVH$8,0)</f>
        <v>-0.0</v>
      </c>
      <c r="RVH55" s="5">
        <f>-IFERROR('4. NPV'!RVI24/'4. NPV'!RVI$8,0)</f>
        <v>-0.0</v>
      </c>
      <c r="RVI55" s="5">
        <f>-IFERROR('4. NPV'!RVJ24/'4. NPV'!RVJ$8,0)</f>
        <v>-0.0</v>
      </c>
      <c r="RVJ55" s="5">
        <f>-IFERROR('4. NPV'!RVK24/'4. NPV'!RVK$8,0)</f>
        <v>-0.0</v>
      </c>
      <c r="RVK55" s="5">
        <f>-IFERROR('4. NPV'!RVL24/'4. NPV'!RVL$8,0)</f>
        <v>-0.0</v>
      </c>
      <c r="RVL55" s="5">
        <f>-IFERROR('4. NPV'!RVM24/'4. NPV'!RVM$8,0)</f>
        <v>-0.0</v>
      </c>
      <c r="RVM55" s="5">
        <f>-IFERROR('4. NPV'!RVN24/'4. NPV'!RVN$8,0)</f>
        <v>-0.0</v>
      </c>
      <c r="RVN55" s="5">
        <f>-IFERROR('4. NPV'!RVO24/'4. NPV'!RVO$8,0)</f>
        <v>-0.0</v>
      </c>
      <c r="RVO55" s="5">
        <f>-IFERROR('4. NPV'!RVP24/'4. NPV'!RVP$8,0)</f>
        <v>-0.0</v>
      </c>
      <c r="RVP55" s="5">
        <f>-IFERROR('4. NPV'!RVQ24/'4. NPV'!RVQ$8,0)</f>
        <v>-0.0</v>
      </c>
      <c r="RVQ55" s="5">
        <f>-IFERROR('4. NPV'!RVR24/'4. NPV'!RVR$8,0)</f>
        <v>-0.0</v>
      </c>
      <c r="RVR55" s="5">
        <f>-IFERROR('4. NPV'!RVS24/'4. NPV'!RVS$8,0)</f>
        <v>-0.0</v>
      </c>
      <c r="RVS55" s="5">
        <f>-IFERROR('4. NPV'!RVT24/'4. NPV'!RVT$8,0)</f>
        <v>-0.0</v>
      </c>
      <c r="RVT55" s="5">
        <f>-IFERROR('4. NPV'!RVU24/'4. NPV'!RVU$8,0)</f>
        <v>-0.0</v>
      </c>
      <c r="RVU55" s="5">
        <f>-IFERROR('4. NPV'!RVV24/'4. NPV'!RVV$8,0)</f>
        <v>-0.0</v>
      </c>
      <c r="RVV55" s="5">
        <f>-IFERROR('4. NPV'!RVW24/'4. NPV'!RVW$8,0)</f>
        <v>-0.0</v>
      </c>
      <c r="RVW55" s="5">
        <f>-IFERROR('4. NPV'!RVX24/'4. NPV'!RVX$8,0)</f>
        <v>-0.0</v>
      </c>
      <c r="RVX55" s="5">
        <f>-IFERROR('4. NPV'!RVY24/'4. NPV'!RVY$8,0)</f>
        <v>-0.0</v>
      </c>
      <c r="RVY55" s="5">
        <f>-IFERROR('4. NPV'!RVZ24/'4. NPV'!RVZ$8,0)</f>
        <v>-0.0</v>
      </c>
      <c r="RVZ55" s="5">
        <f>-IFERROR('4. NPV'!RWA24/'4. NPV'!RWA$8,0)</f>
        <v>-0.0</v>
      </c>
      <c r="RWA55" s="5">
        <f>-IFERROR('4. NPV'!RWB24/'4. NPV'!RWB$8,0)</f>
        <v>-0.0</v>
      </c>
      <c r="RWB55" s="5">
        <f>-IFERROR('4. NPV'!RWC24/'4. NPV'!RWC$8,0)</f>
        <v>-0.0</v>
      </c>
      <c r="RWC55" s="5">
        <f>-IFERROR('4. NPV'!RWD24/'4. NPV'!RWD$8,0)</f>
        <v>-0.0</v>
      </c>
      <c r="RWD55" s="5">
        <f>-IFERROR('4. NPV'!RWE24/'4. NPV'!RWE$8,0)</f>
        <v>-0.0</v>
      </c>
      <c r="RWE55" s="5">
        <f>-IFERROR('4. NPV'!RWF24/'4. NPV'!RWF$8,0)</f>
        <v>-0.0</v>
      </c>
      <c r="RWF55" s="5">
        <f>-IFERROR('4. NPV'!RWG24/'4. NPV'!RWG$8,0)</f>
        <v>-0.0</v>
      </c>
      <c r="RWG55" s="5">
        <f>-IFERROR('4. NPV'!RWH24/'4. NPV'!RWH$8,0)</f>
        <v>-0.0</v>
      </c>
      <c r="RWH55" s="5">
        <f>-IFERROR('4. NPV'!RWI24/'4. NPV'!RWI$8,0)</f>
        <v>-0.0</v>
      </c>
      <c r="RWI55" s="5">
        <f>-IFERROR('4. NPV'!RWJ24/'4. NPV'!RWJ$8,0)</f>
        <v>-0.0</v>
      </c>
      <c r="RWJ55" s="5">
        <f>-IFERROR('4. NPV'!RWK24/'4. NPV'!RWK$8,0)</f>
        <v>-0.0</v>
      </c>
      <c r="RWK55" s="5">
        <f>-IFERROR('4. NPV'!RWL24/'4. NPV'!RWL$8,0)</f>
        <v>-0.0</v>
      </c>
      <c r="RWL55" s="5">
        <f>-IFERROR('4. NPV'!RWM24/'4. NPV'!RWM$8,0)</f>
        <v>-0.0</v>
      </c>
      <c r="RWM55" s="5">
        <f>-IFERROR('4. NPV'!RWN24/'4. NPV'!RWN$8,0)</f>
        <v>-0.0</v>
      </c>
      <c r="RWN55" s="5">
        <f>-IFERROR('4. NPV'!RWO24/'4. NPV'!RWO$8,0)</f>
        <v>-0.0</v>
      </c>
      <c r="RWO55" s="5">
        <f>-IFERROR('4. NPV'!RWP24/'4. NPV'!RWP$8,0)</f>
        <v>-0.0</v>
      </c>
      <c r="RWP55" s="5">
        <f>-IFERROR('4. NPV'!RWQ24/'4. NPV'!RWQ$8,0)</f>
        <v>-0.0</v>
      </c>
      <c r="RWQ55" s="5">
        <f>-IFERROR('4. NPV'!RWR24/'4. NPV'!RWR$8,0)</f>
        <v>-0.0</v>
      </c>
      <c r="RWR55" s="5">
        <f>-IFERROR('4. NPV'!RWS24/'4. NPV'!RWS$8,0)</f>
        <v>-0.0</v>
      </c>
      <c r="RWS55" s="5">
        <f>-IFERROR('4. NPV'!RWT24/'4. NPV'!RWT$8,0)</f>
        <v>-0.0</v>
      </c>
      <c r="RWT55" s="5">
        <f>-IFERROR('4. NPV'!RWU24/'4. NPV'!RWU$8,0)</f>
        <v>-0.0</v>
      </c>
      <c r="RWU55" s="5">
        <f>-IFERROR('4. NPV'!RWV24/'4. NPV'!RWV$8,0)</f>
        <v>-0.0</v>
      </c>
      <c r="RWV55" s="5">
        <f>-IFERROR('4. NPV'!RWW24/'4. NPV'!RWW$8,0)</f>
        <v>-0.0</v>
      </c>
      <c r="RWW55" s="5">
        <f>-IFERROR('4. NPV'!RWX24/'4. NPV'!RWX$8,0)</f>
        <v>-0.0</v>
      </c>
      <c r="RWX55" s="5">
        <f>-IFERROR('4. NPV'!RWY24/'4. NPV'!RWY$8,0)</f>
        <v>-0.0</v>
      </c>
      <c r="RWY55" s="5">
        <f>-IFERROR('4. NPV'!RWZ24/'4. NPV'!RWZ$8,0)</f>
        <v>-0.0</v>
      </c>
      <c r="RWZ55" s="5">
        <f>-IFERROR('4. NPV'!RXA24/'4. NPV'!RXA$8,0)</f>
        <v>-0.0</v>
      </c>
      <c r="RXA55" s="5">
        <f>-IFERROR('4. NPV'!RXB24/'4. NPV'!RXB$8,0)</f>
        <v>-0.0</v>
      </c>
      <c r="RXB55" s="5">
        <f>-IFERROR('4. NPV'!RXC24/'4. NPV'!RXC$8,0)</f>
        <v>-0.0</v>
      </c>
      <c r="RXC55" s="5">
        <f>-IFERROR('4. NPV'!RXD24/'4. NPV'!RXD$8,0)</f>
        <v>-0.0</v>
      </c>
      <c r="RXD55" s="5">
        <f>-IFERROR('4. NPV'!RXE24/'4. NPV'!RXE$8,0)</f>
        <v>-0.0</v>
      </c>
      <c r="RXE55" s="5">
        <f>-IFERROR('4. NPV'!RXF24/'4. NPV'!RXF$8,0)</f>
        <v>-0.0</v>
      </c>
      <c r="RXF55" s="5">
        <f>-IFERROR('4. NPV'!RXG24/'4. NPV'!RXG$8,0)</f>
        <v>-0.0</v>
      </c>
      <c r="RXG55" s="5">
        <f>-IFERROR('4. NPV'!RXH24/'4. NPV'!RXH$8,0)</f>
        <v>-0.0</v>
      </c>
      <c r="RXH55" s="5">
        <f>-IFERROR('4. NPV'!RXI24/'4. NPV'!RXI$8,0)</f>
        <v>-0.0</v>
      </c>
      <c r="RXI55" s="5">
        <f>-IFERROR('4. NPV'!RXJ24/'4. NPV'!RXJ$8,0)</f>
        <v>-0.0</v>
      </c>
      <c r="RXJ55" s="5">
        <f>-IFERROR('4. NPV'!RXK24/'4. NPV'!RXK$8,0)</f>
        <v>-0.0</v>
      </c>
      <c r="RXK55" s="5">
        <f>-IFERROR('4. NPV'!RXL24/'4. NPV'!RXL$8,0)</f>
        <v>-0.0</v>
      </c>
      <c r="RXL55" s="5">
        <f>-IFERROR('4. NPV'!RXM24/'4. NPV'!RXM$8,0)</f>
        <v>-0.0</v>
      </c>
      <c r="RXM55" s="5">
        <f>-IFERROR('4. NPV'!RXN24/'4. NPV'!RXN$8,0)</f>
        <v>-0.0</v>
      </c>
      <c r="RXN55" s="5">
        <f>-IFERROR('4. NPV'!RXO24/'4. NPV'!RXO$8,0)</f>
        <v>-0.0</v>
      </c>
      <c r="RXO55" s="5">
        <f>-IFERROR('4. NPV'!RXP24/'4. NPV'!RXP$8,0)</f>
        <v>-0.0</v>
      </c>
      <c r="RXP55" s="5">
        <f>-IFERROR('4. NPV'!RXQ24/'4. NPV'!RXQ$8,0)</f>
        <v>-0.0</v>
      </c>
      <c r="RXQ55" s="5">
        <f>-IFERROR('4. NPV'!RXR24/'4. NPV'!RXR$8,0)</f>
        <v>-0.0</v>
      </c>
      <c r="RXR55" s="5">
        <f>-IFERROR('4. NPV'!RXS24/'4. NPV'!RXS$8,0)</f>
        <v>-0.0</v>
      </c>
      <c r="RXS55" s="5">
        <f>-IFERROR('4. NPV'!RXT24/'4. NPV'!RXT$8,0)</f>
        <v>-0.0</v>
      </c>
      <c r="RXT55" s="5">
        <f>-IFERROR('4. NPV'!RXU24/'4. NPV'!RXU$8,0)</f>
        <v>-0.0</v>
      </c>
      <c r="RXU55" s="5">
        <f>-IFERROR('4. NPV'!RXV24/'4. NPV'!RXV$8,0)</f>
        <v>-0.0</v>
      </c>
      <c r="RXV55" s="5">
        <f>-IFERROR('4. NPV'!RXW24/'4. NPV'!RXW$8,0)</f>
        <v>-0.0</v>
      </c>
      <c r="RXW55" s="5">
        <f>-IFERROR('4. NPV'!RXX24/'4. NPV'!RXX$8,0)</f>
        <v>-0.0</v>
      </c>
      <c r="RXX55" s="5">
        <f>-IFERROR('4. NPV'!RXY24/'4. NPV'!RXY$8,0)</f>
        <v>-0.0</v>
      </c>
      <c r="RXY55" s="5">
        <f>-IFERROR('4. NPV'!RXZ24/'4. NPV'!RXZ$8,0)</f>
        <v>-0.0</v>
      </c>
      <c r="RXZ55" s="5">
        <f>-IFERROR('4. NPV'!RYA24/'4. NPV'!RYA$8,0)</f>
        <v>-0.0</v>
      </c>
      <c r="RYA55" s="5">
        <f>-IFERROR('4. NPV'!RYB24/'4. NPV'!RYB$8,0)</f>
        <v>-0.0</v>
      </c>
      <c r="RYB55" s="5">
        <f>-IFERROR('4. NPV'!RYC24/'4. NPV'!RYC$8,0)</f>
        <v>-0.0</v>
      </c>
      <c r="RYC55" s="5">
        <f>-IFERROR('4. NPV'!RYD24/'4. NPV'!RYD$8,0)</f>
        <v>-0.0</v>
      </c>
      <c r="RYD55" s="5">
        <f>-IFERROR('4. NPV'!RYE24/'4. NPV'!RYE$8,0)</f>
        <v>-0.0</v>
      </c>
      <c r="RYE55" s="5">
        <f>-IFERROR('4. NPV'!RYF24/'4. NPV'!RYF$8,0)</f>
        <v>-0.0</v>
      </c>
      <c r="RYF55" s="5">
        <f>-IFERROR('4. NPV'!RYG24/'4. NPV'!RYG$8,0)</f>
        <v>-0.0</v>
      </c>
      <c r="RYG55" s="5">
        <f>-IFERROR('4. NPV'!RYH24/'4. NPV'!RYH$8,0)</f>
        <v>-0.0</v>
      </c>
      <c r="RYH55" s="5">
        <f>-IFERROR('4. NPV'!RYI24/'4. NPV'!RYI$8,0)</f>
        <v>-0.0</v>
      </c>
      <c r="RYI55" s="5">
        <f>-IFERROR('4. NPV'!RYJ24/'4. NPV'!RYJ$8,0)</f>
        <v>-0.0</v>
      </c>
      <c r="RYJ55" s="5">
        <f>-IFERROR('4. NPV'!RYK24/'4. NPV'!RYK$8,0)</f>
        <v>-0.0</v>
      </c>
      <c r="RYK55" s="5">
        <f>-IFERROR('4. NPV'!RYL24/'4. NPV'!RYL$8,0)</f>
        <v>-0.0</v>
      </c>
      <c r="RYL55" s="5">
        <f>-IFERROR('4. NPV'!RYM24/'4. NPV'!RYM$8,0)</f>
        <v>-0.0</v>
      </c>
      <c r="RYM55" s="5">
        <f>-IFERROR('4. NPV'!RYN24/'4. NPV'!RYN$8,0)</f>
        <v>-0.0</v>
      </c>
      <c r="RYN55" s="5">
        <f>-IFERROR('4. NPV'!RYO24/'4. NPV'!RYO$8,0)</f>
        <v>-0.0</v>
      </c>
      <c r="RYO55" s="5">
        <f>-IFERROR('4. NPV'!RYP24/'4. NPV'!RYP$8,0)</f>
        <v>-0.0</v>
      </c>
      <c r="RYP55" s="5">
        <f>-IFERROR('4. NPV'!RYQ24/'4. NPV'!RYQ$8,0)</f>
        <v>-0.0</v>
      </c>
      <c r="RYQ55" s="5">
        <f>-IFERROR('4. NPV'!RYR24/'4. NPV'!RYR$8,0)</f>
        <v>-0.0</v>
      </c>
      <c r="RYR55" s="5">
        <f>-IFERROR('4. NPV'!RYS24/'4. NPV'!RYS$8,0)</f>
        <v>-0.0</v>
      </c>
      <c r="RYS55" s="5">
        <f>-IFERROR('4. NPV'!RYT24/'4. NPV'!RYT$8,0)</f>
        <v>-0.0</v>
      </c>
      <c r="RYT55" s="5">
        <f>-IFERROR('4. NPV'!RYU24/'4. NPV'!RYU$8,0)</f>
        <v>-0.0</v>
      </c>
      <c r="RYU55" s="5">
        <f>-IFERROR('4. NPV'!RYV24/'4. NPV'!RYV$8,0)</f>
        <v>-0.0</v>
      </c>
      <c r="RYV55" s="5">
        <f>-IFERROR('4. NPV'!RYW24/'4. NPV'!RYW$8,0)</f>
        <v>-0.0</v>
      </c>
      <c r="RYW55" s="5">
        <f>-IFERROR('4. NPV'!RYX24/'4. NPV'!RYX$8,0)</f>
        <v>-0.0</v>
      </c>
      <c r="RYX55" s="5">
        <f>-IFERROR('4. NPV'!RYY24/'4. NPV'!RYY$8,0)</f>
        <v>-0.0</v>
      </c>
      <c r="RYY55" s="5">
        <f>-IFERROR('4. NPV'!RYZ24/'4. NPV'!RYZ$8,0)</f>
        <v>-0.0</v>
      </c>
      <c r="RYZ55" s="5">
        <f>-IFERROR('4. NPV'!RZA24/'4. NPV'!RZA$8,0)</f>
        <v>-0.0</v>
      </c>
      <c r="RZA55" s="5">
        <f>-IFERROR('4. NPV'!RZB24/'4. NPV'!RZB$8,0)</f>
        <v>-0.0</v>
      </c>
      <c r="RZB55" s="5">
        <f>-IFERROR('4. NPV'!RZC24/'4. NPV'!RZC$8,0)</f>
        <v>-0.0</v>
      </c>
      <c r="RZC55" s="5">
        <f>-IFERROR('4. NPV'!RZD24/'4. NPV'!RZD$8,0)</f>
        <v>-0.0</v>
      </c>
      <c r="RZD55" s="5">
        <f>-IFERROR('4. NPV'!RZE24/'4. NPV'!RZE$8,0)</f>
        <v>-0.0</v>
      </c>
      <c r="RZE55" s="5">
        <f>-IFERROR('4. NPV'!RZF24/'4. NPV'!RZF$8,0)</f>
        <v>-0.0</v>
      </c>
      <c r="RZF55" s="5">
        <f>-IFERROR('4. NPV'!RZG24/'4. NPV'!RZG$8,0)</f>
        <v>-0.0</v>
      </c>
      <c r="RZG55" s="5">
        <f>-IFERROR('4. NPV'!RZH24/'4. NPV'!RZH$8,0)</f>
        <v>-0.0</v>
      </c>
      <c r="RZH55" s="5">
        <f>-IFERROR('4. NPV'!RZI24/'4. NPV'!RZI$8,0)</f>
        <v>-0.0</v>
      </c>
      <c r="RZI55" s="5">
        <f>-IFERROR('4. NPV'!RZJ24/'4. NPV'!RZJ$8,0)</f>
        <v>-0.0</v>
      </c>
      <c r="RZJ55" s="5">
        <f>-IFERROR('4. NPV'!RZK24/'4. NPV'!RZK$8,0)</f>
        <v>-0.0</v>
      </c>
      <c r="RZK55" s="5">
        <f>-IFERROR('4. NPV'!RZL24/'4. NPV'!RZL$8,0)</f>
        <v>-0.0</v>
      </c>
      <c r="RZL55" s="5">
        <f>-IFERROR('4. NPV'!RZM24/'4. NPV'!RZM$8,0)</f>
        <v>-0.0</v>
      </c>
      <c r="RZM55" s="5">
        <f>-IFERROR('4. NPV'!RZN24/'4. NPV'!RZN$8,0)</f>
        <v>-0.0</v>
      </c>
      <c r="RZN55" s="5">
        <f>-IFERROR('4. NPV'!RZO24/'4. NPV'!RZO$8,0)</f>
        <v>-0.0</v>
      </c>
      <c r="RZO55" s="5">
        <f>-IFERROR('4. NPV'!RZP24/'4. NPV'!RZP$8,0)</f>
        <v>-0.0</v>
      </c>
      <c r="RZP55" s="5">
        <f>-IFERROR('4. NPV'!RZQ24/'4. NPV'!RZQ$8,0)</f>
        <v>-0.0</v>
      </c>
      <c r="RZQ55" s="5">
        <f>-IFERROR('4. NPV'!RZR24/'4. NPV'!RZR$8,0)</f>
        <v>-0.0</v>
      </c>
      <c r="RZR55" s="5">
        <f>-IFERROR('4. NPV'!RZS24/'4. NPV'!RZS$8,0)</f>
        <v>-0.0</v>
      </c>
      <c r="RZS55" s="5">
        <f>-IFERROR('4. NPV'!RZT24/'4. NPV'!RZT$8,0)</f>
        <v>-0.0</v>
      </c>
      <c r="RZT55" s="5">
        <f>-IFERROR('4. NPV'!RZU24/'4. NPV'!RZU$8,0)</f>
        <v>-0.0</v>
      </c>
      <c r="RZU55" s="5">
        <f>-IFERROR('4. NPV'!RZV24/'4. NPV'!RZV$8,0)</f>
        <v>-0.0</v>
      </c>
      <c r="RZV55" s="5">
        <f>-IFERROR('4. NPV'!RZW24/'4. NPV'!RZW$8,0)</f>
        <v>-0.0</v>
      </c>
      <c r="RZW55" s="5">
        <f>-IFERROR('4. NPV'!RZX24/'4. NPV'!RZX$8,0)</f>
        <v>-0.0</v>
      </c>
      <c r="RZX55" s="5">
        <f>-IFERROR('4. NPV'!RZY24/'4. NPV'!RZY$8,0)</f>
        <v>-0.0</v>
      </c>
      <c r="RZY55" s="5">
        <f>-IFERROR('4. NPV'!RZZ24/'4. NPV'!RZZ$8,0)</f>
        <v>-0.0</v>
      </c>
      <c r="RZZ55" s="5">
        <f>-IFERROR('4. NPV'!SAA24/'4. NPV'!SAA$8,0)</f>
        <v>-0.0</v>
      </c>
      <c r="SAA55" s="5">
        <f>-IFERROR('4. NPV'!SAB24/'4. NPV'!SAB$8,0)</f>
        <v>-0.0</v>
      </c>
      <c r="SAB55" s="5">
        <f>-IFERROR('4. NPV'!SAC24/'4. NPV'!SAC$8,0)</f>
        <v>-0.0</v>
      </c>
      <c r="SAC55" s="5">
        <f>-IFERROR('4. NPV'!SAD24/'4. NPV'!SAD$8,0)</f>
        <v>-0.0</v>
      </c>
      <c r="SAD55" s="5">
        <f>-IFERROR('4. NPV'!SAE24/'4. NPV'!SAE$8,0)</f>
        <v>-0.0</v>
      </c>
      <c r="SAE55" s="5">
        <f>-IFERROR('4. NPV'!SAF24/'4. NPV'!SAF$8,0)</f>
        <v>-0.0</v>
      </c>
      <c r="SAF55" s="5">
        <f>-IFERROR('4. NPV'!SAG24/'4. NPV'!SAG$8,0)</f>
        <v>-0.0</v>
      </c>
      <c r="SAG55" s="5">
        <f>-IFERROR('4. NPV'!SAH24/'4. NPV'!SAH$8,0)</f>
        <v>-0.0</v>
      </c>
      <c r="SAH55" s="5">
        <f>-IFERROR('4. NPV'!SAI24/'4. NPV'!SAI$8,0)</f>
        <v>-0.0</v>
      </c>
      <c r="SAI55" s="5">
        <f>-IFERROR('4. NPV'!SAJ24/'4. NPV'!SAJ$8,0)</f>
        <v>-0.0</v>
      </c>
      <c r="SAJ55" s="5">
        <f>-IFERROR('4. NPV'!SAK24/'4. NPV'!SAK$8,0)</f>
        <v>-0.0</v>
      </c>
      <c r="SAK55" s="5">
        <f>-IFERROR('4. NPV'!SAL24/'4. NPV'!SAL$8,0)</f>
        <v>-0.0</v>
      </c>
      <c r="SAL55" s="5">
        <f>-IFERROR('4. NPV'!SAM24/'4. NPV'!SAM$8,0)</f>
        <v>-0.0</v>
      </c>
      <c r="SAM55" s="5">
        <f>-IFERROR('4. NPV'!SAN24/'4. NPV'!SAN$8,0)</f>
        <v>-0.0</v>
      </c>
      <c r="SAN55" s="5">
        <f>-IFERROR('4. NPV'!SAO24/'4. NPV'!SAO$8,0)</f>
        <v>-0.0</v>
      </c>
      <c r="SAO55" s="5">
        <f>-IFERROR('4. NPV'!SAP24/'4. NPV'!SAP$8,0)</f>
        <v>-0.0</v>
      </c>
      <c r="SAP55" s="5">
        <f>-IFERROR('4. NPV'!SAQ24/'4. NPV'!SAQ$8,0)</f>
        <v>-0.0</v>
      </c>
      <c r="SAQ55" s="5">
        <f>-IFERROR('4. NPV'!SAR24/'4. NPV'!SAR$8,0)</f>
        <v>-0.0</v>
      </c>
      <c r="SAR55" s="5">
        <f>-IFERROR('4. NPV'!SAS24/'4. NPV'!SAS$8,0)</f>
        <v>-0.0</v>
      </c>
      <c r="SAS55" s="5">
        <f>-IFERROR('4. NPV'!SAT24/'4. NPV'!SAT$8,0)</f>
        <v>-0.0</v>
      </c>
      <c r="SAT55" s="5">
        <f>-IFERROR('4. NPV'!SAU24/'4. NPV'!SAU$8,0)</f>
        <v>-0.0</v>
      </c>
      <c r="SAU55" s="5">
        <f>-IFERROR('4. NPV'!SAV24/'4. NPV'!SAV$8,0)</f>
        <v>-0.0</v>
      </c>
      <c r="SAV55" s="5">
        <f>-IFERROR('4. NPV'!SAW24/'4. NPV'!SAW$8,0)</f>
        <v>-0.0</v>
      </c>
      <c r="SAW55" s="5">
        <f>-IFERROR('4. NPV'!SAX24/'4. NPV'!SAX$8,0)</f>
        <v>-0.0</v>
      </c>
      <c r="SAX55" s="5">
        <f>-IFERROR('4. NPV'!SAY24/'4. NPV'!SAY$8,0)</f>
        <v>-0.0</v>
      </c>
      <c r="SAY55" s="5">
        <f>-IFERROR('4. NPV'!SAZ24/'4. NPV'!SAZ$8,0)</f>
        <v>-0.0</v>
      </c>
      <c r="SAZ55" s="5">
        <f>-IFERROR('4. NPV'!SBA24/'4. NPV'!SBA$8,0)</f>
        <v>-0.0</v>
      </c>
      <c r="SBA55" s="5">
        <f>-IFERROR('4. NPV'!SBB24/'4. NPV'!SBB$8,0)</f>
        <v>-0.0</v>
      </c>
      <c r="SBB55" s="5">
        <f>-IFERROR('4. NPV'!SBC24/'4. NPV'!SBC$8,0)</f>
        <v>-0.0</v>
      </c>
      <c r="SBC55" s="5">
        <f>-IFERROR('4. NPV'!SBD24/'4. NPV'!SBD$8,0)</f>
        <v>-0.0</v>
      </c>
      <c r="SBD55" s="5">
        <f>-IFERROR('4. NPV'!SBE24/'4. NPV'!SBE$8,0)</f>
        <v>-0.0</v>
      </c>
      <c r="SBE55" s="5">
        <f>-IFERROR('4. NPV'!SBF24/'4. NPV'!SBF$8,0)</f>
        <v>-0.0</v>
      </c>
      <c r="SBF55" s="5">
        <f>-IFERROR('4. NPV'!SBG24/'4. NPV'!SBG$8,0)</f>
        <v>-0.0</v>
      </c>
      <c r="SBG55" s="5">
        <f>-IFERROR('4. NPV'!SBH24/'4. NPV'!SBH$8,0)</f>
        <v>-0.0</v>
      </c>
      <c r="SBH55" s="5">
        <f>-IFERROR('4. NPV'!SBI24/'4. NPV'!SBI$8,0)</f>
        <v>-0.0</v>
      </c>
      <c r="SBI55" s="5">
        <f>-IFERROR('4. NPV'!SBJ24/'4. NPV'!SBJ$8,0)</f>
        <v>-0.0</v>
      </c>
      <c r="SBJ55" s="5">
        <f>-IFERROR('4. NPV'!SBK24/'4. NPV'!SBK$8,0)</f>
        <v>-0.0</v>
      </c>
      <c r="SBK55" s="5">
        <f>-IFERROR('4. NPV'!SBL24/'4. NPV'!SBL$8,0)</f>
        <v>-0.0</v>
      </c>
      <c r="SBL55" s="5">
        <f>-IFERROR('4. NPV'!SBM24/'4. NPV'!SBM$8,0)</f>
        <v>-0.0</v>
      </c>
      <c r="SBM55" s="5">
        <f>-IFERROR('4. NPV'!SBN24/'4. NPV'!SBN$8,0)</f>
        <v>-0.0</v>
      </c>
      <c r="SBN55" s="5">
        <f>-IFERROR('4. NPV'!SBO24/'4. NPV'!SBO$8,0)</f>
        <v>-0.0</v>
      </c>
      <c r="SBO55" s="5">
        <f>-IFERROR('4. NPV'!SBP24/'4. NPV'!SBP$8,0)</f>
        <v>-0.0</v>
      </c>
      <c r="SBP55" s="5">
        <f>-IFERROR('4. NPV'!SBQ24/'4. NPV'!SBQ$8,0)</f>
        <v>-0.0</v>
      </c>
      <c r="SBQ55" s="5">
        <f>-IFERROR('4. NPV'!SBR24/'4. NPV'!SBR$8,0)</f>
        <v>-0.0</v>
      </c>
      <c r="SBR55" s="5">
        <f>-IFERROR('4. NPV'!SBS24/'4. NPV'!SBS$8,0)</f>
        <v>-0.0</v>
      </c>
      <c r="SBS55" s="5">
        <f>-IFERROR('4. NPV'!SBT24/'4. NPV'!SBT$8,0)</f>
        <v>-0.0</v>
      </c>
      <c r="SBT55" s="5">
        <f>-IFERROR('4. NPV'!SBU24/'4. NPV'!SBU$8,0)</f>
        <v>-0.0</v>
      </c>
      <c r="SBU55" s="5">
        <f>-IFERROR('4. NPV'!SBV24/'4. NPV'!SBV$8,0)</f>
        <v>-0.0</v>
      </c>
      <c r="SBV55" s="5">
        <f>-IFERROR('4. NPV'!SBW24/'4. NPV'!SBW$8,0)</f>
        <v>-0.0</v>
      </c>
      <c r="SBW55" s="5">
        <f>-IFERROR('4. NPV'!SBX24/'4. NPV'!SBX$8,0)</f>
        <v>-0.0</v>
      </c>
      <c r="SBX55" s="5">
        <f>-IFERROR('4. NPV'!SBY24/'4. NPV'!SBY$8,0)</f>
        <v>-0.0</v>
      </c>
      <c r="SBY55" s="5">
        <f>-IFERROR('4. NPV'!SBZ24/'4. NPV'!SBZ$8,0)</f>
        <v>-0.0</v>
      </c>
      <c r="SBZ55" s="5">
        <f>-IFERROR('4. NPV'!SCA24/'4. NPV'!SCA$8,0)</f>
        <v>-0.0</v>
      </c>
      <c r="SCA55" s="5">
        <f>-IFERROR('4. NPV'!SCB24/'4. NPV'!SCB$8,0)</f>
        <v>-0.0</v>
      </c>
      <c r="SCB55" s="5">
        <f>-IFERROR('4. NPV'!SCC24/'4. NPV'!SCC$8,0)</f>
        <v>-0.0</v>
      </c>
      <c r="SCC55" s="5">
        <f>-IFERROR('4. NPV'!SCD24/'4. NPV'!SCD$8,0)</f>
        <v>-0.0</v>
      </c>
      <c r="SCD55" s="5">
        <f>-IFERROR('4. NPV'!SCE24/'4. NPV'!SCE$8,0)</f>
        <v>-0.0</v>
      </c>
      <c r="SCE55" s="5">
        <f>-IFERROR('4. NPV'!SCF24/'4. NPV'!SCF$8,0)</f>
        <v>-0.0</v>
      </c>
      <c r="SCF55" s="5">
        <f>-IFERROR('4. NPV'!SCG24/'4. NPV'!SCG$8,0)</f>
        <v>-0.0</v>
      </c>
      <c r="SCG55" s="5">
        <f>-IFERROR('4. NPV'!SCH24/'4. NPV'!SCH$8,0)</f>
        <v>-0.0</v>
      </c>
      <c r="SCH55" s="5">
        <f>-IFERROR('4. NPV'!SCI24/'4. NPV'!SCI$8,0)</f>
        <v>-0.0</v>
      </c>
      <c r="SCI55" s="5">
        <f>-IFERROR('4. NPV'!SCJ24/'4. NPV'!SCJ$8,0)</f>
        <v>-0.0</v>
      </c>
      <c r="SCJ55" s="5">
        <f>-IFERROR('4. NPV'!SCK24/'4. NPV'!SCK$8,0)</f>
        <v>-0.0</v>
      </c>
      <c r="SCK55" s="5">
        <f>-IFERROR('4. NPV'!SCL24/'4. NPV'!SCL$8,0)</f>
        <v>-0.0</v>
      </c>
      <c r="SCL55" s="5">
        <f>-IFERROR('4. NPV'!SCM24/'4. NPV'!SCM$8,0)</f>
        <v>-0.0</v>
      </c>
      <c r="SCM55" s="5">
        <f>-IFERROR('4. NPV'!SCN24/'4. NPV'!SCN$8,0)</f>
        <v>-0.0</v>
      </c>
      <c r="SCN55" s="5">
        <f>-IFERROR('4. NPV'!SCO24/'4. NPV'!SCO$8,0)</f>
        <v>-0.0</v>
      </c>
      <c r="SCO55" s="5">
        <f>-IFERROR('4. NPV'!SCP24/'4. NPV'!SCP$8,0)</f>
        <v>-0.0</v>
      </c>
      <c r="SCP55" s="5">
        <f>-IFERROR('4. NPV'!SCQ24/'4. NPV'!SCQ$8,0)</f>
        <v>-0.0</v>
      </c>
      <c r="SCQ55" s="5">
        <f>-IFERROR('4. NPV'!SCR24/'4. NPV'!SCR$8,0)</f>
        <v>-0.0</v>
      </c>
      <c r="SCR55" s="5">
        <f>-IFERROR('4. NPV'!SCS24/'4. NPV'!SCS$8,0)</f>
        <v>-0.0</v>
      </c>
      <c r="SCS55" s="5">
        <f>-IFERROR('4. NPV'!SCT24/'4. NPV'!SCT$8,0)</f>
        <v>-0.0</v>
      </c>
      <c r="SCT55" s="5">
        <f>-IFERROR('4. NPV'!SCU24/'4. NPV'!SCU$8,0)</f>
        <v>-0.0</v>
      </c>
      <c r="SCU55" s="5">
        <f>-IFERROR('4. NPV'!SCV24/'4. NPV'!SCV$8,0)</f>
        <v>-0.0</v>
      </c>
      <c r="SCV55" s="5">
        <f>-IFERROR('4. NPV'!SCW24/'4. NPV'!SCW$8,0)</f>
        <v>-0.0</v>
      </c>
      <c r="SCW55" s="5">
        <f>-IFERROR('4. NPV'!SCX24/'4. NPV'!SCX$8,0)</f>
        <v>-0.0</v>
      </c>
      <c r="SCX55" s="5">
        <f>-IFERROR('4. NPV'!SCY24/'4. NPV'!SCY$8,0)</f>
        <v>-0.0</v>
      </c>
      <c r="SCY55" s="5">
        <f>-IFERROR('4. NPV'!SCZ24/'4. NPV'!SCZ$8,0)</f>
        <v>-0.0</v>
      </c>
      <c r="SCZ55" s="5">
        <f>-IFERROR('4. NPV'!SDA24/'4. NPV'!SDA$8,0)</f>
        <v>-0.0</v>
      </c>
      <c r="SDA55" s="5">
        <f>-IFERROR('4. NPV'!SDB24/'4. NPV'!SDB$8,0)</f>
        <v>-0.0</v>
      </c>
      <c r="SDB55" s="5">
        <f>-IFERROR('4. NPV'!SDC24/'4. NPV'!SDC$8,0)</f>
        <v>-0.0</v>
      </c>
      <c r="SDC55" s="5">
        <f>-IFERROR('4. NPV'!SDD24/'4. NPV'!SDD$8,0)</f>
        <v>-0.0</v>
      </c>
      <c r="SDD55" s="5">
        <f>-IFERROR('4. NPV'!SDE24/'4. NPV'!SDE$8,0)</f>
        <v>-0.0</v>
      </c>
      <c r="SDE55" s="5">
        <f>-IFERROR('4. NPV'!SDF24/'4. NPV'!SDF$8,0)</f>
        <v>-0.0</v>
      </c>
      <c r="SDF55" s="5">
        <f>-IFERROR('4. NPV'!SDG24/'4. NPV'!SDG$8,0)</f>
        <v>-0.0</v>
      </c>
      <c r="SDG55" s="5">
        <f>-IFERROR('4. NPV'!SDH24/'4. NPV'!SDH$8,0)</f>
        <v>-0.0</v>
      </c>
      <c r="SDH55" s="5">
        <f>-IFERROR('4. NPV'!SDI24/'4. NPV'!SDI$8,0)</f>
        <v>-0.0</v>
      </c>
      <c r="SDI55" s="5">
        <f>-IFERROR('4. NPV'!SDJ24/'4. NPV'!SDJ$8,0)</f>
        <v>-0.0</v>
      </c>
      <c r="SDJ55" s="5">
        <f>-IFERROR('4. NPV'!SDK24/'4. NPV'!SDK$8,0)</f>
        <v>-0.0</v>
      </c>
      <c r="SDK55" s="5">
        <f>-IFERROR('4. NPV'!SDL24/'4. NPV'!SDL$8,0)</f>
        <v>-0.0</v>
      </c>
      <c r="SDL55" s="5">
        <f>-IFERROR('4. NPV'!SDM24/'4. NPV'!SDM$8,0)</f>
        <v>-0.0</v>
      </c>
      <c r="SDM55" s="5">
        <f>-IFERROR('4. NPV'!SDN24/'4. NPV'!SDN$8,0)</f>
        <v>-0.0</v>
      </c>
      <c r="SDN55" s="5">
        <f>-IFERROR('4. NPV'!SDO24/'4. NPV'!SDO$8,0)</f>
        <v>-0.0</v>
      </c>
      <c r="SDO55" s="5">
        <f>-IFERROR('4. NPV'!SDP24/'4. NPV'!SDP$8,0)</f>
        <v>-0.0</v>
      </c>
      <c r="SDP55" s="5">
        <f>-IFERROR('4. NPV'!SDQ24/'4. NPV'!SDQ$8,0)</f>
        <v>-0.0</v>
      </c>
      <c r="SDQ55" s="5">
        <f>-IFERROR('4. NPV'!SDR24/'4. NPV'!SDR$8,0)</f>
        <v>-0.0</v>
      </c>
      <c r="SDR55" s="5">
        <f>-IFERROR('4. NPV'!SDS24/'4. NPV'!SDS$8,0)</f>
        <v>-0.0</v>
      </c>
      <c r="SDS55" s="5">
        <f>-IFERROR('4. NPV'!SDT24/'4. NPV'!SDT$8,0)</f>
        <v>-0.0</v>
      </c>
      <c r="SDT55" s="5">
        <f>-IFERROR('4. NPV'!SDU24/'4. NPV'!SDU$8,0)</f>
        <v>-0.0</v>
      </c>
      <c r="SDU55" s="5">
        <f>-IFERROR('4. NPV'!SDV24/'4. NPV'!SDV$8,0)</f>
        <v>-0.0</v>
      </c>
      <c r="SDV55" s="5">
        <f>-IFERROR('4. NPV'!SDW24/'4. NPV'!SDW$8,0)</f>
        <v>-0.0</v>
      </c>
      <c r="SDW55" s="5">
        <f>-IFERROR('4. NPV'!SDX24/'4. NPV'!SDX$8,0)</f>
        <v>-0.0</v>
      </c>
      <c r="SDX55" s="5">
        <f>-IFERROR('4. NPV'!SDY24/'4. NPV'!SDY$8,0)</f>
        <v>-0.0</v>
      </c>
      <c r="SDY55" s="5">
        <f>-IFERROR('4. NPV'!SDZ24/'4. NPV'!SDZ$8,0)</f>
        <v>-0.0</v>
      </c>
      <c r="SDZ55" s="5">
        <f>-IFERROR('4. NPV'!SEA24/'4. NPV'!SEA$8,0)</f>
        <v>-0.0</v>
      </c>
      <c r="SEA55" s="5">
        <f>-IFERROR('4. NPV'!SEB24/'4. NPV'!SEB$8,0)</f>
        <v>-0.0</v>
      </c>
      <c r="SEB55" s="5">
        <f>-IFERROR('4. NPV'!SEC24/'4. NPV'!SEC$8,0)</f>
        <v>-0.0</v>
      </c>
      <c r="SEC55" s="5">
        <f>-IFERROR('4. NPV'!SED24/'4. NPV'!SED$8,0)</f>
        <v>-0.0</v>
      </c>
      <c r="SED55" s="5">
        <f>-IFERROR('4. NPV'!SEE24/'4. NPV'!SEE$8,0)</f>
        <v>-0.0</v>
      </c>
      <c r="SEE55" s="5">
        <f>-IFERROR('4. NPV'!SEF24/'4. NPV'!SEF$8,0)</f>
        <v>-0.0</v>
      </c>
      <c r="SEF55" s="5">
        <f>-IFERROR('4. NPV'!SEG24/'4. NPV'!SEG$8,0)</f>
        <v>-0.0</v>
      </c>
      <c r="SEG55" s="5">
        <f>-IFERROR('4. NPV'!SEH24/'4. NPV'!SEH$8,0)</f>
        <v>-0.0</v>
      </c>
      <c r="SEH55" s="5">
        <f>-IFERROR('4. NPV'!SEI24/'4. NPV'!SEI$8,0)</f>
        <v>-0.0</v>
      </c>
      <c r="SEI55" s="5">
        <f>-IFERROR('4. NPV'!SEJ24/'4. NPV'!SEJ$8,0)</f>
        <v>-0.0</v>
      </c>
      <c r="SEJ55" s="5">
        <f>-IFERROR('4. NPV'!SEK24/'4. NPV'!SEK$8,0)</f>
        <v>-0.0</v>
      </c>
      <c r="SEK55" s="5">
        <f>-IFERROR('4. NPV'!SEL24/'4. NPV'!SEL$8,0)</f>
        <v>-0.0</v>
      </c>
      <c r="SEL55" s="5">
        <f>-IFERROR('4. NPV'!SEM24/'4. NPV'!SEM$8,0)</f>
        <v>-0.0</v>
      </c>
      <c r="SEM55" s="5">
        <f>-IFERROR('4. NPV'!SEN24/'4. NPV'!SEN$8,0)</f>
        <v>-0.0</v>
      </c>
      <c r="SEN55" s="5">
        <f>-IFERROR('4. NPV'!SEO24/'4. NPV'!SEO$8,0)</f>
        <v>-0.0</v>
      </c>
      <c r="SEO55" s="5">
        <f>-IFERROR('4. NPV'!SEP24/'4. NPV'!SEP$8,0)</f>
        <v>-0.0</v>
      </c>
      <c r="SEP55" s="5">
        <f>-IFERROR('4. NPV'!SEQ24/'4. NPV'!SEQ$8,0)</f>
        <v>-0.0</v>
      </c>
      <c r="SEQ55" s="5">
        <f>-IFERROR('4. NPV'!SER24/'4. NPV'!SER$8,0)</f>
        <v>-0.0</v>
      </c>
      <c r="SER55" s="5">
        <f>-IFERROR('4. NPV'!SES24/'4. NPV'!SES$8,0)</f>
        <v>-0.0</v>
      </c>
      <c r="SES55" s="5">
        <f>-IFERROR('4. NPV'!SET24/'4. NPV'!SET$8,0)</f>
        <v>-0.0</v>
      </c>
      <c r="SET55" s="5">
        <f>-IFERROR('4. NPV'!SEU24/'4. NPV'!SEU$8,0)</f>
        <v>-0.0</v>
      </c>
      <c r="SEU55" s="5">
        <f>-IFERROR('4. NPV'!SEV24/'4. NPV'!SEV$8,0)</f>
        <v>-0.0</v>
      </c>
      <c r="SEV55" s="5">
        <f>-IFERROR('4. NPV'!SEW24/'4. NPV'!SEW$8,0)</f>
        <v>-0.0</v>
      </c>
      <c r="SEW55" s="5">
        <f>-IFERROR('4. NPV'!SEX24/'4. NPV'!SEX$8,0)</f>
        <v>-0.0</v>
      </c>
      <c r="SEX55" s="5">
        <f>-IFERROR('4. NPV'!SEY24/'4. NPV'!SEY$8,0)</f>
        <v>-0.0</v>
      </c>
      <c r="SEY55" s="5">
        <f>-IFERROR('4. NPV'!SEZ24/'4. NPV'!SEZ$8,0)</f>
        <v>-0.0</v>
      </c>
      <c r="SEZ55" s="5">
        <f>-IFERROR('4. NPV'!SFA24/'4. NPV'!SFA$8,0)</f>
        <v>-0.0</v>
      </c>
      <c r="SFA55" s="5">
        <f>-IFERROR('4. NPV'!SFB24/'4. NPV'!SFB$8,0)</f>
        <v>-0.0</v>
      </c>
      <c r="SFB55" s="5">
        <f>-IFERROR('4. NPV'!SFC24/'4. NPV'!SFC$8,0)</f>
        <v>-0.0</v>
      </c>
      <c r="SFC55" s="5">
        <f>-IFERROR('4. NPV'!SFD24/'4. NPV'!SFD$8,0)</f>
        <v>-0.0</v>
      </c>
      <c r="SFD55" s="5">
        <f>-IFERROR('4. NPV'!SFE24/'4. NPV'!SFE$8,0)</f>
        <v>-0.0</v>
      </c>
      <c r="SFE55" s="5">
        <f>-IFERROR('4. NPV'!SFF24/'4. NPV'!SFF$8,0)</f>
        <v>-0.0</v>
      </c>
      <c r="SFF55" s="5">
        <f>-IFERROR('4. NPV'!SFG24/'4. NPV'!SFG$8,0)</f>
        <v>-0.0</v>
      </c>
      <c r="SFG55" s="5">
        <f>-IFERROR('4. NPV'!SFH24/'4. NPV'!SFH$8,0)</f>
        <v>-0.0</v>
      </c>
      <c r="SFH55" s="5">
        <f>-IFERROR('4. NPV'!SFI24/'4. NPV'!SFI$8,0)</f>
        <v>-0.0</v>
      </c>
      <c r="SFI55" s="5">
        <f>-IFERROR('4. NPV'!SFJ24/'4. NPV'!SFJ$8,0)</f>
        <v>-0.0</v>
      </c>
      <c r="SFJ55" s="5">
        <f>-IFERROR('4. NPV'!SFK24/'4. NPV'!SFK$8,0)</f>
        <v>-0.0</v>
      </c>
      <c r="SFK55" s="5">
        <f>-IFERROR('4. NPV'!SFL24/'4. NPV'!SFL$8,0)</f>
        <v>-0.0</v>
      </c>
      <c r="SFL55" s="5">
        <f>-IFERROR('4. NPV'!SFM24/'4. NPV'!SFM$8,0)</f>
        <v>-0.0</v>
      </c>
      <c r="SFM55" s="5">
        <f>-IFERROR('4. NPV'!SFN24/'4. NPV'!SFN$8,0)</f>
        <v>-0.0</v>
      </c>
      <c r="SFN55" s="5">
        <f>-IFERROR('4. NPV'!SFO24/'4. NPV'!SFO$8,0)</f>
        <v>-0.0</v>
      </c>
      <c r="SFO55" s="5">
        <f>-IFERROR('4. NPV'!SFP24/'4. NPV'!SFP$8,0)</f>
        <v>-0.0</v>
      </c>
      <c r="SFP55" s="5">
        <f>-IFERROR('4. NPV'!SFQ24/'4. NPV'!SFQ$8,0)</f>
        <v>-0.0</v>
      </c>
      <c r="SFQ55" s="5">
        <f>-IFERROR('4. NPV'!SFR24/'4. NPV'!SFR$8,0)</f>
        <v>-0.0</v>
      </c>
      <c r="SFR55" s="5">
        <f>-IFERROR('4. NPV'!SFS24/'4. NPV'!SFS$8,0)</f>
        <v>-0.0</v>
      </c>
      <c r="SFS55" s="5">
        <f>-IFERROR('4. NPV'!SFT24/'4. NPV'!SFT$8,0)</f>
        <v>-0.0</v>
      </c>
      <c r="SFT55" s="5">
        <f>-IFERROR('4. NPV'!SFU24/'4. NPV'!SFU$8,0)</f>
        <v>-0.0</v>
      </c>
      <c r="SFU55" s="5">
        <f>-IFERROR('4. NPV'!SFV24/'4. NPV'!SFV$8,0)</f>
        <v>-0.0</v>
      </c>
      <c r="SFV55" s="5">
        <f>-IFERROR('4. NPV'!SFW24/'4. NPV'!SFW$8,0)</f>
        <v>-0.0</v>
      </c>
      <c r="SFW55" s="5">
        <f>-IFERROR('4. NPV'!SFX24/'4. NPV'!SFX$8,0)</f>
        <v>-0.0</v>
      </c>
      <c r="SFX55" s="5">
        <f>-IFERROR('4. NPV'!SFY24/'4. NPV'!SFY$8,0)</f>
        <v>-0.0</v>
      </c>
      <c r="SFY55" s="5">
        <f>-IFERROR('4. NPV'!SFZ24/'4. NPV'!SFZ$8,0)</f>
        <v>-0.0</v>
      </c>
      <c r="SFZ55" s="5">
        <f>-IFERROR('4. NPV'!SGA24/'4. NPV'!SGA$8,0)</f>
        <v>-0.0</v>
      </c>
      <c r="SGA55" s="5">
        <f>-IFERROR('4. NPV'!SGB24/'4. NPV'!SGB$8,0)</f>
        <v>-0.0</v>
      </c>
      <c r="SGB55" s="5">
        <f>-IFERROR('4. NPV'!SGC24/'4. NPV'!SGC$8,0)</f>
        <v>-0.0</v>
      </c>
      <c r="SGC55" s="5">
        <f>-IFERROR('4. NPV'!SGD24/'4. NPV'!SGD$8,0)</f>
        <v>-0.0</v>
      </c>
      <c r="SGD55" s="5">
        <f>-IFERROR('4. NPV'!SGE24/'4. NPV'!SGE$8,0)</f>
        <v>-0.0</v>
      </c>
      <c r="SGE55" s="5">
        <f>-IFERROR('4. NPV'!SGF24/'4. NPV'!SGF$8,0)</f>
        <v>-0.0</v>
      </c>
      <c r="SGF55" s="5">
        <f>-IFERROR('4. NPV'!SGG24/'4. NPV'!SGG$8,0)</f>
        <v>-0.0</v>
      </c>
      <c r="SGG55" s="5">
        <f>-IFERROR('4. NPV'!SGH24/'4. NPV'!SGH$8,0)</f>
        <v>-0.0</v>
      </c>
      <c r="SGH55" s="5">
        <f>-IFERROR('4. NPV'!SGI24/'4. NPV'!SGI$8,0)</f>
        <v>-0.0</v>
      </c>
      <c r="SGI55" s="5">
        <f>-IFERROR('4. NPV'!SGJ24/'4. NPV'!SGJ$8,0)</f>
        <v>-0.0</v>
      </c>
      <c r="SGJ55" s="5">
        <f>-IFERROR('4. NPV'!SGK24/'4. NPV'!SGK$8,0)</f>
        <v>-0.0</v>
      </c>
      <c r="SGK55" s="5">
        <f>-IFERROR('4. NPV'!SGL24/'4. NPV'!SGL$8,0)</f>
        <v>-0.0</v>
      </c>
      <c r="SGL55" s="5">
        <f>-IFERROR('4. NPV'!SGM24/'4. NPV'!SGM$8,0)</f>
        <v>-0.0</v>
      </c>
      <c r="SGM55" s="5">
        <f>-IFERROR('4. NPV'!SGN24/'4. NPV'!SGN$8,0)</f>
        <v>-0.0</v>
      </c>
      <c r="SGN55" s="5">
        <f>-IFERROR('4. NPV'!SGO24/'4. NPV'!SGO$8,0)</f>
        <v>-0.0</v>
      </c>
      <c r="SGO55" s="5">
        <f>-IFERROR('4. NPV'!SGP24/'4. NPV'!SGP$8,0)</f>
        <v>-0.0</v>
      </c>
      <c r="SGP55" s="5">
        <f>-IFERROR('4. NPV'!SGQ24/'4. NPV'!SGQ$8,0)</f>
        <v>-0.0</v>
      </c>
      <c r="SGQ55" s="5">
        <f>-IFERROR('4. NPV'!SGR24/'4. NPV'!SGR$8,0)</f>
        <v>-0.0</v>
      </c>
      <c r="SGR55" s="5">
        <f>-IFERROR('4. NPV'!SGS24/'4. NPV'!SGS$8,0)</f>
        <v>-0.0</v>
      </c>
      <c r="SGS55" s="5">
        <f>-IFERROR('4. NPV'!SGT24/'4. NPV'!SGT$8,0)</f>
        <v>-0.0</v>
      </c>
      <c r="SGT55" s="5">
        <f>-IFERROR('4. NPV'!SGU24/'4. NPV'!SGU$8,0)</f>
        <v>-0.0</v>
      </c>
      <c r="SGU55" s="5">
        <f>-IFERROR('4. NPV'!SGV24/'4. NPV'!SGV$8,0)</f>
        <v>-0.0</v>
      </c>
      <c r="SGV55" s="5">
        <f>-IFERROR('4. NPV'!SGW24/'4. NPV'!SGW$8,0)</f>
        <v>-0.0</v>
      </c>
      <c r="SGW55" s="5">
        <f>-IFERROR('4. NPV'!SGX24/'4. NPV'!SGX$8,0)</f>
        <v>-0.0</v>
      </c>
      <c r="SGX55" s="5">
        <f>-IFERROR('4. NPV'!SGY24/'4. NPV'!SGY$8,0)</f>
        <v>-0.0</v>
      </c>
      <c r="SGY55" s="5">
        <f>-IFERROR('4. NPV'!SGZ24/'4. NPV'!SGZ$8,0)</f>
        <v>-0.0</v>
      </c>
      <c r="SGZ55" s="5">
        <f>-IFERROR('4. NPV'!SHA24/'4. NPV'!SHA$8,0)</f>
        <v>-0.0</v>
      </c>
      <c r="SHA55" s="5">
        <f>-IFERROR('4. NPV'!SHB24/'4. NPV'!SHB$8,0)</f>
        <v>-0.0</v>
      </c>
      <c r="SHB55" s="5">
        <f>-IFERROR('4. NPV'!SHC24/'4. NPV'!SHC$8,0)</f>
        <v>-0.0</v>
      </c>
      <c r="SHC55" s="5">
        <f>-IFERROR('4. NPV'!SHD24/'4. NPV'!SHD$8,0)</f>
        <v>-0.0</v>
      </c>
      <c r="SHD55" s="5">
        <f>-IFERROR('4. NPV'!SHE24/'4. NPV'!SHE$8,0)</f>
        <v>-0.0</v>
      </c>
      <c r="SHE55" s="5">
        <f>-IFERROR('4. NPV'!SHF24/'4. NPV'!SHF$8,0)</f>
        <v>-0.0</v>
      </c>
      <c r="SHF55" s="5">
        <f>-IFERROR('4. NPV'!SHG24/'4. NPV'!SHG$8,0)</f>
        <v>-0.0</v>
      </c>
      <c r="SHG55" s="5">
        <f>-IFERROR('4. NPV'!SHH24/'4. NPV'!SHH$8,0)</f>
        <v>-0.0</v>
      </c>
      <c r="SHH55" s="5">
        <f>-IFERROR('4. NPV'!SHI24/'4. NPV'!SHI$8,0)</f>
        <v>-0.0</v>
      </c>
      <c r="SHI55" s="5">
        <f>-IFERROR('4. NPV'!SHJ24/'4. NPV'!SHJ$8,0)</f>
        <v>-0.0</v>
      </c>
      <c r="SHJ55" s="5">
        <f>-IFERROR('4. NPV'!SHK24/'4. NPV'!SHK$8,0)</f>
        <v>-0.0</v>
      </c>
      <c r="SHK55" s="5">
        <f>-IFERROR('4. NPV'!SHL24/'4. NPV'!SHL$8,0)</f>
        <v>-0.0</v>
      </c>
      <c r="SHL55" s="5">
        <f>-IFERROR('4. NPV'!SHM24/'4. NPV'!SHM$8,0)</f>
        <v>-0.0</v>
      </c>
      <c r="SHM55" s="5">
        <f>-IFERROR('4. NPV'!SHN24/'4. NPV'!SHN$8,0)</f>
        <v>-0.0</v>
      </c>
      <c r="SHN55" s="5">
        <f>-IFERROR('4. NPV'!SHO24/'4. NPV'!SHO$8,0)</f>
        <v>-0.0</v>
      </c>
      <c r="SHO55" s="5">
        <f>-IFERROR('4. NPV'!SHP24/'4. NPV'!SHP$8,0)</f>
        <v>-0.0</v>
      </c>
      <c r="SHP55" s="5">
        <f>-IFERROR('4. NPV'!SHQ24/'4. NPV'!SHQ$8,0)</f>
        <v>-0.0</v>
      </c>
      <c r="SHQ55" s="5">
        <f>-IFERROR('4. NPV'!SHR24/'4. NPV'!SHR$8,0)</f>
        <v>-0.0</v>
      </c>
      <c r="SHR55" s="5">
        <f>-IFERROR('4. NPV'!SHS24/'4. NPV'!SHS$8,0)</f>
        <v>-0.0</v>
      </c>
      <c r="SHS55" s="5">
        <f>-IFERROR('4. NPV'!SHT24/'4. NPV'!SHT$8,0)</f>
        <v>-0.0</v>
      </c>
      <c r="SHT55" s="5">
        <f>-IFERROR('4. NPV'!SHU24/'4. NPV'!SHU$8,0)</f>
        <v>-0.0</v>
      </c>
      <c r="SHU55" s="5">
        <f>-IFERROR('4. NPV'!SHV24/'4. NPV'!SHV$8,0)</f>
        <v>-0.0</v>
      </c>
      <c r="SHV55" s="5">
        <f>-IFERROR('4. NPV'!SHW24/'4. NPV'!SHW$8,0)</f>
        <v>-0.0</v>
      </c>
      <c r="SHW55" s="5">
        <f>-IFERROR('4. NPV'!SHX24/'4. NPV'!SHX$8,0)</f>
        <v>-0.0</v>
      </c>
      <c r="SHX55" s="5">
        <f>-IFERROR('4. NPV'!SHY24/'4. NPV'!SHY$8,0)</f>
        <v>-0.0</v>
      </c>
      <c r="SHY55" s="5">
        <f>-IFERROR('4. NPV'!SHZ24/'4. NPV'!SHZ$8,0)</f>
        <v>-0.0</v>
      </c>
      <c r="SHZ55" s="5">
        <f>-IFERROR('4. NPV'!SIA24/'4. NPV'!SIA$8,0)</f>
        <v>-0.0</v>
      </c>
      <c r="SIA55" s="5">
        <f>-IFERROR('4. NPV'!SIB24/'4. NPV'!SIB$8,0)</f>
        <v>-0.0</v>
      </c>
      <c r="SIB55" s="5">
        <f>-IFERROR('4. NPV'!SIC24/'4. NPV'!SIC$8,0)</f>
        <v>-0.0</v>
      </c>
      <c r="SIC55" s="5">
        <f>-IFERROR('4. NPV'!SID24/'4. NPV'!SID$8,0)</f>
        <v>-0.0</v>
      </c>
      <c r="SID55" s="5">
        <f>-IFERROR('4. NPV'!SIE24/'4. NPV'!SIE$8,0)</f>
        <v>-0.0</v>
      </c>
      <c r="SIE55" s="5">
        <f>-IFERROR('4. NPV'!SIF24/'4. NPV'!SIF$8,0)</f>
        <v>-0.0</v>
      </c>
      <c r="SIF55" s="5">
        <f>-IFERROR('4. NPV'!SIG24/'4. NPV'!SIG$8,0)</f>
        <v>-0.0</v>
      </c>
      <c r="SIG55" s="5">
        <f>-IFERROR('4. NPV'!SIH24/'4. NPV'!SIH$8,0)</f>
        <v>-0.0</v>
      </c>
      <c r="SIH55" s="5">
        <f>-IFERROR('4. NPV'!SII24/'4. NPV'!SII$8,0)</f>
        <v>-0.0</v>
      </c>
      <c r="SII55" s="5">
        <f>-IFERROR('4. NPV'!SIJ24/'4. NPV'!SIJ$8,0)</f>
        <v>-0.0</v>
      </c>
      <c r="SIJ55" s="5">
        <f>-IFERROR('4. NPV'!SIK24/'4. NPV'!SIK$8,0)</f>
        <v>-0.0</v>
      </c>
      <c r="SIK55" s="5">
        <f>-IFERROR('4. NPV'!SIL24/'4. NPV'!SIL$8,0)</f>
        <v>-0.0</v>
      </c>
      <c r="SIL55" s="5">
        <f>-IFERROR('4. NPV'!SIM24/'4. NPV'!SIM$8,0)</f>
        <v>-0.0</v>
      </c>
      <c r="SIM55" s="5">
        <f>-IFERROR('4. NPV'!SIN24/'4. NPV'!SIN$8,0)</f>
        <v>-0.0</v>
      </c>
      <c r="SIN55" s="5">
        <f>-IFERROR('4. NPV'!SIO24/'4. NPV'!SIO$8,0)</f>
        <v>-0.0</v>
      </c>
      <c r="SIO55" s="5">
        <f>-IFERROR('4. NPV'!SIP24/'4. NPV'!SIP$8,0)</f>
        <v>-0.0</v>
      </c>
      <c r="SIP55" s="5">
        <f>-IFERROR('4. NPV'!SIQ24/'4. NPV'!SIQ$8,0)</f>
        <v>-0.0</v>
      </c>
      <c r="SIQ55" s="5">
        <f>-IFERROR('4. NPV'!SIR24/'4. NPV'!SIR$8,0)</f>
        <v>-0.0</v>
      </c>
      <c r="SIR55" s="5">
        <f>-IFERROR('4. NPV'!SIS24/'4. NPV'!SIS$8,0)</f>
        <v>-0.0</v>
      </c>
      <c r="SIS55" s="5">
        <f>-IFERROR('4. NPV'!SIT24/'4. NPV'!SIT$8,0)</f>
        <v>-0.0</v>
      </c>
      <c r="SIT55" s="5">
        <f>-IFERROR('4. NPV'!SIU24/'4. NPV'!SIU$8,0)</f>
        <v>-0.0</v>
      </c>
      <c r="SIU55" s="5">
        <f>-IFERROR('4. NPV'!SIV24/'4. NPV'!SIV$8,0)</f>
        <v>-0.0</v>
      </c>
      <c r="SIV55" s="5">
        <f>-IFERROR('4. NPV'!SIW24/'4. NPV'!SIW$8,0)</f>
        <v>-0.0</v>
      </c>
      <c r="SIW55" s="5">
        <f>-IFERROR('4. NPV'!SIX24/'4. NPV'!SIX$8,0)</f>
        <v>-0.0</v>
      </c>
      <c r="SIX55" s="5">
        <f>-IFERROR('4. NPV'!SIY24/'4. NPV'!SIY$8,0)</f>
        <v>-0.0</v>
      </c>
      <c r="SIY55" s="5">
        <f>-IFERROR('4. NPV'!SIZ24/'4. NPV'!SIZ$8,0)</f>
        <v>-0.0</v>
      </c>
      <c r="SIZ55" s="5">
        <f>-IFERROR('4. NPV'!SJA24/'4. NPV'!SJA$8,0)</f>
        <v>-0.0</v>
      </c>
      <c r="SJA55" s="5">
        <f>-IFERROR('4. NPV'!SJB24/'4. NPV'!SJB$8,0)</f>
        <v>-0.0</v>
      </c>
      <c r="SJB55" s="5">
        <f>-IFERROR('4. NPV'!SJC24/'4. NPV'!SJC$8,0)</f>
        <v>-0.0</v>
      </c>
      <c r="SJC55" s="5">
        <f>-IFERROR('4. NPV'!SJD24/'4. NPV'!SJD$8,0)</f>
        <v>-0.0</v>
      </c>
      <c r="SJD55" s="5">
        <f>-IFERROR('4. NPV'!SJE24/'4. NPV'!SJE$8,0)</f>
        <v>-0.0</v>
      </c>
      <c r="SJE55" s="5">
        <f>-IFERROR('4. NPV'!SJF24/'4. NPV'!SJF$8,0)</f>
        <v>-0.0</v>
      </c>
      <c r="SJF55" s="5">
        <f>-IFERROR('4. NPV'!SJG24/'4. NPV'!SJG$8,0)</f>
        <v>-0.0</v>
      </c>
      <c r="SJG55" s="5">
        <f>-IFERROR('4. NPV'!SJH24/'4. NPV'!SJH$8,0)</f>
        <v>-0.0</v>
      </c>
      <c r="SJH55" s="5">
        <f>-IFERROR('4. NPV'!SJI24/'4. NPV'!SJI$8,0)</f>
        <v>-0.0</v>
      </c>
      <c r="SJI55" s="5">
        <f>-IFERROR('4. NPV'!SJJ24/'4. NPV'!SJJ$8,0)</f>
        <v>-0.0</v>
      </c>
      <c r="SJJ55" s="5">
        <f>-IFERROR('4. NPV'!SJK24/'4. NPV'!SJK$8,0)</f>
        <v>-0.0</v>
      </c>
      <c r="SJK55" s="5">
        <f>-IFERROR('4. NPV'!SJL24/'4. NPV'!SJL$8,0)</f>
        <v>-0.0</v>
      </c>
      <c r="SJL55" s="5">
        <f>-IFERROR('4. NPV'!SJM24/'4. NPV'!SJM$8,0)</f>
        <v>-0.0</v>
      </c>
      <c r="SJM55" s="5">
        <f>-IFERROR('4. NPV'!SJN24/'4. NPV'!SJN$8,0)</f>
        <v>-0.0</v>
      </c>
      <c r="SJN55" s="5">
        <f>-IFERROR('4. NPV'!SJO24/'4. NPV'!SJO$8,0)</f>
        <v>-0.0</v>
      </c>
      <c r="SJO55" s="5">
        <f>-IFERROR('4. NPV'!SJP24/'4. NPV'!SJP$8,0)</f>
        <v>-0.0</v>
      </c>
      <c r="SJP55" s="5">
        <f>-IFERROR('4. NPV'!SJQ24/'4. NPV'!SJQ$8,0)</f>
        <v>-0.0</v>
      </c>
      <c r="SJQ55" s="5">
        <f>-IFERROR('4. NPV'!SJR24/'4. NPV'!SJR$8,0)</f>
        <v>-0.0</v>
      </c>
      <c r="SJR55" s="5">
        <f>-IFERROR('4. NPV'!SJS24/'4. NPV'!SJS$8,0)</f>
        <v>-0.0</v>
      </c>
      <c r="SJS55" s="5">
        <f>-IFERROR('4. NPV'!SJT24/'4. NPV'!SJT$8,0)</f>
        <v>-0.0</v>
      </c>
      <c r="SJT55" s="5">
        <f>-IFERROR('4. NPV'!SJU24/'4. NPV'!SJU$8,0)</f>
        <v>-0.0</v>
      </c>
      <c r="SJU55" s="5">
        <f>-IFERROR('4. NPV'!SJV24/'4. NPV'!SJV$8,0)</f>
        <v>-0.0</v>
      </c>
      <c r="SJV55" s="5">
        <f>-IFERROR('4. NPV'!SJW24/'4. NPV'!SJW$8,0)</f>
        <v>-0.0</v>
      </c>
      <c r="SJW55" s="5">
        <f>-IFERROR('4. NPV'!SJX24/'4. NPV'!SJX$8,0)</f>
        <v>-0.0</v>
      </c>
      <c r="SJX55" s="5">
        <f>-IFERROR('4. NPV'!SJY24/'4. NPV'!SJY$8,0)</f>
        <v>-0.0</v>
      </c>
      <c r="SJY55" s="5">
        <f>-IFERROR('4. NPV'!SJZ24/'4. NPV'!SJZ$8,0)</f>
        <v>-0.0</v>
      </c>
      <c r="SJZ55" s="5">
        <f>-IFERROR('4. NPV'!SKA24/'4. NPV'!SKA$8,0)</f>
        <v>-0.0</v>
      </c>
      <c r="SKA55" s="5">
        <f>-IFERROR('4. NPV'!SKB24/'4. NPV'!SKB$8,0)</f>
        <v>-0.0</v>
      </c>
      <c r="SKB55" s="5">
        <f>-IFERROR('4. NPV'!SKC24/'4. NPV'!SKC$8,0)</f>
        <v>-0.0</v>
      </c>
      <c r="SKC55" s="5">
        <f>-IFERROR('4. NPV'!SKD24/'4. NPV'!SKD$8,0)</f>
        <v>-0.0</v>
      </c>
      <c r="SKD55" s="5">
        <f>-IFERROR('4. NPV'!SKE24/'4. NPV'!SKE$8,0)</f>
        <v>-0.0</v>
      </c>
      <c r="SKE55" s="5">
        <f>-IFERROR('4. NPV'!SKF24/'4. NPV'!SKF$8,0)</f>
        <v>-0.0</v>
      </c>
      <c r="SKF55" s="5">
        <f>-IFERROR('4. NPV'!SKG24/'4. NPV'!SKG$8,0)</f>
        <v>-0.0</v>
      </c>
      <c r="SKG55" s="5">
        <f>-IFERROR('4. NPV'!SKH24/'4. NPV'!SKH$8,0)</f>
        <v>-0.0</v>
      </c>
      <c r="SKH55" s="5">
        <f>-IFERROR('4. NPV'!SKI24/'4. NPV'!SKI$8,0)</f>
        <v>-0.0</v>
      </c>
      <c r="SKI55" s="5">
        <f>-IFERROR('4. NPV'!SKJ24/'4. NPV'!SKJ$8,0)</f>
        <v>-0.0</v>
      </c>
      <c r="SKJ55" s="5">
        <f>-IFERROR('4. NPV'!SKK24/'4. NPV'!SKK$8,0)</f>
        <v>-0.0</v>
      </c>
      <c r="SKK55" s="5">
        <f>-IFERROR('4. NPV'!SKL24/'4. NPV'!SKL$8,0)</f>
        <v>-0.0</v>
      </c>
      <c r="SKL55" s="5">
        <f>-IFERROR('4. NPV'!SKM24/'4. NPV'!SKM$8,0)</f>
        <v>-0.0</v>
      </c>
      <c r="SKM55" s="5">
        <f>-IFERROR('4. NPV'!SKN24/'4. NPV'!SKN$8,0)</f>
        <v>-0.0</v>
      </c>
      <c r="SKN55" s="5">
        <f>-IFERROR('4. NPV'!SKO24/'4. NPV'!SKO$8,0)</f>
        <v>-0.0</v>
      </c>
      <c r="SKO55" s="5">
        <f>-IFERROR('4. NPV'!SKP24/'4. NPV'!SKP$8,0)</f>
        <v>-0.0</v>
      </c>
      <c r="SKP55" s="5">
        <f>-IFERROR('4. NPV'!SKQ24/'4. NPV'!SKQ$8,0)</f>
        <v>-0.0</v>
      </c>
      <c r="SKQ55" s="5">
        <f>-IFERROR('4. NPV'!SKR24/'4. NPV'!SKR$8,0)</f>
        <v>-0.0</v>
      </c>
      <c r="SKR55" s="5">
        <f>-IFERROR('4. NPV'!SKS24/'4. NPV'!SKS$8,0)</f>
        <v>-0.0</v>
      </c>
      <c r="SKS55" s="5">
        <f>-IFERROR('4. NPV'!SKT24/'4. NPV'!SKT$8,0)</f>
        <v>-0.0</v>
      </c>
      <c r="SKT55" s="5">
        <f>-IFERROR('4. NPV'!SKU24/'4. NPV'!SKU$8,0)</f>
        <v>-0.0</v>
      </c>
      <c r="SKU55" s="5">
        <f>-IFERROR('4. NPV'!SKV24/'4. NPV'!SKV$8,0)</f>
        <v>-0.0</v>
      </c>
      <c r="SKV55" s="5">
        <f>-IFERROR('4. NPV'!SKW24/'4. NPV'!SKW$8,0)</f>
        <v>-0.0</v>
      </c>
      <c r="SKW55" s="5">
        <f>-IFERROR('4. NPV'!SKX24/'4. NPV'!SKX$8,0)</f>
        <v>-0.0</v>
      </c>
      <c r="SKX55" s="5">
        <f>-IFERROR('4. NPV'!SKY24/'4. NPV'!SKY$8,0)</f>
        <v>-0.0</v>
      </c>
      <c r="SKY55" s="5">
        <f>-IFERROR('4. NPV'!SKZ24/'4. NPV'!SKZ$8,0)</f>
        <v>-0.0</v>
      </c>
      <c r="SKZ55" s="5">
        <f>-IFERROR('4. NPV'!SLA24/'4. NPV'!SLA$8,0)</f>
        <v>-0.0</v>
      </c>
      <c r="SLA55" s="5">
        <f>-IFERROR('4. NPV'!SLB24/'4. NPV'!SLB$8,0)</f>
        <v>-0.0</v>
      </c>
      <c r="SLB55" s="5">
        <f>-IFERROR('4. NPV'!SLC24/'4. NPV'!SLC$8,0)</f>
        <v>-0.0</v>
      </c>
      <c r="SLC55" s="5">
        <f>-IFERROR('4. NPV'!SLD24/'4. NPV'!SLD$8,0)</f>
        <v>-0.0</v>
      </c>
      <c r="SLD55" s="5">
        <f>-IFERROR('4. NPV'!SLE24/'4. NPV'!SLE$8,0)</f>
        <v>-0.0</v>
      </c>
      <c r="SLE55" s="5">
        <f>-IFERROR('4. NPV'!SLF24/'4. NPV'!SLF$8,0)</f>
        <v>-0.0</v>
      </c>
      <c r="SLF55" s="5">
        <f>-IFERROR('4. NPV'!SLG24/'4. NPV'!SLG$8,0)</f>
        <v>-0.0</v>
      </c>
      <c r="SLG55" s="5">
        <f>-IFERROR('4. NPV'!SLH24/'4. NPV'!SLH$8,0)</f>
        <v>-0.0</v>
      </c>
      <c r="SLH55" s="5">
        <f>-IFERROR('4. NPV'!SLI24/'4. NPV'!SLI$8,0)</f>
        <v>-0.0</v>
      </c>
      <c r="SLI55" s="5">
        <f>-IFERROR('4. NPV'!SLJ24/'4. NPV'!SLJ$8,0)</f>
        <v>-0.0</v>
      </c>
      <c r="SLJ55" s="5">
        <f>-IFERROR('4. NPV'!SLK24/'4. NPV'!SLK$8,0)</f>
        <v>-0.0</v>
      </c>
      <c r="SLK55" s="5">
        <f>-IFERROR('4. NPV'!SLL24/'4. NPV'!SLL$8,0)</f>
        <v>-0.0</v>
      </c>
      <c r="SLL55" s="5">
        <f>-IFERROR('4. NPV'!SLM24/'4. NPV'!SLM$8,0)</f>
        <v>-0.0</v>
      </c>
      <c r="SLM55" s="5">
        <f>-IFERROR('4. NPV'!SLN24/'4. NPV'!SLN$8,0)</f>
        <v>-0.0</v>
      </c>
      <c r="SLN55" s="5">
        <f>-IFERROR('4. NPV'!SLO24/'4. NPV'!SLO$8,0)</f>
        <v>-0.0</v>
      </c>
      <c r="SLO55" s="5">
        <f>-IFERROR('4. NPV'!SLP24/'4. NPV'!SLP$8,0)</f>
        <v>-0.0</v>
      </c>
      <c r="SLP55" s="5">
        <f>-IFERROR('4. NPV'!SLQ24/'4. NPV'!SLQ$8,0)</f>
        <v>-0.0</v>
      </c>
      <c r="SLQ55" s="5">
        <f>-IFERROR('4. NPV'!SLR24/'4. NPV'!SLR$8,0)</f>
        <v>-0.0</v>
      </c>
      <c r="SLR55" s="5">
        <f>-IFERROR('4. NPV'!SLS24/'4. NPV'!SLS$8,0)</f>
        <v>-0.0</v>
      </c>
      <c r="SLS55" s="5">
        <f>-IFERROR('4. NPV'!SLT24/'4. NPV'!SLT$8,0)</f>
        <v>-0.0</v>
      </c>
      <c r="SLT55" s="5">
        <f>-IFERROR('4. NPV'!SLU24/'4. NPV'!SLU$8,0)</f>
        <v>-0.0</v>
      </c>
      <c r="SLU55" s="5">
        <f>-IFERROR('4. NPV'!SLV24/'4. NPV'!SLV$8,0)</f>
        <v>-0.0</v>
      </c>
      <c r="SLV55" s="5">
        <f>-IFERROR('4. NPV'!SLW24/'4. NPV'!SLW$8,0)</f>
        <v>-0.0</v>
      </c>
      <c r="SLW55" s="5">
        <f>-IFERROR('4. NPV'!SLX24/'4. NPV'!SLX$8,0)</f>
        <v>-0.0</v>
      </c>
      <c r="SLX55" s="5">
        <f>-IFERROR('4. NPV'!SLY24/'4. NPV'!SLY$8,0)</f>
        <v>-0.0</v>
      </c>
      <c r="SLY55" s="5">
        <f>-IFERROR('4. NPV'!SLZ24/'4. NPV'!SLZ$8,0)</f>
        <v>-0.0</v>
      </c>
      <c r="SLZ55" s="5">
        <f>-IFERROR('4. NPV'!SMA24/'4. NPV'!SMA$8,0)</f>
        <v>-0.0</v>
      </c>
      <c r="SMA55" s="5">
        <f>-IFERROR('4. NPV'!SMB24/'4. NPV'!SMB$8,0)</f>
        <v>-0.0</v>
      </c>
      <c r="SMB55" s="5">
        <f>-IFERROR('4. NPV'!SMC24/'4. NPV'!SMC$8,0)</f>
        <v>-0.0</v>
      </c>
      <c r="SMC55" s="5">
        <f>-IFERROR('4. NPV'!SMD24/'4. NPV'!SMD$8,0)</f>
        <v>-0.0</v>
      </c>
      <c r="SMD55" s="5">
        <f>-IFERROR('4. NPV'!SME24/'4. NPV'!SME$8,0)</f>
        <v>-0.0</v>
      </c>
      <c r="SME55" s="5">
        <f>-IFERROR('4. NPV'!SMF24/'4. NPV'!SMF$8,0)</f>
        <v>-0.0</v>
      </c>
      <c r="SMF55" s="5">
        <f>-IFERROR('4. NPV'!SMG24/'4. NPV'!SMG$8,0)</f>
        <v>-0.0</v>
      </c>
      <c r="SMG55" s="5">
        <f>-IFERROR('4. NPV'!SMH24/'4. NPV'!SMH$8,0)</f>
        <v>-0.0</v>
      </c>
      <c r="SMH55" s="5">
        <f>-IFERROR('4. NPV'!SMI24/'4. NPV'!SMI$8,0)</f>
        <v>-0.0</v>
      </c>
      <c r="SMI55" s="5">
        <f>-IFERROR('4. NPV'!SMJ24/'4. NPV'!SMJ$8,0)</f>
        <v>-0.0</v>
      </c>
      <c r="SMJ55" s="5">
        <f>-IFERROR('4. NPV'!SMK24/'4. NPV'!SMK$8,0)</f>
        <v>-0.0</v>
      </c>
      <c r="SMK55" s="5">
        <f>-IFERROR('4. NPV'!SML24/'4. NPV'!SML$8,0)</f>
        <v>-0.0</v>
      </c>
      <c r="SML55" s="5">
        <f>-IFERROR('4. NPV'!SMM24/'4. NPV'!SMM$8,0)</f>
        <v>-0.0</v>
      </c>
      <c r="SMM55" s="5">
        <f>-IFERROR('4. NPV'!SMN24/'4. NPV'!SMN$8,0)</f>
        <v>-0.0</v>
      </c>
      <c r="SMN55" s="5">
        <f>-IFERROR('4. NPV'!SMO24/'4. NPV'!SMO$8,0)</f>
        <v>-0.0</v>
      </c>
      <c r="SMO55" s="5">
        <f>-IFERROR('4. NPV'!SMP24/'4. NPV'!SMP$8,0)</f>
        <v>-0.0</v>
      </c>
      <c r="SMP55" s="5">
        <f>-IFERROR('4. NPV'!SMQ24/'4. NPV'!SMQ$8,0)</f>
        <v>-0.0</v>
      </c>
      <c r="SMQ55" s="5">
        <f>-IFERROR('4. NPV'!SMR24/'4. NPV'!SMR$8,0)</f>
        <v>-0.0</v>
      </c>
      <c r="SMR55" s="5">
        <f>-IFERROR('4. NPV'!SMS24/'4. NPV'!SMS$8,0)</f>
        <v>-0.0</v>
      </c>
      <c r="SMS55" s="5">
        <f>-IFERROR('4. NPV'!SMT24/'4. NPV'!SMT$8,0)</f>
        <v>-0.0</v>
      </c>
      <c r="SMT55" s="5">
        <f>-IFERROR('4. NPV'!SMU24/'4. NPV'!SMU$8,0)</f>
        <v>-0.0</v>
      </c>
      <c r="SMU55" s="5">
        <f>-IFERROR('4. NPV'!SMV24/'4. NPV'!SMV$8,0)</f>
        <v>-0.0</v>
      </c>
      <c r="SMV55" s="5">
        <f>-IFERROR('4. NPV'!SMW24/'4. NPV'!SMW$8,0)</f>
        <v>-0.0</v>
      </c>
      <c r="SMW55" s="5">
        <f>-IFERROR('4. NPV'!SMX24/'4. NPV'!SMX$8,0)</f>
        <v>-0.0</v>
      </c>
      <c r="SMX55" s="5">
        <f>-IFERROR('4. NPV'!SMY24/'4. NPV'!SMY$8,0)</f>
        <v>-0.0</v>
      </c>
      <c r="SMY55" s="5">
        <f>-IFERROR('4. NPV'!SMZ24/'4. NPV'!SMZ$8,0)</f>
        <v>-0.0</v>
      </c>
      <c r="SMZ55" s="5">
        <f>-IFERROR('4. NPV'!SNA24/'4. NPV'!SNA$8,0)</f>
        <v>-0.0</v>
      </c>
      <c r="SNA55" s="5">
        <f>-IFERROR('4. NPV'!SNB24/'4. NPV'!SNB$8,0)</f>
        <v>-0.0</v>
      </c>
      <c r="SNB55" s="5">
        <f>-IFERROR('4. NPV'!SNC24/'4. NPV'!SNC$8,0)</f>
        <v>-0.0</v>
      </c>
      <c r="SNC55" s="5">
        <f>-IFERROR('4. NPV'!SND24/'4. NPV'!SND$8,0)</f>
        <v>-0.0</v>
      </c>
      <c r="SND55" s="5">
        <f>-IFERROR('4. NPV'!SNE24/'4. NPV'!SNE$8,0)</f>
        <v>-0.0</v>
      </c>
      <c r="SNE55" s="5">
        <f>-IFERROR('4. NPV'!SNF24/'4. NPV'!SNF$8,0)</f>
        <v>-0.0</v>
      </c>
      <c r="SNF55" s="5">
        <f>-IFERROR('4. NPV'!SNG24/'4. NPV'!SNG$8,0)</f>
        <v>-0.0</v>
      </c>
      <c r="SNG55" s="5">
        <f>-IFERROR('4. NPV'!SNH24/'4. NPV'!SNH$8,0)</f>
        <v>-0.0</v>
      </c>
      <c r="SNH55" s="5">
        <f>-IFERROR('4. NPV'!SNI24/'4. NPV'!SNI$8,0)</f>
        <v>-0.0</v>
      </c>
      <c r="SNI55" s="5">
        <f>-IFERROR('4. NPV'!SNJ24/'4. NPV'!SNJ$8,0)</f>
        <v>-0.0</v>
      </c>
      <c r="SNJ55" s="5">
        <f>-IFERROR('4. NPV'!SNK24/'4. NPV'!SNK$8,0)</f>
        <v>-0.0</v>
      </c>
      <c r="SNK55" s="5">
        <f>-IFERROR('4. NPV'!SNL24/'4. NPV'!SNL$8,0)</f>
        <v>-0.0</v>
      </c>
      <c r="SNL55" s="5">
        <f>-IFERROR('4. NPV'!SNM24/'4. NPV'!SNM$8,0)</f>
        <v>-0.0</v>
      </c>
      <c r="SNM55" s="5">
        <f>-IFERROR('4. NPV'!SNN24/'4. NPV'!SNN$8,0)</f>
        <v>-0.0</v>
      </c>
      <c r="SNN55" s="5">
        <f>-IFERROR('4. NPV'!SNO24/'4. NPV'!SNO$8,0)</f>
        <v>-0.0</v>
      </c>
      <c r="SNO55" s="5">
        <f>-IFERROR('4. NPV'!SNP24/'4. NPV'!SNP$8,0)</f>
        <v>-0.0</v>
      </c>
      <c r="SNP55" s="5">
        <f>-IFERROR('4. NPV'!SNQ24/'4. NPV'!SNQ$8,0)</f>
        <v>-0.0</v>
      </c>
      <c r="SNQ55" s="5">
        <f>-IFERROR('4. NPV'!SNR24/'4. NPV'!SNR$8,0)</f>
        <v>-0.0</v>
      </c>
      <c r="SNR55" s="5">
        <f>-IFERROR('4. NPV'!SNS24/'4. NPV'!SNS$8,0)</f>
        <v>-0.0</v>
      </c>
      <c r="SNS55" s="5">
        <f>-IFERROR('4. NPV'!SNT24/'4. NPV'!SNT$8,0)</f>
        <v>-0.0</v>
      </c>
      <c r="SNT55" s="5">
        <f>-IFERROR('4. NPV'!SNU24/'4. NPV'!SNU$8,0)</f>
        <v>-0.0</v>
      </c>
      <c r="SNU55" s="5">
        <f>-IFERROR('4. NPV'!SNV24/'4. NPV'!SNV$8,0)</f>
        <v>-0.0</v>
      </c>
      <c r="SNV55" s="5">
        <f>-IFERROR('4. NPV'!SNW24/'4. NPV'!SNW$8,0)</f>
        <v>-0.0</v>
      </c>
      <c r="SNW55" s="5">
        <f>-IFERROR('4. NPV'!SNX24/'4. NPV'!SNX$8,0)</f>
        <v>-0.0</v>
      </c>
      <c r="SNX55" s="5">
        <f>-IFERROR('4. NPV'!SNY24/'4. NPV'!SNY$8,0)</f>
        <v>-0.0</v>
      </c>
      <c r="SNY55" s="5">
        <f>-IFERROR('4. NPV'!SNZ24/'4. NPV'!SNZ$8,0)</f>
        <v>-0.0</v>
      </c>
      <c r="SNZ55" s="5">
        <f>-IFERROR('4. NPV'!SOA24/'4. NPV'!SOA$8,0)</f>
        <v>-0.0</v>
      </c>
      <c r="SOA55" s="5">
        <f>-IFERROR('4. NPV'!SOB24/'4. NPV'!SOB$8,0)</f>
        <v>-0.0</v>
      </c>
      <c r="SOB55" s="5">
        <f>-IFERROR('4. NPV'!SOC24/'4. NPV'!SOC$8,0)</f>
        <v>-0.0</v>
      </c>
      <c r="SOC55" s="5">
        <f>-IFERROR('4. NPV'!SOD24/'4. NPV'!SOD$8,0)</f>
        <v>-0.0</v>
      </c>
      <c r="SOD55" s="5">
        <f>-IFERROR('4. NPV'!SOE24/'4. NPV'!SOE$8,0)</f>
        <v>-0.0</v>
      </c>
      <c r="SOE55" s="5">
        <f>-IFERROR('4. NPV'!SOF24/'4. NPV'!SOF$8,0)</f>
        <v>-0.0</v>
      </c>
      <c r="SOF55" s="5">
        <f>-IFERROR('4. NPV'!SOG24/'4. NPV'!SOG$8,0)</f>
        <v>-0.0</v>
      </c>
      <c r="SOG55" s="5">
        <f>-IFERROR('4. NPV'!SOH24/'4. NPV'!SOH$8,0)</f>
        <v>-0.0</v>
      </c>
      <c r="SOH55" s="5">
        <f>-IFERROR('4. NPV'!SOI24/'4. NPV'!SOI$8,0)</f>
        <v>-0.0</v>
      </c>
      <c r="SOI55" s="5">
        <f>-IFERROR('4. NPV'!SOJ24/'4. NPV'!SOJ$8,0)</f>
        <v>-0.0</v>
      </c>
      <c r="SOJ55" s="5">
        <f>-IFERROR('4. NPV'!SOK24/'4. NPV'!SOK$8,0)</f>
        <v>-0.0</v>
      </c>
      <c r="SOK55" s="5">
        <f>-IFERROR('4. NPV'!SOL24/'4. NPV'!SOL$8,0)</f>
        <v>-0.0</v>
      </c>
      <c r="SOL55" s="5">
        <f>-IFERROR('4. NPV'!SOM24/'4. NPV'!SOM$8,0)</f>
        <v>-0.0</v>
      </c>
      <c r="SOM55" s="5">
        <f>-IFERROR('4. NPV'!SON24/'4. NPV'!SON$8,0)</f>
        <v>-0.0</v>
      </c>
      <c r="SON55" s="5">
        <f>-IFERROR('4. NPV'!SOO24/'4. NPV'!SOO$8,0)</f>
        <v>-0.0</v>
      </c>
      <c r="SOO55" s="5">
        <f>-IFERROR('4. NPV'!SOP24/'4. NPV'!SOP$8,0)</f>
        <v>-0.0</v>
      </c>
      <c r="SOP55" s="5">
        <f>-IFERROR('4. NPV'!SOQ24/'4. NPV'!SOQ$8,0)</f>
        <v>-0.0</v>
      </c>
      <c r="SOQ55" s="5">
        <f>-IFERROR('4. NPV'!SOR24/'4. NPV'!SOR$8,0)</f>
        <v>-0.0</v>
      </c>
      <c r="SOR55" s="5">
        <f>-IFERROR('4. NPV'!SOS24/'4. NPV'!SOS$8,0)</f>
        <v>-0.0</v>
      </c>
      <c r="SOS55" s="5">
        <f>-IFERROR('4. NPV'!SOT24/'4. NPV'!SOT$8,0)</f>
        <v>-0.0</v>
      </c>
      <c r="SOT55" s="5">
        <f>-IFERROR('4. NPV'!SOU24/'4. NPV'!SOU$8,0)</f>
        <v>-0.0</v>
      </c>
      <c r="SOU55" s="5">
        <f>-IFERROR('4. NPV'!SOV24/'4. NPV'!SOV$8,0)</f>
        <v>-0.0</v>
      </c>
      <c r="SOV55" s="5">
        <f>-IFERROR('4. NPV'!SOW24/'4. NPV'!SOW$8,0)</f>
        <v>-0.0</v>
      </c>
      <c r="SOW55" s="5">
        <f>-IFERROR('4. NPV'!SOX24/'4. NPV'!SOX$8,0)</f>
        <v>-0.0</v>
      </c>
      <c r="SOX55" s="5">
        <f>-IFERROR('4. NPV'!SOY24/'4. NPV'!SOY$8,0)</f>
        <v>-0.0</v>
      </c>
      <c r="SOY55" s="5">
        <f>-IFERROR('4. NPV'!SOZ24/'4. NPV'!SOZ$8,0)</f>
        <v>-0.0</v>
      </c>
      <c r="SOZ55" s="5">
        <f>-IFERROR('4. NPV'!SPA24/'4. NPV'!SPA$8,0)</f>
        <v>-0.0</v>
      </c>
      <c r="SPA55" s="5">
        <f>-IFERROR('4. NPV'!SPB24/'4. NPV'!SPB$8,0)</f>
        <v>-0.0</v>
      </c>
      <c r="SPB55" s="5">
        <f>-IFERROR('4. NPV'!SPC24/'4. NPV'!SPC$8,0)</f>
        <v>-0.0</v>
      </c>
      <c r="SPC55" s="5">
        <f>-IFERROR('4. NPV'!SPD24/'4. NPV'!SPD$8,0)</f>
        <v>-0.0</v>
      </c>
      <c r="SPD55" s="5">
        <f>-IFERROR('4. NPV'!SPE24/'4. NPV'!SPE$8,0)</f>
        <v>-0.0</v>
      </c>
      <c r="SPE55" s="5">
        <f>-IFERROR('4. NPV'!SPF24/'4. NPV'!SPF$8,0)</f>
        <v>-0.0</v>
      </c>
      <c r="SPF55" s="5">
        <f>-IFERROR('4. NPV'!SPG24/'4. NPV'!SPG$8,0)</f>
        <v>-0.0</v>
      </c>
      <c r="SPG55" s="5">
        <f>-IFERROR('4. NPV'!SPH24/'4. NPV'!SPH$8,0)</f>
        <v>-0.0</v>
      </c>
      <c r="SPH55" s="5">
        <f>-IFERROR('4. NPV'!SPI24/'4. NPV'!SPI$8,0)</f>
        <v>-0.0</v>
      </c>
      <c r="SPI55" s="5">
        <f>-IFERROR('4. NPV'!SPJ24/'4. NPV'!SPJ$8,0)</f>
        <v>-0.0</v>
      </c>
      <c r="SPJ55" s="5">
        <f>-IFERROR('4. NPV'!SPK24/'4. NPV'!SPK$8,0)</f>
        <v>-0.0</v>
      </c>
      <c r="SPK55" s="5">
        <f>-IFERROR('4. NPV'!SPL24/'4. NPV'!SPL$8,0)</f>
        <v>-0.0</v>
      </c>
      <c r="SPL55" s="5">
        <f>-IFERROR('4. NPV'!SPM24/'4. NPV'!SPM$8,0)</f>
        <v>-0.0</v>
      </c>
      <c r="SPM55" s="5">
        <f>-IFERROR('4. NPV'!SPN24/'4. NPV'!SPN$8,0)</f>
        <v>-0.0</v>
      </c>
      <c r="SPN55" s="5">
        <f>-IFERROR('4. NPV'!SPO24/'4. NPV'!SPO$8,0)</f>
        <v>-0.0</v>
      </c>
      <c r="SPO55" s="5">
        <f>-IFERROR('4. NPV'!SPP24/'4. NPV'!SPP$8,0)</f>
        <v>-0.0</v>
      </c>
      <c r="SPP55" s="5">
        <f>-IFERROR('4. NPV'!SPQ24/'4. NPV'!SPQ$8,0)</f>
        <v>-0.0</v>
      </c>
      <c r="SPQ55" s="5">
        <f>-IFERROR('4. NPV'!SPR24/'4. NPV'!SPR$8,0)</f>
        <v>-0.0</v>
      </c>
      <c r="SPR55" s="5">
        <f>-IFERROR('4. NPV'!SPS24/'4. NPV'!SPS$8,0)</f>
        <v>-0.0</v>
      </c>
      <c r="SPS55" s="5">
        <f>-IFERROR('4. NPV'!SPT24/'4. NPV'!SPT$8,0)</f>
        <v>-0.0</v>
      </c>
      <c r="SPT55" s="5">
        <f>-IFERROR('4. NPV'!SPU24/'4. NPV'!SPU$8,0)</f>
        <v>-0.0</v>
      </c>
      <c r="SPU55" s="5">
        <f>-IFERROR('4. NPV'!SPV24/'4. NPV'!SPV$8,0)</f>
        <v>-0.0</v>
      </c>
      <c r="SPV55" s="5">
        <f>-IFERROR('4. NPV'!SPW24/'4. NPV'!SPW$8,0)</f>
        <v>-0.0</v>
      </c>
      <c r="SPW55" s="5">
        <f>-IFERROR('4. NPV'!SPX24/'4. NPV'!SPX$8,0)</f>
        <v>-0.0</v>
      </c>
      <c r="SPX55" s="5">
        <f>-IFERROR('4. NPV'!SPY24/'4. NPV'!SPY$8,0)</f>
        <v>-0.0</v>
      </c>
      <c r="SPY55" s="5">
        <f>-IFERROR('4. NPV'!SPZ24/'4. NPV'!SPZ$8,0)</f>
        <v>-0.0</v>
      </c>
      <c r="SPZ55" s="5">
        <f>-IFERROR('4. NPV'!SQA24/'4. NPV'!SQA$8,0)</f>
        <v>-0.0</v>
      </c>
      <c r="SQA55" s="5">
        <f>-IFERROR('4. NPV'!SQB24/'4. NPV'!SQB$8,0)</f>
        <v>-0.0</v>
      </c>
      <c r="SQB55" s="5">
        <f>-IFERROR('4. NPV'!SQC24/'4. NPV'!SQC$8,0)</f>
        <v>-0.0</v>
      </c>
      <c r="SQC55" s="5">
        <f>-IFERROR('4. NPV'!SQD24/'4. NPV'!SQD$8,0)</f>
        <v>-0.0</v>
      </c>
      <c r="SQD55" s="5">
        <f>-IFERROR('4. NPV'!SQE24/'4. NPV'!SQE$8,0)</f>
        <v>-0.0</v>
      </c>
      <c r="SQE55" s="5">
        <f>-IFERROR('4. NPV'!SQF24/'4. NPV'!SQF$8,0)</f>
        <v>-0.0</v>
      </c>
      <c r="SQF55" s="5">
        <f>-IFERROR('4. NPV'!SQG24/'4. NPV'!SQG$8,0)</f>
        <v>-0.0</v>
      </c>
      <c r="SQG55" s="5">
        <f>-IFERROR('4. NPV'!SQH24/'4. NPV'!SQH$8,0)</f>
        <v>-0.0</v>
      </c>
      <c r="SQH55" s="5">
        <f>-IFERROR('4. NPV'!SQI24/'4. NPV'!SQI$8,0)</f>
        <v>-0.0</v>
      </c>
      <c r="SQI55" s="5">
        <f>-IFERROR('4. NPV'!SQJ24/'4. NPV'!SQJ$8,0)</f>
        <v>-0.0</v>
      </c>
      <c r="SQJ55" s="5">
        <f>-IFERROR('4. NPV'!SQK24/'4. NPV'!SQK$8,0)</f>
        <v>-0.0</v>
      </c>
      <c r="SQK55" s="5">
        <f>-IFERROR('4. NPV'!SQL24/'4. NPV'!SQL$8,0)</f>
        <v>-0.0</v>
      </c>
      <c r="SQL55" s="5">
        <f>-IFERROR('4. NPV'!SQM24/'4. NPV'!SQM$8,0)</f>
        <v>-0.0</v>
      </c>
      <c r="SQM55" s="5">
        <f>-IFERROR('4. NPV'!SQN24/'4. NPV'!SQN$8,0)</f>
        <v>-0.0</v>
      </c>
      <c r="SQN55" s="5">
        <f>-IFERROR('4. NPV'!SQO24/'4. NPV'!SQO$8,0)</f>
        <v>-0.0</v>
      </c>
      <c r="SQO55" s="5">
        <f>-IFERROR('4. NPV'!SQP24/'4. NPV'!SQP$8,0)</f>
        <v>-0.0</v>
      </c>
      <c r="SQP55" s="5">
        <f>-IFERROR('4. NPV'!SQQ24/'4. NPV'!SQQ$8,0)</f>
        <v>-0.0</v>
      </c>
      <c r="SQQ55" s="5">
        <f>-IFERROR('4. NPV'!SQR24/'4. NPV'!SQR$8,0)</f>
        <v>-0.0</v>
      </c>
      <c r="SQR55" s="5">
        <f>-IFERROR('4. NPV'!SQS24/'4. NPV'!SQS$8,0)</f>
        <v>-0.0</v>
      </c>
      <c r="SQS55" s="5">
        <f>-IFERROR('4. NPV'!SQT24/'4. NPV'!SQT$8,0)</f>
        <v>-0.0</v>
      </c>
      <c r="SQT55" s="5">
        <f>-IFERROR('4. NPV'!SQU24/'4. NPV'!SQU$8,0)</f>
        <v>-0.0</v>
      </c>
      <c r="SQU55" s="5">
        <f>-IFERROR('4. NPV'!SQV24/'4. NPV'!SQV$8,0)</f>
        <v>-0.0</v>
      </c>
      <c r="SQV55" s="5">
        <f>-IFERROR('4. NPV'!SQW24/'4. NPV'!SQW$8,0)</f>
        <v>-0.0</v>
      </c>
      <c r="SQW55" s="5">
        <f>-IFERROR('4. NPV'!SQX24/'4. NPV'!SQX$8,0)</f>
        <v>-0.0</v>
      </c>
      <c r="SQX55" s="5">
        <f>-IFERROR('4. NPV'!SQY24/'4. NPV'!SQY$8,0)</f>
        <v>-0.0</v>
      </c>
      <c r="SQY55" s="5">
        <f>-IFERROR('4. NPV'!SQZ24/'4. NPV'!SQZ$8,0)</f>
        <v>-0.0</v>
      </c>
      <c r="SQZ55" s="5">
        <f>-IFERROR('4. NPV'!SRA24/'4. NPV'!SRA$8,0)</f>
        <v>-0.0</v>
      </c>
      <c r="SRA55" s="5">
        <f>-IFERROR('4. NPV'!SRB24/'4. NPV'!SRB$8,0)</f>
        <v>-0.0</v>
      </c>
      <c r="SRB55" s="5">
        <f>-IFERROR('4. NPV'!SRC24/'4. NPV'!SRC$8,0)</f>
        <v>-0.0</v>
      </c>
      <c r="SRC55" s="5">
        <f>-IFERROR('4. NPV'!SRD24/'4. NPV'!SRD$8,0)</f>
        <v>-0.0</v>
      </c>
      <c r="SRD55" s="5">
        <f>-IFERROR('4. NPV'!SRE24/'4. NPV'!SRE$8,0)</f>
        <v>-0.0</v>
      </c>
      <c r="SRE55" s="5">
        <f>-IFERROR('4. NPV'!SRF24/'4. NPV'!SRF$8,0)</f>
        <v>-0.0</v>
      </c>
      <c r="SRF55" s="5">
        <f>-IFERROR('4. NPV'!SRG24/'4. NPV'!SRG$8,0)</f>
        <v>-0.0</v>
      </c>
      <c r="SRG55" s="5">
        <f>-IFERROR('4. NPV'!SRH24/'4. NPV'!SRH$8,0)</f>
        <v>-0.0</v>
      </c>
      <c r="SRH55" s="5">
        <f>-IFERROR('4. NPV'!SRI24/'4. NPV'!SRI$8,0)</f>
        <v>-0.0</v>
      </c>
      <c r="SRI55" s="5">
        <f>-IFERROR('4. NPV'!SRJ24/'4. NPV'!SRJ$8,0)</f>
        <v>-0.0</v>
      </c>
      <c r="SRJ55" s="5">
        <f>-IFERROR('4. NPV'!SRK24/'4. NPV'!SRK$8,0)</f>
        <v>-0.0</v>
      </c>
      <c r="SRK55" s="5">
        <f>-IFERROR('4. NPV'!SRL24/'4. NPV'!SRL$8,0)</f>
        <v>-0.0</v>
      </c>
      <c r="SRL55" s="5">
        <f>-IFERROR('4. NPV'!SRM24/'4. NPV'!SRM$8,0)</f>
        <v>-0.0</v>
      </c>
      <c r="SRM55" s="5">
        <f>-IFERROR('4. NPV'!SRN24/'4. NPV'!SRN$8,0)</f>
        <v>-0.0</v>
      </c>
      <c r="SRN55" s="5">
        <f>-IFERROR('4. NPV'!SRO24/'4. NPV'!SRO$8,0)</f>
        <v>-0.0</v>
      </c>
      <c r="SRO55" s="5">
        <f>-IFERROR('4. NPV'!SRP24/'4. NPV'!SRP$8,0)</f>
        <v>-0.0</v>
      </c>
      <c r="SRP55" s="5">
        <f>-IFERROR('4. NPV'!SRQ24/'4. NPV'!SRQ$8,0)</f>
        <v>-0.0</v>
      </c>
      <c r="SRQ55" s="5">
        <f>-IFERROR('4. NPV'!SRR24/'4. NPV'!SRR$8,0)</f>
        <v>-0.0</v>
      </c>
      <c r="SRR55" s="5">
        <f>-IFERROR('4. NPV'!SRS24/'4. NPV'!SRS$8,0)</f>
        <v>-0.0</v>
      </c>
      <c r="SRS55" s="5">
        <f>-IFERROR('4. NPV'!SRT24/'4. NPV'!SRT$8,0)</f>
        <v>-0.0</v>
      </c>
      <c r="SRT55" s="5">
        <f>-IFERROR('4. NPV'!SRU24/'4. NPV'!SRU$8,0)</f>
        <v>-0.0</v>
      </c>
      <c r="SRU55" s="5">
        <f>-IFERROR('4. NPV'!SRV24/'4. NPV'!SRV$8,0)</f>
        <v>-0.0</v>
      </c>
      <c r="SRV55" s="5">
        <f>-IFERROR('4. NPV'!SRW24/'4. NPV'!SRW$8,0)</f>
        <v>-0.0</v>
      </c>
      <c r="SRW55" s="5">
        <f>-IFERROR('4. NPV'!SRX24/'4. NPV'!SRX$8,0)</f>
        <v>-0.0</v>
      </c>
      <c r="SRX55" s="5">
        <f>-IFERROR('4. NPV'!SRY24/'4. NPV'!SRY$8,0)</f>
        <v>-0.0</v>
      </c>
      <c r="SRY55" s="5">
        <f>-IFERROR('4. NPV'!SRZ24/'4. NPV'!SRZ$8,0)</f>
        <v>-0.0</v>
      </c>
      <c r="SRZ55" s="5">
        <f>-IFERROR('4. NPV'!SSA24/'4. NPV'!SSA$8,0)</f>
        <v>-0.0</v>
      </c>
      <c r="SSA55" s="5">
        <f>-IFERROR('4. NPV'!SSB24/'4. NPV'!SSB$8,0)</f>
        <v>-0.0</v>
      </c>
      <c r="SSB55" s="5">
        <f>-IFERROR('4. NPV'!SSC24/'4. NPV'!SSC$8,0)</f>
        <v>-0.0</v>
      </c>
      <c r="SSC55" s="5">
        <f>-IFERROR('4. NPV'!SSD24/'4. NPV'!SSD$8,0)</f>
        <v>-0.0</v>
      </c>
      <c r="SSD55" s="5">
        <f>-IFERROR('4. NPV'!SSE24/'4. NPV'!SSE$8,0)</f>
        <v>-0.0</v>
      </c>
      <c r="SSE55" s="5">
        <f>-IFERROR('4. NPV'!SSF24/'4. NPV'!SSF$8,0)</f>
        <v>-0.0</v>
      </c>
      <c r="SSF55" s="5">
        <f>-IFERROR('4. NPV'!SSG24/'4. NPV'!SSG$8,0)</f>
        <v>-0.0</v>
      </c>
      <c r="SSG55" s="5">
        <f>-IFERROR('4. NPV'!SSH24/'4. NPV'!SSH$8,0)</f>
        <v>-0.0</v>
      </c>
      <c r="SSH55" s="5">
        <f>-IFERROR('4. NPV'!SSI24/'4. NPV'!SSI$8,0)</f>
        <v>-0.0</v>
      </c>
      <c r="SSI55" s="5">
        <f>-IFERROR('4. NPV'!SSJ24/'4. NPV'!SSJ$8,0)</f>
        <v>-0.0</v>
      </c>
      <c r="SSJ55" s="5">
        <f>-IFERROR('4. NPV'!SSK24/'4. NPV'!SSK$8,0)</f>
        <v>-0.0</v>
      </c>
      <c r="SSK55" s="5">
        <f>-IFERROR('4. NPV'!SSL24/'4. NPV'!SSL$8,0)</f>
        <v>-0.0</v>
      </c>
      <c r="SSL55" s="5">
        <f>-IFERROR('4. NPV'!SSM24/'4. NPV'!SSM$8,0)</f>
        <v>-0.0</v>
      </c>
      <c r="SSM55" s="5">
        <f>-IFERROR('4. NPV'!SSN24/'4. NPV'!SSN$8,0)</f>
        <v>-0.0</v>
      </c>
      <c r="SSN55" s="5">
        <f>-IFERROR('4. NPV'!SSO24/'4. NPV'!SSO$8,0)</f>
        <v>-0.0</v>
      </c>
      <c r="SSO55" s="5">
        <f>-IFERROR('4. NPV'!SSP24/'4. NPV'!SSP$8,0)</f>
        <v>-0.0</v>
      </c>
      <c r="SSP55" s="5">
        <f>-IFERROR('4. NPV'!SSQ24/'4. NPV'!SSQ$8,0)</f>
        <v>-0.0</v>
      </c>
      <c r="SSQ55" s="5">
        <f>-IFERROR('4. NPV'!SSR24/'4. NPV'!SSR$8,0)</f>
        <v>-0.0</v>
      </c>
      <c r="SSR55" s="5">
        <f>-IFERROR('4. NPV'!SSS24/'4. NPV'!SSS$8,0)</f>
        <v>-0.0</v>
      </c>
      <c r="SSS55" s="5">
        <f>-IFERROR('4. NPV'!SST24/'4. NPV'!SST$8,0)</f>
        <v>-0.0</v>
      </c>
      <c r="SST55" s="5">
        <f>-IFERROR('4. NPV'!SSU24/'4. NPV'!SSU$8,0)</f>
        <v>-0.0</v>
      </c>
      <c r="SSU55" s="5">
        <f>-IFERROR('4. NPV'!SSV24/'4. NPV'!SSV$8,0)</f>
        <v>-0.0</v>
      </c>
      <c r="SSV55" s="5">
        <f>-IFERROR('4. NPV'!SSW24/'4. NPV'!SSW$8,0)</f>
        <v>-0.0</v>
      </c>
      <c r="SSW55" s="5">
        <f>-IFERROR('4. NPV'!SSX24/'4. NPV'!SSX$8,0)</f>
        <v>-0.0</v>
      </c>
      <c r="SSX55" s="5">
        <f>-IFERROR('4. NPV'!SSY24/'4. NPV'!SSY$8,0)</f>
        <v>-0.0</v>
      </c>
      <c r="SSY55" s="5">
        <f>-IFERROR('4. NPV'!SSZ24/'4. NPV'!SSZ$8,0)</f>
        <v>-0.0</v>
      </c>
      <c r="SSZ55" s="5">
        <f>-IFERROR('4. NPV'!STA24/'4. NPV'!STA$8,0)</f>
        <v>-0.0</v>
      </c>
      <c r="STA55" s="5">
        <f>-IFERROR('4. NPV'!STB24/'4. NPV'!STB$8,0)</f>
        <v>-0.0</v>
      </c>
      <c r="STB55" s="5">
        <f>-IFERROR('4. NPV'!STC24/'4. NPV'!STC$8,0)</f>
        <v>-0.0</v>
      </c>
      <c r="STC55" s="5">
        <f>-IFERROR('4. NPV'!STD24/'4. NPV'!STD$8,0)</f>
        <v>-0.0</v>
      </c>
      <c r="STD55" s="5">
        <f>-IFERROR('4. NPV'!STE24/'4. NPV'!STE$8,0)</f>
        <v>-0.0</v>
      </c>
      <c r="STE55" s="5">
        <f>-IFERROR('4. NPV'!STF24/'4. NPV'!STF$8,0)</f>
        <v>-0.0</v>
      </c>
      <c r="STF55" s="5">
        <f>-IFERROR('4. NPV'!STG24/'4. NPV'!STG$8,0)</f>
        <v>-0.0</v>
      </c>
      <c r="STG55" s="5">
        <f>-IFERROR('4. NPV'!STH24/'4. NPV'!STH$8,0)</f>
        <v>-0.0</v>
      </c>
      <c r="STH55" s="5">
        <f>-IFERROR('4. NPV'!STI24/'4. NPV'!STI$8,0)</f>
        <v>-0.0</v>
      </c>
      <c r="STI55" s="5">
        <f>-IFERROR('4. NPV'!STJ24/'4. NPV'!STJ$8,0)</f>
        <v>-0.0</v>
      </c>
      <c r="STJ55" s="5">
        <f>-IFERROR('4. NPV'!STK24/'4. NPV'!STK$8,0)</f>
        <v>-0.0</v>
      </c>
      <c r="STK55" s="5">
        <f>-IFERROR('4. NPV'!STL24/'4. NPV'!STL$8,0)</f>
        <v>-0.0</v>
      </c>
      <c r="STL55" s="5">
        <f>-IFERROR('4. NPV'!STM24/'4. NPV'!STM$8,0)</f>
        <v>-0.0</v>
      </c>
      <c r="STM55" s="5">
        <f>-IFERROR('4. NPV'!STN24/'4. NPV'!STN$8,0)</f>
        <v>-0.0</v>
      </c>
      <c r="STN55" s="5">
        <f>-IFERROR('4. NPV'!STO24/'4. NPV'!STO$8,0)</f>
        <v>-0.0</v>
      </c>
      <c r="STO55" s="5">
        <f>-IFERROR('4. NPV'!STP24/'4. NPV'!STP$8,0)</f>
        <v>-0.0</v>
      </c>
      <c r="STP55" s="5">
        <f>-IFERROR('4. NPV'!STQ24/'4. NPV'!STQ$8,0)</f>
        <v>-0.0</v>
      </c>
      <c r="STQ55" s="5">
        <f>-IFERROR('4. NPV'!STR24/'4. NPV'!STR$8,0)</f>
        <v>-0.0</v>
      </c>
      <c r="STR55" s="5">
        <f>-IFERROR('4. NPV'!STS24/'4. NPV'!STS$8,0)</f>
        <v>-0.0</v>
      </c>
      <c r="STS55" s="5">
        <f>-IFERROR('4. NPV'!STT24/'4. NPV'!STT$8,0)</f>
        <v>-0.0</v>
      </c>
      <c r="STT55" s="5">
        <f>-IFERROR('4. NPV'!STU24/'4. NPV'!STU$8,0)</f>
        <v>-0.0</v>
      </c>
      <c r="STU55" s="5">
        <f>-IFERROR('4. NPV'!STV24/'4. NPV'!STV$8,0)</f>
        <v>-0.0</v>
      </c>
      <c r="STV55" s="5">
        <f>-IFERROR('4. NPV'!STW24/'4. NPV'!STW$8,0)</f>
        <v>-0.0</v>
      </c>
      <c r="STW55" s="5">
        <f>-IFERROR('4. NPV'!STX24/'4. NPV'!STX$8,0)</f>
        <v>-0.0</v>
      </c>
      <c r="STX55" s="5">
        <f>-IFERROR('4. NPV'!STY24/'4. NPV'!STY$8,0)</f>
        <v>-0.0</v>
      </c>
      <c r="STY55" s="5">
        <f>-IFERROR('4. NPV'!STZ24/'4. NPV'!STZ$8,0)</f>
        <v>-0.0</v>
      </c>
      <c r="STZ55" s="5">
        <f>-IFERROR('4. NPV'!SUA24/'4. NPV'!SUA$8,0)</f>
        <v>-0.0</v>
      </c>
      <c r="SUA55" s="5">
        <f>-IFERROR('4. NPV'!SUB24/'4. NPV'!SUB$8,0)</f>
        <v>-0.0</v>
      </c>
      <c r="SUB55" s="5">
        <f>-IFERROR('4. NPV'!SUC24/'4. NPV'!SUC$8,0)</f>
        <v>-0.0</v>
      </c>
      <c r="SUC55" s="5">
        <f>-IFERROR('4. NPV'!SUD24/'4. NPV'!SUD$8,0)</f>
        <v>-0.0</v>
      </c>
      <c r="SUD55" s="5">
        <f>-IFERROR('4. NPV'!SUE24/'4. NPV'!SUE$8,0)</f>
        <v>-0.0</v>
      </c>
      <c r="SUE55" s="5">
        <f>-IFERROR('4. NPV'!SUF24/'4. NPV'!SUF$8,0)</f>
        <v>-0.0</v>
      </c>
      <c r="SUF55" s="5">
        <f>-IFERROR('4. NPV'!SUG24/'4. NPV'!SUG$8,0)</f>
        <v>-0.0</v>
      </c>
      <c r="SUG55" s="5">
        <f>-IFERROR('4. NPV'!SUH24/'4. NPV'!SUH$8,0)</f>
        <v>-0.0</v>
      </c>
      <c r="SUH55" s="5">
        <f>-IFERROR('4. NPV'!SUI24/'4. NPV'!SUI$8,0)</f>
        <v>-0.0</v>
      </c>
      <c r="SUI55" s="5">
        <f>-IFERROR('4. NPV'!SUJ24/'4. NPV'!SUJ$8,0)</f>
        <v>-0.0</v>
      </c>
      <c r="SUJ55" s="5">
        <f>-IFERROR('4. NPV'!SUK24/'4. NPV'!SUK$8,0)</f>
        <v>-0.0</v>
      </c>
      <c r="SUK55" s="5">
        <f>-IFERROR('4. NPV'!SUL24/'4. NPV'!SUL$8,0)</f>
        <v>-0.0</v>
      </c>
      <c r="SUL55" s="5">
        <f>-IFERROR('4. NPV'!SUM24/'4. NPV'!SUM$8,0)</f>
        <v>-0.0</v>
      </c>
      <c r="SUM55" s="5">
        <f>-IFERROR('4. NPV'!SUN24/'4. NPV'!SUN$8,0)</f>
        <v>-0.0</v>
      </c>
      <c r="SUN55" s="5">
        <f>-IFERROR('4. NPV'!SUO24/'4. NPV'!SUO$8,0)</f>
        <v>-0.0</v>
      </c>
      <c r="SUO55" s="5">
        <f>-IFERROR('4. NPV'!SUP24/'4. NPV'!SUP$8,0)</f>
        <v>-0.0</v>
      </c>
      <c r="SUP55" s="5">
        <f>-IFERROR('4. NPV'!SUQ24/'4. NPV'!SUQ$8,0)</f>
        <v>-0.0</v>
      </c>
      <c r="SUQ55" s="5">
        <f>-IFERROR('4. NPV'!SUR24/'4. NPV'!SUR$8,0)</f>
        <v>-0.0</v>
      </c>
      <c r="SUR55" s="5">
        <f>-IFERROR('4. NPV'!SUS24/'4. NPV'!SUS$8,0)</f>
        <v>-0.0</v>
      </c>
      <c r="SUS55" s="5">
        <f>-IFERROR('4. NPV'!SUT24/'4. NPV'!SUT$8,0)</f>
        <v>-0.0</v>
      </c>
      <c r="SUT55" s="5">
        <f>-IFERROR('4. NPV'!SUU24/'4. NPV'!SUU$8,0)</f>
        <v>-0.0</v>
      </c>
      <c r="SUU55" s="5">
        <f>-IFERROR('4. NPV'!SUV24/'4. NPV'!SUV$8,0)</f>
        <v>-0.0</v>
      </c>
      <c r="SUV55" s="5">
        <f>-IFERROR('4. NPV'!SUW24/'4. NPV'!SUW$8,0)</f>
        <v>-0.0</v>
      </c>
      <c r="SUW55" s="5">
        <f>-IFERROR('4. NPV'!SUX24/'4. NPV'!SUX$8,0)</f>
        <v>-0.0</v>
      </c>
      <c r="SUX55" s="5">
        <f>-IFERROR('4. NPV'!SUY24/'4. NPV'!SUY$8,0)</f>
        <v>-0.0</v>
      </c>
      <c r="SUY55" s="5">
        <f>-IFERROR('4. NPV'!SUZ24/'4. NPV'!SUZ$8,0)</f>
        <v>-0.0</v>
      </c>
      <c r="SUZ55" s="5">
        <f>-IFERROR('4. NPV'!SVA24/'4. NPV'!SVA$8,0)</f>
        <v>-0.0</v>
      </c>
      <c r="SVA55" s="5">
        <f>-IFERROR('4. NPV'!SVB24/'4. NPV'!SVB$8,0)</f>
        <v>-0.0</v>
      </c>
      <c r="SVB55" s="5">
        <f>-IFERROR('4. NPV'!SVC24/'4. NPV'!SVC$8,0)</f>
        <v>-0.0</v>
      </c>
      <c r="SVC55" s="5">
        <f>-IFERROR('4. NPV'!SVD24/'4. NPV'!SVD$8,0)</f>
        <v>-0.0</v>
      </c>
      <c r="SVD55" s="5">
        <f>-IFERROR('4. NPV'!SVE24/'4. NPV'!SVE$8,0)</f>
        <v>-0.0</v>
      </c>
      <c r="SVE55" s="5">
        <f>-IFERROR('4. NPV'!SVF24/'4. NPV'!SVF$8,0)</f>
        <v>-0.0</v>
      </c>
      <c r="SVF55" s="5">
        <f>-IFERROR('4. NPV'!SVG24/'4. NPV'!SVG$8,0)</f>
        <v>-0.0</v>
      </c>
      <c r="SVG55" s="5">
        <f>-IFERROR('4. NPV'!SVH24/'4. NPV'!SVH$8,0)</f>
        <v>-0.0</v>
      </c>
      <c r="SVH55" s="5">
        <f>-IFERROR('4. NPV'!SVI24/'4. NPV'!SVI$8,0)</f>
        <v>-0.0</v>
      </c>
      <c r="SVI55" s="5">
        <f>-IFERROR('4. NPV'!SVJ24/'4. NPV'!SVJ$8,0)</f>
        <v>-0.0</v>
      </c>
      <c r="SVJ55" s="5">
        <f>-IFERROR('4. NPV'!SVK24/'4. NPV'!SVK$8,0)</f>
        <v>-0.0</v>
      </c>
      <c r="SVK55" s="5">
        <f>-IFERROR('4. NPV'!SVL24/'4. NPV'!SVL$8,0)</f>
        <v>-0.0</v>
      </c>
      <c r="SVL55" s="5">
        <f>-IFERROR('4. NPV'!SVM24/'4. NPV'!SVM$8,0)</f>
        <v>-0.0</v>
      </c>
      <c r="SVM55" s="5">
        <f>-IFERROR('4. NPV'!SVN24/'4. NPV'!SVN$8,0)</f>
        <v>-0.0</v>
      </c>
      <c r="SVN55" s="5">
        <f>-IFERROR('4. NPV'!SVO24/'4. NPV'!SVO$8,0)</f>
        <v>-0.0</v>
      </c>
      <c r="SVO55" s="5">
        <f>-IFERROR('4. NPV'!SVP24/'4. NPV'!SVP$8,0)</f>
        <v>-0.0</v>
      </c>
      <c r="SVP55" s="5">
        <f>-IFERROR('4. NPV'!SVQ24/'4. NPV'!SVQ$8,0)</f>
        <v>-0.0</v>
      </c>
      <c r="SVQ55" s="5">
        <f>-IFERROR('4. NPV'!SVR24/'4. NPV'!SVR$8,0)</f>
        <v>-0.0</v>
      </c>
      <c r="SVR55" s="5">
        <f>-IFERROR('4. NPV'!SVS24/'4. NPV'!SVS$8,0)</f>
        <v>-0.0</v>
      </c>
      <c r="SVS55" s="5">
        <f>-IFERROR('4. NPV'!SVT24/'4. NPV'!SVT$8,0)</f>
        <v>-0.0</v>
      </c>
      <c r="SVT55" s="5">
        <f>-IFERROR('4. NPV'!SVU24/'4. NPV'!SVU$8,0)</f>
        <v>-0.0</v>
      </c>
      <c r="SVU55" s="5">
        <f>-IFERROR('4. NPV'!SVV24/'4. NPV'!SVV$8,0)</f>
        <v>-0.0</v>
      </c>
      <c r="SVV55" s="5">
        <f>-IFERROR('4. NPV'!SVW24/'4. NPV'!SVW$8,0)</f>
        <v>-0.0</v>
      </c>
      <c r="SVW55" s="5">
        <f>-IFERROR('4. NPV'!SVX24/'4. NPV'!SVX$8,0)</f>
        <v>-0.0</v>
      </c>
      <c r="SVX55" s="5">
        <f>-IFERROR('4. NPV'!SVY24/'4. NPV'!SVY$8,0)</f>
        <v>-0.0</v>
      </c>
      <c r="SVY55" s="5">
        <f>-IFERROR('4. NPV'!SVZ24/'4. NPV'!SVZ$8,0)</f>
        <v>-0.0</v>
      </c>
      <c r="SVZ55" s="5">
        <f>-IFERROR('4. NPV'!SWA24/'4. NPV'!SWA$8,0)</f>
        <v>-0.0</v>
      </c>
      <c r="SWA55" s="5">
        <f>-IFERROR('4. NPV'!SWB24/'4. NPV'!SWB$8,0)</f>
        <v>-0.0</v>
      </c>
      <c r="SWB55" s="5">
        <f>-IFERROR('4. NPV'!SWC24/'4. NPV'!SWC$8,0)</f>
        <v>-0.0</v>
      </c>
      <c r="SWC55" s="5">
        <f>-IFERROR('4. NPV'!SWD24/'4. NPV'!SWD$8,0)</f>
        <v>-0.0</v>
      </c>
      <c r="SWD55" s="5">
        <f>-IFERROR('4. NPV'!SWE24/'4. NPV'!SWE$8,0)</f>
        <v>-0.0</v>
      </c>
      <c r="SWE55" s="5">
        <f>-IFERROR('4. NPV'!SWF24/'4. NPV'!SWF$8,0)</f>
        <v>-0.0</v>
      </c>
      <c r="SWF55" s="5">
        <f>-IFERROR('4. NPV'!SWG24/'4. NPV'!SWG$8,0)</f>
        <v>-0.0</v>
      </c>
      <c r="SWG55" s="5">
        <f>-IFERROR('4. NPV'!SWH24/'4. NPV'!SWH$8,0)</f>
        <v>-0.0</v>
      </c>
      <c r="SWH55" s="5">
        <f>-IFERROR('4. NPV'!SWI24/'4. NPV'!SWI$8,0)</f>
        <v>-0.0</v>
      </c>
      <c r="SWI55" s="5">
        <f>-IFERROR('4. NPV'!SWJ24/'4. NPV'!SWJ$8,0)</f>
        <v>-0.0</v>
      </c>
      <c r="SWJ55" s="5">
        <f>-IFERROR('4. NPV'!SWK24/'4. NPV'!SWK$8,0)</f>
        <v>-0.0</v>
      </c>
      <c r="SWK55" s="5">
        <f>-IFERROR('4. NPV'!SWL24/'4. NPV'!SWL$8,0)</f>
        <v>-0.0</v>
      </c>
      <c r="SWL55" s="5">
        <f>-IFERROR('4. NPV'!SWM24/'4. NPV'!SWM$8,0)</f>
        <v>-0.0</v>
      </c>
      <c r="SWM55" s="5">
        <f>-IFERROR('4. NPV'!SWN24/'4. NPV'!SWN$8,0)</f>
        <v>-0.0</v>
      </c>
      <c r="SWN55" s="5">
        <f>-IFERROR('4. NPV'!SWO24/'4. NPV'!SWO$8,0)</f>
        <v>-0.0</v>
      </c>
      <c r="SWO55" s="5">
        <f>-IFERROR('4. NPV'!SWP24/'4. NPV'!SWP$8,0)</f>
        <v>-0.0</v>
      </c>
      <c r="SWP55" s="5">
        <f>-IFERROR('4. NPV'!SWQ24/'4. NPV'!SWQ$8,0)</f>
        <v>-0.0</v>
      </c>
      <c r="SWQ55" s="5">
        <f>-IFERROR('4. NPV'!SWR24/'4. NPV'!SWR$8,0)</f>
        <v>-0.0</v>
      </c>
      <c r="SWR55" s="5">
        <f>-IFERROR('4. NPV'!SWS24/'4. NPV'!SWS$8,0)</f>
        <v>-0.0</v>
      </c>
      <c r="SWS55" s="5">
        <f>-IFERROR('4. NPV'!SWT24/'4. NPV'!SWT$8,0)</f>
        <v>-0.0</v>
      </c>
      <c r="SWT55" s="5">
        <f>-IFERROR('4. NPV'!SWU24/'4. NPV'!SWU$8,0)</f>
        <v>-0.0</v>
      </c>
      <c r="SWU55" s="5">
        <f>-IFERROR('4. NPV'!SWV24/'4. NPV'!SWV$8,0)</f>
        <v>-0.0</v>
      </c>
      <c r="SWV55" s="5">
        <f>-IFERROR('4. NPV'!SWW24/'4. NPV'!SWW$8,0)</f>
        <v>-0.0</v>
      </c>
      <c r="SWW55" s="5">
        <f>-IFERROR('4. NPV'!SWX24/'4. NPV'!SWX$8,0)</f>
        <v>-0.0</v>
      </c>
      <c r="SWX55" s="5">
        <f>-IFERROR('4. NPV'!SWY24/'4. NPV'!SWY$8,0)</f>
        <v>-0.0</v>
      </c>
      <c r="SWY55" s="5">
        <f>-IFERROR('4. NPV'!SWZ24/'4. NPV'!SWZ$8,0)</f>
        <v>-0.0</v>
      </c>
      <c r="SWZ55" s="5">
        <f>-IFERROR('4. NPV'!SXA24/'4. NPV'!SXA$8,0)</f>
        <v>-0.0</v>
      </c>
      <c r="SXA55" s="5">
        <f>-IFERROR('4. NPV'!SXB24/'4. NPV'!SXB$8,0)</f>
        <v>-0.0</v>
      </c>
      <c r="SXB55" s="5">
        <f>-IFERROR('4. NPV'!SXC24/'4. NPV'!SXC$8,0)</f>
        <v>-0.0</v>
      </c>
      <c r="SXC55" s="5">
        <f>-IFERROR('4. NPV'!SXD24/'4. NPV'!SXD$8,0)</f>
        <v>-0.0</v>
      </c>
      <c r="SXD55" s="5">
        <f>-IFERROR('4. NPV'!SXE24/'4. NPV'!SXE$8,0)</f>
        <v>-0.0</v>
      </c>
      <c r="SXE55" s="5">
        <f>-IFERROR('4. NPV'!SXF24/'4. NPV'!SXF$8,0)</f>
        <v>-0.0</v>
      </c>
      <c r="SXF55" s="5">
        <f>-IFERROR('4. NPV'!SXG24/'4. NPV'!SXG$8,0)</f>
        <v>-0.0</v>
      </c>
      <c r="SXG55" s="5">
        <f>-IFERROR('4. NPV'!SXH24/'4. NPV'!SXH$8,0)</f>
        <v>-0.0</v>
      </c>
      <c r="SXH55" s="5">
        <f>-IFERROR('4. NPV'!SXI24/'4. NPV'!SXI$8,0)</f>
        <v>-0.0</v>
      </c>
      <c r="SXI55" s="5">
        <f>-IFERROR('4. NPV'!SXJ24/'4. NPV'!SXJ$8,0)</f>
        <v>-0.0</v>
      </c>
      <c r="SXJ55" s="5">
        <f>-IFERROR('4. NPV'!SXK24/'4. NPV'!SXK$8,0)</f>
        <v>-0.0</v>
      </c>
      <c r="SXK55" s="5">
        <f>-IFERROR('4. NPV'!SXL24/'4. NPV'!SXL$8,0)</f>
        <v>-0.0</v>
      </c>
      <c r="SXL55" s="5">
        <f>-IFERROR('4. NPV'!SXM24/'4. NPV'!SXM$8,0)</f>
        <v>-0.0</v>
      </c>
      <c r="SXM55" s="5">
        <f>-IFERROR('4. NPV'!SXN24/'4. NPV'!SXN$8,0)</f>
        <v>-0.0</v>
      </c>
      <c r="SXN55" s="5">
        <f>-IFERROR('4. NPV'!SXO24/'4. NPV'!SXO$8,0)</f>
        <v>-0.0</v>
      </c>
      <c r="SXO55" s="5">
        <f>-IFERROR('4. NPV'!SXP24/'4. NPV'!SXP$8,0)</f>
        <v>-0.0</v>
      </c>
      <c r="SXP55" s="5">
        <f>-IFERROR('4. NPV'!SXQ24/'4. NPV'!SXQ$8,0)</f>
        <v>-0.0</v>
      </c>
      <c r="SXQ55" s="5">
        <f>-IFERROR('4. NPV'!SXR24/'4. NPV'!SXR$8,0)</f>
        <v>-0.0</v>
      </c>
      <c r="SXR55" s="5">
        <f>-IFERROR('4. NPV'!SXS24/'4. NPV'!SXS$8,0)</f>
        <v>-0.0</v>
      </c>
      <c r="SXS55" s="5">
        <f>-IFERROR('4. NPV'!SXT24/'4. NPV'!SXT$8,0)</f>
        <v>-0.0</v>
      </c>
      <c r="SXT55" s="5">
        <f>-IFERROR('4. NPV'!SXU24/'4. NPV'!SXU$8,0)</f>
        <v>-0.0</v>
      </c>
      <c r="SXU55" s="5">
        <f>-IFERROR('4. NPV'!SXV24/'4. NPV'!SXV$8,0)</f>
        <v>-0.0</v>
      </c>
      <c r="SXV55" s="5">
        <f>-IFERROR('4. NPV'!SXW24/'4. NPV'!SXW$8,0)</f>
        <v>-0.0</v>
      </c>
      <c r="SXW55" s="5">
        <f>-IFERROR('4. NPV'!SXX24/'4. NPV'!SXX$8,0)</f>
        <v>-0.0</v>
      </c>
      <c r="SXX55" s="5">
        <f>-IFERROR('4. NPV'!SXY24/'4. NPV'!SXY$8,0)</f>
        <v>-0.0</v>
      </c>
      <c r="SXY55" s="5">
        <f>-IFERROR('4. NPV'!SXZ24/'4. NPV'!SXZ$8,0)</f>
        <v>-0.0</v>
      </c>
      <c r="SXZ55" s="5">
        <f>-IFERROR('4. NPV'!SYA24/'4. NPV'!SYA$8,0)</f>
        <v>-0.0</v>
      </c>
      <c r="SYA55" s="5">
        <f>-IFERROR('4. NPV'!SYB24/'4. NPV'!SYB$8,0)</f>
        <v>-0.0</v>
      </c>
      <c r="SYB55" s="5">
        <f>-IFERROR('4. NPV'!SYC24/'4. NPV'!SYC$8,0)</f>
        <v>-0.0</v>
      </c>
      <c r="SYC55" s="5">
        <f>-IFERROR('4. NPV'!SYD24/'4. NPV'!SYD$8,0)</f>
        <v>-0.0</v>
      </c>
      <c r="SYD55" s="5">
        <f>-IFERROR('4. NPV'!SYE24/'4. NPV'!SYE$8,0)</f>
        <v>-0.0</v>
      </c>
      <c r="SYE55" s="5">
        <f>-IFERROR('4. NPV'!SYF24/'4. NPV'!SYF$8,0)</f>
        <v>-0.0</v>
      </c>
      <c r="SYF55" s="5">
        <f>-IFERROR('4. NPV'!SYG24/'4. NPV'!SYG$8,0)</f>
        <v>-0.0</v>
      </c>
      <c r="SYG55" s="5">
        <f>-IFERROR('4. NPV'!SYH24/'4. NPV'!SYH$8,0)</f>
        <v>-0.0</v>
      </c>
      <c r="SYH55" s="5">
        <f>-IFERROR('4. NPV'!SYI24/'4. NPV'!SYI$8,0)</f>
        <v>-0.0</v>
      </c>
      <c r="SYI55" s="5">
        <f>-IFERROR('4. NPV'!SYJ24/'4. NPV'!SYJ$8,0)</f>
        <v>-0.0</v>
      </c>
      <c r="SYJ55" s="5">
        <f>-IFERROR('4. NPV'!SYK24/'4. NPV'!SYK$8,0)</f>
        <v>-0.0</v>
      </c>
      <c r="SYK55" s="5">
        <f>-IFERROR('4. NPV'!SYL24/'4. NPV'!SYL$8,0)</f>
        <v>-0.0</v>
      </c>
      <c r="SYL55" s="5">
        <f>-IFERROR('4. NPV'!SYM24/'4. NPV'!SYM$8,0)</f>
        <v>-0.0</v>
      </c>
      <c r="SYM55" s="5">
        <f>-IFERROR('4. NPV'!SYN24/'4. NPV'!SYN$8,0)</f>
        <v>-0.0</v>
      </c>
      <c r="SYN55" s="5">
        <f>-IFERROR('4. NPV'!SYO24/'4. NPV'!SYO$8,0)</f>
        <v>-0.0</v>
      </c>
      <c r="SYO55" s="5">
        <f>-IFERROR('4. NPV'!SYP24/'4. NPV'!SYP$8,0)</f>
        <v>-0.0</v>
      </c>
      <c r="SYP55" s="5">
        <f>-IFERROR('4. NPV'!SYQ24/'4. NPV'!SYQ$8,0)</f>
        <v>-0.0</v>
      </c>
      <c r="SYQ55" s="5">
        <f>-IFERROR('4. NPV'!SYR24/'4. NPV'!SYR$8,0)</f>
        <v>-0.0</v>
      </c>
      <c r="SYR55" s="5">
        <f>-IFERROR('4. NPV'!SYS24/'4. NPV'!SYS$8,0)</f>
        <v>-0.0</v>
      </c>
      <c r="SYS55" s="5">
        <f>-IFERROR('4. NPV'!SYT24/'4. NPV'!SYT$8,0)</f>
        <v>-0.0</v>
      </c>
      <c r="SYT55" s="5">
        <f>-IFERROR('4. NPV'!SYU24/'4. NPV'!SYU$8,0)</f>
        <v>-0.0</v>
      </c>
      <c r="SYU55" s="5">
        <f>-IFERROR('4. NPV'!SYV24/'4. NPV'!SYV$8,0)</f>
        <v>-0.0</v>
      </c>
      <c r="SYV55" s="5">
        <f>-IFERROR('4. NPV'!SYW24/'4. NPV'!SYW$8,0)</f>
        <v>-0.0</v>
      </c>
      <c r="SYW55" s="5">
        <f>-IFERROR('4. NPV'!SYX24/'4. NPV'!SYX$8,0)</f>
        <v>-0.0</v>
      </c>
      <c r="SYX55" s="5">
        <f>-IFERROR('4. NPV'!SYY24/'4. NPV'!SYY$8,0)</f>
        <v>-0.0</v>
      </c>
      <c r="SYY55" s="5">
        <f>-IFERROR('4. NPV'!SYZ24/'4. NPV'!SYZ$8,0)</f>
        <v>-0.0</v>
      </c>
      <c r="SYZ55" s="5">
        <f>-IFERROR('4. NPV'!SZA24/'4. NPV'!SZA$8,0)</f>
        <v>-0.0</v>
      </c>
      <c r="SZA55" s="5">
        <f>-IFERROR('4. NPV'!SZB24/'4. NPV'!SZB$8,0)</f>
        <v>-0.0</v>
      </c>
      <c r="SZB55" s="5">
        <f>-IFERROR('4. NPV'!SZC24/'4. NPV'!SZC$8,0)</f>
        <v>-0.0</v>
      </c>
      <c r="SZC55" s="5">
        <f>-IFERROR('4. NPV'!SZD24/'4. NPV'!SZD$8,0)</f>
        <v>-0.0</v>
      </c>
      <c r="SZD55" s="5">
        <f>-IFERROR('4. NPV'!SZE24/'4. NPV'!SZE$8,0)</f>
        <v>-0.0</v>
      </c>
      <c r="SZE55" s="5">
        <f>-IFERROR('4. NPV'!SZF24/'4. NPV'!SZF$8,0)</f>
        <v>-0.0</v>
      </c>
      <c r="SZF55" s="5">
        <f>-IFERROR('4. NPV'!SZG24/'4. NPV'!SZG$8,0)</f>
        <v>-0.0</v>
      </c>
      <c r="SZG55" s="5">
        <f>-IFERROR('4. NPV'!SZH24/'4. NPV'!SZH$8,0)</f>
        <v>-0.0</v>
      </c>
      <c r="SZH55" s="5">
        <f>-IFERROR('4. NPV'!SZI24/'4. NPV'!SZI$8,0)</f>
        <v>-0.0</v>
      </c>
      <c r="SZI55" s="5">
        <f>-IFERROR('4. NPV'!SZJ24/'4. NPV'!SZJ$8,0)</f>
        <v>-0.0</v>
      </c>
      <c r="SZJ55" s="5">
        <f>-IFERROR('4. NPV'!SZK24/'4. NPV'!SZK$8,0)</f>
        <v>-0.0</v>
      </c>
      <c r="SZK55" s="5">
        <f>-IFERROR('4. NPV'!SZL24/'4. NPV'!SZL$8,0)</f>
        <v>-0.0</v>
      </c>
      <c r="SZL55" s="5">
        <f>-IFERROR('4. NPV'!SZM24/'4. NPV'!SZM$8,0)</f>
        <v>-0.0</v>
      </c>
      <c r="SZM55" s="5">
        <f>-IFERROR('4. NPV'!SZN24/'4. NPV'!SZN$8,0)</f>
        <v>-0.0</v>
      </c>
      <c r="SZN55" s="5">
        <f>-IFERROR('4. NPV'!SZO24/'4. NPV'!SZO$8,0)</f>
        <v>-0.0</v>
      </c>
      <c r="SZO55" s="5">
        <f>-IFERROR('4. NPV'!SZP24/'4. NPV'!SZP$8,0)</f>
        <v>-0.0</v>
      </c>
      <c r="SZP55" s="5">
        <f>-IFERROR('4. NPV'!SZQ24/'4. NPV'!SZQ$8,0)</f>
        <v>-0.0</v>
      </c>
      <c r="SZQ55" s="5">
        <f>-IFERROR('4. NPV'!SZR24/'4. NPV'!SZR$8,0)</f>
        <v>-0.0</v>
      </c>
      <c r="SZR55" s="5">
        <f>-IFERROR('4. NPV'!SZS24/'4. NPV'!SZS$8,0)</f>
        <v>-0.0</v>
      </c>
      <c r="SZS55" s="5">
        <f>-IFERROR('4. NPV'!SZT24/'4. NPV'!SZT$8,0)</f>
        <v>-0.0</v>
      </c>
      <c r="SZT55" s="5">
        <f>-IFERROR('4. NPV'!SZU24/'4. NPV'!SZU$8,0)</f>
        <v>-0.0</v>
      </c>
      <c r="SZU55" s="5">
        <f>-IFERROR('4. NPV'!SZV24/'4. NPV'!SZV$8,0)</f>
        <v>-0.0</v>
      </c>
      <c r="SZV55" s="5">
        <f>-IFERROR('4. NPV'!SZW24/'4. NPV'!SZW$8,0)</f>
        <v>-0.0</v>
      </c>
      <c r="SZW55" s="5">
        <f>-IFERROR('4. NPV'!SZX24/'4. NPV'!SZX$8,0)</f>
        <v>-0.0</v>
      </c>
      <c r="SZX55" s="5">
        <f>-IFERROR('4. NPV'!SZY24/'4. NPV'!SZY$8,0)</f>
        <v>-0.0</v>
      </c>
      <c r="SZY55" s="5">
        <f>-IFERROR('4. NPV'!SZZ24/'4. NPV'!SZZ$8,0)</f>
        <v>-0.0</v>
      </c>
      <c r="SZZ55" s="5">
        <f>-IFERROR('4. NPV'!TAA24/'4. NPV'!TAA$8,0)</f>
        <v>-0.0</v>
      </c>
      <c r="TAA55" s="5">
        <f>-IFERROR('4. NPV'!TAB24/'4. NPV'!TAB$8,0)</f>
        <v>-0.0</v>
      </c>
      <c r="TAB55" s="5">
        <f>-IFERROR('4. NPV'!TAC24/'4. NPV'!TAC$8,0)</f>
        <v>-0.0</v>
      </c>
      <c r="TAC55" s="5">
        <f>-IFERROR('4. NPV'!TAD24/'4. NPV'!TAD$8,0)</f>
        <v>-0.0</v>
      </c>
      <c r="TAD55" s="5">
        <f>-IFERROR('4. NPV'!TAE24/'4. NPV'!TAE$8,0)</f>
        <v>-0.0</v>
      </c>
      <c r="TAE55" s="5">
        <f>-IFERROR('4. NPV'!TAF24/'4. NPV'!TAF$8,0)</f>
        <v>-0.0</v>
      </c>
      <c r="TAF55" s="5">
        <f>-IFERROR('4. NPV'!TAG24/'4. NPV'!TAG$8,0)</f>
        <v>-0.0</v>
      </c>
      <c r="TAG55" s="5">
        <f>-IFERROR('4. NPV'!TAH24/'4. NPV'!TAH$8,0)</f>
        <v>-0.0</v>
      </c>
      <c r="TAH55" s="5">
        <f>-IFERROR('4. NPV'!TAI24/'4. NPV'!TAI$8,0)</f>
        <v>-0.0</v>
      </c>
      <c r="TAI55" s="5">
        <f>-IFERROR('4. NPV'!TAJ24/'4. NPV'!TAJ$8,0)</f>
        <v>-0.0</v>
      </c>
      <c r="TAJ55" s="5">
        <f>-IFERROR('4. NPV'!TAK24/'4. NPV'!TAK$8,0)</f>
        <v>-0.0</v>
      </c>
      <c r="TAK55" s="5">
        <f>-IFERROR('4. NPV'!TAL24/'4. NPV'!TAL$8,0)</f>
        <v>-0.0</v>
      </c>
      <c r="TAL55" s="5">
        <f>-IFERROR('4. NPV'!TAM24/'4. NPV'!TAM$8,0)</f>
        <v>-0.0</v>
      </c>
      <c r="TAM55" s="5">
        <f>-IFERROR('4. NPV'!TAN24/'4. NPV'!TAN$8,0)</f>
        <v>-0.0</v>
      </c>
      <c r="TAN55" s="5">
        <f>-IFERROR('4. NPV'!TAO24/'4. NPV'!TAO$8,0)</f>
        <v>-0.0</v>
      </c>
      <c r="TAO55" s="5">
        <f>-IFERROR('4. NPV'!TAP24/'4. NPV'!TAP$8,0)</f>
        <v>-0.0</v>
      </c>
      <c r="TAP55" s="5">
        <f>-IFERROR('4. NPV'!TAQ24/'4. NPV'!TAQ$8,0)</f>
        <v>-0.0</v>
      </c>
      <c r="TAQ55" s="5">
        <f>-IFERROR('4. NPV'!TAR24/'4. NPV'!TAR$8,0)</f>
        <v>-0.0</v>
      </c>
      <c r="TAR55" s="5">
        <f>-IFERROR('4. NPV'!TAS24/'4. NPV'!TAS$8,0)</f>
        <v>-0.0</v>
      </c>
      <c r="TAS55" s="5">
        <f>-IFERROR('4. NPV'!TAT24/'4. NPV'!TAT$8,0)</f>
        <v>-0.0</v>
      </c>
      <c r="TAT55" s="5">
        <f>-IFERROR('4. NPV'!TAU24/'4. NPV'!TAU$8,0)</f>
        <v>-0.0</v>
      </c>
      <c r="TAU55" s="5">
        <f>-IFERROR('4. NPV'!TAV24/'4. NPV'!TAV$8,0)</f>
        <v>-0.0</v>
      </c>
      <c r="TAV55" s="5">
        <f>-IFERROR('4. NPV'!TAW24/'4. NPV'!TAW$8,0)</f>
        <v>-0.0</v>
      </c>
      <c r="TAW55" s="5">
        <f>-IFERROR('4. NPV'!TAX24/'4. NPV'!TAX$8,0)</f>
        <v>-0.0</v>
      </c>
      <c r="TAX55" s="5">
        <f>-IFERROR('4. NPV'!TAY24/'4. NPV'!TAY$8,0)</f>
        <v>-0.0</v>
      </c>
      <c r="TAY55" s="5">
        <f>-IFERROR('4. NPV'!TAZ24/'4. NPV'!TAZ$8,0)</f>
        <v>-0.0</v>
      </c>
      <c r="TAZ55" s="5">
        <f>-IFERROR('4. NPV'!TBA24/'4. NPV'!TBA$8,0)</f>
        <v>-0.0</v>
      </c>
      <c r="TBA55" s="5">
        <f>-IFERROR('4. NPV'!TBB24/'4. NPV'!TBB$8,0)</f>
        <v>-0.0</v>
      </c>
      <c r="TBB55" s="5">
        <f>-IFERROR('4. NPV'!TBC24/'4. NPV'!TBC$8,0)</f>
        <v>-0.0</v>
      </c>
      <c r="TBC55" s="5">
        <f>-IFERROR('4. NPV'!TBD24/'4. NPV'!TBD$8,0)</f>
        <v>-0.0</v>
      </c>
      <c r="TBD55" s="5">
        <f>-IFERROR('4. NPV'!TBE24/'4. NPV'!TBE$8,0)</f>
        <v>-0.0</v>
      </c>
      <c r="TBE55" s="5">
        <f>-IFERROR('4. NPV'!TBF24/'4. NPV'!TBF$8,0)</f>
        <v>-0.0</v>
      </c>
      <c r="TBF55" s="5">
        <f>-IFERROR('4. NPV'!TBG24/'4. NPV'!TBG$8,0)</f>
        <v>-0.0</v>
      </c>
      <c r="TBG55" s="5">
        <f>-IFERROR('4. NPV'!TBH24/'4. NPV'!TBH$8,0)</f>
        <v>-0.0</v>
      </c>
      <c r="TBH55" s="5">
        <f>-IFERROR('4. NPV'!TBI24/'4. NPV'!TBI$8,0)</f>
        <v>-0.0</v>
      </c>
      <c r="TBI55" s="5">
        <f>-IFERROR('4. NPV'!TBJ24/'4. NPV'!TBJ$8,0)</f>
        <v>-0.0</v>
      </c>
      <c r="TBJ55" s="5">
        <f>-IFERROR('4. NPV'!TBK24/'4. NPV'!TBK$8,0)</f>
        <v>-0.0</v>
      </c>
      <c r="TBK55" s="5">
        <f>-IFERROR('4. NPV'!TBL24/'4. NPV'!TBL$8,0)</f>
        <v>-0.0</v>
      </c>
      <c r="TBL55" s="5">
        <f>-IFERROR('4. NPV'!TBM24/'4. NPV'!TBM$8,0)</f>
        <v>-0.0</v>
      </c>
      <c r="TBM55" s="5">
        <f>-IFERROR('4. NPV'!TBN24/'4. NPV'!TBN$8,0)</f>
        <v>-0.0</v>
      </c>
      <c r="TBN55" s="5">
        <f>-IFERROR('4. NPV'!TBO24/'4. NPV'!TBO$8,0)</f>
        <v>-0.0</v>
      </c>
      <c r="TBO55" s="5">
        <f>-IFERROR('4. NPV'!TBP24/'4. NPV'!TBP$8,0)</f>
        <v>-0.0</v>
      </c>
      <c r="TBP55" s="5">
        <f>-IFERROR('4. NPV'!TBQ24/'4. NPV'!TBQ$8,0)</f>
        <v>-0.0</v>
      </c>
      <c r="TBQ55" s="5">
        <f>-IFERROR('4. NPV'!TBR24/'4. NPV'!TBR$8,0)</f>
        <v>-0.0</v>
      </c>
      <c r="TBR55" s="5">
        <f>-IFERROR('4. NPV'!TBS24/'4. NPV'!TBS$8,0)</f>
        <v>-0.0</v>
      </c>
      <c r="TBS55" s="5">
        <f>-IFERROR('4. NPV'!TBT24/'4. NPV'!TBT$8,0)</f>
        <v>-0.0</v>
      </c>
      <c r="TBT55" s="5">
        <f>-IFERROR('4. NPV'!TBU24/'4. NPV'!TBU$8,0)</f>
        <v>-0.0</v>
      </c>
      <c r="TBU55" s="5">
        <f>-IFERROR('4. NPV'!TBV24/'4. NPV'!TBV$8,0)</f>
        <v>-0.0</v>
      </c>
      <c r="TBV55" s="5">
        <f>-IFERROR('4. NPV'!TBW24/'4. NPV'!TBW$8,0)</f>
        <v>-0.0</v>
      </c>
      <c r="TBW55" s="5">
        <f>-IFERROR('4. NPV'!TBX24/'4. NPV'!TBX$8,0)</f>
        <v>-0.0</v>
      </c>
      <c r="TBX55" s="5">
        <f>-IFERROR('4. NPV'!TBY24/'4. NPV'!TBY$8,0)</f>
        <v>-0.0</v>
      </c>
      <c r="TBY55" s="5">
        <f>-IFERROR('4. NPV'!TBZ24/'4. NPV'!TBZ$8,0)</f>
        <v>-0.0</v>
      </c>
      <c r="TBZ55" s="5">
        <f>-IFERROR('4. NPV'!TCA24/'4. NPV'!TCA$8,0)</f>
        <v>-0.0</v>
      </c>
      <c r="TCA55" s="5">
        <f>-IFERROR('4. NPV'!TCB24/'4. NPV'!TCB$8,0)</f>
        <v>-0.0</v>
      </c>
      <c r="TCB55" s="5">
        <f>-IFERROR('4. NPV'!TCC24/'4. NPV'!TCC$8,0)</f>
        <v>-0.0</v>
      </c>
      <c r="TCC55" s="5">
        <f>-IFERROR('4. NPV'!TCD24/'4. NPV'!TCD$8,0)</f>
        <v>-0.0</v>
      </c>
      <c r="TCD55" s="5">
        <f>-IFERROR('4. NPV'!TCE24/'4. NPV'!TCE$8,0)</f>
        <v>-0.0</v>
      </c>
      <c r="TCE55" s="5">
        <f>-IFERROR('4. NPV'!TCF24/'4. NPV'!TCF$8,0)</f>
        <v>-0.0</v>
      </c>
      <c r="TCF55" s="5">
        <f>-IFERROR('4. NPV'!TCG24/'4. NPV'!TCG$8,0)</f>
        <v>-0.0</v>
      </c>
      <c r="TCG55" s="5">
        <f>-IFERROR('4. NPV'!TCH24/'4. NPV'!TCH$8,0)</f>
        <v>-0.0</v>
      </c>
      <c r="TCH55" s="5">
        <f>-IFERROR('4. NPV'!TCI24/'4. NPV'!TCI$8,0)</f>
        <v>-0.0</v>
      </c>
      <c r="TCI55" s="5">
        <f>-IFERROR('4. NPV'!TCJ24/'4. NPV'!TCJ$8,0)</f>
        <v>-0.0</v>
      </c>
      <c r="TCJ55" s="5">
        <f>-IFERROR('4. NPV'!TCK24/'4. NPV'!TCK$8,0)</f>
        <v>-0.0</v>
      </c>
      <c r="TCK55" s="5">
        <f>-IFERROR('4. NPV'!TCL24/'4. NPV'!TCL$8,0)</f>
        <v>-0.0</v>
      </c>
      <c r="TCL55" s="5">
        <f>-IFERROR('4. NPV'!TCM24/'4. NPV'!TCM$8,0)</f>
        <v>-0.0</v>
      </c>
      <c r="TCM55" s="5">
        <f>-IFERROR('4. NPV'!TCN24/'4. NPV'!TCN$8,0)</f>
        <v>-0.0</v>
      </c>
      <c r="TCN55" s="5">
        <f>-IFERROR('4. NPV'!TCO24/'4. NPV'!TCO$8,0)</f>
        <v>-0.0</v>
      </c>
      <c r="TCO55" s="5">
        <f>-IFERROR('4. NPV'!TCP24/'4. NPV'!TCP$8,0)</f>
        <v>-0.0</v>
      </c>
      <c r="TCP55" s="5">
        <f>-IFERROR('4. NPV'!TCQ24/'4. NPV'!TCQ$8,0)</f>
        <v>-0.0</v>
      </c>
      <c r="TCQ55" s="5">
        <f>-IFERROR('4. NPV'!TCR24/'4. NPV'!TCR$8,0)</f>
        <v>-0.0</v>
      </c>
      <c r="TCR55" s="5">
        <f>-IFERROR('4. NPV'!TCS24/'4. NPV'!TCS$8,0)</f>
        <v>-0.0</v>
      </c>
      <c r="TCS55" s="5">
        <f>-IFERROR('4. NPV'!TCT24/'4. NPV'!TCT$8,0)</f>
        <v>-0.0</v>
      </c>
      <c r="TCT55" s="5">
        <f>-IFERROR('4. NPV'!TCU24/'4. NPV'!TCU$8,0)</f>
        <v>-0.0</v>
      </c>
      <c r="TCU55" s="5">
        <f>-IFERROR('4. NPV'!TCV24/'4. NPV'!TCV$8,0)</f>
        <v>-0.0</v>
      </c>
      <c r="TCV55" s="5">
        <f>-IFERROR('4. NPV'!TCW24/'4. NPV'!TCW$8,0)</f>
        <v>-0.0</v>
      </c>
      <c r="TCW55" s="5">
        <f>-IFERROR('4. NPV'!TCX24/'4. NPV'!TCX$8,0)</f>
        <v>-0.0</v>
      </c>
      <c r="TCX55" s="5">
        <f>-IFERROR('4. NPV'!TCY24/'4. NPV'!TCY$8,0)</f>
        <v>-0.0</v>
      </c>
      <c r="TCY55" s="5">
        <f>-IFERROR('4. NPV'!TCZ24/'4. NPV'!TCZ$8,0)</f>
        <v>-0.0</v>
      </c>
      <c r="TCZ55" s="5">
        <f>-IFERROR('4. NPV'!TDA24/'4. NPV'!TDA$8,0)</f>
        <v>-0.0</v>
      </c>
      <c r="TDA55" s="5">
        <f>-IFERROR('4. NPV'!TDB24/'4. NPV'!TDB$8,0)</f>
        <v>-0.0</v>
      </c>
      <c r="TDB55" s="5">
        <f>-IFERROR('4. NPV'!TDC24/'4. NPV'!TDC$8,0)</f>
        <v>-0.0</v>
      </c>
      <c r="TDC55" s="5">
        <f>-IFERROR('4. NPV'!TDD24/'4. NPV'!TDD$8,0)</f>
        <v>-0.0</v>
      </c>
      <c r="TDD55" s="5">
        <f>-IFERROR('4. NPV'!TDE24/'4. NPV'!TDE$8,0)</f>
        <v>-0.0</v>
      </c>
      <c r="TDE55" s="5">
        <f>-IFERROR('4. NPV'!TDF24/'4. NPV'!TDF$8,0)</f>
        <v>-0.0</v>
      </c>
      <c r="TDF55" s="5">
        <f>-IFERROR('4. NPV'!TDG24/'4. NPV'!TDG$8,0)</f>
        <v>-0.0</v>
      </c>
      <c r="TDG55" s="5">
        <f>-IFERROR('4. NPV'!TDH24/'4. NPV'!TDH$8,0)</f>
        <v>-0.0</v>
      </c>
      <c r="TDH55" s="5">
        <f>-IFERROR('4. NPV'!TDI24/'4. NPV'!TDI$8,0)</f>
        <v>-0.0</v>
      </c>
      <c r="TDI55" s="5">
        <f>-IFERROR('4. NPV'!TDJ24/'4. NPV'!TDJ$8,0)</f>
        <v>-0.0</v>
      </c>
      <c r="TDJ55" s="5">
        <f>-IFERROR('4. NPV'!TDK24/'4. NPV'!TDK$8,0)</f>
        <v>-0.0</v>
      </c>
      <c r="TDK55" s="5">
        <f>-IFERROR('4. NPV'!TDL24/'4. NPV'!TDL$8,0)</f>
        <v>-0.0</v>
      </c>
      <c r="TDL55" s="5">
        <f>-IFERROR('4. NPV'!TDM24/'4. NPV'!TDM$8,0)</f>
        <v>-0.0</v>
      </c>
      <c r="TDM55" s="5">
        <f>-IFERROR('4. NPV'!TDN24/'4. NPV'!TDN$8,0)</f>
        <v>-0.0</v>
      </c>
      <c r="TDN55" s="5">
        <f>-IFERROR('4. NPV'!TDO24/'4. NPV'!TDO$8,0)</f>
        <v>-0.0</v>
      </c>
      <c r="TDO55" s="5">
        <f>-IFERROR('4. NPV'!TDP24/'4. NPV'!TDP$8,0)</f>
        <v>-0.0</v>
      </c>
      <c r="TDP55" s="5">
        <f>-IFERROR('4. NPV'!TDQ24/'4. NPV'!TDQ$8,0)</f>
        <v>-0.0</v>
      </c>
      <c r="TDQ55" s="5">
        <f>-IFERROR('4. NPV'!TDR24/'4. NPV'!TDR$8,0)</f>
        <v>-0.0</v>
      </c>
      <c r="TDR55" s="5">
        <f>-IFERROR('4. NPV'!TDS24/'4. NPV'!TDS$8,0)</f>
        <v>-0.0</v>
      </c>
      <c r="TDS55" s="5">
        <f>-IFERROR('4. NPV'!TDT24/'4. NPV'!TDT$8,0)</f>
        <v>-0.0</v>
      </c>
      <c r="TDT55" s="5">
        <f>-IFERROR('4. NPV'!TDU24/'4. NPV'!TDU$8,0)</f>
        <v>-0.0</v>
      </c>
      <c r="TDU55" s="5">
        <f>-IFERROR('4. NPV'!TDV24/'4. NPV'!TDV$8,0)</f>
        <v>-0.0</v>
      </c>
      <c r="TDV55" s="5">
        <f>-IFERROR('4. NPV'!TDW24/'4. NPV'!TDW$8,0)</f>
        <v>-0.0</v>
      </c>
      <c r="TDW55" s="5">
        <f>-IFERROR('4. NPV'!TDX24/'4. NPV'!TDX$8,0)</f>
        <v>-0.0</v>
      </c>
      <c r="TDX55" s="5">
        <f>-IFERROR('4. NPV'!TDY24/'4. NPV'!TDY$8,0)</f>
        <v>-0.0</v>
      </c>
      <c r="TDY55" s="5">
        <f>-IFERROR('4. NPV'!TDZ24/'4. NPV'!TDZ$8,0)</f>
        <v>-0.0</v>
      </c>
      <c r="TDZ55" s="5">
        <f>-IFERROR('4. NPV'!TEA24/'4. NPV'!TEA$8,0)</f>
        <v>-0.0</v>
      </c>
      <c r="TEA55" s="5">
        <f>-IFERROR('4. NPV'!TEB24/'4. NPV'!TEB$8,0)</f>
        <v>-0.0</v>
      </c>
      <c r="TEB55" s="5">
        <f>-IFERROR('4. NPV'!TEC24/'4. NPV'!TEC$8,0)</f>
        <v>-0.0</v>
      </c>
      <c r="TEC55" s="5">
        <f>-IFERROR('4. NPV'!TED24/'4. NPV'!TED$8,0)</f>
        <v>-0.0</v>
      </c>
      <c r="TED55" s="5">
        <f>-IFERROR('4. NPV'!TEE24/'4. NPV'!TEE$8,0)</f>
        <v>-0.0</v>
      </c>
      <c r="TEE55" s="5">
        <f>-IFERROR('4. NPV'!TEF24/'4. NPV'!TEF$8,0)</f>
        <v>-0.0</v>
      </c>
      <c r="TEF55" s="5">
        <f>-IFERROR('4. NPV'!TEG24/'4. NPV'!TEG$8,0)</f>
        <v>-0.0</v>
      </c>
      <c r="TEG55" s="5">
        <f>-IFERROR('4. NPV'!TEH24/'4. NPV'!TEH$8,0)</f>
        <v>-0.0</v>
      </c>
      <c r="TEH55" s="5">
        <f>-IFERROR('4. NPV'!TEI24/'4. NPV'!TEI$8,0)</f>
        <v>-0.0</v>
      </c>
      <c r="TEI55" s="5">
        <f>-IFERROR('4. NPV'!TEJ24/'4. NPV'!TEJ$8,0)</f>
        <v>-0.0</v>
      </c>
      <c r="TEJ55" s="5">
        <f>-IFERROR('4. NPV'!TEK24/'4. NPV'!TEK$8,0)</f>
        <v>-0.0</v>
      </c>
      <c r="TEK55" s="5">
        <f>-IFERROR('4. NPV'!TEL24/'4. NPV'!TEL$8,0)</f>
        <v>-0.0</v>
      </c>
      <c r="TEL55" s="5">
        <f>-IFERROR('4. NPV'!TEM24/'4. NPV'!TEM$8,0)</f>
        <v>-0.0</v>
      </c>
      <c r="TEM55" s="5">
        <f>-IFERROR('4. NPV'!TEN24/'4. NPV'!TEN$8,0)</f>
        <v>-0.0</v>
      </c>
      <c r="TEN55" s="5">
        <f>-IFERROR('4. NPV'!TEO24/'4. NPV'!TEO$8,0)</f>
        <v>-0.0</v>
      </c>
      <c r="TEO55" s="5">
        <f>-IFERROR('4. NPV'!TEP24/'4. NPV'!TEP$8,0)</f>
        <v>-0.0</v>
      </c>
      <c r="TEP55" s="5">
        <f>-IFERROR('4. NPV'!TEQ24/'4. NPV'!TEQ$8,0)</f>
        <v>-0.0</v>
      </c>
      <c r="TEQ55" s="5">
        <f>-IFERROR('4. NPV'!TER24/'4. NPV'!TER$8,0)</f>
        <v>-0.0</v>
      </c>
      <c r="TER55" s="5">
        <f>-IFERROR('4. NPV'!TES24/'4. NPV'!TES$8,0)</f>
        <v>-0.0</v>
      </c>
      <c r="TES55" s="5">
        <f>-IFERROR('4. NPV'!TET24/'4. NPV'!TET$8,0)</f>
        <v>-0.0</v>
      </c>
      <c r="TET55" s="5">
        <f>-IFERROR('4. NPV'!TEU24/'4. NPV'!TEU$8,0)</f>
        <v>-0.0</v>
      </c>
      <c r="TEU55" s="5">
        <f>-IFERROR('4. NPV'!TEV24/'4. NPV'!TEV$8,0)</f>
        <v>-0.0</v>
      </c>
      <c r="TEV55" s="5">
        <f>-IFERROR('4. NPV'!TEW24/'4. NPV'!TEW$8,0)</f>
        <v>-0.0</v>
      </c>
      <c r="TEW55" s="5">
        <f>-IFERROR('4. NPV'!TEX24/'4. NPV'!TEX$8,0)</f>
        <v>-0.0</v>
      </c>
      <c r="TEX55" s="5">
        <f>-IFERROR('4. NPV'!TEY24/'4. NPV'!TEY$8,0)</f>
        <v>-0.0</v>
      </c>
      <c r="TEY55" s="5">
        <f>-IFERROR('4. NPV'!TEZ24/'4. NPV'!TEZ$8,0)</f>
        <v>-0.0</v>
      </c>
      <c r="TEZ55" s="5">
        <f>-IFERROR('4. NPV'!TFA24/'4. NPV'!TFA$8,0)</f>
        <v>-0.0</v>
      </c>
      <c r="TFA55" s="5">
        <f>-IFERROR('4. NPV'!TFB24/'4. NPV'!TFB$8,0)</f>
        <v>-0.0</v>
      </c>
      <c r="TFB55" s="5">
        <f>-IFERROR('4. NPV'!TFC24/'4. NPV'!TFC$8,0)</f>
        <v>-0.0</v>
      </c>
      <c r="TFC55" s="5">
        <f>-IFERROR('4. NPV'!TFD24/'4. NPV'!TFD$8,0)</f>
        <v>-0.0</v>
      </c>
      <c r="TFD55" s="5">
        <f>-IFERROR('4. NPV'!TFE24/'4. NPV'!TFE$8,0)</f>
        <v>-0.0</v>
      </c>
      <c r="TFE55" s="5">
        <f>-IFERROR('4. NPV'!TFF24/'4. NPV'!TFF$8,0)</f>
        <v>-0.0</v>
      </c>
      <c r="TFF55" s="5">
        <f>-IFERROR('4. NPV'!TFG24/'4. NPV'!TFG$8,0)</f>
        <v>-0.0</v>
      </c>
      <c r="TFG55" s="5">
        <f>-IFERROR('4. NPV'!TFH24/'4. NPV'!TFH$8,0)</f>
        <v>-0.0</v>
      </c>
      <c r="TFH55" s="5">
        <f>-IFERROR('4. NPV'!TFI24/'4. NPV'!TFI$8,0)</f>
        <v>-0.0</v>
      </c>
      <c r="TFI55" s="5">
        <f>-IFERROR('4. NPV'!TFJ24/'4. NPV'!TFJ$8,0)</f>
        <v>-0.0</v>
      </c>
      <c r="TFJ55" s="5">
        <f>-IFERROR('4. NPV'!TFK24/'4. NPV'!TFK$8,0)</f>
        <v>-0.0</v>
      </c>
      <c r="TFK55" s="5">
        <f>-IFERROR('4. NPV'!TFL24/'4. NPV'!TFL$8,0)</f>
        <v>-0.0</v>
      </c>
      <c r="TFL55" s="5">
        <f>-IFERROR('4. NPV'!TFM24/'4. NPV'!TFM$8,0)</f>
        <v>-0.0</v>
      </c>
      <c r="TFM55" s="5">
        <f>-IFERROR('4. NPV'!TFN24/'4. NPV'!TFN$8,0)</f>
        <v>-0.0</v>
      </c>
      <c r="TFN55" s="5">
        <f>-IFERROR('4. NPV'!TFO24/'4. NPV'!TFO$8,0)</f>
        <v>-0.0</v>
      </c>
      <c r="TFO55" s="5">
        <f>-IFERROR('4. NPV'!TFP24/'4. NPV'!TFP$8,0)</f>
        <v>-0.0</v>
      </c>
      <c r="TFP55" s="5">
        <f>-IFERROR('4. NPV'!TFQ24/'4. NPV'!TFQ$8,0)</f>
        <v>-0.0</v>
      </c>
      <c r="TFQ55" s="5">
        <f>-IFERROR('4. NPV'!TFR24/'4. NPV'!TFR$8,0)</f>
        <v>-0.0</v>
      </c>
      <c r="TFR55" s="5">
        <f>-IFERROR('4. NPV'!TFS24/'4. NPV'!TFS$8,0)</f>
        <v>-0.0</v>
      </c>
      <c r="TFS55" s="5">
        <f>-IFERROR('4. NPV'!TFT24/'4. NPV'!TFT$8,0)</f>
        <v>-0.0</v>
      </c>
      <c r="TFT55" s="5">
        <f>-IFERROR('4. NPV'!TFU24/'4. NPV'!TFU$8,0)</f>
        <v>-0.0</v>
      </c>
      <c r="TFU55" s="5">
        <f>-IFERROR('4. NPV'!TFV24/'4. NPV'!TFV$8,0)</f>
        <v>-0.0</v>
      </c>
      <c r="TFV55" s="5">
        <f>-IFERROR('4. NPV'!TFW24/'4. NPV'!TFW$8,0)</f>
        <v>-0.0</v>
      </c>
      <c r="TFW55" s="5">
        <f>-IFERROR('4. NPV'!TFX24/'4. NPV'!TFX$8,0)</f>
        <v>-0.0</v>
      </c>
      <c r="TFX55" s="5">
        <f>-IFERROR('4. NPV'!TFY24/'4. NPV'!TFY$8,0)</f>
        <v>-0.0</v>
      </c>
      <c r="TFY55" s="5">
        <f>-IFERROR('4. NPV'!TFZ24/'4. NPV'!TFZ$8,0)</f>
        <v>-0.0</v>
      </c>
      <c r="TFZ55" s="5">
        <f>-IFERROR('4. NPV'!TGA24/'4. NPV'!TGA$8,0)</f>
        <v>-0.0</v>
      </c>
      <c r="TGA55" s="5">
        <f>-IFERROR('4. NPV'!TGB24/'4. NPV'!TGB$8,0)</f>
        <v>-0.0</v>
      </c>
      <c r="TGB55" s="5">
        <f>-IFERROR('4. NPV'!TGC24/'4. NPV'!TGC$8,0)</f>
        <v>-0.0</v>
      </c>
      <c r="TGC55" s="5">
        <f>-IFERROR('4. NPV'!TGD24/'4. NPV'!TGD$8,0)</f>
        <v>-0.0</v>
      </c>
      <c r="TGD55" s="5">
        <f>-IFERROR('4. NPV'!TGE24/'4. NPV'!TGE$8,0)</f>
        <v>-0.0</v>
      </c>
      <c r="TGE55" s="5">
        <f>-IFERROR('4. NPV'!TGF24/'4. NPV'!TGF$8,0)</f>
        <v>-0.0</v>
      </c>
      <c r="TGF55" s="5">
        <f>-IFERROR('4. NPV'!TGG24/'4. NPV'!TGG$8,0)</f>
        <v>-0.0</v>
      </c>
      <c r="TGG55" s="5">
        <f>-IFERROR('4. NPV'!TGH24/'4. NPV'!TGH$8,0)</f>
        <v>-0.0</v>
      </c>
      <c r="TGH55" s="5">
        <f>-IFERROR('4. NPV'!TGI24/'4. NPV'!TGI$8,0)</f>
        <v>-0.0</v>
      </c>
      <c r="TGI55" s="5">
        <f>-IFERROR('4. NPV'!TGJ24/'4. NPV'!TGJ$8,0)</f>
        <v>-0.0</v>
      </c>
      <c r="TGJ55" s="5">
        <f>-IFERROR('4. NPV'!TGK24/'4. NPV'!TGK$8,0)</f>
        <v>-0.0</v>
      </c>
      <c r="TGK55" s="5">
        <f>-IFERROR('4. NPV'!TGL24/'4. NPV'!TGL$8,0)</f>
        <v>-0.0</v>
      </c>
      <c r="TGL55" s="5">
        <f>-IFERROR('4. NPV'!TGM24/'4. NPV'!TGM$8,0)</f>
        <v>-0.0</v>
      </c>
      <c r="TGM55" s="5">
        <f>-IFERROR('4. NPV'!TGN24/'4. NPV'!TGN$8,0)</f>
        <v>-0.0</v>
      </c>
      <c r="TGN55" s="5">
        <f>-IFERROR('4. NPV'!TGO24/'4. NPV'!TGO$8,0)</f>
        <v>-0.0</v>
      </c>
      <c r="TGO55" s="5">
        <f>-IFERROR('4. NPV'!TGP24/'4. NPV'!TGP$8,0)</f>
        <v>-0.0</v>
      </c>
      <c r="TGP55" s="5">
        <f>-IFERROR('4. NPV'!TGQ24/'4. NPV'!TGQ$8,0)</f>
        <v>-0.0</v>
      </c>
      <c r="TGQ55" s="5">
        <f>-IFERROR('4. NPV'!TGR24/'4. NPV'!TGR$8,0)</f>
        <v>-0.0</v>
      </c>
      <c r="TGR55" s="5">
        <f>-IFERROR('4. NPV'!TGS24/'4. NPV'!TGS$8,0)</f>
        <v>-0.0</v>
      </c>
      <c r="TGS55" s="5">
        <f>-IFERROR('4. NPV'!TGT24/'4. NPV'!TGT$8,0)</f>
        <v>-0.0</v>
      </c>
      <c r="TGT55" s="5">
        <f>-IFERROR('4. NPV'!TGU24/'4. NPV'!TGU$8,0)</f>
        <v>-0.0</v>
      </c>
      <c r="TGU55" s="5">
        <f>-IFERROR('4. NPV'!TGV24/'4. NPV'!TGV$8,0)</f>
        <v>-0.0</v>
      </c>
      <c r="TGV55" s="5">
        <f>-IFERROR('4. NPV'!TGW24/'4. NPV'!TGW$8,0)</f>
        <v>-0.0</v>
      </c>
      <c r="TGW55" s="5">
        <f>-IFERROR('4. NPV'!TGX24/'4. NPV'!TGX$8,0)</f>
        <v>-0.0</v>
      </c>
      <c r="TGX55" s="5">
        <f>-IFERROR('4. NPV'!TGY24/'4. NPV'!TGY$8,0)</f>
        <v>-0.0</v>
      </c>
      <c r="TGY55" s="5">
        <f>-IFERROR('4. NPV'!TGZ24/'4. NPV'!TGZ$8,0)</f>
        <v>-0.0</v>
      </c>
      <c r="TGZ55" s="5">
        <f>-IFERROR('4. NPV'!THA24/'4. NPV'!THA$8,0)</f>
        <v>-0.0</v>
      </c>
      <c r="THA55" s="5">
        <f>-IFERROR('4. NPV'!THB24/'4. NPV'!THB$8,0)</f>
        <v>-0.0</v>
      </c>
      <c r="THB55" s="5">
        <f>-IFERROR('4. NPV'!THC24/'4. NPV'!THC$8,0)</f>
        <v>-0.0</v>
      </c>
      <c r="THC55" s="5">
        <f>-IFERROR('4. NPV'!THD24/'4. NPV'!THD$8,0)</f>
        <v>-0.0</v>
      </c>
      <c r="THD55" s="5">
        <f>-IFERROR('4. NPV'!THE24/'4. NPV'!THE$8,0)</f>
        <v>-0.0</v>
      </c>
      <c r="THE55" s="5">
        <f>-IFERROR('4. NPV'!THF24/'4. NPV'!THF$8,0)</f>
        <v>-0.0</v>
      </c>
      <c r="THF55" s="5">
        <f>-IFERROR('4. NPV'!THG24/'4. NPV'!THG$8,0)</f>
        <v>-0.0</v>
      </c>
      <c r="THG55" s="5">
        <f>-IFERROR('4. NPV'!THH24/'4. NPV'!THH$8,0)</f>
        <v>-0.0</v>
      </c>
      <c r="THH55" s="5">
        <f>-IFERROR('4. NPV'!THI24/'4. NPV'!THI$8,0)</f>
        <v>-0.0</v>
      </c>
      <c r="THI55" s="5">
        <f>-IFERROR('4. NPV'!THJ24/'4. NPV'!THJ$8,0)</f>
        <v>-0.0</v>
      </c>
      <c r="THJ55" s="5">
        <f>-IFERROR('4. NPV'!THK24/'4. NPV'!THK$8,0)</f>
        <v>-0.0</v>
      </c>
      <c r="THK55" s="5">
        <f>-IFERROR('4. NPV'!THL24/'4. NPV'!THL$8,0)</f>
        <v>-0.0</v>
      </c>
      <c r="THL55" s="5">
        <f>-IFERROR('4. NPV'!THM24/'4. NPV'!THM$8,0)</f>
        <v>-0.0</v>
      </c>
      <c r="THM55" s="5">
        <f>-IFERROR('4. NPV'!THN24/'4. NPV'!THN$8,0)</f>
        <v>-0.0</v>
      </c>
      <c r="THN55" s="5">
        <f>-IFERROR('4. NPV'!THO24/'4. NPV'!THO$8,0)</f>
        <v>-0.0</v>
      </c>
      <c r="THO55" s="5">
        <f>-IFERROR('4. NPV'!THP24/'4. NPV'!THP$8,0)</f>
        <v>-0.0</v>
      </c>
      <c r="THP55" s="5">
        <f>-IFERROR('4. NPV'!THQ24/'4. NPV'!THQ$8,0)</f>
        <v>-0.0</v>
      </c>
      <c r="THQ55" s="5">
        <f>-IFERROR('4. NPV'!THR24/'4. NPV'!THR$8,0)</f>
        <v>-0.0</v>
      </c>
      <c r="THR55" s="5">
        <f>-IFERROR('4. NPV'!THS24/'4. NPV'!THS$8,0)</f>
        <v>-0.0</v>
      </c>
      <c r="THS55" s="5">
        <f>-IFERROR('4. NPV'!THT24/'4. NPV'!THT$8,0)</f>
        <v>-0.0</v>
      </c>
      <c r="THT55" s="5">
        <f>-IFERROR('4. NPV'!THU24/'4. NPV'!THU$8,0)</f>
        <v>-0.0</v>
      </c>
      <c r="THU55" s="5">
        <f>-IFERROR('4. NPV'!THV24/'4. NPV'!THV$8,0)</f>
        <v>-0.0</v>
      </c>
      <c r="THV55" s="5">
        <f>-IFERROR('4. NPV'!THW24/'4. NPV'!THW$8,0)</f>
        <v>-0.0</v>
      </c>
      <c r="THW55" s="5">
        <f>-IFERROR('4. NPV'!THX24/'4. NPV'!THX$8,0)</f>
        <v>-0.0</v>
      </c>
      <c r="THX55" s="5">
        <f>-IFERROR('4. NPV'!THY24/'4. NPV'!THY$8,0)</f>
        <v>-0.0</v>
      </c>
      <c r="THY55" s="5">
        <f>-IFERROR('4. NPV'!THZ24/'4. NPV'!THZ$8,0)</f>
        <v>-0.0</v>
      </c>
      <c r="THZ55" s="5">
        <f>-IFERROR('4. NPV'!TIA24/'4. NPV'!TIA$8,0)</f>
        <v>-0.0</v>
      </c>
      <c r="TIA55" s="5">
        <f>-IFERROR('4. NPV'!TIB24/'4. NPV'!TIB$8,0)</f>
        <v>-0.0</v>
      </c>
      <c r="TIB55" s="5">
        <f>-IFERROR('4. NPV'!TIC24/'4. NPV'!TIC$8,0)</f>
        <v>-0.0</v>
      </c>
      <c r="TIC55" s="5">
        <f>-IFERROR('4. NPV'!TID24/'4. NPV'!TID$8,0)</f>
        <v>-0.0</v>
      </c>
      <c r="TID55" s="5">
        <f>-IFERROR('4. NPV'!TIE24/'4. NPV'!TIE$8,0)</f>
        <v>-0.0</v>
      </c>
      <c r="TIE55" s="5">
        <f>-IFERROR('4. NPV'!TIF24/'4. NPV'!TIF$8,0)</f>
        <v>-0.0</v>
      </c>
      <c r="TIF55" s="5">
        <f>-IFERROR('4. NPV'!TIG24/'4. NPV'!TIG$8,0)</f>
        <v>-0.0</v>
      </c>
      <c r="TIG55" s="5">
        <f>-IFERROR('4. NPV'!TIH24/'4. NPV'!TIH$8,0)</f>
        <v>-0.0</v>
      </c>
      <c r="TIH55" s="5">
        <f>-IFERROR('4. NPV'!TII24/'4. NPV'!TII$8,0)</f>
        <v>-0.0</v>
      </c>
      <c r="TII55" s="5">
        <f>-IFERROR('4. NPV'!TIJ24/'4. NPV'!TIJ$8,0)</f>
        <v>-0.0</v>
      </c>
      <c r="TIJ55" s="5">
        <f>-IFERROR('4. NPV'!TIK24/'4. NPV'!TIK$8,0)</f>
        <v>-0.0</v>
      </c>
      <c r="TIK55" s="5">
        <f>-IFERROR('4. NPV'!TIL24/'4. NPV'!TIL$8,0)</f>
        <v>-0.0</v>
      </c>
      <c r="TIL55" s="5">
        <f>-IFERROR('4. NPV'!TIM24/'4. NPV'!TIM$8,0)</f>
        <v>-0.0</v>
      </c>
      <c r="TIM55" s="5">
        <f>-IFERROR('4. NPV'!TIN24/'4. NPV'!TIN$8,0)</f>
        <v>-0.0</v>
      </c>
      <c r="TIN55" s="5">
        <f>-IFERROR('4. NPV'!TIO24/'4. NPV'!TIO$8,0)</f>
        <v>-0.0</v>
      </c>
      <c r="TIO55" s="5">
        <f>-IFERROR('4. NPV'!TIP24/'4. NPV'!TIP$8,0)</f>
        <v>-0.0</v>
      </c>
      <c r="TIP55" s="5">
        <f>-IFERROR('4. NPV'!TIQ24/'4. NPV'!TIQ$8,0)</f>
        <v>-0.0</v>
      </c>
      <c r="TIQ55" s="5">
        <f>-IFERROR('4. NPV'!TIR24/'4. NPV'!TIR$8,0)</f>
        <v>-0.0</v>
      </c>
      <c r="TIR55" s="5">
        <f>-IFERROR('4. NPV'!TIS24/'4. NPV'!TIS$8,0)</f>
        <v>-0.0</v>
      </c>
      <c r="TIS55" s="5">
        <f>-IFERROR('4. NPV'!TIT24/'4. NPV'!TIT$8,0)</f>
        <v>-0.0</v>
      </c>
      <c r="TIT55" s="5">
        <f>-IFERROR('4. NPV'!TIU24/'4. NPV'!TIU$8,0)</f>
        <v>-0.0</v>
      </c>
      <c r="TIU55" s="5">
        <f>-IFERROR('4. NPV'!TIV24/'4. NPV'!TIV$8,0)</f>
        <v>-0.0</v>
      </c>
      <c r="TIV55" s="5">
        <f>-IFERROR('4. NPV'!TIW24/'4. NPV'!TIW$8,0)</f>
        <v>-0.0</v>
      </c>
      <c r="TIW55" s="5">
        <f>-IFERROR('4. NPV'!TIX24/'4. NPV'!TIX$8,0)</f>
        <v>-0.0</v>
      </c>
      <c r="TIX55" s="5">
        <f>-IFERROR('4. NPV'!TIY24/'4. NPV'!TIY$8,0)</f>
        <v>-0.0</v>
      </c>
      <c r="TIY55" s="5">
        <f>-IFERROR('4. NPV'!TIZ24/'4. NPV'!TIZ$8,0)</f>
        <v>-0.0</v>
      </c>
      <c r="TIZ55" s="5">
        <f>-IFERROR('4. NPV'!TJA24/'4. NPV'!TJA$8,0)</f>
        <v>-0.0</v>
      </c>
      <c r="TJA55" s="5">
        <f>-IFERROR('4. NPV'!TJB24/'4. NPV'!TJB$8,0)</f>
        <v>-0.0</v>
      </c>
      <c r="TJB55" s="5">
        <f>-IFERROR('4. NPV'!TJC24/'4. NPV'!TJC$8,0)</f>
        <v>-0.0</v>
      </c>
      <c r="TJC55" s="5">
        <f>-IFERROR('4. NPV'!TJD24/'4. NPV'!TJD$8,0)</f>
        <v>-0.0</v>
      </c>
      <c r="TJD55" s="5">
        <f>-IFERROR('4. NPV'!TJE24/'4. NPV'!TJE$8,0)</f>
        <v>-0.0</v>
      </c>
      <c r="TJE55" s="5">
        <f>-IFERROR('4. NPV'!TJF24/'4. NPV'!TJF$8,0)</f>
        <v>-0.0</v>
      </c>
      <c r="TJF55" s="5">
        <f>-IFERROR('4. NPV'!TJG24/'4. NPV'!TJG$8,0)</f>
        <v>-0.0</v>
      </c>
      <c r="TJG55" s="5">
        <f>-IFERROR('4. NPV'!TJH24/'4. NPV'!TJH$8,0)</f>
        <v>-0.0</v>
      </c>
      <c r="TJH55" s="5">
        <f>-IFERROR('4. NPV'!TJI24/'4. NPV'!TJI$8,0)</f>
        <v>-0.0</v>
      </c>
      <c r="TJI55" s="5">
        <f>-IFERROR('4. NPV'!TJJ24/'4. NPV'!TJJ$8,0)</f>
        <v>-0.0</v>
      </c>
      <c r="TJJ55" s="5">
        <f>-IFERROR('4. NPV'!TJK24/'4. NPV'!TJK$8,0)</f>
        <v>-0.0</v>
      </c>
      <c r="TJK55" s="5">
        <f>-IFERROR('4. NPV'!TJL24/'4. NPV'!TJL$8,0)</f>
        <v>-0.0</v>
      </c>
      <c r="TJL55" s="5">
        <f>-IFERROR('4. NPV'!TJM24/'4. NPV'!TJM$8,0)</f>
        <v>-0.0</v>
      </c>
      <c r="TJM55" s="5">
        <f>-IFERROR('4. NPV'!TJN24/'4. NPV'!TJN$8,0)</f>
        <v>-0.0</v>
      </c>
      <c r="TJN55" s="5">
        <f>-IFERROR('4. NPV'!TJO24/'4. NPV'!TJO$8,0)</f>
        <v>-0.0</v>
      </c>
      <c r="TJO55" s="5">
        <f>-IFERROR('4. NPV'!TJP24/'4. NPV'!TJP$8,0)</f>
        <v>-0.0</v>
      </c>
      <c r="TJP55" s="5">
        <f>-IFERROR('4. NPV'!TJQ24/'4. NPV'!TJQ$8,0)</f>
        <v>-0.0</v>
      </c>
      <c r="TJQ55" s="5">
        <f>-IFERROR('4. NPV'!TJR24/'4. NPV'!TJR$8,0)</f>
        <v>-0.0</v>
      </c>
      <c r="TJR55" s="5">
        <f>-IFERROR('4. NPV'!TJS24/'4. NPV'!TJS$8,0)</f>
        <v>-0.0</v>
      </c>
      <c r="TJS55" s="5">
        <f>-IFERROR('4. NPV'!TJT24/'4. NPV'!TJT$8,0)</f>
        <v>-0.0</v>
      </c>
      <c r="TJT55" s="5">
        <f>-IFERROR('4. NPV'!TJU24/'4. NPV'!TJU$8,0)</f>
        <v>-0.0</v>
      </c>
      <c r="TJU55" s="5">
        <f>-IFERROR('4. NPV'!TJV24/'4. NPV'!TJV$8,0)</f>
        <v>-0.0</v>
      </c>
      <c r="TJV55" s="5">
        <f>-IFERROR('4. NPV'!TJW24/'4. NPV'!TJW$8,0)</f>
        <v>-0.0</v>
      </c>
      <c r="TJW55" s="5">
        <f>-IFERROR('4. NPV'!TJX24/'4. NPV'!TJX$8,0)</f>
        <v>-0.0</v>
      </c>
      <c r="TJX55" s="5">
        <f>-IFERROR('4. NPV'!TJY24/'4. NPV'!TJY$8,0)</f>
        <v>-0.0</v>
      </c>
      <c r="TJY55" s="5">
        <f>-IFERROR('4. NPV'!TJZ24/'4. NPV'!TJZ$8,0)</f>
        <v>-0.0</v>
      </c>
      <c r="TJZ55" s="5">
        <f>-IFERROR('4. NPV'!TKA24/'4. NPV'!TKA$8,0)</f>
        <v>-0.0</v>
      </c>
      <c r="TKA55" s="5">
        <f>-IFERROR('4. NPV'!TKB24/'4. NPV'!TKB$8,0)</f>
        <v>-0.0</v>
      </c>
      <c r="TKB55" s="5">
        <f>-IFERROR('4. NPV'!TKC24/'4. NPV'!TKC$8,0)</f>
        <v>-0.0</v>
      </c>
      <c r="TKC55" s="5">
        <f>-IFERROR('4. NPV'!TKD24/'4. NPV'!TKD$8,0)</f>
        <v>-0.0</v>
      </c>
      <c r="TKD55" s="5">
        <f>-IFERROR('4. NPV'!TKE24/'4. NPV'!TKE$8,0)</f>
        <v>-0.0</v>
      </c>
      <c r="TKE55" s="5">
        <f>-IFERROR('4. NPV'!TKF24/'4. NPV'!TKF$8,0)</f>
        <v>-0.0</v>
      </c>
      <c r="TKF55" s="5">
        <f>-IFERROR('4. NPV'!TKG24/'4. NPV'!TKG$8,0)</f>
        <v>-0.0</v>
      </c>
      <c r="TKG55" s="5">
        <f>-IFERROR('4. NPV'!TKH24/'4. NPV'!TKH$8,0)</f>
        <v>-0.0</v>
      </c>
      <c r="TKH55" s="5">
        <f>-IFERROR('4. NPV'!TKI24/'4. NPV'!TKI$8,0)</f>
        <v>-0.0</v>
      </c>
      <c r="TKI55" s="5">
        <f>-IFERROR('4. NPV'!TKJ24/'4. NPV'!TKJ$8,0)</f>
        <v>-0.0</v>
      </c>
      <c r="TKJ55" s="5">
        <f>-IFERROR('4. NPV'!TKK24/'4. NPV'!TKK$8,0)</f>
        <v>-0.0</v>
      </c>
      <c r="TKK55" s="5">
        <f>-IFERROR('4. NPV'!TKL24/'4. NPV'!TKL$8,0)</f>
        <v>-0.0</v>
      </c>
      <c r="TKL55" s="5">
        <f>-IFERROR('4. NPV'!TKM24/'4. NPV'!TKM$8,0)</f>
        <v>-0.0</v>
      </c>
      <c r="TKM55" s="5">
        <f>-IFERROR('4. NPV'!TKN24/'4. NPV'!TKN$8,0)</f>
        <v>-0.0</v>
      </c>
      <c r="TKN55" s="5">
        <f>-IFERROR('4. NPV'!TKO24/'4. NPV'!TKO$8,0)</f>
        <v>-0.0</v>
      </c>
      <c r="TKO55" s="5">
        <f>-IFERROR('4. NPV'!TKP24/'4. NPV'!TKP$8,0)</f>
        <v>-0.0</v>
      </c>
      <c r="TKP55" s="5">
        <f>-IFERROR('4. NPV'!TKQ24/'4. NPV'!TKQ$8,0)</f>
        <v>-0.0</v>
      </c>
      <c r="TKQ55" s="5">
        <f>-IFERROR('4. NPV'!TKR24/'4. NPV'!TKR$8,0)</f>
        <v>-0.0</v>
      </c>
      <c r="TKR55" s="5">
        <f>-IFERROR('4. NPV'!TKS24/'4. NPV'!TKS$8,0)</f>
        <v>-0.0</v>
      </c>
      <c r="TKS55" s="5">
        <f>-IFERROR('4. NPV'!TKT24/'4. NPV'!TKT$8,0)</f>
        <v>-0.0</v>
      </c>
      <c r="TKT55" s="5">
        <f>-IFERROR('4. NPV'!TKU24/'4. NPV'!TKU$8,0)</f>
        <v>-0.0</v>
      </c>
      <c r="TKU55" s="5">
        <f>-IFERROR('4. NPV'!TKV24/'4. NPV'!TKV$8,0)</f>
        <v>-0.0</v>
      </c>
      <c r="TKV55" s="5">
        <f>-IFERROR('4. NPV'!TKW24/'4. NPV'!TKW$8,0)</f>
        <v>-0.0</v>
      </c>
      <c r="TKW55" s="5">
        <f>-IFERROR('4. NPV'!TKX24/'4. NPV'!TKX$8,0)</f>
        <v>-0.0</v>
      </c>
      <c r="TKX55" s="5">
        <f>-IFERROR('4. NPV'!TKY24/'4. NPV'!TKY$8,0)</f>
        <v>-0.0</v>
      </c>
      <c r="TKY55" s="5">
        <f>-IFERROR('4. NPV'!TKZ24/'4. NPV'!TKZ$8,0)</f>
        <v>-0.0</v>
      </c>
      <c r="TKZ55" s="5">
        <f>-IFERROR('4. NPV'!TLA24/'4. NPV'!TLA$8,0)</f>
        <v>-0.0</v>
      </c>
      <c r="TLA55" s="5">
        <f>-IFERROR('4. NPV'!TLB24/'4. NPV'!TLB$8,0)</f>
        <v>-0.0</v>
      </c>
      <c r="TLB55" s="5">
        <f>-IFERROR('4. NPV'!TLC24/'4. NPV'!TLC$8,0)</f>
        <v>-0.0</v>
      </c>
      <c r="TLC55" s="5">
        <f>-IFERROR('4. NPV'!TLD24/'4. NPV'!TLD$8,0)</f>
        <v>-0.0</v>
      </c>
      <c r="TLD55" s="5">
        <f>-IFERROR('4. NPV'!TLE24/'4. NPV'!TLE$8,0)</f>
        <v>-0.0</v>
      </c>
      <c r="TLE55" s="5">
        <f>-IFERROR('4. NPV'!TLF24/'4. NPV'!TLF$8,0)</f>
        <v>-0.0</v>
      </c>
      <c r="TLF55" s="5">
        <f>-IFERROR('4. NPV'!TLG24/'4. NPV'!TLG$8,0)</f>
        <v>-0.0</v>
      </c>
      <c r="TLG55" s="5">
        <f>-IFERROR('4. NPV'!TLH24/'4. NPV'!TLH$8,0)</f>
        <v>-0.0</v>
      </c>
      <c r="TLH55" s="5">
        <f>-IFERROR('4. NPV'!TLI24/'4. NPV'!TLI$8,0)</f>
        <v>-0.0</v>
      </c>
      <c r="TLI55" s="5">
        <f>-IFERROR('4. NPV'!TLJ24/'4. NPV'!TLJ$8,0)</f>
        <v>-0.0</v>
      </c>
      <c r="TLJ55" s="5">
        <f>-IFERROR('4. NPV'!TLK24/'4. NPV'!TLK$8,0)</f>
        <v>-0.0</v>
      </c>
      <c r="TLK55" s="5">
        <f>-IFERROR('4. NPV'!TLL24/'4. NPV'!TLL$8,0)</f>
        <v>-0.0</v>
      </c>
      <c r="TLL55" s="5">
        <f>-IFERROR('4. NPV'!TLM24/'4. NPV'!TLM$8,0)</f>
        <v>-0.0</v>
      </c>
      <c r="TLM55" s="5">
        <f>-IFERROR('4. NPV'!TLN24/'4. NPV'!TLN$8,0)</f>
        <v>-0.0</v>
      </c>
      <c r="TLN55" s="5">
        <f>-IFERROR('4. NPV'!TLO24/'4. NPV'!TLO$8,0)</f>
        <v>-0.0</v>
      </c>
      <c r="TLO55" s="5">
        <f>-IFERROR('4. NPV'!TLP24/'4. NPV'!TLP$8,0)</f>
        <v>-0.0</v>
      </c>
      <c r="TLP55" s="5">
        <f>-IFERROR('4. NPV'!TLQ24/'4. NPV'!TLQ$8,0)</f>
        <v>-0.0</v>
      </c>
      <c r="TLQ55" s="5">
        <f>-IFERROR('4. NPV'!TLR24/'4. NPV'!TLR$8,0)</f>
        <v>-0.0</v>
      </c>
      <c r="TLR55" s="5">
        <f>-IFERROR('4. NPV'!TLS24/'4. NPV'!TLS$8,0)</f>
        <v>-0.0</v>
      </c>
      <c r="TLS55" s="5">
        <f>-IFERROR('4. NPV'!TLT24/'4. NPV'!TLT$8,0)</f>
        <v>-0.0</v>
      </c>
      <c r="TLT55" s="5">
        <f>-IFERROR('4. NPV'!TLU24/'4. NPV'!TLU$8,0)</f>
        <v>-0.0</v>
      </c>
      <c r="TLU55" s="5">
        <f>-IFERROR('4. NPV'!TLV24/'4. NPV'!TLV$8,0)</f>
        <v>-0.0</v>
      </c>
      <c r="TLV55" s="5">
        <f>-IFERROR('4. NPV'!TLW24/'4. NPV'!TLW$8,0)</f>
        <v>-0.0</v>
      </c>
      <c r="TLW55" s="5">
        <f>-IFERROR('4. NPV'!TLX24/'4. NPV'!TLX$8,0)</f>
        <v>-0.0</v>
      </c>
      <c r="TLX55" s="5">
        <f>-IFERROR('4. NPV'!TLY24/'4. NPV'!TLY$8,0)</f>
        <v>-0.0</v>
      </c>
      <c r="TLY55" s="5">
        <f>-IFERROR('4. NPV'!TLZ24/'4. NPV'!TLZ$8,0)</f>
        <v>-0.0</v>
      </c>
      <c r="TLZ55" s="5">
        <f>-IFERROR('4. NPV'!TMA24/'4. NPV'!TMA$8,0)</f>
        <v>-0.0</v>
      </c>
      <c r="TMA55" s="5">
        <f>-IFERROR('4. NPV'!TMB24/'4. NPV'!TMB$8,0)</f>
        <v>-0.0</v>
      </c>
      <c r="TMB55" s="5">
        <f>-IFERROR('4. NPV'!TMC24/'4. NPV'!TMC$8,0)</f>
        <v>-0.0</v>
      </c>
      <c r="TMC55" s="5">
        <f>-IFERROR('4. NPV'!TMD24/'4. NPV'!TMD$8,0)</f>
        <v>-0.0</v>
      </c>
      <c r="TMD55" s="5">
        <f>-IFERROR('4. NPV'!TME24/'4. NPV'!TME$8,0)</f>
        <v>-0.0</v>
      </c>
      <c r="TME55" s="5">
        <f>-IFERROR('4. NPV'!TMF24/'4. NPV'!TMF$8,0)</f>
        <v>-0.0</v>
      </c>
      <c r="TMF55" s="5">
        <f>-IFERROR('4. NPV'!TMG24/'4. NPV'!TMG$8,0)</f>
        <v>-0.0</v>
      </c>
      <c r="TMG55" s="5">
        <f>-IFERROR('4. NPV'!TMH24/'4. NPV'!TMH$8,0)</f>
        <v>-0.0</v>
      </c>
      <c r="TMH55" s="5">
        <f>-IFERROR('4. NPV'!TMI24/'4. NPV'!TMI$8,0)</f>
        <v>-0.0</v>
      </c>
      <c r="TMI55" s="5">
        <f>-IFERROR('4. NPV'!TMJ24/'4. NPV'!TMJ$8,0)</f>
        <v>-0.0</v>
      </c>
      <c r="TMJ55" s="5">
        <f>-IFERROR('4. NPV'!TMK24/'4. NPV'!TMK$8,0)</f>
        <v>-0.0</v>
      </c>
      <c r="TMK55" s="5">
        <f>-IFERROR('4. NPV'!TML24/'4. NPV'!TML$8,0)</f>
        <v>-0.0</v>
      </c>
      <c r="TML55" s="5">
        <f>-IFERROR('4. NPV'!TMM24/'4. NPV'!TMM$8,0)</f>
        <v>-0.0</v>
      </c>
      <c r="TMM55" s="5">
        <f>-IFERROR('4. NPV'!TMN24/'4. NPV'!TMN$8,0)</f>
        <v>-0.0</v>
      </c>
      <c r="TMN55" s="5">
        <f>-IFERROR('4. NPV'!TMO24/'4. NPV'!TMO$8,0)</f>
        <v>-0.0</v>
      </c>
      <c r="TMO55" s="5">
        <f>-IFERROR('4. NPV'!TMP24/'4. NPV'!TMP$8,0)</f>
        <v>-0.0</v>
      </c>
      <c r="TMP55" s="5">
        <f>-IFERROR('4. NPV'!TMQ24/'4. NPV'!TMQ$8,0)</f>
        <v>-0.0</v>
      </c>
      <c r="TMQ55" s="5">
        <f>-IFERROR('4. NPV'!TMR24/'4. NPV'!TMR$8,0)</f>
        <v>-0.0</v>
      </c>
      <c r="TMR55" s="5">
        <f>-IFERROR('4. NPV'!TMS24/'4. NPV'!TMS$8,0)</f>
        <v>-0.0</v>
      </c>
      <c r="TMS55" s="5">
        <f>-IFERROR('4. NPV'!TMT24/'4. NPV'!TMT$8,0)</f>
        <v>-0.0</v>
      </c>
      <c r="TMT55" s="5">
        <f>-IFERROR('4. NPV'!TMU24/'4. NPV'!TMU$8,0)</f>
        <v>-0.0</v>
      </c>
      <c r="TMU55" s="5">
        <f>-IFERROR('4. NPV'!TMV24/'4. NPV'!TMV$8,0)</f>
        <v>-0.0</v>
      </c>
      <c r="TMV55" s="5">
        <f>-IFERROR('4. NPV'!TMW24/'4. NPV'!TMW$8,0)</f>
        <v>-0.0</v>
      </c>
      <c r="TMW55" s="5">
        <f>-IFERROR('4. NPV'!TMX24/'4. NPV'!TMX$8,0)</f>
        <v>-0.0</v>
      </c>
      <c r="TMX55" s="5">
        <f>-IFERROR('4. NPV'!TMY24/'4. NPV'!TMY$8,0)</f>
        <v>-0.0</v>
      </c>
      <c r="TMY55" s="5">
        <f>-IFERROR('4. NPV'!TMZ24/'4. NPV'!TMZ$8,0)</f>
        <v>-0.0</v>
      </c>
      <c r="TMZ55" s="5">
        <f>-IFERROR('4. NPV'!TNA24/'4. NPV'!TNA$8,0)</f>
        <v>-0.0</v>
      </c>
      <c r="TNA55" s="5">
        <f>-IFERROR('4. NPV'!TNB24/'4. NPV'!TNB$8,0)</f>
        <v>-0.0</v>
      </c>
      <c r="TNB55" s="5">
        <f>-IFERROR('4. NPV'!TNC24/'4. NPV'!TNC$8,0)</f>
        <v>-0.0</v>
      </c>
      <c r="TNC55" s="5">
        <f>-IFERROR('4. NPV'!TND24/'4. NPV'!TND$8,0)</f>
        <v>-0.0</v>
      </c>
      <c r="TND55" s="5">
        <f>-IFERROR('4. NPV'!TNE24/'4. NPV'!TNE$8,0)</f>
        <v>-0.0</v>
      </c>
      <c r="TNE55" s="5">
        <f>-IFERROR('4. NPV'!TNF24/'4. NPV'!TNF$8,0)</f>
        <v>-0.0</v>
      </c>
      <c r="TNF55" s="5">
        <f>-IFERROR('4. NPV'!TNG24/'4. NPV'!TNG$8,0)</f>
        <v>-0.0</v>
      </c>
      <c r="TNG55" s="5">
        <f>-IFERROR('4. NPV'!TNH24/'4. NPV'!TNH$8,0)</f>
        <v>-0.0</v>
      </c>
      <c r="TNH55" s="5">
        <f>-IFERROR('4. NPV'!TNI24/'4. NPV'!TNI$8,0)</f>
        <v>-0.0</v>
      </c>
      <c r="TNI55" s="5">
        <f>-IFERROR('4. NPV'!TNJ24/'4. NPV'!TNJ$8,0)</f>
        <v>-0.0</v>
      </c>
      <c r="TNJ55" s="5">
        <f>-IFERROR('4. NPV'!TNK24/'4. NPV'!TNK$8,0)</f>
        <v>-0.0</v>
      </c>
      <c r="TNK55" s="5">
        <f>-IFERROR('4. NPV'!TNL24/'4. NPV'!TNL$8,0)</f>
        <v>-0.0</v>
      </c>
      <c r="TNL55" s="5">
        <f>-IFERROR('4. NPV'!TNM24/'4. NPV'!TNM$8,0)</f>
        <v>-0.0</v>
      </c>
      <c r="TNM55" s="5">
        <f>-IFERROR('4. NPV'!TNN24/'4. NPV'!TNN$8,0)</f>
        <v>-0.0</v>
      </c>
      <c r="TNN55" s="5">
        <f>-IFERROR('4. NPV'!TNO24/'4. NPV'!TNO$8,0)</f>
        <v>-0.0</v>
      </c>
      <c r="TNO55" s="5">
        <f>-IFERROR('4. NPV'!TNP24/'4. NPV'!TNP$8,0)</f>
        <v>-0.0</v>
      </c>
      <c r="TNP55" s="5">
        <f>-IFERROR('4. NPV'!TNQ24/'4. NPV'!TNQ$8,0)</f>
        <v>-0.0</v>
      </c>
      <c r="TNQ55" s="5">
        <f>-IFERROR('4. NPV'!TNR24/'4. NPV'!TNR$8,0)</f>
        <v>-0.0</v>
      </c>
      <c r="TNR55" s="5">
        <f>-IFERROR('4. NPV'!TNS24/'4. NPV'!TNS$8,0)</f>
        <v>-0.0</v>
      </c>
      <c r="TNS55" s="5">
        <f>-IFERROR('4. NPV'!TNT24/'4. NPV'!TNT$8,0)</f>
        <v>-0.0</v>
      </c>
      <c r="TNT55" s="5">
        <f>-IFERROR('4. NPV'!TNU24/'4. NPV'!TNU$8,0)</f>
        <v>-0.0</v>
      </c>
      <c r="TNU55" s="5">
        <f>-IFERROR('4. NPV'!TNV24/'4. NPV'!TNV$8,0)</f>
        <v>-0.0</v>
      </c>
      <c r="TNV55" s="5">
        <f>-IFERROR('4. NPV'!TNW24/'4. NPV'!TNW$8,0)</f>
        <v>-0.0</v>
      </c>
      <c r="TNW55" s="5">
        <f>-IFERROR('4. NPV'!TNX24/'4. NPV'!TNX$8,0)</f>
        <v>-0.0</v>
      </c>
      <c r="TNX55" s="5">
        <f>-IFERROR('4. NPV'!TNY24/'4. NPV'!TNY$8,0)</f>
        <v>-0.0</v>
      </c>
      <c r="TNY55" s="5">
        <f>-IFERROR('4. NPV'!TNZ24/'4. NPV'!TNZ$8,0)</f>
        <v>-0.0</v>
      </c>
      <c r="TNZ55" s="5">
        <f>-IFERROR('4. NPV'!TOA24/'4. NPV'!TOA$8,0)</f>
        <v>-0.0</v>
      </c>
      <c r="TOA55" s="5">
        <f>-IFERROR('4. NPV'!TOB24/'4. NPV'!TOB$8,0)</f>
        <v>-0.0</v>
      </c>
      <c r="TOB55" s="5">
        <f>-IFERROR('4. NPV'!TOC24/'4. NPV'!TOC$8,0)</f>
        <v>-0.0</v>
      </c>
      <c r="TOC55" s="5">
        <f>-IFERROR('4. NPV'!TOD24/'4. NPV'!TOD$8,0)</f>
        <v>-0.0</v>
      </c>
      <c r="TOD55" s="5">
        <f>-IFERROR('4. NPV'!TOE24/'4. NPV'!TOE$8,0)</f>
        <v>-0.0</v>
      </c>
      <c r="TOE55" s="5">
        <f>-IFERROR('4. NPV'!TOF24/'4. NPV'!TOF$8,0)</f>
        <v>-0.0</v>
      </c>
      <c r="TOF55" s="5">
        <f>-IFERROR('4. NPV'!TOG24/'4. NPV'!TOG$8,0)</f>
        <v>-0.0</v>
      </c>
      <c r="TOG55" s="5">
        <f>-IFERROR('4. NPV'!TOH24/'4. NPV'!TOH$8,0)</f>
        <v>-0.0</v>
      </c>
      <c r="TOH55" s="5">
        <f>-IFERROR('4. NPV'!TOI24/'4. NPV'!TOI$8,0)</f>
        <v>-0.0</v>
      </c>
      <c r="TOI55" s="5">
        <f>-IFERROR('4. NPV'!TOJ24/'4. NPV'!TOJ$8,0)</f>
        <v>-0.0</v>
      </c>
      <c r="TOJ55" s="5">
        <f>-IFERROR('4. NPV'!TOK24/'4. NPV'!TOK$8,0)</f>
        <v>-0.0</v>
      </c>
      <c r="TOK55" s="5">
        <f>-IFERROR('4. NPV'!TOL24/'4. NPV'!TOL$8,0)</f>
        <v>-0.0</v>
      </c>
      <c r="TOL55" s="5">
        <f>-IFERROR('4. NPV'!TOM24/'4. NPV'!TOM$8,0)</f>
        <v>-0.0</v>
      </c>
      <c r="TOM55" s="5">
        <f>-IFERROR('4. NPV'!TON24/'4. NPV'!TON$8,0)</f>
        <v>-0.0</v>
      </c>
      <c r="TON55" s="5">
        <f>-IFERROR('4. NPV'!TOO24/'4. NPV'!TOO$8,0)</f>
        <v>-0.0</v>
      </c>
      <c r="TOO55" s="5">
        <f>-IFERROR('4. NPV'!TOP24/'4. NPV'!TOP$8,0)</f>
        <v>-0.0</v>
      </c>
      <c r="TOP55" s="5">
        <f>-IFERROR('4. NPV'!TOQ24/'4. NPV'!TOQ$8,0)</f>
        <v>-0.0</v>
      </c>
      <c r="TOQ55" s="5">
        <f>-IFERROR('4. NPV'!TOR24/'4. NPV'!TOR$8,0)</f>
        <v>-0.0</v>
      </c>
      <c r="TOR55" s="5">
        <f>-IFERROR('4. NPV'!TOS24/'4. NPV'!TOS$8,0)</f>
        <v>-0.0</v>
      </c>
      <c r="TOS55" s="5">
        <f>-IFERROR('4. NPV'!TOT24/'4. NPV'!TOT$8,0)</f>
        <v>-0.0</v>
      </c>
      <c r="TOT55" s="5">
        <f>-IFERROR('4. NPV'!TOU24/'4. NPV'!TOU$8,0)</f>
        <v>-0.0</v>
      </c>
      <c r="TOU55" s="5">
        <f>-IFERROR('4. NPV'!TOV24/'4. NPV'!TOV$8,0)</f>
        <v>-0.0</v>
      </c>
      <c r="TOV55" s="5">
        <f>-IFERROR('4. NPV'!TOW24/'4. NPV'!TOW$8,0)</f>
        <v>-0.0</v>
      </c>
      <c r="TOW55" s="5">
        <f>-IFERROR('4. NPV'!TOX24/'4. NPV'!TOX$8,0)</f>
        <v>-0.0</v>
      </c>
      <c r="TOX55" s="5">
        <f>-IFERROR('4. NPV'!TOY24/'4. NPV'!TOY$8,0)</f>
        <v>-0.0</v>
      </c>
      <c r="TOY55" s="5">
        <f>-IFERROR('4. NPV'!TOZ24/'4. NPV'!TOZ$8,0)</f>
        <v>-0.0</v>
      </c>
      <c r="TOZ55" s="5">
        <f>-IFERROR('4. NPV'!TPA24/'4. NPV'!TPA$8,0)</f>
        <v>-0.0</v>
      </c>
      <c r="TPA55" s="5">
        <f>-IFERROR('4. NPV'!TPB24/'4. NPV'!TPB$8,0)</f>
        <v>-0.0</v>
      </c>
      <c r="TPB55" s="5">
        <f>-IFERROR('4. NPV'!TPC24/'4. NPV'!TPC$8,0)</f>
        <v>-0.0</v>
      </c>
      <c r="TPC55" s="5">
        <f>-IFERROR('4. NPV'!TPD24/'4. NPV'!TPD$8,0)</f>
        <v>-0.0</v>
      </c>
      <c r="TPD55" s="5">
        <f>-IFERROR('4. NPV'!TPE24/'4. NPV'!TPE$8,0)</f>
        <v>-0.0</v>
      </c>
      <c r="TPE55" s="5">
        <f>-IFERROR('4. NPV'!TPF24/'4. NPV'!TPF$8,0)</f>
        <v>-0.0</v>
      </c>
      <c r="TPF55" s="5">
        <f>-IFERROR('4. NPV'!TPG24/'4. NPV'!TPG$8,0)</f>
        <v>-0.0</v>
      </c>
      <c r="TPG55" s="5">
        <f>-IFERROR('4. NPV'!TPH24/'4. NPV'!TPH$8,0)</f>
        <v>-0.0</v>
      </c>
      <c r="TPH55" s="5">
        <f>-IFERROR('4. NPV'!TPI24/'4. NPV'!TPI$8,0)</f>
        <v>-0.0</v>
      </c>
      <c r="TPI55" s="5">
        <f>-IFERROR('4. NPV'!TPJ24/'4. NPV'!TPJ$8,0)</f>
        <v>-0.0</v>
      </c>
      <c r="TPJ55" s="5">
        <f>-IFERROR('4. NPV'!TPK24/'4. NPV'!TPK$8,0)</f>
        <v>-0.0</v>
      </c>
      <c r="TPK55" s="5">
        <f>-IFERROR('4. NPV'!TPL24/'4. NPV'!TPL$8,0)</f>
        <v>-0.0</v>
      </c>
      <c r="TPL55" s="5">
        <f>-IFERROR('4. NPV'!TPM24/'4. NPV'!TPM$8,0)</f>
        <v>-0.0</v>
      </c>
      <c r="TPM55" s="5">
        <f>-IFERROR('4. NPV'!TPN24/'4. NPV'!TPN$8,0)</f>
        <v>-0.0</v>
      </c>
      <c r="TPN55" s="5">
        <f>-IFERROR('4. NPV'!TPO24/'4. NPV'!TPO$8,0)</f>
        <v>-0.0</v>
      </c>
      <c r="TPO55" s="5">
        <f>-IFERROR('4. NPV'!TPP24/'4. NPV'!TPP$8,0)</f>
        <v>-0.0</v>
      </c>
      <c r="TPP55" s="5">
        <f>-IFERROR('4. NPV'!TPQ24/'4. NPV'!TPQ$8,0)</f>
        <v>-0.0</v>
      </c>
      <c r="TPQ55" s="5">
        <f>-IFERROR('4. NPV'!TPR24/'4. NPV'!TPR$8,0)</f>
        <v>-0.0</v>
      </c>
      <c r="TPR55" s="5">
        <f>-IFERROR('4. NPV'!TPS24/'4. NPV'!TPS$8,0)</f>
        <v>-0.0</v>
      </c>
      <c r="TPS55" s="5">
        <f>-IFERROR('4. NPV'!TPT24/'4. NPV'!TPT$8,0)</f>
        <v>-0.0</v>
      </c>
      <c r="TPT55" s="5">
        <f>-IFERROR('4. NPV'!TPU24/'4. NPV'!TPU$8,0)</f>
        <v>-0.0</v>
      </c>
      <c r="TPU55" s="5">
        <f>-IFERROR('4. NPV'!TPV24/'4. NPV'!TPV$8,0)</f>
        <v>-0.0</v>
      </c>
      <c r="TPV55" s="5">
        <f>-IFERROR('4. NPV'!TPW24/'4. NPV'!TPW$8,0)</f>
        <v>-0.0</v>
      </c>
      <c r="TPW55" s="5">
        <f>-IFERROR('4. NPV'!TPX24/'4. NPV'!TPX$8,0)</f>
        <v>-0.0</v>
      </c>
      <c r="TPX55" s="5">
        <f>-IFERROR('4. NPV'!TPY24/'4. NPV'!TPY$8,0)</f>
        <v>-0.0</v>
      </c>
      <c r="TPY55" s="5">
        <f>-IFERROR('4. NPV'!TPZ24/'4. NPV'!TPZ$8,0)</f>
        <v>-0.0</v>
      </c>
      <c r="TPZ55" s="5">
        <f>-IFERROR('4. NPV'!TQA24/'4. NPV'!TQA$8,0)</f>
        <v>-0.0</v>
      </c>
      <c r="TQA55" s="5">
        <f>-IFERROR('4. NPV'!TQB24/'4. NPV'!TQB$8,0)</f>
        <v>-0.0</v>
      </c>
      <c r="TQB55" s="5">
        <f>-IFERROR('4. NPV'!TQC24/'4. NPV'!TQC$8,0)</f>
        <v>-0.0</v>
      </c>
      <c r="TQC55" s="5">
        <f>-IFERROR('4. NPV'!TQD24/'4. NPV'!TQD$8,0)</f>
        <v>-0.0</v>
      </c>
      <c r="TQD55" s="5">
        <f>-IFERROR('4. NPV'!TQE24/'4. NPV'!TQE$8,0)</f>
        <v>-0.0</v>
      </c>
      <c r="TQE55" s="5">
        <f>-IFERROR('4. NPV'!TQF24/'4. NPV'!TQF$8,0)</f>
        <v>-0.0</v>
      </c>
      <c r="TQF55" s="5">
        <f>-IFERROR('4. NPV'!TQG24/'4. NPV'!TQG$8,0)</f>
        <v>-0.0</v>
      </c>
      <c r="TQG55" s="5">
        <f>-IFERROR('4. NPV'!TQH24/'4. NPV'!TQH$8,0)</f>
        <v>-0.0</v>
      </c>
      <c r="TQH55" s="5">
        <f>-IFERROR('4. NPV'!TQI24/'4. NPV'!TQI$8,0)</f>
        <v>-0.0</v>
      </c>
      <c r="TQI55" s="5">
        <f>-IFERROR('4. NPV'!TQJ24/'4. NPV'!TQJ$8,0)</f>
        <v>-0.0</v>
      </c>
      <c r="TQJ55" s="5">
        <f>-IFERROR('4. NPV'!TQK24/'4. NPV'!TQK$8,0)</f>
        <v>-0.0</v>
      </c>
      <c r="TQK55" s="5">
        <f>-IFERROR('4. NPV'!TQL24/'4. NPV'!TQL$8,0)</f>
        <v>-0.0</v>
      </c>
      <c r="TQL55" s="5">
        <f>-IFERROR('4. NPV'!TQM24/'4. NPV'!TQM$8,0)</f>
        <v>-0.0</v>
      </c>
      <c r="TQM55" s="5">
        <f>-IFERROR('4. NPV'!TQN24/'4. NPV'!TQN$8,0)</f>
        <v>-0.0</v>
      </c>
      <c r="TQN55" s="5">
        <f>-IFERROR('4. NPV'!TQO24/'4. NPV'!TQO$8,0)</f>
        <v>-0.0</v>
      </c>
      <c r="TQO55" s="5">
        <f>-IFERROR('4. NPV'!TQP24/'4. NPV'!TQP$8,0)</f>
        <v>-0.0</v>
      </c>
      <c r="TQP55" s="5">
        <f>-IFERROR('4. NPV'!TQQ24/'4. NPV'!TQQ$8,0)</f>
        <v>-0.0</v>
      </c>
      <c r="TQQ55" s="5">
        <f>-IFERROR('4. NPV'!TQR24/'4. NPV'!TQR$8,0)</f>
        <v>-0.0</v>
      </c>
      <c r="TQR55" s="5">
        <f>-IFERROR('4. NPV'!TQS24/'4. NPV'!TQS$8,0)</f>
        <v>-0.0</v>
      </c>
      <c r="TQS55" s="5">
        <f>-IFERROR('4. NPV'!TQT24/'4. NPV'!TQT$8,0)</f>
        <v>-0.0</v>
      </c>
      <c r="TQT55" s="5">
        <f>-IFERROR('4. NPV'!TQU24/'4. NPV'!TQU$8,0)</f>
        <v>-0.0</v>
      </c>
      <c r="TQU55" s="5">
        <f>-IFERROR('4. NPV'!TQV24/'4. NPV'!TQV$8,0)</f>
        <v>-0.0</v>
      </c>
      <c r="TQV55" s="5">
        <f>-IFERROR('4. NPV'!TQW24/'4. NPV'!TQW$8,0)</f>
        <v>-0.0</v>
      </c>
      <c r="TQW55" s="5">
        <f>-IFERROR('4. NPV'!TQX24/'4. NPV'!TQX$8,0)</f>
        <v>-0.0</v>
      </c>
      <c r="TQX55" s="5">
        <f>-IFERROR('4. NPV'!TQY24/'4. NPV'!TQY$8,0)</f>
        <v>-0.0</v>
      </c>
      <c r="TQY55" s="5">
        <f>-IFERROR('4. NPV'!TQZ24/'4. NPV'!TQZ$8,0)</f>
        <v>-0.0</v>
      </c>
      <c r="TQZ55" s="5">
        <f>-IFERROR('4. NPV'!TRA24/'4. NPV'!TRA$8,0)</f>
        <v>-0.0</v>
      </c>
      <c r="TRA55" s="5">
        <f>-IFERROR('4. NPV'!TRB24/'4. NPV'!TRB$8,0)</f>
        <v>-0.0</v>
      </c>
      <c r="TRB55" s="5">
        <f>-IFERROR('4. NPV'!TRC24/'4. NPV'!TRC$8,0)</f>
        <v>-0.0</v>
      </c>
      <c r="TRC55" s="5">
        <f>-IFERROR('4. NPV'!TRD24/'4. NPV'!TRD$8,0)</f>
        <v>-0.0</v>
      </c>
      <c r="TRD55" s="5">
        <f>-IFERROR('4. NPV'!TRE24/'4. NPV'!TRE$8,0)</f>
        <v>-0.0</v>
      </c>
      <c r="TRE55" s="5">
        <f>-IFERROR('4. NPV'!TRF24/'4. NPV'!TRF$8,0)</f>
        <v>-0.0</v>
      </c>
      <c r="TRF55" s="5">
        <f>-IFERROR('4. NPV'!TRG24/'4. NPV'!TRG$8,0)</f>
        <v>-0.0</v>
      </c>
      <c r="TRG55" s="5">
        <f>-IFERROR('4. NPV'!TRH24/'4. NPV'!TRH$8,0)</f>
        <v>-0.0</v>
      </c>
      <c r="TRH55" s="5">
        <f>-IFERROR('4. NPV'!TRI24/'4. NPV'!TRI$8,0)</f>
        <v>-0.0</v>
      </c>
      <c r="TRI55" s="5">
        <f>-IFERROR('4. NPV'!TRJ24/'4. NPV'!TRJ$8,0)</f>
        <v>-0.0</v>
      </c>
      <c r="TRJ55" s="5">
        <f>-IFERROR('4. NPV'!TRK24/'4. NPV'!TRK$8,0)</f>
        <v>-0.0</v>
      </c>
      <c r="TRK55" s="5">
        <f>-IFERROR('4. NPV'!TRL24/'4. NPV'!TRL$8,0)</f>
        <v>-0.0</v>
      </c>
      <c r="TRL55" s="5">
        <f>-IFERROR('4. NPV'!TRM24/'4. NPV'!TRM$8,0)</f>
        <v>-0.0</v>
      </c>
      <c r="TRM55" s="5">
        <f>-IFERROR('4. NPV'!TRN24/'4. NPV'!TRN$8,0)</f>
        <v>-0.0</v>
      </c>
      <c r="TRN55" s="5">
        <f>-IFERROR('4. NPV'!TRO24/'4. NPV'!TRO$8,0)</f>
        <v>-0.0</v>
      </c>
      <c r="TRO55" s="5">
        <f>-IFERROR('4. NPV'!TRP24/'4. NPV'!TRP$8,0)</f>
        <v>-0.0</v>
      </c>
      <c r="TRP55" s="5">
        <f>-IFERROR('4. NPV'!TRQ24/'4. NPV'!TRQ$8,0)</f>
        <v>-0.0</v>
      </c>
      <c r="TRQ55" s="5">
        <f>-IFERROR('4. NPV'!TRR24/'4. NPV'!TRR$8,0)</f>
        <v>-0.0</v>
      </c>
      <c r="TRR55" s="5">
        <f>-IFERROR('4. NPV'!TRS24/'4. NPV'!TRS$8,0)</f>
        <v>-0.0</v>
      </c>
      <c r="TRS55" s="5">
        <f>-IFERROR('4. NPV'!TRT24/'4. NPV'!TRT$8,0)</f>
        <v>-0.0</v>
      </c>
      <c r="TRT55" s="5">
        <f>-IFERROR('4. NPV'!TRU24/'4. NPV'!TRU$8,0)</f>
        <v>-0.0</v>
      </c>
      <c r="TRU55" s="5">
        <f>-IFERROR('4. NPV'!TRV24/'4. NPV'!TRV$8,0)</f>
        <v>-0.0</v>
      </c>
      <c r="TRV55" s="5">
        <f>-IFERROR('4. NPV'!TRW24/'4. NPV'!TRW$8,0)</f>
        <v>-0.0</v>
      </c>
      <c r="TRW55" s="5">
        <f>-IFERROR('4. NPV'!TRX24/'4. NPV'!TRX$8,0)</f>
        <v>-0.0</v>
      </c>
      <c r="TRX55" s="5">
        <f>-IFERROR('4. NPV'!TRY24/'4. NPV'!TRY$8,0)</f>
        <v>-0.0</v>
      </c>
      <c r="TRY55" s="5">
        <f>-IFERROR('4. NPV'!TRZ24/'4. NPV'!TRZ$8,0)</f>
        <v>-0.0</v>
      </c>
      <c r="TRZ55" s="5">
        <f>-IFERROR('4. NPV'!TSA24/'4. NPV'!TSA$8,0)</f>
        <v>-0.0</v>
      </c>
      <c r="TSA55" s="5">
        <f>-IFERROR('4. NPV'!TSB24/'4. NPV'!TSB$8,0)</f>
        <v>-0.0</v>
      </c>
      <c r="TSB55" s="5">
        <f>-IFERROR('4. NPV'!TSC24/'4. NPV'!TSC$8,0)</f>
        <v>-0.0</v>
      </c>
      <c r="TSC55" s="5">
        <f>-IFERROR('4. NPV'!TSD24/'4. NPV'!TSD$8,0)</f>
        <v>-0.0</v>
      </c>
      <c r="TSD55" s="5">
        <f>-IFERROR('4. NPV'!TSE24/'4. NPV'!TSE$8,0)</f>
        <v>-0.0</v>
      </c>
      <c r="TSE55" s="5">
        <f>-IFERROR('4. NPV'!TSF24/'4. NPV'!TSF$8,0)</f>
        <v>-0.0</v>
      </c>
      <c r="TSF55" s="5">
        <f>-IFERROR('4. NPV'!TSG24/'4. NPV'!TSG$8,0)</f>
        <v>-0.0</v>
      </c>
      <c r="TSG55" s="5">
        <f>-IFERROR('4. NPV'!TSH24/'4. NPV'!TSH$8,0)</f>
        <v>-0.0</v>
      </c>
      <c r="TSH55" s="5">
        <f>-IFERROR('4. NPV'!TSI24/'4. NPV'!TSI$8,0)</f>
        <v>-0.0</v>
      </c>
      <c r="TSI55" s="5">
        <f>-IFERROR('4. NPV'!TSJ24/'4. NPV'!TSJ$8,0)</f>
        <v>-0.0</v>
      </c>
      <c r="TSJ55" s="5">
        <f>-IFERROR('4. NPV'!TSK24/'4. NPV'!TSK$8,0)</f>
        <v>-0.0</v>
      </c>
      <c r="TSK55" s="5">
        <f>-IFERROR('4. NPV'!TSL24/'4. NPV'!TSL$8,0)</f>
        <v>-0.0</v>
      </c>
      <c r="TSL55" s="5">
        <f>-IFERROR('4. NPV'!TSM24/'4. NPV'!TSM$8,0)</f>
        <v>-0.0</v>
      </c>
      <c r="TSM55" s="5">
        <f>-IFERROR('4. NPV'!TSN24/'4. NPV'!TSN$8,0)</f>
        <v>-0.0</v>
      </c>
      <c r="TSN55" s="5">
        <f>-IFERROR('4. NPV'!TSO24/'4. NPV'!TSO$8,0)</f>
        <v>-0.0</v>
      </c>
      <c r="TSO55" s="5">
        <f>-IFERROR('4. NPV'!TSP24/'4. NPV'!TSP$8,0)</f>
        <v>-0.0</v>
      </c>
      <c r="TSP55" s="5">
        <f>-IFERROR('4. NPV'!TSQ24/'4. NPV'!TSQ$8,0)</f>
        <v>-0.0</v>
      </c>
      <c r="TSQ55" s="5">
        <f>-IFERROR('4. NPV'!TSR24/'4. NPV'!TSR$8,0)</f>
        <v>-0.0</v>
      </c>
      <c r="TSR55" s="5">
        <f>-IFERROR('4. NPV'!TSS24/'4. NPV'!TSS$8,0)</f>
        <v>-0.0</v>
      </c>
      <c r="TSS55" s="5">
        <f>-IFERROR('4. NPV'!TST24/'4. NPV'!TST$8,0)</f>
        <v>-0.0</v>
      </c>
      <c r="TST55" s="5">
        <f>-IFERROR('4. NPV'!TSU24/'4. NPV'!TSU$8,0)</f>
        <v>-0.0</v>
      </c>
      <c r="TSU55" s="5">
        <f>-IFERROR('4. NPV'!TSV24/'4. NPV'!TSV$8,0)</f>
        <v>-0.0</v>
      </c>
      <c r="TSV55" s="5">
        <f>-IFERROR('4. NPV'!TSW24/'4. NPV'!TSW$8,0)</f>
        <v>-0.0</v>
      </c>
      <c r="TSW55" s="5">
        <f>-IFERROR('4. NPV'!TSX24/'4. NPV'!TSX$8,0)</f>
        <v>-0.0</v>
      </c>
      <c r="TSX55" s="5">
        <f>-IFERROR('4. NPV'!TSY24/'4. NPV'!TSY$8,0)</f>
        <v>-0.0</v>
      </c>
      <c r="TSY55" s="5">
        <f>-IFERROR('4. NPV'!TSZ24/'4. NPV'!TSZ$8,0)</f>
        <v>-0.0</v>
      </c>
      <c r="TSZ55" s="5">
        <f>-IFERROR('4. NPV'!TTA24/'4. NPV'!TTA$8,0)</f>
        <v>-0.0</v>
      </c>
      <c r="TTA55" s="5">
        <f>-IFERROR('4. NPV'!TTB24/'4. NPV'!TTB$8,0)</f>
        <v>-0.0</v>
      </c>
      <c r="TTB55" s="5">
        <f>-IFERROR('4. NPV'!TTC24/'4. NPV'!TTC$8,0)</f>
        <v>-0.0</v>
      </c>
      <c r="TTC55" s="5">
        <f>-IFERROR('4. NPV'!TTD24/'4. NPV'!TTD$8,0)</f>
        <v>-0.0</v>
      </c>
      <c r="TTD55" s="5">
        <f>-IFERROR('4. NPV'!TTE24/'4. NPV'!TTE$8,0)</f>
        <v>-0.0</v>
      </c>
      <c r="TTE55" s="5">
        <f>-IFERROR('4. NPV'!TTF24/'4. NPV'!TTF$8,0)</f>
        <v>-0.0</v>
      </c>
      <c r="TTF55" s="5">
        <f>-IFERROR('4. NPV'!TTG24/'4. NPV'!TTG$8,0)</f>
        <v>-0.0</v>
      </c>
      <c r="TTG55" s="5">
        <f>-IFERROR('4. NPV'!TTH24/'4. NPV'!TTH$8,0)</f>
        <v>-0.0</v>
      </c>
      <c r="TTH55" s="5">
        <f>-IFERROR('4. NPV'!TTI24/'4. NPV'!TTI$8,0)</f>
        <v>-0.0</v>
      </c>
      <c r="TTI55" s="5">
        <f>-IFERROR('4. NPV'!TTJ24/'4. NPV'!TTJ$8,0)</f>
        <v>-0.0</v>
      </c>
      <c r="TTJ55" s="5">
        <f>-IFERROR('4. NPV'!TTK24/'4. NPV'!TTK$8,0)</f>
        <v>-0.0</v>
      </c>
      <c r="TTK55" s="5">
        <f>-IFERROR('4. NPV'!TTL24/'4. NPV'!TTL$8,0)</f>
        <v>-0.0</v>
      </c>
      <c r="TTL55" s="5">
        <f>-IFERROR('4. NPV'!TTM24/'4. NPV'!TTM$8,0)</f>
        <v>-0.0</v>
      </c>
      <c r="TTM55" s="5">
        <f>-IFERROR('4. NPV'!TTN24/'4. NPV'!TTN$8,0)</f>
        <v>-0.0</v>
      </c>
      <c r="TTN55" s="5">
        <f>-IFERROR('4. NPV'!TTO24/'4. NPV'!TTO$8,0)</f>
        <v>-0.0</v>
      </c>
      <c r="TTO55" s="5">
        <f>-IFERROR('4. NPV'!TTP24/'4. NPV'!TTP$8,0)</f>
        <v>-0.0</v>
      </c>
      <c r="TTP55" s="5">
        <f>-IFERROR('4. NPV'!TTQ24/'4. NPV'!TTQ$8,0)</f>
        <v>-0.0</v>
      </c>
      <c r="TTQ55" s="5">
        <f>-IFERROR('4. NPV'!TTR24/'4. NPV'!TTR$8,0)</f>
        <v>-0.0</v>
      </c>
      <c r="TTR55" s="5">
        <f>-IFERROR('4. NPV'!TTS24/'4. NPV'!TTS$8,0)</f>
        <v>-0.0</v>
      </c>
      <c r="TTS55" s="5">
        <f>-IFERROR('4. NPV'!TTT24/'4. NPV'!TTT$8,0)</f>
        <v>-0.0</v>
      </c>
      <c r="TTT55" s="5">
        <f>-IFERROR('4. NPV'!TTU24/'4. NPV'!TTU$8,0)</f>
        <v>-0.0</v>
      </c>
      <c r="TTU55" s="5">
        <f>-IFERROR('4. NPV'!TTV24/'4. NPV'!TTV$8,0)</f>
        <v>-0.0</v>
      </c>
      <c r="TTV55" s="5">
        <f>-IFERROR('4. NPV'!TTW24/'4. NPV'!TTW$8,0)</f>
        <v>-0.0</v>
      </c>
      <c r="TTW55" s="5">
        <f>-IFERROR('4. NPV'!TTX24/'4. NPV'!TTX$8,0)</f>
        <v>-0.0</v>
      </c>
      <c r="TTX55" s="5">
        <f>-IFERROR('4. NPV'!TTY24/'4. NPV'!TTY$8,0)</f>
        <v>-0.0</v>
      </c>
      <c r="TTY55" s="5">
        <f>-IFERROR('4. NPV'!TTZ24/'4. NPV'!TTZ$8,0)</f>
        <v>-0.0</v>
      </c>
      <c r="TTZ55" s="5">
        <f>-IFERROR('4. NPV'!TUA24/'4. NPV'!TUA$8,0)</f>
        <v>-0.0</v>
      </c>
      <c r="TUA55" s="5">
        <f>-IFERROR('4. NPV'!TUB24/'4. NPV'!TUB$8,0)</f>
        <v>-0.0</v>
      </c>
      <c r="TUB55" s="5">
        <f>-IFERROR('4. NPV'!TUC24/'4. NPV'!TUC$8,0)</f>
        <v>-0.0</v>
      </c>
      <c r="TUC55" s="5">
        <f>-IFERROR('4. NPV'!TUD24/'4. NPV'!TUD$8,0)</f>
        <v>-0.0</v>
      </c>
      <c r="TUD55" s="5">
        <f>-IFERROR('4. NPV'!TUE24/'4. NPV'!TUE$8,0)</f>
        <v>-0.0</v>
      </c>
      <c r="TUE55" s="5">
        <f>-IFERROR('4. NPV'!TUF24/'4. NPV'!TUF$8,0)</f>
        <v>-0.0</v>
      </c>
      <c r="TUF55" s="5">
        <f>-IFERROR('4. NPV'!TUG24/'4. NPV'!TUG$8,0)</f>
        <v>-0.0</v>
      </c>
      <c r="TUG55" s="5">
        <f>-IFERROR('4. NPV'!TUH24/'4. NPV'!TUH$8,0)</f>
        <v>-0.0</v>
      </c>
      <c r="TUH55" s="5">
        <f>-IFERROR('4. NPV'!TUI24/'4. NPV'!TUI$8,0)</f>
        <v>-0.0</v>
      </c>
      <c r="TUI55" s="5">
        <f>-IFERROR('4. NPV'!TUJ24/'4. NPV'!TUJ$8,0)</f>
        <v>-0.0</v>
      </c>
      <c r="TUJ55" s="5">
        <f>-IFERROR('4. NPV'!TUK24/'4. NPV'!TUK$8,0)</f>
        <v>-0.0</v>
      </c>
      <c r="TUK55" s="5">
        <f>-IFERROR('4. NPV'!TUL24/'4. NPV'!TUL$8,0)</f>
        <v>-0.0</v>
      </c>
      <c r="TUL55" s="5">
        <f>-IFERROR('4. NPV'!TUM24/'4. NPV'!TUM$8,0)</f>
        <v>-0.0</v>
      </c>
      <c r="TUM55" s="5">
        <f>-IFERROR('4. NPV'!TUN24/'4. NPV'!TUN$8,0)</f>
        <v>-0.0</v>
      </c>
      <c r="TUN55" s="5">
        <f>-IFERROR('4. NPV'!TUO24/'4. NPV'!TUO$8,0)</f>
        <v>-0.0</v>
      </c>
      <c r="TUO55" s="5">
        <f>-IFERROR('4. NPV'!TUP24/'4. NPV'!TUP$8,0)</f>
        <v>-0.0</v>
      </c>
      <c r="TUP55" s="5">
        <f>-IFERROR('4. NPV'!TUQ24/'4. NPV'!TUQ$8,0)</f>
        <v>-0.0</v>
      </c>
      <c r="TUQ55" s="5">
        <f>-IFERROR('4. NPV'!TUR24/'4. NPV'!TUR$8,0)</f>
        <v>-0.0</v>
      </c>
      <c r="TUR55" s="5">
        <f>-IFERROR('4. NPV'!TUS24/'4. NPV'!TUS$8,0)</f>
        <v>-0.0</v>
      </c>
      <c r="TUS55" s="5">
        <f>-IFERROR('4. NPV'!TUT24/'4. NPV'!TUT$8,0)</f>
        <v>-0.0</v>
      </c>
      <c r="TUT55" s="5">
        <f>-IFERROR('4. NPV'!TUU24/'4. NPV'!TUU$8,0)</f>
        <v>-0.0</v>
      </c>
      <c r="TUU55" s="5">
        <f>-IFERROR('4. NPV'!TUV24/'4. NPV'!TUV$8,0)</f>
        <v>-0.0</v>
      </c>
      <c r="TUV55" s="5">
        <f>-IFERROR('4. NPV'!TUW24/'4. NPV'!TUW$8,0)</f>
        <v>-0.0</v>
      </c>
      <c r="TUW55" s="5">
        <f>-IFERROR('4. NPV'!TUX24/'4. NPV'!TUX$8,0)</f>
        <v>-0.0</v>
      </c>
      <c r="TUX55" s="5">
        <f>-IFERROR('4. NPV'!TUY24/'4. NPV'!TUY$8,0)</f>
        <v>-0.0</v>
      </c>
      <c r="TUY55" s="5">
        <f>-IFERROR('4. NPV'!TUZ24/'4. NPV'!TUZ$8,0)</f>
        <v>-0.0</v>
      </c>
      <c r="TUZ55" s="5">
        <f>-IFERROR('4. NPV'!TVA24/'4. NPV'!TVA$8,0)</f>
        <v>-0.0</v>
      </c>
      <c r="TVA55" s="5">
        <f>-IFERROR('4. NPV'!TVB24/'4. NPV'!TVB$8,0)</f>
        <v>-0.0</v>
      </c>
      <c r="TVB55" s="5">
        <f>-IFERROR('4. NPV'!TVC24/'4. NPV'!TVC$8,0)</f>
        <v>-0.0</v>
      </c>
      <c r="TVC55" s="5">
        <f>-IFERROR('4. NPV'!TVD24/'4. NPV'!TVD$8,0)</f>
        <v>-0.0</v>
      </c>
      <c r="TVD55" s="5">
        <f>-IFERROR('4. NPV'!TVE24/'4. NPV'!TVE$8,0)</f>
        <v>-0.0</v>
      </c>
      <c r="TVE55" s="5">
        <f>-IFERROR('4. NPV'!TVF24/'4. NPV'!TVF$8,0)</f>
        <v>-0.0</v>
      </c>
      <c r="TVF55" s="5">
        <f>-IFERROR('4. NPV'!TVG24/'4. NPV'!TVG$8,0)</f>
        <v>-0.0</v>
      </c>
      <c r="TVG55" s="5">
        <f>-IFERROR('4. NPV'!TVH24/'4. NPV'!TVH$8,0)</f>
        <v>-0.0</v>
      </c>
      <c r="TVH55" s="5">
        <f>-IFERROR('4. NPV'!TVI24/'4. NPV'!TVI$8,0)</f>
        <v>-0.0</v>
      </c>
      <c r="TVI55" s="5">
        <f>-IFERROR('4. NPV'!TVJ24/'4. NPV'!TVJ$8,0)</f>
        <v>-0.0</v>
      </c>
      <c r="TVJ55" s="5">
        <f>-IFERROR('4. NPV'!TVK24/'4. NPV'!TVK$8,0)</f>
        <v>-0.0</v>
      </c>
      <c r="TVK55" s="5">
        <f>-IFERROR('4. NPV'!TVL24/'4. NPV'!TVL$8,0)</f>
        <v>-0.0</v>
      </c>
      <c r="TVL55" s="5">
        <f>-IFERROR('4. NPV'!TVM24/'4. NPV'!TVM$8,0)</f>
        <v>-0.0</v>
      </c>
      <c r="TVM55" s="5">
        <f>-IFERROR('4. NPV'!TVN24/'4. NPV'!TVN$8,0)</f>
        <v>-0.0</v>
      </c>
      <c r="TVN55" s="5">
        <f>-IFERROR('4. NPV'!TVO24/'4. NPV'!TVO$8,0)</f>
        <v>-0.0</v>
      </c>
      <c r="TVO55" s="5">
        <f>-IFERROR('4. NPV'!TVP24/'4. NPV'!TVP$8,0)</f>
        <v>-0.0</v>
      </c>
      <c r="TVP55" s="5">
        <f>-IFERROR('4. NPV'!TVQ24/'4. NPV'!TVQ$8,0)</f>
        <v>-0.0</v>
      </c>
      <c r="TVQ55" s="5">
        <f>-IFERROR('4. NPV'!TVR24/'4. NPV'!TVR$8,0)</f>
        <v>-0.0</v>
      </c>
      <c r="TVR55" s="5">
        <f>-IFERROR('4. NPV'!TVS24/'4. NPV'!TVS$8,0)</f>
        <v>-0.0</v>
      </c>
      <c r="TVS55" s="5">
        <f>-IFERROR('4. NPV'!TVT24/'4. NPV'!TVT$8,0)</f>
        <v>-0.0</v>
      </c>
      <c r="TVT55" s="5">
        <f>-IFERROR('4. NPV'!TVU24/'4. NPV'!TVU$8,0)</f>
        <v>-0.0</v>
      </c>
      <c r="TVU55" s="5">
        <f>-IFERROR('4. NPV'!TVV24/'4. NPV'!TVV$8,0)</f>
        <v>-0.0</v>
      </c>
      <c r="TVV55" s="5">
        <f>-IFERROR('4. NPV'!TVW24/'4. NPV'!TVW$8,0)</f>
        <v>-0.0</v>
      </c>
      <c r="TVW55" s="5">
        <f>-IFERROR('4. NPV'!TVX24/'4. NPV'!TVX$8,0)</f>
        <v>-0.0</v>
      </c>
      <c r="TVX55" s="5">
        <f>-IFERROR('4. NPV'!TVY24/'4. NPV'!TVY$8,0)</f>
        <v>-0.0</v>
      </c>
      <c r="TVY55" s="5">
        <f>-IFERROR('4. NPV'!TVZ24/'4. NPV'!TVZ$8,0)</f>
        <v>-0.0</v>
      </c>
      <c r="TVZ55" s="5">
        <f>-IFERROR('4. NPV'!TWA24/'4. NPV'!TWA$8,0)</f>
        <v>-0.0</v>
      </c>
      <c r="TWA55" s="5">
        <f>-IFERROR('4. NPV'!TWB24/'4. NPV'!TWB$8,0)</f>
        <v>-0.0</v>
      </c>
      <c r="TWB55" s="5">
        <f>-IFERROR('4. NPV'!TWC24/'4. NPV'!TWC$8,0)</f>
        <v>-0.0</v>
      </c>
      <c r="TWC55" s="5">
        <f>-IFERROR('4. NPV'!TWD24/'4. NPV'!TWD$8,0)</f>
        <v>-0.0</v>
      </c>
      <c r="TWD55" s="5">
        <f>-IFERROR('4. NPV'!TWE24/'4. NPV'!TWE$8,0)</f>
        <v>-0.0</v>
      </c>
      <c r="TWE55" s="5">
        <f>-IFERROR('4. NPV'!TWF24/'4. NPV'!TWF$8,0)</f>
        <v>-0.0</v>
      </c>
      <c r="TWF55" s="5">
        <f>-IFERROR('4. NPV'!TWG24/'4. NPV'!TWG$8,0)</f>
        <v>-0.0</v>
      </c>
      <c r="TWG55" s="5">
        <f>-IFERROR('4. NPV'!TWH24/'4. NPV'!TWH$8,0)</f>
        <v>-0.0</v>
      </c>
      <c r="TWH55" s="5">
        <f>-IFERROR('4. NPV'!TWI24/'4. NPV'!TWI$8,0)</f>
        <v>-0.0</v>
      </c>
      <c r="TWI55" s="5">
        <f>-IFERROR('4. NPV'!TWJ24/'4. NPV'!TWJ$8,0)</f>
        <v>-0.0</v>
      </c>
      <c r="TWJ55" s="5">
        <f>-IFERROR('4. NPV'!TWK24/'4. NPV'!TWK$8,0)</f>
        <v>-0.0</v>
      </c>
      <c r="TWK55" s="5">
        <f>-IFERROR('4. NPV'!TWL24/'4. NPV'!TWL$8,0)</f>
        <v>-0.0</v>
      </c>
      <c r="TWL55" s="5">
        <f>-IFERROR('4. NPV'!TWM24/'4. NPV'!TWM$8,0)</f>
        <v>-0.0</v>
      </c>
      <c r="TWM55" s="5">
        <f>-IFERROR('4. NPV'!TWN24/'4. NPV'!TWN$8,0)</f>
        <v>-0.0</v>
      </c>
      <c r="TWN55" s="5">
        <f>-IFERROR('4. NPV'!TWO24/'4. NPV'!TWO$8,0)</f>
        <v>-0.0</v>
      </c>
      <c r="TWO55" s="5">
        <f>-IFERROR('4. NPV'!TWP24/'4. NPV'!TWP$8,0)</f>
        <v>-0.0</v>
      </c>
      <c r="TWP55" s="5">
        <f>-IFERROR('4. NPV'!TWQ24/'4. NPV'!TWQ$8,0)</f>
        <v>-0.0</v>
      </c>
      <c r="TWQ55" s="5">
        <f>-IFERROR('4. NPV'!TWR24/'4. NPV'!TWR$8,0)</f>
        <v>-0.0</v>
      </c>
      <c r="TWR55" s="5">
        <f>-IFERROR('4. NPV'!TWS24/'4. NPV'!TWS$8,0)</f>
        <v>-0.0</v>
      </c>
      <c r="TWS55" s="5">
        <f>-IFERROR('4. NPV'!TWT24/'4. NPV'!TWT$8,0)</f>
        <v>-0.0</v>
      </c>
      <c r="TWT55" s="5">
        <f>-IFERROR('4. NPV'!TWU24/'4. NPV'!TWU$8,0)</f>
        <v>-0.0</v>
      </c>
      <c r="TWU55" s="5">
        <f>-IFERROR('4. NPV'!TWV24/'4. NPV'!TWV$8,0)</f>
        <v>-0.0</v>
      </c>
      <c r="TWV55" s="5">
        <f>-IFERROR('4. NPV'!TWW24/'4. NPV'!TWW$8,0)</f>
        <v>-0.0</v>
      </c>
      <c r="TWW55" s="5">
        <f>-IFERROR('4. NPV'!TWX24/'4. NPV'!TWX$8,0)</f>
        <v>-0.0</v>
      </c>
      <c r="TWX55" s="5">
        <f>-IFERROR('4. NPV'!TWY24/'4. NPV'!TWY$8,0)</f>
        <v>-0.0</v>
      </c>
      <c r="TWY55" s="5">
        <f>-IFERROR('4. NPV'!TWZ24/'4. NPV'!TWZ$8,0)</f>
        <v>-0.0</v>
      </c>
      <c r="TWZ55" s="5">
        <f>-IFERROR('4. NPV'!TXA24/'4. NPV'!TXA$8,0)</f>
        <v>-0.0</v>
      </c>
      <c r="TXA55" s="5">
        <f>-IFERROR('4. NPV'!TXB24/'4. NPV'!TXB$8,0)</f>
        <v>-0.0</v>
      </c>
      <c r="TXB55" s="5">
        <f>-IFERROR('4. NPV'!TXC24/'4. NPV'!TXC$8,0)</f>
        <v>-0.0</v>
      </c>
      <c r="TXC55" s="5">
        <f>-IFERROR('4. NPV'!TXD24/'4. NPV'!TXD$8,0)</f>
        <v>-0.0</v>
      </c>
      <c r="TXD55" s="5">
        <f>-IFERROR('4. NPV'!TXE24/'4. NPV'!TXE$8,0)</f>
        <v>-0.0</v>
      </c>
      <c r="TXE55" s="5">
        <f>-IFERROR('4. NPV'!TXF24/'4. NPV'!TXF$8,0)</f>
        <v>-0.0</v>
      </c>
      <c r="TXF55" s="5">
        <f>-IFERROR('4. NPV'!TXG24/'4. NPV'!TXG$8,0)</f>
        <v>-0.0</v>
      </c>
      <c r="TXG55" s="5">
        <f>-IFERROR('4. NPV'!TXH24/'4. NPV'!TXH$8,0)</f>
        <v>-0.0</v>
      </c>
      <c r="TXH55" s="5">
        <f>-IFERROR('4. NPV'!TXI24/'4. NPV'!TXI$8,0)</f>
        <v>-0.0</v>
      </c>
      <c r="TXI55" s="5">
        <f>-IFERROR('4. NPV'!TXJ24/'4. NPV'!TXJ$8,0)</f>
        <v>-0.0</v>
      </c>
      <c r="TXJ55" s="5">
        <f>-IFERROR('4. NPV'!TXK24/'4. NPV'!TXK$8,0)</f>
        <v>-0.0</v>
      </c>
      <c r="TXK55" s="5">
        <f>-IFERROR('4. NPV'!TXL24/'4. NPV'!TXL$8,0)</f>
        <v>-0.0</v>
      </c>
      <c r="TXL55" s="5">
        <f>-IFERROR('4. NPV'!TXM24/'4. NPV'!TXM$8,0)</f>
        <v>-0.0</v>
      </c>
      <c r="TXM55" s="5">
        <f>-IFERROR('4. NPV'!TXN24/'4. NPV'!TXN$8,0)</f>
        <v>-0.0</v>
      </c>
      <c r="TXN55" s="5">
        <f>-IFERROR('4. NPV'!TXO24/'4. NPV'!TXO$8,0)</f>
        <v>-0.0</v>
      </c>
      <c r="TXO55" s="5">
        <f>-IFERROR('4. NPV'!TXP24/'4. NPV'!TXP$8,0)</f>
        <v>-0.0</v>
      </c>
      <c r="TXP55" s="5">
        <f>-IFERROR('4. NPV'!TXQ24/'4. NPV'!TXQ$8,0)</f>
        <v>-0.0</v>
      </c>
      <c r="TXQ55" s="5">
        <f>-IFERROR('4. NPV'!TXR24/'4. NPV'!TXR$8,0)</f>
        <v>-0.0</v>
      </c>
      <c r="TXR55" s="5">
        <f>-IFERROR('4. NPV'!TXS24/'4. NPV'!TXS$8,0)</f>
        <v>-0.0</v>
      </c>
      <c r="TXS55" s="5">
        <f>-IFERROR('4. NPV'!TXT24/'4. NPV'!TXT$8,0)</f>
        <v>-0.0</v>
      </c>
      <c r="TXT55" s="5">
        <f>-IFERROR('4. NPV'!TXU24/'4. NPV'!TXU$8,0)</f>
        <v>-0.0</v>
      </c>
      <c r="TXU55" s="5">
        <f>-IFERROR('4. NPV'!TXV24/'4. NPV'!TXV$8,0)</f>
        <v>-0.0</v>
      </c>
      <c r="TXV55" s="5">
        <f>-IFERROR('4. NPV'!TXW24/'4. NPV'!TXW$8,0)</f>
        <v>-0.0</v>
      </c>
      <c r="TXW55" s="5">
        <f>-IFERROR('4. NPV'!TXX24/'4. NPV'!TXX$8,0)</f>
        <v>-0.0</v>
      </c>
      <c r="TXX55" s="5">
        <f>-IFERROR('4. NPV'!TXY24/'4. NPV'!TXY$8,0)</f>
        <v>-0.0</v>
      </c>
      <c r="TXY55" s="5">
        <f>-IFERROR('4. NPV'!TXZ24/'4. NPV'!TXZ$8,0)</f>
        <v>-0.0</v>
      </c>
      <c r="TXZ55" s="5">
        <f>-IFERROR('4. NPV'!TYA24/'4. NPV'!TYA$8,0)</f>
        <v>-0.0</v>
      </c>
      <c r="TYA55" s="5">
        <f>-IFERROR('4. NPV'!TYB24/'4. NPV'!TYB$8,0)</f>
        <v>-0.0</v>
      </c>
      <c r="TYB55" s="5">
        <f>-IFERROR('4. NPV'!TYC24/'4. NPV'!TYC$8,0)</f>
        <v>-0.0</v>
      </c>
      <c r="TYC55" s="5">
        <f>-IFERROR('4. NPV'!TYD24/'4. NPV'!TYD$8,0)</f>
        <v>-0.0</v>
      </c>
      <c r="TYD55" s="5">
        <f>-IFERROR('4. NPV'!TYE24/'4. NPV'!TYE$8,0)</f>
        <v>-0.0</v>
      </c>
      <c r="TYE55" s="5">
        <f>-IFERROR('4. NPV'!TYF24/'4. NPV'!TYF$8,0)</f>
        <v>-0.0</v>
      </c>
      <c r="TYF55" s="5">
        <f>-IFERROR('4. NPV'!TYG24/'4. NPV'!TYG$8,0)</f>
        <v>-0.0</v>
      </c>
      <c r="TYG55" s="5">
        <f>-IFERROR('4. NPV'!TYH24/'4. NPV'!TYH$8,0)</f>
        <v>-0.0</v>
      </c>
      <c r="TYH55" s="5">
        <f>-IFERROR('4. NPV'!TYI24/'4. NPV'!TYI$8,0)</f>
        <v>-0.0</v>
      </c>
      <c r="TYI55" s="5">
        <f>-IFERROR('4. NPV'!TYJ24/'4. NPV'!TYJ$8,0)</f>
        <v>-0.0</v>
      </c>
      <c r="TYJ55" s="5">
        <f>-IFERROR('4. NPV'!TYK24/'4. NPV'!TYK$8,0)</f>
        <v>-0.0</v>
      </c>
      <c r="TYK55" s="5">
        <f>-IFERROR('4. NPV'!TYL24/'4. NPV'!TYL$8,0)</f>
        <v>-0.0</v>
      </c>
      <c r="TYL55" s="5">
        <f>-IFERROR('4. NPV'!TYM24/'4. NPV'!TYM$8,0)</f>
        <v>-0.0</v>
      </c>
      <c r="TYM55" s="5">
        <f>-IFERROR('4. NPV'!TYN24/'4. NPV'!TYN$8,0)</f>
        <v>-0.0</v>
      </c>
      <c r="TYN55" s="5">
        <f>-IFERROR('4. NPV'!TYO24/'4. NPV'!TYO$8,0)</f>
        <v>-0.0</v>
      </c>
      <c r="TYO55" s="5">
        <f>-IFERROR('4. NPV'!TYP24/'4. NPV'!TYP$8,0)</f>
        <v>-0.0</v>
      </c>
      <c r="TYP55" s="5">
        <f>-IFERROR('4. NPV'!TYQ24/'4. NPV'!TYQ$8,0)</f>
        <v>-0.0</v>
      </c>
      <c r="TYQ55" s="5">
        <f>-IFERROR('4. NPV'!TYR24/'4. NPV'!TYR$8,0)</f>
        <v>-0.0</v>
      </c>
      <c r="TYR55" s="5">
        <f>-IFERROR('4. NPV'!TYS24/'4. NPV'!TYS$8,0)</f>
        <v>-0.0</v>
      </c>
      <c r="TYS55" s="5">
        <f>-IFERROR('4. NPV'!TYT24/'4. NPV'!TYT$8,0)</f>
        <v>-0.0</v>
      </c>
      <c r="TYT55" s="5">
        <f>-IFERROR('4. NPV'!TYU24/'4. NPV'!TYU$8,0)</f>
        <v>-0.0</v>
      </c>
      <c r="TYU55" s="5">
        <f>-IFERROR('4. NPV'!TYV24/'4. NPV'!TYV$8,0)</f>
        <v>-0.0</v>
      </c>
      <c r="TYV55" s="5">
        <f>-IFERROR('4. NPV'!TYW24/'4. NPV'!TYW$8,0)</f>
        <v>-0.0</v>
      </c>
      <c r="TYW55" s="5">
        <f>-IFERROR('4. NPV'!TYX24/'4. NPV'!TYX$8,0)</f>
        <v>-0.0</v>
      </c>
      <c r="TYX55" s="5">
        <f>-IFERROR('4. NPV'!TYY24/'4. NPV'!TYY$8,0)</f>
        <v>-0.0</v>
      </c>
      <c r="TYY55" s="5">
        <f>-IFERROR('4. NPV'!TYZ24/'4. NPV'!TYZ$8,0)</f>
        <v>-0.0</v>
      </c>
      <c r="TYZ55" s="5">
        <f>-IFERROR('4. NPV'!TZA24/'4. NPV'!TZA$8,0)</f>
        <v>-0.0</v>
      </c>
      <c r="TZA55" s="5">
        <f>-IFERROR('4. NPV'!TZB24/'4. NPV'!TZB$8,0)</f>
        <v>-0.0</v>
      </c>
      <c r="TZB55" s="5">
        <f>-IFERROR('4. NPV'!TZC24/'4. NPV'!TZC$8,0)</f>
        <v>-0.0</v>
      </c>
      <c r="TZC55" s="5">
        <f>-IFERROR('4. NPV'!TZD24/'4. NPV'!TZD$8,0)</f>
        <v>-0.0</v>
      </c>
      <c r="TZD55" s="5">
        <f>-IFERROR('4. NPV'!TZE24/'4. NPV'!TZE$8,0)</f>
        <v>-0.0</v>
      </c>
      <c r="TZE55" s="5">
        <f>-IFERROR('4. NPV'!TZF24/'4. NPV'!TZF$8,0)</f>
        <v>-0.0</v>
      </c>
      <c r="TZF55" s="5">
        <f>-IFERROR('4. NPV'!TZG24/'4. NPV'!TZG$8,0)</f>
        <v>-0.0</v>
      </c>
      <c r="TZG55" s="5">
        <f>-IFERROR('4. NPV'!TZH24/'4. NPV'!TZH$8,0)</f>
        <v>-0.0</v>
      </c>
      <c r="TZH55" s="5">
        <f>-IFERROR('4. NPV'!TZI24/'4. NPV'!TZI$8,0)</f>
        <v>-0.0</v>
      </c>
      <c r="TZI55" s="5">
        <f>-IFERROR('4. NPV'!TZJ24/'4. NPV'!TZJ$8,0)</f>
        <v>-0.0</v>
      </c>
      <c r="TZJ55" s="5">
        <f>-IFERROR('4. NPV'!TZK24/'4. NPV'!TZK$8,0)</f>
        <v>-0.0</v>
      </c>
      <c r="TZK55" s="5">
        <f>-IFERROR('4. NPV'!TZL24/'4. NPV'!TZL$8,0)</f>
        <v>-0.0</v>
      </c>
      <c r="TZL55" s="5">
        <f>-IFERROR('4. NPV'!TZM24/'4. NPV'!TZM$8,0)</f>
        <v>-0.0</v>
      </c>
      <c r="TZM55" s="5">
        <f>-IFERROR('4. NPV'!TZN24/'4. NPV'!TZN$8,0)</f>
        <v>-0.0</v>
      </c>
      <c r="TZN55" s="5">
        <f>-IFERROR('4. NPV'!TZO24/'4. NPV'!TZO$8,0)</f>
        <v>-0.0</v>
      </c>
      <c r="TZO55" s="5">
        <f>-IFERROR('4. NPV'!TZP24/'4. NPV'!TZP$8,0)</f>
        <v>-0.0</v>
      </c>
      <c r="TZP55" s="5">
        <f>-IFERROR('4. NPV'!TZQ24/'4. NPV'!TZQ$8,0)</f>
        <v>-0.0</v>
      </c>
      <c r="TZQ55" s="5">
        <f>-IFERROR('4. NPV'!TZR24/'4. NPV'!TZR$8,0)</f>
        <v>-0.0</v>
      </c>
      <c r="TZR55" s="5">
        <f>-IFERROR('4. NPV'!TZS24/'4. NPV'!TZS$8,0)</f>
        <v>-0.0</v>
      </c>
      <c r="TZS55" s="5">
        <f>-IFERROR('4. NPV'!TZT24/'4. NPV'!TZT$8,0)</f>
        <v>-0.0</v>
      </c>
      <c r="TZT55" s="5">
        <f>-IFERROR('4. NPV'!TZU24/'4. NPV'!TZU$8,0)</f>
        <v>-0.0</v>
      </c>
      <c r="TZU55" s="5">
        <f>-IFERROR('4. NPV'!TZV24/'4. NPV'!TZV$8,0)</f>
        <v>-0.0</v>
      </c>
      <c r="TZV55" s="5">
        <f>-IFERROR('4. NPV'!TZW24/'4. NPV'!TZW$8,0)</f>
        <v>-0.0</v>
      </c>
      <c r="TZW55" s="5">
        <f>-IFERROR('4. NPV'!TZX24/'4. NPV'!TZX$8,0)</f>
        <v>-0.0</v>
      </c>
      <c r="TZX55" s="5">
        <f>-IFERROR('4. NPV'!TZY24/'4. NPV'!TZY$8,0)</f>
        <v>-0.0</v>
      </c>
      <c r="TZY55" s="5">
        <f>-IFERROR('4. NPV'!TZZ24/'4. NPV'!TZZ$8,0)</f>
        <v>-0.0</v>
      </c>
      <c r="TZZ55" s="5">
        <f>-IFERROR('4. NPV'!UAA24/'4. NPV'!UAA$8,0)</f>
        <v>-0.0</v>
      </c>
      <c r="UAA55" s="5">
        <f>-IFERROR('4. NPV'!UAB24/'4. NPV'!UAB$8,0)</f>
        <v>-0.0</v>
      </c>
      <c r="UAB55" s="5">
        <f>-IFERROR('4. NPV'!UAC24/'4. NPV'!UAC$8,0)</f>
        <v>-0.0</v>
      </c>
      <c r="UAC55" s="5">
        <f>-IFERROR('4. NPV'!UAD24/'4. NPV'!UAD$8,0)</f>
        <v>-0.0</v>
      </c>
      <c r="UAD55" s="5">
        <f>-IFERROR('4. NPV'!UAE24/'4. NPV'!UAE$8,0)</f>
        <v>-0.0</v>
      </c>
      <c r="UAE55" s="5">
        <f>-IFERROR('4. NPV'!UAF24/'4. NPV'!UAF$8,0)</f>
        <v>-0.0</v>
      </c>
      <c r="UAF55" s="5">
        <f>-IFERROR('4. NPV'!UAG24/'4. NPV'!UAG$8,0)</f>
        <v>-0.0</v>
      </c>
      <c r="UAG55" s="5">
        <f>-IFERROR('4. NPV'!UAH24/'4. NPV'!UAH$8,0)</f>
        <v>-0.0</v>
      </c>
      <c r="UAH55" s="5">
        <f>-IFERROR('4. NPV'!UAI24/'4. NPV'!UAI$8,0)</f>
        <v>-0.0</v>
      </c>
      <c r="UAI55" s="5">
        <f>-IFERROR('4. NPV'!UAJ24/'4. NPV'!UAJ$8,0)</f>
        <v>-0.0</v>
      </c>
      <c r="UAJ55" s="5">
        <f>-IFERROR('4. NPV'!UAK24/'4. NPV'!UAK$8,0)</f>
        <v>-0.0</v>
      </c>
      <c r="UAK55" s="5">
        <f>-IFERROR('4. NPV'!UAL24/'4. NPV'!UAL$8,0)</f>
        <v>-0.0</v>
      </c>
      <c r="UAL55" s="5">
        <f>-IFERROR('4. NPV'!UAM24/'4. NPV'!UAM$8,0)</f>
        <v>-0.0</v>
      </c>
      <c r="UAM55" s="5">
        <f>-IFERROR('4. NPV'!UAN24/'4. NPV'!UAN$8,0)</f>
        <v>-0.0</v>
      </c>
      <c r="UAN55" s="5">
        <f>-IFERROR('4. NPV'!UAO24/'4. NPV'!UAO$8,0)</f>
        <v>-0.0</v>
      </c>
      <c r="UAO55" s="5">
        <f>-IFERROR('4. NPV'!UAP24/'4. NPV'!UAP$8,0)</f>
        <v>-0.0</v>
      </c>
      <c r="UAP55" s="5">
        <f>-IFERROR('4. NPV'!UAQ24/'4. NPV'!UAQ$8,0)</f>
        <v>-0.0</v>
      </c>
      <c r="UAQ55" s="5">
        <f>-IFERROR('4. NPV'!UAR24/'4. NPV'!UAR$8,0)</f>
        <v>-0.0</v>
      </c>
      <c r="UAR55" s="5">
        <f>-IFERROR('4. NPV'!UAS24/'4. NPV'!UAS$8,0)</f>
        <v>-0.0</v>
      </c>
      <c r="UAS55" s="5">
        <f>-IFERROR('4. NPV'!UAT24/'4. NPV'!UAT$8,0)</f>
        <v>-0.0</v>
      </c>
      <c r="UAT55" s="5">
        <f>-IFERROR('4. NPV'!UAU24/'4. NPV'!UAU$8,0)</f>
        <v>-0.0</v>
      </c>
      <c r="UAU55" s="5">
        <f>-IFERROR('4. NPV'!UAV24/'4. NPV'!UAV$8,0)</f>
        <v>-0.0</v>
      </c>
      <c r="UAV55" s="5">
        <f>-IFERROR('4. NPV'!UAW24/'4. NPV'!UAW$8,0)</f>
        <v>-0.0</v>
      </c>
      <c r="UAW55" s="5">
        <f>-IFERROR('4. NPV'!UAX24/'4. NPV'!UAX$8,0)</f>
        <v>-0.0</v>
      </c>
      <c r="UAX55" s="5">
        <f>-IFERROR('4. NPV'!UAY24/'4. NPV'!UAY$8,0)</f>
        <v>-0.0</v>
      </c>
      <c r="UAY55" s="5">
        <f>-IFERROR('4. NPV'!UAZ24/'4. NPV'!UAZ$8,0)</f>
        <v>-0.0</v>
      </c>
      <c r="UAZ55" s="5">
        <f>-IFERROR('4. NPV'!UBA24/'4. NPV'!UBA$8,0)</f>
        <v>-0.0</v>
      </c>
      <c r="UBA55" s="5">
        <f>-IFERROR('4. NPV'!UBB24/'4. NPV'!UBB$8,0)</f>
        <v>-0.0</v>
      </c>
      <c r="UBB55" s="5">
        <f>-IFERROR('4. NPV'!UBC24/'4. NPV'!UBC$8,0)</f>
        <v>-0.0</v>
      </c>
      <c r="UBC55" s="5">
        <f>-IFERROR('4. NPV'!UBD24/'4. NPV'!UBD$8,0)</f>
        <v>-0.0</v>
      </c>
      <c r="UBD55" s="5">
        <f>-IFERROR('4. NPV'!UBE24/'4. NPV'!UBE$8,0)</f>
        <v>-0.0</v>
      </c>
      <c r="UBE55" s="5">
        <f>-IFERROR('4. NPV'!UBF24/'4. NPV'!UBF$8,0)</f>
        <v>-0.0</v>
      </c>
      <c r="UBF55" s="5">
        <f>-IFERROR('4. NPV'!UBG24/'4. NPV'!UBG$8,0)</f>
        <v>-0.0</v>
      </c>
      <c r="UBG55" s="5">
        <f>-IFERROR('4. NPV'!UBH24/'4. NPV'!UBH$8,0)</f>
        <v>-0.0</v>
      </c>
      <c r="UBH55" s="5">
        <f>-IFERROR('4. NPV'!UBI24/'4. NPV'!UBI$8,0)</f>
        <v>-0.0</v>
      </c>
      <c r="UBI55" s="5">
        <f>-IFERROR('4. NPV'!UBJ24/'4. NPV'!UBJ$8,0)</f>
        <v>-0.0</v>
      </c>
      <c r="UBJ55" s="5">
        <f>-IFERROR('4. NPV'!UBK24/'4. NPV'!UBK$8,0)</f>
        <v>-0.0</v>
      </c>
      <c r="UBK55" s="5">
        <f>-IFERROR('4. NPV'!UBL24/'4. NPV'!UBL$8,0)</f>
        <v>-0.0</v>
      </c>
      <c r="UBL55" s="5">
        <f>-IFERROR('4. NPV'!UBM24/'4. NPV'!UBM$8,0)</f>
        <v>-0.0</v>
      </c>
      <c r="UBM55" s="5">
        <f>-IFERROR('4. NPV'!UBN24/'4. NPV'!UBN$8,0)</f>
        <v>-0.0</v>
      </c>
      <c r="UBN55" s="5">
        <f>-IFERROR('4. NPV'!UBO24/'4. NPV'!UBO$8,0)</f>
        <v>-0.0</v>
      </c>
      <c r="UBO55" s="5">
        <f>-IFERROR('4. NPV'!UBP24/'4. NPV'!UBP$8,0)</f>
        <v>-0.0</v>
      </c>
      <c r="UBP55" s="5">
        <f>-IFERROR('4. NPV'!UBQ24/'4. NPV'!UBQ$8,0)</f>
        <v>-0.0</v>
      </c>
      <c r="UBQ55" s="5">
        <f>-IFERROR('4. NPV'!UBR24/'4. NPV'!UBR$8,0)</f>
        <v>-0.0</v>
      </c>
      <c r="UBR55" s="5">
        <f>-IFERROR('4. NPV'!UBS24/'4. NPV'!UBS$8,0)</f>
        <v>-0.0</v>
      </c>
      <c r="UBS55" s="5">
        <f>-IFERROR('4. NPV'!UBT24/'4. NPV'!UBT$8,0)</f>
        <v>-0.0</v>
      </c>
      <c r="UBT55" s="5">
        <f>-IFERROR('4. NPV'!UBU24/'4. NPV'!UBU$8,0)</f>
        <v>-0.0</v>
      </c>
      <c r="UBU55" s="5">
        <f>-IFERROR('4. NPV'!UBV24/'4. NPV'!UBV$8,0)</f>
        <v>-0.0</v>
      </c>
      <c r="UBV55" s="5">
        <f>-IFERROR('4. NPV'!UBW24/'4. NPV'!UBW$8,0)</f>
        <v>-0.0</v>
      </c>
      <c r="UBW55" s="5">
        <f>-IFERROR('4. NPV'!UBX24/'4. NPV'!UBX$8,0)</f>
        <v>-0.0</v>
      </c>
      <c r="UBX55" s="5">
        <f>-IFERROR('4. NPV'!UBY24/'4. NPV'!UBY$8,0)</f>
        <v>-0.0</v>
      </c>
      <c r="UBY55" s="5">
        <f>-IFERROR('4. NPV'!UBZ24/'4. NPV'!UBZ$8,0)</f>
        <v>-0.0</v>
      </c>
      <c r="UBZ55" s="5">
        <f>-IFERROR('4. NPV'!UCA24/'4. NPV'!UCA$8,0)</f>
        <v>-0.0</v>
      </c>
      <c r="UCA55" s="5">
        <f>-IFERROR('4. NPV'!UCB24/'4. NPV'!UCB$8,0)</f>
        <v>-0.0</v>
      </c>
      <c r="UCB55" s="5">
        <f>-IFERROR('4. NPV'!UCC24/'4. NPV'!UCC$8,0)</f>
        <v>-0.0</v>
      </c>
      <c r="UCC55" s="5">
        <f>-IFERROR('4. NPV'!UCD24/'4. NPV'!UCD$8,0)</f>
        <v>-0.0</v>
      </c>
      <c r="UCD55" s="5">
        <f>-IFERROR('4. NPV'!UCE24/'4. NPV'!UCE$8,0)</f>
        <v>-0.0</v>
      </c>
      <c r="UCE55" s="5">
        <f>-IFERROR('4. NPV'!UCF24/'4. NPV'!UCF$8,0)</f>
        <v>-0.0</v>
      </c>
      <c r="UCF55" s="5">
        <f>-IFERROR('4. NPV'!UCG24/'4. NPV'!UCG$8,0)</f>
        <v>-0.0</v>
      </c>
      <c r="UCG55" s="5">
        <f>-IFERROR('4. NPV'!UCH24/'4. NPV'!UCH$8,0)</f>
        <v>-0.0</v>
      </c>
      <c r="UCH55" s="5">
        <f>-IFERROR('4. NPV'!UCI24/'4. NPV'!UCI$8,0)</f>
        <v>-0.0</v>
      </c>
      <c r="UCI55" s="5">
        <f>-IFERROR('4. NPV'!UCJ24/'4. NPV'!UCJ$8,0)</f>
        <v>-0.0</v>
      </c>
      <c r="UCJ55" s="5">
        <f>-IFERROR('4. NPV'!UCK24/'4. NPV'!UCK$8,0)</f>
        <v>-0.0</v>
      </c>
      <c r="UCK55" s="5">
        <f>-IFERROR('4. NPV'!UCL24/'4. NPV'!UCL$8,0)</f>
        <v>-0.0</v>
      </c>
      <c r="UCL55" s="5">
        <f>-IFERROR('4. NPV'!UCM24/'4. NPV'!UCM$8,0)</f>
        <v>-0.0</v>
      </c>
      <c r="UCM55" s="5">
        <f>-IFERROR('4. NPV'!UCN24/'4. NPV'!UCN$8,0)</f>
        <v>-0.0</v>
      </c>
      <c r="UCN55" s="5">
        <f>-IFERROR('4. NPV'!UCO24/'4. NPV'!UCO$8,0)</f>
        <v>-0.0</v>
      </c>
      <c r="UCO55" s="5">
        <f>-IFERROR('4. NPV'!UCP24/'4. NPV'!UCP$8,0)</f>
        <v>-0.0</v>
      </c>
      <c r="UCP55" s="5">
        <f>-IFERROR('4. NPV'!UCQ24/'4. NPV'!UCQ$8,0)</f>
        <v>-0.0</v>
      </c>
      <c r="UCQ55" s="5">
        <f>-IFERROR('4. NPV'!UCR24/'4. NPV'!UCR$8,0)</f>
        <v>-0.0</v>
      </c>
      <c r="UCR55" s="5">
        <f>-IFERROR('4. NPV'!UCS24/'4. NPV'!UCS$8,0)</f>
        <v>-0.0</v>
      </c>
      <c r="UCS55" s="5">
        <f>-IFERROR('4. NPV'!UCT24/'4. NPV'!UCT$8,0)</f>
        <v>-0.0</v>
      </c>
      <c r="UCT55" s="5">
        <f>-IFERROR('4. NPV'!UCU24/'4. NPV'!UCU$8,0)</f>
        <v>-0.0</v>
      </c>
      <c r="UCU55" s="5">
        <f>-IFERROR('4. NPV'!UCV24/'4. NPV'!UCV$8,0)</f>
        <v>-0.0</v>
      </c>
      <c r="UCV55" s="5">
        <f>-IFERROR('4. NPV'!UCW24/'4. NPV'!UCW$8,0)</f>
        <v>-0.0</v>
      </c>
      <c r="UCW55" s="5">
        <f>-IFERROR('4. NPV'!UCX24/'4. NPV'!UCX$8,0)</f>
        <v>-0.0</v>
      </c>
      <c r="UCX55" s="5">
        <f>-IFERROR('4. NPV'!UCY24/'4. NPV'!UCY$8,0)</f>
        <v>-0.0</v>
      </c>
      <c r="UCY55" s="5">
        <f>-IFERROR('4. NPV'!UCZ24/'4. NPV'!UCZ$8,0)</f>
        <v>-0.0</v>
      </c>
      <c r="UCZ55" s="5">
        <f>-IFERROR('4. NPV'!UDA24/'4. NPV'!UDA$8,0)</f>
        <v>-0.0</v>
      </c>
      <c r="UDA55" s="5">
        <f>-IFERROR('4. NPV'!UDB24/'4. NPV'!UDB$8,0)</f>
        <v>-0.0</v>
      </c>
      <c r="UDB55" s="5">
        <f>-IFERROR('4. NPV'!UDC24/'4. NPV'!UDC$8,0)</f>
        <v>-0.0</v>
      </c>
      <c r="UDC55" s="5">
        <f>-IFERROR('4. NPV'!UDD24/'4. NPV'!UDD$8,0)</f>
        <v>-0.0</v>
      </c>
      <c r="UDD55" s="5">
        <f>-IFERROR('4. NPV'!UDE24/'4. NPV'!UDE$8,0)</f>
        <v>-0.0</v>
      </c>
      <c r="UDE55" s="5">
        <f>-IFERROR('4. NPV'!UDF24/'4. NPV'!UDF$8,0)</f>
        <v>-0.0</v>
      </c>
      <c r="UDF55" s="5">
        <f>-IFERROR('4. NPV'!UDG24/'4. NPV'!UDG$8,0)</f>
        <v>-0.0</v>
      </c>
      <c r="UDG55" s="5">
        <f>-IFERROR('4. NPV'!UDH24/'4. NPV'!UDH$8,0)</f>
        <v>-0.0</v>
      </c>
      <c r="UDH55" s="5">
        <f>-IFERROR('4. NPV'!UDI24/'4. NPV'!UDI$8,0)</f>
        <v>-0.0</v>
      </c>
      <c r="UDI55" s="5">
        <f>-IFERROR('4. NPV'!UDJ24/'4. NPV'!UDJ$8,0)</f>
        <v>-0.0</v>
      </c>
      <c r="UDJ55" s="5">
        <f>-IFERROR('4. NPV'!UDK24/'4. NPV'!UDK$8,0)</f>
        <v>-0.0</v>
      </c>
      <c r="UDK55" s="5">
        <f>-IFERROR('4. NPV'!UDL24/'4. NPV'!UDL$8,0)</f>
        <v>-0.0</v>
      </c>
      <c r="UDL55" s="5">
        <f>-IFERROR('4. NPV'!UDM24/'4. NPV'!UDM$8,0)</f>
        <v>-0.0</v>
      </c>
      <c r="UDM55" s="5">
        <f>-IFERROR('4. NPV'!UDN24/'4. NPV'!UDN$8,0)</f>
        <v>-0.0</v>
      </c>
      <c r="UDN55" s="5">
        <f>-IFERROR('4. NPV'!UDO24/'4. NPV'!UDO$8,0)</f>
        <v>-0.0</v>
      </c>
      <c r="UDO55" s="5">
        <f>-IFERROR('4. NPV'!UDP24/'4. NPV'!UDP$8,0)</f>
        <v>-0.0</v>
      </c>
      <c r="UDP55" s="5">
        <f>-IFERROR('4. NPV'!UDQ24/'4. NPV'!UDQ$8,0)</f>
        <v>-0.0</v>
      </c>
      <c r="UDQ55" s="5">
        <f>-IFERROR('4. NPV'!UDR24/'4. NPV'!UDR$8,0)</f>
        <v>-0.0</v>
      </c>
      <c r="UDR55" s="5">
        <f>-IFERROR('4. NPV'!UDS24/'4. NPV'!UDS$8,0)</f>
        <v>-0.0</v>
      </c>
      <c r="UDS55" s="5">
        <f>-IFERROR('4. NPV'!UDT24/'4. NPV'!UDT$8,0)</f>
        <v>-0.0</v>
      </c>
      <c r="UDT55" s="5">
        <f>-IFERROR('4. NPV'!UDU24/'4. NPV'!UDU$8,0)</f>
        <v>-0.0</v>
      </c>
      <c r="UDU55" s="5">
        <f>-IFERROR('4. NPV'!UDV24/'4. NPV'!UDV$8,0)</f>
        <v>-0.0</v>
      </c>
      <c r="UDV55" s="5">
        <f>-IFERROR('4. NPV'!UDW24/'4. NPV'!UDW$8,0)</f>
        <v>-0.0</v>
      </c>
      <c r="UDW55" s="5">
        <f>-IFERROR('4. NPV'!UDX24/'4. NPV'!UDX$8,0)</f>
        <v>-0.0</v>
      </c>
      <c r="UDX55" s="5">
        <f>-IFERROR('4. NPV'!UDY24/'4. NPV'!UDY$8,0)</f>
        <v>-0.0</v>
      </c>
      <c r="UDY55" s="5">
        <f>-IFERROR('4. NPV'!UDZ24/'4. NPV'!UDZ$8,0)</f>
        <v>-0.0</v>
      </c>
      <c r="UDZ55" s="5">
        <f>-IFERROR('4. NPV'!UEA24/'4. NPV'!UEA$8,0)</f>
        <v>-0.0</v>
      </c>
      <c r="UEA55" s="5">
        <f>-IFERROR('4. NPV'!UEB24/'4. NPV'!UEB$8,0)</f>
        <v>-0.0</v>
      </c>
      <c r="UEB55" s="5">
        <f>-IFERROR('4. NPV'!UEC24/'4. NPV'!UEC$8,0)</f>
        <v>-0.0</v>
      </c>
      <c r="UEC55" s="5">
        <f>-IFERROR('4. NPV'!UED24/'4. NPV'!UED$8,0)</f>
        <v>-0.0</v>
      </c>
      <c r="UED55" s="5">
        <f>-IFERROR('4. NPV'!UEE24/'4. NPV'!UEE$8,0)</f>
        <v>-0.0</v>
      </c>
      <c r="UEE55" s="5">
        <f>-IFERROR('4. NPV'!UEF24/'4. NPV'!UEF$8,0)</f>
        <v>-0.0</v>
      </c>
      <c r="UEF55" s="5">
        <f>-IFERROR('4. NPV'!UEG24/'4. NPV'!UEG$8,0)</f>
        <v>-0.0</v>
      </c>
      <c r="UEG55" s="5">
        <f>-IFERROR('4. NPV'!UEH24/'4. NPV'!UEH$8,0)</f>
        <v>-0.0</v>
      </c>
      <c r="UEH55" s="5">
        <f>-IFERROR('4. NPV'!UEI24/'4. NPV'!UEI$8,0)</f>
        <v>-0.0</v>
      </c>
      <c r="UEI55" s="5">
        <f>-IFERROR('4. NPV'!UEJ24/'4. NPV'!UEJ$8,0)</f>
        <v>-0.0</v>
      </c>
      <c r="UEJ55" s="5">
        <f>-IFERROR('4. NPV'!UEK24/'4. NPV'!UEK$8,0)</f>
        <v>-0.0</v>
      </c>
      <c r="UEK55" s="5">
        <f>-IFERROR('4. NPV'!UEL24/'4. NPV'!UEL$8,0)</f>
        <v>-0.0</v>
      </c>
      <c r="UEL55" s="5">
        <f>-IFERROR('4. NPV'!UEM24/'4. NPV'!UEM$8,0)</f>
        <v>-0.0</v>
      </c>
      <c r="UEM55" s="5">
        <f>-IFERROR('4. NPV'!UEN24/'4. NPV'!UEN$8,0)</f>
        <v>-0.0</v>
      </c>
      <c r="UEN55" s="5">
        <f>-IFERROR('4. NPV'!UEO24/'4. NPV'!UEO$8,0)</f>
        <v>-0.0</v>
      </c>
      <c r="UEO55" s="5">
        <f>-IFERROR('4. NPV'!UEP24/'4. NPV'!UEP$8,0)</f>
        <v>-0.0</v>
      </c>
      <c r="UEP55" s="5">
        <f>-IFERROR('4. NPV'!UEQ24/'4. NPV'!UEQ$8,0)</f>
        <v>-0.0</v>
      </c>
      <c r="UEQ55" s="5">
        <f>-IFERROR('4. NPV'!UER24/'4. NPV'!UER$8,0)</f>
        <v>-0.0</v>
      </c>
      <c r="UER55" s="5">
        <f>-IFERROR('4. NPV'!UES24/'4. NPV'!UES$8,0)</f>
        <v>-0.0</v>
      </c>
      <c r="UES55" s="5">
        <f>-IFERROR('4. NPV'!UET24/'4. NPV'!UET$8,0)</f>
        <v>-0.0</v>
      </c>
      <c r="UET55" s="5">
        <f>-IFERROR('4. NPV'!UEU24/'4. NPV'!UEU$8,0)</f>
        <v>-0.0</v>
      </c>
      <c r="UEU55" s="5">
        <f>-IFERROR('4. NPV'!UEV24/'4. NPV'!UEV$8,0)</f>
        <v>-0.0</v>
      </c>
      <c r="UEV55" s="5">
        <f>-IFERROR('4. NPV'!UEW24/'4. NPV'!UEW$8,0)</f>
        <v>-0.0</v>
      </c>
      <c r="UEW55" s="5">
        <f>-IFERROR('4. NPV'!UEX24/'4. NPV'!UEX$8,0)</f>
        <v>-0.0</v>
      </c>
      <c r="UEX55" s="5">
        <f>-IFERROR('4. NPV'!UEY24/'4. NPV'!UEY$8,0)</f>
        <v>-0.0</v>
      </c>
      <c r="UEY55" s="5">
        <f>-IFERROR('4. NPV'!UEZ24/'4. NPV'!UEZ$8,0)</f>
        <v>-0.0</v>
      </c>
      <c r="UEZ55" s="5">
        <f>-IFERROR('4. NPV'!UFA24/'4. NPV'!UFA$8,0)</f>
        <v>-0.0</v>
      </c>
      <c r="UFA55" s="5">
        <f>-IFERROR('4. NPV'!UFB24/'4. NPV'!UFB$8,0)</f>
        <v>-0.0</v>
      </c>
      <c r="UFB55" s="5">
        <f>-IFERROR('4. NPV'!UFC24/'4. NPV'!UFC$8,0)</f>
        <v>-0.0</v>
      </c>
      <c r="UFC55" s="5">
        <f>-IFERROR('4. NPV'!UFD24/'4. NPV'!UFD$8,0)</f>
        <v>-0.0</v>
      </c>
      <c r="UFD55" s="5">
        <f>-IFERROR('4. NPV'!UFE24/'4. NPV'!UFE$8,0)</f>
        <v>-0.0</v>
      </c>
      <c r="UFE55" s="5">
        <f>-IFERROR('4. NPV'!UFF24/'4. NPV'!UFF$8,0)</f>
        <v>-0.0</v>
      </c>
      <c r="UFF55" s="5">
        <f>-IFERROR('4. NPV'!UFG24/'4. NPV'!UFG$8,0)</f>
        <v>-0.0</v>
      </c>
      <c r="UFG55" s="5">
        <f>-IFERROR('4. NPV'!UFH24/'4. NPV'!UFH$8,0)</f>
        <v>-0.0</v>
      </c>
      <c r="UFH55" s="5">
        <f>-IFERROR('4. NPV'!UFI24/'4. NPV'!UFI$8,0)</f>
        <v>-0.0</v>
      </c>
      <c r="UFI55" s="5">
        <f>-IFERROR('4. NPV'!UFJ24/'4. NPV'!UFJ$8,0)</f>
        <v>-0.0</v>
      </c>
      <c r="UFJ55" s="5">
        <f>-IFERROR('4. NPV'!UFK24/'4. NPV'!UFK$8,0)</f>
        <v>-0.0</v>
      </c>
      <c r="UFK55" s="5">
        <f>-IFERROR('4. NPV'!UFL24/'4. NPV'!UFL$8,0)</f>
        <v>-0.0</v>
      </c>
      <c r="UFL55" s="5">
        <f>-IFERROR('4. NPV'!UFM24/'4. NPV'!UFM$8,0)</f>
        <v>-0.0</v>
      </c>
      <c r="UFM55" s="5">
        <f>-IFERROR('4. NPV'!UFN24/'4. NPV'!UFN$8,0)</f>
        <v>-0.0</v>
      </c>
      <c r="UFN55" s="5">
        <f>-IFERROR('4. NPV'!UFO24/'4. NPV'!UFO$8,0)</f>
        <v>-0.0</v>
      </c>
      <c r="UFO55" s="5">
        <f>-IFERROR('4. NPV'!UFP24/'4. NPV'!UFP$8,0)</f>
        <v>-0.0</v>
      </c>
      <c r="UFP55" s="5">
        <f>-IFERROR('4. NPV'!UFQ24/'4. NPV'!UFQ$8,0)</f>
        <v>-0.0</v>
      </c>
      <c r="UFQ55" s="5">
        <f>-IFERROR('4. NPV'!UFR24/'4. NPV'!UFR$8,0)</f>
        <v>-0.0</v>
      </c>
      <c r="UFR55" s="5">
        <f>-IFERROR('4. NPV'!UFS24/'4. NPV'!UFS$8,0)</f>
        <v>-0.0</v>
      </c>
      <c r="UFS55" s="5">
        <f>-IFERROR('4. NPV'!UFT24/'4. NPV'!UFT$8,0)</f>
        <v>-0.0</v>
      </c>
      <c r="UFT55" s="5">
        <f>-IFERROR('4. NPV'!UFU24/'4. NPV'!UFU$8,0)</f>
        <v>-0.0</v>
      </c>
      <c r="UFU55" s="5">
        <f>-IFERROR('4. NPV'!UFV24/'4. NPV'!UFV$8,0)</f>
        <v>-0.0</v>
      </c>
      <c r="UFV55" s="5">
        <f>-IFERROR('4. NPV'!UFW24/'4. NPV'!UFW$8,0)</f>
        <v>-0.0</v>
      </c>
      <c r="UFW55" s="5">
        <f>-IFERROR('4. NPV'!UFX24/'4. NPV'!UFX$8,0)</f>
        <v>-0.0</v>
      </c>
      <c r="UFX55" s="5">
        <f>-IFERROR('4. NPV'!UFY24/'4. NPV'!UFY$8,0)</f>
        <v>-0.0</v>
      </c>
      <c r="UFY55" s="5">
        <f>-IFERROR('4. NPV'!UFZ24/'4. NPV'!UFZ$8,0)</f>
        <v>-0.0</v>
      </c>
      <c r="UFZ55" s="5">
        <f>-IFERROR('4. NPV'!UGA24/'4. NPV'!UGA$8,0)</f>
        <v>-0.0</v>
      </c>
      <c r="UGA55" s="5">
        <f>-IFERROR('4. NPV'!UGB24/'4. NPV'!UGB$8,0)</f>
        <v>-0.0</v>
      </c>
      <c r="UGB55" s="5">
        <f>-IFERROR('4. NPV'!UGC24/'4. NPV'!UGC$8,0)</f>
        <v>-0.0</v>
      </c>
      <c r="UGC55" s="5">
        <f>-IFERROR('4. NPV'!UGD24/'4. NPV'!UGD$8,0)</f>
        <v>-0.0</v>
      </c>
      <c r="UGD55" s="5">
        <f>-IFERROR('4. NPV'!UGE24/'4. NPV'!UGE$8,0)</f>
        <v>-0.0</v>
      </c>
      <c r="UGE55" s="5">
        <f>-IFERROR('4. NPV'!UGF24/'4. NPV'!UGF$8,0)</f>
        <v>-0.0</v>
      </c>
      <c r="UGF55" s="5">
        <f>-IFERROR('4. NPV'!UGG24/'4. NPV'!UGG$8,0)</f>
        <v>-0.0</v>
      </c>
      <c r="UGG55" s="5">
        <f>-IFERROR('4. NPV'!UGH24/'4. NPV'!UGH$8,0)</f>
        <v>-0.0</v>
      </c>
      <c r="UGH55" s="5">
        <f>-IFERROR('4. NPV'!UGI24/'4. NPV'!UGI$8,0)</f>
        <v>-0.0</v>
      </c>
      <c r="UGI55" s="5">
        <f>-IFERROR('4. NPV'!UGJ24/'4. NPV'!UGJ$8,0)</f>
        <v>-0.0</v>
      </c>
      <c r="UGJ55" s="5">
        <f>-IFERROR('4. NPV'!UGK24/'4. NPV'!UGK$8,0)</f>
        <v>-0.0</v>
      </c>
      <c r="UGK55" s="5">
        <f>-IFERROR('4. NPV'!UGL24/'4. NPV'!UGL$8,0)</f>
        <v>-0.0</v>
      </c>
      <c r="UGL55" s="5">
        <f>-IFERROR('4. NPV'!UGM24/'4. NPV'!UGM$8,0)</f>
        <v>-0.0</v>
      </c>
      <c r="UGM55" s="5">
        <f>-IFERROR('4. NPV'!UGN24/'4. NPV'!UGN$8,0)</f>
        <v>-0.0</v>
      </c>
      <c r="UGN55" s="5">
        <f>-IFERROR('4. NPV'!UGO24/'4. NPV'!UGO$8,0)</f>
        <v>-0.0</v>
      </c>
      <c r="UGO55" s="5">
        <f>-IFERROR('4. NPV'!UGP24/'4. NPV'!UGP$8,0)</f>
        <v>-0.0</v>
      </c>
      <c r="UGP55" s="5">
        <f>-IFERROR('4. NPV'!UGQ24/'4. NPV'!UGQ$8,0)</f>
        <v>-0.0</v>
      </c>
      <c r="UGQ55" s="5">
        <f>-IFERROR('4. NPV'!UGR24/'4. NPV'!UGR$8,0)</f>
        <v>-0.0</v>
      </c>
      <c r="UGR55" s="5">
        <f>-IFERROR('4. NPV'!UGS24/'4. NPV'!UGS$8,0)</f>
        <v>-0.0</v>
      </c>
      <c r="UGS55" s="5">
        <f>-IFERROR('4. NPV'!UGT24/'4. NPV'!UGT$8,0)</f>
        <v>-0.0</v>
      </c>
      <c r="UGT55" s="5">
        <f>-IFERROR('4. NPV'!UGU24/'4. NPV'!UGU$8,0)</f>
        <v>-0.0</v>
      </c>
      <c r="UGU55" s="5">
        <f>-IFERROR('4. NPV'!UGV24/'4. NPV'!UGV$8,0)</f>
        <v>-0.0</v>
      </c>
      <c r="UGV55" s="5">
        <f>-IFERROR('4. NPV'!UGW24/'4. NPV'!UGW$8,0)</f>
        <v>-0.0</v>
      </c>
      <c r="UGW55" s="5">
        <f>-IFERROR('4. NPV'!UGX24/'4. NPV'!UGX$8,0)</f>
        <v>-0.0</v>
      </c>
      <c r="UGX55" s="5">
        <f>-IFERROR('4. NPV'!UGY24/'4. NPV'!UGY$8,0)</f>
        <v>-0.0</v>
      </c>
      <c r="UGY55" s="5">
        <f>-IFERROR('4. NPV'!UGZ24/'4. NPV'!UGZ$8,0)</f>
        <v>-0.0</v>
      </c>
      <c r="UGZ55" s="5">
        <f>-IFERROR('4. NPV'!UHA24/'4. NPV'!UHA$8,0)</f>
        <v>-0.0</v>
      </c>
      <c r="UHA55" s="5">
        <f>-IFERROR('4. NPV'!UHB24/'4. NPV'!UHB$8,0)</f>
        <v>-0.0</v>
      </c>
      <c r="UHB55" s="5">
        <f>-IFERROR('4. NPV'!UHC24/'4. NPV'!UHC$8,0)</f>
        <v>-0.0</v>
      </c>
      <c r="UHC55" s="5">
        <f>-IFERROR('4. NPV'!UHD24/'4. NPV'!UHD$8,0)</f>
        <v>-0.0</v>
      </c>
      <c r="UHD55" s="5">
        <f>-IFERROR('4. NPV'!UHE24/'4. NPV'!UHE$8,0)</f>
        <v>-0.0</v>
      </c>
      <c r="UHE55" s="5">
        <f>-IFERROR('4. NPV'!UHF24/'4. NPV'!UHF$8,0)</f>
        <v>-0.0</v>
      </c>
      <c r="UHF55" s="5">
        <f>-IFERROR('4. NPV'!UHG24/'4. NPV'!UHG$8,0)</f>
        <v>-0.0</v>
      </c>
      <c r="UHG55" s="5">
        <f>-IFERROR('4. NPV'!UHH24/'4. NPV'!UHH$8,0)</f>
        <v>-0.0</v>
      </c>
      <c r="UHH55" s="5">
        <f>-IFERROR('4. NPV'!UHI24/'4. NPV'!UHI$8,0)</f>
        <v>-0.0</v>
      </c>
      <c r="UHI55" s="5">
        <f>-IFERROR('4. NPV'!UHJ24/'4. NPV'!UHJ$8,0)</f>
        <v>-0.0</v>
      </c>
      <c r="UHJ55" s="5">
        <f>-IFERROR('4. NPV'!UHK24/'4. NPV'!UHK$8,0)</f>
        <v>-0.0</v>
      </c>
      <c r="UHK55" s="5">
        <f>-IFERROR('4. NPV'!UHL24/'4. NPV'!UHL$8,0)</f>
        <v>-0.0</v>
      </c>
      <c r="UHL55" s="5">
        <f>-IFERROR('4. NPV'!UHM24/'4. NPV'!UHM$8,0)</f>
        <v>-0.0</v>
      </c>
      <c r="UHM55" s="5">
        <f>-IFERROR('4. NPV'!UHN24/'4. NPV'!UHN$8,0)</f>
        <v>-0.0</v>
      </c>
      <c r="UHN55" s="5">
        <f>-IFERROR('4. NPV'!UHO24/'4. NPV'!UHO$8,0)</f>
        <v>-0.0</v>
      </c>
      <c r="UHO55" s="5">
        <f>-IFERROR('4. NPV'!UHP24/'4. NPV'!UHP$8,0)</f>
        <v>-0.0</v>
      </c>
      <c r="UHP55" s="5">
        <f>-IFERROR('4. NPV'!UHQ24/'4. NPV'!UHQ$8,0)</f>
        <v>-0.0</v>
      </c>
      <c r="UHQ55" s="5">
        <f>-IFERROR('4. NPV'!UHR24/'4. NPV'!UHR$8,0)</f>
        <v>-0.0</v>
      </c>
      <c r="UHR55" s="5">
        <f>-IFERROR('4. NPV'!UHS24/'4. NPV'!UHS$8,0)</f>
        <v>-0.0</v>
      </c>
      <c r="UHS55" s="5">
        <f>-IFERROR('4. NPV'!UHT24/'4. NPV'!UHT$8,0)</f>
        <v>-0.0</v>
      </c>
      <c r="UHT55" s="5">
        <f>-IFERROR('4. NPV'!UHU24/'4. NPV'!UHU$8,0)</f>
        <v>-0.0</v>
      </c>
      <c r="UHU55" s="5">
        <f>-IFERROR('4. NPV'!UHV24/'4. NPV'!UHV$8,0)</f>
        <v>-0.0</v>
      </c>
      <c r="UHV55" s="5">
        <f>-IFERROR('4. NPV'!UHW24/'4. NPV'!UHW$8,0)</f>
        <v>-0.0</v>
      </c>
      <c r="UHW55" s="5">
        <f>-IFERROR('4. NPV'!UHX24/'4. NPV'!UHX$8,0)</f>
        <v>-0.0</v>
      </c>
      <c r="UHX55" s="5">
        <f>-IFERROR('4. NPV'!UHY24/'4. NPV'!UHY$8,0)</f>
        <v>-0.0</v>
      </c>
      <c r="UHY55" s="5">
        <f>-IFERROR('4. NPV'!UHZ24/'4. NPV'!UHZ$8,0)</f>
        <v>-0.0</v>
      </c>
      <c r="UHZ55" s="5">
        <f>-IFERROR('4. NPV'!UIA24/'4. NPV'!UIA$8,0)</f>
        <v>-0.0</v>
      </c>
      <c r="UIA55" s="5">
        <f>-IFERROR('4. NPV'!UIB24/'4. NPV'!UIB$8,0)</f>
        <v>-0.0</v>
      </c>
      <c r="UIB55" s="5">
        <f>-IFERROR('4. NPV'!UIC24/'4. NPV'!UIC$8,0)</f>
        <v>-0.0</v>
      </c>
      <c r="UIC55" s="5">
        <f>-IFERROR('4. NPV'!UID24/'4. NPV'!UID$8,0)</f>
        <v>-0.0</v>
      </c>
      <c r="UID55" s="5">
        <f>-IFERROR('4. NPV'!UIE24/'4. NPV'!UIE$8,0)</f>
        <v>-0.0</v>
      </c>
      <c r="UIE55" s="5">
        <f>-IFERROR('4. NPV'!UIF24/'4. NPV'!UIF$8,0)</f>
        <v>-0.0</v>
      </c>
      <c r="UIF55" s="5">
        <f>-IFERROR('4. NPV'!UIG24/'4. NPV'!UIG$8,0)</f>
        <v>-0.0</v>
      </c>
      <c r="UIG55" s="5">
        <f>-IFERROR('4. NPV'!UIH24/'4. NPV'!UIH$8,0)</f>
        <v>-0.0</v>
      </c>
      <c r="UIH55" s="5">
        <f>-IFERROR('4. NPV'!UII24/'4. NPV'!UII$8,0)</f>
        <v>-0.0</v>
      </c>
      <c r="UII55" s="5">
        <f>-IFERROR('4. NPV'!UIJ24/'4. NPV'!UIJ$8,0)</f>
        <v>-0.0</v>
      </c>
      <c r="UIJ55" s="5">
        <f>-IFERROR('4. NPV'!UIK24/'4. NPV'!UIK$8,0)</f>
        <v>-0.0</v>
      </c>
      <c r="UIK55" s="5">
        <f>-IFERROR('4. NPV'!UIL24/'4. NPV'!UIL$8,0)</f>
        <v>-0.0</v>
      </c>
      <c r="UIL55" s="5">
        <f>-IFERROR('4. NPV'!UIM24/'4. NPV'!UIM$8,0)</f>
        <v>-0.0</v>
      </c>
      <c r="UIM55" s="5">
        <f>-IFERROR('4. NPV'!UIN24/'4. NPV'!UIN$8,0)</f>
        <v>-0.0</v>
      </c>
      <c r="UIN55" s="5">
        <f>-IFERROR('4. NPV'!UIO24/'4. NPV'!UIO$8,0)</f>
        <v>-0.0</v>
      </c>
      <c r="UIO55" s="5">
        <f>-IFERROR('4. NPV'!UIP24/'4. NPV'!UIP$8,0)</f>
        <v>-0.0</v>
      </c>
      <c r="UIP55" s="5">
        <f>-IFERROR('4. NPV'!UIQ24/'4. NPV'!UIQ$8,0)</f>
        <v>-0.0</v>
      </c>
      <c r="UIQ55" s="5">
        <f>-IFERROR('4. NPV'!UIR24/'4. NPV'!UIR$8,0)</f>
        <v>-0.0</v>
      </c>
      <c r="UIR55" s="5">
        <f>-IFERROR('4. NPV'!UIS24/'4. NPV'!UIS$8,0)</f>
        <v>-0.0</v>
      </c>
      <c r="UIS55" s="5">
        <f>-IFERROR('4. NPV'!UIT24/'4. NPV'!UIT$8,0)</f>
        <v>-0.0</v>
      </c>
      <c r="UIT55" s="5">
        <f>-IFERROR('4. NPV'!UIU24/'4. NPV'!UIU$8,0)</f>
        <v>-0.0</v>
      </c>
      <c r="UIU55" s="5">
        <f>-IFERROR('4. NPV'!UIV24/'4. NPV'!UIV$8,0)</f>
        <v>-0.0</v>
      </c>
      <c r="UIV55" s="5">
        <f>-IFERROR('4. NPV'!UIW24/'4. NPV'!UIW$8,0)</f>
        <v>-0.0</v>
      </c>
      <c r="UIW55" s="5">
        <f>-IFERROR('4. NPV'!UIX24/'4. NPV'!UIX$8,0)</f>
        <v>-0.0</v>
      </c>
      <c r="UIX55" s="5">
        <f>-IFERROR('4. NPV'!UIY24/'4. NPV'!UIY$8,0)</f>
        <v>-0.0</v>
      </c>
      <c r="UIY55" s="5">
        <f>-IFERROR('4. NPV'!UIZ24/'4. NPV'!UIZ$8,0)</f>
        <v>-0.0</v>
      </c>
      <c r="UIZ55" s="5">
        <f>-IFERROR('4. NPV'!UJA24/'4. NPV'!UJA$8,0)</f>
        <v>-0.0</v>
      </c>
      <c r="UJA55" s="5">
        <f>-IFERROR('4. NPV'!UJB24/'4. NPV'!UJB$8,0)</f>
        <v>-0.0</v>
      </c>
      <c r="UJB55" s="5">
        <f>-IFERROR('4. NPV'!UJC24/'4. NPV'!UJC$8,0)</f>
        <v>-0.0</v>
      </c>
      <c r="UJC55" s="5">
        <f>-IFERROR('4. NPV'!UJD24/'4. NPV'!UJD$8,0)</f>
        <v>-0.0</v>
      </c>
      <c r="UJD55" s="5">
        <f>-IFERROR('4. NPV'!UJE24/'4. NPV'!UJE$8,0)</f>
        <v>-0.0</v>
      </c>
      <c r="UJE55" s="5">
        <f>-IFERROR('4. NPV'!UJF24/'4. NPV'!UJF$8,0)</f>
        <v>-0.0</v>
      </c>
      <c r="UJF55" s="5">
        <f>-IFERROR('4. NPV'!UJG24/'4. NPV'!UJG$8,0)</f>
        <v>-0.0</v>
      </c>
      <c r="UJG55" s="5">
        <f>-IFERROR('4. NPV'!UJH24/'4. NPV'!UJH$8,0)</f>
        <v>-0.0</v>
      </c>
      <c r="UJH55" s="5">
        <f>-IFERROR('4. NPV'!UJI24/'4. NPV'!UJI$8,0)</f>
        <v>-0.0</v>
      </c>
      <c r="UJI55" s="5">
        <f>-IFERROR('4. NPV'!UJJ24/'4. NPV'!UJJ$8,0)</f>
        <v>-0.0</v>
      </c>
      <c r="UJJ55" s="5">
        <f>-IFERROR('4. NPV'!UJK24/'4. NPV'!UJK$8,0)</f>
        <v>-0.0</v>
      </c>
      <c r="UJK55" s="5">
        <f>-IFERROR('4. NPV'!UJL24/'4. NPV'!UJL$8,0)</f>
        <v>-0.0</v>
      </c>
      <c r="UJL55" s="5">
        <f>-IFERROR('4. NPV'!UJM24/'4. NPV'!UJM$8,0)</f>
        <v>-0.0</v>
      </c>
      <c r="UJM55" s="5">
        <f>-IFERROR('4. NPV'!UJN24/'4. NPV'!UJN$8,0)</f>
        <v>-0.0</v>
      </c>
      <c r="UJN55" s="5">
        <f>-IFERROR('4. NPV'!UJO24/'4. NPV'!UJO$8,0)</f>
        <v>-0.0</v>
      </c>
      <c r="UJO55" s="5">
        <f>-IFERROR('4. NPV'!UJP24/'4. NPV'!UJP$8,0)</f>
        <v>-0.0</v>
      </c>
      <c r="UJP55" s="5">
        <f>-IFERROR('4. NPV'!UJQ24/'4. NPV'!UJQ$8,0)</f>
        <v>-0.0</v>
      </c>
      <c r="UJQ55" s="5">
        <f>-IFERROR('4. NPV'!UJR24/'4. NPV'!UJR$8,0)</f>
        <v>-0.0</v>
      </c>
      <c r="UJR55" s="5">
        <f>-IFERROR('4. NPV'!UJS24/'4. NPV'!UJS$8,0)</f>
        <v>-0.0</v>
      </c>
      <c r="UJS55" s="5">
        <f>-IFERROR('4. NPV'!UJT24/'4. NPV'!UJT$8,0)</f>
        <v>-0.0</v>
      </c>
      <c r="UJT55" s="5">
        <f>-IFERROR('4. NPV'!UJU24/'4. NPV'!UJU$8,0)</f>
        <v>-0.0</v>
      </c>
      <c r="UJU55" s="5">
        <f>-IFERROR('4. NPV'!UJV24/'4. NPV'!UJV$8,0)</f>
        <v>-0.0</v>
      </c>
      <c r="UJV55" s="5">
        <f>-IFERROR('4. NPV'!UJW24/'4. NPV'!UJW$8,0)</f>
        <v>-0.0</v>
      </c>
      <c r="UJW55" s="5">
        <f>-IFERROR('4. NPV'!UJX24/'4. NPV'!UJX$8,0)</f>
        <v>-0.0</v>
      </c>
      <c r="UJX55" s="5">
        <f>-IFERROR('4. NPV'!UJY24/'4. NPV'!UJY$8,0)</f>
        <v>-0.0</v>
      </c>
      <c r="UJY55" s="5">
        <f>-IFERROR('4. NPV'!UJZ24/'4. NPV'!UJZ$8,0)</f>
        <v>-0.0</v>
      </c>
      <c r="UJZ55" s="5">
        <f>-IFERROR('4. NPV'!UKA24/'4. NPV'!UKA$8,0)</f>
        <v>-0.0</v>
      </c>
      <c r="UKA55" s="5">
        <f>-IFERROR('4. NPV'!UKB24/'4. NPV'!UKB$8,0)</f>
        <v>-0.0</v>
      </c>
      <c r="UKB55" s="5">
        <f>-IFERROR('4. NPV'!UKC24/'4. NPV'!UKC$8,0)</f>
        <v>-0.0</v>
      </c>
      <c r="UKC55" s="5">
        <f>-IFERROR('4. NPV'!UKD24/'4. NPV'!UKD$8,0)</f>
        <v>-0.0</v>
      </c>
      <c r="UKD55" s="5">
        <f>-IFERROR('4. NPV'!UKE24/'4. NPV'!UKE$8,0)</f>
        <v>-0.0</v>
      </c>
      <c r="UKE55" s="5">
        <f>-IFERROR('4. NPV'!UKF24/'4. NPV'!UKF$8,0)</f>
        <v>-0.0</v>
      </c>
      <c r="UKF55" s="5">
        <f>-IFERROR('4. NPV'!UKG24/'4. NPV'!UKG$8,0)</f>
        <v>-0.0</v>
      </c>
      <c r="UKG55" s="5">
        <f>-IFERROR('4. NPV'!UKH24/'4. NPV'!UKH$8,0)</f>
        <v>-0.0</v>
      </c>
      <c r="UKH55" s="5">
        <f>-IFERROR('4. NPV'!UKI24/'4. NPV'!UKI$8,0)</f>
        <v>-0.0</v>
      </c>
      <c r="UKI55" s="5">
        <f>-IFERROR('4. NPV'!UKJ24/'4. NPV'!UKJ$8,0)</f>
        <v>-0.0</v>
      </c>
      <c r="UKJ55" s="5">
        <f>-IFERROR('4. NPV'!UKK24/'4. NPV'!UKK$8,0)</f>
        <v>-0.0</v>
      </c>
      <c r="UKK55" s="5">
        <f>-IFERROR('4. NPV'!UKL24/'4. NPV'!UKL$8,0)</f>
        <v>-0.0</v>
      </c>
      <c r="UKL55" s="5">
        <f>-IFERROR('4. NPV'!UKM24/'4. NPV'!UKM$8,0)</f>
        <v>-0.0</v>
      </c>
      <c r="UKM55" s="5">
        <f>-IFERROR('4. NPV'!UKN24/'4. NPV'!UKN$8,0)</f>
        <v>-0.0</v>
      </c>
      <c r="UKN55" s="5">
        <f>-IFERROR('4. NPV'!UKO24/'4. NPV'!UKO$8,0)</f>
        <v>-0.0</v>
      </c>
      <c r="UKO55" s="5">
        <f>-IFERROR('4. NPV'!UKP24/'4. NPV'!UKP$8,0)</f>
        <v>-0.0</v>
      </c>
      <c r="UKP55" s="5">
        <f>-IFERROR('4. NPV'!UKQ24/'4. NPV'!UKQ$8,0)</f>
        <v>-0.0</v>
      </c>
      <c r="UKQ55" s="5">
        <f>-IFERROR('4. NPV'!UKR24/'4. NPV'!UKR$8,0)</f>
        <v>-0.0</v>
      </c>
      <c r="UKR55" s="5">
        <f>-IFERROR('4. NPV'!UKS24/'4. NPV'!UKS$8,0)</f>
        <v>-0.0</v>
      </c>
      <c r="UKS55" s="5">
        <f>-IFERROR('4. NPV'!UKT24/'4. NPV'!UKT$8,0)</f>
        <v>-0.0</v>
      </c>
      <c r="UKT55" s="5">
        <f>-IFERROR('4. NPV'!UKU24/'4. NPV'!UKU$8,0)</f>
        <v>-0.0</v>
      </c>
      <c r="UKU55" s="5">
        <f>-IFERROR('4. NPV'!UKV24/'4. NPV'!UKV$8,0)</f>
        <v>-0.0</v>
      </c>
      <c r="UKV55" s="5">
        <f>-IFERROR('4. NPV'!UKW24/'4. NPV'!UKW$8,0)</f>
        <v>-0.0</v>
      </c>
      <c r="UKW55" s="5">
        <f>-IFERROR('4. NPV'!UKX24/'4. NPV'!UKX$8,0)</f>
        <v>-0.0</v>
      </c>
      <c r="UKX55" s="5">
        <f>-IFERROR('4. NPV'!UKY24/'4. NPV'!UKY$8,0)</f>
        <v>-0.0</v>
      </c>
      <c r="UKY55" s="5">
        <f>-IFERROR('4. NPV'!UKZ24/'4. NPV'!UKZ$8,0)</f>
        <v>-0.0</v>
      </c>
      <c r="UKZ55" s="5">
        <f>-IFERROR('4. NPV'!ULA24/'4. NPV'!ULA$8,0)</f>
        <v>-0.0</v>
      </c>
      <c r="ULA55" s="5">
        <f>-IFERROR('4. NPV'!ULB24/'4. NPV'!ULB$8,0)</f>
        <v>-0.0</v>
      </c>
      <c r="ULB55" s="5">
        <f>-IFERROR('4. NPV'!ULC24/'4. NPV'!ULC$8,0)</f>
        <v>-0.0</v>
      </c>
      <c r="ULC55" s="5">
        <f>-IFERROR('4. NPV'!ULD24/'4. NPV'!ULD$8,0)</f>
        <v>-0.0</v>
      </c>
      <c r="ULD55" s="5">
        <f>-IFERROR('4. NPV'!ULE24/'4. NPV'!ULE$8,0)</f>
        <v>-0.0</v>
      </c>
      <c r="ULE55" s="5">
        <f>-IFERROR('4. NPV'!ULF24/'4. NPV'!ULF$8,0)</f>
        <v>-0.0</v>
      </c>
      <c r="ULF55" s="5">
        <f>-IFERROR('4. NPV'!ULG24/'4. NPV'!ULG$8,0)</f>
        <v>-0.0</v>
      </c>
      <c r="ULG55" s="5">
        <f>-IFERROR('4. NPV'!ULH24/'4. NPV'!ULH$8,0)</f>
        <v>-0.0</v>
      </c>
      <c r="ULH55" s="5">
        <f>-IFERROR('4. NPV'!ULI24/'4. NPV'!ULI$8,0)</f>
        <v>-0.0</v>
      </c>
      <c r="ULI55" s="5">
        <f>-IFERROR('4. NPV'!ULJ24/'4. NPV'!ULJ$8,0)</f>
        <v>-0.0</v>
      </c>
      <c r="ULJ55" s="5">
        <f>-IFERROR('4. NPV'!ULK24/'4. NPV'!ULK$8,0)</f>
        <v>-0.0</v>
      </c>
      <c r="ULK55" s="5">
        <f>-IFERROR('4. NPV'!ULL24/'4. NPV'!ULL$8,0)</f>
        <v>-0.0</v>
      </c>
      <c r="ULL55" s="5">
        <f>-IFERROR('4. NPV'!ULM24/'4. NPV'!ULM$8,0)</f>
        <v>-0.0</v>
      </c>
      <c r="ULM55" s="5">
        <f>-IFERROR('4. NPV'!ULN24/'4. NPV'!ULN$8,0)</f>
        <v>-0.0</v>
      </c>
      <c r="ULN55" s="5">
        <f>-IFERROR('4. NPV'!ULO24/'4. NPV'!ULO$8,0)</f>
        <v>-0.0</v>
      </c>
      <c r="ULO55" s="5">
        <f>-IFERROR('4. NPV'!ULP24/'4. NPV'!ULP$8,0)</f>
        <v>-0.0</v>
      </c>
      <c r="ULP55" s="5">
        <f>-IFERROR('4. NPV'!ULQ24/'4. NPV'!ULQ$8,0)</f>
        <v>-0.0</v>
      </c>
      <c r="ULQ55" s="5">
        <f>-IFERROR('4. NPV'!ULR24/'4. NPV'!ULR$8,0)</f>
        <v>-0.0</v>
      </c>
      <c r="ULR55" s="5">
        <f>-IFERROR('4. NPV'!ULS24/'4. NPV'!ULS$8,0)</f>
        <v>-0.0</v>
      </c>
      <c r="ULS55" s="5">
        <f>-IFERROR('4. NPV'!ULT24/'4. NPV'!ULT$8,0)</f>
        <v>-0.0</v>
      </c>
      <c r="ULT55" s="5">
        <f>-IFERROR('4. NPV'!ULU24/'4. NPV'!ULU$8,0)</f>
        <v>-0.0</v>
      </c>
      <c r="ULU55" s="5">
        <f>-IFERROR('4. NPV'!ULV24/'4. NPV'!ULV$8,0)</f>
        <v>-0.0</v>
      </c>
      <c r="ULV55" s="5">
        <f>-IFERROR('4. NPV'!ULW24/'4. NPV'!ULW$8,0)</f>
        <v>-0.0</v>
      </c>
      <c r="ULW55" s="5">
        <f>-IFERROR('4. NPV'!ULX24/'4. NPV'!ULX$8,0)</f>
        <v>-0.0</v>
      </c>
      <c r="ULX55" s="5">
        <f>-IFERROR('4. NPV'!ULY24/'4. NPV'!ULY$8,0)</f>
        <v>-0.0</v>
      </c>
      <c r="ULY55" s="5">
        <f>-IFERROR('4. NPV'!ULZ24/'4. NPV'!ULZ$8,0)</f>
        <v>-0.0</v>
      </c>
      <c r="ULZ55" s="5">
        <f>-IFERROR('4. NPV'!UMA24/'4. NPV'!UMA$8,0)</f>
        <v>-0.0</v>
      </c>
      <c r="UMA55" s="5">
        <f>-IFERROR('4. NPV'!UMB24/'4. NPV'!UMB$8,0)</f>
        <v>-0.0</v>
      </c>
      <c r="UMB55" s="5">
        <f>-IFERROR('4. NPV'!UMC24/'4. NPV'!UMC$8,0)</f>
        <v>-0.0</v>
      </c>
      <c r="UMC55" s="5">
        <f>-IFERROR('4. NPV'!UMD24/'4. NPV'!UMD$8,0)</f>
        <v>-0.0</v>
      </c>
      <c r="UMD55" s="5">
        <f>-IFERROR('4. NPV'!UME24/'4. NPV'!UME$8,0)</f>
        <v>-0.0</v>
      </c>
      <c r="UME55" s="5">
        <f>-IFERROR('4. NPV'!UMF24/'4. NPV'!UMF$8,0)</f>
        <v>-0.0</v>
      </c>
      <c r="UMF55" s="5">
        <f>-IFERROR('4. NPV'!UMG24/'4. NPV'!UMG$8,0)</f>
        <v>-0.0</v>
      </c>
      <c r="UMG55" s="5">
        <f>-IFERROR('4. NPV'!UMH24/'4. NPV'!UMH$8,0)</f>
        <v>-0.0</v>
      </c>
      <c r="UMH55" s="5">
        <f>-IFERROR('4. NPV'!UMI24/'4. NPV'!UMI$8,0)</f>
        <v>-0.0</v>
      </c>
      <c r="UMI55" s="5">
        <f>-IFERROR('4. NPV'!UMJ24/'4. NPV'!UMJ$8,0)</f>
        <v>-0.0</v>
      </c>
      <c r="UMJ55" s="5">
        <f>-IFERROR('4. NPV'!UMK24/'4. NPV'!UMK$8,0)</f>
        <v>-0.0</v>
      </c>
      <c r="UMK55" s="5">
        <f>-IFERROR('4. NPV'!UML24/'4. NPV'!UML$8,0)</f>
        <v>-0.0</v>
      </c>
      <c r="UML55" s="5">
        <f>-IFERROR('4. NPV'!UMM24/'4. NPV'!UMM$8,0)</f>
        <v>-0.0</v>
      </c>
      <c r="UMM55" s="5">
        <f>-IFERROR('4. NPV'!UMN24/'4. NPV'!UMN$8,0)</f>
        <v>-0.0</v>
      </c>
      <c r="UMN55" s="5">
        <f>-IFERROR('4. NPV'!UMO24/'4. NPV'!UMO$8,0)</f>
        <v>-0.0</v>
      </c>
      <c r="UMO55" s="5">
        <f>-IFERROR('4. NPV'!UMP24/'4. NPV'!UMP$8,0)</f>
        <v>-0.0</v>
      </c>
      <c r="UMP55" s="5">
        <f>-IFERROR('4. NPV'!UMQ24/'4. NPV'!UMQ$8,0)</f>
        <v>-0.0</v>
      </c>
      <c r="UMQ55" s="5">
        <f>-IFERROR('4. NPV'!UMR24/'4. NPV'!UMR$8,0)</f>
        <v>-0.0</v>
      </c>
      <c r="UMR55" s="5">
        <f>-IFERROR('4. NPV'!UMS24/'4. NPV'!UMS$8,0)</f>
        <v>-0.0</v>
      </c>
      <c r="UMS55" s="5">
        <f>-IFERROR('4. NPV'!UMT24/'4. NPV'!UMT$8,0)</f>
        <v>-0.0</v>
      </c>
      <c r="UMT55" s="5">
        <f>-IFERROR('4. NPV'!UMU24/'4. NPV'!UMU$8,0)</f>
        <v>-0.0</v>
      </c>
      <c r="UMU55" s="5">
        <f>-IFERROR('4. NPV'!UMV24/'4. NPV'!UMV$8,0)</f>
        <v>-0.0</v>
      </c>
      <c r="UMV55" s="5">
        <f>-IFERROR('4. NPV'!UMW24/'4. NPV'!UMW$8,0)</f>
        <v>-0.0</v>
      </c>
      <c r="UMW55" s="5">
        <f>-IFERROR('4. NPV'!UMX24/'4. NPV'!UMX$8,0)</f>
        <v>-0.0</v>
      </c>
      <c r="UMX55" s="5">
        <f>-IFERROR('4. NPV'!UMY24/'4. NPV'!UMY$8,0)</f>
        <v>-0.0</v>
      </c>
      <c r="UMY55" s="5">
        <f>-IFERROR('4. NPV'!UMZ24/'4. NPV'!UMZ$8,0)</f>
        <v>-0.0</v>
      </c>
      <c r="UMZ55" s="5">
        <f>-IFERROR('4. NPV'!UNA24/'4. NPV'!UNA$8,0)</f>
        <v>-0.0</v>
      </c>
      <c r="UNA55" s="5">
        <f>-IFERROR('4. NPV'!UNB24/'4. NPV'!UNB$8,0)</f>
        <v>-0.0</v>
      </c>
      <c r="UNB55" s="5">
        <f>-IFERROR('4. NPV'!UNC24/'4. NPV'!UNC$8,0)</f>
        <v>-0.0</v>
      </c>
      <c r="UNC55" s="5">
        <f>-IFERROR('4. NPV'!UND24/'4. NPV'!UND$8,0)</f>
        <v>-0.0</v>
      </c>
      <c r="UND55" s="5">
        <f>-IFERROR('4. NPV'!UNE24/'4. NPV'!UNE$8,0)</f>
        <v>-0.0</v>
      </c>
      <c r="UNE55" s="5">
        <f>-IFERROR('4. NPV'!UNF24/'4. NPV'!UNF$8,0)</f>
        <v>-0.0</v>
      </c>
      <c r="UNF55" s="5">
        <f>-IFERROR('4. NPV'!UNG24/'4. NPV'!UNG$8,0)</f>
        <v>-0.0</v>
      </c>
      <c r="UNG55" s="5">
        <f>-IFERROR('4. NPV'!UNH24/'4. NPV'!UNH$8,0)</f>
        <v>-0.0</v>
      </c>
      <c r="UNH55" s="5">
        <f>-IFERROR('4. NPV'!UNI24/'4. NPV'!UNI$8,0)</f>
        <v>-0.0</v>
      </c>
      <c r="UNI55" s="5">
        <f>-IFERROR('4. NPV'!UNJ24/'4. NPV'!UNJ$8,0)</f>
        <v>-0.0</v>
      </c>
      <c r="UNJ55" s="5">
        <f>-IFERROR('4. NPV'!UNK24/'4. NPV'!UNK$8,0)</f>
        <v>-0.0</v>
      </c>
      <c r="UNK55" s="5">
        <f>-IFERROR('4. NPV'!UNL24/'4. NPV'!UNL$8,0)</f>
        <v>-0.0</v>
      </c>
      <c r="UNL55" s="5">
        <f>-IFERROR('4. NPV'!UNM24/'4. NPV'!UNM$8,0)</f>
        <v>-0.0</v>
      </c>
      <c r="UNM55" s="5">
        <f>-IFERROR('4. NPV'!UNN24/'4. NPV'!UNN$8,0)</f>
        <v>-0.0</v>
      </c>
      <c r="UNN55" s="5">
        <f>-IFERROR('4. NPV'!UNO24/'4. NPV'!UNO$8,0)</f>
        <v>-0.0</v>
      </c>
      <c r="UNO55" s="5">
        <f>-IFERROR('4. NPV'!UNP24/'4. NPV'!UNP$8,0)</f>
        <v>-0.0</v>
      </c>
      <c r="UNP55" s="5">
        <f>-IFERROR('4. NPV'!UNQ24/'4. NPV'!UNQ$8,0)</f>
        <v>-0.0</v>
      </c>
      <c r="UNQ55" s="5">
        <f>-IFERROR('4. NPV'!UNR24/'4. NPV'!UNR$8,0)</f>
        <v>-0.0</v>
      </c>
      <c r="UNR55" s="5">
        <f>-IFERROR('4. NPV'!UNS24/'4. NPV'!UNS$8,0)</f>
        <v>-0.0</v>
      </c>
      <c r="UNS55" s="5">
        <f>-IFERROR('4. NPV'!UNT24/'4. NPV'!UNT$8,0)</f>
        <v>-0.0</v>
      </c>
      <c r="UNT55" s="5">
        <f>-IFERROR('4. NPV'!UNU24/'4. NPV'!UNU$8,0)</f>
        <v>-0.0</v>
      </c>
      <c r="UNU55" s="5">
        <f>-IFERROR('4. NPV'!UNV24/'4. NPV'!UNV$8,0)</f>
        <v>-0.0</v>
      </c>
      <c r="UNV55" s="5">
        <f>-IFERROR('4. NPV'!UNW24/'4. NPV'!UNW$8,0)</f>
        <v>-0.0</v>
      </c>
      <c r="UNW55" s="5">
        <f>-IFERROR('4. NPV'!UNX24/'4. NPV'!UNX$8,0)</f>
        <v>-0.0</v>
      </c>
      <c r="UNX55" s="5">
        <f>-IFERROR('4. NPV'!UNY24/'4. NPV'!UNY$8,0)</f>
        <v>-0.0</v>
      </c>
      <c r="UNY55" s="5">
        <f>-IFERROR('4. NPV'!UNZ24/'4. NPV'!UNZ$8,0)</f>
        <v>-0.0</v>
      </c>
      <c r="UNZ55" s="5">
        <f>-IFERROR('4. NPV'!UOA24/'4. NPV'!UOA$8,0)</f>
        <v>-0.0</v>
      </c>
      <c r="UOA55" s="5">
        <f>-IFERROR('4. NPV'!UOB24/'4. NPV'!UOB$8,0)</f>
        <v>-0.0</v>
      </c>
      <c r="UOB55" s="5">
        <f>-IFERROR('4. NPV'!UOC24/'4. NPV'!UOC$8,0)</f>
        <v>-0.0</v>
      </c>
      <c r="UOC55" s="5">
        <f>-IFERROR('4. NPV'!UOD24/'4. NPV'!UOD$8,0)</f>
        <v>-0.0</v>
      </c>
      <c r="UOD55" s="5">
        <f>-IFERROR('4. NPV'!UOE24/'4. NPV'!UOE$8,0)</f>
        <v>-0.0</v>
      </c>
      <c r="UOE55" s="5">
        <f>-IFERROR('4. NPV'!UOF24/'4. NPV'!UOF$8,0)</f>
        <v>-0.0</v>
      </c>
      <c r="UOF55" s="5">
        <f>-IFERROR('4. NPV'!UOG24/'4. NPV'!UOG$8,0)</f>
        <v>-0.0</v>
      </c>
      <c r="UOG55" s="5">
        <f>-IFERROR('4. NPV'!UOH24/'4. NPV'!UOH$8,0)</f>
        <v>-0.0</v>
      </c>
      <c r="UOH55" s="5">
        <f>-IFERROR('4. NPV'!UOI24/'4. NPV'!UOI$8,0)</f>
        <v>-0.0</v>
      </c>
      <c r="UOI55" s="5">
        <f>-IFERROR('4. NPV'!UOJ24/'4. NPV'!UOJ$8,0)</f>
        <v>-0.0</v>
      </c>
      <c r="UOJ55" s="5">
        <f>-IFERROR('4. NPV'!UOK24/'4. NPV'!UOK$8,0)</f>
        <v>-0.0</v>
      </c>
      <c r="UOK55" s="5">
        <f>-IFERROR('4. NPV'!UOL24/'4. NPV'!UOL$8,0)</f>
        <v>-0.0</v>
      </c>
      <c r="UOL55" s="5">
        <f>-IFERROR('4. NPV'!UOM24/'4. NPV'!UOM$8,0)</f>
        <v>-0.0</v>
      </c>
      <c r="UOM55" s="5">
        <f>-IFERROR('4. NPV'!UON24/'4. NPV'!UON$8,0)</f>
        <v>-0.0</v>
      </c>
      <c r="UON55" s="5">
        <f>-IFERROR('4. NPV'!UOO24/'4. NPV'!UOO$8,0)</f>
        <v>-0.0</v>
      </c>
      <c r="UOO55" s="5">
        <f>-IFERROR('4. NPV'!UOP24/'4. NPV'!UOP$8,0)</f>
        <v>-0.0</v>
      </c>
      <c r="UOP55" s="5">
        <f>-IFERROR('4. NPV'!UOQ24/'4. NPV'!UOQ$8,0)</f>
        <v>-0.0</v>
      </c>
      <c r="UOQ55" s="5">
        <f>-IFERROR('4. NPV'!UOR24/'4. NPV'!UOR$8,0)</f>
        <v>-0.0</v>
      </c>
      <c r="UOR55" s="5">
        <f>-IFERROR('4. NPV'!UOS24/'4. NPV'!UOS$8,0)</f>
        <v>-0.0</v>
      </c>
      <c r="UOS55" s="5">
        <f>-IFERROR('4. NPV'!UOT24/'4. NPV'!UOT$8,0)</f>
        <v>-0.0</v>
      </c>
      <c r="UOT55" s="5">
        <f>-IFERROR('4. NPV'!UOU24/'4. NPV'!UOU$8,0)</f>
        <v>-0.0</v>
      </c>
      <c r="UOU55" s="5">
        <f>-IFERROR('4. NPV'!UOV24/'4. NPV'!UOV$8,0)</f>
        <v>-0.0</v>
      </c>
      <c r="UOV55" s="5">
        <f>-IFERROR('4. NPV'!UOW24/'4. NPV'!UOW$8,0)</f>
        <v>-0.0</v>
      </c>
      <c r="UOW55" s="5">
        <f>-IFERROR('4. NPV'!UOX24/'4. NPV'!UOX$8,0)</f>
        <v>-0.0</v>
      </c>
      <c r="UOX55" s="5">
        <f>-IFERROR('4. NPV'!UOY24/'4. NPV'!UOY$8,0)</f>
        <v>-0.0</v>
      </c>
      <c r="UOY55" s="5">
        <f>-IFERROR('4. NPV'!UOZ24/'4. NPV'!UOZ$8,0)</f>
        <v>-0.0</v>
      </c>
      <c r="UOZ55" s="5">
        <f>-IFERROR('4. NPV'!UPA24/'4. NPV'!UPA$8,0)</f>
        <v>-0.0</v>
      </c>
      <c r="UPA55" s="5">
        <f>-IFERROR('4. NPV'!UPB24/'4. NPV'!UPB$8,0)</f>
        <v>-0.0</v>
      </c>
      <c r="UPB55" s="5">
        <f>-IFERROR('4. NPV'!UPC24/'4. NPV'!UPC$8,0)</f>
        <v>-0.0</v>
      </c>
      <c r="UPC55" s="5">
        <f>-IFERROR('4. NPV'!UPD24/'4. NPV'!UPD$8,0)</f>
        <v>-0.0</v>
      </c>
      <c r="UPD55" s="5">
        <f>-IFERROR('4. NPV'!UPE24/'4. NPV'!UPE$8,0)</f>
        <v>-0.0</v>
      </c>
      <c r="UPE55" s="5">
        <f>-IFERROR('4. NPV'!UPF24/'4. NPV'!UPF$8,0)</f>
        <v>-0.0</v>
      </c>
      <c r="UPF55" s="5">
        <f>-IFERROR('4. NPV'!UPG24/'4. NPV'!UPG$8,0)</f>
        <v>-0.0</v>
      </c>
      <c r="UPG55" s="5">
        <f>-IFERROR('4. NPV'!UPH24/'4. NPV'!UPH$8,0)</f>
        <v>-0.0</v>
      </c>
      <c r="UPH55" s="5">
        <f>-IFERROR('4. NPV'!UPI24/'4. NPV'!UPI$8,0)</f>
        <v>-0.0</v>
      </c>
      <c r="UPI55" s="5">
        <f>-IFERROR('4. NPV'!UPJ24/'4. NPV'!UPJ$8,0)</f>
        <v>-0.0</v>
      </c>
      <c r="UPJ55" s="5">
        <f>-IFERROR('4. NPV'!UPK24/'4. NPV'!UPK$8,0)</f>
        <v>-0.0</v>
      </c>
      <c r="UPK55" s="5">
        <f>-IFERROR('4. NPV'!UPL24/'4. NPV'!UPL$8,0)</f>
        <v>-0.0</v>
      </c>
      <c r="UPL55" s="5">
        <f>-IFERROR('4. NPV'!UPM24/'4. NPV'!UPM$8,0)</f>
        <v>-0.0</v>
      </c>
      <c r="UPM55" s="5">
        <f>-IFERROR('4. NPV'!UPN24/'4. NPV'!UPN$8,0)</f>
        <v>-0.0</v>
      </c>
      <c r="UPN55" s="5">
        <f>-IFERROR('4. NPV'!UPO24/'4. NPV'!UPO$8,0)</f>
        <v>-0.0</v>
      </c>
      <c r="UPO55" s="5">
        <f>-IFERROR('4. NPV'!UPP24/'4. NPV'!UPP$8,0)</f>
        <v>-0.0</v>
      </c>
      <c r="UPP55" s="5">
        <f>-IFERROR('4. NPV'!UPQ24/'4. NPV'!UPQ$8,0)</f>
        <v>-0.0</v>
      </c>
      <c r="UPQ55" s="5">
        <f>-IFERROR('4. NPV'!UPR24/'4. NPV'!UPR$8,0)</f>
        <v>-0.0</v>
      </c>
      <c r="UPR55" s="5">
        <f>-IFERROR('4. NPV'!UPS24/'4. NPV'!UPS$8,0)</f>
        <v>-0.0</v>
      </c>
      <c r="UPS55" s="5">
        <f>-IFERROR('4. NPV'!UPT24/'4. NPV'!UPT$8,0)</f>
        <v>-0.0</v>
      </c>
      <c r="UPT55" s="5">
        <f>-IFERROR('4. NPV'!UPU24/'4. NPV'!UPU$8,0)</f>
        <v>-0.0</v>
      </c>
      <c r="UPU55" s="5">
        <f>-IFERROR('4. NPV'!UPV24/'4. NPV'!UPV$8,0)</f>
        <v>-0.0</v>
      </c>
      <c r="UPV55" s="5">
        <f>-IFERROR('4. NPV'!UPW24/'4. NPV'!UPW$8,0)</f>
        <v>-0.0</v>
      </c>
      <c r="UPW55" s="5">
        <f>-IFERROR('4. NPV'!UPX24/'4. NPV'!UPX$8,0)</f>
        <v>-0.0</v>
      </c>
      <c r="UPX55" s="5">
        <f>-IFERROR('4. NPV'!UPY24/'4. NPV'!UPY$8,0)</f>
        <v>-0.0</v>
      </c>
      <c r="UPY55" s="5">
        <f>-IFERROR('4. NPV'!UPZ24/'4. NPV'!UPZ$8,0)</f>
        <v>-0.0</v>
      </c>
      <c r="UPZ55" s="5">
        <f>-IFERROR('4. NPV'!UQA24/'4. NPV'!UQA$8,0)</f>
        <v>-0.0</v>
      </c>
      <c r="UQA55" s="5">
        <f>-IFERROR('4. NPV'!UQB24/'4. NPV'!UQB$8,0)</f>
        <v>-0.0</v>
      </c>
      <c r="UQB55" s="5">
        <f>-IFERROR('4. NPV'!UQC24/'4. NPV'!UQC$8,0)</f>
        <v>-0.0</v>
      </c>
      <c r="UQC55" s="5">
        <f>-IFERROR('4. NPV'!UQD24/'4. NPV'!UQD$8,0)</f>
        <v>-0.0</v>
      </c>
      <c r="UQD55" s="5">
        <f>-IFERROR('4. NPV'!UQE24/'4. NPV'!UQE$8,0)</f>
        <v>-0.0</v>
      </c>
      <c r="UQE55" s="5">
        <f>-IFERROR('4. NPV'!UQF24/'4. NPV'!UQF$8,0)</f>
        <v>-0.0</v>
      </c>
      <c r="UQF55" s="5">
        <f>-IFERROR('4. NPV'!UQG24/'4. NPV'!UQG$8,0)</f>
        <v>-0.0</v>
      </c>
      <c r="UQG55" s="5">
        <f>-IFERROR('4. NPV'!UQH24/'4. NPV'!UQH$8,0)</f>
        <v>-0.0</v>
      </c>
      <c r="UQH55" s="5">
        <f>-IFERROR('4. NPV'!UQI24/'4. NPV'!UQI$8,0)</f>
        <v>-0.0</v>
      </c>
      <c r="UQI55" s="5">
        <f>-IFERROR('4. NPV'!UQJ24/'4. NPV'!UQJ$8,0)</f>
        <v>-0.0</v>
      </c>
      <c r="UQJ55" s="5">
        <f>-IFERROR('4. NPV'!UQK24/'4. NPV'!UQK$8,0)</f>
        <v>-0.0</v>
      </c>
      <c r="UQK55" s="5">
        <f>-IFERROR('4. NPV'!UQL24/'4. NPV'!UQL$8,0)</f>
        <v>-0.0</v>
      </c>
      <c r="UQL55" s="5">
        <f>-IFERROR('4. NPV'!UQM24/'4. NPV'!UQM$8,0)</f>
        <v>-0.0</v>
      </c>
      <c r="UQM55" s="5">
        <f>-IFERROR('4. NPV'!UQN24/'4. NPV'!UQN$8,0)</f>
        <v>-0.0</v>
      </c>
      <c r="UQN55" s="5">
        <f>-IFERROR('4. NPV'!UQO24/'4. NPV'!UQO$8,0)</f>
        <v>-0.0</v>
      </c>
      <c r="UQO55" s="5">
        <f>-IFERROR('4. NPV'!UQP24/'4. NPV'!UQP$8,0)</f>
        <v>-0.0</v>
      </c>
      <c r="UQP55" s="5">
        <f>-IFERROR('4. NPV'!UQQ24/'4. NPV'!UQQ$8,0)</f>
        <v>-0.0</v>
      </c>
      <c r="UQQ55" s="5">
        <f>-IFERROR('4. NPV'!UQR24/'4. NPV'!UQR$8,0)</f>
        <v>-0.0</v>
      </c>
      <c r="UQR55" s="5">
        <f>-IFERROR('4. NPV'!UQS24/'4. NPV'!UQS$8,0)</f>
        <v>-0.0</v>
      </c>
      <c r="UQS55" s="5">
        <f>-IFERROR('4. NPV'!UQT24/'4. NPV'!UQT$8,0)</f>
        <v>-0.0</v>
      </c>
      <c r="UQT55" s="5">
        <f>-IFERROR('4. NPV'!UQU24/'4. NPV'!UQU$8,0)</f>
        <v>-0.0</v>
      </c>
      <c r="UQU55" s="5">
        <f>-IFERROR('4. NPV'!UQV24/'4. NPV'!UQV$8,0)</f>
        <v>-0.0</v>
      </c>
      <c r="UQV55" s="5">
        <f>-IFERROR('4. NPV'!UQW24/'4. NPV'!UQW$8,0)</f>
        <v>-0.0</v>
      </c>
      <c r="UQW55" s="5">
        <f>-IFERROR('4. NPV'!UQX24/'4. NPV'!UQX$8,0)</f>
        <v>-0.0</v>
      </c>
      <c r="UQX55" s="5">
        <f>-IFERROR('4. NPV'!UQY24/'4. NPV'!UQY$8,0)</f>
        <v>-0.0</v>
      </c>
      <c r="UQY55" s="5">
        <f>-IFERROR('4. NPV'!UQZ24/'4. NPV'!UQZ$8,0)</f>
        <v>-0.0</v>
      </c>
      <c r="UQZ55" s="5">
        <f>-IFERROR('4. NPV'!URA24/'4. NPV'!URA$8,0)</f>
        <v>-0.0</v>
      </c>
      <c r="URA55" s="5">
        <f>-IFERROR('4. NPV'!URB24/'4. NPV'!URB$8,0)</f>
        <v>-0.0</v>
      </c>
      <c r="URB55" s="5">
        <f>-IFERROR('4. NPV'!URC24/'4. NPV'!URC$8,0)</f>
        <v>-0.0</v>
      </c>
      <c r="URC55" s="5">
        <f>-IFERROR('4. NPV'!URD24/'4. NPV'!URD$8,0)</f>
        <v>-0.0</v>
      </c>
      <c r="URD55" s="5">
        <f>-IFERROR('4. NPV'!URE24/'4. NPV'!URE$8,0)</f>
        <v>-0.0</v>
      </c>
      <c r="URE55" s="5">
        <f>-IFERROR('4. NPV'!URF24/'4. NPV'!URF$8,0)</f>
        <v>-0.0</v>
      </c>
      <c r="URF55" s="5">
        <f>-IFERROR('4. NPV'!URG24/'4. NPV'!URG$8,0)</f>
        <v>-0.0</v>
      </c>
      <c r="URG55" s="5">
        <f>-IFERROR('4. NPV'!URH24/'4. NPV'!URH$8,0)</f>
        <v>-0.0</v>
      </c>
      <c r="URH55" s="5">
        <f>-IFERROR('4. NPV'!URI24/'4. NPV'!URI$8,0)</f>
        <v>-0.0</v>
      </c>
      <c r="URI55" s="5">
        <f>-IFERROR('4. NPV'!URJ24/'4. NPV'!URJ$8,0)</f>
        <v>-0.0</v>
      </c>
      <c r="URJ55" s="5">
        <f>-IFERROR('4. NPV'!URK24/'4. NPV'!URK$8,0)</f>
        <v>-0.0</v>
      </c>
      <c r="URK55" s="5">
        <f>-IFERROR('4. NPV'!URL24/'4. NPV'!URL$8,0)</f>
        <v>-0.0</v>
      </c>
      <c r="URL55" s="5">
        <f>-IFERROR('4. NPV'!URM24/'4. NPV'!URM$8,0)</f>
        <v>-0.0</v>
      </c>
      <c r="URM55" s="5">
        <f>-IFERROR('4. NPV'!URN24/'4. NPV'!URN$8,0)</f>
        <v>-0.0</v>
      </c>
      <c r="URN55" s="5">
        <f>-IFERROR('4. NPV'!URO24/'4. NPV'!URO$8,0)</f>
        <v>-0.0</v>
      </c>
      <c r="URO55" s="5">
        <f>-IFERROR('4. NPV'!URP24/'4. NPV'!URP$8,0)</f>
        <v>-0.0</v>
      </c>
      <c r="URP55" s="5">
        <f>-IFERROR('4. NPV'!URQ24/'4. NPV'!URQ$8,0)</f>
        <v>-0.0</v>
      </c>
      <c r="URQ55" s="5">
        <f>-IFERROR('4. NPV'!URR24/'4. NPV'!URR$8,0)</f>
        <v>-0.0</v>
      </c>
      <c r="URR55" s="5">
        <f>-IFERROR('4. NPV'!URS24/'4. NPV'!URS$8,0)</f>
        <v>-0.0</v>
      </c>
      <c r="URS55" s="5">
        <f>-IFERROR('4. NPV'!URT24/'4. NPV'!URT$8,0)</f>
        <v>-0.0</v>
      </c>
      <c r="URT55" s="5">
        <f>-IFERROR('4. NPV'!URU24/'4. NPV'!URU$8,0)</f>
        <v>-0.0</v>
      </c>
      <c r="URU55" s="5">
        <f>-IFERROR('4. NPV'!URV24/'4. NPV'!URV$8,0)</f>
        <v>-0.0</v>
      </c>
      <c r="URV55" s="5">
        <f>-IFERROR('4. NPV'!URW24/'4. NPV'!URW$8,0)</f>
        <v>-0.0</v>
      </c>
      <c r="URW55" s="5">
        <f>-IFERROR('4. NPV'!URX24/'4. NPV'!URX$8,0)</f>
        <v>-0.0</v>
      </c>
      <c r="URX55" s="5">
        <f>-IFERROR('4. NPV'!URY24/'4. NPV'!URY$8,0)</f>
        <v>-0.0</v>
      </c>
      <c r="URY55" s="5">
        <f>-IFERROR('4. NPV'!URZ24/'4. NPV'!URZ$8,0)</f>
        <v>-0.0</v>
      </c>
      <c r="URZ55" s="5">
        <f>-IFERROR('4. NPV'!USA24/'4. NPV'!USA$8,0)</f>
        <v>-0.0</v>
      </c>
      <c r="USA55" s="5">
        <f>-IFERROR('4. NPV'!USB24/'4. NPV'!USB$8,0)</f>
        <v>-0.0</v>
      </c>
      <c r="USB55" s="5">
        <f>-IFERROR('4. NPV'!USC24/'4. NPV'!USC$8,0)</f>
        <v>-0.0</v>
      </c>
      <c r="USC55" s="5">
        <f>-IFERROR('4. NPV'!USD24/'4. NPV'!USD$8,0)</f>
        <v>-0.0</v>
      </c>
      <c r="USD55" s="5">
        <f>-IFERROR('4. NPV'!USE24/'4. NPV'!USE$8,0)</f>
        <v>-0.0</v>
      </c>
      <c r="USE55" s="5">
        <f>-IFERROR('4. NPV'!USF24/'4. NPV'!USF$8,0)</f>
        <v>-0.0</v>
      </c>
      <c r="USF55" s="5">
        <f>-IFERROR('4. NPV'!USG24/'4. NPV'!USG$8,0)</f>
        <v>-0.0</v>
      </c>
      <c r="USG55" s="5">
        <f>-IFERROR('4. NPV'!USH24/'4. NPV'!USH$8,0)</f>
        <v>-0.0</v>
      </c>
      <c r="USH55" s="5">
        <f>-IFERROR('4. NPV'!USI24/'4. NPV'!USI$8,0)</f>
        <v>-0.0</v>
      </c>
      <c r="USI55" s="5">
        <f>-IFERROR('4. NPV'!USJ24/'4. NPV'!USJ$8,0)</f>
        <v>-0.0</v>
      </c>
      <c r="USJ55" s="5">
        <f>-IFERROR('4. NPV'!USK24/'4. NPV'!USK$8,0)</f>
        <v>-0.0</v>
      </c>
      <c r="USK55" s="5">
        <f>-IFERROR('4. NPV'!USL24/'4. NPV'!USL$8,0)</f>
        <v>-0.0</v>
      </c>
      <c r="USL55" s="5">
        <f>-IFERROR('4. NPV'!USM24/'4. NPV'!USM$8,0)</f>
        <v>-0.0</v>
      </c>
      <c r="USM55" s="5">
        <f>-IFERROR('4. NPV'!USN24/'4. NPV'!USN$8,0)</f>
        <v>-0.0</v>
      </c>
      <c r="USN55" s="5">
        <f>-IFERROR('4. NPV'!USO24/'4. NPV'!USO$8,0)</f>
        <v>-0.0</v>
      </c>
      <c r="USO55" s="5">
        <f>-IFERROR('4. NPV'!USP24/'4. NPV'!USP$8,0)</f>
        <v>-0.0</v>
      </c>
      <c r="USP55" s="5">
        <f>-IFERROR('4. NPV'!USQ24/'4. NPV'!USQ$8,0)</f>
        <v>-0.0</v>
      </c>
      <c r="USQ55" s="5">
        <f>-IFERROR('4. NPV'!USR24/'4. NPV'!USR$8,0)</f>
        <v>-0.0</v>
      </c>
      <c r="USR55" s="5">
        <f>-IFERROR('4. NPV'!USS24/'4. NPV'!USS$8,0)</f>
        <v>-0.0</v>
      </c>
      <c r="USS55" s="5">
        <f>-IFERROR('4. NPV'!UST24/'4. NPV'!UST$8,0)</f>
        <v>-0.0</v>
      </c>
      <c r="UST55" s="5">
        <f>-IFERROR('4. NPV'!USU24/'4. NPV'!USU$8,0)</f>
        <v>-0.0</v>
      </c>
      <c r="USU55" s="5">
        <f>-IFERROR('4. NPV'!USV24/'4. NPV'!USV$8,0)</f>
        <v>-0.0</v>
      </c>
      <c r="USV55" s="5">
        <f>-IFERROR('4. NPV'!USW24/'4. NPV'!USW$8,0)</f>
        <v>-0.0</v>
      </c>
      <c r="USW55" s="5">
        <f>-IFERROR('4. NPV'!USX24/'4. NPV'!USX$8,0)</f>
        <v>-0.0</v>
      </c>
      <c r="USX55" s="5">
        <f>-IFERROR('4. NPV'!USY24/'4. NPV'!USY$8,0)</f>
        <v>-0.0</v>
      </c>
      <c r="USY55" s="5">
        <f>-IFERROR('4. NPV'!USZ24/'4. NPV'!USZ$8,0)</f>
        <v>-0.0</v>
      </c>
      <c r="USZ55" s="5">
        <f>-IFERROR('4. NPV'!UTA24/'4. NPV'!UTA$8,0)</f>
        <v>-0.0</v>
      </c>
      <c r="UTA55" s="5">
        <f>-IFERROR('4. NPV'!UTB24/'4. NPV'!UTB$8,0)</f>
        <v>-0.0</v>
      </c>
      <c r="UTB55" s="5">
        <f>-IFERROR('4. NPV'!UTC24/'4. NPV'!UTC$8,0)</f>
        <v>-0.0</v>
      </c>
      <c r="UTC55" s="5">
        <f>-IFERROR('4. NPV'!UTD24/'4. NPV'!UTD$8,0)</f>
        <v>-0.0</v>
      </c>
      <c r="UTD55" s="5">
        <f>-IFERROR('4. NPV'!UTE24/'4. NPV'!UTE$8,0)</f>
        <v>-0.0</v>
      </c>
      <c r="UTE55" s="5">
        <f>-IFERROR('4. NPV'!UTF24/'4. NPV'!UTF$8,0)</f>
        <v>-0.0</v>
      </c>
      <c r="UTF55" s="5">
        <f>-IFERROR('4. NPV'!UTG24/'4. NPV'!UTG$8,0)</f>
        <v>-0.0</v>
      </c>
      <c r="UTG55" s="5">
        <f>-IFERROR('4. NPV'!UTH24/'4. NPV'!UTH$8,0)</f>
        <v>-0.0</v>
      </c>
      <c r="UTH55" s="5">
        <f>-IFERROR('4. NPV'!UTI24/'4. NPV'!UTI$8,0)</f>
        <v>-0.0</v>
      </c>
      <c r="UTI55" s="5">
        <f>-IFERROR('4. NPV'!UTJ24/'4. NPV'!UTJ$8,0)</f>
        <v>-0.0</v>
      </c>
      <c r="UTJ55" s="5">
        <f>-IFERROR('4. NPV'!UTK24/'4. NPV'!UTK$8,0)</f>
        <v>-0.0</v>
      </c>
      <c r="UTK55" s="5">
        <f>-IFERROR('4. NPV'!UTL24/'4. NPV'!UTL$8,0)</f>
        <v>-0.0</v>
      </c>
      <c r="UTL55" s="5">
        <f>-IFERROR('4. NPV'!UTM24/'4. NPV'!UTM$8,0)</f>
        <v>-0.0</v>
      </c>
      <c r="UTM55" s="5">
        <f>-IFERROR('4. NPV'!UTN24/'4. NPV'!UTN$8,0)</f>
        <v>-0.0</v>
      </c>
      <c r="UTN55" s="5">
        <f>-IFERROR('4. NPV'!UTO24/'4. NPV'!UTO$8,0)</f>
        <v>-0.0</v>
      </c>
      <c r="UTO55" s="5">
        <f>-IFERROR('4. NPV'!UTP24/'4. NPV'!UTP$8,0)</f>
        <v>-0.0</v>
      </c>
      <c r="UTP55" s="5">
        <f>-IFERROR('4. NPV'!UTQ24/'4. NPV'!UTQ$8,0)</f>
        <v>-0.0</v>
      </c>
      <c r="UTQ55" s="5">
        <f>-IFERROR('4. NPV'!UTR24/'4. NPV'!UTR$8,0)</f>
        <v>-0.0</v>
      </c>
      <c r="UTR55" s="5">
        <f>-IFERROR('4. NPV'!UTS24/'4. NPV'!UTS$8,0)</f>
        <v>-0.0</v>
      </c>
      <c r="UTS55" s="5">
        <f>-IFERROR('4. NPV'!UTT24/'4. NPV'!UTT$8,0)</f>
        <v>-0.0</v>
      </c>
      <c r="UTT55" s="5">
        <f>-IFERROR('4. NPV'!UTU24/'4. NPV'!UTU$8,0)</f>
        <v>-0.0</v>
      </c>
      <c r="UTU55" s="5">
        <f>-IFERROR('4. NPV'!UTV24/'4. NPV'!UTV$8,0)</f>
        <v>-0.0</v>
      </c>
      <c r="UTV55" s="5">
        <f>-IFERROR('4. NPV'!UTW24/'4. NPV'!UTW$8,0)</f>
        <v>-0.0</v>
      </c>
      <c r="UTW55" s="5">
        <f>-IFERROR('4. NPV'!UTX24/'4. NPV'!UTX$8,0)</f>
        <v>-0.0</v>
      </c>
      <c r="UTX55" s="5">
        <f>-IFERROR('4. NPV'!UTY24/'4. NPV'!UTY$8,0)</f>
        <v>-0.0</v>
      </c>
      <c r="UTY55" s="5">
        <f>-IFERROR('4. NPV'!UTZ24/'4. NPV'!UTZ$8,0)</f>
        <v>-0.0</v>
      </c>
      <c r="UTZ55" s="5">
        <f>-IFERROR('4. NPV'!UUA24/'4. NPV'!UUA$8,0)</f>
        <v>-0.0</v>
      </c>
      <c r="UUA55" s="5">
        <f>-IFERROR('4. NPV'!UUB24/'4. NPV'!UUB$8,0)</f>
        <v>-0.0</v>
      </c>
      <c r="UUB55" s="5">
        <f>-IFERROR('4. NPV'!UUC24/'4. NPV'!UUC$8,0)</f>
        <v>-0.0</v>
      </c>
      <c r="UUC55" s="5">
        <f>-IFERROR('4. NPV'!UUD24/'4. NPV'!UUD$8,0)</f>
        <v>-0.0</v>
      </c>
      <c r="UUD55" s="5">
        <f>-IFERROR('4. NPV'!UUE24/'4. NPV'!UUE$8,0)</f>
        <v>-0.0</v>
      </c>
      <c r="UUE55" s="5">
        <f>-IFERROR('4. NPV'!UUF24/'4. NPV'!UUF$8,0)</f>
        <v>-0.0</v>
      </c>
      <c r="UUF55" s="5">
        <f>-IFERROR('4. NPV'!UUG24/'4. NPV'!UUG$8,0)</f>
        <v>-0.0</v>
      </c>
      <c r="UUG55" s="5">
        <f>-IFERROR('4. NPV'!UUH24/'4. NPV'!UUH$8,0)</f>
        <v>-0.0</v>
      </c>
      <c r="UUH55" s="5">
        <f>-IFERROR('4. NPV'!UUI24/'4. NPV'!UUI$8,0)</f>
        <v>-0.0</v>
      </c>
      <c r="UUI55" s="5">
        <f>-IFERROR('4. NPV'!UUJ24/'4. NPV'!UUJ$8,0)</f>
        <v>-0.0</v>
      </c>
      <c r="UUJ55" s="5">
        <f>-IFERROR('4. NPV'!UUK24/'4. NPV'!UUK$8,0)</f>
        <v>-0.0</v>
      </c>
      <c r="UUK55" s="5">
        <f>-IFERROR('4. NPV'!UUL24/'4. NPV'!UUL$8,0)</f>
        <v>-0.0</v>
      </c>
      <c r="UUL55" s="5">
        <f>-IFERROR('4. NPV'!UUM24/'4. NPV'!UUM$8,0)</f>
        <v>-0.0</v>
      </c>
      <c r="UUM55" s="5">
        <f>-IFERROR('4. NPV'!UUN24/'4. NPV'!UUN$8,0)</f>
        <v>-0.0</v>
      </c>
      <c r="UUN55" s="5">
        <f>-IFERROR('4. NPV'!UUO24/'4. NPV'!UUO$8,0)</f>
        <v>-0.0</v>
      </c>
      <c r="UUO55" s="5">
        <f>-IFERROR('4. NPV'!UUP24/'4. NPV'!UUP$8,0)</f>
        <v>-0.0</v>
      </c>
      <c r="UUP55" s="5">
        <f>-IFERROR('4. NPV'!UUQ24/'4. NPV'!UUQ$8,0)</f>
        <v>-0.0</v>
      </c>
      <c r="UUQ55" s="5">
        <f>-IFERROR('4. NPV'!UUR24/'4. NPV'!UUR$8,0)</f>
        <v>-0.0</v>
      </c>
      <c r="UUR55" s="5">
        <f>-IFERROR('4. NPV'!UUS24/'4. NPV'!UUS$8,0)</f>
        <v>-0.0</v>
      </c>
      <c r="UUS55" s="5">
        <f>-IFERROR('4. NPV'!UUT24/'4. NPV'!UUT$8,0)</f>
        <v>-0.0</v>
      </c>
      <c r="UUT55" s="5">
        <f>-IFERROR('4. NPV'!UUU24/'4. NPV'!UUU$8,0)</f>
        <v>-0.0</v>
      </c>
      <c r="UUU55" s="5">
        <f>-IFERROR('4. NPV'!UUV24/'4. NPV'!UUV$8,0)</f>
        <v>-0.0</v>
      </c>
      <c r="UUV55" s="5">
        <f>-IFERROR('4. NPV'!UUW24/'4. NPV'!UUW$8,0)</f>
        <v>-0.0</v>
      </c>
      <c r="UUW55" s="5">
        <f>-IFERROR('4. NPV'!UUX24/'4. NPV'!UUX$8,0)</f>
        <v>-0.0</v>
      </c>
      <c r="UUX55" s="5">
        <f>-IFERROR('4. NPV'!UUY24/'4. NPV'!UUY$8,0)</f>
        <v>-0.0</v>
      </c>
      <c r="UUY55" s="5">
        <f>-IFERROR('4. NPV'!UUZ24/'4. NPV'!UUZ$8,0)</f>
        <v>-0.0</v>
      </c>
      <c r="UUZ55" s="5">
        <f>-IFERROR('4. NPV'!UVA24/'4. NPV'!UVA$8,0)</f>
        <v>-0.0</v>
      </c>
      <c r="UVA55" s="5">
        <f>-IFERROR('4. NPV'!UVB24/'4. NPV'!UVB$8,0)</f>
        <v>-0.0</v>
      </c>
      <c r="UVB55" s="5">
        <f>-IFERROR('4. NPV'!UVC24/'4. NPV'!UVC$8,0)</f>
        <v>-0.0</v>
      </c>
      <c r="UVC55" s="5">
        <f>-IFERROR('4. NPV'!UVD24/'4. NPV'!UVD$8,0)</f>
        <v>-0.0</v>
      </c>
      <c r="UVD55" s="5">
        <f>-IFERROR('4. NPV'!UVE24/'4. NPV'!UVE$8,0)</f>
        <v>-0.0</v>
      </c>
      <c r="UVE55" s="5">
        <f>-IFERROR('4. NPV'!UVF24/'4. NPV'!UVF$8,0)</f>
        <v>-0.0</v>
      </c>
      <c r="UVF55" s="5">
        <f>-IFERROR('4. NPV'!UVG24/'4. NPV'!UVG$8,0)</f>
        <v>-0.0</v>
      </c>
      <c r="UVG55" s="5">
        <f>-IFERROR('4. NPV'!UVH24/'4. NPV'!UVH$8,0)</f>
        <v>-0.0</v>
      </c>
      <c r="UVH55" s="5">
        <f>-IFERROR('4. NPV'!UVI24/'4. NPV'!UVI$8,0)</f>
        <v>-0.0</v>
      </c>
      <c r="UVI55" s="5">
        <f>-IFERROR('4. NPV'!UVJ24/'4. NPV'!UVJ$8,0)</f>
        <v>-0.0</v>
      </c>
      <c r="UVJ55" s="5">
        <f>-IFERROR('4. NPV'!UVK24/'4. NPV'!UVK$8,0)</f>
        <v>-0.0</v>
      </c>
      <c r="UVK55" s="5">
        <f>-IFERROR('4. NPV'!UVL24/'4. NPV'!UVL$8,0)</f>
        <v>-0.0</v>
      </c>
      <c r="UVL55" s="5">
        <f>-IFERROR('4. NPV'!UVM24/'4. NPV'!UVM$8,0)</f>
        <v>-0.0</v>
      </c>
      <c r="UVM55" s="5">
        <f>-IFERROR('4. NPV'!UVN24/'4. NPV'!UVN$8,0)</f>
        <v>-0.0</v>
      </c>
      <c r="UVN55" s="5">
        <f>-IFERROR('4. NPV'!UVO24/'4. NPV'!UVO$8,0)</f>
        <v>-0.0</v>
      </c>
      <c r="UVO55" s="5">
        <f>-IFERROR('4. NPV'!UVP24/'4. NPV'!UVP$8,0)</f>
        <v>-0.0</v>
      </c>
      <c r="UVP55" s="5">
        <f>-IFERROR('4. NPV'!UVQ24/'4. NPV'!UVQ$8,0)</f>
        <v>-0.0</v>
      </c>
      <c r="UVQ55" s="5">
        <f>-IFERROR('4. NPV'!UVR24/'4. NPV'!UVR$8,0)</f>
        <v>-0.0</v>
      </c>
      <c r="UVR55" s="5">
        <f>-IFERROR('4. NPV'!UVS24/'4. NPV'!UVS$8,0)</f>
        <v>-0.0</v>
      </c>
      <c r="UVS55" s="5">
        <f>-IFERROR('4. NPV'!UVT24/'4. NPV'!UVT$8,0)</f>
        <v>-0.0</v>
      </c>
      <c r="UVT55" s="5">
        <f>-IFERROR('4. NPV'!UVU24/'4. NPV'!UVU$8,0)</f>
        <v>-0.0</v>
      </c>
      <c r="UVU55" s="5">
        <f>-IFERROR('4. NPV'!UVV24/'4. NPV'!UVV$8,0)</f>
        <v>-0.0</v>
      </c>
      <c r="UVV55" s="5">
        <f>-IFERROR('4. NPV'!UVW24/'4. NPV'!UVW$8,0)</f>
        <v>-0.0</v>
      </c>
      <c r="UVW55" s="5">
        <f>-IFERROR('4. NPV'!UVX24/'4. NPV'!UVX$8,0)</f>
        <v>-0.0</v>
      </c>
      <c r="UVX55" s="5">
        <f>-IFERROR('4. NPV'!UVY24/'4. NPV'!UVY$8,0)</f>
        <v>-0.0</v>
      </c>
      <c r="UVY55" s="5">
        <f>-IFERROR('4. NPV'!UVZ24/'4. NPV'!UVZ$8,0)</f>
        <v>-0.0</v>
      </c>
      <c r="UVZ55" s="5">
        <f>-IFERROR('4. NPV'!UWA24/'4. NPV'!UWA$8,0)</f>
        <v>-0.0</v>
      </c>
      <c r="UWA55" s="5">
        <f>-IFERROR('4. NPV'!UWB24/'4. NPV'!UWB$8,0)</f>
        <v>-0.0</v>
      </c>
      <c r="UWB55" s="5">
        <f>-IFERROR('4. NPV'!UWC24/'4. NPV'!UWC$8,0)</f>
        <v>-0.0</v>
      </c>
      <c r="UWC55" s="5">
        <f>-IFERROR('4. NPV'!UWD24/'4. NPV'!UWD$8,0)</f>
        <v>-0.0</v>
      </c>
      <c r="UWD55" s="5">
        <f>-IFERROR('4. NPV'!UWE24/'4. NPV'!UWE$8,0)</f>
        <v>-0.0</v>
      </c>
      <c r="UWE55" s="5">
        <f>-IFERROR('4. NPV'!UWF24/'4. NPV'!UWF$8,0)</f>
        <v>-0.0</v>
      </c>
      <c r="UWF55" s="5">
        <f>-IFERROR('4. NPV'!UWG24/'4. NPV'!UWG$8,0)</f>
        <v>-0.0</v>
      </c>
      <c r="UWG55" s="5">
        <f>-IFERROR('4. NPV'!UWH24/'4. NPV'!UWH$8,0)</f>
        <v>-0.0</v>
      </c>
      <c r="UWH55" s="5">
        <f>-IFERROR('4. NPV'!UWI24/'4. NPV'!UWI$8,0)</f>
        <v>-0.0</v>
      </c>
      <c r="UWI55" s="5">
        <f>-IFERROR('4. NPV'!UWJ24/'4. NPV'!UWJ$8,0)</f>
        <v>-0.0</v>
      </c>
      <c r="UWJ55" s="5">
        <f>-IFERROR('4. NPV'!UWK24/'4. NPV'!UWK$8,0)</f>
        <v>-0.0</v>
      </c>
      <c r="UWK55" s="5">
        <f>-IFERROR('4. NPV'!UWL24/'4. NPV'!UWL$8,0)</f>
        <v>-0.0</v>
      </c>
      <c r="UWL55" s="5">
        <f>-IFERROR('4. NPV'!UWM24/'4. NPV'!UWM$8,0)</f>
        <v>-0.0</v>
      </c>
      <c r="UWM55" s="5">
        <f>-IFERROR('4. NPV'!UWN24/'4. NPV'!UWN$8,0)</f>
        <v>-0.0</v>
      </c>
      <c r="UWN55" s="5">
        <f>-IFERROR('4. NPV'!UWO24/'4. NPV'!UWO$8,0)</f>
        <v>-0.0</v>
      </c>
      <c r="UWO55" s="5">
        <f>-IFERROR('4. NPV'!UWP24/'4. NPV'!UWP$8,0)</f>
        <v>-0.0</v>
      </c>
      <c r="UWP55" s="5">
        <f>-IFERROR('4. NPV'!UWQ24/'4. NPV'!UWQ$8,0)</f>
        <v>-0.0</v>
      </c>
      <c r="UWQ55" s="5">
        <f>-IFERROR('4. NPV'!UWR24/'4. NPV'!UWR$8,0)</f>
        <v>-0.0</v>
      </c>
      <c r="UWR55" s="5">
        <f>-IFERROR('4. NPV'!UWS24/'4. NPV'!UWS$8,0)</f>
        <v>-0.0</v>
      </c>
      <c r="UWS55" s="5">
        <f>-IFERROR('4. NPV'!UWT24/'4. NPV'!UWT$8,0)</f>
        <v>-0.0</v>
      </c>
      <c r="UWT55" s="5">
        <f>-IFERROR('4. NPV'!UWU24/'4. NPV'!UWU$8,0)</f>
        <v>-0.0</v>
      </c>
      <c r="UWU55" s="5">
        <f>-IFERROR('4. NPV'!UWV24/'4. NPV'!UWV$8,0)</f>
        <v>-0.0</v>
      </c>
      <c r="UWV55" s="5">
        <f>-IFERROR('4. NPV'!UWW24/'4. NPV'!UWW$8,0)</f>
        <v>-0.0</v>
      </c>
      <c r="UWW55" s="5">
        <f>-IFERROR('4. NPV'!UWX24/'4. NPV'!UWX$8,0)</f>
        <v>-0.0</v>
      </c>
      <c r="UWX55" s="5">
        <f>-IFERROR('4. NPV'!UWY24/'4. NPV'!UWY$8,0)</f>
        <v>-0.0</v>
      </c>
      <c r="UWY55" s="5">
        <f>-IFERROR('4. NPV'!UWZ24/'4. NPV'!UWZ$8,0)</f>
        <v>-0.0</v>
      </c>
      <c r="UWZ55" s="5">
        <f>-IFERROR('4. NPV'!UXA24/'4. NPV'!UXA$8,0)</f>
        <v>-0.0</v>
      </c>
      <c r="UXA55" s="5">
        <f>-IFERROR('4. NPV'!UXB24/'4. NPV'!UXB$8,0)</f>
        <v>-0.0</v>
      </c>
      <c r="UXB55" s="5">
        <f>-IFERROR('4. NPV'!UXC24/'4. NPV'!UXC$8,0)</f>
        <v>-0.0</v>
      </c>
      <c r="UXC55" s="5">
        <f>-IFERROR('4. NPV'!UXD24/'4. NPV'!UXD$8,0)</f>
        <v>-0.0</v>
      </c>
      <c r="UXD55" s="5">
        <f>-IFERROR('4. NPV'!UXE24/'4. NPV'!UXE$8,0)</f>
        <v>-0.0</v>
      </c>
      <c r="UXE55" s="5">
        <f>-IFERROR('4. NPV'!UXF24/'4. NPV'!UXF$8,0)</f>
        <v>-0.0</v>
      </c>
      <c r="UXF55" s="5">
        <f>-IFERROR('4. NPV'!UXG24/'4. NPV'!UXG$8,0)</f>
        <v>-0.0</v>
      </c>
      <c r="UXG55" s="5">
        <f>-IFERROR('4. NPV'!UXH24/'4. NPV'!UXH$8,0)</f>
        <v>-0.0</v>
      </c>
      <c r="UXH55" s="5">
        <f>-IFERROR('4. NPV'!UXI24/'4. NPV'!UXI$8,0)</f>
        <v>-0.0</v>
      </c>
      <c r="UXI55" s="5">
        <f>-IFERROR('4. NPV'!UXJ24/'4. NPV'!UXJ$8,0)</f>
        <v>-0.0</v>
      </c>
      <c r="UXJ55" s="5">
        <f>-IFERROR('4. NPV'!UXK24/'4. NPV'!UXK$8,0)</f>
        <v>-0.0</v>
      </c>
      <c r="UXK55" s="5">
        <f>-IFERROR('4. NPV'!UXL24/'4. NPV'!UXL$8,0)</f>
        <v>-0.0</v>
      </c>
      <c r="UXL55" s="5">
        <f>-IFERROR('4. NPV'!UXM24/'4. NPV'!UXM$8,0)</f>
        <v>-0.0</v>
      </c>
      <c r="UXM55" s="5">
        <f>-IFERROR('4. NPV'!UXN24/'4. NPV'!UXN$8,0)</f>
        <v>-0.0</v>
      </c>
      <c r="UXN55" s="5">
        <f>-IFERROR('4. NPV'!UXO24/'4. NPV'!UXO$8,0)</f>
        <v>-0.0</v>
      </c>
      <c r="UXO55" s="5">
        <f>-IFERROR('4. NPV'!UXP24/'4. NPV'!UXP$8,0)</f>
        <v>-0.0</v>
      </c>
      <c r="UXP55" s="5">
        <f>-IFERROR('4. NPV'!UXQ24/'4. NPV'!UXQ$8,0)</f>
        <v>-0.0</v>
      </c>
      <c r="UXQ55" s="5">
        <f>-IFERROR('4. NPV'!UXR24/'4. NPV'!UXR$8,0)</f>
        <v>-0.0</v>
      </c>
      <c r="UXR55" s="5">
        <f>-IFERROR('4. NPV'!UXS24/'4. NPV'!UXS$8,0)</f>
        <v>-0.0</v>
      </c>
      <c r="UXS55" s="5">
        <f>-IFERROR('4. NPV'!UXT24/'4. NPV'!UXT$8,0)</f>
        <v>-0.0</v>
      </c>
      <c r="UXT55" s="5">
        <f>-IFERROR('4. NPV'!UXU24/'4. NPV'!UXU$8,0)</f>
        <v>-0.0</v>
      </c>
      <c r="UXU55" s="5">
        <f>-IFERROR('4. NPV'!UXV24/'4. NPV'!UXV$8,0)</f>
        <v>-0.0</v>
      </c>
      <c r="UXV55" s="5">
        <f>-IFERROR('4. NPV'!UXW24/'4. NPV'!UXW$8,0)</f>
        <v>-0.0</v>
      </c>
      <c r="UXW55" s="5">
        <f>-IFERROR('4. NPV'!UXX24/'4. NPV'!UXX$8,0)</f>
        <v>-0.0</v>
      </c>
      <c r="UXX55" s="5">
        <f>-IFERROR('4. NPV'!UXY24/'4. NPV'!UXY$8,0)</f>
        <v>-0.0</v>
      </c>
      <c r="UXY55" s="5">
        <f>-IFERROR('4. NPV'!UXZ24/'4. NPV'!UXZ$8,0)</f>
        <v>-0.0</v>
      </c>
      <c r="UXZ55" s="5">
        <f>-IFERROR('4. NPV'!UYA24/'4. NPV'!UYA$8,0)</f>
        <v>-0.0</v>
      </c>
      <c r="UYA55" s="5">
        <f>-IFERROR('4. NPV'!UYB24/'4. NPV'!UYB$8,0)</f>
        <v>-0.0</v>
      </c>
      <c r="UYB55" s="5">
        <f>-IFERROR('4. NPV'!UYC24/'4. NPV'!UYC$8,0)</f>
        <v>-0.0</v>
      </c>
      <c r="UYC55" s="5">
        <f>-IFERROR('4. NPV'!UYD24/'4. NPV'!UYD$8,0)</f>
        <v>-0.0</v>
      </c>
      <c r="UYD55" s="5">
        <f>-IFERROR('4. NPV'!UYE24/'4. NPV'!UYE$8,0)</f>
        <v>-0.0</v>
      </c>
      <c r="UYE55" s="5">
        <f>-IFERROR('4. NPV'!UYF24/'4. NPV'!UYF$8,0)</f>
        <v>-0.0</v>
      </c>
      <c r="UYF55" s="5">
        <f>-IFERROR('4. NPV'!UYG24/'4. NPV'!UYG$8,0)</f>
        <v>-0.0</v>
      </c>
      <c r="UYG55" s="5">
        <f>-IFERROR('4. NPV'!UYH24/'4. NPV'!UYH$8,0)</f>
        <v>-0.0</v>
      </c>
      <c r="UYH55" s="5">
        <f>-IFERROR('4. NPV'!UYI24/'4. NPV'!UYI$8,0)</f>
        <v>-0.0</v>
      </c>
      <c r="UYI55" s="5">
        <f>-IFERROR('4. NPV'!UYJ24/'4. NPV'!UYJ$8,0)</f>
        <v>-0.0</v>
      </c>
      <c r="UYJ55" s="5">
        <f>-IFERROR('4. NPV'!UYK24/'4. NPV'!UYK$8,0)</f>
        <v>-0.0</v>
      </c>
      <c r="UYK55" s="5">
        <f>-IFERROR('4. NPV'!UYL24/'4. NPV'!UYL$8,0)</f>
        <v>-0.0</v>
      </c>
      <c r="UYL55" s="5">
        <f>-IFERROR('4. NPV'!UYM24/'4. NPV'!UYM$8,0)</f>
        <v>-0.0</v>
      </c>
      <c r="UYM55" s="5">
        <f>-IFERROR('4. NPV'!UYN24/'4. NPV'!UYN$8,0)</f>
        <v>-0.0</v>
      </c>
      <c r="UYN55" s="5">
        <f>-IFERROR('4. NPV'!UYO24/'4. NPV'!UYO$8,0)</f>
        <v>-0.0</v>
      </c>
      <c r="UYO55" s="5">
        <f>-IFERROR('4. NPV'!UYP24/'4. NPV'!UYP$8,0)</f>
        <v>-0.0</v>
      </c>
      <c r="UYP55" s="5">
        <f>-IFERROR('4. NPV'!UYQ24/'4. NPV'!UYQ$8,0)</f>
        <v>-0.0</v>
      </c>
      <c r="UYQ55" s="5">
        <f>-IFERROR('4. NPV'!UYR24/'4. NPV'!UYR$8,0)</f>
        <v>-0.0</v>
      </c>
      <c r="UYR55" s="5">
        <f>-IFERROR('4. NPV'!UYS24/'4. NPV'!UYS$8,0)</f>
        <v>-0.0</v>
      </c>
      <c r="UYS55" s="5">
        <f>-IFERROR('4. NPV'!UYT24/'4. NPV'!UYT$8,0)</f>
        <v>-0.0</v>
      </c>
      <c r="UYT55" s="5">
        <f>-IFERROR('4. NPV'!UYU24/'4. NPV'!UYU$8,0)</f>
        <v>-0.0</v>
      </c>
      <c r="UYU55" s="5">
        <f>-IFERROR('4. NPV'!UYV24/'4. NPV'!UYV$8,0)</f>
        <v>-0.0</v>
      </c>
      <c r="UYV55" s="5">
        <f>-IFERROR('4. NPV'!UYW24/'4. NPV'!UYW$8,0)</f>
        <v>-0.0</v>
      </c>
      <c r="UYW55" s="5">
        <f>-IFERROR('4. NPV'!UYX24/'4. NPV'!UYX$8,0)</f>
        <v>-0.0</v>
      </c>
      <c r="UYX55" s="5">
        <f>-IFERROR('4. NPV'!UYY24/'4. NPV'!UYY$8,0)</f>
        <v>-0.0</v>
      </c>
      <c r="UYY55" s="5">
        <f>-IFERROR('4. NPV'!UYZ24/'4. NPV'!UYZ$8,0)</f>
        <v>-0.0</v>
      </c>
      <c r="UYZ55" s="5">
        <f>-IFERROR('4. NPV'!UZA24/'4. NPV'!UZA$8,0)</f>
        <v>-0.0</v>
      </c>
      <c r="UZA55" s="5">
        <f>-IFERROR('4. NPV'!UZB24/'4. NPV'!UZB$8,0)</f>
        <v>-0.0</v>
      </c>
      <c r="UZB55" s="5">
        <f>-IFERROR('4. NPV'!UZC24/'4. NPV'!UZC$8,0)</f>
        <v>-0.0</v>
      </c>
      <c r="UZC55" s="5">
        <f>-IFERROR('4. NPV'!UZD24/'4. NPV'!UZD$8,0)</f>
        <v>-0.0</v>
      </c>
      <c r="UZD55" s="5">
        <f>-IFERROR('4. NPV'!UZE24/'4. NPV'!UZE$8,0)</f>
        <v>-0.0</v>
      </c>
      <c r="UZE55" s="5">
        <f>-IFERROR('4. NPV'!UZF24/'4. NPV'!UZF$8,0)</f>
        <v>-0.0</v>
      </c>
      <c r="UZF55" s="5">
        <f>-IFERROR('4. NPV'!UZG24/'4. NPV'!UZG$8,0)</f>
        <v>-0.0</v>
      </c>
      <c r="UZG55" s="5">
        <f>-IFERROR('4. NPV'!UZH24/'4. NPV'!UZH$8,0)</f>
        <v>-0.0</v>
      </c>
      <c r="UZH55" s="5">
        <f>-IFERROR('4. NPV'!UZI24/'4. NPV'!UZI$8,0)</f>
        <v>-0.0</v>
      </c>
      <c r="UZI55" s="5">
        <f>-IFERROR('4. NPV'!UZJ24/'4. NPV'!UZJ$8,0)</f>
        <v>-0.0</v>
      </c>
      <c r="UZJ55" s="5">
        <f>-IFERROR('4. NPV'!UZK24/'4. NPV'!UZK$8,0)</f>
        <v>-0.0</v>
      </c>
      <c r="UZK55" s="5">
        <f>-IFERROR('4. NPV'!UZL24/'4. NPV'!UZL$8,0)</f>
        <v>-0.0</v>
      </c>
      <c r="UZL55" s="5">
        <f>-IFERROR('4. NPV'!UZM24/'4. NPV'!UZM$8,0)</f>
        <v>-0.0</v>
      </c>
      <c r="UZM55" s="5">
        <f>-IFERROR('4. NPV'!UZN24/'4. NPV'!UZN$8,0)</f>
        <v>-0.0</v>
      </c>
      <c r="UZN55" s="5">
        <f>-IFERROR('4. NPV'!UZO24/'4. NPV'!UZO$8,0)</f>
        <v>-0.0</v>
      </c>
      <c r="UZO55" s="5">
        <f>-IFERROR('4. NPV'!UZP24/'4. NPV'!UZP$8,0)</f>
        <v>-0.0</v>
      </c>
      <c r="UZP55" s="5">
        <f>-IFERROR('4. NPV'!UZQ24/'4. NPV'!UZQ$8,0)</f>
        <v>-0.0</v>
      </c>
      <c r="UZQ55" s="5">
        <f>-IFERROR('4. NPV'!UZR24/'4. NPV'!UZR$8,0)</f>
        <v>-0.0</v>
      </c>
      <c r="UZR55" s="5">
        <f>-IFERROR('4. NPV'!UZS24/'4. NPV'!UZS$8,0)</f>
        <v>-0.0</v>
      </c>
      <c r="UZS55" s="5">
        <f>-IFERROR('4. NPV'!UZT24/'4. NPV'!UZT$8,0)</f>
        <v>-0.0</v>
      </c>
      <c r="UZT55" s="5">
        <f>-IFERROR('4. NPV'!UZU24/'4. NPV'!UZU$8,0)</f>
        <v>-0.0</v>
      </c>
      <c r="UZU55" s="5">
        <f>-IFERROR('4. NPV'!UZV24/'4. NPV'!UZV$8,0)</f>
        <v>-0.0</v>
      </c>
      <c r="UZV55" s="5">
        <f>-IFERROR('4. NPV'!UZW24/'4. NPV'!UZW$8,0)</f>
        <v>-0.0</v>
      </c>
      <c r="UZW55" s="5">
        <f>-IFERROR('4. NPV'!UZX24/'4. NPV'!UZX$8,0)</f>
        <v>-0.0</v>
      </c>
      <c r="UZX55" s="5">
        <f>-IFERROR('4. NPV'!UZY24/'4. NPV'!UZY$8,0)</f>
        <v>-0.0</v>
      </c>
      <c r="UZY55" s="5">
        <f>-IFERROR('4. NPV'!UZZ24/'4. NPV'!UZZ$8,0)</f>
        <v>-0.0</v>
      </c>
      <c r="UZZ55" s="5">
        <f>-IFERROR('4. NPV'!VAA24/'4. NPV'!VAA$8,0)</f>
        <v>-0.0</v>
      </c>
      <c r="VAA55" s="5">
        <f>-IFERROR('4. NPV'!VAB24/'4. NPV'!VAB$8,0)</f>
        <v>-0.0</v>
      </c>
      <c r="VAB55" s="5">
        <f>-IFERROR('4. NPV'!VAC24/'4. NPV'!VAC$8,0)</f>
        <v>-0.0</v>
      </c>
      <c r="VAC55" s="5">
        <f>-IFERROR('4. NPV'!VAD24/'4. NPV'!VAD$8,0)</f>
        <v>-0.0</v>
      </c>
      <c r="VAD55" s="5">
        <f>-IFERROR('4. NPV'!VAE24/'4. NPV'!VAE$8,0)</f>
        <v>-0.0</v>
      </c>
      <c r="VAE55" s="5">
        <f>-IFERROR('4. NPV'!VAF24/'4. NPV'!VAF$8,0)</f>
        <v>-0.0</v>
      </c>
      <c r="VAF55" s="5">
        <f>-IFERROR('4. NPV'!VAG24/'4. NPV'!VAG$8,0)</f>
        <v>-0.0</v>
      </c>
      <c r="VAG55" s="5">
        <f>-IFERROR('4. NPV'!VAH24/'4. NPV'!VAH$8,0)</f>
        <v>-0.0</v>
      </c>
      <c r="VAH55" s="5">
        <f>-IFERROR('4. NPV'!VAI24/'4. NPV'!VAI$8,0)</f>
        <v>-0.0</v>
      </c>
      <c r="VAI55" s="5">
        <f>-IFERROR('4. NPV'!VAJ24/'4. NPV'!VAJ$8,0)</f>
        <v>-0.0</v>
      </c>
      <c r="VAJ55" s="5">
        <f>-IFERROR('4. NPV'!VAK24/'4. NPV'!VAK$8,0)</f>
        <v>-0.0</v>
      </c>
      <c r="VAK55" s="5">
        <f>-IFERROR('4. NPV'!VAL24/'4. NPV'!VAL$8,0)</f>
        <v>-0.0</v>
      </c>
      <c r="VAL55" s="5">
        <f>-IFERROR('4. NPV'!VAM24/'4. NPV'!VAM$8,0)</f>
        <v>-0.0</v>
      </c>
      <c r="VAM55" s="5">
        <f>-IFERROR('4. NPV'!VAN24/'4. NPV'!VAN$8,0)</f>
        <v>-0.0</v>
      </c>
      <c r="VAN55" s="5">
        <f>-IFERROR('4. NPV'!VAO24/'4. NPV'!VAO$8,0)</f>
        <v>-0.0</v>
      </c>
      <c r="VAO55" s="5">
        <f>-IFERROR('4. NPV'!VAP24/'4. NPV'!VAP$8,0)</f>
        <v>-0.0</v>
      </c>
      <c r="VAP55" s="5">
        <f>-IFERROR('4. NPV'!VAQ24/'4. NPV'!VAQ$8,0)</f>
        <v>-0.0</v>
      </c>
      <c r="VAQ55" s="5">
        <f>-IFERROR('4. NPV'!VAR24/'4. NPV'!VAR$8,0)</f>
        <v>-0.0</v>
      </c>
      <c r="VAR55" s="5">
        <f>-IFERROR('4. NPV'!VAS24/'4. NPV'!VAS$8,0)</f>
        <v>-0.0</v>
      </c>
      <c r="VAS55" s="5">
        <f>-IFERROR('4. NPV'!VAT24/'4. NPV'!VAT$8,0)</f>
        <v>-0.0</v>
      </c>
      <c r="VAT55" s="5">
        <f>-IFERROR('4. NPV'!VAU24/'4. NPV'!VAU$8,0)</f>
        <v>-0.0</v>
      </c>
      <c r="VAU55" s="5">
        <f>-IFERROR('4. NPV'!VAV24/'4. NPV'!VAV$8,0)</f>
        <v>-0.0</v>
      </c>
      <c r="VAV55" s="5">
        <f>-IFERROR('4. NPV'!VAW24/'4. NPV'!VAW$8,0)</f>
        <v>-0.0</v>
      </c>
      <c r="VAW55" s="5">
        <f>-IFERROR('4. NPV'!VAX24/'4. NPV'!VAX$8,0)</f>
        <v>-0.0</v>
      </c>
      <c r="VAX55" s="5">
        <f>-IFERROR('4. NPV'!VAY24/'4. NPV'!VAY$8,0)</f>
        <v>-0.0</v>
      </c>
      <c r="VAY55" s="5">
        <f>-IFERROR('4. NPV'!VAZ24/'4. NPV'!VAZ$8,0)</f>
        <v>-0.0</v>
      </c>
      <c r="VAZ55" s="5">
        <f>-IFERROR('4. NPV'!VBA24/'4. NPV'!VBA$8,0)</f>
        <v>-0.0</v>
      </c>
      <c r="VBA55" s="5">
        <f>-IFERROR('4. NPV'!VBB24/'4. NPV'!VBB$8,0)</f>
        <v>-0.0</v>
      </c>
      <c r="VBB55" s="5">
        <f>-IFERROR('4. NPV'!VBC24/'4. NPV'!VBC$8,0)</f>
        <v>-0.0</v>
      </c>
      <c r="VBC55" s="5">
        <f>-IFERROR('4. NPV'!VBD24/'4. NPV'!VBD$8,0)</f>
        <v>-0.0</v>
      </c>
      <c r="VBD55" s="5">
        <f>-IFERROR('4. NPV'!VBE24/'4. NPV'!VBE$8,0)</f>
        <v>-0.0</v>
      </c>
      <c r="VBE55" s="5">
        <f>-IFERROR('4. NPV'!VBF24/'4. NPV'!VBF$8,0)</f>
        <v>-0.0</v>
      </c>
      <c r="VBF55" s="5">
        <f>-IFERROR('4. NPV'!VBG24/'4. NPV'!VBG$8,0)</f>
        <v>-0.0</v>
      </c>
      <c r="VBG55" s="5">
        <f>-IFERROR('4. NPV'!VBH24/'4. NPV'!VBH$8,0)</f>
        <v>-0.0</v>
      </c>
      <c r="VBH55" s="5">
        <f>-IFERROR('4. NPV'!VBI24/'4. NPV'!VBI$8,0)</f>
        <v>-0.0</v>
      </c>
      <c r="VBI55" s="5">
        <f>-IFERROR('4. NPV'!VBJ24/'4. NPV'!VBJ$8,0)</f>
        <v>-0.0</v>
      </c>
      <c r="VBJ55" s="5">
        <f>-IFERROR('4. NPV'!VBK24/'4. NPV'!VBK$8,0)</f>
        <v>-0.0</v>
      </c>
      <c r="VBK55" s="5">
        <f>-IFERROR('4. NPV'!VBL24/'4. NPV'!VBL$8,0)</f>
        <v>-0.0</v>
      </c>
      <c r="VBL55" s="5">
        <f>-IFERROR('4. NPV'!VBM24/'4. NPV'!VBM$8,0)</f>
        <v>-0.0</v>
      </c>
      <c r="VBM55" s="5">
        <f>-IFERROR('4. NPV'!VBN24/'4. NPV'!VBN$8,0)</f>
        <v>-0.0</v>
      </c>
      <c r="VBN55" s="5">
        <f>-IFERROR('4. NPV'!VBO24/'4. NPV'!VBO$8,0)</f>
        <v>-0.0</v>
      </c>
      <c r="VBO55" s="5">
        <f>-IFERROR('4. NPV'!VBP24/'4. NPV'!VBP$8,0)</f>
        <v>-0.0</v>
      </c>
      <c r="VBP55" s="5">
        <f>-IFERROR('4. NPV'!VBQ24/'4. NPV'!VBQ$8,0)</f>
        <v>-0.0</v>
      </c>
      <c r="VBQ55" s="5">
        <f>-IFERROR('4. NPV'!VBR24/'4. NPV'!VBR$8,0)</f>
        <v>-0.0</v>
      </c>
      <c r="VBR55" s="5">
        <f>-IFERROR('4. NPV'!VBS24/'4. NPV'!VBS$8,0)</f>
        <v>-0.0</v>
      </c>
      <c r="VBS55" s="5">
        <f>-IFERROR('4. NPV'!VBT24/'4. NPV'!VBT$8,0)</f>
        <v>-0.0</v>
      </c>
      <c r="VBT55" s="5">
        <f>-IFERROR('4. NPV'!VBU24/'4. NPV'!VBU$8,0)</f>
        <v>-0.0</v>
      </c>
      <c r="VBU55" s="5">
        <f>-IFERROR('4. NPV'!VBV24/'4. NPV'!VBV$8,0)</f>
        <v>-0.0</v>
      </c>
      <c r="VBV55" s="5">
        <f>-IFERROR('4. NPV'!VBW24/'4. NPV'!VBW$8,0)</f>
        <v>-0.0</v>
      </c>
      <c r="VBW55" s="5">
        <f>-IFERROR('4. NPV'!VBX24/'4. NPV'!VBX$8,0)</f>
        <v>-0.0</v>
      </c>
      <c r="VBX55" s="5">
        <f>-IFERROR('4. NPV'!VBY24/'4. NPV'!VBY$8,0)</f>
        <v>-0.0</v>
      </c>
      <c r="VBY55" s="5">
        <f>-IFERROR('4. NPV'!VBZ24/'4. NPV'!VBZ$8,0)</f>
        <v>-0.0</v>
      </c>
      <c r="VBZ55" s="5">
        <f>-IFERROR('4. NPV'!VCA24/'4. NPV'!VCA$8,0)</f>
        <v>-0.0</v>
      </c>
      <c r="VCA55" s="5">
        <f>-IFERROR('4. NPV'!VCB24/'4. NPV'!VCB$8,0)</f>
        <v>-0.0</v>
      </c>
      <c r="VCB55" s="5">
        <f>-IFERROR('4. NPV'!VCC24/'4. NPV'!VCC$8,0)</f>
        <v>-0.0</v>
      </c>
      <c r="VCC55" s="5">
        <f>-IFERROR('4. NPV'!VCD24/'4. NPV'!VCD$8,0)</f>
        <v>-0.0</v>
      </c>
      <c r="VCD55" s="5">
        <f>-IFERROR('4. NPV'!VCE24/'4. NPV'!VCE$8,0)</f>
        <v>-0.0</v>
      </c>
      <c r="VCE55" s="5">
        <f>-IFERROR('4. NPV'!VCF24/'4. NPV'!VCF$8,0)</f>
        <v>-0.0</v>
      </c>
      <c r="VCF55" s="5">
        <f>-IFERROR('4. NPV'!VCG24/'4. NPV'!VCG$8,0)</f>
        <v>-0.0</v>
      </c>
      <c r="VCG55" s="5">
        <f>-IFERROR('4. NPV'!VCH24/'4. NPV'!VCH$8,0)</f>
        <v>-0.0</v>
      </c>
      <c r="VCH55" s="5">
        <f>-IFERROR('4. NPV'!VCI24/'4. NPV'!VCI$8,0)</f>
        <v>-0.0</v>
      </c>
      <c r="VCI55" s="5">
        <f>-IFERROR('4. NPV'!VCJ24/'4. NPV'!VCJ$8,0)</f>
        <v>-0.0</v>
      </c>
      <c r="VCJ55" s="5">
        <f>-IFERROR('4. NPV'!VCK24/'4. NPV'!VCK$8,0)</f>
        <v>-0.0</v>
      </c>
      <c r="VCK55" s="5">
        <f>-IFERROR('4. NPV'!VCL24/'4. NPV'!VCL$8,0)</f>
        <v>-0.0</v>
      </c>
      <c r="VCL55" s="5">
        <f>-IFERROR('4. NPV'!VCM24/'4. NPV'!VCM$8,0)</f>
        <v>-0.0</v>
      </c>
      <c r="VCM55" s="5">
        <f>-IFERROR('4. NPV'!VCN24/'4. NPV'!VCN$8,0)</f>
        <v>-0.0</v>
      </c>
      <c r="VCN55" s="5">
        <f>-IFERROR('4. NPV'!VCO24/'4. NPV'!VCO$8,0)</f>
        <v>-0.0</v>
      </c>
      <c r="VCO55" s="5">
        <f>-IFERROR('4. NPV'!VCP24/'4. NPV'!VCP$8,0)</f>
        <v>-0.0</v>
      </c>
      <c r="VCP55" s="5">
        <f>-IFERROR('4. NPV'!VCQ24/'4. NPV'!VCQ$8,0)</f>
        <v>-0.0</v>
      </c>
      <c r="VCQ55" s="5">
        <f>-IFERROR('4. NPV'!VCR24/'4. NPV'!VCR$8,0)</f>
        <v>-0.0</v>
      </c>
      <c r="VCR55" s="5">
        <f>-IFERROR('4. NPV'!VCS24/'4. NPV'!VCS$8,0)</f>
        <v>-0.0</v>
      </c>
      <c r="VCS55" s="5">
        <f>-IFERROR('4. NPV'!VCT24/'4. NPV'!VCT$8,0)</f>
        <v>-0.0</v>
      </c>
      <c r="VCT55" s="5">
        <f>-IFERROR('4. NPV'!VCU24/'4. NPV'!VCU$8,0)</f>
        <v>-0.0</v>
      </c>
      <c r="VCU55" s="5">
        <f>-IFERROR('4. NPV'!VCV24/'4. NPV'!VCV$8,0)</f>
        <v>-0.0</v>
      </c>
      <c r="VCV55" s="5">
        <f>-IFERROR('4. NPV'!VCW24/'4. NPV'!VCW$8,0)</f>
        <v>-0.0</v>
      </c>
      <c r="VCW55" s="5">
        <f>-IFERROR('4. NPV'!VCX24/'4. NPV'!VCX$8,0)</f>
        <v>-0.0</v>
      </c>
      <c r="VCX55" s="5">
        <f>-IFERROR('4. NPV'!VCY24/'4. NPV'!VCY$8,0)</f>
        <v>-0.0</v>
      </c>
      <c r="VCY55" s="5">
        <f>-IFERROR('4. NPV'!VCZ24/'4. NPV'!VCZ$8,0)</f>
        <v>-0.0</v>
      </c>
      <c r="VCZ55" s="5">
        <f>-IFERROR('4. NPV'!VDA24/'4. NPV'!VDA$8,0)</f>
        <v>-0.0</v>
      </c>
      <c r="VDA55" s="5">
        <f>-IFERROR('4. NPV'!VDB24/'4. NPV'!VDB$8,0)</f>
        <v>-0.0</v>
      </c>
      <c r="VDB55" s="5">
        <f>-IFERROR('4. NPV'!VDC24/'4. NPV'!VDC$8,0)</f>
        <v>-0.0</v>
      </c>
      <c r="VDC55" s="5">
        <f>-IFERROR('4. NPV'!VDD24/'4. NPV'!VDD$8,0)</f>
        <v>-0.0</v>
      </c>
      <c r="VDD55" s="5">
        <f>-IFERROR('4. NPV'!VDE24/'4. NPV'!VDE$8,0)</f>
        <v>-0.0</v>
      </c>
      <c r="VDE55" s="5">
        <f>-IFERROR('4. NPV'!VDF24/'4. NPV'!VDF$8,0)</f>
        <v>-0.0</v>
      </c>
      <c r="VDF55" s="5">
        <f>-IFERROR('4. NPV'!VDG24/'4. NPV'!VDG$8,0)</f>
        <v>-0.0</v>
      </c>
      <c r="VDG55" s="5">
        <f>-IFERROR('4. NPV'!VDH24/'4. NPV'!VDH$8,0)</f>
        <v>-0.0</v>
      </c>
      <c r="VDH55" s="5">
        <f>-IFERROR('4. NPV'!VDI24/'4. NPV'!VDI$8,0)</f>
        <v>-0.0</v>
      </c>
      <c r="VDI55" s="5">
        <f>-IFERROR('4. NPV'!VDJ24/'4. NPV'!VDJ$8,0)</f>
        <v>-0.0</v>
      </c>
      <c r="VDJ55" s="5">
        <f>-IFERROR('4. NPV'!VDK24/'4. NPV'!VDK$8,0)</f>
        <v>-0.0</v>
      </c>
      <c r="VDK55" s="5">
        <f>-IFERROR('4. NPV'!VDL24/'4. NPV'!VDL$8,0)</f>
        <v>-0.0</v>
      </c>
      <c r="VDL55" s="5">
        <f>-IFERROR('4. NPV'!VDM24/'4. NPV'!VDM$8,0)</f>
        <v>-0.0</v>
      </c>
      <c r="VDM55" s="5">
        <f>-IFERROR('4. NPV'!VDN24/'4. NPV'!VDN$8,0)</f>
        <v>-0.0</v>
      </c>
      <c r="VDN55" s="5">
        <f>-IFERROR('4. NPV'!VDO24/'4. NPV'!VDO$8,0)</f>
        <v>-0.0</v>
      </c>
      <c r="VDO55" s="5">
        <f>-IFERROR('4. NPV'!VDP24/'4. NPV'!VDP$8,0)</f>
        <v>-0.0</v>
      </c>
      <c r="VDP55" s="5">
        <f>-IFERROR('4. NPV'!VDQ24/'4. NPV'!VDQ$8,0)</f>
        <v>-0.0</v>
      </c>
      <c r="VDQ55" s="5">
        <f>-IFERROR('4. NPV'!VDR24/'4. NPV'!VDR$8,0)</f>
        <v>-0.0</v>
      </c>
      <c r="VDR55" s="5">
        <f>-IFERROR('4. NPV'!VDS24/'4. NPV'!VDS$8,0)</f>
        <v>-0.0</v>
      </c>
      <c r="VDS55" s="5">
        <f>-IFERROR('4. NPV'!VDT24/'4. NPV'!VDT$8,0)</f>
        <v>-0.0</v>
      </c>
      <c r="VDT55" s="5">
        <f>-IFERROR('4. NPV'!VDU24/'4. NPV'!VDU$8,0)</f>
        <v>-0.0</v>
      </c>
      <c r="VDU55" s="5">
        <f>-IFERROR('4. NPV'!VDV24/'4. NPV'!VDV$8,0)</f>
        <v>-0.0</v>
      </c>
      <c r="VDV55" s="5">
        <f>-IFERROR('4. NPV'!VDW24/'4. NPV'!VDW$8,0)</f>
        <v>-0.0</v>
      </c>
      <c r="VDW55" s="5">
        <f>-IFERROR('4. NPV'!VDX24/'4. NPV'!VDX$8,0)</f>
        <v>-0.0</v>
      </c>
      <c r="VDX55" s="5">
        <f>-IFERROR('4. NPV'!VDY24/'4. NPV'!VDY$8,0)</f>
        <v>-0.0</v>
      </c>
      <c r="VDY55" s="5">
        <f>-IFERROR('4. NPV'!VDZ24/'4. NPV'!VDZ$8,0)</f>
        <v>-0.0</v>
      </c>
      <c r="VDZ55" s="5">
        <f>-IFERROR('4. NPV'!VEA24/'4. NPV'!VEA$8,0)</f>
        <v>-0.0</v>
      </c>
      <c r="VEA55" s="5">
        <f>-IFERROR('4. NPV'!VEB24/'4. NPV'!VEB$8,0)</f>
        <v>-0.0</v>
      </c>
      <c r="VEB55" s="5">
        <f>-IFERROR('4. NPV'!VEC24/'4. NPV'!VEC$8,0)</f>
        <v>-0.0</v>
      </c>
      <c r="VEC55" s="5">
        <f>-IFERROR('4. NPV'!VED24/'4. NPV'!VED$8,0)</f>
        <v>-0.0</v>
      </c>
      <c r="VED55" s="5">
        <f>-IFERROR('4. NPV'!VEE24/'4. NPV'!VEE$8,0)</f>
        <v>-0.0</v>
      </c>
      <c r="VEE55" s="5">
        <f>-IFERROR('4. NPV'!VEF24/'4. NPV'!VEF$8,0)</f>
        <v>-0.0</v>
      </c>
      <c r="VEF55" s="5">
        <f>-IFERROR('4. NPV'!VEG24/'4. NPV'!VEG$8,0)</f>
        <v>-0.0</v>
      </c>
      <c r="VEG55" s="5">
        <f>-IFERROR('4. NPV'!VEH24/'4. NPV'!VEH$8,0)</f>
        <v>-0.0</v>
      </c>
      <c r="VEH55" s="5">
        <f>-IFERROR('4. NPV'!VEI24/'4. NPV'!VEI$8,0)</f>
        <v>-0.0</v>
      </c>
      <c r="VEI55" s="5">
        <f>-IFERROR('4. NPV'!VEJ24/'4. NPV'!VEJ$8,0)</f>
        <v>-0.0</v>
      </c>
      <c r="VEJ55" s="5">
        <f>-IFERROR('4. NPV'!VEK24/'4. NPV'!VEK$8,0)</f>
        <v>-0.0</v>
      </c>
      <c r="VEK55" s="5">
        <f>-IFERROR('4. NPV'!VEL24/'4. NPV'!VEL$8,0)</f>
        <v>-0.0</v>
      </c>
      <c r="VEL55" s="5">
        <f>-IFERROR('4. NPV'!VEM24/'4. NPV'!VEM$8,0)</f>
        <v>-0.0</v>
      </c>
      <c r="VEM55" s="5">
        <f>-IFERROR('4. NPV'!VEN24/'4. NPV'!VEN$8,0)</f>
        <v>-0.0</v>
      </c>
      <c r="VEN55" s="5">
        <f>-IFERROR('4. NPV'!VEO24/'4. NPV'!VEO$8,0)</f>
        <v>-0.0</v>
      </c>
      <c r="VEO55" s="5">
        <f>-IFERROR('4. NPV'!VEP24/'4. NPV'!VEP$8,0)</f>
        <v>-0.0</v>
      </c>
      <c r="VEP55" s="5">
        <f>-IFERROR('4. NPV'!VEQ24/'4. NPV'!VEQ$8,0)</f>
        <v>-0.0</v>
      </c>
      <c r="VEQ55" s="5">
        <f>-IFERROR('4. NPV'!VER24/'4. NPV'!VER$8,0)</f>
        <v>-0.0</v>
      </c>
      <c r="VER55" s="5">
        <f>-IFERROR('4. NPV'!VES24/'4. NPV'!VES$8,0)</f>
        <v>-0.0</v>
      </c>
      <c r="VES55" s="5">
        <f>-IFERROR('4. NPV'!VET24/'4. NPV'!VET$8,0)</f>
        <v>-0.0</v>
      </c>
      <c r="VET55" s="5">
        <f>-IFERROR('4. NPV'!VEU24/'4. NPV'!VEU$8,0)</f>
        <v>-0.0</v>
      </c>
      <c r="VEU55" s="5">
        <f>-IFERROR('4. NPV'!VEV24/'4. NPV'!VEV$8,0)</f>
        <v>-0.0</v>
      </c>
      <c r="VEV55" s="5">
        <f>-IFERROR('4. NPV'!VEW24/'4. NPV'!VEW$8,0)</f>
        <v>-0.0</v>
      </c>
      <c r="VEW55" s="5">
        <f>-IFERROR('4. NPV'!VEX24/'4. NPV'!VEX$8,0)</f>
        <v>-0.0</v>
      </c>
      <c r="VEX55" s="5">
        <f>-IFERROR('4. NPV'!VEY24/'4. NPV'!VEY$8,0)</f>
        <v>-0.0</v>
      </c>
      <c r="VEY55" s="5">
        <f>-IFERROR('4. NPV'!VEZ24/'4. NPV'!VEZ$8,0)</f>
        <v>-0.0</v>
      </c>
      <c r="VEZ55" s="5">
        <f>-IFERROR('4. NPV'!VFA24/'4. NPV'!VFA$8,0)</f>
        <v>-0.0</v>
      </c>
      <c r="VFA55" s="5">
        <f>-IFERROR('4. NPV'!VFB24/'4. NPV'!VFB$8,0)</f>
        <v>-0.0</v>
      </c>
      <c r="VFB55" s="5">
        <f>-IFERROR('4. NPV'!VFC24/'4. NPV'!VFC$8,0)</f>
        <v>-0.0</v>
      </c>
      <c r="VFC55" s="5">
        <f>-IFERROR('4. NPV'!VFD24/'4. NPV'!VFD$8,0)</f>
        <v>-0.0</v>
      </c>
      <c r="VFD55" s="5">
        <f>-IFERROR('4. NPV'!VFE24/'4. NPV'!VFE$8,0)</f>
        <v>-0.0</v>
      </c>
      <c r="VFE55" s="5">
        <f>-IFERROR('4. NPV'!VFF24/'4. NPV'!VFF$8,0)</f>
        <v>-0.0</v>
      </c>
      <c r="VFF55" s="5">
        <f>-IFERROR('4. NPV'!VFG24/'4. NPV'!VFG$8,0)</f>
        <v>-0.0</v>
      </c>
      <c r="VFG55" s="5">
        <f>-IFERROR('4. NPV'!VFH24/'4. NPV'!VFH$8,0)</f>
        <v>-0.0</v>
      </c>
      <c r="VFH55" s="5">
        <f>-IFERROR('4. NPV'!VFI24/'4. NPV'!VFI$8,0)</f>
        <v>-0.0</v>
      </c>
      <c r="VFI55" s="5">
        <f>-IFERROR('4. NPV'!VFJ24/'4. NPV'!VFJ$8,0)</f>
        <v>-0.0</v>
      </c>
      <c r="VFJ55" s="5">
        <f>-IFERROR('4. NPV'!VFK24/'4. NPV'!VFK$8,0)</f>
        <v>-0.0</v>
      </c>
      <c r="VFK55" s="5">
        <f>-IFERROR('4. NPV'!VFL24/'4. NPV'!VFL$8,0)</f>
        <v>-0.0</v>
      </c>
      <c r="VFL55" s="5">
        <f>-IFERROR('4. NPV'!VFM24/'4. NPV'!VFM$8,0)</f>
        <v>-0.0</v>
      </c>
      <c r="VFM55" s="5">
        <f>-IFERROR('4. NPV'!VFN24/'4. NPV'!VFN$8,0)</f>
        <v>-0.0</v>
      </c>
      <c r="VFN55" s="5">
        <f>-IFERROR('4. NPV'!VFO24/'4. NPV'!VFO$8,0)</f>
        <v>-0.0</v>
      </c>
      <c r="VFO55" s="5">
        <f>-IFERROR('4. NPV'!VFP24/'4. NPV'!VFP$8,0)</f>
        <v>-0.0</v>
      </c>
      <c r="VFP55" s="5">
        <f>-IFERROR('4. NPV'!VFQ24/'4. NPV'!VFQ$8,0)</f>
        <v>-0.0</v>
      </c>
      <c r="VFQ55" s="5">
        <f>-IFERROR('4. NPV'!VFR24/'4. NPV'!VFR$8,0)</f>
        <v>-0.0</v>
      </c>
      <c r="VFR55" s="5">
        <f>-IFERROR('4. NPV'!VFS24/'4. NPV'!VFS$8,0)</f>
        <v>-0.0</v>
      </c>
      <c r="VFS55" s="5">
        <f>-IFERROR('4. NPV'!VFT24/'4. NPV'!VFT$8,0)</f>
        <v>-0.0</v>
      </c>
      <c r="VFT55" s="5">
        <f>-IFERROR('4. NPV'!VFU24/'4. NPV'!VFU$8,0)</f>
        <v>-0.0</v>
      </c>
      <c r="VFU55" s="5">
        <f>-IFERROR('4. NPV'!VFV24/'4. NPV'!VFV$8,0)</f>
        <v>-0.0</v>
      </c>
      <c r="VFV55" s="5">
        <f>-IFERROR('4. NPV'!VFW24/'4. NPV'!VFW$8,0)</f>
        <v>-0.0</v>
      </c>
      <c r="VFW55" s="5">
        <f>-IFERROR('4. NPV'!VFX24/'4. NPV'!VFX$8,0)</f>
        <v>-0.0</v>
      </c>
      <c r="VFX55" s="5">
        <f>-IFERROR('4. NPV'!VFY24/'4. NPV'!VFY$8,0)</f>
        <v>-0.0</v>
      </c>
      <c r="VFY55" s="5">
        <f>-IFERROR('4. NPV'!VFZ24/'4. NPV'!VFZ$8,0)</f>
        <v>-0.0</v>
      </c>
      <c r="VFZ55" s="5">
        <f>-IFERROR('4. NPV'!VGA24/'4. NPV'!VGA$8,0)</f>
        <v>-0.0</v>
      </c>
      <c r="VGA55" s="5">
        <f>-IFERROR('4. NPV'!VGB24/'4. NPV'!VGB$8,0)</f>
        <v>-0.0</v>
      </c>
      <c r="VGB55" s="5">
        <f>-IFERROR('4. NPV'!VGC24/'4. NPV'!VGC$8,0)</f>
        <v>-0.0</v>
      </c>
      <c r="VGC55" s="5">
        <f>-IFERROR('4. NPV'!VGD24/'4. NPV'!VGD$8,0)</f>
        <v>-0.0</v>
      </c>
      <c r="VGD55" s="5">
        <f>-IFERROR('4. NPV'!VGE24/'4. NPV'!VGE$8,0)</f>
        <v>-0.0</v>
      </c>
      <c r="VGE55" s="5">
        <f>-IFERROR('4. NPV'!VGF24/'4. NPV'!VGF$8,0)</f>
        <v>-0.0</v>
      </c>
      <c r="VGF55" s="5">
        <f>-IFERROR('4. NPV'!VGG24/'4. NPV'!VGG$8,0)</f>
        <v>-0.0</v>
      </c>
      <c r="VGG55" s="5">
        <f>-IFERROR('4. NPV'!VGH24/'4. NPV'!VGH$8,0)</f>
        <v>-0.0</v>
      </c>
      <c r="VGH55" s="5">
        <f>-IFERROR('4. NPV'!VGI24/'4. NPV'!VGI$8,0)</f>
        <v>-0.0</v>
      </c>
      <c r="VGI55" s="5">
        <f>-IFERROR('4. NPV'!VGJ24/'4. NPV'!VGJ$8,0)</f>
        <v>-0.0</v>
      </c>
      <c r="VGJ55" s="5">
        <f>-IFERROR('4. NPV'!VGK24/'4. NPV'!VGK$8,0)</f>
        <v>-0.0</v>
      </c>
      <c r="VGK55" s="5">
        <f>-IFERROR('4. NPV'!VGL24/'4. NPV'!VGL$8,0)</f>
        <v>-0.0</v>
      </c>
      <c r="VGL55" s="5">
        <f>-IFERROR('4. NPV'!VGM24/'4. NPV'!VGM$8,0)</f>
        <v>-0.0</v>
      </c>
      <c r="VGM55" s="5">
        <f>-IFERROR('4. NPV'!VGN24/'4. NPV'!VGN$8,0)</f>
        <v>-0.0</v>
      </c>
      <c r="VGN55" s="5">
        <f>-IFERROR('4. NPV'!VGO24/'4. NPV'!VGO$8,0)</f>
        <v>-0.0</v>
      </c>
      <c r="VGO55" s="5">
        <f>-IFERROR('4. NPV'!VGP24/'4. NPV'!VGP$8,0)</f>
        <v>-0.0</v>
      </c>
      <c r="VGP55" s="5">
        <f>-IFERROR('4. NPV'!VGQ24/'4. NPV'!VGQ$8,0)</f>
        <v>-0.0</v>
      </c>
      <c r="VGQ55" s="5">
        <f>-IFERROR('4. NPV'!VGR24/'4. NPV'!VGR$8,0)</f>
        <v>-0.0</v>
      </c>
      <c r="VGR55" s="5">
        <f>-IFERROR('4. NPV'!VGS24/'4. NPV'!VGS$8,0)</f>
        <v>-0.0</v>
      </c>
      <c r="VGS55" s="5">
        <f>-IFERROR('4. NPV'!VGT24/'4. NPV'!VGT$8,0)</f>
        <v>-0.0</v>
      </c>
      <c r="VGT55" s="5">
        <f>-IFERROR('4. NPV'!VGU24/'4. NPV'!VGU$8,0)</f>
        <v>-0.0</v>
      </c>
      <c r="VGU55" s="5">
        <f>-IFERROR('4. NPV'!VGV24/'4. NPV'!VGV$8,0)</f>
        <v>-0.0</v>
      </c>
      <c r="VGV55" s="5">
        <f>-IFERROR('4. NPV'!VGW24/'4. NPV'!VGW$8,0)</f>
        <v>-0.0</v>
      </c>
      <c r="VGW55" s="5">
        <f>-IFERROR('4. NPV'!VGX24/'4. NPV'!VGX$8,0)</f>
        <v>-0.0</v>
      </c>
      <c r="VGX55" s="5">
        <f>-IFERROR('4. NPV'!VGY24/'4. NPV'!VGY$8,0)</f>
        <v>-0.0</v>
      </c>
      <c r="VGY55" s="5">
        <f>-IFERROR('4. NPV'!VGZ24/'4. NPV'!VGZ$8,0)</f>
        <v>-0.0</v>
      </c>
      <c r="VGZ55" s="5">
        <f>-IFERROR('4. NPV'!VHA24/'4. NPV'!VHA$8,0)</f>
        <v>-0.0</v>
      </c>
      <c r="VHA55" s="5">
        <f>-IFERROR('4. NPV'!VHB24/'4. NPV'!VHB$8,0)</f>
        <v>-0.0</v>
      </c>
      <c r="VHB55" s="5">
        <f>-IFERROR('4. NPV'!VHC24/'4. NPV'!VHC$8,0)</f>
        <v>-0.0</v>
      </c>
      <c r="VHC55" s="5">
        <f>-IFERROR('4. NPV'!VHD24/'4. NPV'!VHD$8,0)</f>
        <v>-0.0</v>
      </c>
      <c r="VHD55" s="5">
        <f>-IFERROR('4. NPV'!VHE24/'4. NPV'!VHE$8,0)</f>
        <v>-0.0</v>
      </c>
      <c r="VHE55" s="5">
        <f>-IFERROR('4. NPV'!VHF24/'4. NPV'!VHF$8,0)</f>
        <v>-0.0</v>
      </c>
      <c r="VHF55" s="5">
        <f>-IFERROR('4. NPV'!VHG24/'4. NPV'!VHG$8,0)</f>
        <v>-0.0</v>
      </c>
      <c r="VHG55" s="5">
        <f>-IFERROR('4. NPV'!VHH24/'4. NPV'!VHH$8,0)</f>
        <v>-0.0</v>
      </c>
      <c r="VHH55" s="5">
        <f>-IFERROR('4. NPV'!VHI24/'4. NPV'!VHI$8,0)</f>
        <v>-0.0</v>
      </c>
      <c r="VHI55" s="5">
        <f>-IFERROR('4. NPV'!VHJ24/'4. NPV'!VHJ$8,0)</f>
        <v>-0.0</v>
      </c>
      <c r="VHJ55" s="5">
        <f>-IFERROR('4. NPV'!VHK24/'4. NPV'!VHK$8,0)</f>
        <v>-0.0</v>
      </c>
      <c r="VHK55" s="5">
        <f>-IFERROR('4. NPV'!VHL24/'4. NPV'!VHL$8,0)</f>
        <v>-0.0</v>
      </c>
      <c r="VHL55" s="5">
        <f>-IFERROR('4. NPV'!VHM24/'4. NPV'!VHM$8,0)</f>
        <v>-0.0</v>
      </c>
      <c r="VHM55" s="5">
        <f>-IFERROR('4. NPV'!VHN24/'4. NPV'!VHN$8,0)</f>
        <v>-0.0</v>
      </c>
      <c r="VHN55" s="5">
        <f>-IFERROR('4. NPV'!VHO24/'4. NPV'!VHO$8,0)</f>
        <v>-0.0</v>
      </c>
      <c r="VHO55" s="5">
        <f>-IFERROR('4. NPV'!VHP24/'4. NPV'!VHP$8,0)</f>
        <v>-0.0</v>
      </c>
      <c r="VHP55" s="5">
        <f>-IFERROR('4. NPV'!VHQ24/'4. NPV'!VHQ$8,0)</f>
        <v>-0.0</v>
      </c>
      <c r="VHQ55" s="5">
        <f>-IFERROR('4. NPV'!VHR24/'4. NPV'!VHR$8,0)</f>
        <v>-0.0</v>
      </c>
      <c r="VHR55" s="5">
        <f>-IFERROR('4. NPV'!VHS24/'4. NPV'!VHS$8,0)</f>
        <v>-0.0</v>
      </c>
      <c r="VHS55" s="5">
        <f>-IFERROR('4. NPV'!VHT24/'4. NPV'!VHT$8,0)</f>
        <v>-0.0</v>
      </c>
      <c r="VHT55" s="5">
        <f>-IFERROR('4. NPV'!VHU24/'4. NPV'!VHU$8,0)</f>
        <v>-0.0</v>
      </c>
      <c r="VHU55" s="5">
        <f>-IFERROR('4. NPV'!VHV24/'4. NPV'!VHV$8,0)</f>
        <v>-0.0</v>
      </c>
      <c r="VHV55" s="5">
        <f>-IFERROR('4. NPV'!VHW24/'4. NPV'!VHW$8,0)</f>
        <v>-0.0</v>
      </c>
      <c r="VHW55" s="5">
        <f>-IFERROR('4. NPV'!VHX24/'4. NPV'!VHX$8,0)</f>
        <v>-0.0</v>
      </c>
      <c r="VHX55" s="5">
        <f>-IFERROR('4. NPV'!VHY24/'4. NPV'!VHY$8,0)</f>
        <v>-0.0</v>
      </c>
      <c r="VHY55" s="5">
        <f>-IFERROR('4. NPV'!VHZ24/'4. NPV'!VHZ$8,0)</f>
        <v>-0.0</v>
      </c>
      <c r="VHZ55" s="5">
        <f>-IFERROR('4. NPV'!VIA24/'4. NPV'!VIA$8,0)</f>
        <v>-0.0</v>
      </c>
      <c r="VIA55" s="5">
        <f>-IFERROR('4. NPV'!VIB24/'4. NPV'!VIB$8,0)</f>
        <v>-0.0</v>
      </c>
      <c r="VIB55" s="5">
        <f>-IFERROR('4. NPV'!VIC24/'4. NPV'!VIC$8,0)</f>
        <v>-0.0</v>
      </c>
      <c r="VIC55" s="5">
        <f>-IFERROR('4. NPV'!VID24/'4. NPV'!VID$8,0)</f>
        <v>-0.0</v>
      </c>
      <c r="VID55" s="5">
        <f>-IFERROR('4. NPV'!VIE24/'4. NPV'!VIE$8,0)</f>
        <v>-0.0</v>
      </c>
      <c r="VIE55" s="5">
        <f>-IFERROR('4. NPV'!VIF24/'4. NPV'!VIF$8,0)</f>
        <v>-0.0</v>
      </c>
      <c r="VIF55" s="5">
        <f>-IFERROR('4. NPV'!VIG24/'4. NPV'!VIG$8,0)</f>
        <v>-0.0</v>
      </c>
      <c r="VIG55" s="5">
        <f>-IFERROR('4. NPV'!VIH24/'4. NPV'!VIH$8,0)</f>
        <v>-0.0</v>
      </c>
      <c r="VIH55" s="5">
        <f>-IFERROR('4. NPV'!VII24/'4. NPV'!VII$8,0)</f>
        <v>-0.0</v>
      </c>
      <c r="VII55" s="5">
        <f>-IFERROR('4. NPV'!VIJ24/'4. NPV'!VIJ$8,0)</f>
        <v>-0.0</v>
      </c>
      <c r="VIJ55" s="5">
        <f>-IFERROR('4. NPV'!VIK24/'4. NPV'!VIK$8,0)</f>
        <v>-0.0</v>
      </c>
      <c r="VIK55" s="5">
        <f>-IFERROR('4. NPV'!VIL24/'4. NPV'!VIL$8,0)</f>
        <v>-0.0</v>
      </c>
      <c r="VIL55" s="5">
        <f>-IFERROR('4. NPV'!VIM24/'4. NPV'!VIM$8,0)</f>
        <v>-0.0</v>
      </c>
      <c r="VIM55" s="5">
        <f>-IFERROR('4. NPV'!VIN24/'4. NPV'!VIN$8,0)</f>
        <v>-0.0</v>
      </c>
      <c r="VIN55" s="5">
        <f>-IFERROR('4. NPV'!VIO24/'4. NPV'!VIO$8,0)</f>
        <v>-0.0</v>
      </c>
      <c r="VIO55" s="5">
        <f>-IFERROR('4. NPV'!VIP24/'4. NPV'!VIP$8,0)</f>
        <v>-0.0</v>
      </c>
      <c r="VIP55" s="5">
        <f>-IFERROR('4. NPV'!VIQ24/'4. NPV'!VIQ$8,0)</f>
        <v>-0.0</v>
      </c>
      <c r="VIQ55" s="5">
        <f>-IFERROR('4. NPV'!VIR24/'4. NPV'!VIR$8,0)</f>
        <v>-0.0</v>
      </c>
      <c r="VIR55" s="5">
        <f>-IFERROR('4. NPV'!VIS24/'4. NPV'!VIS$8,0)</f>
        <v>-0.0</v>
      </c>
      <c r="VIS55" s="5">
        <f>-IFERROR('4. NPV'!VIT24/'4. NPV'!VIT$8,0)</f>
        <v>-0.0</v>
      </c>
      <c r="VIT55" s="5">
        <f>-IFERROR('4. NPV'!VIU24/'4. NPV'!VIU$8,0)</f>
        <v>-0.0</v>
      </c>
      <c r="VIU55" s="5">
        <f>-IFERROR('4. NPV'!VIV24/'4. NPV'!VIV$8,0)</f>
        <v>-0.0</v>
      </c>
      <c r="VIV55" s="5">
        <f>-IFERROR('4. NPV'!VIW24/'4. NPV'!VIW$8,0)</f>
        <v>-0.0</v>
      </c>
      <c r="VIW55" s="5">
        <f>-IFERROR('4. NPV'!VIX24/'4. NPV'!VIX$8,0)</f>
        <v>-0.0</v>
      </c>
      <c r="VIX55" s="5">
        <f>-IFERROR('4. NPV'!VIY24/'4. NPV'!VIY$8,0)</f>
        <v>-0.0</v>
      </c>
      <c r="VIY55" s="5">
        <f>-IFERROR('4. NPV'!VIZ24/'4. NPV'!VIZ$8,0)</f>
        <v>-0.0</v>
      </c>
      <c r="VIZ55" s="5">
        <f>-IFERROR('4. NPV'!VJA24/'4. NPV'!VJA$8,0)</f>
        <v>-0.0</v>
      </c>
      <c r="VJA55" s="5">
        <f>-IFERROR('4. NPV'!VJB24/'4. NPV'!VJB$8,0)</f>
        <v>-0.0</v>
      </c>
      <c r="VJB55" s="5">
        <f>-IFERROR('4. NPV'!VJC24/'4. NPV'!VJC$8,0)</f>
        <v>-0.0</v>
      </c>
      <c r="VJC55" s="5">
        <f>-IFERROR('4. NPV'!VJD24/'4. NPV'!VJD$8,0)</f>
        <v>-0.0</v>
      </c>
      <c r="VJD55" s="5">
        <f>-IFERROR('4. NPV'!VJE24/'4. NPV'!VJE$8,0)</f>
        <v>-0.0</v>
      </c>
      <c r="VJE55" s="5">
        <f>-IFERROR('4. NPV'!VJF24/'4. NPV'!VJF$8,0)</f>
        <v>-0.0</v>
      </c>
      <c r="VJF55" s="5">
        <f>-IFERROR('4. NPV'!VJG24/'4. NPV'!VJG$8,0)</f>
        <v>-0.0</v>
      </c>
      <c r="VJG55" s="5">
        <f>-IFERROR('4. NPV'!VJH24/'4. NPV'!VJH$8,0)</f>
        <v>-0.0</v>
      </c>
      <c r="VJH55" s="5">
        <f>-IFERROR('4. NPV'!VJI24/'4. NPV'!VJI$8,0)</f>
        <v>-0.0</v>
      </c>
      <c r="VJI55" s="5">
        <f>-IFERROR('4. NPV'!VJJ24/'4. NPV'!VJJ$8,0)</f>
        <v>-0.0</v>
      </c>
      <c r="VJJ55" s="5">
        <f>-IFERROR('4. NPV'!VJK24/'4. NPV'!VJK$8,0)</f>
        <v>-0.0</v>
      </c>
      <c r="VJK55" s="5">
        <f>-IFERROR('4. NPV'!VJL24/'4. NPV'!VJL$8,0)</f>
        <v>-0.0</v>
      </c>
      <c r="VJL55" s="5">
        <f>-IFERROR('4. NPV'!VJM24/'4. NPV'!VJM$8,0)</f>
        <v>-0.0</v>
      </c>
      <c r="VJM55" s="5">
        <f>-IFERROR('4. NPV'!VJN24/'4. NPV'!VJN$8,0)</f>
        <v>-0.0</v>
      </c>
      <c r="VJN55" s="5">
        <f>-IFERROR('4. NPV'!VJO24/'4. NPV'!VJO$8,0)</f>
        <v>-0.0</v>
      </c>
      <c r="VJO55" s="5">
        <f>-IFERROR('4. NPV'!VJP24/'4. NPV'!VJP$8,0)</f>
        <v>-0.0</v>
      </c>
      <c r="VJP55" s="5">
        <f>-IFERROR('4. NPV'!VJQ24/'4. NPV'!VJQ$8,0)</f>
        <v>-0.0</v>
      </c>
      <c r="VJQ55" s="5">
        <f>-IFERROR('4. NPV'!VJR24/'4. NPV'!VJR$8,0)</f>
        <v>-0.0</v>
      </c>
      <c r="VJR55" s="5">
        <f>-IFERROR('4. NPV'!VJS24/'4. NPV'!VJS$8,0)</f>
        <v>-0.0</v>
      </c>
      <c r="VJS55" s="5">
        <f>-IFERROR('4. NPV'!VJT24/'4. NPV'!VJT$8,0)</f>
        <v>-0.0</v>
      </c>
      <c r="VJT55" s="5">
        <f>-IFERROR('4. NPV'!VJU24/'4. NPV'!VJU$8,0)</f>
        <v>-0.0</v>
      </c>
      <c r="VJU55" s="5">
        <f>-IFERROR('4. NPV'!VJV24/'4. NPV'!VJV$8,0)</f>
        <v>-0.0</v>
      </c>
      <c r="VJV55" s="5">
        <f>-IFERROR('4. NPV'!VJW24/'4. NPV'!VJW$8,0)</f>
        <v>-0.0</v>
      </c>
      <c r="VJW55" s="5">
        <f>-IFERROR('4. NPV'!VJX24/'4. NPV'!VJX$8,0)</f>
        <v>-0.0</v>
      </c>
      <c r="VJX55" s="5">
        <f>-IFERROR('4. NPV'!VJY24/'4. NPV'!VJY$8,0)</f>
        <v>-0.0</v>
      </c>
      <c r="VJY55" s="5">
        <f>-IFERROR('4. NPV'!VJZ24/'4. NPV'!VJZ$8,0)</f>
        <v>-0.0</v>
      </c>
      <c r="VJZ55" s="5">
        <f>-IFERROR('4. NPV'!VKA24/'4. NPV'!VKA$8,0)</f>
        <v>-0.0</v>
      </c>
      <c r="VKA55" s="5">
        <f>-IFERROR('4. NPV'!VKB24/'4. NPV'!VKB$8,0)</f>
        <v>-0.0</v>
      </c>
      <c r="VKB55" s="5">
        <f>-IFERROR('4. NPV'!VKC24/'4. NPV'!VKC$8,0)</f>
        <v>-0.0</v>
      </c>
      <c r="VKC55" s="5">
        <f>-IFERROR('4. NPV'!VKD24/'4. NPV'!VKD$8,0)</f>
        <v>-0.0</v>
      </c>
      <c r="VKD55" s="5">
        <f>-IFERROR('4. NPV'!VKE24/'4. NPV'!VKE$8,0)</f>
        <v>-0.0</v>
      </c>
      <c r="VKE55" s="5">
        <f>-IFERROR('4. NPV'!VKF24/'4. NPV'!VKF$8,0)</f>
        <v>-0.0</v>
      </c>
      <c r="VKF55" s="5">
        <f>-IFERROR('4. NPV'!VKG24/'4. NPV'!VKG$8,0)</f>
        <v>-0.0</v>
      </c>
      <c r="VKG55" s="5">
        <f>-IFERROR('4. NPV'!VKH24/'4. NPV'!VKH$8,0)</f>
        <v>-0.0</v>
      </c>
      <c r="VKH55" s="5">
        <f>-IFERROR('4. NPV'!VKI24/'4. NPV'!VKI$8,0)</f>
        <v>-0.0</v>
      </c>
      <c r="VKI55" s="5">
        <f>-IFERROR('4. NPV'!VKJ24/'4. NPV'!VKJ$8,0)</f>
        <v>-0.0</v>
      </c>
      <c r="VKJ55" s="5">
        <f>-IFERROR('4. NPV'!VKK24/'4. NPV'!VKK$8,0)</f>
        <v>-0.0</v>
      </c>
      <c r="VKK55" s="5">
        <f>-IFERROR('4. NPV'!VKL24/'4. NPV'!VKL$8,0)</f>
        <v>-0.0</v>
      </c>
      <c r="VKL55" s="5">
        <f>-IFERROR('4. NPV'!VKM24/'4. NPV'!VKM$8,0)</f>
        <v>-0.0</v>
      </c>
      <c r="VKM55" s="5">
        <f>-IFERROR('4. NPV'!VKN24/'4. NPV'!VKN$8,0)</f>
        <v>-0.0</v>
      </c>
      <c r="VKN55" s="5">
        <f>-IFERROR('4. NPV'!VKO24/'4. NPV'!VKO$8,0)</f>
        <v>-0.0</v>
      </c>
      <c r="VKO55" s="5">
        <f>-IFERROR('4. NPV'!VKP24/'4. NPV'!VKP$8,0)</f>
        <v>-0.0</v>
      </c>
      <c r="VKP55" s="5">
        <f>-IFERROR('4. NPV'!VKQ24/'4. NPV'!VKQ$8,0)</f>
        <v>-0.0</v>
      </c>
      <c r="VKQ55" s="5">
        <f>-IFERROR('4. NPV'!VKR24/'4. NPV'!VKR$8,0)</f>
        <v>-0.0</v>
      </c>
      <c r="VKR55" s="5">
        <f>-IFERROR('4. NPV'!VKS24/'4. NPV'!VKS$8,0)</f>
        <v>-0.0</v>
      </c>
      <c r="VKS55" s="5">
        <f>-IFERROR('4. NPV'!VKT24/'4. NPV'!VKT$8,0)</f>
        <v>-0.0</v>
      </c>
      <c r="VKT55" s="5">
        <f>-IFERROR('4. NPV'!VKU24/'4. NPV'!VKU$8,0)</f>
        <v>-0.0</v>
      </c>
      <c r="VKU55" s="5">
        <f>-IFERROR('4. NPV'!VKV24/'4. NPV'!VKV$8,0)</f>
        <v>-0.0</v>
      </c>
      <c r="VKV55" s="5">
        <f>-IFERROR('4. NPV'!VKW24/'4. NPV'!VKW$8,0)</f>
        <v>-0.0</v>
      </c>
      <c r="VKW55" s="5">
        <f>-IFERROR('4. NPV'!VKX24/'4. NPV'!VKX$8,0)</f>
        <v>-0.0</v>
      </c>
      <c r="VKX55" s="5">
        <f>-IFERROR('4. NPV'!VKY24/'4. NPV'!VKY$8,0)</f>
        <v>-0.0</v>
      </c>
      <c r="VKY55" s="5">
        <f>-IFERROR('4. NPV'!VKZ24/'4. NPV'!VKZ$8,0)</f>
        <v>-0.0</v>
      </c>
      <c r="VKZ55" s="5">
        <f>-IFERROR('4. NPV'!VLA24/'4. NPV'!VLA$8,0)</f>
        <v>-0.0</v>
      </c>
      <c r="VLA55" s="5">
        <f>-IFERROR('4. NPV'!VLB24/'4. NPV'!VLB$8,0)</f>
        <v>-0.0</v>
      </c>
      <c r="VLB55" s="5">
        <f>-IFERROR('4. NPV'!VLC24/'4. NPV'!VLC$8,0)</f>
        <v>-0.0</v>
      </c>
      <c r="VLC55" s="5">
        <f>-IFERROR('4. NPV'!VLD24/'4. NPV'!VLD$8,0)</f>
        <v>-0.0</v>
      </c>
      <c r="VLD55" s="5">
        <f>-IFERROR('4. NPV'!VLE24/'4. NPV'!VLE$8,0)</f>
        <v>-0.0</v>
      </c>
      <c r="VLE55" s="5">
        <f>-IFERROR('4. NPV'!VLF24/'4. NPV'!VLF$8,0)</f>
        <v>-0.0</v>
      </c>
      <c r="VLF55" s="5">
        <f>-IFERROR('4. NPV'!VLG24/'4. NPV'!VLG$8,0)</f>
        <v>-0.0</v>
      </c>
      <c r="VLG55" s="5">
        <f>-IFERROR('4. NPV'!VLH24/'4. NPV'!VLH$8,0)</f>
        <v>-0.0</v>
      </c>
      <c r="VLH55" s="5">
        <f>-IFERROR('4. NPV'!VLI24/'4. NPV'!VLI$8,0)</f>
        <v>-0.0</v>
      </c>
      <c r="VLI55" s="5">
        <f>-IFERROR('4. NPV'!VLJ24/'4. NPV'!VLJ$8,0)</f>
        <v>-0.0</v>
      </c>
      <c r="VLJ55" s="5">
        <f>-IFERROR('4. NPV'!VLK24/'4. NPV'!VLK$8,0)</f>
        <v>-0.0</v>
      </c>
      <c r="VLK55" s="5">
        <f>-IFERROR('4. NPV'!VLL24/'4. NPV'!VLL$8,0)</f>
        <v>-0.0</v>
      </c>
      <c r="VLL55" s="5">
        <f>-IFERROR('4. NPV'!VLM24/'4. NPV'!VLM$8,0)</f>
        <v>-0.0</v>
      </c>
      <c r="VLM55" s="5">
        <f>-IFERROR('4. NPV'!VLN24/'4. NPV'!VLN$8,0)</f>
        <v>-0.0</v>
      </c>
      <c r="VLN55" s="5">
        <f>-IFERROR('4. NPV'!VLO24/'4. NPV'!VLO$8,0)</f>
        <v>-0.0</v>
      </c>
      <c r="VLO55" s="5">
        <f>-IFERROR('4. NPV'!VLP24/'4. NPV'!VLP$8,0)</f>
        <v>-0.0</v>
      </c>
      <c r="VLP55" s="5">
        <f>-IFERROR('4. NPV'!VLQ24/'4. NPV'!VLQ$8,0)</f>
        <v>-0.0</v>
      </c>
      <c r="VLQ55" s="5">
        <f>-IFERROR('4. NPV'!VLR24/'4. NPV'!VLR$8,0)</f>
        <v>-0.0</v>
      </c>
      <c r="VLR55" s="5">
        <f>-IFERROR('4. NPV'!VLS24/'4. NPV'!VLS$8,0)</f>
        <v>-0.0</v>
      </c>
      <c r="VLS55" s="5">
        <f>-IFERROR('4. NPV'!VLT24/'4. NPV'!VLT$8,0)</f>
        <v>-0.0</v>
      </c>
      <c r="VLT55" s="5">
        <f>-IFERROR('4. NPV'!VLU24/'4. NPV'!VLU$8,0)</f>
        <v>-0.0</v>
      </c>
      <c r="VLU55" s="5">
        <f>-IFERROR('4. NPV'!VLV24/'4. NPV'!VLV$8,0)</f>
        <v>-0.0</v>
      </c>
      <c r="VLV55" s="5">
        <f>-IFERROR('4. NPV'!VLW24/'4. NPV'!VLW$8,0)</f>
        <v>-0.0</v>
      </c>
      <c r="VLW55" s="5">
        <f>-IFERROR('4. NPV'!VLX24/'4. NPV'!VLX$8,0)</f>
        <v>-0.0</v>
      </c>
      <c r="VLX55" s="5">
        <f>-IFERROR('4. NPV'!VLY24/'4. NPV'!VLY$8,0)</f>
        <v>-0.0</v>
      </c>
      <c r="VLY55" s="5">
        <f>-IFERROR('4. NPV'!VLZ24/'4. NPV'!VLZ$8,0)</f>
        <v>-0.0</v>
      </c>
      <c r="VLZ55" s="5">
        <f>-IFERROR('4. NPV'!VMA24/'4. NPV'!VMA$8,0)</f>
        <v>-0.0</v>
      </c>
      <c r="VMA55" s="5">
        <f>-IFERROR('4. NPV'!VMB24/'4. NPV'!VMB$8,0)</f>
        <v>-0.0</v>
      </c>
      <c r="VMB55" s="5">
        <f>-IFERROR('4. NPV'!VMC24/'4. NPV'!VMC$8,0)</f>
        <v>-0.0</v>
      </c>
      <c r="VMC55" s="5">
        <f>-IFERROR('4. NPV'!VMD24/'4. NPV'!VMD$8,0)</f>
        <v>-0.0</v>
      </c>
      <c r="VMD55" s="5">
        <f>-IFERROR('4. NPV'!VME24/'4. NPV'!VME$8,0)</f>
        <v>-0.0</v>
      </c>
      <c r="VME55" s="5">
        <f>-IFERROR('4. NPV'!VMF24/'4. NPV'!VMF$8,0)</f>
        <v>-0.0</v>
      </c>
      <c r="VMF55" s="5">
        <f>-IFERROR('4. NPV'!VMG24/'4. NPV'!VMG$8,0)</f>
        <v>-0.0</v>
      </c>
      <c r="VMG55" s="5">
        <f>-IFERROR('4. NPV'!VMH24/'4. NPV'!VMH$8,0)</f>
        <v>-0.0</v>
      </c>
      <c r="VMH55" s="5">
        <f>-IFERROR('4. NPV'!VMI24/'4. NPV'!VMI$8,0)</f>
        <v>-0.0</v>
      </c>
      <c r="VMI55" s="5">
        <f>-IFERROR('4. NPV'!VMJ24/'4. NPV'!VMJ$8,0)</f>
        <v>-0.0</v>
      </c>
      <c r="VMJ55" s="5">
        <f>-IFERROR('4. NPV'!VMK24/'4. NPV'!VMK$8,0)</f>
        <v>-0.0</v>
      </c>
      <c r="VMK55" s="5">
        <f>-IFERROR('4. NPV'!VML24/'4. NPV'!VML$8,0)</f>
        <v>-0.0</v>
      </c>
      <c r="VML55" s="5">
        <f>-IFERROR('4. NPV'!VMM24/'4. NPV'!VMM$8,0)</f>
        <v>-0.0</v>
      </c>
      <c r="VMM55" s="5">
        <f>-IFERROR('4. NPV'!VMN24/'4. NPV'!VMN$8,0)</f>
        <v>-0.0</v>
      </c>
      <c r="VMN55" s="5">
        <f>-IFERROR('4. NPV'!VMO24/'4. NPV'!VMO$8,0)</f>
        <v>-0.0</v>
      </c>
      <c r="VMO55" s="5">
        <f>-IFERROR('4. NPV'!VMP24/'4. NPV'!VMP$8,0)</f>
        <v>-0.0</v>
      </c>
      <c r="VMP55" s="5">
        <f>-IFERROR('4. NPV'!VMQ24/'4. NPV'!VMQ$8,0)</f>
        <v>-0.0</v>
      </c>
      <c r="VMQ55" s="5">
        <f>-IFERROR('4. NPV'!VMR24/'4. NPV'!VMR$8,0)</f>
        <v>-0.0</v>
      </c>
      <c r="VMR55" s="5">
        <f>-IFERROR('4. NPV'!VMS24/'4. NPV'!VMS$8,0)</f>
        <v>-0.0</v>
      </c>
      <c r="VMS55" s="5">
        <f>-IFERROR('4. NPV'!VMT24/'4. NPV'!VMT$8,0)</f>
        <v>-0.0</v>
      </c>
      <c r="VMT55" s="5">
        <f>-IFERROR('4. NPV'!VMU24/'4. NPV'!VMU$8,0)</f>
        <v>-0.0</v>
      </c>
      <c r="VMU55" s="5">
        <f>-IFERROR('4. NPV'!VMV24/'4. NPV'!VMV$8,0)</f>
        <v>-0.0</v>
      </c>
      <c r="VMV55" s="5">
        <f>-IFERROR('4. NPV'!VMW24/'4. NPV'!VMW$8,0)</f>
        <v>-0.0</v>
      </c>
      <c r="VMW55" s="5">
        <f>-IFERROR('4. NPV'!VMX24/'4. NPV'!VMX$8,0)</f>
        <v>-0.0</v>
      </c>
      <c r="VMX55" s="5">
        <f>-IFERROR('4. NPV'!VMY24/'4. NPV'!VMY$8,0)</f>
        <v>-0.0</v>
      </c>
      <c r="VMY55" s="5">
        <f>-IFERROR('4. NPV'!VMZ24/'4. NPV'!VMZ$8,0)</f>
        <v>-0.0</v>
      </c>
      <c r="VMZ55" s="5">
        <f>-IFERROR('4. NPV'!VNA24/'4. NPV'!VNA$8,0)</f>
        <v>-0.0</v>
      </c>
      <c r="VNA55" s="5">
        <f>-IFERROR('4. NPV'!VNB24/'4. NPV'!VNB$8,0)</f>
        <v>-0.0</v>
      </c>
      <c r="VNB55" s="5">
        <f>-IFERROR('4. NPV'!VNC24/'4. NPV'!VNC$8,0)</f>
        <v>-0.0</v>
      </c>
      <c r="VNC55" s="5">
        <f>-IFERROR('4. NPV'!VND24/'4. NPV'!VND$8,0)</f>
        <v>-0.0</v>
      </c>
      <c r="VND55" s="5">
        <f>-IFERROR('4. NPV'!VNE24/'4. NPV'!VNE$8,0)</f>
        <v>-0.0</v>
      </c>
      <c r="VNE55" s="5">
        <f>-IFERROR('4. NPV'!VNF24/'4. NPV'!VNF$8,0)</f>
        <v>-0.0</v>
      </c>
      <c r="VNF55" s="5">
        <f>-IFERROR('4. NPV'!VNG24/'4. NPV'!VNG$8,0)</f>
        <v>-0.0</v>
      </c>
      <c r="VNG55" s="5">
        <f>-IFERROR('4. NPV'!VNH24/'4. NPV'!VNH$8,0)</f>
        <v>-0.0</v>
      </c>
      <c r="VNH55" s="5">
        <f>-IFERROR('4. NPV'!VNI24/'4. NPV'!VNI$8,0)</f>
        <v>-0.0</v>
      </c>
      <c r="VNI55" s="5">
        <f>-IFERROR('4. NPV'!VNJ24/'4. NPV'!VNJ$8,0)</f>
        <v>-0.0</v>
      </c>
      <c r="VNJ55" s="5">
        <f>-IFERROR('4. NPV'!VNK24/'4. NPV'!VNK$8,0)</f>
        <v>-0.0</v>
      </c>
      <c r="VNK55" s="5">
        <f>-IFERROR('4. NPV'!VNL24/'4. NPV'!VNL$8,0)</f>
        <v>-0.0</v>
      </c>
      <c r="VNL55" s="5">
        <f>-IFERROR('4. NPV'!VNM24/'4. NPV'!VNM$8,0)</f>
        <v>-0.0</v>
      </c>
      <c r="VNM55" s="5">
        <f>-IFERROR('4. NPV'!VNN24/'4. NPV'!VNN$8,0)</f>
        <v>-0.0</v>
      </c>
      <c r="VNN55" s="5">
        <f>-IFERROR('4. NPV'!VNO24/'4. NPV'!VNO$8,0)</f>
        <v>-0.0</v>
      </c>
      <c r="VNO55" s="5">
        <f>-IFERROR('4. NPV'!VNP24/'4. NPV'!VNP$8,0)</f>
        <v>-0.0</v>
      </c>
      <c r="VNP55" s="5">
        <f>-IFERROR('4. NPV'!VNQ24/'4. NPV'!VNQ$8,0)</f>
        <v>-0.0</v>
      </c>
      <c r="VNQ55" s="5">
        <f>-IFERROR('4. NPV'!VNR24/'4. NPV'!VNR$8,0)</f>
        <v>-0.0</v>
      </c>
      <c r="VNR55" s="5">
        <f>-IFERROR('4. NPV'!VNS24/'4. NPV'!VNS$8,0)</f>
        <v>-0.0</v>
      </c>
      <c r="VNS55" s="5">
        <f>-IFERROR('4. NPV'!VNT24/'4. NPV'!VNT$8,0)</f>
        <v>-0.0</v>
      </c>
      <c r="VNT55" s="5">
        <f>-IFERROR('4. NPV'!VNU24/'4. NPV'!VNU$8,0)</f>
        <v>-0.0</v>
      </c>
      <c r="VNU55" s="5">
        <f>-IFERROR('4. NPV'!VNV24/'4. NPV'!VNV$8,0)</f>
        <v>-0.0</v>
      </c>
      <c r="VNV55" s="5">
        <f>-IFERROR('4. NPV'!VNW24/'4. NPV'!VNW$8,0)</f>
        <v>-0.0</v>
      </c>
      <c r="VNW55" s="5">
        <f>-IFERROR('4. NPV'!VNX24/'4. NPV'!VNX$8,0)</f>
        <v>-0.0</v>
      </c>
      <c r="VNX55" s="5">
        <f>-IFERROR('4. NPV'!VNY24/'4. NPV'!VNY$8,0)</f>
        <v>-0.0</v>
      </c>
      <c r="VNY55" s="5">
        <f>-IFERROR('4. NPV'!VNZ24/'4. NPV'!VNZ$8,0)</f>
        <v>-0.0</v>
      </c>
      <c r="VNZ55" s="5">
        <f>-IFERROR('4. NPV'!VOA24/'4. NPV'!VOA$8,0)</f>
        <v>-0.0</v>
      </c>
      <c r="VOA55" s="5">
        <f>-IFERROR('4. NPV'!VOB24/'4. NPV'!VOB$8,0)</f>
        <v>-0.0</v>
      </c>
      <c r="VOB55" s="5">
        <f>-IFERROR('4. NPV'!VOC24/'4. NPV'!VOC$8,0)</f>
        <v>-0.0</v>
      </c>
      <c r="VOC55" s="5">
        <f>-IFERROR('4. NPV'!VOD24/'4. NPV'!VOD$8,0)</f>
        <v>-0.0</v>
      </c>
      <c r="VOD55" s="5">
        <f>-IFERROR('4. NPV'!VOE24/'4. NPV'!VOE$8,0)</f>
        <v>-0.0</v>
      </c>
      <c r="VOE55" s="5">
        <f>-IFERROR('4. NPV'!VOF24/'4. NPV'!VOF$8,0)</f>
        <v>-0.0</v>
      </c>
      <c r="VOF55" s="5">
        <f>-IFERROR('4. NPV'!VOG24/'4. NPV'!VOG$8,0)</f>
        <v>-0.0</v>
      </c>
      <c r="VOG55" s="5">
        <f>-IFERROR('4. NPV'!VOH24/'4. NPV'!VOH$8,0)</f>
        <v>-0.0</v>
      </c>
      <c r="VOH55" s="5">
        <f>-IFERROR('4. NPV'!VOI24/'4. NPV'!VOI$8,0)</f>
        <v>-0.0</v>
      </c>
      <c r="VOI55" s="5">
        <f>-IFERROR('4. NPV'!VOJ24/'4. NPV'!VOJ$8,0)</f>
        <v>-0.0</v>
      </c>
      <c r="VOJ55" s="5">
        <f>-IFERROR('4. NPV'!VOK24/'4. NPV'!VOK$8,0)</f>
        <v>-0.0</v>
      </c>
      <c r="VOK55" s="5">
        <f>-IFERROR('4. NPV'!VOL24/'4. NPV'!VOL$8,0)</f>
        <v>-0.0</v>
      </c>
      <c r="VOL55" s="5">
        <f>-IFERROR('4. NPV'!VOM24/'4. NPV'!VOM$8,0)</f>
        <v>-0.0</v>
      </c>
      <c r="VOM55" s="5">
        <f>-IFERROR('4. NPV'!VON24/'4. NPV'!VON$8,0)</f>
        <v>-0.0</v>
      </c>
      <c r="VON55" s="5">
        <f>-IFERROR('4. NPV'!VOO24/'4. NPV'!VOO$8,0)</f>
        <v>-0.0</v>
      </c>
      <c r="VOO55" s="5">
        <f>-IFERROR('4. NPV'!VOP24/'4. NPV'!VOP$8,0)</f>
        <v>-0.0</v>
      </c>
      <c r="VOP55" s="5">
        <f>-IFERROR('4. NPV'!VOQ24/'4. NPV'!VOQ$8,0)</f>
        <v>-0.0</v>
      </c>
      <c r="VOQ55" s="5">
        <f>-IFERROR('4. NPV'!VOR24/'4. NPV'!VOR$8,0)</f>
        <v>-0.0</v>
      </c>
      <c r="VOR55" s="5">
        <f>-IFERROR('4. NPV'!VOS24/'4. NPV'!VOS$8,0)</f>
        <v>-0.0</v>
      </c>
      <c r="VOS55" s="5">
        <f>-IFERROR('4. NPV'!VOT24/'4. NPV'!VOT$8,0)</f>
        <v>-0.0</v>
      </c>
      <c r="VOT55" s="5">
        <f>-IFERROR('4. NPV'!VOU24/'4. NPV'!VOU$8,0)</f>
        <v>-0.0</v>
      </c>
      <c r="VOU55" s="5">
        <f>-IFERROR('4. NPV'!VOV24/'4. NPV'!VOV$8,0)</f>
        <v>-0.0</v>
      </c>
      <c r="VOV55" s="5">
        <f>-IFERROR('4. NPV'!VOW24/'4. NPV'!VOW$8,0)</f>
        <v>-0.0</v>
      </c>
      <c r="VOW55" s="5">
        <f>-IFERROR('4. NPV'!VOX24/'4. NPV'!VOX$8,0)</f>
        <v>-0.0</v>
      </c>
      <c r="VOX55" s="5">
        <f>-IFERROR('4. NPV'!VOY24/'4. NPV'!VOY$8,0)</f>
        <v>-0.0</v>
      </c>
      <c r="VOY55" s="5">
        <f>-IFERROR('4. NPV'!VOZ24/'4. NPV'!VOZ$8,0)</f>
        <v>-0.0</v>
      </c>
      <c r="VOZ55" s="5">
        <f>-IFERROR('4. NPV'!VPA24/'4. NPV'!VPA$8,0)</f>
        <v>-0.0</v>
      </c>
      <c r="VPA55" s="5">
        <f>-IFERROR('4. NPV'!VPB24/'4. NPV'!VPB$8,0)</f>
        <v>-0.0</v>
      </c>
      <c r="VPB55" s="5">
        <f>-IFERROR('4. NPV'!VPC24/'4. NPV'!VPC$8,0)</f>
        <v>-0.0</v>
      </c>
      <c r="VPC55" s="5">
        <f>-IFERROR('4. NPV'!VPD24/'4. NPV'!VPD$8,0)</f>
        <v>-0.0</v>
      </c>
      <c r="VPD55" s="5">
        <f>-IFERROR('4. NPV'!VPE24/'4. NPV'!VPE$8,0)</f>
        <v>-0.0</v>
      </c>
      <c r="VPE55" s="5">
        <f>-IFERROR('4. NPV'!VPF24/'4. NPV'!VPF$8,0)</f>
        <v>-0.0</v>
      </c>
      <c r="VPF55" s="5">
        <f>-IFERROR('4. NPV'!VPG24/'4. NPV'!VPG$8,0)</f>
        <v>-0.0</v>
      </c>
      <c r="VPG55" s="5">
        <f>-IFERROR('4. NPV'!VPH24/'4. NPV'!VPH$8,0)</f>
        <v>-0.0</v>
      </c>
      <c r="VPH55" s="5">
        <f>-IFERROR('4. NPV'!VPI24/'4. NPV'!VPI$8,0)</f>
        <v>-0.0</v>
      </c>
      <c r="VPI55" s="5">
        <f>-IFERROR('4. NPV'!VPJ24/'4. NPV'!VPJ$8,0)</f>
        <v>-0.0</v>
      </c>
      <c r="VPJ55" s="5">
        <f>-IFERROR('4. NPV'!VPK24/'4. NPV'!VPK$8,0)</f>
        <v>-0.0</v>
      </c>
      <c r="VPK55" s="5">
        <f>-IFERROR('4. NPV'!VPL24/'4. NPV'!VPL$8,0)</f>
        <v>-0.0</v>
      </c>
      <c r="VPL55" s="5">
        <f>-IFERROR('4. NPV'!VPM24/'4. NPV'!VPM$8,0)</f>
        <v>-0.0</v>
      </c>
      <c r="VPM55" s="5">
        <f>-IFERROR('4. NPV'!VPN24/'4. NPV'!VPN$8,0)</f>
        <v>-0.0</v>
      </c>
      <c r="VPN55" s="5">
        <f>-IFERROR('4. NPV'!VPO24/'4. NPV'!VPO$8,0)</f>
        <v>-0.0</v>
      </c>
      <c r="VPO55" s="5">
        <f>-IFERROR('4. NPV'!VPP24/'4. NPV'!VPP$8,0)</f>
        <v>-0.0</v>
      </c>
      <c r="VPP55" s="5">
        <f>-IFERROR('4. NPV'!VPQ24/'4. NPV'!VPQ$8,0)</f>
        <v>-0.0</v>
      </c>
      <c r="VPQ55" s="5">
        <f>-IFERROR('4. NPV'!VPR24/'4. NPV'!VPR$8,0)</f>
        <v>-0.0</v>
      </c>
      <c r="VPR55" s="5">
        <f>-IFERROR('4. NPV'!VPS24/'4. NPV'!VPS$8,0)</f>
        <v>-0.0</v>
      </c>
      <c r="VPS55" s="5">
        <f>-IFERROR('4. NPV'!VPT24/'4. NPV'!VPT$8,0)</f>
        <v>-0.0</v>
      </c>
      <c r="VPT55" s="5">
        <f>-IFERROR('4. NPV'!VPU24/'4. NPV'!VPU$8,0)</f>
        <v>-0.0</v>
      </c>
      <c r="VPU55" s="5">
        <f>-IFERROR('4. NPV'!VPV24/'4. NPV'!VPV$8,0)</f>
        <v>-0.0</v>
      </c>
      <c r="VPV55" s="5">
        <f>-IFERROR('4. NPV'!VPW24/'4. NPV'!VPW$8,0)</f>
        <v>-0.0</v>
      </c>
      <c r="VPW55" s="5">
        <f>-IFERROR('4. NPV'!VPX24/'4. NPV'!VPX$8,0)</f>
        <v>-0.0</v>
      </c>
      <c r="VPX55" s="5">
        <f>-IFERROR('4. NPV'!VPY24/'4. NPV'!VPY$8,0)</f>
        <v>-0.0</v>
      </c>
      <c r="VPY55" s="5">
        <f>-IFERROR('4. NPV'!VPZ24/'4. NPV'!VPZ$8,0)</f>
        <v>-0.0</v>
      </c>
      <c r="VPZ55" s="5">
        <f>-IFERROR('4. NPV'!VQA24/'4. NPV'!VQA$8,0)</f>
        <v>-0.0</v>
      </c>
      <c r="VQA55" s="5">
        <f>-IFERROR('4. NPV'!VQB24/'4. NPV'!VQB$8,0)</f>
        <v>-0.0</v>
      </c>
      <c r="VQB55" s="5">
        <f>-IFERROR('4. NPV'!VQC24/'4. NPV'!VQC$8,0)</f>
        <v>-0.0</v>
      </c>
      <c r="VQC55" s="5">
        <f>-IFERROR('4. NPV'!VQD24/'4. NPV'!VQD$8,0)</f>
        <v>-0.0</v>
      </c>
      <c r="VQD55" s="5">
        <f>-IFERROR('4. NPV'!VQE24/'4. NPV'!VQE$8,0)</f>
        <v>-0.0</v>
      </c>
      <c r="VQE55" s="5">
        <f>-IFERROR('4. NPV'!VQF24/'4. NPV'!VQF$8,0)</f>
        <v>-0.0</v>
      </c>
      <c r="VQF55" s="5">
        <f>-IFERROR('4. NPV'!VQG24/'4. NPV'!VQG$8,0)</f>
        <v>-0.0</v>
      </c>
      <c r="VQG55" s="5">
        <f>-IFERROR('4. NPV'!VQH24/'4. NPV'!VQH$8,0)</f>
        <v>-0.0</v>
      </c>
      <c r="VQH55" s="5">
        <f>-IFERROR('4. NPV'!VQI24/'4. NPV'!VQI$8,0)</f>
        <v>-0.0</v>
      </c>
      <c r="VQI55" s="5">
        <f>-IFERROR('4. NPV'!VQJ24/'4. NPV'!VQJ$8,0)</f>
        <v>-0.0</v>
      </c>
      <c r="VQJ55" s="5">
        <f>-IFERROR('4. NPV'!VQK24/'4. NPV'!VQK$8,0)</f>
        <v>-0.0</v>
      </c>
      <c r="VQK55" s="5">
        <f>-IFERROR('4. NPV'!VQL24/'4. NPV'!VQL$8,0)</f>
        <v>-0.0</v>
      </c>
      <c r="VQL55" s="5">
        <f>-IFERROR('4. NPV'!VQM24/'4. NPV'!VQM$8,0)</f>
        <v>-0.0</v>
      </c>
      <c r="VQM55" s="5">
        <f>-IFERROR('4. NPV'!VQN24/'4. NPV'!VQN$8,0)</f>
        <v>-0.0</v>
      </c>
      <c r="VQN55" s="5">
        <f>-IFERROR('4. NPV'!VQO24/'4. NPV'!VQO$8,0)</f>
        <v>-0.0</v>
      </c>
      <c r="VQO55" s="5">
        <f>-IFERROR('4. NPV'!VQP24/'4. NPV'!VQP$8,0)</f>
        <v>-0.0</v>
      </c>
      <c r="VQP55" s="5">
        <f>-IFERROR('4. NPV'!VQQ24/'4. NPV'!VQQ$8,0)</f>
        <v>-0.0</v>
      </c>
      <c r="VQQ55" s="5">
        <f>-IFERROR('4. NPV'!VQR24/'4. NPV'!VQR$8,0)</f>
        <v>-0.0</v>
      </c>
      <c r="VQR55" s="5">
        <f>-IFERROR('4. NPV'!VQS24/'4. NPV'!VQS$8,0)</f>
        <v>-0.0</v>
      </c>
      <c r="VQS55" s="5">
        <f>-IFERROR('4. NPV'!VQT24/'4. NPV'!VQT$8,0)</f>
        <v>-0.0</v>
      </c>
      <c r="VQT55" s="5">
        <f>-IFERROR('4. NPV'!VQU24/'4. NPV'!VQU$8,0)</f>
        <v>-0.0</v>
      </c>
      <c r="VQU55" s="5">
        <f>-IFERROR('4. NPV'!VQV24/'4. NPV'!VQV$8,0)</f>
        <v>-0.0</v>
      </c>
      <c r="VQV55" s="5">
        <f>-IFERROR('4. NPV'!VQW24/'4. NPV'!VQW$8,0)</f>
        <v>-0.0</v>
      </c>
      <c r="VQW55" s="5">
        <f>-IFERROR('4. NPV'!VQX24/'4. NPV'!VQX$8,0)</f>
        <v>-0.0</v>
      </c>
      <c r="VQX55" s="5">
        <f>-IFERROR('4. NPV'!VQY24/'4. NPV'!VQY$8,0)</f>
        <v>-0.0</v>
      </c>
      <c r="VQY55" s="5">
        <f>-IFERROR('4. NPV'!VQZ24/'4. NPV'!VQZ$8,0)</f>
        <v>-0.0</v>
      </c>
      <c r="VQZ55" s="5">
        <f>-IFERROR('4. NPV'!VRA24/'4. NPV'!VRA$8,0)</f>
        <v>-0.0</v>
      </c>
      <c r="VRA55" s="5">
        <f>-IFERROR('4. NPV'!VRB24/'4. NPV'!VRB$8,0)</f>
        <v>-0.0</v>
      </c>
      <c r="VRB55" s="5">
        <f>-IFERROR('4. NPV'!VRC24/'4. NPV'!VRC$8,0)</f>
        <v>-0.0</v>
      </c>
      <c r="VRC55" s="5">
        <f>-IFERROR('4. NPV'!VRD24/'4. NPV'!VRD$8,0)</f>
        <v>-0.0</v>
      </c>
      <c r="VRD55" s="5">
        <f>-IFERROR('4. NPV'!VRE24/'4. NPV'!VRE$8,0)</f>
        <v>-0.0</v>
      </c>
      <c r="VRE55" s="5">
        <f>-IFERROR('4. NPV'!VRF24/'4. NPV'!VRF$8,0)</f>
        <v>-0.0</v>
      </c>
      <c r="VRF55" s="5">
        <f>-IFERROR('4. NPV'!VRG24/'4. NPV'!VRG$8,0)</f>
        <v>-0.0</v>
      </c>
      <c r="VRG55" s="5">
        <f>-IFERROR('4. NPV'!VRH24/'4. NPV'!VRH$8,0)</f>
        <v>-0.0</v>
      </c>
      <c r="VRH55" s="5">
        <f>-IFERROR('4. NPV'!VRI24/'4. NPV'!VRI$8,0)</f>
        <v>-0.0</v>
      </c>
      <c r="VRI55" s="5">
        <f>-IFERROR('4. NPV'!VRJ24/'4. NPV'!VRJ$8,0)</f>
        <v>-0.0</v>
      </c>
      <c r="VRJ55" s="5">
        <f>-IFERROR('4. NPV'!VRK24/'4. NPV'!VRK$8,0)</f>
        <v>-0.0</v>
      </c>
      <c r="VRK55" s="5">
        <f>-IFERROR('4. NPV'!VRL24/'4. NPV'!VRL$8,0)</f>
        <v>-0.0</v>
      </c>
      <c r="VRL55" s="5">
        <f>-IFERROR('4. NPV'!VRM24/'4. NPV'!VRM$8,0)</f>
        <v>-0.0</v>
      </c>
      <c r="VRM55" s="5">
        <f>-IFERROR('4. NPV'!VRN24/'4. NPV'!VRN$8,0)</f>
        <v>-0.0</v>
      </c>
      <c r="VRN55" s="5">
        <f>-IFERROR('4. NPV'!VRO24/'4. NPV'!VRO$8,0)</f>
        <v>-0.0</v>
      </c>
      <c r="VRO55" s="5">
        <f>-IFERROR('4. NPV'!VRP24/'4. NPV'!VRP$8,0)</f>
        <v>-0.0</v>
      </c>
      <c r="VRP55" s="5">
        <f>-IFERROR('4. NPV'!VRQ24/'4. NPV'!VRQ$8,0)</f>
        <v>-0.0</v>
      </c>
      <c r="VRQ55" s="5">
        <f>-IFERROR('4. NPV'!VRR24/'4. NPV'!VRR$8,0)</f>
        <v>-0.0</v>
      </c>
      <c r="VRR55" s="5">
        <f>-IFERROR('4. NPV'!VRS24/'4. NPV'!VRS$8,0)</f>
        <v>-0.0</v>
      </c>
      <c r="VRS55" s="5">
        <f>-IFERROR('4. NPV'!VRT24/'4. NPV'!VRT$8,0)</f>
        <v>-0.0</v>
      </c>
      <c r="VRT55" s="5">
        <f>-IFERROR('4. NPV'!VRU24/'4. NPV'!VRU$8,0)</f>
        <v>-0.0</v>
      </c>
      <c r="VRU55" s="5">
        <f>-IFERROR('4. NPV'!VRV24/'4. NPV'!VRV$8,0)</f>
        <v>-0.0</v>
      </c>
      <c r="VRV55" s="5">
        <f>-IFERROR('4. NPV'!VRW24/'4. NPV'!VRW$8,0)</f>
        <v>-0.0</v>
      </c>
      <c r="VRW55" s="5">
        <f>-IFERROR('4. NPV'!VRX24/'4. NPV'!VRX$8,0)</f>
        <v>-0.0</v>
      </c>
      <c r="VRX55" s="5">
        <f>-IFERROR('4. NPV'!VRY24/'4. NPV'!VRY$8,0)</f>
        <v>-0.0</v>
      </c>
      <c r="VRY55" s="5">
        <f>-IFERROR('4. NPV'!VRZ24/'4. NPV'!VRZ$8,0)</f>
        <v>-0.0</v>
      </c>
      <c r="VRZ55" s="5">
        <f>-IFERROR('4. NPV'!VSA24/'4. NPV'!VSA$8,0)</f>
        <v>-0.0</v>
      </c>
      <c r="VSA55" s="5">
        <f>-IFERROR('4. NPV'!VSB24/'4. NPV'!VSB$8,0)</f>
        <v>-0.0</v>
      </c>
      <c r="VSB55" s="5">
        <f>-IFERROR('4. NPV'!VSC24/'4. NPV'!VSC$8,0)</f>
        <v>-0.0</v>
      </c>
      <c r="VSC55" s="5">
        <f>-IFERROR('4. NPV'!VSD24/'4. NPV'!VSD$8,0)</f>
        <v>-0.0</v>
      </c>
      <c r="VSD55" s="5">
        <f>-IFERROR('4. NPV'!VSE24/'4. NPV'!VSE$8,0)</f>
        <v>-0.0</v>
      </c>
      <c r="VSE55" s="5">
        <f>-IFERROR('4. NPV'!VSF24/'4. NPV'!VSF$8,0)</f>
        <v>-0.0</v>
      </c>
      <c r="VSF55" s="5">
        <f>-IFERROR('4. NPV'!VSG24/'4. NPV'!VSG$8,0)</f>
        <v>-0.0</v>
      </c>
      <c r="VSG55" s="5">
        <f>-IFERROR('4. NPV'!VSH24/'4. NPV'!VSH$8,0)</f>
        <v>-0.0</v>
      </c>
      <c r="VSH55" s="5">
        <f>-IFERROR('4. NPV'!VSI24/'4. NPV'!VSI$8,0)</f>
        <v>-0.0</v>
      </c>
      <c r="VSI55" s="5">
        <f>-IFERROR('4. NPV'!VSJ24/'4. NPV'!VSJ$8,0)</f>
        <v>-0.0</v>
      </c>
      <c r="VSJ55" s="5">
        <f>-IFERROR('4. NPV'!VSK24/'4. NPV'!VSK$8,0)</f>
        <v>-0.0</v>
      </c>
      <c r="VSK55" s="5">
        <f>-IFERROR('4. NPV'!VSL24/'4. NPV'!VSL$8,0)</f>
        <v>-0.0</v>
      </c>
      <c r="VSL55" s="5">
        <f>-IFERROR('4. NPV'!VSM24/'4. NPV'!VSM$8,0)</f>
        <v>-0.0</v>
      </c>
      <c r="VSM55" s="5">
        <f>-IFERROR('4. NPV'!VSN24/'4. NPV'!VSN$8,0)</f>
        <v>-0.0</v>
      </c>
      <c r="VSN55" s="5">
        <f>-IFERROR('4. NPV'!VSO24/'4. NPV'!VSO$8,0)</f>
        <v>-0.0</v>
      </c>
      <c r="VSO55" s="5">
        <f>-IFERROR('4. NPV'!VSP24/'4. NPV'!VSP$8,0)</f>
        <v>-0.0</v>
      </c>
      <c r="VSP55" s="5">
        <f>-IFERROR('4. NPV'!VSQ24/'4. NPV'!VSQ$8,0)</f>
        <v>-0.0</v>
      </c>
      <c r="VSQ55" s="5">
        <f>-IFERROR('4. NPV'!VSR24/'4. NPV'!VSR$8,0)</f>
        <v>-0.0</v>
      </c>
      <c r="VSR55" s="5">
        <f>-IFERROR('4. NPV'!VSS24/'4. NPV'!VSS$8,0)</f>
        <v>-0.0</v>
      </c>
      <c r="VSS55" s="5">
        <f>-IFERROR('4. NPV'!VST24/'4. NPV'!VST$8,0)</f>
        <v>-0.0</v>
      </c>
      <c r="VST55" s="5">
        <f>-IFERROR('4. NPV'!VSU24/'4. NPV'!VSU$8,0)</f>
        <v>-0.0</v>
      </c>
      <c r="VSU55" s="5">
        <f>-IFERROR('4. NPV'!VSV24/'4. NPV'!VSV$8,0)</f>
        <v>-0.0</v>
      </c>
      <c r="VSV55" s="5">
        <f>-IFERROR('4. NPV'!VSW24/'4. NPV'!VSW$8,0)</f>
        <v>-0.0</v>
      </c>
      <c r="VSW55" s="5">
        <f>-IFERROR('4. NPV'!VSX24/'4. NPV'!VSX$8,0)</f>
        <v>-0.0</v>
      </c>
      <c r="VSX55" s="5">
        <f>-IFERROR('4. NPV'!VSY24/'4. NPV'!VSY$8,0)</f>
        <v>-0.0</v>
      </c>
      <c r="VSY55" s="5">
        <f>-IFERROR('4. NPV'!VSZ24/'4. NPV'!VSZ$8,0)</f>
        <v>-0.0</v>
      </c>
      <c r="VSZ55" s="5">
        <f>-IFERROR('4. NPV'!VTA24/'4. NPV'!VTA$8,0)</f>
        <v>-0.0</v>
      </c>
      <c r="VTA55" s="5">
        <f>-IFERROR('4. NPV'!VTB24/'4. NPV'!VTB$8,0)</f>
        <v>-0.0</v>
      </c>
      <c r="VTB55" s="5">
        <f>-IFERROR('4. NPV'!VTC24/'4. NPV'!VTC$8,0)</f>
        <v>-0.0</v>
      </c>
      <c r="VTC55" s="5">
        <f>-IFERROR('4. NPV'!VTD24/'4. NPV'!VTD$8,0)</f>
        <v>-0.0</v>
      </c>
      <c r="VTD55" s="5">
        <f>-IFERROR('4. NPV'!VTE24/'4. NPV'!VTE$8,0)</f>
        <v>-0.0</v>
      </c>
      <c r="VTE55" s="5">
        <f>-IFERROR('4. NPV'!VTF24/'4. NPV'!VTF$8,0)</f>
        <v>-0.0</v>
      </c>
      <c r="VTF55" s="5">
        <f>-IFERROR('4. NPV'!VTG24/'4. NPV'!VTG$8,0)</f>
        <v>-0.0</v>
      </c>
      <c r="VTG55" s="5">
        <f>-IFERROR('4. NPV'!VTH24/'4. NPV'!VTH$8,0)</f>
        <v>-0.0</v>
      </c>
      <c r="VTH55" s="5">
        <f>-IFERROR('4. NPV'!VTI24/'4. NPV'!VTI$8,0)</f>
        <v>-0.0</v>
      </c>
      <c r="VTI55" s="5">
        <f>-IFERROR('4. NPV'!VTJ24/'4. NPV'!VTJ$8,0)</f>
        <v>-0.0</v>
      </c>
      <c r="VTJ55" s="5">
        <f>-IFERROR('4. NPV'!VTK24/'4. NPV'!VTK$8,0)</f>
        <v>-0.0</v>
      </c>
      <c r="VTK55" s="5">
        <f>-IFERROR('4. NPV'!VTL24/'4. NPV'!VTL$8,0)</f>
        <v>-0.0</v>
      </c>
      <c r="VTL55" s="5">
        <f>-IFERROR('4. NPV'!VTM24/'4. NPV'!VTM$8,0)</f>
        <v>-0.0</v>
      </c>
      <c r="VTM55" s="5">
        <f>-IFERROR('4. NPV'!VTN24/'4. NPV'!VTN$8,0)</f>
        <v>-0.0</v>
      </c>
      <c r="VTN55" s="5">
        <f>-IFERROR('4. NPV'!VTO24/'4. NPV'!VTO$8,0)</f>
        <v>-0.0</v>
      </c>
      <c r="VTO55" s="5">
        <f>-IFERROR('4. NPV'!VTP24/'4. NPV'!VTP$8,0)</f>
        <v>-0.0</v>
      </c>
      <c r="VTP55" s="5">
        <f>-IFERROR('4. NPV'!VTQ24/'4. NPV'!VTQ$8,0)</f>
        <v>-0.0</v>
      </c>
      <c r="VTQ55" s="5">
        <f>-IFERROR('4. NPV'!VTR24/'4. NPV'!VTR$8,0)</f>
        <v>-0.0</v>
      </c>
      <c r="VTR55" s="5">
        <f>-IFERROR('4. NPV'!VTS24/'4. NPV'!VTS$8,0)</f>
        <v>-0.0</v>
      </c>
      <c r="VTS55" s="5">
        <f>-IFERROR('4. NPV'!VTT24/'4. NPV'!VTT$8,0)</f>
        <v>-0.0</v>
      </c>
      <c r="VTT55" s="5">
        <f>-IFERROR('4. NPV'!VTU24/'4. NPV'!VTU$8,0)</f>
        <v>-0.0</v>
      </c>
      <c r="VTU55" s="5">
        <f>-IFERROR('4. NPV'!VTV24/'4. NPV'!VTV$8,0)</f>
        <v>-0.0</v>
      </c>
      <c r="VTV55" s="5">
        <f>-IFERROR('4. NPV'!VTW24/'4. NPV'!VTW$8,0)</f>
        <v>-0.0</v>
      </c>
      <c r="VTW55" s="5">
        <f>-IFERROR('4. NPV'!VTX24/'4. NPV'!VTX$8,0)</f>
        <v>-0.0</v>
      </c>
      <c r="VTX55" s="5">
        <f>-IFERROR('4. NPV'!VTY24/'4. NPV'!VTY$8,0)</f>
        <v>-0.0</v>
      </c>
      <c r="VTY55" s="5">
        <f>-IFERROR('4. NPV'!VTZ24/'4. NPV'!VTZ$8,0)</f>
        <v>-0.0</v>
      </c>
      <c r="VTZ55" s="5">
        <f>-IFERROR('4. NPV'!VUA24/'4. NPV'!VUA$8,0)</f>
        <v>-0.0</v>
      </c>
      <c r="VUA55" s="5">
        <f>-IFERROR('4. NPV'!VUB24/'4. NPV'!VUB$8,0)</f>
        <v>-0.0</v>
      </c>
      <c r="VUB55" s="5">
        <f>-IFERROR('4. NPV'!VUC24/'4. NPV'!VUC$8,0)</f>
        <v>-0.0</v>
      </c>
      <c r="VUC55" s="5">
        <f>-IFERROR('4. NPV'!VUD24/'4. NPV'!VUD$8,0)</f>
        <v>-0.0</v>
      </c>
      <c r="VUD55" s="5">
        <f>-IFERROR('4. NPV'!VUE24/'4. NPV'!VUE$8,0)</f>
        <v>-0.0</v>
      </c>
      <c r="VUE55" s="5">
        <f>-IFERROR('4. NPV'!VUF24/'4. NPV'!VUF$8,0)</f>
        <v>-0.0</v>
      </c>
      <c r="VUF55" s="5">
        <f>-IFERROR('4. NPV'!VUG24/'4. NPV'!VUG$8,0)</f>
        <v>-0.0</v>
      </c>
      <c r="VUG55" s="5">
        <f>-IFERROR('4. NPV'!VUH24/'4. NPV'!VUH$8,0)</f>
        <v>-0.0</v>
      </c>
      <c r="VUH55" s="5">
        <f>-IFERROR('4. NPV'!VUI24/'4. NPV'!VUI$8,0)</f>
        <v>-0.0</v>
      </c>
      <c r="VUI55" s="5">
        <f>-IFERROR('4. NPV'!VUJ24/'4. NPV'!VUJ$8,0)</f>
        <v>-0.0</v>
      </c>
      <c r="VUJ55" s="5">
        <f>-IFERROR('4. NPV'!VUK24/'4. NPV'!VUK$8,0)</f>
        <v>-0.0</v>
      </c>
      <c r="VUK55" s="5">
        <f>-IFERROR('4. NPV'!VUL24/'4. NPV'!VUL$8,0)</f>
        <v>-0.0</v>
      </c>
      <c r="VUL55" s="5">
        <f>-IFERROR('4. NPV'!VUM24/'4. NPV'!VUM$8,0)</f>
        <v>-0.0</v>
      </c>
      <c r="VUM55" s="5">
        <f>-IFERROR('4. NPV'!VUN24/'4. NPV'!VUN$8,0)</f>
        <v>-0.0</v>
      </c>
      <c r="VUN55" s="5">
        <f>-IFERROR('4. NPV'!VUO24/'4. NPV'!VUO$8,0)</f>
        <v>-0.0</v>
      </c>
      <c r="VUO55" s="5">
        <f>-IFERROR('4. NPV'!VUP24/'4. NPV'!VUP$8,0)</f>
        <v>-0.0</v>
      </c>
      <c r="VUP55" s="5">
        <f>-IFERROR('4. NPV'!VUQ24/'4. NPV'!VUQ$8,0)</f>
        <v>-0.0</v>
      </c>
      <c r="VUQ55" s="5">
        <f>-IFERROR('4. NPV'!VUR24/'4. NPV'!VUR$8,0)</f>
        <v>-0.0</v>
      </c>
      <c r="VUR55" s="5">
        <f>-IFERROR('4. NPV'!VUS24/'4. NPV'!VUS$8,0)</f>
        <v>-0.0</v>
      </c>
      <c r="VUS55" s="5">
        <f>-IFERROR('4. NPV'!VUT24/'4. NPV'!VUT$8,0)</f>
        <v>-0.0</v>
      </c>
      <c r="VUT55" s="5">
        <f>-IFERROR('4. NPV'!VUU24/'4. NPV'!VUU$8,0)</f>
        <v>-0.0</v>
      </c>
      <c r="VUU55" s="5">
        <f>-IFERROR('4. NPV'!VUV24/'4. NPV'!VUV$8,0)</f>
        <v>-0.0</v>
      </c>
      <c r="VUV55" s="5">
        <f>-IFERROR('4. NPV'!VUW24/'4. NPV'!VUW$8,0)</f>
        <v>-0.0</v>
      </c>
      <c r="VUW55" s="5">
        <f>-IFERROR('4. NPV'!VUX24/'4. NPV'!VUX$8,0)</f>
        <v>-0.0</v>
      </c>
      <c r="VUX55" s="5">
        <f>-IFERROR('4. NPV'!VUY24/'4. NPV'!VUY$8,0)</f>
        <v>-0.0</v>
      </c>
      <c r="VUY55" s="5">
        <f>-IFERROR('4. NPV'!VUZ24/'4. NPV'!VUZ$8,0)</f>
        <v>-0.0</v>
      </c>
      <c r="VUZ55" s="5">
        <f>-IFERROR('4. NPV'!VVA24/'4. NPV'!VVA$8,0)</f>
        <v>-0.0</v>
      </c>
      <c r="VVA55" s="5">
        <f>-IFERROR('4. NPV'!VVB24/'4. NPV'!VVB$8,0)</f>
        <v>-0.0</v>
      </c>
      <c r="VVB55" s="5">
        <f>-IFERROR('4. NPV'!VVC24/'4. NPV'!VVC$8,0)</f>
        <v>-0.0</v>
      </c>
      <c r="VVC55" s="5">
        <f>-IFERROR('4. NPV'!VVD24/'4. NPV'!VVD$8,0)</f>
        <v>-0.0</v>
      </c>
      <c r="VVD55" s="5">
        <f>-IFERROR('4. NPV'!VVE24/'4. NPV'!VVE$8,0)</f>
        <v>-0.0</v>
      </c>
      <c r="VVE55" s="5">
        <f>-IFERROR('4. NPV'!VVF24/'4. NPV'!VVF$8,0)</f>
        <v>-0.0</v>
      </c>
      <c r="VVF55" s="5">
        <f>-IFERROR('4. NPV'!VVG24/'4. NPV'!VVG$8,0)</f>
        <v>-0.0</v>
      </c>
      <c r="VVG55" s="5">
        <f>-IFERROR('4. NPV'!VVH24/'4. NPV'!VVH$8,0)</f>
        <v>-0.0</v>
      </c>
      <c r="VVH55" s="5">
        <f>-IFERROR('4. NPV'!VVI24/'4. NPV'!VVI$8,0)</f>
        <v>-0.0</v>
      </c>
      <c r="VVI55" s="5">
        <f>-IFERROR('4. NPV'!VVJ24/'4. NPV'!VVJ$8,0)</f>
        <v>-0.0</v>
      </c>
      <c r="VVJ55" s="5">
        <f>-IFERROR('4. NPV'!VVK24/'4. NPV'!VVK$8,0)</f>
        <v>-0.0</v>
      </c>
      <c r="VVK55" s="5">
        <f>-IFERROR('4. NPV'!VVL24/'4. NPV'!VVL$8,0)</f>
        <v>-0.0</v>
      </c>
      <c r="VVL55" s="5">
        <f>-IFERROR('4. NPV'!VVM24/'4. NPV'!VVM$8,0)</f>
        <v>-0.0</v>
      </c>
      <c r="VVM55" s="5">
        <f>-IFERROR('4. NPV'!VVN24/'4. NPV'!VVN$8,0)</f>
        <v>-0.0</v>
      </c>
      <c r="VVN55" s="5">
        <f>-IFERROR('4. NPV'!VVO24/'4. NPV'!VVO$8,0)</f>
        <v>-0.0</v>
      </c>
      <c r="VVO55" s="5">
        <f>-IFERROR('4. NPV'!VVP24/'4. NPV'!VVP$8,0)</f>
        <v>-0.0</v>
      </c>
      <c r="VVP55" s="5">
        <f>-IFERROR('4. NPV'!VVQ24/'4. NPV'!VVQ$8,0)</f>
        <v>-0.0</v>
      </c>
      <c r="VVQ55" s="5">
        <f>-IFERROR('4. NPV'!VVR24/'4. NPV'!VVR$8,0)</f>
        <v>-0.0</v>
      </c>
      <c r="VVR55" s="5">
        <f>-IFERROR('4. NPV'!VVS24/'4. NPV'!VVS$8,0)</f>
        <v>-0.0</v>
      </c>
      <c r="VVS55" s="5">
        <f>-IFERROR('4. NPV'!VVT24/'4. NPV'!VVT$8,0)</f>
        <v>-0.0</v>
      </c>
      <c r="VVT55" s="5">
        <f>-IFERROR('4. NPV'!VVU24/'4. NPV'!VVU$8,0)</f>
        <v>-0.0</v>
      </c>
      <c r="VVU55" s="5">
        <f>-IFERROR('4. NPV'!VVV24/'4. NPV'!VVV$8,0)</f>
        <v>-0.0</v>
      </c>
      <c r="VVV55" s="5">
        <f>-IFERROR('4. NPV'!VVW24/'4. NPV'!VVW$8,0)</f>
        <v>-0.0</v>
      </c>
      <c r="VVW55" s="5">
        <f>-IFERROR('4. NPV'!VVX24/'4. NPV'!VVX$8,0)</f>
        <v>-0.0</v>
      </c>
      <c r="VVX55" s="5">
        <f>-IFERROR('4. NPV'!VVY24/'4. NPV'!VVY$8,0)</f>
        <v>-0.0</v>
      </c>
      <c r="VVY55" s="5">
        <f>-IFERROR('4. NPV'!VVZ24/'4. NPV'!VVZ$8,0)</f>
        <v>-0.0</v>
      </c>
      <c r="VVZ55" s="5">
        <f>-IFERROR('4. NPV'!VWA24/'4. NPV'!VWA$8,0)</f>
        <v>-0.0</v>
      </c>
      <c r="VWA55" s="5">
        <f>-IFERROR('4. NPV'!VWB24/'4. NPV'!VWB$8,0)</f>
        <v>-0.0</v>
      </c>
      <c r="VWB55" s="5">
        <f>-IFERROR('4. NPV'!VWC24/'4. NPV'!VWC$8,0)</f>
        <v>-0.0</v>
      </c>
      <c r="VWC55" s="5">
        <f>-IFERROR('4. NPV'!VWD24/'4. NPV'!VWD$8,0)</f>
        <v>-0.0</v>
      </c>
      <c r="VWD55" s="5">
        <f>-IFERROR('4. NPV'!VWE24/'4. NPV'!VWE$8,0)</f>
        <v>-0.0</v>
      </c>
      <c r="VWE55" s="5">
        <f>-IFERROR('4. NPV'!VWF24/'4. NPV'!VWF$8,0)</f>
        <v>-0.0</v>
      </c>
      <c r="VWF55" s="5">
        <f>-IFERROR('4. NPV'!VWG24/'4. NPV'!VWG$8,0)</f>
        <v>-0.0</v>
      </c>
      <c r="VWG55" s="5">
        <f>-IFERROR('4. NPV'!VWH24/'4. NPV'!VWH$8,0)</f>
        <v>-0.0</v>
      </c>
      <c r="VWH55" s="5">
        <f>-IFERROR('4. NPV'!VWI24/'4. NPV'!VWI$8,0)</f>
        <v>-0.0</v>
      </c>
      <c r="VWI55" s="5">
        <f>-IFERROR('4. NPV'!VWJ24/'4. NPV'!VWJ$8,0)</f>
        <v>-0.0</v>
      </c>
      <c r="VWJ55" s="5">
        <f>-IFERROR('4. NPV'!VWK24/'4. NPV'!VWK$8,0)</f>
        <v>-0.0</v>
      </c>
      <c r="VWK55" s="5">
        <f>-IFERROR('4. NPV'!VWL24/'4. NPV'!VWL$8,0)</f>
        <v>-0.0</v>
      </c>
      <c r="VWL55" s="5">
        <f>-IFERROR('4. NPV'!VWM24/'4. NPV'!VWM$8,0)</f>
        <v>-0.0</v>
      </c>
      <c r="VWM55" s="5">
        <f>-IFERROR('4. NPV'!VWN24/'4. NPV'!VWN$8,0)</f>
        <v>-0.0</v>
      </c>
      <c r="VWN55" s="5">
        <f>-IFERROR('4. NPV'!VWO24/'4. NPV'!VWO$8,0)</f>
        <v>-0.0</v>
      </c>
      <c r="VWO55" s="5">
        <f>-IFERROR('4. NPV'!VWP24/'4. NPV'!VWP$8,0)</f>
        <v>-0.0</v>
      </c>
      <c r="VWP55" s="5">
        <f>-IFERROR('4. NPV'!VWQ24/'4. NPV'!VWQ$8,0)</f>
        <v>-0.0</v>
      </c>
      <c r="VWQ55" s="5">
        <f>-IFERROR('4. NPV'!VWR24/'4. NPV'!VWR$8,0)</f>
        <v>-0.0</v>
      </c>
      <c r="VWR55" s="5">
        <f>-IFERROR('4. NPV'!VWS24/'4. NPV'!VWS$8,0)</f>
        <v>-0.0</v>
      </c>
      <c r="VWS55" s="5">
        <f>-IFERROR('4. NPV'!VWT24/'4. NPV'!VWT$8,0)</f>
        <v>-0.0</v>
      </c>
      <c r="VWT55" s="5">
        <f>-IFERROR('4. NPV'!VWU24/'4. NPV'!VWU$8,0)</f>
        <v>-0.0</v>
      </c>
      <c r="VWU55" s="5">
        <f>-IFERROR('4. NPV'!VWV24/'4. NPV'!VWV$8,0)</f>
        <v>-0.0</v>
      </c>
      <c r="VWV55" s="5">
        <f>-IFERROR('4. NPV'!VWW24/'4. NPV'!VWW$8,0)</f>
        <v>-0.0</v>
      </c>
      <c r="VWW55" s="5">
        <f>-IFERROR('4. NPV'!VWX24/'4. NPV'!VWX$8,0)</f>
        <v>-0.0</v>
      </c>
      <c r="VWX55" s="5">
        <f>-IFERROR('4. NPV'!VWY24/'4. NPV'!VWY$8,0)</f>
        <v>-0.0</v>
      </c>
      <c r="VWY55" s="5">
        <f>-IFERROR('4. NPV'!VWZ24/'4. NPV'!VWZ$8,0)</f>
        <v>-0.0</v>
      </c>
      <c r="VWZ55" s="5">
        <f>-IFERROR('4. NPV'!VXA24/'4. NPV'!VXA$8,0)</f>
        <v>-0.0</v>
      </c>
      <c r="VXA55" s="5">
        <f>-IFERROR('4. NPV'!VXB24/'4. NPV'!VXB$8,0)</f>
        <v>-0.0</v>
      </c>
      <c r="VXB55" s="5">
        <f>-IFERROR('4. NPV'!VXC24/'4. NPV'!VXC$8,0)</f>
        <v>-0.0</v>
      </c>
      <c r="VXC55" s="5">
        <f>-IFERROR('4. NPV'!VXD24/'4. NPV'!VXD$8,0)</f>
        <v>-0.0</v>
      </c>
      <c r="VXD55" s="5">
        <f>-IFERROR('4. NPV'!VXE24/'4. NPV'!VXE$8,0)</f>
        <v>-0.0</v>
      </c>
      <c r="VXE55" s="5">
        <f>-IFERROR('4. NPV'!VXF24/'4. NPV'!VXF$8,0)</f>
        <v>-0.0</v>
      </c>
      <c r="VXF55" s="5">
        <f>-IFERROR('4. NPV'!VXG24/'4. NPV'!VXG$8,0)</f>
        <v>-0.0</v>
      </c>
      <c r="VXG55" s="5">
        <f>-IFERROR('4. NPV'!VXH24/'4. NPV'!VXH$8,0)</f>
        <v>-0.0</v>
      </c>
      <c r="VXH55" s="5">
        <f>-IFERROR('4. NPV'!VXI24/'4. NPV'!VXI$8,0)</f>
        <v>-0.0</v>
      </c>
      <c r="VXI55" s="5">
        <f>-IFERROR('4. NPV'!VXJ24/'4. NPV'!VXJ$8,0)</f>
        <v>-0.0</v>
      </c>
      <c r="VXJ55" s="5">
        <f>-IFERROR('4. NPV'!VXK24/'4. NPV'!VXK$8,0)</f>
        <v>-0.0</v>
      </c>
      <c r="VXK55" s="5">
        <f>-IFERROR('4. NPV'!VXL24/'4. NPV'!VXL$8,0)</f>
        <v>-0.0</v>
      </c>
      <c r="VXL55" s="5">
        <f>-IFERROR('4. NPV'!VXM24/'4. NPV'!VXM$8,0)</f>
        <v>-0.0</v>
      </c>
      <c r="VXM55" s="5">
        <f>-IFERROR('4. NPV'!VXN24/'4. NPV'!VXN$8,0)</f>
        <v>-0.0</v>
      </c>
      <c r="VXN55" s="5">
        <f>-IFERROR('4. NPV'!VXO24/'4. NPV'!VXO$8,0)</f>
        <v>-0.0</v>
      </c>
      <c r="VXO55" s="5">
        <f>-IFERROR('4. NPV'!VXP24/'4. NPV'!VXP$8,0)</f>
        <v>-0.0</v>
      </c>
      <c r="VXP55" s="5">
        <f>-IFERROR('4. NPV'!VXQ24/'4. NPV'!VXQ$8,0)</f>
        <v>-0.0</v>
      </c>
      <c r="VXQ55" s="5">
        <f>-IFERROR('4. NPV'!VXR24/'4. NPV'!VXR$8,0)</f>
        <v>-0.0</v>
      </c>
      <c r="VXR55" s="5">
        <f>-IFERROR('4. NPV'!VXS24/'4. NPV'!VXS$8,0)</f>
        <v>-0.0</v>
      </c>
      <c r="VXS55" s="5">
        <f>-IFERROR('4. NPV'!VXT24/'4. NPV'!VXT$8,0)</f>
        <v>-0.0</v>
      </c>
      <c r="VXT55" s="5">
        <f>-IFERROR('4. NPV'!VXU24/'4. NPV'!VXU$8,0)</f>
        <v>-0.0</v>
      </c>
      <c r="VXU55" s="5">
        <f>-IFERROR('4. NPV'!VXV24/'4. NPV'!VXV$8,0)</f>
        <v>-0.0</v>
      </c>
      <c r="VXV55" s="5">
        <f>-IFERROR('4. NPV'!VXW24/'4. NPV'!VXW$8,0)</f>
        <v>-0.0</v>
      </c>
      <c r="VXW55" s="5">
        <f>-IFERROR('4. NPV'!VXX24/'4. NPV'!VXX$8,0)</f>
        <v>-0.0</v>
      </c>
      <c r="VXX55" s="5">
        <f>-IFERROR('4. NPV'!VXY24/'4. NPV'!VXY$8,0)</f>
        <v>-0.0</v>
      </c>
      <c r="VXY55" s="5">
        <f>-IFERROR('4. NPV'!VXZ24/'4. NPV'!VXZ$8,0)</f>
        <v>-0.0</v>
      </c>
      <c r="VXZ55" s="5">
        <f>-IFERROR('4. NPV'!VYA24/'4. NPV'!VYA$8,0)</f>
        <v>-0.0</v>
      </c>
      <c r="VYA55" s="5">
        <f>-IFERROR('4. NPV'!VYB24/'4. NPV'!VYB$8,0)</f>
        <v>-0.0</v>
      </c>
      <c r="VYB55" s="5">
        <f>-IFERROR('4. NPV'!VYC24/'4. NPV'!VYC$8,0)</f>
        <v>-0.0</v>
      </c>
      <c r="VYC55" s="5">
        <f>-IFERROR('4. NPV'!VYD24/'4. NPV'!VYD$8,0)</f>
        <v>-0.0</v>
      </c>
      <c r="VYD55" s="5">
        <f>-IFERROR('4. NPV'!VYE24/'4. NPV'!VYE$8,0)</f>
        <v>-0.0</v>
      </c>
      <c r="VYE55" s="5">
        <f>-IFERROR('4. NPV'!VYF24/'4. NPV'!VYF$8,0)</f>
        <v>-0.0</v>
      </c>
      <c r="VYF55" s="5">
        <f>-IFERROR('4. NPV'!VYG24/'4. NPV'!VYG$8,0)</f>
        <v>-0.0</v>
      </c>
      <c r="VYG55" s="5">
        <f>-IFERROR('4. NPV'!VYH24/'4. NPV'!VYH$8,0)</f>
        <v>-0.0</v>
      </c>
      <c r="VYH55" s="5">
        <f>-IFERROR('4. NPV'!VYI24/'4. NPV'!VYI$8,0)</f>
        <v>-0.0</v>
      </c>
      <c r="VYI55" s="5">
        <f>-IFERROR('4. NPV'!VYJ24/'4. NPV'!VYJ$8,0)</f>
        <v>-0.0</v>
      </c>
      <c r="VYJ55" s="5">
        <f>-IFERROR('4. NPV'!VYK24/'4. NPV'!VYK$8,0)</f>
        <v>-0.0</v>
      </c>
      <c r="VYK55" s="5">
        <f>-IFERROR('4. NPV'!VYL24/'4. NPV'!VYL$8,0)</f>
        <v>-0.0</v>
      </c>
      <c r="VYL55" s="5">
        <f>-IFERROR('4. NPV'!VYM24/'4. NPV'!VYM$8,0)</f>
        <v>-0.0</v>
      </c>
      <c r="VYM55" s="5">
        <f>-IFERROR('4. NPV'!VYN24/'4. NPV'!VYN$8,0)</f>
        <v>-0.0</v>
      </c>
      <c r="VYN55" s="5">
        <f>-IFERROR('4. NPV'!VYO24/'4. NPV'!VYO$8,0)</f>
        <v>-0.0</v>
      </c>
      <c r="VYO55" s="5">
        <f>-IFERROR('4. NPV'!VYP24/'4. NPV'!VYP$8,0)</f>
        <v>-0.0</v>
      </c>
      <c r="VYP55" s="5">
        <f>-IFERROR('4. NPV'!VYQ24/'4. NPV'!VYQ$8,0)</f>
        <v>-0.0</v>
      </c>
      <c r="VYQ55" s="5">
        <f>-IFERROR('4. NPV'!VYR24/'4. NPV'!VYR$8,0)</f>
        <v>-0.0</v>
      </c>
      <c r="VYR55" s="5">
        <f>-IFERROR('4. NPV'!VYS24/'4. NPV'!VYS$8,0)</f>
        <v>-0.0</v>
      </c>
      <c r="VYS55" s="5">
        <f>-IFERROR('4. NPV'!VYT24/'4. NPV'!VYT$8,0)</f>
        <v>-0.0</v>
      </c>
      <c r="VYT55" s="5">
        <f>-IFERROR('4. NPV'!VYU24/'4. NPV'!VYU$8,0)</f>
        <v>-0.0</v>
      </c>
      <c r="VYU55" s="5">
        <f>-IFERROR('4. NPV'!VYV24/'4. NPV'!VYV$8,0)</f>
        <v>-0.0</v>
      </c>
      <c r="VYV55" s="5">
        <f>-IFERROR('4. NPV'!VYW24/'4. NPV'!VYW$8,0)</f>
        <v>-0.0</v>
      </c>
      <c r="VYW55" s="5">
        <f>-IFERROR('4. NPV'!VYX24/'4. NPV'!VYX$8,0)</f>
        <v>-0.0</v>
      </c>
      <c r="VYX55" s="5">
        <f>-IFERROR('4. NPV'!VYY24/'4. NPV'!VYY$8,0)</f>
        <v>-0.0</v>
      </c>
      <c r="VYY55" s="5">
        <f>-IFERROR('4. NPV'!VYZ24/'4. NPV'!VYZ$8,0)</f>
        <v>-0.0</v>
      </c>
      <c r="VYZ55" s="5">
        <f>-IFERROR('4. NPV'!VZA24/'4. NPV'!VZA$8,0)</f>
        <v>-0.0</v>
      </c>
      <c r="VZA55" s="5">
        <f>-IFERROR('4. NPV'!VZB24/'4. NPV'!VZB$8,0)</f>
        <v>-0.0</v>
      </c>
      <c r="VZB55" s="5">
        <f>-IFERROR('4. NPV'!VZC24/'4. NPV'!VZC$8,0)</f>
        <v>-0.0</v>
      </c>
      <c r="VZC55" s="5">
        <f>-IFERROR('4. NPV'!VZD24/'4. NPV'!VZD$8,0)</f>
        <v>-0.0</v>
      </c>
      <c r="VZD55" s="5">
        <f>-IFERROR('4. NPV'!VZE24/'4. NPV'!VZE$8,0)</f>
        <v>-0.0</v>
      </c>
      <c r="VZE55" s="5">
        <f>-IFERROR('4. NPV'!VZF24/'4. NPV'!VZF$8,0)</f>
        <v>-0.0</v>
      </c>
      <c r="VZF55" s="5">
        <f>-IFERROR('4. NPV'!VZG24/'4. NPV'!VZG$8,0)</f>
        <v>-0.0</v>
      </c>
      <c r="VZG55" s="5">
        <f>-IFERROR('4. NPV'!VZH24/'4. NPV'!VZH$8,0)</f>
        <v>-0.0</v>
      </c>
      <c r="VZH55" s="5">
        <f>-IFERROR('4. NPV'!VZI24/'4. NPV'!VZI$8,0)</f>
        <v>-0.0</v>
      </c>
      <c r="VZI55" s="5">
        <f>-IFERROR('4. NPV'!VZJ24/'4. NPV'!VZJ$8,0)</f>
        <v>-0.0</v>
      </c>
      <c r="VZJ55" s="5">
        <f>-IFERROR('4. NPV'!VZK24/'4. NPV'!VZK$8,0)</f>
        <v>-0.0</v>
      </c>
      <c r="VZK55" s="5">
        <f>-IFERROR('4. NPV'!VZL24/'4. NPV'!VZL$8,0)</f>
        <v>-0.0</v>
      </c>
      <c r="VZL55" s="5">
        <f>-IFERROR('4. NPV'!VZM24/'4. NPV'!VZM$8,0)</f>
        <v>-0.0</v>
      </c>
      <c r="VZM55" s="5">
        <f>-IFERROR('4. NPV'!VZN24/'4. NPV'!VZN$8,0)</f>
        <v>-0.0</v>
      </c>
      <c r="VZN55" s="5">
        <f>-IFERROR('4. NPV'!VZO24/'4. NPV'!VZO$8,0)</f>
        <v>-0.0</v>
      </c>
      <c r="VZO55" s="5">
        <f>-IFERROR('4. NPV'!VZP24/'4. NPV'!VZP$8,0)</f>
        <v>-0.0</v>
      </c>
      <c r="VZP55" s="5">
        <f>-IFERROR('4. NPV'!VZQ24/'4. NPV'!VZQ$8,0)</f>
        <v>-0.0</v>
      </c>
      <c r="VZQ55" s="5">
        <f>-IFERROR('4. NPV'!VZR24/'4. NPV'!VZR$8,0)</f>
        <v>-0.0</v>
      </c>
      <c r="VZR55" s="5">
        <f>-IFERROR('4. NPV'!VZS24/'4. NPV'!VZS$8,0)</f>
        <v>-0.0</v>
      </c>
      <c r="VZS55" s="5">
        <f>-IFERROR('4. NPV'!VZT24/'4. NPV'!VZT$8,0)</f>
        <v>-0.0</v>
      </c>
      <c r="VZT55" s="5">
        <f>-IFERROR('4. NPV'!VZU24/'4. NPV'!VZU$8,0)</f>
        <v>-0.0</v>
      </c>
      <c r="VZU55" s="5">
        <f>-IFERROR('4. NPV'!VZV24/'4. NPV'!VZV$8,0)</f>
        <v>-0.0</v>
      </c>
      <c r="VZV55" s="5">
        <f>-IFERROR('4. NPV'!VZW24/'4. NPV'!VZW$8,0)</f>
        <v>-0.0</v>
      </c>
      <c r="VZW55" s="5">
        <f>-IFERROR('4. NPV'!VZX24/'4. NPV'!VZX$8,0)</f>
        <v>-0.0</v>
      </c>
      <c r="VZX55" s="5">
        <f>-IFERROR('4. NPV'!VZY24/'4. NPV'!VZY$8,0)</f>
        <v>-0.0</v>
      </c>
      <c r="VZY55" s="5">
        <f>-IFERROR('4. NPV'!VZZ24/'4. NPV'!VZZ$8,0)</f>
        <v>-0.0</v>
      </c>
      <c r="VZZ55" s="5">
        <f>-IFERROR('4. NPV'!WAA24/'4. NPV'!WAA$8,0)</f>
        <v>-0.0</v>
      </c>
      <c r="WAA55" s="5">
        <f>-IFERROR('4. NPV'!WAB24/'4. NPV'!WAB$8,0)</f>
        <v>-0.0</v>
      </c>
      <c r="WAB55" s="5">
        <f>-IFERROR('4. NPV'!WAC24/'4. NPV'!WAC$8,0)</f>
        <v>-0.0</v>
      </c>
      <c r="WAC55" s="5">
        <f>-IFERROR('4. NPV'!WAD24/'4. NPV'!WAD$8,0)</f>
        <v>-0.0</v>
      </c>
      <c r="WAD55" s="5">
        <f>-IFERROR('4. NPV'!WAE24/'4. NPV'!WAE$8,0)</f>
        <v>-0.0</v>
      </c>
      <c r="WAE55" s="5">
        <f>-IFERROR('4. NPV'!WAF24/'4. NPV'!WAF$8,0)</f>
        <v>-0.0</v>
      </c>
      <c r="WAF55" s="5">
        <f>-IFERROR('4. NPV'!WAG24/'4. NPV'!WAG$8,0)</f>
        <v>-0.0</v>
      </c>
      <c r="WAG55" s="5">
        <f>-IFERROR('4. NPV'!WAH24/'4. NPV'!WAH$8,0)</f>
        <v>-0.0</v>
      </c>
      <c r="WAH55" s="5">
        <f>-IFERROR('4. NPV'!WAI24/'4. NPV'!WAI$8,0)</f>
        <v>-0.0</v>
      </c>
      <c r="WAI55" s="5">
        <f>-IFERROR('4. NPV'!WAJ24/'4. NPV'!WAJ$8,0)</f>
        <v>-0.0</v>
      </c>
      <c r="WAJ55" s="5">
        <f>-IFERROR('4. NPV'!WAK24/'4. NPV'!WAK$8,0)</f>
        <v>-0.0</v>
      </c>
      <c r="WAK55" s="5">
        <f>-IFERROR('4. NPV'!WAL24/'4. NPV'!WAL$8,0)</f>
        <v>-0.0</v>
      </c>
      <c r="WAL55" s="5">
        <f>-IFERROR('4. NPV'!WAM24/'4. NPV'!WAM$8,0)</f>
        <v>-0.0</v>
      </c>
      <c r="WAM55" s="5">
        <f>-IFERROR('4. NPV'!WAN24/'4. NPV'!WAN$8,0)</f>
        <v>-0.0</v>
      </c>
      <c r="WAN55" s="5">
        <f>-IFERROR('4. NPV'!WAO24/'4. NPV'!WAO$8,0)</f>
        <v>-0.0</v>
      </c>
      <c r="WAO55" s="5">
        <f>-IFERROR('4. NPV'!WAP24/'4. NPV'!WAP$8,0)</f>
        <v>-0.0</v>
      </c>
      <c r="WAP55" s="5">
        <f>-IFERROR('4. NPV'!WAQ24/'4. NPV'!WAQ$8,0)</f>
        <v>-0.0</v>
      </c>
      <c r="WAQ55" s="5">
        <f>-IFERROR('4. NPV'!WAR24/'4. NPV'!WAR$8,0)</f>
        <v>-0.0</v>
      </c>
      <c r="WAR55" s="5">
        <f>-IFERROR('4. NPV'!WAS24/'4. NPV'!WAS$8,0)</f>
        <v>-0.0</v>
      </c>
      <c r="WAS55" s="5">
        <f>-IFERROR('4. NPV'!WAT24/'4. NPV'!WAT$8,0)</f>
        <v>-0.0</v>
      </c>
      <c r="WAT55" s="5">
        <f>-IFERROR('4. NPV'!WAU24/'4. NPV'!WAU$8,0)</f>
        <v>-0.0</v>
      </c>
      <c r="WAU55" s="5">
        <f>-IFERROR('4. NPV'!WAV24/'4. NPV'!WAV$8,0)</f>
        <v>-0.0</v>
      </c>
      <c r="WAV55" s="5">
        <f>-IFERROR('4. NPV'!WAW24/'4. NPV'!WAW$8,0)</f>
        <v>-0.0</v>
      </c>
      <c r="WAW55" s="5">
        <f>-IFERROR('4. NPV'!WAX24/'4. NPV'!WAX$8,0)</f>
        <v>-0.0</v>
      </c>
      <c r="WAX55" s="5">
        <f>-IFERROR('4. NPV'!WAY24/'4. NPV'!WAY$8,0)</f>
        <v>-0.0</v>
      </c>
      <c r="WAY55" s="5">
        <f>-IFERROR('4. NPV'!WAZ24/'4. NPV'!WAZ$8,0)</f>
        <v>-0.0</v>
      </c>
      <c r="WAZ55" s="5">
        <f>-IFERROR('4. NPV'!WBA24/'4. NPV'!WBA$8,0)</f>
        <v>-0.0</v>
      </c>
      <c r="WBA55" s="5">
        <f>-IFERROR('4. NPV'!WBB24/'4. NPV'!WBB$8,0)</f>
        <v>-0.0</v>
      </c>
      <c r="WBB55" s="5">
        <f>-IFERROR('4. NPV'!WBC24/'4. NPV'!WBC$8,0)</f>
        <v>-0.0</v>
      </c>
      <c r="WBC55" s="5">
        <f>-IFERROR('4. NPV'!WBD24/'4. NPV'!WBD$8,0)</f>
        <v>-0.0</v>
      </c>
      <c r="WBD55" s="5">
        <f>-IFERROR('4. NPV'!WBE24/'4. NPV'!WBE$8,0)</f>
        <v>-0.0</v>
      </c>
      <c r="WBE55" s="5">
        <f>-IFERROR('4. NPV'!WBF24/'4. NPV'!WBF$8,0)</f>
        <v>-0.0</v>
      </c>
      <c r="WBF55" s="5">
        <f>-IFERROR('4. NPV'!WBG24/'4. NPV'!WBG$8,0)</f>
        <v>-0.0</v>
      </c>
      <c r="WBG55" s="5">
        <f>-IFERROR('4. NPV'!WBH24/'4. NPV'!WBH$8,0)</f>
        <v>-0.0</v>
      </c>
      <c r="WBH55" s="5">
        <f>-IFERROR('4. NPV'!WBI24/'4. NPV'!WBI$8,0)</f>
        <v>-0.0</v>
      </c>
      <c r="WBI55" s="5">
        <f>-IFERROR('4. NPV'!WBJ24/'4. NPV'!WBJ$8,0)</f>
        <v>-0.0</v>
      </c>
      <c r="WBJ55" s="5">
        <f>-IFERROR('4. NPV'!WBK24/'4. NPV'!WBK$8,0)</f>
        <v>-0.0</v>
      </c>
      <c r="WBK55" s="5">
        <f>-IFERROR('4. NPV'!WBL24/'4. NPV'!WBL$8,0)</f>
        <v>-0.0</v>
      </c>
      <c r="WBL55" s="5">
        <f>-IFERROR('4. NPV'!WBM24/'4. NPV'!WBM$8,0)</f>
        <v>-0.0</v>
      </c>
      <c r="WBM55" s="5">
        <f>-IFERROR('4. NPV'!WBN24/'4. NPV'!WBN$8,0)</f>
        <v>-0.0</v>
      </c>
      <c r="WBN55" s="5">
        <f>-IFERROR('4. NPV'!WBO24/'4. NPV'!WBO$8,0)</f>
        <v>-0.0</v>
      </c>
      <c r="WBO55" s="5">
        <f>-IFERROR('4. NPV'!WBP24/'4. NPV'!WBP$8,0)</f>
        <v>-0.0</v>
      </c>
      <c r="WBP55" s="5">
        <f>-IFERROR('4. NPV'!WBQ24/'4. NPV'!WBQ$8,0)</f>
        <v>-0.0</v>
      </c>
      <c r="WBQ55" s="5">
        <f>-IFERROR('4. NPV'!WBR24/'4. NPV'!WBR$8,0)</f>
        <v>-0.0</v>
      </c>
      <c r="WBR55" s="5">
        <f>-IFERROR('4. NPV'!WBS24/'4. NPV'!WBS$8,0)</f>
        <v>-0.0</v>
      </c>
      <c r="WBS55" s="5">
        <f>-IFERROR('4. NPV'!WBT24/'4. NPV'!WBT$8,0)</f>
        <v>-0.0</v>
      </c>
      <c r="WBT55" s="5">
        <f>-IFERROR('4. NPV'!WBU24/'4. NPV'!WBU$8,0)</f>
        <v>-0.0</v>
      </c>
      <c r="WBU55" s="5">
        <f>-IFERROR('4. NPV'!WBV24/'4. NPV'!WBV$8,0)</f>
        <v>-0.0</v>
      </c>
      <c r="WBV55" s="5">
        <f>-IFERROR('4. NPV'!WBW24/'4. NPV'!WBW$8,0)</f>
        <v>-0.0</v>
      </c>
      <c r="WBW55" s="5">
        <f>-IFERROR('4. NPV'!WBX24/'4. NPV'!WBX$8,0)</f>
        <v>-0.0</v>
      </c>
      <c r="WBX55" s="5">
        <f>-IFERROR('4. NPV'!WBY24/'4. NPV'!WBY$8,0)</f>
        <v>-0.0</v>
      </c>
      <c r="WBY55" s="5">
        <f>-IFERROR('4. NPV'!WBZ24/'4. NPV'!WBZ$8,0)</f>
        <v>-0.0</v>
      </c>
      <c r="WBZ55" s="5">
        <f>-IFERROR('4. NPV'!WCA24/'4. NPV'!WCA$8,0)</f>
        <v>-0.0</v>
      </c>
      <c r="WCA55" s="5">
        <f>-IFERROR('4. NPV'!WCB24/'4. NPV'!WCB$8,0)</f>
        <v>-0.0</v>
      </c>
      <c r="WCB55" s="5">
        <f>-IFERROR('4. NPV'!WCC24/'4. NPV'!WCC$8,0)</f>
        <v>-0.0</v>
      </c>
      <c r="WCC55" s="5">
        <f>-IFERROR('4. NPV'!WCD24/'4. NPV'!WCD$8,0)</f>
        <v>-0.0</v>
      </c>
      <c r="WCD55" s="5">
        <f>-IFERROR('4. NPV'!WCE24/'4. NPV'!WCE$8,0)</f>
        <v>-0.0</v>
      </c>
      <c r="WCE55" s="5">
        <f>-IFERROR('4. NPV'!WCF24/'4. NPV'!WCF$8,0)</f>
        <v>-0.0</v>
      </c>
      <c r="WCF55" s="5">
        <f>-IFERROR('4. NPV'!WCG24/'4. NPV'!WCG$8,0)</f>
        <v>-0.0</v>
      </c>
      <c r="WCG55" s="5">
        <f>-IFERROR('4. NPV'!WCH24/'4. NPV'!WCH$8,0)</f>
        <v>-0.0</v>
      </c>
      <c r="WCH55" s="5">
        <f>-IFERROR('4. NPV'!WCI24/'4. NPV'!WCI$8,0)</f>
        <v>-0.0</v>
      </c>
      <c r="WCI55" s="5">
        <f>-IFERROR('4. NPV'!WCJ24/'4. NPV'!WCJ$8,0)</f>
        <v>-0.0</v>
      </c>
      <c r="WCJ55" s="5">
        <f>-IFERROR('4. NPV'!WCK24/'4. NPV'!WCK$8,0)</f>
        <v>-0.0</v>
      </c>
      <c r="WCK55" s="5">
        <f>-IFERROR('4. NPV'!WCL24/'4. NPV'!WCL$8,0)</f>
        <v>-0.0</v>
      </c>
      <c r="WCL55" s="5">
        <f>-IFERROR('4. NPV'!WCM24/'4. NPV'!WCM$8,0)</f>
        <v>-0.0</v>
      </c>
      <c r="WCM55" s="5">
        <f>-IFERROR('4. NPV'!WCN24/'4. NPV'!WCN$8,0)</f>
        <v>-0.0</v>
      </c>
      <c r="WCN55" s="5">
        <f>-IFERROR('4. NPV'!WCO24/'4. NPV'!WCO$8,0)</f>
        <v>-0.0</v>
      </c>
      <c r="WCO55" s="5">
        <f>-IFERROR('4. NPV'!WCP24/'4. NPV'!WCP$8,0)</f>
        <v>-0.0</v>
      </c>
      <c r="WCP55" s="5">
        <f>-IFERROR('4. NPV'!WCQ24/'4. NPV'!WCQ$8,0)</f>
        <v>-0.0</v>
      </c>
      <c r="WCQ55" s="5">
        <f>-IFERROR('4. NPV'!WCR24/'4. NPV'!WCR$8,0)</f>
        <v>-0.0</v>
      </c>
      <c r="WCR55" s="5">
        <f>-IFERROR('4. NPV'!WCS24/'4. NPV'!WCS$8,0)</f>
        <v>-0.0</v>
      </c>
      <c r="WCS55" s="5">
        <f>-IFERROR('4. NPV'!WCT24/'4. NPV'!WCT$8,0)</f>
        <v>-0.0</v>
      </c>
      <c r="WCT55" s="5">
        <f>-IFERROR('4. NPV'!WCU24/'4. NPV'!WCU$8,0)</f>
        <v>-0.0</v>
      </c>
      <c r="WCU55" s="5">
        <f>-IFERROR('4. NPV'!WCV24/'4. NPV'!WCV$8,0)</f>
        <v>-0.0</v>
      </c>
      <c r="WCV55" s="5">
        <f>-IFERROR('4. NPV'!WCW24/'4. NPV'!WCW$8,0)</f>
        <v>-0.0</v>
      </c>
      <c r="WCW55" s="5">
        <f>-IFERROR('4. NPV'!WCX24/'4. NPV'!WCX$8,0)</f>
        <v>-0.0</v>
      </c>
      <c r="WCX55" s="5">
        <f>-IFERROR('4. NPV'!WCY24/'4. NPV'!WCY$8,0)</f>
        <v>-0.0</v>
      </c>
      <c r="WCY55" s="5">
        <f>-IFERROR('4. NPV'!WCZ24/'4. NPV'!WCZ$8,0)</f>
        <v>-0.0</v>
      </c>
      <c r="WCZ55" s="5">
        <f>-IFERROR('4. NPV'!WDA24/'4. NPV'!WDA$8,0)</f>
        <v>-0.0</v>
      </c>
      <c r="WDA55" s="5">
        <f>-IFERROR('4. NPV'!WDB24/'4. NPV'!WDB$8,0)</f>
        <v>-0.0</v>
      </c>
      <c r="WDB55" s="5">
        <f>-IFERROR('4. NPV'!WDC24/'4. NPV'!WDC$8,0)</f>
        <v>-0.0</v>
      </c>
      <c r="WDC55" s="5">
        <f>-IFERROR('4. NPV'!WDD24/'4. NPV'!WDD$8,0)</f>
        <v>-0.0</v>
      </c>
      <c r="WDD55" s="5">
        <f>-IFERROR('4. NPV'!WDE24/'4. NPV'!WDE$8,0)</f>
        <v>-0.0</v>
      </c>
      <c r="WDE55" s="5">
        <f>-IFERROR('4. NPV'!WDF24/'4. NPV'!WDF$8,0)</f>
        <v>-0.0</v>
      </c>
      <c r="WDF55" s="5">
        <f>-IFERROR('4. NPV'!WDG24/'4. NPV'!WDG$8,0)</f>
        <v>-0.0</v>
      </c>
      <c r="WDG55" s="5">
        <f>-IFERROR('4. NPV'!WDH24/'4. NPV'!WDH$8,0)</f>
        <v>-0.0</v>
      </c>
      <c r="WDH55" s="5">
        <f>-IFERROR('4. NPV'!WDI24/'4. NPV'!WDI$8,0)</f>
        <v>-0.0</v>
      </c>
      <c r="WDI55" s="5">
        <f>-IFERROR('4. NPV'!WDJ24/'4. NPV'!WDJ$8,0)</f>
        <v>-0.0</v>
      </c>
      <c r="WDJ55" s="5">
        <f>-IFERROR('4. NPV'!WDK24/'4. NPV'!WDK$8,0)</f>
        <v>-0.0</v>
      </c>
      <c r="WDK55" s="5">
        <f>-IFERROR('4. NPV'!WDL24/'4. NPV'!WDL$8,0)</f>
        <v>-0.0</v>
      </c>
      <c r="WDL55" s="5">
        <f>-IFERROR('4. NPV'!WDM24/'4. NPV'!WDM$8,0)</f>
        <v>-0.0</v>
      </c>
      <c r="WDM55" s="5">
        <f>-IFERROR('4. NPV'!WDN24/'4. NPV'!WDN$8,0)</f>
        <v>-0.0</v>
      </c>
      <c r="WDN55" s="5">
        <f>-IFERROR('4. NPV'!WDO24/'4. NPV'!WDO$8,0)</f>
        <v>-0.0</v>
      </c>
      <c r="WDO55" s="5">
        <f>-IFERROR('4. NPV'!WDP24/'4. NPV'!WDP$8,0)</f>
        <v>-0.0</v>
      </c>
      <c r="WDP55" s="5">
        <f>-IFERROR('4. NPV'!WDQ24/'4. NPV'!WDQ$8,0)</f>
        <v>-0.0</v>
      </c>
      <c r="WDQ55" s="5">
        <f>-IFERROR('4. NPV'!WDR24/'4. NPV'!WDR$8,0)</f>
        <v>-0.0</v>
      </c>
      <c r="WDR55" s="5">
        <f>-IFERROR('4. NPV'!WDS24/'4. NPV'!WDS$8,0)</f>
        <v>-0.0</v>
      </c>
      <c r="WDS55" s="5">
        <f>-IFERROR('4. NPV'!WDT24/'4. NPV'!WDT$8,0)</f>
        <v>-0.0</v>
      </c>
      <c r="WDT55" s="5">
        <f>-IFERROR('4. NPV'!WDU24/'4. NPV'!WDU$8,0)</f>
        <v>-0.0</v>
      </c>
      <c r="WDU55" s="5">
        <f>-IFERROR('4. NPV'!WDV24/'4. NPV'!WDV$8,0)</f>
        <v>-0.0</v>
      </c>
      <c r="WDV55" s="5">
        <f>-IFERROR('4. NPV'!WDW24/'4. NPV'!WDW$8,0)</f>
        <v>-0.0</v>
      </c>
      <c r="WDW55" s="5">
        <f>-IFERROR('4. NPV'!WDX24/'4. NPV'!WDX$8,0)</f>
        <v>-0.0</v>
      </c>
      <c r="WDX55" s="5">
        <f>-IFERROR('4. NPV'!WDY24/'4. NPV'!WDY$8,0)</f>
        <v>-0.0</v>
      </c>
      <c r="WDY55" s="5">
        <f>-IFERROR('4. NPV'!WDZ24/'4. NPV'!WDZ$8,0)</f>
        <v>-0.0</v>
      </c>
      <c r="WDZ55" s="5">
        <f>-IFERROR('4. NPV'!WEA24/'4. NPV'!WEA$8,0)</f>
        <v>-0.0</v>
      </c>
      <c r="WEA55" s="5">
        <f>-IFERROR('4. NPV'!WEB24/'4. NPV'!WEB$8,0)</f>
        <v>-0.0</v>
      </c>
      <c r="WEB55" s="5">
        <f>-IFERROR('4. NPV'!WEC24/'4. NPV'!WEC$8,0)</f>
        <v>-0.0</v>
      </c>
      <c r="WEC55" s="5">
        <f>-IFERROR('4. NPV'!WED24/'4. NPV'!WED$8,0)</f>
        <v>-0.0</v>
      </c>
      <c r="WED55" s="5">
        <f>-IFERROR('4. NPV'!WEE24/'4. NPV'!WEE$8,0)</f>
        <v>-0.0</v>
      </c>
      <c r="WEE55" s="5">
        <f>-IFERROR('4. NPV'!WEF24/'4. NPV'!WEF$8,0)</f>
        <v>-0.0</v>
      </c>
      <c r="WEF55" s="5">
        <f>-IFERROR('4. NPV'!WEG24/'4. NPV'!WEG$8,0)</f>
        <v>-0.0</v>
      </c>
      <c r="WEG55" s="5">
        <f>-IFERROR('4. NPV'!WEH24/'4. NPV'!WEH$8,0)</f>
        <v>-0.0</v>
      </c>
      <c r="WEH55" s="5">
        <f>-IFERROR('4. NPV'!WEI24/'4. NPV'!WEI$8,0)</f>
        <v>-0.0</v>
      </c>
      <c r="WEI55" s="5">
        <f>-IFERROR('4. NPV'!WEJ24/'4. NPV'!WEJ$8,0)</f>
        <v>-0.0</v>
      </c>
      <c r="WEJ55" s="5">
        <f>-IFERROR('4. NPV'!WEK24/'4. NPV'!WEK$8,0)</f>
        <v>-0.0</v>
      </c>
      <c r="WEK55" s="5">
        <f>-IFERROR('4. NPV'!WEL24/'4. NPV'!WEL$8,0)</f>
        <v>-0.0</v>
      </c>
      <c r="WEL55" s="5">
        <f>-IFERROR('4. NPV'!WEM24/'4. NPV'!WEM$8,0)</f>
        <v>-0.0</v>
      </c>
      <c r="WEM55" s="5">
        <f>-IFERROR('4. NPV'!WEN24/'4. NPV'!WEN$8,0)</f>
        <v>-0.0</v>
      </c>
      <c r="WEN55" s="5">
        <f>-IFERROR('4. NPV'!WEO24/'4. NPV'!WEO$8,0)</f>
        <v>-0.0</v>
      </c>
      <c r="WEO55" s="5">
        <f>-IFERROR('4. NPV'!WEP24/'4. NPV'!WEP$8,0)</f>
        <v>-0.0</v>
      </c>
      <c r="WEP55" s="5">
        <f>-IFERROR('4. NPV'!WEQ24/'4. NPV'!WEQ$8,0)</f>
        <v>-0.0</v>
      </c>
      <c r="WEQ55" s="5">
        <f>-IFERROR('4. NPV'!WER24/'4. NPV'!WER$8,0)</f>
        <v>-0.0</v>
      </c>
      <c r="WER55" s="5">
        <f>-IFERROR('4. NPV'!WES24/'4. NPV'!WES$8,0)</f>
        <v>-0.0</v>
      </c>
      <c r="WES55" s="5">
        <f>-IFERROR('4. NPV'!WET24/'4. NPV'!WET$8,0)</f>
        <v>-0.0</v>
      </c>
      <c r="WET55" s="5">
        <f>-IFERROR('4. NPV'!WEU24/'4. NPV'!WEU$8,0)</f>
        <v>-0.0</v>
      </c>
      <c r="WEU55" s="5">
        <f>-IFERROR('4. NPV'!WEV24/'4. NPV'!WEV$8,0)</f>
        <v>-0.0</v>
      </c>
      <c r="WEV55" s="5">
        <f>-IFERROR('4. NPV'!WEW24/'4. NPV'!WEW$8,0)</f>
        <v>-0.0</v>
      </c>
      <c r="WEW55" s="5">
        <f>-IFERROR('4. NPV'!WEX24/'4. NPV'!WEX$8,0)</f>
        <v>-0.0</v>
      </c>
      <c r="WEX55" s="5">
        <f>-IFERROR('4. NPV'!WEY24/'4. NPV'!WEY$8,0)</f>
        <v>-0.0</v>
      </c>
      <c r="WEY55" s="5">
        <f>-IFERROR('4. NPV'!WEZ24/'4. NPV'!WEZ$8,0)</f>
        <v>-0.0</v>
      </c>
      <c r="WEZ55" s="5">
        <f>-IFERROR('4. NPV'!WFA24/'4. NPV'!WFA$8,0)</f>
        <v>-0.0</v>
      </c>
      <c r="WFA55" s="5">
        <f>-IFERROR('4. NPV'!WFB24/'4. NPV'!WFB$8,0)</f>
        <v>-0.0</v>
      </c>
      <c r="WFB55" s="5">
        <f>-IFERROR('4. NPV'!WFC24/'4. NPV'!WFC$8,0)</f>
        <v>-0.0</v>
      </c>
      <c r="WFC55" s="5">
        <f>-IFERROR('4. NPV'!WFD24/'4. NPV'!WFD$8,0)</f>
        <v>-0.0</v>
      </c>
      <c r="WFD55" s="5">
        <f>-IFERROR('4. NPV'!WFE24/'4. NPV'!WFE$8,0)</f>
        <v>-0.0</v>
      </c>
      <c r="WFE55" s="5">
        <f>-IFERROR('4. NPV'!WFF24/'4. NPV'!WFF$8,0)</f>
        <v>-0.0</v>
      </c>
      <c r="WFF55" s="5">
        <f>-IFERROR('4. NPV'!WFG24/'4. NPV'!WFG$8,0)</f>
        <v>-0.0</v>
      </c>
      <c r="WFG55" s="5">
        <f>-IFERROR('4. NPV'!WFH24/'4. NPV'!WFH$8,0)</f>
        <v>-0.0</v>
      </c>
      <c r="WFH55" s="5">
        <f>-IFERROR('4. NPV'!WFI24/'4. NPV'!WFI$8,0)</f>
        <v>-0.0</v>
      </c>
      <c r="WFI55" s="5">
        <f>-IFERROR('4. NPV'!WFJ24/'4. NPV'!WFJ$8,0)</f>
        <v>-0.0</v>
      </c>
      <c r="WFJ55" s="5">
        <f>-IFERROR('4. NPV'!WFK24/'4. NPV'!WFK$8,0)</f>
        <v>-0.0</v>
      </c>
      <c r="WFK55" s="5">
        <f>-IFERROR('4. NPV'!WFL24/'4. NPV'!WFL$8,0)</f>
        <v>-0.0</v>
      </c>
      <c r="WFL55" s="5">
        <f>-IFERROR('4. NPV'!WFM24/'4. NPV'!WFM$8,0)</f>
        <v>-0.0</v>
      </c>
      <c r="WFM55" s="5">
        <f>-IFERROR('4. NPV'!WFN24/'4. NPV'!WFN$8,0)</f>
        <v>-0.0</v>
      </c>
      <c r="WFN55" s="5">
        <f>-IFERROR('4. NPV'!WFO24/'4. NPV'!WFO$8,0)</f>
        <v>-0.0</v>
      </c>
      <c r="WFO55" s="5">
        <f>-IFERROR('4. NPV'!WFP24/'4. NPV'!WFP$8,0)</f>
        <v>-0.0</v>
      </c>
      <c r="WFP55" s="5">
        <f>-IFERROR('4. NPV'!WFQ24/'4. NPV'!WFQ$8,0)</f>
        <v>-0.0</v>
      </c>
      <c r="WFQ55" s="5">
        <f>-IFERROR('4. NPV'!WFR24/'4. NPV'!WFR$8,0)</f>
        <v>-0.0</v>
      </c>
      <c r="WFR55" s="5">
        <f>-IFERROR('4. NPV'!WFS24/'4. NPV'!WFS$8,0)</f>
        <v>-0.0</v>
      </c>
      <c r="WFS55" s="5">
        <f>-IFERROR('4. NPV'!WFT24/'4. NPV'!WFT$8,0)</f>
        <v>-0.0</v>
      </c>
      <c r="WFT55" s="5">
        <f>-IFERROR('4. NPV'!WFU24/'4. NPV'!WFU$8,0)</f>
        <v>-0.0</v>
      </c>
      <c r="WFU55" s="5">
        <f>-IFERROR('4. NPV'!WFV24/'4. NPV'!WFV$8,0)</f>
        <v>-0.0</v>
      </c>
      <c r="WFV55" s="5">
        <f>-IFERROR('4. NPV'!WFW24/'4. NPV'!WFW$8,0)</f>
        <v>-0.0</v>
      </c>
      <c r="WFW55" s="5">
        <f>-IFERROR('4. NPV'!WFX24/'4. NPV'!WFX$8,0)</f>
        <v>-0.0</v>
      </c>
      <c r="WFX55" s="5">
        <f>-IFERROR('4. NPV'!WFY24/'4. NPV'!WFY$8,0)</f>
        <v>-0.0</v>
      </c>
      <c r="WFY55" s="5">
        <f>-IFERROR('4. NPV'!WFZ24/'4. NPV'!WFZ$8,0)</f>
        <v>-0.0</v>
      </c>
      <c r="WFZ55" s="5">
        <f>-IFERROR('4. NPV'!WGA24/'4. NPV'!WGA$8,0)</f>
        <v>-0.0</v>
      </c>
      <c r="WGA55" s="5">
        <f>-IFERROR('4. NPV'!WGB24/'4. NPV'!WGB$8,0)</f>
        <v>-0.0</v>
      </c>
      <c r="WGB55" s="5">
        <f>-IFERROR('4. NPV'!WGC24/'4. NPV'!WGC$8,0)</f>
        <v>-0.0</v>
      </c>
      <c r="WGC55" s="5">
        <f>-IFERROR('4. NPV'!WGD24/'4. NPV'!WGD$8,0)</f>
        <v>-0.0</v>
      </c>
      <c r="WGD55" s="5">
        <f>-IFERROR('4. NPV'!WGE24/'4. NPV'!WGE$8,0)</f>
        <v>-0.0</v>
      </c>
      <c r="WGE55" s="5">
        <f>-IFERROR('4. NPV'!WGF24/'4. NPV'!WGF$8,0)</f>
        <v>-0.0</v>
      </c>
      <c r="WGF55" s="5">
        <f>-IFERROR('4. NPV'!WGG24/'4. NPV'!WGG$8,0)</f>
        <v>-0.0</v>
      </c>
      <c r="WGG55" s="5">
        <f>-IFERROR('4. NPV'!WGH24/'4. NPV'!WGH$8,0)</f>
        <v>-0.0</v>
      </c>
      <c r="WGH55" s="5">
        <f>-IFERROR('4. NPV'!WGI24/'4. NPV'!WGI$8,0)</f>
        <v>-0.0</v>
      </c>
      <c r="WGI55" s="5">
        <f>-IFERROR('4. NPV'!WGJ24/'4. NPV'!WGJ$8,0)</f>
        <v>-0.0</v>
      </c>
      <c r="WGJ55" s="5">
        <f>-IFERROR('4. NPV'!WGK24/'4. NPV'!WGK$8,0)</f>
        <v>-0.0</v>
      </c>
      <c r="WGK55" s="5">
        <f>-IFERROR('4. NPV'!WGL24/'4. NPV'!WGL$8,0)</f>
        <v>-0.0</v>
      </c>
      <c r="WGL55" s="5">
        <f>-IFERROR('4. NPV'!WGM24/'4. NPV'!WGM$8,0)</f>
        <v>-0.0</v>
      </c>
      <c r="WGM55" s="5">
        <f>-IFERROR('4. NPV'!WGN24/'4. NPV'!WGN$8,0)</f>
        <v>-0.0</v>
      </c>
      <c r="WGN55" s="5">
        <f>-IFERROR('4. NPV'!WGO24/'4. NPV'!WGO$8,0)</f>
        <v>-0.0</v>
      </c>
      <c r="WGO55" s="5">
        <f>-IFERROR('4. NPV'!WGP24/'4. NPV'!WGP$8,0)</f>
        <v>-0.0</v>
      </c>
      <c r="WGP55" s="5">
        <f>-IFERROR('4. NPV'!WGQ24/'4. NPV'!WGQ$8,0)</f>
        <v>-0.0</v>
      </c>
      <c r="WGQ55" s="5">
        <f>-IFERROR('4. NPV'!WGR24/'4. NPV'!WGR$8,0)</f>
        <v>-0.0</v>
      </c>
      <c r="WGR55" s="5">
        <f>-IFERROR('4. NPV'!WGS24/'4. NPV'!WGS$8,0)</f>
        <v>-0.0</v>
      </c>
      <c r="WGS55" s="5">
        <f>-IFERROR('4. NPV'!WGT24/'4. NPV'!WGT$8,0)</f>
        <v>-0.0</v>
      </c>
      <c r="WGT55" s="5">
        <f>-IFERROR('4. NPV'!WGU24/'4. NPV'!WGU$8,0)</f>
        <v>-0.0</v>
      </c>
      <c r="WGU55" s="5">
        <f>-IFERROR('4. NPV'!WGV24/'4. NPV'!WGV$8,0)</f>
        <v>-0.0</v>
      </c>
      <c r="WGV55" s="5">
        <f>-IFERROR('4. NPV'!WGW24/'4. NPV'!WGW$8,0)</f>
        <v>-0.0</v>
      </c>
      <c r="WGW55" s="5">
        <f>-IFERROR('4. NPV'!WGX24/'4. NPV'!WGX$8,0)</f>
        <v>-0.0</v>
      </c>
      <c r="WGX55" s="5">
        <f>-IFERROR('4. NPV'!WGY24/'4. NPV'!WGY$8,0)</f>
        <v>-0.0</v>
      </c>
      <c r="WGY55" s="5">
        <f>-IFERROR('4. NPV'!WGZ24/'4. NPV'!WGZ$8,0)</f>
        <v>-0.0</v>
      </c>
      <c r="WGZ55" s="5">
        <f>-IFERROR('4. NPV'!WHA24/'4. NPV'!WHA$8,0)</f>
        <v>-0.0</v>
      </c>
      <c r="WHA55" s="5">
        <f>-IFERROR('4. NPV'!WHB24/'4. NPV'!WHB$8,0)</f>
        <v>-0.0</v>
      </c>
      <c r="WHB55" s="5">
        <f>-IFERROR('4. NPV'!WHC24/'4. NPV'!WHC$8,0)</f>
        <v>-0.0</v>
      </c>
      <c r="WHC55" s="5">
        <f>-IFERROR('4. NPV'!WHD24/'4. NPV'!WHD$8,0)</f>
        <v>-0.0</v>
      </c>
      <c r="WHD55" s="5">
        <f>-IFERROR('4. NPV'!WHE24/'4. NPV'!WHE$8,0)</f>
        <v>-0.0</v>
      </c>
      <c r="WHE55" s="5">
        <f>-IFERROR('4. NPV'!WHF24/'4. NPV'!WHF$8,0)</f>
        <v>-0.0</v>
      </c>
      <c r="WHF55" s="5">
        <f>-IFERROR('4. NPV'!WHG24/'4. NPV'!WHG$8,0)</f>
        <v>-0.0</v>
      </c>
      <c r="WHG55" s="5">
        <f>-IFERROR('4. NPV'!WHH24/'4. NPV'!WHH$8,0)</f>
        <v>-0.0</v>
      </c>
      <c r="WHH55" s="5">
        <f>-IFERROR('4. NPV'!WHI24/'4. NPV'!WHI$8,0)</f>
        <v>-0.0</v>
      </c>
      <c r="WHI55" s="5">
        <f>-IFERROR('4. NPV'!WHJ24/'4. NPV'!WHJ$8,0)</f>
        <v>-0.0</v>
      </c>
      <c r="WHJ55" s="5">
        <f>-IFERROR('4. NPV'!WHK24/'4. NPV'!WHK$8,0)</f>
        <v>-0.0</v>
      </c>
      <c r="WHK55" s="5">
        <f>-IFERROR('4. NPV'!WHL24/'4. NPV'!WHL$8,0)</f>
        <v>-0.0</v>
      </c>
      <c r="WHL55" s="5">
        <f>-IFERROR('4. NPV'!WHM24/'4. NPV'!WHM$8,0)</f>
        <v>-0.0</v>
      </c>
      <c r="WHM55" s="5">
        <f>-IFERROR('4. NPV'!WHN24/'4. NPV'!WHN$8,0)</f>
        <v>-0.0</v>
      </c>
      <c r="WHN55" s="5">
        <f>-IFERROR('4. NPV'!WHO24/'4. NPV'!WHO$8,0)</f>
        <v>-0.0</v>
      </c>
      <c r="WHO55" s="5">
        <f>-IFERROR('4. NPV'!WHP24/'4. NPV'!WHP$8,0)</f>
        <v>-0.0</v>
      </c>
      <c r="WHP55" s="5">
        <f>-IFERROR('4. NPV'!WHQ24/'4. NPV'!WHQ$8,0)</f>
        <v>-0.0</v>
      </c>
      <c r="WHQ55" s="5">
        <f>-IFERROR('4. NPV'!WHR24/'4. NPV'!WHR$8,0)</f>
        <v>-0.0</v>
      </c>
      <c r="WHR55" s="5">
        <f>-IFERROR('4. NPV'!WHS24/'4. NPV'!WHS$8,0)</f>
        <v>-0.0</v>
      </c>
      <c r="WHS55" s="5">
        <f>-IFERROR('4. NPV'!WHT24/'4. NPV'!WHT$8,0)</f>
        <v>-0.0</v>
      </c>
      <c r="WHT55" s="5">
        <f>-IFERROR('4. NPV'!WHU24/'4. NPV'!WHU$8,0)</f>
        <v>-0.0</v>
      </c>
      <c r="WHU55" s="5">
        <f>-IFERROR('4. NPV'!WHV24/'4. NPV'!WHV$8,0)</f>
        <v>-0.0</v>
      </c>
      <c r="WHV55" s="5">
        <f>-IFERROR('4. NPV'!WHW24/'4. NPV'!WHW$8,0)</f>
        <v>-0.0</v>
      </c>
      <c r="WHW55" s="5">
        <f>-IFERROR('4. NPV'!WHX24/'4. NPV'!WHX$8,0)</f>
        <v>-0.0</v>
      </c>
      <c r="WHX55" s="5">
        <f>-IFERROR('4. NPV'!WHY24/'4. NPV'!WHY$8,0)</f>
        <v>-0.0</v>
      </c>
      <c r="WHY55" s="5">
        <f>-IFERROR('4. NPV'!WHZ24/'4. NPV'!WHZ$8,0)</f>
        <v>-0.0</v>
      </c>
      <c r="WHZ55" s="5">
        <f>-IFERROR('4. NPV'!WIA24/'4. NPV'!WIA$8,0)</f>
        <v>-0.0</v>
      </c>
      <c r="WIA55" s="5">
        <f>-IFERROR('4. NPV'!WIB24/'4. NPV'!WIB$8,0)</f>
        <v>-0.0</v>
      </c>
      <c r="WIB55" s="5">
        <f>-IFERROR('4. NPV'!WIC24/'4. NPV'!WIC$8,0)</f>
        <v>-0.0</v>
      </c>
      <c r="WIC55" s="5">
        <f>-IFERROR('4. NPV'!WID24/'4. NPV'!WID$8,0)</f>
        <v>-0.0</v>
      </c>
      <c r="WID55" s="5">
        <f>-IFERROR('4. NPV'!WIE24/'4. NPV'!WIE$8,0)</f>
        <v>-0.0</v>
      </c>
      <c r="WIE55" s="5">
        <f>-IFERROR('4. NPV'!WIF24/'4. NPV'!WIF$8,0)</f>
        <v>-0.0</v>
      </c>
      <c r="WIF55" s="5">
        <f>-IFERROR('4. NPV'!WIG24/'4. NPV'!WIG$8,0)</f>
        <v>-0.0</v>
      </c>
      <c r="WIG55" s="5">
        <f>-IFERROR('4. NPV'!WIH24/'4. NPV'!WIH$8,0)</f>
        <v>-0.0</v>
      </c>
      <c r="WIH55" s="5">
        <f>-IFERROR('4. NPV'!WII24/'4. NPV'!WII$8,0)</f>
        <v>-0.0</v>
      </c>
      <c r="WII55" s="5">
        <f>-IFERROR('4. NPV'!WIJ24/'4. NPV'!WIJ$8,0)</f>
        <v>-0.0</v>
      </c>
      <c r="WIJ55" s="5">
        <f>-IFERROR('4. NPV'!WIK24/'4. NPV'!WIK$8,0)</f>
        <v>-0.0</v>
      </c>
      <c r="WIK55" s="5">
        <f>-IFERROR('4. NPV'!WIL24/'4. NPV'!WIL$8,0)</f>
        <v>-0.0</v>
      </c>
      <c r="WIL55" s="5">
        <f>-IFERROR('4. NPV'!WIM24/'4. NPV'!WIM$8,0)</f>
        <v>-0.0</v>
      </c>
      <c r="WIM55" s="5">
        <f>-IFERROR('4. NPV'!WIN24/'4. NPV'!WIN$8,0)</f>
        <v>-0.0</v>
      </c>
      <c r="WIN55" s="5">
        <f>-IFERROR('4. NPV'!WIO24/'4. NPV'!WIO$8,0)</f>
        <v>-0.0</v>
      </c>
      <c r="WIO55" s="5">
        <f>-IFERROR('4. NPV'!WIP24/'4. NPV'!WIP$8,0)</f>
        <v>-0.0</v>
      </c>
      <c r="WIP55" s="5">
        <f>-IFERROR('4. NPV'!WIQ24/'4. NPV'!WIQ$8,0)</f>
        <v>-0.0</v>
      </c>
      <c r="WIQ55" s="5">
        <f>-IFERROR('4. NPV'!WIR24/'4. NPV'!WIR$8,0)</f>
        <v>-0.0</v>
      </c>
      <c r="WIR55" s="5">
        <f>-IFERROR('4. NPV'!WIS24/'4. NPV'!WIS$8,0)</f>
        <v>-0.0</v>
      </c>
      <c r="WIS55" s="5">
        <f>-IFERROR('4. NPV'!WIT24/'4. NPV'!WIT$8,0)</f>
        <v>-0.0</v>
      </c>
      <c r="WIT55" s="5">
        <f>-IFERROR('4. NPV'!WIU24/'4. NPV'!WIU$8,0)</f>
        <v>-0.0</v>
      </c>
      <c r="WIU55" s="5">
        <f>-IFERROR('4. NPV'!WIV24/'4. NPV'!WIV$8,0)</f>
        <v>-0.0</v>
      </c>
      <c r="WIV55" s="5">
        <f>-IFERROR('4. NPV'!WIW24/'4. NPV'!WIW$8,0)</f>
        <v>-0.0</v>
      </c>
      <c r="WIW55" s="5">
        <f>-IFERROR('4. NPV'!WIX24/'4. NPV'!WIX$8,0)</f>
        <v>-0.0</v>
      </c>
      <c r="WIX55" s="5">
        <f>-IFERROR('4. NPV'!WIY24/'4. NPV'!WIY$8,0)</f>
        <v>-0.0</v>
      </c>
      <c r="WIY55" s="5">
        <f>-IFERROR('4. NPV'!WIZ24/'4. NPV'!WIZ$8,0)</f>
        <v>-0.0</v>
      </c>
      <c r="WIZ55" s="5">
        <f>-IFERROR('4. NPV'!WJA24/'4. NPV'!WJA$8,0)</f>
        <v>-0.0</v>
      </c>
      <c r="WJA55" s="5">
        <f>-IFERROR('4. NPV'!WJB24/'4. NPV'!WJB$8,0)</f>
        <v>-0.0</v>
      </c>
      <c r="WJB55" s="5">
        <f>-IFERROR('4. NPV'!WJC24/'4. NPV'!WJC$8,0)</f>
        <v>-0.0</v>
      </c>
      <c r="WJC55" s="5">
        <f>-IFERROR('4. NPV'!WJD24/'4. NPV'!WJD$8,0)</f>
        <v>-0.0</v>
      </c>
      <c r="WJD55" s="5">
        <f>-IFERROR('4. NPV'!WJE24/'4. NPV'!WJE$8,0)</f>
        <v>-0.0</v>
      </c>
      <c r="WJE55" s="5">
        <f>-IFERROR('4. NPV'!WJF24/'4. NPV'!WJF$8,0)</f>
        <v>-0.0</v>
      </c>
      <c r="WJF55" s="5">
        <f>-IFERROR('4. NPV'!WJG24/'4. NPV'!WJG$8,0)</f>
        <v>-0.0</v>
      </c>
      <c r="WJG55" s="5">
        <f>-IFERROR('4. NPV'!WJH24/'4. NPV'!WJH$8,0)</f>
        <v>-0.0</v>
      </c>
      <c r="WJH55" s="5">
        <f>-IFERROR('4. NPV'!WJI24/'4. NPV'!WJI$8,0)</f>
        <v>-0.0</v>
      </c>
      <c r="WJI55" s="5">
        <f>-IFERROR('4. NPV'!WJJ24/'4. NPV'!WJJ$8,0)</f>
        <v>-0.0</v>
      </c>
      <c r="WJJ55" s="5">
        <f>-IFERROR('4. NPV'!WJK24/'4. NPV'!WJK$8,0)</f>
        <v>-0.0</v>
      </c>
      <c r="WJK55" s="5">
        <f>-IFERROR('4. NPV'!WJL24/'4. NPV'!WJL$8,0)</f>
        <v>-0.0</v>
      </c>
      <c r="WJL55" s="5">
        <f>-IFERROR('4. NPV'!WJM24/'4. NPV'!WJM$8,0)</f>
        <v>-0.0</v>
      </c>
      <c r="WJM55" s="5">
        <f>-IFERROR('4. NPV'!WJN24/'4. NPV'!WJN$8,0)</f>
        <v>-0.0</v>
      </c>
      <c r="WJN55" s="5">
        <f>-IFERROR('4. NPV'!WJO24/'4. NPV'!WJO$8,0)</f>
        <v>-0.0</v>
      </c>
      <c r="WJO55" s="5">
        <f>-IFERROR('4. NPV'!WJP24/'4. NPV'!WJP$8,0)</f>
        <v>-0.0</v>
      </c>
      <c r="WJP55" s="5">
        <f>-IFERROR('4. NPV'!WJQ24/'4. NPV'!WJQ$8,0)</f>
        <v>-0.0</v>
      </c>
      <c r="WJQ55" s="5">
        <f>-IFERROR('4. NPV'!WJR24/'4. NPV'!WJR$8,0)</f>
        <v>-0.0</v>
      </c>
      <c r="WJR55" s="5">
        <f>-IFERROR('4. NPV'!WJS24/'4. NPV'!WJS$8,0)</f>
        <v>-0.0</v>
      </c>
      <c r="WJS55" s="5">
        <f>-IFERROR('4. NPV'!WJT24/'4. NPV'!WJT$8,0)</f>
        <v>-0.0</v>
      </c>
      <c r="WJT55" s="5">
        <f>-IFERROR('4. NPV'!WJU24/'4. NPV'!WJU$8,0)</f>
        <v>-0.0</v>
      </c>
      <c r="WJU55" s="5">
        <f>-IFERROR('4. NPV'!WJV24/'4. NPV'!WJV$8,0)</f>
        <v>-0.0</v>
      </c>
      <c r="WJV55" s="5">
        <f>-IFERROR('4. NPV'!WJW24/'4. NPV'!WJW$8,0)</f>
        <v>-0.0</v>
      </c>
      <c r="WJW55" s="5">
        <f>-IFERROR('4. NPV'!WJX24/'4. NPV'!WJX$8,0)</f>
        <v>-0.0</v>
      </c>
      <c r="WJX55" s="5">
        <f>-IFERROR('4. NPV'!WJY24/'4. NPV'!WJY$8,0)</f>
        <v>-0.0</v>
      </c>
      <c r="WJY55" s="5">
        <f>-IFERROR('4. NPV'!WJZ24/'4. NPV'!WJZ$8,0)</f>
        <v>-0.0</v>
      </c>
      <c r="WJZ55" s="5">
        <f>-IFERROR('4. NPV'!WKA24/'4. NPV'!WKA$8,0)</f>
        <v>-0.0</v>
      </c>
      <c r="WKA55" s="5">
        <f>-IFERROR('4. NPV'!WKB24/'4. NPV'!WKB$8,0)</f>
        <v>-0.0</v>
      </c>
      <c r="WKB55" s="5">
        <f>-IFERROR('4. NPV'!WKC24/'4. NPV'!WKC$8,0)</f>
        <v>-0.0</v>
      </c>
      <c r="WKC55" s="5">
        <f>-IFERROR('4. NPV'!WKD24/'4. NPV'!WKD$8,0)</f>
        <v>-0.0</v>
      </c>
      <c r="WKD55" s="5">
        <f>-IFERROR('4. NPV'!WKE24/'4. NPV'!WKE$8,0)</f>
        <v>-0.0</v>
      </c>
      <c r="WKE55" s="5">
        <f>-IFERROR('4. NPV'!WKF24/'4. NPV'!WKF$8,0)</f>
        <v>-0.0</v>
      </c>
      <c r="WKF55" s="5">
        <f>-IFERROR('4. NPV'!WKG24/'4. NPV'!WKG$8,0)</f>
        <v>-0.0</v>
      </c>
      <c r="WKG55" s="5">
        <f>-IFERROR('4. NPV'!WKH24/'4. NPV'!WKH$8,0)</f>
        <v>-0.0</v>
      </c>
      <c r="WKH55" s="5">
        <f>-IFERROR('4. NPV'!WKI24/'4. NPV'!WKI$8,0)</f>
        <v>-0.0</v>
      </c>
      <c r="WKI55" s="5">
        <f>-IFERROR('4. NPV'!WKJ24/'4. NPV'!WKJ$8,0)</f>
        <v>-0.0</v>
      </c>
      <c r="WKJ55" s="5">
        <f>-IFERROR('4. NPV'!WKK24/'4. NPV'!WKK$8,0)</f>
        <v>-0.0</v>
      </c>
      <c r="WKK55" s="5">
        <f>-IFERROR('4. NPV'!WKL24/'4. NPV'!WKL$8,0)</f>
        <v>-0.0</v>
      </c>
      <c r="WKL55" s="5">
        <f>-IFERROR('4. NPV'!WKM24/'4. NPV'!WKM$8,0)</f>
        <v>-0.0</v>
      </c>
      <c r="WKM55" s="5">
        <f>-IFERROR('4. NPV'!WKN24/'4. NPV'!WKN$8,0)</f>
        <v>-0.0</v>
      </c>
      <c r="WKN55" s="5">
        <f>-IFERROR('4. NPV'!WKO24/'4. NPV'!WKO$8,0)</f>
        <v>-0.0</v>
      </c>
      <c r="WKO55" s="5">
        <f>-IFERROR('4. NPV'!WKP24/'4. NPV'!WKP$8,0)</f>
        <v>-0.0</v>
      </c>
      <c r="WKP55" s="5">
        <f>-IFERROR('4. NPV'!WKQ24/'4. NPV'!WKQ$8,0)</f>
        <v>-0.0</v>
      </c>
      <c r="WKQ55" s="5">
        <f>-IFERROR('4. NPV'!WKR24/'4. NPV'!WKR$8,0)</f>
        <v>-0.0</v>
      </c>
      <c r="WKR55" s="5">
        <f>-IFERROR('4. NPV'!WKS24/'4. NPV'!WKS$8,0)</f>
        <v>-0.0</v>
      </c>
      <c r="WKS55" s="5">
        <f>-IFERROR('4. NPV'!WKT24/'4. NPV'!WKT$8,0)</f>
        <v>-0.0</v>
      </c>
      <c r="WKT55" s="5">
        <f>-IFERROR('4. NPV'!WKU24/'4. NPV'!WKU$8,0)</f>
        <v>-0.0</v>
      </c>
      <c r="WKU55" s="5">
        <f>-IFERROR('4. NPV'!WKV24/'4. NPV'!WKV$8,0)</f>
        <v>-0.0</v>
      </c>
      <c r="WKV55" s="5">
        <f>-IFERROR('4. NPV'!WKW24/'4. NPV'!WKW$8,0)</f>
        <v>-0.0</v>
      </c>
      <c r="WKW55" s="5">
        <f>-IFERROR('4. NPV'!WKX24/'4. NPV'!WKX$8,0)</f>
        <v>-0.0</v>
      </c>
      <c r="WKX55" s="5">
        <f>-IFERROR('4. NPV'!WKY24/'4. NPV'!WKY$8,0)</f>
        <v>-0.0</v>
      </c>
      <c r="WKY55" s="5">
        <f>-IFERROR('4. NPV'!WKZ24/'4. NPV'!WKZ$8,0)</f>
        <v>-0.0</v>
      </c>
      <c r="WKZ55" s="5">
        <f>-IFERROR('4. NPV'!WLA24/'4. NPV'!WLA$8,0)</f>
        <v>-0.0</v>
      </c>
      <c r="WLA55" s="5">
        <f>-IFERROR('4. NPV'!WLB24/'4. NPV'!WLB$8,0)</f>
        <v>-0.0</v>
      </c>
      <c r="WLB55" s="5">
        <f>-IFERROR('4. NPV'!WLC24/'4. NPV'!WLC$8,0)</f>
        <v>-0.0</v>
      </c>
      <c r="WLC55" s="5">
        <f>-IFERROR('4. NPV'!WLD24/'4. NPV'!WLD$8,0)</f>
        <v>-0.0</v>
      </c>
      <c r="WLD55" s="5">
        <f>-IFERROR('4. NPV'!WLE24/'4. NPV'!WLE$8,0)</f>
        <v>-0.0</v>
      </c>
      <c r="WLE55" s="5">
        <f>-IFERROR('4. NPV'!WLF24/'4. NPV'!WLF$8,0)</f>
        <v>-0.0</v>
      </c>
      <c r="WLF55" s="5">
        <f>-IFERROR('4. NPV'!WLG24/'4. NPV'!WLG$8,0)</f>
        <v>-0.0</v>
      </c>
      <c r="WLG55" s="5">
        <f>-IFERROR('4. NPV'!WLH24/'4. NPV'!WLH$8,0)</f>
        <v>-0.0</v>
      </c>
      <c r="WLH55" s="5">
        <f>-IFERROR('4. NPV'!WLI24/'4. NPV'!WLI$8,0)</f>
        <v>-0.0</v>
      </c>
      <c r="WLI55" s="5">
        <f>-IFERROR('4. NPV'!WLJ24/'4. NPV'!WLJ$8,0)</f>
        <v>-0.0</v>
      </c>
      <c r="WLJ55" s="5">
        <f>-IFERROR('4. NPV'!WLK24/'4. NPV'!WLK$8,0)</f>
        <v>-0.0</v>
      </c>
      <c r="WLK55" s="5">
        <f>-IFERROR('4. NPV'!WLL24/'4. NPV'!WLL$8,0)</f>
        <v>-0.0</v>
      </c>
      <c r="WLL55" s="5">
        <f>-IFERROR('4. NPV'!WLM24/'4. NPV'!WLM$8,0)</f>
        <v>-0.0</v>
      </c>
      <c r="WLM55" s="5">
        <f>-IFERROR('4. NPV'!WLN24/'4. NPV'!WLN$8,0)</f>
        <v>-0.0</v>
      </c>
      <c r="WLN55" s="5">
        <f>-IFERROR('4. NPV'!WLO24/'4. NPV'!WLO$8,0)</f>
        <v>-0.0</v>
      </c>
      <c r="WLO55" s="5">
        <f>-IFERROR('4. NPV'!WLP24/'4. NPV'!WLP$8,0)</f>
        <v>-0.0</v>
      </c>
      <c r="WLP55" s="5">
        <f>-IFERROR('4. NPV'!WLQ24/'4. NPV'!WLQ$8,0)</f>
        <v>-0.0</v>
      </c>
      <c r="WLQ55" s="5">
        <f>-IFERROR('4. NPV'!WLR24/'4. NPV'!WLR$8,0)</f>
        <v>-0.0</v>
      </c>
      <c r="WLR55" s="5">
        <f>-IFERROR('4. NPV'!WLS24/'4. NPV'!WLS$8,0)</f>
        <v>-0.0</v>
      </c>
      <c r="WLS55" s="5">
        <f>-IFERROR('4. NPV'!WLT24/'4. NPV'!WLT$8,0)</f>
        <v>-0.0</v>
      </c>
      <c r="WLT55" s="5">
        <f>-IFERROR('4. NPV'!WLU24/'4. NPV'!WLU$8,0)</f>
        <v>-0.0</v>
      </c>
      <c r="WLU55" s="5">
        <f>-IFERROR('4. NPV'!WLV24/'4. NPV'!WLV$8,0)</f>
        <v>-0.0</v>
      </c>
      <c r="WLV55" s="5">
        <f>-IFERROR('4. NPV'!WLW24/'4. NPV'!WLW$8,0)</f>
        <v>-0.0</v>
      </c>
      <c r="WLW55" s="5">
        <f>-IFERROR('4. NPV'!WLX24/'4. NPV'!WLX$8,0)</f>
        <v>-0.0</v>
      </c>
      <c r="WLX55" s="5">
        <f>-IFERROR('4. NPV'!WLY24/'4. NPV'!WLY$8,0)</f>
        <v>-0.0</v>
      </c>
      <c r="WLY55" s="5">
        <f>-IFERROR('4. NPV'!WLZ24/'4. NPV'!WLZ$8,0)</f>
        <v>-0.0</v>
      </c>
      <c r="WLZ55" s="5">
        <f>-IFERROR('4. NPV'!WMA24/'4. NPV'!WMA$8,0)</f>
        <v>-0.0</v>
      </c>
      <c r="WMA55" s="5">
        <f>-IFERROR('4. NPV'!WMB24/'4. NPV'!WMB$8,0)</f>
        <v>-0.0</v>
      </c>
      <c r="WMB55" s="5">
        <f>-IFERROR('4. NPV'!WMC24/'4. NPV'!WMC$8,0)</f>
        <v>-0.0</v>
      </c>
      <c r="WMC55" s="5">
        <f>-IFERROR('4. NPV'!WMD24/'4. NPV'!WMD$8,0)</f>
        <v>-0.0</v>
      </c>
      <c r="WMD55" s="5">
        <f>-IFERROR('4. NPV'!WME24/'4. NPV'!WME$8,0)</f>
        <v>-0.0</v>
      </c>
      <c r="WME55" s="5">
        <f>-IFERROR('4. NPV'!WMF24/'4. NPV'!WMF$8,0)</f>
        <v>-0.0</v>
      </c>
      <c r="WMF55" s="5">
        <f>-IFERROR('4. NPV'!WMG24/'4. NPV'!WMG$8,0)</f>
        <v>-0.0</v>
      </c>
      <c r="WMG55" s="5">
        <f>-IFERROR('4. NPV'!WMH24/'4. NPV'!WMH$8,0)</f>
        <v>-0.0</v>
      </c>
      <c r="WMH55" s="5">
        <f>-IFERROR('4. NPV'!WMI24/'4. NPV'!WMI$8,0)</f>
        <v>-0.0</v>
      </c>
      <c r="WMI55" s="5">
        <f>-IFERROR('4. NPV'!WMJ24/'4. NPV'!WMJ$8,0)</f>
        <v>-0.0</v>
      </c>
      <c r="WMJ55" s="5">
        <f>-IFERROR('4. NPV'!WMK24/'4. NPV'!WMK$8,0)</f>
        <v>-0.0</v>
      </c>
      <c r="WMK55" s="5">
        <f>-IFERROR('4. NPV'!WML24/'4. NPV'!WML$8,0)</f>
        <v>-0.0</v>
      </c>
      <c r="WML55" s="5">
        <f>-IFERROR('4. NPV'!WMM24/'4. NPV'!WMM$8,0)</f>
        <v>-0.0</v>
      </c>
      <c r="WMM55" s="5">
        <f>-IFERROR('4. NPV'!WMN24/'4. NPV'!WMN$8,0)</f>
        <v>-0.0</v>
      </c>
      <c r="WMN55" s="5">
        <f>-IFERROR('4. NPV'!WMO24/'4. NPV'!WMO$8,0)</f>
        <v>-0.0</v>
      </c>
      <c r="WMO55" s="5">
        <f>-IFERROR('4. NPV'!WMP24/'4. NPV'!WMP$8,0)</f>
        <v>-0.0</v>
      </c>
      <c r="WMP55" s="5">
        <f>-IFERROR('4. NPV'!WMQ24/'4. NPV'!WMQ$8,0)</f>
        <v>-0.0</v>
      </c>
      <c r="WMQ55" s="5">
        <f>-IFERROR('4. NPV'!WMR24/'4. NPV'!WMR$8,0)</f>
        <v>-0.0</v>
      </c>
      <c r="WMR55" s="5">
        <f>-IFERROR('4. NPV'!WMS24/'4. NPV'!WMS$8,0)</f>
        <v>-0.0</v>
      </c>
      <c r="WMS55" s="5">
        <f>-IFERROR('4. NPV'!WMT24/'4. NPV'!WMT$8,0)</f>
        <v>-0.0</v>
      </c>
      <c r="WMT55" s="5">
        <f>-IFERROR('4. NPV'!WMU24/'4. NPV'!WMU$8,0)</f>
        <v>-0.0</v>
      </c>
      <c r="WMU55" s="5">
        <f>-IFERROR('4. NPV'!WMV24/'4. NPV'!WMV$8,0)</f>
        <v>-0.0</v>
      </c>
      <c r="WMV55" s="5">
        <f>-IFERROR('4. NPV'!WMW24/'4. NPV'!WMW$8,0)</f>
        <v>-0.0</v>
      </c>
      <c r="WMW55" s="5">
        <f>-IFERROR('4. NPV'!WMX24/'4. NPV'!WMX$8,0)</f>
        <v>-0.0</v>
      </c>
      <c r="WMX55" s="5">
        <f>-IFERROR('4. NPV'!WMY24/'4. NPV'!WMY$8,0)</f>
        <v>-0.0</v>
      </c>
      <c r="WMY55" s="5">
        <f>-IFERROR('4. NPV'!WMZ24/'4. NPV'!WMZ$8,0)</f>
        <v>-0.0</v>
      </c>
      <c r="WMZ55" s="5">
        <f>-IFERROR('4. NPV'!WNA24/'4. NPV'!WNA$8,0)</f>
        <v>-0.0</v>
      </c>
      <c r="WNA55" s="5">
        <f>-IFERROR('4. NPV'!WNB24/'4. NPV'!WNB$8,0)</f>
        <v>-0.0</v>
      </c>
      <c r="WNB55" s="5">
        <f>-IFERROR('4. NPV'!WNC24/'4. NPV'!WNC$8,0)</f>
        <v>-0.0</v>
      </c>
      <c r="WNC55" s="5">
        <f>-IFERROR('4. NPV'!WND24/'4. NPV'!WND$8,0)</f>
        <v>-0.0</v>
      </c>
      <c r="WND55" s="5">
        <f>-IFERROR('4. NPV'!WNE24/'4. NPV'!WNE$8,0)</f>
        <v>-0.0</v>
      </c>
      <c r="WNE55" s="5">
        <f>-IFERROR('4. NPV'!WNF24/'4. NPV'!WNF$8,0)</f>
        <v>-0.0</v>
      </c>
      <c r="WNF55" s="5">
        <f>-IFERROR('4. NPV'!WNG24/'4. NPV'!WNG$8,0)</f>
        <v>-0.0</v>
      </c>
      <c r="WNG55" s="5">
        <f>-IFERROR('4. NPV'!WNH24/'4. NPV'!WNH$8,0)</f>
        <v>-0.0</v>
      </c>
      <c r="WNH55" s="5">
        <f>-IFERROR('4. NPV'!WNI24/'4. NPV'!WNI$8,0)</f>
        <v>-0.0</v>
      </c>
      <c r="WNI55" s="5">
        <f>-IFERROR('4. NPV'!WNJ24/'4. NPV'!WNJ$8,0)</f>
        <v>-0.0</v>
      </c>
      <c r="WNJ55" s="5">
        <f>-IFERROR('4. NPV'!WNK24/'4. NPV'!WNK$8,0)</f>
        <v>-0.0</v>
      </c>
      <c r="WNK55" s="5">
        <f>-IFERROR('4. NPV'!WNL24/'4. NPV'!WNL$8,0)</f>
        <v>-0.0</v>
      </c>
      <c r="WNL55" s="5">
        <f>-IFERROR('4. NPV'!WNM24/'4. NPV'!WNM$8,0)</f>
        <v>-0.0</v>
      </c>
      <c r="WNM55" s="5">
        <f>-IFERROR('4. NPV'!WNN24/'4. NPV'!WNN$8,0)</f>
        <v>-0.0</v>
      </c>
      <c r="WNN55" s="5">
        <f>-IFERROR('4. NPV'!WNO24/'4. NPV'!WNO$8,0)</f>
        <v>-0.0</v>
      </c>
      <c r="WNO55" s="5">
        <f>-IFERROR('4. NPV'!WNP24/'4. NPV'!WNP$8,0)</f>
        <v>-0.0</v>
      </c>
      <c r="WNP55" s="5">
        <f>-IFERROR('4. NPV'!WNQ24/'4. NPV'!WNQ$8,0)</f>
        <v>-0.0</v>
      </c>
      <c r="WNQ55" s="5">
        <f>-IFERROR('4. NPV'!WNR24/'4. NPV'!WNR$8,0)</f>
        <v>-0.0</v>
      </c>
      <c r="WNR55" s="5">
        <f>-IFERROR('4. NPV'!WNS24/'4. NPV'!WNS$8,0)</f>
        <v>-0.0</v>
      </c>
      <c r="WNS55" s="5">
        <f>-IFERROR('4. NPV'!WNT24/'4. NPV'!WNT$8,0)</f>
        <v>-0.0</v>
      </c>
      <c r="WNT55" s="5">
        <f>-IFERROR('4. NPV'!WNU24/'4. NPV'!WNU$8,0)</f>
        <v>-0.0</v>
      </c>
      <c r="WNU55" s="5">
        <f>-IFERROR('4. NPV'!WNV24/'4. NPV'!WNV$8,0)</f>
        <v>-0.0</v>
      </c>
      <c r="WNV55" s="5">
        <f>-IFERROR('4. NPV'!WNW24/'4. NPV'!WNW$8,0)</f>
        <v>-0.0</v>
      </c>
      <c r="WNW55" s="5">
        <f>-IFERROR('4. NPV'!WNX24/'4. NPV'!WNX$8,0)</f>
        <v>-0.0</v>
      </c>
      <c r="WNX55" s="5">
        <f>-IFERROR('4. NPV'!WNY24/'4. NPV'!WNY$8,0)</f>
        <v>-0.0</v>
      </c>
      <c r="WNY55" s="5">
        <f>-IFERROR('4. NPV'!WNZ24/'4. NPV'!WNZ$8,0)</f>
        <v>-0.0</v>
      </c>
      <c r="WNZ55" s="5">
        <f>-IFERROR('4. NPV'!WOA24/'4. NPV'!WOA$8,0)</f>
        <v>-0.0</v>
      </c>
      <c r="WOA55" s="5">
        <f>-IFERROR('4. NPV'!WOB24/'4. NPV'!WOB$8,0)</f>
        <v>-0.0</v>
      </c>
      <c r="WOB55" s="5">
        <f>-IFERROR('4. NPV'!WOC24/'4. NPV'!WOC$8,0)</f>
        <v>-0.0</v>
      </c>
      <c r="WOC55" s="5">
        <f>-IFERROR('4. NPV'!WOD24/'4. NPV'!WOD$8,0)</f>
        <v>-0.0</v>
      </c>
      <c r="WOD55" s="5">
        <f>-IFERROR('4. NPV'!WOE24/'4. NPV'!WOE$8,0)</f>
        <v>-0.0</v>
      </c>
      <c r="WOE55" s="5">
        <f>-IFERROR('4. NPV'!WOF24/'4. NPV'!WOF$8,0)</f>
        <v>-0.0</v>
      </c>
      <c r="WOF55" s="5">
        <f>-IFERROR('4. NPV'!WOG24/'4. NPV'!WOG$8,0)</f>
        <v>-0.0</v>
      </c>
      <c r="WOG55" s="5">
        <f>-IFERROR('4. NPV'!WOH24/'4. NPV'!WOH$8,0)</f>
        <v>-0.0</v>
      </c>
      <c r="WOH55" s="5">
        <f>-IFERROR('4. NPV'!WOI24/'4. NPV'!WOI$8,0)</f>
        <v>-0.0</v>
      </c>
      <c r="WOI55" s="5">
        <f>-IFERROR('4. NPV'!WOJ24/'4. NPV'!WOJ$8,0)</f>
        <v>-0.0</v>
      </c>
      <c r="WOJ55" s="5">
        <f>-IFERROR('4. NPV'!WOK24/'4. NPV'!WOK$8,0)</f>
        <v>-0.0</v>
      </c>
      <c r="WOK55" s="5">
        <f>-IFERROR('4. NPV'!WOL24/'4. NPV'!WOL$8,0)</f>
        <v>-0.0</v>
      </c>
      <c r="WOL55" s="5">
        <f>-IFERROR('4. NPV'!WOM24/'4. NPV'!WOM$8,0)</f>
        <v>-0.0</v>
      </c>
      <c r="WOM55" s="5">
        <f>-IFERROR('4. NPV'!WON24/'4. NPV'!WON$8,0)</f>
        <v>-0.0</v>
      </c>
      <c r="WON55" s="5">
        <f>-IFERROR('4. NPV'!WOO24/'4. NPV'!WOO$8,0)</f>
        <v>-0.0</v>
      </c>
      <c r="WOO55" s="5">
        <f>-IFERROR('4. NPV'!WOP24/'4. NPV'!WOP$8,0)</f>
        <v>-0.0</v>
      </c>
      <c r="WOP55" s="5">
        <f>-IFERROR('4. NPV'!WOQ24/'4. NPV'!WOQ$8,0)</f>
        <v>-0.0</v>
      </c>
      <c r="WOQ55" s="5">
        <f>-IFERROR('4. NPV'!WOR24/'4. NPV'!WOR$8,0)</f>
        <v>-0.0</v>
      </c>
      <c r="WOR55" s="5">
        <f>-IFERROR('4. NPV'!WOS24/'4. NPV'!WOS$8,0)</f>
        <v>-0.0</v>
      </c>
      <c r="WOS55" s="5">
        <f>-IFERROR('4. NPV'!WOT24/'4. NPV'!WOT$8,0)</f>
        <v>-0.0</v>
      </c>
      <c r="WOT55" s="5">
        <f>-IFERROR('4. NPV'!WOU24/'4. NPV'!WOU$8,0)</f>
        <v>-0.0</v>
      </c>
      <c r="WOU55" s="5">
        <f>-IFERROR('4. NPV'!WOV24/'4. NPV'!WOV$8,0)</f>
        <v>-0.0</v>
      </c>
      <c r="WOV55" s="5">
        <f>-IFERROR('4. NPV'!WOW24/'4. NPV'!WOW$8,0)</f>
        <v>-0.0</v>
      </c>
      <c r="WOW55" s="5">
        <f>-IFERROR('4. NPV'!WOX24/'4. NPV'!WOX$8,0)</f>
        <v>-0.0</v>
      </c>
      <c r="WOX55" s="5">
        <f>-IFERROR('4. NPV'!WOY24/'4. NPV'!WOY$8,0)</f>
        <v>-0.0</v>
      </c>
      <c r="WOY55" s="5">
        <f>-IFERROR('4. NPV'!WOZ24/'4. NPV'!WOZ$8,0)</f>
        <v>-0.0</v>
      </c>
      <c r="WOZ55" s="5">
        <f>-IFERROR('4. NPV'!WPA24/'4. NPV'!WPA$8,0)</f>
        <v>-0.0</v>
      </c>
      <c r="WPA55" s="5">
        <f>-IFERROR('4. NPV'!WPB24/'4. NPV'!WPB$8,0)</f>
        <v>-0.0</v>
      </c>
      <c r="WPB55" s="5">
        <f>-IFERROR('4. NPV'!WPC24/'4. NPV'!WPC$8,0)</f>
        <v>-0.0</v>
      </c>
      <c r="WPC55" s="5">
        <f>-IFERROR('4. NPV'!WPD24/'4. NPV'!WPD$8,0)</f>
        <v>-0.0</v>
      </c>
      <c r="WPD55" s="5">
        <f>-IFERROR('4. NPV'!WPE24/'4. NPV'!WPE$8,0)</f>
        <v>-0.0</v>
      </c>
      <c r="WPE55" s="5">
        <f>-IFERROR('4. NPV'!WPF24/'4. NPV'!WPF$8,0)</f>
        <v>-0.0</v>
      </c>
      <c r="WPF55" s="5">
        <f>-IFERROR('4. NPV'!WPG24/'4. NPV'!WPG$8,0)</f>
        <v>-0.0</v>
      </c>
      <c r="WPG55" s="5">
        <f>-IFERROR('4. NPV'!WPH24/'4. NPV'!WPH$8,0)</f>
        <v>-0.0</v>
      </c>
      <c r="WPH55" s="5">
        <f>-IFERROR('4. NPV'!WPI24/'4. NPV'!WPI$8,0)</f>
        <v>-0.0</v>
      </c>
      <c r="WPI55" s="5">
        <f>-IFERROR('4. NPV'!WPJ24/'4. NPV'!WPJ$8,0)</f>
        <v>-0.0</v>
      </c>
      <c r="WPJ55" s="5">
        <f>-IFERROR('4. NPV'!WPK24/'4. NPV'!WPK$8,0)</f>
        <v>-0.0</v>
      </c>
      <c r="WPK55" s="5">
        <f>-IFERROR('4. NPV'!WPL24/'4. NPV'!WPL$8,0)</f>
        <v>-0.0</v>
      </c>
      <c r="WPL55" s="5">
        <f>-IFERROR('4. NPV'!WPM24/'4. NPV'!WPM$8,0)</f>
        <v>-0.0</v>
      </c>
      <c r="WPM55" s="5">
        <f>-IFERROR('4. NPV'!WPN24/'4. NPV'!WPN$8,0)</f>
        <v>-0.0</v>
      </c>
      <c r="WPN55" s="5">
        <f>-IFERROR('4. NPV'!WPO24/'4. NPV'!WPO$8,0)</f>
        <v>-0.0</v>
      </c>
      <c r="WPO55" s="5">
        <f>-IFERROR('4. NPV'!WPP24/'4. NPV'!WPP$8,0)</f>
        <v>-0.0</v>
      </c>
      <c r="WPP55" s="5">
        <f>-IFERROR('4. NPV'!WPQ24/'4. NPV'!WPQ$8,0)</f>
        <v>-0.0</v>
      </c>
      <c r="WPQ55" s="5">
        <f>-IFERROR('4. NPV'!WPR24/'4. NPV'!WPR$8,0)</f>
        <v>-0.0</v>
      </c>
      <c r="WPR55" s="5">
        <f>-IFERROR('4. NPV'!WPS24/'4. NPV'!WPS$8,0)</f>
        <v>-0.0</v>
      </c>
      <c r="WPS55" s="5">
        <f>-IFERROR('4. NPV'!WPT24/'4. NPV'!WPT$8,0)</f>
        <v>-0.0</v>
      </c>
      <c r="WPT55" s="5">
        <f>-IFERROR('4. NPV'!WPU24/'4. NPV'!WPU$8,0)</f>
        <v>-0.0</v>
      </c>
      <c r="WPU55" s="5">
        <f>-IFERROR('4. NPV'!WPV24/'4. NPV'!WPV$8,0)</f>
        <v>-0.0</v>
      </c>
      <c r="WPV55" s="5">
        <f>-IFERROR('4. NPV'!WPW24/'4. NPV'!WPW$8,0)</f>
        <v>-0.0</v>
      </c>
      <c r="WPW55" s="5">
        <f>-IFERROR('4. NPV'!WPX24/'4. NPV'!WPX$8,0)</f>
        <v>-0.0</v>
      </c>
      <c r="WPX55" s="5">
        <f>-IFERROR('4. NPV'!WPY24/'4. NPV'!WPY$8,0)</f>
        <v>-0.0</v>
      </c>
      <c r="WPY55" s="5">
        <f>-IFERROR('4. NPV'!WPZ24/'4. NPV'!WPZ$8,0)</f>
        <v>-0.0</v>
      </c>
      <c r="WPZ55" s="5">
        <f>-IFERROR('4. NPV'!WQA24/'4. NPV'!WQA$8,0)</f>
        <v>-0.0</v>
      </c>
      <c r="WQA55" s="5">
        <f>-IFERROR('4. NPV'!WQB24/'4. NPV'!WQB$8,0)</f>
        <v>-0.0</v>
      </c>
      <c r="WQB55" s="5">
        <f>-IFERROR('4. NPV'!WQC24/'4. NPV'!WQC$8,0)</f>
        <v>-0.0</v>
      </c>
      <c r="WQC55" s="5">
        <f>-IFERROR('4. NPV'!WQD24/'4. NPV'!WQD$8,0)</f>
        <v>-0.0</v>
      </c>
      <c r="WQD55" s="5">
        <f>-IFERROR('4. NPV'!WQE24/'4. NPV'!WQE$8,0)</f>
        <v>-0.0</v>
      </c>
      <c r="WQE55" s="5">
        <f>-IFERROR('4. NPV'!WQF24/'4. NPV'!WQF$8,0)</f>
        <v>-0.0</v>
      </c>
      <c r="WQF55" s="5">
        <f>-IFERROR('4. NPV'!WQG24/'4. NPV'!WQG$8,0)</f>
        <v>-0.0</v>
      </c>
      <c r="WQG55" s="5">
        <f>-IFERROR('4. NPV'!WQH24/'4. NPV'!WQH$8,0)</f>
        <v>-0.0</v>
      </c>
      <c r="WQH55" s="5">
        <f>-IFERROR('4. NPV'!WQI24/'4. NPV'!WQI$8,0)</f>
        <v>-0.0</v>
      </c>
      <c r="WQI55" s="5">
        <f>-IFERROR('4. NPV'!WQJ24/'4. NPV'!WQJ$8,0)</f>
        <v>-0.0</v>
      </c>
      <c r="WQJ55" s="5">
        <f>-IFERROR('4. NPV'!WQK24/'4. NPV'!WQK$8,0)</f>
        <v>-0.0</v>
      </c>
      <c r="WQK55" s="5">
        <f>-IFERROR('4. NPV'!WQL24/'4. NPV'!WQL$8,0)</f>
        <v>-0.0</v>
      </c>
      <c r="WQL55" s="5">
        <f>-IFERROR('4. NPV'!WQM24/'4. NPV'!WQM$8,0)</f>
        <v>-0.0</v>
      </c>
      <c r="WQM55" s="5">
        <f>-IFERROR('4. NPV'!WQN24/'4. NPV'!WQN$8,0)</f>
        <v>-0.0</v>
      </c>
      <c r="WQN55" s="5">
        <f>-IFERROR('4. NPV'!WQO24/'4. NPV'!WQO$8,0)</f>
        <v>-0.0</v>
      </c>
      <c r="WQO55" s="5">
        <f>-IFERROR('4. NPV'!WQP24/'4. NPV'!WQP$8,0)</f>
        <v>-0.0</v>
      </c>
      <c r="WQP55" s="5">
        <f>-IFERROR('4. NPV'!WQQ24/'4. NPV'!WQQ$8,0)</f>
        <v>-0.0</v>
      </c>
      <c r="WQQ55" s="5">
        <f>-IFERROR('4. NPV'!WQR24/'4. NPV'!WQR$8,0)</f>
        <v>-0.0</v>
      </c>
      <c r="WQR55" s="5">
        <f>-IFERROR('4. NPV'!WQS24/'4. NPV'!WQS$8,0)</f>
        <v>-0.0</v>
      </c>
      <c r="WQS55" s="5">
        <f>-IFERROR('4. NPV'!WQT24/'4. NPV'!WQT$8,0)</f>
        <v>-0.0</v>
      </c>
      <c r="WQT55" s="5">
        <f>-IFERROR('4. NPV'!WQU24/'4. NPV'!WQU$8,0)</f>
        <v>-0.0</v>
      </c>
      <c r="WQU55" s="5">
        <f>-IFERROR('4. NPV'!WQV24/'4. NPV'!WQV$8,0)</f>
        <v>-0.0</v>
      </c>
      <c r="WQV55" s="5">
        <f>-IFERROR('4. NPV'!WQW24/'4. NPV'!WQW$8,0)</f>
        <v>-0.0</v>
      </c>
      <c r="WQW55" s="5">
        <f>-IFERROR('4. NPV'!WQX24/'4. NPV'!WQX$8,0)</f>
        <v>-0.0</v>
      </c>
      <c r="WQX55" s="5">
        <f>-IFERROR('4. NPV'!WQY24/'4. NPV'!WQY$8,0)</f>
        <v>-0.0</v>
      </c>
      <c r="WQY55" s="5">
        <f>-IFERROR('4. NPV'!WQZ24/'4. NPV'!WQZ$8,0)</f>
        <v>-0.0</v>
      </c>
      <c r="WQZ55" s="5">
        <f>-IFERROR('4. NPV'!WRA24/'4. NPV'!WRA$8,0)</f>
        <v>-0.0</v>
      </c>
      <c r="WRA55" s="5">
        <f>-IFERROR('4. NPV'!WRB24/'4. NPV'!WRB$8,0)</f>
        <v>-0.0</v>
      </c>
      <c r="WRB55" s="5">
        <f>-IFERROR('4. NPV'!WRC24/'4. NPV'!WRC$8,0)</f>
        <v>-0.0</v>
      </c>
      <c r="WRC55" s="5">
        <f>-IFERROR('4. NPV'!WRD24/'4. NPV'!WRD$8,0)</f>
        <v>-0.0</v>
      </c>
      <c r="WRD55" s="5">
        <f>-IFERROR('4. NPV'!WRE24/'4. NPV'!WRE$8,0)</f>
        <v>-0.0</v>
      </c>
      <c r="WRE55" s="5">
        <f>-IFERROR('4. NPV'!WRF24/'4. NPV'!WRF$8,0)</f>
        <v>-0.0</v>
      </c>
      <c r="WRF55" s="5">
        <f>-IFERROR('4. NPV'!WRG24/'4. NPV'!WRG$8,0)</f>
        <v>-0.0</v>
      </c>
      <c r="WRG55" s="5">
        <f>-IFERROR('4. NPV'!WRH24/'4. NPV'!WRH$8,0)</f>
        <v>-0.0</v>
      </c>
      <c r="WRH55" s="5">
        <f>-IFERROR('4. NPV'!WRI24/'4. NPV'!WRI$8,0)</f>
        <v>-0.0</v>
      </c>
      <c r="WRI55" s="5">
        <f>-IFERROR('4. NPV'!WRJ24/'4. NPV'!WRJ$8,0)</f>
        <v>-0.0</v>
      </c>
      <c r="WRJ55" s="5">
        <f>-IFERROR('4. NPV'!WRK24/'4. NPV'!WRK$8,0)</f>
        <v>-0.0</v>
      </c>
      <c r="WRK55" s="5">
        <f>-IFERROR('4. NPV'!WRL24/'4. NPV'!WRL$8,0)</f>
        <v>-0.0</v>
      </c>
      <c r="WRL55" s="5">
        <f>-IFERROR('4. NPV'!WRM24/'4. NPV'!WRM$8,0)</f>
        <v>-0.0</v>
      </c>
      <c r="WRM55" s="5">
        <f>-IFERROR('4. NPV'!WRN24/'4. NPV'!WRN$8,0)</f>
        <v>-0.0</v>
      </c>
      <c r="WRN55" s="5">
        <f>-IFERROR('4. NPV'!WRO24/'4. NPV'!WRO$8,0)</f>
        <v>-0.0</v>
      </c>
      <c r="WRO55" s="5">
        <f>-IFERROR('4. NPV'!WRP24/'4. NPV'!WRP$8,0)</f>
        <v>-0.0</v>
      </c>
      <c r="WRP55" s="5">
        <f>-IFERROR('4. NPV'!WRQ24/'4. NPV'!WRQ$8,0)</f>
        <v>-0.0</v>
      </c>
      <c r="WRQ55" s="5">
        <f>-IFERROR('4. NPV'!WRR24/'4. NPV'!WRR$8,0)</f>
        <v>-0.0</v>
      </c>
      <c r="WRR55" s="5">
        <f>-IFERROR('4. NPV'!WRS24/'4. NPV'!WRS$8,0)</f>
        <v>-0.0</v>
      </c>
      <c r="WRS55" s="5">
        <f>-IFERROR('4. NPV'!WRT24/'4. NPV'!WRT$8,0)</f>
        <v>-0.0</v>
      </c>
      <c r="WRT55" s="5">
        <f>-IFERROR('4. NPV'!WRU24/'4. NPV'!WRU$8,0)</f>
        <v>-0.0</v>
      </c>
      <c r="WRU55" s="5">
        <f>-IFERROR('4. NPV'!WRV24/'4. NPV'!WRV$8,0)</f>
        <v>-0.0</v>
      </c>
      <c r="WRV55" s="5">
        <f>-IFERROR('4. NPV'!WRW24/'4. NPV'!WRW$8,0)</f>
        <v>-0.0</v>
      </c>
      <c r="WRW55" s="5">
        <f>-IFERROR('4. NPV'!WRX24/'4. NPV'!WRX$8,0)</f>
        <v>-0.0</v>
      </c>
      <c r="WRX55" s="5">
        <f>-IFERROR('4. NPV'!WRY24/'4. NPV'!WRY$8,0)</f>
        <v>-0.0</v>
      </c>
      <c r="WRY55" s="5">
        <f>-IFERROR('4. NPV'!WRZ24/'4. NPV'!WRZ$8,0)</f>
        <v>-0.0</v>
      </c>
      <c r="WRZ55" s="5">
        <f>-IFERROR('4. NPV'!WSA24/'4. NPV'!WSA$8,0)</f>
        <v>-0.0</v>
      </c>
      <c r="WSA55" s="5">
        <f>-IFERROR('4. NPV'!WSB24/'4. NPV'!WSB$8,0)</f>
        <v>-0.0</v>
      </c>
      <c r="WSB55" s="5">
        <f>-IFERROR('4. NPV'!WSC24/'4. NPV'!WSC$8,0)</f>
        <v>-0.0</v>
      </c>
      <c r="WSC55" s="5">
        <f>-IFERROR('4. NPV'!WSD24/'4. NPV'!WSD$8,0)</f>
        <v>-0.0</v>
      </c>
      <c r="WSD55" s="5">
        <f>-IFERROR('4. NPV'!WSE24/'4. NPV'!WSE$8,0)</f>
        <v>-0.0</v>
      </c>
      <c r="WSE55" s="5">
        <f>-IFERROR('4. NPV'!WSF24/'4. NPV'!WSF$8,0)</f>
        <v>-0.0</v>
      </c>
      <c r="WSF55" s="5">
        <f>-IFERROR('4. NPV'!WSG24/'4. NPV'!WSG$8,0)</f>
        <v>-0.0</v>
      </c>
      <c r="WSG55" s="5">
        <f>-IFERROR('4. NPV'!WSH24/'4. NPV'!WSH$8,0)</f>
        <v>-0.0</v>
      </c>
      <c r="WSH55" s="5">
        <f>-IFERROR('4. NPV'!WSI24/'4. NPV'!WSI$8,0)</f>
        <v>-0.0</v>
      </c>
      <c r="WSI55" s="5">
        <f>-IFERROR('4. NPV'!WSJ24/'4. NPV'!WSJ$8,0)</f>
        <v>-0.0</v>
      </c>
      <c r="WSJ55" s="5">
        <f>-IFERROR('4. NPV'!WSK24/'4. NPV'!WSK$8,0)</f>
        <v>-0.0</v>
      </c>
      <c r="WSK55" s="5">
        <f>-IFERROR('4. NPV'!WSL24/'4. NPV'!WSL$8,0)</f>
        <v>-0.0</v>
      </c>
      <c r="WSL55" s="5">
        <f>-IFERROR('4. NPV'!WSM24/'4. NPV'!WSM$8,0)</f>
        <v>-0.0</v>
      </c>
      <c r="WSM55" s="5">
        <f>-IFERROR('4. NPV'!WSN24/'4. NPV'!WSN$8,0)</f>
        <v>-0.0</v>
      </c>
      <c r="WSN55" s="5">
        <f>-IFERROR('4. NPV'!WSO24/'4. NPV'!WSO$8,0)</f>
        <v>-0.0</v>
      </c>
      <c r="WSO55" s="5">
        <f>-IFERROR('4. NPV'!WSP24/'4. NPV'!WSP$8,0)</f>
        <v>-0.0</v>
      </c>
      <c r="WSP55" s="5">
        <f>-IFERROR('4. NPV'!WSQ24/'4. NPV'!WSQ$8,0)</f>
        <v>-0.0</v>
      </c>
      <c r="WSQ55" s="5">
        <f>-IFERROR('4. NPV'!WSR24/'4. NPV'!WSR$8,0)</f>
        <v>-0.0</v>
      </c>
      <c r="WSR55" s="5">
        <f>-IFERROR('4. NPV'!WSS24/'4. NPV'!WSS$8,0)</f>
        <v>-0.0</v>
      </c>
      <c r="WSS55" s="5">
        <f>-IFERROR('4. NPV'!WST24/'4. NPV'!WST$8,0)</f>
        <v>-0.0</v>
      </c>
      <c r="WST55" s="5">
        <f>-IFERROR('4. NPV'!WSU24/'4. NPV'!WSU$8,0)</f>
        <v>-0.0</v>
      </c>
      <c r="WSU55" s="5">
        <f>-IFERROR('4. NPV'!WSV24/'4. NPV'!WSV$8,0)</f>
        <v>-0.0</v>
      </c>
      <c r="WSV55" s="5">
        <f>-IFERROR('4. NPV'!WSW24/'4. NPV'!WSW$8,0)</f>
        <v>-0.0</v>
      </c>
      <c r="WSW55" s="5">
        <f>-IFERROR('4. NPV'!WSX24/'4. NPV'!WSX$8,0)</f>
        <v>-0.0</v>
      </c>
      <c r="WSX55" s="5">
        <f>-IFERROR('4. NPV'!WSY24/'4. NPV'!WSY$8,0)</f>
        <v>-0.0</v>
      </c>
      <c r="WSY55" s="5">
        <f>-IFERROR('4. NPV'!WSZ24/'4. NPV'!WSZ$8,0)</f>
        <v>-0.0</v>
      </c>
      <c r="WSZ55" s="5">
        <f>-IFERROR('4. NPV'!WTA24/'4. NPV'!WTA$8,0)</f>
        <v>-0.0</v>
      </c>
      <c r="WTA55" s="5">
        <f>-IFERROR('4. NPV'!WTB24/'4. NPV'!WTB$8,0)</f>
        <v>-0.0</v>
      </c>
      <c r="WTB55" s="5">
        <f>-IFERROR('4. NPV'!WTC24/'4. NPV'!WTC$8,0)</f>
        <v>-0.0</v>
      </c>
      <c r="WTC55" s="5">
        <f>-IFERROR('4. NPV'!WTD24/'4. NPV'!WTD$8,0)</f>
        <v>-0.0</v>
      </c>
      <c r="WTD55" s="5">
        <f>-IFERROR('4. NPV'!WTE24/'4. NPV'!WTE$8,0)</f>
        <v>-0.0</v>
      </c>
      <c r="WTE55" s="5">
        <f>-IFERROR('4. NPV'!WTF24/'4. NPV'!WTF$8,0)</f>
        <v>-0.0</v>
      </c>
      <c r="WTF55" s="5">
        <f>-IFERROR('4. NPV'!WTG24/'4. NPV'!WTG$8,0)</f>
        <v>-0.0</v>
      </c>
      <c r="WTG55" s="5">
        <f>-IFERROR('4. NPV'!WTH24/'4. NPV'!WTH$8,0)</f>
        <v>-0.0</v>
      </c>
      <c r="WTH55" s="5">
        <f>-IFERROR('4. NPV'!WTI24/'4. NPV'!WTI$8,0)</f>
        <v>-0.0</v>
      </c>
      <c r="WTI55" s="5">
        <f>-IFERROR('4. NPV'!WTJ24/'4. NPV'!WTJ$8,0)</f>
        <v>-0.0</v>
      </c>
      <c r="WTJ55" s="5">
        <f>-IFERROR('4. NPV'!WTK24/'4. NPV'!WTK$8,0)</f>
        <v>-0.0</v>
      </c>
      <c r="WTK55" s="5">
        <f>-IFERROR('4. NPV'!WTL24/'4. NPV'!WTL$8,0)</f>
        <v>-0.0</v>
      </c>
      <c r="WTL55" s="5">
        <f>-IFERROR('4. NPV'!WTM24/'4. NPV'!WTM$8,0)</f>
        <v>-0.0</v>
      </c>
      <c r="WTM55" s="5">
        <f>-IFERROR('4. NPV'!WTN24/'4. NPV'!WTN$8,0)</f>
        <v>-0.0</v>
      </c>
      <c r="WTN55" s="5">
        <f>-IFERROR('4. NPV'!WTO24/'4. NPV'!WTO$8,0)</f>
        <v>-0.0</v>
      </c>
      <c r="WTO55" s="5">
        <f>-IFERROR('4. NPV'!WTP24/'4. NPV'!WTP$8,0)</f>
        <v>-0.0</v>
      </c>
      <c r="WTP55" s="5">
        <f>-IFERROR('4. NPV'!WTQ24/'4. NPV'!WTQ$8,0)</f>
        <v>-0.0</v>
      </c>
      <c r="WTQ55" s="5">
        <f>-IFERROR('4. NPV'!WTR24/'4. NPV'!WTR$8,0)</f>
        <v>-0.0</v>
      </c>
      <c r="WTR55" s="5">
        <f>-IFERROR('4. NPV'!WTS24/'4. NPV'!WTS$8,0)</f>
        <v>-0.0</v>
      </c>
      <c r="WTS55" s="5">
        <f>-IFERROR('4. NPV'!WTT24/'4. NPV'!WTT$8,0)</f>
        <v>-0.0</v>
      </c>
      <c r="WTT55" s="5">
        <f>-IFERROR('4. NPV'!WTU24/'4. NPV'!WTU$8,0)</f>
        <v>-0.0</v>
      </c>
      <c r="WTU55" s="5">
        <f>-IFERROR('4. NPV'!WTV24/'4. NPV'!WTV$8,0)</f>
        <v>-0.0</v>
      </c>
      <c r="WTV55" s="5">
        <f>-IFERROR('4. NPV'!WTW24/'4. NPV'!WTW$8,0)</f>
        <v>-0.0</v>
      </c>
      <c r="WTW55" s="5">
        <f>-IFERROR('4. NPV'!WTX24/'4. NPV'!WTX$8,0)</f>
        <v>-0.0</v>
      </c>
      <c r="WTX55" s="5">
        <f>-IFERROR('4. NPV'!WTY24/'4. NPV'!WTY$8,0)</f>
        <v>-0.0</v>
      </c>
      <c r="WTY55" s="5">
        <f>-IFERROR('4. NPV'!WTZ24/'4. NPV'!WTZ$8,0)</f>
        <v>-0.0</v>
      </c>
      <c r="WTZ55" s="5">
        <f>-IFERROR('4. NPV'!WUA24/'4. NPV'!WUA$8,0)</f>
        <v>-0.0</v>
      </c>
      <c r="WUA55" s="5">
        <f>-IFERROR('4. NPV'!WUB24/'4. NPV'!WUB$8,0)</f>
        <v>-0.0</v>
      </c>
      <c r="WUB55" s="5">
        <f>-IFERROR('4. NPV'!WUC24/'4. NPV'!WUC$8,0)</f>
        <v>-0.0</v>
      </c>
      <c r="WUC55" s="5">
        <f>-IFERROR('4. NPV'!WUD24/'4. NPV'!WUD$8,0)</f>
        <v>-0.0</v>
      </c>
      <c r="WUD55" s="5">
        <f>-IFERROR('4. NPV'!WUE24/'4. NPV'!WUE$8,0)</f>
        <v>-0.0</v>
      </c>
      <c r="WUE55" s="5">
        <f>-IFERROR('4. NPV'!WUF24/'4. NPV'!WUF$8,0)</f>
        <v>-0.0</v>
      </c>
      <c r="WUF55" s="5">
        <f>-IFERROR('4. NPV'!WUG24/'4. NPV'!WUG$8,0)</f>
        <v>-0.0</v>
      </c>
      <c r="WUG55" s="5">
        <f>-IFERROR('4. NPV'!WUH24/'4. NPV'!WUH$8,0)</f>
        <v>-0.0</v>
      </c>
      <c r="WUH55" s="5">
        <f>-IFERROR('4. NPV'!WUI24/'4. NPV'!WUI$8,0)</f>
        <v>-0.0</v>
      </c>
      <c r="WUI55" s="5">
        <f>-IFERROR('4. NPV'!WUJ24/'4. NPV'!WUJ$8,0)</f>
        <v>-0.0</v>
      </c>
      <c r="WUJ55" s="5">
        <f>-IFERROR('4. NPV'!WUK24/'4. NPV'!WUK$8,0)</f>
        <v>-0.0</v>
      </c>
      <c r="WUK55" s="5">
        <f>-IFERROR('4. NPV'!WUL24/'4. NPV'!WUL$8,0)</f>
        <v>-0.0</v>
      </c>
      <c r="WUL55" s="5">
        <f>-IFERROR('4. NPV'!WUM24/'4. NPV'!WUM$8,0)</f>
        <v>-0.0</v>
      </c>
      <c r="WUM55" s="5">
        <f>-IFERROR('4. NPV'!WUN24/'4. NPV'!WUN$8,0)</f>
        <v>-0.0</v>
      </c>
      <c r="WUN55" s="5">
        <f>-IFERROR('4. NPV'!WUO24/'4. NPV'!WUO$8,0)</f>
        <v>-0.0</v>
      </c>
      <c r="WUO55" s="5">
        <f>-IFERROR('4. NPV'!WUP24/'4. NPV'!WUP$8,0)</f>
        <v>-0.0</v>
      </c>
      <c r="WUP55" s="5">
        <f>-IFERROR('4. NPV'!WUQ24/'4. NPV'!WUQ$8,0)</f>
        <v>-0.0</v>
      </c>
      <c r="WUQ55" s="5">
        <f>-IFERROR('4. NPV'!WUR24/'4. NPV'!WUR$8,0)</f>
        <v>-0.0</v>
      </c>
      <c r="WUR55" s="5">
        <f>-IFERROR('4. NPV'!WUS24/'4. NPV'!WUS$8,0)</f>
        <v>-0.0</v>
      </c>
      <c r="WUS55" s="5">
        <f>-IFERROR('4. NPV'!WUT24/'4. NPV'!WUT$8,0)</f>
        <v>-0.0</v>
      </c>
      <c r="WUT55" s="5">
        <f>-IFERROR('4. NPV'!WUU24/'4. NPV'!WUU$8,0)</f>
        <v>-0.0</v>
      </c>
      <c r="WUU55" s="5">
        <f>-IFERROR('4. NPV'!WUV24/'4. NPV'!WUV$8,0)</f>
        <v>-0.0</v>
      </c>
      <c r="WUV55" s="5">
        <f>-IFERROR('4. NPV'!WUW24/'4. NPV'!WUW$8,0)</f>
        <v>-0.0</v>
      </c>
      <c r="WUW55" s="5">
        <f>-IFERROR('4. NPV'!WUX24/'4. NPV'!WUX$8,0)</f>
        <v>-0.0</v>
      </c>
      <c r="WUX55" s="5">
        <f>-IFERROR('4. NPV'!WUY24/'4. NPV'!WUY$8,0)</f>
        <v>-0.0</v>
      </c>
      <c r="WUY55" s="5">
        <f>-IFERROR('4. NPV'!WUZ24/'4. NPV'!WUZ$8,0)</f>
        <v>-0.0</v>
      </c>
      <c r="WUZ55" s="5">
        <f>-IFERROR('4. NPV'!WVA24/'4. NPV'!WVA$8,0)</f>
        <v>-0.0</v>
      </c>
      <c r="WVA55" s="5">
        <f>-IFERROR('4. NPV'!WVB24/'4. NPV'!WVB$8,0)</f>
        <v>-0.0</v>
      </c>
      <c r="WVB55" s="5">
        <f>-IFERROR('4. NPV'!WVC24/'4. NPV'!WVC$8,0)</f>
        <v>-0.0</v>
      </c>
      <c r="WVC55" s="5">
        <f>-IFERROR('4. NPV'!WVD24/'4. NPV'!WVD$8,0)</f>
        <v>-0.0</v>
      </c>
      <c r="WVD55" s="5">
        <f>-IFERROR('4. NPV'!WVE24/'4. NPV'!WVE$8,0)</f>
        <v>-0.0</v>
      </c>
      <c r="WVE55" s="5">
        <f>-IFERROR('4. NPV'!WVF24/'4. NPV'!WVF$8,0)</f>
        <v>-0.0</v>
      </c>
      <c r="WVF55" s="5">
        <f>-IFERROR('4. NPV'!WVG24/'4. NPV'!WVG$8,0)</f>
        <v>-0.0</v>
      </c>
      <c r="WVG55" s="5">
        <f>-IFERROR('4. NPV'!WVH24/'4. NPV'!WVH$8,0)</f>
        <v>-0.0</v>
      </c>
      <c r="WVH55" s="5">
        <f>-IFERROR('4. NPV'!WVI24/'4. NPV'!WVI$8,0)</f>
        <v>-0.0</v>
      </c>
      <c r="WVI55" s="5">
        <f>-IFERROR('4. NPV'!WVJ24/'4. NPV'!WVJ$8,0)</f>
        <v>-0.0</v>
      </c>
      <c r="WVJ55" s="5">
        <f>-IFERROR('4. NPV'!WVK24/'4. NPV'!WVK$8,0)</f>
        <v>-0.0</v>
      </c>
      <c r="WVK55" s="5">
        <f>-IFERROR('4. NPV'!WVL24/'4. NPV'!WVL$8,0)</f>
        <v>-0.0</v>
      </c>
      <c r="WVL55" s="5">
        <f>-IFERROR('4. NPV'!WVM24/'4. NPV'!WVM$8,0)</f>
        <v>-0.0</v>
      </c>
      <c r="WVM55" s="5">
        <f>-IFERROR('4. NPV'!WVN24/'4. NPV'!WVN$8,0)</f>
        <v>-0.0</v>
      </c>
      <c r="WVN55" s="5">
        <f>-IFERROR('4. NPV'!WVO24/'4. NPV'!WVO$8,0)</f>
        <v>-0.0</v>
      </c>
      <c r="WVO55" s="5">
        <f>-IFERROR('4. NPV'!WVP24/'4. NPV'!WVP$8,0)</f>
        <v>-0.0</v>
      </c>
      <c r="WVP55" s="5">
        <f>-IFERROR('4. NPV'!WVQ24/'4. NPV'!WVQ$8,0)</f>
        <v>-0.0</v>
      </c>
      <c r="WVQ55" s="5">
        <f>-IFERROR('4. NPV'!WVR24/'4. NPV'!WVR$8,0)</f>
        <v>-0.0</v>
      </c>
      <c r="WVR55" s="5">
        <f>-IFERROR('4. NPV'!WVS24/'4. NPV'!WVS$8,0)</f>
        <v>-0.0</v>
      </c>
      <c r="WVS55" s="5">
        <f>-IFERROR('4. NPV'!WVT24/'4. NPV'!WVT$8,0)</f>
        <v>-0.0</v>
      </c>
      <c r="WVT55" s="5">
        <f>-IFERROR('4. NPV'!WVU24/'4. NPV'!WVU$8,0)</f>
        <v>-0.0</v>
      </c>
      <c r="WVU55" s="5">
        <f>-IFERROR('4. NPV'!WVV24/'4. NPV'!WVV$8,0)</f>
        <v>-0.0</v>
      </c>
      <c r="WVV55" s="5">
        <f>-IFERROR('4. NPV'!WVW24/'4. NPV'!WVW$8,0)</f>
        <v>-0.0</v>
      </c>
      <c r="WVW55" s="5">
        <f>-IFERROR('4. NPV'!WVX24/'4. NPV'!WVX$8,0)</f>
        <v>-0.0</v>
      </c>
      <c r="WVX55" s="5">
        <f>-IFERROR('4. NPV'!WVY24/'4. NPV'!WVY$8,0)</f>
        <v>-0.0</v>
      </c>
      <c r="WVY55" s="5">
        <f>-IFERROR('4. NPV'!WVZ24/'4. NPV'!WVZ$8,0)</f>
        <v>-0.0</v>
      </c>
      <c r="WVZ55" s="5">
        <f>-IFERROR('4. NPV'!WWA24/'4. NPV'!WWA$8,0)</f>
        <v>-0.0</v>
      </c>
      <c r="WWA55" s="5">
        <f>-IFERROR('4. NPV'!WWB24/'4. NPV'!WWB$8,0)</f>
        <v>-0.0</v>
      </c>
      <c r="WWB55" s="5">
        <f>-IFERROR('4. NPV'!WWC24/'4. NPV'!WWC$8,0)</f>
        <v>-0.0</v>
      </c>
      <c r="WWC55" s="5">
        <f>-IFERROR('4. NPV'!WWD24/'4. NPV'!WWD$8,0)</f>
        <v>-0.0</v>
      </c>
      <c r="WWD55" s="5">
        <f>-IFERROR('4. NPV'!WWE24/'4. NPV'!WWE$8,0)</f>
        <v>-0.0</v>
      </c>
      <c r="WWE55" s="5">
        <f>-IFERROR('4. NPV'!WWF24/'4. NPV'!WWF$8,0)</f>
        <v>-0.0</v>
      </c>
      <c r="WWF55" s="5">
        <f>-IFERROR('4. NPV'!WWG24/'4. NPV'!WWG$8,0)</f>
        <v>-0.0</v>
      </c>
      <c r="WWG55" s="5">
        <f>-IFERROR('4. NPV'!WWH24/'4. NPV'!WWH$8,0)</f>
        <v>-0.0</v>
      </c>
      <c r="WWH55" s="5">
        <f>-IFERROR('4. NPV'!WWI24/'4. NPV'!WWI$8,0)</f>
        <v>-0.0</v>
      </c>
      <c r="WWI55" s="5">
        <f>-IFERROR('4. NPV'!WWJ24/'4. NPV'!WWJ$8,0)</f>
        <v>-0.0</v>
      </c>
      <c r="WWJ55" s="5">
        <f>-IFERROR('4. NPV'!WWK24/'4. NPV'!WWK$8,0)</f>
        <v>-0.0</v>
      </c>
      <c r="WWK55" s="5">
        <f>-IFERROR('4. NPV'!WWL24/'4. NPV'!WWL$8,0)</f>
        <v>-0.0</v>
      </c>
      <c r="WWL55" s="5">
        <f>-IFERROR('4. NPV'!WWM24/'4. NPV'!WWM$8,0)</f>
        <v>-0.0</v>
      </c>
      <c r="WWM55" s="5">
        <f>-IFERROR('4. NPV'!WWN24/'4. NPV'!WWN$8,0)</f>
        <v>-0.0</v>
      </c>
      <c r="WWN55" s="5">
        <f>-IFERROR('4. NPV'!WWO24/'4. NPV'!WWO$8,0)</f>
        <v>-0.0</v>
      </c>
      <c r="WWO55" s="5">
        <f>-IFERROR('4. NPV'!WWP24/'4. NPV'!WWP$8,0)</f>
        <v>-0.0</v>
      </c>
      <c r="WWP55" s="5">
        <f>-IFERROR('4. NPV'!WWQ24/'4. NPV'!WWQ$8,0)</f>
        <v>-0.0</v>
      </c>
      <c r="WWQ55" s="5">
        <f>-IFERROR('4. NPV'!WWR24/'4. NPV'!WWR$8,0)</f>
        <v>-0.0</v>
      </c>
      <c r="WWR55" s="5">
        <f>-IFERROR('4. NPV'!WWS24/'4. NPV'!WWS$8,0)</f>
        <v>-0.0</v>
      </c>
      <c r="WWS55" s="5">
        <f>-IFERROR('4. NPV'!WWT24/'4. NPV'!WWT$8,0)</f>
        <v>-0.0</v>
      </c>
      <c r="WWT55" s="5">
        <f>-IFERROR('4. NPV'!WWU24/'4. NPV'!WWU$8,0)</f>
        <v>-0.0</v>
      </c>
      <c r="WWU55" s="5">
        <f>-IFERROR('4. NPV'!WWV24/'4. NPV'!WWV$8,0)</f>
        <v>-0.0</v>
      </c>
      <c r="WWV55" s="5">
        <f>-IFERROR('4. NPV'!WWW24/'4. NPV'!WWW$8,0)</f>
        <v>-0.0</v>
      </c>
      <c r="WWW55" s="5">
        <f>-IFERROR('4. NPV'!WWX24/'4. NPV'!WWX$8,0)</f>
        <v>-0.0</v>
      </c>
      <c r="WWX55" s="5">
        <f>-IFERROR('4. NPV'!WWY24/'4. NPV'!WWY$8,0)</f>
        <v>-0.0</v>
      </c>
      <c r="WWY55" s="5">
        <f>-IFERROR('4. NPV'!WWZ24/'4. NPV'!WWZ$8,0)</f>
        <v>-0.0</v>
      </c>
      <c r="WWZ55" s="5">
        <f>-IFERROR('4. NPV'!WXA24/'4. NPV'!WXA$8,0)</f>
        <v>-0.0</v>
      </c>
      <c r="WXA55" s="5">
        <f>-IFERROR('4. NPV'!WXB24/'4. NPV'!WXB$8,0)</f>
        <v>-0.0</v>
      </c>
      <c r="WXB55" s="5">
        <f>-IFERROR('4. NPV'!WXC24/'4. NPV'!WXC$8,0)</f>
        <v>-0.0</v>
      </c>
      <c r="WXC55" s="5">
        <f>-IFERROR('4. NPV'!WXD24/'4. NPV'!WXD$8,0)</f>
        <v>-0.0</v>
      </c>
      <c r="WXD55" s="5">
        <f>-IFERROR('4. NPV'!WXE24/'4. NPV'!WXE$8,0)</f>
        <v>-0.0</v>
      </c>
      <c r="WXE55" s="5">
        <f>-IFERROR('4. NPV'!WXF24/'4. NPV'!WXF$8,0)</f>
        <v>-0.0</v>
      </c>
      <c r="WXF55" s="5">
        <f>-IFERROR('4. NPV'!WXG24/'4. NPV'!WXG$8,0)</f>
        <v>-0.0</v>
      </c>
      <c r="WXG55" s="5">
        <f>-IFERROR('4. NPV'!WXH24/'4. NPV'!WXH$8,0)</f>
        <v>-0.0</v>
      </c>
      <c r="WXH55" s="5">
        <f>-IFERROR('4. NPV'!WXI24/'4. NPV'!WXI$8,0)</f>
        <v>-0.0</v>
      </c>
      <c r="WXI55" s="5">
        <f>-IFERROR('4. NPV'!WXJ24/'4. NPV'!WXJ$8,0)</f>
        <v>-0.0</v>
      </c>
      <c r="WXJ55" s="5">
        <f>-IFERROR('4. NPV'!WXK24/'4. NPV'!WXK$8,0)</f>
        <v>-0.0</v>
      </c>
      <c r="WXK55" s="5">
        <f>-IFERROR('4. NPV'!WXL24/'4. NPV'!WXL$8,0)</f>
        <v>-0.0</v>
      </c>
      <c r="WXL55" s="5">
        <f>-IFERROR('4. NPV'!WXM24/'4. NPV'!WXM$8,0)</f>
        <v>-0.0</v>
      </c>
      <c r="WXM55" s="5">
        <f>-IFERROR('4. NPV'!WXN24/'4. NPV'!WXN$8,0)</f>
        <v>-0.0</v>
      </c>
      <c r="WXN55" s="5">
        <f>-IFERROR('4. NPV'!WXO24/'4. NPV'!WXO$8,0)</f>
        <v>-0.0</v>
      </c>
      <c r="WXO55" s="5">
        <f>-IFERROR('4. NPV'!WXP24/'4. NPV'!WXP$8,0)</f>
        <v>-0.0</v>
      </c>
      <c r="WXP55" s="5">
        <f>-IFERROR('4. NPV'!WXQ24/'4. NPV'!WXQ$8,0)</f>
        <v>-0.0</v>
      </c>
      <c r="WXQ55" s="5">
        <f>-IFERROR('4. NPV'!WXR24/'4. NPV'!WXR$8,0)</f>
        <v>-0.0</v>
      </c>
      <c r="WXR55" s="5">
        <f>-IFERROR('4. NPV'!WXS24/'4. NPV'!WXS$8,0)</f>
        <v>-0.0</v>
      </c>
      <c r="WXS55" s="5">
        <f>-IFERROR('4. NPV'!WXT24/'4. NPV'!WXT$8,0)</f>
        <v>-0.0</v>
      </c>
      <c r="WXT55" s="5">
        <f>-IFERROR('4. NPV'!WXU24/'4. NPV'!WXU$8,0)</f>
        <v>-0.0</v>
      </c>
      <c r="WXU55" s="5">
        <f>-IFERROR('4. NPV'!WXV24/'4. NPV'!WXV$8,0)</f>
        <v>-0.0</v>
      </c>
      <c r="WXV55" s="5">
        <f>-IFERROR('4. NPV'!WXW24/'4. NPV'!WXW$8,0)</f>
        <v>-0.0</v>
      </c>
      <c r="WXW55" s="5">
        <f>-IFERROR('4. NPV'!WXX24/'4. NPV'!WXX$8,0)</f>
        <v>-0.0</v>
      </c>
      <c r="WXX55" s="5">
        <f>-IFERROR('4. NPV'!WXY24/'4. NPV'!WXY$8,0)</f>
        <v>-0.0</v>
      </c>
      <c r="WXY55" s="5">
        <f>-IFERROR('4. NPV'!WXZ24/'4. NPV'!WXZ$8,0)</f>
        <v>-0.0</v>
      </c>
      <c r="WXZ55" s="5">
        <f>-IFERROR('4. NPV'!WYA24/'4. NPV'!WYA$8,0)</f>
        <v>-0.0</v>
      </c>
      <c r="WYA55" s="5">
        <f>-IFERROR('4. NPV'!WYB24/'4. NPV'!WYB$8,0)</f>
        <v>-0.0</v>
      </c>
      <c r="WYB55" s="5">
        <f>-IFERROR('4. NPV'!WYC24/'4. NPV'!WYC$8,0)</f>
        <v>-0.0</v>
      </c>
      <c r="WYC55" s="5">
        <f>-IFERROR('4. NPV'!WYD24/'4. NPV'!WYD$8,0)</f>
        <v>-0.0</v>
      </c>
      <c r="WYD55" s="5">
        <f>-IFERROR('4. NPV'!WYE24/'4. NPV'!WYE$8,0)</f>
        <v>-0.0</v>
      </c>
      <c r="WYE55" s="5">
        <f>-IFERROR('4. NPV'!WYF24/'4. NPV'!WYF$8,0)</f>
        <v>-0.0</v>
      </c>
      <c r="WYF55" s="5">
        <f>-IFERROR('4. NPV'!WYG24/'4. NPV'!WYG$8,0)</f>
        <v>-0.0</v>
      </c>
      <c r="WYG55" s="5">
        <f>-IFERROR('4. NPV'!WYH24/'4. NPV'!WYH$8,0)</f>
        <v>-0.0</v>
      </c>
      <c r="WYH55" s="5">
        <f>-IFERROR('4. NPV'!WYI24/'4. NPV'!WYI$8,0)</f>
        <v>-0.0</v>
      </c>
      <c r="WYI55" s="5">
        <f>-IFERROR('4. NPV'!WYJ24/'4. NPV'!WYJ$8,0)</f>
        <v>-0.0</v>
      </c>
      <c r="WYJ55" s="5">
        <f>-IFERROR('4. NPV'!WYK24/'4. NPV'!WYK$8,0)</f>
        <v>-0.0</v>
      </c>
      <c r="WYK55" s="5">
        <f>-IFERROR('4. NPV'!WYL24/'4. NPV'!WYL$8,0)</f>
        <v>-0.0</v>
      </c>
      <c r="WYL55" s="5">
        <f>-IFERROR('4. NPV'!WYM24/'4. NPV'!WYM$8,0)</f>
        <v>-0.0</v>
      </c>
      <c r="WYM55" s="5">
        <f>-IFERROR('4. NPV'!WYN24/'4. NPV'!WYN$8,0)</f>
        <v>-0.0</v>
      </c>
      <c r="WYN55" s="5">
        <f>-IFERROR('4. NPV'!WYO24/'4. NPV'!WYO$8,0)</f>
        <v>-0.0</v>
      </c>
      <c r="WYO55" s="5">
        <f>-IFERROR('4. NPV'!WYP24/'4. NPV'!WYP$8,0)</f>
        <v>-0.0</v>
      </c>
      <c r="WYP55" s="5">
        <f>-IFERROR('4. NPV'!WYQ24/'4. NPV'!WYQ$8,0)</f>
        <v>-0.0</v>
      </c>
      <c r="WYQ55" s="5">
        <f>-IFERROR('4. NPV'!WYR24/'4. NPV'!WYR$8,0)</f>
        <v>-0.0</v>
      </c>
      <c r="WYR55" s="5">
        <f>-IFERROR('4. NPV'!WYS24/'4. NPV'!WYS$8,0)</f>
        <v>-0.0</v>
      </c>
      <c r="WYS55" s="5">
        <f>-IFERROR('4. NPV'!WYT24/'4. NPV'!WYT$8,0)</f>
        <v>-0.0</v>
      </c>
      <c r="WYT55" s="5">
        <f>-IFERROR('4. NPV'!WYU24/'4. NPV'!WYU$8,0)</f>
        <v>-0.0</v>
      </c>
      <c r="WYU55" s="5">
        <f>-IFERROR('4. NPV'!WYV24/'4. NPV'!WYV$8,0)</f>
        <v>-0.0</v>
      </c>
      <c r="WYV55" s="5">
        <f>-IFERROR('4. NPV'!WYW24/'4. NPV'!WYW$8,0)</f>
        <v>-0.0</v>
      </c>
      <c r="WYW55" s="5">
        <f>-IFERROR('4. NPV'!WYX24/'4. NPV'!WYX$8,0)</f>
        <v>-0.0</v>
      </c>
      <c r="WYX55" s="5">
        <f>-IFERROR('4. NPV'!WYY24/'4. NPV'!WYY$8,0)</f>
        <v>-0.0</v>
      </c>
      <c r="WYY55" s="5">
        <f>-IFERROR('4. NPV'!WYZ24/'4. NPV'!WYZ$8,0)</f>
        <v>-0.0</v>
      </c>
      <c r="WYZ55" s="5">
        <f>-IFERROR('4. NPV'!WZA24/'4. NPV'!WZA$8,0)</f>
        <v>-0.0</v>
      </c>
      <c r="WZA55" s="5">
        <f>-IFERROR('4. NPV'!WZB24/'4. NPV'!WZB$8,0)</f>
        <v>-0.0</v>
      </c>
      <c r="WZB55" s="5">
        <f>-IFERROR('4. NPV'!WZC24/'4. NPV'!WZC$8,0)</f>
        <v>-0.0</v>
      </c>
      <c r="WZC55" s="5">
        <f>-IFERROR('4. NPV'!WZD24/'4. NPV'!WZD$8,0)</f>
        <v>-0.0</v>
      </c>
      <c r="WZD55" s="5">
        <f>-IFERROR('4. NPV'!WZE24/'4. NPV'!WZE$8,0)</f>
        <v>-0.0</v>
      </c>
      <c r="WZE55" s="5">
        <f>-IFERROR('4. NPV'!WZF24/'4. NPV'!WZF$8,0)</f>
        <v>-0.0</v>
      </c>
      <c r="WZF55" s="5">
        <f>-IFERROR('4. NPV'!WZG24/'4. NPV'!WZG$8,0)</f>
        <v>-0.0</v>
      </c>
      <c r="WZG55" s="5">
        <f>-IFERROR('4. NPV'!WZH24/'4. NPV'!WZH$8,0)</f>
        <v>-0.0</v>
      </c>
      <c r="WZH55" s="5">
        <f>-IFERROR('4. NPV'!WZI24/'4. NPV'!WZI$8,0)</f>
        <v>-0.0</v>
      </c>
      <c r="WZI55" s="5">
        <f>-IFERROR('4. NPV'!WZJ24/'4. NPV'!WZJ$8,0)</f>
        <v>-0.0</v>
      </c>
      <c r="WZJ55" s="5">
        <f>-IFERROR('4. NPV'!WZK24/'4. NPV'!WZK$8,0)</f>
        <v>-0.0</v>
      </c>
      <c r="WZK55" s="5">
        <f>-IFERROR('4. NPV'!WZL24/'4. NPV'!WZL$8,0)</f>
        <v>-0.0</v>
      </c>
      <c r="WZL55" s="5">
        <f>-IFERROR('4. NPV'!WZM24/'4. NPV'!WZM$8,0)</f>
        <v>-0.0</v>
      </c>
      <c r="WZM55" s="5">
        <f>-IFERROR('4. NPV'!WZN24/'4. NPV'!WZN$8,0)</f>
        <v>-0.0</v>
      </c>
      <c r="WZN55" s="5">
        <f>-IFERROR('4. NPV'!WZO24/'4. NPV'!WZO$8,0)</f>
        <v>-0.0</v>
      </c>
      <c r="WZO55" s="5">
        <f>-IFERROR('4. NPV'!WZP24/'4. NPV'!WZP$8,0)</f>
        <v>-0.0</v>
      </c>
      <c r="WZP55" s="5">
        <f>-IFERROR('4. NPV'!WZQ24/'4. NPV'!WZQ$8,0)</f>
        <v>-0.0</v>
      </c>
      <c r="WZQ55" s="5">
        <f>-IFERROR('4. NPV'!WZR24/'4. NPV'!WZR$8,0)</f>
        <v>-0.0</v>
      </c>
      <c r="WZR55" s="5">
        <f>-IFERROR('4. NPV'!WZS24/'4. NPV'!WZS$8,0)</f>
        <v>-0.0</v>
      </c>
      <c r="WZS55" s="5">
        <f>-IFERROR('4. NPV'!WZT24/'4. NPV'!WZT$8,0)</f>
        <v>-0.0</v>
      </c>
      <c r="WZT55" s="5">
        <f>-IFERROR('4. NPV'!WZU24/'4. NPV'!WZU$8,0)</f>
        <v>-0.0</v>
      </c>
      <c r="WZU55" s="5">
        <f>-IFERROR('4. NPV'!WZV24/'4. NPV'!WZV$8,0)</f>
        <v>-0.0</v>
      </c>
      <c r="WZV55" s="5">
        <f>-IFERROR('4. NPV'!WZW24/'4. NPV'!WZW$8,0)</f>
        <v>-0.0</v>
      </c>
      <c r="WZW55" s="5">
        <f>-IFERROR('4. NPV'!WZX24/'4. NPV'!WZX$8,0)</f>
        <v>-0.0</v>
      </c>
      <c r="WZX55" s="5">
        <f>-IFERROR('4. NPV'!WZY24/'4. NPV'!WZY$8,0)</f>
        <v>-0.0</v>
      </c>
      <c r="WZY55" s="5">
        <f>-IFERROR('4. NPV'!WZZ24/'4. NPV'!WZZ$8,0)</f>
        <v>-0.0</v>
      </c>
      <c r="WZZ55" s="5">
        <f>-IFERROR('4. NPV'!XAA24/'4. NPV'!XAA$8,0)</f>
        <v>-0.0</v>
      </c>
      <c r="XAA55" s="5">
        <f>-IFERROR('4. NPV'!XAB24/'4. NPV'!XAB$8,0)</f>
        <v>-0.0</v>
      </c>
      <c r="XAB55" s="5">
        <f>-IFERROR('4. NPV'!XAC24/'4. NPV'!XAC$8,0)</f>
        <v>-0.0</v>
      </c>
      <c r="XAC55" s="5">
        <f>-IFERROR('4. NPV'!XAD24/'4. NPV'!XAD$8,0)</f>
        <v>-0.0</v>
      </c>
      <c r="XAD55" s="5">
        <f>-IFERROR('4. NPV'!XAE24/'4. NPV'!XAE$8,0)</f>
        <v>-0.0</v>
      </c>
      <c r="XAE55" s="5">
        <f>-IFERROR('4. NPV'!XAF24/'4. NPV'!XAF$8,0)</f>
        <v>-0.0</v>
      </c>
      <c r="XAF55" s="5">
        <f>-IFERROR('4. NPV'!XAG24/'4. NPV'!XAG$8,0)</f>
        <v>-0.0</v>
      </c>
      <c r="XAG55" s="5">
        <f>-IFERROR('4. NPV'!XAH24/'4. NPV'!XAH$8,0)</f>
        <v>-0.0</v>
      </c>
      <c r="XAH55" s="5">
        <f>-IFERROR('4. NPV'!XAI24/'4. NPV'!XAI$8,0)</f>
        <v>-0.0</v>
      </c>
      <c r="XAI55" s="5">
        <f>-IFERROR('4. NPV'!XAJ24/'4. NPV'!XAJ$8,0)</f>
        <v>-0.0</v>
      </c>
      <c r="XAJ55" s="5">
        <f>-IFERROR('4. NPV'!XAK24/'4. NPV'!XAK$8,0)</f>
        <v>-0.0</v>
      </c>
      <c r="XAK55" s="5">
        <f>-IFERROR('4. NPV'!XAL24/'4. NPV'!XAL$8,0)</f>
        <v>-0.0</v>
      </c>
      <c r="XAL55" s="5">
        <f>-IFERROR('4. NPV'!XAM24/'4. NPV'!XAM$8,0)</f>
        <v>-0.0</v>
      </c>
      <c r="XAM55" s="5">
        <f>-IFERROR('4. NPV'!XAN24/'4. NPV'!XAN$8,0)</f>
        <v>-0.0</v>
      </c>
      <c r="XAN55" s="5">
        <f>-IFERROR('4. NPV'!XAO24/'4. NPV'!XAO$8,0)</f>
        <v>-0.0</v>
      </c>
      <c r="XAO55" s="5">
        <f>-IFERROR('4. NPV'!XAP24/'4. NPV'!XAP$8,0)</f>
        <v>-0.0</v>
      </c>
      <c r="XAP55" s="5">
        <f>-IFERROR('4. NPV'!XAQ24/'4. NPV'!XAQ$8,0)</f>
        <v>-0.0</v>
      </c>
      <c r="XAQ55" s="5">
        <f>-IFERROR('4. NPV'!XAR24/'4. NPV'!XAR$8,0)</f>
        <v>-0.0</v>
      </c>
      <c r="XAR55" s="5">
        <f>-IFERROR('4. NPV'!XAS24/'4. NPV'!XAS$8,0)</f>
        <v>-0.0</v>
      </c>
      <c r="XAS55" s="5">
        <f>-IFERROR('4. NPV'!XAT24/'4. NPV'!XAT$8,0)</f>
        <v>-0.0</v>
      </c>
      <c r="XAT55" s="5">
        <f>-IFERROR('4. NPV'!XAU24/'4. NPV'!XAU$8,0)</f>
        <v>-0.0</v>
      </c>
      <c r="XAU55" s="5">
        <f>-IFERROR('4. NPV'!XAV24/'4. NPV'!XAV$8,0)</f>
        <v>-0.0</v>
      </c>
      <c r="XAV55" s="5">
        <f>-IFERROR('4. NPV'!XAW24/'4. NPV'!XAW$8,0)</f>
        <v>-0.0</v>
      </c>
      <c r="XAW55" s="5">
        <f>-IFERROR('4. NPV'!XAX24/'4. NPV'!XAX$8,0)</f>
        <v>-0.0</v>
      </c>
      <c r="XAX55" s="5">
        <f>-IFERROR('4. NPV'!XAY24/'4. NPV'!XAY$8,0)</f>
        <v>-0.0</v>
      </c>
      <c r="XAY55" s="5">
        <f>-IFERROR('4. NPV'!XAZ24/'4. NPV'!XAZ$8,0)</f>
        <v>-0.0</v>
      </c>
      <c r="XAZ55" s="5">
        <f>-IFERROR('4. NPV'!XBA24/'4. NPV'!XBA$8,0)</f>
        <v>-0.0</v>
      </c>
      <c r="XBA55" s="5">
        <f>-IFERROR('4. NPV'!XBB24/'4. NPV'!XBB$8,0)</f>
        <v>-0.0</v>
      </c>
      <c r="XBB55" s="5">
        <f>-IFERROR('4. NPV'!XBC24/'4. NPV'!XBC$8,0)</f>
        <v>-0.0</v>
      </c>
      <c r="XBC55" s="5">
        <f>-IFERROR('4. NPV'!XBD24/'4. NPV'!XBD$8,0)</f>
        <v>-0.0</v>
      </c>
      <c r="XBD55" s="5">
        <f>-IFERROR('4. NPV'!XBE24/'4. NPV'!XBE$8,0)</f>
        <v>-0.0</v>
      </c>
      <c r="XBE55" s="5">
        <f>-IFERROR('4. NPV'!XBF24/'4. NPV'!XBF$8,0)</f>
        <v>-0.0</v>
      </c>
      <c r="XBF55" s="5">
        <f>-IFERROR('4. NPV'!XBG24/'4. NPV'!XBG$8,0)</f>
        <v>-0.0</v>
      </c>
      <c r="XBG55" s="5">
        <f>-IFERROR('4. NPV'!XBH24/'4. NPV'!XBH$8,0)</f>
        <v>-0.0</v>
      </c>
      <c r="XBH55" s="5">
        <f>-IFERROR('4. NPV'!XBI24/'4. NPV'!XBI$8,0)</f>
        <v>-0.0</v>
      </c>
      <c r="XBI55" s="5">
        <f>-IFERROR('4. NPV'!XBJ24/'4. NPV'!XBJ$8,0)</f>
        <v>-0.0</v>
      </c>
      <c r="XBJ55" s="5">
        <f>-IFERROR('4. NPV'!XBK24/'4. NPV'!XBK$8,0)</f>
        <v>-0.0</v>
      </c>
      <c r="XBK55" s="5">
        <f>-IFERROR('4. NPV'!XBL24/'4. NPV'!XBL$8,0)</f>
        <v>-0.0</v>
      </c>
      <c r="XBL55" s="5">
        <f>-IFERROR('4. NPV'!XBM24/'4. NPV'!XBM$8,0)</f>
        <v>-0.0</v>
      </c>
      <c r="XBM55" s="5">
        <f>-IFERROR('4. NPV'!XBN24/'4. NPV'!XBN$8,0)</f>
        <v>-0.0</v>
      </c>
      <c r="XBN55" s="5">
        <f>-IFERROR('4. NPV'!XBO24/'4. NPV'!XBO$8,0)</f>
        <v>-0.0</v>
      </c>
      <c r="XBO55" s="5">
        <f>-IFERROR('4. NPV'!XBP24/'4. NPV'!XBP$8,0)</f>
        <v>-0.0</v>
      </c>
      <c r="XBP55" s="5">
        <f>-IFERROR('4. NPV'!XBQ24/'4. NPV'!XBQ$8,0)</f>
        <v>-0.0</v>
      </c>
      <c r="XBQ55" s="5">
        <f>-IFERROR('4. NPV'!XBR24/'4. NPV'!XBR$8,0)</f>
        <v>-0.0</v>
      </c>
      <c r="XBR55" s="5">
        <f>-IFERROR('4. NPV'!XBS24/'4. NPV'!XBS$8,0)</f>
        <v>-0.0</v>
      </c>
      <c r="XBS55" s="5">
        <f>-IFERROR('4. NPV'!XBT24/'4. NPV'!XBT$8,0)</f>
        <v>-0.0</v>
      </c>
      <c r="XBT55" s="5">
        <f>-IFERROR('4. NPV'!XBU24/'4. NPV'!XBU$8,0)</f>
        <v>-0.0</v>
      </c>
      <c r="XBU55" s="5">
        <f>-IFERROR('4. NPV'!XBV24/'4. NPV'!XBV$8,0)</f>
        <v>-0.0</v>
      </c>
      <c r="XBV55" s="5">
        <f>-IFERROR('4. NPV'!XBW24/'4. NPV'!XBW$8,0)</f>
        <v>-0.0</v>
      </c>
      <c r="XBW55" s="5">
        <f>-IFERROR('4. NPV'!XBX24/'4. NPV'!XBX$8,0)</f>
        <v>-0.0</v>
      </c>
      <c r="XBX55" s="5">
        <f>-IFERROR('4. NPV'!XBY24/'4. NPV'!XBY$8,0)</f>
        <v>-0.0</v>
      </c>
      <c r="XBY55" s="5">
        <f>-IFERROR('4. NPV'!XBZ24/'4. NPV'!XBZ$8,0)</f>
        <v>-0.0</v>
      </c>
      <c r="XBZ55" s="5">
        <f>-IFERROR('4. NPV'!XCA24/'4. NPV'!XCA$8,0)</f>
        <v>-0.0</v>
      </c>
      <c r="XCA55" s="5">
        <f>-IFERROR('4. NPV'!XCB24/'4. NPV'!XCB$8,0)</f>
        <v>-0.0</v>
      </c>
      <c r="XCB55" s="5">
        <f>-IFERROR('4. NPV'!XCC24/'4. NPV'!XCC$8,0)</f>
        <v>-0.0</v>
      </c>
      <c r="XCC55" s="5">
        <f>-IFERROR('4. NPV'!XCD24/'4. NPV'!XCD$8,0)</f>
        <v>-0.0</v>
      </c>
      <c r="XCD55" s="5">
        <f>-IFERROR('4. NPV'!XCE24/'4. NPV'!XCE$8,0)</f>
        <v>-0.0</v>
      </c>
      <c r="XCE55" s="5">
        <f>-IFERROR('4. NPV'!XCF24/'4. NPV'!XCF$8,0)</f>
        <v>-0.0</v>
      </c>
      <c r="XCF55" s="5">
        <f>-IFERROR('4. NPV'!XCG24/'4. NPV'!XCG$8,0)</f>
        <v>-0.0</v>
      </c>
      <c r="XCG55" s="5">
        <f>-IFERROR('4. NPV'!XCH24/'4. NPV'!XCH$8,0)</f>
        <v>-0.0</v>
      </c>
      <c r="XCH55" s="5">
        <f>-IFERROR('4. NPV'!XCI24/'4. NPV'!XCI$8,0)</f>
        <v>-0.0</v>
      </c>
      <c r="XCI55" s="5">
        <f>-IFERROR('4. NPV'!XCJ24/'4. NPV'!XCJ$8,0)</f>
        <v>-0.0</v>
      </c>
      <c r="XCJ55" s="5">
        <f>-IFERROR('4. NPV'!XCK24/'4. NPV'!XCK$8,0)</f>
        <v>-0.0</v>
      </c>
      <c r="XCK55" s="5">
        <f>-IFERROR('4. NPV'!XCL24/'4. NPV'!XCL$8,0)</f>
        <v>-0.0</v>
      </c>
      <c r="XCL55" s="5">
        <f>-IFERROR('4. NPV'!XCM24/'4. NPV'!XCM$8,0)</f>
        <v>-0.0</v>
      </c>
      <c r="XCM55" s="5">
        <f>-IFERROR('4. NPV'!XCN24/'4. NPV'!XCN$8,0)</f>
        <v>-0.0</v>
      </c>
      <c r="XCN55" s="5">
        <f>-IFERROR('4. NPV'!XCO24/'4. NPV'!XCO$8,0)</f>
        <v>-0.0</v>
      </c>
      <c r="XCO55" s="5">
        <f>-IFERROR('4. NPV'!XCP24/'4. NPV'!XCP$8,0)</f>
        <v>-0.0</v>
      </c>
      <c r="XCP55" s="5">
        <f>-IFERROR('4. NPV'!XCQ24/'4. NPV'!XCQ$8,0)</f>
        <v>-0.0</v>
      </c>
      <c r="XCQ55" s="5">
        <f>-IFERROR('4. NPV'!XCR24/'4. NPV'!XCR$8,0)</f>
        <v>-0.0</v>
      </c>
      <c r="XCR55" s="5">
        <f>-IFERROR('4. NPV'!XCS24/'4. NPV'!XCS$8,0)</f>
        <v>-0.0</v>
      </c>
      <c r="XCS55" s="5">
        <f>-IFERROR('4. NPV'!XCT24/'4. NPV'!XCT$8,0)</f>
        <v>-0.0</v>
      </c>
      <c r="XCT55" s="5">
        <f>-IFERROR('4. NPV'!XCU24/'4. NPV'!XCU$8,0)</f>
        <v>-0.0</v>
      </c>
      <c r="XCU55" s="5">
        <f>-IFERROR('4. NPV'!XCV24/'4. NPV'!XCV$8,0)</f>
        <v>-0.0</v>
      </c>
      <c r="XCV55" s="5">
        <f>-IFERROR('4. NPV'!XCW24/'4. NPV'!XCW$8,0)</f>
        <v>-0.0</v>
      </c>
      <c r="XCW55" s="5">
        <f>-IFERROR('4. NPV'!XCX24/'4. NPV'!XCX$8,0)</f>
        <v>-0.0</v>
      </c>
      <c r="XCX55" s="5">
        <f>-IFERROR('4. NPV'!XCY24/'4. NPV'!XCY$8,0)</f>
        <v>-0.0</v>
      </c>
      <c r="XCY55" s="5">
        <f>-IFERROR('4. NPV'!XCZ24/'4. NPV'!XCZ$8,0)</f>
        <v>-0.0</v>
      </c>
      <c r="XCZ55" s="5">
        <f>-IFERROR('4. NPV'!XDA24/'4. NPV'!XDA$8,0)</f>
        <v>-0.0</v>
      </c>
      <c r="XDA55" s="5">
        <f>-IFERROR('4. NPV'!XDB24/'4. NPV'!XDB$8,0)</f>
        <v>-0.0</v>
      </c>
      <c r="XDB55" s="5">
        <f>-IFERROR('4. NPV'!XDC24/'4. NPV'!XDC$8,0)</f>
        <v>-0.0</v>
      </c>
      <c r="XDC55" s="5">
        <f>-IFERROR('4. NPV'!XDD24/'4. NPV'!XDD$8,0)</f>
        <v>-0.0</v>
      </c>
      <c r="XDD55" s="5">
        <f>-IFERROR('4. NPV'!XDE24/'4. NPV'!XDE$8,0)</f>
        <v>-0.0</v>
      </c>
      <c r="XDE55" s="5">
        <f>-IFERROR('4. NPV'!XDF24/'4. NPV'!XDF$8,0)</f>
        <v>-0.0</v>
      </c>
      <c r="XDF55" s="5">
        <f>-IFERROR('4. NPV'!XDG24/'4. NPV'!XDG$8,0)</f>
        <v>-0.0</v>
      </c>
      <c r="XDG55" s="5">
        <f>-IFERROR('4. NPV'!XDH24/'4. NPV'!XDH$8,0)</f>
        <v>-0.0</v>
      </c>
      <c r="XDH55" s="5">
        <f>-IFERROR('4. NPV'!XDI24/'4. NPV'!XDI$8,0)</f>
        <v>-0.0</v>
      </c>
      <c r="XDI55" s="5">
        <f>-IFERROR('4. NPV'!XDJ24/'4. NPV'!XDJ$8,0)</f>
        <v>-0.0</v>
      </c>
      <c r="XDJ55" s="5">
        <f>-IFERROR('4. NPV'!XDK24/'4. NPV'!XDK$8,0)</f>
        <v>-0.0</v>
      </c>
      <c r="XDK55" s="5">
        <f>-IFERROR('4. NPV'!XDL24/'4. NPV'!XDL$8,0)</f>
        <v>-0.0</v>
      </c>
      <c r="XDL55" s="5">
        <f>-IFERROR('4. NPV'!XDM24/'4. NPV'!XDM$8,0)</f>
        <v>-0.0</v>
      </c>
      <c r="XDM55" s="5">
        <f>-IFERROR('4. NPV'!XDN24/'4. NPV'!XDN$8,0)</f>
        <v>-0.0</v>
      </c>
      <c r="XDN55" s="5">
        <f>-IFERROR('4. NPV'!XDO24/'4. NPV'!XDO$8,0)</f>
        <v>-0.0</v>
      </c>
      <c r="XDO55" s="5">
        <f>-IFERROR('4. NPV'!XDP24/'4. NPV'!XDP$8,0)</f>
        <v>-0.0</v>
      </c>
      <c r="XDP55" s="5">
        <f>-IFERROR('4. NPV'!XDQ24/'4. NPV'!XDQ$8,0)</f>
        <v>-0.0</v>
      </c>
      <c r="XDQ55" s="5">
        <f>-IFERROR('4. NPV'!XDR24/'4. NPV'!XDR$8,0)</f>
        <v>-0.0</v>
      </c>
      <c r="XDR55" s="5">
        <f>-IFERROR('4. NPV'!XDS24/'4. NPV'!XDS$8,0)</f>
        <v>-0.0</v>
      </c>
      <c r="XDS55" s="5">
        <f>-IFERROR('4. NPV'!XDT24/'4. NPV'!XDT$8,0)</f>
        <v>-0.0</v>
      </c>
      <c r="XDT55" s="5">
        <f>-IFERROR('4. NPV'!XDU24/'4. NPV'!XDU$8,0)</f>
        <v>-0.0</v>
      </c>
      <c r="XDU55" s="5">
        <f>-IFERROR('4. NPV'!XDV24/'4. NPV'!XDV$8,0)</f>
        <v>-0.0</v>
      </c>
      <c r="XDV55" s="5">
        <f>-IFERROR('4. NPV'!XDW24/'4. NPV'!XDW$8,0)</f>
        <v>-0.0</v>
      </c>
      <c r="XDW55" s="5">
        <f>-IFERROR('4. NPV'!XDX24/'4. NPV'!XDX$8,0)</f>
        <v>-0.0</v>
      </c>
      <c r="XDX55" s="5">
        <f>-IFERROR('4. NPV'!XDY24/'4. NPV'!XDY$8,0)</f>
        <v>-0.0</v>
      </c>
      <c r="XDY55" s="5">
        <f>-IFERROR('4. NPV'!XDZ24/'4. NPV'!XDZ$8,0)</f>
        <v>-0.0</v>
      </c>
      <c r="XDZ55" s="5">
        <f>-IFERROR('4. NPV'!XEA24/'4. NPV'!XEA$8,0)</f>
        <v>-0.0</v>
      </c>
      <c r="XEA55" s="5">
        <f>-IFERROR('4. NPV'!XEB24/'4. NPV'!XEB$8,0)</f>
        <v>-0.0</v>
      </c>
      <c r="XEB55" s="5">
        <f>-IFERROR('4. NPV'!XEC24/'4. NPV'!XEC$8,0)</f>
        <v>-0.0</v>
      </c>
      <c r="XEC55" s="5">
        <f>-IFERROR('4. NPV'!XED24/'4. NPV'!XED$8,0)</f>
        <v>-0.0</v>
      </c>
      <c r="XED55" s="5">
        <f>-IFERROR('4. NPV'!XEE24/'4. NPV'!XEE$8,0)</f>
        <v>-0.0</v>
      </c>
      <c r="XEE55" s="5">
        <f>-IFERROR('4. NPV'!XEF24/'4. NPV'!XEF$8,0)</f>
        <v>-0.0</v>
      </c>
      <c r="XEF55" s="5">
        <f>-IFERROR('4. NPV'!XEG24/'4. NPV'!XEG$8,0)</f>
        <v>-0.0</v>
      </c>
      <c r="XEG55" s="5">
        <f>-IFERROR('4. NPV'!XEH24/'4. NPV'!XEH$8,0)</f>
        <v>-0.0</v>
      </c>
      <c r="XEH55" s="5">
        <f>-IFERROR('4. NPV'!XEI24/'4. NPV'!XEI$8,0)</f>
        <v>-0.0</v>
      </c>
      <c r="XEI55" s="5">
        <f>-IFERROR('4. NPV'!XEJ24/'4. NPV'!XEJ$8,0)</f>
        <v>-0.0</v>
      </c>
      <c r="XEJ55" s="5">
        <f>-IFERROR('4. NPV'!XEK24/'4. NPV'!XEK$8,0)</f>
        <v>-0.0</v>
      </c>
      <c r="XEK55" s="5">
        <f>-IFERROR('4. NPV'!XEL24/'4. NPV'!XEL$8,0)</f>
        <v>-0.0</v>
      </c>
      <c r="XEL55" s="5">
        <f>-IFERROR('4. NPV'!XEM24/'4. NPV'!XEM$8,0)</f>
        <v>-0.0</v>
      </c>
      <c r="XEM55" s="5">
        <f>-IFERROR('4. NPV'!XEN24/'4. NPV'!XEN$8,0)</f>
        <v>-0.0</v>
      </c>
      <c r="XEN55" s="5">
        <f>-IFERROR('4. NPV'!XEO24/'4. NPV'!XEO$8,0)</f>
        <v>-0.0</v>
      </c>
      <c r="XEO55" s="5">
        <f>-IFERROR('4. NPV'!XEP24/'4. NPV'!XEP$8,0)</f>
        <v>-0.0</v>
      </c>
      <c r="XEP55" s="5">
        <f>-IFERROR('4. NPV'!XEQ24/'4. NPV'!XEQ$8,0)</f>
        <v>-0.0</v>
      </c>
      <c r="XEQ55" s="5">
        <f>-IFERROR('4. NPV'!XER24/'4. NPV'!XER$8,0)</f>
        <v>-0.0</v>
      </c>
      <c r="XER55" s="5">
        <f>-IFERROR('4. NPV'!XES24/'4. NPV'!XES$8,0)</f>
        <v>-0.0</v>
      </c>
      <c r="XES55" s="5">
        <f>-IFERROR('4. NPV'!XET24/'4. NPV'!XET$8,0)</f>
        <v>-0.0</v>
      </c>
      <c r="XET55" s="5">
        <f>-IFERROR('4. NPV'!XEU24/'4. NPV'!XEU$8,0)</f>
        <v>-0.0</v>
      </c>
      <c r="XEU55" s="5">
        <f>-IFERROR('4. NPV'!XEV24/'4. NPV'!XEV$8,0)</f>
        <v>-0.0</v>
      </c>
      <c r="XEV55" s="5">
        <f>-IFERROR('4. NPV'!XEW24/'4. NPV'!XEW$8,0)</f>
        <v>-0.0</v>
      </c>
      <c r="XEW55" s="5">
        <f>-IFERROR('4. NPV'!XEX24/'4. NPV'!XEX$8,0)</f>
        <v>-0.0</v>
      </c>
      <c r="XEX55" s="5">
        <f>-IFERROR('4. NPV'!XEY24/'4. NPV'!XEY$8,0)</f>
        <v>-0.0</v>
      </c>
      <c r="XEY55" s="5">
        <f>-IFERROR('4. NPV'!XEZ24/'4. NPV'!XEZ$8,0)</f>
        <v>-0.0</v>
      </c>
      <c r="XEZ55" s="5">
        <f>-IFERROR('4. NPV'!XFA24/'4. NPV'!XFA$8,0)</f>
        <v>-0.0</v>
      </c>
      <c r="XFA55" s="5">
        <f>-IFERROR('4. NPV'!XFB24/'4. NPV'!XFB$8,0)</f>
        <v>-0.0</v>
      </c>
      <c r="XFB55" s="5">
        <f>-IFERROR('4. NPV'!XFC24/'4. NPV'!XFC$8,0)</f>
        <v>-0.0</v>
      </c>
      <c r="XFC55" s="5">
        <f>-IFERROR('4. NPV'!XFD24/'4. NPV'!XFD$8,0)</f>
        <v>-0.0</v>
      </c>
      <c r="XFD55"/>
    </row>
    <row r="56" spans="1:16384" hidden="1">
      <c r="A56" s="772"/>
      <c r="B56" s="772"/>
      <c r="C56" s="772"/>
      <c r="D56" s="772"/>
      <c r="E56" s="772"/>
      <c r="F56" s="772"/>
      <c r="G56" s="772"/>
      <c r="H56" s="772"/>
      <c r="I56" s="772"/>
      <c r="J56" s="772"/>
      <c r="K56" s="772"/>
      <c r="L56" s="772"/>
      <c r="M56" s="772"/>
      <c r="N56" s="772"/>
      <c r="O56" s="772"/>
      <c r="P56" s="772"/>
      <c r="Q56" s="772"/>
      <c r="R56" s="772"/>
      <c r="S56" s="772"/>
      <c r="T56" s="772"/>
      <c r="U56" s="772"/>
      <c r="V56" s="772"/>
      <c r="W56" s="772"/>
    </row>
    <row r="57" spans="1:16384" s="5" customFormat="1">
      <c r="A57" s="772" t="inlineStr">
        <is>
          <t>%</t>
        </is>
      </c>
      <c r="B57" s="772" t="s">
        <v>76</v>
      </c>
      <c r="C57" s="779">
        <f>'3. Finansiering'!D27</f>
        <v>0.3589</v>
      </c>
      <c r="D57" s="779">
        <f>'3. Finansiering'!E27</f>
        <v>0.3478</v>
      </c>
      <c r="E57" s="779">
        <f>'3. Finansiering'!F27</f>
        <v>0.3367</v>
      </c>
      <c r="F57" s="779">
        <f>'3. Finansiering'!G27</f>
        <v>0.3256</v>
      </c>
      <c r="G57" s="779">
        <f>'3. Finansiering'!H27</f>
        <v>0.3145</v>
      </c>
      <c r="H57" s="779">
        <f>'3. Finansiering'!I27</f>
        <v>0.3034</v>
      </c>
      <c r="I57" s="779">
        <f>'3. Finansiering'!J27</f>
        <v>0.29229999999999995</v>
      </c>
      <c r="J57" s="779">
        <f>'3. Finansiering'!K27</f>
        <v>0.28119999999999995</v>
      </c>
      <c r="K57" s="779">
        <f>'3. Finansiering'!L27</f>
        <v>0.27009999999999995</v>
      </c>
      <c r="L57" s="779">
        <f>'3. Finansiering'!M27</f>
        <v>0.25899999999999995</v>
      </c>
      <c r="M57" s="779">
        <f>'3. Finansiering'!N27</f>
        <v>0.24789999999999998</v>
      </c>
      <c r="N57" s="779">
        <f>'3. Finansiering'!O27</f>
        <v>0.23679999999999995</v>
      </c>
      <c r="O57" s="779">
        <f>'3. Finansiering'!P27</f>
        <v>0.22569999999999998</v>
      </c>
      <c r="P57" s="779">
        <f>'3. Finansiering'!Q27</f>
        <v>0.21459999999999999</v>
      </c>
      <c r="Q57" s="779">
        <f>'3. Finansiering'!R27</f>
        <v>0.2035</v>
      </c>
      <c r="R57" s="779">
        <f>'3. Finansiering'!S27</f>
        <v>0.1924</v>
      </c>
      <c r="S57" s="779">
        <f>'3. Finansiering'!T27</f>
        <v>0.1813</v>
      </c>
      <c r="T57" s="779">
        <f>'3. Finansiering'!U27</f>
        <v>0.1702</v>
      </c>
      <c r="U57" s="779">
        <f>'3. Finansiering'!V27</f>
        <v>0.1591</v>
      </c>
      <c r="V57" s="779">
        <f>'3. Finansiering'!W27</f>
        <v>0.148</v>
      </c>
      <c r="W57" s="779">
        <f>'3. Finansiering'!X27</f>
        <v>0.1369</v>
      </c>
      <c r="X57" s="10">
        <f>'3. Finansiering'!Y27</f>
        <v>0.1258</v>
      </c>
      <c r="Y57" s="10">
        <f>'3. Finansiering'!Z27</f>
        <v>0.11469999999999998</v>
      </c>
      <c r="Z57" s="10">
        <f>'3. Finansiering'!AA27</f>
        <v>0.10359999999999998</v>
      </c>
      <c r="AA57" s="10">
        <f>'3. Finansiering'!AB27</f>
        <v>0.09250000000000001</v>
      </c>
      <c r="AB57" s="10">
        <f>'3. Finansiering'!AC27</f>
        <v>0.08140000000000001</v>
      </c>
      <c r="AC57" s="10">
        <f>'3. Finansiering'!AD27</f>
        <v>0.07030000000000002</v>
      </c>
      <c r="AD57" s="10">
        <f>'3. Finansiering'!AE27</f>
        <v>0.05920000000000001</v>
      </c>
      <c r="AE57" s="10">
        <f>'3. Finansiering'!AF27</f>
        <v>0.048100000000000004</v>
      </c>
      <c r="AF57" s="10">
        <f>'3. Finansiering'!AG27</f>
        <v>0.037000000000000005</v>
      </c>
      <c r="AG57" s="10">
        <f>'3. Finansiering'!AH27</f>
        <v>0.025900000000000003</v>
      </c>
      <c r="AH57" s="10">
        <f>'3. Finansiering'!AI27</f>
        <v>0.014800000000000002</v>
      </c>
      <c r="AI57" s="10">
        <f>'3. Finansiering'!AJ27</f>
        <v>0.0037000000000000006</v>
      </c>
      <c r="AJ57" s="10">
        <f>'3. Finansiering'!AK27</f>
        <v>0.37</v>
      </c>
      <c r="AK57" s="10">
        <f>'3. Finansiering'!AL27</f>
        <v>0.37</v>
      </c>
      <c r="AL57" s="10">
        <f>'3. Finansiering'!AM27</f>
        <v>0.37</v>
      </c>
      <c r="AM57" s="10">
        <f>'3. Finansiering'!AN27</f>
        <v>0.37</v>
      </c>
      <c r="AN57" s="10">
        <f>'3. Finansiering'!AO27</f>
        <v>0.37</v>
      </c>
      <c r="AO57" s="10">
        <f>'3. Finansiering'!AP27</f>
        <v>0.37</v>
      </c>
      <c r="AP57" s="10">
        <f>'3. Finansiering'!AQ27</f>
        <v>0.37</v>
      </c>
      <c r="AQ57" s="10">
        <f>'3. Finansiering'!AR27</f>
        <v>0.37</v>
      </c>
      <c r="AR57" s="10">
        <f>'3. Finansiering'!AS27</f>
        <v>0.37</v>
      </c>
      <c r="AS57" s="10">
        <f>'3. Finansiering'!AT27</f>
        <v>0.37</v>
      </c>
      <c r="AT57" s="10">
        <f>'3. Finansiering'!AU27</f>
        <v>0.37</v>
      </c>
      <c r="AU57" s="10">
        <f>'3. Finansiering'!AV27</f>
        <v>0.37</v>
      </c>
      <c r="AV57" s="10">
        <f>'3. Finansiering'!AW27</f>
        <v>0.37</v>
      </c>
      <c r="AW57" s="10">
        <f>'3. Finansiering'!AX27</f>
        <v>0.37</v>
      </c>
      <c r="AX57" s="10">
        <f>'3. Finansiering'!AY27</f>
        <v>0.37</v>
      </c>
      <c r="AY57" s="10">
        <f>'3. Finansiering'!AZ27</f>
        <v>0.37</v>
      </c>
      <c r="AZ57" s="10">
        <f>'3. Finansiering'!BA27</f>
        <v>0.37</v>
      </c>
    </row>
  </sheetData>
  <dataValidations count="11">
    <dataValidation allowBlank="1" showInputMessage="1" promptTitle="Källa" prompt="4. NPV rad 71 − rad 72. Driftnetto för tillkommande flöde (Bef = nollalternativ), exkl. extraordinärt UH." sqref="B40"/>
    <dataValidation allowBlank="1" showInputMessage="1" promptTitle="Källa" prompt="4. NPV rad 19 Nettohyra (efter vakans), hela fastigheten." sqref="B41"/>
    <dataValidation allowBlank="1" showInputMessage="1" promptTitle="Källa" prompt="4. NPV rad 26 (drift och underhåll utan re-investering rad 25) + rad 27–28 (fastighetsskatt, tomträttsavgäld), hela fastigheten. Visas som positivt belopp." sqref="B42"/>
    <dataValidation allowBlank="1" showInputMessage="1" promptTitle="Källa" prompt="4. NPV rad 25 Re-investering/hyressatt underhåll, hela fastigheten. Visas som positivt belopp." sqref="B43"/>
    <dataValidation allowBlank="1" showInputMessage="1" promptTitle="Källa" prompt="4. NPV rad 88 = kapitaliseringsbart driftnetto år t+1 / justerad direktavkastning. Är driftnettot 0 visas bokfört värde (rad 48). Används av 4. NPV rad 34." sqref="B44"/>
    <dataValidation allowBlank="1" showInputMessage="1" promptTitle="Källa" prompt="5. IRR rad 16 (investering per år, positivt belopp)." sqref="B45"/>
    <dataValidation allowBlank="1" showInputMessage="1" promptTitle="Källa" prompt="5. IRR rad 17." sqref="B46"/>
    <dataValidation allowBlank="1" showInputMessage="1" promptTitle="Källa" prompt="Löpande summa av 4. NPV rad 29 Driftnetto (hela fastigheten, inkl. extraordinärt UH)." sqref="B47"/>
    <dataValidation allowBlank="1" showInputMessage="1" promptTitle="Källa" prompt="3. Finansiering rad 57. Används av 4. NPV rad 35 (direktavkastning bokfört värde)." sqref="B48"/>
    <dataValidation allowBlank="1" showInputMessage="1" promptTitle="Källa" prompt="Rad 40/41/42 delad med total area, 4. NPV rad 8." sqref="B50:B52"/>
    <dataValidation allowBlank="1" showInputMessage="1" promptTitle="Källa" prompt="3. Finansiering rad 27." sqref="B57"/>
  </dataValidations>
  <pageMargins left="0.39370078740157477" right="0.39370078740157477" top="0.59055118110236215" bottom="0.59055118110236215" header="0.23622047244094485" footer="0.23622047244094485"/>
  <pageSetup paperSize="8" scale="93" fitToWidth="1" orientation="landscape" r:id="rId1" fitToHeight="1"/>
  <headerFooter differentFirst="1">
    <oddFooter>&amp;LLejonfastigheter · Investeringskalkyl LM 371 v3.2&amp;C7.Grafer&amp;RSida &amp;P av &amp;N · &amp;D</oddFooter>
    <firstFooter>&amp;LLejonfastigheter · Investeringskalkyl LM 371 v3.2&amp;C7.Grafer&amp;RSida &amp;P av &amp;N · &amp;D</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9"/>
    <pageSetUpPr fitToPage="1"/>
  </sheetPr>
  <dimension ref="A1:I37"/>
  <sheetViews>
    <sheetView showGridLines="0" zoomScaleNormal="100" workbookViewId="0">
      <selection activeCell="K16" sqref="K16"/>
    </sheetView>
  </sheetViews>
  <sheetFormatPr defaultRowHeight="14.25"/>
  <cols>
    <col min="1" max="1" width="37" customWidth="1"/>
    <col min="2" max="4" width="2.0" customWidth="1"/>
    <col min="5" max="5" width="15.375" customWidth="1"/>
    <col min="6" max="6" width="11" customWidth="1"/>
    <col min="7" max="7" width="2.0" customWidth="1"/>
    <col min="8" max="8" width="19.75" customWidth="1"/>
  </cols>
  <sheetData>
    <row r="1" ht="23.25" customHeight="1">
      <c r="A1" s="1" t="inlineStr">
        <is>
          <t>Media → flik 2, rad 37</t>
        </is>
      </c>
      <c r="E1" s="185" t="inlineStr">
        <is>
          <t>KONTOPLAN RR</t>
        </is>
      </c>
    </row>
    <row r="2">
      <c r="A2" t="s">
        <v>303</v>
      </c>
      <c r="E2" t="inlineStr" s="942">
        <is>
          <t>Konton som ingår i driftkostnadsposterna på 2. Kalkyldata (rad 34–38). Tabellerna nedan är källor till rullistor – ändra inte texterna.</t>
        </is>
      </c>
    </row>
    <row r="3" spans="1:9">
      <c r="A3" t="s">
        <v>304</v>
      </c>
    </row>
    <row r="4" spans="1:9" ht="15">
      <c r="A4" t="s">
        <v>305</v>
      </c>
      <c r="E4"/>
      <c r="F4"/>
    </row>
    <row r="5" spans="1:9" ht="15">
      <c r="A5" t="s">
        <v>308</v>
      </c>
      <c r="E5" s="399" t="inlineStr">
        <is>
          <t>Typ av åtgärd</t>
        </is>
      </c>
      <c r="F5" s="399" t="inlineStr">
        <is>
          <t>Förkortning</t>
        </is>
      </c>
      <c r="H5" s="399" t="s">
        <v>309</v>
      </c>
      <c r="I5" s="399"/>
    </row>
    <row r="6" spans="1:9">
      <c r="A6" t="s">
        <v>310</v>
      </c>
      <c r="E6" s="400" t="s">
        <v>170</v>
      </c>
      <c r="F6" s="400" t="s">
        <v>311</v>
      </c>
      <c r="H6" s="400" t="s">
        <v>312</v>
      </c>
      <c r="I6" s="400"/>
    </row>
    <row r="7" spans="1:9">
      <c r="A7" t="s">
        <v>313</v>
      </c>
      <c r="E7" s="400" t="s">
        <v>314</v>
      </c>
      <c r="F7" s="400" t="s">
        <v>315</v>
      </c>
      <c r="H7" s="400" t="s">
        <v>316</v>
      </c>
      <c r="I7" s="400"/>
    </row>
    <row r="8" spans="1:9">
      <c r="E8" s="400" t="s">
        <v>226</v>
      </c>
      <c r="F8" s="400" t="s">
        <v>317</v>
      </c>
      <c r="H8" s="400" t="s">
        <v>314</v>
      </c>
      <c r="I8" s="400"/>
    </row>
    <row r="9" spans="1:9" ht="15">
      <c r="A9" s="1" t="inlineStr">
        <is>
          <t>Fastighetsskötsel → flik 2, rad 34</t>
        </is>
      </c>
      <c r="B9" s="2"/>
      <c r="C9" s="2"/>
      <c r="D9" s="2"/>
      <c r="E9" s="400" t="s">
        <v>318</v>
      </c>
      <c r="F9" s="400" t="s">
        <v>319</v>
      </c>
      <c r="H9" s="400" t="s">
        <v>318</v>
      </c>
      <c r="I9" s="400"/>
    </row>
    <row r="10" spans="1:9">
      <c r="A10" t="s">
        <v>320</v>
      </c>
      <c r="E10" s="400" t="s">
        <v>116</v>
      </c>
      <c r="F10" s="400" t="s">
        <v>321</v>
      </c>
      <c r="H10" s="400" t="s">
        <v>322</v>
      </c>
      <c r="I10" s="400"/>
    </row>
    <row r="11" spans="1:9">
      <c r="A11" t="s">
        <v>323</v>
      </c>
      <c r="C11" s="2"/>
      <c r="E11" s="401"/>
      <c r="F11" s="401"/>
      <c r="H11" s="400" t="s">
        <v>324</v>
      </c>
      <c r="I11" s="400"/>
    </row>
    <row r="12">
      <c r="A12" t="s">
        <v>325</v>
      </c>
      <c r="E12" t="inlineStr" s="901">
        <is>
          <t>Förkortning = rullistan Typ på 2. Kalkyldata (E23:E27).</t>
        </is>
      </c>
    </row>
    <row r="13">
      <c r="A13" t="s">
        <v>326</v>
      </c>
      <c r="E13" t="inlineStr" s="901">
        <is>
          <t>Typ av projekt = rullistan på 1. Framskrivningsunderlag (G11).</t>
        </is>
      </c>
    </row>
    <row r="14">
      <c r="A14" t="s">
        <v>327</v>
      </c>
      <c r="E14" t="inlineStr" s="901">
        <is>
          <t>Ändra inte texterna – formler på flik 1 läser listorna.</t>
        </is>
      </c>
    </row>
    <row r="16" spans="1:9" ht="15">
      <c r="A16" s="1" t="inlineStr">
        <is>
          <t>Reparationer → flik 2, rad 35</t>
        </is>
      </c>
    </row>
    <row r="17" spans="1:4">
      <c r="A17" t="s">
        <v>328</v>
      </c>
      <c r="B17" s="2"/>
      <c r="D17" s="2"/>
    </row>
    <row r="18" spans="1:4">
      <c r="A18" t="s">
        <v>329</v>
      </c>
      <c r="B18" s="2"/>
      <c r="D18" s="2"/>
    </row>
    <row r="19" spans="1:4">
      <c r="A19" t="s">
        <v>330</v>
      </c>
    </row>
    <row r="20" spans="1:4">
      <c r="A20" t="s">
        <v>331</v>
      </c>
    </row>
    <row r="21" spans="1:4">
      <c r="A21" t="s">
        <v>332</v>
      </c>
      <c r="B21" s="2"/>
      <c r="D21" s="2"/>
    </row>
    <row r="22" spans="1:4">
      <c r="A22" t="s">
        <v>333</v>
      </c>
    </row>
    <row r="24" spans="1:4" ht="15">
      <c r="A24" s="1" t="inlineStr">
        <is>
          <t>Planerat underhåll → flik 2, rad 36</t>
        </is>
      </c>
    </row>
    <row r="25" spans="1:4">
      <c r="A25" t="s">
        <v>334</v>
      </c>
    </row>
    <row r="26" spans="1:4">
      <c r="A26" t="inlineStr">
        <is>
          <t xml:space="preserve">      4540 Planerat underhåll installationer</t>
        </is>
      </c>
    </row>
    <row r="27" spans="1:4">
      <c r="A27" t="s">
        <v>336</v>
      </c>
    </row>
    <row r="28" spans="1:4">
      <c r="A28" t="s">
        <v>337</v>
      </c>
    </row>
    <row r="29" spans="1:4">
      <c r="A29" t="s">
        <v>338</v>
      </c>
    </row>
    <row r="30" spans="1:4">
      <c r="A30" t="s">
        <v>339</v>
      </c>
    </row>
    <row r="33" spans="1:6" ht="15">
      <c r="A33" s="1" t="inlineStr">
        <is>
          <t>Övriga förvaltningskostnader → flik 2, rad 38</t>
        </is>
      </c>
    </row>
    <row r="34" spans="1:6">
      <c r="A34" t="s">
        <v>340</v>
      </c>
      <c r="B34" s="2"/>
      <c r="D34" s="2"/>
    </row>
    <row r="35" spans="1:6">
      <c r="A35" t="s">
        <v>341</v>
      </c>
      <c r="C35" s="2"/>
      <c r="E35" s="2"/>
      <c r="F35" s="2"/>
    </row>
    <row r="36" spans="1:6">
      <c r="A36" t="s">
        <v>342</v>
      </c>
      <c r="F36" s="2"/>
    </row>
    <row r="37" spans="1:6">
      <c r="A37" t="s">
        <v>343</v>
      </c>
    </row>
  </sheetData>
  <mergeCells count="1">
    <mergeCell ref="E2:I3"/>
  </mergeCells>
  <pageMargins left="0.39370078740157477" right="0.39370078740157477" top="0.59055118110236215" bottom="0.59055118110236215" header="0.23622047244094485" footer="0.23622047244094485"/>
  <pageSetup paperSize="9" scale="68" orientation="portrait" r:id="rId1" fitToWidth="1" fitToHeight="1"/>
  <headerFooter>
    <oddFooter>&amp;LLejonfastigheter · Investeringskalkyl LM 371 v3.2&amp;CKontoplan RR&amp;RSida &amp;P av &amp;N · &amp;D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5745E235130C434EABBAB946A19804AC" ma:contentTypeVersion="6" ma:contentTypeDescription="Skapa ett nytt dokument." ma:contentTypeScope="" ma:versionID="717c36c4c516157b8246a21f2c3774d8">
  <xsd:schema xmlns:xsd="http://www.w3.org/2001/XMLSchema" xmlns:xs="http://www.w3.org/2001/XMLSchema" xmlns:p="http://schemas.microsoft.com/office/2006/metadata/properties" xmlns:ns2="e8477037-d1b5-4258-b7d2-2bb51b95f25d" xmlns:ns3="2b4700cb-c423-4f1a-a940-67b59348aec3" targetNamespace="http://schemas.microsoft.com/office/2006/metadata/properties" ma:root="true" ma:fieldsID="17110ba55dcef85de7e8c058ecb9c79f" ns2:_="" ns3:_="">
    <xsd:import namespace="e8477037-d1b5-4258-b7d2-2bb51b95f25d"/>
    <xsd:import namespace="2b4700cb-c423-4f1a-a940-67b59348aec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477037-d1b5-4258-b7d2-2bb51b95f25d"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b4700cb-c423-4f1a-a940-67b59348aec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AD79E3C-1431-49C6-BD2A-9EEA5B1870AF}">
  <ds:schemaRefs>
    <ds:schemaRef ds:uri="http://schemas.microsoft.com/sharepoint/v3/contenttype/forms"/>
  </ds:schemaRefs>
</ds:datastoreItem>
</file>

<file path=customXml/itemProps2.xml><?xml version="1.0" encoding="utf-8"?>
<ds:datastoreItem xmlns:ds="http://schemas.openxmlformats.org/officeDocument/2006/customXml" ds:itemID="{D96A59A8-66D2-4C7A-9A76-D3DA30DC22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477037-d1b5-4258-b7d2-2bb51b95f25d"/>
    <ds:schemaRef ds:uri="2b4700cb-c423-4f1a-a940-67b59348ae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2768A8-D40E-438D-8770-B56F48812DF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8</vt:i4>
      </vt:variant>
      <vt:variant>
        <vt:lpstr>Namngivna områden</vt:lpstr>
      </vt:variant>
      <vt:variant>
        <vt:i4>36</vt:i4>
      </vt:variant>
    </vt:vector>
  </HeadingPairs>
  <TitlesOfParts>
    <vt:vector size="44" baseType="lpstr">
      <vt:lpstr>1. Framskrivningsunderlag</vt:lpstr>
      <vt:lpstr>2. Kalkyldata</vt:lpstr>
      <vt:lpstr>3. Finansiering</vt:lpstr>
      <vt:lpstr>4. NPV</vt:lpstr>
      <vt:lpstr>5. IRR</vt:lpstr>
      <vt:lpstr>6. Ack.kapitalutlägg</vt:lpstr>
      <vt:lpstr>7.Grafer</vt:lpstr>
      <vt:lpstr>Kontoplan RR</vt:lpstr>
      <vt:lpstr>BefFastighetsskötsel</vt:lpstr>
      <vt:lpstr>BefMedia</vt:lpstr>
      <vt:lpstr>BefPlaneratunderhåll</vt:lpstr>
      <vt:lpstr>BefReparationer</vt:lpstr>
      <vt:lpstr>BefÖvrigaförvaltningskostnader</vt:lpstr>
      <vt:lpstr>FemtonÅrFastighetsskötsel</vt:lpstr>
      <vt:lpstr>FemtonÅrMedia</vt:lpstr>
      <vt:lpstr>FemtonÅrPlaneratUnderhåll</vt:lpstr>
      <vt:lpstr>FemtonÅrReparationer</vt:lpstr>
      <vt:lpstr>FemtonÅrÖvrigaFörvaltningskostnader</vt:lpstr>
      <vt:lpstr>Höjnin1</vt:lpstr>
      <vt:lpstr>Höjning2</vt:lpstr>
      <vt:lpstr>Inflation</vt:lpstr>
      <vt:lpstr>NybFastighetsskötsel</vt:lpstr>
      <vt:lpstr>NybMedia</vt:lpstr>
      <vt:lpstr>NybPlaneratunderhåll</vt:lpstr>
      <vt:lpstr>NybReparationer</vt:lpstr>
      <vt:lpstr>NybÖvrigaförvaltningskostnader</vt:lpstr>
      <vt:lpstr>TioÅrFastighetsskötsel</vt:lpstr>
      <vt:lpstr>TioÅrMedia</vt:lpstr>
      <vt:lpstr>TioÅrPlaneratUnderhåll</vt:lpstr>
      <vt:lpstr>TioÅrReparationer</vt:lpstr>
      <vt:lpstr>TioÅrÖvrigaFörvaltningskostnader</vt:lpstr>
      <vt:lpstr>'1. Framskrivningsunderlag'!Utskriftsområde</vt:lpstr>
      <vt:lpstr>'2. Kalkyldata'!Utskriftsområde</vt:lpstr>
      <vt:lpstr>'3. Finansiering'!Utskriftsområde</vt:lpstr>
      <vt:lpstr>'4. NPV'!Utskriftsområde</vt:lpstr>
      <vt:lpstr>'5. IRR'!Utskriftsområde</vt:lpstr>
      <vt:lpstr>'6. Ack.kapitalutlägg'!Utskriftsområde</vt:lpstr>
      <vt:lpstr>'7.Grafer'!Utskriftsområde</vt:lpstr>
      <vt:lpstr>'Kontoplan RR'!Utskriftsområde</vt:lpstr>
      <vt:lpstr>'3. Finansiering'!Utskriftsrubriker</vt:lpstr>
      <vt:lpstr>'4. NPV'!Utskriftsrubriker</vt:lpstr>
      <vt:lpstr>'5. IRR'!Utskriftsrubriker</vt:lpstr>
      <vt:lpstr>'6. Ack.kapitalutlägg'!Utskriftsrubriker</vt:lpstr>
      <vt:lpstr>'7.Grafer'!Utskriftsrubriker</vt:lpstr>
    </vt:vector>
  </TitlesOfParts>
  <Manager/>
  <Company>Linköpings Kommun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LM 371 Investeringskalkyl</dc:title>
  <dc:subject/>
  <dc:creator>Westin Joakim</dc:creator>
  <cp:keywords/>
  <dc:description/>
  <cp:lastModifiedBy>Joakim Weimar</cp:lastModifiedBy>
  <cp:revision/>
  <dcterms:created xsi:type="dcterms:W3CDTF">2017-02-16T12:16:49Z</dcterms:created>
  <dcterms:modified xsi:type="dcterms:W3CDTF">2026-10-01T09:13:20Z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0x0101005745E235130C434EABBAB946A19804AC</vt:lpwstr>
  </property>
  <property fmtid="{D5CDD505-2E9C-101B-9397-08002B2CF9AE}" pid="3" name="TaxKeyword">
    <vt:lpwstr/>
  </property>
  <property fmtid="{D5CDD505-2E9C-101B-9397-08002B2CF9AE}" pid="4" name="TaxCatchAll">
    <vt:lpwstr/>
  </property>
  <property fmtid="{D5CDD505-2E9C-101B-9397-08002B2CF9AE}" pid="5" name="TaxKeywordTaxHTField">
    <vt:lpwstr/>
  </property>
  <property fmtid="{D5CDD505-2E9C-101B-9397-08002B2CF9AE}" pid="6" name="LFDocumentType">
    <vt:lpwstr/>
  </property>
  <property fmtid="{D5CDD505-2E9C-101B-9397-08002B2CF9AE}" pid="7" name="LFSubjectArea">
    <vt:lpwstr/>
  </property>
  <property fmtid="{D5CDD505-2E9C-101B-9397-08002B2CF9AE}" pid="8" name="LFProject">
    <vt:lpwstr/>
  </property>
  <property fmtid="{D5CDD505-2E9C-101B-9397-08002B2CF9AE}" pid="9" name="LFOrganisation">
    <vt:lpwstr/>
  </property>
  <property fmtid="{D5CDD505-2E9C-101B-9397-08002B2CF9AE}" pid="10" name="LFObject">
    <vt:lpwstr/>
  </property>
  <property fmtid="{D5CDD505-2E9C-101B-9397-08002B2CF9AE}" pid="11" name="LFManagerArea">
    <vt:lpwstr/>
  </property>
  <property fmtid="{D5CDD505-2E9C-101B-9397-08002B2CF9AE}" pid="12" name="IsMyDocuments">
    <vt:bool>true</vt:bool>
  </property>
  <property fmtid="{D5CDD505-2E9C-101B-9397-08002B2CF9AE}" pid="13" name="LFProjectKeyword">
    <vt:lpwstr/>
  </property>
  <property fmtid="{D5CDD505-2E9C-101B-9397-08002B2CF9AE}" pid="14" name="_docset_NoMedatataSyncRequired">
    <vt:lpwstr>False</vt:lpwstr>
  </property>
  <property fmtid="{D5CDD505-2E9C-101B-9397-08002B2CF9AE}" pid="15" name="LFProjectKeyword0">
    <vt:lpwstr/>
  </property>
  <property fmtid="{D5CDD505-2E9C-101B-9397-08002B2CF9AE}" pid="16" name="_dlc_DocIdItemGuid">
    <vt:lpwstr>748adfd5-0d90-4898-a17d-71d2ea8e5da7</vt:lpwstr>
  </property>
  <property fmtid="{D5CDD505-2E9C-101B-9397-08002B2CF9AE}" pid="17" name="Mallkategori">
    <vt:lpwstr>;#Investering;#</vt:lpwstr>
  </property>
  <property fmtid="{D5CDD505-2E9C-101B-9397-08002B2CF9AE}" pid="18" name="LFOrganisation_0">
    <vt:lpwstr/>
  </property>
  <property fmtid="{D5CDD505-2E9C-101B-9397-08002B2CF9AE}" pid="19" name="LF_Project">
    <vt:lpwstr/>
  </property>
  <property fmtid="{D5CDD505-2E9C-101B-9397-08002B2CF9AE}" pid="20" name="MediaServiceImageTags">
    <vt:lpwstr/>
  </property>
  <property fmtid="{D5CDD505-2E9C-101B-9397-08002B2CF9AE}" pid="21" name="LFProject0">
    <vt:lpwstr/>
  </property>
  <property fmtid="{D5CDD505-2E9C-101B-9397-08002B2CF9AE}" pid="22" name="LFObject0">
    <vt:lpwstr/>
  </property>
  <property fmtid="{D5CDD505-2E9C-101B-9397-08002B2CF9AE}" pid="23" name="LF_Object">
    <vt:lpwstr/>
  </property>
  <property fmtid="{D5CDD505-2E9C-101B-9397-08002B2CF9AE}" pid="24" name="LF_Organisation">
    <vt:lpwstr/>
  </property>
  <property fmtid="{D5CDD505-2E9C-101B-9397-08002B2CF9AE}" pid="25" name="lcf76f155ced4ddcb4097134ff3c332f">
    <vt:lpwstr/>
  </property>
  <property fmtid="{D5CDD505-2E9C-101B-9397-08002B2CF9AE}" pid="26" name="LFManagerArea_0">
    <vt:lpwstr/>
  </property>
  <property fmtid="{D5CDD505-2E9C-101B-9397-08002B2CF9AE}" pid="27" name="LFDocumentType0">
    <vt:lpwstr/>
  </property>
  <property fmtid="{D5CDD505-2E9C-101B-9397-08002B2CF9AE}" pid="28" name="LF_Topic">
    <vt:lpwstr/>
  </property>
  <property fmtid="{D5CDD505-2E9C-101B-9397-08002B2CF9AE}" pid="29" name="LF_DocumentType">
    <vt:lpwstr/>
  </property>
  <property fmtid="{D5CDD505-2E9C-101B-9397-08002B2CF9AE}" pid="30" name="LFSubjectArea0">
    <vt:lpwstr/>
  </property>
  <property fmtid="{D5CDD505-2E9C-101B-9397-08002B2CF9AE}" pid="31" name="MSIP_Label_85422757-ce52-449e-9728-c849406c80ce_Enabled">
    <vt:lpwstr>true</vt:lpwstr>
  </property>
  <property fmtid="{D5CDD505-2E9C-101B-9397-08002B2CF9AE}" pid="32" name="MSIP_Label_85422757-ce52-449e-9728-c849406c80ce_SetDate">
    <vt:lpwstr>2024-10-23T11:29:56Z</vt:lpwstr>
  </property>
  <property fmtid="{D5CDD505-2E9C-101B-9397-08002B2CF9AE}" pid="33" name="MSIP_Label_85422757-ce52-449e-9728-c849406c80ce_Method">
    <vt:lpwstr>Privileged</vt:lpwstr>
  </property>
  <property fmtid="{D5CDD505-2E9C-101B-9397-08002B2CF9AE}" pid="34" name="MSIP_Label_85422757-ce52-449e-9728-c849406c80ce_Name">
    <vt:lpwstr>Konfidentiella dokument</vt:lpwstr>
  </property>
  <property fmtid="{D5CDD505-2E9C-101B-9397-08002B2CF9AE}" pid="35" name="MSIP_Label_85422757-ce52-449e-9728-c849406c80ce_SiteId">
    <vt:lpwstr>27835d1c-c2a5-4885-b07a-7987c8d4b00b</vt:lpwstr>
  </property>
  <property fmtid="{D5CDD505-2E9C-101B-9397-08002B2CF9AE}" pid="36" name="MSIP_Label_85422757-ce52-449e-9728-c849406c80ce_ActionId">
    <vt:lpwstr>debe6050-3a33-454e-83d4-9a6a98879e6d</vt:lpwstr>
  </property>
  <property fmtid="{D5CDD505-2E9C-101B-9397-08002B2CF9AE}" pid="37" name="MSIP_Label_85422757-ce52-449e-9728-c849406c80ce_ContentBits">
    <vt:lpwstr>0</vt:lpwstr>
  </property>
</Properties>
</file>