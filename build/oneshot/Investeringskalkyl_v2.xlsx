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joaki\Documents\GitHub\investeringskalkyl\build\oneshot\"/>
    </mc:Choice>
  </mc:AlternateContent>
  <xr:revisionPtr revIDLastSave="0" documentId="13_ncr:1_{174E9DAB-C881-44CE-8552-9343BD6A0784}" xr6:coauthVersionLast="47" xr6:coauthVersionMax="47" xr10:uidLastSave="{00000000-0000-0000-0000-000000000000}"/>
  <bookViews>
    <workbookView xWindow="345" yWindow="345" windowWidth="28800" windowHeight="16065" xr2:uid="{00000000-000D-0000-FFFF-FFFF00000000}"/>
  </bookViews>
  <sheets>
    <sheet name="Översikt" sheetId="1" r:id="rId1"/>
    <sheet name="Försättsblad" sheetId="2" r:id="rId2"/>
    <sheet name="Indata" sheetId="3" r:id="rId3"/>
    <sheet name="Kassaflöde" sheetId="4" r:id="rId4"/>
    <sheet name="Finansiering" sheetId="5" r:id="rId5"/>
    <sheet name="Resultat" sheetId="6" r:id="rId6"/>
    <sheet name="Grafer" sheetId="7" r:id="rId7"/>
    <sheet name="Lönsamhetskontroll" sheetId="8" r:id="rId8"/>
    <sheet name="Beräkningslogik" sheetId="9" r:id="rId9"/>
    <sheet name="Dokumentation" sheetId="10" r:id="rId10"/>
  </sheets>
  <definedNames>
    <definedName name="_xlnm.Print_Area" localSheetId="8">Beräkningslogik!$B$1:$AB$230</definedName>
    <definedName name="_xlnm.Print_Area" localSheetId="9">Dokumentation!$B$1:$B$169</definedName>
    <definedName name="_xlnm.Print_Area" localSheetId="4">Finansiering!$B$1:$AB$18</definedName>
    <definedName name="_xlnm.Print_Area" localSheetId="6">Grafer!$B$1:$N$53</definedName>
    <definedName name="_xlnm.Print_Area" localSheetId="2">Indata!$A$1:$R$81</definedName>
    <definedName name="_xlnm.Print_Area" localSheetId="3">Kassaflöde!$B$1:$W$36</definedName>
    <definedName name="_xlnm.Print_Area" localSheetId="7">Lönsamhetskontroll!$B$1:$G$87</definedName>
    <definedName name="_xlnm.Print_Area" localSheetId="5">Resultat!$B$1:$F$41</definedName>
    <definedName name="_xlnm.Print_Area" localSheetId="0">Översikt!$B$1:$L$29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187" i="9" l="1"/>
  <c r="AA187" i="9"/>
  <c r="Z187" i="9"/>
  <c r="Y187" i="9"/>
  <c r="X187" i="9"/>
  <c r="V187" i="9"/>
  <c r="U187" i="9"/>
  <c r="T187" i="9"/>
  <c r="S187" i="9"/>
  <c r="R187" i="9"/>
  <c r="Q187" i="9"/>
  <c r="P187" i="9"/>
  <c r="O187" i="9"/>
  <c r="N187" i="9"/>
  <c r="M187" i="9"/>
  <c r="L187" i="9"/>
  <c r="K187" i="9"/>
  <c r="J187" i="9"/>
  <c r="I187" i="9"/>
  <c r="H187" i="9"/>
  <c r="G187" i="9"/>
  <c r="F187" i="9"/>
  <c r="E187" i="9"/>
  <c r="D187" i="9"/>
  <c r="AA175" i="9"/>
  <c r="Z175" i="9"/>
  <c r="Y175" i="9"/>
  <c r="X175" i="9"/>
  <c r="AB172" i="9"/>
  <c r="AA172" i="9"/>
  <c r="Z172" i="9"/>
  <c r="Y172" i="9"/>
  <c r="X172" i="9"/>
  <c r="V172" i="9"/>
  <c r="U172" i="9"/>
  <c r="T172" i="9"/>
  <c r="S172" i="9"/>
  <c r="R172" i="9"/>
  <c r="Q172" i="9"/>
  <c r="P172" i="9"/>
  <c r="O172" i="9"/>
  <c r="N172" i="9"/>
  <c r="M172" i="9"/>
  <c r="L172" i="9"/>
  <c r="K172" i="9"/>
  <c r="J172" i="9"/>
  <c r="I172" i="9"/>
  <c r="H172" i="9"/>
  <c r="G172" i="9"/>
  <c r="F172" i="9"/>
  <c r="E172" i="9"/>
  <c r="D172" i="9"/>
  <c r="S130" i="9"/>
  <c r="Q130" i="9"/>
  <c r="AB127" i="9"/>
  <c r="AA127" i="9"/>
  <c r="Z127" i="9"/>
  <c r="Y127" i="9"/>
  <c r="X127" i="9"/>
  <c r="W127" i="9"/>
  <c r="V127" i="9"/>
  <c r="U127" i="9"/>
  <c r="T127" i="9"/>
  <c r="S127" i="9"/>
  <c r="R127" i="9"/>
  <c r="Q127" i="9"/>
  <c r="P127" i="9"/>
  <c r="O127" i="9"/>
  <c r="N127" i="9"/>
  <c r="M127" i="9"/>
  <c r="L127" i="9"/>
  <c r="K127" i="9"/>
  <c r="J127" i="9"/>
  <c r="I127" i="9"/>
  <c r="H127" i="9"/>
  <c r="G127" i="9"/>
  <c r="F127" i="9"/>
  <c r="E127" i="9"/>
  <c r="D127" i="9"/>
  <c r="AB126" i="9"/>
  <c r="AA126" i="9"/>
  <c r="Z126" i="9"/>
  <c r="Y126" i="9"/>
  <c r="X126" i="9"/>
  <c r="W126" i="9"/>
  <c r="V126" i="9"/>
  <c r="U126" i="9"/>
  <c r="T126" i="9"/>
  <c r="S126" i="9"/>
  <c r="R126" i="9"/>
  <c r="Q126" i="9"/>
  <c r="P126" i="9"/>
  <c r="O126" i="9"/>
  <c r="N126" i="9"/>
  <c r="M126" i="9"/>
  <c r="L126" i="9"/>
  <c r="K126" i="9"/>
  <c r="J126" i="9"/>
  <c r="I126" i="9"/>
  <c r="H126" i="9"/>
  <c r="G126" i="9"/>
  <c r="F126" i="9"/>
  <c r="E126" i="9"/>
  <c r="D126" i="9"/>
  <c r="AB125" i="9"/>
  <c r="AA125" i="9"/>
  <c r="Z125" i="9"/>
  <c r="Y125" i="9"/>
  <c r="X125" i="9"/>
  <c r="W125" i="9"/>
  <c r="V125" i="9"/>
  <c r="U125" i="9"/>
  <c r="T125" i="9"/>
  <c r="S125" i="9"/>
  <c r="R125" i="9"/>
  <c r="Q125" i="9"/>
  <c r="P125" i="9"/>
  <c r="O125" i="9"/>
  <c r="N125" i="9"/>
  <c r="M125" i="9"/>
  <c r="L125" i="9"/>
  <c r="K125" i="9"/>
  <c r="J125" i="9"/>
  <c r="I125" i="9"/>
  <c r="H125" i="9"/>
  <c r="G125" i="9"/>
  <c r="F125" i="9"/>
  <c r="E125" i="9"/>
  <c r="D125" i="9"/>
  <c r="AB124" i="9"/>
  <c r="AA124" i="9"/>
  <c r="Z124" i="9"/>
  <c r="Y124" i="9"/>
  <c r="X124" i="9"/>
  <c r="W124" i="9"/>
  <c r="V124" i="9"/>
  <c r="U124" i="9"/>
  <c r="T124" i="9"/>
  <c r="S124" i="9"/>
  <c r="R124" i="9"/>
  <c r="Q124" i="9"/>
  <c r="P124" i="9"/>
  <c r="O124" i="9"/>
  <c r="N124" i="9"/>
  <c r="M124" i="9"/>
  <c r="L124" i="9"/>
  <c r="K124" i="9"/>
  <c r="J124" i="9"/>
  <c r="I124" i="9"/>
  <c r="H124" i="9"/>
  <c r="G124" i="9"/>
  <c r="F124" i="9"/>
  <c r="E124" i="9"/>
  <c r="D124" i="9"/>
  <c r="C113" i="9"/>
  <c r="C111" i="9"/>
  <c r="AA87" i="9"/>
  <c r="AB80" i="9"/>
  <c r="AA80" i="9"/>
  <c r="Z80" i="9"/>
  <c r="Y80" i="9"/>
  <c r="X80" i="9"/>
  <c r="W80" i="9"/>
  <c r="V80" i="9"/>
  <c r="U80" i="9"/>
  <c r="T80" i="9"/>
  <c r="S80" i="9"/>
  <c r="R80" i="9"/>
  <c r="R21" i="4" s="1"/>
  <c r="Q80" i="9"/>
  <c r="P80" i="9"/>
  <c r="O80" i="9"/>
  <c r="N80" i="9"/>
  <c r="N21" i="4" s="1"/>
  <c r="M80" i="9"/>
  <c r="L80" i="9"/>
  <c r="K80" i="9"/>
  <c r="J80" i="9"/>
  <c r="I80" i="9"/>
  <c r="H80" i="9"/>
  <c r="H21" i="4" s="1"/>
  <c r="G80" i="9"/>
  <c r="F80" i="9"/>
  <c r="E80" i="9"/>
  <c r="E21" i="4" s="1"/>
  <c r="D80" i="9"/>
  <c r="D21" i="4" s="1"/>
  <c r="AB79" i="9"/>
  <c r="AB20" i="4" s="1"/>
  <c r="AA79" i="9"/>
  <c r="AA20" i="4" s="1"/>
  <c r="Z79" i="9"/>
  <c r="Z20" i="4" s="1"/>
  <c r="Y79" i="9"/>
  <c r="Y20" i="4" s="1"/>
  <c r="X79" i="9"/>
  <c r="W79" i="9"/>
  <c r="V79" i="9"/>
  <c r="U79" i="9"/>
  <c r="T79" i="9"/>
  <c r="S79" i="9"/>
  <c r="R79" i="9"/>
  <c r="Q79" i="9"/>
  <c r="P79" i="9"/>
  <c r="O79" i="9"/>
  <c r="N79" i="9"/>
  <c r="M79" i="9"/>
  <c r="L79" i="9"/>
  <c r="K79" i="9"/>
  <c r="K20" i="4" s="1"/>
  <c r="J79" i="9"/>
  <c r="J20" i="4" s="1"/>
  <c r="I79" i="9"/>
  <c r="I20" i="4" s="1"/>
  <c r="H79" i="9"/>
  <c r="H20" i="4" s="1"/>
  <c r="G79" i="9"/>
  <c r="G20" i="4" s="1"/>
  <c r="F79" i="9"/>
  <c r="E79" i="9"/>
  <c r="D79" i="9"/>
  <c r="S67" i="9"/>
  <c r="D67" i="9"/>
  <c r="AB64" i="9"/>
  <c r="AA64" i="9"/>
  <c r="Z64" i="9"/>
  <c r="Y64" i="9"/>
  <c r="X64" i="9"/>
  <c r="W64" i="9"/>
  <c r="V64" i="9"/>
  <c r="U64" i="9"/>
  <c r="T64" i="9"/>
  <c r="S64" i="9"/>
  <c r="R64" i="9"/>
  <c r="Q64" i="9"/>
  <c r="P64" i="9"/>
  <c r="O64" i="9"/>
  <c r="N64" i="9"/>
  <c r="M64" i="9"/>
  <c r="L64" i="9"/>
  <c r="K64" i="9"/>
  <c r="J64" i="9"/>
  <c r="I64" i="9"/>
  <c r="H64" i="9"/>
  <c r="G64" i="9"/>
  <c r="F64" i="9"/>
  <c r="E64" i="9"/>
  <c r="D64" i="9"/>
  <c r="AB63" i="9"/>
  <c r="AA63" i="9"/>
  <c r="Z63" i="9"/>
  <c r="Y63" i="9"/>
  <c r="X63" i="9"/>
  <c r="W63" i="9"/>
  <c r="V63" i="9"/>
  <c r="U63" i="9"/>
  <c r="T63" i="9"/>
  <c r="S63" i="9"/>
  <c r="R63" i="9"/>
  <c r="Q63" i="9"/>
  <c r="P63" i="9"/>
  <c r="O63" i="9"/>
  <c r="N63" i="9"/>
  <c r="M63" i="9"/>
  <c r="L63" i="9"/>
  <c r="K63" i="9"/>
  <c r="J63" i="9"/>
  <c r="I63" i="9"/>
  <c r="H63" i="9"/>
  <c r="G63" i="9"/>
  <c r="F63" i="9"/>
  <c r="E63" i="9"/>
  <c r="D63" i="9"/>
  <c r="AB62" i="9"/>
  <c r="AA62" i="9"/>
  <c r="Z62" i="9"/>
  <c r="Y62" i="9"/>
  <c r="X62" i="9"/>
  <c r="W62" i="9"/>
  <c r="V62" i="9"/>
  <c r="U62" i="9"/>
  <c r="T62" i="9"/>
  <c r="S62" i="9"/>
  <c r="R62" i="9"/>
  <c r="Q62" i="9"/>
  <c r="P62" i="9"/>
  <c r="O62" i="9"/>
  <c r="N62" i="9"/>
  <c r="M62" i="9"/>
  <c r="L62" i="9"/>
  <c r="K62" i="9"/>
  <c r="J62" i="9"/>
  <c r="I62" i="9"/>
  <c r="H62" i="9"/>
  <c r="G62" i="9"/>
  <c r="F62" i="9"/>
  <c r="E62" i="9"/>
  <c r="D62" i="9"/>
  <c r="AB61" i="9"/>
  <c r="AA61" i="9"/>
  <c r="Z61" i="9"/>
  <c r="Y61" i="9"/>
  <c r="X61" i="9"/>
  <c r="W61" i="9"/>
  <c r="V61" i="9"/>
  <c r="U61" i="9"/>
  <c r="T61" i="9"/>
  <c r="S61" i="9"/>
  <c r="R61" i="9"/>
  <c r="Q61" i="9"/>
  <c r="P61" i="9"/>
  <c r="O61" i="9"/>
  <c r="N61" i="9"/>
  <c r="M61" i="9"/>
  <c r="L61" i="9"/>
  <c r="K61" i="9"/>
  <c r="J61" i="9"/>
  <c r="I61" i="9"/>
  <c r="H61" i="9"/>
  <c r="G61" i="9"/>
  <c r="F61" i="9"/>
  <c r="E61" i="9"/>
  <c r="D61" i="9"/>
  <c r="Z60" i="9"/>
  <c r="T60" i="9"/>
  <c r="AB54" i="9"/>
  <c r="AB190" i="9" s="1"/>
  <c r="AA54" i="9"/>
  <c r="Z54" i="9"/>
  <c r="Z87" i="9" s="1"/>
  <c r="Y54" i="9"/>
  <c r="Y87" i="9" s="1"/>
  <c r="X54" i="9"/>
  <c r="X87" i="9" s="1"/>
  <c r="W54" i="9"/>
  <c r="V54" i="9"/>
  <c r="U54" i="9"/>
  <c r="T54" i="9"/>
  <c r="S54" i="9"/>
  <c r="R54" i="9"/>
  <c r="Q54" i="9"/>
  <c r="P54" i="9"/>
  <c r="O54" i="9"/>
  <c r="N54" i="9"/>
  <c r="M54" i="9"/>
  <c r="L54" i="9"/>
  <c r="K54" i="9"/>
  <c r="J54" i="9"/>
  <c r="I54" i="9"/>
  <c r="H54" i="9"/>
  <c r="G54" i="9"/>
  <c r="F54" i="9"/>
  <c r="E54" i="9"/>
  <c r="D54" i="9"/>
  <c r="AB52" i="9"/>
  <c r="AA52" i="9"/>
  <c r="Z52" i="9"/>
  <c r="Y52" i="9"/>
  <c r="X52" i="9"/>
  <c r="W52" i="9"/>
  <c r="V52" i="9"/>
  <c r="U52" i="9"/>
  <c r="T52" i="9"/>
  <c r="S52" i="9"/>
  <c r="S60" i="9" s="1"/>
  <c r="S66" i="9" s="1"/>
  <c r="S68" i="9" s="1"/>
  <c r="R52" i="9"/>
  <c r="Q52" i="9"/>
  <c r="P52" i="9"/>
  <c r="O52" i="9"/>
  <c r="N52" i="9"/>
  <c r="M52" i="9"/>
  <c r="M67" i="9" s="1"/>
  <c r="L52" i="9"/>
  <c r="K52" i="9"/>
  <c r="K67" i="9" s="1"/>
  <c r="J52" i="9"/>
  <c r="J67" i="9" s="1"/>
  <c r="I52" i="9"/>
  <c r="I130" i="9" s="1"/>
  <c r="H52" i="9"/>
  <c r="H67" i="9" s="1"/>
  <c r="G52" i="9"/>
  <c r="G60" i="9" s="1"/>
  <c r="F52" i="9"/>
  <c r="E52" i="9"/>
  <c r="E130" i="9" s="1"/>
  <c r="D52" i="9"/>
  <c r="D130" i="9" s="1"/>
  <c r="E78" i="8"/>
  <c r="C78" i="8"/>
  <c r="E77" i="8"/>
  <c r="C77" i="8"/>
  <c r="C46" i="8"/>
  <c r="C26" i="8"/>
  <c r="C25" i="8"/>
  <c r="C23" i="8"/>
  <c r="C15" i="8"/>
  <c r="C14" i="8"/>
  <c r="C6" i="8"/>
  <c r="E50" i="7"/>
  <c r="C50" i="7"/>
  <c r="C44" i="7"/>
  <c r="E37" i="6"/>
  <c r="F29" i="6"/>
  <c r="B29" i="6"/>
  <c r="F28" i="6"/>
  <c r="B28" i="6"/>
  <c r="F27" i="6"/>
  <c r="B27" i="6"/>
  <c r="F26" i="6"/>
  <c r="B26" i="6"/>
  <c r="F25" i="6"/>
  <c r="B25" i="6"/>
  <c r="AA18" i="5"/>
  <c r="X18" i="5"/>
  <c r="W17" i="5"/>
  <c r="V17" i="5"/>
  <c r="T17" i="5"/>
  <c r="R17" i="5"/>
  <c r="Q17" i="5"/>
  <c r="P17" i="5"/>
  <c r="N17" i="5"/>
  <c r="E17" i="5"/>
  <c r="AB14" i="5"/>
  <c r="AA14" i="5"/>
  <c r="Z14" i="5"/>
  <c r="Y14" i="5"/>
  <c r="X14" i="5"/>
  <c r="W14" i="5"/>
  <c r="V14" i="5"/>
  <c r="U14" i="5"/>
  <c r="T14" i="5"/>
  <c r="S14" i="5"/>
  <c r="R14" i="5"/>
  <c r="Q14" i="5"/>
  <c r="P14" i="5"/>
  <c r="O14" i="5"/>
  <c r="N14" i="5"/>
  <c r="M14" i="5"/>
  <c r="L14" i="5"/>
  <c r="K14" i="5"/>
  <c r="J14" i="5"/>
  <c r="I14" i="5"/>
  <c r="H14" i="5"/>
  <c r="G14" i="5"/>
  <c r="F14" i="5"/>
  <c r="E14" i="5"/>
  <c r="D14" i="5"/>
  <c r="AB10" i="5"/>
  <c r="Z10" i="5"/>
  <c r="Y10" i="5"/>
  <c r="X10" i="5"/>
  <c r="W10" i="5"/>
  <c r="V10" i="5"/>
  <c r="AB5" i="5"/>
  <c r="AB18" i="5" s="1"/>
  <c r="AA5" i="5"/>
  <c r="Z5" i="5"/>
  <c r="Z18" i="5" s="1"/>
  <c r="Y5" i="5"/>
  <c r="Y18" i="5" s="1"/>
  <c r="X5" i="5"/>
  <c r="W5" i="5"/>
  <c r="V5" i="5"/>
  <c r="U5" i="5"/>
  <c r="T5" i="5"/>
  <c r="S5" i="5"/>
  <c r="R5" i="5"/>
  <c r="Q5" i="5"/>
  <c r="P5" i="5"/>
  <c r="O5" i="5"/>
  <c r="N5" i="5"/>
  <c r="M5" i="5"/>
  <c r="L5" i="5"/>
  <c r="K5" i="5"/>
  <c r="J5" i="5"/>
  <c r="I5" i="5"/>
  <c r="H5" i="5"/>
  <c r="G5" i="5"/>
  <c r="F5" i="5"/>
  <c r="E5" i="5"/>
  <c r="D5" i="5"/>
  <c r="AB3" i="5"/>
  <c r="AB17" i="5" s="1"/>
  <c r="AA3" i="5"/>
  <c r="AA17" i="5" s="1"/>
  <c r="Z3" i="5"/>
  <c r="Z17" i="5" s="1"/>
  <c r="Y3" i="5"/>
  <c r="Y17" i="5" s="1"/>
  <c r="X3" i="5"/>
  <c r="X17" i="5" s="1"/>
  <c r="W3" i="5"/>
  <c r="V3" i="5"/>
  <c r="U3" i="5"/>
  <c r="U17" i="5" s="1"/>
  <c r="T3" i="5"/>
  <c r="T10" i="5" s="1"/>
  <c r="S3" i="5"/>
  <c r="S17" i="5" s="1"/>
  <c r="R3" i="5"/>
  <c r="R10" i="5" s="1"/>
  <c r="Q3" i="5"/>
  <c r="Q10" i="5" s="1"/>
  <c r="P3" i="5"/>
  <c r="P10" i="5" s="1"/>
  <c r="O3" i="5"/>
  <c r="O17" i="5" s="1"/>
  <c r="N3" i="5"/>
  <c r="N10" i="5" s="1"/>
  <c r="M3" i="5"/>
  <c r="M10" i="5" s="1"/>
  <c r="L3" i="5"/>
  <c r="L17" i="5" s="1"/>
  <c r="K3" i="5"/>
  <c r="J3" i="5"/>
  <c r="I3" i="5"/>
  <c r="H3" i="5"/>
  <c r="G3" i="5"/>
  <c r="G10" i="5" s="1"/>
  <c r="F3" i="5"/>
  <c r="F10" i="5" s="1"/>
  <c r="E3" i="5"/>
  <c r="E10" i="5" s="1"/>
  <c r="D3" i="5"/>
  <c r="AB34" i="4"/>
  <c r="AA34" i="4"/>
  <c r="Z34" i="4"/>
  <c r="Y34" i="4"/>
  <c r="X34" i="4"/>
  <c r="W34" i="4"/>
  <c r="V34" i="4"/>
  <c r="U34" i="4"/>
  <c r="T34" i="4"/>
  <c r="S34" i="4"/>
  <c r="R34" i="4"/>
  <c r="Q34" i="4"/>
  <c r="P34" i="4"/>
  <c r="O34" i="4"/>
  <c r="N34" i="4"/>
  <c r="M34" i="4"/>
  <c r="L34" i="4"/>
  <c r="K34" i="4"/>
  <c r="I34" i="4"/>
  <c r="H34" i="4"/>
  <c r="G34" i="4"/>
  <c r="D34" i="4"/>
  <c r="B34" i="4"/>
  <c r="AB33" i="4"/>
  <c r="AA33" i="4"/>
  <c r="Z33" i="4"/>
  <c r="Y33" i="4"/>
  <c r="X33" i="4"/>
  <c r="W33" i="4"/>
  <c r="V33" i="4"/>
  <c r="U33" i="4"/>
  <c r="T33" i="4"/>
  <c r="S33" i="4"/>
  <c r="R33" i="4"/>
  <c r="Q33" i="4"/>
  <c r="P33" i="4"/>
  <c r="O33" i="4"/>
  <c r="N33" i="4"/>
  <c r="M33" i="4"/>
  <c r="L33" i="4"/>
  <c r="F33" i="4"/>
  <c r="B33" i="4"/>
  <c r="AB32" i="4"/>
  <c r="AA32" i="4"/>
  <c r="Z32" i="4"/>
  <c r="Y32" i="4"/>
  <c r="X32" i="4"/>
  <c r="W32" i="4"/>
  <c r="V32" i="4"/>
  <c r="U32" i="4"/>
  <c r="T32" i="4"/>
  <c r="S32" i="4"/>
  <c r="R32" i="4"/>
  <c r="Q32" i="4"/>
  <c r="P32" i="4"/>
  <c r="O32" i="4"/>
  <c r="N32" i="4"/>
  <c r="K32" i="4"/>
  <c r="J32" i="4"/>
  <c r="I32" i="4"/>
  <c r="H32" i="4"/>
  <c r="G32" i="4"/>
  <c r="F32" i="4"/>
  <c r="B32" i="4"/>
  <c r="AB31" i="4"/>
  <c r="AA31" i="4"/>
  <c r="Z31" i="4"/>
  <c r="Y31" i="4"/>
  <c r="X31" i="4"/>
  <c r="W31" i="4"/>
  <c r="V31" i="4"/>
  <c r="U31" i="4"/>
  <c r="T31" i="4"/>
  <c r="S31" i="4"/>
  <c r="R31" i="4"/>
  <c r="Q31" i="4"/>
  <c r="P31" i="4"/>
  <c r="O31" i="4"/>
  <c r="N31" i="4"/>
  <c r="M31" i="4"/>
  <c r="L31" i="4"/>
  <c r="K31" i="4"/>
  <c r="J31" i="4"/>
  <c r="I31" i="4"/>
  <c r="H31" i="4"/>
  <c r="B31" i="4"/>
  <c r="AB30" i="4"/>
  <c r="AA30" i="4"/>
  <c r="Z30" i="4"/>
  <c r="Y30" i="4"/>
  <c r="X30" i="4"/>
  <c r="W30" i="4"/>
  <c r="V30" i="4"/>
  <c r="U30" i="4"/>
  <c r="T30" i="4"/>
  <c r="S30" i="4"/>
  <c r="R30" i="4"/>
  <c r="Q30" i="4"/>
  <c r="P30" i="4"/>
  <c r="O30" i="4"/>
  <c r="N30" i="4"/>
  <c r="B30" i="4"/>
  <c r="M29" i="4"/>
  <c r="M32" i="4" s="1"/>
  <c r="L29" i="4"/>
  <c r="L32" i="4" s="1"/>
  <c r="K29" i="4"/>
  <c r="K33" i="4" s="1"/>
  <c r="J29" i="4"/>
  <c r="J33" i="4" s="1"/>
  <c r="I29" i="4"/>
  <c r="I33" i="4" s="1"/>
  <c r="H29" i="4"/>
  <c r="H33" i="4" s="1"/>
  <c r="G29" i="4"/>
  <c r="G31" i="4" s="1"/>
  <c r="F29" i="4"/>
  <c r="F31" i="4" s="1"/>
  <c r="E29" i="4"/>
  <c r="E33" i="4" s="1"/>
  <c r="D29" i="4"/>
  <c r="AB21" i="4"/>
  <c r="AA21" i="4"/>
  <c r="Z21" i="4"/>
  <c r="Y21" i="4"/>
  <c r="X21" i="4"/>
  <c r="W21" i="4"/>
  <c r="V21" i="4"/>
  <c r="U21" i="4"/>
  <c r="T21" i="4"/>
  <c r="S21" i="4"/>
  <c r="Q21" i="4"/>
  <c r="P21" i="4"/>
  <c r="O21" i="4"/>
  <c r="M21" i="4"/>
  <c r="L21" i="4"/>
  <c r="K21" i="4"/>
  <c r="J21" i="4"/>
  <c r="I21" i="4"/>
  <c r="G21" i="4"/>
  <c r="F21" i="4"/>
  <c r="X20" i="4"/>
  <c r="W20" i="4"/>
  <c r="V20" i="4"/>
  <c r="U20" i="4"/>
  <c r="T20" i="4"/>
  <c r="S20" i="4"/>
  <c r="R20" i="4"/>
  <c r="Q20" i="4"/>
  <c r="P20" i="4"/>
  <c r="O20" i="4"/>
  <c r="N20" i="4"/>
  <c r="M20" i="4"/>
  <c r="L20" i="4"/>
  <c r="F20" i="4"/>
  <c r="E20" i="4"/>
  <c r="D20" i="4"/>
  <c r="X7" i="4"/>
  <c r="U7" i="4"/>
  <c r="R7" i="4"/>
  <c r="P6" i="4"/>
  <c r="F6" i="4"/>
  <c r="D6" i="4"/>
  <c r="AB5" i="4"/>
  <c r="AA5" i="4"/>
  <c r="Z5" i="4"/>
  <c r="Y5" i="4"/>
  <c r="X5" i="4"/>
  <c r="W5" i="4"/>
  <c r="V5" i="4"/>
  <c r="U5" i="4"/>
  <c r="T5" i="4"/>
  <c r="S5" i="4"/>
  <c r="R5" i="4"/>
  <c r="Q5" i="4"/>
  <c r="P5" i="4"/>
  <c r="O5" i="4"/>
  <c r="N5" i="4"/>
  <c r="M5" i="4"/>
  <c r="L5" i="4"/>
  <c r="K5" i="4"/>
  <c r="J5" i="4"/>
  <c r="I5" i="4"/>
  <c r="H5" i="4"/>
  <c r="G5" i="4"/>
  <c r="F5" i="4"/>
  <c r="E5" i="4"/>
  <c r="D5" i="4"/>
  <c r="AB3" i="4"/>
  <c r="AB7" i="4" s="1"/>
  <c r="AA3" i="4"/>
  <c r="AA7" i="4" s="1"/>
  <c r="Z3" i="4"/>
  <c r="Z7" i="4" s="1"/>
  <c r="Y3" i="4"/>
  <c r="Y6" i="4" s="1"/>
  <c r="X3" i="4"/>
  <c r="X6" i="4" s="1"/>
  <c r="W3" i="4"/>
  <c r="V44" i="7" s="1"/>
  <c r="V3" i="4"/>
  <c r="U3" i="4"/>
  <c r="T3" i="4"/>
  <c r="S3" i="4"/>
  <c r="S6" i="4" s="1"/>
  <c r="R3" i="4"/>
  <c r="Q3" i="4"/>
  <c r="P44" i="7" s="1"/>
  <c r="P3" i="4"/>
  <c r="O3" i="4"/>
  <c r="O7" i="4" s="1"/>
  <c r="N3" i="4"/>
  <c r="M44" i="7" s="1"/>
  <c r="M3" i="4"/>
  <c r="M7" i="4" s="1"/>
  <c r="L3" i="4"/>
  <c r="K3" i="4"/>
  <c r="J44" i="7" s="1"/>
  <c r="J3" i="4"/>
  <c r="I44" i="7" s="1"/>
  <c r="I3" i="4"/>
  <c r="H44" i="7" s="1"/>
  <c r="H3" i="4"/>
  <c r="G44" i="7" s="1"/>
  <c r="G3" i="4"/>
  <c r="G7" i="4" s="1"/>
  <c r="F3" i="4"/>
  <c r="F7" i="4" s="1"/>
  <c r="E3" i="4"/>
  <c r="E6" i="4" s="1"/>
  <c r="D3" i="4"/>
  <c r="D7" i="4" s="1"/>
  <c r="D78" i="3"/>
  <c r="D77" i="3"/>
  <c r="D76" i="3"/>
  <c r="D75" i="3"/>
  <c r="F50" i="3"/>
  <c r="F49" i="3"/>
  <c r="F48" i="3"/>
  <c r="F47" i="3"/>
  <c r="F46" i="3"/>
  <c r="F45" i="3"/>
  <c r="D41" i="3"/>
  <c r="C41" i="3"/>
  <c r="H56" i="2" s="1"/>
  <c r="E31" i="3"/>
  <c r="D31" i="3"/>
  <c r="F30" i="3"/>
  <c r="R30" i="3" s="1"/>
  <c r="R29" i="3"/>
  <c r="F29" i="3"/>
  <c r="F28" i="3"/>
  <c r="R28" i="3" s="1"/>
  <c r="F27" i="3"/>
  <c r="R27" i="3" s="1"/>
  <c r="R26" i="3"/>
  <c r="F26" i="3"/>
  <c r="F31" i="3" s="1"/>
  <c r="C22" i="3"/>
  <c r="C204" i="9" s="1"/>
  <c r="C19" i="3"/>
  <c r="C9" i="3"/>
  <c r="C49" i="2" s="1"/>
  <c r="E63" i="2"/>
  <c r="H60" i="2"/>
  <c r="C60" i="2"/>
  <c r="H59" i="2"/>
  <c r="C59" i="2"/>
  <c r="C56" i="2"/>
  <c r="H49" i="2"/>
  <c r="H48" i="2"/>
  <c r="C47" i="2"/>
  <c r="E21" i="2"/>
  <c r="D21" i="2"/>
  <c r="C21" i="2"/>
  <c r="H13" i="2"/>
  <c r="C13" i="2"/>
  <c r="H12" i="2"/>
  <c r="H9" i="2"/>
  <c r="H8" i="2"/>
  <c r="C8" i="2"/>
  <c r="B5" i="2"/>
  <c r="H25" i="1"/>
  <c r="B25" i="1"/>
  <c r="H22" i="1"/>
  <c r="C19" i="1"/>
  <c r="C18" i="1"/>
  <c r="C17" i="1"/>
  <c r="C16" i="1"/>
  <c r="E14" i="1"/>
  <c r="E13" i="1"/>
  <c r="J9" i="1"/>
  <c r="B4" i="1"/>
  <c r="C15" i="1" l="1"/>
  <c r="C19" i="2"/>
  <c r="C22" i="2" s="1"/>
  <c r="H11" i="2"/>
  <c r="H7" i="4"/>
  <c r="T66" i="9"/>
  <c r="I7" i="4"/>
  <c r="Z66" i="9"/>
  <c r="J7" i="4"/>
  <c r="S7" i="4"/>
  <c r="S8" i="4" s="1"/>
  <c r="E67" i="9"/>
  <c r="J18" i="5"/>
  <c r="G130" i="9"/>
  <c r="D10" i="5"/>
  <c r="D11" i="5" s="1"/>
  <c r="E11" i="5" s="1"/>
  <c r="F11" i="5" s="1"/>
  <c r="G11" i="5" s="1"/>
  <c r="K18" i="5"/>
  <c r="L18" i="5"/>
  <c r="M18" i="5"/>
  <c r="N18" i="5"/>
  <c r="G66" i="9"/>
  <c r="X8" i="4"/>
  <c r="G6" i="4"/>
  <c r="G8" i="4" s="1"/>
  <c r="F34" i="4"/>
  <c r="R18" i="5"/>
  <c r="H6" i="4"/>
  <c r="H8" i="4" s="1"/>
  <c r="E44" i="7"/>
  <c r="K6" i="4"/>
  <c r="J34" i="4"/>
  <c r="M6" i="4"/>
  <c r="M8" i="4" s="1"/>
  <c r="F44" i="7"/>
  <c r="I6" i="4"/>
  <c r="I8" i="4" s="1"/>
  <c r="J6" i="4"/>
  <c r="J8" i="4" s="1"/>
  <c r="L44" i="7"/>
  <c r="O18" i="5"/>
  <c r="Z6" i="4"/>
  <c r="Z8" i="4" s="1"/>
  <c r="G33" i="4"/>
  <c r="O10" i="5"/>
  <c r="R44" i="7"/>
  <c r="M60" i="9"/>
  <c r="M66" i="9" s="1"/>
  <c r="Q6" i="4"/>
  <c r="D17" i="5"/>
  <c r="H18" i="5"/>
  <c r="AB60" i="9"/>
  <c r="AB66" i="9" s="1"/>
  <c r="H10" i="5"/>
  <c r="H17" i="5"/>
  <c r="F17" i="5"/>
  <c r="I17" i="5"/>
  <c r="I10" i="5"/>
  <c r="P18" i="5"/>
  <c r="G17" i="5"/>
  <c r="H47" i="2"/>
  <c r="W18" i="5"/>
  <c r="U18" i="5"/>
  <c r="J17" i="5"/>
  <c r="J10" i="5"/>
  <c r="AB6" i="4"/>
  <c r="AB8" i="4" s="1"/>
  <c r="E7" i="4"/>
  <c r="E8" i="4" s="1"/>
  <c r="V18" i="5"/>
  <c r="D32" i="4"/>
  <c r="D31" i="4"/>
  <c r="D33" i="4"/>
  <c r="G18" i="5"/>
  <c r="K7" i="4"/>
  <c r="E31" i="4"/>
  <c r="E32" i="4"/>
  <c r="I18" i="5"/>
  <c r="L130" i="9"/>
  <c r="L60" i="9"/>
  <c r="L66" i="9" s="1"/>
  <c r="L67" i="9"/>
  <c r="D80" i="3"/>
  <c r="AA6" i="4"/>
  <c r="AA8" i="4" s="1"/>
  <c r="L6" i="4"/>
  <c r="K44" i="7"/>
  <c r="L7" i="4"/>
  <c r="N6" i="4"/>
  <c r="N7" i="4"/>
  <c r="Q7" i="4"/>
  <c r="Q18" i="5"/>
  <c r="K10" i="5"/>
  <c r="K17" i="5"/>
  <c r="O6" i="4"/>
  <c r="O8" i="4" s="1"/>
  <c r="N44" i="7"/>
  <c r="O44" i="7"/>
  <c r="P7" i="4"/>
  <c r="P8" i="4" s="1"/>
  <c r="R31" i="3"/>
  <c r="J27" i="3" s="1"/>
  <c r="Y7" i="4"/>
  <c r="Y8" i="4" s="1"/>
  <c r="E34" i="4"/>
  <c r="S10" i="5"/>
  <c r="T18" i="5"/>
  <c r="R6" i="4"/>
  <c r="R8" i="4" s="1"/>
  <c r="Q44" i="7"/>
  <c r="T6" i="4"/>
  <c r="S44" i="7"/>
  <c r="T7" i="4"/>
  <c r="D44" i="7"/>
  <c r="U6" i="4"/>
  <c r="U8" i="4" s="1"/>
  <c r="T44" i="7"/>
  <c r="D18" i="5"/>
  <c r="U10" i="5"/>
  <c r="U44" i="7"/>
  <c r="V6" i="4"/>
  <c r="V7" i="4"/>
  <c r="D8" i="4"/>
  <c r="E18" i="5"/>
  <c r="F18" i="5"/>
  <c r="O130" i="9"/>
  <c r="V130" i="9"/>
  <c r="F67" i="9"/>
  <c r="AB134" i="9"/>
  <c r="U60" i="9"/>
  <c r="U66" i="9" s="1"/>
  <c r="V60" i="9"/>
  <c r="V66" i="9" s="1"/>
  <c r="I67" i="9"/>
  <c r="U130" i="9"/>
  <c r="W60" i="9"/>
  <c r="W66" i="9" s="1"/>
  <c r="W130" i="9"/>
  <c r="X60" i="9"/>
  <c r="X66" i="9" s="1"/>
  <c r="Y60" i="9"/>
  <c r="Y66" i="9" s="1"/>
  <c r="U67" i="9"/>
  <c r="AA60" i="9"/>
  <c r="AA66" i="9" s="1"/>
  <c r="V67" i="9"/>
  <c r="W67" i="9"/>
  <c r="X67" i="9"/>
  <c r="S18" i="5"/>
  <c r="Y67" i="9"/>
  <c r="AA10" i="5"/>
  <c r="Z67" i="9"/>
  <c r="F8" i="4"/>
  <c r="M17" i="5"/>
  <c r="AB175" i="9"/>
  <c r="AB87" i="9"/>
  <c r="F60" i="9"/>
  <c r="F66" i="9" s="1"/>
  <c r="H60" i="9"/>
  <c r="H66" i="9" s="1"/>
  <c r="J60" i="9"/>
  <c r="J66" i="9" s="1"/>
  <c r="W7" i="4"/>
  <c r="I60" i="9"/>
  <c r="I66" i="9" s="1"/>
  <c r="F130" i="9"/>
  <c r="K60" i="9"/>
  <c r="K66" i="9" s="1"/>
  <c r="M68" i="9"/>
  <c r="N67" i="9"/>
  <c r="H130" i="9"/>
  <c r="O67" i="9"/>
  <c r="P67" i="9"/>
  <c r="P130" i="9"/>
  <c r="N60" i="9"/>
  <c r="N66" i="9" s="1"/>
  <c r="J130" i="9"/>
  <c r="Q67" i="9"/>
  <c r="X134" i="9"/>
  <c r="X190" i="9"/>
  <c r="O60" i="9"/>
  <c r="O66" i="9" s="1"/>
  <c r="K130" i="9"/>
  <c r="L10" i="5"/>
  <c r="C27" i="8"/>
  <c r="R67" i="9"/>
  <c r="R130" i="9"/>
  <c r="Y134" i="9"/>
  <c r="Y190" i="9"/>
  <c r="P60" i="9"/>
  <c r="P66" i="9" s="1"/>
  <c r="W6" i="4"/>
  <c r="Z134" i="9"/>
  <c r="Z190" i="9"/>
  <c r="Q60" i="9"/>
  <c r="Q66" i="9" s="1"/>
  <c r="M130" i="9"/>
  <c r="T67" i="9"/>
  <c r="T68" i="9" s="1"/>
  <c r="T130" i="9"/>
  <c r="AA134" i="9"/>
  <c r="AA190" i="9"/>
  <c r="R60" i="9"/>
  <c r="R66" i="9" s="1"/>
  <c r="N130" i="9"/>
  <c r="G67" i="9"/>
  <c r="G68" i="9" s="1"/>
  <c r="D60" i="9"/>
  <c r="D66" i="9" s="1"/>
  <c r="E60" i="9"/>
  <c r="E66" i="9" s="1"/>
  <c r="Q8" i="4" l="1"/>
  <c r="N8" i="4"/>
  <c r="D12" i="5"/>
  <c r="D13" i="5" s="1"/>
  <c r="V8" i="4"/>
  <c r="AA67" i="9"/>
  <c r="K8" i="4"/>
  <c r="D15" i="5"/>
  <c r="E12" i="5"/>
  <c r="E13" i="5" s="1"/>
  <c r="H47" i="7"/>
  <c r="G47" i="7"/>
  <c r="F47" i="7"/>
  <c r="E47" i="7"/>
  <c r="D47" i="7"/>
  <c r="C47" i="7"/>
  <c r="E7" i="6"/>
  <c r="E8" i="6" s="1"/>
  <c r="D7" i="6"/>
  <c r="D8" i="6" s="1"/>
  <c r="C7" i="6"/>
  <c r="C8" i="6" s="1"/>
  <c r="C112" i="9"/>
  <c r="C118" i="9" s="1"/>
  <c r="V47" i="7"/>
  <c r="U47" i="7"/>
  <c r="T47" i="7"/>
  <c r="S47" i="7"/>
  <c r="Q47" i="7"/>
  <c r="N47" i="7"/>
  <c r="L47" i="7"/>
  <c r="K47" i="7"/>
  <c r="J47" i="7"/>
  <c r="I47" i="7"/>
  <c r="D22" i="2"/>
  <c r="E19" i="2"/>
  <c r="D19" i="2"/>
  <c r="C25" i="6"/>
  <c r="C14" i="1"/>
  <c r="R47" i="7"/>
  <c r="C13" i="1"/>
  <c r="P47" i="7"/>
  <c r="O47" i="7"/>
  <c r="J26" i="3"/>
  <c r="M47" i="7"/>
  <c r="H10" i="2"/>
  <c r="C72" i="3"/>
  <c r="J68" i="9"/>
  <c r="W68" i="9"/>
  <c r="C29" i="6"/>
  <c r="AB67" i="9"/>
  <c r="AB68" i="9" s="1"/>
  <c r="U68" i="9"/>
  <c r="T8" i="4"/>
  <c r="J28" i="3"/>
  <c r="O68" i="9"/>
  <c r="E39" i="6"/>
  <c r="C70" i="2"/>
  <c r="H66" i="2"/>
  <c r="Z68" i="9"/>
  <c r="C26" i="6"/>
  <c r="C28" i="6"/>
  <c r="H68" i="9"/>
  <c r="V68" i="9"/>
  <c r="AA68" i="9"/>
  <c r="D77" i="8"/>
  <c r="D81" i="3"/>
  <c r="D76" i="9" s="1"/>
  <c r="C73" i="2"/>
  <c r="R68" i="9"/>
  <c r="J30" i="3"/>
  <c r="L8" i="4"/>
  <c r="F68" i="9"/>
  <c r="I68" i="9"/>
  <c r="L68" i="9"/>
  <c r="C27" i="6"/>
  <c r="P68" i="9"/>
  <c r="W8" i="4"/>
  <c r="Q68" i="9"/>
  <c r="X68" i="9"/>
  <c r="H11" i="5"/>
  <c r="I11" i="5" s="1"/>
  <c r="J11" i="5" s="1"/>
  <c r="K11" i="5" s="1"/>
  <c r="L11" i="5" s="1"/>
  <c r="M11" i="5" s="1"/>
  <c r="N11" i="5" s="1"/>
  <c r="O11" i="5" s="1"/>
  <c r="P11" i="5" s="1"/>
  <c r="Q11" i="5" s="1"/>
  <c r="R11" i="5" s="1"/>
  <c r="S11" i="5" s="1"/>
  <c r="T11" i="5" s="1"/>
  <c r="U11" i="5" s="1"/>
  <c r="V11" i="5" s="1"/>
  <c r="W11" i="5" s="1"/>
  <c r="X11" i="5" s="1"/>
  <c r="Y11" i="5" s="1"/>
  <c r="Z11" i="5" s="1"/>
  <c r="AA11" i="5" s="1"/>
  <c r="AB11" i="5" s="1"/>
  <c r="N68" i="9"/>
  <c r="D68" i="9"/>
  <c r="K68" i="9"/>
  <c r="Y68" i="9"/>
  <c r="E68" i="9"/>
  <c r="J29" i="3"/>
  <c r="H76" i="9" l="1"/>
  <c r="E76" i="9"/>
  <c r="E15" i="5"/>
  <c r="F12" i="5"/>
  <c r="F13" i="5" s="1"/>
  <c r="C24" i="8"/>
  <c r="D78" i="8"/>
  <c r="C48" i="2"/>
  <c r="K76" i="9"/>
  <c r="W76" i="9"/>
  <c r="I76" i="9"/>
  <c r="J76" i="9"/>
  <c r="X76" i="9"/>
  <c r="U76" i="9"/>
  <c r="P76" i="9"/>
  <c r="Q76" i="9"/>
  <c r="V76" i="9"/>
  <c r="AA76" i="9"/>
  <c r="Y76" i="9"/>
  <c r="Z76" i="9"/>
  <c r="F76" i="9"/>
  <c r="O76" i="9"/>
  <c r="G76" i="9"/>
  <c r="T76" i="9"/>
  <c r="M76" i="9"/>
  <c r="R76" i="9"/>
  <c r="AB76" i="9"/>
  <c r="L76" i="9"/>
  <c r="G123" i="9"/>
  <c r="G129" i="9" s="1"/>
  <c r="G131" i="9" s="1"/>
  <c r="E123" i="9"/>
  <c r="E129" i="9" s="1"/>
  <c r="E131" i="9" s="1"/>
  <c r="D123" i="9"/>
  <c r="D129" i="9" s="1"/>
  <c r="D131" i="9" s="1"/>
  <c r="Z123" i="9"/>
  <c r="L123" i="9"/>
  <c r="L129" i="9" s="1"/>
  <c r="L131" i="9" s="1"/>
  <c r="I123" i="9"/>
  <c r="I129" i="9" s="1"/>
  <c r="I131" i="9" s="1"/>
  <c r="U123" i="9"/>
  <c r="U129" i="9" s="1"/>
  <c r="U131" i="9" s="1"/>
  <c r="S123" i="9"/>
  <c r="S129" i="9" s="1"/>
  <c r="S131" i="9" s="1"/>
  <c r="K123" i="9"/>
  <c r="K129" i="9" s="1"/>
  <c r="K131" i="9" s="1"/>
  <c r="F123" i="9"/>
  <c r="F129" i="9" s="1"/>
  <c r="F131" i="9" s="1"/>
  <c r="T123" i="9"/>
  <c r="T129" i="9" s="1"/>
  <c r="T131" i="9" s="1"/>
  <c r="Q123" i="9"/>
  <c r="Q129" i="9" s="1"/>
  <c r="Q131" i="9" s="1"/>
  <c r="R123" i="9"/>
  <c r="R129" i="9" s="1"/>
  <c r="R131" i="9" s="1"/>
  <c r="O123" i="9"/>
  <c r="O129" i="9" s="1"/>
  <c r="O131" i="9" s="1"/>
  <c r="W123" i="9"/>
  <c r="W129" i="9" s="1"/>
  <c r="W131" i="9" s="1"/>
  <c r="Y123" i="9"/>
  <c r="AA123" i="9"/>
  <c r="M123" i="9"/>
  <c r="M129" i="9" s="1"/>
  <c r="M131" i="9" s="1"/>
  <c r="P123" i="9"/>
  <c r="P129" i="9" s="1"/>
  <c r="P131" i="9" s="1"/>
  <c r="V123" i="9"/>
  <c r="V129" i="9" s="1"/>
  <c r="V131" i="9" s="1"/>
  <c r="H123" i="9"/>
  <c r="H129" i="9" s="1"/>
  <c r="H131" i="9" s="1"/>
  <c r="N123" i="9"/>
  <c r="N129" i="9" s="1"/>
  <c r="N131" i="9" s="1"/>
  <c r="J123" i="9"/>
  <c r="J129" i="9" s="1"/>
  <c r="J131" i="9" s="1"/>
  <c r="AB123" i="9"/>
  <c r="X123" i="9"/>
  <c r="N76" i="9"/>
  <c r="E72" i="3"/>
  <c r="Z56" i="9"/>
  <c r="P55" i="9"/>
  <c r="I55" i="9"/>
  <c r="I57" i="9" s="1"/>
  <c r="I83" i="9" s="1"/>
  <c r="I22" i="4" s="1"/>
  <c r="U56" i="9"/>
  <c r="L55" i="9"/>
  <c r="G56" i="9"/>
  <c r="AA55" i="9"/>
  <c r="U55" i="9"/>
  <c r="U57" i="9" s="1"/>
  <c r="U83" i="9" s="1"/>
  <c r="U22" i="4" s="1"/>
  <c r="S55" i="9"/>
  <c r="K55" i="9"/>
  <c r="Z55" i="9"/>
  <c r="M56" i="9"/>
  <c r="I56" i="9"/>
  <c r="S56" i="9"/>
  <c r="Y55" i="9"/>
  <c r="J56" i="9"/>
  <c r="N56" i="9"/>
  <c r="D56" i="9"/>
  <c r="L56" i="9"/>
  <c r="M55" i="9"/>
  <c r="M57" i="9" s="1"/>
  <c r="M83" i="9" s="1"/>
  <c r="M22" i="4" s="1"/>
  <c r="J55" i="9"/>
  <c r="J57" i="9" s="1"/>
  <c r="J83" i="9" s="1"/>
  <c r="J22" i="4" s="1"/>
  <c r="N55" i="9"/>
  <c r="N57" i="9" s="1"/>
  <c r="N83" i="9" s="1"/>
  <c r="N22" i="4" s="1"/>
  <c r="E56" i="9"/>
  <c r="V56" i="9"/>
  <c r="Q55" i="9"/>
  <c r="Q57" i="9" s="1"/>
  <c r="Q83" i="9" s="1"/>
  <c r="Q22" i="4" s="1"/>
  <c r="W55" i="9"/>
  <c r="T56" i="9"/>
  <c r="R55" i="9"/>
  <c r="X55" i="9"/>
  <c r="Y56" i="9"/>
  <c r="R56" i="9"/>
  <c r="W56" i="9"/>
  <c r="K56" i="9"/>
  <c r="G55" i="9"/>
  <c r="X56" i="9"/>
  <c r="T55" i="9"/>
  <c r="P56" i="9"/>
  <c r="H56" i="9"/>
  <c r="F55" i="9"/>
  <c r="F56" i="9"/>
  <c r="E55" i="9"/>
  <c r="H55" i="9"/>
  <c r="AB56" i="9"/>
  <c r="D55" i="9"/>
  <c r="AA56" i="9"/>
  <c r="V55" i="9"/>
  <c r="O55" i="9"/>
  <c r="AB55" i="9"/>
  <c r="AB57" i="9" s="1"/>
  <c r="AB83" i="9" s="1"/>
  <c r="AB22" i="4" s="1"/>
  <c r="O56" i="9"/>
  <c r="Q56" i="9"/>
  <c r="S76" i="9"/>
  <c r="C30" i="6"/>
  <c r="P57" i="9" l="1"/>
  <c r="P83" i="9" s="1"/>
  <c r="P22" i="4" s="1"/>
  <c r="G57" i="9"/>
  <c r="G83" i="9" s="1"/>
  <c r="G22" i="4" s="1"/>
  <c r="F15" i="5"/>
  <c r="G12" i="5"/>
  <c r="G13" i="5" s="1"/>
  <c r="Z129" i="9"/>
  <c r="Z130" i="9"/>
  <c r="W74" i="9"/>
  <c r="W75" i="9"/>
  <c r="W73" i="9"/>
  <c r="W71" i="9"/>
  <c r="W72" i="9"/>
  <c r="R57" i="9"/>
  <c r="R83" i="9" s="1"/>
  <c r="R22" i="4" s="1"/>
  <c r="R74" i="9"/>
  <c r="R72" i="9"/>
  <c r="R75" i="9"/>
  <c r="R73" i="9"/>
  <c r="R71" i="9"/>
  <c r="X129" i="9"/>
  <c r="X130" i="9"/>
  <c r="E72" i="9"/>
  <c r="E74" i="9"/>
  <c r="E75" i="9"/>
  <c r="E73" i="9"/>
  <c r="E71" i="9"/>
  <c r="E77" i="9" s="1"/>
  <c r="E132" i="9" s="1"/>
  <c r="X57" i="9"/>
  <c r="X83" i="9" s="1"/>
  <c r="X22" i="4" s="1"/>
  <c r="L73" i="9"/>
  <c r="L74" i="9"/>
  <c r="L72" i="9"/>
  <c r="L75" i="9"/>
  <c r="L71" i="9"/>
  <c r="N73" i="9"/>
  <c r="N74" i="9"/>
  <c r="N72" i="9"/>
  <c r="N75" i="9"/>
  <c r="N71" i="9"/>
  <c r="X75" i="9"/>
  <c r="X73" i="9"/>
  <c r="X71" i="9"/>
  <c r="X72" i="9"/>
  <c r="X74" i="9"/>
  <c r="V75" i="9"/>
  <c r="V73" i="9"/>
  <c r="V71" i="9"/>
  <c r="V74" i="9"/>
  <c r="V72" i="9"/>
  <c r="AB129" i="9"/>
  <c r="AB130" i="9"/>
  <c r="J73" i="9"/>
  <c r="J74" i="9"/>
  <c r="J72" i="9"/>
  <c r="J75" i="9"/>
  <c r="J71" i="9"/>
  <c r="J77" i="9" s="1"/>
  <c r="AA129" i="9"/>
  <c r="AA130" i="9"/>
  <c r="O57" i="9"/>
  <c r="O83" i="9" s="1"/>
  <c r="O22" i="4" s="1"/>
  <c r="Y57" i="9"/>
  <c r="Y83" i="9" s="1"/>
  <c r="Y22" i="4" s="1"/>
  <c r="Y129" i="9"/>
  <c r="Y130" i="9"/>
  <c r="S74" i="9"/>
  <c r="S72" i="9"/>
  <c r="S75" i="9"/>
  <c r="S73" i="9"/>
  <c r="S71" i="9"/>
  <c r="T74" i="9"/>
  <c r="T72" i="9"/>
  <c r="T75" i="9"/>
  <c r="T73" i="9"/>
  <c r="T71" i="9"/>
  <c r="I72" i="9"/>
  <c r="I73" i="9"/>
  <c r="I74" i="9"/>
  <c r="I75" i="9"/>
  <c r="I71" i="9"/>
  <c r="I77" i="9" s="1"/>
  <c r="W57" i="9"/>
  <c r="W83" i="9" s="1"/>
  <c r="W22" i="4" s="1"/>
  <c r="V57" i="9"/>
  <c r="V83" i="9" s="1"/>
  <c r="V22" i="4" s="1"/>
  <c r="M73" i="9"/>
  <c r="M74" i="9"/>
  <c r="M72" i="9"/>
  <c r="M75" i="9"/>
  <c r="M71" i="9"/>
  <c r="M77" i="9" s="1"/>
  <c r="Z57" i="9"/>
  <c r="Z83" i="9" s="1"/>
  <c r="Z22" i="4" s="1"/>
  <c r="K57" i="9"/>
  <c r="K83" i="9" s="1"/>
  <c r="K22" i="4" s="1"/>
  <c r="D57" i="9"/>
  <c r="D83" i="9" s="1"/>
  <c r="D22" i="4" s="1"/>
  <c r="E57" i="9"/>
  <c r="E83" i="9" s="1"/>
  <c r="E22" i="4" s="1"/>
  <c r="S57" i="9"/>
  <c r="S83" i="9" s="1"/>
  <c r="S22" i="4" s="1"/>
  <c r="Z75" i="9"/>
  <c r="Z73" i="9"/>
  <c r="Z71" i="9"/>
  <c r="Z72" i="9"/>
  <c r="Z74" i="9"/>
  <c r="AA75" i="9"/>
  <c r="AA71" i="9"/>
  <c r="AA73" i="9"/>
  <c r="AA72" i="9"/>
  <c r="AA74" i="9"/>
  <c r="F72" i="9"/>
  <c r="F74" i="9"/>
  <c r="F75" i="9"/>
  <c r="F73" i="9"/>
  <c r="F71" i="9"/>
  <c r="D72" i="9"/>
  <c r="D71" i="9"/>
  <c r="D74" i="9"/>
  <c r="D75" i="9"/>
  <c r="D73" i="9"/>
  <c r="AB75" i="9"/>
  <c r="AB71" i="9"/>
  <c r="AB72" i="9"/>
  <c r="AB73" i="9"/>
  <c r="AB74" i="9"/>
  <c r="F57" i="9"/>
  <c r="F83" i="9" s="1"/>
  <c r="F22" i="4" s="1"/>
  <c r="AA57" i="9"/>
  <c r="AA83" i="9" s="1"/>
  <c r="AA22" i="4" s="1"/>
  <c r="Y75" i="9"/>
  <c r="Y71" i="9"/>
  <c r="Y73" i="9"/>
  <c r="Y72" i="9"/>
  <c r="Y74" i="9"/>
  <c r="Q74" i="9"/>
  <c r="Q75" i="9"/>
  <c r="Q72" i="9"/>
  <c r="Q73" i="9"/>
  <c r="Q71" i="9"/>
  <c r="H74" i="9"/>
  <c r="H72" i="9"/>
  <c r="H75" i="9"/>
  <c r="H73" i="9"/>
  <c r="H71" i="9"/>
  <c r="G72" i="9"/>
  <c r="G73" i="9"/>
  <c r="G74" i="9"/>
  <c r="G75" i="9"/>
  <c r="G71" i="9"/>
  <c r="O75" i="9"/>
  <c r="O72" i="9"/>
  <c r="O73" i="9"/>
  <c r="O71" i="9"/>
  <c r="O74" i="9"/>
  <c r="H57" i="9"/>
  <c r="H83" i="9" s="1"/>
  <c r="H22" i="4" s="1"/>
  <c r="L57" i="9"/>
  <c r="L83" i="9" s="1"/>
  <c r="L22" i="4" s="1"/>
  <c r="I132" i="9"/>
  <c r="K73" i="9"/>
  <c r="K74" i="9"/>
  <c r="K72" i="9"/>
  <c r="K75" i="9"/>
  <c r="K71" i="9"/>
  <c r="P73" i="9"/>
  <c r="P74" i="9"/>
  <c r="P72" i="9"/>
  <c r="P75" i="9"/>
  <c r="P71" i="9"/>
  <c r="T57" i="9"/>
  <c r="T83" i="9" s="1"/>
  <c r="T22" i="4" s="1"/>
  <c r="U74" i="9"/>
  <c r="U75" i="9"/>
  <c r="U71" i="9"/>
  <c r="U73" i="9"/>
  <c r="U72" i="9"/>
  <c r="P77" i="9" l="1"/>
  <c r="P132" i="9" s="1"/>
  <c r="Q77" i="9"/>
  <c r="Q132" i="9" s="1"/>
  <c r="O77" i="9"/>
  <c r="G77" i="9"/>
  <c r="T77" i="9"/>
  <c r="T132" i="9" s="1"/>
  <c r="W77" i="9"/>
  <c r="N77" i="9"/>
  <c r="N132" i="9" s="1"/>
  <c r="E181" i="9"/>
  <c r="E182" i="9" s="1"/>
  <c r="E133" i="9"/>
  <c r="E134" i="9"/>
  <c r="G15" i="5"/>
  <c r="H12" i="5"/>
  <c r="H13" i="5" s="1"/>
  <c r="M19" i="4"/>
  <c r="M82" i="9"/>
  <c r="Y131" i="9"/>
  <c r="Y132" i="9" s="1"/>
  <c r="AB131" i="9"/>
  <c r="AB77" i="9"/>
  <c r="N181" i="9"/>
  <c r="N133" i="9"/>
  <c r="N134" i="9"/>
  <c r="X131" i="9"/>
  <c r="X132" i="9" s="1"/>
  <c r="E19" i="4"/>
  <c r="E82" i="9"/>
  <c r="D77" i="9"/>
  <c r="G19" i="4"/>
  <c r="G82" i="9"/>
  <c r="F77" i="9"/>
  <c r="W19" i="4"/>
  <c r="W82" i="9"/>
  <c r="T181" i="9"/>
  <c r="T133" i="9"/>
  <c r="T134" i="9"/>
  <c r="AA131" i="9"/>
  <c r="I19" i="4"/>
  <c r="I82" i="9"/>
  <c r="O19" i="4"/>
  <c r="O82" i="9"/>
  <c r="H77" i="9"/>
  <c r="X77" i="9"/>
  <c r="Q19" i="4"/>
  <c r="Q82" i="9"/>
  <c r="M132" i="9"/>
  <c r="G132" i="9"/>
  <c r="W132" i="9"/>
  <c r="J19" i="4"/>
  <c r="J82" i="9"/>
  <c r="V77" i="9"/>
  <c r="T19" i="4"/>
  <c r="T82" i="9"/>
  <c r="N19" i="4"/>
  <c r="N82" i="9"/>
  <c r="S77" i="9"/>
  <c r="Z131" i="9"/>
  <c r="Q181" i="9"/>
  <c r="Q133" i="9"/>
  <c r="Q134" i="9"/>
  <c r="J132" i="9"/>
  <c r="O132" i="9"/>
  <c r="R77" i="9"/>
  <c r="U77" i="9"/>
  <c r="AA77" i="9"/>
  <c r="P19" i="4"/>
  <c r="P82" i="9"/>
  <c r="I181" i="9"/>
  <c r="I133" i="9"/>
  <c r="I134" i="9"/>
  <c r="P181" i="9"/>
  <c r="P133" i="9"/>
  <c r="P134" i="9"/>
  <c r="Z77" i="9"/>
  <c r="K77" i="9"/>
  <c r="Y77" i="9"/>
  <c r="L77" i="9"/>
  <c r="AA132" i="9" l="1"/>
  <c r="I12" i="5"/>
  <c r="H15" i="5"/>
  <c r="I13" i="5"/>
  <c r="H19" i="4"/>
  <c r="H82" i="9"/>
  <c r="H132" i="9"/>
  <c r="I85" i="9"/>
  <c r="I166" i="9"/>
  <c r="I87" i="9"/>
  <c r="F19" i="4"/>
  <c r="F82" i="9"/>
  <c r="F132" i="9"/>
  <c r="D19" i="4"/>
  <c r="D82" i="9"/>
  <c r="D132" i="9"/>
  <c r="X181" i="9"/>
  <c r="X133" i="9"/>
  <c r="G181" i="9"/>
  <c r="G182" i="9" s="1"/>
  <c r="G133" i="9"/>
  <c r="G134" i="9"/>
  <c r="U19" i="4"/>
  <c r="U82" i="9"/>
  <c r="U132" i="9"/>
  <c r="G87" i="9"/>
  <c r="G85" i="9"/>
  <c r="G166" i="9"/>
  <c r="G167" i="9" s="1"/>
  <c r="S19" i="4"/>
  <c r="S82" i="9"/>
  <c r="S132" i="9"/>
  <c r="N85" i="9"/>
  <c r="N166" i="9"/>
  <c r="N87" i="9"/>
  <c r="T166" i="9"/>
  <c r="T85" i="9"/>
  <c r="T87" i="9"/>
  <c r="AB132" i="9"/>
  <c r="J85" i="9"/>
  <c r="J166" i="9"/>
  <c r="J87" i="9"/>
  <c r="O85" i="9"/>
  <c r="O166" i="9"/>
  <c r="O87" i="9"/>
  <c r="W166" i="9"/>
  <c r="W85" i="9"/>
  <c r="W87" i="9"/>
  <c r="O181" i="9"/>
  <c r="O133" i="9"/>
  <c r="O134" i="9"/>
  <c r="E85" i="9"/>
  <c r="E166" i="9"/>
  <c r="E167" i="9" s="1"/>
  <c r="E87" i="9"/>
  <c r="Z132" i="9"/>
  <c r="AB19" i="4"/>
  <c r="AB82" i="9"/>
  <c r="V19" i="4"/>
  <c r="V82" i="9"/>
  <c r="V132" i="9"/>
  <c r="W181" i="9"/>
  <c r="W133" i="9"/>
  <c r="W134" i="9"/>
  <c r="Q85" i="9"/>
  <c r="Q166" i="9"/>
  <c r="Q87" i="9"/>
  <c r="Z19" i="4"/>
  <c r="Z82" i="9"/>
  <c r="M85" i="9"/>
  <c r="M166" i="9"/>
  <c r="M87" i="9"/>
  <c r="AA181" i="9"/>
  <c r="AA133" i="9"/>
  <c r="P166" i="9"/>
  <c r="P85" i="9"/>
  <c r="P87" i="9"/>
  <c r="AA19" i="4"/>
  <c r="AA82" i="9"/>
  <c r="R19" i="4"/>
  <c r="R82" i="9"/>
  <c r="R132" i="9"/>
  <c r="J134" i="9"/>
  <c r="J181" i="9"/>
  <c r="J133" i="9"/>
  <c r="Y181" i="9"/>
  <c r="Y133" i="9"/>
  <c r="M181" i="9"/>
  <c r="M133" i="9"/>
  <c r="M134" i="9"/>
  <c r="L19" i="4"/>
  <c r="L82" i="9"/>
  <c r="L132" i="9"/>
  <c r="Y19" i="4"/>
  <c r="Y82" i="9"/>
  <c r="K19" i="4"/>
  <c r="K82" i="9"/>
  <c r="K132" i="9"/>
  <c r="X19" i="4"/>
  <c r="X82" i="9"/>
  <c r="E183" i="9"/>
  <c r="E184" i="9" s="1"/>
  <c r="E186" i="9" s="1"/>
  <c r="E188" i="9" s="1"/>
  <c r="E190" i="9" s="1"/>
  <c r="R181" i="9" l="1"/>
  <c r="R133" i="9"/>
  <c r="R134" i="9"/>
  <c r="E168" i="9"/>
  <c r="E169" i="9"/>
  <c r="E171" i="9" s="1"/>
  <c r="E173" i="9" s="1"/>
  <c r="X166" i="9"/>
  <c r="X85" i="9"/>
  <c r="K85" i="9"/>
  <c r="K87" i="9"/>
  <c r="K166" i="9"/>
  <c r="L85" i="9"/>
  <c r="L166" i="9"/>
  <c r="L87" i="9"/>
  <c r="H85" i="9"/>
  <c r="H166" i="9"/>
  <c r="H167" i="9" s="1"/>
  <c r="H87" i="9"/>
  <c r="Z181" i="9"/>
  <c r="Z133" i="9"/>
  <c r="G168" i="9"/>
  <c r="G169" i="9" s="1"/>
  <c r="G171" i="9" s="1"/>
  <c r="G173" i="9" s="1"/>
  <c r="U85" i="9"/>
  <c r="U166" i="9"/>
  <c r="U87" i="9"/>
  <c r="F181" i="9"/>
  <c r="F182" i="9" s="1"/>
  <c r="F133" i="9"/>
  <c r="F134" i="9"/>
  <c r="L134" i="9"/>
  <c r="L181" i="9"/>
  <c r="L133" i="9"/>
  <c r="I167" i="9"/>
  <c r="R166" i="9"/>
  <c r="R85" i="9"/>
  <c r="R87" i="9"/>
  <c r="AA166" i="9"/>
  <c r="AA85" i="9"/>
  <c r="U181" i="9"/>
  <c r="U133" i="9"/>
  <c r="U134" i="9"/>
  <c r="D85" i="9"/>
  <c r="D166" i="9"/>
  <c r="D167" i="9" s="1"/>
  <c r="D87" i="9"/>
  <c r="Y166" i="9"/>
  <c r="Y85" i="9"/>
  <c r="S181" i="9"/>
  <c r="S133" i="9"/>
  <c r="S134" i="9"/>
  <c r="I15" i="5"/>
  <c r="I182" i="9" s="1"/>
  <c r="J12" i="5"/>
  <c r="J13" i="5"/>
  <c r="G183" i="9"/>
  <c r="G184" i="9" s="1"/>
  <c r="G186" i="9" s="1"/>
  <c r="G188" i="9" s="1"/>
  <c r="G190" i="9" s="1"/>
  <c r="C200" i="9"/>
  <c r="C137" i="9"/>
  <c r="C138" i="9" s="1"/>
  <c r="D181" i="9"/>
  <c r="D182" i="9" s="1"/>
  <c r="D133" i="9"/>
  <c r="D134" i="9"/>
  <c r="K181" i="9"/>
  <c r="K133" i="9"/>
  <c r="K134" i="9"/>
  <c r="Z166" i="9"/>
  <c r="Z85" i="9"/>
  <c r="AB181" i="9"/>
  <c r="AB133" i="9"/>
  <c r="V181" i="9"/>
  <c r="V133" i="9"/>
  <c r="V134" i="9"/>
  <c r="AB166" i="9"/>
  <c r="AB85" i="9"/>
  <c r="S85" i="9"/>
  <c r="S166" i="9"/>
  <c r="S87" i="9"/>
  <c r="F85" i="9"/>
  <c r="F166" i="9"/>
  <c r="F167" i="9" s="1"/>
  <c r="F87" i="9"/>
  <c r="H134" i="9"/>
  <c r="H181" i="9"/>
  <c r="H182" i="9" s="1"/>
  <c r="H133" i="9"/>
  <c r="V166" i="9"/>
  <c r="V85" i="9"/>
  <c r="V87" i="9"/>
  <c r="G175" i="9" l="1"/>
  <c r="E175" i="9"/>
  <c r="C115" i="9"/>
  <c r="C199" i="9"/>
  <c r="C116" i="9"/>
  <c r="C117" i="9" s="1"/>
  <c r="H168" i="9"/>
  <c r="H169" i="9" s="1"/>
  <c r="H171" i="9" s="1"/>
  <c r="H173" i="9" s="1"/>
  <c r="D183" i="9"/>
  <c r="D184" i="9" s="1"/>
  <c r="D186" i="9" s="1"/>
  <c r="D188" i="9" s="1"/>
  <c r="D190" i="9" s="1"/>
  <c r="J15" i="5"/>
  <c r="K12" i="5"/>
  <c r="K13" i="5" s="1"/>
  <c r="I168" i="9"/>
  <c r="I169" i="9" s="1"/>
  <c r="I171" i="9" s="1"/>
  <c r="I173" i="9" s="1"/>
  <c r="C136" i="9"/>
  <c r="C139" i="9" s="1"/>
  <c r="D168" i="9"/>
  <c r="D169" i="9" s="1"/>
  <c r="D171" i="9" s="1"/>
  <c r="D173" i="9" s="1"/>
  <c r="H183" i="9"/>
  <c r="H184" i="9" s="1"/>
  <c r="H186" i="9" s="1"/>
  <c r="H188" i="9" s="1"/>
  <c r="H190" i="9" s="1"/>
  <c r="I183" i="9"/>
  <c r="I184" i="9" s="1"/>
  <c r="I186" i="9" s="1"/>
  <c r="I188" i="9" s="1"/>
  <c r="I190" i="9" s="1"/>
  <c r="F168" i="9"/>
  <c r="F169" i="9" s="1"/>
  <c r="F171" i="9" s="1"/>
  <c r="F173" i="9" s="1"/>
  <c r="F183" i="9"/>
  <c r="F184" i="9" s="1"/>
  <c r="F186" i="9" s="1"/>
  <c r="F188" i="9" s="1"/>
  <c r="F190" i="9" s="1"/>
  <c r="D175" i="9" l="1"/>
  <c r="I175" i="9"/>
  <c r="K15" i="5"/>
  <c r="L12" i="5"/>
  <c r="L13" i="5" s="1"/>
  <c r="H175" i="9"/>
  <c r="E79" i="8"/>
  <c r="C79" i="8"/>
  <c r="C119" i="9"/>
  <c r="C8" i="9"/>
  <c r="C140" i="9"/>
  <c r="C202" i="9"/>
  <c r="C81" i="8"/>
  <c r="E81" i="8"/>
  <c r="J182" i="9"/>
  <c r="J167" i="9"/>
  <c r="F175" i="9"/>
  <c r="C201" i="9"/>
  <c r="C203" i="9" s="1"/>
  <c r="L15" i="5" l="1"/>
  <c r="M12" i="5"/>
  <c r="M13" i="5"/>
  <c r="J168" i="9"/>
  <c r="J169" i="9"/>
  <c r="J171" i="9" s="1"/>
  <c r="J173" i="9" s="1"/>
  <c r="E12" i="6"/>
  <c r="D12" i="6"/>
  <c r="C205" i="9"/>
  <c r="C12" i="6"/>
  <c r="J183" i="9"/>
  <c r="J184" i="9" s="1"/>
  <c r="J186" i="9" s="1"/>
  <c r="J188" i="9" s="1"/>
  <c r="J190" i="9" s="1"/>
  <c r="C7" i="9"/>
  <c r="D10" i="6"/>
  <c r="E10" i="6"/>
  <c r="C10" i="6"/>
  <c r="K182" i="9"/>
  <c r="K167" i="9"/>
  <c r="K168" i="9" l="1"/>
  <c r="K169" i="9" s="1"/>
  <c r="K171" i="9" s="1"/>
  <c r="K173" i="9" s="1"/>
  <c r="C28" i="9"/>
  <c r="D81" i="8"/>
  <c r="K183" i="9"/>
  <c r="K184" i="9" s="1"/>
  <c r="K186" i="9" s="1"/>
  <c r="K188" i="9" s="1"/>
  <c r="K190" i="9" s="1"/>
  <c r="C7" i="8"/>
  <c r="C26" i="9"/>
  <c r="D79" i="8"/>
  <c r="C20" i="9"/>
  <c r="C8" i="8"/>
  <c r="C11" i="9"/>
  <c r="C12" i="9" s="1"/>
  <c r="C18" i="9" s="1"/>
  <c r="J175" i="9"/>
  <c r="N12" i="5"/>
  <c r="N13" i="5" s="1"/>
  <c r="M15" i="5"/>
  <c r="L182" i="9"/>
  <c r="L167" i="9"/>
  <c r="K175" i="9" l="1"/>
  <c r="N15" i="5"/>
  <c r="O12" i="5"/>
  <c r="O13" i="5" s="1"/>
  <c r="L168" i="9"/>
  <c r="L169" i="9" s="1"/>
  <c r="L171" i="9" s="1"/>
  <c r="L173" i="9" s="1"/>
  <c r="L183" i="9"/>
  <c r="L184" i="9" s="1"/>
  <c r="L186" i="9" s="1"/>
  <c r="L188" i="9" s="1"/>
  <c r="L190" i="9" s="1"/>
  <c r="M167" i="9"/>
  <c r="M182" i="9"/>
  <c r="L175" i="9" l="1"/>
  <c r="P12" i="5"/>
  <c r="O15" i="5"/>
  <c r="P13" i="5"/>
  <c r="M168" i="9"/>
  <c r="M169" i="9" s="1"/>
  <c r="M171" i="9" s="1"/>
  <c r="M173" i="9" s="1"/>
  <c r="M183" i="9"/>
  <c r="M184" i="9" s="1"/>
  <c r="M186" i="9" s="1"/>
  <c r="M188" i="9" s="1"/>
  <c r="M190" i="9" s="1"/>
  <c r="N182" i="9"/>
  <c r="N167" i="9"/>
  <c r="M175" i="9" l="1"/>
  <c r="N183" i="9"/>
  <c r="N184" i="9"/>
  <c r="N186" i="9" s="1"/>
  <c r="N188" i="9" s="1"/>
  <c r="N190" i="9" s="1"/>
  <c r="N168" i="9"/>
  <c r="N169" i="9" s="1"/>
  <c r="N171" i="9" s="1"/>
  <c r="N173" i="9" s="1"/>
  <c r="P15" i="5"/>
  <c r="Q12" i="5"/>
  <c r="Q13" i="5" s="1"/>
  <c r="O167" i="9"/>
  <c r="O182" i="9"/>
  <c r="Q15" i="5" l="1"/>
  <c r="R12" i="5"/>
  <c r="R13" i="5"/>
  <c r="N175" i="9"/>
  <c r="P182" i="9"/>
  <c r="P167" i="9"/>
  <c r="O183" i="9"/>
  <c r="O184" i="9"/>
  <c r="O186" i="9" s="1"/>
  <c r="O188" i="9" s="1"/>
  <c r="O190" i="9" s="1"/>
  <c r="O168" i="9"/>
  <c r="O169" i="9" s="1"/>
  <c r="O171" i="9" s="1"/>
  <c r="O173" i="9" s="1"/>
  <c r="O175" i="9" l="1"/>
  <c r="P168" i="9"/>
  <c r="P169" i="9" s="1"/>
  <c r="P171" i="9" s="1"/>
  <c r="P173" i="9" s="1"/>
  <c r="P183" i="9"/>
  <c r="P184" i="9"/>
  <c r="P186" i="9" s="1"/>
  <c r="P188" i="9" s="1"/>
  <c r="P190" i="9" s="1"/>
  <c r="R15" i="5"/>
  <c r="S12" i="5"/>
  <c r="S13" i="5" s="1"/>
  <c r="Q182" i="9"/>
  <c r="Q167" i="9"/>
  <c r="S15" i="5" l="1"/>
  <c r="T12" i="5"/>
  <c r="T13" i="5"/>
  <c r="P175" i="9"/>
  <c r="Q168" i="9"/>
  <c r="Q169" i="9" s="1"/>
  <c r="Q171" i="9" s="1"/>
  <c r="Q173" i="9" s="1"/>
  <c r="Q183" i="9"/>
  <c r="Q184" i="9" s="1"/>
  <c r="Q186" i="9" s="1"/>
  <c r="Q188" i="9" s="1"/>
  <c r="Q190" i="9" s="1"/>
  <c r="R182" i="9"/>
  <c r="R167" i="9"/>
  <c r="Q175" i="9" l="1"/>
  <c r="R183" i="9"/>
  <c r="R184" i="9" s="1"/>
  <c r="R186" i="9" s="1"/>
  <c r="R188" i="9" s="1"/>
  <c r="R190" i="9" s="1"/>
  <c r="T15" i="5"/>
  <c r="U12" i="5"/>
  <c r="U13" i="5" s="1"/>
  <c r="R168" i="9"/>
  <c r="R169" i="9" s="1"/>
  <c r="R171" i="9" s="1"/>
  <c r="R173" i="9" s="1"/>
  <c r="S182" i="9"/>
  <c r="S167" i="9"/>
  <c r="U15" i="5" l="1"/>
  <c r="V12" i="5"/>
  <c r="V13" i="5" s="1"/>
  <c r="R175" i="9"/>
  <c r="S168" i="9"/>
  <c r="S169" i="9" s="1"/>
  <c r="S171" i="9" s="1"/>
  <c r="S173" i="9" s="1"/>
  <c r="S183" i="9"/>
  <c r="S184" i="9" s="1"/>
  <c r="S186" i="9" s="1"/>
  <c r="S188" i="9" s="1"/>
  <c r="S190" i="9" s="1"/>
  <c r="T182" i="9"/>
  <c r="T167" i="9"/>
  <c r="S175" i="9" l="1"/>
  <c r="W12" i="5"/>
  <c r="W13" i="5" s="1"/>
  <c r="V15" i="5"/>
  <c r="T183" i="9"/>
  <c r="T184" i="9" s="1"/>
  <c r="T186" i="9" s="1"/>
  <c r="T188" i="9" s="1"/>
  <c r="T190" i="9" s="1"/>
  <c r="T168" i="9"/>
  <c r="T169" i="9" s="1"/>
  <c r="T171" i="9" s="1"/>
  <c r="T173" i="9" s="1"/>
  <c r="U182" i="9"/>
  <c r="U167" i="9"/>
  <c r="T175" i="9" l="1"/>
  <c r="X12" i="5"/>
  <c r="W15" i="5"/>
  <c r="X13" i="5"/>
  <c r="W187" i="9"/>
  <c r="W172" i="9"/>
  <c r="U183" i="9"/>
  <c r="U184" i="9"/>
  <c r="U186" i="9" s="1"/>
  <c r="U188" i="9" s="1"/>
  <c r="U190" i="9" s="1"/>
  <c r="U168" i="9"/>
  <c r="U169" i="9" s="1"/>
  <c r="U171" i="9" s="1"/>
  <c r="U173" i="9" s="1"/>
  <c r="V167" i="9"/>
  <c r="V182" i="9"/>
  <c r="U175" i="9" l="1"/>
  <c r="V168" i="9"/>
  <c r="V169" i="9"/>
  <c r="V171" i="9" s="1"/>
  <c r="V173" i="9" s="1"/>
  <c r="V183" i="9"/>
  <c r="V184" i="9"/>
  <c r="V186" i="9" s="1"/>
  <c r="V188" i="9" s="1"/>
  <c r="V190" i="9" s="1"/>
  <c r="W182" i="9"/>
  <c r="W167" i="9"/>
  <c r="Y12" i="5"/>
  <c r="Y13" i="5" s="1"/>
  <c r="X15" i="5"/>
  <c r="Z12" i="5" l="1"/>
  <c r="Z13" i="5" s="1"/>
  <c r="Y15" i="5"/>
  <c r="X182" i="9"/>
  <c r="X167" i="9"/>
  <c r="W183" i="9"/>
  <c r="W184" i="9"/>
  <c r="W186" i="9" s="1"/>
  <c r="W188" i="9" s="1"/>
  <c r="W190" i="9" s="1"/>
  <c r="C192" i="9" s="1"/>
  <c r="W168" i="9"/>
  <c r="W169" i="9" s="1"/>
  <c r="W171" i="9" s="1"/>
  <c r="W173" i="9" s="1"/>
  <c r="V175" i="9"/>
  <c r="Y182" i="9" l="1"/>
  <c r="Y167" i="9"/>
  <c r="W175" i="9"/>
  <c r="C177" i="9" s="1"/>
  <c r="X168" i="9"/>
  <c r="X169" i="9"/>
  <c r="X171" i="9" s="1"/>
  <c r="X173" i="9" s="1"/>
  <c r="AA12" i="5"/>
  <c r="AA13" i="5" s="1"/>
  <c r="Z15" i="5"/>
  <c r="C193" i="9"/>
  <c r="X183" i="9"/>
  <c r="X184" i="9"/>
  <c r="X186" i="9" s="1"/>
  <c r="X188" i="9" s="1"/>
  <c r="AB12" i="5" l="1"/>
  <c r="AB13" i="5"/>
  <c r="AB15" i="5" s="1"/>
  <c r="AA15" i="5"/>
  <c r="Z167" i="9"/>
  <c r="Z182" i="9"/>
  <c r="E11" i="6"/>
  <c r="E14" i="6" s="1"/>
  <c r="D11" i="6"/>
  <c r="C11" i="6"/>
  <c r="C14" i="6" s="1"/>
  <c r="E80" i="8"/>
  <c r="E82" i="8" s="1"/>
  <c r="C80" i="8"/>
  <c r="C82" i="8" s="1"/>
  <c r="C17" i="8"/>
  <c r="Y168" i="9"/>
  <c r="Y169" i="9" s="1"/>
  <c r="Y171" i="9" s="1"/>
  <c r="Y173" i="9" s="1"/>
  <c r="Y183" i="9"/>
  <c r="Y184" i="9" s="1"/>
  <c r="Y186" i="9" s="1"/>
  <c r="Y188" i="9" s="1"/>
  <c r="C83" i="8" l="1"/>
  <c r="C84" i="8"/>
  <c r="C85" i="8" s="1"/>
  <c r="E83" i="8"/>
  <c r="E84" i="8"/>
  <c r="E85" i="8" s="1"/>
  <c r="C27" i="9"/>
  <c r="C30" i="9" s="1"/>
  <c r="D80" i="8"/>
  <c r="D82" i="8" s="1"/>
  <c r="C16" i="8"/>
  <c r="D14" i="6"/>
  <c r="C51" i="7"/>
  <c r="C54" i="2"/>
  <c r="B24" i="1"/>
  <c r="C16" i="6"/>
  <c r="H54" i="2" s="1"/>
  <c r="C15" i="6"/>
  <c r="AB182" i="9"/>
  <c r="AB167" i="9"/>
  <c r="E15" i="6"/>
  <c r="C55" i="2"/>
  <c r="E51" i="7"/>
  <c r="H24" i="1"/>
  <c r="E16" i="6"/>
  <c r="H55" i="2" s="1"/>
  <c r="Z183" i="9"/>
  <c r="Z184" i="9" s="1"/>
  <c r="Z186" i="9" s="1"/>
  <c r="Z188" i="9" s="1"/>
  <c r="Z168" i="9"/>
  <c r="Z169" i="9" s="1"/>
  <c r="Z171" i="9" s="1"/>
  <c r="Z173" i="9" s="1"/>
  <c r="AB43" i="8" s="1"/>
  <c r="AA182" i="9"/>
  <c r="AA167" i="9"/>
  <c r="AB64" i="8" l="1"/>
  <c r="AB69" i="8"/>
  <c r="AB65" i="8"/>
  <c r="AB70" i="8"/>
  <c r="AB68" i="8"/>
  <c r="AB67" i="8"/>
  <c r="AB66" i="8"/>
  <c r="D16" i="6"/>
  <c r="E24" i="1"/>
  <c r="D15" i="6"/>
  <c r="C14" i="4" s="1"/>
  <c r="D51" i="7"/>
  <c r="C53" i="2"/>
  <c r="B8" i="1"/>
  <c r="C13" i="4"/>
  <c r="C67" i="2"/>
  <c r="D25" i="6"/>
  <c r="D28" i="6"/>
  <c r="E28" i="6" s="1"/>
  <c r="D29" i="6"/>
  <c r="E29" i="6" s="1"/>
  <c r="D27" i="6"/>
  <c r="E27" i="6" s="1"/>
  <c r="D26" i="6"/>
  <c r="E26" i="6" s="1"/>
  <c r="I43" i="8"/>
  <c r="G43" i="8"/>
  <c r="F43" i="8"/>
  <c r="J43" i="8"/>
  <c r="K43" i="8"/>
  <c r="H43" i="8"/>
  <c r="C28" i="8"/>
  <c r="C29" i="8" s="1"/>
  <c r="C9" i="8"/>
  <c r="L43" i="8"/>
  <c r="M43" i="8"/>
  <c r="N43" i="8"/>
  <c r="O43" i="8"/>
  <c r="P43" i="8"/>
  <c r="Q43" i="8"/>
  <c r="R43" i="8"/>
  <c r="S43" i="8"/>
  <c r="T43" i="8"/>
  <c r="U43" i="8"/>
  <c r="V43" i="8"/>
  <c r="W43" i="8"/>
  <c r="X43" i="8"/>
  <c r="Y43" i="8"/>
  <c r="Z43" i="8"/>
  <c r="C18" i="8"/>
  <c r="D18" i="8" s="1"/>
  <c r="AB168" i="9"/>
  <c r="AB169" i="9"/>
  <c r="AB171" i="9" s="1"/>
  <c r="AB173" i="9" s="1"/>
  <c r="AA168" i="9"/>
  <c r="AA169" i="9"/>
  <c r="AA171" i="9" s="1"/>
  <c r="AA173" i="9" s="1"/>
  <c r="AA183" i="9"/>
  <c r="AA184" i="9"/>
  <c r="AA186" i="9" s="1"/>
  <c r="AA188" i="9" s="1"/>
  <c r="AB183" i="9"/>
  <c r="AB184" i="9" s="1"/>
  <c r="AB186" i="9" s="1"/>
  <c r="AB188" i="9" s="1"/>
  <c r="D83" i="8"/>
  <c r="D84" i="8"/>
  <c r="D85" i="8" s="1"/>
  <c r="AA43" i="8"/>
  <c r="D9" i="8" l="1"/>
  <c r="C36" i="6"/>
  <c r="C64" i="2"/>
  <c r="Z64" i="8"/>
  <c r="Z69" i="8"/>
  <c r="Z70" i="8"/>
  <c r="Z67" i="8"/>
  <c r="Z68" i="8"/>
  <c r="Z66" i="8"/>
  <c r="Z65" i="8"/>
  <c r="O67" i="8"/>
  <c r="O66" i="8"/>
  <c r="O69" i="8"/>
  <c r="O65" i="8"/>
  <c r="O70" i="8"/>
  <c r="O68" i="8"/>
  <c r="O64" i="8"/>
  <c r="L67" i="8"/>
  <c r="L68" i="8"/>
  <c r="L66" i="8"/>
  <c r="L64" i="8"/>
  <c r="L69" i="8"/>
  <c r="L65" i="8"/>
  <c r="L70" i="8"/>
  <c r="K66" i="8"/>
  <c r="K67" i="8"/>
  <c r="K68" i="8"/>
  <c r="K64" i="8"/>
  <c r="K69" i="8"/>
  <c r="K70" i="8"/>
  <c r="K65" i="8"/>
  <c r="AA64" i="8"/>
  <c r="AA69" i="8"/>
  <c r="AA65" i="8"/>
  <c r="AA67" i="8"/>
  <c r="AA70" i="8"/>
  <c r="AA66" i="8"/>
  <c r="AA68" i="8"/>
  <c r="I66" i="8"/>
  <c r="I67" i="8"/>
  <c r="I70" i="8"/>
  <c r="I68" i="8"/>
  <c r="I64" i="8"/>
  <c r="I65" i="8"/>
  <c r="I69" i="8"/>
  <c r="W68" i="8"/>
  <c r="W64" i="8"/>
  <c r="W69" i="8"/>
  <c r="W65" i="8"/>
  <c r="W70" i="8"/>
  <c r="W66" i="8"/>
  <c r="W67" i="8"/>
  <c r="M67" i="8"/>
  <c r="M64" i="8"/>
  <c r="M70" i="8"/>
  <c r="M68" i="8"/>
  <c r="M69" i="8"/>
  <c r="M66" i="8"/>
  <c r="M65" i="8"/>
  <c r="H66" i="8"/>
  <c r="H70" i="8"/>
  <c r="H68" i="8"/>
  <c r="H64" i="8"/>
  <c r="H69" i="8"/>
  <c r="H67" i="8"/>
  <c r="H65" i="8"/>
  <c r="G70" i="8"/>
  <c r="G68" i="8"/>
  <c r="G66" i="8"/>
  <c r="G64" i="8"/>
  <c r="G69" i="8"/>
  <c r="G65" i="8"/>
  <c r="G67" i="8"/>
  <c r="AC43" i="8"/>
  <c r="Y68" i="8"/>
  <c r="Y69" i="8"/>
  <c r="Y64" i="8"/>
  <c r="Y67" i="8"/>
  <c r="Y65" i="8"/>
  <c r="Y70" i="8"/>
  <c r="Y66" i="8"/>
  <c r="U66" i="8"/>
  <c r="U64" i="8"/>
  <c r="U69" i="8"/>
  <c r="U67" i="8"/>
  <c r="U70" i="8"/>
  <c r="U68" i="8"/>
  <c r="U65" i="8"/>
  <c r="N66" i="8"/>
  <c r="N64" i="8"/>
  <c r="N69" i="8"/>
  <c r="N67" i="8"/>
  <c r="N68" i="8"/>
  <c r="N70" i="8"/>
  <c r="N65" i="8"/>
  <c r="AD43" i="8"/>
  <c r="K17" i="4"/>
  <c r="D17" i="4"/>
  <c r="S16" i="4"/>
  <c r="S36" i="4" s="1"/>
  <c r="H17" i="4"/>
  <c r="M17" i="4"/>
  <c r="J17" i="4"/>
  <c r="S17" i="4"/>
  <c r="M16" i="4"/>
  <c r="M30" i="4" s="1"/>
  <c r="M35" i="4" s="1"/>
  <c r="M36" i="4" s="1"/>
  <c r="S18" i="4"/>
  <c r="Z16" i="4"/>
  <c r="Z36" i="4" s="1"/>
  <c r="G16" i="4"/>
  <c r="G30" i="4" s="1"/>
  <c r="G35" i="4" s="1"/>
  <c r="G36" i="4" s="1"/>
  <c r="T16" i="4"/>
  <c r="T36" i="4" s="1"/>
  <c r="E17" i="4"/>
  <c r="O16" i="4"/>
  <c r="O36" i="4" s="1"/>
  <c r="F16" i="4"/>
  <c r="F30" i="4" s="1"/>
  <c r="F35" i="4" s="1"/>
  <c r="F36" i="4" s="1"/>
  <c r="Y16" i="4"/>
  <c r="Y36" i="4" s="1"/>
  <c r="E16" i="4"/>
  <c r="E30" i="4" s="1"/>
  <c r="E35" i="4" s="1"/>
  <c r="E36" i="4" s="1"/>
  <c r="P17" i="4"/>
  <c r="T18" i="4"/>
  <c r="Y17" i="4"/>
  <c r="I16" i="4"/>
  <c r="I30" i="4" s="1"/>
  <c r="I35" i="4" s="1"/>
  <c r="I36" i="4" s="1"/>
  <c r="L16" i="4"/>
  <c r="L30" i="4" s="1"/>
  <c r="L35" i="4" s="1"/>
  <c r="L36" i="4" s="1"/>
  <c r="P16" i="4"/>
  <c r="P36" i="4" s="1"/>
  <c r="H16" i="4"/>
  <c r="H30" i="4" s="1"/>
  <c r="H35" i="4" s="1"/>
  <c r="H36" i="4" s="1"/>
  <c r="Q16" i="4"/>
  <c r="Q36" i="4" s="1"/>
  <c r="I17" i="4"/>
  <c r="N17" i="4"/>
  <c r="T17" i="4"/>
  <c r="W17" i="4"/>
  <c r="V16" i="4"/>
  <c r="V36" i="4" s="1"/>
  <c r="AA16" i="4"/>
  <c r="AA36" i="4" s="1"/>
  <c r="G18" i="4"/>
  <c r="F17" i="4"/>
  <c r="W16" i="4"/>
  <c r="W36" i="4" s="1"/>
  <c r="V17" i="4"/>
  <c r="O17" i="4"/>
  <c r="J16" i="4"/>
  <c r="J30" i="4" s="1"/>
  <c r="J35" i="4" s="1"/>
  <c r="J36" i="4" s="1"/>
  <c r="X16" i="4"/>
  <c r="X36" i="4" s="1"/>
  <c r="Z17" i="4"/>
  <c r="X17" i="4"/>
  <c r="N16" i="4"/>
  <c r="N36" i="4" s="1"/>
  <c r="AA17" i="4"/>
  <c r="R17" i="4"/>
  <c r="K16" i="4"/>
  <c r="K30" i="4" s="1"/>
  <c r="K35" i="4" s="1"/>
  <c r="K36" i="4" s="1"/>
  <c r="U16" i="4"/>
  <c r="U36" i="4" s="1"/>
  <c r="M18" i="4"/>
  <c r="AB16" i="4"/>
  <c r="AB36" i="4" s="1"/>
  <c r="R16" i="4"/>
  <c r="R36" i="4" s="1"/>
  <c r="Q17" i="4"/>
  <c r="D16" i="4"/>
  <c r="D30" i="4" s="1"/>
  <c r="D35" i="4" s="1"/>
  <c r="D36" i="4" s="1"/>
  <c r="U17" i="4"/>
  <c r="G17" i="4"/>
  <c r="L17" i="4"/>
  <c r="AB17" i="4"/>
  <c r="R18" i="4"/>
  <c r="W18" i="4"/>
  <c r="Z18" i="4"/>
  <c r="Y18" i="4"/>
  <c r="U18" i="4"/>
  <c r="I18" i="4"/>
  <c r="P18" i="4"/>
  <c r="K18" i="4"/>
  <c r="N18" i="4"/>
  <c r="V18" i="4"/>
  <c r="F18" i="4"/>
  <c r="X18" i="4"/>
  <c r="E18" i="4"/>
  <c r="AB18" i="4"/>
  <c r="J18" i="4"/>
  <c r="O18" i="4"/>
  <c r="D18" i="4"/>
  <c r="H18" i="4"/>
  <c r="AA18" i="4"/>
  <c r="Q18" i="4"/>
  <c r="L18" i="4"/>
  <c r="I23" i="4"/>
  <c r="H45" i="7" s="1"/>
  <c r="T23" i="4"/>
  <c r="S45" i="7" s="1"/>
  <c r="J23" i="4"/>
  <c r="I45" i="7" s="1"/>
  <c r="O23" i="4"/>
  <c r="N45" i="7" s="1"/>
  <c r="W23" i="4"/>
  <c r="G23" i="4"/>
  <c r="F45" i="7" s="1"/>
  <c r="N23" i="4"/>
  <c r="M45" i="7" s="1"/>
  <c r="Q23" i="4"/>
  <c r="P45" i="7" s="1"/>
  <c r="M23" i="4"/>
  <c r="L45" i="7" s="1"/>
  <c r="E23" i="4"/>
  <c r="D45" i="7" s="1"/>
  <c r="P23" i="4"/>
  <c r="O45" i="7" s="1"/>
  <c r="R23" i="4"/>
  <c r="Q45" i="7" s="1"/>
  <c r="AB23" i="4"/>
  <c r="F23" i="4"/>
  <c r="E45" i="7" s="1"/>
  <c r="Z23" i="4"/>
  <c r="D23" i="4"/>
  <c r="H23" i="4"/>
  <c r="G45" i="7" s="1"/>
  <c r="Y23" i="4"/>
  <c r="V23" i="4"/>
  <c r="U45" i="7" s="1"/>
  <c r="L23" i="4"/>
  <c r="K45" i="7" s="1"/>
  <c r="X23" i="4"/>
  <c r="AA23" i="4"/>
  <c r="S23" i="4"/>
  <c r="R45" i="7" s="1"/>
  <c r="K23" i="4"/>
  <c r="J45" i="7" s="1"/>
  <c r="U23" i="4"/>
  <c r="T45" i="7" s="1"/>
  <c r="X64" i="8"/>
  <c r="X69" i="8"/>
  <c r="X67" i="8"/>
  <c r="X65" i="8"/>
  <c r="X68" i="8"/>
  <c r="X66" i="8"/>
  <c r="X70" i="8"/>
  <c r="V68" i="8"/>
  <c r="V64" i="8"/>
  <c r="V69" i="8"/>
  <c r="V67" i="8"/>
  <c r="V65" i="8"/>
  <c r="V70" i="8"/>
  <c r="V66" i="8"/>
  <c r="T68" i="8"/>
  <c r="T64" i="8"/>
  <c r="T66" i="8"/>
  <c r="T69" i="8"/>
  <c r="T67" i="8"/>
  <c r="T65" i="8"/>
  <c r="T70" i="8"/>
  <c r="C58" i="8"/>
  <c r="D58" i="8" s="1"/>
  <c r="C57" i="8"/>
  <c r="D57" i="8" s="1"/>
  <c r="C55" i="8"/>
  <c r="D55" i="8" s="1"/>
  <c r="C54" i="8"/>
  <c r="D54" i="8" s="1"/>
  <c r="C60" i="8"/>
  <c r="D60" i="8" s="1"/>
  <c r="C56" i="8"/>
  <c r="D56" i="8" s="1"/>
  <c r="C30" i="8"/>
  <c r="C39" i="6"/>
  <c r="C71" i="2"/>
  <c r="C59" i="8"/>
  <c r="D59" i="8" s="1"/>
  <c r="C66" i="2"/>
  <c r="J68" i="8"/>
  <c r="J66" i="8"/>
  <c r="J69" i="8"/>
  <c r="J67" i="8"/>
  <c r="J65" i="8"/>
  <c r="J70" i="8"/>
  <c r="J64" i="8"/>
  <c r="F66" i="8"/>
  <c r="F65" i="8"/>
  <c r="F68" i="8"/>
  <c r="F70" i="8"/>
  <c r="F69" i="8"/>
  <c r="F67" i="8"/>
  <c r="F64" i="8"/>
  <c r="D30" i="6"/>
  <c r="E25" i="6"/>
  <c r="H53" i="2"/>
  <c r="H67" i="2"/>
  <c r="E8" i="1"/>
  <c r="S68" i="8"/>
  <c r="S69" i="8"/>
  <c r="S66" i="8"/>
  <c r="S64" i="8"/>
  <c r="S65" i="8"/>
  <c r="S67" i="8"/>
  <c r="S70" i="8"/>
  <c r="R67" i="8"/>
  <c r="R68" i="8"/>
  <c r="R66" i="8"/>
  <c r="R64" i="8"/>
  <c r="R65" i="8"/>
  <c r="R70" i="8"/>
  <c r="R69" i="8"/>
  <c r="Q66" i="8"/>
  <c r="Q64" i="8"/>
  <c r="Q69" i="8"/>
  <c r="Q67" i="8"/>
  <c r="Q65" i="8"/>
  <c r="Q68" i="8"/>
  <c r="Q70" i="8"/>
  <c r="P67" i="8"/>
  <c r="P68" i="8"/>
  <c r="P64" i="8"/>
  <c r="P66" i="8"/>
  <c r="P69" i="8"/>
  <c r="P65" i="8"/>
  <c r="P70" i="8"/>
  <c r="D30" i="8" l="1"/>
  <c r="C40" i="6"/>
  <c r="C65" i="2"/>
  <c r="C72" i="2"/>
  <c r="AD69" i="8"/>
  <c r="AD65" i="8"/>
  <c r="AD70" i="8"/>
  <c r="AD66" i="8"/>
  <c r="AD64" i="8"/>
  <c r="AD67" i="8"/>
  <c r="AD68" i="8"/>
  <c r="C45" i="7"/>
  <c r="C46" i="7" s="1"/>
  <c r="F13" i="1"/>
  <c r="D46" i="7"/>
  <c r="E46" i="7" s="1"/>
  <c r="F46" i="7" s="1"/>
  <c r="G46" i="7" s="1"/>
  <c r="H46" i="7" s="1"/>
  <c r="I46" i="7" s="1"/>
  <c r="J46" i="7" s="1"/>
  <c r="K46" i="7" s="1"/>
  <c r="L46" i="7" s="1"/>
  <c r="M46" i="7" s="1"/>
  <c r="N46" i="7" s="1"/>
  <c r="O46" i="7" s="1"/>
  <c r="P46" i="7" s="1"/>
  <c r="Q46" i="7" s="1"/>
  <c r="R46" i="7" s="1"/>
  <c r="S46" i="7" s="1"/>
  <c r="T46" i="7" s="1"/>
  <c r="U46" i="7" s="1"/>
  <c r="C45" i="8"/>
  <c r="V45" i="7"/>
  <c r="F14" i="1"/>
  <c r="F15" i="1" s="1"/>
  <c r="AC64" i="8"/>
  <c r="AC69" i="8"/>
  <c r="AC65" i="8"/>
  <c r="AC67" i="8"/>
  <c r="AC68" i="8"/>
  <c r="AC66" i="8"/>
  <c r="E56" i="8" s="1"/>
  <c r="F56" i="8" s="1"/>
  <c r="AC70" i="8"/>
  <c r="E60" i="8" s="1"/>
  <c r="F60" i="8" s="1"/>
  <c r="E54" i="8"/>
  <c r="F54" i="8" s="1"/>
  <c r="E57" i="8"/>
  <c r="F57" i="8" s="1"/>
  <c r="E59" i="8"/>
  <c r="F59" i="8" s="1"/>
  <c r="E55" i="8"/>
  <c r="F55" i="8" s="1"/>
  <c r="F36" i="6"/>
  <c r="J13" i="1"/>
  <c r="E58" i="8" l="1"/>
  <c r="F58" i="8" s="1"/>
  <c r="C47" i="8"/>
  <c r="C37" i="6"/>
  <c r="C63" i="2"/>
  <c r="H8" i="1"/>
  <c r="D45" i="8"/>
  <c r="V46" i="7"/>
  <c r="F40" i="6"/>
  <c r="J15" i="1"/>
  <c r="F37" i="6" l="1"/>
  <c r="J14" i="1"/>
  <c r="C38" i="6"/>
  <c r="H63" i="2"/>
  <c r="H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H25" authorId="0" shapeId="0" xr:uid="{00000000-0006-0000-0200-000001000000}">
      <text>
        <r>
          <rPr>
            <sz val="11"/>
            <color theme="1"/>
            <rFont val="Calibri"/>
            <family val="2"/>
            <scheme val="minor"/>
          </rPr>
          <t>Hyrans indexandel av KPI. Default 70% enligt Lejonfastigheters hyresmodell. Avvikelser ska dokumenteras i avtalet.</t>
        </r>
      </text>
    </comment>
    <comment ref="M25" authorId="0" shapeId="0" xr:uid="{00000000-0006-0000-0200-000002000000}">
      <text>
        <r>
          <rPr>
            <sz val="11"/>
            <color theme="1"/>
            <rFont val="Calibri"/>
            <family val="2"/>
            <scheme val="minor"/>
          </rPr>
          <t>Hyra som används från avtalsslut till kalkylperiodens slut.
Tom eller 0: monopolmodell — samma kr/m² som under avtalet fortsätter.
Ifyllt: marknadshyra efter avtalsslut, för korta kommersiella avtal.</t>
        </r>
      </text>
    </comment>
    <comment ref="E35" authorId="0" shapeId="0" xr:uid="{00000000-0006-0000-0200-000003000000}">
      <text>
        <r>
          <rPr>
            <sz val="11"/>
            <color theme="1"/>
            <rFont val="Calibri"/>
            <family val="2"/>
            <scheme val="minor"/>
          </rPr>
          <t>Används i undantagsfall för projekt där driftkostnaderna förväntas ligga över standard efter en viss tidpunkt. Lämna 0 % för standardprojekt.</t>
        </r>
      </text>
    </comment>
    <comment ref="F35" authorId="0" shapeId="0" xr:uid="{00000000-0006-0000-0200-000004000000}">
      <text>
        <r>
          <rPr>
            <sz val="11"/>
            <color theme="1"/>
            <rFont val="Calibri"/>
            <family val="2"/>
            <scheme val="minor"/>
          </rPr>
          <t>Används i undantagsfall för projekt där driftkostnaderna förväntas ligga över standard efter en viss tidpunkt. Lämna 0 % för standardprojekt.</t>
        </r>
      </text>
    </comment>
  </commentList>
</comments>
</file>

<file path=xl/sharedStrings.xml><?xml version="1.0" encoding="utf-8"?>
<sst xmlns="http://schemas.openxmlformats.org/spreadsheetml/2006/main" count="811" uniqueCount="604">
  <si>
    <t>'Försättsblad'!A1</t>
  </si>
  <si>
    <t>LEJONFASTIGHETER · INVESTERINGSANALYS</t>
  </si>
  <si>
    <t>Investeringskalkyl</t>
  </si>
  <si>
    <t>'Indata'!A1</t>
  </si>
  <si>
    <t>'Kassaflöde'!A1</t>
  </si>
  <si>
    <t>'Finansiering'!A1</t>
  </si>
  <si>
    <t>'Resultat'!A1</t>
  </si>
  <si>
    <t>BINDANDE KRAVHYRA</t>
  </si>
  <si>
    <t>PER M² OCH ÅR</t>
  </si>
  <si>
    <t>FAKTISK IRR EK</t>
  </si>
  <si>
    <t>'Grafer'!A1</t>
  </si>
  <si>
    <t>'Lönsamhetskontroll'!A1</t>
  </si>
  <si>
    <t>kr/år · högsta av de tre lönsamhetskraven</t>
  </si>
  <si>
    <t>kr/m²/år (totalarea)</t>
  </si>
  <si>
    <t>'Beräkningslogik'!A1</t>
  </si>
  <si>
    <t>'Dokumentation'!A1</t>
  </si>
  <si>
    <t>FÖRUTSÄTTNINGAR</t>
  </si>
  <si>
    <t>DRIFTNETTO ÅR FÖR ÅR</t>
  </si>
  <si>
    <t>LÖNSAMHETSKRAV</t>
  </si>
  <si>
    <t>Total investering</t>
  </si>
  <si>
    <t>1.  NPV ≥ 0</t>
  </si>
  <si>
    <t>Investering per m²</t>
  </si>
  <si>
    <t>2.  IRR EK ≥ avkastningskrav</t>
  </si>
  <si>
    <t>Verksamhetsyta</t>
  </si>
  <si>
    <t>Tillväxt över perioden</t>
  </si>
  <si>
    <t>3.  Marknadsvärde ≥ bokfört värde</t>
  </si>
  <si>
    <t>Kalkylperiod</t>
  </si>
  <si>
    <t>Belåningsgrad</t>
  </si>
  <si>
    <t>Driftnetto = nettohyra minus drift och underhåll. Hela projektionen finns på fliken Kassaflöde.</t>
  </si>
  <si>
    <t>Utvärderas vid bindande kravhyra och mål-utfall. Detaljer på fliken Lönsamhetskontroll.</t>
  </si>
  <si>
    <t>Avkastningskrav EK</t>
  </si>
  <si>
    <t>Kalkylränta driftnetto</t>
  </si>
  <si>
    <t>HYRESSPANN VID INVESTERINGSUTFALL</t>
  </si>
  <si>
    <t>Mål-utfall (bindande kravhyra)</t>
  </si>
  <si>
    <t>Avtalet bör ange hyresspannet. Slutlig hyra fastställs när investeringsutfallet är känt vid projektavslut.</t>
  </si>
  <si>
    <t>Lejonfastigheter AB · Investeringskalkyl · Beslutsunderlag</t>
  </si>
  <si>
    <t>LEJONFASTIGHETER · INVESTERINGSMEMO</t>
  </si>
  <si>
    <t>'Översikt'!A1</t>
  </si>
  <si>
    <t>PROJEKTINFORMATION</t>
  </si>
  <si>
    <t>Projektnamn</t>
  </si>
  <si>
    <t>Kalkylstart</t>
  </si>
  <si>
    <t>Fastighet</t>
  </si>
  <si>
    <t>Fyll i</t>
  </si>
  <si>
    <t>Objekt</t>
  </si>
  <si>
    <t>Projektnummer</t>
  </si>
  <si>
    <t>Kalkyl utförd av</t>
  </si>
  <si>
    <t>Typ av projekt</t>
  </si>
  <si>
    <t>Momsregistrering före</t>
  </si>
  <si>
    <t>Momsregistrering efter</t>
  </si>
  <si>
    <t>PROJEKTBESKRIVNING</t>
  </si>
  <si>
    <t>Åtgärd</t>
  </si>
  <si>
    <t>kvm (BRA)</t>
  </si>
  <si>
    <t>Inv belopp</t>
  </si>
  <si>
    <t>kr/kvm</t>
  </si>
  <si>
    <t>Befintligt</t>
  </si>
  <si>
    <t>Ombyggnad</t>
  </si>
  <si>
    <t>Nybyggnad</t>
  </si>
  <si>
    <t>Installationer</t>
  </si>
  <si>
    <t>Mark</t>
  </si>
  <si>
    <t>Summa investering</t>
  </si>
  <si>
    <t>Projektbeskrivning</t>
  </si>
  <si>
    <t>[Fyll i en kort beskrivning av projektet — bakgrund, vision, kvalitetsambition, tidplan.]</t>
  </si>
  <si>
    <t>VISUALISERING</t>
  </si>
  <si>
    <t>[Projektunik bild]</t>
  </si>
  <si>
    <t>[Karta över fastigheten]</t>
  </si>
  <si>
    <t>MARKNADSSITUATION</t>
  </si>
  <si>
    <t>Marknadsvärde, senaste värdering</t>
  </si>
  <si>
    <t>Värderingsdatum</t>
  </si>
  <si>
    <t>Byggrätter</t>
  </si>
  <si>
    <t>Före projekt</t>
  </si>
  <si>
    <t>Efter projekt</t>
  </si>
  <si>
    <t>Utnyttjade byggrätter</t>
  </si>
  <si>
    <t>Outnyttjade byggrätter</t>
  </si>
  <si>
    <t>KALKYLANTAGANDEN</t>
  </si>
  <si>
    <t>Avskrivningstid</t>
  </si>
  <si>
    <t>Direktavkastningskrav, marknad</t>
  </si>
  <si>
    <t>Kalkylränta restvärde</t>
  </si>
  <si>
    <t>Inflation</t>
  </si>
  <si>
    <t>HYRESANTAGANDEN</t>
  </si>
  <si>
    <t>Bindande kravhyra</t>
  </si>
  <si>
    <t>Per kvm/år</t>
  </si>
  <si>
    <t>Hyresspann lägsta (−)</t>
  </si>
  <si>
    <t>Lägsta per kvm</t>
  </si>
  <si>
    <t>Hyresspann högsta (+)</t>
  </si>
  <si>
    <t>Högsta per kvm</t>
  </si>
  <si>
    <t>Långsiktig vakansrisk</t>
  </si>
  <si>
    <t>Drift &amp; underhåll</t>
  </si>
  <si>
    <t>FINANSIERINGSANTAGANDEN</t>
  </si>
  <si>
    <t>Långsiktig räntenivå</t>
  </si>
  <si>
    <t>Amortering</t>
  </si>
  <si>
    <t>Avkastningskrav eget kapital</t>
  </si>
  <si>
    <t>RESULTAT &amp; AVKASTNING</t>
  </si>
  <si>
    <t>Faktisk IRR (eget kapital)</t>
  </si>
  <si>
    <t>Marginal mot krav</t>
  </si>
  <si>
    <t>NPV (mål-utfall)</t>
  </si>
  <si>
    <t>Krav</t>
  </si>
  <si>
    <t>&gt;  0</t>
  </si>
  <si>
    <t>PV jmf bokfört värde år 20</t>
  </si>
  <si>
    <t>&gt; 0</t>
  </si>
  <si>
    <t>Marknadsvärde år 20</t>
  </si>
  <si>
    <t>Bokfört värde år 20</t>
  </si>
  <si>
    <t>KONTROLL RESTVÄRDE</t>
  </si>
  <si>
    <t>Differens (MV − BV)</t>
  </si>
  <si>
    <t>Yield-justering (restvärde)</t>
  </si>
  <si>
    <t>INVESTERING REKOMMENDERAS</t>
  </si>
  <si>
    <t>Namn</t>
  </si>
  <si>
    <t>Datum</t>
  </si>
  <si>
    <t>Underskrift</t>
  </si>
  <si>
    <t>BILAGOR</t>
  </si>
  <si>
    <t>Bilaga</t>
  </si>
  <si>
    <t>Flik</t>
  </si>
  <si>
    <t>Projektförutsättningar och antaganden</t>
  </si>
  <si>
    <t>Indata</t>
  </si>
  <si>
    <t>Kravhyra och hyresspann</t>
  </si>
  <si>
    <t>Resultat</t>
  </si>
  <si>
    <t>Driftnetto-projektion 20 år</t>
  </si>
  <si>
    <t>Kassaflöde</t>
  </si>
  <si>
    <t>Lån, ränta, amortering, avskrivning</t>
  </si>
  <si>
    <t>Finansiering</t>
  </si>
  <si>
    <t>IRR, NPV, marknadsvärde — kontroller</t>
  </si>
  <si>
    <t>Lönsamhetskontroll</t>
  </si>
  <si>
    <t>Beräkningsblock A–F — tekniska detaljer</t>
  </si>
  <si>
    <t>Beräkningslogik</t>
  </si>
  <si>
    <t>Designprinciper och metod</t>
  </si>
  <si>
    <t>Dokumentation</t>
  </si>
  <si>
    <t>Lejonfastigheter AB · Investeringskalkyl · 2026</t>
  </si>
  <si>
    <t>LEJONFASTIGHETER · INDATA</t>
  </si>
  <si>
    <t>Investeringsförutsättningar och parametrar</t>
  </si>
  <si>
    <t>1. MARKNADS- OCH FASTIGHETSFÖRUTSÄTTNINGAR</t>
  </si>
  <si>
    <t>Kalkylstart (år)</t>
  </si>
  <si>
    <t>år</t>
  </si>
  <si>
    <t>Första året i kassaflödet</t>
  </si>
  <si>
    <t>Direktavkastning marknad</t>
  </si>
  <si>
    <t>%</t>
  </si>
  <si>
    <t>Avkastningskrav, från senaste värdering</t>
  </si>
  <si>
    <t>Företagets diskonteringsränta (NPV-kravet)</t>
  </si>
  <si>
    <t>Årlig KPI-uppräkning</t>
  </si>
  <si>
    <t>Auto = direktavkastning + inflation</t>
  </si>
  <si>
    <t>Bolagsskatt</t>
  </si>
  <si>
    <t>För IRR-beräkning</t>
  </si>
  <si>
    <t>Långsiktig vakansnivå</t>
  </si>
  <si>
    <t>Default efter avtalsslut</t>
  </si>
  <si>
    <t>Momsregistreringsgrad före</t>
  </si>
  <si>
    <t>Momsregistreringsgrad efter</t>
  </si>
  <si>
    <t>INVESTERING</t>
  </si>
  <si>
    <t>2. INVESTERING OCH AVSKRIVNING</t>
  </si>
  <si>
    <t>Standard 20</t>
  </si>
  <si>
    <t>Byggnadsvärde (avskrivningsbas)</t>
  </si>
  <si>
    <t>kr</t>
  </si>
  <si>
    <t>Investering exkl. mark (påverkar avskrivning och IRR)</t>
  </si>
  <si>
    <t>Avskrivningstakt</t>
  </si>
  <si>
    <t>3% = 33 års livslängd</t>
  </si>
  <si>
    <t>Auto</t>
  </si>
  <si>
    <t>Fastighetsarea (mark)</t>
  </si>
  <si>
    <t>kvm</t>
  </si>
  <si>
    <t>Total markarea</t>
  </si>
  <si>
    <t>Markvärde</t>
  </si>
  <si>
    <t>För minsta markvärde</t>
  </si>
  <si>
    <t>Minsta markvärde (totalt)</t>
  </si>
  <si>
    <t>HYRESLÄGE</t>
  </si>
  <si>
    <t>Beräkna</t>
  </si>
  <si>
    <t>Beräkna = mallen räknar kravhyran. Ange = manuell (ej aktiv än)</t>
  </si>
  <si>
    <t>HYRESOBJEKT</t>
  </si>
  <si>
    <t>3. HYRESOBJEKT (upp till 5)</t>
  </si>
  <si>
    <t>Objektnamn</t>
  </si>
  <si>
    <t>Typ</t>
  </si>
  <si>
    <t>Bef area</t>
  </si>
  <si>
    <t>Nyb area</t>
  </si>
  <si>
    <t>Total</t>
  </si>
  <si>
    <t>(ej använd)</t>
  </si>
  <si>
    <t>Index</t>
  </si>
  <si>
    <t>Andel</t>
  </si>
  <si>
    <t>Avtalsstart</t>
  </si>
  <si>
    <t>Avtalsslut</t>
  </si>
  <si>
    <t>Hyra efter avtal</t>
  </si>
  <si>
    <t>Vakans%</t>
  </si>
  <si>
    <t>Prod start</t>
  </si>
  <si>
    <t>Prod slut</t>
  </si>
  <si>
    <t>Budget kr/kvm</t>
  </si>
  <si>
    <t>Investering</t>
  </si>
  <si>
    <t>Skola</t>
  </si>
  <si>
    <t>Nyb</t>
  </si>
  <si>
    <t>Summa</t>
  </si>
  <si>
    <t>ⓘ "Hyra efter avtal" (M) används endast efter avtalsslut. Lämna tomt för monopolmodell (samma kr/m² fortsätter). Fyll i för korta avtal. Se Dokumentation sektion 13.</t>
  </si>
  <si>
    <t>DRIFT &amp; UH</t>
  </si>
  <si>
    <t>4. DRIFT OCH UNDERHÅLL (kr/kvm/år)</t>
  </si>
  <si>
    <t>Kostnadspost</t>
  </si>
  <si>
    <t>DoU-höjning från år 11</t>
  </si>
  <si>
    <t>Ytterligare höjning från år 16</t>
  </si>
  <si>
    <t>Fastighetsskötsel</t>
  </si>
  <si>
    <t>Reparationer</t>
  </si>
  <si>
    <t>Planerat underhåll</t>
  </si>
  <si>
    <t>Media</t>
  </si>
  <si>
    <t>Övriga förvaltningskostnader</t>
  </si>
  <si>
    <t>Summa drift</t>
  </si>
  <si>
    <t>RE-INVEST.</t>
  </si>
  <si>
    <t>5. RE-INVESTERING / HYRESATT UH</t>
  </si>
  <si>
    <t>År</t>
  </si>
  <si>
    <t>ÖVRIGA</t>
  </si>
  <si>
    <t>6. ÖVRIGA POSTER</t>
  </si>
  <si>
    <t>Central administration</t>
  </si>
  <si>
    <t>Schablon för bolagsoverhead. Default: Lejonfastigheters snitt 80 kr/m²</t>
  </si>
  <si>
    <t>Fastighetsskatt (% av taxv)</t>
  </si>
  <si>
    <t>Andel av taxeringsvärdet. 0 för verksamhet med skatteundantag (skola, vård, kommunal förvaltning).</t>
  </si>
  <si>
    <t>Taxeringsvärde</t>
  </si>
  <si>
    <t>Skatteverkets beslutade taxeringsvärde. Bas för fastighetsskatten.</t>
  </si>
  <si>
    <t>Tomträttsavgäld</t>
  </si>
  <si>
    <t>kr/år</t>
  </si>
  <si>
    <t>Årlig avgäld om fastigheten står på kommunal tomträtt. 0 om friköpt mark.</t>
  </si>
  <si>
    <t>Bokfört värde (befintligt)</t>
  </si>
  <si>
    <t>Vid stora ombyggnader. Påverkar krav 3 (MV ≥ BV år 20). 0 vid nybyggnation.</t>
  </si>
  <si>
    <t>Bokfört värde projektbelastning</t>
  </si>
  <si>
    <t>Eventuell extra belastning, t.ex. balanserade kostnader. 0 vid nybyggnation.</t>
  </si>
  <si>
    <t>FINANSIERING</t>
  </si>
  <si>
    <t>7. FINANSIERING</t>
  </si>
  <si>
    <t>Aktuell räntenivå</t>
  </si>
  <si>
    <t>Nuvarande marknadsränta. Används för räntekostnad under byggtid och tidiga driftår.</t>
  </si>
  <si>
    <t>Genomsnittlig ränta efter ~10 år. Finansieringsfliken räknar upp aktuell nivå linjärt till denna.</t>
  </si>
  <si>
    <t>Årlig amorteringstakt som procent av låneskulden.</t>
  </si>
  <si>
    <t>Lejonfastigheters snittbelåning</t>
  </si>
  <si>
    <t>För IRR-kravet</t>
  </si>
  <si>
    <t>8. HYRESSPANN</t>
  </si>
  <si>
    <t>Intervall på investeringen (±)</t>
  </si>
  <si>
    <t>Hyresspannet beräknas för lägsta, mål och högsta utfall</t>
  </si>
  <si>
    <t>RESTVÄRDE</t>
  </si>
  <si>
    <t>9. RESTVÄRDESBEDÖMNING</t>
  </si>
  <si>
    <t>Yielden från extern värdering (befintlig fastighet) eller jämförelseobjekt (nybyggnation) finkalibreras nedan utifrån fyra projektspecifika faktorer. Investeringsgraden vägleder när kalibrering är meningsfull — extern värdering är pre-investering och fångar inte tunga ombyggnader.</t>
  </si>
  <si>
    <t>Investeringsgrad</t>
  </si>
  <si>
    <t>Beräkning: ny investering / (befintligt bokfört värde + ny investering)</t>
  </si>
  <si>
    <t>Parameter</t>
  </si>
  <si>
    <t>Bedömning</t>
  </si>
  <si>
    <t>Effekt</t>
  </si>
  <si>
    <t>Motivering</t>
  </si>
  <si>
    <t>Läge (centralitet, infrastruktur)</t>
  </si>
  <si>
    <t>Neutralt</t>
  </si>
  <si>
    <t>Närhet till kollektivtrafik, serviceunderlag, demografi</t>
  </si>
  <si>
    <t>Hyresgästens beroende, alternativa hyresgäster, demografi</t>
  </si>
  <si>
    <t>Lokalflexibilitet (omställbarhet)</t>
  </si>
  <si>
    <t>Planlösning, bjälklagshöjd, bärande konstruktion</t>
  </si>
  <si>
    <t>Byggnadsteknisk standard</t>
  </si>
  <si>
    <t>Stomme, klimatskal, installationer, energiprestanda</t>
  </si>
  <si>
    <t>Total justering av yield</t>
  </si>
  <si>
    <t>Summa av de fyra parametrarnas effekt. Adderas till extern direktavkastning.</t>
  </si>
  <si>
    <t>Justerad direktavkastning</t>
  </si>
  <si>
    <t>Används i krav 2 (exit-värde) och krav 3 (MV ≥ BV år 20)</t>
  </si>
  <si>
    <t>LEJONFASTIGHETER · KASSAFLÖDE</t>
  </si>
  <si>
    <t>Driftnettoprojektion över kalkylperioden</t>
  </si>
  <si>
    <t>År i kalkyl</t>
  </si>
  <si>
    <t>Inom kalkylperiod</t>
  </si>
  <si>
    <t>Area Nyb (aktiv)</t>
  </si>
  <si>
    <t>Area Bef (aktiv)</t>
  </si>
  <si>
    <t>Total area</t>
  </si>
  <si>
    <t>DRIFTNETTO-PROJEKTION vid bindande kravhyra</t>
  </si>
  <si>
    <t>Projektets driftnetto år för år vid den hyra mallen räknat fram. Detta är kassaflödet före finansiering — för bokföringsmässig vy med ränta och avskrivning, se Finansiering-fliken.</t>
  </si>
  <si>
    <t>Bindande kravhyra (kr/år)</t>
  </si>
  <si>
    <t>Bindande krav</t>
  </si>
  <si>
    <t>Bruttohyra</t>
  </si>
  <si>
    <t xml:space="preserve">  Vakans</t>
  </si>
  <si>
    <t>Nettohyra</t>
  </si>
  <si>
    <t xml:space="preserve">  Drift och underhåll</t>
  </si>
  <si>
    <t xml:space="preserve">  Fastighetsskatt</t>
  </si>
  <si>
    <t xml:space="preserve">  Tomträttsavgäld</t>
  </si>
  <si>
    <t xml:space="preserve">  Central administration</t>
  </si>
  <si>
    <t>DRIFTNETTO</t>
  </si>
  <si>
    <t>INFASNING — hyresintäkt under uppstart</t>
  </si>
  <si>
    <t>Vid mål-utfall och bindande kravhyra. Visar etappvis tillträde under uppstartsår.</t>
  </si>
  <si>
    <t>Andel av fullt flöde</t>
  </si>
  <si>
    <t>LEJONFASTIGHETER · FINANSIERING</t>
  </si>
  <si>
    <t>Lån, ränta, amortering och avskrivning</t>
  </si>
  <si>
    <t>LÅN, RÄNTA, AMORTERING, AVSKRIVNING</t>
  </si>
  <si>
    <t>Lånebild över kalkylperioden enligt finansieringsantagandena på Indata-fliken. Bokföringsmässig vy: avskrivning enligt linjär K3-metod över avskrivningstiden.</t>
  </si>
  <si>
    <t>Upptaget lån (år)</t>
  </si>
  <si>
    <t>Ack. upptaget lån</t>
  </si>
  <si>
    <t>Återstående skuld</t>
  </si>
  <si>
    <t>Räntekostnad</t>
  </si>
  <si>
    <t>Eget kapital-insats</t>
  </si>
  <si>
    <t>Avskrivning (per år)</t>
  </si>
  <si>
    <t>LEJONFASTIGHETER · RESULTAT</t>
  </si>
  <si>
    <t>Kravhyra och utfall vid bindande hyra</t>
  </si>
  <si>
    <t>KRAVHYRA — PROJEKTETS ÅRSHYRA</t>
  </si>
  <si>
    <t>Investeringsutfall</t>
  </si>
  <si>
    <t>Lägsta (−X%)</t>
  </si>
  <si>
    <t>Mål</t>
  </si>
  <si>
    <t>Högsta (+X%)</t>
  </si>
  <si>
    <t>Investering per kvm</t>
  </si>
  <si>
    <t>1. Kravhyra för NPV ≥ 0</t>
  </si>
  <si>
    <t>2. Kravhyra för IRR ≥ avkastningskrav</t>
  </si>
  <si>
    <t>3. Kravhyra för MV ≥ BV år 20</t>
  </si>
  <si>
    <t>Genomsnitt kr/m²/år (totalarea)</t>
  </si>
  <si>
    <t>Förklaring</t>
  </si>
  <si>
    <t>Bindande kravhyra = den lägsta årshyra som uppfyller alla tre lönsamhetskrav samtidigt. NPV, IRR och framtida marknadsvärde kontrolleras var för sig på fliken Lönsamhetskontroll.</t>
  </si>
  <si>
    <t>Tolkning</t>
  </si>
  <si>
    <t>Avtalet bör ange hyresspannet ovan (lägsta–högsta utfall). Slutlig hyra fastställs när investeringsutfallet är känt vid projektavslut.</t>
  </si>
  <si>
    <t>FÖRDELNING PER HUS (VID MÅL-UTFALL)</t>
  </si>
  <si>
    <t>Årshyra (kr/år)</t>
  </si>
  <si>
    <t>Hyra kr/m²/år</t>
  </si>
  <si>
    <t>Tillträde</t>
  </si>
  <si>
    <t>Totalt</t>
  </si>
  <si>
    <t>UTFALL VID BINDANDE KRAVHYRA</t>
  </si>
  <si>
    <t>Vid mål-utfall (bindande kravhyra D14): hur välfodrade är de icke-bindande kraven? Värden &lt; 0 eller IRR &lt; kravet betyder att projektet inte uppfyller kravet vid denna hyra.</t>
  </si>
  <si>
    <t>NPV (krav 1)</t>
  </si>
  <si>
    <t>Faktisk IRR EK (krav 2)</t>
  </si>
  <si>
    <t>Marginal IRR mot krav</t>
  </si>
  <si>
    <t>Marknadsvärde år 20 (krav 3)</t>
  </si>
  <si>
    <t>BV år 20</t>
  </si>
  <si>
    <t>Differens MV − BV</t>
  </si>
  <si>
    <t>LEJONFASTIGHETER · GRAFER</t>
  </si>
  <si>
    <t>Grafer</t>
  </si>
  <si>
    <t>Kalkylens utveckling i bilder — vid bindande kravhyra och mål-utfall</t>
  </si>
  <si>
    <t>DIAGRAMDATA — UNDERLAG</t>
  </si>
  <si>
    <t>Refererar Kassaflöde, Indata och Resultat. Diagrammen ovan läser dessa rader.</t>
  </si>
  <si>
    <t>Kalenderår</t>
  </si>
  <si>
    <t>Driftnetto (Mkr)</t>
  </si>
  <si>
    <t>Ackumulerat driftnetto (Mkr)</t>
  </si>
  <si>
    <t>Total investering (Mkr)</t>
  </si>
  <si>
    <t>Hyresspann (kr/år)</t>
  </si>
  <si>
    <t>Mål (bindande)</t>
  </si>
  <si>
    <t>LEJONFASTIGHETER · LÖNSAMHETSKONTROLL</t>
  </si>
  <si>
    <t>Tre lönsamhetskrav och faktisk IRR</t>
  </si>
  <si>
    <t>1. NPV ≥ 0 (vid kalkylränta driftnetto)</t>
  </si>
  <si>
    <t>Kravhyra NPV (mål)</t>
  </si>
  <si>
    <t>NPV vid kravhyra NPV</t>
  </si>
  <si>
    <t>(ska vara ≈ 0)</t>
  </si>
  <si>
    <t>NPV vid bindande kravhyra</t>
  </si>
  <si>
    <t>2. IRR eget kapital ≥ avkastningskrav</t>
  </si>
  <si>
    <t>Kravhyra IRR (mål)</t>
  </si>
  <si>
    <t>NPV EK vid avk.krav, vid kravhyra IRR</t>
  </si>
  <si>
    <t>NPV EK vid bindande kravhyra</t>
  </si>
  <si>
    <t>3. Marknadsvärde år 20 ≥ bokfört värde år 20</t>
  </si>
  <si>
    <t>Kalkylperiod (år 20)</t>
  </si>
  <si>
    <t>Direktavkastning</t>
  </si>
  <si>
    <t>Byggnadsvärde (dag 1)</t>
  </si>
  <si>
    <t>Formel: (byggnadsv + bef BV + projbel) × (1 - N × avskr%)</t>
  </si>
  <si>
    <t>Driftnetto år 21 vid bindande kravhyra</t>
  </si>
  <si>
    <t>Marknadsvärde år 20 (Gordon)</t>
  </si>
  <si>
    <t>Formel: driftnetto år 21 / direktavkastning</t>
  </si>
  <si>
    <t>Differens (MV - BV)</t>
  </si>
  <si>
    <t>FAKTISK IRR (vid bindande kravhyra)</t>
  </si>
  <si>
    <t>EK-cashflow vid bindande kravhyra</t>
  </si>
  <si>
    <t>Faktisk IRR EK</t>
  </si>
  <si>
    <t>Avkastningskrav</t>
  </si>
  <si>
    <t>KÄNSLIGHETSANALYS — MARKNADSVÄRDE VID EXIT</t>
  </si>
  <si>
    <t>Hur sårbart är projektet om marknadsvärdet vid år 20 visar sig avvika från bedömningen? Bas-bedömningen är driftnetto år 21 / direktavkastning.</t>
  </si>
  <si>
    <t>Scenario</t>
  </si>
  <si>
    <t>Marknadsvärde</t>
  </si>
  <si>
    <t>Diff mot BV</t>
  </si>
  <si>
    <t>IRR EK</t>
  </si>
  <si>
    <t>Status</t>
  </si>
  <si>
    <t>−40 %</t>
  </si>
  <si>
    <t>−30 %</t>
  </si>
  <si>
    <t>−20 %</t>
  </si>
  <si>
    <t>−10 %</t>
  </si>
  <si>
    <t>Bas</t>
  </si>
  <si>
    <t>+10 %</t>
  </si>
  <si>
    <t>+20 %</t>
  </si>
  <si>
    <t>EK-cashflöde per scenario — klicka [+] för att expandera</t>
  </si>
  <si>
    <t>KÄNSLIGHETSANALYS — RESTVÄRDESBEDÖMNING</t>
  </si>
  <si>
    <t>Hur ändras bindande kravhyra och marknadsvärde om yielden slår ±1,00 pp jämfört med basbedömningen? Bedömt scenario = justeringen från Indata sektion 9.</t>
  </si>
  <si>
    <t>Optimistisk</t>
  </si>
  <si>
    <t>Bedömt</t>
  </si>
  <si>
    <t>Pessimistisk</t>
  </si>
  <si>
    <t>yield − 1,00 pp</t>
  </si>
  <si>
    <t>Indata sektion 9</t>
  </si>
  <si>
    <t>yield + 1,00 pp</t>
  </si>
  <si>
    <t>Yield-justering</t>
  </si>
  <si>
    <t>Kravhyra NPV ≥ 0</t>
  </si>
  <si>
    <t>Kravhyra IRR ≥ avk.krav</t>
  </si>
  <si>
    <t>Kravhyra MV ≥ BV</t>
  </si>
  <si>
    <t>Faktisk IRR EK per scenario kräver full EK-cashflow-rekonstruktion och visas inte här. Se Lönsamhetskontroll C45 för bedömt scenario. Om krav 2 (IRR) är bindande är IRR EK exakt = avkastningskravet; om krav 1 eller 3 är bindande är IRR EK strikt högre än kravet.</t>
  </si>
  <si>
    <t>LEJONFASTIGHETER · BERÄKNINGSLOGIK</t>
  </si>
  <si>
    <t>Så fungerar mallens kärnberäkning</t>
  </si>
  <si>
    <t>STEG 1 — Räkna NPV vid två testhyror (0 kr och 1 Mkr/år)</t>
  </si>
  <si>
    <t>NPV vid årshyra = 0 kr</t>
  </si>
  <si>
    <t>(rad 119 — NPV vid 0 hyra)</t>
  </si>
  <si>
    <t>NPV vid årshyra = 1 000 000 kr</t>
  </si>
  <si>
    <t>(rad 139 — NPV vid 1 Mkr)</t>
  </si>
  <si>
    <t>STEG 2 — Härled hur mycket NPV ändras per krona hyra (lutningen b)</t>
  </si>
  <si>
    <t>Skillnad i NPV</t>
  </si>
  <si>
    <t>(per 1 Mkr hyra)</t>
  </si>
  <si>
    <t>Känslighet b (per kr hyra)</t>
  </si>
  <si>
    <t>(rad 140 — b_NPV)</t>
  </si>
  <si>
    <t>STEG 3 — Lös linjärt: kravhyran är där NPV korsar noll, dvs −NPV(0) / b</t>
  </si>
  <si>
    <t>Modell: NPV = NPV_0 + b × hyra</t>
  </si>
  <si>
    <t>Sätter NPV = 0 → hyra = −NPV_0 / b</t>
  </si>
  <si>
    <t>dvs −NPV₀ / b</t>
  </si>
  <si>
    <t>Kontroll mot Resultat</t>
  </si>
  <si>
    <t>(ska vara samma som C18)</t>
  </si>
  <si>
    <t>SAMMA PRINCIP FÖR ALLA TRE LÖNSAMHETSKRAVEN</t>
  </si>
  <si>
    <t>Beräknad kravhyra</t>
  </si>
  <si>
    <t>Block nedan på denna flik</t>
  </si>
  <si>
    <t>1. NPV ≥ 0</t>
  </si>
  <si>
    <t>Block A (rad 59–119) + Block B (rad 121–140)</t>
  </si>
  <si>
    <t>2. IRR EK ≥ avkastningskrav</t>
  </si>
  <si>
    <t>Block D (rad 164–177) + Block E (rad 179–195)</t>
  </si>
  <si>
    <t>3. MV ≥ BV år 20</t>
  </si>
  <si>
    <t>Block F (rad 197–204)</t>
  </si>
  <si>
    <t>dvs max av de tre</t>
  </si>
  <si>
    <t>VARFÖR METODEN ÄR EKVIVALENT MED ITERATIV MÅLSÖKNING</t>
  </si>
  <si>
    <t>Iterativ målsökning (Excel Goal Seek) startar med en gissning, räknar NPV, justerar gissningen, räknar igen, och fortsätter tills NPV är tillräckligt nära noll. Det är långsamt och fungerar inte automatiskt vid scenarier.</t>
  </si>
  <si>
    <t>Den linjära metoden använder samma underliggande matematik men löser ekvationen i ett enda steg. Eftersom NPV(hyra) = NPV_0 + b × hyra är en rät linje räcker det med två punkter för att hitta var den korsar noll. Resultatet är exakt — inte en approximation.</t>
  </si>
  <si>
    <t>Fördelar:</t>
  </si>
  <si>
    <t xml:space="preserve">  • En enda omberäkning räcker — ingen iteration</t>
  </si>
  <si>
    <t xml:space="preserve">  • Tre scenarier (låg/mål/hög) räknas automatiskt</t>
  </si>
  <si>
    <t xml:space="preserve">  • Tre lönsamhetskrav räknas parallellt med samma metod</t>
  </si>
  <si>
    <t xml:space="preserve">  • Resultaten är exakta, inte avrundade approximationer</t>
  </si>
  <si>
    <t>TEKNISKA BERÄKNINGSBLOCK — BELOPP I TKR</t>
  </si>
  <si>
    <t>Rådata bakom kravhyrorna. Block A/B ger NPV-kravet, D/E ger IRR-kravet, F ger MV-kravet. Belopp i tkr.</t>
  </si>
  <si>
    <t>BLOCK A — Bas-kassaflöde vid årshyra = 0 · tkr</t>
  </si>
  <si>
    <t>Intäkt objekt 1 (vid 0 hyra)</t>
  </si>
  <si>
    <t>Intäkt objekt 2 (vid 0 hyra)</t>
  </si>
  <si>
    <t>Intäkt objekt 3 (vid 0 hyra)</t>
  </si>
  <si>
    <t>Intäkt objekt 4 (vid 0 hyra)</t>
  </si>
  <si>
    <t>Intäkt objekt 5 (vid 0 hyra)</t>
  </si>
  <si>
    <t>Vakans</t>
  </si>
  <si>
    <t>KOSTNADER</t>
  </si>
  <si>
    <t>Övriga förv.kost.</t>
  </si>
  <si>
    <t>Re-investering / hyresatt UH</t>
  </si>
  <si>
    <t>Summa drift och underhåll</t>
  </si>
  <si>
    <t>Fastighetsskatt</t>
  </si>
  <si>
    <t>DRIFTNETTO (efter drift, skatt, CA)</t>
  </si>
  <si>
    <t xml:space="preserve">  varav central administration</t>
  </si>
  <si>
    <t>Driftnetto exkl. re-inv (för Gordon)</t>
  </si>
  <si>
    <t>PV driftnetto (kalkylränta C7)</t>
  </si>
  <si>
    <t>NPV vid 0 hyra (kalkylränta C7)</t>
  </si>
  <si>
    <t>Produktionsavslut (senaste)</t>
  </si>
  <si>
    <t>PV Driftnetto vid 0 hyra</t>
  </si>
  <si>
    <t>Restvärde (Gordon) vid 0 hyra</t>
  </si>
  <si>
    <t>PV Restvärde vid 0 hyra</t>
  </si>
  <si>
    <t>PV Investering</t>
  </si>
  <si>
    <t>NPV vid 0 hyra</t>
  </si>
  <si>
    <t>BLOCK B — Delta-intäkter vid årshyra = 1 Mkr (för b_NPV) · tkr</t>
  </si>
  <si>
    <t>Intäkt obj 1 (med 1 Mkr testhyra)</t>
  </si>
  <si>
    <t>Intäkt obj 2 (med 1 Mkr testhyra)</t>
  </si>
  <si>
    <t>Intäkt obj 3 (med 1 Mkr testhyra)</t>
  </si>
  <si>
    <t>Intäkt obj 4 (med 1 Mkr testhyra)</t>
  </si>
  <si>
    <t>Intäkt obj 5 (med 1 Mkr testhyra)</t>
  </si>
  <si>
    <t>Bruttohyra (delta)</t>
  </si>
  <si>
    <t>Vakans (delta)</t>
  </si>
  <si>
    <t>Nettohyra (delta)</t>
  </si>
  <si>
    <t>Driftnetto delta (efter drift, skatt, CA)</t>
  </si>
  <si>
    <t>Driftnetto exkl. re-inv (delta)</t>
  </si>
  <si>
    <t>PV per år (delta, C7)</t>
  </si>
  <si>
    <t>PV Driftnetto (delta)</t>
  </si>
  <si>
    <t>Restvärde (delta)</t>
  </si>
  <si>
    <t>PV Restvärde (delta)</t>
  </si>
  <si>
    <t>NPV vid 1 Mkr hyra</t>
  </si>
  <si>
    <t>b_NPV (ΔNPV per kr hyra)</t>
  </si>
  <si>
    <t>BLOCK D — EK-kassaflöde vid årshyra = 0 (IRR-kravet, bas) · tkr</t>
  </si>
  <si>
    <t>EBITA (vid 0 hyra)</t>
  </si>
  <si>
    <t>Resultat efter finans (vid 0 hyra)</t>
  </si>
  <si>
    <t>Bolagsskatt (vid 0 hyra)</t>
  </si>
  <si>
    <t>Resultat efter skatt (vid 0 hyra)</t>
  </si>
  <si>
    <t>Cashflow EK (vid 0 hyra)</t>
  </si>
  <si>
    <t>Exit-värde (marknadsvärde − skuld)</t>
  </si>
  <si>
    <t>Total cashflow EK (vid 0 hyra)</t>
  </si>
  <si>
    <t>PV EK-cashflow vid avkastningskrav (vid 0)</t>
  </si>
  <si>
    <t>NPV EK vid 0 hyra (för IRR-kravet)</t>
  </si>
  <si>
    <t>BLOCK E — EK-kassaflöde vid årshyra = 1 Mkr (IRR-kravet, delta) · tkr</t>
  </si>
  <si>
    <t>EBITA (vid 1 Mkr hyra)</t>
  </si>
  <si>
    <t>Resultat efter finans (vid 1 Mkr hyra)</t>
  </si>
  <si>
    <t>Bolagsskatt (vid 1 Mkr hyra)</t>
  </si>
  <si>
    <t>Resultat efter skatt (vid 1 Mkr hyra)</t>
  </si>
  <si>
    <t>Cashflow EK (vid 1 Mkr hyra)</t>
  </si>
  <si>
    <t>Exit-värde (vid 1 Mkr hyra)</t>
  </si>
  <si>
    <t>Total cashflow EK (vid 1 Mkr hyra)</t>
  </si>
  <si>
    <t>PV EK-cashflow vid avk.krav (vid 1 Mkr)</t>
  </si>
  <si>
    <t>NPV EK vid 1 Mkr hyra</t>
  </si>
  <si>
    <t>b_IRR (ΔNPV_EK per kr hyra)</t>
  </si>
  <si>
    <t>BLOCK F — Marknadsvärde-kravet · tkr</t>
  </si>
  <si>
    <t>Driftnetto år 21 (vid 0 hyra)</t>
  </si>
  <si>
    <t>Driftnetto år 21 (vid 1 Mkr hyra)</t>
  </si>
  <si>
    <t>b_MV (Δ driftnetto år 21 per kr hyra)</t>
  </si>
  <si>
    <t>Marknadsvärde år 20 (vid 0 hyra)</t>
  </si>
  <si>
    <t>b_MV_värde (Δ marknadsvärde per kr hyra)</t>
  </si>
  <si>
    <t>Bokfört värde år 20 (inkl befintligt + projektbelastning)</t>
  </si>
  <si>
    <t>Kravhyra MV (hyra så MV = BV)</t>
  </si>
  <si>
    <t>RESTVÄRDETS LOGIK — RESONEMANG OCH KALIBRERING</t>
  </si>
  <si>
    <t>Restvärdet år 20 är ett antagande, inte ett faktum. Det finns flera rimliga sätt att resonera om vad fastigheten är värd vid kalkylperiodens slut. Mallen använder Gordon-modellen (driftnetto år 21 / direktavkastning) med kalibrering via Indata sektion 9. De andra resonemangen nedan är sanity checks när Gordon-resultatet ifrågasätts eller behöver kompletteras.</t>
  </si>
  <si>
    <t>1. Gordon — kapitaliserad evig driftnetto (modellens default)</t>
  </si>
  <si>
    <t>Driftnetto år 21 / justerad direktavkastning. Antar att fastigheten kan drivas vidare evigt och säljas till marknadsmässig avkastning. Den extern yielden (Indata C6) kommer från värdering (befintlig fastighet) eller jämförelseobjekt (nybyggnation). Yield-justeringen i sektion 9 kalibrerar objektets långsiktiga värdebeständighet mot snittet.</t>
  </si>
  <si>
    <t>2. Avskrivet bokfört värde</t>
  </si>
  <si>
    <t>Anskaffning minus ackumulerade avskrivningar. Försiktigt — speglar inte marknad, bara redovisning. Användbart som golv eller sanity check, inte som primärt exit-värde. LM 371 viktade 60% mot detta — borttaget iter 7.</t>
  </si>
  <si>
    <t>3. Restproduktionsvärde</t>
  </si>
  <si>
    <t>Vad kostar det att uppföra motsvarande byggnad år 20, med hänsyn till kvarvarande teknisk livslängd. Frikopplar från driftnetto. Underskattar ofta läges- och kontraktsvärde.</t>
  </si>
  <si>
    <t>4. Mark + nedskriven byggnad</t>
  </si>
  <si>
    <t>Markvärde plus byggnad till lågt restvärde. Pessimistiskt scenario — antar att byggnaden närmar sig slutet av sin ekonomiska livslängd. Lämpligt för specialbyggnader med svag omställbarhet.</t>
  </si>
  <si>
    <t>5. Förhandlat övertagandevärde</t>
  </si>
  <si>
    <t>Kommunen eller offentlig hyresgäst löser ut fastigheten år 20 till förhandlat pris (ofta bokfört värde). Specialfall där exit till privat marknad inte är planerad.</t>
  </si>
  <si>
    <t>6. Likvidations- eller rivningsvärde</t>
  </si>
  <si>
    <t>Markvärde minus rivningskostnad. Värsta fall, golv för känslighetsanalys.</t>
  </si>
  <si>
    <t>LEJONFASTIGHETER · DOKUMENTATION</t>
  </si>
  <si>
    <t>Antaganden, formler och versionsanteckningar</t>
  </si>
  <si>
    <t>1. Syfte</t>
  </si>
  <si>
    <t>Mallen beräknar lönsamhetsgränsen (kravhyran) för investeringar i Lejonfastigheters fastigheter. Kravhyran är den lägsta årshyra som uppfyller alla tre lönsamhetskrav samtidigt. Hyresspannet (±10% på investeringen) blir ett intervall som skrivs in i avtalet.</t>
  </si>
  <si>
    <t>2. Grundprincip: en kalkyl = en hyresgäst = en verksamhet</t>
  </si>
  <si>
    <t>Mallen är byggd för EN hyresgäst och EN verksamhetstyp per fil. Vid projekt med flera hyresgäster (t.ex. vårdboende + förskola i samma hus) ska en separat kalkyl göras per hyresgäst. Gemensamma investeringar fördelas manuellt enligt BRA eller BTA innan beloppen matas in i respektive kalkyl.</t>
  </si>
  <si>
    <t>3. Tre lönsamhetskrav</t>
  </si>
  <si>
    <t>Kravhyran beräknas så att alla tre följande krav uppfylls simultant:</t>
  </si>
  <si>
    <t>KRAV 1 — NPV ≥ 0</t>
  </si>
  <si>
    <t>Projektets nuvärde över kalkylperioden, diskonterat till kalkylräntan för driftnetto (Indata C7), ska vara minst 0.</t>
  </si>
  <si>
    <t>Formel: NPV = Σ(driftnetto/(1+kalkylränta)^år) + PV restvärde + PV investering</t>
  </si>
  <si>
    <t>Rad på Kassaflöde: C70 (NPV vid 0 hyra), C91 (känslighet), Resultat D10 (kravhyra NPV)</t>
  </si>
  <si>
    <t>KRAV 2 — IRR eget kapital ≥ avkastningskrav</t>
  </si>
  <si>
    <t>Internräntan på eget kapital-kassaflödet ska vara minst avkastningskravet (Indata C65, default 6,3%). Eget kapital-kassaflödet beräknas med 37% belåning (default) och inkluderar räntekostnad, amortering, skatt, EK-insats och exit-värde.</t>
  </si>
  <si>
    <t>Exit-värde = marknadsvärde − återstående skuld</t>
  </si>
  <si>
    <t>Marknadsvärde = driftnetto år 21 / direktavkastning (Gordon-modellen)</t>
  </si>
  <si>
    <t>Den tidigare 0,4/0,6-viktningen från LM 371 är borttagen. Se sektion 14 för det fullständiga resonemanget.</t>
  </si>
  <si>
    <t>Rad på Kassaflöde: C128 (NPV EK vid 0 hyra), C144 (b_IRR), Resultat D11 (kravhyra IRR)</t>
  </si>
  <si>
    <t>KRAV 3 — Marknadsvärde år 20 ≥ bokfört värde år 20</t>
  </si>
  <si>
    <t>Vid kalkylperiodens slut ska marknadsvärdet (Gordon-modellen: driftnetto år 21 / direktavkastning) vara minst lika med bokfört värde. Detta är nedskrivningskontrollen.</t>
  </si>
  <si>
    <t>Bokfört värde år 20 = (byggnadsvärde + befintligt BV + projektbelastning) × (1 − N × avskrivnings-%), golv = minsta markvärde.</t>
  </si>
  <si>
    <t>VID OMBYGGNADER: Indata C57 (befintligt bokfört värde) och C58 (projektbelastning) ackumuleras med ny investering. Detta är kritiskt vid stora investeringar i befintliga lokaler — om hyran inte stiger proportionellt med investeringen blir nedskrivningsrisken reell.</t>
  </si>
  <si>
    <t>VID NYBYGGNATION: Lämna C57 och C58 = 0. Bokfört värde är då bara den nya investeringen.</t>
  </si>
  <si>
    <t>Rad på Kassaflöde: C150-C156, Resultat D12 (kravhyra MV)</t>
  </si>
  <si>
    <t>Den BINDANDE kravhyran är MAX av de tre kraven. Fliken 'Lönsamhetskontroll' visar vilket krav som binder och verifierar att alla tre är uppfyllda vid den bindande hyran.</t>
  </si>
  <si>
    <t>4. H_total-modellen — proportionell fördelning per hus</t>
  </si>
  <si>
    <t>Istället för att mata in en bashyra per objekt räknar mallen med en gemensam 'projektets årshyra' som fördelas proportionellt mot investeringsandel:</t>
  </si>
  <si>
    <t xml:space="preserve">  andel_i = investering_i / total_investering</t>
  </si>
  <si>
    <t xml:space="preserve">  hyra_hus_i (kr/år) = andel_i × projektets årshyra</t>
  </si>
  <si>
    <t xml:space="preserve">  hyra_hus_i (kr/m²) = andel_i × projektets årshyra / area_i</t>
  </si>
  <si>
    <t>Detta ger olika kr/m² per hus när investering per kvm skiljer sig åt — rationalen är att varje krona investerad bär samma andel av totalkostnaden.</t>
  </si>
  <si>
    <t>Modellen är matematiskt ekvivalent med fallet 'en gemensam kr/kvm-nivå' när alla hus har samma kr/kvm investering. Den visar sin styrka vid etappvist tillträde och hus med olika investering per kvm.</t>
  </si>
  <si>
    <t>5. Infasning vid etappvist tillträde</t>
  </si>
  <si>
    <t>Varje hus genererar hyresintäkt från sitt tillträdesår (avtalsstart K-kolumnen). Före tillträde = 0. Efter tillträde = andel × projektets årshyra × indexuppräkning.</t>
  </si>
  <si>
    <t>Under infasningen 'betalar' varje hus sin tilldelade andel från dagen det tillträds. Totala intäktsflödet växer i steg vartefter hus läggs till.</t>
  </si>
  <si>
    <t>Vid projektslutreglering (sista huset klart) justeras årshyran till rätt nivå inom spannet baserat på faktiskt utfall. Alla hus-hyror räknas om proportionellt.</t>
  </si>
  <si>
    <t>6. Matematiken: analytisk lösning via delta-metoden</t>
  </si>
  <si>
    <t>NPV är linjär i årshyran. Därför räcker det att räkna NPV vid två hyresnivåer (0 och 1 Mkr) för att härleda hela känsligheten:</t>
  </si>
  <si>
    <t xml:space="preserve">  b = (NPV vid 1 Mkr − NPV vid 0) / 1 000 000</t>
  </si>
  <si>
    <t xml:space="preserve">  kravhyra = −NPV vid 0 / b</t>
  </si>
  <si>
    <t>Samma princip gäller för IRR-kravet (NPV EK diskonterad till avkastningskravet) och marknadsvärde-kravet (driftnetto år 21 vs bokfört värde år 20). Alla tre löses analytiskt utan iteration.</t>
  </si>
  <si>
    <t>7. Hyra efter avtal (M-kolumnen) — monopolmodell som default</t>
  </si>
  <si>
    <t>Om M är tomt eller 0 antar mallen att samma kr/m²-nivå som under avtalet fortsätter efter avtalsslut. Detta är monopolmodellen och defaultantagandet för kommunala samhällsfastigheter.</t>
  </si>
  <si>
    <t>Sätt M till en faktisk kr/m²-siffra när det finns en reell marknadshyra efter avtalsslut — typiskt vid korta kommersiella avtal (6 år) eller externa hyresgäster i samhällsfastigheter.</t>
  </si>
  <si>
    <t>När M är ifyllt visar Resultat-fliken en informationsruta. När M är tomt visar den 'monopolmodell aktiv'.</t>
  </si>
  <si>
    <t>8. Risk- och reservhantering (nuvarande princip)</t>
  </si>
  <si>
    <t>Dagens modell hanterar risk genom att hela risktillägget ingår i mål-investeringen. Hyresspannet ±10% speglar det totala utfallsrisken.</t>
  </si>
  <si>
    <t>VID FRAMTIDA ÄNDRING AV RISKPRINCIP — t.ex. att risktillägget ska fördelas proportionellt mot återstående etapper:</t>
  </si>
  <si>
    <t>• Ny sektion 9 på Indata: Riskhantering (totalt risktillägg, fördelningsprincip)</t>
  </si>
  <si>
    <t>• Ny rad på Kassaflöde: kvarvarande risk per år</t>
  </si>
  <si>
    <t>• Uppdatera hyresspannsberäkningen</t>
  </si>
  <si>
    <t>9. Backlogg / framtida utveckling</t>
  </si>
  <si>
    <t>Följande är identifierat men inte implementerat:</t>
  </si>
  <si>
    <t>Hög prioritet:</t>
  </si>
  <si>
    <t>• Exit-värdets viktning (0,4 MV + 0,6 BV) är hårdkodad praxis från LM 371. Bör ses över — alternativ: rent marknadsvärde, per-projekt-viktning baserat på byggnadstyp</t>
  </si>
  <si>
    <t>• Dokumentera varför just 0,4/0,6 valdes i LM 371 (ingen vet idag)</t>
  </si>
  <si>
    <t>Medium prioritet:</t>
  </si>
  <si>
    <t>• Totalentreprenads-läge med fördelningsnyckel (per BRA/BTA/manuell procentuell)</t>
  </si>
  <si>
    <t>• Riskhantering enligt 'proportionell mot återstående etapper'</t>
  </si>
  <si>
    <t>• Hyresläge 'Ange' implementeras på riktigt (idag bara dropdown utan effekt)</t>
  </si>
  <si>
    <t>• Dashboard med ifyllnadsindikator och valideringsstatus</t>
  </si>
  <si>
    <t>• LCC-läge med negativa driftkostnader för besparingsinvesteringar</t>
  </si>
  <si>
    <t>Låg prioritet:</t>
  </si>
  <si>
    <t>• Kontoplan-koppling (konton 4112–4799)</t>
  </si>
  <si>
    <t>• Hantering av ersättningslokaler under byggtiden</t>
  </si>
  <si>
    <t>• Central administration som policy-default</t>
  </si>
  <si>
    <t>10. Rättade buggar jämfört med LM 371</t>
  </si>
  <si>
    <t>Följande är identifierat och rättat:</t>
  </si>
  <si>
    <t>Bug #1 — Indexering år 1 felaktig vid parallellt avtal (NPV D12): använd ^0 i stället för ^(år − avtalsstart). Rättat med konsekvent ^(år − avtalsstart).</t>
  </si>
  <si>
    <t>Bug #1b — PV för historisk investering räknas upp i stället för ned (NPV X23): negativ exponent när produktionsavslut &lt; kalkylstart. Rättat med MAX(0, ...).</t>
  </si>
  <si>
    <t>Bug #2 — Tomträttsavgäld-formel med felaktig LOOKUP (NPV D28): vektorer av olika storlek. Rättat med samma mönster som fastighetsskatt.</t>
  </si>
  <si>
    <t>Bug CA — Inflation börjar år 2 (IRR D26). Rättat till ^(år − 1) som drift.</t>
  </si>
  <si>
    <t>MROUND-bug — MROUND returnerar #N/A när tal och multipel har olika tecken. LM 371 slipper undan eftersom driftnetton där är positiva. I H_total-modellen vid 0 hyra är driftnetton negativa. Rättat med ROUND(x/10000,0)*10000.</t>
  </si>
  <si>
    <t>11. Paritetstest mot LM 371</t>
  </si>
  <si>
    <t>För fallet med 1 objekt och tillträde = kalkylstart matchar nya mallens NPV LM 371 exakt i Case 1 (olönsam) och Case 2 (lönsam). För Case 3 (parallellt avtal) ger nya mallen ett bättre (mindre negativt) NPV eftersom Bug #1 och #1b är rättade.</t>
  </si>
  <si>
    <t>12. Hantering av flerhyresgästsprojekt</t>
  </si>
  <si>
    <t>Vid projekt med flera hyresgäster (t.ex. vårdboende + förskola i samma byggnad med olika förvaltningar) ska en separat kalkyl göras per hyresgäst. Gemensamma investeringar (stomme, tak, tekniska installationer) fördelas manuellt enligt överenskommen nyckel innan beloppen matas in i respektive kalkyl.</t>
  </si>
  <si>
    <t>Skäl: olika hyresgäster har olika drift, olika avtal, olika uppföljning. En gemensam kalkyl döljer viktiga skillnader och försvårar granskning.</t>
  </si>
  <si>
    <t>13. Central administration (CA) ingår i alla tre lönsamhetskrav</t>
  </si>
  <si>
    <t>Lejonfastigheter är ett kommunalt bolag med självkostnadsprincip. Det betyder att hyrorna ska täcka alla kostnader, inklusive bolagsoverhead. Om CA inte ingår i kravhyran finansieras den av andra projekt — vilket strider mot självkostnadsprincipen.</t>
  </si>
  <si>
    <t>Därför inkluderar mallen CA i driftnetto-raden (Kassaflöde rad 33), vilket gör att alla tre lönsamhetskraven (NPV, IRR, MV) räknar med kostnaden. Default 80 kr/m²/år, motsvarande Lejonfastigheters snitt över alla objekt.</t>
  </si>
  <si>
    <t>Tekniskt: i tidigare version (LM 371 och iter 6) påverkade CA endast IRR-kravet (via EBITA), inte NPV eller marknadsvärde. Det var en inkonsekvens som nu är rättad.</t>
  </si>
  <si>
    <t>14. Varför den gamla viktningen 0,4 marknadsvärde + 0,6 bokfört värde är borttagen</t>
  </si>
  <si>
    <t>Tidigare exit-värde i LM 371 (och i iter 6) använde formeln:</t>
  </si>
  <si>
    <t xml:space="preserve">    Exit-värde = 0,4 × marknadsvärde + 0,6 × bokfört värde − återstående skuld</t>
  </si>
  <si>
    <t>Den ursprungliga motivationen var att försöka beräkna ett implicit reinvesteringsbehov för att upprätthålla driftnettot — bokfört värde användes som proxy för byggnadens skick. Resonemanget är bra, men implementationen är ologisk av tre skäl:</t>
  </si>
  <si>
    <t>Skäl 1 — Bokfört värde är en dålig proxy för skick</t>
  </si>
  <si>
    <t>Bokfört värde följer en linjär avskrivning som är frikopplad från faktiskt slitage. En välunderhållen byggnad från 1995 är i bättre skick än en eftersatt från 2010, men bokfört värde säger ingenting om det. Att använda bokfört värde som indikator på reinvesteringsbehov är att blanda ihop redovisningsregler med fysisk verklighet.</t>
  </si>
  <si>
    <t>Skäl 2 — Reinvesteringsbehov dubbelbokförs</t>
  </si>
  <si>
    <t>Mallen har redan en egen post för re-investering och hyresatt UH (Indata sektion 5). Att också justera exit-värdet via bokfört värde är att räkna samma sak två gånger. Det rätta sättet är att mata in faktiskt förväntat reinvesteringsbehov i sektion 5, där det syns och kan diskuteras.</t>
  </si>
  <si>
    <t>Skäl 3 — Viktningen straffar lönsamma projekt och belönar olönsamma</t>
  </si>
  <si>
    <t>Justeringseffekten av viktningen är inte konstant — den beror på förhållandet mellan bokfört värde (BV) och marknadsvärde (MV) vid exit-tidpunkten:</t>
  </si>
  <si>
    <t>BV/MV = 0,2  → viktat exit är 52 % av rent MV  → −48 % nedjustering</t>
  </si>
  <si>
    <t>BV/MV = 0,4  → viktat exit är 64 % av rent MV  → −36 % nedjustering</t>
  </si>
  <si>
    <t>BV/MV = 0,6  → viktat exit är 76 % av rent MV  → −24 % nedjustering</t>
  </si>
  <si>
    <t>BV/MV = 0,8  → viktat exit är 88 % av rent MV  → −12 % nedjustering</t>
  </si>
  <si>
    <t>BV/MV = 1,0  → viktat exit är 100 % av rent MV → 0 % justering</t>
  </si>
  <si>
    <t>BV/MV = 1,5  → viktat exit är 130 % av rent MV → +30 % UPPjustering</t>
  </si>
  <si>
    <t>Effekten är att lönsamma projekt (där BV är mycket lägre än MV) får en stor nedjustering — typiskt −30 till −40 % i ett standardprojekt med 20 års kalkylperiod och 3 % avskrivning. Olönsamma projekt (där BV är högre än MV) får däremot en uppjustering, vilket är ekonomiskt orimligt: ett projekt som går sämre ska inte få högre exit-värde.</t>
  </si>
  <si>
    <t>Detta är ofrivilligt. Viktningen har sannolikt inte tänkts igenom matematiskt utan valts som en grov försiktighetsmarginal. Men den är dåligt riktad — försiktighetsprincipen hör hemma i avkastningskravet (6,3 %), inte i en ad hoc-justering av exit-värdet.</t>
  </si>
  <si>
    <t>Konkret exempel — ett 200 Mkr-projekt</t>
  </si>
  <si>
    <t>Investering 200 Mkr, kalkylperiod 20 år, avskrivning 3 % per år, direktavkastning 6,5 %.</t>
  </si>
  <si>
    <t>• Bokfört värde år 20 = 200 × (1 − 20 × 0,03) = 80 Mkr</t>
  </si>
  <si>
    <t>• Marknadsvärde år 20 (vid bindande kravhyra) ≈ 205 Mkr</t>
  </si>
  <si>
    <t>• BV/MV ≈ 0,39</t>
  </si>
  <si>
    <t>• Viktat exit (0,4 × 205 + 0,6 × 80) ≈ 130 Mkr</t>
  </si>
  <si>
    <t>• Rent marknadsvärde exit ≈ 205 Mkr</t>
  </si>
  <si>
    <t>• Förändring vid övergång till rent MV: +75 Mkr (+58 %)</t>
  </si>
  <si>
    <t>Effekten på IRR EK för det här projektet är betydande — kravhyran för IRR-kravet sänks rejält när exit-värdet ökar med 58 %. För många projekt blir då NPV-kravet bindande i stället för IRR-kravet.</t>
  </si>
  <si>
    <t>Vad som ersätter viktningen</t>
  </si>
  <si>
    <t>Två förändringar tillsammans:</t>
  </si>
  <si>
    <t>1. Exit-värde är nu rent marknadsvärde minus skuld (Kassaflöde C123). Marknadsvärdet beräknas fortfarande med Gordon-modellen och påverkas av direktavkastningen som matas in på Indata C6.</t>
  </si>
  <si>
    <t>2. En känslighetstabell på Lönsamhetskontroll-fliken visar hur projektets IRR påverkas om marknadsvärdet vid exit blir 40 % lägre eller 20 % högre än bas-bedömningen. Detta tvingar en aktiv diskussion om hur säker man är på exit-värdet, i stället för att gömma försiktigheten i en hårdkodad multiplikator.</t>
  </si>
  <si>
    <t>Reinvesteringsbehov hanteras explicit via Indata sektion 5 (re-investering / hyresatt UH), där användaren matar in faktiskt förväntat behov. Detta är den ekonomiskt korrekta platsen att hantera skick-relaterade kostnader.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</si>
</sst>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64" formatCode="#,##0&quot; kr/år&quot;"/>
    <numFmt numFmtId="167" formatCode="0.0%"/>
    <numFmt numFmtId="170" formatCode="#,##0\ &quot;kr&quot;;\-#,##0\ &quot;kr&quot;;&quot;–&quot;"/>
    <numFmt numFmtId="172" formatCode="#,##0\ &quot;m²&quot;"/>
    <numFmt numFmtId="173" formatCode="0\ &quot;år&quot;"/>
    <numFmt numFmtId="174" formatCode="#,##0;\-#,##0;&quot;–&quot;"/>
    <numFmt numFmtId="175" formatCode="#,##0\ &quot;kr/kvm&quot;"/>
    <numFmt numFmtId="176" formatCode="#,##0\ &quot;kr/år&quot;"/>
    <numFmt numFmtId="177" formatCode="\+0.00%;\-0.00%;0.00%"/>
    <numFmt numFmtId="178" formatCode="#,##0;\-#,##0;\-"/>
    <numFmt numFmtId="179" formatCode="#,##0&quot; kr&quot;;\-#,##0&quot; kr&quot;;&quot;0 kr&quot;"/>
    <numFmt numFmtId="180" formatCode="\+0.00&quot; pp&quot;;\-0.00&quot; pp&quot;;0.00&quot; pp&quot;"/>
    <numFmt numFmtId="181" formatCode="#,##0.0000"/>
    <numFmt numFmtId="182" formatCode="&quot;Marginal +&quot;0.00&quot; pp&quot;;&quot;Marginal −&quot;0.00&quot; pp&quot;"/>
    <numFmt numFmtId="183" formatCode="&quot;Krav &quot;0.0%"/>
    <numFmt numFmtId="184" formatCode="#,##0\ &quot;kr/kvm&quot;;\-#,##0\ &quot;kr/kvm&quot;;&quot;–&quot;"/>
    <numFmt numFmtId="185" formatCode="\+0.0%;\−0.0%"/>
    <numFmt numFmtId="186" formatCode="#,##0,;\-#,##0,;&quot;–&quot;"/>
    <numFmt numFmtId="187" formatCode="#,##0.0,,"/>
  </numFmts>
  <fonts count="55">
    <font>
      <sz val="11"/>
      <color theme="1"/>
      <name val="Calibri"/>
      <family val="2"/>
      <scheme val="minor"/>
    </font>
    <font>
      <sz val="11"/>
      <name val="Segoe UI"/>
    </font>
    <font>
      <b/>
      <sz val="11"/>
      <color rgb="FFFFFFFF"/>
      <name val="Segoe UI"/>
    </font>
    <font>
      <sz val="10"/>
      <color rgb="FF6C757D"/>
      <name val="Segoe UI"/>
    </font>
    <font>
      <sz val="10"/>
      <color rgb="FF10313E"/>
      <name val="Segoe UI"/>
    </font>
    <font>
      <sz val="11"/>
      <color rgb="FF666666"/>
      <name val="Segoe UI"/>
    </font>
    <font>
      <b/>
      <sz val="8"/>
      <color rgb="FFFAB600"/>
      <name val="Segoe UI Semibold"/>
    </font>
    <font>
      <sz val="11"/>
      <name val="Calibri"/>
    </font>
    <font>
      <sz val="42"/>
      <color rgb="FF10313E"/>
      <name val="Segoe UI Light"/>
    </font>
    <font>
      <b/>
      <sz val="9"/>
      <color rgb="FF6C757D"/>
      <name val="Segoe UI Semibold"/>
    </font>
    <font>
      <sz val="14"/>
      <color rgb="FF6C757D"/>
      <name val="Segoe UI"/>
    </font>
    <font>
      <sz val="22"/>
      <color rgb="FF10313E"/>
      <name val="Segoe UI Light"/>
    </font>
    <font>
      <i/>
      <sz val="11"/>
      <color rgb="FF666666"/>
      <name val="Segoe UI"/>
    </font>
    <font>
      <b/>
      <sz val="11"/>
      <color rgb="FF10313E"/>
      <name val="Segoe UI Semibold"/>
    </font>
    <font>
      <i/>
      <sz val="9"/>
      <color rgb="FF6C757D"/>
      <name val="Segoe UI"/>
    </font>
    <font>
      <i/>
      <sz val="8"/>
      <color rgb="FF6C757D"/>
      <name val="Segoe UI"/>
    </font>
    <font>
      <b/>
      <sz val="10"/>
      <color rgb="FF10313E"/>
      <name val="Segoe UI Semibold"/>
    </font>
    <font>
      <i/>
      <sz val="10"/>
      <color rgb="FF0B5F7A"/>
      <name val="Segoe UI"/>
    </font>
    <font>
      <i/>
      <sz val="10"/>
      <color rgb="FF6C757D"/>
      <name val="Segoe UI"/>
    </font>
    <font>
      <b/>
      <sz val="14"/>
      <color rgb="FF10313E"/>
      <name val="Segoe UI Semibold"/>
    </font>
    <font>
      <b/>
      <sz val="14"/>
      <color rgb="FF00937C"/>
      <name val="Segoe UI Semibold"/>
    </font>
    <font>
      <i/>
      <sz val="10"/>
      <color rgb="FFFAB600"/>
      <name val="Segoe UI"/>
    </font>
    <font>
      <sz val="11"/>
      <color rgb="FF6C757D"/>
      <name val="Segoe UI"/>
    </font>
    <font>
      <sz val="9"/>
      <color rgb="FF666666"/>
      <name val="Segoe UI"/>
    </font>
    <font>
      <i/>
      <sz val="9"/>
      <color rgb="FF666666"/>
      <name val="Segoe UI"/>
    </font>
    <font>
      <b/>
      <sz val="9"/>
      <color rgb="FFFAB600"/>
      <name val="Segoe UI Semibold"/>
    </font>
    <font>
      <sz val="11"/>
      <color rgb="FF999999"/>
      <name val="Segoe UI"/>
    </font>
    <font>
      <sz val="9"/>
      <color rgb="FF10313E"/>
      <name val="Segoe UI"/>
    </font>
    <font>
      <b/>
      <sz val="10"/>
      <color rgb="FFFAB600"/>
      <name val="Segoe UI Semibold"/>
    </font>
    <font>
      <b/>
      <sz val="11"/>
      <color rgb="FFFAB600"/>
      <name val="Segoe UI Semibold"/>
    </font>
    <font>
      <b/>
      <sz val="11"/>
      <name val="Segoe UI"/>
    </font>
    <font>
      <i/>
      <sz val="10"/>
      <color rgb="FF666666"/>
      <name val="Segoe UI"/>
    </font>
    <font>
      <b/>
      <sz val="11"/>
      <color rgb="FF1F77B4"/>
      <name val="Segoe UI"/>
    </font>
    <font>
      <b/>
      <sz val="12"/>
      <color rgb="FF10313E"/>
      <name val="Segoe UI"/>
    </font>
    <font>
      <b/>
      <sz val="14"/>
      <color rgb="FF10313E"/>
      <name val="Segoe UI"/>
    </font>
    <font>
      <b/>
      <sz val="20"/>
      <color rgb="FF10313E"/>
      <name val="Segoe UI Semibold"/>
    </font>
    <font>
      <sz val="8"/>
      <color rgb="FF666666"/>
      <name val="Segoe UI"/>
    </font>
    <font>
      <sz val="7"/>
      <color rgb="FF999999"/>
      <name val="Segoe UI"/>
    </font>
    <font>
      <b/>
      <sz val="11"/>
      <color rgb="FF10313E"/>
      <name val="Segoe UI"/>
    </font>
    <font>
      <sz val="10"/>
      <name val="Segoe UI"/>
    </font>
    <font>
      <b/>
      <sz val="10"/>
      <name val="Segoe UI"/>
    </font>
    <font>
      <b/>
      <sz val="8"/>
      <color rgb="FFFAB600"/>
      <name val="Segoe UI"/>
    </font>
    <font>
      <sz val="36"/>
      <color rgb="FF10313E"/>
      <name val="Segoe UI Light"/>
    </font>
    <font>
      <sz val="11"/>
      <color rgb="FF6C757D"/>
      <name val="Segoe UI"/>
    </font>
    <font>
      <b/>
      <sz val="11"/>
      <color rgb="FF10313E"/>
      <name val="Segoe UI"/>
    </font>
    <font>
      <b/>
      <sz val="9"/>
      <color rgb="FF6C757D"/>
      <name val="Segoe UI Semibold"/>
    </font>
    <font>
      <sz val="26"/>
      <color rgb="FF10313E"/>
      <name val="Segoe UI Light"/>
    </font>
    <font>
      <sz val="26"/>
      <color rgb="FF00937C"/>
      <name val="Segoe UI Light"/>
    </font>
    <font>
      <sz val="9"/>
      <color rgb="FF6C757D"/>
      <name val="Segoe UI"/>
    </font>
    <font>
      <sz val="10"/>
      <color rgb="FF6C757D"/>
      <name val="Segoe UI"/>
    </font>
    <font>
      <sz val="10"/>
      <color rgb="FF10313E"/>
      <name val="Segoe UI"/>
    </font>
    <font>
      <b/>
      <sz val="10"/>
      <color rgb="FF00937C"/>
      <name val="Segoe UI"/>
    </font>
    <font>
      <b/>
      <sz val="14"/>
      <color rgb="FF10313E"/>
      <name val="Segoe UI Semibold"/>
    </font>
    <font>
      <b/>
      <sz val="16"/>
      <color rgb="FF10313E"/>
      <name val="Segoe UI Semibold"/>
    </font>
    <font>
      <sz val="22"/>
      <color rgb="FF10313E"/>
      <name val="Segoe UI Light"/>
    </font>
  </fonts>
  <fills count="13">
    <fill>
      <patternFill patternType="none"/>
    </fill>
    <fill>
      <patternFill patternType="gray125"/>
    </fill>
    <fill>
      <patternFill patternType="solid">
        <fgColor rgb="FF10313E"/>
      </patternFill>
    </fill>
    <fill>
      <patternFill patternType="solid">
        <fgColor rgb="FFF4F6F8"/>
      </patternFill>
    </fill>
    <fill>
      <patternFill patternType="solid">
        <fgColor rgb="FFFAB600"/>
      </patternFill>
    </fill>
    <fill>
      <patternFill patternType="solid">
        <fgColor rgb="FFD6EAF8"/>
      </patternFill>
    </fill>
    <fill>
      <patternFill patternType="solid">
        <fgColor rgb="FFFEF9E7"/>
      </patternFill>
    </fill>
    <fill>
      <patternFill patternType="solid">
        <fgColor rgb="FFFCF3CF"/>
      </patternFill>
    </fill>
    <fill>
      <patternFill patternType="solid">
        <fgColor rgb="FFF2F3F4"/>
      </patternFill>
    </fill>
    <fill>
      <patternFill patternType="solid">
        <fgColor rgb="FFE0F2EE"/>
      </patternFill>
    </fill>
    <fill>
      <patternFill patternType="solid">
        <fgColor rgb="FFFCF3CF"/>
      </patternFill>
    </fill>
    <fill>
      <patternFill patternType="solid">
        <fgColor rgb="FFFAB600"/>
      </patternFill>
    </fill>
    <fill>
      <patternFill patternType="solid">
        <fgColor rgb="FF10313E"/>
      </patternFill>
    </fill>
  </fills>
  <borders count="8">
    <border>
      <left/>
      <right/>
      <top/>
      <bottom/>
      <diagonal/>
    </border>
    <border>
      <left/>
      <right/>
      <top/>
      <bottom style="thin">
        <color rgb="FFDEE2E6"/>
      </bottom>
      <diagonal/>
    </border>
    <border>
      <left/>
      <right/>
      <top style="thin">
        <color rgb="FF10313E"/>
      </top>
      <bottom/>
      <diagonal/>
    </border>
    <border>
      <left/>
      <right/>
      <top/>
      <bottom style="thin">
        <color rgb="FFDEE2E6"/>
      </bottom>
      <diagonal/>
    </border>
    <border>
      <left/>
      <right/>
      <top/>
      <bottom style="thin">
        <color rgb="FF10313E"/>
      </bottom>
      <diagonal/>
    </border>
    <border>
      <left/>
      <right/>
      <top/>
      <bottom style="thin">
        <color rgb="FF10313E"/>
      </bottom>
      <diagonal/>
    </border>
    <border>
      <left/>
      <right/>
      <top/>
      <bottom style="thin">
        <color rgb="FFDEE2E6"/>
      </bottom>
      <diagonal/>
    </border>
    <border>
      <left/>
      <right/>
      <top/>
      <bottom style="thin">
        <color rgb="FF10313E"/>
      </bottom>
      <diagonal/>
    </border>
  </borders>
  <cellStyleXfs count="1">
    <xf numFmtId="0" fontId="0" fillId="0" borderId="0"/>
  </cellStyleXfs>
  <cellXfs count="201">
    <xf numFmtId="0" fontId="0" fillId="0" borderId="0" xfId="0"/>
    <xf numFmtId="0" fontId="0" fillId="12" borderId="0" xfId="0" applyFill="1"/>
    <xf numFmtId="0" fontId="41" fillId="0" borderId="0" xfId="0" applyFont="1" applyAlignment="1">
      <alignment horizontal="left" vertical="center"/>
    </xf>
    <xf numFmtId="0" fontId="43" fillId="0" borderId="0" xfId="0" applyFont="1" applyAlignment="1">
      <alignment horizontal="left" vertical="center"/>
    </xf>
    <xf numFmtId="0" fontId="0" fillId="0" borderId="6" xfId="0" applyBorder="1"/>
    <xf numFmtId="0" fontId="45" fillId="0" borderId="0" xfId="0" applyFont="1" applyAlignment="1">
      <alignment horizontal="left" vertical="center"/>
    </xf>
    <xf numFmtId="0" fontId="48" fillId="0" borderId="0" xfId="0" applyFont="1" applyAlignment="1">
      <alignment horizontal="left" vertical="center" indent="1"/>
    </xf>
    <xf numFmtId="182" fontId="48" fillId="0" borderId="0" xfId="0" applyNumberFormat="1" applyFont="1" applyAlignment="1">
      <alignment horizontal="left" vertical="center"/>
    </xf>
    <xf numFmtId="183" fontId="48" fillId="0" borderId="0" xfId="0" applyNumberFormat="1" applyFont="1" applyAlignment="1">
      <alignment horizontal="left" vertical="center"/>
    </xf>
    <xf numFmtId="0" fontId="44" fillId="0" borderId="0" xfId="0" applyFont="1" applyAlignment="1">
      <alignment horizontal="left" vertical="center"/>
    </xf>
    <xf numFmtId="0" fontId="49" fillId="0" borderId="0" xfId="0" applyFont="1" applyAlignment="1">
      <alignment horizontal="left" vertical="center" indent="1"/>
    </xf>
    <xf numFmtId="170" fontId="50" fillId="0" borderId="0" xfId="0" applyNumberFormat="1" applyFont="1" applyAlignment="1">
      <alignment horizontal="right" vertical="center"/>
    </xf>
    <xf numFmtId="0" fontId="51" fillId="9" borderId="0" xfId="0" applyFont="1" applyFill="1" applyAlignment="1">
      <alignment horizontal="center" vertical="center"/>
    </xf>
    <xf numFmtId="184" fontId="50" fillId="0" borderId="0" xfId="0" applyNumberFormat="1" applyFont="1" applyAlignment="1">
      <alignment horizontal="right" vertical="center"/>
    </xf>
    <xf numFmtId="172" fontId="50" fillId="0" borderId="0" xfId="0" applyNumberFormat="1" applyFont="1" applyAlignment="1">
      <alignment horizontal="right" vertical="center"/>
    </xf>
    <xf numFmtId="185" fontId="50" fillId="0" borderId="0" xfId="0" applyNumberFormat="1" applyFont="1" applyAlignment="1">
      <alignment horizontal="right" vertical="center"/>
    </xf>
    <xf numFmtId="173" fontId="50" fillId="0" borderId="0" xfId="0" applyNumberFormat="1" applyFont="1" applyAlignment="1">
      <alignment horizontal="right" vertical="center"/>
    </xf>
    <xf numFmtId="167" fontId="50" fillId="0" borderId="0" xfId="0" applyNumberFormat="1" applyFont="1" applyAlignment="1">
      <alignment horizontal="right" vertical="center"/>
    </xf>
    <xf numFmtId="0" fontId="48" fillId="0" borderId="0" xfId="0" applyFont="1" applyAlignment="1">
      <alignment horizontal="center"/>
    </xf>
    <xf numFmtId="0" fontId="1" fillId="12" borderId="0" xfId="0" applyFont="1" applyFill="1"/>
    <xf numFmtId="0" fontId="1" fillId="0" borderId="0" xfId="0" applyFont="1"/>
    <xf numFmtId="0" fontId="6" fillId="0" borderId="0" xfId="0" applyFont="1" applyAlignment="1">
      <alignment horizontal="left" vertical="center"/>
    </xf>
    <xf numFmtId="0" fontId="1" fillId="0" borderId="1" xfId="0" applyFont="1" applyBorder="1"/>
    <xf numFmtId="0" fontId="16" fillId="0" borderId="4" xfId="0" applyFont="1" applyBorder="1" applyAlignment="1">
      <alignment horizontal="left"/>
    </xf>
    <xf numFmtId="0" fontId="1" fillId="0" borderId="4" xfId="0" applyFont="1" applyBorder="1"/>
    <xf numFmtId="0" fontId="3" fillId="0" borderId="0" xfId="0" applyFont="1" applyAlignment="1">
      <alignment horizontal="left" vertical="center"/>
    </xf>
    <xf numFmtId="0" fontId="17" fillId="3" borderId="0" xfId="0" applyFont="1" applyFill="1" applyAlignment="1">
      <alignment horizontal="left" vertical="center" indent="1"/>
    </xf>
    <xf numFmtId="170" fontId="4" fillId="0" borderId="0" xfId="0" applyNumberFormat="1" applyFont="1" applyAlignment="1">
      <alignment horizontal="right" vertical="center"/>
    </xf>
    <xf numFmtId="0" fontId="9" fillId="0" borderId="1" xfId="0" applyFont="1" applyBorder="1" applyAlignment="1">
      <alignment horizontal="left"/>
    </xf>
    <xf numFmtId="0" fontId="9" fillId="0" borderId="1" xfId="0" applyFont="1" applyBorder="1" applyAlignment="1">
      <alignment horizontal="right"/>
    </xf>
    <xf numFmtId="174" fontId="4" fillId="0" borderId="0" xfId="0" applyNumberFormat="1" applyFont="1" applyAlignment="1">
      <alignment horizontal="right" vertical="center"/>
    </xf>
    <xf numFmtId="175" fontId="4" fillId="0" borderId="0" xfId="0" applyNumberFormat="1" applyFont="1" applyAlignment="1">
      <alignment horizontal="right" vertical="center"/>
    </xf>
    <xf numFmtId="0" fontId="16" fillId="0" borderId="2" xfId="0" applyFont="1" applyBorder="1" applyAlignment="1">
      <alignment horizontal="left" vertical="center"/>
    </xf>
    <xf numFmtId="174" fontId="16" fillId="0" borderId="2" xfId="0" applyNumberFormat="1" applyFont="1" applyBorder="1" applyAlignment="1">
      <alignment horizontal="right"/>
    </xf>
    <xf numFmtId="170" fontId="13" fillId="0" borderId="2" xfId="0" applyNumberFormat="1" applyFont="1" applyBorder="1" applyAlignment="1">
      <alignment horizontal="right"/>
    </xf>
    <xf numFmtId="0" fontId="1" fillId="0" borderId="2" xfId="0" applyFont="1" applyBorder="1"/>
    <xf numFmtId="0" fontId="9" fillId="0" borderId="0" xfId="0" applyFont="1" applyAlignment="1">
      <alignment horizontal="left" vertical="center"/>
    </xf>
    <xf numFmtId="0" fontId="14" fillId="0" borderId="0" xfId="0" applyFont="1" applyAlignment="1">
      <alignment horizontal="left" vertical="center" indent="1"/>
    </xf>
    <xf numFmtId="0" fontId="4" fillId="0" borderId="0" xfId="0" applyFont="1" applyAlignment="1">
      <alignment horizontal="left" vertical="center"/>
    </xf>
    <xf numFmtId="0" fontId="7" fillId="12" borderId="0" xfId="0" applyFont="1" applyFill="1"/>
    <xf numFmtId="0" fontId="7" fillId="0" borderId="0" xfId="0" applyFont="1"/>
    <xf numFmtId="0" fontId="11" fillId="0" borderId="0" xfId="0" applyFont="1" applyAlignment="1">
      <alignment horizontal="left" vertical="center"/>
    </xf>
    <xf numFmtId="0" fontId="22" fillId="0" borderId="0" xfId="0" applyFont="1" applyAlignment="1">
      <alignment horizontal="left" vertical="center"/>
    </xf>
    <xf numFmtId="0" fontId="13" fillId="0" borderId="4" xfId="0" applyFont="1" applyBorder="1" applyAlignment="1">
      <alignment horizontal="left" vertical="center"/>
    </xf>
    <xf numFmtId="0" fontId="3" fillId="0" borderId="0" xfId="0" applyFont="1" applyAlignment="1">
      <alignment horizontal="left" vertical="center" indent="1"/>
    </xf>
    <xf numFmtId="3" fontId="4" fillId="3" borderId="1" xfId="0" applyNumberFormat="1" applyFont="1" applyFill="1" applyBorder="1" applyAlignment="1">
      <alignment horizontal="right" vertical="center" indent="1"/>
    </xf>
    <xf numFmtId="0" fontId="23" fillId="0" borderId="0" xfId="0" applyFont="1"/>
    <xf numFmtId="0" fontId="24" fillId="0" borderId="0" xfId="0" applyFont="1"/>
    <xf numFmtId="10" fontId="4" fillId="3" borderId="1" xfId="0" applyNumberFormat="1" applyFont="1" applyFill="1" applyBorder="1" applyAlignment="1">
      <alignment horizontal="right" vertical="center" indent="1"/>
    </xf>
    <xf numFmtId="10" fontId="1" fillId="0" borderId="0" xfId="0" applyNumberFormat="1" applyFont="1"/>
    <xf numFmtId="3" fontId="1" fillId="0" borderId="0" xfId="0" applyNumberFormat="1" applyFont="1"/>
    <xf numFmtId="0" fontId="4" fillId="3" borderId="1" xfId="0" applyFont="1" applyFill="1" applyBorder="1" applyAlignment="1">
      <alignment horizontal="right" vertical="center" indent="1"/>
    </xf>
    <xf numFmtId="3" fontId="26" fillId="0" borderId="0" xfId="0" applyNumberFormat="1" applyFont="1"/>
    <xf numFmtId="9" fontId="1" fillId="0" borderId="0" xfId="0" applyNumberFormat="1" applyFont="1"/>
    <xf numFmtId="0" fontId="26" fillId="0" borderId="0" xfId="0" applyFont="1"/>
    <xf numFmtId="167" fontId="1" fillId="0" borderId="0" xfId="0" applyNumberFormat="1" applyFont="1"/>
    <xf numFmtId="1" fontId="1" fillId="0" borderId="0" xfId="0" applyNumberFormat="1" applyFont="1"/>
    <xf numFmtId="0" fontId="16" fillId="0" borderId="2" xfId="0" applyFont="1" applyBorder="1" applyAlignment="1">
      <alignment horizontal="left" vertical="center" indent="1"/>
    </xf>
    <xf numFmtId="3" fontId="16" fillId="0" borderId="2" xfId="0" applyNumberFormat="1" applyFont="1" applyBorder="1"/>
    <xf numFmtId="3" fontId="1" fillId="5" borderId="0" xfId="0" applyNumberFormat="1" applyFont="1" applyFill="1"/>
    <xf numFmtId="9" fontId="1" fillId="5" borderId="0" xfId="0" applyNumberFormat="1" applyFont="1" applyFill="1"/>
    <xf numFmtId="0" fontId="9" fillId="0" borderId="1" xfId="0" applyFont="1" applyBorder="1" applyAlignment="1">
      <alignment horizontal="left" vertical="center" indent="1"/>
    </xf>
    <xf numFmtId="0" fontId="9" fillId="0" borderId="1" xfId="0" applyFont="1" applyBorder="1"/>
    <xf numFmtId="0" fontId="1" fillId="5" borderId="0" xfId="0" applyFont="1" applyFill="1"/>
    <xf numFmtId="1" fontId="1" fillId="5" borderId="0" xfId="0" applyNumberFormat="1" applyFont="1" applyFill="1"/>
    <xf numFmtId="0" fontId="14" fillId="0" borderId="0" xfId="0" applyFont="1" applyAlignment="1">
      <alignment horizontal="left" vertical="center"/>
    </xf>
    <xf numFmtId="9" fontId="4" fillId="3" borderId="1" xfId="0" applyNumberFormat="1" applyFont="1" applyFill="1" applyBorder="1" applyAlignment="1">
      <alignment horizontal="right" vertical="center" indent="1"/>
    </xf>
    <xf numFmtId="167" fontId="4" fillId="3" borderId="0" xfId="0" applyNumberFormat="1" applyFont="1" applyFill="1" applyAlignment="1">
      <alignment horizontal="right" vertical="center" indent="1"/>
    </xf>
    <xf numFmtId="0" fontId="4" fillId="3" borderId="0" xfId="0" applyFont="1" applyFill="1" applyAlignment="1">
      <alignment horizontal="center" vertical="center"/>
    </xf>
    <xf numFmtId="177" fontId="4" fillId="0" borderId="0" xfId="0" applyNumberFormat="1" applyFont="1" applyAlignment="1">
      <alignment horizontal="right" vertical="center" indent="1"/>
    </xf>
    <xf numFmtId="177" fontId="16" fillId="0" borderId="2" xfId="0" applyNumberFormat="1" applyFont="1" applyBorder="1" applyAlignment="1">
      <alignment horizontal="right" vertical="center" indent="1"/>
    </xf>
    <xf numFmtId="0" fontId="14" fillId="0" borderId="2" xfId="0" applyFont="1" applyBorder="1" applyAlignment="1">
      <alignment horizontal="left" vertical="center"/>
    </xf>
    <xf numFmtId="0" fontId="28" fillId="0" borderId="0" xfId="0" applyFont="1" applyAlignment="1">
      <alignment horizontal="left" vertical="center"/>
    </xf>
    <xf numFmtId="10" fontId="29" fillId="0" borderId="0" xfId="0" applyNumberFormat="1" applyFont="1" applyAlignment="1">
      <alignment horizontal="right" vertical="center" indent="1"/>
    </xf>
    <xf numFmtId="1" fontId="30" fillId="0" borderId="0" xfId="0" applyNumberFormat="1" applyFont="1"/>
    <xf numFmtId="0" fontId="24" fillId="0" borderId="1" xfId="0" applyFont="1" applyBorder="1"/>
    <xf numFmtId="1" fontId="24" fillId="0" borderId="1" xfId="0" applyNumberFormat="1" applyFont="1" applyBorder="1"/>
    <xf numFmtId="1" fontId="24" fillId="0" borderId="0" xfId="0" applyNumberFormat="1" applyFont="1"/>
    <xf numFmtId="3" fontId="24" fillId="0" borderId="0" xfId="0" applyNumberFormat="1" applyFont="1"/>
    <xf numFmtId="0" fontId="30" fillId="0" borderId="0" xfId="0" applyFont="1"/>
    <xf numFmtId="178" fontId="32" fillId="0" borderId="0" xfId="0" applyNumberFormat="1" applyFont="1"/>
    <xf numFmtId="0" fontId="32" fillId="0" borderId="0" xfId="0" applyFont="1"/>
    <xf numFmtId="178" fontId="1" fillId="0" borderId="0" xfId="0" applyNumberFormat="1" applyFont="1"/>
    <xf numFmtId="178" fontId="30" fillId="0" borderId="4" xfId="0" applyNumberFormat="1" applyFont="1" applyBorder="1"/>
    <xf numFmtId="0" fontId="16" fillId="3" borderId="1" xfId="0" applyFont="1" applyFill="1" applyBorder="1" applyAlignment="1">
      <alignment vertical="center"/>
    </xf>
    <xf numFmtId="1" fontId="16" fillId="3" borderId="1" xfId="0" applyNumberFormat="1" applyFont="1" applyFill="1" applyBorder="1" applyAlignment="1">
      <alignment horizontal="center" vertical="center"/>
    </xf>
    <xf numFmtId="3" fontId="30" fillId="6" borderId="0" xfId="0" applyNumberFormat="1" applyFont="1" applyFill="1"/>
    <xf numFmtId="9" fontId="24" fillId="0" borderId="0" xfId="0" applyNumberFormat="1" applyFont="1"/>
    <xf numFmtId="0" fontId="16" fillId="3" borderId="1" xfId="0" applyFont="1" applyFill="1" applyBorder="1" applyAlignment="1">
      <alignment horizontal="center" vertical="center"/>
    </xf>
    <xf numFmtId="3" fontId="5" fillId="0" borderId="0" xfId="0" applyNumberFormat="1" applyFont="1"/>
    <xf numFmtId="3" fontId="1" fillId="0" borderId="0" xfId="0" applyNumberFormat="1" applyFont="1" applyAlignment="1">
      <alignment horizontal="center"/>
    </xf>
    <xf numFmtId="0" fontId="33" fillId="0" borderId="1" xfId="0" applyFont="1" applyBorder="1"/>
    <xf numFmtId="3" fontId="34" fillId="7" borderId="1" xfId="0" applyNumberFormat="1" applyFont="1" applyFill="1" applyBorder="1" applyAlignment="1">
      <alignment horizontal="center"/>
    </xf>
    <xf numFmtId="3" fontId="35" fillId="4" borderId="1" xfId="0" applyNumberFormat="1" applyFont="1" applyFill="1" applyBorder="1" applyAlignment="1">
      <alignment horizontal="center" vertical="center"/>
    </xf>
    <xf numFmtId="0" fontId="31" fillId="0" borderId="0" xfId="0" applyFont="1" applyAlignment="1">
      <alignment horizontal="center"/>
    </xf>
    <xf numFmtId="3" fontId="5" fillId="0" borderId="0" xfId="0" applyNumberFormat="1" applyFont="1" applyAlignment="1">
      <alignment horizontal="center"/>
    </xf>
    <xf numFmtId="1" fontId="1" fillId="0" borderId="0" xfId="0" applyNumberFormat="1" applyFont="1" applyAlignment="1">
      <alignment horizontal="center"/>
    </xf>
    <xf numFmtId="179" fontId="13" fillId="3" borderId="0" xfId="0" applyNumberFormat="1" applyFont="1" applyFill="1" applyAlignment="1">
      <alignment horizontal="right" vertical="center" indent="1"/>
    </xf>
    <xf numFmtId="0" fontId="4" fillId="0" borderId="0" xfId="0" applyFont="1" applyAlignment="1">
      <alignment horizontal="left" vertical="center" indent="1"/>
    </xf>
    <xf numFmtId="10" fontId="13" fillId="3" borderId="0" xfId="0" applyNumberFormat="1" applyFont="1" applyFill="1" applyAlignment="1">
      <alignment horizontal="right" vertical="center" indent="1"/>
    </xf>
    <xf numFmtId="0" fontId="14" fillId="0" borderId="0" xfId="0" applyFont="1" applyAlignment="1">
      <alignment horizontal="right" vertical="center"/>
    </xf>
    <xf numFmtId="10" fontId="3" fillId="0" borderId="0" xfId="0" applyNumberFormat="1" applyFont="1" applyAlignment="1">
      <alignment horizontal="right" vertical="center" indent="1"/>
    </xf>
    <xf numFmtId="180" fontId="13" fillId="3" borderId="0" xfId="0" applyNumberFormat="1" applyFont="1" applyFill="1" applyAlignment="1">
      <alignment horizontal="right" vertical="center" indent="1"/>
    </xf>
    <xf numFmtId="170" fontId="13" fillId="3" borderId="0" xfId="0" applyNumberFormat="1" applyFont="1" applyFill="1" applyAlignment="1">
      <alignment horizontal="right" vertical="center" indent="1"/>
    </xf>
    <xf numFmtId="170" fontId="3" fillId="0" borderId="0" xfId="0" applyNumberFormat="1" applyFont="1" applyAlignment="1">
      <alignment horizontal="right" vertical="center" indent="1"/>
    </xf>
    <xf numFmtId="0" fontId="54" fillId="0" borderId="0" xfId="0" applyFont="1"/>
    <xf numFmtId="1" fontId="48" fillId="0" borderId="0" xfId="0" applyNumberFormat="1" applyFont="1"/>
    <xf numFmtId="187" fontId="48" fillId="0" borderId="0" xfId="0" applyNumberFormat="1" applyFont="1"/>
    <xf numFmtId="0" fontId="48" fillId="0" borderId="0" xfId="0" applyFont="1"/>
    <xf numFmtId="174" fontId="48" fillId="0" borderId="0" xfId="0" applyNumberFormat="1" applyFont="1"/>
    <xf numFmtId="3" fontId="36" fillId="0" borderId="0" xfId="0" applyNumberFormat="1" applyFont="1"/>
    <xf numFmtId="10" fontId="33" fillId="0" borderId="0" xfId="0" applyNumberFormat="1" applyFont="1"/>
    <xf numFmtId="177" fontId="1" fillId="0" borderId="0" xfId="0" applyNumberFormat="1" applyFont="1"/>
    <xf numFmtId="0" fontId="1" fillId="0" borderId="0" xfId="0" applyFont="1" applyAlignment="1">
      <alignment horizontal="center"/>
    </xf>
    <xf numFmtId="0" fontId="30" fillId="7" borderId="0" xfId="0" applyFont="1" applyFill="1" applyAlignment="1">
      <alignment horizontal="center"/>
    </xf>
    <xf numFmtId="3" fontId="30" fillId="7" borderId="0" xfId="0" applyNumberFormat="1" applyFont="1" applyFill="1"/>
    <xf numFmtId="10" fontId="30" fillId="7" borderId="0" xfId="0" applyNumberFormat="1" applyFont="1" applyFill="1"/>
    <xf numFmtId="3" fontId="37" fillId="0" borderId="0" xfId="0" applyNumberFormat="1" applyFont="1"/>
    <xf numFmtId="0" fontId="16" fillId="0" borderId="4" xfId="0" applyFont="1" applyBorder="1" applyAlignment="1">
      <alignment horizontal="center"/>
    </xf>
    <xf numFmtId="0" fontId="14" fillId="0" borderId="0" xfId="0" applyFont="1" applyAlignment="1">
      <alignment horizontal="center" vertical="top"/>
    </xf>
    <xf numFmtId="180" fontId="4" fillId="0" borderId="0" xfId="0" applyNumberFormat="1" applyFont="1" applyAlignment="1">
      <alignment horizontal="right" vertical="center" indent="1"/>
    </xf>
    <xf numFmtId="180" fontId="4" fillId="3" borderId="0" xfId="0" applyNumberFormat="1" applyFont="1" applyFill="1" applyAlignment="1">
      <alignment horizontal="right" vertical="center" indent="1"/>
    </xf>
    <xf numFmtId="10" fontId="4" fillId="0" borderId="0" xfId="0" applyNumberFormat="1" applyFont="1" applyAlignment="1">
      <alignment horizontal="right" vertical="center" indent="1"/>
    </xf>
    <xf numFmtId="10" fontId="4" fillId="3" borderId="0" xfId="0" applyNumberFormat="1" applyFont="1" applyFill="1" applyAlignment="1">
      <alignment horizontal="right" vertical="center" indent="1"/>
    </xf>
    <xf numFmtId="3" fontId="4" fillId="0" borderId="0" xfId="0" applyNumberFormat="1" applyFont="1" applyAlignment="1">
      <alignment horizontal="right" vertical="center" indent="1"/>
    </xf>
    <xf numFmtId="3" fontId="4" fillId="3" borderId="0" xfId="0" applyNumberFormat="1" applyFont="1" applyFill="1" applyAlignment="1">
      <alignment horizontal="right" vertical="center" indent="1"/>
    </xf>
    <xf numFmtId="3" fontId="13" fillId="0" borderId="2" xfId="0" applyNumberFormat="1" applyFont="1" applyBorder="1" applyAlignment="1">
      <alignment horizontal="right" vertical="center" indent="1"/>
    </xf>
    <xf numFmtId="3" fontId="29" fillId="3" borderId="2" xfId="0" applyNumberFormat="1" applyFont="1" applyFill="1" applyBorder="1" applyAlignment="1">
      <alignment horizontal="right" vertical="center" indent="1"/>
    </xf>
    <xf numFmtId="0" fontId="4" fillId="0" borderId="0" xfId="0" applyFont="1" applyAlignment="1">
      <alignment horizontal="center" vertical="center" indent="1"/>
    </xf>
    <xf numFmtId="0" fontId="4" fillId="3" borderId="0" xfId="0" applyFont="1" applyFill="1" applyAlignment="1">
      <alignment horizontal="center" vertical="center" indent="1"/>
    </xf>
    <xf numFmtId="0" fontId="38" fillId="0" borderId="0" xfId="0" applyFont="1"/>
    <xf numFmtId="181" fontId="1" fillId="0" borderId="0" xfId="0" applyNumberFormat="1" applyFont="1"/>
    <xf numFmtId="3" fontId="33" fillId="0" borderId="0" xfId="0" applyNumberFormat="1" applyFont="1"/>
    <xf numFmtId="0" fontId="33" fillId="0" borderId="0" xfId="0" applyFont="1"/>
    <xf numFmtId="3" fontId="34" fillId="7" borderId="0" xfId="0" applyNumberFormat="1" applyFont="1" applyFill="1"/>
    <xf numFmtId="1" fontId="16" fillId="3" borderId="1" xfId="0" applyNumberFormat="1" applyFont="1" applyFill="1" applyBorder="1" applyAlignment="1">
      <alignment vertical="center"/>
    </xf>
    <xf numFmtId="186" fontId="24" fillId="0" borderId="0" xfId="0" applyNumberFormat="1" applyFont="1"/>
    <xf numFmtId="0" fontId="38" fillId="8" borderId="0" xfId="0" applyFont="1" applyFill="1"/>
    <xf numFmtId="186" fontId="1" fillId="0" borderId="0" xfId="0" applyNumberFormat="1" applyFont="1"/>
    <xf numFmtId="186" fontId="30" fillId="0" borderId="0" xfId="0" applyNumberFormat="1" applyFont="1"/>
    <xf numFmtId="0" fontId="33" fillId="6" borderId="0" xfId="0" applyFont="1" applyFill="1"/>
    <xf numFmtId="186" fontId="30" fillId="6" borderId="0" xfId="0" applyNumberFormat="1" applyFont="1" applyFill="1"/>
    <xf numFmtId="0" fontId="12" fillId="0" borderId="0" xfId="0" applyFont="1"/>
    <xf numFmtId="186" fontId="33" fillId="6" borderId="0" xfId="0" applyNumberFormat="1" applyFont="1" applyFill="1"/>
    <xf numFmtId="181" fontId="30" fillId="0" borderId="0" xfId="0" applyNumberFormat="1" applyFont="1"/>
    <xf numFmtId="0" fontId="7" fillId="0" borderId="4" xfId="0" applyFont="1" applyBorder="1"/>
    <xf numFmtId="0" fontId="39" fillId="0" borderId="0" xfId="0" applyFont="1" applyAlignment="1">
      <alignment vertical="top" wrapText="1"/>
    </xf>
    <xf numFmtId="0" fontId="38" fillId="0" borderId="0" xfId="0" applyFont="1" applyAlignment="1">
      <alignment vertical="top" wrapText="1"/>
    </xf>
    <xf numFmtId="0" fontId="40" fillId="6" borderId="0" xfId="0" applyFont="1" applyFill="1" applyAlignment="1">
      <alignment vertical="top" wrapText="1"/>
    </xf>
    <xf numFmtId="3" fontId="52" fillId="10" borderId="0" xfId="0" applyNumberFormat="1" applyFont="1" applyFill="1" applyAlignment="1">
      <alignment horizontal="center" vertical="center"/>
    </xf>
    <xf numFmtId="0" fontId="0" fillId="0" borderId="0" xfId="0"/>
    <xf numFmtId="0" fontId="42" fillId="0" borderId="0" xfId="0" applyFont="1" applyAlignment="1">
      <alignment horizontal="left" vertical="center"/>
    </xf>
    <xf numFmtId="164" fontId="53" fillId="11" borderId="0" xfId="0" applyNumberFormat="1" applyFont="1" applyFill="1" applyAlignment="1">
      <alignment horizontal="center" vertical="center"/>
    </xf>
    <xf numFmtId="0" fontId="48" fillId="0" borderId="0" xfId="0" applyFont="1" applyAlignment="1">
      <alignment horizontal="left" vertical="top" wrapText="1"/>
    </xf>
    <xf numFmtId="0" fontId="48" fillId="0" borderId="0" xfId="0" applyFont="1" applyAlignment="1">
      <alignment horizontal="left" vertical="center" indent="1"/>
    </xf>
    <xf numFmtId="0" fontId="43" fillId="0" borderId="0" xfId="0" applyFont="1" applyAlignment="1">
      <alignment horizontal="left" vertical="center"/>
    </xf>
    <xf numFmtId="10" fontId="47" fillId="0" borderId="0" xfId="0" applyNumberFormat="1" applyFont="1" applyAlignment="1">
      <alignment horizontal="left" vertical="center"/>
    </xf>
    <xf numFmtId="3" fontId="46" fillId="0" borderId="0" xfId="0" applyNumberFormat="1" applyFont="1" applyAlignment="1">
      <alignment horizontal="left" vertical="center"/>
    </xf>
    <xf numFmtId="176" fontId="4" fillId="0" borderId="0" xfId="0" applyNumberFormat="1" applyFont="1" applyAlignment="1">
      <alignment horizontal="right" vertical="center"/>
    </xf>
    <xf numFmtId="175" fontId="16" fillId="0" borderId="0" xfId="0" applyNumberFormat="1" applyFont="1" applyAlignment="1">
      <alignment horizontal="right" vertical="center"/>
    </xf>
    <xf numFmtId="175" fontId="4" fillId="0" borderId="0" xfId="0" applyNumberFormat="1" applyFont="1" applyAlignment="1">
      <alignment horizontal="right" vertical="center"/>
    </xf>
    <xf numFmtId="0" fontId="1" fillId="0" borderId="4" xfId="0" applyFont="1" applyBorder="1"/>
    <xf numFmtId="0" fontId="0" fillId="0" borderId="5" xfId="0" applyBorder="1"/>
    <xf numFmtId="170" fontId="4" fillId="0" borderId="0" xfId="0" applyNumberFormat="1" applyFont="1" applyAlignment="1">
      <alignment horizontal="right" vertical="center"/>
    </xf>
    <xf numFmtId="173" fontId="4" fillId="0" borderId="0" xfId="0" applyNumberFormat="1" applyFont="1" applyAlignment="1">
      <alignment horizontal="right" vertical="center"/>
    </xf>
    <xf numFmtId="0" fontId="18" fillId="3" borderId="0" xfId="0" applyFont="1" applyFill="1" applyAlignment="1">
      <alignment horizontal="left" vertical="top" wrapText="1" indent="1"/>
    </xf>
    <xf numFmtId="0" fontId="17" fillId="3" borderId="0" xfId="0" applyFont="1" applyFill="1" applyAlignment="1">
      <alignment horizontal="left" vertical="center" indent="1"/>
    </xf>
    <xf numFmtId="0" fontId="18" fillId="3" borderId="0" xfId="0" applyFont="1" applyFill="1" applyAlignment="1">
      <alignment horizontal="center" vertical="center"/>
    </xf>
    <xf numFmtId="10" fontId="20" fillId="0" borderId="0" xfId="0" applyNumberFormat="1" applyFont="1" applyAlignment="1">
      <alignment horizontal="right" vertical="center"/>
    </xf>
    <xf numFmtId="167" fontId="4" fillId="0" borderId="0" xfId="0" applyNumberFormat="1" applyFont="1" applyAlignment="1">
      <alignment horizontal="right" vertical="center"/>
    </xf>
    <xf numFmtId="0" fontId="9" fillId="0" borderId="0" xfId="0" applyFont="1" applyAlignment="1">
      <alignment horizontal="left" vertical="center"/>
    </xf>
    <xf numFmtId="10" fontId="4" fillId="0" borderId="0" xfId="0" applyNumberFormat="1" applyFont="1" applyAlignment="1">
      <alignment horizontal="right" vertical="center"/>
    </xf>
    <xf numFmtId="0" fontId="9" fillId="0" borderId="1" xfId="0" applyFont="1" applyBorder="1" applyAlignment="1">
      <alignment horizontal="right"/>
    </xf>
    <xf numFmtId="0" fontId="0" fillId="0" borderId="3" xfId="0" applyBorder="1"/>
    <xf numFmtId="0" fontId="4" fillId="0" borderId="4" xfId="0" applyFont="1" applyBorder="1" applyAlignment="1">
      <alignment horizontal="left" indent="1"/>
    </xf>
    <xf numFmtId="0" fontId="4" fillId="0" borderId="0" xfId="0" applyFont="1" applyAlignment="1">
      <alignment horizontal="right" vertical="center"/>
    </xf>
    <xf numFmtId="10" fontId="19" fillId="0" borderId="0" xfId="0" applyNumberFormat="1" applyFont="1" applyAlignment="1">
      <alignment horizontal="right" vertical="center"/>
    </xf>
    <xf numFmtId="0" fontId="6" fillId="0" borderId="0" xfId="0" applyFont="1" applyAlignment="1">
      <alignment horizontal="left" vertical="center"/>
    </xf>
    <xf numFmtId="170" fontId="16" fillId="0" borderId="0" xfId="0" applyNumberFormat="1" applyFont="1" applyAlignment="1">
      <alignment horizontal="right" vertical="center"/>
    </xf>
    <xf numFmtId="172" fontId="4" fillId="0" borderId="0" xfId="0" applyNumberFormat="1" applyFont="1" applyAlignment="1">
      <alignment horizontal="right" vertical="center"/>
    </xf>
    <xf numFmtId="176" fontId="16" fillId="0" borderId="0" xfId="0" applyNumberFormat="1" applyFont="1" applyAlignment="1">
      <alignment horizontal="right" vertical="center"/>
    </xf>
    <xf numFmtId="0" fontId="15" fillId="0" borderId="0" xfId="0" applyFont="1" applyAlignment="1">
      <alignment horizontal="left" vertical="center"/>
    </xf>
    <xf numFmtId="0" fontId="21" fillId="0" borderId="0" xfId="0" applyFont="1" applyAlignment="1">
      <alignment horizontal="right" vertical="center"/>
    </xf>
    <xf numFmtId="0" fontId="10" fillId="0" borderId="0" xfId="0" applyFont="1" applyAlignment="1">
      <alignment horizontal="left" vertical="top"/>
    </xf>
    <xf numFmtId="0" fontId="8" fillId="0" borderId="0" xfId="0" applyFont="1" applyAlignment="1">
      <alignment horizontal="left" vertical="center"/>
    </xf>
    <xf numFmtId="0" fontId="3" fillId="0" borderId="0" xfId="0" applyFont="1" applyAlignment="1">
      <alignment horizontal="left" vertical="center" indent="1"/>
    </xf>
    <xf numFmtId="0" fontId="25" fillId="12" borderId="0" xfId="0" applyFont="1" applyFill="1" applyAlignment="1">
      <alignment horizontal="center" vertical="center"/>
    </xf>
    <xf numFmtId="0" fontId="0" fillId="12" borderId="0" xfId="0" applyFill="1"/>
    <xf numFmtId="0" fontId="27" fillId="3" borderId="0" xfId="0" applyFont="1" applyFill="1" applyAlignment="1">
      <alignment horizontal="left" vertical="center" wrapText="1" indent="1"/>
    </xf>
    <xf numFmtId="0" fontId="14" fillId="0" borderId="0" xfId="0" applyFont="1" applyAlignment="1">
      <alignment horizontal="left" vertical="center" wrapText="1"/>
    </xf>
    <xf numFmtId="0" fontId="9" fillId="0" borderId="1" xfId="0" applyFont="1" applyBorder="1" applyAlignment="1">
      <alignment horizontal="left"/>
    </xf>
    <xf numFmtId="0" fontId="14" fillId="0" borderId="0" xfId="0" applyFont="1" applyAlignment="1">
      <alignment horizontal="left" vertical="center"/>
    </xf>
    <xf numFmtId="0" fontId="13" fillId="0" borderId="4" xfId="0" applyFont="1" applyBorder="1" applyAlignment="1">
      <alignment horizontal="left" vertical="center"/>
    </xf>
    <xf numFmtId="0" fontId="31" fillId="0" borderId="0" xfId="0" applyFont="1"/>
    <xf numFmtId="0" fontId="24" fillId="0" borderId="0" xfId="0" applyFont="1" applyAlignment="1">
      <alignment vertical="top" wrapText="1"/>
    </xf>
    <xf numFmtId="0" fontId="1" fillId="0" borderId="0" xfId="0" applyFont="1" applyAlignment="1">
      <alignment vertical="top" wrapText="1"/>
    </xf>
    <xf numFmtId="0" fontId="18" fillId="0" borderId="0" xfId="0" applyFont="1" applyAlignment="1">
      <alignment horizontal="left" vertical="center" wrapText="1"/>
    </xf>
    <xf numFmtId="0" fontId="24" fillId="0" borderId="0" xfId="0" applyFont="1" applyAlignment="1">
      <alignment wrapText="1"/>
    </xf>
    <xf numFmtId="0" fontId="4" fillId="0" borderId="0" xfId="0" applyFont="1" applyAlignment="1">
      <alignment horizontal="left" vertical="top" wrapText="1"/>
    </xf>
    <xf numFmtId="0" fontId="13" fillId="0" borderId="7" xfId="0" applyFont="1" applyBorder="1" applyAlignment="1">
      <alignment horizontal="left" vertical="center"/>
    </xf>
    <xf numFmtId="0" fontId="2" fillId="2" borderId="0" xfId="0" applyFont="1" applyFill="1" applyAlignment="1">
      <alignment horizontal="left" vertical="center" indent="1"/>
    </xf>
  </cellXfs>
  <cellStyles count="1">
    <cellStyle name="Normal" xfId="0" builtinId="0"/>
  </cellStyles>
  <dxfs count="1">
    <dxf>
      <font>
        <b/>
        <color rgb="FFC0392B"/>
      </font>
      <fill>
        <patternFill patternType="solid">
          <bgColor rgb="FFFDEDE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1"/>
  <c:style val="2"/>
  <c:chart>
    <c:title>
      <c:tx>
        <c:rich>
          <a:bodyPr/>
          <a:lstStyle/>
          <a:p>
            <a:pPr>
              <a:defRPr/>
            </a:pPr>
            <a:r>
              <a:t>Driftnetto per år (Mkr)</a:t>
            </a:r>
          </a:p>
        </c:rich>
      </c:tx>
      <c:overlay val="1"/>
    </c:title>
    <c:autoTitleDeleted val="0"/>
    <c:plotArea>
      <c:layout/>
      <c:barChart>
        <c:barDir val="col"/>
        <c:grouping val="clustered"/>
        <c:varyColors val="1"/>
        <c:ser>
          <c:idx val="0"/>
          <c:order val="0"/>
          <c:spPr>
            <a:solidFill>
              <a:srgbClr val="10313E"/>
            </a:solidFill>
            <a:ln>
              <a:prstDash val="solid"/>
            </a:ln>
          </c:spPr>
          <c:invertIfNegative val="1"/>
          <c:cat>
            <c:numRef>
              <c:f>Kassaflöde!$D$3:$W$3</c:f>
              <c:numCache>
                <c:formatCode>0</c:formatCode>
                <c:ptCount val="20"/>
                <c:pt idx="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numCache>
            </c:numRef>
          </c:cat>
          <c:val>
            <c:numRef>
              <c:f>Kassaflöde!$D$23:$W$23</c:f>
              <c:numCache>
                <c:formatCode>#\ ##0;\-#\ ##0;\-</c:formatCode>
                <c:ptCount val="20"/>
                <c:pt idx="0">
                  <c:v>9231221.7194570135</c:v>
                </c:pt>
                <c:pt idx="1">
                  <c:v>9346058.8235294111</c:v>
                </c:pt>
                <c:pt idx="2">
                  <c:v>9462215.6470588222</c:v>
                </c:pt>
                <c:pt idx="3">
                  <c:v>9579704.9061176516</c:v>
                </c:pt>
                <c:pt idx="4">
                  <c:v>9698539.3796032965</c:v>
                </c:pt>
                <c:pt idx="5">
                  <c:v>9818731.9078137428</c:v>
                </c:pt>
                <c:pt idx="6">
                  <c:v>9940295.3909570575</c:v>
                </c:pt>
                <c:pt idx="7">
                  <c:v>10063242.787593052</c:v>
                </c:pt>
                <c:pt idx="8">
                  <c:v>10187587.11300521</c:v>
                </c:pt>
                <c:pt idx="9">
                  <c:v>10313341.437500851</c:v>
                </c:pt>
                <c:pt idx="10">
                  <c:v>10440518.884637702</c:v>
                </c:pt>
                <c:pt idx="11">
                  <c:v>10569132.629374705</c:v>
                </c:pt>
                <c:pt idx="12">
                  <c:v>10699195.896145074</c:v>
                </c:pt>
                <c:pt idx="13">
                  <c:v>10830721.9568494</c:v>
                </c:pt>
                <c:pt idx="14">
                  <c:v>10963724.12876676</c:v>
                </c:pt>
                <c:pt idx="15">
                  <c:v>11098215.772381391</c:v>
                </c:pt>
                <c:pt idx="16">
                  <c:v>11234210.289122863</c:v>
                </c:pt>
                <c:pt idx="17">
                  <c:v>11371721.119017283</c:v>
                </c:pt>
                <c:pt idx="18">
                  <c:v>11510761.738247154</c:v>
                </c:pt>
                <c:pt idx="19">
                  <c:v>11651345.656617515</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C235-43CC-A3D6-61CA673A9DDC}"/>
            </c:ext>
          </c:extLst>
        </c:ser>
        <c:dLbls>
          <c:showLegendKey val="0"/>
          <c:showVal val="0"/>
          <c:showCatName val="0"/>
          <c:showSerName val="0"/>
          <c:showPercent val="0"/>
          <c:showBubbleSize val="0"/>
        </c:dLbls>
        <c:gapWidth val="60"/>
        <c:axId val="10"/>
        <c:axId val="100"/>
      </c:barChart>
      <c:catAx>
        <c:axId val="10"/>
        <c:scaling>
          <c:orientation val="minMax"/>
        </c:scaling>
        <c:delete val="0"/>
        <c:axPos val="b"/>
        <c:numFmt formatCode="0" sourceLinked="1"/>
        <c:majorTickMark val="out"/>
        <c:minorTickMark val="none"/>
        <c:tickLblPos val="nextTo"/>
        <c:crossAx val="100"/>
        <c:crosses val="autoZero"/>
        <c:auto val="1"/>
        <c:lblAlgn val="ctr"/>
        <c:lblOffset val="100"/>
        <c:noMultiLvlLbl val="1"/>
      </c:catAx>
      <c:valAx>
        <c:axId val="100"/>
        <c:scaling>
          <c:orientation val="minMax"/>
        </c:scaling>
        <c:delete val="0"/>
        <c:axPos val="l"/>
        <c:majorGridlines/>
        <c:numFmt formatCode="#,##0,," sourceLinked="0"/>
        <c:majorTickMark val="out"/>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1"/>
  <c:style val="2"/>
  <c:chart>
    <c:title>
      <c:tx>
        <c:rich>
          <a:bodyPr/>
          <a:lstStyle/>
          <a:p>
            <a:pPr>
              <a:defRPr/>
            </a:pPr>
            <a:r>
              <a:t>Ackumulerat driftnetto vs investering (Mkr)</a:t>
            </a:r>
          </a:p>
        </c:rich>
      </c:tx>
      <c:overlay val="1"/>
    </c:title>
    <c:autoTitleDeleted val="0"/>
    <c:plotArea>
      <c:layout/>
      <c:lineChart>
        <c:grouping val="standard"/>
        <c:varyColors val="1"/>
        <c:ser>
          <c:idx val="0"/>
          <c:order val="0"/>
          <c:tx>
            <c:v>Ackumulerat driftnetto</c:v>
          </c:tx>
          <c:spPr>
            <a:ln w="28000">
              <a:solidFill>
                <a:srgbClr val="FAB600"/>
              </a:solidFill>
              <a:prstDash val="solid"/>
            </a:ln>
          </c:spPr>
          <c:marker>
            <c:symbol val="none"/>
          </c:marker>
          <c:cat>
            <c:numRef>
              <c:f>Grafer!$C$44:$V$44</c:f>
              <c:numCache>
                <c:formatCode>0</c:formatCode>
                <c:ptCount val="20"/>
                <c:pt idx="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numCache>
            </c:numRef>
          </c:cat>
          <c:val>
            <c:numRef>
              <c:f>Grafer!$C$46:$V$46</c:f>
              <c:numCache>
                <c:formatCode>#\ ##0.0\ \ </c:formatCode>
                <c:ptCount val="20"/>
                <c:pt idx="0">
                  <c:v>9231221.7194570135</c:v>
                </c:pt>
                <c:pt idx="1">
                  <c:v>18577280.542986423</c:v>
                </c:pt>
                <c:pt idx="2">
                  <c:v>28039496.190045245</c:v>
                </c:pt>
                <c:pt idx="3">
                  <c:v>37619201.0961629</c:v>
                </c:pt>
                <c:pt idx="4">
                  <c:v>47317740.475766197</c:v>
                </c:pt>
                <c:pt idx="5">
                  <c:v>57136472.38357994</c:v>
                </c:pt>
                <c:pt idx="6">
                  <c:v>67076767.774536997</c:v>
                </c:pt>
                <c:pt idx="7">
                  <c:v>77140010.562130049</c:v>
                </c:pt>
                <c:pt idx="8">
                  <c:v>87327597.675135255</c:v>
                </c:pt>
                <c:pt idx="9">
                  <c:v>97640939.112636104</c:v>
                </c:pt>
                <c:pt idx="10">
                  <c:v>108081457.9972738</c:v>
                </c:pt>
                <c:pt idx="11">
                  <c:v>118650590.62664852</c:v>
                </c:pt>
                <c:pt idx="12">
                  <c:v>129349786.52279359</c:v>
                </c:pt>
                <c:pt idx="13">
                  <c:v>140180508.47964299</c:v>
                </c:pt>
                <c:pt idx="14">
                  <c:v>151144232.60840976</c:v>
                </c:pt>
                <c:pt idx="15">
                  <c:v>162242448.38079116</c:v>
                </c:pt>
                <c:pt idx="16">
                  <c:v>173476658.66991401</c:v>
                </c:pt>
                <c:pt idx="17">
                  <c:v>184848379.78893128</c:v>
                </c:pt>
                <c:pt idx="18">
                  <c:v>196359141.52717844</c:v>
                </c:pt>
                <c:pt idx="19">
                  <c:v>208010487.18379596</c:v>
                </c:pt>
              </c:numCache>
            </c:numRef>
          </c:val>
          <c:smooth val="1"/>
          <c:extLst>
            <c:ext xmlns:c16="http://schemas.microsoft.com/office/drawing/2014/chart" uri="{C3380CC4-5D6E-409C-BE32-E72D297353CC}">
              <c16:uniqueId val="{00000000-5720-4A70-A3C1-0232BE4B3640}"/>
            </c:ext>
          </c:extLst>
        </c:ser>
        <c:ser>
          <c:idx val="1"/>
          <c:order val="1"/>
          <c:tx>
            <c:v>Total investering</c:v>
          </c:tx>
          <c:spPr>
            <a:ln w="18000">
              <a:solidFill>
                <a:srgbClr val="10313E"/>
              </a:solidFill>
              <a:prstDash val="dash"/>
            </a:ln>
          </c:spPr>
          <c:marker>
            <c:symbol val="none"/>
          </c:marker>
          <c:cat>
            <c:numRef>
              <c:f>Grafer!$C$44:$V$44</c:f>
              <c:numCache>
                <c:formatCode>0</c:formatCode>
                <c:ptCount val="20"/>
                <c:pt idx="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numCache>
            </c:numRef>
          </c:cat>
          <c:val>
            <c:numRef>
              <c:f>Grafer!$C$47:$V$47</c:f>
              <c:numCache>
                <c:formatCode>#\ ##0.0\ \ </c:formatCode>
                <c:ptCount val="20"/>
                <c:pt idx="0">
                  <c:v>200000000</c:v>
                </c:pt>
                <c:pt idx="1">
                  <c:v>200000000</c:v>
                </c:pt>
                <c:pt idx="2">
                  <c:v>200000000</c:v>
                </c:pt>
                <c:pt idx="3">
                  <c:v>200000000</c:v>
                </c:pt>
                <c:pt idx="4">
                  <c:v>200000000</c:v>
                </c:pt>
                <c:pt idx="5">
                  <c:v>200000000</c:v>
                </c:pt>
                <c:pt idx="6">
                  <c:v>200000000</c:v>
                </c:pt>
                <c:pt idx="7">
                  <c:v>200000000</c:v>
                </c:pt>
                <c:pt idx="8">
                  <c:v>200000000</c:v>
                </c:pt>
                <c:pt idx="9">
                  <c:v>200000000</c:v>
                </c:pt>
                <c:pt idx="10">
                  <c:v>200000000</c:v>
                </c:pt>
                <c:pt idx="11">
                  <c:v>200000000</c:v>
                </c:pt>
                <c:pt idx="12">
                  <c:v>200000000</c:v>
                </c:pt>
                <c:pt idx="13">
                  <c:v>200000000</c:v>
                </c:pt>
                <c:pt idx="14">
                  <c:v>200000000</c:v>
                </c:pt>
                <c:pt idx="15">
                  <c:v>200000000</c:v>
                </c:pt>
                <c:pt idx="16">
                  <c:v>200000000</c:v>
                </c:pt>
                <c:pt idx="17">
                  <c:v>200000000</c:v>
                </c:pt>
                <c:pt idx="18">
                  <c:v>200000000</c:v>
                </c:pt>
                <c:pt idx="19">
                  <c:v>200000000</c:v>
                </c:pt>
              </c:numCache>
            </c:numRef>
          </c:val>
          <c:smooth val="1"/>
          <c:extLst>
            <c:ext xmlns:c16="http://schemas.microsoft.com/office/drawing/2014/chart" uri="{C3380CC4-5D6E-409C-BE32-E72D297353CC}">
              <c16:uniqueId val="{00000001-5720-4A70-A3C1-0232BE4B3640}"/>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0" sourceLinked="1"/>
        <c:majorTickMark val="out"/>
        <c:minorTickMark val="none"/>
        <c:tickLblPos val="nextTo"/>
        <c:crossAx val="100"/>
        <c:crosses val="autoZero"/>
        <c:auto val="1"/>
        <c:lblAlgn val="ctr"/>
        <c:lblOffset val="100"/>
        <c:tickLblSkip val="4"/>
        <c:tickMarkSkip val="2"/>
        <c:noMultiLvlLbl val="1"/>
      </c:catAx>
      <c:valAx>
        <c:axId val="100"/>
        <c:scaling>
          <c:orientation val="minMax"/>
        </c:scaling>
        <c:delete val="0"/>
        <c:axPos val="l"/>
        <c:majorGridlines/>
        <c:numFmt formatCode="#,##0,," sourceLinked="0"/>
        <c:majorTickMark val="out"/>
        <c:minorTickMark val="none"/>
        <c:tickLblPos val="nextTo"/>
        <c:crossAx val="10"/>
        <c:crosses val="autoZero"/>
        <c:crossBetween val="between"/>
      </c:valAx>
    </c:plotArea>
    <c:legend>
      <c:legendPos val="t"/>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1"/>
  <c:style val="2"/>
  <c:chart>
    <c:title>
      <c:tx>
        <c:rich>
          <a:bodyPr/>
          <a:lstStyle/>
          <a:p>
            <a:pPr>
              <a:defRPr/>
            </a:pPr>
            <a:r>
              <a:t>Kravhyra vid investeringsutfall (Mkr/år)</a:t>
            </a:r>
          </a:p>
        </c:rich>
      </c:tx>
      <c:overlay val="1"/>
    </c:title>
    <c:autoTitleDeleted val="0"/>
    <c:plotArea>
      <c:layout/>
      <c:barChart>
        <c:barDir val="col"/>
        <c:grouping val="clustered"/>
        <c:varyColors val="1"/>
        <c:ser>
          <c:idx val="0"/>
          <c:order val="0"/>
          <c:spPr>
            <a:solidFill>
              <a:srgbClr val="FAB600"/>
            </a:solidFill>
            <a:ln>
              <a:prstDash val="solid"/>
            </a:ln>
          </c:spPr>
          <c:invertIfNegative val="1"/>
          <c:cat>
            <c:strRef>
              <c:f>Grafer!$C$50:$E$50</c:f>
              <c:strCache>
                <c:ptCount val="3"/>
                <c:pt idx="0">
                  <c:v>Lägsta (−10 %)</c:v>
                </c:pt>
                <c:pt idx="1">
                  <c:v>Mål (bindande)</c:v>
                </c:pt>
                <c:pt idx="2">
                  <c:v>Högsta (+10 %)</c:v>
                </c:pt>
              </c:strCache>
            </c:strRef>
          </c:cat>
          <c:val>
            <c:numRef>
              <c:f>Grafer!$C$51:$E$51</c:f>
              <c:numCache>
                <c:formatCode>#\ ##0;\-#\ ##0;"–"</c:formatCode>
                <c:ptCount val="3"/>
                <c:pt idx="0">
                  <c:v>10726244.343891403</c:v>
                </c:pt>
                <c:pt idx="1">
                  <c:v>11631221.719457014</c:v>
                </c:pt>
                <c:pt idx="2">
                  <c:v>12536199.095022624</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18D7-4471-8CDA-B5FD3E1DE65C}"/>
            </c:ext>
          </c:extLst>
        </c:ser>
        <c:dLbls>
          <c:showLegendKey val="0"/>
          <c:showVal val="0"/>
          <c:showCatName val="0"/>
          <c:showSerName val="0"/>
          <c:showPercent val="0"/>
          <c:showBubbleSize val="0"/>
        </c:dLbls>
        <c:gapWidth val="40"/>
        <c:axId val="10"/>
        <c:axId val="100"/>
      </c:barChart>
      <c:catAx>
        <c:axId val="10"/>
        <c:scaling>
          <c:orientation val="minMax"/>
        </c:scaling>
        <c:delete val="0"/>
        <c:axPos val="b"/>
        <c:numFmt formatCode="General" sourceLinked="1"/>
        <c:majorTickMark val="out"/>
        <c:minorTickMark val="none"/>
        <c:tickLblPos val="nextTo"/>
        <c:crossAx val="100"/>
        <c:crosses val="autoZero"/>
        <c:auto val="1"/>
        <c:lblAlgn val="ctr"/>
        <c:lblOffset val="100"/>
        <c:noMultiLvlLbl val="1"/>
      </c:catAx>
      <c:valAx>
        <c:axId val="100"/>
        <c:scaling>
          <c:orientation val="minMax"/>
        </c:scaling>
        <c:delete val="0"/>
        <c:axPos val="l"/>
        <c:majorGridlines/>
        <c:numFmt formatCode="#,##0.0,," sourceLinked="0"/>
        <c:majorTickMark val="out"/>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13.png"/><Relationship Id="rId7" Type="http://schemas.openxmlformats.org/officeDocument/2006/relationships/image" Target="../media/image7.png"/><Relationship Id="rId2" Type="http://schemas.openxmlformats.org/officeDocument/2006/relationships/image" Target="../media/image1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1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14.png"/><Relationship Id="rId9" Type="http://schemas.openxmlformats.org/officeDocument/2006/relationships/image" Target="../media/image9.png"/></Relationships>
</file>

<file path=xl/drawings/_rels/drawing5.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1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6.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12.png"/><Relationship Id="rId1" Type="http://schemas.openxmlformats.org/officeDocument/2006/relationships/image" Target="../media/image1.png"/><Relationship Id="rId6" Type="http://schemas.openxmlformats.org/officeDocument/2006/relationships/image" Target="../media/image1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7.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png"/><Relationship Id="rId3" Type="http://schemas.openxmlformats.org/officeDocument/2006/relationships/chart" Target="../charts/chart3.xml"/><Relationship Id="rId7" Type="http://schemas.openxmlformats.org/officeDocument/2006/relationships/image" Target="../media/image4.png"/><Relationship Id="rId12" Type="http://schemas.openxmlformats.org/officeDocument/2006/relationships/image" Target="../media/image9.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image" Target="../media/image8.png"/><Relationship Id="rId5" Type="http://schemas.openxmlformats.org/officeDocument/2006/relationships/image" Target="../media/image12.png"/><Relationship Id="rId10" Type="http://schemas.openxmlformats.org/officeDocument/2006/relationships/image" Target="../media/image17.png"/><Relationship Id="rId4" Type="http://schemas.openxmlformats.org/officeDocument/2006/relationships/image" Target="../media/image1.png"/><Relationship Id="rId9" Type="http://schemas.openxmlformats.org/officeDocument/2006/relationships/image" Target="../media/image6.png"/></Relationships>
</file>

<file path=xl/drawings/_rels/drawing8.xml.rels><?xml version="1.0" encoding="UTF-8" standalone="yes"?>
<Relationships xmlns="http://schemas.openxmlformats.org/package/2006/relationships"><Relationship Id="rId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1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1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19.png"/></Relationships>
</file>

<file path=xl/drawings/_rels/drawing10.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1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2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0</xdr:rowOff>
    </xdr:from>
    <xdr:ext cx="1600200" cy="36195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0</xdr:col>
      <xdr:colOff>0</xdr:colOff>
      <xdr:row>2</xdr:row>
      <xdr:rowOff>0</xdr:rowOff>
    </xdr:from>
    <xdr:ext cx="1600200" cy="361950"/>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0</xdr:col>
      <xdr:colOff>0</xdr:colOff>
      <xdr:row>3</xdr:row>
      <xdr:rowOff>0</xdr:rowOff>
    </xdr:from>
    <xdr:ext cx="1600200" cy="361950"/>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0</xdr:col>
      <xdr:colOff>0</xdr:colOff>
      <xdr:row>4</xdr:row>
      <xdr:rowOff>0</xdr:rowOff>
    </xdr:from>
    <xdr:ext cx="1600200" cy="361950"/>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0</xdr:col>
      <xdr:colOff>0</xdr:colOff>
      <xdr:row>5</xdr:row>
      <xdr:rowOff>0</xdr:rowOff>
    </xdr:from>
    <xdr:ext cx="1600200" cy="361950"/>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0</xdr:col>
      <xdr:colOff>0</xdr:colOff>
      <xdr:row>6</xdr:row>
      <xdr:rowOff>0</xdr:rowOff>
    </xdr:from>
    <xdr:ext cx="1600200" cy="361950"/>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0</xdr:col>
      <xdr:colOff>0</xdr:colOff>
      <xdr:row>7</xdr:row>
      <xdr:rowOff>0</xdr:rowOff>
    </xdr:from>
    <xdr:ext cx="1600200" cy="361950"/>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0</xdr:col>
      <xdr:colOff>0</xdr:colOff>
      <xdr:row>8</xdr:row>
      <xdr:rowOff>0</xdr:rowOff>
    </xdr:from>
    <xdr:ext cx="1600200" cy="361950"/>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0</xdr:col>
      <xdr:colOff>0</xdr:colOff>
      <xdr:row>9</xdr:row>
      <xdr:rowOff>0</xdr:rowOff>
    </xdr:from>
    <xdr:ext cx="1600200" cy="361950"/>
    <xdr:pic>
      <xdr:nvPicPr>
        <xdr:cNvPr id="10" name="Image 9" descr="Picture">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0</xdr:col>
      <xdr:colOff>0</xdr:colOff>
      <xdr:row>10</xdr:row>
      <xdr:rowOff>0</xdr:rowOff>
    </xdr:from>
    <xdr:ext cx="1600200" cy="361950"/>
    <xdr:pic>
      <xdr:nvPicPr>
        <xdr:cNvPr id="11" name="Image 10" descr="Picture">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1</xdr:row>
      <xdr:rowOff>0</xdr:rowOff>
    </xdr:from>
    <xdr:ext cx="1600200" cy="361950"/>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0</xdr:col>
      <xdr:colOff>0</xdr:colOff>
      <xdr:row>2</xdr:row>
      <xdr:rowOff>0</xdr:rowOff>
    </xdr:from>
    <xdr:ext cx="1600200" cy="361950"/>
    <xdr:pic>
      <xdr:nvPicPr>
        <xdr:cNvPr id="3" name="Image 2" descr="Picture">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0</xdr:col>
      <xdr:colOff>0</xdr:colOff>
      <xdr:row>3</xdr:row>
      <xdr:rowOff>0</xdr:rowOff>
    </xdr:from>
    <xdr:ext cx="1600200" cy="361950"/>
    <xdr:pic>
      <xdr:nvPicPr>
        <xdr:cNvPr id="4" name="Image 3" descr="Picture">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0</xdr:col>
      <xdr:colOff>0</xdr:colOff>
      <xdr:row>4</xdr:row>
      <xdr:rowOff>0</xdr:rowOff>
    </xdr:from>
    <xdr:ext cx="1600200" cy="361950"/>
    <xdr:pic>
      <xdr:nvPicPr>
        <xdr:cNvPr id="5" name="Image 4" descr="Picture">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0</xdr:col>
      <xdr:colOff>0</xdr:colOff>
      <xdr:row>5</xdr:row>
      <xdr:rowOff>0</xdr:rowOff>
    </xdr:from>
    <xdr:ext cx="1600200" cy="361950"/>
    <xdr:pic>
      <xdr:nvPicPr>
        <xdr:cNvPr id="6" name="Image 5" descr="Picture">
          <a:extLst>
            <a:ext uri="{FF2B5EF4-FFF2-40B4-BE49-F238E27FC236}">
              <a16:creationId xmlns:a16="http://schemas.microsoft.com/office/drawing/2014/main" id="{00000000-0008-0000-01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0</xdr:col>
      <xdr:colOff>0</xdr:colOff>
      <xdr:row>6</xdr:row>
      <xdr:rowOff>0</xdr:rowOff>
    </xdr:from>
    <xdr:ext cx="1600200" cy="361950"/>
    <xdr:pic>
      <xdr:nvPicPr>
        <xdr:cNvPr id="7" name="Image 6" descr="Picture">
          <a:extLst>
            <a:ext uri="{FF2B5EF4-FFF2-40B4-BE49-F238E27FC236}">
              <a16:creationId xmlns:a16="http://schemas.microsoft.com/office/drawing/2014/main" id="{00000000-0008-0000-01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0</xdr:col>
      <xdr:colOff>0</xdr:colOff>
      <xdr:row>7</xdr:row>
      <xdr:rowOff>0</xdr:rowOff>
    </xdr:from>
    <xdr:ext cx="1600200" cy="361950"/>
    <xdr:pic>
      <xdr:nvPicPr>
        <xdr:cNvPr id="8" name="Image 7" descr="Picture">
          <a:extLst>
            <a:ext uri="{FF2B5EF4-FFF2-40B4-BE49-F238E27FC236}">
              <a16:creationId xmlns:a16="http://schemas.microsoft.com/office/drawing/2014/main" id="{00000000-0008-0000-01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0</xdr:col>
      <xdr:colOff>0</xdr:colOff>
      <xdr:row>8</xdr:row>
      <xdr:rowOff>0</xdr:rowOff>
    </xdr:from>
    <xdr:ext cx="1600200" cy="361950"/>
    <xdr:pic>
      <xdr:nvPicPr>
        <xdr:cNvPr id="9" name="Image 8" descr="Picture">
          <a:extLst>
            <a:ext uri="{FF2B5EF4-FFF2-40B4-BE49-F238E27FC236}">
              <a16:creationId xmlns:a16="http://schemas.microsoft.com/office/drawing/2014/main" id="{00000000-0008-0000-01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0</xdr:col>
      <xdr:colOff>0</xdr:colOff>
      <xdr:row>9</xdr:row>
      <xdr:rowOff>0</xdr:rowOff>
    </xdr:from>
    <xdr:ext cx="1600200" cy="361950"/>
    <xdr:pic>
      <xdr:nvPicPr>
        <xdr:cNvPr id="10" name="Image 9" descr="Picture">
          <a:extLst>
            <a:ext uri="{FF2B5EF4-FFF2-40B4-BE49-F238E27FC236}">
              <a16:creationId xmlns:a16="http://schemas.microsoft.com/office/drawing/2014/main" id="{00000000-0008-0000-01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0</xdr:col>
      <xdr:colOff>0</xdr:colOff>
      <xdr:row>10</xdr:row>
      <xdr:rowOff>0</xdr:rowOff>
    </xdr:from>
    <xdr:ext cx="1600200" cy="361950"/>
    <xdr:pic>
      <xdr:nvPicPr>
        <xdr:cNvPr id="11" name="Image 10" descr="Picture">
          <a:extLst>
            <a:ext uri="{FF2B5EF4-FFF2-40B4-BE49-F238E27FC236}">
              <a16:creationId xmlns:a16="http://schemas.microsoft.com/office/drawing/2014/main" id="{00000000-0008-0000-01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1</xdr:row>
      <xdr:rowOff>0</xdr:rowOff>
    </xdr:from>
    <xdr:ext cx="1600200" cy="361950"/>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0</xdr:col>
      <xdr:colOff>0</xdr:colOff>
      <xdr:row>2</xdr:row>
      <xdr:rowOff>0</xdr:rowOff>
    </xdr:from>
    <xdr:ext cx="1600200" cy="361950"/>
    <xdr:pic>
      <xdr:nvPicPr>
        <xdr:cNvPr id="3" name="Image 2" descr="Picture">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0</xdr:col>
      <xdr:colOff>0</xdr:colOff>
      <xdr:row>3</xdr:row>
      <xdr:rowOff>0</xdr:rowOff>
    </xdr:from>
    <xdr:ext cx="1600200" cy="361950"/>
    <xdr:pic>
      <xdr:nvPicPr>
        <xdr:cNvPr id="4" name="Image 3" descr="Picture">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0</xdr:col>
      <xdr:colOff>0</xdr:colOff>
      <xdr:row>4</xdr:row>
      <xdr:rowOff>0</xdr:rowOff>
    </xdr:from>
    <xdr:ext cx="1600200" cy="361950"/>
    <xdr:pic>
      <xdr:nvPicPr>
        <xdr:cNvPr id="5" name="Image 4" descr="Picture">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0</xdr:col>
      <xdr:colOff>0</xdr:colOff>
      <xdr:row>5</xdr:row>
      <xdr:rowOff>0</xdr:rowOff>
    </xdr:from>
    <xdr:ext cx="1600200" cy="361950"/>
    <xdr:pic>
      <xdr:nvPicPr>
        <xdr:cNvPr id="6" name="Image 5" descr="Picture">
          <a:extLst>
            <a:ext uri="{FF2B5EF4-FFF2-40B4-BE49-F238E27FC236}">
              <a16:creationId xmlns:a16="http://schemas.microsoft.com/office/drawing/2014/main" id="{00000000-0008-0000-02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0</xdr:col>
      <xdr:colOff>0</xdr:colOff>
      <xdr:row>6</xdr:row>
      <xdr:rowOff>0</xdr:rowOff>
    </xdr:from>
    <xdr:ext cx="1600200" cy="361950"/>
    <xdr:pic>
      <xdr:nvPicPr>
        <xdr:cNvPr id="7" name="Image 6" descr="Picture">
          <a:extLst>
            <a:ext uri="{FF2B5EF4-FFF2-40B4-BE49-F238E27FC236}">
              <a16:creationId xmlns:a16="http://schemas.microsoft.com/office/drawing/2014/main" id="{00000000-0008-0000-02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0</xdr:col>
      <xdr:colOff>0</xdr:colOff>
      <xdr:row>7</xdr:row>
      <xdr:rowOff>0</xdr:rowOff>
    </xdr:from>
    <xdr:ext cx="1600200" cy="361950"/>
    <xdr:pic>
      <xdr:nvPicPr>
        <xdr:cNvPr id="8" name="Image 7" descr="Picture">
          <a:extLst>
            <a:ext uri="{FF2B5EF4-FFF2-40B4-BE49-F238E27FC236}">
              <a16:creationId xmlns:a16="http://schemas.microsoft.com/office/drawing/2014/main" id="{00000000-0008-0000-02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0</xdr:col>
      <xdr:colOff>0</xdr:colOff>
      <xdr:row>8</xdr:row>
      <xdr:rowOff>0</xdr:rowOff>
    </xdr:from>
    <xdr:ext cx="1600200" cy="361950"/>
    <xdr:pic>
      <xdr:nvPicPr>
        <xdr:cNvPr id="9" name="Image 8" descr="Picture">
          <a:extLst>
            <a:ext uri="{FF2B5EF4-FFF2-40B4-BE49-F238E27FC236}">
              <a16:creationId xmlns:a16="http://schemas.microsoft.com/office/drawing/2014/main" id="{00000000-0008-0000-02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0</xdr:col>
      <xdr:colOff>0</xdr:colOff>
      <xdr:row>9</xdr:row>
      <xdr:rowOff>0</xdr:rowOff>
    </xdr:from>
    <xdr:ext cx="1600200" cy="361950"/>
    <xdr:pic>
      <xdr:nvPicPr>
        <xdr:cNvPr id="10" name="Image 9" descr="Picture">
          <a:extLst>
            <a:ext uri="{FF2B5EF4-FFF2-40B4-BE49-F238E27FC236}">
              <a16:creationId xmlns:a16="http://schemas.microsoft.com/office/drawing/2014/main" id="{00000000-0008-0000-02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0</xdr:col>
      <xdr:colOff>0</xdr:colOff>
      <xdr:row>10</xdr:row>
      <xdr:rowOff>0</xdr:rowOff>
    </xdr:from>
    <xdr:ext cx="1600200" cy="361950"/>
    <xdr:pic>
      <xdr:nvPicPr>
        <xdr:cNvPr id="11" name="Image 10" descr="Picture">
          <a:extLst>
            <a:ext uri="{FF2B5EF4-FFF2-40B4-BE49-F238E27FC236}">
              <a16:creationId xmlns:a16="http://schemas.microsoft.com/office/drawing/2014/main" id="{00000000-0008-0000-02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1</xdr:row>
      <xdr:rowOff>0</xdr:rowOff>
    </xdr:from>
    <xdr:ext cx="1600200" cy="3619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0</xdr:col>
      <xdr:colOff>0</xdr:colOff>
      <xdr:row>2</xdr:row>
      <xdr:rowOff>0</xdr:rowOff>
    </xdr:from>
    <xdr:ext cx="1600200" cy="36195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0</xdr:col>
      <xdr:colOff>0</xdr:colOff>
      <xdr:row>3</xdr:row>
      <xdr:rowOff>0</xdr:rowOff>
    </xdr:from>
    <xdr:ext cx="1600200" cy="36195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0</xdr:col>
      <xdr:colOff>0</xdr:colOff>
      <xdr:row>4</xdr:row>
      <xdr:rowOff>0</xdr:rowOff>
    </xdr:from>
    <xdr:ext cx="1600200" cy="36195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0</xdr:col>
      <xdr:colOff>0</xdr:colOff>
      <xdr:row>5</xdr:row>
      <xdr:rowOff>0</xdr:rowOff>
    </xdr:from>
    <xdr:ext cx="1600200" cy="36195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0</xdr:col>
      <xdr:colOff>0</xdr:colOff>
      <xdr:row>6</xdr:row>
      <xdr:rowOff>0</xdr:rowOff>
    </xdr:from>
    <xdr:ext cx="1600200" cy="36195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0</xdr:col>
      <xdr:colOff>0</xdr:colOff>
      <xdr:row>7</xdr:row>
      <xdr:rowOff>0</xdr:rowOff>
    </xdr:from>
    <xdr:ext cx="1600200" cy="361950"/>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0</xdr:col>
      <xdr:colOff>0</xdr:colOff>
      <xdr:row>8</xdr:row>
      <xdr:rowOff>0</xdr:rowOff>
    </xdr:from>
    <xdr:ext cx="1600200" cy="36195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0</xdr:col>
      <xdr:colOff>0</xdr:colOff>
      <xdr:row>9</xdr:row>
      <xdr:rowOff>0</xdr:rowOff>
    </xdr:from>
    <xdr:ext cx="1600200" cy="36195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0</xdr:col>
      <xdr:colOff>0</xdr:colOff>
      <xdr:row>10</xdr:row>
      <xdr:rowOff>0</xdr:rowOff>
    </xdr:from>
    <xdr:ext cx="1600200" cy="361950"/>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1</xdr:row>
      <xdr:rowOff>0</xdr:rowOff>
    </xdr:from>
    <xdr:ext cx="1600200" cy="361950"/>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0</xdr:col>
      <xdr:colOff>0</xdr:colOff>
      <xdr:row>2</xdr:row>
      <xdr:rowOff>0</xdr:rowOff>
    </xdr:from>
    <xdr:ext cx="1600200" cy="361950"/>
    <xdr:pic>
      <xdr:nvPicPr>
        <xdr:cNvPr id="3" name="Image 2" descr="Picture">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0</xdr:col>
      <xdr:colOff>0</xdr:colOff>
      <xdr:row>3</xdr:row>
      <xdr:rowOff>0</xdr:rowOff>
    </xdr:from>
    <xdr:ext cx="1600200" cy="361950"/>
    <xdr:pic>
      <xdr:nvPicPr>
        <xdr:cNvPr id="4" name="Image 3" descr="Picture">
          <a:extLst>
            <a:ext uri="{FF2B5EF4-FFF2-40B4-BE49-F238E27FC236}">
              <a16:creationId xmlns:a16="http://schemas.microsoft.com/office/drawing/2014/main" id="{00000000-0008-0000-04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0</xdr:col>
      <xdr:colOff>0</xdr:colOff>
      <xdr:row>4</xdr:row>
      <xdr:rowOff>0</xdr:rowOff>
    </xdr:from>
    <xdr:ext cx="1600200" cy="361950"/>
    <xdr:pic>
      <xdr:nvPicPr>
        <xdr:cNvPr id="5" name="Image 4" descr="Picture">
          <a:extLst>
            <a:ext uri="{FF2B5EF4-FFF2-40B4-BE49-F238E27FC236}">
              <a16:creationId xmlns:a16="http://schemas.microsoft.com/office/drawing/2014/main" id="{00000000-0008-0000-04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0</xdr:col>
      <xdr:colOff>0</xdr:colOff>
      <xdr:row>5</xdr:row>
      <xdr:rowOff>0</xdr:rowOff>
    </xdr:from>
    <xdr:ext cx="1600200" cy="361950"/>
    <xdr:pic>
      <xdr:nvPicPr>
        <xdr:cNvPr id="6" name="Image 5" descr="Picture">
          <a:extLst>
            <a:ext uri="{FF2B5EF4-FFF2-40B4-BE49-F238E27FC236}">
              <a16:creationId xmlns:a16="http://schemas.microsoft.com/office/drawing/2014/main" id="{00000000-0008-0000-04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0</xdr:col>
      <xdr:colOff>0</xdr:colOff>
      <xdr:row>6</xdr:row>
      <xdr:rowOff>0</xdr:rowOff>
    </xdr:from>
    <xdr:ext cx="1600200" cy="361950"/>
    <xdr:pic>
      <xdr:nvPicPr>
        <xdr:cNvPr id="7" name="Image 6" descr="Picture">
          <a:extLst>
            <a:ext uri="{FF2B5EF4-FFF2-40B4-BE49-F238E27FC236}">
              <a16:creationId xmlns:a16="http://schemas.microsoft.com/office/drawing/2014/main" id="{00000000-0008-0000-04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0</xdr:col>
      <xdr:colOff>0</xdr:colOff>
      <xdr:row>7</xdr:row>
      <xdr:rowOff>0</xdr:rowOff>
    </xdr:from>
    <xdr:ext cx="1600200" cy="361950"/>
    <xdr:pic>
      <xdr:nvPicPr>
        <xdr:cNvPr id="8" name="Image 7" descr="Picture">
          <a:extLst>
            <a:ext uri="{FF2B5EF4-FFF2-40B4-BE49-F238E27FC236}">
              <a16:creationId xmlns:a16="http://schemas.microsoft.com/office/drawing/2014/main" id="{00000000-0008-0000-04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0</xdr:col>
      <xdr:colOff>0</xdr:colOff>
      <xdr:row>8</xdr:row>
      <xdr:rowOff>0</xdr:rowOff>
    </xdr:from>
    <xdr:ext cx="1600200" cy="361950"/>
    <xdr:pic>
      <xdr:nvPicPr>
        <xdr:cNvPr id="9" name="Image 8" descr="Picture">
          <a:extLst>
            <a:ext uri="{FF2B5EF4-FFF2-40B4-BE49-F238E27FC236}">
              <a16:creationId xmlns:a16="http://schemas.microsoft.com/office/drawing/2014/main" id="{00000000-0008-0000-04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0</xdr:col>
      <xdr:colOff>0</xdr:colOff>
      <xdr:row>9</xdr:row>
      <xdr:rowOff>0</xdr:rowOff>
    </xdr:from>
    <xdr:ext cx="1600200" cy="361950"/>
    <xdr:pic>
      <xdr:nvPicPr>
        <xdr:cNvPr id="10" name="Image 9" descr="Picture">
          <a:extLst>
            <a:ext uri="{FF2B5EF4-FFF2-40B4-BE49-F238E27FC236}">
              <a16:creationId xmlns:a16="http://schemas.microsoft.com/office/drawing/2014/main" id="{00000000-0008-0000-04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0</xdr:col>
      <xdr:colOff>0</xdr:colOff>
      <xdr:row>10</xdr:row>
      <xdr:rowOff>0</xdr:rowOff>
    </xdr:from>
    <xdr:ext cx="1600200" cy="361950"/>
    <xdr:pic>
      <xdr:nvPicPr>
        <xdr:cNvPr id="11" name="Image 10" descr="Picture">
          <a:extLst>
            <a:ext uri="{FF2B5EF4-FFF2-40B4-BE49-F238E27FC236}">
              <a16:creationId xmlns:a16="http://schemas.microsoft.com/office/drawing/2014/main" id="{00000000-0008-0000-04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1</xdr:row>
      <xdr:rowOff>0</xdr:rowOff>
    </xdr:from>
    <xdr:ext cx="1600200" cy="361950"/>
    <xdr:pic>
      <xdr:nvPicPr>
        <xdr:cNvPr id="2" name="Image 1" descr="Picture">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0</xdr:col>
      <xdr:colOff>0</xdr:colOff>
      <xdr:row>2</xdr:row>
      <xdr:rowOff>0</xdr:rowOff>
    </xdr:from>
    <xdr:ext cx="1600200" cy="361950"/>
    <xdr:pic>
      <xdr:nvPicPr>
        <xdr:cNvPr id="3" name="Image 2" descr="Picture">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0</xdr:col>
      <xdr:colOff>0</xdr:colOff>
      <xdr:row>3</xdr:row>
      <xdr:rowOff>0</xdr:rowOff>
    </xdr:from>
    <xdr:ext cx="1600200" cy="361950"/>
    <xdr:pic>
      <xdr:nvPicPr>
        <xdr:cNvPr id="4" name="Image 3" descr="Picture">
          <a:extLst>
            <a:ext uri="{FF2B5EF4-FFF2-40B4-BE49-F238E27FC236}">
              <a16:creationId xmlns:a16="http://schemas.microsoft.com/office/drawing/2014/main" id="{00000000-0008-0000-05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0</xdr:col>
      <xdr:colOff>0</xdr:colOff>
      <xdr:row>4</xdr:row>
      <xdr:rowOff>0</xdr:rowOff>
    </xdr:from>
    <xdr:ext cx="1600200" cy="361950"/>
    <xdr:pic>
      <xdr:nvPicPr>
        <xdr:cNvPr id="5" name="Image 4" descr="Picture">
          <a:extLst>
            <a:ext uri="{FF2B5EF4-FFF2-40B4-BE49-F238E27FC236}">
              <a16:creationId xmlns:a16="http://schemas.microsoft.com/office/drawing/2014/main" id="{00000000-0008-0000-05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0</xdr:col>
      <xdr:colOff>0</xdr:colOff>
      <xdr:row>5</xdr:row>
      <xdr:rowOff>0</xdr:rowOff>
    </xdr:from>
    <xdr:ext cx="1600200" cy="361950"/>
    <xdr:pic>
      <xdr:nvPicPr>
        <xdr:cNvPr id="6" name="Image 5" descr="Picture">
          <a:extLst>
            <a:ext uri="{FF2B5EF4-FFF2-40B4-BE49-F238E27FC236}">
              <a16:creationId xmlns:a16="http://schemas.microsoft.com/office/drawing/2014/main" id="{00000000-0008-0000-05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0</xdr:col>
      <xdr:colOff>0</xdr:colOff>
      <xdr:row>6</xdr:row>
      <xdr:rowOff>0</xdr:rowOff>
    </xdr:from>
    <xdr:ext cx="1600200" cy="361950"/>
    <xdr:pic>
      <xdr:nvPicPr>
        <xdr:cNvPr id="7" name="Image 6" descr="Picture">
          <a:extLst>
            <a:ext uri="{FF2B5EF4-FFF2-40B4-BE49-F238E27FC236}">
              <a16:creationId xmlns:a16="http://schemas.microsoft.com/office/drawing/2014/main" id="{00000000-0008-0000-05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0</xdr:col>
      <xdr:colOff>0</xdr:colOff>
      <xdr:row>7</xdr:row>
      <xdr:rowOff>0</xdr:rowOff>
    </xdr:from>
    <xdr:ext cx="1600200" cy="361950"/>
    <xdr:pic>
      <xdr:nvPicPr>
        <xdr:cNvPr id="8" name="Image 7" descr="Picture">
          <a:extLst>
            <a:ext uri="{FF2B5EF4-FFF2-40B4-BE49-F238E27FC236}">
              <a16:creationId xmlns:a16="http://schemas.microsoft.com/office/drawing/2014/main" id="{00000000-0008-0000-05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0</xdr:col>
      <xdr:colOff>0</xdr:colOff>
      <xdr:row>8</xdr:row>
      <xdr:rowOff>0</xdr:rowOff>
    </xdr:from>
    <xdr:ext cx="1600200" cy="361950"/>
    <xdr:pic>
      <xdr:nvPicPr>
        <xdr:cNvPr id="9" name="Image 8" descr="Picture">
          <a:extLst>
            <a:ext uri="{FF2B5EF4-FFF2-40B4-BE49-F238E27FC236}">
              <a16:creationId xmlns:a16="http://schemas.microsoft.com/office/drawing/2014/main" id="{00000000-0008-0000-05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0</xdr:col>
      <xdr:colOff>0</xdr:colOff>
      <xdr:row>9</xdr:row>
      <xdr:rowOff>0</xdr:rowOff>
    </xdr:from>
    <xdr:ext cx="1600200" cy="361950"/>
    <xdr:pic>
      <xdr:nvPicPr>
        <xdr:cNvPr id="10" name="Image 9" descr="Picture">
          <a:extLst>
            <a:ext uri="{FF2B5EF4-FFF2-40B4-BE49-F238E27FC236}">
              <a16:creationId xmlns:a16="http://schemas.microsoft.com/office/drawing/2014/main" id="{00000000-0008-0000-05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0</xdr:col>
      <xdr:colOff>0</xdr:colOff>
      <xdr:row>10</xdr:row>
      <xdr:rowOff>0</xdr:rowOff>
    </xdr:from>
    <xdr:ext cx="1600200" cy="361950"/>
    <xdr:pic>
      <xdr:nvPicPr>
        <xdr:cNvPr id="11" name="Image 10" descr="Picture">
          <a:extLst>
            <a:ext uri="{FF2B5EF4-FFF2-40B4-BE49-F238E27FC236}">
              <a16:creationId xmlns:a16="http://schemas.microsoft.com/office/drawing/2014/main" id="{00000000-0008-0000-05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5</xdr:row>
      <xdr:rowOff>0</xdr:rowOff>
    </xdr:from>
    <xdr:ext cx="7920000" cy="3060000"/>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xdr:col>
      <xdr:colOff>0</xdr:colOff>
      <xdr:row>23</xdr:row>
      <xdr:rowOff>0</xdr:rowOff>
    </xdr:from>
    <xdr:ext cx="4860000" cy="3060000"/>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9</xdr:col>
      <xdr:colOff>0</xdr:colOff>
      <xdr:row>23</xdr:row>
      <xdr:rowOff>0</xdr:rowOff>
    </xdr:from>
    <xdr:ext cx="3060000" cy="3060000"/>
    <xdr:graphicFrame macro="">
      <xdr:nvGraphicFramePr>
        <xdr:cNvPr id="4" name="Chart 3">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0</xdr:col>
      <xdr:colOff>0</xdr:colOff>
      <xdr:row>1</xdr:row>
      <xdr:rowOff>0</xdr:rowOff>
    </xdr:from>
    <xdr:ext cx="1600200" cy="361950"/>
    <xdr:pic>
      <xdr:nvPicPr>
        <xdr:cNvPr id="5" name="Image 4" descr="Picture">
          <a:extLst>
            <a:ext uri="{FF2B5EF4-FFF2-40B4-BE49-F238E27FC236}">
              <a16:creationId xmlns:a16="http://schemas.microsoft.com/office/drawing/2014/main" id="{00000000-0008-0000-06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0</xdr:col>
      <xdr:colOff>0</xdr:colOff>
      <xdr:row>2</xdr:row>
      <xdr:rowOff>0</xdr:rowOff>
    </xdr:from>
    <xdr:ext cx="1600200" cy="361950"/>
    <xdr:pic>
      <xdr:nvPicPr>
        <xdr:cNvPr id="6" name="Image 5" descr="Picture">
          <a:extLst>
            <a:ext uri="{FF2B5EF4-FFF2-40B4-BE49-F238E27FC236}">
              <a16:creationId xmlns:a16="http://schemas.microsoft.com/office/drawing/2014/main" id="{00000000-0008-0000-06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0</xdr:col>
      <xdr:colOff>0</xdr:colOff>
      <xdr:row>3</xdr:row>
      <xdr:rowOff>0</xdr:rowOff>
    </xdr:from>
    <xdr:ext cx="1600200" cy="361950"/>
    <xdr:pic>
      <xdr:nvPicPr>
        <xdr:cNvPr id="7" name="Image 6" descr="Picture">
          <a:extLst>
            <a:ext uri="{FF2B5EF4-FFF2-40B4-BE49-F238E27FC236}">
              <a16:creationId xmlns:a16="http://schemas.microsoft.com/office/drawing/2014/main" id="{00000000-0008-0000-06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0</xdr:col>
      <xdr:colOff>0</xdr:colOff>
      <xdr:row>4</xdr:row>
      <xdr:rowOff>0</xdr:rowOff>
    </xdr:from>
    <xdr:ext cx="1600200" cy="361950"/>
    <xdr:pic>
      <xdr:nvPicPr>
        <xdr:cNvPr id="8" name="Image 7" descr="Picture">
          <a:extLst>
            <a:ext uri="{FF2B5EF4-FFF2-40B4-BE49-F238E27FC236}">
              <a16:creationId xmlns:a16="http://schemas.microsoft.com/office/drawing/2014/main" id="{00000000-0008-0000-06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0</xdr:col>
      <xdr:colOff>0</xdr:colOff>
      <xdr:row>5</xdr:row>
      <xdr:rowOff>0</xdr:rowOff>
    </xdr:from>
    <xdr:ext cx="1600200" cy="361950"/>
    <xdr:pic>
      <xdr:nvPicPr>
        <xdr:cNvPr id="9" name="Image 8" descr="Picture">
          <a:extLst>
            <a:ext uri="{FF2B5EF4-FFF2-40B4-BE49-F238E27FC236}">
              <a16:creationId xmlns:a16="http://schemas.microsoft.com/office/drawing/2014/main" id="{00000000-0008-0000-06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0</xdr:col>
      <xdr:colOff>0</xdr:colOff>
      <xdr:row>6</xdr:row>
      <xdr:rowOff>0</xdr:rowOff>
    </xdr:from>
    <xdr:ext cx="1600200" cy="361950"/>
    <xdr:pic>
      <xdr:nvPicPr>
        <xdr:cNvPr id="10" name="Image 9" descr="Picture">
          <a:extLst>
            <a:ext uri="{FF2B5EF4-FFF2-40B4-BE49-F238E27FC236}">
              <a16:creationId xmlns:a16="http://schemas.microsoft.com/office/drawing/2014/main" id="{00000000-0008-0000-06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0</xdr:col>
      <xdr:colOff>0</xdr:colOff>
      <xdr:row>7</xdr:row>
      <xdr:rowOff>0</xdr:rowOff>
    </xdr:from>
    <xdr:ext cx="1600200" cy="361950"/>
    <xdr:pic>
      <xdr:nvPicPr>
        <xdr:cNvPr id="11" name="Image 10" descr="Picture">
          <a:extLst>
            <a:ext uri="{FF2B5EF4-FFF2-40B4-BE49-F238E27FC236}">
              <a16:creationId xmlns:a16="http://schemas.microsoft.com/office/drawing/2014/main" id="{00000000-0008-0000-06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0</xdr:col>
      <xdr:colOff>0</xdr:colOff>
      <xdr:row>8</xdr:row>
      <xdr:rowOff>0</xdr:rowOff>
    </xdr:from>
    <xdr:ext cx="1600200" cy="361950"/>
    <xdr:pic>
      <xdr:nvPicPr>
        <xdr:cNvPr id="12" name="Image 11" descr="Picture">
          <a:extLst>
            <a:ext uri="{FF2B5EF4-FFF2-40B4-BE49-F238E27FC236}">
              <a16:creationId xmlns:a16="http://schemas.microsoft.com/office/drawing/2014/main" id="{00000000-0008-0000-06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0</xdr:col>
      <xdr:colOff>0</xdr:colOff>
      <xdr:row>9</xdr:row>
      <xdr:rowOff>0</xdr:rowOff>
    </xdr:from>
    <xdr:ext cx="1600200" cy="361950"/>
    <xdr:pic>
      <xdr:nvPicPr>
        <xdr:cNvPr id="13" name="Image 12" descr="Picture">
          <a:extLst>
            <a:ext uri="{FF2B5EF4-FFF2-40B4-BE49-F238E27FC236}">
              <a16:creationId xmlns:a16="http://schemas.microsoft.com/office/drawing/2014/main" id="{00000000-0008-0000-06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0</xdr:col>
      <xdr:colOff>0</xdr:colOff>
      <xdr:row>10</xdr:row>
      <xdr:rowOff>0</xdr:rowOff>
    </xdr:from>
    <xdr:ext cx="1600200" cy="361950"/>
    <xdr:pic>
      <xdr:nvPicPr>
        <xdr:cNvPr id="14" name="Image 13" descr="Picture">
          <a:extLst>
            <a:ext uri="{FF2B5EF4-FFF2-40B4-BE49-F238E27FC236}">
              <a16:creationId xmlns:a16="http://schemas.microsoft.com/office/drawing/2014/main" id="{00000000-0008-0000-0600-00000E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1</xdr:row>
      <xdr:rowOff>0</xdr:rowOff>
    </xdr:from>
    <xdr:ext cx="1600200" cy="361950"/>
    <xdr:pic>
      <xdr:nvPicPr>
        <xdr:cNvPr id="2" name="Image 1" descr="Picture">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0</xdr:col>
      <xdr:colOff>0</xdr:colOff>
      <xdr:row>2</xdr:row>
      <xdr:rowOff>0</xdr:rowOff>
    </xdr:from>
    <xdr:ext cx="1600200" cy="361950"/>
    <xdr:pic>
      <xdr:nvPicPr>
        <xdr:cNvPr id="3" name="Image 2" descr="Picture">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0</xdr:col>
      <xdr:colOff>0</xdr:colOff>
      <xdr:row>3</xdr:row>
      <xdr:rowOff>0</xdr:rowOff>
    </xdr:from>
    <xdr:ext cx="1600200" cy="361950"/>
    <xdr:pic>
      <xdr:nvPicPr>
        <xdr:cNvPr id="4" name="Image 3" descr="Picture">
          <a:extLst>
            <a:ext uri="{FF2B5EF4-FFF2-40B4-BE49-F238E27FC236}">
              <a16:creationId xmlns:a16="http://schemas.microsoft.com/office/drawing/2014/main" id="{00000000-0008-0000-07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0</xdr:col>
      <xdr:colOff>0</xdr:colOff>
      <xdr:row>4</xdr:row>
      <xdr:rowOff>0</xdr:rowOff>
    </xdr:from>
    <xdr:ext cx="1600200" cy="361950"/>
    <xdr:pic>
      <xdr:nvPicPr>
        <xdr:cNvPr id="5" name="Image 4" descr="Picture">
          <a:extLst>
            <a:ext uri="{FF2B5EF4-FFF2-40B4-BE49-F238E27FC236}">
              <a16:creationId xmlns:a16="http://schemas.microsoft.com/office/drawing/2014/main" id="{00000000-0008-0000-07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0</xdr:col>
      <xdr:colOff>0</xdr:colOff>
      <xdr:row>5</xdr:row>
      <xdr:rowOff>0</xdr:rowOff>
    </xdr:from>
    <xdr:ext cx="1600200" cy="361950"/>
    <xdr:pic>
      <xdr:nvPicPr>
        <xdr:cNvPr id="6" name="Image 5" descr="Picture">
          <a:extLst>
            <a:ext uri="{FF2B5EF4-FFF2-40B4-BE49-F238E27FC236}">
              <a16:creationId xmlns:a16="http://schemas.microsoft.com/office/drawing/2014/main" id="{00000000-0008-0000-07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0</xdr:col>
      <xdr:colOff>0</xdr:colOff>
      <xdr:row>6</xdr:row>
      <xdr:rowOff>0</xdr:rowOff>
    </xdr:from>
    <xdr:ext cx="1600200" cy="361950"/>
    <xdr:pic>
      <xdr:nvPicPr>
        <xdr:cNvPr id="7" name="Image 6" descr="Picture">
          <a:extLst>
            <a:ext uri="{FF2B5EF4-FFF2-40B4-BE49-F238E27FC236}">
              <a16:creationId xmlns:a16="http://schemas.microsoft.com/office/drawing/2014/main" id="{00000000-0008-0000-07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0</xdr:col>
      <xdr:colOff>0</xdr:colOff>
      <xdr:row>7</xdr:row>
      <xdr:rowOff>0</xdr:rowOff>
    </xdr:from>
    <xdr:ext cx="1600200" cy="361950"/>
    <xdr:pic>
      <xdr:nvPicPr>
        <xdr:cNvPr id="8" name="Image 7" descr="Picture">
          <a:extLst>
            <a:ext uri="{FF2B5EF4-FFF2-40B4-BE49-F238E27FC236}">
              <a16:creationId xmlns:a16="http://schemas.microsoft.com/office/drawing/2014/main" id="{00000000-0008-0000-07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0</xdr:col>
      <xdr:colOff>0</xdr:colOff>
      <xdr:row>8</xdr:row>
      <xdr:rowOff>0</xdr:rowOff>
    </xdr:from>
    <xdr:ext cx="1600200" cy="361950"/>
    <xdr:pic>
      <xdr:nvPicPr>
        <xdr:cNvPr id="9" name="Image 8" descr="Picture">
          <a:extLst>
            <a:ext uri="{FF2B5EF4-FFF2-40B4-BE49-F238E27FC236}">
              <a16:creationId xmlns:a16="http://schemas.microsoft.com/office/drawing/2014/main" id="{00000000-0008-0000-07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0</xdr:col>
      <xdr:colOff>0</xdr:colOff>
      <xdr:row>9</xdr:row>
      <xdr:rowOff>0</xdr:rowOff>
    </xdr:from>
    <xdr:ext cx="1600200" cy="361950"/>
    <xdr:pic>
      <xdr:nvPicPr>
        <xdr:cNvPr id="10" name="Image 9" descr="Picture">
          <a:extLst>
            <a:ext uri="{FF2B5EF4-FFF2-40B4-BE49-F238E27FC236}">
              <a16:creationId xmlns:a16="http://schemas.microsoft.com/office/drawing/2014/main" id="{00000000-0008-0000-07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0</xdr:col>
      <xdr:colOff>0</xdr:colOff>
      <xdr:row>10</xdr:row>
      <xdr:rowOff>0</xdr:rowOff>
    </xdr:from>
    <xdr:ext cx="1600200" cy="361950"/>
    <xdr:pic>
      <xdr:nvPicPr>
        <xdr:cNvPr id="11" name="Image 10" descr="Picture">
          <a:extLst>
            <a:ext uri="{FF2B5EF4-FFF2-40B4-BE49-F238E27FC236}">
              <a16:creationId xmlns:a16="http://schemas.microsoft.com/office/drawing/2014/main" id="{00000000-0008-0000-07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1</xdr:row>
      <xdr:rowOff>0</xdr:rowOff>
    </xdr:from>
    <xdr:ext cx="1600200" cy="361950"/>
    <xdr:pic>
      <xdr:nvPicPr>
        <xdr:cNvPr id="2" name="Image 1" descr="Picture">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0</xdr:col>
      <xdr:colOff>0</xdr:colOff>
      <xdr:row>2</xdr:row>
      <xdr:rowOff>0</xdr:rowOff>
    </xdr:from>
    <xdr:ext cx="1600200" cy="361950"/>
    <xdr:pic>
      <xdr:nvPicPr>
        <xdr:cNvPr id="3" name="Image 2" descr="Picture">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0</xdr:col>
      <xdr:colOff>0</xdr:colOff>
      <xdr:row>3</xdr:row>
      <xdr:rowOff>0</xdr:rowOff>
    </xdr:from>
    <xdr:ext cx="1600200" cy="361950"/>
    <xdr:pic>
      <xdr:nvPicPr>
        <xdr:cNvPr id="4" name="Image 3" descr="Picture">
          <a:extLst>
            <a:ext uri="{FF2B5EF4-FFF2-40B4-BE49-F238E27FC236}">
              <a16:creationId xmlns:a16="http://schemas.microsoft.com/office/drawing/2014/main" id="{00000000-0008-0000-08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0</xdr:col>
      <xdr:colOff>0</xdr:colOff>
      <xdr:row>4</xdr:row>
      <xdr:rowOff>0</xdr:rowOff>
    </xdr:from>
    <xdr:ext cx="1600200" cy="361950"/>
    <xdr:pic>
      <xdr:nvPicPr>
        <xdr:cNvPr id="5" name="Image 4" descr="Picture">
          <a:extLst>
            <a:ext uri="{FF2B5EF4-FFF2-40B4-BE49-F238E27FC236}">
              <a16:creationId xmlns:a16="http://schemas.microsoft.com/office/drawing/2014/main" id="{00000000-0008-0000-08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0</xdr:col>
      <xdr:colOff>0</xdr:colOff>
      <xdr:row>5</xdr:row>
      <xdr:rowOff>0</xdr:rowOff>
    </xdr:from>
    <xdr:ext cx="1600200" cy="361950"/>
    <xdr:pic>
      <xdr:nvPicPr>
        <xdr:cNvPr id="6" name="Image 5" descr="Picture">
          <a:extLst>
            <a:ext uri="{FF2B5EF4-FFF2-40B4-BE49-F238E27FC236}">
              <a16:creationId xmlns:a16="http://schemas.microsoft.com/office/drawing/2014/main" id="{00000000-0008-0000-08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0</xdr:col>
      <xdr:colOff>0</xdr:colOff>
      <xdr:row>6</xdr:row>
      <xdr:rowOff>0</xdr:rowOff>
    </xdr:from>
    <xdr:ext cx="1600200" cy="361950"/>
    <xdr:pic>
      <xdr:nvPicPr>
        <xdr:cNvPr id="7" name="Image 6" descr="Picture">
          <a:extLst>
            <a:ext uri="{FF2B5EF4-FFF2-40B4-BE49-F238E27FC236}">
              <a16:creationId xmlns:a16="http://schemas.microsoft.com/office/drawing/2014/main" id="{00000000-0008-0000-08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0</xdr:col>
      <xdr:colOff>0</xdr:colOff>
      <xdr:row>7</xdr:row>
      <xdr:rowOff>0</xdr:rowOff>
    </xdr:from>
    <xdr:ext cx="1600200" cy="361950"/>
    <xdr:pic>
      <xdr:nvPicPr>
        <xdr:cNvPr id="8" name="Image 7" descr="Picture">
          <a:extLst>
            <a:ext uri="{FF2B5EF4-FFF2-40B4-BE49-F238E27FC236}">
              <a16:creationId xmlns:a16="http://schemas.microsoft.com/office/drawing/2014/main" id="{00000000-0008-0000-08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0</xdr:col>
      <xdr:colOff>0</xdr:colOff>
      <xdr:row>8</xdr:row>
      <xdr:rowOff>0</xdr:rowOff>
    </xdr:from>
    <xdr:ext cx="1600200" cy="361950"/>
    <xdr:pic>
      <xdr:nvPicPr>
        <xdr:cNvPr id="9" name="Image 8" descr="Picture">
          <a:extLst>
            <a:ext uri="{FF2B5EF4-FFF2-40B4-BE49-F238E27FC236}">
              <a16:creationId xmlns:a16="http://schemas.microsoft.com/office/drawing/2014/main" id="{00000000-0008-0000-08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0</xdr:col>
      <xdr:colOff>0</xdr:colOff>
      <xdr:row>9</xdr:row>
      <xdr:rowOff>0</xdr:rowOff>
    </xdr:from>
    <xdr:ext cx="1600200" cy="361950"/>
    <xdr:pic>
      <xdr:nvPicPr>
        <xdr:cNvPr id="10" name="Image 9" descr="Picture">
          <a:extLst>
            <a:ext uri="{FF2B5EF4-FFF2-40B4-BE49-F238E27FC236}">
              <a16:creationId xmlns:a16="http://schemas.microsoft.com/office/drawing/2014/main" id="{00000000-0008-0000-08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0</xdr:col>
      <xdr:colOff>0</xdr:colOff>
      <xdr:row>10</xdr:row>
      <xdr:rowOff>0</xdr:rowOff>
    </xdr:from>
    <xdr:ext cx="1600200" cy="361950"/>
    <xdr:pic>
      <xdr:nvPicPr>
        <xdr:cNvPr id="11" name="Image 10" descr="Picture">
          <a:extLst>
            <a:ext uri="{FF2B5EF4-FFF2-40B4-BE49-F238E27FC236}">
              <a16:creationId xmlns:a16="http://schemas.microsoft.com/office/drawing/2014/main" id="{00000000-0008-0000-08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1</xdr:row>
      <xdr:rowOff>0</xdr:rowOff>
    </xdr:from>
    <xdr:ext cx="1600200" cy="361950"/>
    <xdr:pic>
      <xdr:nvPicPr>
        <xdr:cNvPr id="2" name="Image 1" descr="Picture">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0</xdr:col>
      <xdr:colOff>0</xdr:colOff>
      <xdr:row>2</xdr:row>
      <xdr:rowOff>0</xdr:rowOff>
    </xdr:from>
    <xdr:ext cx="1600200" cy="361950"/>
    <xdr:pic>
      <xdr:nvPicPr>
        <xdr:cNvPr id="3" name="Image 2" descr="Picture">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0</xdr:col>
      <xdr:colOff>0</xdr:colOff>
      <xdr:row>3</xdr:row>
      <xdr:rowOff>0</xdr:rowOff>
    </xdr:from>
    <xdr:ext cx="1600200" cy="361950"/>
    <xdr:pic>
      <xdr:nvPicPr>
        <xdr:cNvPr id="4" name="Image 3" descr="Picture">
          <a:extLst>
            <a:ext uri="{FF2B5EF4-FFF2-40B4-BE49-F238E27FC236}">
              <a16:creationId xmlns:a16="http://schemas.microsoft.com/office/drawing/2014/main" id="{00000000-0008-0000-09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0</xdr:col>
      <xdr:colOff>0</xdr:colOff>
      <xdr:row>4</xdr:row>
      <xdr:rowOff>0</xdr:rowOff>
    </xdr:from>
    <xdr:ext cx="1600200" cy="361950"/>
    <xdr:pic>
      <xdr:nvPicPr>
        <xdr:cNvPr id="5" name="Image 4" descr="Picture">
          <a:extLst>
            <a:ext uri="{FF2B5EF4-FFF2-40B4-BE49-F238E27FC236}">
              <a16:creationId xmlns:a16="http://schemas.microsoft.com/office/drawing/2014/main" id="{00000000-0008-0000-09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0</xdr:col>
      <xdr:colOff>0</xdr:colOff>
      <xdr:row>5</xdr:row>
      <xdr:rowOff>0</xdr:rowOff>
    </xdr:from>
    <xdr:ext cx="1600200" cy="361950"/>
    <xdr:pic>
      <xdr:nvPicPr>
        <xdr:cNvPr id="6" name="Image 5" descr="Picture">
          <a:extLst>
            <a:ext uri="{FF2B5EF4-FFF2-40B4-BE49-F238E27FC236}">
              <a16:creationId xmlns:a16="http://schemas.microsoft.com/office/drawing/2014/main" id="{00000000-0008-0000-09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0</xdr:col>
      <xdr:colOff>0</xdr:colOff>
      <xdr:row>6</xdr:row>
      <xdr:rowOff>0</xdr:rowOff>
    </xdr:from>
    <xdr:ext cx="1600200" cy="361950"/>
    <xdr:pic>
      <xdr:nvPicPr>
        <xdr:cNvPr id="7" name="Image 6" descr="Picture">
          <a:extLst>
            <a:ext uri="{FF2B5EF4-FFF2-40B4-BE49-F238E27FC236}">
              <a16:creationId xmlns:a16="http://schemas.microsoft.com/office/drawing/2014/main" id="{00000000-0008-0000-09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0</xdr:col>
      <xdr:colOff>0</xdr:colOff>
      <xdr:row>7</xdr:row>
      <xdr:rowOff>0</xdr:rowOff>
    </xdr:from>
    <xdr:ext cx="1600200" cy="361950"/>
    <xdr:pic>
      <xdr:nvPicPr>
        <xdr:cNvPr id="8" name="Image 7" descr="Picture">
          <a:extLst>
            <a:ext uri="{FF2B5EF4-FFF2-40B4-BE49-F238E27FC236}">
              <a16:creationId xmlns:a16="http://schemas.microsoft.com/office/drawing/2014/main" id="{00000000-0008-0000-09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0</xdr:col>
      <xdr:colOff>0</xdr:colOff>
      <xdr:row>8</xdr:row>
      <xdr:rowOff>0</xdr:rowOff>
    </xdr:from>
    <xdr:ext cx="1600200" cy="361950"/>
    <xdr:pic>
      <xdr:nvPicPr>
        <xdr:cNvPr id="9" name="Image 8" descr="Picture">
          <a:extLst>
            <a:ext uri="{FF2B5EF4-FFF2-40B4-BE49-F238E27FC236}">
              <a16:creationId xmlns:a16="http://schemas.microsoft.com/office/drawing/2014/main" id="{00000000-0008-0000-09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0</xdr:col>
      <xdr:colOff>0</xdr:colOff>
      <xdr:row>9</xdr:row>
      <xdr:rowOff>0</xdr:rowOff>
    </xdr:from>
    <xdr:ext cx="1600200" cy="361950"/>
    <xdr:pic>
      <xdr:nvPicPr>
        <xdr:cNvPr id="10" name="Image 9" descr="Picture">
          <a:extLst>
            <a:ext uri="{FF2B5EF4-FFF2-40B4-BE49-F238E27FC236}">
              <a16:creationId xmlns:a16="http://schemas.microsoft.com/office/drawing/2014/main" id="{00000000-0008-0000-09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0</xdr:col>
      <xdr:colOff>0</xdr:colOff>
      <xdr:row>10</xdr:row>
      <xdr:rowOff>0</xdr:rowOff>
    </xdr:from>
    <xdr:ext cx="1600200" cy="361950"/>
    <xdr:pic>
      <xdr:nvPicPr>
        <xdr:cNvPr id="11" name="Image 10" descr="Picture">
          <a:extLst>
            <a:ext uri="{FF2B5EF4-FFF2-40B4-BE49-F238E27FC236}">
              <a16:creationId xmlns:a16="http://schemas.microsoft.com/office/drawing/2014/main" id="{00000000-0008-0000-09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3"/>
  <sheetViews>
    <sheetView showGridLines="0" tabSelected="1" workbookViewId="0">
      <pane xSplit="1" topLeftCell="B1" activePane="topRight" state="frozen"/>
      <selection pane="topRight"/>
    </sheetView>
  </sheetViews>
  <sheetFormatPr defaultRowHeight="15"/>
  <cols>
    <col min="1" max="2" width="24" customWidth="1"/>
    <col min="3" max="3" width="16" customWidth="1"/>
    <col min="4" max="4" width="3" customWidth="1"/>
    <col min="5" max="5" width="24" customWidth="1"/>
    <col min="6" max="6" width="16" customWidth="1"/>
    <col min="7" max="7" width="3" customWidth="1"/>
    <col min="8" max="8" width="22" customWidth="1"/>
    <col min="9" max="9" width="8" customWidth="1"/>
    <col min="10" max="10" width="16" customWidth="1"/>
    <col min="11" max="11" width="3" customWidth="1"/>
    <col min="12" max="12" width="2" customWidth="1"/>
  </cols>
  <sheetData>
    <row r="1" spans="1:11" ht="8.1" customHeight="1">
      <c r="A1" s="1"/>
    </row>
    <row r="2" spans="1:11" ht="30" customHeight="1">
      <c r="A2" s="1" t="s">
        <v>0</v>
      </c>
      <c r="B2" s="2" t="s">
        <v>1</v>
      </c>
    </row>
    <row r="3" spans="1:11" ht="30" customHeight="1">
      <c r="A3" s="1"/>
      <c r="B3" s="151" t="s">
        <v>2</v>
      </c>
      <c r="C3" s="150"/>
      <c r="D3" s="150"/>
      <c r="E3" s="150"/>
      <c r="F3" s="150"/>
      <c r="G3" s="150"/>
      <c r="H3" s="150"/>
      <c r="I3" s="150"/>
      <c r="J3" s="150"/>
    </row>
    <row r="4" spans="1:11" ht="30" customHeight="1">
      <c r="A4" s="1" t="s">
        <v>3</v>
      </c>
      <c r="B4" s="155" t="str">
        <f>Indata!B26&amp;" · Kalkylstart "&amp;Indata!C5</f>
        <v>Skola · Kalkylstart 2026</v>
      </c>
      <c r="C4" s="150"/>
      <c r="D4" s="150"/>
      <c r="E4" s="150"/>
      <c r="F4" s="150"/>
      <c r="G4" s="150"/>
      <c r="H4" s="150"/>
      <c r="I4" s="150"/>
      <c r="J4" s="150"/>
    </row>
    <row r="5" spans="1:11" ht="30" customHeight="1">
      <c r="A5" s="1" t="s">
        <v>4</v>
      </c>
      <c r="B5" s="4"/>
      <c r="C5" s="4"/>
      <c r="D5" s="4"/>
      <c r="E5" s="4"/>
      <c r="F5" s="4"/>
      <c r="G5" s="4"/>
      <c r="H5" s="4"/>
      <c r="I5" s="4"/>
      <c r="J5" s="4"/>
      <c r="K5" s="4"/>
    </row>
    <row r="6" spans="1:11" ht="30" customHeight="1">
      <c r="A6" s="1" t="s">
        <v>5</v>
      </c>
    </row>
    <row r="7" spans="1:11" ht="30" customHeight="1">
      <c r="A7" s="1" t="s">
        <v>6</v>
      </c>
      <c r="B7" s="5" t="s">
        <v>7</v>
      </c>
      <c r="E7" s="5" t="s">
        <v>8</v>
      </c>
      <c r="H7" s="5" t="s">
        <v>9</v>
      </c>
    </row>
    <row r="8" spans="1:11" ht="30" customHeight="1">
      <c r="A8" s="1" t="s">
        <v>10</v>
      </c>
      <c r="B8" s="157">
        <f>Resultat!D14</f>
        <v>11631221.719457014</v>
      </c>
      <c r="C8" s="150"/>
      <c r="E8" s="157">
        <f>Resultat!D16</f>
        <v>2326.2443438914029</v>
      </c>
      <c r="F8" s="150"/>
      <c r="H8" s="156">
        <f>Lönsamhetskontroll!C45</f>
        <v>7.6451715426456346E-2</v>
      </c>
      <c r="I8" s="150"/>
    </row>
    <row r="9" spans="1:11" ht="30" customHeight="1">
      <c r="A9" s="1" t="s">
        <v>11</v>
      </c>
      <c r="B9" s="6" t="s">
        <v>12</v>
      </c>
      <c r="E9" s="6" t="s">
        <v>13</v>
      </c>
      <c r="H9" s="7">
        <f>Lönsamhetskontroll!C47*100</f>
        <v>1.3451715426456345</v>
      </c>
      <c r="J9" s="8">
        <f>Indata!C65</f>
        <v>6.3E-2</v>
      </c>
    </row>
    <row r="10" spans="1:11" ht="30" customHeight="1">
      <c r="A10" s="1" t="s">
        <v>14</v>
      </c>
      <c r="B10" s="4"/>
      <c r="C10" s="4"/>
      <c r="D10" s="4"/>
      <c r="E10" s="4"/>
      <c r="F10" s="4"/>
      <c r="G10" s="4"/>
      <c r="H10" s="4"/>
      <c r="I10" s="4"/>
      <c r="J10" s="4"/>
      <c r="K10" s="4"/>
    </row>
    <row r="11" spans="1:11" ht="30" customHeight="1">
      <c r="A11" s="1" t="s">
        <v>15</v>
      </c>
    </row>
    <row r="12" spans="1:11" ht="20.100000000000001" customHeight="1">
      <c r="A12" s="1"/>
      <c r="B12" s="9" t="s">
        <v>16</v>
      </c>
      <c r="E12" s="9" t="s">
        <v>17</v>
      </c>
      <c r="H12" s="9" t="s">
        <v>18</v>
      </c>
    </row>
    <row r="13" spans="1:11" ht="18" customHeight="1">
      <c r="A13" s="1"/>
      <c r="B13" s="10" t="s">
        <v>19</v>
      </c>
      <c r="C13" s="11">
        <f>Indata!R31</f>
        <v>200000000</v>
      </c>
      <c r="E13" s="10" t="str">
        <f>"År 1 ("&amp;Indata!C5&amp;")"</f>
        <v>År 1 (2026)</v>
      </c>
      <c r="F13" s="11">
        <f>Kassaflöde!D23</f>
        <v>9231221.7194570135</v>
      </c>
      <c r="H13" s="10" t="s">
        <v>20</v>
      </c>
      <c r="J13" s="12" t="str">
        <f>Lönsamhetskontroll!D9</f>
        <v>✓ Uppfyllt</v>
      </c>
    </row>
    <row r="14" spans="1:11" ht="18" customHeight="1">
      <c r="A14" s="1"/>
      <c r="B14" s="10" t="s">
        <v>21</v>
      </c>
      <c r="C14" s="13">
        <f>IFERROR(Indata!R31/Indata!F31,0)</f>
        <v>40000</v>
      </c>
      <c r="E14" s="10" t="str">
        <f>"År "&amp;Indata!C16&amp;" ("&amp;(Indata!C5+Indata!C16-1)&amp;")"</f>
        <v>År 20 (2045)</v>
      </c>
      <c r="F14" s="11">
        <f>INDEX(Kassaflöde!D23:AB23,MATCH(Indata!C16,Kassaflöde!D4:AB4,0))</f>
        <v>11651345.656617515</v>
      </c>
      <c r="H14" s="10" t="s">
        <v>22</v>
      </c>
      <c r="J14" s="12" t="str">
        <f>Lönsamhetskontroll!D45</f>
        <v>✓ Uppfyllt</v>
      </c>
    </row>
    <row r="15" spans="1:11" ht="18" customHeight="1">
      <c r="A15" s="1"/>
      <c r="B15" s="10" t="s">
        <v>23</v>
      </c>
      <c r="C15" s="14">
        <f>Indata!F31</f>
        <v>5000</v>
      </c>
      <c r="E15" s="10" t="s">
        <v>24</v>
      </c>
      <c r="F15" s="15">
        <f>IFERROR(F14/F13-1,0)</f>
        <v>0.26216724185700246</v>
      </c>
      <c r="H15" s="10" t="s">
        <v>25</v>
      </c>
      <c r="J15" s="12" t="str">
        <f>Lönsamhetskontroll!D30</f>
        <v>✓ Uppfyllt</v>
      </c>
    </row>
    <row r="16" spans="1:11" ht="18" customHeight="1">
      <c r="A16" s="1"/>
      <c r="B16" s="10" t="s">
        <v>26</v>
      </c>
      <c r="C16" s="16">
        <f>Indata!C16</f>
        <v>20</v>
      </c>
    </row>
    <row r="17" spans="1:11" ht="18" customHeight="1">
      <c r="A17" s="1"/>
      <c r="B17" s="10" t="s">
        <v>27</v>
      </c>
      <c r="C17" s="17">
        <f>Indata!C64</f>
        <v>0.37</v>
      </c>
      <c r="E17" s="153" t="s">
        <v>28</v>
      </c>
      <c r="F17" s="150"/>
      <c r="H17" s="153" t="s">
        <v>29</v>
      </c>
      <c r="I17" s="150"/>
      <c r="J17" s="150"/>
    </row>
    <row r="18" spans="1:11" ht="18" customHeight="1">
      <c r="A18" s="1"/>
      <c r="B18" s="10" t="s">
        <v>30</v>
      </c>
      <c r="C18" s="17">
        <f>Indata!C65</f>
        <v>6.3E-2</v>
      </c>
      <c r="E18" s="150"/>
      <c r="F18" s="150"/>
      <c r="H18" s="150"/>
      <c r="I18" s="150"/>
      <c r="J18" s="150"/>
    </row>
    <row r="19" spans="1:11" ht="18" customHeight="1">
      <c r="A19" s="1"/>
      <c r="B19" s="10" t="s">
        <v>31</v>
      </c>
      <c r="C19" s="17">
        <f>Indata!C7</f>
        <v>0.04</v>
      </c>
      <c r="E19" s="150"/>
      <c r="F19" s="150"/>
      <c r="H19" s="150"/>
      <c r="I19" s="150"/>
      <c r="J19" s="150"/>
    </row>
    <row r="20" spans="1:11" ht="8.1" customHeight="1">
      <c r="A20" s="1"/>
      <c r="B20" s="4"/>
      <c r="C20" s="4"/>
      <c r="D20" s="4"/>
      <c r="E20" s="4"/>
      <c r="F20" s="4"/>
      <c r="G20" s="4"/>
      <c r="H20" s="4"/>
      <c r="I20" s="4"/>
      <c r="J20" s="4"/>
      <c r="K20" s="4"/>
    </row>
    <row r="21" spans="1:11" ht="9.9499999999999993" customHeight="1">
      <c r="A21" s="1"/>
    </row>
    <row r="22" spans="1:11" ht="20.100000000000001" customHeight="1">
      <c r="A22" s="1"/>
      <c r="B22" s="9" t="s">
        <v>32</v>
      </c>
      <c r="H22" s="6" t="str">
        <f>"Investeringsintervall ±"&amp;Indata!C68*100&amp;" %"</f>
        <v>Investeringsintervall ±10 %</v>
      </c>
    </row>
    <row r="23" spans="1:11" ht="6" customHeight="1">
      <c r="A23" s="1"/>
    </row>
    <row r="24" spans="1:11" ht="30" customHeight="1">
      <c r="A24" s="1"/>
      <c r="B24" s="149">
        <f>Resultat!C14</f>
        <v>10726244.343891403</v>
      </c>
      <c r="C24" s="150"/>
      <c r="E24" s="152">
        <f>Resultat!D14</f>
        <v>11631221.719457014</v>
      </c>
      <c r="F24" s="150"/>
      <c r="H24" s="149">
        <f>Resultat!E14</f>
        <v>12536199.095022624</v>
      </c>
      <c r="I24" s="150"/>
      <c r="J24" s="150"/>
    </row>
    <row r="25" spans="1:11" ht="15.95" customHeight="1">
      <c r="A25" s="1"/>
      <c r="B25" s="18" t="str">
        <f>"Lägsta utfall (−"&amp;Indata!C68*100&amp;" %)"</f>
        <v>Lägsta utfall (−10 %)</v>
      </c>
      <c r="E25" s="18" t="s">
        <v>33</v>
      </c>
      <c r="H25" s="18" t="str">
        <f>"Högsta utfall (+"&amp;Indata!C68*100&amp;" %)"</f>
        <v>Högsta utfall (+10 %)</v>
      </c>
    </row>
    <row r="26" spans="1:11" ht="18" customHeight="1">
      <c r="A26" s="1"/>
      <c r="B26" s="154" t="s">
        <v>34</v>
      </c>
      <c r="C26" s="150"/>
      <c r="D26" s="150"/>
      <c r="E26" s="150"/>
      <c r="F26" s="150"/>
      <c r="G26" s="150"/>
      <c r="H26" s="150"/>
      <c r="I26" s="150"/>
      <c r="J26" s="150"/>
    </row>
    <row r="27" spans="1:11" ht="8.1" customHeight="1">
      <c r="A27" s="1"/>
    </row>
    <row r="28" spans="1:11" ht="15.95" customHeight="1">
      <c r="A28" s="1"/>
      <c r="B28" s="6" t="s">
        <v>35</v>
      </c>
    </row>
    <row r="29" spans="1:11">
      <c r="A29" s="1"/>
    </row>
    <row r="30" spans="1:11">
      <c r="A30" s="1"/>
    </row>
    <row r="31" spans="1:11">
      <c r="A31" s="1"/>
    </row>
    <row r="32" spans="1:11">
      <c r="A32" s="1"/>
    </row>
    <row r="33" spans="1:1">
      <c r="A33" s="1"/>
    </row>
  </sheetData>
  <mergeCells count="11">
    <mergeCell ref="B26:J26"/>
    <mergeCell ref="B4:J4"/>
    <mergeCell ref="H8:I8"/>
    <mergeCell ref="B8:C8"/>
    <mergeCell ref="E8:F8"/>
    <mergeCell ref="E17:F19"/>
    <mergeCell ref="B24:C24"/>
    <mergeCell ref="B3:J3"/>
    <mergeCell ref="H24:J24"/>
    <mergeCell ref="E24:F24"/>
    <mergeCell ref="H17:J19"/>
  </mergeCells>
  <conditionalFormatting sqref="J13:J15">
    <cfRule type="containsText" dxfId="0" priority="1" operator="containsText" text="✗">
      <formula>NOT(ISERROR(SEARCH("✗",J13)))</formula>
    </cfRule>
  </conditionalFormatting>
  <hyperlinks>
    <hyperlink ref="A2" location="'Försättsblad'!A1" display="Försättsblad" xr:uid="{00000000-0004-0000-0000-000000000000}"/>
    <hyperlink ref="A4" location="'Indata'!A1" display="Indata" xr:uid="{00000000-0004-0000-0000-000001000000}"/>
    <hyperlink ref="A5" location="'Kassaflöde'!A1" display="Kassaflöde" xr:uid="{00000000-0004-0000-0000-000002000000}"/>
    <hyperlink ref="A6" location="'Finansiering'!A1" display="Finansiering" xr:uid="{00000000-0004-0000-0000-000003000000}"/>
    <hyperlink ref="A7" location="'Resultat'!A1" display="Resultat" xr:uid="{00000000-0004-0000-0000-000004000000}"/>
    <hyperlink ref="A8" location="'Grafer'!A1" display="Grafer" xr:uid="{00000000-0004-0000-0000-000005000000}"/>
    <hyperlink ref="A9" location="'Lönsamhetskontroll'!A1" display="Lönsamhetskontroll" xr:uid="{00000000-0004-0000-0000-000006000000}"/>
    <hyperlink ref="A10" location="'Beräkningslogik'!A1" display="Beräkningslogik" xr:uid="{00000000-0004-0000-0000-000007000000}"/>
    <hyperlink ref="A11" location="'Dokumentation'!A1" display="Dokumentation" xr:uid="{00000000-0004-0000-0000-000008000000}"/>
  </hyperlinks>
  <pageMargins left="0.75" right="0.75" top="1" bottom="1" header="0.5" footer="0.5"/>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B3A6B"/>
    <pageSetUpPr fitToPage="1"/>
  </sheetPr>
  <dimension ref="A1:I102"/>
  <sheetViews>
    <sheetView showGridLines="0" workbookViewId="0">
      <pane xSplit="1" topLeftCell="B1" activePane="topRight" state="frozen"/>
      <selection pane="topRight"/>
    </sheetView>
  </sheetViews>
  <sheetFormatPr defaultRowHeight="15"/>
  <cols>
    <col min="1" max="1" width="24" customWidth="1"/>
    <col min="2" max="2" width="28" customWidth="1"/>
    <col min="3" max="3" width="14" customWidth="1"/>
    <col min="6" max="6" width="3" customWidth="1"/>
    <col min="7" max="7" width="22" customWidth="1"/>
    <col min="8" max="8" width="12" customWidth="1"/>
    <col min="10" max="10" width="2" customWidth="1"/>
  </cols>
  <sheetData>
    <row r="1" spans="1:9" ht="12" customHeight="1">
      <c r="A1" s="19"/>
      <c r="B1" s="20"/>
      <c r="C1" s="20"/>
      <c r="D1" s="20"/>
      <c r="E1" s="20"/>
      <c r="F1" s="20"/>
      <c r="G1" s="20"/>
      <c r="H1" s="20"/>
      <c r="I1" s="20"/>
    </row>
    <row r="2" spans="1:9" ht="30" customHeight="1">
      <c r="A2" s="19"/>
      <c r="B2" s="177" t="s">
        <v>36</v>
      </c>
      <c r="C2" s="150"/>
      <c r="D2" s="150"/>
      <c r="E2" s="150"/>
      <c r="F2" s="150"/>
      <c r="G2" s="150"/>
      <c r="H2" s="150"/>
      <c r="I2" s="150"/>
    </row>
    <row r="3" spans="1:9" ht="30" customHeight="1">
      <c r="A3" s="19" t="s">
        <v>37</v>
      </c>
      <c r="B3" s="22"/>
      <c r="C3" s="22"/>
      <c r="D3" s="22"/>
      <c r="E3" s="22"/>
      <c r="F3" s="22"/>
      <c r="G3" s="22"/>
      <c r="H3" s="22"/>
      <c r="I3" s="22"/>
    </row>
    <row r="4" spans="1:9" ht="30" customHeight="1">
      <c r="A4" s="19" t="s">
        <v>3</v>
      </c>
      <c r="B4" s="184" t="s">
        <v>2</v>
      </c>
      <c r="C4" s="150"/>
      <c r="D4" s="150"/>
      <c r="E4" s="150"/>
      <c r="F4" s="150"/>
      <c r="G4" s="150"/>
      <c r="H4" s="150"/>
      <c r="I4" s="150"/>
    </row>
    <row r="5" spans="1:9" ht="30" customHeight="1">
      <c r="A5" s="19" t="s">
        <v>4</v>
      </c>
      <c r="B5" s="183" t="str">
        <f>IF(Indata!B26="","(projekt ej namngivet)",Indata!B26&amp;" · "&amp;IF(Indata!C26="Nyb","Nybyggnad",IF(Indata!C26="Omb","Ombyggnad","Befintligt")))</f>
        <v>Skola · Nybyggnad</v>
      </c>
      <c r="C5" s="150"/>
      <c r="D5" s="150"/>
      <c r="E5" s="150"/>
      <c r="F5" s="150"/>
      <c r="G5" s="150"/>
      <c r="H5" s="150"/>
      <c r="I5" s="150"/>
    </row>
    <row r="6" spans="1:9" ht="30" customHeight="1">
      <c r="A6" s="19" t="s">
        <v>5</v>
      </c>
      <c r="B6" s="20"/>
      <c r="C6" s="20"/>
      <c r="D6" s="20"/>
      <c r="E6" s="20"/>
      <c r="F6" s="20"/>
      <c r="G6" s="20"/>
      <c r="H6" s="20"/>
      <c r="I6" s="20"/>
    </row>
    <row r="7" spans="1:9" ht="30" customHeight="1">
      <c r="A7" s="19" t="s">
        <v>6</v>
      </c>
      <c r="B7" s="23" t="s">
        <v>38</v>
      </c>
      <c r="C7" s="24"/>
      <c r="D7" s="24"/>
      <c r="E7" s="24"/>
      <c r="F7" s="24"/>
      <c r="G7" s="24"/>
      <c r="H7" s="24"/>
      <c r="I7" s="24"/>
    </row>
    <row r="8" spans="1:9" ht="30" customHeight="1">
      <c r="A8" s="19" t="s">
        <v>10</v>
      </c>
      <c r="B8" s="25" t="s">
        <v>39</v>
      </c>
      <c r="C8" s="175" t="str">
        <f>Indata!B26</f>
        <v>Skola</v>
      </c>
      <c r="D8" s="150"/>
      <c r="E8" s="150"/>
      <c r="F8" s="20"/>
      <c r="G8" s="25" t="s">
        <v>40</v>
      </c>
      <c r="H8" s="164">
        <f>Indata!C5</f>
        <v>2026</v>
      </c>
      <c r="I8" s="150"/>
    </row>
    <row r="9" spans="1:9" ht="30" customHeight="1">
      <c r="A9" s="19" t="s">
        <v>11</v>
      </c>
      <c r="B9" s="25" t="s">
        <v>41</v>
      </c>
      <c r="C9" s="166" t="s">
        <v>42</v>
      </c>
      <c r="D9" s="150"/>
      <c r="E9" s="150"/>
      <c r="F9" s="20"/>
      <c r="G9" s="25" t="s">
        <v>26</v>
      </c>
      <c r="H9" s="164">
        <f>Indata!C16</f>
        <v>20</v>
      </c>
      <c r="I9" s="150"/>
    </row>
    <row r="10" spans="1:9" ht="30" customHeight="1">
      <c r="A10" s="19" t="s">
        <v>14</v>
      </c>
      <c r="B10" s="25" t="s">
        <v>43</v>
      </c>
      <c r="C10" s="166" t="s">
        <v>42</v>
      </c>
      <c r="D10" s="150"/>
      <c r="E10" s="150"/>
      <c r="F10" s="20"/>
      <c r="G10" s="25" t="s">
        <v>19</v>
      </c>
      <c r="H10" s="163">
        <f>Indata!R31</f>
        <v>200000000</v>
      </c>
      <c r="I10" s="150"/>
    </row>
    <row r="11" spans="1:9" ht="30" customHeight="1">
      <c r="A11" s="19" t="s">
        <v>15</v>
      </c>
      <c r="B11" s="25" t="s">
        <v>44</v>
      </c>
      <c r="C11" s="166" t="s">
        <v>42</v>
      </c>
      <c r="D11" s="150"/>
      <c r="E11" s="150"/>
      <c r="F11" s="20"/>
      <c r="G11" s="25" t="s">
        <v>23</v>
      </c>
      <c r="H11" s="179">
        <f>Indata!F31</f>
        <v>5000</v>
      </c>
      <c r="I11" s="150"/>
    </row>
    <row r="12" spans="1:9" ht="20.100000000000001" customHeight="1">
      <c r="A12" s="19"/>
      <c r="B12" s="25" t="s">
        <v>45</v>
      </c>
      <c r="C12" s="166" t="s">
        <v>42</v>
      </c>
      <c r="D12" s="150"/>
      <c r="E12" s="150"/>
      <c r="F12" s="20"/>
      <c r="G12" s="25" t="s">
        <v>46</v>
      </c>
      <c r="H12" s="175" t="str">
        <f>IF(Indata!C26="Nyb","Nybyggnad",IF(Indata!C26="Omb","Ombyggnad","Befintligt"))</f>
        <v>Nybyggnad</v>
      </c>
      <c r="I12" s="150"/>
    </row>
    <row r="13" spans="1:9" ht="20.100000000000001" customHeight="1">
      <c r="A13" s="19"/>
      <c r="B13" s="25" t="s">
        <v>47</v>
      </c>
      <c r="C13" s="169">
        <f>Indata!C12</f>
        <v>1</v>
      </c>
      <c r="D13" s="150"/>
      <c r="E13" s="150"/>
      <c r="F13" s="20"/>
      <c r="G13" s="25" t="s">
        <v>48</v>
      </c>
      <c r="H13" s="169">
        <f>Indata!C13</f>
        <v>1</v>
      </c>
      <c r="I13" s="150"/>
    </row>
    <row r="14" spans="1:9" ht="16.5" customHeight="1">
      <c r="A14" s="19"/>
      <c r="B14" s="20"/>
      <c r="C14" s="20"/>
      <c r="D14" s="20"/>
      <c r="E14" s="20"/>
      <c r="F14" s="20"/>
      <c r="G14" s="20"/>
      <c r="H14" s="20"/>
      <c r="I14" s="20"/>
    </row>
    <row r="15" spans="1:9" ht="21.95" customHeight="1">
      <c r="A15" s="19"/>
      <c r="B15" s="23" t="s">
        <v>49</v>
      </c>
      <c r="C15" s="24"/>
      <c r="D15" s="24"/>
      <c r="E15" s="24"/>
      <c r="F15" s="24"/>
      <c r="G15" s="24"/>
      <c r="H15" s="24"/>
      <c r="I15" s="24"/>
    </row>
    <row r="16" spans="1:9" ht="20.100000000000001" customHeight="1">
      <c r="A16" s="19"/>
      <c r="B16" s="28" t="s">
        <v>50</v>
      </c>
      <c r="C16" s="29" t="s">
        <v>51</v>
      </c>
      <c r="D16" s="29" t="s">
        <v>52</v>
      </c>
      <c r="E16" s="29" t="s">
        <v>53</v>
      </c>
      <c r="F16" s="20"/>
      <c r="G16" s="20"/>
      <c r="H16" s="20"/>
      <c r="I16" s="20"/>
    </row>
    <row r="17" spans="1:9" ht="20.100000000000001" customHeight="1">
      <c r="A17" s="19"/>
      <c r="B17" s="25" t="s">
        <v>54</v>
      </c>
      <c r="C17" s="26" t="s">
        <v>42</v>
      </c>
      <c r="D17" s="26" t="s">
        <v>42</v>
      </c>
      <c r="E17" s="26" t="s">
        <v>42</v>
      </c>
      <c r="F17" s="20"/>
      <c r="G17" s="20"/>
      <c r="H17" s="20"/>
      <c r="I17" s="20"/>
    </row>
    <row r="18" spans="1:9" ht="20.100000000000001" customHeight="1">
      <c r="A18" s="19"/>
      <c r="B18" s="25" t="s">
        <v>55</v>
      </c>
      <c r="C18" s="26" t="s">
        <v>42</v>
      </c>
      <c r="D18" s="26" t="s">
        <v>42</v>
      </c>
      <c r="E18" s="26" t="s">
        <v>42</v>
      </c>
      <c r="F18" s="20"/>
      <c r="G18" s="20"/>
      <c r="H18" s="20"/>
      <c r="I18" s="20"/>
    </row>
    <row r="19" spans="1:9" ht="20.100000000000001" customHeight="1">
      <c r="A19" s="19"/>
      <c r="B19" s="25" t="s">
        <v>56</v>
      </c>
      <c r="C19" s="30">
        <f>Indata!F31</f>
        <v>5000</v>
      </c>
      <c r="D19" s="27">
        <f>Indata!R31</f>
        <v>200000000</v>
      </c>
      <c r="E19" s="31">
        <f>IFERROR(Indata!R31/Indata!F31,0)</f>
        <v>40000</v>
      </c>
      <c r="F19" s="20"/>
      <c r="G19" s="20"/>
      <c r="H19" s="20"/>
      <c r="I19" s="20"/>
    </row>
    <row r="20" spans="1:9" ht="20.100000000000001" customHeight="1">
      <c r="A20" s="19"/>
      <c r="B20" s="25" t="s">
        <v>57</v>
      </c>
      <c r="C20" s="26" t="s">
        <v>42</v>
      </c>
      <c r="D20" s="26" t="s">
        <v>42</v>
      </c>
      <c r="E20" s="26" t="s">
        <v>42</v>
      </c>
      <c r="F20" s="20"/>
      <c r="G20" s="20"/>
      <c r="H20" s="20"/>
      <c r="I20" s="20"/>
    </row>
    <row r="21" spans="1:9" ht="20.100000000000001" customHeight="1">
      <c r="A21" s="19"/>
      <c r="B21" s="25" t="s">
        <v>58</v>
      </c>
      <c r="C21" s="30">
        <f>Indata!C20</f>
        <v>10000</v>
      </c>
      <c r="D21" s="27">
        <f>Indata!C20*Indata!C21</f>
        <v>5000000</v>
      </c>
      <c r="E21" s="31">
        <f>Indata!C21</f>
        <v>500</v>
      </c>
      <c r="F21" s="20"/>
      <c r="G21" s="20"/>
      <c r="H21" s="20"/>
      <c r="I21" s="20"/>
    </row>
    <row r="22" spans="1:9" ht="26.1" customHeight="1">
      <c r="A22" s="19"/>
      <c r="B22" s="32" t="s">
        <v>59</v>
      </c>
      <c r="C22" s="33">
        <f>SUM(C17:C21)</f>
        <v>15000</v>
      </c>
      <c r="D22" s="34">
        <f>Indata!R31</f>
        <v>200000000</v>
      </c>
      <c r="E22" s="35"/>
      <c r="F22" s="20"/>
      <c r="G22" s="20"/>
      <c r="H22" s="20"/>
      <c r="I22" s="20"/>
    </row>
    <row r="23" spans="1:9" ht="15.95" customHeight="1">
      <c r="A23" s="19"/>
      <c r="B23" s="20"/>
      <c r="C23" s="20"/>
      <c r="D23" s="20"/>
      <c r="E23" s="20"/>
      <c r="F23" s="20"/>
      <c r="G23" s="20"/>
      <c r="H23" s="20"/>
      <c r="I23" s="20"/>
    </row>
    <row r="24" spans="1:9" ht="18" customHeight="1">
      <c r="A24" s="19"/>
      <c r="B24" s="170" t="s">
        <v>60</v>
      </c>
      <c r="C24" s="150"/>
      <c r="D24" s="150"/>
      <c r="E24" s="150"/>
      <c r="F24" s="20"/>
      <c r="G24" s="20"/>
      <c r="H24" s="20"/>
      <c r="I24" s="20"/>
    </row>
    <row r="25" spans="1:9" ht="21.95" customHeight="1">
      <c r="A25" s="19"/>
      <c r="B25" s="165" t="s">
        <v>61</v>
      </c>
      <c r="C25" s="150"/>
      <c r="D25" s="150"/>
      <c r="E25" s="150"/>
      <c r="F25" s="150"/>
      <c r="G25" s="150"/>
      <c r="H25" s="150"/>
      <c r="I25" s="150"/>
    </row>
    <row r="26" spans="1:9" ht="21.95" customHeight="1">
      <c r="A26" s="19"/>
      <c r="B26" s="150"/>
      <c r="C26" s="150"/>
      <c r="D26" s="150"/>
      <c r="E26" s="150"/>
      <c r="F26" s="150"/>
      <c r="G26" s="150"/>
      <c r="H26" s="150"/>
      <c r="I26" s="150"/>
    </row>
    <row r="27" spans="1:9" ht="21.95" customHeight="1">
      <c r="A27" s="19"/>
      <c r="B27" s="150"/>
      <c r="C27" s="150"/>
      <c r="D27" s="150"/>
      <c r="E27" s="150"/>
      <c r="F27" s="150"/>
      <c r="G27" s="150"/>
      <c r="H27" s="150"/>
      <c r="I27" s="150"/>
    </row>
    <row r="28" spans="1:9" ht="15.95" customHeight="1">
      <c r="A28" s="19"/>
      <c r="B28" s="20"/>
      <c r="C28" s="20"/>
      <c r="D28" s="20"/>
      <c r="E28" s="20"/>
      <c r="F28" s="20"/>
      <c r="G28" s="20"/>
      <c r="H28" s="20"/>
      <c r="I28" s="20"/>
    </row>
    <row r="29" spans="1:9" ht="21.95" customHeight="1">
      <c r="A29" s="19"/>
      <c r="B29" s="23" t="s">
        <v>62</v>
      </c>
      <c r="C29" s="24"/>
      <c r="D29" s="24"/>
      <c r="E29" s="24"/>
      <c r="F29" s="24"/>
      <c r="G29" s="24"/>
      <c r="H29" s="24"/>
      <c r="I29" s="24"/>
    </row>
    <row r="30" spans="1:9" ht="20.100000000000001" customHeight="1">
      <c r="A30" s="19"/>
      <c r="B30" s="167" t="s">
        <v>63</v>
      </c>
      <c r="C30" s="150"/>
      <c r="D30" s="150"/>
      <c r="E30" s="150"/>
      <c r="F30" s="20"/>
      <c r="G30" s="167" t="s">
        <v>64</v>
      </c>
      <c r="H30" s="150"/>
      <c r="I30" s="150"/>
    </row>
    <row r="31" spans="1:9" ht="20.100000000000001" customHeight="1">
      <c r="A31" s="19"/>
      <c r="B31" s="150"/>
      <c r="C31" s="150"/>
      <c r="D31" s="150"/>
      <c r="E31" s="150"/>
      <c r="F31" s="20"/>
      <c r="G31" s="150"/>
      <c r="H31" s="150"/>
      <c r="I31" s="150"/>
    </row>
    <row r="32" spans="1:9" ht="20.100000000000001" customHeight="1">
      <c r="A32" s="19"/>
      <c r="B32" s="150"/>
      <c r="C32" s="150"/>
      <c r="D32" s="150"/>
      <c r="E32" s="150"/>
      <c r="F32" s="20"/>
      <c r="G32" s="150"/>
      <c r="H32" s="150"/>
      <c r="I32" s="150"/>
    </row>
    <row r="33" spans="1:9" ht="20.100000000000001" customHeight="1">
      <c r="A33" s="19"/>
      <c r="B33" s="150"/>
      <c r="C33" s="150"/>
      <c r="D33" s="150"/>
      <c r="E33" s="150"/>
      <c r="F33" s="20"/>
      <c r="G33" s="150"/>
      <c r="H33" s="150"/>
      <c r="I33" s="150"/>
    </row>
    <row r="34" spans="1:9" ht="20.100000000000001" customHeight="1">
      <c r="A34" s="19"/>
      <c r="B34" s="150"/>
      <c r="C34" s="150"/>
      <c r="D34" s="150"/>
      <c r="E34" s="150"/>
      <c r="F34" s="20"/>
      <c r="G34" s="150"/>
      <c r="H34" s="150"/>
      <c r="I34" s="150"/>
    </row>
    <row r="35" spans="1:9" ht="20.100000000000001" customHeight="1">
      <c r="A35" s="19"/>
      <c r="B35" s="150"/>
      <c r="C35" s="150"/>
      <c r="D35" s="150"/>
      <c r="E35" s="150"/>
      <c r="F35" s="20"/>
      <c r="G35" s="150"/>
      <c r="H35" s="150"/>
      <c r="I35" s="150"/>
    </row>
    <row r="36" spans="1:9" ht="20.100000000000001" customHeight="1">
      <c r="A36" s="19"/>
      <c r="B36" s="150"/>
      <c r="C36" s="150"/>
      <c r="D36" s="150"/>
      <c r="E36" s="150"/>
      <c r="F36" s="20"/>
      <c r="G36" s="150"/>
      <c r="H36" s="150"/>
      <c r="I36" s="150"/>
    </row>
    <row r="37" spans="1:9" ht="20.100000000000001" customHeight="1">
      <c r="A37" s="19"/>
      <c r="B37" s="150"/>
      <c r="C37" s="150"/>
      <c r="D37" s="150"/>
      <c r="E37" s="150"/>
      <c r="F37" s="20"/>
      <c r="G37" s="150"/>
      <c r="H37" s="150"/>
      <c r="I37" s="150"/>
    </row>
    <row r="38" spans="1:9" ht="15.95" customHeight="1">
      <c r="A38" s="19"/>
      <c r="B38" s="20"/>
      <c r="C38" s="20"/>
      <c r="D38" s="20"/>
      <c r="E38" s="20"/>
      <c r="F38" s="20"/>
      <c r="G38" s="20"/>
      <c r="H38" s="20"/>
      <c r="I38" s="20"/>
    </row>
    <row r="39" spans="1:9" ht="21.95" customHeight="1">
      <c r="A39" s="19"/>
      <c r="B39" s="23" t="s">
        <v>65</v>
      </c>
      <c r="C39" s="24"/>
      <c r="D39" s="24"/>
      <c r="E39" s="24"/>
      <c r="F39" s="24"/>
      <c r="G39" s="24"/>
      <c r="H39" s="24"/>
      <c r="I39" s="24"/>
    </row>
    <row r="40" spans="1:9" ht="20.100000000000001" customHeight="1">
      <c r="A40" s="19"/>
      <c r="B40" s="25" t="s">
        <v>66</v>
      </c>
      <c r="C40" s="166" t="s">
        <v>42</v>
      </c>
      <c r="D40" s="150"/>
      <c r="E40" s="150"/>
      <c r="F40" s="20"/>
      <c r="G40" s="25" t="s">
        <v>67</v>
      </c>
      <c r="H40" s="166" t="s">
        <v>42</v>
      </c>
      <c r="I40" s="150"/>
    </row>
    <row r="41" spans="1:9" ht="16.5" customHeight="1">
      <c r="A41" s="19"/>
      <c r="B41" s="20"/>
      <c r="C41" s="20"/>
      <c r="D41" s="20"/>
      <c r="E41" s="20"/>
      <c r="F41" s="20"/>
      <c r="G41" s="20"/>
      <c r="H41" s="20"/>
      <c r="I41" s="20"/>
    </row>
    <row r="42" spans="1:9" ht="18" customHeight="1">
      <c r="A42" s="19"/>
      <c r="B42" s="36" t="s">
        <v>68</v>
      </c>
      <c r="C42" s="29" t="s">
        <v>69</v>
      </c>
      <c r="D42" s="29" t="s">
        <v>70</v>
      </c>
      <c r="E42" s="20"/>
      <c r="F42" s="20"/>
      <c r="G42" s="20"/>
      <c r="H42" s="20"/>
      <c r="I42" s="20"/>
    </row>
    <row r="43" spans="1:9" ht="20.100000000000001" customHeight="1">
      <c r="A43" s="19"/>
      <c r="B43" s="25" t="s">
        <v>71</v>
      </c>
      <c r="C43" s="26" t="s">
        <v>42</v>
      </c>
      <c r="D43" s="26" t="s">
        <v>42</v>
      </c>
      <c r="E43" s="20"/>
      <c r="F43" s="20"/>
      <c r="G43" s="20"/>
      <c r="H43" s="20"/>
      <c r="I43" s="20"/>
    </row>
    <row r="44" spans="1:9" ht="20.100000000000001" customHeight="1">
      <c r="A44" s="19"/>
      <c r="B44" s="25" t="s">
        <v>72</v>
      </c>
      <c r="C44" s="26" t="s">
        <v>42</v>
      </c>
      <c r="D44" s="26" t="s">
        <v>42</v>
      </c>
      <c r="E44" s="20"/>
      <c r="F44" s="20"/>
      <c r="G44" s="20"/>
      <c r="H44" s="20"/>
      <c r="I44" s="20"/>
    </row>
    <row r="45" spans="1:9" ht="15.95" customHeight="1">
      <c r="A45" s="19"/>
      <c r="B45" s="20"/>
      <c r="C45" s="20"/>
      <c r="D45" s="20"/>
      <c r="E45" s="20"/>
      <c r="F45" s="20"/>
      <c r="G45" s="20"/>
      <c r="H45" s="20"/>
      <c r="I45" s="20"/>
    </row>
    <row r="46" spans="1:9" ht="21.95" customHeight="1">
      <c r="A46" s="19"/>
      <c r="B46" s="23" t="s">
        <v>73</v>
      </c>
      <c r="C46" s="24"/>
      <c r="D46" s="24"/>
      <c r="E46" s="24"/>
      <c r="F46" s="24"/>
      <c r="G46" s="24"/>
      <c r="H46" s="24"/>
      <c r="I46" s="24"/>
    </row>
    <row r="47" spans="1:9" ht="20.100000000000001" customHeight="1">
      <c r="A47" s="19"/>
      <c r="B47" s="25" t="s">
        <v>26</v>
      </c>
      <c r="C47" s="164">
        <f>Indata!C16</f>
        <v>20</v>
      </c>
      <c r="D47" s="150"/>
      <c r="E47" s="150"/>
      <c r="F47" s="20"/>
      <c r="G47" s="25" t="s">
        <v>74</v>
      </c>
      <c r="H47" s="164">
        <f>Indata!C19</f>
        <v>33</v>
      </c>
      <c r="I47" s="150"/>
    </row>
    <row r="48" spans="1:9" ht="20.100000000000001" customHeight="1">
      <c r="A48" s="19"/>
      <c r="B48" s="25" t="s">
        <v>75</v>
      </c>
      <c r="C48" s="169">
        <f>Indata!$D$81</f>
        <v>0.05</v>
      </c>
      <c r="D48" s="150"/>
      <c r="E48" s="150"/>
      <c r="F48" s="20"/>
      <c r="G48" s="25" t="s">
        <v>31</v>
      </c>
      <c r="H48" s="169">
        <f>Indata!C7</f>
        <v>0.04</v>
      </c>
      <c r="I48" s="150"/>
    </row>
    <row r="49" spans="1:9" ht="20.100000000000001" customHeight="1">
      <c r="A49" s="19"/>
      <c r="B49" s="25" t="s">
        <v>76</v>
      </c>
      <c r="C49" s="169">
        <f>Indata!C9</f>
        <v>7.0000000000000007E-2</v>
      </c>
      <c r="D49" s="150"/>
      <c r="E49" s="150"/>
      <c r="F49" s="20"/>
      <c r="G49" s="25" t="s">
        <v>77</v>
      </c>
      <c r="H49" s="169">
        <f>Indata!C8</f>
        <v>0.02</v>
      </c>
      <c r="I49" s="150"/>
    </row>
    <row r="50" spans="1:9" ht="16.5" customHeight="1">
      <c r="A50" s="19"/>
      <c r="B50" s="20"/>
      <c r="C50" s="20"/>
      <c r="D50" s="20"/>
      <c r="E50" s="20"/>
      <c r="F50" s="20"/>
      <c r="G50" s="20"/>
      <c r="H50" s="20"/>
      <c r="I50" s="20"/>
    </row>
    <row r="51" spans="1:9" ht="15.95" customHeight="1">
      <c r="A51" s="19"/>
      <c r="B51" s="20"/>
      <c r="C51" s="20"/>
      <c r="D51" s="20"/>
      <c r="E51" s="20"/>
      <c r="F51" s="20"/>
      <c r="G51" s="20"/>
      <c r="H51" s="20"/>
      <c r="I51" s="20"/>
    </row>
    <row r="52" spans="1:9" ht="21.95" customHeight="1">
      <c r="A52" s="19"/>
      <c r="B52" s="23" t="s">
        <v>78</v>
      </c>
      <c r="C52" s="24"/>
      <c r="D52" s="24"/>
      <c r="E52" s="24"/>
      <c r="F52" s="24"/>
      <c r="G52" s="24"/>
      <c r="H52" s="24"/>
      <c r="I52" s="24"/>
    </row>
    <row r="53" spans="1:9" ht="24" customHeight="1">
      <c r="A53" s="19"/>
      <c r="B53" s="25" t="s">
        <v>79</v>
      </c>
      <c r="C53" s="180">
        <f>Resultat!D14</f>
        <v>11631221.719457014</v>
      </c>
      <c r="D53" s="150"/>
      <c r="E53" s="150"/>
      <c r="F53" s="20"/>
      <c r="G53" s="25" t="s">
        <v>80</v>
      </c>
      <c r="H53" s="159">
        <f>Resultat!D16</f>
        <v>2326.2443438914029</v>
      </c>
      <c r="I53" s="150"/>
    </row>
    <row r="54" spans="1:9" ht="20.100000000000001" customHeight="1">
      <c r="A54" s="19"/>
      <c r="B54" s="25" t="s">
        <v>81</v>
      </c>
      <c r="C54" s="158">
        <f>Resultat!C14</f>
        <v>10726244.343891403</v>
      </c>
      <c r="D54" s="150"/>
      <c r="E54" s="150"/>
      <c r="F54" s="20"/>
      <c r="G54" s="25" t="s">
        <v>82</v>
      </c>
      <c r="H54" s="160">
        <f>Resultat!C16</f>
        <v>2145.2488687782807</v>
      </c>
      <c r="I54" s="150"/>
    </row>
    <row r="55" spans="1:9" ht="20.100000000000001" customHeight="1">
      <c r="A55" s="19"/>
      <c r="B55" s="25" t="s">
        <v>83</v>
      </c>
      <c r="C55" s="158">
        <f>Resultat!E14</f>
        <v>12536199.095022624</v>
      </c>
      <c r="D55" s="150"/>
      <c r="E55" s="150"/>
      <c r="F55" s="20"/>
      <c r="G55" s="25" t="s">
        <v>84</v>
      </c>
      <c r="H55" s="160">
        <f>Resultat!E16</f>
        <v>2507.2398190045251</v>
      </c>
      <c r="I55" s="150"/>
    </row>
    <row r="56" spans="1:9" ht="20.100000000000001" customHeight="1">
      <c r="A56" s="19"/>
      <c r="B56" s="25" t="s">
        <v>85</v>
      </c>
      <c r="C56" s="169">
        <f>Indata!C11</f>
        <v>0</v>
      </c>
      <c r="D56" s="150"/>
      <c r="E56" s="150"/>
      <c r="F56" s="20"/>
      <c r="G56" s="25" t="s">
        <v>86</v>
      </c>
      <c r="H56" s="160">
        <f>Indata!C41</f>
        <v>0</v>
      </c>
      <c r="I56" s="150"/>
    </row>
    <row r="57" spans="1:9" ht="15.95" customHeight="1">
      <c r="A57" s="19"/>
      <c r="B57" s="20"/>
      <c r="C57" s="20"/>
      <c r="D57" s="20"/>
      <c r="E57" s="20"/>
      <c r="F57" s="20"/>
      <c r="G57" s="20"/>
      <c r="H57" s="20"/>
      <c r="I57" s="20"/>
    </row>
    <row r="58" spans="1:9" ht="21.95" customHeight="1">
      <c r="A58" s="19"/>
      <c r="B58" s="23" t="s">
        <v>87</v>
      </c>
      <c r="C58" s="24"/>
      <c r="D58" s="24"/>
      <c r="E58" s="24"/>
      <c r="F58" s="24"/>
      <c r="G58" s="24"/>
      <c r="H58" s="24"/>
      <c r="I58" s="24"/>
    </row>
    <row r="59" spans="1:9" ht="20.100000000000001" customHeight="1">
      <c r="A59" s="19"/>
      <c r="B59" s="25" t="s">
        <v>88</v>
      </c>
      <c r="C59" s="171">
        <f>Indata!C62</f>
        <v>0.04</v>
      </c>
      <c r="D59" s="150"/>
      <c r="E59" s="150"/>
      <c r="F59" s="20"/>
      <c r="G59" s="25" t="s">
        <v>27</v>
      </c>
      <c r="H59" s="169">
        <f>Indata!C64</f>
        <v>0.37</v>
      </c>
      <c r="I59" s="150"/>
    </row>
    <row r="60" spans="1:9" ht="20.100000000000001" customHeight="1">
      <c r="A60" s="19"/>
      <c r="B60" s="25" t="s">
        <v>89</v>
      </c>
      <c r="C60" s="171">
        <f>Indata!C63</f>
        <v>0.02</v>
      </c>
      <c r="D60" s="150"/>
      <c r="E60" s="150"/>
      <c r="F60" s="20"/>
      <c r="G60" s="25" t="s">
        <v>90</v>
      </c>
      <c r="H60" s="171">
        <f>Indata!C65</f>
        <v>6.3E-2</v>
      </c>
      <c r="I60" s="150"/>
    </row>
    <row r="61" spans="1:9" ht="15.95" customHeight="1">
      <c r="A61" s="19"/>
      <c r="B61" s="20"/>
      <c r="C61" s="20"/>
      <c r="D61" s="20"/>
      <c r="E61" s="20"/>
      <c r="F61" s="20"/>
      <c r="G61" s="20"/>
      <c r="H61" s="20"/>
      <c r="I61" s="20"/>
    </row>
    <row r="62" spans="1:9" ht="21.95" customHeight="1">
      <c r="A62" s="19"/>
      <c r="B62" s="23" t="s">
        <v>91</v>
      </c>
      <c r="C62" s="24"/>
      <c r="D62" s="24"/>
      <c r="E62" s="24"/>
      <c r="F62" s="24"/>
      <c r="G62" s="24"/>
      <c r="H62" s="24"/>
      <c r="I62" s="24"/>
    </row>
    <row r="63" spans="1:9" ht="30" customHeight="1">
      <c r="A63" s="19"/>
      <c r="B63" s="25" t="s">
        <v>92</v>
      </c>
      <c r="C63" s="176">
        <f>Lönsamhetskontroll!C45</f>
        <v>7.6451715426456346E-2</v>
      </c>
      <c r="D63" s="150"/>
      <c r="E63" s="37" t="str">
        <f>"Krav "&amp;ROUND(Indata!C65*100,1)&amp;" %"</f>
        <v>Krav 6,3 %</v>
      </c>
      <c r="F63" s="20"/>
      <c r="G63" s="25" t="s">
        <v>93</v>
      </c>
      <c r="H63" s="168">
        <f>Lönsamhetskontroll!C47</f>
        <v>1.3451715426456345E-2</v>
      </c>
      <c r="I63" s="150"/>
    </row>
    <row r="64" spans="1:9" ht="21.95" customHeight="1">
      <c r="A64" s="19"/>
      <c r="B64" s="25" t="s">
        <v>94</v>
      </c>
      <c r="C64" s="163">
        <f>Lönsamhetskontroll!C9</f>
        <v>0</v>
      </c>
      <c r="D64" s="150"/>
      <c r="E64" s="150"/>
      <c r="F64" s="20"/>
      <c r="G64" s="25" t="s">
        <v>95</v>
      </c>
      <c r="H64" s="175" t="s">
        <v>96</v>
      </c>
      <c r="I64" s="150"/>
    </row>
    <row r="65" spans="1:9" ht="21.95" customHeight="1">
      <c r="A65" s="19"/>
      <c r="B65" s="25" t="s">
        <v>97</v>
      </c>
      <c r="C65" s="163">
        <f>Lönsamhetskontroll!C30</f>
        <v>155869728.29851523</v>
      </c>
      <c r="D65" s="150"/>
      <c r="E65" s="150"/>
      <c r="F65" s="20"/>
      <c r="G65" s="25" t="s">
        <v>95</v>
      </c>
      <c r="H65" s="175" t="s">
        <v>98</v>
      </c>
      <c r="I65" s="150"/>
    </row>
    <row r="66" spans="1:9" ht="21.95" customHeight="1">
      <c r="A66" s="19"/>
      <c r="B66" s="25" t="s">
        <v>99</v>
      </c>
      <c r="C66" s="163">
        <f>Lönsamhetskontroll!C29</f>
        <v>235869728.29851523</v>
      </c>
      <c r="D66" s="150"/>
      <c r="E66" s="150"/>
      <c r="F66" s="20"/>
      <c r="G66" s="25" t="s">
        <v>100</v>
      </c>
      <c r="H66" s="163">
        <f>Lönsamhetskontroll!C27</f>
        <v>80000000</v>
      </c>
      <c r="I66" s="150"/>
    </row>
    <row r="67" spans="1:9" ht="21.95" customHeight="1">
      <c r="A67" s="19"/>
      <c r="B67" s="25" t="s">
        <v>79</v>
      </c>
      <c r="C67" s="158">
        <f>Resultat!D14</f>
        <v>11631221.719457014</v>
      </c>
      <c r="D67" s="150"/>
      <c r="E67" s="150"/>
      <c r="F67" s="20"/>
      <c r="G67" s="25" t="s">
        <v>80</v>
      </c>
      <c r="H67" s="160">
        <f>Resultat!D16</f>
        <v>2326.2443438914029</v>
      </c>
      <c r="I67" s="150"/>
    </row>
    <row r="68" spans="1:9" ht="15.95" customHeight="1">
      <c r="A68" s="19"/>
      <c r="B68" s="20"/>
      <c r="C68" s="20"/>
      <c r="D68" s="20"/>
      <c r="E68" s="20"/>
      <c r="F68" s="20"/>
      <c r="G68" s="20"/>
      <c r="H68" s="20"/>
      <c r="I68" s="20"/>
    </row>
    <row r="69" spans="1:9" ht="21.95" customHeight="1">
      <c r="A69" s="19"/>
      <c r="B69" s="23" t="s">
        <v>101</v>
      </c>
      <c r="C69" s="24"/>
      <c r="D69" s="24"/>
      <c r="E69" s="24"/>
      <c r="F69" s="24"/>
      <c r="G69" s="24"/>
      <c r="H69" s="24"/>
      <c r="I69" s="24"/>
    </row>
    <row r="70" spans="1:9" ht="20.100000000000001" customHeight="1">
      <c r="A70" s="19"/>
      <c r="B70" s="25" t="s">
        <v>100</v>
      </c>
      <c r="C70" s="163">
        <f>Lönsamhetskontroll!C27</f>
        <v>80000000</v>
      </c>
      <c r="D70" s="150"/>
      <c r="E70" s="150"/>
      <c r="F70" s="20"/>
      <c r="G70" s="20"/>
      <c r="H70" s="20"/>
      <c r="I70" s="20"/>
    </row>
    <row r="71" spans="1:9" ht="20.100000000000001" customHeight="1">
      <c r="A71" s="19"/>
      <c r="B71" s="25" t="s">
        <v>99</v>
      </c>
      <c r="C71" s="163">
        <f>Lönsamhetskontroll!C29</f>
        <v>235869728.29851523</v>
      </c>
      <c r="D71" s="150"/>
      <c r="E71" s="150"/>
      <c r="F71" s="20"/>
      <c r="G71" s="20"/>
      <c r="H71" s="20"/>
      <c r="I71" s="20"/>
    </row>
    <row r="72" spans="1:9" ht="20.100000000000001" customHeight="1">
      <c r="A72" s="19"/>
      <c r="B72" s="25" t="s">
        <v>102</v>
      </c>
      <c r="C72" s="178">
        <f>Lönsamhetskontroll!C30</f>
        <v>155869728.29851523</v>
      </c>
      <c r="D72" s="150"/>
      <c r="E72" s="150"/>
      <c r="F72" s="20"/>
      <c r="G72" s="20"/>
      <c r="H72" s="20"/>
      <c r="I72" s="20"/>
    </row>
    <row r="73" spans="1:9" ht="21.95" customHeight="1">
      <c r="A73" s="19"/>
      <c r="B73" s="25" t="s">
        <v>103</v>
      </c>
      <c r="C73" s="182" t="str">
        <f>IF(Indata!D80=0,"Neutral (extern yield rakt av)",IF(Indata!D80&gt;0,"+","")&amp;ROUND(Indata!D80*100,2)&amp;" pp · justerad yield "&amp;ROUND(Indata!D81*100,2)&amp;" %")</f>
        <v>Neutral (extern yield rakt av)</v>
      </c>
      <c r="D73" s="150"/>
      <c r="E73" s="150"/>
      <c r="F73" s="20"/>
      <c r="G73" s="20"/>
      <c r="H73" s="20"/>
      <c r="I73" s="20"/>
    </row>
    <row r="74" spans="1:9" ht="8.1" customHeight="1">
      <c r="A74" s="19"/>
      <c r="B74" s="20"/>
      <c r="C74" s="20"/>
      <c r="D74" s="20"/>
      <c r="E74" s="20"/>
      <c r="F74" s="20"/>
      <c r="G74" s="20"/>
      <c r="H74" s="20"/>
      <c r="I74" s="20"/>
    </row>
    <row r="75" spans="1:9" ht="21.95" customHeight="1">
      <c r="A75" s="19"/>
      <c r="B75" s="23" t="s">
        <v>104</v>
      </c>
      <c r="C75" s="24"/>
      <c r="D75" s="24"/>
      <c r="E75" s="24"/>
      <c r="F75" s="24"/>
      <c r="G75" s="24"/>
      <c r="H75" s="24"/>
      <c r="I75" s="24"/>
    </row>
    <row r="76" spans="1:9" ht="26.1" customHeight="1">
      <c r="A76" s="19"/>
      <c r="B76" s="25" t="s">
        <v>105</v>
      </c>
      <c r="C76" s="174"/>
      <c r="D76" s="162"/>
      <c r="E76" s="162"/>
      <c r="F76" s="20"/>
      <c r="G76" s="25" t="s">
        <v>105</v>
      </c>
      <c r="H76" s="174"/>
      <c r="I76" s="162"/>
    </row>
    <row r="77" spans="1:9" ht="26.1" customHeight="1">
      <c r="A77" s="19"/>
      <c r="B77" s="25" t="s">
        <v>106</v>
      </c>
      <c r="C77" s="174"/>
      <c r="D77" s="162"/>
      <c r="E77" s="162"/>
      <c r="F77" s="20"/>
      <c r="G77" s="25" t="s">
        <v>106</v>
      </c>
      <c r="H77" s="174"/>
      <c r="I77" s="162"/>
    </row>
    <row r="78" spans="1:9" ht="32.1" customHeight="1">
      <c r="A78" s="19"/>
      <c r="B78" s="25" t="s">
        <v>107</v>
      </c>
      <c r="C78" s="161"/>
      <c r="D78" s="162"/>
      <c r="E78" s="162"/>
      <c r="F78" s="20"/>
      <c r="G78" s="25" t="s">
        <v>107</v>
      </c>
      <c r="H78" s="161"/>
      <c r="I78" s="162"/>
    </row>
    <row r="79" spans="1:9" ht="16.5" customHeight="1">
      <c r="A79" s="19"/>
      <c r="B79" s="20"/>
      <c r="C79" s="20"/>
      <c r="D79" s="20"/>
      <c r="E79" s="20"/>
      <c r="F79" s="20"/>
      <c r="G79" s="20"/>
      <c r="H79" s="20"/>
      <c r="I79" s="20"/>
    </row>
    <row r="80" spans="1:9" ht="16.5" customHeight="1">
      <c r="A80" s="19"/>
      <c r="B80" s="20"/>
      <c r="C80" s="20"/>
      <c r="D80" s="20"/>
      <c r="E80" s="20"/>
      <c r="F80" s="20"/>
      <c r="G80" s="20"/>
      <c r="H80" s="20"/>
      <c r="I80" s="20"/>
    </row>
    <row r="81" spans="1:9" ht="15.95" customHeight="1">
      <c r="A81" s="19"/>
      <c r="B81" s="20"/>
      <c r="C81" s="20"/>
      <c r="D81" s="20"/>
      <c r="E81" s="20"/>
      <c r="F81" s="20"/>
      <c r="G81" s="20"/>
      <c r="H81" s="20"/>
      <c r="I81" s="20"/>
    </row>
    <row r="82" spans="1:9" ht="21.95" customHeight="1">
      <c r="A82" s="19"/>
      <c r="B82" s="23" t="s">
        <v>108</v>
      </c>
      <c r="C82" s="24"/>
      <c r="D82" s="24"/>
      <c r="E82" s="24"/>
      <c r="F82" s="24"/>
      <c r="G82" s="24"/>
      <c r="H82" s="24"/>
      <c r="I82" s="24"/>
    </row>
    <row r="83" spans="1:9" ht="20.100000000000001" customHeight="1">
      <c r="A83" s="19"/>
      <c r="B83" s="28" t="s">
        <v>109</v>
      </c>
      <c r="C83" s="22"/>
      <c r="D83" s="22"/>
      <c r="E83" s="22"/>
      <c r="F83" s="22"/>
      <c r="G83" s="22"/>
      <c r="H83" s="172" t="s">
        <v>110</v>
      </c>
      <c r="I83" s="173"/>
    </row>
    <row r="84" spans="1:9" ht="21.95" customHeight="1">
      <c r="A84" s="19"/>
      <c r="B84" s="38" t="s">
        <v>111</v>
      </c>
      <c r="C84" s="20"/>
      <c r="D84" s="20"/>
      <c r="E84" s="20"/>
      <c r="F84" s="20"/>
      <c r="G84" s="20"/>
      <c r="H84" s="175" t="s">
        <v>112</v>
      </c>
      <c r="I84" s="150"/>
    </row>
    <row r="85" spans="1:9" ht="21.95" customHeight="1">
      <c r="A85" s="19"/>
      <c r="B85" s="38" t="s">
        <v>113</v>
      </c>
      <c r="C85" s="20"/>
      <c r="D85" s="20"/>
      <c r="E85" s="20"/>
      <c r="F85" s="20"/>
      <c r="G85" s="20"/>
      <c r="H85" s="175" t="s">
        <v>114</v>
      </c>
      <c r="I85" s="150"/>
    </row>
    <row r="86" spans="1:9" ht="21.95" customHeight="1">
      <c r="A86" s="19"/>
      <c r="B86" s="38" t="s">
        <v>115</v>
      </c>
      <c r="C86" s="20"/>
      <c r="D86" s="20"/>
      <c r="E86" s="20"/>
      <c r="F86" s="20"/>
      <c r="G86" s="20"/>
      <c r="H86" s="175" t="s">
        <v>116</v>
      </c>
      <c r="I86" s="150"/>
    </row>
    <row r="87" spans="1:9" ht="21.95" customHeight="1">
      <c r="A87" s="19"/>
      <c r="B87" s="38" t="s">
        <v>117</v>
      </c>
      <c r="C87" s="20"/>
      <c r="D87" s="20"/>
      <c r="E87" s="20"/>
      <c r="F87" s="20"/>
      <c r="G87" s="20"/>
      <c r="H87" s="175" t="s">
        <v>118</v>
      </c>
      <c r="I87" s="150"/>
    </row>
    <row r="88" spans="1:9" ht="21.95" customHeight="1">
      <c r="A88" s="19"/>
      <c r="B88" s="38" t="s">
        <v>119</v>
      </c>
      <c r="C88" s="20"/>
      <c r="D88" s="20"/>
      <c r="E88" s="20"/>
      <c r="F88" s="20"/>
      <c r="G88" s="20"/>
      <c r="H88" s="175" t="s">
        <v>120</v>
      </c>
      <c r="I88" s="150"/>
    </row>
    <row r="89" spans="1:9" ht="21.95" customHeight="1">
      <c r="A89" s="19"/>
      <c r="B89" s="38" t="s">
        <v>121</v>
      </c>
      <c r="C89" s="20"/>
      <c r="D89" s="20"/>
      <c r="E89" s="20"/>
      <c r="F89" s="20"/>
      <c r="G89" s="20"/>
      <c r="H89" s="175" t="s">
        <v>122</v>
      </c>
      <c r="I89" s="150"/>
    </row>
    <row r="90" spans="1:9" ht="21.95" customHeight="1">
      <c r="A90" s="19"/>
      <c r="B90" s="38" t="s">
        <v>123</v>
      </c>
      <c r="C90" s="20"/>
      <c r="D90" s="20"/>
      <c r="E90" s="20"/>
      <c r="F90" s="20"/>
      <c r="G90" s="20"/>
      <c r="H90" s="175" t="s">
        <v>124</v>
      </c>
      <c r="I90" s="150"/>
    </row>
    <row r="91" spans="1:9" ht="27.95" customHeight="1">
      <c r="A91" s="19"/>
      <c r="B91" s="20"/>
      <c r="C91" s="20"/>
      <c r="D91" s="20"/>
      <c r="E91" s="20"/>
      <c r="F91" s="20"/>
      <c r="G91" s="20"/>
      <c r="H91" s="20"/>
      <c r="I91" s="20"/>
    </row>
    <row r="92" spans="1:9" ht="16.5" customHeight="1">
      <c r="A92" s="19"/>
      <c r="B92" s="181" t="s">
        <v>125</v>
      </c>
      <c r="C92" s="150"/>
      <c r="D92" s="150"/>
      <c r="E92" s="150"/>
      <c r="F92" s="150"/>
      <c r="G92" s="150"/>
      <c r="H92" s="150"/>
      <c r="I92" s="150"/>
    </row>
    <row r="93" spans="1:9">
      <c r="A93" s="39"/>
      <c r="B93" s="40"/>
      <c r="C93" s="40"/>
      <c r="D93" s="40"/>
      <c r="E93" s="40"/>
      <c r="F93" s="40"/>
      <c r="G93" s="40"/>
      <c r="H93" s="40"/>
      <c r="I93" s="40"/>
    </row>
    <row r="94" spans="1:9">
      <c r="A94" s="39"/>
      <c r="B94" s="40"/>
      <c r="C94" s="40"/>
      <c r="D94" s="40"/>
      <c r="E94" s="40"/>
      <c r="F94" s="40"/>
      <c r="G94" s="40"/>
      <c r="H94" s="40"/>
      <c r="I94" s="40"/>
    </row>
    <row r="95" spans="1:9">
      <c r="A95" s="39"/>
      <c r="B95" s="40"/>
      <c r="C95" s="40"/>
      <c r="D95" s="40"/>
      <c r="E95" s="40"/>
      <c r="F95" s="40"/>
      <c r="G95" s="40"/>
      <c r="H95" s="40"/>
      <c r="I95" s="40"/>
    </row>
    <row r="96" spans="1:9">
      <c r="A96" s="39"/>
      <c r="B96" s="40"/>
      <c r="C96" s="40"/>
      <c r="D96" s="40"/>
      <c r="E96" s="40"/>
      <c r="F96" s="40"/>
      <c r="G96" s="40"/>
      <c r="H96" s="40"/>
      <c r="I96" s="40"/>
    </row>
    <row r="97" spans="1:9">
      <c r="A97" s="39"/>
      <c r="B97" s="40"/>
      <c r="C97" s="40"/>
      <c r="D97" s="40"/>
      <c r="E97" s="40"/>
      <c r="F97" s="40"/>
      <c r="G97" s="40"/>
      <c r="H97" s="40"/>
      <c r="I97" s="40"/>
    </row>
    <row r="98" spans="1:9">
      <c r="A98" s="1"/>
    </row>
    <row r="99" spans="1:9">
      <c r="A99" s="1"/>
    </row>
    <row r="100" spans="1:9">
      <c r="A100" s="1"/>
    </row>
    <row r="101" spans="1:9">
      <c r="A101" s="1"/>
    </row>
    <row r="102" spans="1:9">
      <c r="A102" s="1"/>
    </row>
  </sheetData>
  <mergeCells count="68">
    <mergeCell ref="B92:I92"/>
    <mergeCell ref="H12:I12"/>
    <mergeCell ref="H87:I87"/>
    <mergeCell ref="H77:I77"/>
    <mergeCell ref="H48:I48"/>
    <mergeCell ref="H86:I86"/>
    <mergeCell ref="H76:I76"/>
    <mergeCell ref="C73:E73"/>
    <mergeCell ref="B30:E37"/>
    <mergeCell ref="C64:E64"/>
    <mergeCell ref="H90:I90"/>
    <mergeCell ref="C49:E49"/>
    <mergeCell ref="C78:E78"/>
    <mergeCell ref="H84:I84"/>
    <mergeCell ref="H66:I66"/>
    <mergeCell ref="C77:E77"/>
    <mergeCell ref="H65:I65"/>
    <mergeCell ref="H89:I89"/>
    <mergeCell ref="H85:I85"/>
    <mergeCell ref="H88:I88"/>
    <mergeCell ref="C67:E67"/>
    <mergeCell ref="C72:E72"/>
    <mergeCell ref="B2:I2"/>
    <mergeCell ref="H60:I60"/>
    <mergeCell ref="C8:E8"/>
    <mergeCell ref="H49:I49"/>
    <mergeCell ref="C70:E70"/>
    <mergeCell ref="C48:E48"/>
    <mergeCell ref="H11:I11"/>
    <mergeCell ref="C66:E66"/>
    <mergeCell ref="C13:E13"/>
    <mergeCell ref="C53:E53"/>
    <mergeCell ref="H47:I47"/>
    <mergeCell ref="H13:I13"/>
    <mergeCell ref="B5:I5"/>
    <mergeCell ref="H8:I8"/>
    <mergeCell ref="B4:I4"/>
    <mergeCell ref="C10:E10"/>
    <mergeCell ref="H83:I83"/>
    <mergeCell ref="C65:E65"/>
    <mergeCell ref="C11:E11"/>
    <mergeCell ref="H59:I59"/>
    <mergeCell ref="C76:E76"/>
    <mergeCell ref="C71:E71"/>
    <mergeCell ref="H64:I64"/>
    <mergeCell ref="C63:D63"/>
    <mergeCell ref="C9:E9"/>
    <mergeCell ref="G30:I37"/>
    <mergeCell ref="H63:I63"/>
    <mergeCell ref="C56:E56"/>
    <mergeCell ref="B24:E24"/>
    <mergeCell ref="H55:I55"/>
    <mergeCell ref="C59:E59"/>
    <mergeCell ref="H40:I40"/>
    <mergeCell ref="C12:E12"/>
    <mergeCell ref="H9:I9"/>
    <mergeCell ref="H56:I56"/>
    <mergeCell ref="C60:E60"/>
    <mergeCell ref="H10:I10"/>
    <mergeCell ref="H54:I54"/>
    <mergeCell ref="C47:E47"/>
    <mergeCell ref="B25:I27"/>
    <mergeCell ref="C40:E40"/>
    <mergeCell ref="C54:E54"/>
    <mergeCell ref="H53:I53"/>
    <mergeCell ref="H67:I67"/>
    <mergeCell ref="C55:E55"/>
    <mergeCell ref="H78:I78"/>
  </mergeCells>
  <hyperlinks>
    <hyperlink ref="A3" location="'Översikt'!A1" display="Översikt" xr:uid="{00000000-0004-0000-0100-000000000000}"/>
    <hyperlink ref="A4" location="'Indata'!A1" display="Indata" xr:uid="{00000000-0004-0000-0100-000001000000}"/>
    <hyperlink ref="A5" location="'Kassaflöde'!A1" display="Kassaflöde" xr:uid="{00000000-0004-0000-0100-000002000000}"/>
    <hyperlink ref="A6" location="'Finansiering'!A1" display="Finansiering" xr:uid="{00000000-0004-0000-0100-000003000000}"/>
    <hyperlink ref="A7" location="'Resultat'!A1" display="Resultat" xr:uid="{00000000-0004-0000-0100-000004000000}"/>
    <hyperlink ref="A8" location="'Grafer'!A1" display="Grafer" xr:uid="{00000000-0004-0000-0100-000005000000}"/>
    <hyperlink ref="A9" location="'Lönsamhetskontroll'!A1" display="Lönsamhetskontroll" xr:uid="{00000000-0004-0000-0100-000006000000}"/>
    <hyperlink ref="A10" location="'Beräkningslogik'!A1" display="Beräkningslogik" xr:uid="{00000000-0004-0000-0100-000007000000}"/>
    <hyperlink ref="A11" location="'Dokumentation'!A1" display="Dokumentation" xr:uid="{00000000-0004-0000-0100-000008000000}"/>
    <hyperlink ref="H84" location="'Indata'!A1" display="Indata" xr:uid="{00000000-0004-0000-0100-000009000000}"/>
    <hyperlink ref="H85" location="'Resultat'!A1" display="Resultat" xr:uid="{00000000-0004-0000-0100-00000A000000}"/>
    <hyperlink ref="H86" location="'Kassaflöde'!A1" display="Kassaflöde" xr:uid="{00000000-0004-0000-0100-00000B000000}"/>
    <hyperlink ref="H87" location="'Finansiering'!A1" display="Finansiering" xr:uid="{00000000-0004-0000-0100-00000C000000}"/>
    <hyperlink ref="H88" location="'Lönsamhetskontroll'!A1" display="Lönsamhetskontroll" xr:uid="{00000000-0004-0000-0100-00000D000000}"/>
    <hyperlink ref="H89" location="'Beräkningslogik'!A1" display="Beräkningslogik" xr:uid="{00000000-0004-0000-0100-00000E000000}"/>
    <hyperlink ref="H90" location="'Dokumentation'!A1" display="Dokumentation" xr:uid="{00000000-0004-0000-0100-00000F000000}"/>
  </hyperlinks>
  <pageMargins left="0.5" right="0.5" top="0.5" bottom="0.5" header="0.5" footer="0.5"/>
  <pageSetup paperSize="9" fitToHeight="0" orientation="portrait"/>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0313E"/>
    <pageSetUpPr fitToPage="1"/>
  </sheetPr>
  <dimension ref="A1:R91"/>
  <sheetViews>
    <sheetView showGridLines="0" workbookViewId="0">
      <pane xSplit="1" topLeftCell="B1" activePane="topRight" state="frozen"/>
      <selection pane="topRight"/>
    </sheetView>
  </sheetViews>
  <sheetFormatPr defaultRowHeight="15"/>
  <cols>
    <col min="1" max="1" width="24" customWidth="1"/>
    <col min="2" max="2" width="38" customWidth="1"/>
    <col min="3" max="3" width="16" customWidth="1"/>
  </cols>
  <sheetData>
    <row r="1" spans="1:18" ht="14.1" customHeight="1">
      <c r="A1" s="19"/>
      <c r="B1" s="21" t="s">
        <v>126</v>
      </c>
      <c r="C1" s="20"/>
      <c r="D1" s="20"/>
      <c r="E1" s="20"/>
      <c r="F1" s="20"/>
      <c r="G1" s="20"/>
      <c r="H1" s="20"/>
      <c r="I1" s="20"/>
      <c r="J1" s="20"/>
      <c r="K1" s="20"/>
      <c r="L1" s="20"/>
      <c r="M1" s="20"/>
      <c r="N1" s="20"/>
      <c r="O1" s="20"/>
      <c r="P1" s="20"/>
      <c r="Q1" s="20"/>
      <c r="R1" s="20"/>
    </row>
    <row r="2" spans="1:18" ht="30" customHeight="1">
      <c r="A2" s="19" t="s">
        <v>0</v>
      </c>
      <c r="B2" s="41" t="s">
        <v>112</v>
      </c>
      <c r="C2" s="20"/>
      <c r="D2" s="20"/>
      <c r="E2" s="20"/>
      <c r="F2" s="20"/>
      <c r="G2" s="20"/>
      <c r="H2" s="20"/>
      <c r="I2" s="20"/>
      <c r="J2" s="20"/>
      <c r="K2" s="20"/>
      <c r="L2" s="20"/>
      <c r="M2" s="20"/>
      <c r="N2" s="20"/>
      <c r="O2" s="20"/>
      <c r="P2" s="20"/>
      <c r="Q2" s="20"/>
      <c r="R2" s="20"/>
    </row>
    <row r="3" spans="1:18" ht="30" customHeight="1">
      <c r="A3" s="19" t="s">
        <v>37</v>
      </c>
      <c r="B3" s="42" t="s">
        <v>127</v>
      </c>
      <c r="C3" s="20"/>
      <c r="D3" s="20"/>
      <c r="E3" s="20"/>
      <c r="F3" s="20"/>
      <c r="G3" s="20"/>
      <c r="H3" s="20"/>
      <c r="I3" s="20"/>
      <c r="J3" s="20"/>
      <c r="K3" s="20"/>
      <c r="L3" s="20"/>
      <c r="M3" s="20"/>
      <c r="N3" s="20"/>
      <c r="O3" s="20"/>
      <c r="P3" s="20"/>
      <c r="Q3" s="20"/>
      <c r="R3" s="20"/>
    </row>
    <row r="4" spans="1:18" ht="30" customHeight="1">
      <c r="A4" s="19"/>
      <c r="B4" s="43" t="s">
        <v>128</v>
      </c>
      <c r="C4" s="24"/>
      <c r="D4" s="24"/>
      <c r="E4" s="24"/>
      <c r="F4" s="24"/>
      <c r="G4" s="24"/>
      <c r="H4" s="24"/>
      <c r="I4" s="24"/>
      <c r="J4" s="24"/>
      <c r="K4" s="24"/>
      <c r="L4" s="24"/>
      <c r="M4" s="24"/>
      <c r="N4" s="24"/>
      <c r="O4" s="24"/>
      <c r="P4" s="24"/>
      <c r="Q4" s="24"/>
      <c r="R4" s="24"/>
    </row>
    <row r="5" spans="1:18" ht="30" customHeight="1">
      <c r="A5" s="19" t="s">
        <v>4</v>
      </c>
      <c r="B5" s="44" t="s">
        <v>129</v>
      </c>
      <c r="C5" s="45">
        <v>2026</v>
      </c>
      <c r="D5" s="46" t="s">
        <v>130</v>
      </c>
      <c r="E5" s="47" t="s">
        <v>131</v>
      </c>
      <c r="F5" s="20"/>
      <c r="G5" s="20"/>
      <c r="H5" s="20"/>
      <c r="I5" s="20"/>
      <c r="J5" s="20"/>
      <c r="K5" s="20"/>
      <c r="L5" s="20"/>
      <c r="M5" s="20"/>
      <c r="N5" s="20"/>
      <c r="O5" s="20"/>
      <c r="P5" s="20"/>
      <c r="Q5" s="20"/>
      <c r="R5" s="20"/>
    </row>
    <row r="6" spans="1:18" ht="30" customHeight="1">
      <c r="A6" s="19" t="s">
        <v>5</v>
      </c>
      <c r="B6" s="44" t="s">
        <v>132</v>
      </c>
      <c r="C6" s="48">
        <v>0.05</v>
      </c>
      <c r="D6" s="46" t="s">
        <v>133</v>
      </c>
      <c r="E6" s="47" t="s">
        <v>134</v>
      </c>
      <c r="F6" s="20"/>
      <c r="G6" s="20"/>
      <c r="H6" s="20"/>
      <c r="I6" s="20"/>
      <c r="J6" s="20"/>
      <c r="K6" s="20"/>
      <c r="L6" s="20"/>
      <c r="M6" s="20"/>
      <c r="N6" s="20"/>
      <c r="O6" s="20"/>
      <c r="P6" s="20"/>
      <c r="Q6" s="20"/>
      <c r="R6" s="20"/>
    </row>
    <row r="7" spans="1:18" ht="30" customHeight="1">
      <c r="A7" s="19" t="s">
        <v>6</v>
      </c>
      <c r="B7" s="44" t="s">
        <v>31</v>
      </c>
      <c r="C7" s="48">
        <v>0.04</v>
      </c>
      <c r="D7" s="46" t="s">
        <v>133</v>
      </c>
      <c r="E7" s="47" t="s">
        <v>135</v>
      </c>
      <c r="F7" s="20"/>
      <c r="G7" s="20"/>
      <c r="H7" s="20"/>
      <c r="I7" s="20"/>
      <c r="J7" s="20"/>
      <c r="K7" s="20"/>
      <c r="L7" s="20"/>
      <c r="M7" s="20"/>
      <c r="N7" s="20"/>
      <c r="O7" s="20"/>
      <c r="P7" s="20"/>
      <c r="Q7" s="20"/>
      <c r="R7" s="20"/>
    </row>
    <row r="8" spans="1:18" ht="30" customHeight="1">
      <c r="A8" s="19" t="s">
        <v>10</v>
      </c>
      <c r="B8" s="44" t="s">
        <v>77</v>
      </c>
      <c r="C8" s="48">
        <v>0.02</v>
      </c>
      <c r="D8" s="46" t="s">
        <v>133</v>
      </c>
      <c r="E8" s="47" t="s">
        <v>136</v>
      </c>
      <c r="F8" s="20"/>
      <c r="G8" s="20"/>
      <c r="H8" s="20"/>
      <c r="I8" s="20"/>
      <c r="J8" s="20"/>
      <c r="K8" s="20"/>
      <c r="L8" s="20"/>
      <c r="M8" s="20"/>
      <c r="N8" s="20"/>
      <c r="O8" s="20"/>
      <c r="P8" s="20"/>
      <c r="Q8" s="20"/>
      <c r="R8" s="20"/>
    </row>
    <row r="9" spans="1:18" ht="30" customHeight="1">
      <c r="A9" s="19" t="s">
        <v>11</v>
      </c>
      <c r="B9" s="44" t="s">
        <v>76</v>
      </c>
      <c r="C9" s="49">
        <f>C6+C8</f>
        <v>7.0000000000000007E-2</v>
      </c>
      <c r="D9" s="46" t="s">
        <v>133</v>
      </c>
      <c r="E9" s="47" t="s">
        <v>137</v>
      </c>
      <c r="F9" s="20"/>
      <c r="G9" s="20"/>
      <c r="H9" s="20"/>
      <c r="I9" s="20"/>
      <c r="J9" s="20"/>
      <c r="K9" s="20"/>
      <c r="L9" s="20"/>
      <c r="M9" s="20"/>
      <c r="N9" s="20"/>
      <c r="O9" s="20"/>
      <c r="P9" s="20"/>
      <c r="Q9" s="20"/>
      <c r="R9" s="20"/>
    </row>
    <row r="10" spans="1:18" ht="30" customHeight="1">
      <c r="A10" s="19" t="s">
        <v>14</v>
      </c>
      <c r="B10" s="44" t="s">
        <v>138</v>
      </c>
      <c r="C10" s="48">
        <v>0.20599999999999999</v>
      </c>
      <c r="D10" s="46" t="s">
        <v>133</v>
      </c>
      <c r="E10" s="47" t="s">
        <v>139</v>
      </c>
      <c r="F10" s="20"/>
      <c r="G10" s="20"/>
      <c r="H10" s="20"/>
      <c r="I10" s="20"/>
      <c r="J10" s="20"/>
      <c r="K10" s="20"/>
      <c r="L10" s="20"/>
      <c r="M10" s="20"/>
      <c r="N10" s="20"/>
      <c r="O10" s="20"/>
      <c r="P10" s="20"/>
      <c r="Q10" s="20"/>
      <c r="R10" s="20"/>
    </row>
    <row r="11" spans="1:18" ht="30" customHeight="1">
      <c r="A11" s="19" t="s">
        <v>15</v>
      </c>
      <c r="B11" s="44" t="s">
        <v>140</v>
      </c>
      <c r="C11" s="48">
        <v>0</v>
      </c>
      <c r="D11" s="46" t="s">
        <v>133</v>
      </c>
      <c r="E11" s="47" t="s">
        <v>141</v>
      </c>
      <c r="F11" s="20"/>
      <c r="G11" s="20"/>
      <c r="H11" s="20"/>
      <c r="I11" s="20"/>
      <c r="J11" s="20"/>
      <c r="K11" s="20"/>
      <c r="L11" s="20"/>
      <c r="M11" s="20"/>
      <c r="N11" s="20"/>
      <c r="O11" s="20"/>
      <c r="P11" s="20"/>
      <c r="Q11" s="20"/>
      <c r="R11" s="20"/>
    </row>
    <row r="12" spans="1:18" ht="15" customHeight="1">
      <c r="A12" s="19"/>
      <c r="B12" s="44" t="s">
        <v>142</v>
      </c>
      <c r="C12" s="48">
        <v>1</v>
      </c>
      <c r="D12" s="46" t="s">
        <v>133</v>
      </c>
      <c r="E12" s="47"/>
      <c r="F12" s="20"/>
      <c r="G12" s="20"/>
      <c r="H12" s="20"/>
      <c r="I12" s="20"/>
      <c r="J12" s="20"/>
      <c r="K12" s="20"/>
      <c r="L12" s="20"/>
      <c r="M12" s="20"/>
      <c r="N12" s="20"/>
      <c r="O12" s="20"/>
      <c r="P12" s="20"/>
      <c r="Q12" s="20"/>
      <c r="R12" s="20"/>
    </row>
    <row r="13" spans="1:18" ht="15" customHeight="1">
      <c r="A13" s="19"/>
      <c r="B13" s="44" t="s">
        <v>143</v>
      </c>
      <c r="C13" s="48">
        <v>1</v>
      </c>
      <c r="D13" s="46" t="s">
        <v>133</v>
      </c>
      <c r="E13" s="47"/>
      <c r="F13" s="20"/>
      <c r="G13" s="20"/>
      <c r="H13" s="20"/>
      <c r="I13" s="20"/>
      <c r="J13" s="20"/>
      <c r="K13" s="20"/>
      <c r="L13" s="20"/>
      <c r="M13" s="20"/>
      <c r="N13" s="20"/>
      <c r="O13" s="20"/>
      <c r="P13" s="20"/>
      <c r="Q13" s="20"/>
      <c r="R13" s="20"/>
    </row>
    <row r="14" spans="1:18" ht="16.5" customHeight="1">
      <c r="A14" s="19"/>
      <c r="B14" s="20"/>
      <c r="C14" s="20"/>
      <c r="D14" s="20"/>
      <c r="E14" s="20"/>
      <c r="F14" s="20"/>
      <c r="G14" s="20"/>
      <c r="H14" s="20"/>
      <c r="I14" s="20"/>
      <c r="J14" s="20"/>
      <c r="K14" s="20"/>
      <c r="L14" s="20"/>
      <c r="M14" s="20"/>
      <c r="N14" s="20"/>
      <c r="O14" s="20"/>
      <c r="P14" s="20"/>
      <c r="Q14" s="20"/>
      <c r="R14" s="20"/>
    </row>
    <row r="15" spans="1:18" ht="21.95" customHeight="1">
      <c r="A15" s="186" t="s">
        <v>144</v>
      </c>
      <c r="B15" s="43" t="s">
        <v>145</v>
      </c>
      <c r="C15" s="24"/>
      <c r="D15" s="24"/>
      <c r="E15" s="24"/>
      <c r="F15" s="24"/>
      <c r="G15" s="24"/>
      <c r="H15" s="24"/>
      <c r="I15" s="24"/>
      <c r="J15" s="24"/>
      <c r="K15" s="24"/>
      <c r="L15" s="24"/>
      <c r="M15" s="24"/>
      <c r="N15" s="24"/>
      <c r="O15" s="24"/>
      <c r="P15" s="24"/>
      <c r="Q15" s="24"/>
      <c r="R15" s="24"/>
    </row>
    <row r="16" spans="1:18" ht="15" customHeight="1">
      <c r="A16" s="187"/>
      <c r="B16" s="44" t="s">
        <v>26</v>
      </c>
      <c r="C16" s="45">
        <v>20</v>
      </c>
      <c r="D16" s="46" t="s">
        <v>130</v>
      </c>
      <c r="E16" s="47" t="s">
        <v>146</v>
      </c>
      <c r="F16" s="20"/>
      <c r="G16" s="20"/>
      <c r="H16" s="20"/>
      <c r="I16" s="20"/>
      <c r="J16" s="20"/>
      <c r="K16" s="20"/>
      <c r="L16" s="20"/>
      <c r="M16" s="20"/>
      <c r="N16" s="20"/>
      <c r="O16" s="20"/>
      <c r="P16" s="20"/>
      <c r="Q16" s="20"/>
      <c r="R16" s="20"/>
    </row>
    <row r="17" spans="1:18" ht="15" customHeight="1">
      <c r="A17" s="187"/>
      <c r="B17" s="44" t="s">
        <v>147</v>
      </c>
      <c r="C17" s="45">
        <v>200000000</v>
      </c>
      <c r="D17" s="46" t="s">
        <v>148</v>
      </c>
      <c r="E17" s="47" t="s">
        <v>149</v>
      </c>
      <c r="F17" s="20"/>
      <c r="G17" s="20"/>
      <c r="H17" s="20"/>
      <c r="I17" s="20"/>
      <c r="J17" s="20"/>
      <c r="K17" s="20"/>
      <c r="L17" s="20"/>
      <c r="M17" s="20"/>
      <c r="N17" s="20"/>
      <c r="O17" s="20"/>
      <c r="P17" s="20"/>
      <c r="Q17" s="20"/>
      <c r="R17" s="20"/>
    </row>
    <row r="18" spans="1:18" ht="15" customHeight="1">
      <c r="A18" s="187"/>
      <c r="B18" s="44" t="s">
        <v>150</v>
      </c>
      <c r="C18" s="48">
        <v>0.03</v>
      </c>
      <c r="D18" s="46" t="s">
        <v>133</v>
      </c>
      <c r="E18" s="47" t="s">
        <v>151</v>
      </c>
      <c r="F18" s="20"/>
      <c r="G18" s="20"/>
      <c r="H18" s="20"/>
      <c r="I18" s="20"/>
      <c r="J18" s="20"/>
      <c r="K18" s="20"/>
      <c r="L18" s="20"/>
      <c r="M18" s="20"/>
      <c r="N18" s="20"/>
      <c r="O18" s="20"/>
      <c r="P18" s="20"/>
      <c r="Q18" s="20"/>
      <c r="R18" s="20"/>
    </row>
    <row r="19" spans="1:18" ht="15" customHeight="1">
      <c r="A19" s="187"/>
      <c r="B19" s="44" t="s">
        <v>74</v>
      </c>
      <c r="C19" s="50">
        <f>ROUND(1/C18,0)</f>
        <v>33</v>
      </c>
      <c r="D19" s="46" t="s">
        <v>130</v>
      </c>
      <c r="E19" s="47" t="s">
        <v>152</v>
      </c>
      <c r="F19" s="20"/>
      <c r="G19" s="20"/>
      <c r="H19" s="20"/>
      <c r="I19" s="20"/>
      <c r="J19" s="20"/>
      <c r="K19" s="20"/>
      <c r="L19" s="20"/>
      <c r="M19" s="20"/>
      <c r="N19" s="20"/>
      <c r="O19" s="20"/>
      <c r="P19" s="20"/>
      <c r="Q19" s="20"/>
      <c r="R19" s="20"/>
    </row>
    <row r="20" spans="1:18" ht="15" customHeight="1">
      <c r="A20" s="187"/>
      <c r="B20" s="44" t="s">
        <v>153</v>
      </c>
      <c r="C20" s="45">
        <v>10000</v>
      </c>
      <c r="D20" s="46" t="s">
        <v>154</v>
      </c>
      <c r="E20" s="47" t="s">
        <v>155</v>
      </c>
      <c r="F20" s="20"/>
      <c r="G20" s="20"/>
      <c r="H20" s="20"/>
      <c r="I20" s="20"/>
      <c r="J20" s="20"/>
      <c r="K20" s="20"/>
      <c r="L20" s="20"/>
      <c r="M20" s="20"/>
      <c r="N20" s="20"/>
      <c r="O20" s="20"/>
      <c r="P20" s="20"/>
      <c r="Q20" s="20"/>
      <c r="R20" s="20"/>
    </row>
    <row r="21" spans="1:18" ht="15" customHeight="1">
      <c r="A21" s="187"/>
      <c r="B21" s="44" t="s">
        <v>156</v>
      </c>
      <c r="C21" s="45">
        <v>500</v>
      </c>
      <c r="D21" s="46" t="s">
        <v>53</v>
      </c>
      <c r="E21" s="47" t="s">
        <v>157</v>
      </c>
      <c r="F21" s="20"/>
      <c r="G21" s="20"/>
      <c r="H21" s="20"/>
      <c r="I21" s="20"/>
      <c r="J21" s="20"/>
      <c r="K21" s="20"/>
      <c r="L21" s="20"/>
      <c r="M21" s="20"/>
      <c r="N21" s="20"/>
      <c r="O21" s="20"/>
      <c r="P21" s="20"/>
      <c r="Q21" s="20"/>
      <c r="R21" s="20"/>
    </row>
    <row r="22" spans="1:18" ht="15" customHeight="1">
      <c r="A22" s="187"/>
      <c r="B22" s="44" t="s">
        <v>158</v>
      </c>
      <c r="C22" s="50">
        <f>C20*C21</f>
        <v>5000000</v>
      </c>
      <c r="D22" s="46" t="s">
        <v>148</v>
      </c>
      <c r="E22" s="47" t="s">
        <v>152</v>
      </c>
      <c r="F22" s="20"/>
      <c r="G22" s="20"/>
      <c r="H22" s="20"/>
      <c r="I22" s="20"/>
      <c r="J22" s="20"/>
      <c r="K22" s="20"/>
      <c r="L22" s="20"/>
      <c r="M22" s="20"/>
      <c r="N22" s="20"/>
      <c r="O22" s="20"/>
      <c r="P22" s="20"/>
      <c r="Q22" s="20"/>
      <c r="R22" s="20"/>
    </row>
    <row r="23" spans="1:18" ht="15" customHeight="1">
      <c r="A23" s="187"/>
      <c r="B23" s="44" t="s">
        <v>159</v>
      </c>
      <c r="C23" s="51" t="s">
        <v>160</v>
      </c>
      <c r="D23" s="20"/>
      <c r="E23" s="47" t="s">
        <v>161</v>
      </c>
      <c r="F23" s="20"/>
      <c r="G23" s="20"/>
      <c r="H23" s="20"/>
      <c r="I23" s="20"/>
      <c r="J23" s="20"/>
      <c r="K23" s="20"/>
      <c r="L23" s="20"/>
      <c r="M23" s="20"/>
      <c r="N23" s="20"/>
      <c r="O23" s="20"/>
      <c r="P23" s="20"/>
      <c r="Q23" s="20"/>
      <c r="R23" s="20"/>
    </row>
    <row r="24" spans="1:18" ht="21.95" customHeight="1">
      <c r="A24" s="186" t="s">
        <v>162</v>
      </c>
      <c r="B24" s="43" t="s">
        <v>163</v>
      </c>
      <c r="C24" s="24"/>
      <c r="D24" s="24"/>
      <c r="E24" s="24"/>
      <c r="F24" s="24"/>
      <c r="G24" s="24"/>
      <c r="H24" s="24"/>
      <c r="I24" s="24"/>
      <c r="J24" s="24"/>
      <c r="K24" s="24"/>
      <c r="L24" s="24"/>
      <c r="M24" s="24"/>
      <c r="N24" s="24"/>
      <c r="O24" s="24"/>
      <c r="P24" s="24"/>
      <c r="Q24" s="24"/>
      <c r="R24" s="24"/>
    </row>
    <row r="25" spans="1:18" ht="20.100000000000001" customHeight="1">
      <c r="A25" s="187"/>
      <c r="B25" s="28" t="s">
        <v>164</v>
      </c>
      <c r="C25" s="51" t="s">
        <v>165</v>
      </c>
      <c r="D25" s="29" t="s">
        <v>166</v>
      </c>
      <c r="E25" s="29" t="s">
        <v>167</v>
      </c>
      <c r="F25" s="29" t="s">
        <v>168</v>
      </c>
      <c r="G25" s="29" t="s">
        <v>169</v>
      </c>
      <c r="H25" s="29" t="s">
        <v>170</v>
      </c>
      <c r="I25" s="29" t="s">
        <v>169</v>
      </c>
      <c r="J25" s="29" t="s">
        <v>171</v>
      </c>
      <c r="K25" s="29" t="s">
        <v>172</v>
      </c>
      <c r="L25" s="29" t="s">
        <v>173</v>
      </c>
      <c r="M25" s="29" t="s">
        <v>174</v>
      </c>
      <c r="N25" s="29" t="s">
        <v>175</v>
      </c>
      <c r="O25" s="29" t="s">
        <v>176</v>
      </c>
      <c r="P25" s="29" t="s">
        <v>177</v>
      </c>
      <c r="Q25" s="29" t="s">
        <v>178</v>
      </c>
      <c r="R25" s="29" t="s">
        <v>179</v>
      </c>
    </row>
    <row r="26" spans="1:18" ht="15" customHeight="1">
      <c r="A26" s="187"/>
      <c r="B26" s="44" t="s">
        <v>180</v>
      </c>
      <c r="C26" s="51" t="s">
        <v>181</v>
      </c>
      <c r="D26" s="50">
        <v>0</v>
      </c>
      <c r="E26" s="50">
        <v>5000</v>
      </c>
      <c r="F26" s="50">
        <f>D26+E26</f>
        <v>5000</v>
      </c>
      <c r="G26" s="52">
        <v>0</v>
      </c>
      <c r="H26" s="53">
        <v>0.7</v>
      </c>
      <c r="I26" s="54">
        <v>0</v>
      </c>
      <c r="J26" s="55">
        <f>IFERROR(R26/$R$31,0)</f>
        <v>1</v>
      </c>
      <c r="K26" s="56">
        <v>2026</v>
      </c>
      <c r="L26" s="56">
        <v>2045</v>
      </c>
      <c r="M26" s="50"/>
      <c r="N26" s="53">
        <v>0</v>
      </c>
      <c r="O26" s="56">
        <v>2025</v>
      </c>
      <c r="P26" s="56">
        <v>2026</v>
      </c>
      <c r="Q26" s="50">
        <v>40000</v>
      </c>
      <c r="R26" s="50">
        <f>IFERROR(Q26*F26,0)</f>
        <v>200000000</v>
      </c>
    </row>
    <row r="27" spans="1:18" ht="15" customHeight="1">
      <c r="A27" s="187"/>
      <c r="B27" s="20"/>
      <c r="C27" s="20"/>
      <c r="D27" s="50"/>
      <c r="E27" s="50"/>
      <c r="F27" s="50">
        <f>D27+E27</f>
        <v>0</v>
      </c>
      <c r="G27" s="52">
        <v>0</v>
      </c>
      <c r="H27" s="53"/>
      <c r="I27" s="54">
        <v>0</v>
      </c>
      <c r="J27" s="55">
        <f>IFERROR(R27/$R$31,0)</f>
        <v>0</v>
      </c>
      <c r="K27" s="56"/>
      <c r="L27" s="56"/>
      <c r="M27" s="50"/>
      <c r="N27" s="53"/>
      <c r="O27" s="56"/>
      <c r="P27" s="56"/>
      <c r="Q27" s="50"/>
      <c r="R27" s="50">
        <f>IFERROR(Q27*F27,0)</f>
        <v>0</v>
      </c>
    </row>
    <row r="28" spans="1:18" ht="15" customHeight="1">
      <c r="A28" s="187"/>
      <c r="B28" s="20"/>
      <c r="C28" s="20"/>
      <c r="D28" s="50"/>
      <c r="E28" s="50"/>
      <c r="F28" s="50">
        <f>D28+E28</f>
        <v>0</v>
      </c>
      <c r="G28" s="52">
        <v>0</v>
      </c>
      <c r="H28" s="53"/>
      <c r="I28" s="54">
        <v>0</v>
      </c>
      <c r="J28" s="55">
        <f>IFERROR(R28/$R$31,0)</f>
        <v>0</v>
      </c>
      <c r="K28" s="56"/>
      <c r="L28" s="56"/>
      <c r="M28" s="50"/>
      <c r="N28" s="53"/>
      <c r="O28" s="56"/>
      <c r="P28" s="56"/>
      <c r="Q28" s="50"/>
      <c r="R28" s="50">
        <f>IFERROR(Q28*F28,0)</f>
        <v>0</v>
      </c>
    </row>
    <row r="29" spans="1:18" ht="15" customHeight="1">
      <c r="A29" s="187"/>
      <c r="B29" s="20"/>
      <c r="C29" s="20"/>
      <c r="D29" s="50"/>
      <c r="E29" s="50"/>
      <c r="F29" s="50">
        <f>D29+E29</f>
        <v>0</v>
      </c>
      <c r="G29" s="52">
        <v>0</v>
      </c>
      <c r="H29" s="53"/>
      <c r="I29" s="54">
        <v>0</v>
      </c>
      <c r="J29" s="55">
        <f>IFERROR(R29/$R$31,0)</f>
        <v>0</v>
      </c>
      <c r="K29" s="56"/>
      <c r="L29" s="56"/>
      <c r="M29" s="50"/>
      <c r="N29" s="53"/>
      <c r="O29" s="56"/>
      <c r="P29" s="56"/>
      <c r="Q29" s="50"/>
      <c r="R29" s="50">
        <f>IFERROR(Q29*F29,0)</f>
        <v>0</v>
      </c>
    </row>
    <row r="30" spans="1:18" ht="15" customHeight="1">
      <c r="A30" s="187"/>
      <c r="B30" s="20"/>
      <c r="C30" s="20"/>
      <c r="D30" s="50"/>
      <c r="E30" s="50"/>
      <c r="F30" s="50">
        <f>D30+E30</f>
        <v>0</v>
      </c>
      <c r="G30" s="52">
        <v>0</v>
      </c>
      <c r="H30" s="53"/>
      <c r="I30" s="54">
        <v>0</v>
      </c>
      <c r="J30" s="55">
        <f>IFERROR(R30/$R$31,0)</f>
        <v>0</v>
      </c>
      <c r="K30" s="56"/>
      <c r="L30" s="56"/>
      <c r="M30" s="50"/>
      <c r="N30" s="53"/>
      <c r="O30" s="56"/>
      <c r="P30" s="56"/>
      <c r="Q30" s="50"/>
      <c r="R30" s="50">
        <f>IFERROR(Q30*F30,0)</f>
        <v>0</v>
      </c>
    </row>
    <row r="31" spans="1:18" ht="24" customHeight="1">
      <c r="A31" s="187"/>
      <c r="B31" s="57" t="s">
        <v>182</v>
      </c>
      <c r="C31" s="20"/>
      <c r="D31" s="58">
        <f>SUM(D26:D30)</f>
        <v>0</v>
      </c>
      <c r="E31" s="58">
        <f>SUM(E26:E30)</f>
        <v>5000</v>
      </c>
      <c r="F31" s="58">
        <f>SUM(F26:F30)</f>
        <v>5000</v>
      </c>
      <c r="G31" s="20"/>
      <c r="H31" s="20"/>
      <c r="I31" s="20"/>
      <c r="J31" s="20"/>
      <c r="K31" s="20"/>
      <c r="L31" s="20"/>
      <c r="M31" s="20"/>
      <c r="N31" s="20"/>
      <c r="O31" s="20"/>
      <c r="P31" s="20"/>
      <c r="Q31" s="20"/>
      <c r="R31" s="58">
        <f>SUM(R26:R30)</f>
        <v>200000000</v>
      </c>
    </row>
    <row r="32" spans="1:18" ht="15" customHeight="1">
      <c r="A32" s="187"/>
      <c r="B32" s="185" t="s">
        <v>183</v>
      </c>
      <c r="C32" s="150"/>
      <c r="D32" s="150"/>
      <c r="E32" s="150"/>
      <c r="F32" s="150"/>
      <c r="G32" s="150"/>
      <c r="H32" s="150"/>
      <c r="I32" s="150"/>
      <c r="J32" s="150"/>
      <c r="K32" s="150"/>
      <c r="L32" s="150"/>
      <c r="M32" s="150"/>
      <c r="N32" s="150"/>
      <c r="O32" s="150"/>
      <c r="P32" s="150"/>
      <c r="Q32" s="150"/>
      <c r="R32" s="150"/>
    </row>
    <row r="33" spans="1:18" ht="16.5" customHeight="1">
      <c r="A33" s="187"/>
      <c r="B33" s="20"/>
      <c r="C33" s="20"/>
      <c r="D33" s="20"/>
      <c r="E33" s="20"/>
      <c r="F33" s="20"/>
      <c r="G33" s="20"/>
      <c r="H33" s="20"/>
      <c r="I33" s="20"/>
      <c r="J33" s="20"/>
      <c r="K33" s="20"/>
      <c r="L33" s="20"/>
      <c r="M33" s="20"/>
      <c r="N33" s="20"/>
      <c r="O33" s="20"/>
      <c r="P33" s="20"/>
      <c r="Q33" s="20"/>
      <c r="R33" s="20"/>
    </row>
    <row r="34" spans="1:18" ht="21.95" customHeight="1">
      <c r="A34" s="186" t="s">
        <v>184</v>
      </c>
      <c r="B34" s="43" t="s">
        <v>185</v>
      </c>
      <c r="C34" s="24"/>
      <c r="D34" s="24"/>
      <c r="E34" s="24"/>
      <c r="F34" s="24"/>
      <c r="G34" s="24"/>
      <c r="H34" s="24"/>
      <c r="I34" s="24"/>
      <c r="J34" s="24"/>
      <c r="K34" s="24"/>
      <c r="L34" s="24"/>
      <c r="M34" s="24"/>
      <c r="N34" s="24"/>
      <c r="O34" s="24"/>
      <c r="P34" s="24"/>
      <c r="Q34" s="24"/>
      <c r="R34" s="24"/>
    </row>
    <row r="35" spans="1:18" ht="20.100000000000001" customHeight="1">
      <c r="A35" s="187"/>
      <c r="B35" s="28" t="s">
        <v>186</v>
      </c>
      <c r="C35" s="51" t="s">
        <v>54</v>
      </c>
      <c r="D35" s="29" t="s">
        <v>56</v>
      </c>
      <c r="E35" s="29" t="s">
        <v>187</v>
      </c>
      <c r="F35" s="29" t="s">
        <v>188</v>
      </c>
      <c r="G35" s="20"/>
      <c r="H35" s="20"/>
      <c r="I35" s="20"/>
      <c r="J35" s="20"/>
      <c r="K35" s="20"/>
      <c r="L35" s="20"/>
      <c r="M35" s="20"/>
      <c r="N35" s="20"/>
      <c r="O35" s="20"/>
      <c r="P35" s="20"/>
      <c r="Q35" s="20"/>
      <c r="R35" s="20"/>
    </row>
    <row r="36" spans="1:18" ht="15" customHeight="1">
      <c r="A36" s="187"/>
      <c r="B36" s="44" t="s">
        <v>189</v>
      </c>
      <c r="C36" s="45">
        <v>0</v>
      </c>
      <c r="D36" s="59">
        <v>50</v>
      </c>
      <c r="E36" s="60">
        <v>0</v>
      </c>
      <c r="F36" s="60">
        <v>0</v>
      </c>
      <c r="G36" s="20"/>
      <c r="H36" s="20"/>
      <c r="I36" s="20"/>
      <c r="J36" s="20"/>
      <c r="K36" s="20"/>
      <c r="L36" s="20"/>
      <c r="M36" s="20"/>
      <c r="N36" s="20"/>
      <c r="O36" s="20"/>
      <c r="P36" s="20"/>
      <c r="Q36" s="20"/>
      <c r="R36" s="20"/>
    </row>
    <row r="37" spans="1:18" ht="15" customHeight="1">
      <c r="A37" s="187"/>
      <c r="B37" s="44" t="s">
        <v>190</v>
      </c>
      <c r="C37" s="45">
        <v>0</v>
      </c>
      <c r="D37" s="59">
        <v>30</v>
      </c>
      <c r="E37" s="60">
        <v>0</v>
      </c>
      <c r="F37" s="60">
        <v>0</v>
      </c>
      <c r="G37" s="20"/>
      <c r="H37" s="20"/>
      <c r="I37" s="20"/>
      <c r="J37" s="20"/>
      <c r="K37" s="20"/>
      <c r="L37" s="20"/>
      <c r="M37" s="20"/>
      <c r="N37" s="20"/>
      <c r="O37" s="20"/>
      <c r="P37" s="20"/>
      <c r="Q37" s="20"/>
      <c r="R37" s="20"/>
    </row>
    <row r="38" spans="1:18" ht="15" customHeight="1">
      <c r="A38" s="187"/>
      <c r="B38" s="44" t="s">
        <v>191</v>
      </c>
      <c r="C38" s="45">
        <v>0</v>
      </c>
      <c r="D38" s="59">
        <v>40</v>
      </c>
      <c r="E38" s="60">
        <v>0</v>
      </c>
      <c r="F38" s="60">
        <v>0</v>
      </c>
      <c r="G38" s="20"/>
      <c r="H38" s="20"/>
      <c r="I38" s="20"/>
      <c r="J38" s="20"/>
      <c r="K38" s="20"/>
      <c r="L38" s="20"/>
      <c r="M38" s="20"/>
      <c r="N38" s="20"/>
      <c r="O38" s="20"/>
      <c r="P38" s="20"/>
      <c r="Q38" s="20"/>
      <c r="R38" s="20"/>
    </row>
    <row r="39" spans="1:18" ht="15" customHeight="1">
      <c r="A39" s="187"/>
      <c r="B39" s="44" t="s">
        <v>192</v>
      </c>
      <c r="C39" s="45">
        <v>0</v>
      </c>
      <c r="D39" s="59">
        <v>150</v>
      </c>
      <c r="E39" s="60">
        <v>0</v>
      </c>
      <c r="F39" s="60">
        <v>0</v>
      </c>
      <c r="G39" s="20"/>
      <c r="H39" s="20"/>
      <c r="I39" s="20"/>
      <c r="J39" s="20"/>
      <c r="K39" s="20"/>
      <c r="L39" s="20"/>
      <c r="M39" s="20"/>
      <c r="N39" s="20"/>
      <c r="O39" s="20"/>
      <c r="P39" s="20"/>
      <c r="Q39" s="20"/>
      <c r="R39" s="20"/>
    </row>
    <row r="40" spans="1:18" ht="15" customHeight="1">
      <c r="A40" s="187"/>
      <c r="B40" s="44" t="s">
        <v>193</v>
      </c>
      <c r="C40" s="45">
        <v>0</v>
      </c>
      <c r="D40" s="59">
        <v>130</v>
      </c>
      <c r="E40" s="60">
        <v>0</v>
      </c>
      <c r="F40" s="60">
        <v>0</v>
      </c>
      <c r="G40" s="20"/>
      <c r="H40" s="20"/>
      <c r="I40" s="20"/>
      <c r="J40" s="20"/>
      <c r="K40" s="20"/>
      <c r="L40" s="20"/>
      <c r="M40" s="20"/>
      <c r="N40" s="20"/>
      <c r="O40" s="20"/>
      <c r="P40" s="20"/>
      <c r="Q40" s="20"/>
      <c r="R40" s="20"/>
    </row>
    <row r="41" spans="1:18" ht="24" customHeight="1">
      <c r="A41" s="187"/>
      <c r="B41" s="57" t="s">
        <v>194</v>
      </c>
      <c r="C41" s="58">
        <f>SUM(C36:C40)</f>
        <v>0</v>
      </c>
      <c r="D41" s="58">
        <f>SUM(D36:D40)</f>
        <v>400</v>
      </c>
      <c r="E41" s="20"/>
      <c r="F41" s="20"/>
      <c r="G41" s="20"/>
      <c r="H41" s="20"/>
      <c r="I41" s="20"/>
      <c r="J41" s="20"/>
      <c r="K41" s="20"/>
      <c r="L41" s="20"/>
      <c r="M41" s="20"/>
      <c r="N41" s="20"/>
      <c r="O41" s="20"/>
      <c r="P41" s="20"/>
      <c r="Q41" s="20"/>
      <c r="R41" s="20"/>
    </row>
    <row r="42" spans="1:18" ht="16.5" customHeight="1">
      <c r="A42" s="187"/>
      <c r="B42" s="20"/>
      <c r="C42" s="20"/>
      <c r="D42" s="20"/>
      <c r="E42" s="20"/>
      <c r="F42" s="20"/>
      <c r="G42" s="20"/>
      <c r="H42" s="20"/>
      <c r="I42" s="20"/>
      <c r="J42" s="20"/>
      <c r="K42" s="20"/>
      <c r="L42" s="20"/>
      <c r="M42" s="20"/>
      <c r="N42" s="20"/>
      <c r="O42" s="20"/>
      <c r="P42" s="20"/>
      <c r="Q42" s="20"/>
      <c r="R42" s="20"/>
    </row>
    <row r="43" spans="1:18" ht="21.95" customHeight="1">
      <c r="A43" s="186" t="s">
        <v>195</v>
      </c>
      <c r="B43" s="43" t="s">
        <v>196</v>
      </c>
      <c r="C43" s="24"/>
      <c r="D43" s="24"/>
      <c r="E43" s="24"/>
      <c r="F43" s="24"/>
      <c r="G43" s="24"/>
      <c r="H43" s="24"/>
      <c r="I43" s="24"/>
      <c r="J43" s="24"/>
      <c r="K43" s="24"/>
      <c r="L43" s="24"/>
      <c r="M43" s="24"/>
      <c r="N43" s="24"/>
      <c r="O43" s="24"/>
      <c r="P43" s="24"/>
      <c r="Q43" s="24"/>
      <c r="R43" s="24"/>
    </row>
    <row r="44" spans="1:18" ht="15" customHeight="1">
      <c r="A44" s="187"/>
      <c r="B44" s="61" t="s">
        <v>50</v>
      </c>
      <c r="C44" s="51" t="s">
        <v>43</v>
      </c>
      <c r="D44" s="62" t="s">
        <v>197</v>
      </c>
      <c r="E44" s="62" t="s">
        <v>53</v>
      </c>
      <c r="F44" s="62" t="s">
        <v>168</v>
      </c>
      <c r="G44" s="20"/>
      <c r="H44" s="20"/>
      <c r="I44" s="20"/>
      <c r="J44" s="20"/>
      <c r="K44" s="20"/>
      <c r="L44" s="20"/>
      <c r="M44" s="20"/>
      <c r="N44" s="20"/>
      <c r="O44" s="20"/>
      <c r="P44" s="20"/>
      <c r="Q44" s="20"/>
      <c r="R44" s="20"/>
    </row>
    <row r="45" spans="1:18" ht="15" customHeight="1">
      <c r="A45" s="187"/>
      <c r="B45" s="63"/>
      <c r="C45" s="63"/>
      <c r="D45" s="64"/>
      <c r="E45" s="59"/>
      <c r="F45" s="50">
        <f>IFERROR(E45*VLOOKUP(C45,B26:F30,5,FALSE()),0)</f>
        <v>0</v>
      </c>
      <c r="G45" s="20"/>
      <c r="H45" s="20"/>
      <c r="I45" s="20"/>
      <c r="J45" s="20"/>
      <c r="K45" s="20"/>
      <c r="L45" s="20"/>
      <c r="M45" s="20"/>
      <c r="N45" s="20"/>
      <c r="O45" s="20"/>
      <c r="P45" s="20"/>
      <c r="Q45" s="20"/>
      <c r="R45" s="20"/>
    </row>
    <row r="46" spans="1:18" ht="15" customHeight="1">
      <c r="A46" s="187"/>
      <c r="B46" s="63"/>
      <c r="C46" s="63"/>
      <c r="D46" s="64"/>
      <c r="E46" s="59"/>
      <c r="F46" s="50">
        <f>IFERROR(E46*VLOOKUP(C46,B26:F30,5,FALSE()),0)</f>
        <v>0</v>
      </c>
      <c r="G46" s="20"/>
      <c r="H46" s="20"/>
      <c r="I46" s="20"/>
      <c r="J46" s="20"/>
      <c r="K46" s="20"/>
      <c r="L46" s="20"/>
      <c r="M46" s="20"/>
      <c r="N46" s="20"/>
      <c r="O46" s="20"/>
      <c r="P46" s="20"/>
      <c r="Q46" s="20"/>
      <c r="R46" s="20"/>
    </row>
    <row r="47" spans="1:18" ht="15" customHeight="1">
      <c r="A47" s="187"/>
      <c r="B47" s="63"/>
      <c r="C47" s="63"/>
      <c r="D47" s="64"/>
      <c r="E47" s="59"/>
      <c r="F47" s="50">
        <f>IFERROR(E47*VLOOKUP(C47,B26:F30,5,FALSE()),0)</f>
        <v>0</v>
      </c>
      <c r="G47" s="20"/>
      <c r="H47" s="20"/>
      <c r="I47" s="20"/>
      <c r="J47" s="20"/>
      <c r="K47" s="20"/>
      <c r="L47" s="20"/>
      <c r="M47" s="20"/>
      <c r="N47" s="20"/>
      <c r="O47" s="20"/>
      <c r="P47" s="20"/>
      <c r="Q47" s="20"/>
      <c r="R47" s="20"/>
    </row>
    <row r="48" spans="1:18" ht="15" customHeight="1">
      <c r="A48" s="187"/>
      <c r="B48" s="63"/>
      <c r="C48" s="63"/>
      <c r="D48" s="64"/>
      <c r="E48" s="59"/>
      <c r="F48" s="50">
        <f>IFERROR(E48*VLOOKUP(C48,B26:F30,5,FALSE()),0)</f>
        <v>0</v>
      </c>
      <c r="G48" s="20"/>
      <c r="H48" s="20"/>
      <c r="I48" s="20"/>
      <c r="J48" s="20"/>
      <c r="K48" s="20"/>
      <c r="L48" s="20"/>
      <c r="M48" s="20"/>
      <c r="N48" s="20"/>
      <c r="O48" s="20"/>
      <c r="P48" s="20"/>
      <c r="Q48" s="20"/>
      <c r="R48" s="20"/>
    </row>
    <row r="49" spans="1:18" ht="15" customHeight="1">
      <c r="A49" s="187"/>
      <c r="B49" s="63"/>
      <c r="C49" s="63"/>
      <c r="D49" s="64"/>
      <c r="E49" s="59"/>
      <c r="F49" s="50">
        <f>IFERROR(E49*VLOOKUP(C49,B26:F30,5,FALSE()),0)</f>
        <v>0</v>
      </c>
      <c r="G49" s="20"/>
      <c r="H49" s="20"/>
      <c r="I49" s="20"/>
      <c r="J49" s="20"/>
      <c r="K49" s="20"/>
      <c r="L49" s="20"/>
      <c r="M49" s="20"/>
      <c r="N49" s="20"/>
      <c r="O49" s="20"/>
      <c r="P49" s="20"/>
      <c r="Q49" s="20"/>
      <c r="R49" s="20"/>
    </row>
    <row r="50" spans="1:18" ht="15" customHeight="1">
      <c r="A50" s="187"/>
      <c r="B50" s="63"/>
      <c r="C50" s="63"/>
      <c r="D50" s="64"/>
      <c r="E50" s="59"/>
      <c r="F50" s="50">
        <f>IFERROR(E50*VLOOKUP(C50,B26:F30,5,FALSE()),0)</f>
        <v>0</v>
      </c>
      <c r="G50" s="20"/>
      <c r="H50" s="20"/>
      <c r="I50" s="20"/>
      <c r="J50" s="20"/>
      <c r="K50" s="20"/>
      <c r="L50" s="20"/>
      <c r="M50" s="20"/>
      <c r="N50" s="20"/>
      <c r="O50" s="20"/>
      <c r="P50" s="20"/>
      <c r="Q50" s="20"/>
      <c r="R50" s="20"/>
    </row>
    <row r="51" spans="1:18" ht="16.5" customHeight="1">
      <c r="A51" s="187"/>
      <c r="B51" s="20"/>
      <c r="C51" s="20"/>
      <c r="D51" s="20"/>
      <c r="E51" s="20"/>
      <c r="F51" s="20"/>
      <c r="G51" s="20"/>
      <c r="H51" s="20"/>
      <c r="I51" s="20"/>
      <c r="J51" s="20"/>
      <c r="K51" s="20"/>
      <c r="L51" s="20"/>
      <c r="M51" s="20"/>
      <c r="N51" s="20"/>
      <c r="O51" s="20"/>
      <c r="P51" s="20"/>
      <c r="Q51" s="20"/>
      <c r="R51" s="20"/>
    </row>
    <row r="52" spans="1:18" ht="21.95" customHeight="1">
      <c r="A52" s="186" t="s">
        <v>198</v>
      </c>
      <c r="B52" s="43" t="s">
        <v>199</v>
      </c>
      <c r="C52" s="24"/>
      <c r="D52" s="24"/>
      <c r="E52" s="24"/>
      <c r="F52" s="24"/>
      <c r="G52" s="24"/>
      <c r="H52" s="24"/>
      <c r="I52" s="24"/>
      <c r="J52" s="24"/>
      <c r="K52" s="24"/>
      <c r="L52" s="24"/>
      <c r="M52" s="24"/>
      <c r="N52" s="24"/>
      <c r="O52" s="24"/>
      <c r="P52" s="24"/>
      <c r="Q52" s="24"/>
      <c r="R52" s="24"/>
    </row>
    <row r="53" spans="1:18" ht="15" customHeight="1">
      <c r="A53" s="187"/>
      <c r="B53" s="44" t="s">
        <v>200</v>
      </c>
      <c r="C53" s="45">
        <v>80</v>
      </c>
      <c r="D53" s="46" t="s">
        <v>53</v>
      </c>
      <c r="E53" s="47" t="s">
        <v>201</v>
      </c>
      <c r="F53" s="20"/>
      <c r="G53" s="20"/>
      <c r="H53" s="20"/>
      <c r="I53" s="20"/>
      <c r="J53" s="20"/>
      <c r="K53" s="20"/>
      <c r="L53" s="20"/>
      <c r="M53" s="20"/>
      <c r="N53" s="20"/>
      <c r="O53" s="20"/>
      <c r="P53" s="20"/>
      <c r="Q53" s="20"/>
      <c r="R53" s="20"/>
    </row>
    <row r="54" spans="1:18" ht="15" customHeight="1">
      <c r="A54" s="187"/>
      <c r="B54" s="44" t="s">
        <v>202</v>
      </c>
      <c r="C54" s="48">
        <v>0</v>
      </c>
      <c r="D54" s="46" t="s">
        <v>133</v>
      </c>
      <c r="E54" s="65" t="s">
        <v>203</v>
      </c>
      <c r="F54" s="20"/>
      <c r="G54" s="20"/>
      <c r="H54" s="20"/>
      <c r="I54" s="20"/>
      <c r="J54" s="20"/>
      <c r="K54" s="20"/>
      <c r="L54" s="20"/>
      <c r="M54" s="20"/>
      <c r="N54" s="20"/>
      <c r="O54" s="20"/>
      <c r="P54" s="20"/>
      <c r="Q54" s="20"/>
      <c r="R54" s="20"/>
    </row>
    <row r="55" spans="1:18" ht="15" customHeight="1">
      <c r="A55" s="187"/>
      <c r="B55" s="44" t="s">
        <v>204</v>
      </c>
      <c r="C55" s="45">
        <v>0</v>
      </c>
      <c r="D55" s="46" t="s">
        <v>148</v>
      </c>
      <c r="E55" s="65" t="s">
        <v>205</v>
      </c>
      <c r="F55" s="20"/>
      <c r="G55" s="20"/>
      <c r="H55" s="20"/>
      <c r="I55" s="20"/>
      <c r="J55" s="20"/>
      <c r="K55" s="20"/>
      <c r="L55" s="20"/>
      <c r="M55" s="20"/>
      <c r="N55" s="20"/>
      <c r="O55" s="20"/>
      <c r="P55" s="20"/>
      <c r="Q55" s="20"/>
      <c r="R55" s="20"/>
    </row>
    <row r="56" spans="1:18" ht="15" customHeight="1">
      <c r="A56" s="187"/>
      <c r="B56" s="44" t="s">
        <v>206</v>
      </c>
      <c r="C56" s="45">
        <v>0</v>
      </c>
      <c r="D56" s="46" t="s">
        <v>207</v>
      </c>
      <c r="E56" s="65" t="s">
        <v>208</v>
      </c>
      <c r="F56" s="20"/>
      <c r="G56" s="20"/>
      <c r="H56" s="20"/>
      <c r="I56" s="20"/>
      <c r="J56" s="20"/>
      <c r="K56" s="20"/>
      <c r="L56" s="20"/>
      <c r="M56" s="20"/>
      <c r="N56" s="20"/>
      <c r="O56" s="20"/>
      <c r="P56" s="20"/>
      <c r="Q56" s="20"/>
      <c r="R56" s="20"/>
    </row>
    <row r="57" spans="1:18" ht="15" customHeight="1">
      <c r="A57" s="187"/>
      <c r="B57" s="44" t="s">
        <v>209</v>
      </c>
      <c r="C57" s="45">
        <v>0</v>
      </c>
      <c r="D57" s="46" t="s">
        <v>148</v>
      </c>
      <c r="E57" s="47" t="s">
        <v>210</v>
      </c>
      <c r="F57" s="20"/>
      <c r="G57" s="20"/>
      <c r="H57" s="20"/>
      <c r="I57" s="20"/>
      <c r="J57" s="20"/>
      <c r="K57" s="20"/>
      <c r="L57" s="20"/>
      <c r="M57" s="20"/>
      <c r="N57" s="20"/>
      <c r="O57" s="20"/>
      <c r="P57" s="20"/>
      <c r="Q57" s="20"/>
      <c r="R57" s="20"/>
    </row>
    <row r="58" spans="1:18" ht="15" customHeight="1">
      <c r="A58" s="187"/>
      <c r="B58" s="44" t="s">
        <v>211</v>
      </c>
      <c r="C58" s="45">
        <v>0</v>
      </c>
      <c r="D58" s="46" t="s">
        <v>148</v>
      </c>
      <c r="E58" s="47" t="s">
        <v>212</v>
      </c>
      <c r="F58" s="20"/>
      <c r="G58" s="20"/>
      <c r="H58" s="20"/>
      <c r="I58" s="20"/>
      <c r="J58" s="20"/>
      <c r="K58" s="20"/>
      <c r="L58" s="20"/>
      <c r="M58" s="20"/>
      <c r="N58" s="20"/>
      <c r="O58" s="20"/>
      <c r="P58" s="20"/>
      <c r="Q58" s="20"/>
      <c r="R58" s="20"/>
    </row>
    <row r="59" spans="1:18" ht="16.5" customHeight="1">
      <c r="A59" s="187"/>
      <c r="B59" s="20"/>
      <c r="C59" s="20"/>
      <c r="D59" s="20"/>
      <c r="E59" s="20"/>
      <c r="F59" s="20"/>
      <c r="G59" s="20"/>
      <c r="H59" s="20"/>
      <c r="I59" s="20"/>
      <c r="J59" s="20"/>
      <c r="K59" s="20"/>
      <c r="L59" s="20"/>
      <c r="M59" s="20"/>
      <c r="N59" s="20"/>
      <c r="O59" s="20"/>
      <c r="P59" s="20"/>
      <c r="Q59" s="20"/>
      <c r="R59" s="20"/>
    </row>
    <row r="60" spans="1:18" ht="21.95" customHeight="1">
      <c r="A60" s="186" t="s">
        <v>213</v>
      </c>
      <c r="B60" s="43" t="s">
        <v>214</v>
      </c>
      <c r="C60" s="24"/>
      <c r="D60" s="24"/>
      <c r="E60" s="24"/>
      <c r="F60" s="24"/>
      <c r="G60" s="24"/>
      <c r="H60" s="24"/>
      <c r="I60" s="24"/>
      <c r="J60" s="24"/>
      <c r="K60" s="24"/>
      <c r="L60" s="24"/>
      <c r="M60" s="24"/>
      <c r="N60" s="24"/>
      <c r="O60" s="24"/>
      <c r="P60" s="24"/>
      <c r="Q60" s="24"/>
      <c r="R60" s="24"/>
    </row>
    <row r="61" spans="1:18" ht="15" customHeight="1">
      <c r="A61" s="187"/>
      <c r="B61" s="44" t="s">
        <v>215</v>
      </c>
      <c r="C61" s="48">
        <v>0.03</v>
      </c>
      <c r="D61" s="46" t="s">
        <v>133</v>
      </c>
      <c r="E61" s="65" t="s">
        <v>216</v>
      </c>
      <c r="F61" s="20"/>
      <c r="G61" s="20"/>
      <c r="H61" s="20"/>
      <c r="I61" s="20"/>
      <c r="J61" s="20"/>
      <c r="K61" s="20"/>
      <c r="L61" s="20"/>
      <c r="M61" s="20"/>
      <c r="N61" s="20"/>
      <c r="O61" s="20"/>
      <c r="P61" s="20"/>
      <c r="Q61" s="20"/>
      <c r="R61" s="20"/>
    </row>
    <row r="62" spans="1:18" ht="15" customHeight="1">
      <c r="A62" s="187"/>
      <c r="B62" s="44" t="s">
        <v>88</v>
      </c>
      <c r="C62" s="48">
        <v>0.04</v>
      </c>
      <c r="D62" s="46" t="s">
        <v>133</v>
      </c>
      <c r="E62" s="65" t="s">
        <v>217</v>
      </c>
      <c r="F62" s="20"/>
      <c r="G62" s="20"/>
      <c r="H62" s="20"/>
      <c r="I62" s="20"/>
      <c r="J62" s="20"/>
      <c r="K62" s="20"/>
      <c r="L62" s="20"/>
      <c r="M62" s="20"/>
      <c r="N62" s="20"/>
      <c r="O62" s="20"/>
      <c r="P62" s="20"/>
      <c r="Q62" s="20"/>
      <c r="R62" s="20"/>
    </row>
    <row r="63" spans="1:18" ht="15" customHeight="1">
      <c r="A63" s="187"/>
      <c r="B63" s="44" t="s">
        <v>89</v>
      </c>
      <c r="C63" s="48">
        <v>0.02</v>
      </c>
      <c r="D63" s="46" t="s">
        <v>133</v>
      </c>
      <c r="E63" s="65" t="s">
        <v>218</v>
      </c>
      <c r="F63" s="20"/>
      <c r="G63" s="20"/>
      <c r="H63" s="20"/>
      <c r="I63" s="20"/>
      <c r="J63" s="20"/>
      <c r="K63" s="20"/>
      <c r="L63" s="20"/>
      <c r="M63" s="20"/>
      <c r="N63" s="20"/>
      <c r="O63" s="20"/>
      <c r="P63" s="20"/>
      <c r="Q63" s="20"/>
      <c r="R63" s="20"/>
    </row>
    <row r="64" spans="1:18" ht="15" customHeight="1">
      <c r="A64" s="187"/>
      <c r="B64" s="44" t="s">
        <v>27</v>
      </c>
      <c r="C64" s="48">
        <v>0.37</v>
      </c>
      <c r="D64" s="46" t="s">
        <v>133</v>
      </c>
      <c r="E64" s="47" t="s">
        <v>219</v>
      </c>
      <c r="F64" s="20"/>
      <c r="G64" s="20"/>
      <c r="H64" s="20"/>
      <c r="I64" s="20"/>
      <c r="J64" s="20"/>
      <c r="K64" s="20"/>
      <c r="L64" s="20"/>
      <c r="M64" s="20"/>
      <c r="N64" s="20"/>
      <c r="O64" s="20"/>
      <c r="P64" s="20"/>
      <c r="Q64" s="20"/>
      <c r="R64" s="20"/>
    </row>
    <row r="65" spans="1:18" ht="15" customHeight="1">
      <c r="A65" s="187"/>
      <c r="B65" s="44" t="s">
        <v>90</v>
      </c>
      <c r="C65" s="48">
        <v>6.3E-2</v>
      </c>
      <c r="D65" s="46" t="s">
        <v>133</v>
      </c>
      <c r="E65" s="47" t="s">
        <v>220</v>
      </c>
      <c r="F65" s="20"/>
      <c r="G65" s="20"/>
      <c r="H65" s="20"/>
      <c r="I65" s="20"/>
      <c r="J65" s="20"/>
      <c r="K65" s="20"/>
      <c r="L65" s="20"/>
      <c r="M65" s="20"/>
      <c r="N65" s="20"/>
      <c r="O65" s="20"/>
      <c r="P65" s="20"/>
      <c r="Q65" s="20"/>
      <c r="R65" s="20"/>
    </row>
    <row r="66" spans="1:18" ht="16.5" customHeight="1">
      <c r="A66" s="187"/>
      <c r="B66" s="20"/>
      <c r="C66" s="20"/>
      <c r="D66" s="20"/>
      <c r="E66" s="20"/>
      <c r="F66" s="20"/>
      <c r="G66" s="20"/>
      <c r="H66" s="20"/>
      <c r="I66" s="20"/>
      <c r="J66" s="20"/>
      <c r="K66" s="20"/>
      <c r="L66" s="20"/>
      <c r="M66" s="20"/>
      <c r="N66" s="20"/>
      <c r="O66" s="20"/>
      <c r="P66" s="20"/>
      <c r="Q66" s="20"/>
      <c r="R66" s="20"/>
    </row>
    <row r="67" spans="1:18" ht="21.95" customHeight="1">
      <c r="A67" s="19"/>
      <c r="B67" s="43" t="s">
        <v>221</v>
      </c>
      <c r="C67" s="24"/>
      <c r="D67" s="24"/>
      <c r="E67" s="24"/>
      <c r="F67" s="24"/>
      <c r="G67" s="24"/>
      <c r="H67" s="24"/>
      <c r="I67" s="24"/>
      <c r="J67" s="24"/>
      <c r="K67" s="24"/>
      <c r="L67" s="24"/>
      <c r="M67" s="24"/>
      <c r="N67" s="24"/>
      <c r="O67" s="24"/>
      <c r="P67" s="24"/>
      <c r="Q67" s="24"/>
      <c r="R67" s="24"/>
    </row>
    <row r="68" spans="1:18" ht="15" customHeight="1">
      <c r="A68" s="19"/>
      <c r="B68" s="44" t="s">
        <v>222</v>
      </c>
      <c r="C68" s="66">
        <v>0.1</v>
      </c>
      <c r="D68" s="46" t="s">
        <v>133</v>
      </c>
      <c r="E68" s="47" t="s">
        <v>223</v>
      </c>
      <c r="F68" s="20"/>
      <c r="G68" s="20"/>
      <c r="H68" s="20"/>
      <c r="I68" s="20"/>
      <c r="J68" s="20"/>
      <c r="K68" s="20"/>
      <c r="L68" s="20"/>
      <c r="M68" s="20"/>
      <c r="N68" s="20"/>
      <c r="O68" s="20"/>
      <c r="P68" s="20"/>
      <c r="Q68" s="20"/>
      <c r="R68" s="20"/>
    </row>
    <row r="69" spans="1:18" ht="16.5" customHeight="1">
      <c r="A69" s="19"/>
      <c r="B69" s="20"/>
      <c r="C69" s="20"/>
      <c r="D69" s="20"/>
      <c r="E69" s="20"/>
      <c r="F69" s="20"/>
      <c r="G69" s="20"/>
      <c r="H69" s="20"/>
      <c r="I69" s="20"/>
      <c r="J69" s="20"/>
      <c r="K69" s="20"/>
      <c r="L69" s="20"/>
      <c r="M69" s="20"/>
      <c r="N69" s="20"/>
      <c r="O69" s="20"/>
      <c r="P69" s="20"/>
      <c r="Q69" s="20"/>
      <c r="R69" s="20"/>
    </row>
    <row r="70" spans="1:18" ht="21.95" customHeight="1">
      <c r="A70" s="186" t="s">
        <v>224</v>
      </c>
      <c r="B70" s="43" t="s">
        <v>225</v>
      </c>
      <c r="C70" s="24"/>
      <c r="D70" s="24"/>
      <c r="E70" s="24"/>
      <c r="F70" s="24"/>
      <c r="G70" s="24"/>
      <c r="H70" s="24"/>
      <c r="I70" s="24"/>
      <c r="J70" s="24"/>
      <c r="K70" s="24"/>
      <c r="L70" s="24"/>
      <c r="M70" s="24"/>
      <c r="N70" s="24"/>
      <c r="O70" s="24"/>
      <c r="P70" s="24"/>
      <c r="Q70" s="24"/>
      <c r="R70" s="24"/>
    </row>
    <row r="71" spans="1:18" ht="36" customHeight="1">
      <c r="A71" s="187"/>
      <c r="B71" s="189" t="s">
        <v>226</v>
      </c>
      <c r="C71" s="150"/>
      <c r="D71" s="150"/>
      <c r="E71" s="150"/>
      <c r="F71" s="150"/>
      <c r="G71" s="150"/>
      <c r="H71" s="150"/>
      <c r="I71" s="150"/>
      <c r="J71" s="150"/>
      <c r="K71" s="150"/>
      <c r="L71" s="150"/>
      <c r="M71" s="150"/>
      <c r="N71" s="150"/>
      <c r="O71" s="150"/>
      <c r="P71" s="150"/>
      <c r="Q71" s="150"/>
      <c r="R71" s="150"/>
    </row>
    <row r="72" spans="1:18" ht="27.95" customHeight="1">
      <c r="A72" s="187"/>
      <c r="B72" s="38" t="s">
        <v>227</v>
      </c>
      <c r="C72" s="67">
        <f>IFERROR(R31/(C57+C58+R31),0)</f>
        <v>1</v>
      </c>
      <c r="D72" s="20"/>
      <c r="E72" s="189" t="str">
        <f>IF(C72&lt;0.2,"Befintlig fastighet — extern värdering fångar objektet, justering ej rekommenderad",IF(C72&lt;0.6,"Större ombyggnad — värderingen är delvis pre-investering, kalibrering kan vara motiverad","Nybyggnation/motsvarande omfattning — kalibrera mot jämförelseobjekt"))</f>
        <v>Nybyggnation/motsvarande omfattning — kalibrera mot jämförelseobjekt</v>
      </c>
      <c r="F72" s="150"/>
      <c r="G72" s="150"/>
      <c r="H72" s="150"/>
      <c r="I72" s="150"/>
      <c r="J72" s="150"/>
      <c r="K72" s="150"/>
      <c r="L72" s="150"/>
      <c r="M72" s="150"/>
      <c r="N72" s="150"/>
      <c r="O72" s="150"/>
      <c r="P72" s="150"/>
      <c r="Q72" s="150"/>
      <c r="R72" s="150"/>
    </row>
    <row r="73" spans="1:18" ht="18" customHeight="1">
      <c r="A73" s="187"/>
      <c r="B73" s="191" t="s">
        <v>228</v>
      </c>
      <c r="C73" s="150"/>
      <c r="D73" s="150"/>
      <c r="E73" s="150"/>
      <c r="F73" s="150"/>
      <c r="G73" s="150"/>
      <c r="H73" s="150"/>
      <c r="I73" s="150"/>
      <c r="J73" s="150"/>
      <c r="K73" s="150"/>
      <c r="L73" s="150"/>
      <c r="M73" s="150"/>
      <c r="N73" s="150"/>
      <c r="O73" s="150"/>
      <c r="P73" s="150"/>
      <c r="Q73" s="150"/>
      <c r="R73" s="150"/>
    </row>
    <row r="74" spans="1:18" ht="20.100000000000001" customHeight="1">
      <c r="A74" s="187"/>
      <c r="B74" s="28" t="s">
        <v>229</v>
      </c>
      <c r="C74" s="29" t="s">
        <v>230</v>
      </c>
      <c r="D74" s="29" t="s">
        <v>231</v>
      </c>
      <c r="E74" s="190" t="s">
        <v>232</v>
      </c>
      <c r="F74" s="173"/>
      <c r="G74" s="173"/>
      <c r="H74" s="173"/>
      <c r="I74" s="173"/>
      <c r="J74" s="173"/>
      <c r="K74" s="173"/>
      <c r="L74" s="173"/>
      <c r="M74" s="173"/>
      <c r="N74" s="173"/>
      <c r="O74" s="173"/>
      <c r="P74" s="173"/>
      <c r="Q74" s="173"/>
      <c r="R74" s="173"/>
    </row>
    <row r="75" spans="1:18" ht="21.95" customHeight="1">
      <c r="A75" s="187"/>
      <c r="B75" s="38" t="s">
        <v>233</v>
      </c>
      <c r="C75" s="68" t="s">
        <v>234</v>
      </c>
      <c r="D75" s="69">
        <f>IF(C75="Mycket positivt",-0.005,IF(C75="Något positivt",-0.0025,IF(C75="Något negativt",0.0025,IF(C75="Mycket negativt",0.005,0))))</f>
        <v>0</v>
      </c>
      <c r="E75" s="188"/>
      <c r="F75" s="181" t="s">
        <v>235</v>
      </c>
      <c r="G75" s="150"/>
      <c r="H75" s="150"/>
      <c r="I75" s="150"/>
      <c r="J75" s="150"/>
      <c r="K75" s="150"/>
      <c r="L75" s="150"/>
      <c r="M75" s="150"/>
      <c r="N75" s="150"/>
      <c r="O75" s="150"/>
      <c r="P75" s="150"/>
      <c r="Q75" s="150"/>
      <c r="R75" s="150"/>
    </row>
    <row r="76" spans="1:18" ht="21.95" customHeight="1">
      <c r="A76" s="187"/>
      <c r="B76" s="38" t="s">
        <v>85</v>
      </c>
      <c r="C76" s="68" t="s">
        <v>234</v>
      </c>
      <c r="D76" s="69">
        <f>IF(C76="Mycket positivt",-0.005,IF(C76="Något positivt",-0.0025,IF(C76="Något negativt",0.0025,IF(C76="Mycket negativt",0.005,0))))</f>
        <v>0</v>
      </c>
      <c r="E76" s="188"/>
      <c r="F76" s="181" t="s">
        <v>236</v>
      </c>
      <c r="G76" s="150"/>
      <c r="H76" s="150"/>
      <c r="I76" s="150"/>
      <c r="J76" s="150"/>
      <c r="K76" s="150"/>
      <c r="L76" s="150"/>
      <c r="M76" s="150"/>
      <c r="N76" s="150"/>
      <c r="O76" s="150"/>
      <c r="P76" s="150"/>
      <c r="Q76" s="150"/>
      <c r="R76" s="150"/>
    </row>
    <row r="77" spans="1:18" ht="21.95" customHeight="1">
      <c r="A77" s="187"/>
      <c r="B77" s="38" t="s">
        <v>237</v>
      </c>
      <c r="C77" s="68" t="s">
        <v>234</v>
      </c>
      <c r="D77" s="69">
        <f>IF(C77="Mycket positivt",-0.005,IF(C77="Något positivt",-0.0025,IF(C77="Något negativt",0.0025,IF(C77="Mycket negativt",0.005,0))))</f>
        <v>0</v>
      </c>
      <c r="E77" s="188"/>
      <c r="F77" s="181" t="s">
        <v>238</v>
      </c>
      <c r="G77" s="150"/>
      <c r="H77" s="150"/>
      <c r="I77" s="150"/>
      <c r="J77" s="150"/>
      <c r="K77" s="150"/>
      <c r="L77" s="150"/>
      <c r="M77" s="150"/>
      <c r="N77" s="150"/>
      <c r="O77" s="150"/>
      <c r="P77" s="150"/>
      <c r="Q77" s="150"/>
      <c r="R77" s="150"/>
    </row>
    <row r="78" spans="1:18" ht="21.95" customHeight="1">
      <c r="A78" s="187"/>
      <c r="B78" s="38" t="s">
        <v>239</v>
      </c>
      <c r="C78" s="68" t="s">
        <v>234</v>
      </c>
      <c r="D78" s="69">
        <f>IF(C78="Mycket positivt",-0.005,IF(C78="Något positivt",-0.0025,IF(C78="Något negativt",0.0025,IF(C78="Mycket negativt",0.005,0))))</f>
        <v>0</v>
      </c>
      <c r="E78" s="188"/>
      <c r="F78" s="181" t="s">
        <v>240</v>
      </c>
      <c r="G78" s="150"/>
      <c r="H78" s="150"/>
      <c r="I78" s="150"/>
      <c r="J78" s="150"/>
      <c r="K78" s="150"/>
      <c r="L78" s="150"/>
      <c r="M78" s="150"/>
      <c r="N78" s="150"/>
      <c r="O78" s="150"/>
      <c r="P78" s="150"/>
      <c r="Q78" s="150"/>
      <c r="R78" s="150"/>
    </row>
    <row r="79" spans="1:18" ht="16.5" customHeight="1">
      <c r="A79" s="187"/>
      <c r="B79" s="20"/>
      <c r="C79" s="20"/>
      <c r="D79" s="20"/>
      <c r="E79" s="20"/>
      <c r="F79" s="20"/>
      <c r="G79" s="20"/>
      <c r="H79" s="20"/>
      <c r="I79" s="20"/>
      <c r="J79" s="20"/>
      <c r="K79" s="20"/>
      <c r="L79" s="20"/>
      <c r="M79" s="20"/>
      <c r="N79" s="20"/>
      <c r="O79" s="20"/>
      <c r="P79" s="20"/>
      <c r="Q79" s="20"/>
      <c r="R79" s="20"/>
    </row>
    <row r="80" spans="1:18" ht="24" customHeight="1">
      <c r="A80" s="187"/>
      <c r="B80" s="32" t="s">
        <v>241</v>
      </c>
      <c r="C80" s="35"/>
      <c r="D80" s="70">
        <f>SUM(D75:D78)</f>
        <v>0</v>
      </c>
      <c r="E80" s="71" t="s">
        <v>242</v>
      </c>
      <c r="F80" s="20"/>
      <c r="G80" s="20"/>
      <c r="H80" s="20"/>
      <c r="I80" s="20"/>
      <c r="J80" s="20"/>
      <c r="K80" s="20"/>
      <c r="L80" s="20"/>
      <c r="M80" s="20"/>
      <c r="N80" s="20"/>
      <c r="O80" s="20"/>
      <c r="P80" s="20"/>
      <c r="Q80" s="20"/>
      <c r="R80" s="20"/>
    </row>
    <row r="81" spans="1:18" ht="26.1" customHeight="1">
      <c r="A81" s="187"/>
      <c r="B81" s="72" t="s">
        <v>243</v>
      </c>
      <c r="C81" s="20"/>
      <c r="D81" s="73">
        <f>C6+D80</f>
        <v>0.05</v>
      </c>
      <c r="E81" s="191" t="s">
        <v>244</v>
      </c>
      <c r="F81" s="150"/>
      <c r="G81" s="150"/>
      <c r="H81" s="150"/>
      <c r="I81" s="150"/>
      <c r="J81" s="150"/>
      <c r="K81" s="150"/>
      <c r="L81" s="150"/>
      <c r="M81" s="150"/>
      <c r="N81" s="150"/>
      <c r="O81" s="150"/>
      <c r="P81" s="150"/>
      <c r="Q81" s="150"/>
      <c r="R81" s="150"/>
    </row>
    <row r="82" spans="1:18">
      <c r="A82" s="39"/>
      <c r="B82" s="40"/>
      <c r="C82" s="40"/>
      <c r="D82" s="40"/>
      <c r="E82" s="40"/>
      <c r="F82" s="40"/>
      <c r="G82" s="40"/>
      <c r="H82" s="40"/>
      <c r="I82" s="40"/>
      <c r="J82" s="40"/>
      <c r="K82" s="40"/>
      <c r="L82" s="40"/>
      <c r="M82" s="40"/>
      <c r="N82" s="40"/>
      <c r="O82" s="40"/>
      <c r="P82" s="40"/>
      <c r="Q82" s="40"/>
      <c r="R82" s="40"/>
    </row>
    <row r="83" spans="1:18">
      <c r="A83" s="39"/>
      <c r="B83" s="40"/>
      <c r="C83" s="40"/>
      <c r="D83" s="40"/>
      <c r="E83" s="40"/>
      <c r="F83" s="40"/>
      <c r="G83" s="40"/>
      <c r="H83" s="40"/>
      <c r="I83" s="40"/>
      <c r="J83" s="40"/>
      <c r="K83" s="40"/>
      <c r="L83" s="40"/>
      <c r="M83" s="40"/>
      <c r="N83" s="40"/>
      <c r="O83" s="40"/>
      <c r="P83" s="40"/>
      <c r="Q83" s="40"/>
      <c r="R83" s="40"/>
    </row>
    <row r="84" spans="1:18">
      <c r="A84" s="39"/>
      <c r="B84" s="40"/>
      <c r="C84" s="40"/>
      <c r="D84" s="40"/>
      <c r="E84" s="40"/>
      <c r="F84" s="40"/>
      <c r="G84" s="40"/>
      <c r="H84" s="40"/>
      <c r="I84" s="40"/>
      <c r="J84" s="40"/>
      <c r="K84" s="40"/>
      <c r="L84" s="40"/>
      <c r="M84" s="40"/>
      <c r="N84" s="40"/>
      <c r="O84" s="40"/>
      <c r="P84" s="40"/>
      <c r="Q84" s="40"/>
      <c r="R84" s="40"/>
    </row>
    <row r="85" spans="1:18">
      <c r="A85" s="39"/>
      <c r="B85" s="40"/>
      <c r="C85" s="40"/>
      <c r="D85" s="40"/>
      <c r="E85" s="40"/>
      <c r="F85" s="40"/>
      <c r="G85" s="40"/>
      <c r="H85" s="40"/>
      <c r="I85" s="40"/>
      <c r="J85" s="40"/>
      <c r="K85" s="40"/>
      <c r="L85" s="40"/>
      <c r="M85" s="40"/>
      <c r="N85" s="40"/>
      <c r="O85" s="40"/>
      <c r="P85" s="40"/>
      <c r="Q85" s="40"/>
      <c r="R85" s="40"/>
    </row>
    <row r="86" spans="1:18">
      <c r="A86" s="39"/>
      <c r="B86" s="40"/>
      <c r="C86" s="40"/>
      <c r="D86" s="40"/>
      <c r="E86" s="40"/>
      <c r="F86" s="40"/>
      <c r="G86" s="40"/>
      <c r="H86" s="40"/>
      <c r="I86" s="40"/>
      <c r="J86" s="40"/>
      <c r="K86" s="40"/>
      <c r="L86" s="40"/>
      <c r="M86" s="40"/>
      <c r="N86" s="40"/>
      <c r="O86" s="40"/>
      <c r="P86" s="40"/>
      <c r="Q86" s="40"/>
      <c r="R86" s="40"/>
    </row>
    <row r="87" spans="1:18">
      <c r="A87" s="1"/>
    </row>
    <row r="88" spans="1:18">
      <c r="A88" s="1"/>
    </row>
    <row r="89" spans="1:18">
      <c r="A89" s="1"/>
    </row>
    <row r="90" spans="1:18">
      <c r="A90" s="1"/>
    </row>
    <row r="91" spans="1:18">
      <c r="A91" s="1"/>
    </row>
  </sheetData>
  <mergeCells count="21">
    <mergeCell ref="A15:A23"/>
    <mergeCell ref="E78"/>
    <mergeCell ref="F76:R76"/>
    <mergeCell ref="A60:A66"/>
    <mergeCell ref="F75:R75"/>
    <mergeCell ref="E72:R72"/>
    <mergeCell ref="E77"/>
    <mergeCell ref="F78:R78"/>
    <mergeCell ref="E74:R74"/>
    <mergeCell ref="A70:A81"/>
    <mergeCell ref="A43:A51"/>
    <mergeCell ref="B73:R73"/>
    <mergeCell ref="E81:R81"/>
    <mergeCell ref="B32:R32"/>
    <mergeCell ref="A52:A59"/>
    <mergeCell ref="E76"/>
    <mergeCell ref="F77:R77"/>
    <mergeCell ref="B71:R71"/>
    <mergeCell ref="E75"/>
    <mergeCell ref="A24:A33"/>
    <mergeCell ref="A34:A42"/>
  </mergeCells>
  <dataValidations count="3">
    <dataValidation type="list" sqref="C23" xr:uid="{00000000-0002-0000-0200-000000000000}">
      <formula1>"Beräkna,Ange"</formula1>
    </dataValidation>
    <dataValidation type="list" allowBlank="1" sqref="C26:C30" xr:uid="{00000000-0002-0000-0200-000001000000}">
      <formula1>"Bef,Omb,Nyb,Ins,Mar"</formula1>
    </dataValidation>
    <dataValidation type="list" sqref="C75 C76 C77 C78" xr:uid="{00000000-0002-0000-0200-000002000000}">
      <formula1>"Mycket positivt,Något positivt,Neutralt,Något negativt,Mycket negativt"</formula1>
    </dataValidation>
  </dataValidations>
  <hyperlinks>
    <hyperlink ref="A2" location="'Försättsblad'!A1" display="Försättsblad" xr:uid="{00000000-0004-0000-0200-000000000000}"/>
    <hyperlink ref="A3" location="'Översikt'!A1" display="Översikt" xr:uid="{00000000-0004-0000-0200-000001000000}"/>
    <hyperlink ref="A5" location="'Kassaflöde'!A1" display="Kassaflöde" xr:uid="{00000000-0004-0000-0200-000002000000}"/>
    <hyperlink ref="A6" location="'Finansiering'!A1" display="Finansiering" xr:uid="{00000000-0004-0000-0200-000003000000}"/>
    <hyperlink ref="A7" location="'Resultat'!A1" display="Resultat" xr:uid="{00000000-0004-0000-0200-000004000000}"/>
    <hyperlink ref="A8" location="'Grafer'!A1" display="Grafer" xr:uid="{00000000-0004-0000-0200-000005000000}"/>
    <hyperlink ref="A9" location="'Lönsamhetskontroll'!A1" display="Lönsamhetskontroll" xr:uid="{00000000-0004-0000-0200-000006000000}"/>
    <hyperlink ref="A10" location="'Beräkningslogik'!A1" display="Beräkningslogik" xr:uid="{00000000-0004-0000-0200-000007000000}"/>
    <hyperlink ref="A11" location="'Dokumentation'!A1" display="Dokumentation" xr:uid="{00000000-0004-0000-0200-000008000000}"/>
  </hyperlinks>
  <pageMargins left="0.4" right="0.4" top="0.5" bottom="0.5" header="0.511811023622047" footer="0.511811023622047"/>
  <pageSetup paperSize="9" fitToHeight="0" orientation="landscape"/>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0313E"/>
    <pageSetUpPr fitToPage="1"/>
  </sheetPr>
  <dimension ref="A1:AB166"/>
  <sheetViews>
    <sheetView showGridLines="0" workbookViewId="0">
      <pane xSplit="1" topLeftCell="B1" activePane="topRight" state="frozen"/>
      <selection pane="topRight"/>
    </sheetView>
  </sheetViews>
  <sheetFormatPr defaultRowHeight="15"/>
  <cols>
    <col min="1" max="1" width="24" customWidth="1"/>
    <col min="2" max="2" width="40" customWidth="1"/>
    <col min="3" max="3" width="18" customWidth="1"/>
    <col min="4" max="28" width="13" customWidth="1"/>
  </cols>
  <sheetData>
    <row r="1" spans="1:28" ht="14.1" customHeight="1">
      <c r="A1" s="19"/>
      <c r="B1" s="21" t="s">
        <v>245</v>
      </c>
      <c r="C1" s="20"/>
      <c r="D1" s="20"/>
      <c r="E1" s="20"/>
      <c r="F1" s="20"/>
      <c r="G1" s="20"/>
      <c r="H1" s="20"/>
      <c r="I1" s="20"/>
      <c r="J1" s="20"/>
      <c r="K1" s="20"/>
      <c r="L1" s="20"/>
      <c r="M1" s="20"/>
      <c r="N1" s="20"/>
      <c r="O1" s="20"/>
      <c r="P1" s="20"/>
      <c r="Q1" s="20"/>
      <c r="R1" s="20"/>
      <c r="S1" s="20"/>
      <c r="T1" s="20"/>
      <c r="U1" s="20"/>
      <c r="V1" s="20"/>
      <c r="W1" s="20"/>
      <c r="X1" s="20"/>
      <c r="Y1" s="20"/>
      <c r="Z1" s="20"/>
      <c r="AA1" s="20"/>
      <c r="AB1" s="20"/>
    </row>
    <row r="2" spans="1:28" ht="30" customHeight="1">
      <c r="A2" s="19" t="s">
        <v>0</v>
      </c>
      <c r="B2" s="41" t="s">
        <v>116</v>
      </c>
      <c r="C2" s="20"/>
      <c r="D2" s="20"/>
      <c r="E2" s="20"/>
      <c r="F2" s="20"/>
      <c r="G2" s="20"/>
      <c r="H2" s="20"/>
      <c r="I2" s="20"/>
      <c r="J2" s="20"/>
      <c r="K2" s="20"/>
      <c r="L2" s="20"/>
      <c r="M2" s="20"/>
      <c r="N2" s="20"/>
      <c r="O2" s="20"/>
      <c r="P2" s="20"/>
      <c r="Q2" s="20"/>
      <c r="R2" s="20"/>
      <c r="S2" s="20"/>
      <c r="T2" s="20"/>
      <c r="U2" s="20"/>
      <c r="V2" s="20"/>
      <c r="W2" s="20"/>
      <c r="X2" s="20"/>
      <c r="Y2" s="20"/>
      <c r="Z2" s="20"/>
      <c r="AA2" s="20"/>
      <c r="AB2" s="20"/>
    </row>
    <row r="3" spans="1:28" ht="30" customHeight="1">
      <c r="A3" s="19" t="s">
        <v>37</v>
      </c>
      <c r="B3" s="42" t="s">
        <v>246</v>
      </c>
      <c r="C3" s="20"/>
      <c r="D3" s="74">
        <f>Indata!$C$5+0</f>
        <v>2026</v>
      </c>
      <c r="E3" s="74">
        <f>Indata!$C$5+1</f>
        <v>2027</v>
      </c>
      <c r="F3" s="74">
        <f>Indata!$C$5+2</f>
        <v>2028</v>
      </c>
      <c r="G3" s="74">
        <f>Indata!$C$5+3</f>
        <v>2029</v>
      </c>
      <c r="H3" s="74">
        <f>Indata!$C$5+4</f>
        <v>2030</v>
      </c>
      <c r="I3" s="74">
        <f>Indata!$C$5+5</f>
        <v>2031</v>
      </c>
      <c r="J3" s="74">
        <f>Indata!$C$5+6</f>
        <v>2032</v>
      </c>
      <c r="K3" s="74">
        <f>Indata!$C$5+7</f>
        <v>2033</v>
      </c>
      <c r="L3" s="74">
        <f>Indata!$C$5+8</f>
        <v>2034</v>
      </c>
      <c r="M3" s="74">
        <f>Indata!$C$5+9</f>
        <v>2035</v>
      </c>
      <c r="N3" s="74">
        <f>Indata!$C$5+10</f>
        <v>2036</v>
      </c>
      <c r="O3" s="74">
        <f>Indata!$C$5+11</f>
        <v>2037</v>
      </c>
      <c r="P3" s="74">
        <f>Indata!$C$5+12</f>
        <v>2038</v>
      </c>
      <c r="Q3" s="74">
        <f>Indata!$C$5+13</f>
        <v>2039</v>
      </c>
      <c r="R3" s="74">
        <f>Indata!$C$5+14</f>
        <v>2040</v>
      </c>
      <c r="S3" s="74">
        <f>Indata!$C$5+15</f>
        <v>2041</v>
      </c>
      <c r="T3" s="74">
        <f>Indata!$C$5+16</f>
        <v>2042</v>
      </c>
      <c r="U3" s="74">
        <f>Indata!$C$5+17</f>
        <v>2043</v>
      </c>
      <c r="V3" s="74">
        <f>Indata!$C$5+18</f>
        <v>2044</v>
      </c>
      <c r="W3" s="74">
        <f>Indata!$C$5+19</f>
        <v>2045</v>
      </c>
      <c r="X3" s="74">
        <f>Indata!$C$5+20</f>
        <v>2046</v>
      </c>
      <c r="Y3" s="74">
        <f>Indata!$C$5+21</f>
        <v>2047</v>
      </c>
      <c r="Z3" s="74">
        <f>Indata!$C$5+22</f>
        <v>2048</v>
      </c>
      <c r="AA3" s="74">
        <f>Indata!$C$5+23</f>
        <v>2049</v>
      </c>
      <c r="AB3" s="74">
        <f>Indata!$C$5+24</f>
        <v>2050</v>
      </c>
    </row>
    <row r="4" spans="1:28" ht="30" customHeight="1">
      <c r="A4" s="19" t="s">
        <v>3</v>
      </c>
      <c r="B4" s="75" t="s">
        <v>247</v>
      </c>
      <c r="C4" s="22"/>
      <c r="D4" s="76">
        <v>1</v>
      </c>
      <c r="E4" s="76">
        <v>2</v>
      </c>
      <c r="F4" s="76">
        <v>3</v>
      </c>
      <c r="G4" s="76">
        <v>4</v>
      </c>
      <c r="H4" s="77">
        <v>5</v>
      </c>
      <c r="I4" s="77">
        <v>6</v>
      </c>
      <c r="J4" s="77">
        <v>7</v>
      </c>
      <c r="K4" s="77">
        <v>8</v>
      </c>
      <c r="L4" s="77">
        <v>9</v>
      </c>
      <c r="M4" s="77">
        <v>10</v>
      </c>
      <c r="N4" s="77">
        <v>11</v>
      </c>
      <c r="O4" s="77">
        <v>12</v>
      </c>
      <c r="P4" s="77">
        <v>13</v>
      </c>
      <c r="Q4" s="77">
        <v>14</v>
      </c>
      <c r="R4" s="77">
        <v>15</v>
      </c>
      <c r="S4" s="77">
        <v>16</v>
      </c>
      <c r="T4" s="77">
        <v>17</v>
      </c>
      <c r="U4" s="77">
        <v>18</v>
      </c>
      <c r="V4" s="77">
        <v>19</v>
      </c>
      <c r="W4" s="77">
        <v>20</v>
      </c>
      <c r="X4" s="77">
        <v>21</v>
      </c>
      <c r="Y4" s="77">
        <v>22</v>
      </c>
      <c r="Z4" s="77">
        <v>23</v>
      </c>
      <c r="AA4" s="77">
        <v>24</v>
      </c>
      <c r="AB4" s="77">
        <v>25</v>
      </c>
    </row>
    <row r="5" spans="1:28" ht="30" customHeight="1">
      <c r="A5" s="19"/>
      <c r="B5" s="47" t="s">
        <v>248</v>
      </c>
      <c r="C5" s="20"/>
      <c r="D5" s="77">
        <f>IF(D4&lt;=Indata!$C$16,1,0)</f>
        <v>1</v>
      </c>
      <c r="E5" s="77">
        <f>IF(E4&lt;=Indata!$C$16,1,0)</f>
        <v>1</v>
      </c>
      <c r="F5" s="77">
        <f>IF(F4&lt;=Indata!$C$16,1,0)</f>
        <v>1</v>
      </c>
      <c r="G5" s="77">
        <f>IF(G4&lt;=Indata!$C$16,1,0)</f>
        <v>1</v>
      </c>
      <c r="H5" s="77">
        <f>IF(H4&lt;=Indata!$C$16,1,0)</f>
        <v>1</v>
      </c>
      <c r="I5" s="77">
        <f>IF(I4&lt;=Indata!$C$16,1,0)</f>
        <v>1</v>
      </c>
      <c r="J5" s="77">
        <f>IF(J4&lt;=Indata!$C$16,1,0)</f>
        <v>1</v>
      </c>
      <c r="K5" s="77">
        <f>IF(K4&lt;=Indata!$C$16,1,0)</f>
        <v>1</v>
      </c>
      <c r="L5" s="77">
        <f>IF(L4&lt;=Indata!$C$16,1,0)</f>
        <v>1</v>
      </c>
      <c r="M5" s="77">
        <f>IF(M4&lt;=Indata!$C$16,1,0)</f>
        <v>1</v>
      </c>
      <c r="N5" s="77">
        <f>IF(N4&lt;=Indata!$C$16,1,0)</f>
        <v>1</v>
      </c>
      <c r="O5" s="77">
        <f>IF(O4&lt;=Indata!$C$16,1,0)</f>
        <v>1</v>
      </c>
      <c r="P5" s="77">
        <f>IF(P4&lt;=Indata!$C$16,1,0)</f>
        <v>1</v>
      </c>
      <c r="Q5" s="77">
        <f>IF(Q4&lt;=Indata!$C$16,1,0)</f>
        <v>1</v>
      </c>
      <c r="R5" s="77">
        <f>IF(R4&lt;=Indata!$C$16,1,0)</f>
        <v>1</v>
      </c>
      <c r="S5" s="77">
        <f>IF(S4&lt;=Indata!$C$16,1,0)</f>
        <v>1</v>
      </c>
      <c r="T5" s="77">
        <f>IF(T4&lt;=Indata!$C$16,1,0)</f>
        <v>1</v>
      </c>
      <c r="U5" s="77">
        <f>IF(U4&lt;=Indata!$C$16,1,0)</f>
        <v>1</v>
      </c>
      <c r="V5" s="77">
        <f>IF(V4&lt;=Indata!$C$16,1,0)</f>
        <v>1</v>
      </c>
      <c r="W5" s="77">
        <f>IF(W4&lt;=Indata!$C$16,1,0)</f>
        <v>1</v>
      </c>
      <c r="X5" s="77">
        <f>IF(X4&lt;=Indata!$C$16,1,0)</f>
        <v>0</v>
      </c>
      <c r="Y5" s="77">
        <f>IF(Y4&lt;=Indata!$C$16,1,0)</f>
        <v>0</v>
      </c>
      <c r="Z5" s="77">
        <f>IF(Z4&lt;=Indata!$C$16,1,0)</f>
        <v>0</v>
      </c>
      <c r="AA5" s="77">
        <f>IF(AA4&lt;=Indata!$C$16,1,0)</f>
        <v>0</v>
      </c>
      <c r="AB5" s="77">
        <f>IF(AB4&lt;=Indata!$C$16,1,0)</f>
        <v>0</v>
      </c>
    </row>
    <row r="6" spans="1:28" ht="30" customHeight="1">
      <c r="A6" s="19" t="s">
        <v>5</v>
      </c>
      <c r="B6" s="47" t="s">
        <v>249</v>
      </c>
      <c r="C6" s="20"/>
      <c r="D6" s="78">
        <f>SUMIFS(Indata!$E$26:$E$30,Indata!$C$26:$C$30,"Nyb",Indata!$P$26:$P$30,"&lt;="&amp;D3)+SUMIFS(Indata!$E$26:$E$30,Indata!$C$26:$C$30,"Omb",Indata!$P$26:$P$30,"&lt;="&amp;D3)+SUMIFS(Indata!$E$26:$E$30,Indata!$C$26:$C$30,"Ins",Indata!$P$26:$P$30,"&lt;="&amp;D3)</f>
        <v>5000</v>
      </c>
      <c r="E6" s="78">
        <f>SUMIFS(Indata!$E$26:$E$30,Indata!$C$26:$C$30,"Nyb",Indata!$P$26:$P$30,"&lt;="&amp;E3)+SUMIFS(Indata!$E$26:$E$30,Indata!$C$26:$C$30,"Omb",Indata!$P$26:$P$30,"&lt;="&amp;E3)+SUMIFS(Indata!$E$26:$E$30,Indata!$C$26:$C$30,"Ins",Indata!$P$26:$P$30,"&lt;="&amp;E3)</f>
        <v>5000</v>
      </c>
      <c r="F6" s="78">
        <f>SUMIFS(Indata!$E$26:$E$30,Indata!$C$26:$C$30,"Nyb",Indata!$P$26:$P$30,"&lt;="&amp;F3)+SUMIFS(Indata!$E$26:$E$30,Indata!$C$26:$C$30,"Omb",Indata!$P$26:$P$30,"&lt;="&amp;F3)+SUMIFS(Indata!$E$26:$E$30,Indata!$C$26:$C$30,"Ins",Indata!$P$26:$P$30,"&lt;="&amp;F3)</f>
        <v>5000</v>
      </c>
      <c r="G6" s="78">
        <f>SUMIFS(Indata!$E$26:$E$30,Indata!$C$26:$C$30,"Nyb",Indata!$P$26:$P$30,"&lt;="&amp;G3)+SUMIFS(Indata!$E$26:$E$30,Indata!$C$26:$C$30,"Omb",Indata!$P$26:$P$30,"&lt;="&amp;G3)+SUMIFS(Indata!$E$26:$E$30,Indata!$C$26:$C$30,"Ins",Indata!$P$26:$P$30,"&lt;="&amp;G3)</f>
        <v>5000</v>
      </c>
      <c r="H6" s="78">
        <f>SUMIFS(Indata!$E$26:$E$30,Indata!$C$26:$C$30,"Nyb",Indata!$P$26:$P$30,"&lt;="&amp;H3)+SUMIFS(Indata!$E$26:$E$30,Indata!$C$26:$C$30,"Omb",Indata!$P$26:$P$30,"&lt;="&amp;H3)+SUMIFS(Indata!$E$26:$E$30,Indata!$C$26:$C$30,"Ins",Indata!$P$26:$P$30,"&lt;="&amp;H3)</f>
        <v>5000</v>
      </c>
      <c r="I6" s="78">
        <f>SUMIFS(Indata!$E$26:$E$30,Indata!$C$26:$C$30,"Nyb",Indata!$P$26:$P$30,"&lt;="&amp;I3)+SUMIFS(Indata!$E$26:$E$30,Indata!$C$26:$C$30,"Omb",Indata!$P$26:$P$30,"&lt;="&amp;I3)+SUMIFS(Indata!$E$26:$E$30,Indata!$C$26:$C$30,"Ins",Indata!$P$26:$P$30,"&lt;="&amp;I3)</f>
        <v>5000</v>
      </c>
      <c r="J6" s="78">
        <f>SUMIFS(Indata!$E$26:$E$30,Indata!$C$26:$C$30,"Nyb",Indata!$P$26:$P$30,"&lt;="&amp;J3)+SUMIFS(Indata!$E$26:$E$30,Indata!$C$26:$C$30,"Omb",Indata!$P$26:$P$30,"&lt;="&amp;J3)+SUMIFS(Indata!$E$26:$E$30,Indata!$C$26:$C$30,"Ins",Indata!$P$26:$P$30,"&lt;="&amp;J3)</f>
        <v>5000</v>
      </c>
      <c r="K6" s="78">
        <f>SUMIFS(Indata!$E$26:$E$30,Indata!$C$26:$C$30,"Nyb",Indata!$P$26:$P$30,"&lt;="&amp;K3)+SUMIFS(Indata!$E$26:$E$30,Indata!$C$26:$C$30,"Omb",Indata!$P$26:$P$30,"&lt;="&amp;K3)+SUMIFS(Indata!$E$26:$E$30,Indata!$C$26:$C$30,"Ins",Indata!$P$26:$P$30,"&lt;="&amp;K3)</f>
        <v>5000</v>
      </c>
      <c r="L6" s="78">
        <f>SUMIFS(Indata!$E$26:$E$30,Indata!$C$26:$C$30,"Nyb",Indata!$P$26:$P$30,"&lt;="&amp;L3)+SUMIFS(Indata!$E$26:$E$30,Indata!$C$26:$C$30,"Omb",Indata!$P$26:$P$30,"&lt;="&amp;L3)+SUMIFS(Indata!$E$26:$E$30,Indata!$C$26:$C$30,"Ins",Indata!$P$26:$P$30,"&lt;="&amp;L3)</f>
        <v>5000</v>
      </c>
      <c r="M6" s="78">
        <f>SUMIFS(Indata!$E$26:$E$30,Indata!$C$26:$C$30,"Nyb",Indata!$P$26:$P$30,"&lt;="&amp;M3)+SUMIFS(Indata!$E$26:$E$30,Indata!$C$26:$C$30,"Omb",Indata!$P$26:$P$30,"&lt;="&amp;M3)+SUMIFS(Indata!$E$26:$E$30,Indata!$C$26:$C$30,"Ins",Indata!$P$26:$P$30,"&lt;="&amp;M3)</f>
        <v>5000</v>
      </c>
      <c r="N6" s="78">
        <f>SUMIFS(Indata!$E$26:$E$30,Indata!$C$26:$C$30,"Nyb",Indata!$P$26:$P$30,"&lt;="&amp;N3)+SUMIFS(Indata!$E$26:$E$30,Indata!$C$26:$C$30,"Omb",Indata!$P$26:$P$30,"&lt;="&amp;N3)+SUMIFS(Indata!$E$26:$E$30,Indata!$C$26:$C$30,"Ins",Indata!$P$26:$P$30,"&lt;="&amp;N3)</f>
        <v>5000</v>
      </c>
      <c r="O6" s="78">
        <f>SUMIFS(Indata!$E$26:$E$30,Indata!$C$26:$C$30,"Nyb",Indata!$P$26:$P$30,"&lt;="&amp;O3)+SUMIFS(Indata!$E$26:$E$30,Indata!$C$26:$C$30,"Omb",Indata!$P$26:$P$30,"&lt;="&amp;O3)+SUMIFS(Indata!$E$26:$E$30,Indata!$C$26:$C$30,"Ins",Indata!$P$26:$P$30,"&lt;="&amp;O3)</f>
        <v>5000</v>
      </c>
      <c r="P6" s="78">
        <f>SUMIFS(Indata!$E$26:$E$30,Indata!$C$26:$C$30,"Nyb",Indata!$P$26:$P$30,"&lt;="&amp;P3)+SUMIFS(Indata!$E$26:$E$30,Indata!$C$26:$C$30,"Omb",Indata!$P$26:$P$30,"&lt;="&amp;P3)+SUMIFS(Indata!$E$26:$E$30,Indata!$C$26:$C$30,"Ins",Indata!$P$26:$P$30,"&lt;="&amp;P3)</f>
        <v>5000</v>
      </c>
      <c r="Q6" s="78">
        <f>SUMIFS(Indata!$E$26:$E$30,Indata!$C$26:$C$30,"Nyb",Indata!$P$26:$P$30,"&lt;="&amp;Q3)+SUMIFS(Indata!$E$26:$E$30,Indata!$C$26:$C$30,"Omb",Indata!$P$26:$P$30,"&lt;="&amp;Q3)+SUMIFS(Indata!$E$26:$E$30,Indata!$C$26:$C$30,"Ins",Indata!$P$26:$P$30,"&lt;="&amp;Q3)</f>
        <v>5000</v>
      </c>
      <c r="R6" s="78">
        <f>SUMIFS(Indata!$E$26:$E$30,Indata!$C$26:$C$30,"Nyb",Indata!$P$26:$P$30,"&lt;="&amp;R3)+SUMIFS(Indata!$E$26:$E$30,Indata!$C$26:$C$30,"Omb",Indata!$P$26:$P$30,"&lt;="&amp;R3)+SUMIFS(Indata!$E$26:$E$30,Indata!$C$26:$C$30,"Ins",Indata!$P$26:$P$30,"&lt;="&amp;R3)</f>
        <v>5000</v>
      </c>
      <c r="S6" s="78">
        <f>SUMIFS(Indata!$E$26:$E$30,Indata!$C$26:$C$30,"Nyb",Indata!$P$26:$P$30,"&lt;="&amp;S3)+SUMIFS(Indata!$E$26:$E$30,Indata!$C$26:$C$30,"Omb",Indata!$P$26:$P$30,"&lt;="&amp;S3)+SUMIFS(Indata!$E$26:$E$30,Indata!$C$26:$C$30,"Ins",Indata!$P$26:$P$30,"&lt;="&amp;S3)</f>
        <v>5000</v>
      </c>
      <c r="T6" s="78">
        <f>SUMIFS(Indata!$E$26:$E$30,Indata!$C$26:$C$30,"Nyb",Indata!$P$26:$P$30,"&lt;="&amp;T3)+SUMIFS(Indata!$E$26:$E$30,Indata!$C$26:$C$30,"Omb",Indata!$P$26:$P$30,"&lt;="&amp;T3)+SUMIFS(Indata!$E$26:$E$30,Indata!$C$26:$C$30,"Ins",Indata!$P$26:$P$30,"&lt;="&amp;T3)</f>
        <v>5000</v>
      </c>
      <c r="U6" s="78">
        <f>SUMIFS(Indata!$E$26:$E$30,Indata!$C$26:$C$30,"Nyb",Indata!$P$26:$P$30,"&lt;="&amp;U3)+SUMIFS(Indata!$E$26:$E$30,Indata!$C$26:$C$30,"Omb",Indata!$P$26:$P$30,"&lt;="&amp;U3)+SUMIFS(Indata!$E$26:$E$30,Indata!$C$26:$C$30,"Ins",Indata!$P$26:$P$30,"&lt;="&amp;U3)</f>
        <v>5000</v>
      </c>
      <c r="V6" s="78">
        <f>SUMIFS(Indata!$E$26:$E$30,Indata!$C$26:$C$30,"Nyb",Indata!$P$26:$P$30,"&lt;="&amp;V3)+SUMIFS(Indata!$E$26:$E$30,Indata!$C$26:$C$30,"Omb",Indata!$P$26:$P$30,"&lt;="&amp;V3)+SUMIFS(Indata!$E$26:$E$30,Indata!$C$26:$C$30,"Ins",Indata!$P$26:$P$30,"&lt;="&amp;V3)</f>
        <v>5000</v>
      </c>
      <c r="W6" s="78">
        <f>SUMIFS(Indata!$E$26:$E$30,Indata!$C$26:$C$30,"Nyb",Indata!$P$26:$P$30,"&lt;="&amp;W3)+SUMIFS(Indata!$E$26:$E$30,Indata!$C$26:$C$30,"Omb",Indata!$P$26:$P$30,"&lt;="&amp;W3)+SUMIFS(Indata!$E$26:$E$30,Indata!$C$26:$C$30,"Ins",Indata!$P$26:$P$30,"&lt;="&amp;W3)</f>
        <v>5000</v>
      </c>
      <c r="X6" s="78">
        <f>SUMIFS(Indata!$E$26:$E$30,Indata!$C$26:$C$30,"Nyb",Indata!$P$26:$P$30,"&lt;="&amp;X3)+SUMIFS(Indata!$E$26:$E$30,Indata!$C$26:$C$30,"Omb",Indata!$P$26:$P$30,"&lt;="&amp;X3)+SUMIFS(Indata!$E$26:$E$30,Indata!$C$26:$C$30,"Ins",Indata!$P$26:$P$30,"&lt;="&amp;X3)</f>
        <v>5000</v>
      </c>
      <c r="Y6" s="78">
        <f>SUMIFS(Indata!$E$26:$E$30,Indata!$C$26:$C$30,"Nyb",Indata!$P$26:$P$30,"&lt;="&amp;Y3)+SUMIFS(Indata!$E$26:$E$30,Indata!$C$26:$C$30,"Omb",Indata!$P$26:$P$30,"&lt;="&amp;Y3)+SUMIFS(Indata!$E$26:$E$30,Indata!$C$26:$C$30,"Ins",Indata!$P$26:$P$30,"&lt;="&amp;Y3)</f>
        <v>5000</v>
      </c>
      <c r="Z6" s="78">
        <f>SUMIFS(Indata!$E$26:$E$30,Indata!$C$26:$C$30,"Nyb",Indata!$P$26:$P$30,"&lt;="&amp;Z3)+SUMIFS(Indata!$E$26:$E$30,Indata!$C$26:$C$30,"Omb",Indata!$P$26:$P$30,"&lt;="&amp;Z3)+SUMIFS(Indata!$E$26:$E$30,Indata!$C$26:$C$30,"Ins",Indata!$P$26:$P$30,"&lt;="&amp;Z3)</f>
        <v>5000</v>
      </c>
      <c r="AA6" s="78">
        <f>SUMIFS(Indata!$E$26:$E$30,Indata!$C$26:$C$30,"Nyb",Indata!$P$26:$P$30,"&lt;="&amp;AA3)+SUMIFS(Indata!$E$26:$E$30,Indata!$C$26:$C$30,"Omb",Indata!$P$26:$P$30,"&lt;="&amp;AA3)+SUMIFS(Indata!$E$26:$E$30,Indata!$C$26:$C$30,"Ins",Indata!$P$26:$P$30,"&lt;="&amp;AA3)</f>
        <v>5000</v>
      </c>
      <c r="AB6" s="78">
        <f>SUMIFS(Indata!$E$26:$E$30,Indata!$C$26:$C$30,"Nyb",Indata!$P$26:$P$30,"&lt;="&amp;AB3)+SUMIFS(Indata!$E$26:$E$30,Indata!$C$26:$C$30,"Omb",Indata!$P$26:$P$30,"&lt;="&amp;AB3)+SUMIFS(Indata!$E$26:$E$30,Indata!$C$26:$C$30,"Ins",Indata!$P$26:$P$30,"&lt;="&amp;AB3)</f>
        <v>5000</v>
      </c>
    </row>
    <row r="7" spans="1:28" ht="30" customHeight="1">
      <c r="A7" s="19" t="s">
        <v>6</v>
      </c>
      <c r="B7" s="47" t="s">
        <v>250</v>
      </c>
      <c r="C7" s="20"/>
      <c r="D7" s="78">
        <f>SUMIFS(Indata!$D$26:$D$30,Indata!$C$26:$C$30,"Bef",Indata!$P$26:$P$30,"&lt;="&amp;D3)+SUMIFS(Indata!$D$26:$D$30,Indata!$C$26:$C$30,"Omb",Indata!$P$26:$P$30,"&lt;="&amp;D3)+SUMIFS(Indata!$D$26:$D$30,Indata!$C$26:$C$30,"Nyb",Indata!$P$26:$P$30,"&lt;="&amp;D3)+SUMIFS(Indata!$D$26:$D$30,Indata!$C$26:$C$30,"Ins",Indata!$P$26:$P$30,"&lt;="&amp;D3)</f>
        <v>0</v>
      </c>
      <c r="E7" s="78">
        <f>SUMIFS(Indata!$D$26:$D$30,Indata!$C$26:$C$30,"Bef",Indata!$P$26:$P$30,"&lt;="&amp;E3)+SUMIFS(Indata!$D$26:$D$30,Indata!$C$26:$C$30,"Omb",Indata!$P$26:$P$30,"&lt;="&amp;E3)+SUMIFS(Indata!$D$26:$D$30,Indata!$C$26:$C$30,"Nyb",Indata!$P$26:$P$30,"&lt;="&amp;E3)+SUMIFS(Indata!$D$26:$D$30,Indata!$C$26:$C$30,"Ins",Indata!$P$26:$P$30,"&lt;="&amp;E3)</f>
        <v>0</v>
      </c>
      <c r="F7" s="78">
        <f>SUMIFS(Indata!$D$26:$D$30,Indata!$C$26:$C$30,"Bef",Indata!$P$26:$P$30,"&lt;="&amp;F3)+SUMIFS(Indata!$D$26:$D$30,Indata!$C$26:$C$30,"Omb",Indata!$P$26:$P$30,"&lt;="&amp;F3)+SUMIFS(Indata!$D$26:$D$30,Indata!$C$26:$C$30,"Nyb",Indata!$P$26:$P$30,"&lt;="&amp;F3)+SUMIFS(Indata!$D$26:$D$30,Indata!$C$26:$C$30,"Ins",Indata!$P$26:$P$30,"&lt;="&amp;F3)</f>
        <v>0</v>
      </c>
      <c r="G7" s="78">
        <f>SUMIFS(Indata!$D$26:$D$30,Indata!$C$26:$C$30,"Bef",Indata!$P$26:$P$30,"&lt;="&amp;G3)+SUMIFS(Indata!$D$26:$D$30,Indata!$C$26:$C$30,"Omb",Indata!$P$26:$P$30,"&lt;="&amp;G3)+SUMIFS(Indata!$D$26:$D$30,Indata!$C$26:$C$30,"Nyb",Indata!$P$26:$P$30,"&lt;="&amp;G3)+SUMIFS(Indata!$D$26:$D$30,Indata!$C$26:$C$30,"Ins",Indata!$P$26:$P$30,"&lt;="&amp;G3)</f>
        <v>0</v>
      </c>
      <c r="H7" s="78">
        <f>SUMIFS(Indata!$D$26:$D$30,Indata!$C$26:$C$30,"Bef",Indata!$P$26:$P$30,"&lt;="&amp;H3)+SUMIFS(Indata!$D$26:$D$30,Indata!$C$26:$C$30,"Omb",Indata!$P$26:$P$30,"&lt;="&amp;H3)+SUMIFS(Indata!$D$26:$D$30,Indata!$C$26:$C$30,"Nyb",Indata!$P$26:$P$30,"&lt;="&amp;H3)+SUMIFS(Indata!$D$26:$D$30,Indata!$C$26:$C$30,"Ins",Indata!$P$26:$P$30,"&lt;="&amp;H3)</f>
        <v>0</v>
      </c>
      <c r="I7" s="78">
        <f>SUMIFS(Indata!$D$26:$D$30,Indata!$C$26:$C$30,"Bef",Indata!$P$26:$P$30,"&lt;="&amp;I3)+SUMIFS(Indata!$D$26:$D$30,Indata!$C$26:$C$30,"Omb",Indata!$P$26:$P$30,"&lt;="&amp;I3)+SUMIFS(Indata!$D$26:$D$30,Indata!$C$26:$C$30,"Nyb",Indata!$P$26:$P$30,"&lt;="&amp;I3)+SUMIFS(Indata!$D$26:$D$30,Indata!$C$26:$C$30,"Ins",Indata!$P$26:$P$30,"&lt;="&amp;I3)</f>
        <v>0</v>
      </c>
      <c r="J7" s="78">
        <f>SUMIFS(Indata!$D$26:$D$30,Indata!$C$26:$C$30,"Bef",Indata!$P$26:$P$30,"&lt;="&amp;J3)+SUMIFS(Indata!$D$26:$D$30,Indata!$C$26:$C$30,"Omb",Indata!$P$26:$P$30,"&lt;="&amp;J3)+SUMIFS(Indata!$D$26:$D$30,Indata!$C$26:$C$30,"Nyb",Indata!$P$26:$P$30,"&lt;="&amp;J3)+SUMIFS(Indata!$D$26:$D$30,Indata!$C$26:$C$30,"Ins",Indata!$P$26:$P$30,"&lt;="&amp;J3)</f>
        <v>0</v>
      </c>
      <c r="K7" s="78">
        <f>SUMIFS(Indata!$D$26:$D$30,Indata!$C$26:$C$30,"Bef",Indata!$P$26:$P$30,"&lt;="&amp;K3)+SUMIFS(Indata!$D$26:$D$30,Indata!$C$26:$C$30,"Omb",Indata!$P$26:$P$30,"&lt;="&amp;K3)+SUMIFS(Indata!$D$26:$D$30,Indata!$C$26:$C$30,"Nyb",Indata!$P$26:$P$30,"&lt;="&amp;K3)+SUMIFS(Indata!$D$26:$D$30,Indata!$C$26:$C$30,"Ins",Indata!$P$26:$P$30,"&lt;="&amp;K3)</f>
        <v>0</v>
      </c>
      <c r="L7" s="78">
        <f>SUMIFS(Indata!$D$26:$D$30,Indata!$C$26:$C$30,"Bef",Indata!$P$26:$P$30,"&lt;="&amp;L3)+SUMIFS(Indata!$D$26:$D$30,Indata!$C$26:$C$30,"Omb",Indata!$P$26:$P$30,"&lt;="&amp;L3)+SUMIFS(Indata!$D$26:$D$30,Indata!$C$26:$C$30,"Nyb",Indata!$P$26:$P$30,"&lt;="&amp;L3)+SUMIFS(Indata!$D$26:$D$30,Indata!$C$26:$C$30,"Ins",Indata!$P$26:$P$30,"&lt;="&amp;L3)</f>
        <v>0</v>
      </c>
      <c r="M7" s="78">
        <f>SUMIFS(Indata!$D$26:$D$30,Indata!$C$26:$C$30,"Bef",Indata!$P$26:$P$30,"&lt;="&amp;M3)+SUMIFS(Indata!$D$26:$D$30,Indata!$C$26:$C$30,"Omb",Indata!$P$26:$P$30,"&lt;="&amp;M3)+SUMIFS(Indata!$D$26:$D$30,Indata!$C$26:$C$30,"Nyb",Indata!$P$26:$P$30,"&lt;="&amp;M3)+SUMIFS(Indata!$D$26:$D$30,Indata!$C$26:$C$30,"Ins",Indata!$P$26:$P$30,"&lt;="&amp;M3)</f>
        <v>0</v>
      </c>
      <c r="N7" s="78">
        <f>SUMIFS(Indata!$D$26:$D$30,Indata!$C$26:$C$30,"Bef",Indata!$P$26:$P$30,"&lt;="&amp;N3)+SUMIFS(Indata!$D$26:$D$30,Indata!$C$26:$C$30,"Omb",Indata!$P$26:$P$30,"&lt;="&amp;N3)+SUMIFS(Indata!$D$26:$D$30,Indata!$C$26:$C$30,"Nyb",Indata!$P$26:$P$30,"&lt;="&amp;N3)+SUMIFS(Indata!$D$26:$D$30,Indata!$C$26:$C$30,"Ins",Indata!$P$26:$P$30,"&lt;="&amp;N3)</f>
        <v>0</v>
      </c>
      <c r="O7" s="78">
        <f>SUMIFS(Indata!$D$26:$D$30,Indata!$C$26:$C$30,"Bef",Indata!$P$26:$P$30,"&lt;="&amp;O3)+SUMIFS(Indata!$D$26:$D$30,Indata!$C$26:$C$30,"Omb",Indata!$P$26:$P$30,"&lt;="&amp;O3)+SUMIFS(Indata!$D$26:$D$30,Indata!$C$26:$C$30,"Nyb",Indata!$P$26:$P$30,"&lt;="&amp;O3)+SUMIFS(Indata!$D$26:$D$30,Indata!$C$26:$C$30,"Ins",Indata!$P$26:$P$30,"&lt;="&amp;O3)</f>
        <v>0</v>
      </c>
      <c r="P7" s="78">
        <f>SUMIFS(Indata!$D$26:$D$30,Indata!$C$26:$C$30,"Bef",Indata!$P$26:$P$30,"&lt;="&amp;P3)+SUMIFS(Indata!$D$26:$D$30,Indata!$C$26:$C$30,"Omb",Indata!$P$26:$P$30,"&lt;="&amp;P3)+SUMIFS(Indata!$D$26:$D$30,Indata!$C$26:$C$30,"Nyb",Indata!$P$26:$P$30,"&lt;="&amp;P3)+SUMIFS(Indata!$D$26:$D$30,Indata!$C$26:$C$30,"Ins",Indata!$P$26:$P$30,"&lt;="&amp;P3)</f>
        <v>0</v>
      </c>
      <c r="Q7" s="78">
        <f>SUMIFS(Indata!$D$26:$D$30,Indata!$C$26:$C$30,"Bef",Indata!$P$26:$P$30,"&lt;="&amp;Q3)+SUMIFS(Indata!$D$26:$D$30,Indata!$C$26:$C$30,"Omb",Indata!$P$26:$P$30,"&lt;="&amp;Q3)+SUMIFS(Indata!$D$26:$D$30,Indata!$C$26:$C$30,"Nyb",Indata!$P$26:$P$30,"&lt;="&amp;Q3)+SUMIFS(Indata!$D$26:$D$30,Indata!$C$26:$C$30,"Ins",Indata!$P$26:$P$30,"&lt;="&amp;Q3)</f>
        <v>0</v>
      </c>
      <c r="R7" s="78">
        <f>SUMIFS(Indata!$D$26:$D$30,Indata!$C$26:$C$30,"Bef",Indata!$P$26:$P$30,"&lt;="&amp;R3)+SUMIFS(Indata!$D$26:$D$30,Indata!$C$26:$C$30,"Omb",Indata!$P$26:$P$30,"&lt;="&amp;R3)+SUMIFS(Indata!$D$26:$D$30,Indata!$C$26:$C$30,"Nyb",Indata!$P$26:$P$30,"&lt;="&amp;R3)+SUMIFS(Indata!$D$26:$D$30,Indata!$C$26:$C$30,"Ins",Indata!$P$26:$P$30,"&lt;="&amp;R3)</f>
        <v>0</v>
      </c>
      <c r="S7" s="78">
        <f>SUMIFS(Indata!$D$26:$D$30,Indata!$C$26:$C$30,"Bef",Indata!$P$26:$P$30,"&lt;="&amp;S3)+SUMIFS(Indata!$D$26:$D$30,Indata!$C$26:$C$30,"Omb",Indata!$P$26:$P$30,"&lt;="&amp;S3)+SUMIFS(Indata!$D$26:$D$30,Indata!$C$26:$C$30,"Nyb",Indata!$P$26:$P$30,"&lt;="&amp;S3)+SUMIFS(Indata!$D$26:$D$30,Indata!$C$26:$C$30,"Ins",Indata!$P$26:$P$30,"&lt;="&amp;S3)</f>
        <v>0</v>
      </c>
      <c r="T7" s="78">
        <f>SUMIFS(Indata!$D$26:$D$30,Indata!$C$26:$C$30,"Bef",Indata!$P$26:$P$30,"&lt;="&amp;T3)+SUMIFS(Indata!$D$26:$D$30,Indata!$C$26:$C$30,"Omb",Indata!$P$26:$P$30,"&lt;="&amp;T3)+SUMIFS(Indata!$D$26:$D$30,Indata!$C$26:$C$30,"Nyb",Indata!$P$26:$P$30,"&lt;="&amp;T3)+SUMIFS(Indata!$D$26:$D$30,Indata!$C$26:$C$30,"Ins",Indata!$P$26:$P$30,"&lt;="&amp;T3)</f>
        <v>0</v>
      </c>
      <c r="U7" s="78">
        <f>SUMIFS(Indata!$D$26:$D$30,Indata!$C$26:$C$30,"Bef",Indata!$P$26:$P$30,"&lt;="&amp;U3)+SUMIFS(Indata!$D$26:$D$30,Indata!$C$26:$C$30,"Omb",Indata!$P$26:$P$30,"&lt;="&amp;U3)+SUMIFS(Indata!$D$26:$D$30,Indata!$C$26:$C$30,"Nyb",Indata!$P$26:$P$30,"&lt;="&amp;U3)+SUMIFS(Indata!$D$26:$D$30,Indata!$C$26:$C$30,"Ins",Indata!$P$26:$P$30,"&lt;="&amp;U3)</f>
        <v>0</v>
      </c>
      <c r="V7" s="78">
        <f>SUMIFS(Indata!$D$26:$D$30,Indata!$C$26:$C$30,"Bef",Indata!$P$26:$P$30,"&lt;="&amp;V3)+SUMIFS(Indata!$D$26:$D$30,Indata!$C$26:$C$30,"Omb",Indata!$P$26:$P$30,"&lt;="&amp;V3)+SUMIFS(Indata!$D$26:$D$30,Indata!$C$26:$C$30,"Nyb",Indata!$P$26:$P$30,"&lt;="&amp;V3)+SUMIFS(Indata!$D$26:$D$30,Indata!$C$26:$C$30,"Ins",Indata!$P$26:$P$30,"&lt;="&amp;V3)</f>
        <v>0</v>
      </c>
      <c r="W7" s="78">
        <f>SUMIFS(Indata!$D$26:$D$30,Indata!$C$26:$C$30,"Bef",Indata!$P$26:$P$30,"&lt;="&amp;W3)+SUMIFS(Indata!$D$26:$D$30,Indata!$C$26:$C$30,"Omb",Indata!$P$26:$P$30,"&lt;="&amp;W3)+SUMIFS(Indata!$D$26:$D$30,Indata!$C$26:$C$30,"Nyb",Indata!$P$26:$P$30,"&lt;="&amp;W3)+SUMIFS(Indata!$D$26:$D$30,Indata!$C$26:$C$30,"Ins",Indata!$P$26:$P$30,"&lt;="&amp;W3)</f>
        <v>0</v>
      </c>
      <c r="X7" s="78">
        <f>SUMIFS(Indata!$D$26:$D$30,Indata!$C$26:$C$30,"Bef",Indata!$P$26:$P$30,"&lt;="&amp;X3)+SUMIFS(Indata!$D$26:$D$30,Indata!$C$26:$C$30,"Omb",Indata!$P$26:$P$30,"&lt;="&amp;X3)+SUMIFS(Indata!$D$26:$D$30,Indata!$C$26:$C$30,"Nyb",Indata!$P$26:$P$30,"&lt;="&amp;X3)+SUMIFS(Indata!$D$26:$D$30,Indata!$C$26:$C$30,"Ins",Indata!$P$26:$P$30,"&lt;="&amp;X3)</f>
        <v>0</v>
      </c>
      <c r="Y7" s="78">
        <f>SUMIFS(Indata!$D$26:$D$30,Indata!$C$26:$C$30,"Bef",Indata!$P$26:$P$30,"&lt;="&amp;Y3)+SUMIFS(Indata!$D$26:$D$30,Indata!$C$26:$C$30,"Omb",Indata!$P$26:$P$30,"&lt;="&amp;Y3)+SUMIFS(Indata!$D$26:$D$30,Indata!$C$26:$C$30,"Nyb",Indata!$P$26:$P$30,"&lt;="&amp;Y3)+SUMIFS(Indata!$D$26:$D$30,Indata!$C$26:$C$30,"Ins",Indata!$P$26:$P$30,"&lt;="&amp;Y3)</f>
        <v>0</v>
      </c>
      <c r="Z7" s="78">
        <f>SUMIFS(Indata!$D$26:$D$30,Indata!$C$26:$C$30,"Bef",Indata!$P$26:$P$30,"&lt;="&amp;Z3)+SUMIFS(Indata!$D$26:$D$30,Indata!$C$26:$C$30,"Omb",Indata!$P$26:$P$30,"&lt;="&amp;Z3)+SUMIFS(Indata!$D$26:$D$30,Indata!$C$26:$C$30,"Nyb",Indata!$P$26:$P$30,"&lt;="&amp;Z3)+SUMIFS(Indata!$D$26:$D$30,Indata!$C$26:$C$30,"Ins",Indata!$P$26:$P$30,"&lt;="&amp;Z3)</f>
        <v>0</v>
      </c>
      <c r="AA7" s="78">
        <f>SUMIFS(Indata!$D$26:$D$30,Indata!$C$26:$C$30,"Bef",Indata!$P$26:$P$30,"&lt;="&amp;AA3)+SUMIFS(Indata!$D$26:$D$30,Indata!$C$26:$C$30,"Omb",Indata!$P$26:$P$30,"&lt;="&amp;AA3)+SUMIFS(Indata!$D$26:$D$30,Indata!$C$26:$C$30,"Nyb",Indata!$P$26:$P$30,"&lt;="&amp;AA3)+SUMIFS(Indata!$D$26:$D$30,Indata!$C$26:$C$30,"Ins",Indata!$P$26:$P$30,"&lt;="&amp;AA3)</f>
        <v>0</v>
      </c>
      <c r="AB7" s="78">
        <f>SUMIFS(Indata!$D$26:$D$30,Indata!$C$26:$C$30,"Bef",Indata!$P$26:$P$30,"&lt;="&amp;AB3)+SUMIFS(Indata!$D$26:$D$30,Indata!$C$26:$C$30,"Omb",Indata!$P$26:$P$30,"&lt;="&amp;AB3)+SUMIFS(Indata!$D$26:$D$30,Indata!$C$26:$C$30,"Nyb",Indata!$P$26:$P$30,"&lt;="&amp;AB3)+SUMIFS(Indata!$D$26:$D$30,Indata!$C$26:$C$30,"Ins",Indata!$P$26:$P$30,"&lt;="&amp;AB3)</f>
        <v>0</v>
      </c>
    </row>
    <row r="8" spans="1:28" ht="30" customHeight="1">
      <c r="A8" s="19" t="s">
        <v>10</v>
      </c>
      <c r="B8" s="47" t="s">
        <v>251</v>
      </c>
      <c r="C8" s="20"/>
      <c r="D8" s="78">
        <f t="shared" ref="D8:AB8" si="0">D6+D7</f>
        <v>5000</v>
      </c>
      <c r="E8" s="78">
        <f t="shared" si="0"/>
        <v>5000</v>
      </c>
      <c r="F8" s="78">
        <f t="shared" si="0"/>
        <v>5000</v>
      </c>
      <c r="G8" s="78">
        <f t="shared" si="0"/>
        <v>5000</v>
      </c>
      <c r="H8" s="78">
        <f t="shared" si="0"/>
        <v>5000</v>
      </c>
      <c r="I8" s="78">
        <f t="shared" si="0"/>
        <v>5000</v>
      </c>
      <c r="J8" s="78">
        <f t="shared" si="0"/>
        <v>5000</v>
      </c>
      <c r="K8" s="78">
        <f t="shared" si="0"/>
        <v>5000</v>
      </c>
      <c r="L8" s="78">
        <f t="shared" si="0"/>
        <v>5000</v>
      </c>
      <c r="M8" s="78">
        <f t="shared" si="0"/>
        <v>5000</v>
      </c>
      <c r="N8" s="78">
        <f t="shared" si="0"/>
        <v>5000</v>
      </c>
      <c r="O8" s="78">
        <f t="shared" si="0"/>
        <v>5000</v>
      </c>
      <c r="P8" s="78">
        <f t="shared" si="0"/>
        <v>5000</v>
      </c>
      <c r="Q8" s="78">
        <f t="shared" si="0"/>
        <v>5000</v>
      </c>
      <c r="R8" s="78">
        <f t="shared" si="0"/>
        <v>5000</v>
      </c>
      <c r="S8" s="78">
        <f t="shared" si="0"/>
        <v>5000</v>
      </c>
      <c r="T8" s="78">
        <f t="shared" si="0"/>
        <v>5000</v>
      </c>
      <c r="U8" s="78">
        <f t="shared" si="0"/>
        <v>5000</v>
      </c>
      <c r="V8" s="78">
        <f t="shared" si="0"/>
        <v>5000</v>
      </c>
      <c r="W8" s="78">
        <f t="shared" si="0"/>
        <v>5000</v>
      </c>
      <c r="X8" s="78">
        <f t="shared" si="0"/>
        <v>5000</v>
      </c>
      <c r="Y8" s="78">
        <f t="shared" si="0"/>
        <v>5000</v>
      </c>
      <c r="Z8" s="78">
        <f t="shared" si="0"/>
        <v>5000</v>
      </c>
      <c r="AA8" s="78">
        <f t="shared" si="0"/>
        <v>5000</v>
      </c>
      <c r="AB8" s="78">
        <f t="shared" si="0"/>
        <v>5000</v>
      </c>
    </row>
    <row r="9" spans="1:28" ht="30" customHeight="1">
      <c r="A9" s="19" t="s">
        <v>11</v>
      </c>
      <c r="B9" s="20"/>
      <c r="C9" s="20"/>
      <c r="D9" s="20"/>
      <c r="E9" s="20"/>
      <c r="F9" s="20"/>
      <c r="G9" s="20"/>
      <c r="H9" s="20"/>
      <c r="I9" s="20"/>
      <c r="J9" s="20"/>
      <c r="K9" s="20"/>
      <c r="L9" s="20"/>
      <c r="M9" s="20"/>
      <c r="N9" s="20"/>
      <c r="O9" s="20"/>
      <c r="P9" s="20"/>
      <c r="Q9" s="20"/>
      <c r="R9" s="20"/>
      <c r="S9" s="20"/>
      <c r="T9" s="20"/>
      <c r="U9" s="20"/>
      <c r="V9" s="20"/>
      <c r="W9" s="20"/>
      <c r="X9" s="20"/>
      <c r="Y9" s="20"/>
      <c r="Z9" s="20"/>
      <c r="AA9" s="20"/>
      <c r="AB9" s="20"/>
    </row>
    <row r="10" spans="1:28" ht="30" customHeight="1">
      <c r="A10" s="19" t="s">
        <v>14</v>
      </c>
      <c r="B10" s="192" t="s">
        <v>252</v>
      </c>
      <c r="C10" s="162"/>
      <c r="D10" s="162"/>
      <c r="E10" s="162"/>
      <c r="F10" s="24"/>
      <c r="G10" s="24"/>
      <c r="H10" s="20"/>
      <c r="I10" s="20"/>
      <c r="J10" s="20"/>
      <c r="K10" s="20"/>
      <c r="L10" s="20"/>
      <c r="M10" s="20"/>
      <c r="N10" s="20"/>
      <c r="O10" s="20"/>
      <c r="P10" s="20"/>
      <c r="Q10" s="20"/>
      <c r="R10" s="20"/>
      <c r="S10" s="20"/>
      <c r="T10" s="20"/>
      <c r="U10" s="20"/>
      <c r="V10" s="20"/>
      <c r="W10" s="20"/>
      <c r="X10" s="20"/>
      <c r="Y10" s="20"/>
      <c r="Z10" s="20"/>
      <c r="AA10" s="20"/>
      <c r="AB10" s="20"/>
    </row>
    <row r="11" spans="1:28" ht="30" customHeight="1">
      <c r="A11" s="19" t="s">
        <v>15</v>
      </c>
      <c r="B11" s="193" t="s">
        <v>253</v>
      </c>
      <c r="C11" s="150"/>
      <c r="D11" s="150"/>
      <c r="E11" s="150"/>
      <c r="F11" s="150"/>
      <c r="G11" s="150"/>
      <c r="H11" s="150"/>
      <c r="I11" s="150"/>
      <c r="J11" s="150"/>
      <c r="K11" s="150"/>
      <c r="L11" s="150"/>
      <c r="M11" s="150"/>
      <c r="N11" s="20"/>
      <c r="O11" s="20"/>
      <c r="P11" s="20"/>
      <c r="Q11" s="20"/>
      <c r="R11" s="20"/>
      <c r="S11" s="20"/>
      <c r="T11" s="20"/>
      <c r="U11" s="20"/>
      <c r="V11" s="20"/>
      <c r="W11" s="20"/>
      <c r="X11" s="20"/>
      <c r="Y11" s="20"/>
      <c r="Z11" s="20"/>
      <c r="AA11" s="20"/>
      <c r="AB11" s="20"/>
    </row>
    <row r="12" spans="1:28" ht="15" customHeight="1">
      <c r="A12" s="19"/>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row>
    <row r="13" spans="1:28" ht="15" customHeight="1">
      <c r="A13" s="19"/>
      <c r="B13" s="79" t="s">
        <v>254</v>
      </c>
      <c r="C13" s="80">
        <f>Resultat!D14</f>
        <v>11631221.719457014</v>
      </c>
      <c r="D13" s="20"/>
      <c r="E13" s="20"/>
      <c r="F13" s="20"/>
      <c r="G13" s="20"/>
      <c r="H13" s="20"/>
      <c r="I13" s="20"/>
      <c r="J13" s="20"/>
      <c r="K13" s="20"/>
      <c r="L13" s="20"/>
      <c r="M13" s="20"/>
      <c r="N13" s="20"/>
      <c r="O13" s="20"/>
      <c r="P13" s="20"/>
      <c r="Q13" s="20"/>
      <c r="R13" s="20"/>
      <c r="S13" s="20"/>
      <c r="T13" s="20"/>
      <c r="U13" s="20"/>
      <c r="V13" s="20"/>
      <c r="W13" s="20"/>
      <c r="X13" s="20"/>
      <c r="Y13" s="20"/>
      <c r="Z13" s="20"/>
      <c r="AA13" s="20"/>
      <c r="AB13" s="20"/>
    </row>
    <row r="14" spans="1:28" ht="15" customHeight="1">
      <c r="A14" s="19"/>
      <c r="B14" s="79" t="s">
        <v>255</v>
      </c>
      <c r="C14" s="81" t="str">
        <f>Resultat!D15</f>
        <v>NPV</v>
      </c>
      <c r="D14" s="20"/>
      <c r="E14" s="20"/>
      <c r="F14" s="20"/>
      <c r="G14" s="20"/>
      <c r="H14" s="20"/>
      <c r="I14" s="20"/>
      <c r="J14" s="20"/>
      <c r="K14" s="20"/>
      <c r="L14" s="20"/>
      <c r="M14" s="20"/>
      <c r="N14" s="20"/>
      <c r="O14" s="20"/>
      <c r="P14" s="20"/>
      <c r="Q14" s="20"/>
      <c r="R14" s="20"/>
      <c r="S14" s="20"/>
      <c r="T14" s="20"/>
      <c r="U14" s="20"/>
      <c r="V14" s="20"/>
      <c r="W14" s="20"/>
      <c r="X14" s="20"/>
      <c r="Y14" s="20"/>
      <c r="Z14" s="20"/>
      <c r="AA14" s="20"/>
      <c r="AB14" s="20"/>
    </row>
    <row r="15" spans="1:28" ht="15" customHeight="1">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row>
    <row r="16" spans="1:28" ht="15" customHeight="1">
      <c r="A16" s="19"/>
      <c r="B16" s="20" t="s">
        <v>256</v>
      </c>
      <c r="C16" s="20"/>
      <c r="D16" s="82">
        <f>Beräkningslogik!D66+($C$13/1000000)*(Beräkningslogik!D129-Beräkningslogik!D66)</f>
        <v>11631221.719457014</v>
      </c>
      <c r="E16" s="82">
        <f>Beräkningslogik!E66+($C$13/1000000)*(Beräkningslogik!E129-Beräkningslogik!E66)</f>
        <v>11794058.823529411</v>
      </c>
      <c r="F16" s="82">
        <f>Beräkningslogik!F66+($C$13/1000000)*(Beräkningslogik!F129-Beräkningslogik!F66)</f>
        <v>11959175.647058824</v>
      </c>
      <c r="G16" s="82">
        <f>Beräkningslogik!G66+($C$13/1000000)*(Beräkningslogik!G129-Beräkningslogik!G66)</f>
        <v>12126604.106117649</v>
      </c>
      <c r="H16" s="82">
        <f>Beräkningslogik!H66+($C$13/1000000)*(Beräkningslogik!H129-Beräkningslogik!H66)</f>
        <v>12296376.563603297</v>
      </c>
      <c r="I16" s="82">
        <f>Beräkningslogik!I66+($C$13/1000000)*(Beräkningslogik!I129-Beräkningslogik!I66)</f>
        <v>12468525.835493745</v>
      </c>
      <c r="J16" s="82">
        <f>Beräkningslogik!J66+($C$13/1000000)*(Beräkningslogik!J129-Beräkningslogik!J66)</f>
        <v>12643085.197190657</v>
      </c>
      <c r="K16" s="82">
        <f>Beräkningslogik!K66+($C$13/1000000)*(Beräkningslogik!K129-Beräkningslogik!K66)</f>
        <v>12820088.389951326</v>
      </c>
      <c r="L16" s="82">
        <f>Beräkningslogik!L66+($C$13/1000000)*(Beräkningslogik!L129-Beräkningslogik!L66)</f>
        <v>12999569.627410647</v>
      </c>
      <c r="M16" s="82">
        <f>Beräkningslogik!M66+($C$13/1000000)*(Beräkningslogik!M129-Beräkningslogik!M66)</f>
        <v>13181563.602194397</v>
      </c>
      <c r="N16" s="82">
        <f>Beräkningslogik!N66+($C$13/1000000)*(Beräkningslogik!N129-Beräkningslogik!N66)</f>
        <v>13366105.492625119</v>
      </c>
      <c r="O16" s="82">
        <f>Beräkningslogik!O66+($C$13/1000000)*(Beräkningslogik!O129-Beräkningslogik!O66)</f>
        <v>13553230.969521871</v>
      </c>
      <c r="P16" s="82">
        <f>Beräkningslogik!P66+($C$13/1000000)*(Beräkningslogik!P129-Beräkningslogik!P66)</f>
        <v>13742976.203095181</v>
      </c>
      <c r="Q16" s="82">
        <f>Beräkningslogik!Q66+($C$13/1000000)*(Beräkningslogik!Q129-Beräkningslogik!Q66)</f>
        <v>13935377.869938513</v>
      </c>
      <c r="R16" s="82">
        <f>Beräkningslogik!R66+($C$13/1000000)*(Beräkningslogik!R129-Beräkningslogik!R66)</f>
        <v>14130473.160117652</v>
      </c>
      <c r="S16" s="82">
        <f>Beräkningslogik!S66+($C$13/1000000)*(Beräkningslogik!S129-Beräkningslogik!S66)</f>
        <v>14328299.784359301</v>
      </c>
      <c r="T16" s="82">
        <f>Beräkningslogik!T66+($C$13/1000000)*(Beräkningslogik!T129-Beräkningslogik!T66)</f>
        <v>14528895.981340332</v>
      </c>
      <c r="U16" s="82">
        <f>Beräkningslogik!U66+($C$13/1000000)*(Beräkningslogik!U129-Beräkningslogik!U66)</f>
        <v>14732300.525079101</v>
      </c>
      <c r="V16" s="82">
        <f>Beräkningslogik!V66+($C$13/1000000)*(Beräkningslogik!V129-Beräkningslogik!V66)</f>
        <v>14938552.732430208</v>
      </c>
      <c r="W16" s="82">
        <f>Beräkningslogik!W66+($C$13/1000000)*(Beräkningslogik!W129-Beräkningslogik!W66)</f>
        <v>15147692.47068423</v>
      </c>
      <c r="X16" s="82">
        <f>Beräkningslogik!X66+($C$13/1000000)*(Beräkningslogik!X129-Beräkningslogik!X66)</f>
        <v>15359760.16527381</v>
      </c>
      <c r="Y16" s="82">
        <f>Beräkningslogik!Y66+($C$13/1000000)*(Beräkningslogik!Y129-Beräkningslogik!Y66)</f>
        <v>15574796.807587646</v>
      </c>
      <c r="Z16" s="82">
        <f>Beräkningslogik!Z66+($C$13/1000000)*(Beräkningslogik!Z129-Beräkningslogik!Z66)</f>
        <v>15792843.962893873</v>
      </c>
      <c r="AA16" s="82">
        <f>Beräkningslogik!AA66+($C$13/1000000)*(Beräkningslogik!AA129-Beräkningslogik!AA66)</f>
        <v>16013943.778374389</v>
      </c>
      <c r="AB16" s="82">
        <f>Beräkningslogik!AB66+($C$13/1000000)*(Beräkningslogik!AB129-Beräkningslogik!AB66)</f>
        <v>16238138.991271634</v>
      </c>
    </row>
    <row r="17" spans="1:28" ht="15" customHeight="1">
      <c r="A17" s="19"/>
      <c r="B17" s="20" t="s">
        <v>257</v>
      </c>
      <c r="C17" s="20"/>
      <c r="D17" s="82">
        <f>Beräkningslogik!D67+($C$13/1000000)*(Beräkningslogik!D130-Beräkningslogik!D67)</f>
        <v>0</v>
      </c>
      <c r="E17" s="82">
        <f>Beräkningslogik!E67+($C$13/1000000)*(Beräkningslogik!E130-Beräkningslogik!E67)</f>
        <v>0</v>
      </c>
      <c r="F17" s="82">
        <f>Beräkningslogik!F67+($C$13/1000000)*(Beräkningslogik!F130-Beräkningslogik!F67)</f>
        <v>0</v>
      </c>
      <c r="G17" s="82">
        <f>Beräkningslogik!G67+($C$13/1000000)*(Beräkningslogik!G130-Beräkningslogik!G67)</f>
        <v>0</v>
      </c>
      <c r="H17" s="82">
        <f>Beräkningslogik!H67+($C$13/1000000)*(Beräkningslogik!H130-Beräkningslogik!H67)</f>
        <v>0</v>
      </c>
      <c r="I17" s="82">
        <f>Beräkningslogik!I67+($C$13/1000000)*(Beräkningslogik!I130-Beräkningslogik!I67)</f>
        <v>0</v>
      </c>
      <c r="J17" s="82">
        <f>Beräkningslogik!J67+($C$13/1000000)*(Beräkningslogik!J130-Beräkningslogik!J67)</f>
        <v>0</v>
      </c>
      <c r="K17" s="82">
        <f>Beräkningslogik!K67+($C$13/1000000)*(Beräkningslogik!K130-Beräkningslogik!K67)</f>
        <v>0</v>
      </c>
      <c r="L17" s="82">
        <f>Beräkningslogik!L67+($C$13/1000000)*(Beräkningslogik!L130-Beräkningslogik!L67)</f>
        <v>0</v>
      </c>
      <c r="M17" s="82">
        <f>Beräkningslogik!M67+($C$13/1000000)*(Beräkningslogik!M130-Beräkningslogik!M67)</f>
        <v>0</v>
      </c>
      <c r="N17" s="82">
        <f>Beräkningslogik!N67+($C$13/1000000)*(Beräkningslogik!N130-Beräkningslogik!N67)</f>
        <v>0</v>
      </c>
      <c r="O17" s="82">
        <f>Beräkningslogik!O67+($C$13/1000000)*(Beräkningslogik!O130-Beräkningslogik!O67)</f>
        <v>0</v>
      </c>
      <c r="P17" s="82">
        <f>Beräkningslogik!P67+($C$13/1000000)*(Beräkningslogik!P130-Beräkningslogik!P67)</f>
        <v>0</v>
      </c>
      <c r="Q17" s="82">
        <f>Beräkningslogik!Q67+($C$13/1000000)*(Beräkningslogik!Q130-Beräkningslogik!Q67)</f>
        <v>0</v>
      </c>
      <c r="R17" s="82">
        <f>Beräkningslogik!R67+($C$13/1000000)*(Beräkningslogik!R130-Beräkningslogik!R67)</f>
        <v>0</v>
      </c>
      <c r="S17" s="82">
        <f>Beräkningslogik!S67+($C$13/1000000)*(Beräkningslogik!S130-Beräkningslogik!S67)</f>
        <v>0</v>
      </c>
      <c r="T17" s="82">
        <f>Beräkningslogik!T67+($C$13/1000000)*(Beräkningslogik!T130-Beräkningslogik!T67)</f>
        <v>0</v>
      </c>
      <c r="U17" s="82">
        <f>Beräkningslogik!U67+($C$13/1000000)*(Beräkningslogik!U130-Beräkningslogik!U67)</f>
        <v>0</v>
      </c>
      <c r="V17" s="82">
        <f>Beräkningslogik!V67+($C$13/1000000)*(Beräkningslogik!V130-Beräkningslogik!V67)</f>
        <v>0</v>
      </c>
      <c r="W17" s="82">
        <f>Beräkningslogik!W67+($C$13/1000000)*(Beräkningslogik!W130-Beräkningslogik!W67)</f>
        <v>0</v>
      </c>
      <c r="X17" s="82">
        <f>Beräkningslogik!X67+($C$13/1000000)*(Beräkningslogik!X130-Beräkningslogik!X67)</f>
        <v>0</v>
      </c>
      <c r="Y17" s="82">
        <f>Beräkningslogik!Y67+($C$13/1000000)*(Beräkningslogik!Y130-Beräkningslogik!Y67)</f>
        <v>0</v>
      </c>
      <c r="Z17" s="82">
        <f>Beräkningslogik!Z67+($C$13/1000000)*(Beräkningslogik!Z130-Beräkningslogik!Z67)</f>
        <v>0</v>
      </c>
      <c r="AA17" s="82">
        <f>Beräkningslogik!AA67+($C$13/1000000)*(Beräkningslogik!AA130-Beräkningslogik!AA67)</f>
        <v>0</v>
      </c>
      <c r="AB17" s="82">
        <f>Beräkningslogik!AB67+($C$13/1000000)*(Beräkningslogik!AB130-Beräkningslogik!AB67)</f>
        <v>0</v>
      </c>
    </row>
    <row r="18" spans="1:28" ht="15" customHeight="1">
      <c r="A18" s="19"/>
      <c r="B18" s="79" t="s">
        <v>258</v>
      </c>
      <c r="C18" s="20"/>
      <c r="D18" s="82">
        <f>Beräkningslogik!D68+($C$13/1000000)*(Beräkningslogik!D131-Beräkningslogik!D68)</f>
        <v>11631221.719457014</v>
      </c>
      <c r="E18" s="82">
        <f>Beräkningslogik!E68+($C$13/1000000)*(Beräkningslogik!E131-Beräkningslogik!E68)</f>
        <v>11794058.823529411</v>
      </c>
      <c r="F18" s="82">
        <f>Beräkningslogik!F68+($C$13/1000000)*(Beräkningslogik!F131-Beräkningslogik!F68)</f>
        <v>11959175.647058824</v>
      </c>
      <c r="G18" s="82">
        <f>Beräkningslogik!G68+($C$13/1000000)*(Beräkningslogik!G131-Beräkningslogik!G68)</f>
        <v>12126604.106117649</v>
      </c>
      <c r="H18" s="82">
        <f>Beräkningslogik!H68+($C$13/1000000)*(Beräkningslogik!H131-Beräkningslogik!H68)</f>
        <v>12296376.563603297</v>
      </c>
      <c r="I18" s="82">
        <f>Beräkningslogik!I68+($C$13/1000000)*(Beräkningslogik!I131-Beräkningslogik!I68)</f>
        <v>12468525.835493745</v>
      </c>
      <c r="J18" s="82">
        <f>Beräkningslogik!J68+($C$13/1000000)*(Beräkningslogik!J131-Beräkningslogik!J68)</f>
        <v>12643085.197190657</v>
      </c>
      <c r="K18" s="82">
        <f>Beräkningslogik!K68+($C$13/1000000)*(Beräkningslogik!K131-Beräkningslogik!K68)</f>
        <v>12820088.389951326</v>
      </c>
      <c r="L18" s="82">
        <f>Beräkningslogik!L68+($C$13/1000000)*(Beräkningslogik!L131-Beräkningslogik!L68)</f>
        <v>12999569.627410647</v>
      </c>
      <c r="M18" s="82">
        <f>Beräkningslogik!M68+($C$13/1000000)*(Beräkningslogik!M131-Beräkningslogik!M68)</f>
        <v>13181563.602194397</v>
      </c>
      <c r="N18" s="82">
        <f>Beräkningslogik!N68+($C$13/1000000)*(Beräkningslogik!N131-Beräkningslogik!N68)</f>
        <v>13366105.492625119</v>
      </c>
      <c r="O18" s="82">
        <f>Beräkningslogik!O68+($C$13/1000000)*(Beräkningslogik!O131-Beräkningslogik!O68)</f>
        <v>13553230.969521871</v>
      </c>
      <c r="P18" s="82">
        <f>Beräkningslogik!P68+($C$13/1000000)*(Beräkningslogik!P131-Beräkningslogik!P68)</f>
        <v>13742976.203095181</v>
      </c>
      <c r="Q18" s="82">
        <f>Beräkningslogik!Q68+($C$13/1000000)*(Beräkningslogik!Q131-Beräkningslogik!Q68)</f>
        <v>13935377.869938513</v>
      </c>
      <c r="R18" s="82">
        <f>Beräkningslogik!R68+($C$13/1000000)*(Beräkningslogik!R131-Beräkningslogik!R68)</f>
        <v>14130473.160117652</v>
      </c>
      <c r="S18" s="82">
        <f>Beräkningslogik!S68+($C$13/1000000)*(Beräkningslogik!S131-Beräkningslogik!S68)</f>
        <v>14328299.784359301</v>
      </c>
      <c r="T18" s="82">
        <f>Beräkningslogik!T68+($C$13/1000000)*(Beräkningslogik!T131-Beräkningslogik!T68)</f>
        <v>14528895.981340332</v>
      </c>
      <c r="U18" s="82">
        <f>Beräkningslogik!U68+($C$13/1000000)*(Beräkningslogik!U131-Beräkningslogik!U68)</f>
        <v>14732300.525079101</v>
      </c>
      <c r="V18" s="82">
        <f>Beräkningslogik!V68+($C$13/1000000)*(Beräkningslogik!V131-Beräkningslogik!V68)</f>
        <v>14938552.732430208</v>
      </c>
      <c r="W18" s="82">
        <f>Beräkningslogik!W68+($C$13/1000000)*(Beräkningslogik!W131-Beräkningslogik!W68)</f>
        <v>15147692.47068423</v>
      </c>
      <c r="X18" s="82">
        <f>Beräkningslogik!X68+($C$13/1000000)*(Beräkningslogik!X131-Beräkningslogik!X68)</f>
        <v>15359760.16527381</v>
      </c>
      <c r="Y18" s="82">
        <f>Beräkningslogik!Y68+($C$13/1000000)*(Beräkningslogik!Y131-Beräkningslogik!Y68)</f>
        <v>15574796.807587646</v>
      </c>
      <c r="Z18" s="82">
        <f>Beräkningslogik!Z68+($C$13/1000000)*(Beräkningslogik!Z131-Beräkningslogik!Z68)</f>
        <v>15792843.962893873</v>
      </c>
      <c r="AA18" s="82">
        <f>Beräkningslogik!AA68+($C$13/1000000)*(Beräkningslogik!AA131-Beräkningslogik!AA68)</f>
        <v>16013943.778374389</v>
      </c>
      <c r="AB18" s="82">
        <f>Beräkningslogik!AB68+($C$13/1000000)*(Beräkningslogik!AB131-Beräkningslogik!AB68)</f>
        <v>16238138.991271634</v>
      </c>
    </row>
    <row r="19" spans="1:28" ht="15" customHeight="1">
      <c r="A19" s="19"/>
      <c r="B19" s="20" t="s">
        <v>259</v>
      </c>
      <c r="C19" s="20"/>
      <c r="D19" s="82">
        <f>Beräkningslogik!D77</f>
        <v>-2000000</v>
      </c>
      <c r="E19" s="82">
        <f>Beräkningslogik!E77</f>
        <v>-2040000</v>
      </c>
      <c r="F19" s="82">
        <f>Beräkningslogik!F77</f>
        <v>-2080800</v>
      </c>
      <c r="G19" s="82">
        <f>Beräkningslogik!G77</f>
        <v>-2122416</v>
      </c>
      <c r="H19" s="82">
        <f>Beräkningslogik!H77</f>
        <v>-2164864.3199999998</v>
      </c>
      <c r="I19" s="82">
        <f>Beräkningslogik!I77</f>
        <v>-2208161.6063999999</v>
      </c>
      <c r="J19" s="82">
        <f>Beräkningslogik!J77</f>
        <v>-2252324.8385280003</v>
      </c>
      <c r="K19" s="82">
        <f>Beräkningslogik!K77</f>
        <v>-2297371.3352985596</v>
      </c>
      <c r="L19" s="82">
        <f>Beräkningslogik!L77</f>
        <v>-2343318.762004531</v>
      </c>
      <c r="M19" s="82">
        <f>Beräkningslogik!M77</f>
        <v>-2390185.1372446218</v>
      </c>
      <c r="N19" s="82">
        <f>Beräkningslogik!N77</f>
        <v>-2437988.8399895141</v>
      </c>
      <c r="O19" s="82">
        <f>Beräkningslogik!O77</f>
        <v>-2486748.6167893042</v>
      </c>
      <c r="P19" s="82">
        <f>Beräkningslogik!P77</f>
        <v>-2536483.5891250907</v>
      </c>
      <c r="Q19" s="82">
        <f>Beräkningslogik!Q77</f>
        <v>-2587213.2609075923</v>
      </c>
      <c r="R19" s="82">
        <f>Beräkningslogik!R77</f>
        <v>-2638957.5261257445</v>
      </c>
      <c r="S19" s="82">
        <f>Beräkningslogik!S77</f>
        <v>-2691736.6766482582</v>
      </c>
      <c r="T19" s="82">
        <f>Beräkningslogik!T77</f>
        <v>-2745571.4101812239</v>
      </c>
      <c r="U19" s="82">
        <f>Beräkningslogik!U77</f>
        <v>-2800482.838384849</v>
      </c>
      <c r="V19" s="82">
        <f>Beräkningslogik!V77</f>
        <v>-2856492.4951525452</v>
      </c>
      <c r="W19" s="82">
        <f>Beräkningslogik!W77</f>
        <v>-2913622.3450555964</v>
      </c>
      <c r="X19" s="82">
        <f>Beräkningslogik!X77</f>
        <v>-2971894.7919567083</v>
      </c>
      <c r="Y19" s="82">
        <f>Beräkningslogik!Y77</f>
        <v>-3031332.6877958425</v>
      </c>
      <c r="Z19" s="82">
        <f>Beräkningslogik!Z77</f>
        <v>-3091959.3415517593</v>
      </c>
      <c r="AA19" s="82">
        <f>Beräkningslogik!AA77</f>
        <v>-3153798.528382794</v>
      </c>
      <c r="AB19" s="82">
        <f>Beräkningslogik!AB77</f>
        <v>-3216874.4989504497</v>
      </c>
    </row>
    <row r="20" spans="1:28" ht="15" customHeight="1">
      <c r="A20" s="19"/>
      <c r="B20" s="20" t="s">
        <v>260</v>
      </c>
      <c r="C20" s="20"/>
      <c r="D20" s="82">
        <f>Beräkningslogik!D79</f>
        <v>0</v>
      </c>
      <c r="E20" s="82">
        <f>Beräkningslogik!E79</f>
        <v>0</v>
      </c>
      <c r="F20" s="82">
        <f>Beräkningslogik!F79</f>
        <v>0</v>
      </c>
      <c r="G20" s="82">
        <f>Beräkningslogik!G79</f>
        <v>0</v>
      </c>
      <c r="H20" s="82">
        <f>Beräkningslogik!H79</f>
        <v>0</v>
      </c>
      <c r="I20" s="82">
        <f>Beräkningslogik!I79</f>
        <v>0</v>
      </c>
      <c r="J20" s="82">
        <f>Beräkningslogik!J79</f>
        <v>0</v>
      </c>
      <c r="K20" s="82">
        <f>Beräkningslogik!K79</f>
        <v>0</v>
      </c>
      <c r="L20" s="82">
        <f>Beräkningslogik!L79</f>
        <v>0</v>
      </c>
      <c r="M20" s="82">
        <f>Beräkningslogik!M79</f>
        <v>0</v>
      </c>
      <c r="N20" s="82">
        <f>Beräkningslogik!N79</f>
        <v>0</v>
      </c>
      <c r="O20" s="82">
        <f>Beräkningslogik!O79</f>
        <v>0</v>
      </c>
      <c r="P20" s="82">
        <f>Beräkningslogik!P79</f>
        <v>0</v>
      </c>
      <c r="Q20" s="82">
        <f>Beräkningslogik!Q79</f>
        <v>0</v>
      </c>
      <c r="R20" s="82">
        <f>Beräkningslogik!R79</f>
        <v>0</v>
      </c>
      <c r="S20" s="82">
        <f>Beräkningslogik!S79</f>
        <v>0</v>
      </c>
      <c r="T20" s="82">
        <f>Beräkningslogik!T79</f>
        <v>0</v>
      </c>
      <c r="U20" s="82">
        <f>Beräkningslogik!U79</f>
        <v>0</v>
      </c>
      <c r="V20" s="82">
        <f>Beräkningslogik!V79</f>
        <v>0</v>
      </c>
      <c r="W20" s="82">
        <f>Beräkningslogik!W79</f>
        <v>0</v>
      </c>
      <c r="X20" s="82">
        <f>Beräkningslogik!X79</f>
        <v>0</v>
      </c>
      <c r="Y20" s="82">
        <f>Beräkningslogik!Y79</f>
        <v>0</v>
      </c>
      <c r="Z20" s="82">
        <f>Beräkningslogik!Z79</f>
        <v>0</v>
      </c>
      <c r="AA20" s="82">
        <f>Beräkningslogik!AA79</f>
        <v>0</v>
      </c>
      <c r="AB20" s="82">
        <f>Beräkningslogik!AB79</f>
        <v>0</v>
      </c>
    </row>
    <row r="21" spans="1:28" ht="15" customHeight="1">
      <c r="A21" s="19"/>
      <c r="B21" s="20" t="s">
        <v>261</v>
      </c>
      <c r="C21" s="20"/>
      <c r="D21" s="82">
        <f>Beräkningslogik!D80</f>
        <v>0</v>
      </c>
      <c r="E21" s="82">
        <f>Beräkningslogik!E80</f>
        <v>0</v>
      </c>
      <c r="F21" s="82">
        <f>Beräkningslogik!F80</f>
        <v>0</v>
      </c>
      <c r="G21" s="82">
        <f>Beräkningslogik!G80</f>
        <v>0</v>
      </c>
      <c r="H21" s="82">
        <f>Beräkningslogik!H80</f>
        <v>0</v>
      </c>
      <c r="I21" s="82">
        <f>Beräkningslogik!I80</f>
        <v>0</v>
      </c>
      <c r="J21" s="82">
        <f>Beräkningslogik!J80</f>
        <v>0</v>
      </c>
      <c r="K21" s="82">
        <f>Beräkningslogik!K80</f>
        <v>0</v>
      </c>
      <c r="L21" s="82">
        <f>Beräkningslogik!L80</f>
        <v>0</v>
      </c>
      <c r="M21" s="82">
        <f>Beräkningslogik!M80</f>
        <v>0</v>
      </c>
      <c r="N21" s="82">
        <f>Beräkningslogik!N80</f>
        <v>0</v>
      </c>
      <c r="O21" s="82">
        <f>Beräkningslogik!O80</f>
        <v>0</v>
      </c>
      <c r="P21" s="82">
        <f>Beräkningslogik!P80</f>
        <v>0</v>
      </c>
      <c r="Q21" s="82">
        <f>Beräkningslogik!Q80</f>
        <v>0</v>
      </c>
      <c r="R21" s="82">
        <f>Beräkningslogik!R80</f>
        <v>0</v>
      </c>
      <c r="S21" s="82">
        <f>Beräkningslogik!S80</f>
        <v>0</v>
      </c>
      <c r="T21" s="82">
        <f>Beräkningslogik!T80</f>
        <v>0</v>
      </c>
      <c r="U21" s="82">
        <f>Beräkningslogik!U80</f>
        <v>0</v>
      </c>
      <c r="V21" s="82">
        <f>Beräkningslogik!V80</f>
        <v>0</v>
      </c>
      <c r="W21" s="82">
        <f>Beräkningslogik!W80</f>
        <v>0</v>
      </c>
      <c r="X21" s="82">
        <f>Beräkningslogik!X80</f>
        <v>0</v>
      </c>
      <c r="Y21" s="82">
        <f>Beräkningslogik!Y80</f>
        <v>0</v>
      </c>
      <c r="Z21" s="82">
        <f>Beräkningslogik!Z80</f>
        <v>0</v>
      </c>
      <c r="AA21" s="82">
        <f>Beräkningslogik!AA80</f>
        <v>0</v>
      </c>
      <c r="AB21" s="82">
        <f>Beräkningslogik!AB80</f>
        <v>0</v>
      </c>
    </row>
    <row r="22" spans="1:28" ht="15" customHeight="1">
      <c r="A22" s="19"/>
      <c r="B22" s="20" t="s">
        <v>262</v>
      </c>
      <c r="C22" s="20"/>
      <c r="D22" s="82">
        <f>Beräkningslogik!D83</f>
        <v>-400000</v>
      </c>
      <c r="E22" s="82">
        <f>Beräkningslogik!E83</f>
        <v>-408000</v>
      </c>
      <c r="F22" s="82">
        <f>Beräkningslogik!F83</f>
        <v>-416160</v>
      </c>
      <c r="G22" s="82">
        <f>Beräkningslogik!G83</f>
        <v>-424483.19999999995</v>
      </c>
      <c r="H22" s="82">
        <f>Beräkningslogik!H83</f>
        <v>-432972.864</v>
      </c>
      <c r="I22" s="82">
        <f>Beräkningslogik!I83</f>
        <v>-441632.32128000003</v>
      </c>
      <c r="J22" s="82">
        <f>Beräkningslogik!J83</f>
        <v>-450464.96770560002</v>
      </c>
      <c r="K22" s="82">
        <f>Beräkningslogik!K83</f>
        <v>-459474.26705971191</v>
      </c>
      <c r="L22" s="82">
        <f>Beräkningslogik!L83</f>
        <v>-468663.75240090623</v>
      </c>
      <c r="M22" s="82">
        <f>Beräkningslogik!M83</f>
        <v>-478037.02744892432</v>
      </c>
      <c r="N22" s="82">
        <f>Beräkningslogik!N83</f>
        <v>-487597.76799790282</v>
      </c>
      <c r="O22" s="82">
        <f>Beräkningslogik!O83</f>
        <v>-497349.72335786081</v>
      </c>
      <c r="P22" s="82">
        <f>Beräkningslogik!P83</f>
        <v>-507296.7178250181</v>
      </c>
      <c r="Q22" s="82">
        <f>Beräkningslogik!Q83</f>
        <v>-517442.65218151844</v>
      </c>
      <c r="R22" s="82">
        <f>Beräkningslogik!R83</f>
        <v>-527791.50522514887</v>
      </c>
      <c r="S22" s="82">
        <f>Beräkningslogik!S83</f>
        <v>-538347.33532965172</v>
      </c>
      <c r="T22" s="82">
        <f>Beräkningslogik!T83</f>
        <v>-549114.28203624487</v>
      </c>
      <c r="U22" s="82">
        <f>Beräkningslogik!U83</f>
        <v>-560096.5676769698</v>
      </c>
      <c r="V22" s="82">
        <f>Beräkningslogik!V83</f>
        <v>-571298.49903050903</v>
      </c>
      <c r="W22" s="82">
        <f>Beräkningslogik!W83</f>
        <v>-582724.46901111922</v>
      </c>
      <c r="X22" s="82">
        <f>Beräkningslogik!X83</f>
        <v>-594378.95839134173</v>
      </c>
      <c r="Y22" s="82">
        <f>Beräkningslogik!Y83</f>
        <v>-606266.53755916853</v>
      </c>
      <c r="Z22" s="82">
        <f>Beräkningslogik!Z83</f>
        <v>-618391.86831035186</v>
      </c>
      <c r="AA22" s="82">
        <f>Beräkningslogik!AA83</f>
        <v>-630759.70567655878</v>
      </c>
      <c r="AB22" s="82">
        <f>Beräkningslogik!AB83</f>
        <v>-643374.89979009004</v>
      </c>
    </row>
    <row r="23" spans="1:28" ht="21.95" customHeight="1">
      <c r="A23" s="19"/>
      <c r="B23" s="43" t="s">
        <v>263</v>
      </c>
      <c r="C23" s="24"/>
      <c r="D23" s="83">
        <f>Beräkningslogik!D82+($C$13/1000000)*(Beräkningslogik!D132-Beräkningslogik!D82)</f>
        <v>9231221.7194570135</v>
      </c>
      <c r="E23" s="83">
        <f>Beräkningslogik!E82+($C$13/1000000)*(Beräkningslogik!E132-Beräkningslogik!E82)</f>
        <v>9346058.8235294111</v>
      </c>
      <c r="F23" s="83">
        <f>Beräkningslogik!F82+($C$13/1000000)*(Beräkningslogik!F132-Beräkningslogik!F82)</f>
        <v>9462215.6470588222</v>
      </c>
      <c r="G23" s="83">
        <f>Beräkningslogik!G82+($C$13/1000000)*(Beräkningslogik!G132-Beräkningslogik!G82)</f>
        <v>9579704.9061176516</v>
      </c>
      <c r="H23" s="83">
        <f>Beräkningslogik!H82+($C$13/1000000)*(Beräkningslogik!H132-Beräkningslogik!H82)</f>
        <v>9698539.3796032965</v>
      </c>
      <c r="I23" s="83">
        <f>Beräkningslogik!I82+($C$13/1000000)*(Beräkningslogik!I132-Beräkningslogik!I82)</f>
        <v>9818731.9078137428</v>
      </c>
      <c r="J23" s="83">
        <f>Beräkningslogik!J82+($C$13/1000000)*(Beräkningslogik!J132-Beräkningslogik!J82)</f>
        <v>9940295.3909570575</v>
      </c>
      <c r="K23" s="83">
        <f>Beräkningslogik!K82+($C$13/1000000)*(Beräkningslogik!K132-Beräkningslogik!K82)</f>
        <v>10063242.787593052</v>
      </c>
      <c r="L23" s="83">
        <f>Beräkningslogik!L82+($C$13/1000000)*(Beräkningslogik!L132-Beräkningslogik!L82)</f>
        <v>10187587.11300521</v>
      </c>
      <c r="M23" s="83">
        <f>Beräkningslogik!M82+($C$13/1000000)*(Beräkningslogik!M132-Beräkningslogik!M82)</f>
        <v>10313341.437500851</v>
      </c>
      <c r="N23" s="83">
        <f>Beräkningslogik!N82+($C$13/1000000)*(Beräkningslogik!N132-Beräkningslogik!N82)</f>
        <v>10440518.884637702</v>
      </c>
      <c r="O23" s="83">
        <f>Beräkningslogik!O82+($C$13/1000000)*(Beräkningslogik!O132-Beräkningslogik!O82)</f>
        <v>10569132.629374705</v>
      </c>
      <c r="P23" s="83">
        <f>Beräkningslogik!P82+($C$13/1000000)*(Beräkningslogik!P132-Beräkningslogik!P82)</f>
        <v>10699195.896145074</v>
      </c>
      <c r="Q23" s="83">
        <f>Beräkningslogik!Q82+($C$13/1000000)*(Beräkningslogik!Q132-Beräkningslogik!Q82)</f>
        <v>10830721.9568494</v>
      </c>
      <c r="R23" s="83">
        <f>Beräkningslogik!R82+($C$13/1000000)*(Beräkningslogik!R132-Beräkningslogik!R82)</f>
        <v>10963724.12876676</v>
      </c>
      <c r="S23" s="83">
        <f>Beräkningslogik!S82+($C$13/1000000)*(Beräkningslogik!S132-Beräkningslogik!S82)</f>
        <v>11098215.772381391</v>
      </c>
      <c r="T23" s="83">
        <f>Beräkningslogik!T82+($C$13/1000000)*(Beräkningslogik!T132-Beräkningslogik!T82)</f>
        <v>11234210.289122863</v>
      </c>
      <c r="U23" s="83">
        <f>Beräkningslogik!U82+($C$13/1000000)*(Beräkningslogik!U132-Beräkningslogik!U82)</f>
        <v>11371721.119017283</v>
      </c>
      <c r="V23" s="83">
        <f>Beräkningslogik!V82+($C$13/1000000)*(Beräkningslogik!V132-Beräkningslogik!V82)</f>
        <v>11510761.738247154</v>
      </c>
      <c r="W23" s="83">
        <f>Beräkningslogik!W82+($C$13/1000000)*(Beräkningslogik!W132-Beräkningslogik!W82)</f>
        <v>11651345.656617515</v>
      </c>
      <c r="X23" s="83">
        <f>Beräkningslogik!X82+($C$13/1000000)*(Beräkningslogik!X132-Beräkningslogik!X82)</f>
        <v>11793486.41492576</v>
      </c>
      <c r="Y23" s="83">
        <f>Beräkningslogik!Y82+($C$13/1000000)*(Beräkningslogik!Y132-Beräkningslogik!Y82)</f>
        <v>11937197.582232635</v>
      </c>
      <c r="Z23" s="83">
        <f>Beräkningslogik!Z82+($C$13/1000000)*(Beräkningslogik!Z132-Beräkningslogik!Z82)</f>
        <v>12082492.753031764</v>
      </c>
      <c r="AA23" s="83">
        <f>Beräkningslogik!AA82+($C$13/1000000)*(Beräkningslogik!AA132-Beräkningslogik!AA82)</f>
        <v>12229385.544315038</v>
      </c>
      <c r="AB23" s="83">
        <f>Beräkningslogik!AB82+($C$13/1000000)*(Beräkningslogik!AB132-Beräkningslogik!AB82)</f>
        <v>12377889.592531094</v>
      </c>
    </row>
    <row r="24" spans="1:28" ht="15" customHeight="1">
      <c r="A24" s="19"/>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row>
    <row r="25" spans="1:28" ht="15" customHeight="1">
      <c r="A25" s="19"/>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row>
    <row r="26" spans="1:28" ht="21.95" customHeight="1">
      <c r="A26" s="19"/>
      <c r="B26" s="192" t="s">
        <v>264</v>
      </c>
      <c r="C26" s="162"/>
      <c r="D26" s="162"/>
      <c r="E26" s="162"/>
      <c r="F26" s="24"/>
      <c r="G26" s="24"/>
      <c r="H26" s="24"/>
      <c r="I26" s="24"/>
      <c r="J26" s="24"/>
      <c r="K26" s="24"/>
      <c r="L26" s="24"/>
      <c r="M26" s="24"/>
      <c r="N26" s="20"/>
      <c r="O26" s="20"/>
      <c r="P26" s="20"/>
      <c r="Q26" s="20"/>
      <c r="R26" s="20"/>
      <c r="S26" s="20"/>
      <c r="T26" s="20"/>
      <c r="U26" s="20"/>
      <c r="V26" s="20"/>
      <c r="W26" s="20"/>
      <c r="X26" s="20"/>
      <c r="Y26" s="20"/>
      <c r="Z26" s="20"/>
      <c r="AA26" s="20"/>
      <c r="AB26" s="20"/>
    </row>
    <row r="27" spans="1:28" ht="15" customHeight="1">
      <c r="A27" s="19"/>
      <c r="B27" s="193" t="s">
        <v>265</v>
      </c>
      <c r="C27" s="150"/>
      <c r="D27" s="150"/>
      <c r="E27" s="150"/>
      <c r="F27" s="150"/>
      <c r="G27" s="150"/>
      <c r="H27" s="150"/>
      <c r="I27" s="150"/>
      <c r="J27" s="150"/>
      <c r="K27" s="150"/>
      <c r="L27" s="150"/>
      <c r="M27" s="150"/>
      <c r="N27" s="20"/>
      <c r="O27" s="20"/>
      <c r="P27" s="20"/>
      <c r="Q27" s="20"/>
      <c r="R27" s="20"/>
      <c r="S27" s="20"/>
      <c r="T27" s="20"/>
      <c r="U27" s="20"/>
      <c r="V27" s="20"/>
      <c r="W27" s="20"/>
      <c r="X27" s="20"/>
      <c r="Y27" s="20"/>
      <c r="Z27" s="20"/>
      <c r="AA27" s="20"/>
      <c r="AB27" s="20"/>
    </row>
    <row r="28" spans="1:28" ht="15" customHeight="1">
      <c r="A28" s="19"/>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row>
    <row r="29" spans="1:28" ht="20.100000000000001" customHeight="1">
      <c r="A29" s="19"/>
      <c r="B29" s="84" t="s">
        <v>43</v>
      </c>
      <c r="C29" s="20"/>
      <c r="D29" s="85">
        <f>Indata!$C$5+0</f>
        <v>2026</v>
      </c>
      <c r="E29" s="85">
        <f>Indata!$C$5+1</f>
        <v>2027</v>
      </c>
      <c r="F29" s="85">
        <f>Indata!$C$5+2</f>
        <v>2028</v>
      </c>
      <c r="G29" s="85">
        <f>Indata!$C$5+3</f>
        <v>2029</v>
      </c>
      <c r="H29" s="85">
        <f>Indata!$C$5+4</f>
        <v>2030</v>
      </c>
      <c r="I29" s="85">
        <f>Indata!$C$5+5</f>
        <v>2031</v>
      </c>
      <c r="J29" s="85">
        <f>Indata!$C$5+6</f>
        <v>2032</v>
      </c>
      <c r="K29" s="85">
        <f>Indata!$C$5+7</f>
        <v>2033</v>
      </c>
      <c r="L29" s="85">
        <f>Indata!$C$5+8</f>
        <v>2034</v>
      </c>
      <c r="M29" s="85">
        <f>Indata!$C$5+9</f>
        <v>2035</v>
      </c>
      <c r="N29" s="20"/>
      <c r="O29" s="20"/>
      <c r="P29" s="20"/>
      <c r="Q29" s="20"/>
      <c r="R29" s="20"/>
      <c r="S29" s="20"/>
      <c r="T29" s="20"/>
      <c r="U29" s="20"/>
      <c r="V29" s="20"/>
      <c r="W29" s="20"/>
      <c r="X29" s="20"/>
      <c r="Y29" s="20"/>
      <c r="Z29" s="20"/>
      <c r="AA29" s="20"/>
      <c r="AB29" s="20"/>
    </row>
    <row r="30" spans="1:28" ht="15" customHeight="1">
      <c r="A30" s="19"/>
      <c r="B30" s="20" t="str">
        <f>IF(Indata!B26="","",Indata!B26)</f>
        <v>Skola</v>
      </c>
      <c r="C30" s="20"/>
      <c r="D30" s="50">
        <f>IF(OR(Indata!$K$26="",D$29&lt;Indata!$K$26),0,(Indata!$R$26/Indata!$R$31)*D$16)</f>
        <v>11631221.719457014</v>
      </c>
      <c r="E30" s="50">
        <f>IF(OR(Indata!$K$26="",E$29&lt;Indata!$K$26),0,(Indata!$R$26/Indata!$R$31)*E$16)</f>
        <v>11794058.823529411</v>
      </c>
      <c r="F30" s="50">
        <f>IF(OR(Indata!$K$26="",F$29&lt;Indata!$K$26),0,(Indata!$R$26/Indata!$R$31)*F$16)</f>
        <v>11959175.647058824</v>
      </c>
      <c r="G30" s="50">
        <f>IF(OR(Indata!$K$26="",G$29&lt;Indata!$K$26),0,(Indata!$R$26/Indata!$R$31)*G$16)</f>
        <v>12126604.106117649</v>
      </c>
      <c r="H30" s="50">
        <f>IF(OR(Indata!$K$26="",H$29&lt;Indata!$K$26),0,(Indata!$R$26/Indata!$R$31)*H$16)</f>
        <v>12296376.563603297</v>
      </c>
      <c r="I30" s="50">
        <f>IF(OR(Indata!$K$26="",I$29&lt;Indata!$K$26),0,(Indata!$R$26/Indata!$R$31)*I$16)</f>
        <v>12468525.835493745</v>
      </c>
      <c r="J30" s="50">
        <f>IF(OR(Indata!$K$26="",J$29&lt;Indata!$K$26),0,(Indata!$R$26/Indata!$R$31)*J$16)</f>
        <v>12643085.197190657</v>
      </c>
      <c r="K30" s="50">
        <f>IF(OR(Indata!$K$26="",K$29&lt;Indata!$K$26),0,(Indata!$R$26/Indata!$R$31)*K$16)</f>
        <v>12820088.389951326</v>
      </c>
      <c r="L30" s="50">
        <f>IF(OR(Indata!$K$26="",L$29&lt;Indata!$K$26),0,(Indata!$R$26/Indata!$R$31)*L$16)</f>
        <v>12999569.627410647</v>
      </c>
      <c r="M30" s="50">
        <f>IF(OR(Indata!$K$26="",M$29&lt;Indata!$K$26),0,(Indata!$R$26/Indata!$R$31)*M$16)</f>
        <v>13181563.602194397</v>
      </c>
      <c r="N30" s="20">
        <f>IF(OR(Indata!$K$26="",N$29&lt;Indata!$K$26),0,(Indata!$R$26/Indata!$R$31)*N$16)</f>
        <v>0</v>
      </c>
      <c r="O30" s="20">
        <f>IF(OR(Indata!$K$26="",O$29&lt;Indata!$K$26),0,(Indata!$R$26/Indata!$R$31)*O$16)</f>
        <v>0</v>
      </c>
      <c r="P30" s="20">
        <f>IF(OR(Indata!$K$26="",P$29&lt;Indata!$K$26),0,(Indata!$R$26/Indata!$R$31)*P$16)</f>
        <v>0</v>
      </c>
      <c r="Q30" s="20">
        <f>IF(OR(Indata!$K$26="",Q$29&lt;Indata!$K$26),0,(Indata!$R$26/Indata!$R$31)*Q$16)</f>
        <v>0</v>
      </c>
      <c r="R30" s="20">
        <f>IF(OR(Indata!$K$26="",R$29&lt;Indata!$K$26),0,(Indata!$R$26/Indata!$R$31)*R$16)</f>
        <v>0</v>
      </c>
      <c r="S30" s="20">
        <f>IF(OR(Indata!$K$26="",S$29&lt;Indata!$K$26),0,(Indata!$R$26/Indata!$R$31)*S$16)</f>
        <v>0</v>
      </c>
      <c r="T30" s="20">
        <f>IF(OR(Indata!$K$26="",T$29&lt;Indata!$K$26),0,(Indata!$R$26/Indata!$R$31)*T$16)</f>
        <v>0</v>
      </c>
      <c r="U30" s="20">
        <f>IF(OR(Indata!$K$26="",U$29&lt;Indata!$K$26),0,(Indata!$R$26/Indata!$R$31)*U$16)</f>
        <v>0</v>
      </c>
      <c r="V30" s="20">
        <f>IF(OR(Indata!$K$26="",V$29&lt;Indata!$K$26),0,(Indata!$R$26/Indata!$R$31)*V$16)</f>
        <v>0</v>
      </c>
      <c r="W30" s="20">
        <f>IF(OR(Indata!$K$26="",W$29&lt;Indata!$K$26),0,(Indata!$R$26/Indata!$R$31)*W$16)</f>
        <v>0</v>
      </c>
      <c r="X30" s="20">
        <f>IF(OR(Indata!$K$26="",X$29&lt;Indata!$K$26),0,(Indata!$R$26/Indata!$R$31)*X$16)</f>
        <v>0</v>
      </c>
      <c r="Y30" s="20">
        <f>IF(OR(Indata!$K$26="",Y$29&lt;Indata!$K$26),0,(Indata!$R$26/Indata!$R$31)*Y$16)</f>
        <v>0</v>
      </c>
      <c r="Z30" s="20">
        <f>IF(OR(Indata!$K$26="",Z$29&lt;Indata!$K$26),0,(Indata!$R$26/Indata!$R$31)*Z$16)</f>
        <v>0</v>
      </c>
      <c r="AA30" s="20">
        <f>IF(OR(Indata!$K$26="",AA$29&lt;Indata!$K$26),0,(Indata!$R$26/Indata!$R$31)*AA$16)</f>
        <v>0</v>
      </c>
      <c r="AB30" s="20">
        <f>IF(OR(Indata!$K$26="",AB$29&lt;Indata!$K$26),0,(Indata!$R$26/Indata!$R$31)*AB$16)</f>
        <v>0</v>
      </c>
    </row>
    <row r="31" spans="1:28" ht="15" customHeight="1">
      <c r="A31" s="19"/>
      <c r="B31" s="20" t="str">
        <f>IF(Indata!B27="","",Indata!B27)</f>
        <v/>
      </c>
      <c r="C31" s="20"/>
      <c r="D31" s="50">
        <f>IF(OR(Indata!$K$27="",D$29&lt;Indata!$K$27),0,(Indata!$R$27/Indata!$R$31)*D$16)</f>
        <v>0</v>
      </c>
      <c r="E31" s="50">
        <f>IF(OR(Indata!$K$27="",E$29&lt;Indata!$K$27),0,(Indata!$R$27/Indata!$R$31)*E$16)</f>
        <v>0</v>
      </c>
      <c r="F31" s="50">
        <f>IF(OR(Indata!$K$27="",F$29&lt;Indata!$K$27),0,(Indata!$R$27/Indata!$R$31)*F$16)</f>
        <v>0</v>
      </c>
      <c r="G31" s="50">
        <f>IF(OR(Indata!$K$27="",G$29&lt;Indata!$K$27),0,(Indata!$R$27/Indata!$R$31)*G$16)</f>
        <v>0</v>
      </c>
      <c r="H31" s="50">
        <f>IF(OR(Indata!$K$27="",H$29&lt;Indata!$K$27),0,(Indata!$R$27/Indata!$R$31)*H$16)</f>
        <v>0</v>
      </c>
      <c r="I31" s="50">
        <f>IF(OR(Indata!$K$27="",I$29&lt;Indata!$K$27),0,(Indata!$R$27/Indata!$R$31)*I$16)</f>
        <v>0</v>
      </c>
      <c r="J31" s="50">
        <f>IF(OR(Indata!$K$27="",J$29&lt;Indata!$K$27),0,(Indata!$R$27/Indata!$R$31)*J$16)</f>
        <v>0</v>
      </c>
      <c r="K31" s="50">
        <f>IF(OR(Indata!$K$27="",K$29&lt;Indata!$K$27),0,(Indata!$R$27/Indata!$R$31)*K$16)</f>
        <v>0</v>
      </c>
      <c r="L31" s="50">
        <f>IF(OR(Indata!$K$27="",L$29&lt;Indata!$K$27),0,(Indata!$R$27/Indata!$R$31)*L$16)</f>
        <v>0</v>
      </c>
      <c r="M31" s="50">
        <f>IF(OR(Indata!$K$27="",M$29&lt;Indata!$K$27),0,(Indata!$R$27/Indata!$R$31)*M$16)</f>
        <v>0</v>
      </c>
      <c r="N31" s="20">
        <f>IF(OR(Indata!$K$27="",N$29&lt;Indata!$K$27),0,(Indata!$R$27/Indata!$R$31)*N$16)</f>
        <v>0</v>
      </c>
      <c r="O31" s="20">
        <f>IF(OR(Indata!$K$27="",O$29&lt;Indata!$K$27),0,(Indata!$R$27/Indata!$R$31)*O$16)</f>
        <v>0</v>
      </c>
      <c r="P31" s="20">
        <f>IF(OR(Indata!$K$27="",P$29&lt;Indata!$K$27),0,(Indata!$R$27/Indata!$R$31)*P$16)</f>
        <v>0</v>
      </c>
      <c r="Q31" s="20">
        <f>IF(OR(Indata!$K$27="",Q$29&lt;Indata!$K$27),0,(Indata!$R$27/Indata!$R$31)*Q$16)</f>
        <v>0</v>
      </c>
      <c r="R31" s="20">
        <f>IF(OR(Indata!$K$27="",R$29&lt;Indata!$K$27),0,(Indata!$R$27/Indata!$R$31)*R$16)</f>
        <v>0</v>
      </c>
      <c r="S31" s="20">
        <f>IF(OR(Indata!$K$27="",S$29&lt;Indata!$K$27),0,(Indata!$R$27/Indata!$R$31)*S$16)</f>
        <v>0</v>
      </c>
      <c r="T31" s="20">
        <f>IF(OR(Indata!$K$27="",T$29&lt;Indata!$K$27),0,(Indata!$R$27/Indata!$R$31)*T$16)</f>
        <v>0</v>
      </c>
      <c r="U31" s="20">
        <f>IF(OR(Indata!$K$27="",U$29&lt;Indata!$K$27),0,(Indata!$R$27/Indata!$R$31)*U$16)</f>
        <v>0</v>
      </c>
      <c r="V31" s="20">
        <f>IF(OR(Indata!$K$27="",V$29&lt;Indata!$K$27),0,(Indata!$R$27/Indata!$R$31)*V$16)</f>
        <v>0</v>
      </c>
      <c r="W31" s="20">
        <f>IF(OR(Indata!$K$27="",W$29&lt;Indata!$K$27),0,(Indata!$R$27/Indata!$R$31)*W$16)</f>
        <v>0</v>
      </c>
      <c r="X31" s="20">
        <f>IF(OR(Indata!$K$27="",X$29&lt;Indata!$K$27),0,(Indata!$R$27/Indata!$R$31)*X$16)</f>
        <v>0</v>
      </c>
      <c r="Y31" s="20">
        <f>IF(OR(Indata!$K$27="",Y$29&lt;Indata!$K$27),0,(Indata!$R$27/Indata!$R$31)*Y$16)</f>
        <v>0</v>
      </c>
      <c r="Z31" s="20">
        <f>IF(OR(Indata!$K$27="",Z$29&lt;Indata!$K$27),0,(Indata!$R$27/Indata!$R$31)*Z$16)</f>
        <v>0</v>
      </c>
      <c r="AA31" s="20">
        <f>IF(OR(Indata!$K$27="",AA$29&lt;Indata!$K$27),0,(Indata!$R$27/Indata!$R$31)*AA$16)</f>
        <v>0</v>
      </c>
      <c r="AB31" s="20">
        <f>IF(OR(Indata!$K$27="",AB$29&lt;Indata!$K$27),0,(Indata!$R$27/Indata!$R$31)*AB$16)</f>
        <v>0</v>
      </c>
    </row>
    <row r="32" spans="1:28" ht="21.75" customHeight="1">
      <c r="A32" s="19"/>
      <c r="B32" s="20" t="str">
        <f>IF(Indata!B28="","",Indata!B28)</f>
        <v/>
      </c>
      <c r="C32" s="20"/>
      <c r="D32" s="50">
        <f>IF(OR(Indata!$K$28="",D$29&lt;Indata!$K$28),0,(Indata!$R$28/Indata!$R$31)*D$16)</f>
        <v>0</v>
      </c>
      <c r="E32" s="50">
        <f>IF(OR(Indata!$K$28="",E$29&lt;Indata!$K$28),0,(Indata!$R$28/Indata!$R$31)*E$16)</f>
        <v>0</v>
      </c>
      <c r="F32" s="50">
        <f>IF(OR(Indata!$K$28="",F$29&lt;Indata!$K$28),0,(Indata!$R$28/Indata!$R$31)*F$16)</f>
        <v>0</v>
      </c>
      <c r="G32" s="50">
        <f>IF(OR(Indata!$K$28="",G$29&lt;Indata!$K$28),0,(Indata!$R$28/Indata!$R$31)*G$16)</f>
        <v>0</v>
      </c>
      <c r="H32" s="50">
        <f>IF(OR(Indata!$K$28="",H$29&lt;Indata!$K$28),0,(Indata!$R$28/Indata!$R$31)*H$16)</f>
        <v>0</v>
      </c>
      <c r="I32" s="50">
        <f>IF(OR(Indata!$K$28="",I$29&lt;Indata!$K$28),0,(Indata!$R$28/Indata!$R$31)*I$16)</f>
        <v>0</v>
      </c>
      <c r="J32" s="50">
        <f>IF(OR(Indata!$K$28="",J$29&lt;Indata!$K$28),0,(Indata!$R$28/Indata!$R$31)*J$16)</f>
        <v>0</v>
      </c>
      <c r="K32" s="50">
        <f>IF(OR(Indata!$K$28="",K$29&lt;Indata!$K$28),0,(Indata!$R$28/Indata!$R$31)*K$16)</f>
        <v>0</v>
      </c>
      <c r="L32" s="50">
        <f>IF(OR(Indata!$K$28="",L$29&lt;Indata!$K$28),0,(Indata!$R$28/Indata!$R$31)*L$16)</f>
        <v>0</v>
      </c>
      <c r="M32" s="50">
        <f>IF(OR(Indata!$K$28="",M$29&lt;Indata!$K$28),0,(Indata!$R$28/Indata!$R$31)*M$16)</f>
        <v>0</v>
      </c>
      <c r="N32" s="20">
        <f>IF(OR(Indata!$K$28="",N$29&lt;Indata!$K$28),0,(Indata!$R$28/Indata!$R$31)*N$16)</f>
        <v>0</v>
      </c>
      <c r="O32" s="20">
        <f>IF(OR(Indata!$K$28="",O$29&lt;Indata!$K$28),0,(Indata!$R$28/Indata!$R$31)*O$16)</f>
        <v>0</v>
      </c>
      <c r="P32" s="20">
        <f>IF(OR(Indata!$K$28="",P$29&lt;Indata!$K$28),0,(Indata!$R$28/Indata!$R$31)*P$16)</f>
        <v>0</v>
      </c>
      <c r="Q32" s="20">
        <f>IF(OR(Indata!$K$28="",Q$29&lt;Indata!$K$28),0,(Indata!$R$28/Indata!$R$31)*Q$16)</f>
        <v>0</v>
      </c>
      <c r="R32" s="20">
        <f>IF(OR(Indata!$K$28="",R$29&lt;Indata!$K$28),0,(Indata!$R$28/Indata!$R$31)*R$16)</f>
        <v>0</v>
      </c>
      <c r="S32" s="20">
        <f>IF(OR(Indata!$K$28="",S$29&lt;Indata!$K$28),0,(Indata!$R$28/Indata!$R$31)*S$16)</f>
        <v>0</v>
      </c>
      <c r="T32" s="20">
        <f>IF(OR(Indata!$K$28="",T$29&lt;Indata!$K$28),0,(Indata!$R$28/Indata!$R$31)*T$16)</f>
        <v>0</v>
      </c>
      <c r="U32" s="20">
        <f>IF(OR(Indata!$K$28="",U$29&lt;Indata!$K$28),0,(Indata!$R$28/Indata!$R$31)*U$16)</f>
        <v>0</v>
      </c>
      <c r="V32" s="20">
        <f>IF(OR(Indata!$K$28="",V$29&lt;Indata!$K$28),0,(Indata!$R$28/Indata!$R$31)*V$16)</f>
        <v>0</v>
      </c>
      <c r="W32" s="20">
        <f>IF(OR(Indata!$K$28="",W$29&lt;Indata!$K$28),0,(Indata!$R$28/Indata!$R$31)*W$16)</f>
        <v>0</v>
      </c>
      <c r="X32" s="20">
        <f>IF(OR(Indata!$K$28="",X$29&lt;Indata!$K$28),0,(Indata!$R$28/Indata!$R$31)*X$16)</f>
        <v>0</v>
      </c>
      <c r="Y32" s="20">
        <f>IF(OR(Indata!$K$28="",Y$29&lt;Indata!$K$28),0,(Indata!$R$28/Indata!$R$31)*Y$16)</f>
        <v>0</v>
      </c>
      <c r="Z32" s="20">
        <f>IF(OR(Indata!$K$28="",Z$29&lt;Indata!$K$28),0,(Indata!$R$28/Indata!$R$31)*Z$16)</f>
        <v>0</v>
      </c>
      <c r="AA32" s="20">
        <f>IF(OR(Indata!$K$28="",AA$29&lt;Indata!$K$28),0,(Indata!$R$28/Indata!$R$31)*AA$16)</f>
        <v>0</v>
      </c>
      <c r="AB32" s="20">
        <f>IF(OR(Indata!$K$28="",AB$29&lt;Indata!$K$28),0,(Indata!$R$28/Indata!$R$31)*AB$16)</f>
        <v>0</v>
      </c>
    </row>
    <row r="33" spans="1:28" ht="15" customHeight="1">
      <c r="A33" s="19"/>
      <c r="B33" s="20" t="str">
        <f>IF(Indata!B29="","",Indata!B29)</f>
        <v/>
      </c>
      <c r="C33" s="20"/>
      <c r="D33" s="50">
        <f>IF(OR(Indata!$K$29="",D$29&lt;Indata!$K$29),0,(Indata!$R$29/Indata!$R$31)*D$16)</f>
        <v>0</v>
      </c>
      <c r="E33" s="50">
        <f>IF(OR(Indata!$K$29="",E$29&lt;Indata!$K$29),0,(Indata!$R$29/Indata!$R$31)*E$16)</f>
        <v>0</v>
      </c>
      <c r="F33" s="50">
        <f>IF(OR(Indata!$K$29="",F$29&lt;Indata!$K$29),0,(Indata!$R$29/Indata!$R$31)*F$16)</f>
        <v>0</v>
      </c>
      <c r="G33" s="50">
        <f>IF(OR(Indata!$K$29="",G$29&lt;Indata!$K$29),0,(Indata!$R$29/Indata!$R$31)*G$16)</f>
        <v>0</v>
      </c>
      <c r="H33" s="50">
        <f>IF(OR(Indata!$K$29="",H$29&lt;Indata!$K$29),0,(Indata!$R$29/Indata!$R$31)*H$16)</f>
        <v>0</v>
      </c>
      <c r="I33" s="50">
        <f>IF(OR(Indata!$K$29="",I$29&lt;Indata!$K$29),0,(Indata!$R$29/Indata!$R$31)*I$16)</f>
        <v>0</v>
      </c>
      <c r="J33" s="50">
        <f>IF(OR(Indata!$K$29="",J$29&lt;Indata!$K$29),0,(Indata!$R$29/Indata!$R$31)*J$16)</f>
        <v>0</v>
      </c>
      <c r="K33" s="50">
        <f>IF(OR(Indata!$K$29="",K$29&lt;Indata!$K$29),0,(Indata!$R$29/Indata!$R$31)*K$16)</f>
        <v>0</v>
      </c>
      <c r="L33" s="50">
        <f>IF(OR(Indata!$K$29="",L$29&lt;Indata!$K$29),0,(Indata!$R$29/Indata!$R$31)*L$16)</f>
        <v>0</v>
      </c>
      <c r="M33" s="50">
        <f>IF(OR(Indata!$K$29="",M$29&lt;Indata!$K$29),0,(Indata!$R$29/Indata!$R$31)*M$16)</f>
        <v>0</v>
      </c>
      <c r="N33" s="20">
        <f>IF(OR(Indata!$K$29="",N$29&lt;Indata!$K$29),0,(Indata!$R$29/Indata!$R$31)*N$16)</f>
        <v>0</v>
      </c>
      <c r="O33" s="20">
        <f>IF(OR(Indata!$K$29="",O$29&lt;Indata!$K$29),0,(Indata!$R$29/Indata!$R$31)*O$16)</f>
        <v>0</v>
      </c>
      <c r="P33" s="20">
        <f>IF(OR(Indata!$K$29="",P$29&lt;Indata!$K$29),0,(Indata!$R$29/Indata!$R$31)*P$16)</f>
        <v>0</v>
      </c>
      <c r="Q33" s="20">
        <f>IF(OR(Indata!$K$29="",Q$29&lt;Indata!$K$29),0,(Indata!$R$29/Indata!$R$31)*Q$16)</f>
        <v>0</v>
      </c>
      <c r="R33" s="20">
        <f>IF(OR(Indata!$K$29="",R$29&lt;Indata!$K$29),0,(Indata!$R$29/Indata!$R$31)*R$16)</f>
        <v>0</v>
      </c>
      <c r="S33" s="20">
        <f>IF(OR(Indata!$K$29="",S$29&lt;Indata!$K$29),0,(Indata!$R$29/Indata!$R$31)*S$16)</f>
        <v>0</v>
      </c>
      <c r="T33" s="20">
        <f>IF(OR(Indata!$K$29="",T$29&lt;Indata!$K$29),0,(Indata!$R$29/Indata!$R$31)*T$16)</f>
        <v>0</v>
      </c>
      <c r="U33" s="20">
        <f>IF(OR(Indata!$K$29="",U$29&lt;Indata!$K$29),0,(Indata!$R$29/Indata!$R$31)*U$16)</f>
        <v>0</v>
      </c>
      <c r="V33" s="20">
        <f>IF(OR(Indata!$K$29="",V$29&lt;Indata!$K$29),0,(Indata!$R$29/Indata!$R$31)*V$16)</f>
        <v>0</v>
      </c>
      <c r="W33" s="20">
        <f>IF(OR(Indata!$K$29="",W$29&lt;Indata!$K$29),0,(Indata!$R$29/Indata!$R$31)*W$16)</f>
        <v>0</v>
      </c>
      <c r="X33" s="20">
        <f>IF(OR(Indata!$K$29="",X$29&lt;Indata!$K$29),0,(Indata!$R$29/Indata!$R$31)*X$16)</f>
        <v>0</v>
      </c>
      <c r="Y33" s="20">
        <f>IF(OR(Indata!$K$29="",Y$29&lt;Indata!$K$29),0,(Indata!$R$29/Indata!$R$31)*Y$16)</f>
        <v>0</v>
      </c>
      <c r="Z33" s="20">
        <f>IF(OR(Indata!$K$29="",Z$29&lt;Indata!$K$29),0,(Indata!$R$29/Indata!$R$31)*Z$16)</f>
        <v>0</v>
      </c>
      <c r="AA33" s="20">
        <f>IF(OR(Indata!$K$29="",AA$29&lt;Indata!$K$29),0,(Indata!$R$29/Indata!$R$31)*AA$16)</f>
        <v>0</v>
      </c>
      <c r="AB33" s="20">
        <f>IF(OR(Indata!$K$29="",AB$29&lt;Indata!$K$29),0,(Indata!$R$29/Indata!$R$31)*AB$16)</f>
        <v>0</v>
      </c>
    </row>
    <row r="34" spans="1:28" ht="15" customHeight="1">
      <c r="A34" s="19"/>
      <c r="B34" s="20" t="str">
        <f>IF(Indata!B30="","",Indata!B30)</f>
        <v/>
      </c>
      <c r="C34" s="20"/>
      <c r="D34" s="50">
        <f>IF(OR(Indata!$K$30="",D$29&lt;Indata!$K$30),0,(Indata!$R$30/Indata!$R$31)*D$16)</f>
        <v>0</v>
      </c>
      <c r="E34" s="50">
        <f>IF(OR(Indata!$K$30="",E$29&lt;Indata!$K$30),0,(Indata!$R$30/Indata!$R$31)*E$16)</f>
        <v>0</v>
      </c>
      <c r="F34" s="50">
        <f>IF(OR(Indata!$K$30="",F$29&lt;Indata!$K$30),0,(Indata!$R$30/Indata!$R$31)*F$16)</f>
        <v>0</v>
      </c>
      <c r="G34" s="50">
        <f>IF(OR(Indata!$K$30="",G$29&lt;Indata!$K$30),0,(Indata!$R$30/Indata!$R$31)*G$16)</f>
        <v>0</v>
      </c>
      <c r="H34" s="50">
        <f>IF(OR(Indata!$K$30="",H$29&lt;Indata!$K$30),0,(Indata!$R$30/Indata!$R$31)*H$16)</f>
        <v>0</v>
      </c>
      <c r="I34" s="50">
        <f>IF(OR(Indata!$K$30="",I$29&lt;Indata!$K$30),0,(Indata!$R$30/Indata!$R$31)*I$16)</f>
        <v>0</v>
      </c>
      <c r="J34" s="50">
        <f>IF(OR(Indata!$K$30="",J$29&lt;Indata!$K$30),0,(Indata!$R$30/Indata!$R$31)*J$16)</f>
        <v>0</v>
      </c>
      <c r="K34" s="50">
        <f>IF(OR(Indata!$K$30="",K$29&lt;Indata!$K$30),0,(Indata!$R$30/Indata!$R$31)*K$16)</f>
        <v>0</v>
      </c>
      <c r="L34" s="50">
        <f>IF(OR(Indata!$K$30="",L$29&lt;Indata!$K$30),0,(Indata!$R$30/Indata!$R$31)*L$16)</f>
        <v>0</v>
      </c>
      <c r="M34" s="50">
        <f>IF(OR(Indata!$K$30="",M$29&lt;Indata!$K$30),0,(Indata!$R$30/Indata!$R$31)*M$16)</f>
        <v>0</v>
      </c>
      <c r="N34" s="20">
        <f>IF(OR(Indata!$K$30="",N$29&lt;Indata!$K$30),0,(Indata!$R$30/Indata!$R$31)*N$16)</f>
        <v>0</v>
      </c>
      <c r="O34" s="20">
        <f>IF(OR(Indata!$K$30="",O$29&lt;Indata!$K$30),0,(Indata!$R$30/Indata!$R$31)*O$16)</f>
        <v>0</v>
      </c>
      <c r="P34" s="20">
        <f>IF(OR(Indata!$K$30="",P$29&lt;Indata!$K$30),0,(Indata!$R$30/Indata!$R$31)*P$16)</f>
        <v>0</v>
      </c>
      <c r="Q34" s="20">
        <f>IF(OR(Indata!$K$30="",Q$29&lt;Indata!$K$30),0,(Indata!$R$30/Indata!$R$31)*Q$16)</f>
        <v>0</v>
      </c>
      <c r="R34" s="20">
        <f>IF(OR(Indata!$K$30="",R$29&lt;Indata!$K$30),0,(Indata!$R$30/Indata!$R$31)*R$16)</f>
        <v>0</v>
      </c>
      <c r="S34" s="20">
        <f>IF(OR(Indata!$K$30="",S$29&lt;Indata!$K$30),0,(Indata!$R$30/Indata!$R$31)*S$16)</f>
        <v>0</v>
      </c>
      <c r="T34" s="20">
        <f>IF(OR(Indata!$K$30="",T$29&lt;Indata!$K$30),0,(Indata!$R$30/Indata!$R$31)*T$16)</f>
        <v>0</v>
      </c>
      <c r="U34" s="20">
        <f>IF(OR(Indata!$K$30="",U$29&lt;Indata!$K$30),0,(Indata!$R$30/Indata!$R$31)*U$16)</f>
        <v>0</v>
      </c>
      <c r="V34" s="20">
        <f>IF(OR(Indata!$K$30="",V$29&lt;Indata!$K$30),0,(Indata!$R$30/Indata!$R$31)*V$16)</f>
        <v>0</v>
      </c>
      <c r="W34" s="20">
        <f>IF(OR(Indata!$K$30="",W$29&lt;Indata!$K$30),0,(Indata!$R$30/Indata!$R$31)*W$16)</f>
        <v>0</v>
      </c>
      <c r="X34" s="20">
        <f>IF(OR(Indata!$K$30="",X$29&lt;Indata!$K$30),0,(Indata!$R$30/Indata!$R$31)*X$16)</f>
        <v>0</v>
      </c>
      <c r="Y34" s="20">
        <f>IF(OR(Indata!$K$30="",Y$29&lt;Indata!$K$30),0,(Indata!$R$30/Indata!$R$31)*Y$16)</f>
        <v>0</v>
      </c>
      <c r="Z34" s="20">
        <f>IF(OR(Indata!$K$30="",Z$29&lt;Indata!$K$30),0,(Indata!$R$30/Indata!$R$31)*Z$16)</f>
        <v>0</v>
      </c>
      <c r="AA34" s="20">
        <f>IF(OR(Indata!$K$30="",AA$29&lt;Indata!$K$30),0,(Indata!$R$30/Indata!$R$31)*AA$16)</f>
        <v>0</v>
      </c>
      <c r="AB34" s="20">
        <f>IF(OR(Indata!$K$30="",AB$29&lt;Indata!$K$30),0,(Indata!$R$30/Indata!$R$31)*AB$16)</f>
        <v>0</v>
      </c>
    </row>
    <row r="35" spans="1:28" ht="15" customHeight="1">
      <c r="A35" s="19"/>
      <c r="B35" s="79" t="s">
        <v>182</v>
      </c>
      <c r="C35" s="20"/>
      <c r="D35" s="86">
        <f t="shared" ref="D35:M35" si="1">SUM(D30:D34)</f>
        <v>11631221.719457014</v>
      </c>
      <c r="E35" s="86">
        <f t="shared" si="1"/>
        <v>11794058.823529411</v>
      </c>
      <c r="F35" s="86">
        <f t="shared" si="1"/>
        <v>11959175.647058824</v>
      </c>
      <c r="G35" s="86">
        <f t="shared" si="1"/>
        <v>12126604.106117649</v>
      </c>
      <c r="H35" s="86">
        <f t="shared" si="1"/>
        <v>12296376.563603297</v>
      </c>
      <c r="I35" s="86">
        <f t="shared" si="1"/>
        <v>12468525.835493745</v>
      </c>
      <c r="J35" s="86">
        <f t="shared" si="1"/>
        <v>12643085.197190657</v>
      </c>
      <c r="K35" s="86">
        <f t="shared" si="1"/>
        <v>12820088.389951326</v>
      </c>
      <c r="L35" s="86">
        <f t="shared" si="1"/>
        <v>12999569.627410647</v>
      </c>
      <c r="M35" s="86">
        <f t="shared" si="1"/>
        <v>13181563.602194397</v>
      </c>
      <c r="N35" s="20"/>
      <c r="O35" s="20"/>
      <c r="P35" s="20"/>
      <c r="Q35" s="20"/>
      <c r="R35" s="20"/>
      <c r="S35" s="20"/>
      <c r="T35" s="20"/>
      <c r="U35" s="20"/>
      <c r="V35" s="20"/>
      <c r="W35" s="20"/>
      <c r="X35" s="20"/>
      <c r="Y35" s="20"/>
      <c r="Z35" s="20"/>
      <c r="AA35" s="20"/>
      <c r="AB35" s="20"/>
    </row>
    <row r="36" spans="1:28" ht="15" customHeight="1">
      <c r="A36" s="19"/>
      <c r="B36" s="47" t="s">
        <v>266</v>
      </c>
      <c r="C36" s="20"/>
      <c r="D36" s="87">
        <f t="shared" ref="D36:AB36" si="2">IFERROR(D35/D16,0)</f>
        <v>1</v>
      </c>
      <c r="E36" s="87">
        <f t="shared" si="2"/>
        <v>1</v>
      </c>
      <c r="F36" s="87">
        <f t="shared" si="2"/>
        <v>1</v>
      </c>
      <c r="G36" s="87">
        <f t="shared" si="2"/>
        <v>1</v>
      </c>
      <c r="H36" s="87">
        <f t="shared" si="2"/>
        <v>1</v>
      </c>
      <c r="I36" s="87">
        <f t="shared" si="2"/>
        <v>1</v>
      </c>
      <c r="J36" s="87">
        <f t="shared" si="2"/>
        <v>1</v>
      </c>
      <c r="K36" s="87">
        <f t="shared" si="2"/>
        <v>1</v>
      </c>
      <c r="L36" s="87">
        <f t="shared" si="2"/>
        <v>1</v>
      </c>
      <c r="M36" s="87">
        <f t="shared" si="2"/>
        <v>1</v>
      </c>
      <c r="N36" s="20">
        <f t="shared" si="2"/>
        <v>0</v>
      </c>
      <c r="O36" s="20">
        <f t="shared" si="2"/>
        <v>0</v>
      </c>
      <c r="P36" s="20">
        <f t="shared" si="2"/>
        <v>0</v>
      </c>
      <c r="Q36" s="20">
        <f t="shared" si="2"/>
        <v>0</v>
      </c>
      <c r="R36" s="20">
        <f t="shared" si="2"/>
        <v>0</v>
      </c>
      <c r="S36" s="20">
        <f t="shared" si="2"/>
        <v>0</v>
      </c>
      <c r="T36" s="20">
        <f t="shared" si="2"/>
        <v>0</v>
      </c>
      <c r="U36" s="20">
        <f t="shared" si="2"/>
        <v>0</v>
      </c>
      <c r="V36" s="20">
        <f t="shared" si="2"/>
        <v>0</v>
      </c>
      <c r="W36" s="20">
        <f t="shared" si="2"/>
        <v>0</v>
      </c>
      <c r="X36" s="20">
        <f t="shared" si="2"/>
        <v>0</v>
      </c>
      <c r="Y36" s="20">
        <f t="shared" si="2"/>
        <v>0</v>
      </c>
      <c r="Z36" s="20">
        <f t="shared" si="2"/>
        <v>0</v>
      </c>
      <c r="AA36" s="20">
        <f t="shared" si="2"/>
        <v>0</v>
      </c>
      <c r="AB36" s="20">
        <f t="shared" si="2"/>
        <v>0</v>
      </c>
    </row>
    <row r="37" spans="1:28" ht="15" customHeight="1">
      <c r="A37" s="19"/>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row>
    <row r="38" spans="1:28" ht="15" customHeight="1">
      <c r="A38" s="19"/>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row>
    <row r="39" spans="1:28" ht="15" customHeight="1">
      <c r="A39" s="19"/>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row>
    <row r="40" spans="1:28" ht="15" customHeight="1">
      <c r="A40" s="19"/>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row>
    <row r="41" spans="1:28" ht="15" customHeight="1">
      <c r="A41" s="19"/>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row>
    <row r="42" spans="1:28" ht="15" customHeight="1">
      <c r="A42" s="19"/>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row>
    <row r="43" spans="1:28" ht="15" customHeight="1">
      <c r="A43" s="19"/>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row>
    <row r="44" spans="1:28" ht="15" customHeight="1">
      <c r="A44" s="19"/>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row>
    <row r="45" spans="1:28" ht="21.75" customHeight="1">
      <c r="A45" s="19"/>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row>
    <row r="46" spans="1:28" ht="15" customHeight="1">
      <c r="A46" s="19"/>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row>
    <row r="47" spans="1:28" ht="15" customHeight="1">
      <c r="A47" s="19"/>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row>
    <row r="48" spans="1:28" ht="15" customHeight="1">
      <c r="A48" s="19"/>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row>
    <row r="49" spans="1:28" ht="15" customHeight="1">
      <c r="A49" s="19"/>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row>
    <row r="50" spans="1:28" ht="15" customHeight="1">
      <c r="A50" s="19"/>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row>
    <row r="51" spans="1:28" ht="15" customHeight="1">
      <c r="A51" s="19"/>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row>
    <row r="52" spans="1:28" ht="15" customHeight="1">
      <c r="A52" s="19"/>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row>
    <row r="53" spans="1:28" ht="15" customHeight="1">
      <c r="A53" s="19"/>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row>
    <row r="54" spans="1:28" ht="15" customHeight="1">
      <c r="A54" s="19"/>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row>
    <row r="55" spans="1:28" ht="15" customHeight="1">
      <c r="A55" s="19"/>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row>
    <row r="56" spans="1:28" ht="15" customHeight="1">
      <c r="A56" s="19"/>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row>
    <row r="57" spans="1:28" ht="15" customHeight="1">
      <c r="A57" s="19"/>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row>
    <row r="58" spans="1:28" ht="15" customHeight="1">
      <c r="A58" s="19"/>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row>
    <row r="59" spans="1:28" ht="15" customHeight="1">
      <c r="A59" s="19"/>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row>
    <row r="60" spans="1:28" ht="15" customHeight="1">
      <c r="A60" s="19"/>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row>
    <row r="61" spans="1:28" ht="15" customHeight="1">
      <c r="A61" s="19"/>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row>
    <row r="62" spans="1:28" ht="15" customHeight="1">
      <c r="A62" s="19"/>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row>
    <row r="63" spans="1:28" ht="15" customHeight="1">
      <c r="A63" s="19"/>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row>
    <row r="64" spans="1:28" ht="15" customHeight="1">
      <c r="A64" s="19"/>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row>
    <row r="65" spans="1:28" ht="15" customHeight="1">
      <c r="A65" s="19"/>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row>
    <row r="66" spans="1:28" ht="15" customHeight="1">
      <c r="A66" s="19"/>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row>
    <row r="67" spans="1:28" ht="15" customHeight="1">
      <c r="A67" s="19"/>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row>
    <row r="68" spans="1:28" ht="15" customHeight="1">
      <c r="A68" s="19"/>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row>
    <row r="69" spans="1:28" ht="15" customHeight="1">
      <c r="A69" s="19"/>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row>
    <row r="70" spans="1:28" ht="15" customHeight="1">
      <c r="A70" s="19"/>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row>
    <row r="71" spans="1:28" ht="15" customHeight="1">
      <c r="A71" s="19"/>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row>
    <row r="72" spans="1:28" ht="15" customHeight="1">
      <c r="A72" s="19"/>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row>
    <row r="73" spans="1:28" ht="15" customHeight="1">
      <c r="A73" s="19"/>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row>
    <row r="74" spans="1:28" ht="15" customHeight="1">
      <c r="A74" s="19"/>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row>
    <row r="75" spans="1:28" ht="15" customHeight="1">
      <c r="A75" s="19"/>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row>
    <row r="76" spans="1:28" ht="15" customHeight="1">
      <c r="A76" s="19"/>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row>
    <row r="77" spans="1:28" ht="15" customHeight="1">
      <c r="A77" s="19"/>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row>
    <row r="78" spans="1:28" ht="15" customHeight="1">
      <c r="A78" s="19"/>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row>
    <row r="79" spans="1:28" ht="15" customHeight="1">
      <c r="A79" s="19"/>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row>
    <row r="80" spans="1:28" ht="15" customHeight="1">
      <c r="A80" s="19"/>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row>
    <row r="81" spans="1:28" ht="15" customHeight="1">
      <c r="A81" s="19"/>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row>
    <row r="82" spans="1:28" ht="15" customHeight="1">
      <c r="A82" s="19"/>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row>
    <row r="83" spans="1:28" ht="15" customHeight="1">
      <c r="A83" s="19"/>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row>
    <row r="84" spans="1:28" ht="15" customHeight="1">
      <c r="A84" s="19"/>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row>
    <row r="85" spans="1:28" ht="15" customHeight="1">
      <c r="A85" s="19"/>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row>
    <row r="86" spans="1:28" ht="15" customHeight="1">
      <c r="A86" s="19"/>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row>
    <row r="87" spans="1:28" ht="15" customHeight="1">
      <c r="A87" s="19"/>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row>
    <row r="88" spans="1:28" ht="15" customHeight="1">
      <c r="A88" s="19"/>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row>
    <row r="89" spans="1:28" ht="15" customHeight="1">
      <c r="A89" s="19"/>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row>
    <row r="90" spans="1:28" ht="15" customHeight="1">
      <c r="A90" s="19"/>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row>
    <row r="91" spans="1:28" ht="15" customHeight="1">
      <c r="A91" s="19"/>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row>
    <row r="92" spans="1:28" ht="15" customHeight="1">
      <c r="A92" s="19"/>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row>
    <row r="93" spans="1:28" ht="15" customHeight="1">
      <c r="A93" s="19"/>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row>
    <row r="94" spans="1:28" ht="15" customHeight="1">
      <c r="A94" s="19"/>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row>
    <row r="95" spans="1:28" ht="15" customHeight="1">
      <c r="A95" s="19"/>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row>
    <row r="96" spans="1:28" ht="15" customHeight="1">
      <c r="A96" s="19"/>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row>
    <row r="97" spans="1:28" ht="15" customHeight="1">
      <c r="A97" s="19"/>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row>
    <row r="98" spans="1:28" ht="15" customHeight="1">
      <c r="A98" s="19"/>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row>
    <row r="99" spans="1:28" ht="15" customHeight="1">
      <c r="A99" s="19"/>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row>
    <row r="100" spans="1:28" ht="15" customHeight="1">
      <c r="A100" s="19"/>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row>
    <row r="101" spans="1:28" ht="15" customHeight="1">
      <c r="A101" s="19"/>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row>
    <row r="102" spans="1:28" ht="15" customHeight="1">
      <c r="A102" s="19"/>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row>
    <row r="103" spans="1:28" ht="15" customHeight="1">
      <c r="A103" s="19"/>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row>
    <row r="104" spans="1:28" ht="15" customHeight="1">
      <c r="A104" s="19"/>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row>
    <row r="105" spans="1:28" ht="15" customHeight="1">
      <c r="A105" s="19"/>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row>
    <row r="106" spans="1:28" ht="15" customHeight="1">
      <c r="A106" s="19"/>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row>
    <row r="107" spans="1:28" ht="15" customHeight="1">
      <c r="A107" s="19"/>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row>
    <row r="108" spans="1:28" ht="15" customHeight="1">
      <c r="A108" s="19"/>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row>
    <row r="109" spans="1:28" ht="15" customHeight="1">
      <c r="A109" s="19"/>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row>
    <row r="110" spans="1:28" ht="15" customHeight="1">
      <c r="A110" s="19"/>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row>
    <row r="111" spans="1:28" ht="15" customHeight="1">
      <c r="A111" s="19"/>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row>
    <row r="112" spans="1:28" ht="15" customHeight="1">
      <c r="A112" s="19"/>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row>
    <row r="113" spans="1:28" ht="15" customHeight="1">
      <c r="A113" s="19"/>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row>
    <row r="114" spans="1:28" ht="15" customHeight="1">
      <c r="A114" s="19"/>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row>
    <row r="115" spans="1:28" ht="15" customHeight="1">
      <c r="A115" s="19"/>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row>
    <row r="116" spans="1:28" ht="15" customHeight="1">
      <c r="A116" s="19"/>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row>
    <row r="117" spans="1:28" ht="15" customHeight="1">
      <c r="A117" s="19"/>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row>
    <row r="118" spans="1:28" ht="15" customHeight="1">
      <c r="A118" s="19"/>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row>
    <row r="119" spans="1:28" ht="15" customHeight="1">
      <c r="A119" s="19"/>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row>
    <row r="120" spans="1:28" ht="15" customHeight="1">
      <c r="A120" s="19"/>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row>
    <row r="121" spans="1:28" ht="15" customHeight="1">
      <c r="A121" s="19"/>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row>
    <row r="122" spans="1:28" ht="15" customHeight="1">
      <c r="A122" s="19"/>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row>
    <row r="123" spans="1:28" ht="15" customHeight="1">
      <c r="A123" s="19"/>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row>
    <row r="124" spans="1:28" ht="15" customHeight="1">
      <c r="A124" s="19"/>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row>
    <row r="125" spans="1:28" ht="15" customHeight="1">
      <c r="A125" s="19"/>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row>
    <row r="126" spans="1:28" ht="15" customHeight="1">
      <c r="A126" s="19"/>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row>
    <row r="127" spans="1:28" ht="15" customHeight="1">
      <c r="A127" s="19"/>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row>
    <row r="128" spans="1:28" ht="15" customHeight="1">
      <c r="A128" s="19"/>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row>
    <row r="129" spans="1:28" ht="15" customHeight="1">
      <c r="A129" s="19"/>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row>
    <row r="130" spans="1:28" ht="15" customHeight="1">
      <c r="A130" s="19"/>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row>
    <row r="131" spans="1:28" ht="15" customHeight="1">
      <c r="A131" s="19"/>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row>
    <row r="132" spans="1:28" ht="15" customHeight="1">
      <c r="A132" s="19"/>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row>
    <row r="133" spans="1:28" ht="15" customHeight="1">
      <c r="A133" s="19"/>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row>
    <row r="134" spans="1:28" ht="15" customHeight="1">
      <c r="A134" s="19"/>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row>
    <row r="135" spans="1:28" ht="15" customHeight="1">
      <c r="A135" s="19"/>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row>
    <row r="136" spans="1:28" ht="15" customHeight="1">
      <c r="A136" s="19"/>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row>
    <row r="137" spans="1:28" ht="15" customHeight="1">
      <c r="A137" s="19"/>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row>
    <row r="138" spans="1:28" ht="15" customHeight="1">
      <c r="A138" s="19"/>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row>
    <row r="139" spans="1:28" ht="15" customHeight="1">
      <c r="A139" s="19"/>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row>
    <row r="140" spans="1:28" ht="15" customHeight="1">
      <c r="A140" s="19"/>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row>
    <row r="141" spans="1:28" ht="15" customHeight="1">
      <c r="A141" s="19"/>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row>
    <row r="142" spans="1:28" ht="15" customHeight="1">
      <c r="A142" s="19"/>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row>
    <row r="143" spans="1:28" ht="15" customHeight="1">
      <c r="A143" s="19"/>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row>
    <row r="144" spans="1:28" ht="15" customHeight="1">
      <c r="A144" s="19"/>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row>
    <row r="145" spans="1:28" ht="15" customHeight="1">
      <c r="A145" s="19"/>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row>
    <row r="146" spans="1:28" ht="15" customHeight="1">
      <c r="A146" s="19"/>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row>
    <row r="147" spans="1:28" ht="15" customHeight="1">
      <c r="A147" s="19"/>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row>
    <row r="148" spans="1:28" ht="15" customHeight="1">
      <c r="A148" s="19"/>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row>
    <row r="149" spans="1:28" ht="15" customHeight="1">
      <c r="A149" s="19"/>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row>
    <row r="150" spans="1:28" ht="15" customHeight="1">
      <c r="A150" s="19"/>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row>
    <row r="151" spans="1:28" ht="15" customHeight="1">
      <c r="A151" s="19"/>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row>
    <row r="152" spans="1:28" ht="15" customHeight="1">
      <c r="A152" s="19"/>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row>
    <row r="153" spans="1:28" ht="15" customHeight="1">
      <c r="A153" s="19"/>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row>
    <row r="154" spans="1:28" ht="15" customHeight="1">
      <c r="A154" s="19"/>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row>
    <row r="155" spans="1:28" ht="15" customHeight="1">
      <c r="A155" s="19"/>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row>
    <row r="156" spans="1:28" ht="15" customHeight="1">
      <c r="A156" s="19"/>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row>
    <row r="157" spans="1:28">
      <c r="A157" s="39"/>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row>
    <row r="158" spans="1:28">
      <c r="A158" s="39"/>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row>
    <row r="159" spans="1:28">
      <c r="A159" s="39"/>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row>
    <row r="160" spans="1:28">
      <c r="A160" s="39"/>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row>
    <row r="161" spans="1:28">
      <c r="A161" s="39"/>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row>
    <row r="162" spans="1:28">
      <c r="A162" s="1"/>
    </row>
    <row r="163" spans="1:28">
      <c r="A163" s="1"/>
    </row>
    <row r="164" spans="1:28">
      <c r="A164" s="1"/>
    </row>
    <row r="165" spans="1:28">
      <c r="A165" s="1"/>
    </row>
    <row r="166" spans="1:28">
      <c r="A166" s="1"/>
    </row>
  </sheetData>
  <mergeCells count="4">
    <mergeCell ref="B10:E10"/>
    <mergeCell ref="B26:E26"/>
    <mergeCell ref="B11:M11"/>
    <mergeCell ref="B27:M27"/>
  </mergeCells>
  <hyperlinks>
    <hyperlink ref="A2" location="'Försättsblad'!A1" display="Försättsblad" xr:uid="{00000000-0004-0000-0300-000000000000}"/>
    <hyperlink ref="A3" location="'Översikt'!A1" display="Översikt" xr:uid="{00000000-0004-0000-0300-000001000000}"/>
    <hyperlink ref="A4" location="'Indata'!A1" display="Indata" xr:uid="{00000000-0004-0000-0300-000002000000}"/>
    <hyperlink ref="A6" location="'Finansiering'!A1" display="Finansiering" xr:uid="{00000000-0004-0000-0300-000003000000}"/>
    <hyperlink ref="A7" location="'Resultat'!A1" display="Resultat" xr:uid="{00000000-0004-0000-0300-000004000000}"/>
    <hyperlink ref="A8" location="'Grafer'!A1" display="Grafer" xr:uid="{00000000-0004-0000-0300-000005000000}"/>
    <hyperlink ref="A9" location="'Lönsamhetskontroll'!A1" display="Lönsamhetskontroll" xr:uid="{00000000-0004-0000-0300-000006000000}"/>
    <hyperlink ref="A10" location="'Beräkningslogik'!A1" display="Beräkningslogik" xr:uid="{00000000-0004-0000-0300-000007000000}"/>
    <hyperlink ref="A11" location="'Dokumentation'!A1" display="Dokumentation" xr:uid="{00000000-0004-0000-0300-000008000000}"/>
  </hyperlinks>
  <pageMargins left="0.4" right="0.4" top="0.5" bottom="0.5" header="0.511811023622047" footer="0.511811023622047"/>
  <pageSetup paperSize="9" fitToWidth="2" fitToHeight="0"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0313E"/>
    <pageSetUpPr fitToPage="1"/>
  </sheetPr>
  <dimension ref="A1:AB28"/>
  <sheetViews>
    <sheetView showGridLines="0" workbookViewId="0">
      <pane xSplit="3" ySplit="5" topLeftCell="D6" activePane="bottomRight" state="frozen"/>
      <selection pane="topRight"/>
      <selection pane="bottomLeft"/>
      <selection pane="bottomRight"/>
    </sheetView>
  </sheetViews>
  <sheetFormatPr defaultRowHeight="15"/>
  <cols>
    <col min="1" max="1" width="24" customWidth="1"/>
    <col min="2" max="2" width="40" customWidth="1"/>
    <col min="3" max="3" width="18" customWidth="1"/>
    <col min="4" max="4" width="13" customWidth="1"/>
  </cols>
  <sheetData>
    <row r="1" spans="1:28" ht="14.1" customHeight="1">
      <c r="A1" s="19"/>
      <c r="B1" s="21" t="s">
        <v>267</v>
      </c>
      <c r="C1" s="40"/>
      <c r="D1" s="40"/>
      <c r="E1" s="40"/>
      <c r="F1" s="20"/>
      <c r="G1" s="20"/>
      <c r="H1" s="20"/>
      <c r="I1" s="20"/>
      <c r="J1" s="20"/>
      <c r="K1" s="20"/>
      <c r="L1" s="20"/>
      <c r="M1" s="20"/>
      <c r="N1" s="20"/>
      <c r="O1" s="20"/>
      <c r="P1" s="20"/>
      <c r="Q1" s="20"/>
      <c r="R1" s="20"/>
      <c r="S1" s="20"/>
      <c r="T1" s="20"/>
      <c r="U1" s="20"/>
      <c r="V1" s="20"/>
      <c r="W1" s="20"/>
      <c r="X1" s="20"/>
      <c r="Y1" s="20"/>
      <c r="Z1" s="20"/>
      <c r="AA1" s="20"/>
      <c r="AB1" s="20"/>
    </row>
    <row r="2" spans="1:28" ht="30" customHeight="1">
      <c r="A2" s="19" t="s">
        <v>0</v>
      </c>
      <c r="B2" s="41" t="s">
        <v>118</v>
      </c>
      <c r="C2" s="20"/>
      <c r="D2" s="20"/>
      <c r="E2" s="20"/>
      <c r="F2" s="20"/>
      <c r="G2" s="20"/>
      <c r="H2" s="20"/>
      <c r="I2" s="20"/>
      <c r="J2" s="20"/>
      <c r="K2" s="20"/>
      <c r="L2" s="20"/>
      <c r="M2" s="20"/>
      <c r="N2" s="20"/>
      <c r="O2" s="20"/>
      <c r="P2" s="20"/>
      <c r="Q2" s="20"/>
      <c r="R2" s="20"/>
      <c r="S2" s="20"/>
      <c r="T2" s="20"/>
      <c r="U2" s="20"/>
      <c r="V2" s="20"/>
      <c r="W2" s="20"/>
      <c r="X2" s="20"/>
      <c r="Y2" s="20"/>
      <c r="Z2" s="20"/>
      <c r="AA2" s="20"/>
      <c r="AB2" s="20"/>
    </row>
    <row r="3" spans="1:28" ht="30" customHeight="1">
      <c r="A3" s="19" t="s">
        <v>37</v>
      </c>
      <c r="B3" s="42" t="s">
        <v>268</v>
      </c>
      <c r="C3" s="20"/>
      <c r="D3" s="74">
        <f>Indata!$C$5+0</f>
        <v>2026</v>
      </c>
      <c r="E3" s="74">
        <f>Indata!$C$5+1</f>
        <v>2027</v>
      </c>
      <c r="F3" s="74">
        <f>Indata!$C$5+2</f>
        <v>2028</v>
      </c>
      <c r="G3" s="74">
        <f>Indata!$C$5+3</f>
        <v>2029</v>
      </c>
      <c r="H3" s="74">
        <f>Indata!$C$5+4</f>
        <v>2030</v>
      </c>
      <c r="I3" s="74">
        <f>Indata!$C$5+5</f>
        <v>2031</v>
      </c>
      <c r="J3" s="74">
        <f>Indata!$C$5+6</f>
        <v>2032</v>
      </c>
      <c r="K3" s="74">
        <f>Indata!$C$5+7</f>
        <v>2033</v>
      </c>
      <c r="L3" s="74">
        <f>Indata!$C$5+8</f>
        <v>2034</v>
      </c>
      <c r="M3" s="74">
        <f>Indata!$C$5+9</f>
        <v>2035</v>
      </c>
      <c r="N3" s="74">
        <f>Indata!$C$5+10</f>
        <v>2036</v>
      </c>
      <c r="O3" s="74">
        <f>Indata!$C$5+11</f>
        <v>2037</v>
      </c>
      <c r="P3" s="74">
        <f>Indata!$C$5+12</f>
        <v>2038</v>
      </c>
      <c r="Q3" s="74">
        <f>Indata!$C$5+13</f>
        <v>2039</v>
      </c>
      <c r="R3" s="74">
        <f>Indata!$C$5+14</f>
        <v>2040</v>
      </c>
      <c r="S3" s="74">
        <f>Indata!$C$5+15</f>
        <v>2041</v>
      </c>
      <c r="T3" s="74">
        <f>Indata!$C$5+16</f>
        <v>2042</v>
      </c>
      <c r="U3" s="74">
        <f>Indata!$C$5+17</f>
        <v>2043</v>
      </c>
      <c r="V3" s="74">
        <f>Indata!$C$5+18</f>
        <v>2044</v>
      </c>
      <c r="W3" s="74">
        <f>Indata!$C$5+19</f>
        <v>2045</v>
      </c>
      <c r="X3" s="74">
        <f>Indata!$C$5+20</f>
        <v>2046</v>
      </c>
      <c r="Y3" s="74">
        <f>Indata!$C$5+21</f>
        <v>2047</v>
      </c>
      <c r="Z3" s="74">
        <f>Indata!$C$5+22</f>
        <v>2048</v>
      </c>
      <c r="AA3" s="74">
        <f>Indata!$C$5+23</f>
        <v>2049</v>
      </c>
      <c r="AB3" s="74">
        <f>Indata!$C$5+24</f>
        <v>2050</v>
      </c>
    </row>
    <row r="4" spans="1:28" ht="30" customHeight="1">
      <c r="A4" s="19" t="s">
        <v>3</v>
      </c>
      <c r="B4" s="75" t="s">
        <v>247</v>
      </c>
      <c r="C4" s="22"/>
      <c r="D4" s="76">
        <v>1</v>
      </c>
      <c r="E4" s="76">
        <v>2</v>
      </c>
      <c r="F4" s="76">
        <v>3</v>
      </c>
      <c r="G4" s="76">
        <v>4</v>
      </c>
      <c r="H4" s="77">
        <v>5</v>
      </c>
      <c r="I4" s="77">
        <v>6</v>
      </c>
      <c r="J4" s="77">
        <v>7</v>
      </c>
      <c r="K4" s="77">
        <v>8</v>
      </c>
      <c r="L4" s="77">
        <v>9</v>
      </c>
      <c r="M4" s="77">
        <v>10</v>
      </c>
      <c r="N4" s="77">
        <v>11</v>
      </c>
      <c r="O4" s="77">
        <v>12</v>
      </c>
      <c r="P4" s="77">
        <v>13</v>
      </c>
      <c r="Q4" s="77">
        <v>14</v>
      </c>
      <c r="R4" s="77">
        <v>15</v>
      </c>
      <c r="S4" s="77">
        <v>16</v>
      </c>
      <c r="T4" s="77">
        <v>17</v>
      </c>
      <c r="U4" s="77">
        <v>18</v>
      </c>
      <c r="V4" s="77">
        <v>19</v>
      </c>
      <c r="W4" s="77">
        <v>20</v>
      </c>
      <c r="X4" s="77">
        <v>21</v>
      </c>
      <c r="Y4" s="77">
        <v>22</v>
      </c>
      <c r="Z4" s="77">
        <v>23</v>
      </c>
      <c r="AA4" s="77">
        <v>24</v>
      </c>
      <c r="AB4" s="77">
        <v>25</v>
      </c>
    </row>
    <row r="5" spans="1:28" ht="30" customHeight="1">
      <c r="A5" s="19" t="s">
        <v>4</v>
      </c>
      <c r="B5" s="47" t="s">
        <v>248</v>
      </c>
      <c r="C5" s="20"/>
      <c r="D5" s="77">
        <f>IF(D4&lt;=Indata!$C$16,1,0)</f>
        <v>1</v>
      </c>
      <c r="E5" s="77">
        <f>IF(E4&lt;=Indata!$C$16,1,0)</f>
        <v>1</v>
      </c>
      <c r="F5" s="77">
        <f>IF(F4&lt;=Indata!$C$16,1,0)</f>
        <v>1</v>
      </c>
      <c r="G5" s="77">
        <f>IF(G4&lt;=Indata!$C$16,1,0)</f>
        <v>1</v>
      </c>
      <c r="H5" s="77">
        <f>IF(H4&lt;=Indata!$C$16,1,0)</f>
        <v>1</v>
      </c>
      <c r="I5" s="77">
        <f>IF(I4&lt;=Indata!$C$16,1,0)</f>
        <v>1</v>
      </c>
      <c r="J5" s="77">
        <f>IF(J4&lt;=Indata!$C$16,1,0)</f>
        <v>1</v>
      </c>
      <c r="K5" s="77">
        <f>IF(K4&lt;=Indata!$C$16,1,0)</f>
        <v>1</v>
      </c>
      <c r="L5" s="77">
        <f>IF(L4&lt;=Indata!$C$16,1,0)</f>
        <v>1</v>
      </c>
      <c r="M5" s="77">
        <f>IF(M4&lt;=Indata!$C$16,1,0)</f>
        <v>1</v>
      </c>
      <c r="N5" s="77">
        <f>IF(N4&lt;=Indata!$C$16,1,0)</f>
        <v>1</v>
      </c>
      <c r="O5" s="77">
        <f>IF(O4&lt;=Indata!$C$16,1,0)</f>
        <v>1</v>
      </c>
      <c r="P5" s="77">
        <f>IF(P4&lt;=Indata!$C$16,1,0)</f>
        <v>1</v>
      </c>
      <c r="Q5" s="77">
        <f>IF(Q4&lt;=Indata!$C$16,1,0)</f>
        <v>1</v>
      </c>
      <c r="R5" s="77">
        <f>IF(R4&lt;=Indata!$C$16,1,0)</f>
        <v>1</v>
      </c>
      <c r="S5" s="77">
        <f>IF(S4&lt;=Indata!$C$16,1,0)</f>
        <v>1</v>
      </c>
      <c r="T5" s="77">
        <f>IF(T4&lt;=Indata!$C$16,1,0)</f>
        <v>1</v>
      </c>
      <c r="U5" s="77">
        <f>IF(U4&lt;=Indata!$C$16,1,0)</f>
        <v>1</v>
      </c>
      <c r="V5" s="77">
        <f>IF(V4&lt;=Indata!$C$16,1,0)</f>
        <v>1</v>
      </c>
      <c r="W5" s="77">
        <f>IF(W4&lt;=Indata!$C$16,1,0)</f>
        <v>1</v>
      </c>
      <c r="X5" s="77">
        <f>IF(X4&lt;=Indata!$C$16,1,0)</f>
        <v>0</v>
      </c>
      <c r="Y5" s="77">
        <f>IF(Y4&lt;=Indata!$C$16,1,0)</f>
        <v>0</v>
      </c>
      <c r="Z5" s="77">
        <f>IF(Z4&lt;=Indata!$C$16,1,0)</f>
        <v>0</v>
      </c>
      <c r="AA5" s="77">
        <f>IF(AA4&lt;=Indata!$C$16,1,0)</f>
        <v>0</v>
      </c>
      <c r="AB5" s="77">
        <f>IF(AB4&lt;=Indata!$C$16,1,0)</f>
        <v>0</v>
      </c>
    </row>
    <row r="6" spans="1:28" ht="30" customHeight="1">
      <c r="A6" s="19"/>
      <c r="B6" s="20"/>
      <c r="C6" s="20"/>
      <c r="D6" s="20"/>
      <c r="E6" s="20"/>
      <c r="F6" s="20"/>
      <c r="G6" s="20"/>
      <c r="H6" s="20"/>
      <c r="I6" s="20"/>
      <c r="J6" s="20"/>
      <c r="K6" s="20"/>
      <c r="L6" s="20"/>
      <c r="M6" s="20"/>
      <c r="N6" s="20"/>
      <c r="O6" s="20"/>
      <c r="P6" s="20"/>
      <c r="Q6" s="20"/>
      <c r="R6" s="20"/>
      <c r="S6" s="20"/>
      <c r="T6" s="20"/>
      <c r="U6" s="20"/>
      <c r="V6" s="20"/>
      <c r="W6" s="20"/>
      <c r="X6" s="20"/>
      <c r="Y6" s="20"/>
      <c r="Z6" s="20"/>
      <c r="AA6" s="20"/>
      <c r="AB6" s="20"/>
    </row>
    <row r="7" spans="1:28" ht="30" customHeight="1">
      <c r="A7" s="19" t="s">
        <v>6</v>
      </c>
      <c r="B7" s="192" t="s">
        <v>269</v>
      </c>
      <c r="C7" s="162"/>
      <c r="D7" s="162"/>
      <c r="E7" s="162"/>
      <c r="F7" s="24"/>
      <c r="G7" s="24"/>
      <c r="H7" s="24"/>
      <c r="I7" s="24"/>
      <c r="J7" s="24"/>
      <c r="K7" s="24"/>
      <c r="L7" s="24"/>
      <c r="M7" s="24"/>
      <c r="N7" s="24"/>
      <c r="O7" s="24"/>
      <c r="P7" s="24"/>
      <c r="Q7" s="24"/>
      <c r="R7" s="24"/>
      <c r="S7" s="24"/>
      <c r="T7" s="24"/>
      <c r="U7" s="24"/>
      <c r="V7" s="24"/>
      <c r="W7" s="24"/>
      <c r="X7" s="24"/>
      <c r="Y7" s="24"/>
      <c r="Z7" s="24"/>
      <c r="AA7" s="24"/>
      <c r="AB7" s="24"/>
    </row>
    <row r="8" spans="1:28" ht="30" customHeight="1">
      <c r="A8" s="19" t="s">
        <v>10</v>
      </c>
      <c r="B8" s="193" t="s">
        <v>270</v>
      </c>
      <c r="C8" s="150"/>
      <c r="D8" s="150"/>
      <c r="E8" s="150"/>
      <c r="F8" s="150"/>
      <c r="G8" s="150"/>
      <c r="H8" s="150"/>
      <c r="I8" s="150"/>
      <c r="J8" s="150"/>
      <c r="K8" s="150"/>
      <c r="L8" s="150"/>
      <c r="M8" s="150"/>
      <c r="N8" s="20"/>
      <c r="O8" s="20"/>
      <c r="P8" s="20"/>
      <c r="Q8" s="20"/>
      <c r="R8" s="20"/>
      <c r="S8" s="20"/>
      <c r="T8" s="20"/>
      <c r="U8" s="20"/>
      <c r="V8" s="20"/>
      <c r="W8" s="20"/>
      <c r="X8" s="20"/>
      <c r="Y8" s="20"/>
      <c r="Z8" s="20"/>
      <c r="AA8" s="20"/>
      <c r="AB8" s="20"/>
    </row>
    <row r="9" spans="1:28" ht="30" customHeight="1">
      <c r="A9" s="19" t="s">
        <v>11</v>
      </c>
      <c r="B9" s="20"/>
      <c r="C9" s="20"/>
      <c r="D9" s="20"/>
      <c r="E9" s="20"/>
      <c r="F9" s="20"/>
      <c r="G9" s="20"/>
      <c r="H9" s="20"/>
      <c r="I9" s="20"/>
      <c r="J9" s="20"/>
      <c r="K9" s="20"/>
      <c r="L9" s="20"/>
      <c r="M9" s="20"/>
      <c r="N9" s="20"/>
      <c r="O9" s="20"/>
      <c r="P9" s="20"/>
      <c r="Q9" s="20"/>
      <c r="R9" s="20"/>
      <c r="S9" s="20"/>
      <c r="T9" s="20"/>
      <c r="U9" s="20"/>
      <c r="V9" s="20"/>
      <c r="W9" s="20"/>
      <c r="X9" s="20"/>
      <c r="Y9" s="20"/>
      <c r="Z9" s="20"/>
      <c r="AA9" s="20"/>
      <c r="AB9" s="20"/>
    </row>
    <row r="10" spans="1:28" ht="30" customHeight="1">
      <c r="A10" s="19" t="s">
        <v>14</v>
      </c>
      <c r="B10" s="20" t="s">
        <v>271</v>
      </c>
      <c r="C10" s="20"/>
      <c r="D10" s="50">
        <f>SUMIFS(Indata!$R$26:$R$30,Indata!$P$26:$P$30,D3)*Indata!$C$64</f>
        <v>74000000</v>
      </c>
      <c r="E10" s="50">
        <f>SUMIFS(Indata!$R$26:$R$30,Indata!$P$26:$P$30,E3)*Indata!$C$64</f>
        <v>0</v>
      </c>
      <c r="F10" s="50">
        <f>SUMIFS(Indata!$R$26:$R$30,Indata!$P$26:$P$30,F3)*Indata!$C$64</f>
        <v>0</v>
      </c>
      <c r="G10" s="50">
        <f>SUMIFS(Indata!$R$26:$R$30,Indata!$P$26:$P$30,G3)*Indata!$C$64</f>
        <v>0</v>
      </c>
      <c r="H10" s="50">
        <f>SUMIFS(Indata!$R$26:$R$30,Indata!$P$26:$P$30,H3)*Indata!$C$64</f>
        <v>0</v>
      </c>
      <c r="I10" s="50">
        <f>SUMIFS(Indata!$R$26:$R$30,Indata!$P$26:$P$30,I3)*Indata!$C$64</f>
        <v>0</v>
      </c>
      <c r="J10" s="50">
        <f>SUMIFS(Indata!$R$26:$R$30,Indata!$P$26:$P$30,J3)*Indata!$C$64</f>
        <v>0</v>
      </c>
      <c r="K10" s="50">
        <f>SUMIFS(Indata!$R$26:$R$30,Indata!$P$26:$P$30,K3)*Indata!$C$64</f>
        <v>0</v>
      </c>
      <c r="L10" s="50">
        <f>SUMIFS(Indata!$R$26:$R$30,Indata!$P$26:$P$30,L3)*Indata!$C$64</f>
        <v>0</v>
      </c>
      <c r="M10" s="50">
        <f>SUMIFS(Indata!$R$26:$R$30,Indata!$P$26:$P$30,M3)*Indata!$C$64</f>
        <v>0</v>
      </c>
      <c r="N10" s="50">
        <f>SUMIFS(Indata!$R$26:$R$30,Indata!$P$26:$P$30,N3)*Indata!$C$64</f>
        <v>0</v>
      </c>
      <c r="O10" s="50">
        <f>SUMIFS(Indata!$R$26:$R$30,Indata!$P$26:$P$30,O3)*Indata!$C$64</f>
        <v>0</v>
      </c>
      <c r="P10" s="50">
        <f>SUMIFS(Indata!$R$26:$R$30,Indata!$P$26:$P$30,P3)*Indata!$C$64</f>
        <v>0</v>
      </c>
      <c r="Q10" s="50">
        <f>SUMIFS(Indata!$R$26:$R$30,Indata!$P$26:$P$30,Q3)*Indata!$C$64</f>
        <v>0</v>
      </c>
      <c r="R10" s="50">
        <f>SUMIFS(Indata!$R$26:$R$30,Indata!$P$26:$P$30,R3)*Indata!$C$64</f>
        <v>0</v>
      </c>
      <c r="S10" s="50">
        <f>SUMIFS(Indata!$R$26:$R$30,Indata!$P$26:$P$30,S3)*Indata!$C$64</f>
        <v>0</v>
      </c>
      <c r="T10" s="50">
        <f>SUMIFS(Indata!$R$26:$R$30,Indata!$P$26:$P$30,T3)*Indata!$C$64</f>
        <v>0</v>
      </c>
      <c r="U10" s="50">
        <f>SUMIFS(Indata!$R$26:$R$30,Indata!$P$26:$P$30,U3)*Indata!$C$64</f>
        <v>0</v>
      </c>
      <c r="V10" s="50">
        <f>SUMIFS(Indata!$R$26:$R$30,Indata!$P$26:$P$30,V3)*Indata!$C$64</f>
        <v>0</v>
      </c>
      <c r="W10" s="50">
        <f>SUMIFS(Indata!$R$26:$R$30,Indata!$P$26:$P$30,W3)*Indata!$C$64</f>
        <v>0</v>
      </c>
      <c r="X10" s="50">
        <f>SUMIFS(Indata!$R$26:$R$30,Indata!$P$26:$P$30,X3)*Indata!$C$64</f>
        <v>0</v>
      </c>
      <c r="Y10" s="50">
        <f>SUMIFS(Indata!$R$26:$R$30,Indata!$P$26:$P$30,Y3)*Indata!$C$64</f>
        <v>0</v>
      </c>
      <c r="Z10" s="50">
        <f>SUMIFS(Indata!$R$26:$R$30,Indata!$P$26:$P$30,Z3)*Indata!$C$64</f>
        <v>0</v>
      </c>
      <c r="AA10" s="50">
        <f>SUMIFS(Indata!$R$26:$R$30,Indata!$P$26:$P$30,AA3)*Indata!$C$64</f>
        <v>0</v>
      </c>
      <c r="AB10" s="50">
        <f>SUMIFS(Indata!$R$26:$R$30,Indata!$P$26:$P$30,AB3)*Indata!$C$64</f>
        <v>0</v>
      </c>
    </row>
    <row r="11" spans="1:28" ht="30" customHeight="1">
      <c r="A11" s="19" t="s">
        <v>15</v>
      </c>
      <c r="B11" s="20" t="s">
        <v>272</v>
      </c>
      <c r="C11" s="20"/>
      <c r="D11" s="50">
        <f>D10</f>
        <v>74000000</v>
      </c>
      <c r="E11" s="50">
        <f t="shared" ref="E11:AB11" si="0">D11+E10</f>
        <v>74000000</v>
      </c>
      <c r="F11" s="50">
        <f t="shared" si="0"/>
        <v>74000000</v>
      </c>
      <c r="G11" s="50">
        <f t="shared" si="0"/>
        <v>74000000</v>
      </c>
      <c r="H11" s="50">
        <f t="shared" si="0"/>
        <v>74000000</v>
      </c>
      <c r="I11" s="50">
        <f t="shared" si="0"/>
        <v>74000000</v>
      </c>
      <c r="J11" s="50">
        <f t="shared" si="0"/>
        <v>74000000</v>
      </c>
      <c r="K11" s="50">
        <f t="shared" si="0"/>
        <v>74000000</v>
      </c>
      <c r="L11" s="50">
        <f t="shared" si="0"/>
        <v>74000000</v>
      </c>
      <c r="M11" s="50">
        <f t="shared" si="0"/>
        <v>74000000</v>
      </c>
      <c r="N11" s="50">
        <f t="shared" si="0"/>
        <v>74000000</v>
      </c>
      <c r="O11" s="50">
        <f t="shared" si="0"/>
        <v>74000000</v>
      </c>
      <c r="P11" s="50">
        <f t="shared" si="0"/>
        <v>74000000</v>
      </c>
      <c r="Q11" s="50">
        <f t="shared" si="0"/>
        <v>74000000</v>
      </c>
      <c r="R11" s="50">
        <f t="shared" si="0"/>
        <v>74000000</v>
      </c>
      <c r="S11" s="50">
        <f t="shared" si="0"/>
        <v>74000000</v>
      </c>
      <c r="T11" s="50">
        <f t="shared" si="0"/>
        <v>74000000</v>
      </c>
      <c r="U11" s="50">
        <f t="shared" si="0"/>
        <v>74000000</v>
      </c>
      <c r="V11" s="50">
        <f t="shared" si="0"/>
        <v>74000000</v>
      </c>
      <c r="W11" s="50">
        <f t="shared" si="0"/>
        <v>74000000</v>
      </c>
      <c r="X11" s="50">
        <f t="shared" si="0"/>
        <v>74000000</v>
      </c>
      <c r="Y11" s="50">
        <f t="shared" si="0"/>
        <v>74000000</v>
      </c>
      <c r="Z11" s="50">
        <f t="shared" si="0"/>
        <v>74000000</v>
      </c>
      <c r="AA11" s="50">
        <f t="shared" si="0"/>
        <v>74000000</v>
      </c>
      <c r="AB11" s="50">
        <f t="shared" si="0"/>
        <v>74000000</v>
      </c>
    </row>
    <row r="12" spans="1:28" ht="15" customHeight="1">
      <c r="A12" s="19"/>
      <c r="B12" s="20" t="s">
        <v>89</v>
      </c>
      <c r="C12" s="20"/>
      <c r="D12" s="50">
        <f>-D11*Indata!$C$63</f>
        <v>-1480000</v>
      </c>
      <c r="E12" s="50">
        <f>-D13*Indata!$C$63</f>
        <v>-1450400</v>
      </c>
      <c r="F12" s="50">
        <f>-E13*Indata!$C$63</f>
        <v>-1421392</v>
      </c>
      <c r="G12" s="50">
        <f>-F13*Indata!$C$63</f>
        <v>-1392964.16</v>
      </c>
      <c r="H12" s="50">
        <f>-G13*Indata!$C$63</f>
        <v>-1365104.8768000002</v>
      </c>
      <c r="I12" s="50">
        <f>-H13*Indata!$C$63</f>
        <v>-1337802.779264</v>
      </c>
      <c r="J12" s="50">
        <f>-I13*Indata!$C$63</f>
        <v>-1311046.72367872</v>
      </c>
      <c r="K12" s="50">
        <f>-J13*Indata!$C$63</f>
        <v>-1284825.7892051456</v>
      </c>
      <c r="L12" s="50">
        <f>-K13*Indata!$C$63</f>
        <v>-1259129.2734210426</v>
      </c>
      <c r="M12" s="50">
        <f>-L13*Indata!$C$63</f>
        <v>-1233946.6879526218</v>
      </c>
      <c r="N12" s="50">
        <f>-M13*Indata!$C$63</f>
        <v>-1209267.7541935693</v>
      </c>
      <c r="O12" s="50">
        <f>-N13*Indata!$C$63</f>
        <v>-1185082.3991096979</v>
      </c>
      <c r="P12" s="50">
        <f>-O13*Indata!$C$63</f>
        <v>-1161380.751127504</v>
      </c>
      <c r="Q12" s="50">
        <f>-P13*Indata!$C$63</f>
        <v>-1138153.1361049539</v>
      </c>
      <c r="R12" s="50">
        <f>-Q13*Indata!$C$63</f>
        <v>-1115390.0733828547</v>
      </c>
      <c r="S12" s="50">
        <f>-R13*Indata!$C$63</f>
        <v>-1093082.2719151976</v>
      </c>
      <c r="T12" s="50">
        <f>-S13*Indata!$C$63</f>
        <v>-1071220.6264768937</v>
      </c>
      <c r="U12" s="50">
        <f>-T13*Indata!$C$63</f>
        <v>-1049796.213947356</v>
      </c>
      <c r="V12" s="50">
        <f>-U13*Indata!$C$63</f>
        <v>-1028800.2896684088</v>
      </c>
      <c r="W12" s="50">
        <f>-V13*Indata!$C$63</f>
        <v>-1008224.2838750406</v>
      </c>
      <c r="X12" s="50">
        <f>-W13*Indata!$C$63</f>
        <v>-988059.79819753976</v>
      </c>
      <c r="Y12" s="50">
        <f>-X13*Indata!$C$63</f>
        <v>-968298.60223358904</v>
      </c>
      <c r="Z12" s="50">
        <f>-Y13*Indata!$C$63</f>
        <v>-948932.63018891728</v>
      </c>
      <c r="AA12" s="50">
        <f>-Z13*Indata!$C$63</f>
        <v>-929953.97758513887</v>
      </c>
      <c r="AB12" s="50">
        <f>-AA13*Indata!$C$63</f>
        <v>-911354.89803343615</v>
      </c>
    </row>
    <row r="13" spans="1:28" ht="15" customHeight="1">
      <c r="A13" s="19"/>
      <c r="B13" s="20" t="s">
        <v>273</v>
      </c>
      <c r="C13" s="20"/>
      <c r="D13" s="50">
        <f>D11+D12</f>
        <v>72520000</v>
      </c>
      <c r="E13" s="50">
        <f t="shared" ref="E13:AB13" si="1">D13+E10+E12</f>
        <v>71069600</v>
      </c>
      <c r="F13" s="50">
        <f t="shared" si="1"/>
        <v>69648208</v>
      </c>
      <c r="G13" s="50">
        <f t="shared" si="1"/>
        <v>68255243.840000004</v>
      </c>
      <c r="H13" s="50">
        <f t="shared" si="1"/>
        <v>66890138.963200003</v>
      </c>
      <c r="I13" s="50">
        <f t="shared" si="1"/>
        <v>65552336.183936</v>
      </c>
      <c r="J13" s="50">
        <f t="shared" si="1"/>
        <v>64241289.460257277</v>
      </c>
      <c r="K13" s="50">
        <f t="shared" si="1"/>
        <v>62956463.671052128</v>
      </c>
      <c r="L13" s="50">
        <f t="shared" si="1"/>
        <v>61697334.397631086</v>
      </c>
      <c r="M13" s="50">
        <f t="shared" si="1"/>
        <v>60463387.709678464</v>
      </c>
      <c r="N13" s="50">
        <f t="shared" si="1"/>
        <v>59254119.955484897</v>
      </c>
      <c r="O13" s="50">
        <f t="shared" si="1"/>
        <v>58069037.556375198</v>
      </c>
      <c r="P13" s="50">
        <f t="shared" si="1"/>
        <v>56907656.805247694</v>
      </c>
      <c r="Q13" s="50">
        <f t="shared" si="1"/>
        <v>55769503.669142738</v>
      </c>
      <c r="R13" s="50">
        <f t="shared" si="1"/>
        <v>54654113.595759884</v>
      </c>
      <c r="S13" s="50">
        <f t="shared" si="1"/>
        <v>53561031.323844686</v>
      </c>
      <c r="T13" s="50">
        <f t="shared" si="1"/>
        <v>52489810.697367795</v>
      </c>
      <c r="U13" s="50">
        <f t="shared" si="1"/>
        <v>51440014.483420439</v>
      </c>
      <c r="V13" s="50">
        <f t="shared" si="1"/>
        <v>50411214.193752028</v>
      </c>
      <c r="W13" s="50">
        <f t="shared" si="1"/>
        <v>49402989.909876987</v>
      </c>
      <c r="X13" s="50">
        <f t="shared" si="1"/>
        <v>48414930.11167945</v>
      </c>
      <c r="Y13" s="50">
        <f t="shared" si="1"/>
        <v>47446631.509445861</v>
      </c>
      <c r="Z13" s="50">
        <f t="shared" si="1"/>
        <v>46497698.879256941</v>
      </c>
      <c r="AA13" s="50">
        <f t="shared" si="1"/>
        <v>45567744.901671804</v>
      </c>
      <c r="AB13" s="50">
        <f t="shared" si="1"/>
        <v>44656390.003638372</v>
      </c>
    </row>
    <row r="14" spans="1:28" ht="15" customHeight="1">
      <c r="A14" s="19"/>
      <c r="B14" s="20" t="s">
        <v>88</v>
      </c>
      <c r="C14" s="20"/>
      <c r="D14" s="49">
        <f>MIN(Indata!$C$62,Indata!$C$61+(Indata!$C$62-Indata!$C$61)*(D4/10))</f>
        <v>3.1E-2</v>
      </c>
      <c r="E14" s="49">
        <f>MIN(Indata!$C$62,Indata!$C$61+(Indata!$C$62-Indata!$C$61)*(E4/10))</f>
        <v>3.2000000000000001E-2</v>
      </c>
      <c r="F14" s="49">
        <f>MIN(Indata!$C$62,Indata!$C$61+(Indata!$C$62-Indata!$C$61)*(F4/10))</f>
        <v>3.3000000000000002E-2</v>
      </c>
      <c r="G14" s="49">
        <f>MIN(Indata!$C$62,Indata!$C$61+(Indata!$C$62-Indata!$C$61)*(G4/10))</f>
        <v>3.4000000000000002E-2</v>
      </c>
      <c r="H14" s="49">
        <f>MIN(Indata!$C$62,Indata!$C$61+(Indata!$C$62-Indata!$C$61)*(H4/10))</f>
        <v>3.5000000000000003E-2</v>
      </c>
      <c r="I14" s="49">
        <f>MIN(Indata!$C$62,Indata!$C$61+(Indata!$C$62-Indata!$C$61)*(I4/10))</f>
        <v>3.5999999999999997E-2</v>
      </c>
      <c r="J14" s="49">
        <f>MIN(Indata!$C$62,Indata!$C$61+(Indata!$C$62-Indata!$C$61)*(J4/10))</f>
        <v>3.6999999999999998E-2</v>
      </c>
      <c r="K14" s="49">
        <f>MIN(Indata!$C$62,Indata!$C$61+(Indata!$C$62-Indata!$C$61)*(K4/10))</f>
        <v>3.7999999999999999E-2</v>
      </c>
      <c r="L14" s="49">
        <f>MIN(Indata!$C$62,Indata!$C$61+(Indata!$C$62-Indata!$C$61)*(L4/10))</f>
        <v>3.9E-2</v>
      </c>
      <c r="M14" s="49">
        <f>MIN(Indata!$C$62,Indata!$C$61+(Indata!$C$62-Indata!$C$61)*(M4/10))</f>
        <v>0.04</v>
      </c>
      <c r="N14" s="49">
        <f>MIN(Indata!$C$62,Indata!$C$61+(Indata!$C$62-Indata!$C$61)*(N4/10))</f>
        <v>0.04</v>
      </c>
      <c r="O14" s="49">
        <f>MIN(Indata!$C$62,Indata!$C$61+(Indata!$C$62-Indata!$C$61)*(O4/10))</f>
        <v>0.04</v>
      </c>
      <c r="P14" s="49">
        <f>MIN(Indata!$C$62,Indata!$C$61+(Indata!$C$62-Indata!$C$61)*(P4/10))</f>
        <v>0.04</v>
      </c>
      <c r="Q14" s="49">
        <f>MIN(Indata!$C$62,Indata!$C$61+(Indata!$C$62-Indata!$C$61)*(Q4/10))</f>
        <v>0.04</v>
      </c>
      <c r="R14" s="49">
        <f>MIN(Indata!$C$62,Indata!$C$61+(Indata!$C$62-Indata!$C$61)*(R4/10))</f>
        <v>0.04</v>
      </c>
      <c r="S14" s="49">
        <f>MIN(Indata!$C$62,Indata!$C$61+(Indata!$C$62-Indata!$C$61)*(S4/10))</f>
        <v>0.04</v>
      </c>
      <c r="T14" s="49">
        <f>MIN(Indata!$C$62,Indata!$C$61+(Indata!$C$62-Indata!$C$61)*(T4/10))</f>
        <v>0.04</v>
      </c>
      <c r="U14" s="49">
        <f>MIN(Indata!$C$62,Indata!$C$61+(Indata!$C$62-Indata!$C$61)*(U4/10))</f>
        <v>0.04</v>
      </c>
      <c r="V14" s="49">
        <f>MIN(Indata!$C$62,Indata!$C$61+(Indata!$C$62-Indata!$C$61)*(V4/10))</f>
        <v>0.04</v>
      </c>
      <c r="W14" s="49">
        <f>MIN(Indata!$C$62,Indata!$C$61+(Indata!$C$62-Indata!$C$61)*(W4/10))</f>
        <v>0.04</v>
      </c>
      <c r="X14" s="49">
        <f>MIN(Indata!$C$62,Indata!$C$61+(Indata!$C$62-Indata!$C$61)*(X4/10))</f>
        <v>0.04</v>
      </c>
      <c r="Y14" s="49">
        <f>MIN(Indata!$C$62,Indata!$C$61+(Indata!$C$62-Indata!$C$61)*(Y4/10))</f>
        <v>0.04</v>
      </c>
      <c r="Z14" s="49">
        <f>MIN(Indata!$C$62,Indata!$C$61+(Indata!$C$62-Indata!$C$61)*(Z4/10))</f>
        <v>0.04</v>
      </c>
      <c r="AA14" s="49">
        <f>MIN(Indata!$C$62,Indata!$C$61+(Indata!$C$62-Indata!$C$61)*(AA4/10))</f>
        <v>0.04</v>
      </c>
      <c r="AB14" s="49">
        <f>MIN(Indata!$C$62,Indata!$C$61+(Indata!$C$62-Indata!$C$61)*(AB4/10))</f>
        <v>0.04</v>
      </c>
    </row>
    <row r="15" spans="1:28" ht="15" customHeight="1">
      <c r="A15" s="19"/>
      <c r="B15" s="20" t="s">
        <v>274</v>
      </c>
      <c r="C15" s="20"/>
      <c r="D15" s="50">
        <f t="shared" ref="D15:AB15" si="2">-D13*D14</f>
        <v>-2248120</v>
      </c>
      <c r="E15" s="50">
        <f t="shared" si="2"/>
        <v>-2274227.2000000002</v>
      </c>
      <c r="F15" s="50">
        <f t="shared" si="2"/>
        <v>-2298390.8640000001</v>
      </c>
      <c r="G15" s="50">
        <f t="shared" si="2"/>
        <v>-2320678.2905600001</v>
      </c>
      <c r="H15" s="50">
        <f t="shared" si="2"/>
        <v>-2341154.8637120002</v>
      </c>
      <c r="I15" s="50">
        <f t="shared" si="2"/>
        <v>-2359884.102621696</v>
      </c>
      <c r="J15" s="50">
        <f t="shared" si="2"/>
        <v>-2376927.7100295192</v>
      </c>
      <c r="K15" s="50">
        <f t="shared" si="2"/>
        <v>-2392345.6194999809</v>
      </c>
      <c r="L15" s="50">
        <f t="shared" si="2"/>
        <v>-2406196.0415076124</v>
      </c>
      <c r="M15" s="50">
        <f t="shared" si="2"/>
        <v>-2418535.5083871386</v>
      </c>
      <c r="N15" s="50">
        <f t="shared" si="2"/>
        <v>-2370164.7982193958</v>
      </c>
      <c r="O15" s="50">
        <f t="shared" si="2"/>
        <v>-2322761.5022550081</v>
      </c>
      <c r="P15" s="50">
        <f t="shared" si="2"/>
        <v>-2276306.2722099079</v>
      </c>
      <c r="Q15" s="50">
        <f t="shared" si="2"/>
        <v>-2230780.1467657094</v>
      </c>
      <c r="R15" s="50">
        <f t="shared" si="2"/>
        <v>-2186164.5438303952</v>
      </c>
      <c r="S15" s="50">
        <f t="shared" si="2"/>
        <v>-2142441.2529537873</v>
      </c>
      <c r="T15" s="50">
        <f t="shared" si="2"/>
        <v>-2099592.427894712</v>
      </c>
      <c r="U15" s="50">
        <f t="shared" si="2"/>
        <v>-2057600.5793368176</v>
      </c>
      <c r="V15" s="50">
        <f t="shared" si="2"/>
        <v>-2016448.5677500812</v>
      </c>
      <c r="W15" s="50">
        <f t="shared" si="2"/>
        <v>-1976119.5963950795</v>
      </c>
      <c r="X15" s="50">
        <f t="shared" si="2"/>
        <v>-1936597.2044671781</v>
      </c>
      <c r="Y15" s="50">
        <f t="shared" si="2"/>
        <v>-1897865.2603778346</v>
      </c>
      <c r="Z15" s="50">
        <f t="shared" si="2"/>
        <v>-1859907.9551702777</v>
      </c>
      <c r="AA15" s="50">
        <f t="shared" si="2"/>
        <v>-1822709.7960668723</v>
      </c>
      <c r="AB15" s="50">
        <f t="shared" si="2"/>
        <v>-1786255.6001455348</v>
      </c>
    </row>
    <row r="16" spans="1:28" ht="16.5" customHeight="1">
      <c r="A16" s="19"/>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row>
    <row r="17" spans="1:28" ht="15" customHeight="1">
      <c r="A17" s="19"/>
      <c r="B17" s="20" t="s">
        <v>275</v>
      </c>
      <c r="C17" s="20"/>
      <c r="D17" s="50">
        <f>-SUMIFS(Indata!$R$26:$R$30,Indata!$P$26:$P$30,D3)*(1-Indata!$C$64)</f>
        <v>-126000000</v>
      </c>
      <c r="E17" s="50">
        <f>-SUMIFS(Indata!$R$26:$R$30,Indata!$P$26:$P$30,E3)*(1-Indata!$C$64)</f>
        <v>0</v>
      </c>
      <c r="F17" s="50">
        <f>-SUMIFS(Indata!$R$26:$R$30,Indata!$P$26:$P$30,F3)*(1-Indata!$C$64)</f>
        <v>0</v>
      </c>
      <c r="G17" s="50">
        <f>-SUMIFS(Indata!$R$26:$R$30,Indata!$P$26:$P$30,G3)*(1-Indata!$C$64)</f>
        <v>0</v>
      </c>
      <c r="H17" s="50">
        <f>-SUMIFS(Indata!$R$26:$R$30,Indata!$P$26:$P$30,H3)*(1-Indata!$C$64)</f>
        <v>0</v>
      </c>
      <c r="I17" s="50">
        <f>-SUMIFS(Indata!$R$26:$R$30,Indata!$P$26:$P$30,I3)*(1-Indata!$C$64)</f>
        <v>0</v>
      </c>
      <c r="J17" s="50">
        <f>-SUMIFS(Indata!$R$26:$R$30,Indata!$P$26:$P$30,J3)*(1-Indata!$C$64)</f>
        <v>0</v>
      </c>
      <c r="K17" s="50">
        <f>-SUMIFS(Indata!$R$26:$R$30,Indata!$P$26:$P$30,K3)*(1-Indata!$C$64)</f>
        <v>0</v>
      </c>
      <c r="L17" s="50">
        <f>-SUMIFS(Indata!$R$26:$R$30,Indata!$P$26:$P$30,L3)*(1-Indata!$C$64)</f>
        <v>0</v>
      </c>
      <c r="M17" s="50">
        <f>-SUMIFS(Indata!$R$26:$R$30,Indata!$P$26:$P$30,M3)*(1-Indata!$C$64)</f>
        <v>0</v>
      </c>
      <c r="N17" s="50">
        <f>-SUMIFS(Indata!$R$26:$R$30,Indata!$P$26:$P$30,N3)*(1-Indata!$C$64)</f>
        <v>0</v>
      </c>
      <c r="O17" s="50">
        <f>-SUMIFS(Indata!$R$26:$R$30,Indata!$P$26:$P$30,O3)*(1-Indata!$C$64)</f>
        <v>0</v>
      </c>
      <c r="P17" s="50">
        <f>-SUMIFS(Indata!$R$26:$R$30,Indata!$P$26:$P$30,P3)*(1-Indata!$C$64)</f>
        <v>0</v>
      </c>
      <c r="Q17" s="50">
        <f>-SUMIFS(Indata!$R$26:$R$30,Indata!$P$26:$P$30,Q3)*(1-Indata!$C$64)</f>
        <v>0</v>
      </c>
      <c r="R17" s="50">
        <f>-SUMIFS(Indata!$R$26:$R$30,Indata!$P$26:$P$30,R3)*(1-Indata!$C$64)</f>
        <v>0</v>
      </c>
      <c r="S17" s="50">
        <f>-SUMIFS(Indata!$R$26:$R$30,Indata!$P$26:$P$30,S3)*(1-Indata!$C$64)</f>
        <v>0</v>
      </c>
      <c r="T17" s="50">
        <f>-SUMIFS(Indata!$R$26:$R$30,Indata!$P$26:$P$30,T3)*(1-Indata!$C$64)</f>
        <v>0</v>
      </c>
      <c r="U17" s="50">
        <f>-SUMIFS(Indata!$R$26:$R$30,Indata!$P$26:$P$30,U3)*(1-Indata!$C$64)</f>
        <v>0</v>
      </c>
      <c r="V17" s="50">
        <f>-SUMIFS(Indata!$R$26:$R$30,Indata!$P$26:$P$30,V3)*(1-Indata!$C$64)</f>
        <v>0</v>
      </c>
      <c r="W17" s="50">
        <f>-SUMIFS(Indata!$R$26:$R$30,Indata!$P$26:$P$30,W3)*(1-Indata!$C$64)</f>
        <v>0</v>
      </c>
      <c r="X17" s="50">
        <f>-SUMIFS(Indata!$R$26:$R$30,Indata!$P$26:$P$30,X3)*(1-Indata!$C$64)</f>
        <v>0</v>
      </c>
      <c r="Y17" s="50">
        <f>-SUMIFS(Indata!$R$26:$R$30,Indata!$P$26:$P$30,Y3)*(1-Indata!$C$64)</f>
        <v>0</v>
      </c>
      <c r="Z17" s="50">
        <f>-SUMIFS(Indata!$R$26:$R$30,Indata!$P$26:$P$30,Z3)*(1-Indata!$C$64)</f>
        <v>0</v>
      </c>
      <c r="AA17" s="50">
        <f>-SUMIFS(Indata!$R$26:$R$30,Indata!$P$26:$P$30,AA3)*(1-Indata!$C$64)</f>
        <v>0</v>
      </c>
      <c r="AB17" s="50">
        <f>-SUMIFS(Indata!$R$26:$R$30,Indata!$P$26:$P$30,AB3)*(1-Indata!$C$64)</f>
        <v>0</v>
      </c>
    </row>
    <row r="18" spans="1:28" ht="15" customHeight="1">
      <c r="A18" s="19"/>
      <c r="B18" s="20" t="s">
        <v>276</v>
      </c>
      <c r="C18" s="20"/>
      <c r="D18" s="50">
        <f>IF(D5=0,0,-Indata!$C$17/Indata!$C$19)</f>
        <v>-6060606.0606060605</v>
      </c>
      <c r="E18" s="50">
        <f>IF(E5=0,0,-Indata!$C$17/Indata!$C$19)</f>
        <v>-6060606.0606060605</v>
      </c>
      <c r="F18" s="50">
        <f>IF(F5=0,0,-Indata!$C$17/Indata!$C$19)</f>
        <v>-6060606.0606060605</v>
      </c>
      <c r="G18" s="50">
        <f>IF(G5=0,0,-Indata!$C$17/Indata!$C$19)</f>
        <v>-6060606.0606060605</v>
      </c>
      <c r="H18" s="50">
        <f>IF(H5=0,0,-Indata!$C$17/Indata!$C$19)</f>
        <v>-6060606.0606060605</v>
      </c>
      <c r="I18" s="50">
        <f>IF(I5=0,0,-Indata!$C$17/Indata!$C$19)</f>
        <v>-6060606.0606060605</v>
      </c>
      <c r="J18" s="50">
        <f>IF(J5=0,0,-Indata!$C$17/Indata!$C$19)</f>
        <v>-6060606.0606060605</v>
      </c>
      <c r="K18" s="50">
        <f>IF(K5=0,0,-Indata!$C$17/Indata!$C$19)</f>
        <v>-6060606.0606060605</v>
      </c>
      <c r="L18" s="50">
        <f>IF(L5=0,0,-Indata!$C$17/Indata!$C$19)</f>
        <v>-6060606.0606060605</v>
      </c>
      <c r="M18" s="50">
        <f>IF(M5=0,0,-Indata!$C$17/Indata!$C$19)</f>
        <v>-6060606.0606060605</v>
      </c>
      <c r="N18" s="50">
        <f>IF(N5=0,0,-Indata!$C$17/Indata!$C$19)</f>
        <v>-6060606.0606060605</v>
      </c>
      <c r="O18" s="50">
        <f>IF(O5=0,0,-Indata!$C$17/Indata!$C$19)</f>
        <v>-6060606.0606060605</v>
      </c>
      <c r="P18" s="50">
        <f>IF(P5=0,0,-Indata!$C$17/Indata!$C$19)</f>
        <v>-6060606.0606060605</v>
      </c>
      <c r="Q18" s="50">
        <f>IF(Q5=0,0,-Indata!$C$17/Indata!$C$19)</f>
        <v>-6060606.0606060605</v>
      </c>
      <c r="R18" s="50">
        <f>IF(R5=0,0,-Indata!$C$17/Indata!$C$19)</f>
        <v>-6060606.0606060605</v>
      </c>
      <c r="S18" s="50">
        <f>IF(S5=0,0,-Indata!$C$17/Indata!$C$19)</f>
        <v>-6060606.0606060605</v>
      </c>
      <c r="T18" s="50">
        <f>IF(T5=0,0,-Indata!$C$17/Indata!$C$19)</f>
        <v>-6060606.0606060605</v>
      </c>
      <c r="U18" s="50">
        <f>IF(U5=0,0,-Indata!$C$17/Indata!$C$19)</f>
        <v>-6060606.0606060605</v>
      </c>
      <c r="V18" s="50">
        <f>IF(V5=0,0,-Indata!$C$17/Indata!$C$19)</f>
        <v>-6060606.0606060605</v>
      </c>
      <c r="W18" s="50">
        <f>IF(W5=0,0,-Indata!$C$17/Indata!$C$19)</f>
        <v>-6060606.0606060605</v>
      </c>
      <c r="X18" s="50">
        <f>IF(X5=0,0,-Indata!$C$17/Indata!$C$19)</f>
        <v>0</v>
      </c>
      <c r="Y18" s="50">
        <f>IF(Y5=0,0,-Indata!$C$17/Indata!$C$19)</f>
        <v>0</v>
      </c>
      <c r="Z18" s="50">
        <f>IF(Z5=0,0,-Indata!$C$17/Indata!$C$19)</f>
        <v>0</v>
      </c>
      <c r="AA18" s="50">
        <f>IF(AA5=0,0,-Indata!$C$17/Indata!$C$19)</f>
        <v>0</v>
      </c>
      <c r="AB18" s="50">
        <f>IF(AB5=0,0,-Indata!$C$17/Indata!$C$19)</f>
        <v>0</v>
      </c>
    </row>
    <row r="19" spans="1:28">
      <c r="A19" s="39"/>
      <c r="B19" s="40"/>
      <c r="C19" s="40"/>
      <c r="D19" s="40"/>
      <c r="E19" s="40"/>
      <c r="F19" s="40"/>
      <c r="G19" s="40"/>
      <c r="H19" s="40"/>
      <c r="I19" s="40"/>
      <c r="J19" s="40"/>
      <c r="K19" s="40"/>
      <c r="L19" s="40"/>
      <c r="M19" s="40"/>
      <c r="N19" s="40"/>
      <c r="O19" s="40"/>
      <c r="P19" s="40"/>
      <c r="Q19" s="40"/>
      <c r="R19" s="40"/>
      <c r="S19" s="40"/>
      <c r="T19" s="40"/>
      <c r="U19" s="40"/>
      <c r="V19" s="40"/>
      <c r="W19" s="40"/>
      <c r="X19" s="40"/>
      <c r="Y19" s="40"/>
      <c r="Z19" s="40"/>
      <c r="AA19" s="40"/>
      <c r="AB19" s="40"/>
    </row>
    <row r="20" spans="1:28">
      <c r="A20" s="39"/>
      <c r="B20" s="40"/>
      <c r="C20" s="40"/>
      <c r="D20" s="40"/>
      <c r="E20" s="40"/>
      <c r="F20" s="40"/>
      <c r="G20" s="40"/>
      <c r="H20" s="40"/>
      <c r="I20" s="40"/>
      <c r="J20" s="40"/>
      <c r="K20" s="40"/>
      <c r="L20" s="40"/>
      <c r="M20" s="40"/>
      <c r="N20" s="40"/>
      <c r="O20" s="40"/>
      <c r="P20" s="40"/>
      <c r="Q20" s="40"/>
      <c r="R20" s="40"/>
      <c r="S20" s="40"/>
      <c r="T20" s="40"/>
      <c r="U20" s="40"/>
      <c r="V20" s="40"/>
      <c r="W20" s="40"/>
      <c r="X20" s="40"/>
      <c r="Y20" s="40"/>
      <c r="Z20" s="40"/>
      <c r="AA20" s="40"/>
      <c r="AB20" s="40"/>
    </row>
    <row r="21" spans="1:28">
      <c r="A21" s="39"/>
      <c r="B21" s="40"/>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row>
    <row r="22" spans="1:28">
      <c r="A22" s="39"/>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row>
    <row r="23" spans="1:28">
      <c r="A23" s="39"/>
      <c r="B23" s="40"/>
      <c r="C23" s="40"/>
      <c r="D23" s="40"/>
      <c r="E23" s="40"/>
      <c r="F23" s="40"/>
      <c r="G23" s="40"/>
      <c r="H23" s="40"/>
      <c r="I23" s="40"/>
      <c r="J23" s="40"/>
      <c r="K23" s="40"/>
      <c r="L23" s="40"/>
      <c r="M23" s="40"/>
      <c r="N23" s="40"/>
      <c r="O23" s="40"/>
      <c r="P23" s="40"/>
      <c r="Q23" s="40"/>
      <c r="R23" s="40"/>
      <c r="S23" s="40"/>
      <c r="T23" s="40"/>
      <c r="U23" s="40"/>
      <c r="V23" s="40"/>
      <c r="W23" s="40"/>
      <c r="X23" s="40"/>
      <c r="Y23" s="40"/>
      <c r="Z23" s="40"/>
      <c r="AA23" s="40"/>
      <c r="AB23" s="40"/>
    </row>
    <row r="24" spans="1:28">
      <c r="A24" s="1"/>
    </row>
    <row r="25" spans="1:28">
      <c r="A25" s="1"/>
    </row>
    <row r="26" spans="1:28">
      <c r="A26" s="1"/>
    </row>
    <row r="27" spans="1:28">
      <c r="A27" s="1"/>
    </row>
    <row r="28" spans="1:28">
      <c r="A28" s="1"/>
    </row>
  </sheetData>
  <mergeCells count="2">
    <mergeCell ref="B8:M8"/>
    <mergeCell ref="B7:E7"/>
  </mergeCells>
  <hyperlinks>
    <hyperlink ref="A2" location="'Försättsblad'!A1" display="Försättsblad" xr:uid="{00000000-0004-0000-0400-000000000000}"/>
    <hyperlink ref="A3" location="'Översikt'!A1" display="Översikt" xr:uid="{00000000-0004-0000-0400-000001000000}"/>
    <hyperlink ref="A4" location="'Indata'!A1" display="Indata" xr:uid="{00000000-0004-0000-0400-000002000000}"/>
    <hyperlink ref="A5" location="'Kassaflöde'!A1" display="Kassaflöde" xr:uid="{00000000-0004-0000-0400-000003000000}"/>
    <hyperlink ref="A7" location="'Resultat'!A1" display="Resultat" xr:uid="{00000000-0004-0000-0400-000004000000}"/>
    <hyperlink ref="A8" location="'Grafer'!A1" display="Grafer" xr:uid="{00000000-0004-0000-0400-000005000000}"/>
    <hyperlink ref="A9" location="'Lönsamhetskontroll'!A1" display="Lönsamhetskontroll" xr:uid="{00000000-0004-0000-0400-000006000000}"/>
    <hyperlink ref="A10" location="'Beräkningslogik'!A1" display="Beräkningslogik" xr:uid="{00000000-0004-0000-0400-000007000000}"/>
    <hyperlink ref="A11" location="'Dokumentation'!A1" display="Dokumentation" xr:uid="{00000000-0004-0000-0400-000008000000}"/>
  </hyperlinks>
  <pageMargins left="0.4" right="0.4" top="0.5" bottom="0.5" header="0.511811023622047" footer="0.511811023622047"/>
  <pageSetup paperSize="9" fitToWidth="2" fitToHeight="0"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0313E"/>
    <pageSetUpPr fitToPage="1"/>
  </sheetPr>
  <dimension ref="A1:N55"/>
  <sheetViews>
    <sheetView showGridLines="0" workbookViewId="0">
      <pane xSplit="1" topLeftCell="B1" activePane="topRight" state="frozen"/>
      <selection pane="topRight"/>
    </sheetView>
  </sheetViews>
  <sheetFormatPr defaultRowHeight="15"/>
  <cols>
    <col min="1" max="1" width="24" customWidth="1"/>
    <col min="2" max="2" width="32" customWidth="1"/>
    <col min="3" max="4" width="18" customWidth="1"/>
    <col min="6" max="6" width="15" customWidth="1"/>
  </cols>
  <sheetData>
    <row r="1" spans="1:14" ht="14.1" customHeight="1">
      <c r="A1" s="19"/>
      <c r="B1" s="21" t="s">
        <v>277</v>
      </c>
      <c r="C1" s="20"/>
      <c r="D1" s="20"/>
      <c r="E1" s="20"/>
      <c r="F1" s="20"/>
      <c r="G1" s="20"/>
      <c r="H1" s="20"/>
      <c r="I1" s="20"/>
      <c r="J1" s="20"/>
      <c r="K1" s="20"/>
      <c r="L1" s="20"/>
      <c r="M1" s="20"/>
      <c r="N1" s="20"/>
    </row>
    <row r="2" spans="1:14" ht="30" customHeight="1">
      <c r="A2" s="19" t="s">
        <v>0</v>
      </c>
      <c r="B2" s="41" t="s">
        <v>114</v>
      </c>
      <c r="C2" s="40"/>
      <c r="D2" s="40"/>
      <c r="E2" s="40"/>
      <c r="F2" s="40"/>
      <c r="G2" s="20"/>
      <c r="H2" s="20"/>
      <c r="I2" s="20"/>
      <c r="J2" s="20"/>
      <c r="K2" s="20"/>
      <c r="L2" s="20"/>
      <c r="M2" s="20"/>
      <c r="N2" s="20"/>
    </row>
    <row r="3" spans="1:14" ht="30" customHeight="1">
      <c r="A3" s="19" t="s">
        <v>37</v>
      </c>
      <c r="B3" s="42" t="s">
        <v>278</v>
      </c>
      <c r="C3" s="40"/>
      <c r="D3" s="40"/>
      <c r="E3" s="40"/>
      <c r="F3" s="40"/>
      <c r="G3" s="20"/>
      <c r="H3" s="20"/>
      <c r="I3" s="20"/>
      <c r="J3" s="20"/>
      <c r="K3" s="20"/>
      <c r="L3" s="20"/>
      <c r="M3" s="20"/>
      <c r="N3" s="20"/>
    </row>
    <row r="4" spans="1:14" ht="30" customHeight="1">
      <c r="A4" s="19" t="s">
        <v>3</v>
      </c>
      <c r="B4" s="192" t="s">
        <v>279</v>
      </c>
      <c r="C4" s="162"/>
      <c r="D4" s="162"/>
      <c r="E4" s="162"/>
      <c r="F4" s="162"/>
      <c r="G4" s="24"/>
      <c r="H4" s="20"/>
      <c r="I4" s="20"/>
      <c r="J4" s="20"/>
      <c r="K4" s="20"/>
      <c r="L4" s="20"/>
      <c r="M4" s="20"/>
      <c r="N4" s="20"/>
    </row>
    <row r="5" spans="1:14" ht="30" customHeight="1">
      <c r="A5" s="19" t="s">
        <v>4</v>
      </c>
      <c r="B5" s="20"/>
      <c r="C5" s="20"/>
      <c r="D5" s="20"/>
      <c r="E5" s="20"/>
      <c r="F5" s="20"/>
      <c r="G5" s="20"/>
      <c r="H5" s="20"/>
      <c r="I5" s="20"/>
      <c r="J5" s="20"/>
      <c r="K5" s="20"/>
      <c r="L5" s="20"/>
      <c r="M5" s="20"/>
      <c r="N5" s="20"/>
    </row>
    <row r="6" spans="1:14" ht="30" customHeight="1">
      <c r="A6" s="19" t="s">
        <v>5</v>
      </c>
      <c r="B6" s="88" t="s">
        <v>280</v>
      </c>
      <c r="C6" s="88" t="s">
        <v>281</v>
      </c>
      <c r="D6" s="88" t="s">
        <v>282</v>
      </c>
      <c r="E6" s="88" t="s">
        <v>283</v>
      </c>
      <c r="F6" s="20"/>
      <c r="G6" s="20"/>
      <c r="H6" s="20"/>
      <c r="I6" s="20"/>
      <c r="J6" s="20"/>
      <c r="K6" s="20"/>
      <c r="L6" s="20"/>
      <c r="M6" s="20"/>
      <c r="N6" s="20"/>
    </row>
    <row r="7" spans="1:14" ht="30" customHeight="1">
      <c r="A7" s="19"/>
      <c r="B7" s="20" t="s">
        <v>179</v>
      </c>
      <c r="C7" s="50">
        <f>Indata!R31*(1-Indata!C68)</f>
        <v>180000000</v>
      </c>
      <c r="D7" s="50">
        <f>Indata!R31</f>
        <v>200000000</v>
      </c>
      <c r="E7" s="50">
        <f>Indata!R31*(1+Indata!C68)</f>
        <v>220000000.00000003</v>
      </c>
      <c r="F7" s="20"/>
      <c r="G7" s="20"/>
      <c r="H7" s="20"/>
      <c r="I7" s="20"/>
      <c r="J7" s="20"/>
      <c r="K7" s="20"/>
      <c r="L7" s="20"/>
      <c r="M7" s="20"/>
      <c r="N7" s="20"/>
    </row>
    <row r="8" spans="1:14" ht="30" customHeight="1">
      <c r="A8" s="19" t="s">
        <v>10</v>
      </c>
      <c r="B8" s="20" t="s">
        <v>284</v>
      </c>
      <c r="C8" s="89">
        <f>IFERROR(C7/Indata!F31,0)</f>
        <v>36000</v>
      </c>
      <c r="D8" s="89">
        <f>IFERROR(D7/Indata!F31,0)</f>
        <v>40000</v>
      </c>
      <c r="E8" s="89">
        <f>IFERROR(E7/Indata!F31,0)</f>
        <v>44000.000000000007</v>
      </c>
      <c r="F8" s="20"/>
      <c r="G8" s="20"/>
      <c r="H8" s="20"/>
      <c r="I8" s="20"/>
      <c r="J8" s="20"/>
      <c r="K8" s="20"/>
      <c r="L8" s="20"/>
      <c r="M8" s="20"/>
      <c r="N8" s="20"/>
    </row>
    <row r="9" spans="1:14" ht="30" customHeight="1">
      <c r="A9" s="19" t="s">
        <v>11</v>
      </c>
      <c r="B9" s="20"/>
      <c r="C9" s="20"/>
      <c r="D9" s="20"/>
      <c r="E9" s="20"/>
      <c r="F9" s="20"/>
      <c r="G9" s="20"/>
      <c r="H9" s="20"/>
      <c r="I9" s="20"/>
      <c r="J9" s="20"/>
      <c r="K9" s="20"/>
      <c r="L9" s="20"/>
      <c r="M9" s="20"/>
      <c r="N9" s="20"/>
    </row>
    <row r="10" spans="1:14" ht="30" customHeight="1">
      <c r="A10" s="19" t="s">
        <v>14</v>
      </c>
      <c r="B10" s="20" t="s">
        <v>285</v>
      </c>
      <c r="C10" s="90">
        <f>-(Beräkningslogik!C119-Indata!C68*Beräkningslogik!C118)/Beräkningslogik!C140</f>
        <v>10726244.343891403</v>
      </c>
      <c r="D10" s="90">
        <f>-Beräkningslogik!C119/Beräkningslogik!C140</f>
        <v>11631221.719457014</v>
      </c>
      <c r="E10" s="90">
        <f>-(Beräkningslogik!C119+Indata!C68*Beräkningslogik!C118)/Beräkningslogik!C140</f>
        <v>12536199.095022624</v>
      </c>
      <c r="F10" s="20"/>
      <c r="G10" s="20"/>
      <c r="H10" s="20"/>
      <c r="I10" s="20"/>
      <c r="J10" s="20"/>
      <c r="K10" s="20"/>
      <c r="L10" s="20"/>
      <c r="M10" s="20"/>
      <c r="N10" s="20"/>
    </row>
    <row r="11" spans="1:14" ht="30" customHeight="1">
      <c r="A11" s="19" t="s">
        <v>15</v>
      </c>
      <c r="B11" s="20" t="s">
        <v>286</v>
      </c>
      <c r="C11" s="90">
        <f>-(Beräkningslogik!C177+Indata!C68*Indata!R31*(1-Indata!C64))/Beräkningslogik!C193</f>
        <v>10507484.890825896</v>
      </c>
      <c r="D11" s="90">
        <f>-Beräkningslogik!C177/Beräkningslogik!C193</f>
        <v>11129727.546430845</v>
      </c>
      <c r="E11" s="90">
        <f>-(Beräkningslogik!C177-Indata!C68*Indata!R31*(1-Indata!C64))/Beräkningslogik!C193</f>
        <v>11751970.202035792</v>
      </c>
      <c r="F11" s="20"/>
      <c r="G11" s="20"/>
      <c r="H11" s="20"/>
      <c r="I11" s="20"/>
      <c r="J11" s="20"/>
      <c r="K11" s="20"/>
      <c r="L11" s="20"/>
      <c r="M11" s="20"/>
      <c r="N11" s="20"/>
    </row>
    <row r="12" spans="1:14" ht="15" customHeight="1">
      <c r="A12" s="19"/>
      <c r="B12" s="20" t="s">
        <v>287</v>
      </c>
      <c r="C12" s="90">
        <f>(Beräkningslogik!C204*(1-Indata!C68)-Beräkningslogik!C202)/Beräkningslogik!C203</f>
        <v>5426681.0155715095</v>
      </c>
      <c r="D12" s="90">
        <f>(Beräkningslogik!C204-Beräkningslogik!C202)/Beräkningslogik!C203</f>
        <v>5729582.1440866152</v>
      </c>
      <c r="E12" s="90">
        <f>(Beräkningslogik!C204*(1+Indata!C68)-Beräkningslogik!C202)/Beräkningslogik!C203</f>
        <v>6032483.2726017209</v>
      </c>
      <c r="F12" s="20"/>
      <c r="G12" s="20"/>
      <c r="H12" s="20"/>
      <c r="I12" s="20"/>
      <c r="J12" s="20"/>
      <c r="K12" s="20"/>
      <c r="L12" s="20"/>
      <c r="M12" s="20"/>
      <c r="N12" s="20"/>
    </row>
    <row r="13" spans="1:14" ht="16.5" customHeight="1">
      <c r="A13" s="19"/>
      <c r="B13" s="20"/>
      <c r="C13" s="20"/>
      <c r="D13" s="20"/>
      <c r="E13" s="20"/>
      <c r="F13" s="20"/>
      <c r="G13" s="20"/>
      <c r="H13" s="20"/>
      <c r="I13" s="20"/>
      <c r="J13" s="20"/>
      <c r="K13" s="20"/>
      <c r="L13" s="20"/>
      <c r="M13" s="20"/>
      <c r="N13" s="20"/>
    </row>
    <row r="14" spans="1:14" ht="44.1" customHeight="1">
      <c r="A14" s="19"/>
      <c r="B14" s="91" t="s">
        <v>79</v>
      </c>
      <c r="C14" s="92">
        <f>MAX(C10,C11,C12)</f>
        <v>10726244.343891403</v>
      </c>
      <c r="D14" s="93">
        <f>MAX(D10,D11,D12)</f>
        <v>11631221.719457014</v>
      </c>
      <c r="E14" s="92">
        <f>MAX(E10,E11,E12)</f>
        <v>12536199.095022624</v>
      </c>
      <c r="F14" s="46" t="s">
        <v>207</v>
      </c>
      <c r="G14" s="20"/>
      <c r="H14" s="20"/>
      <c r="I14" s="20"/>
      <c r="J14" s="20"/>
      <c r="K14" s="20"/>
      <c r="L14" s="20"/>
      <c r="M14" s="20"/>
      <c r="N14" s="20"/>
    </row>
    <row r="15" spans="1:14" ht="15" customHeight="1">
      <c r="A15" s="19"/>
      <c r="B15" s="20" t="s">
        <v>255</v>
      </c>
      <c r="C15" s="94" t="str">
        <f>IF(C14=C10,"NPV",IF(C14=C11,"IRR","MV"))</f>
        <v>NPV</v>
      </c>
      <c r="D15" s="94" t="str">
        <f>IF(D14=D10,"NPV",IF(D14=D11,"IRR","MV"))</f>
        <v>NPV</v>
      </c>
      <c r="E15" s="94" t="str">
        <f>IF(E14=E10,"NPV",IF(E14=E11,"IRR","MV"))</f>
        <v>NPV</v>
      </c>
      <c r="F15" s="20"/>
      <c r="G15" s="20"/>
      <c r="H15" s="20"/>
      <c r="I15" s="20"/>
      <c r="J15" s="20"/>
      <c r="K15" s="20"/>
      <c r="L15" s="20"/>
      <c r="M15" s="20"/>
      <c r="N15" s="20"/>
    </row>
    <row r="16" spans="1:14" ht="15" customHeight="1">
      <c r="A16" s="19"/>
      <c r="B16" s="20" t="s">
        <v>288</v>
      </c>
      <c r="C16" s="95">
        <f>IFERROR(C14/Indata!F31,0)</f>
        <v>2145.2488687782807</v>
      </c>
      <c r="D16" s="95">
        <f>IFERROR(D14/Indata!F31,0)</f>
        <v>2326.2443438914029</v>
      </c>
      <c r="E16" s="95">
        <f>IFERROR(E14/Indata!F31,0)</f>
        <v>2507.2398190045251</v>
      </c>
      <c r="F16" s="20"/>
      <c r="G16" s="20"/>
      <c r="H16" s="20"/>
      <c r="I16" s="20"/>
      <c r="J16" s="20"/>
      <c r="K16" s="20"/>
      <c r="L16" s="20"/>
      <c r="M16" s="20"/>
      <c r="N16" s="20"/>
    </row>
    <row r="17" spans="1:14" ht="16.5" customHeight="1">
      <c r="A17" s="19"/>
      <c r="B17" s="20"/>
      <c r="C17" s="20"/>
      <c r="D17" s="20"/>
      <c r="E17" s="20"/>
      <c r="F17" s="20"/>
      <c r="G17" s="20"/>
      <c r="H17" s="20"/>
      <c r="I17" s="20"/>
      <c r="J17" s="20"/>
      <c r="K17" s="20"/>
      <c r="L17" s="20"/>
      <c r="M17" s="20"/>
      <c r="N17" s="20"/>
    </row>
    <row r="18" spans="1:14" ht="31.5" customHeight="1">
      <c r="A18" s="19"/>
      <c r="B18" s="47" t="s">
        <v>289</v>
      </c>
      <c r="C18" s="194" t="s">
        <v>290</v>
      </c>
      <c r="D18" s="150"/>
      <c r="E18" s="150"/>
      <c r="F18" s="150"/>
      <c r="G18" s="20"/>
      <c r="H18" s="20"/>
      <c r="I18" s="20"/>
      <c r="J18" s="20"/>
      <c r="K18" s="20"/>
      <c r="L18" s="20"/>
      <c r="M18" s="20"/>
      <c r="N18" s="20"/>
    </row>
    <row r="19" spans="1:14" ht="27.75" customHeight="1">
      <c r="A19" s="19"/>
      <c r="B19" s="79" t="s">
        <v>291</v>
      </c>
      <c r="C19" s="195" t="s">
        <v>292</v>
      </c>
      <c r="D19" s="150"/>
      <c r="E19" s="150"/>
      <c r="F19" s="150"/>
      <c r="G19" s="20"/>
      <c r="H19" s="20"/>
      <c r="I19" s="20"/>
      <c r="J19" s="20"/>
      <c r="K19" s="20"/>
      <c r="L19" s="20"/>
      <c r="M19" s="20"/>
      <c r="N19" s="20"/>
    </row>
    <row r="20" spans="1:14" ht="16.5" customHeight="1">
      <c r="A20" s="19"/>
      <c r="B20" s="20"/>
      <c r="C20" s="20"/>
      <c r="D20" s="20"/>
      <c r="E20" s="20"/>
      <c r="F20" s="20"/>
      <c r="G20" s="20"/>
      <c r="H20" s="20"/>
      <c r="I20" s="20"/>
      <c r="J20" s="20"/>
      <c r="K20" s="20"/>
      <c r="L20" s="20"/>
      <c r="M20" s="20"/>
      <c r="N20" s="20"/>
    </row>
    <row r="21" spans="1:14" ht="16.5" customHeight="1">
      <c r="A21" s="19"/>
      <c r="B21" s="20"/>
      <c r="C21" s="20"/>
      <c r="D21" s="20"/>
      <c r="E21" s="20"/>
      <c r="F21" s="20"/>
      <c r="G21" s="20"/>
      <c r="H21" s="20"/>
      <c r="I21" s="20"/>
      <c r="J21" s="20"/>
      <c r="K21" s="20"/>
      <c r="L21" s="20"/>
      <c r="M21" s="20"/>
      <c r="N21" s="20"/>
    </row>
    <row r="22" spans="1:14" ht="21.95" customHeight="1">
      <c r="A22" s="19"/>
      <c r="B22" s="192" t="s">
        <v>293</v>
      </c>
      <c r="C22" s="162"/>
      <c r="D22" s="162"/>
      <c r="E22" s="162"/>
      <c r="F22" s="162"/>
      <c r="G22" s="24"/>
      <c r="H22" s="20"/>
      <c r="I22" s="20"/>
      <c r="J22" s="20"/>
      <c r="K22" s="20"/>
      <c r="L22" s="20"/>
      <c r="M22" s="20"/>
      <c r="N22" s="20"/>
    </row>
    <row r="23" spans="1:14" ht="16.5" customHeight="1">
      <c r="A23" s="19"/>
      <c r="B23" s="20"/>
      <c r="C23" s="20"/>
      <c r="D23" s="20"/>
      <c r="E23" s="20"/>
      <c r="F23" s="20"/>
      <c r="G23" s="20"/>
      <c r="H23" s="20"/>
      <c r="I23" s="20"/>
      <c r="J23" s="20"/>
      <c r="K23" s="20"/>
      <c r="L23" s="20"/>
      <c r="M23" s="20"/>
      <c r="N23" s="20"/>
    </row>
    <row r="24" spans="1:14" ht="20.100000000000001" customHeight="1">
      <c r="A24" s="19"/>
      <c r="B24" s="88" t="s">
        <v>43</v>
      </c>
      <c r="C24" s="88" t="s">
        <v>171</v>
      </c>
      <c r="D24" s="88" t="s">
        <v>294</v>
      </c>
      <c r="E24" s="88" t="s">
        <v>295</v>
      </c>
      <c r="F24" s="88" t="s">
        <v>296</v>
      </c>
      <c r="G24" s="20"/>
      <c r="H24" s="20"/>
      <c r="I24" s="20"/>
      <c r="J24" s="20"/>
      <c r="K24" s="20"/>
      <c r="L24" s="20"/>
      <c r="M24" s="20"/>
      <c r="N24" s="20"/>
    </row>
    <row r="25" spans="1:14" ht="15" customHeight="1">
      <c r="A25" s="19"/>
      <c r="B25" s="20" t="str">
        <f>IF(Indata!B26="","(ej ifyllt)",Indata!B26)</f>
        <v>Skola</v>
      </c>
      <c r="C25" s="55">
        <f>IFERROR(Indata!R26/Indata!R31,0)</f>
        <v>1</v>
      </c>
      <c r="D25" s="50">
        <f>C25*D$14</f>
        <v>11631221.719457014</v>
      </c>
      <c r="E25" s="50">
        <f>IFERROR(D25/Indata!F26,0)</f>
        <v>2326.2443438914029</v>
      </c>
      <c r="F25" s="96">
        <f>IF(Indata!K26="","",Indata!K26)</f>
        <v>2026</v>
      </c>
      <c r="G25" s="20"/>
      <c r="H25" s="20"/>
      <c r="I25" s="20"/>
      <c r="J25" s="20"/>
      <c r="K25" s="20"/>
      <c r="L25" s="20"/>
      <c r="M25" s="20"/>
      <c r="N25" s="20"/>
    </row>
    <row r="26" spans="1:14" ht="15" customHeight="1">
      <c r="A26" s="19"/>
      <c r="B26" s="20" t="str">
        <f>IF(Indata!B27="","(ej ifyllt)",Indata!B27)</f>
        <v>(ej ifyllt)</v>
      </c>
      <c r="C26" s="55">
        <f>IFERROR(Indata!R27/Indata!R31,0)</f>
        <v>0</v>
      </c>
      <c r="D26" s="50">
        <f>C26*D$14</f>
        <v>0</v>
      </c>
      <c r="E26" s="50">
        <f>IFERROR(D26/Indata!F27,0)</f>
        <v>0</v>
      </c>
      <c r="F26" s="96" t="str">
        <f>IF(Indata!K27="","",Indata!K27)</f>
        <v/>
      </c>
      <c r="G26" s="20"/>
      <c r="H26" s="20"/>
      <c r="I26" s="20"/>
      <c r="J26" s="20"/>
      <c r="K26" s="20"/>
      <c r="L26" s="20"/>
      <c r="M26" s="20"/>
      <c r="N26" s="20"/>
    </row>
    <row r="27" spans="1:14" ht="15" customHeight="1">
      <c r="A27" s="19"/>
      <c r="B27" s="20" t="str">
        <f>IF(Indata!B28="","(ej ifyllt)",Indata!B28)</f>
        <v>(ej ifyllt)</v>
      </c>
      <c r="C27" s="55">
        <f>IFERROR(Indata!R28/Indata!R31,0)</f>
        <v>0</v>
      </c>
      <c r="D27" s="50">
        <f>C27*D$14</f>
        <v>0</v>
      </c>
      <c r="E27" s="50">
        <f>IFERROR(D27/Indata!F28,0)</f>
        <v>0</v>
      </c>
      <c r="F27" s="96" t="str">
        <f>IF(Indata!K28="","",Indata!K28)</f>
        <v/>
      </c>
      <c r="G27" s="20"/>
      <c r="H27" s="20"/>
      <c r="I27" s="20"/>
      <c r="J27" s="20"/>
      <c r="K27" s="20"/>
      <c r="L27" s="20"/>
      <c r="M27" s="20"/>
      <c r="N27" s="20"/>
    </row>
    <row r="28" spans="1:14" ht="15" customHeight="1">
      <c r="A28" s="19"/>
      <c r="B28" s="20" t="str">
        <f>IF(Indata!B29="","(ej ifyllt)",Indata!B29)</f>
        <v>(ej ifyllt)</v>
      </c>
      <c r="C28" s="55">
        <f>IFERROR(Indata!R29/Indata!R31,0)</f>
        <v>0</v>
      </c>
      <c r="D28" s="50">
        <f>C28*D$14</f>
        <v>0</v>
      </c>
      <c r="E28" s="50">
        <f>IFERROR(D28/Indata!F29,0)</f>
        <v>0</v>
      </c>
      <c r="F28" s="96" t="str">
        <f>IF(Indata!K29="","",Indata!K29)</f>
        <v/>
      </c>
      <c r="G28" s="20"/>
      <c r="H28" s="20"/>
      <c r="I28" s="20"/>
      <c r="J28" s="20"/>
      <c r="K28" s="20"/>
      <c r="L28" s="20"/>
      <c r="M28" s="20"/>
      <c r="N28" s="20"/>
    </row>
    <row r="29" spans="1:14" ht="15" customHeight="1">
      <c r="A29" s="19"/>
      <c r="B29" s="20" t="str">
        <f>IF(Indata!B30="","(ej ifyllt)",Indata!B30)</f>
        <v>(ej ifyllt)</v>
      </c>
      <c r="C29" s="55">
        <f>IFERROR(Indata!R30/Indata!R31,0)</f>
        <v>0</v>
      </c>
      <c r="D29" s="50">
        <f>C29*D$14</f>
        <v>0</v>
      </c>
      <c r="E29" s="50">
        <f>IFERROR(D29/Indata!F30,0)</f>
        <v>0</v>
      </c>
      <c r="F29" s="96" t="str">
        <f>IF(Indata!K30="","",Indata!K30)</f>
        <v/>
      </c>
      <c r="G29" s="20"/>
      <c r="H29" s="20"/>
      <c r="I29" s="20"/>
      <c r="J29" s="20"/>
      <c r="K29" s="20"/>
      <c r="L29" s="20"/>
      <c r="M29" s="20"/>
      <c r="N29" s="20"/>
    </row>
    <row r="30" spans="1:14" ht="15" customHeight="1">
      <c r="A30" s="19"/>
      <c r="B30" s="79" t="s">
        <v>297</v>
      </c>
      <c r="C30" s="55">
        <f>SUM(C25:C29)</f>
        <v>1</v>
      </c>
      <c r="D30" s="86">
        <f>SUM(D25:D29)</f>
        <v>11631221.719457014</v>
      </c>
      <c r="E30" s="20"/>
      <c r="F30" s="20"/>
      <c r="G30" s="20"/>
      <c r="H30" s="20"/>
      <c r="I30" s="20"/>
      <c r="J30" s="20"/>
      <c r="K30" s="20"/>
      <c r="L30" s="20"/>
      <c r="M30" s="20"/>
      <c r="N30" s="20"/>
    </row>
    <row r="31" spans="1:14" ht="16.5" customHeight="1">
      <c r="A31" s="19"/>
      <c r="B31" s="20"/>
      <c r="C31" s="20"/>
      <c r="D31" s="20"/>
      <c r="E31" s="20"/>
      <c r="F31" s="20"/>
      <c r="G31" s="20"/>
      <c r="H31" s="20"/>
      <c r="I31" s="20"/>
      <c r="J31" s="20"/>
      <c r="K31" s="20"/>
      <c r="L31" s="20"/>
      <c r="M31" s="20"/>
      <c r="N31" s="20"/>
    </row>
    <row r="32" spans="1:14" ht="16.5" customHeight="1">
      <c r="A32" s="19"/>
      <c r="B32" s="20"/>
      <c r="C32" s="20"/>
      <c r="D32" s="20"/>
      <c r="E32" s="20"/>
      <c r="F32" s="20"/>
      <c r="G32" s="20"/>
      <c r="H32" s="20"/>
      <c r="I32" s="20"/>
      <c r="J32" s="20"/>
      <c r="K32" s="20"/>
      <c r="L32" s="20"/>
      <c r="M32" s="20"/>
      <c r="N32" s="20"/>
    </row>
    <row r="33" spans="1:14" ht="21.95" customHeight="1">
      <c r="A33" s="19"/>
      <c r="B33" s="192" t="s">
        <v>298</v>
      </c>
      <c r="C33" s="162"/>
      <c r="D33" s="162"/>
      <c r="E33" s="162"/>
      <c r="F33" s="162"/>
      <c r="G33" s="24"/>
      <c r="H33" s="20"/>
      <c r="I33" s="20"/>
      <c r="J33" s="20"/>
      <c r="K33" s="20"/>
      <c r="L33" s="20"/>
      <c r="M33" s="20"/>
      <c r="N33" s="20"/>
    </row>
    <row r="34" spans="1:14" ht="32.1" customHeight="1">
      <c r="A34" s="19"/>
      <c r="B34" s="189" t="s">
        <v>299</v>
      </c>
      <c r="C34" s="150"/>
      <c r="D34" s="150"/>
      <c r="E34" s="150"/>
      <c r="F34" s="150"/>
      <c r="G34" s="20"/>
      <c r="H34" s="20"/>
      <c r="I34" s="20"/>
      <c r="J34" s="20"/>
      <c r="K34" s="20"/>
      <c r="L34" s="20"/>
      <c r="M34" s="20"/>
      <c r="N34" s="20"/>
    </row>
    <row r="35" spans="1:14" ht="15" customHeight="1">
      <c r="A35" s="19"/>
      <c r="B35" s="20"/>
      <c r="C35" s="20"/>
      <c r="D35" s="20"/>
      <c r="E35" s="20"/>
      <c r="F35" s="20"/>
      <c r="G35" s="20"/>
      <c r="H35" s="20"/>
      <c r="I35" s="20"/>
      <c r="J35" s="20"/>
      <c r="K35" s="20"/>
      <c r="L35" s="20"/>
      <c r="M35" s="20"/>
      <c r="N35" s="20"/>
    </row>
    <row r="36" spans="1:14" ht="21.95" customHeight="1">
      <c r="A36" s="19"/>
      <c r="B36" s="38" t="s">
        <v>300</v>
      </c>
      <c r="C36" s="97">
        <f>Lönsamhetskontroll!C9</f>
        <v>0</v>
      </c>
      <c r="D36" s="20"/>
      <c r="E36" s="20"/>
      <c r="F36" s="98" t="str">
        <f>Lönsamhetskontroll!D9</f>
        <v>✓ Uppfyllt</v>
      </c>
      <c r="G36" s="20"/>
      <c r="H36" s="20"/>
      <c r="I36" s="20"/>
      <c r="J36" s="20"/>
      <c r="K36" s="20"/>
      <c r="L36" s="20"/>
      <c r="M36" s="20"/>
      <c r="N36" s="20"/>
    </row>
    <row r="37" spans="1:14" ht="21.95" customHeight="1">
      <c r="A37" s="19"/>
      <c r="B37" s="38" t="s">
        <v>301</v>
      </c>
      <c r="C37" s="99">
        <f>Lönsamhetskontroll!C45</f>
        <v>7.6451715426456346E-2</v>
      </c>
      <c r="D37" s="100" t="s">
        <v>95</v>
      </c>
      <c r="E37" s="101">
        <f>Indata!C65</f>
        <v>6.3E-2</v>
      </c>
      <c r="F37" s="98" t="str">
        <f>Lönsamhetskontroll!D45</f>
        <v>✓ Uppfyllt</v>
      </c>
      <c r="G37" s="20"/>
      <c r="H37" s="20"/>
      <c r="I37" s="20"/>
      <c r="J37" s="20"/>
      <c r="K37" s="20"/>
      <c r="L37" s="20"/>
      <c r="M37" s="20"/>
      <c r="N37" s="20"/>
    </row>
    <row r="38" spans="1:14" ht="21.95" customHeight="1">
      <c r="A38" s="19"/>
      <c r="B38" s="38" t="s">
        <v>302</v>
      </c>
      <c r="C38" s="102">
        <f>Lönsamhetskontroll!C47*100</f>
        <v>1.3451715426456345</v>
      </c>
      <c r="D38" s="20"/>
      <c r="E38" s="20"/>
      <c r="F38" s="20"/>
      <c r="G38" s="20"/>
      <c r="H38" s="20"/>
      <c r="I38" s="20"/>
      <c r="J38" s="20"/>
      <c r="K38" s="20"/>
      <c r="L38" s="20"/>
      <c r="M38" s="20"/>
      <c r="N38" s="20"/>
    </row>
    <row r="39" spans="1:14" ht="21.95" customHeight="1">
      <c r="A39" s="19"/>
      <c r="B39" s="38" t="s">
        <v>303</v>
      </c>
      <c r="C39" s="103">
        <f>Lönsamhetskontroll!C29</f>
        <v>235869728.29851523</v>
      </c>
      <c r="D39" s="100" t="s">
        <v>304</v>
      </c>
      <c r="E39" s="104">
        <f>Lönsamhetskontroll!C27</f>
        <v>80000000</v>
      </c>
      <c r="F39" s="20"/>
      <c r="G39" s="20"/>
      <c r="H39" s="20"/>
      <c r="I39" s="20"/>
      <c r="J39" s="20"/>
      <c r="K39" s="20"/>
      <c r="L39" s="20"/>
      <c r="M39" s="20"/>
      <c r="N39" s="20"/>
    </row>
    <row r="40" spans="1:14" ht="21.95" customHeight="1">
      <c r="A40" s="19"/>
      <c r="B40" s="38" t="s">
        <v>305</v>
      </c>
      <c r="C40" s="103">
        <f>Lönsamhetskontroll!C30</f>
        <v>155869728.29851523</v>
      </c>
      <c r="D40" s="20"/>
      <c r="E40" s="20"/>
      <c r="F40" s="98" t="str">
        <f>Lönsamhetskontroll!D30</f>
        <v>✓ Uppfyllt</v>
      </c>
      <c r="G40" s="20"/>
      <c r="H40" s="20"/>
      <c r="I40" s="20"/>
      <c r="J40" s="20"/>
      <c r="K40" s="20"/>
      <c r="L40" s="20"/>
      <c r="M40" s="20"/>
      <c r="N40" s="20"/>
    </row>
    <row r="41" spans="1:14" ht="15" customHeight="1">
      <c r="A41" s="19"/>
      <c r="B41" s="20"/>
      <c r="C41" s="20"/>
      <c r="D41" s="20"/>
      <c r="E41" s="20"/>
      <c r="F41" s="20"/>
      <c r="G41" s="20"/>
      <c r="H41" s="20"/>
      <c r="I41" s="20"/>
      <c r="J41" s="20"/>
      <c r="K41" s="20"/>
      <c r="L41" s="20"/>
      <c r="M41" s="20"/>
      <c r="N41" s="20"/>
    </row>
    <row r="42" spans="1:14" ht="15" customHeight="1">
      <c r="A42" s="19"/>
      <c r="B42" s="20"/>
      <c r="C42" s="20"/>
      <c r="D42" s="20"/>
      <c r="E42" s="20"/>
      <c r="F42" s="20"/>
      <c r="G42" s="20"/>
      <c r="H42" s="20"/>
      <c r="I42" s="20"/>
      <c r="J42" s="20"/>
      <c r="K42" s="20"/>
      <c r="L42" s="20"/>
      <c r="M42" s="20"/>
      <c r="N42" s="20"/>
    </row>
    <row r="43" spans="1:14" ht="15" customHeight="1">
      <c r="A43" s="19"/>
      <c r="B43" s="20"/>
      <c r="C43" s="20"/>
      <c r="D43" s="20"/>
      <c r="E43" s="20"/>
      <c r="F43" s="20"/>
      <c r="G43" s="20"/>
      <c r="H43" s="20"/>
      <c r="I43" s="20"/>
      <c r="J43" s="20"/>
      <c r="K43" s="20"/>
      <c r="L43" s="20"/>
      <c r="M43" s="20"/>
      <c r="N43" s="20"/>
    </row>
    <row r="44" spans="1:14" ht="15" customHeight="1">
      <c r="A44" s="19"/>
      <c r="B44" s="20"/>
      <c r="C44" s="20"/>
      <c r="D44" s="20"/>
      <c r="E44" s="20"/>
      <c r="F44" s="20"/>
      <c r="G44" s="20"/>
      <c r="H44" s="20"/>
      <c r="I44" s="20"/>
      <c r="J44" s="20"/>
      <c r="K44" s="20"/>
      <c r="L44" s="20"/>
      <c r="M44" s="20"/>
      <c r="N44" s="20"/>
    </row>
    <row r="45" spans="1:14" ht="15" customHeight="1">
      <c r="A45" s="19"/>
      <c r="B45" s="20"/>
      <c r="C45" s="20"/>
      <c r="D45" s="20"/>
      <c r="E45" s="20"/>
      <c r="F45" s="20"/>
      <c r="G45" s="20"/>
      <c r="H45" s="20"/>
      <c r="I45" s="20"/>
      <c r="J45" s="20"/>
      <c r="K45" s="20"/>
      <c r="L45" s="20"/>
      <c r="M45" s="20"/>
      <c r="N45" s="20"/>
    </row>
    <row r="46" spans="1:14">
      <c r="A46" s="39"/>
      <c r="B46" s="40"/>
      <c r="C46" s="40"/>
      <c r="D46" s="40"/>
      <c r="E46" s="40"/>
      <c r="F46" s="40"/>
      <c r="G46" s="40"/>
      <c r="H46" s="40"/>
      <c r="I46" s="40"/>
      <c r="J46" s="40"/>
      <c r="K46" s="40"/>
      <c r="L46" s="40"/>
      <c r="M46" s="40"/>
      <c r="N46" s="40"/>
    </row>
    <row r="47" spans="1:14">
      <c r="A47" s="39"/>
      <c r="B47" s="40"/>
      <c r="C47" s="40"/>
      <c r="D47" s="40"/>
      <c r="E47" s="40"/>
      <c r="F47" s="40"/>
      <c r="G47" s="40"/>
      <c r="H47" s="40"/>
      <c r="I47" s="40"/>
      <c r="J47" s="40"/>
      <c r="K47" s="40"/>
      <c r="L47" s="40"/>
      <c r="M47" s="40"/>
      <c r="N47" s="40"/>
    </row>
    <row r="48" spans="1:14">
      <c r="A48" s="39"/>
      <c r="B48" s="40"/>
      <c r="C48" s="40"/>
      <c r="D48" s="40"/>
      <c r="E48" s="40"/>
      <c r="F48" s="40"/>
      <c r="G48" s="40"/>
      <c r="H48" s="40"/>
      <c r="I48" s="40"/>
      <c r="J48" s="40"/>
      <c r="K48" s="40"/>
      <c r="L48" s="40"/>
      <c r="M48" s="40"/>
      <c r="N48" s="40"/>
    </row>
    <row r="49" spans="1:14">
      <c r="A49" s="39"/>
      <c r="B49" s="40"/>
      <c r="C49" s="40"/>
      <c r="D49" s="40"/>
      <c r="E49" s="40"/>
      <c r="F49" s="40"/>
      <c r="G49" s="40"/>
      <c r="H49" s="40"/>
      <c r="I49" s="40"/>
      <c r="J49" s="40"/>
      <c r="K49" s="40"/>
      <c r="L49" s="40"/>
      <c r="M49" s="40"/>
      <c r="N49" s="40"/>
    </row>
    <row r="50" spans="1:14">
      <c r="A50" s="39"/>
      <c r="B50" s="40"/>
      <c r="C50" s="40"/>
      <c r="D50" s="40"/>
      <c r="E50" s="40"/>
      <c r="F50" s="40"/>
      <c r="G50" s="40"/>
      <c r="H50" s="40"/>
      <c r="I50" s="40"/>
      <c r="J50" s="40"/>
      <c r="K50" s="40"/>
      <c r="L50" s="40"/>
      <c r="M50" s="40"/>
      <c r="N50" s="40"/>
    </row>
    <row r="51" spans="1:14">
      <c r="A51" s="1"/>
    </row>
    <row r="52" spans="1:14">
      <c r="A52" s="1"/>
    </row>
    <row r="53" spans="1:14">
      <c r="A53" s="1"/>
    </row>
    <row r="54" spans="1:14">
      <c r="A54" s="1"/>
    </row>
    <row r="55" spans="1:14">
      <c r="A55" s="1"/>
    </row>
  </sheetData>
  <mergeCells count="6">
    <mergeCell ref="B4:F4"/>
    <mergeCell ref="C18:F18"/>
    <mergeCell ref="B34:F34"/>
    <mergeCell ref="B33:F33"/>
    <mergeCell ref="B22:F22"/>
    <mergeCell ref="C19:F19"/>
  </mergeCells>
  <hyperlinks>
    <hyperlink ref="A2" location="'Försättsblad'!A1" display="Försättsblad" xr:uid="{00000000-0004-0000-0500-000000000000}"/>
    <hyperlink ref="A3" location="'Översikt'!A1" display="Översikt" xr:uid="{00000000-0004-0000-0500-000001000000}"/>
    <hyperlink ref="A4" location="'Indata'!A1" display="Indata" xr:uid="{00000000-0004-0000-0500-000002000000}"/>
    <hyperlink ref="A5" location="'Kassaflöde'!A1" display="Kassaflöde" xr:uid="{00000000-0004-0000-0500-000003000000}"/>
    <hyperlink ref="A6" location="'Finansiering'!A1" display="Finansiering" xr:uid="{00000000-0004-0000-0500-000004000000}"/>
    <hyperlink ref="A8" location="'Grafer'!A1" display="Grafer" xr:uid="{00000000-0004-0000-0500-000005000000}"/>
    <hyperlink ref="A9" location="'Lönsamhetskontroll'!A1" display="Lönsamhetskontroll" xr:uid="{00000000-0004-0000-0500-000006000000}"/>
    <hyperlink ref="A10" location="'Beräkningslogik'!A1" display="Beräkningslogik" xr:uid="{00000000-0004-0000-0500-000007000000}"/>
    <hyperlink ref="A11" location="'Dokumentation'!A1" display="Dokumentation" xr:uid="{00000000-0004-0000-0500-000008000000}"/>
  </hyperlinks>
  <pageMargins left="0.4" right="0.4" top="0.5" bottom="0.5" header="0.511811023622047" footer="0.511811023622047"/>
  <pageSetup paperSize="9" fitToHeight="0"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V56"/>
  <sheetViews>
    <sheetView showGridLines="0" workbookViewId="0">
      <pane xSplit="1" topLeftCell="B1" activePane="topRight" state="frozen"/>
      <selection pane="topRight"/>
    </sheetView>
  </sheetViews>
  <sheetFormatPr defaultRowHeight="15"/>
  <cols>
    <col min="1" max="2" width="24" customWidth="1"/>
  </cols>
  <sheetData>
    <row r="1" spans="1:2" ht="8.1" customHeight="1">
      <c r="A1" s="1"/>
    </row>
    <row r="2" spans="1:2" ht="30" customHeight="1">
      <c r="A2" s="1" t="s">
        <v>0</v>
      </c>
      <c r="B2" s="2" t="s">
        <v>306</v>
      </c>
    </row>
    <row r="3" spans="1:2" ht="30" customHeight="1">
      <c r="A3" s="1" t="s">
        <v>37</v>
      </c>
      <c r="B3" s="105" t="s">
        <v>307</v>
      </c>
    </row>
    <row r="4" spans="1:2" ht="30" customHeight="1">
      <c r="A4" s="1" t="s">
        <v>3</v>
      </c>
      <c r="B4" s="3" t="s">
        <v>308</v>
      </c>
    </row>
    <row r="5" spans="1:2" ht="30" customHeight="1">
      <c r="A5" s="1" t="s">
        <v>4</v>
      </c>
    </row>
    <row r="6" spans="1:2" ht="30" customHeight="1">
      <c r="A6" s="1" t="s">
        <v>5</v>
      </c>
    </row>
    <row r="7" spans="1:2" ht="30" customHeight="1">
      <c r="A7" s="1" t="s">
        <v>6</v>
      </c>
    </row>
    <row r="8" spans="1:2" ht="30" customHeight="1">
      <c r="A8" s="1"/>
    </row>
    <row r="9" spans="1:2" ht="30" customHeight="1">
      <c r="A9" s="1" t="s">
        <v>11</v>
      </c>
    </row>
    <row r="10" spans="1:2" ht="30" customHeight="1">
      <c r="A10" s="1" t="s">
        <v>14</v>
      </c>
    </row>
    <row r="11" spans="1:2" ht="30" customHeight="1">
      <c r="A11" s="1" t="s">
        <v>15</v>
      </c>
    </row>
    <row r="12" spans="1:2">
      <c r="A12" s="1"/>
    </row>
    <row r="13" spans="1:2">
      <c r="A13" s="1"/>
    </row>
    <row r="14" spans="1:2">
      <c r="A14" s="1"/>
    </row>
    <row r="15" spans="1:2">
      <c r="A15" s="1"/>
    </row>
    <row r="16" spans="1:2">
      <c r="A16" s="1"/>
    </row>
    <row r="17" spans="1:1">
      <c r="A17" s="1"/>
    </row>
    <row r="18" spans="1:1">
      <c r="A18" s="1"/>
    </row>
    <row r="19" spans="1:1">
      <c r="A19" s="1"/>
    </row>
    <row r="20" spans="1:1">
      <c r="A20" s="1"/>
    </row>
    <row r="21" spans="1:1">
      <c r="A21" s="1"/>
    </row>
    <row r="22" spans="1:1">
      <c r="A22" s="1"/>
    </row>
    <row r="23" spans="1:1">
      <c r="A23" s="1"/>
    </row>
    <row r="24" spans="1:1">
      <c r="A24" s="1"/>
    </row>
    <row r="25" spans="1:1">
      <c r="A25" s="1"/>
    </row>
    <row r="26" spans="1:1">
      <c r="A26" s="1"/>
    </row>
    <row r="27" spans="1:1">
      <c r="A27" s="1"/>
    </row>
    <row r="28" spans="1:1">
      <c r="A28" s="1"/>
    </row>
    <row r="29" spans="1:1">
      <c r="A29" s="1"/>
    </row>
    <row r="30" spans="1:1">
      <c r="A30" s="1"/>
    </row>
    <row r="31" spans="1:1">
      <c r="A31" s="1"/>
    </row>
    <row r="32" spans="1:1">
      <c r="A32" s="1"/>
    </row>
    <row r="33" spans="1:22">
      <c r="A33" s="1"/>
    </row>
    <row r="34" spans="1:22">
      <c r="A34" s="1"/>
    </row>
    <row r="35" spans="1:22">
      <c r="A35" s="1"/>
    </row>
    <row r="36" spans="1:22">
      <c r="A36" s="1"/>
    </row>
    <row r="37" spans="1:22">
      <c r="A37" s="1"/>
    </row>
    <row r="38" spans="1:22">
      <c r="A38" s="1"/>
    </row>
    <row r="39" spans="1:22">
      <c r="A39" s="1"/>
    </row>
    <row r="40" spans="1:22">
      <c r="A40" s="1"/>
    </row>
    <row r="41" spans="1:22" ht="16.5">
      <c r="A41" s="1"/>
      <c r="B41" s="9" t="s">
        <v>309</v>
      </c>
    </row>
    <row r="42" spans="1:22">
      <c r="A42" s="1"/>
      <c r="B42" s="6" t="s">
        <v>310</v>
      </c>
    </row>
    <row r="43" spans="1:22">
      <c r="A43" s="1"/>
    </row>
    <row r="44" spans="1:22">
      <c r="A44" s="1"/>
      <c r="B44" s="10" t="s">
        <v>311</v>
      </c>
      <c r="C44" s="106">
        <f>Kassaflöde!D3</f>
        <v>2026</v>
      </c>
      <c r="D44" s="106">
        <f>Kassaflöde!E3</f>
        <v>2027</v>
      </c>
      <c r="E44" s="106">
        <f>Kassaflöde!F3</f>
        <v>2028</v>
      </c>
      <c r="F44" s="106">
        <f>Kassaflöde!G3</f>
        <v>2029</v>
      </c>
      <c r="G44" s="106">
        <f>Kassaflöde!H3</f>
        <v>2030</v>
      </c>
      <c r="H44" s="106">
        <f>Kassaflöde!I3</f>
        <v>2031</v>
      </c>
      <c r="I44" s="106">
        <f>Kassaflöde!J3</f>
        <v>2032</v>
      </c>
      <c r="J44" s="106">
        <f>Kassaflöde!K3</f>
        <v>2033</v>
      </c>
      <c r="K44" s="106">
        <f>Kassaflöde!L3</f>
        <v>2034</v>
      </c>
      <c r="L44" s="106">
        <f>Kassaflöde!M3</f>
        <v>2035</v>
      </c>
      <c r="M44" s="106">
        <f>Kassaflöde!N3</f>
        <v>2036</v>
      </c>
      <c r="N44" s="106">
        <f>Kassaflöde!O3</f>
        <v>2037</v>
      </c>
      <c r="O44" s="106">
        <f>Kassaflöde!P3</f>
        <v>2038</v>
      </c>
      <c r="P44" s="106">
        <f>Kassaflöde!Q3</f>
        <v>2039</v>
      </c>
      <c r="Q44" s="106">
        <f>Kassaflöde!R3</f>
        <v>2040</v>
      </c>
      <c r="R44" s="106">
        <f>Kassaflöde!S3</f>
        <v>2041</v>
      </c>
      <c r="S44" s="106">
        <f>Kassaflöde!T3</f>
        <v>2042</v>
      </c>
      <c r="T44" s="106">
        <f>Kassaflöde!U3</f>
        <v>2043</v>
      </c>
      <c r="U44" s="106">
        <f>Kassaflöde!V3</f>
        <v>2044</v>
      </c>
      <c r="V44" s="106">
        <f>Kassaflöde!W3</f>
        <v>2045</v>
      </c>
    </row>
    <row r="45" spans="1:22">
      <c r="A45" s="1"/>
      <c r="B45" s="10" t="s">
        <v>312</v>
      </c>
      <c r="C45" s="107">
        <f>Kassaflöde!D23</f>
        <v>9231221.7194570135</v>
      </c>
      <c r="D45" s="107">
        <f>Kassaflöde!E23</f>
        <v>9346058.8235294111</v>
      </c>
      <c r="E45" s="107">
        <f>Kassaflöde!F23</f>
        <v>9462215.6470588222</v>
      </c>
      <c r="F45" s="107">
        <f>Kassaflöde!G23</f>
        <v>9579704.9061176516</v>
      </c>
      <c r="G45" s="107">
        <f>Kassaflöde!H23</f>
        <v>9698539.3796032965</v>
      </c>
      <c r="H45" s="107">
        <f>Kassaflöde!I23</f>
        <v>9818731.9078137428</v>
      </c>
      <c r="I45" s="107">
        <f>Kassaflöde!J23</f>
        <v>9940295.3909570575</v>
      </c>
      <c r="J45" s="107">
        <f>Kassaflöde!K23</f>
        <v>10063242.787593052</v>
      </c>
      <c r="K45" s="107">
        <f>Kassaflöde!L23</f>
        <v>10187587.11300521</v>
      </c>
      <c r="L45" s="107">
        <f>Kassaflöde!M23</f>
        <v>10313341.437500851</v>
      </c>
      <c r="M45" s="107">
        <f>Kassaflöde!N23</f>
        <v>10440518.884637702</v>
      </c>
      <c r="N45" s="107">
        <f>Kassaflöde!O23</f>
        <v>10569132.629374705</v>
      </c>
      <c r="O45" s="107">
        <f>Kassaflöde!P23</f>
        <v>10699195.896145074</v>
      </c>
      <c r="P45" s="107">
        <f>Kassaflöde!Q23</f>
        <v>10830721.9568494</v>
      </c>
      <c r="Q45" s="107">
        <f>Kassaflöde!R23</f>
        <v>10963724.12876676</v>
      </c>
      <c r="R45" s="107">
        <f>Kassaflöde!S23</f>
        <v>11098215.772381391</v>
      </c>
      <c r="S45" s="107">
        <f>Kassaflöde!T23</f>
        <v>11234210.289122863</v>
      </c>
      <c r="T45" s="107">
        <f>Kassaflöde!U23</f>
        <v>11371721.119017283</v>
      </c>
      <c r="U45" s="107">
        <f>Kassaflöde!V23</f>
        <v>11510761.738247154</v>
      </c>
      <c r="V45" s="107">
        <f>Kassaflöde!W23</f>
        <v>11651345.656617515</v>
      </c>
    </row>
    <row r="46" spans="1:22">
      <c r="A46" s="1"/>
      <c r="B46" s="10" t="s">
        <v>313</v>
      </c>
      <c r="C46" s="107">
        <f>C45</f>
        <v>9231221.7194570135</v>
      </c>
      <c r="D46" s="107">
        <f t="shared" ref="D46:V46" si="0">D45+C46</f>
        <v>18577280.542986423</v>
      </c>
      <c r="E46" s="107">
        <f t="shared" si="0"/>
        <v>28039496.190045245</v>
      </c>
      <c r="F46" s="107">
        <f t="shared" si="0"/>
        <v>37619201.0961629</v>
      </c>
      <c r="G46" s="107">
        <f t="shared" si="0"/>
        <v>47317740.475766197</v>
      </c>
      <c r="H46" s="107">
        <f t="shared" si="0"/>
        <v>57136472.38357994</v>
      </c>
      <c r="I46" s="107">
        <f t="shared" si="0"/>
        <v>67076767.774536997</v>
      </c>
      <c r="J46" s="107">
        <f t="shared" si="0"/>
        <v>77140010.562130049</v>
      </c>
      <c r="K46" s="107">
        <f t="shared" si="0"/>
        <v>87327597.675135255</v>
      </c>
      <c r="L46" s="107">
        <f t="shared" si="0"/>
        <v>97640939.112636104</v>
      </c>
      <c r="M46" s="107">
        <f t="shared" si="0"/>
        <v>108081457.9972738</v>
      </c>
      <c r="N46" s="107">
        <f t="shared" si="0"/>
        <v>118650590.62664852</v>
      </c>
      <c r="O46" s="107">
        <f t="shared" si="0"/>
        <v>129349786.52279359</v>
      </c>
      <c r="P46" s="107">
        <f t="shared" si="0"/>
        <v>140180508.47964299</v>
      </c>
      <c r="Q46" s="107">
        <f t="shared" si="0"/>
        <v>151144232.60840976</v>
      </c>
      <c r="R46" s="107">
        <f t="shared" si="0"/>
        <v>162242448.38079116</v>
      </c>
      <c r="S46" s="107">
        <f t="shared" si="0"/>
        <v>173476658.66991401</v>
      </c>
      <c r="T46" s="107">
        <f t="shared" si="0"/>
        <v>184848379.78893128</v>
      </c>
      <c r="U46" s="107">
        <f t="shared" si="0"/>
        <v>196359141.52717844</v>
      </c>
      <c r="V46" s="107">
        <f t="shared" si="0"/>
        <v>208010487.18379596</v>
      </c>
    </row>
    <row r="47" spans="1:22">
      <c r="A47" s="1"/>
      <c r="B47" s="10" t="s">
        <v>314</v>
      </c>
      <c r="C47" s="107">
        <f>Indata!$R$31</f>
        <v>200000000</v>
      </c>
      <c r="D47" s="107">
        <f>Indata!$R$31</f>
        <v>200000000</v>
      </c>
      <c r="E47" s="107">
        <f>Indata!$R$31</f>
        <v>200000000</v>
      </c>
      <c r="F47" s="107">
        <f>Indata!$R$31</f>
        <v>200000000</v>
      </c>
      <c r="G47" s="107">
        <f>Indata!$R$31</f>
        <v>200000000</v>
      </c>
      <c r="H47" s="107">
        <f>Indata!$R$31</f>
        <v>200000000</v>
      </c>
      <c r="I47" s="107">
        <f>Indata!$R$31</f>
        <v>200000000</v>
      </c>
      <c r="J47" s="107">
        <f>Indata!$R$31</f>
        <v>200000000</v>
      </c>
      <c r="K47" s="107">
        <f>Indata!$R$31</f>
        <v>200000000</v>
      </c>
      <c r="L47" s="107">
        <f>Indata!$R$31</f>
        <v>200000000</v>
      </c>
      <c r="M47" s="107">
        <f>Indata!$R$31</f>
        <v>200000000</v>
      </c>
      <c r="N47" s="107">
        <f>Indata!$R$31</f>
        <v>200000000</v>
      </c>
      <c r="O47" s="107">
        <f>Indata!$R$31</f>
        <v>200000000</v>
      </c>
      <c r="P47" s="107">
        <f>Indata!$R$31</f>
        <v>200000000</v>
      </c>
      <c r="Q47" s="107">
        <f>Indata!$R$31</f>
        <v>200000000</v>
      </c>
      <c r="R47" s="107">
        <f>Indata!$R$31</f>
        <v>200000000</v>
      </c>
      <c r="S47" s="107">
        <f>Indata!$R$31</f>
        <v>200000000</v>
      </c>
      <c r="T47" s="107">
        <f>Indata!$R$31</f>
        <v>200000000</v>
      </c>
      <c r="U47" s="107">
        <f>Indata!$R$31</f>
        <v>200000000</v>
      </c>
      <c r="V47" s="107">
        <f>Indata!$R$31</f>
        <v>200000000</v>
      </c>
    </row>
    <row r="48" spans="1:22">
      <c r="A48" s="1"/>
    </row>
    <row r="49" spans="1:5">
      <c r="A49" s="1"/>
      <c r="B49" s="10" t="s">
        <v>315</v>
      </c>
    </row>
    <row r="50" spans="1:5">
      <c r="A50" s="1"/>
      <c r="C50" s="108" t="str">
        <f>"Lägsta (−"&amp;Indata!C68*100&amp;" %)"</f>
        <v>Lägsta (−10 %)</v>
      </c>
      <c r="D50" s="108" t="s">
        <v>316</v>
      </c>
      <c r="E50" s="108" t="str">
        <f>"Högsta (+"&amp;Indata!C68*100&amp;" %)"</f>
        <v>Högsta (+10 %)</v>
      </c>
    </row>
    <row r="51" spans="1:5">
      <c r="A51" s="1"/>
      <c r="C51" s="109">
        <f>Resultat!C14</f>
        <v>10726244.343891403</v>
      </c>
      <c r="D51" s="109">
        <f>Resultat!D14</f>
        <v>11631221.719457014</v>
      </c>
      <c r="E51" s="109">
        <f>Resultat!E14</f>
        <v>12536199.095022624</v>
      </c>
    </row>
    <row r="52" spans="1:5">
      <c r="A52" s="1"/>
    </row>
    <row r="53" spans="1:5">
      <c r="A53" s="1"/>
    </row>
    <row r="54" spans="1:5">
      <c r="A54" s="1"/>
    </row>
    <row r="55" spans="1:5">
      <c r="A55" s="1"/>
    </row>
    <row r="56" spans="1:5">
      <c r="A56" s="1"/>
    </row>
  </sheetData>
  <hyperlinks>
    <hyperlink ref="A2" location="'Försättsblad'!A1" display="Försättsblad" xr:uid="{00000000-0004-0000-0600-000000000000}"/>
    <hyperlink ref="A3" location="'Översikt'!A1" display="Översikt" xr:uid="{00000000-0004-0000-0600-000001000000}"/>
    <hyperlink ref="A4" location="'Indata'!A1" display="Indata" xr:uid="{00000000-0004-0000-0600-000002000000}"/>
    <hyperlink ref="A5" location="'Kassaflöde'!A1" display="Kassaflöde" xr:uid="{00000000-0004-0000-0600-000003000000}"/>
    <hyperlink ref="A6" location="'Finansiering'!A1" display="Finansiering" xr:uid="{00000000-0004-0000-0600-000004000000}"/>
    <hyperlink ref="A7" location="'Resultat'!A1" display="Resultat" xr:uid="{00000000-0004-0000-0600-000005000000}"/>
    <hyperlink ref="A9" location="'Lönsamhetskontroll'!A1" display="Lönsamhetskontroll" xr:uid="{00000000-0004-0000-0600-000006000000}"/>
    <hyperlink ref="A10" location="'Beräkningslogik'!A1" display="Beräkningslogik" xr:uid="{00000000-0004-0000-0600-000007000000}"/>
    <hyperlink ref="A11" location="'Dokumentation'!A1" display="Dokumentation" xr:uid="{00000000-0004-0000-0600-000008000000}"/>
  </hyperlinks>
  <pageMargins left="0.75" right="0.75" top="1" bottom="1" header="0.5" footer="0.5"/>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0313E"/>
    <outlinePr summaryBelow="0"/>
    <pageSetUpPr fitToPage="1"/>
  </sheetPr>
  <dimension ref="A1:AD97"/>
  <sheetViews>
    <sheetView showGridLines="0" workbookViewId="0">
      <pane xSplit="1" topLeftCell="B1" activePane="topRight" state="frozen"/>
      <selection pane="topRight"/>
    </sheetView>
  </sheetViews>
  <sheetFormatPr defaultRowHeight="15" outlineLevelRow="1"/>
  <cols>
    <col min="1" max="1" width="24" customWidth="1"/>
    <col min="2" max="2" width="36" customWidth="1"/>
    <col min="3" max="3" width="16" customWidth="1"/>
  </cols>
  <sheetData>
    <row r="1" spans="1:30" ht="14.1" customHeight="1">
      <c r="A1" s="19"/>
      <c r="B1" s="21" t="s">
        <v>317</v>
      </c>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row>
    <row r="2" spans="1:30" ht="30" customHeight="1">
      <c r="A2" s="19" t="s">
        <v>0</v>
      </c>
      <c r="B2" s="41" t="s">
        <v>120</v>
      </c>
      <c r="C2" s="40"/>
      <c r="D2" s="40"/>
      <c r="E2" s="40"/>
      <c r="F2" s="40"/>
      <c r="G2" s="40"/>
      <c r="H2" s="40"/>
      <c r="I2" s="20"/>
      <c r="J2" s="20"/>
      <c r="K2" s="20"/>
      <c r="L2" s="20"/>
      <c r="M2" s="20"/>
      <c r="N2" s="20"/>
      <c r="O2" s="20"/>
      <c r="P2" s="20"/>
      <c r="Q2" s="20"/>
      <c r="R2" s="20"/>
      <c r="S2" s="20"/>
      <c r="T2" s="20"/>
      <c r="U2" s="20"/>
      <c r="V2" s="20"/>
      <c r="W2" s="20"/>
      <c r="X2" s="20"/>
      <c r="Y2" s="20"/>
      <c r="Z2" s="20"/>
      <c r="AA2" s="20"/>
      <c r="AB2" s="20"/>
      <c r="AC2" s="20"/>
      <c r="AD2" s="20"/>
    </row>
    <row r="3" spans="1:30" ht="30" customHeight="1">
      <c r="A3" s="19" t="s">
        <v>37</v>
      </c>
      <c r="B3" s="42" t="s">
        <v>318</v>
      </c>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row>
    <row r="4" spans="1:30" ht="30" customHeight="1">
      <c r="A4" s="19" t="s">
        <v>3</v>
      </c>
      <c r="B4" s="192" t="s">
        <v>319</v>
      </c>
      <c r="C4" s="162"/>
      <c r="D4" s="162"/>
      <c r="E4" s="162"/>
      <c r="F4" s="162"/>
      <c r="G4" s="162"/>
      <c r="H4" s="20"/>
      <c r="I4" s="20"/>
      <c r="J4" s="20"/>
      <c r="K4" s="20"/>
      <c r="L4" s="20"/>
      <c r="M4" s="20"/>
      <c r="N4" s="20"/>
      <c r="O4" s="20"/>
      <c r="P4" s="20"/>
      <c r="Q4" s="20"/>
      <c r="R4" s="20"/>
      <c r="S4" s="20"/>
      <c r="T4" s="20"/>
      <c r="U4" s="20"/>
      <c r="V4" s="20"/>
      <c r="W4" s="20"/>
      <c r="X4" s="20"/>
      <c r="Y4" s="20"/>
      <c r="Z4" s="20"/>
      <c r="AA4" s="20"/>
      <c r="AB4" s="20"/>
      <c r="AC4" s="20"/>
      <c r="AD4" s="20"/>
    </row>
    <row r="5" spans="1:30" ht="30" customHeight="1">
      <c r="A5" s="19" t="s">
        <v>4</v>
      </c>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row>
    <row r="6" spans="1:30" ht="30" customHeight="1">
      <c r="A6" s="19" t="s">
        <v>5</v>
      </c>
      <c r="B6" s="20" t="s">
        <v>31</v>
      </c>
      <c r="C6" s="49">
        <f>Indata!C7</f>
        <v>0.04</v>
      </c>
      <c r="D6" s="20"/>
      <c r="E6" s="20"/>
      <c r="F6" s="20"/>
      <c r="G6" s="20"/>
      <c r="H6" s="20"/>
      <c r="I6" s="20"/>
      <c r="J6" s="20"/>
      <c r="K6" s="20"/>
      <c r="L6" s="20"/>
      <c r="M6" s="20"/>
      <c r="N6" s="20"/>
      <c r="O6" s="20"/>
      <c r="P6" s="20"/>
      <c r="Q6" s="20"/>
      <c r="R6" s="20"/>
      <c r="S6" s="20"/>
      <c r="T6" s="20"/>
      <c r="U6" s="20"/>
      <c r="V6" s="20"/>
      <c r="W6" s="20"/>
      <c r="X6" s="20"/>
      <c r="Y6" s="20"/>
      <c r="Z6" s="20"/>
      <c r="AA6" s="20"/>
      <c r="AB6" s="20"/>
      <c r="AC6" s="20"/>
      <c r="AD6" s="20"/>
    </row>
    <row r="7" spans="1:30" ht="30" customHeight="1">
      <c r="A7" s="19" t="s">
        <v>6</v>
      </c>
      <c r="B7" s="20" t="s">
        <v>320</v>
      </c>
      <c r="C7" s="50">
        <f>Resultat!D10</f>
        <v>11631221.719457014</v>
      </c>
      <c r="D7" s="20"/>
      <c r="E7" s="20"/>
      <c r="F7" s="20"/>
      <c r="G7" s="20"/>
      <c r="H7" s="20"/>
      <c r="I7" s="20"/>
      <c r="J7" s="20"/>
      <c r="K7" s="20"/>
      <c r="L7" s="20"/>
      <c r="M7" s="20"/>
      <c r="N7" s="20"/>
      <c r="O7" s="20"/>
      <c r="P7" s="20"/>
      <c r="Q7" s="20"/>
      <c r="R7" s="20"/>
      <c r="S7" s="20"/>
      <c r="T7" s="20"/>
      <c r="U7" s="20"/>
      <c r="V7" s="20"/>
      <c r="W7" s="20"/>
      <c r="X7" s="20"/>
      <c r="Y7" s="20"/>
      <c r="Z7" s="20"/>
      <c r="AA7" s="20"/>
      <c r="AB7" s="20"/>
      <c r="AC7" s="20"/>
      <c r="AD7" s="20"/>
    </row>
    <row r="8" spans="1:30" ht="30" customHeight="1">
      <c r="A8" s="19" t="s">
        <v>10</v>
      </c>
      <c r="B8" s="20" t="s">
        <v>321</v>
      </c>
      <c r="C8" s="50">
        <f>Beräkningslogik!C119+Beräkningslogik!C140*Resultat!D10</f>
        <v>0</v>
      </c>
      <c r="D8" s="20"/>
      <c r="E8" s="47" t="s">
        <v>322</v>
      </c>
      <c r="F8" s="20"/>
      <c r="G8" s="20"/>
      <c r="H8" s="20"/>
      <c r="I8" s="20"/>
      <c r="J8" s="20"/>
      <c r="K8" s="20"/>
      <c r="L8" s="20"/>
      <c r="M8" s="20"/>
      <c r="N8" s="20"/>
      <c r="O8" s="20"/>
      <c r="P8" s="20"/>
      <c r="Q8" s="20"/>
      <c r="R8" s="20"/>
      <c r="S8" s="20"/>
      <c r="T8" s="20"/>
      <c r="U8" s="20"/>
      <c r="V8" s="20"/>
      <c r="W8" s="20"/>
      <c r="X8" s="20"/>
      <c r="Y8" s="20"/>
      <c r="Z8" s="20"/>
      <c r="AA8" s="20"/>
      <c r="AB8" s="20"/>
      <c r="AC8" s="20"/>
      <c r="AD8" s="20"/>
    </row>
    <row r="9" spans="1:30" ht="30" customHeight="1">
      <c r="A9" s="19"/>
      <c r="B9" s="20" t="s">
        <v>323</v>
      </c>
      <c r="C9" s="50">
        <f>Beräkningslogik!C119+Beräkningslogik!C140*Resultat!D14</f>
        <v>0</v>
      </c>
      <c r="D9" s="20" t="str">
        <f>IF(C9&gt;=0,"✓ Uppfyllt","✗ Ej uppfyllt")</f>
        <v>✓ Uppfyllt</v>
      </c>
      <c r="E9" s="20"/>
      <c r="F9" s="20"/>
      <c r="G9" s="20"/>
      <c r="H9" s="20"/>
      <c r="I9" s="20"/>
      <c r="J9" s="20"/>
      <c r="K9" s="20"/>
      <c r="L9" s="20"/>
      <c r="M9" s="20"/>
      <c r="N9" s="20"/>
      <c r="O9" s="20"/>
      <c r="P9" s="20"/>
      <c r="Q9" s="20"/>
      <c r="R9" s="20"/>
      <c r="S9" s="20"/>
      <c r="T9" s="20"/>
      <c r="U9" s="20"/>
      <c r="V9" s="20"/>
      <c r="W9" s="20"/>
      <c r="X9" s="20"/>
      <c r="Y9" s="20"/>
      <c r="Z9" s="20"/>
      <c r="AA9" s="20"/>
      <c r="AB9" s="20"/>
      <c r="AC9" s="20"/>
      <c r="AD9" s="20"/>
    </row>
    <row r="10" spans="1:30" ht="30" customHeight="1">
      <c r="A10" s="19" t="s">
        <v>14</v>
      </c>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row>
    <row r="11" spans="1:30" ht="30" customHeight="1">
      <c r="A11" s="19" t="s">
        <v>15</v>
      </c>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row>
    <row r="12" spans="1:30" ht="21.95" customHeight="1">
      <c r="A12" s="19"/>
      <c r="B12" s="192" t="s">
        <v>324</v>
      </c>
      <c r="C12" s="162"/>
      <c r="D12" s="162"/>
      <c r="E12" s="162"/>
      <c r="F12" s="162"/>
      <c r="G12" s="162"/>
      <c r="H12" s="20"/>
      <c r="I12" s="20"/>
      <c r="J12" s="20"/>
      <c r="K12" s="20"/>
      <c r="L12" s="20"/>
      <c r="M12" s="20"/>
      <c r="N12" s="20"/>
      <c r="O12" s="20"/>
      <c r="P12" s="20"/>
      <c r="Q12" s="20"/>
      <c r="R12" s="20"/>
      <c r="S12" s="20"/>
      <c r="T12" s="20"/>
      <c r="U12" s="20"/>
      <c r="V12" s="20"/>
      <c r="W12" s="20"/>
      <c r="X12" s="20"/>
      <c r="Y12" s="20"/>
      <c r="Z12" s="20"/>
      <c r="AA12" s="20"/>
      <c r="AB12" s="20"/>
      <c r="AC12" s="20"/>
      <c r="AD12" s="20"/>
    </row>
    <row r="13" spans="1:30" ht="16.5" customHeight="1">
      <c r="A13" s="19"/>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row>
    <row r="14" spans="1:30" ht="15" customHeight="1">
      <c r="A14" s="19"/>
      <c r="B14" s="20" t="s">
        <v>90</v>
      </c>
      <c r="C14" s="49">
        <f>Indata!C65</f>
        <v>6.3E-2</v>
      </c>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row>
    <row r="15" spans="1:30" ht="15" customHeight="1">
      <c r="A15" s="19"/>
      <c r="B15" s="20" t="s">
        <v>27</v>
      </c>
      <c r="C15" s="49">
        <f>Indata!C64</f>
        <v>0.37</v>
      </c>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row>
    <row r="16" spans="1:30" ht="15" customHeight="1">
      <c r="A16" s="19"/>
      <c r="B16" s="20" t="s">
        <v>325</v>
      </c>
      <c r="C16" s="50">
        <f>Resultat!D11</f>
        <v>11129727.546430845</v>
      </c>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row>
    <row r="17" spans="1:30" ht="15" customHeight="1">
      <c r="A17" s="19"/>
      <c r="B17" s="20" t="s">
        <v>326</v>
      </c>
      <c r="C17" s="50">
        <f>Beräkningslogik!C177+Beräkningslogik!C193*Resultat!D11</f>
        <v>0</v>
      </c>
      <c r="D17" s="20"/>
      <c r="E17" s="47" t="s">
        <v>322</v>
      </c>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row>
    <row r="18" spans="1:30" ht="15" customHeight="1">
      <c r="A18" s="19"/>
      <c r="B18" s="20" t="s">
        <v>327</v>
      </c>
      <c r="C18" s="50">
        <f>Beräkningslogik!C177+Beräkningslogik!C193*Resultat!D14</f>
        <v>10154923.522538841</v>
      </c>
      <c r="D18" s="20" t="str">
        <f>IF(C18&gt;=0,"✓ Uppfyllt","✗ Ej uppfyllt")</f>
        <v>✓ Uppfyllt</v>
      </c>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row>
    <row r="19" spans="1:30" ht="16.5" customHeight="1">
      <c r="A19" s="19"/>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row>
    <row r="20" spans="1:30" ht="16.5" customHeight="1">
      <c r="A20" s="19"/>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row>
    <row r="21" spans="1:30" ht="21.95" customHeight="1">
      <c r="A21" s="19"/>
      <c r="B21" s="192" t="s">
        <v>328</v>
      </c>
      <c r="C21" s="162"/>
      <c r="D21" s="162"/>
      <c r="E21" s="162"/>
      <c r="F21" s="162"/>
      <c r="G21" s="162"/>
      <c r="H21" s="20"/>
      <c r="I21" s="20"/>
      <c r="J21" s="20"/>
      <c r="K21" s="20"/>
      <c r="L21" s="20"/>
      <c r="M21" s="20"/>
      <c r="N21" s="20"/>
      <c r="O21" s="20"/>
      <c r="P21" s="20"/>
      <c r="Q21" s="20"/>
      <c r="R21" s="20"/>
      <c r="S21" s="20"/>
      <c r="T21" s="20"/>
      <c r="U21" s="20"/>
      <c r="V21" s="20"/>
      <c r="W21" s="20"/>
      <c r="X21" s="20"/>
      <c r="Y21" s="20"/>
      <c r="Z21" s="20"/>
      <c r="AA21" s="20"/>
      <c r="AB21" s="20"/>
      <c r="AC21" s="20"/>
      <c r="AD21" s="20"/>
    </row>
    <row r="22" spans="1:30" ht="16.5" customHeight="1">
      <c r="A22" s="19"/>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row>
    <row r="23" spans="1:30" ht="15" customHeight="1">
      <c r="A23" s="19"/>
      <c r="B23" s="20" t="s">
        <v>329</v>
      </c>
      <c r="C23" s="56">
        <f>Indata!C16</f>
        <v>20</v>
      </c>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row>
    <row r="24" spans="1:30" ht="15" customHeight="1">
      <c r="A24" s="19"/>
      <c r="B24" s="20" t="s">
        <v>330</v>
      </c>
      <c r="C24" s="49">
        <f>Indata!$D$81</f>
        <v>0.05</v>
      </c>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row>
    <row r="25" spans="1:30" ht="15" customHeight="1">
      <c r="A25" s="19"/>
      <c r="B25" s="20" t="s">
        <v>331</v>
      </c>
      <c r="C25" s="50">
        <f>Indata!C17</f>
        <v>200000000</v>
      </c>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row>
    <row r="26" spans="1:30" ht="15" customHeight="1">
      <c r="A26" s="19"/>
      <c r="B26" s="20" t="s">
        <v>150</v>
      </c>
      <c r="C26" s="49">
        <f>Indata!C18</f>
        <v>0.03</v>
      </c>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row>
    <row r="27" spans="1:30" ht="15" customHeight="1">
      <c r="A27" s="19"/>
      <c r="B27" s="20" t="s">
        <v>100</v>
      </c>
      <c r="C27" s="50">
        <f>Beräkningslogik!C204</f>
        <v>80000000</v>
      </c>
      <c r="D27" s="20"/>
      <c r="E27" s="47" t="s">
        <v>332</v>
      </c>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row>
    <row r="28" spans="1:30" ht="15" customHeight="1">
      <c r="A28" s="19"/>
      <c r="B28" s="20" t="s">
        <v>333</v>
      </c>
      <c r="C28" s="50">
        <f>Beräkningslogik!C199+Beräkningslogik!C201*Resultat!D14</f>
        <v>11793486.414925762</v>
      </c>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row>
    <row r="29" spans="1:30" ht="15" customHeight="1">
      <c r="A29" s="19"/>
      <c r="B29" s="20" t="s">
        <v>334</v>
      </c>
      <c r="C29" s="50">
        <f>C28/C24</f>
        <v>235869728.29851523</v>
      </c>
      <c r="D29" s="20"/>
      <c r="E29" s="47" t="s">
        <v>335</v>
      </c>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row>
    <row r="30" spans="1:30" ht="15" customHeight="1">
      <c r="A30" s="19"/>
      <c r="B30" s="20" t="s">
        <v>336</v>
      </c>
      <c r="C30" s="50">
        <f>C29-C27</f>
        <v>155869728.29851523</v>
      </c>
      <c r="D30" s="20" t="str">
        <f>IF(C30&gt;=0,"✓ Uppfyllt","✗ Nedskrivningsrisk")</f>
        <v>✓ Uppfyllt</v>
      </c>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row>
    <row r="31" spans="1:30" ht="16.5" customHeight="1">
      <c r="A31" s="19"/>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row>
    <row r="32" spans="1:30" ht="16.5" customHeight="1">
      <c r="A32" s="19"/>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row>
    <row r="33" spans="1:30" ht="21.75" customHeight="1">
      <c r="A33" s="19"/>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row>
    <row r="34" spans="1:30" ht="15" customHeight="1">
      <c r="A34" s="19"/>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row>
    <row r="35" spans="1:30" ht="15" hidden="1" customHeight="1">
      <c r="A35" s="19"/>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row>
    <row r="36" spans="1:30" ht="15" hidden="1" customHeight="1">
      <c r="A36" s="19"/>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row>
    <row r="37" spans="1:30" ht="15" hidden="1" customHeight="1">
      <c r="A37" s="19"/>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row>
    <row r="38" spans="1:30" ht="15" hidden="1" customHeight="1">
      <c r="A38" s="19"/>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row>
    <row r="39" spans="1:30" ht="15" hidden="1" customHeight="1">
      <c r="A39" s="19"/>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row>
    <row r="40" spans="1:30" ht="17.25" hidden="1" customHeight="1">
      <c r="A40" s="19"/>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row>
    <row r="41" spans="1:30" ht="16.5" hidden="1" customHeight="1">
      <c r="A41" s="19"/>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row>
    <row r="42" spans="1:30" ht="21.95" customHeight="1">
      <c r="A42" s="19"/>
      <c r="B42" s="192" t="s">
        <v>337</v>
      </c>
      <c r="C42" s="162"/>
      <c r="D42" s="162"/>
      <c r="E42" s="162"/>
      <c r="F42" s="162"/>
      <c r="G42" s="162"/>
      <c r="H42" s="24"/>
      <c r="I42" s="24"/>
      <c r="J42" s="24"/>
      <c r="K42" s="24"/>
      <c r="L42" s="24"/>
      <c r="M42" s="24"/>
      <c r="N42" s="24"/>
      <c r="O42" s="24"/>
      <c r="P42" s="24"/>
      <c r="Q42" s="24"/>
      <c r="R42" s="24"/>
      <c r="S42" s="24"/>
      <c r="T42" s="24"/>
      <c r="U42" s="24"/>
      <c r="V42" s="24"/>
      <c r="W42" s="24"/>
      <c r="X42" s="24"/>
      <c r="Y42" s="24"/>
      <c r="Z42" s="24"/>
      <c r="AA42" s="24"/>
      <c r="AB42" s="24"/>
      <c r="AC42" s="20"/>
      <c r="AD42" s="20"/>
    </row>
    <row r="43" spans="1:30" ht="15" hidden="1" customHeight="1" outlineLevel="1">
      <c r="A43" s="19"/>
      <c r="B43" s="47" t="s">
        <v>338</v>
      </c>
      <c r="C43" s="20"/>
      <c r="D43" s="20"/>
      <c r="E43" s="20"/>
      <c r="F43" s="110">
        <f>Beräkningslogik!D173+(Beräkningslogik!D188-Beräkningslogik!D173)*Resultat!$D$14/1000000</f>
        <v>-120496898.28054298</v>
      </c>
      <c r="G43" s="110">
        <f>Beräkningslogik!E173+(Beräkningslogik!E188-Beräkningslogik!E173)*Resultat!$D$14/1000000</f>
        <v>5621431.6235294119</v>
      </c>
      <c r="H43" s="110">
        <f>Beräkningslogik!F173+(Beräkningslogik!F188-Beräkningslogik!F173)*Resultat!$D$14/1000000</f>
        <v>5742432.783058824</v>
      </c>
      <c r="I43" s="110">
        <f>Beräkningslogik!G173+(Beräkningslogik!G188-Beräkningslogik!G173)*Resultat!$D$14/1000000</f>
        <v>5866062.4555576574</v>
      </c>
      <c r="J43" s="110">
        <f>Beräkningslogik!H173+(Beräkningslogik!H188-Beräkningslogik!H173)*Resultat!$D$14/1000000</f>
        <v>5992279.6390912924</v>
      </c>
      <c r="K43" s="110">
        <f>Beräkningslogik!I173+(Beräkningslogik!I188-Beräkningslogik!I173)*Resultat!$D$14/1000000</f>
        <v>6121045.0259280419</v>
      </c>
      <c r="L43" s="110">
        <f>Beräkningslogik!J173+(Beräkningslogik!J188-Beräkningslogik!J173)*Resultat!$D$14/1000000</f>
        <v>6252320.9572488004</v>
      </c>
      <c r="M43" s="110">
        <f>Beräkningslogik!K173+(Beräkningslogik!K188-Beräkningslogik!K173)*Resultat!$D$14/1000000</f>
        <v>6386071.3788879327</v>
      </c>
      <c r="N43" s="110">
        <f>Beräkningslogik!L173+(Beräkningslogik!L188-Beräkningslogik!L173)*Resultat!$D$14/1000000</f>
        <v>6522261.7980765617</v>
      </c>
      <c r="O43" s="110">
        <f>Beräkningslogik!M173+(Beräkningslogik!M188-Beräkningslogik!M173)*Resultat!$D$14/1000000</f>
        <v>6660859.2411610903</v>
      </c>
      <c r="P43" s="110">
        <f>Beräkningslogik!N173+(Beräkningslogik!N188-Beräkningslogik!N173)*Resultat!$D$14/1000000</f>
        <v>6861086.3322247481</v>
      </c>
      <c r="Q43" s="110">
        <f>Beräkningslogik!O173+(Beräkningslogik!O188-Beräkningslogik!O173)*Resultat!$D$14/1000000</f>
        <v>7061288.7280099997</v>
      </c>
      <c r="R43" s="110">
        <f>Beräkningslogik!P173+(Beräkningslogik!P188-Beräkningslogik!P173)*Resultat!$D$14/1000000</f>
        <v>7261508.872807676</v>
      </c>
      <c r="S43" s="110">
        <f>Beräkningslogik!Q173+(Beräkningslogik!Q188-Beräkningslogik!Q173)*Resultat!$D$14/1000000</f>
        <v>7461788.6739787199</v>
      </c>
      <c r="T43" s="110">
        <f>Beräkningslogik!R173+(Beräkningslogik!R188-Beräkningslogik!R173)*Resultat!$D$14/1000000</f>
        <v>7662169.5115535073</v>
      </c>
      <c r="U43" s="110">
        <f>Beräkningslogik!S173+(Beräkningslogik!S188-Beräkningslogik!S173)*Resultat!$D$14/1000000</f>
        <v>7862692.247512389</v>
      </c>
      <c r="V43" s="110">
        <f>Beräkningslogik!T173+(Beräkningslogik!T188-Beräkningslogik!T173)*Resultat!$D$14/1000000</f>
        <v>8063397.2347512692</v>
      </c>
      <c r="W43" s="110">
        <f>Beräkningslogik!U173+(Beräkningslogik!U188-Beräkningslogik!U173)*Resultat!$D$14/1000000</f>
        <v>8264324.3257331047</v>
      </c>
      <c r="X43" s="110">
        <f>Beräkningslogik!V173+(Beräkningslogik!V188-Beräkningslogik!V173)*Resultat!$D$14/1000000</f>
        <v>8465512.8808286693</v>
      </c>
      <c r="Y43" s="110">
        <f>Beräkningslogik!W173+(Beräkningslogik!W188-Beräkningslogik!W173)*Resultat!$D$14/1000000</f>
        <v>195133740.1649856</v>
      </c>
      <c r="Z43" s="110">
        <f>Beräkningslogik!X173+(Beräkningslogik!X188-Beräkningslogik!X173)*Resultat!$D$14/1000000</f>
        <v>8868829.4122610427</v>
      </c>
      <c r="AA43" s="110">
        <f>Beräkningslogik!Y173+(Beräkningslogik!Y188-Beräkningslogik!Y173)*Resultat!$D$14/1000000</f>
        <v>9071033.7196212169</v>
      </c>
      <c r="AB43" s="110">
        <f>Beräkningslogik!Z173+(Beräkningslogik!Z188-Beräkningslogik!Z173)*Resultat!$D$14/1000000</f>
        <v>9273652.1676725801</v>
      </c>
      <c r="AC43" s="110">
        <f>Beräkningslogik!AA173+(Beräkningslogik!AA188-Beräkningslogik!AA173)*Resultat!$D$14/1000000</f>
        <v>9476721.7706630323</v>
      </c>
      <c r="AD43" s="110">
        <f>Beräkningslogik!AB173+(Beräkningslogik!AB188-Beräkningslogik!AB173)*Resultat!$D$14/1000000</f>
        <v>9680279.0943521224</v>
      </c>
    </row>
    <row r="44" spans="1:30" ht="16.5" customHeight="1">
      <c r="A44" s="19"/>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row>
    <row r="45" spans="1:30" ht="15" customHeight="1">
      <c r="A45" s="19"/>
      <c r="B45" s="79" t="s">
        <v>339</v>
      </c>
      <c r="C45" s="111">
        <f>IFERROR(IRR(F43:AD43),"Ej beräkningsbar")</f>
        <v>7.6451715426456346E-2</v>
      </c>
      <c r="D45" s="20" t="str">
        <f>IF(ISNUMBER(C45),IF(C45&gt;=C46,"✓ Uppfyllt","✗ Ej uppfyllt"),"")</f>
        <v>✓ Uppfyllt</v>
      </c>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row>
    <row r="46" spans="1:30" ht="15" customHeight="1">
      <c r="A46" s="19"/>
      <c r="B46" s="20" t="s">
        <v>340</v>
      </c>
      <c r="C46" s="49">
        <f>Indata!C65</f>
        <v>6.3E-2</v>
      </c>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row>
    <row r="47" spans="1:30" ht="15" customHeight="1">
      <c r="A47" s="19"/>
      <c r="B47" s="20" t="s">
        <v>93</v>
      </c>
      <c r="C47" s="112">
        <f>IFERROR(C45-C46,"")</f>
        <v>1.3451715426456345E-2</v>
      </c>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row>
    <row r="48" spans="1:30" ht="16.5" customHeight="1">
      <c r="A48" s="19"/>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row>
    <row r="49" spans="1:30" ht="16.5" customHeight="1">
      <c r="A49" s="19"/>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row>
    <row r="50" spans="1:30" ht="21.95" customHeight="1">
      <c r="A50" s="19"/>
      <c r="B50" s="192" t="s">
        <v>341</v>
      </c>
      <c r="C50" s="162"/>
      <c r="D50" s="162"/>
      <c r="E50" s="162"/>
      <c r="F50" s="162"/>
      <c r="G50" s="162"/>
      <c r="H50" s="20"/>
      <c r="I50" s="20"/>
      <c r="J50" s="20"/>
      <c r="K50" s="20"/>
      <c r="L50" s="20"/>
      <c r="M50" s="20"/>
      <c r="N50" s="20"/>
      <c r="O50" s="20"/>
      <c r="P50" s="20"/>
      <c r="Q50" s="20"/>
      <c r="R50" s="20"/>
      <c r="S50" s="20"/>
      <c r="T50" s="20"/>
      <c r="U50" s="20"/>
      <c r="V50" s="20"/>
      <c r="W50" s="20"/>
      <c r="X50" s="20"/>
      <c r="Y50" s="20"/>
      <c r="Z50" s="20"/>
      <c r="AA50" s="20"/>
      <c r="AB50" s="20"/>
      <c r="AC50" s="20"/>
      <c r="AD50" s="20"/>
    </row>
    <row r="51" spans="1:30" ht="27.75" customHeight="1">
      <c r="A51" s="19"/>
      <c r="B51" s="197" t="s">
        <v>342</v>
      </c>
      <c r="C51" s="150"/>
      <c r="D51" s="150"/>
      <c r="E51" s="150"/>
      <c r="F51" s="150"/>
      <c r="G51" s="150"/>
      <c r="H51" s="150"/>
      <c r="I51" s="20"/>
      <c r="J51" s="20"/>
      <c r="K51" s="20"/>
      <c r="L51" s="20"/>
      <c r="M51" s="20"/>
      <c r="N51" s="20"/>
      <c r="O51" s="20"/>
      <c r="P51" s="20"/>
      <c r="Q51" s="20"/>
      <c r="R51" s="20"/>
      <c r="S51" s="20"/>
      <c r="T51" s="20"/>
      <c r="U51" s="20"/>
      <c r="V51" s="20"/>
      <c r="W51" s="20"/>
      <c r="X51" s="20"/>
      <c r="Y51" s="20"/>
      <c r="Z51" s="20"/>
      <c r="AA51" s="20"/>
      <c r="AB51" s="20"/>
      <c r="AC51" s="20"/>
      <c r="AD51" s="20"/>
    </row>
    <row r="52" spans="1:30" ht="16.5" customHeight="1">
      <c r="A52" s="19"/>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row>
    <row r="53" spans="1:30" ht="20.100000000000001" customHeight="1">
      <c r="A53" s="19"/>
      <c r="B53" s="88" t="s">
        <v>343</v>
      </c>
      <c r="C53" s="88" t="s">
        <v>344</v>
      </c>
      <c r="D53" s="88" t="s">
        <v>345</v>
      </c>
      <c r="E53" s="88" t="s">
        <v>346</v>
      </c>
      <c r="F53" s="88" t="s">
        <v>347</v>
      </c>
      <c r="G53" s="20"/>
      <c r="H53" s="20"/>
      <c r="I53" s="20"/>
      <c r="J53" s="20"/>
      <c r="K53" s="20"/>
      <c r="L53" s="20"/>
      <c r="M53" s="20"/>
      <c r="N53" s="20"/>
      <c r="O53" s="20"/>
      <c r="P53" s="20"/>
      <c r="Q53" s="20"/>
      <c r="R53" s="20"/>
      <c r="S53" s="20"/>
      <c r="T53" s="20"/>
      <c r="U53" s="20"/>
      <c r="V53" s="20"/>
      <c r="W53" s="20"/>
      <c r="X53" s="20"/>
      <c r="Y53" s="20"/>
      <c r="Z53" s="20"/>
      <c r="AA53" s="20"/>
      <c r="AB53" s="20"/>
      <c r="AC53" s="20"/>
      <c r="AD53" s="20"/>
    </row>
    <row r="54" spans="1:30" ht="15" customHeight="1">
      <c r="A54" s="19"/>
      <c r="B54" s="113" t="s">
        <v>348</v>
      </c>
      <c r="C54" s="50">
        <f>$C$29*(1+-0.4)</f>
        <v>141521836.97910914</v>
      </c>
      <c r="D54" s="50">
        <f t="shared" ref="D54:D60" si="0">C54-$C$27</f>
        <v>61521836.979109138</v>
      </c>
      <c r="E54" s="49">
        <f t="shared" ref="E54:E60" si="1">IFERROR(IRR(F64:AD64),"")</f>
        <v>6.3801865872582741E-2</v>
      </c>
      <c r="F54" s="113" t="str">
        <f>IF(ISNUMBER(E54),IF(E54&gt;=Indata!$C$65,"✓","⚠ IRR&lt;krav"),"")</f>
        <v>✓</v>
      </c>
      <c r="G54" s="20"/>
      <c r="H54" s="20"/>
      <c r="I54" s="20"/>
      <c r="J54" s="20"/>
      <c r="K54" s="20"/>
      <c r="L54" s="20"/>
      <c r="M54" s="20"/>
      <c r="N54" s="20"/>
      <c r="O54" s="20"/>
      <c r="P54" s="20"/>
      <c r="Q54" s="20"/>
      <c r="R54" s="20"/>
      <c r="S54" s="20"/>
      <c r="T54" s="20"/>
      <c r="U54" s="20"/>
      <c r="V54" s="20"/>
      <c r="W54" s="20"/>
      <c r="X54" s="20"/>
      <c r="Y54" s="20"/>
      <c r="Z54" s="20"/>
      <c r="AA54" s="20"/>
      <c r="AB54" s="20"/>
      <c r="AC54" s="20"/>
      <c r="AD54" s="20"/>
    </row>
    <row r="55" spans="1:30" ht="15" customHeight="1">
      <c r="A55" s="19"/>
      <c r="B55" s="113" t="s">
        <v>349</v>
      </c>
      <c r="C55" s="50">
        <f>$C$29*(1+-0.3)</f>
        <v>165108809.80896065</v>
      </c>
      <c r="D55" s="50">
        <f t="shared" si="0"/>
        <v>85108809.808960646</v>
      </c>
      <c r="E55" s="49">
        <f t="shared" si="1"/>
        <v>6.7427322300229742E-2</v>
      </c>
      <c r="F55" s="113" t="str">
        <f>IF(ISNUMBER(E55),IF(E55&gt;=Indata!$C$65,"✓","⚠ IRR&lt;krav"),"")</f>
        <v>✓</v>
      </c>
      <c r="G55" s="20"/>
      <c r="H55" s="20"/>
      <c r="I55" s="20"/>
      <c r="J55" s="20"/>
      <c r="K55" s="20"/>
      <c r="L55" s="20"/>
      <c r="M55" s="20"/>
      <c r="N55" s="20"/>
      <c r="O55" s="20"/>
      <c r="P55" s="20"/>
      <c r="Q55" s="20"/>
      <c r="R55" s="20"/>
      <c r="S55" s="20"/>
      <c r="T55" s="20"/>
      <c r="U55" s="20"/>
      <c r="V55" s="20"/>
      <c r="W55" s="20"/>
      <c r="X55" s="20"/>
      <c r="Y55" s="20"/>
      <c r="Z55" s="20"/>
      <c r="AA55" s="20"/>
      <c r="AB55" s="20"/>
      <c r="AC55" s="20"/>
      <c r="AD55" s="20"/>
    </row>
    <row r="56" spans="1:30" ht="15" customHeight="1">
      <c r="A56" s="19"/>
      <c r="B56" s="113" t="s">
        <v>350</v>
      </c>
      <c r="C56" s="50">
        <f>$C$29*(1+-0.2)</f>
        <v>188695782.63881218</v>
      </c>
      <c r="D56" s="50">
        <f t="shared" si="0"/>
        <v>108695782.63881218</v>
      </c>
      <c r="E56" s="49">
        <f t="shared" si="1"/>
        <v>7.0702272093192242E-2</v>
      </c>
      <c r="F56" s="113" t="str">
        <f>IF(ISNUMBER(E56),IF(E56&gt;=Indata!$C$65,"✓","⚠ IRR&lt;krav"),"")</f>
        <v>✓</v>
      </c>
      <c r="G56" s="20"/>
      <c r="H56" s="20"/>
      <c r="I56" s="20"/>
      <c r="J56" s="20"/>
      <c r="K56" s="20"/>
      <c r="L56" s="20"/>
      <c r="M56" s="20"/>
      <c r="N56" s="20"/>
      <c r="O56" s="20"/>
      <c r="P56" s="20"/>
      <c r="Q56" s="20"/>
      <c r="R56" s="20"/>
      <c r="S56" s="20"/>
      <c r="T56" s="20"/>
      <c r="U56" s="20"/>
      <c r="V56" s="20"/>
      <c r="W56" s="20"/>
      <c r="X56" s="20"/>
      <c r="Y56" s="20"/>
      <c r="Z56" s="20"/>
      <c r="AA56" s="20"/>
      <c r="AB56" s="20"/>
      <c r="AC56" s="20"/>
      <c r="AD56" s="20"/>
    </row>
    <row r="57" spans="1:30" ht="15" customHeight="1">
      <c r="A57" s="19"/>
      <c r="B57" s="113" t="s">
        <v>351</v>
      </c>
      <c r="C57" s="50">
        <f>$C$29*(1+-0.1)</f>
        <v>212282755.46866372</v>
      </c>
      <c r="D57" s="50">
        <f t="shared" si="0"/>
        <v>132282755.46866372</v>
      </c>
      <c r="E57" s="49">
        <f t="shared" si="1"/>
        <v>7.3694067149302489E-2</v>
      </c>
      <c r="F57" s="113" t="str">
        <f>IF(ISNUMBER(E57),IF(E57&gt;=Indata!$C$65,"✓","⚠ IRR&lt;krav"),"")</f>
        <v>✓</v>
      </c>
      <c r="G57" s="20"/>
      <c r="H57" s="20"/>
      <c r="I57" s="20"/>
      <c r="J57" s="20"/>
      <c r="K57" s="20"/>
      <c r="L57" s="20"/>
      <c r="M57" s="20"/>
      <c r="N57" s="20"/>
      <c r="O57" s="20"/>
      <c r="P57" s="20"/>
      <c r="Q57" s="20"/>
      <c r="R57" s="20"/>
      <c r="S57" s="20"/>
      <c r="T57" s="20"/>
      <c r="U57" s="20"/>
      <c r="V57" s="20"/>
      <c r="W57" s="20"/>
      <c r="X57" s="20"/>
      <c r="Y57" s="20"/>
      <c r="Z57" s="20"/>
      <c r="AA57" s="20"/>
      <c r="AB57" s="20"/>
      <c r="AC57" s="20"/>
      <c r="AD57" s="20"/>
    </row>
    <row r="58" spans="1:30" ht="15" customHeight="1">
      <c r="A58" s="19"/>
      <c r="B58" s="114" t="s">
        <v>352</v>
      </c>
      <c r="C58" s="115">
        <f>$C$29*(1+0)</f>
        <v>235869728.29851523</v>
      </c>
      <c r="D58" s="115">
        <f t="shared" si="0"/>
        <v>155869728.29851523</v>
      </c>
      <c r="E58" s="116">
        <f t="shared" si="1"/>
        <v>7.6451715426456346E-2</v>
      </c>
      <c r="F58" s="114" t="str">
        <f>IF(ISNUMBER(E58),IF(E58&gt;=Indata!$C$65,"✓","⚠ IRR&lt;krav"),"")</f>
        <v>✓</v>
      </c>
      <c r="G58" s="20"/>
      <c r="H58" s="20"/>
      <c r="I58" s="20"/>
      <c r="J58" s="20"/>
      <c r="K58" s="20"/>
      <c r="L58" s="20"/>
      <c r="M58" s="20"/>
      <c r="N58" s="20"/>
      <c r="O58" s="20"/>
      <c r="P58" s="20"/>
      <c r="Q58" s="20"/>
      <c r="R58" s="20"/>
      <c r="S58" s="20"/>
      <c r="T58" s="20"/>
      <c r="U58" s="20"/>
      <c r="V58" s="20"/>
      <c r="W58" s="20"/>
      <c r="X58" s="20"/>
      <c r="Y58" s="20"/>
      <c r="Z58" s="20"/>
      <c r="AA58" s="20"/>
      <c r="AB58" s="20"/>
      <c r="AC58" s="20"/>
      <c r="AD58" s="20"/>
    </row>
    <row r="59" spans="1:30" ht="15" customHeight="1">
      <c r="A59" s="19"/>
      <c r="B59" s="113" t="s">
        <v>353</v>
      </c>
      <c r="C59" s="50">
        <f>$C$29*(1+0.1)</f>
        <v>259456701.12836677</v>
      </c>
      <c r="D59" s="50">
        <f t="shared" si="0"/>
        <v>179456701.12836677</v>
      </c>
      <c r="E59" s="49">
        <f t="shared" si="1"/>
        <v>7.9012102437539866E-2</v>
      </c>
      <c r="F59" s="113" t="str">
        <f>IF(ISNUMBER(E59),IF(E59&gt;=Indata!$C$65,"✓","⚠ IRR&lt;krav"),"")</f>
        <v>✓</v>
      </c>
      <c r="G59" s="20"/>
      <c r="H59" s="20"/>
      <c r="I59" s="20"/>
      <c r="J59" s="20"/>
      <c r="K59" s="20"/>
      <c r="L59" s="20"/>
      <c r="M59" s="20"/>
      <c r="N59" s="20"/>
      <c r="O59" s="20"/>
      <c r="P59" s="20"/>
      <c r="Q59" s="20"/>
      <c r="R59" s="20"/>
      <c r="S59" s="20"/>
      <c r="T59" s="20"/>
      <c r="U59" s="20"/>
      <c r="V59" s="20"/>
      <c r="W59" s="20"/>
      <c r="X59" s="20"/>
      <c r="Y59" s="20"/>
      <c r="Z59" s="20"/>
      <c r="AA59" s="20"/>
      <c r="AB59" s="20"/>
      <c r="AC59" s="20"/>
      <c r="AD59" s="20"/>
    </row>
    <row r="60" spans="1:30" ht="15" customHeight="1">
      <c r="A60" s="19"/>
      <c r="B60" s="113" t="s">
        <v>354</v>
      </c>
      <c r="C60" s="50">
        <f>$C$29*(1+0.2)</f>
        <v>283043673.95821828</v>
      </c>
      <c r="D60" s="50">
        <f t="shared" si="0"/>
        <v>203043673.95821828</v>
      </c>
      <c r="E60" s="49">
        <f t="shared" si="1"/>
        <v>8.1403753827502978E-2</v>
      </c>
      <c r="F60" s="113" t="str">
        <f>IF(ISNUMBER(E60),IF(E60&gt;=Indata!$C$65,"✓","⚠ IRR&lt;krav"),"")</f>
        <v>✓</v>
      </c>
      <c r="G60" s="20"/>
      <c r="H60" s="20"/>
      <c r="I60" s="20"/>
      <c r="J60" s="20"/>
      <c r="K60" s="20"/>
      <c r="L60" s="20"/>
      <c r="M60" s="20"/>
      <c r="N60" s="20"/>
      <c r="O60" s="20"/>
      <c r="P60" s="20"/>
      <c r="Q60" s="20"/>
      <c r="R60" s="20"/>
      <c r="S60" s="20"/>
      <c r="T60" s="20"/>
      <c r="U60" s="20"/>
      <c r="V60" s="20"/>
      <c r="W60" s="20"/>
      <c r="X60" s="20"/>
      <c r="Y60" s="20"/>
      <c r="Z60" s="20"/>
      <c r="AA60" s="20"/>
      <c r="AB60" s="20"/>
      <c r="AC60" s="20"/>
      <c r="AD60" s="20"/>
    </row>
    <row r="61" spans="1:30" ht="16.5" customHeight="1">
      <c r="A61" s="19"/>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row>
    <row r="62" spans="1:30" ht="16.5" customHeight="1">
      <c r="A62" s="19"/>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row>
    <row r="63" spans="1:30" ht="16.5" customHeight="1">
      <c r="A63" s="19"/>
      <c r="B63" s="20" t="s">
        <v>355</v>
      </c>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row>
    <row r="64" spans="1:30" ht="15" hidden="1" customHeight="1" outlineLevel="1">
      <c r="A64" s="19"/>
      <c r="B64" s="20"/>
      <c r="C64" s="20"/>
      <c r="D64" s="20"/>
      <c r="E64" s="20"/>
      <c r="F64" s="117">
        <f t="shared" ref="F64:AC64" si="2">F43</f>
        <v>-120496898.28054298</v>
      </c>
      <c r="G64" s="117">
        <f t="shared" si="2"/>
        <v>5621431.6235294119</v>
      </c>
      <c r="H64" s="117">
        <f t="shared" si="2"/>
        <v>5742432.783058824</v>
      </c>
      <c r="I64" s="117">
        <f t="shared" si="2"/>
        <v>5866062.4555576574</v>
      </c>
      <c r="J64" s="117">
        <f t="shared" si="2"/>
        <v>5992279.6390912924</v>
      </c>
      <c r="K64" s="117">
        <f t="shared" si="2"/>
        <v>6121045.0259280419</v>
      </c>
      <c r="L64" s="117">
        <f t="shared" si="2"/>
        <v>6252320.9572488004</v>
      </c>
      <c r="M64" s="117">
        <f t="shared" si="2"/>
        <v>6386071.3788879327</v>
      </c>
      <c r="N64" s="117">
        <f t="shared" si="2"/>
        <v>6522261.7980765617</v>
      </c>
      <c r="O64" s="117">
        <f t="shared" si="2"/>
        <v>6660859.2411610903</v>
      </c>
      <c r="P64" s="117">
        <f t="shared" si="2"/>
        <v>6861086.3322247481</v>
      </c>
      <c r="Q64" s="117">
        <f t="shared" si="2"/>
        <v>7061288.7280099997</v>
      </c>
      <c r="R64" s="117">
        <f t="shared" si="2"/>
        <v>7261508.872807676</v>
      </c>
      <c r="S64" s="117">
        <f t="shared" si="2"/>
        <v>7461788.6739787199</v>
      </c>
      <c r="T64" s="117">
        <f t="shared" si="2"/>
        <v>7662169.5115535073</v>
      </c>
      <c r="U64" s="117">
        <f t="shared" si="2"/>
        <v>7862692.247512389</v>
      </c>
      <c r="V64" s="117">
        <f t="shared" si="2"/>
        <v>8063397.2347512692</v>
      </c>
      <c r="W64" s="117">
        <f t="shared" si="2"/>
        <v>8264324.3257331047</v>
      </c>
      <c r="X64" s="117">
        <f t="shared" si="2"/>
        <v>8465512.8808286693</v>
      </c>
      <c r="Y64" s="117">
        <f t="shared" si="2"/>
        <v>195133740.1649856</v>
      </c>
      <c r="Z64" s="117">
        <f t="shared" si="2"/>
        <v>8868829.4122610427</v>
      </c>
      <c r="AA64" s="117">
        <f t="shared" si="2"/>
        <v>9071033.7196212169</v>
      </c>
      <c r="AB64" s="117">
        <f t="shared" si="2"/>
        <v>9273652.1676725801</v>
      </c>
      <c r="AC64" s="117">
        <f t="shared" si="2"/>
        <v>9476721.7706630323</v>
      </c>
      <c r="AD64" s="117">
        <f>AD43+$C54-$C$58</f>
        <v>-84667612.225053966</v>
      </c>
    </row>
    <row r="65" spans="1:30" ht="15" hidden="1" customHeight="1" outlineLevel="1">
      <c r="A65" s="19"/>
      <c r="B65" s="20"/>
      <c r="C65" s="20"/>
      <c r="D65" s="20"/>
      <c r="E65" s="20"/>
      <c r="F65" s="117">
        <f t="shared" ref="F65:AC65" si="3">F43</f>
        <v>-120496898.28054298</v>
      </c>
      <c r="G65" s="117">
        <f t="shared" si="3"/>
        <v>5621431.6235294119</v>
      </c>
      <c r="H65" s="117">
        <f t="shared" si="3"/>
        <v>5742432.783058824</v>
      </c>
      <c r="I65" s="117">
        <f t="shared" si="3"/>
        <v>5866062.4555576574</v>
      </c>
      <c r="J65" s="117">
        <f t="shared" si="3"/>
        <v>5992279.6390912924</v>
      </c>
      <c r="K65" s="117">
        <f t="shared" si="3"/>
        <v>6121045.0259280419</v>
      </c>
      <c r="L65" s="117">
        <f t="shared" si="3"/>
        <v>6252320.9572488004</v>
      </c>
      <c r="M65" s="117">
        <f t="shared" si="3"/>
        <v>6386071.3788879327</v>
      </c>
      <c r="N65" s="117">
        <f t="shared" si="3"/>
        <v>6522261.7980765617</v>
      </c>
      <c r="O65" s="117">
        <f t="shared" si="3"/>
        <v>6660859.2411610903</v>
      </c>
      <c r="P65" s="117">
        <f t="shared" si="3"/>
        <v>6861086.3322247481</v>
      </c>
      <c r="Q65" s="117">
        <f t="shared" si="3"/>
        <v>7061288.7280099997</v>
      </c>
      <c r="R65" s="117">
        <f t="shared" si="3"/>
        <v>7261508.872807676</v>
      </c>
      <c r="S65" s="117">
        <f t="shared" si="3"/>
        <v>7461788.6739787199</v>
      </c>
      <c r="T65" s="117">
        <f t="shared" si="3"/>
        <v>7662169.5115535073</v>
      </c>
      <c r="U65" s="117">
        <f t="shared" si="3"/>
        <v>7862692.247512389</v>
      </c>
      <c r="V65" s="117">
        <f t="shared" si="3"/>
        <v>8063397.2347512692</v>
      </c>
      <c r="W65" s="117">
        <f t="shared" si="3"/>
        <v>8264324.3257331047</v>
      </c>
      <c r="X65" s="117">
        <f t="shared" si="3"/>
        <v>8465512.8808286693</v>
      </c>
      <c r="Y65" s="117">
        <f t="shared" si="3"/>
        <v>195133740.1649856</v>
      </c>
      <c r="Z65" s="117">
        <f t="shared" si="3"/>
        <v>8868829.4122610427</v>
      </c>
      <c r="AA65" s="117">
        <f t="shared" si="3"/>
        <v>9071033.7196212169</v>
      </c>
      <c r="AB65" s="117">
        <f t="shared" si="3"/>
        <v>9273652.1676725801</v>
      </c>
      <c r="AC65" s="117">
        <f t="shared" si="3"/>
        <v>9476721.7706630323</v>
      </c>
      <c r="AD65" s="117">
        <f>AD43+$C55-$C$58</f>
        <v>-61080639.395202458</v>
      </c>
    </row>
    <row r="66" spans="1:30" ht="15" hidden="1" customHeight="1" outlineLevel="1">
      <c r="A66" s="19"/>
      <c r="B66" s="20"/>
      <c r="C66" s="20"/>
      <c r="D66" s="20"/>
      <c r="E66" s="20"/>
      <c r="F66" s="117">
        <f t="shared" ref="F66:AC66" si="4">F43</f>
        <v>-120496898.28054298</v>
      </c>
      <c r="G66" s="117">
        <f t="shared" si="4"/>
        <v>5621431.6235294119</v>
      </c>
      <c r="H66" s="117">
        <f t="shared" si="4"/>
        <v>5742432.783058824</v>
      </c>
      <c r="I66" s="117">
        <f t="shared" si="4"/>
        <v>5866062.4555576574</v>
      </c>
      <c r="J66" s="117">
        <f t="shared" si="4"/>
        <v>5992279.6390912924</v>
      </c>
      <c r="K66" s="117">
        <f t="shared" si="4"/>
        <v>6121045.0259280419</v>
      </c>
      <c r="L66" s="117">
        <f t="shared" si="4"/>
        <v>6252320.9572488004</v>
      </c>
      <c r="M66" s="117">
        <f t="shared" si="4"/>
        <v>6386071.3788879327</v>
      </c>
      <c r="N66" s="117">
        <f t="shared" si="4"/>
        <v>6522261.7980765617</v>
      </c>
      <c r="O66" s="117">
        <f t="shared" si="4"/>
        <v>6660859.2411610903</v>
      </c>
      <c r="P66" s="117">
        <f t="shared" si="4"/>
        <v>6861086.3322247481</v>
      </c>
      <c r="Q66" s="117">
        <f t="shared" si="4"/>
        <v>7061288.7280099997</v>
      </c>
      <c r="R66" s="117">
        <f t="shared" si="4"/>
        <v>7261508.872807676</v>
      </c>
      <c r="S66" s="117">
        <f t="shared" si="4"/>
        <v>7461788.6739787199</v>
      </c>
      <c r="T66" s="117">
        <f t="shared" si="4"/>
        <v>7662169.5115535073</v>
      </c>
      <c r="U66" s="117">
        <f t="shared" si="4"/>
        <v>7862692.247512389</v>
      </c>
      <c r="V66" s="117">
        <f t="shared" si="4"/>
        <v>8063397.2347512692</v>
      </c>
      <c r="W66" s="117">
        <f t="shared" si="4"/>
        <v>8264324.3257331047</v>
      </c>
      <c r="X66" s="117">
        <f t="shared" si="4"/>
        <v>8465512.8808286693</v>
      </c>
      <c r="Y66" s="117">
        <f t="shared" si="4"/>
        <v>195133740.1649856</v>
      </c>
      <c r="Z66" s="117">
        <f t="shared" si="4"/>
        <v>8868829.4122610427</v>
      </c>
      <c r="AA66" s="117">
        <f t="shared" si="4"/>
        <v>9071033.7196212169</v>
      </c>
      <c r="AB66" s="117">
        <f t="shared" si="4"/>
        <v>9273652.1676725801</v>
      </c>
      <c r="AC66" s="117">
        <f t="shared" si="4"/>
        <v>9476721.7706630323</v>
      </c>
      <c r="AD66" s="117">
        <f>AD43+$C56-$C$58</f>
        <v>-37493666.56535092</v>
      </c>
    </row>
    <row r="67" spans="1:30" ht="15" hidden="1" customHeight="1" outlineLevel="1">
      <c r="A67" s="19"/>
      <c r="B67" s="20"/>
      <c r="C67" s="20"/>
      <c r="D67" s="20"/>
      <c r="E67" s="20"/>
      <c r="F67" s="117">
        <f t="shared" ref="F67:AC67" si="5">F43</f>
        <v>-120496898.28054298</v>
      </c>
      <c r="G67" s="117">
        <f t="shared" si="5"/>
        <v>5621431.6235294119</v>
      </c>
      <c r="H67" s="117">
        <f t="shared" si="5"/>
        <v>5742432.783058824</v>
      </c>
      <c r="I67" s="117">
        <f t="shared" si="5"/>
        <v>5866062.4555576574</v>
      </c>
      <c r="J67" s="117">
        <f t="shared" si="5"/>
        <v>5992279.6390912924</v>
      </c>
      <c r="K67" s="117">
        <f t="shared" si="5"/>
        <v>6121045.0259280419</v>
      </c>
      <c r="L67" s="117">
        <f t="shared" si="5"/>
        <v>6252320.9572488004</v>
      </c>
      <c r="M67" s="117">
        <f t="shared" si="5"/>
        <v>6386071.3788879327</v>
      </c>
      <c r="N67" s="117">
        <f t="shared" si="5"/>
        <v>6522261.7980765617</v>
      </c>
      <c r="O67" s="117">
        <f t="shared" si="5"/>
        <v>6660859.2411610903</v>
      </c>
      <c r="P67" s="117">
        <f t="shared" si="5"/>
        <v>6861086.3322247481</v>
      </c>
      <c r="Q67" s="117">
        <f t="shared" si="5"/>
        <v>7061288.7280099997</v>
      </c>
      <c r="R67" s="117">
        <f t="shared" si="5"/>
        <v>7261508.872807676</v>
      </c>
      <c r="S67" s="117">
        <f t="shared" si="5"/>
        <v>7461788.6739787199</v>
      </c>
      <c r="T67" s="117">
        <f t="shared" si="5"/>
        <v>7662169.5115535073</v>
      </c>
      <c r="U67" s="117">
        <f t="shared" si="5"/>
        <v>7862692.247512389</v>
      </c>
      <c r="V67" s="117">
        <f t="shared" si="5"/>
        <v>8063397.2347512692</v>
      </c>
      <c r="W67" s="117">
        <f t="shared" si="5"/>
        <v>8264324.3257331047</v>
      </c>
      <c r="X67" s="117">
        <f t="shared" si="5"/>
        <v>8465512.8808286693</v>
      </c>
      <c r="Y67" s="117">
        <f t="shared" si="5"/>
        <v>195133740.1649856</v>
      </c>
      <c r="Z67" s="117">
        <f t="shared" si="5"/>
        <v>8868829.4122610427</v>
      </c>
      <c r="AA67" s="117">
        <f t="shared" si="5"/>
        <v>9071033.7196212169</v>
      </c>
      <c r="AB67" s="117">
        <f t="shared" si="5"/>
        <v>9273652.1676725801</v>
      </c>
      <c r="AC67" s="117">
        <f t="shared" si="5"/>
        <v>9476721.7706630323</v>
      </c>
      <c r="AD67" s="117">
        <f>AD43+$C57-$C$58</f>
        <v>-13906693.735499382</v>
      </c>
    </row>
    <row r="68" spans="1:30" ht="15" hidden="1" customHeight="1" outlineLevel="1">
      <c r="A68" s="19"/>
      <c r="B68" s="20"/>
      <c r="C68" s="20"/>
      <c r="D68" s="20"/>
      <c r="E68" s="20"/>
      <c r="F68" s="117">
        <f t="shared" ref="F68:AC68" si="6">F43</f>
        <v>-120496898.28054298</v>
      </c>
      <c r="G68" s="117">
        <f t="shared" si="6"/>
        <v>5621431.6235294119</v>
      </c>
      <c r="H68" s="117">
        <f t="shared" si="6"/>
        <v>5742432.783058824</v>
      </c>
      <c r="I68" s="117">
        <f t="shared" si="6"/>
        <v>5866062.4555576574</v>
      </c>
      <c r="J68" s="117">
        <f t="shared" si="6"/>
        <v>5992279.6390912924</v>
      </c>
      <c r="K68" s="117">
        <f t="shared" si="6"/>
        <v>6121045.0259280419</v>
      </c>
      <c r="L68" s="117">
        <f t="shared" si="6"/>
        <v>6252320.9572488004</v>
      </c>
      <c r="M68" s="117">
        <f t="shared" si="6"/>
        <v>6386071.3788879327</v>
      </c>
      <c r="N68" s="117">
        <f t="shared" si="6"/>
        <v>6522261.7980765617</v>
      </c>
      <c r="O68" s="117">
        <f t="shared" si="6"/>
        <v>6660859.2411610903</v>
      </c>
      <c r="P68" s="117">
        <f t="shared" si="6"/>
        <v>6861086.3322247481</v>
      </c>
      <c r="Q68" s="117">
        <f t="shared" si="6"/>
        <v>7061288.7280099997</v>
      </c>
      <c r="R68" s="117">
        <f t="shared" si="6"/>
        <v>7261508.872807676</v>
      </c>
      <c r="S68" s="117">
        <f t="shared" si="6"/>
        <v>7461788.6739787199</v>
      </c>
      <c r="T68" s="117">
        <f t="shared" si="6"/>
        <v>7662169.5115535073</v>
      </c>
      <c r="U68" s="117">
        <f t="shared" si="6"/>
        <v>7862692.247512389</v>
      </c>
      <c r="V68" s="117">
        <f t="shared" si="6"/>
        <v>8063397.2347512692</v>
      </c>
      <c r="W68" s="117">
        <f t="shared" si="6"/>
        <v>8264324.3257331047</v>
      </c>
      <c r="X68" s="117">
        <f t="shared" si="6"/>
        <v>8465512.8808286693</v>
      </c>
      <c r="Y68" s="117">
        <f t="shared" si="6"/>
        <v>195133740.1649856</v>
      </c>
      <c r="Z68" s="117">
        <f t="shared" si="6"/>
        <v>8868829.4122610427</v>
      </c>
      <c r="AA68" s="117">
        <f t="shared" si="6"/>
        <v>9071033.7196212169</v>
      </c>
      <c r="AB68" s="117">
        <f t="shared" si="6"/>
        <v>9273652.1676725801</v>
      </c>
      <c r="AC68" s="117">
        <f t="shared" si="6"/>
        <v>9476721.7706630323</v>
      </c>
      <c r="AD68" s="117">
        <f>AD43+$C58-$C$58</f>
        <v>9680279.0943521261</v>
      </c>
    </row>
    <row r="69" spans="1:30" ht="15" hidden="1" customHeight="1" outlineLevel="1">
      <c r="A69" s="19"/>
      <c r="B69" s="20"/>
      <c r="C69" s="20"/>
      <c r="D69" s="20"/>
      <c r="E69" s="20"/>
      <c r="F69" s="117">
        <f t="shared" ref="F69:AC69" si="7">F43</f>
        <v>-120496898.28054298</v>
      </c>
      <c r="G69" s="117">
        <f t="shared" si="7"/>
        <v>5621431.6235294119</v>
      </c>
      <c r="H69" s="117">
        <f t="shared" si="7"/>
        <v>5742432.783058824</v>
      </c>
      <c r="I69" s="117">
        <f t="shared" si="7"/>
        <v>5866062.4555576574</v>
      </c>
      <c r="J69" s="117">
        <f t="shared" si="7"/>
        <v>5992279.6390912924</v>
      </c>
      <c r="K69" s="117">
        <f t="shared" si="7"/>
        <v>6121045.0259280419</v>
      </c>
      <c r="L69" s="117">
        <f t="shared" si="7"/>
        <v>6252320.9572488004</v>
      </c>
      <c r="M69" s="117">
        <f t="shared" si="7"/>
        <v>6386071.3788879327</v>
      </c>
      <c r="N69" s="117">
        <f t="shared" si="7"/>
        <v>6522261.7980765617</v>
      </c>
      <c r="O69" s="117">
        <f t="shared" si="7"/>
        <v>6660859.2411610903</v>
      </c>
      <c r="P69" s="117">
        <f t="shared" si="7"/>
        <v>6861086.3322247481</v>
      </c>
      <c r="Q69" s="117">
        <f t="shared" si="7"/>
        <v>7061288.7280099997</v>
      </c>
      <c r="R69" s="117">
        <f t="shared" si="7"/>
        <v>7261508.872807676</v>
      </c>
      <c r="S69" s="117">
        <f t="shared" si="7"/>
        <v>7461788.6739787199</v>
      </c>
      <c r="T69" s="117">
        <f t="shared" si="7"/>
        <v>7662169.5115535073</v>
      </c>
      <c r="U69" s="117">
        <f t="shared" si="7"/>
        <v>7862692.247512389</v>
      </c>
      <c r="V69" s="117">
        <f t="shared" si="7"/>
        <v>8063397.2347512692</v>
      </c>
      <c r="W69" s="117">
        <f t="shared" si="7"/>
        <v>8264324.3257331047</v>
      </c>
      <c r="X69" s="117">
        <f t="shared" si="7"/>
        <v>8465512.8808286693</v>
      </c>
      <c r="Y69" s="117">
        <f t="shared" si="7"/>
        <v>195133740.1649856</v>
      </c>
      <c r="Z69" s="117">
        <f t="shared" si="7"/>
        <v>8868829.4122610427</v>
      </c>
      <c r="AA69" s="117">
        <f t="shared" si="7"/>
        <v>9071033.7196212169</v>
      </c>
      <c r="AB69" s="117">
        <f t="shared" si="7"/>
        <v>9273652.1676725801</v>
      </c>
      <c r="AC69" s="117">
        <f t="shared" si="7"/>
        <v>9476721.7706630323</v>
      </c>
      <c r="AD69" s="117">
        <f>AD43+$C59-$C$58</f>
        <v>33267251.924203664</v>
      </c>
    </row>
    <row r="70" spans="1:30" ht="15" hidden="1" customHeight="1" outlineLevel="1">
      <c r="A70" s="19"/>
      <c r="B70" s="20"/>
      <c r="C70" s="20"/>
      <c r="D70" s="20"/>
      <c r="E70" s="20"/>
      <c r="F70" s="117">
        <f t="shared" ref="F70:AC70" si="8">F43</f>
        <v>-120496898.28054298</v>
      </c>
      <c r="G70" s="117">
        <f t="shared" si="8"/>
        <v>5621431.6235294119</v>
      </c>
      <c r="H70" s="117">
        <f t="shared" si="8"/>
        <v>5742432.783058824</v>
      </c>
      <c r="I70" s="117">
        <f t="shared" si="8"/>
        <v>5866062.4555576574</v>
      </c>
      <c r="J70" s="117">
        <f t="shared" si="8"/>
        <v>5992279.6390912924</v>
      </c>
      <c r="K70" s="117">
        <f t="shared" si="8"/>
        <v>6121045.0259280419</v>
      </c>
      <c r="L70" s="117">
        <f t="shared" si="8"/>
        <v>6252320.9572488004</v>
      </c>
      <c r="M70" s="117">
        <f t="shared" si="8"/>
        <v>6386071.3788879327</v>
      </c>
      <c r="N70" s="117">
        <f t="shared" si="8"/>
        <v>6522261.7980765617</v>
      </c>
      <c r="O70" s="117">
        <f t="shared" si="8"/>
        <v>6660859.2411610903</v>
      </c>
      <c r="P70" s="117">
        <f t="shared" si="8"/>
        <v>6861086.3322247481</v>
      </c>
      <c r="Q70" s="117">
        <f t="shared" si="8"/>
        <v>7061288.7280099997</v>
      </c>
      <c r="R70" s="117">
        <f t="shared" si="8"/>
        <v>7261508.872807676</v>
      </c>
      <c r="S70" s="117">
        <f t="shared" si="8"/>
        <v>7461788.6739787199</v>
      </c>
      <c r="T70" s="117">
        <f t="shared" si="8"/>
        <v>7662169.5115535073</v>
      </c>
      <c r="U70" s="117">
        <f t="shared" si="8"/>
        <v>7862692.247512389</v>
      </c>
      <c r="V70" s="117">
        <f t="shared" si="8"/>
        <v>8063397.2347512692</v>
      </c>
      <c r="W70" s="117">
        <f t="shared" si="8"/>
        <v>8264324.3257331047</v>
      </c>
      <c r="X70" s="117">
        <f t="shared" si="8"/>
        <v>8465512.8808286693</v>
      </c>
      <c r="Y70" s="117">
        <f t="shared" si="8"/>
        <v>195133740.1649856</v>
      </c>
      <c r="Z70" s="117">
        <f t="shared" si="8"/>
        <v>8868829.4122610427</v>
      </c>
      <c r="AA70" s="117">
        <f t="shared" si="8"/>
        <v>9071033.7196212169</v>
      </c>
      <c r="AB70" s="117">
        <f t="shared" si="8"/>
        <v>9273652.1676725801</v>
      </c>
      <c r="AC70" s="117">
        <f t="shared" si="8"/>
        <v>9476721.7706630323</v>
      </c>
      <c r="AD70" s="117">
        <f>AD43+$C60-$C$58</f>
        <v>56854224.754055172</v>
      </c>
    </row>
    <row r="71" spans="1:30" ht="16.5" customHeight="1">
      <c r="A71" s="19"/>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row>
    <row r="72" spans="1:30" ht="16.5" customHeight="1">
      <c r="A72" s="19"/>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row>
    <row r="73" spans="1:30" ht="21.95" customHeight="1">
      <c r="A73" s="19"/>
      <c r="B73" s="192" t="s">
        <v>356</v>
      </c>
      <c r="C73" s="162"/>
      <c r="D73" s="162"/>
      <c r="E73" s="162"/>
      <c r="F73" s="162"/>
      <c r="G73" s="162"/>
      <c r="H73" s="20"/>
      <c r="I73" s="20"/>
      <c r="J73" s="20"/>
      <c r="K73" s="20"/>
      <c r="L73" s="20"/>
      <c r="M73" s="20"/>
      <c r="N73" s="20"/>
      <c r="O73" s="20"/>
      <c r="P73" s="20"/>
      <c r="Q73" s="20"/>
      <c r="R73" s="20"/>
      <c r="S73" s="20"/>
      <c r="T73" s="20"/>
      <c r="U73" s="20"/>
      <c r="V73" s="20"/>
      <c r="W73" s="20"/>
      <c r="X73" s="20"/>
      <c r="Y73" s="20"/>
      <c r="Z73" s="20"/>
      <c r="AA73" s="20"/>
      <c r="AB73" s="20"/>
      <c r="AC73" s="20"/>
      <c r="AD73" s="20"/>
    </row>
    <row r="74" spans="1:30" ht="32.1" customHeight="1">
      <c r="A74" s="19"/>
      <c r="B74" s="196" t="s">
        <v>357</v>
      </c>
      <c r="C74" s="150"/>
      <c r="D74" s="150"/>
      <c r="E74" s="150"/>
      <c r="F74" s="150"/>
      <c r="G74" s="150"/>
      <c r="H74" s="20"/>
      <c r="I74" s="20"/>
      <c r="J74" s="20"/>
      <c r="K74" s="20"/>
      <c r="L74" s="20"/>
      <c r="M74" s="20"/>
      <c r="N74" s="20"/>
      <c r="O74" s="20"/>
      <c r="P74" s="20"/>
      <c r="Q74" s="20"/>
      <c r="R74" s="20"/>
      <c r="S74" s="20"/>
      <c r="T74" s="20"/>
      <c r="U74" s="20"/>
      <c r="V74" s="20"/>
      <c r="W74" s="20"/>
      <c r="X74" s="20"/>
      <c r="Y74" s="20"/>
      <c r="Z74" s="20"/>
      <c r="AA74" s="20"/>
      <c r="AB74" s="20"/>
      <c r="AC74" s="20"/>
      <c r="AD74" s="20"/>
    </row>
    <row r="75" spans="1:30" ht="21.95" customHeight="1">
      <c r="A75" s="19"/>
      <c r="B75" s="20"/>
      <c r="C75" s="118" t="s">
        <v>358</v>
      </c>
      <c r="D75" s="118" t="s">
        <v>359</v>
      </c>
      <c r="E75" s="118" t="s">
        <v>360</v>
      </c>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row>
    <row r="76" spans="1:30" ht="18" customHeight="1">
      <c r="A76" s="19"/>
      <c r="B76" s="20"/>
      <c r="C76" s="119" t="s">
        <v>361</v>
      </c>
      <c r="D76" s="119" t="s">
        <v>362</v>
      </c>
      <c r="E76" s="119" t="s">
        <v>363</v>
      </c>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row>
    <row r="77" spans="1:30" ht="21.95" customHeight="1">
      <c r="A77" s="19"/>
      <c r="B77" s="38" t="s">
        <v>364</v>
      </c>
      <c r="C77" s="120">
        <f>-1</f>
        <v>-1</v>
      </c>
      <c r="D77" s="121">
        <f>Indata!D80*100</f>
        <v>0</v>
      </c>
      <c r="E77" s="120">
        <f>1</f>
        <v>1</v>
      </c>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row>
    <row r="78" spans="1:30" ht="21.95" customHeight="1">
      <c r="A78" s="19"/>
      <c r="B78" s="38" t="s">
        <v>243</v>
      </c>
      <c r="C78" s="122">
        <f>(Indata!$C$6-0.01)</f>
        <v>0.04</v>
      </c>
      <c r="D78" s="123">
        <f>Indata!$D$81</f>
        <v>0.05</v>
      </c>
      <c r="E78" s="122">
        <f>(Indata!$C$6+0.01)</f>
        <v>6.0000000000000005E-2</v>
      </c>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row>
    <row r="79" spans="1:30" ht="21.95" customHeight="1">
      <c r="A79" s="19"/>
      <c r="B79" s="38" t="s">
        <v>365</v>
      </c>
      <c r="C79" s="124">
        <f>-(Beräkningslogik!C115+Beräkningslogik!C199/(Indata!$C$6-0.01)/(1+Indata!C9)^Indata!C16+Beräkningslogik!C118)/((Beräkningslogik!C136-Beräkningslogik!C115+(Beräkningslogik!C200-Beräkningslogik!C199)/(Indata!$C$6-0.01)/(1+Indata!C9)^Indata!C16)/1000000)</f>
        <v>10988817.164005149</v>
      </c>
      <c r="D79" s="125">
        <f>Resultat!D10</f>
        <v>11631221.719457014</v>
      </c>
      <c r="E79" s="124">
        <f>-(Beräkningslogik!C115+Beräkningslogik!C199/(Indata!$C$6+0.01)/(1+Indata!C9)^Indata!C16+Beräkningslogik!C118)/((Beräkningslogik!C136-Beräkningslogik!C115+(Beräkningslogik!C200-Beräkningslogik!C199)/(Indata!$C$6+0.01)/(1+Indata!C9)^Indata!C16)/1000000)</f>
        <v>12112944.073814295</v>
      </c>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row>
    <row r="80" spans="1:30" ht="21.95" customHeight="1">
      <c r="A80" s="19"/>
      <c r="B80" s="38" t="s">
        <v>366</v>
      </c>
      <c r="C80" s="124">
        <f>-(Beräkningslogik!C177+INDEX(Beräkningslogik!D82:AB82,MATCH(Indata!C5+Indata!C16,Beräkningslogik!D52:AB52,0))*(1/(Indata!$C$6-0.01)-1/Indata!$D$81)/(1+Indata!C65)^Indata!C16)/(((Beräkningslogik!C192+INDEX(Beräkningslogik!D132:AB132,MATCH(Indata!C5+Indata!C16,Beräkningslogik!D52:AB52,0))*(1/(Indata!$C$6-0.01)-1/Indata!$D$81)/(1+Indata!C65)^Indata!C16)-(Beräkningslogik!C177+INDEX(Beräkningslogik!D82:AB82,MATCH(Indata!C5+Indata!C16,Beräkningslogik!D52:AB52,0))*(1/(Indata!$C$6-0.01)-1/Indata!$D$81)/(1+Indata!C65)^Indata!C16))/1000000)</f>
        <v>10390814.790867111</v>
      </c>
      <c r="D80" s="125">
        <f>Resultat!D11</f>
        <v>11129727.546430845</v>
      </c>
      <c r="E80" s="124">
        <f>-(Beräkningslogik!C177+INDEX(Beräkningslogik!D82:AB82,MATCH(Indata!C5+Indata!C16,Beräkningslogik!D52:AB52,0))*(1/(Indata!$C$6+0.01)-1/Indata!$D$81)/(1+Indata!C65)^Indata!C16)/(((Beräkningslogik!C192+INDEX(Beräkningslogik!D132:AB132,MATCH(Indata!C5+Indata!C16,Beräkningslogik!D52:AB52,0))*(1/(Indata!$C$6+0.01)-1/Indata!$D$81)/(1+Indata!C65)^Indata!C16)-(Beräkningslogik!C177+INDEX(Beräkningslogik!D82:AB82,MATCH(Indata!C5+Indata!C16,Beräkningslogik!D52:AB52,0))*(1/(Indata!$C$6+0.01)-1/Indata!$D$81)/(1+Indata!C65)^Indata!C16))/1000000)</f>
        <v>11706621.764645308</v>
      </c>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row>
    <row r="81" spans="1:30" ht="21.95" customHeight="1">
      <c r="A81" s="19"/>
      <c r="B81" s="38" t="s">
        <v>367</v>
      </c>
      <c r="C81" s="124">
        <f>(Beräkningslogik!C204*(Indata!$C$6-0.01)-Beräkningslogik!C199)*1000000/(Beräkningslogik!C200-Beräkningslogik!C199)</f>
        <v>5123779.8870564038</v>
      </c>
      <c r="D81" s="125">
        <f>Resultat!D12</f>
        <v>5729582.1440866152</v>
      </c>
      <c r="E81" s="124">
        <f>(Beräkningslogik!C204*(Indata!$C$6+0.01)-Beräkningslogik!C199)*1000000/(Beräkningslogik!C200-Beräkningslogik!C199)</f>
        <v>6335384.4011168275</v>
      </c>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row>
    <row r="82" spans="1:30" ht="26.1" customHeight="1">
      <c r="A82" s="19"/>
      <c r="B82" s="32" t="s">
        <v>79</v>
      </c>
      <c r="C82" s="126">
        <f>MAX(C79,C80,C81)</f>
        <v>10988817.164005149</v>
      </c>
      <c r="D82" s="127">
        <f>MAX(D79,D80,D81)</f>
        <v>11631221.719457014</v>
      </c>
      <c r="E82" s="126">
        <f>MAX(E79,E80,E81)</f>
        <v>12112944.073814295</v>
      </c>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row>
    <row r="83" spans="1:30" ht="21.95" customHeight="1">
      <c r="A83" s="19"/>
      <c r="B83" s="38" t="s">
        <v>255</v>
      </c>
      <c r="C83" s="128" t="str">
        <f>IF(C82=C79,"NPV",IF(C82=C80,"IRR","MV"))</f>
        <v>NPV</v>
      </c>
      <c r="D83" s="129" t="str">
        <f>IF(D82=D79,"NPV",IF(D82=D80,"IRR","MV"))</f>
        <v>NPV</v>
      </c>
      <c r="E83" s="128" t="str">
        <f>IF(E82=E79,"NPV",IF(E82=E80,"IRR","MV"))</f>
        <v>NPV</v>
      </c>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row>
    <row r="84" spans="1:30" ht="21.95" customHeight="1">
      <c r="A84" s="19"/>
      <c r="B84" s="38" t="s">
        <v>99</v>
      </c>
      <c r="C84" s="124">
        <f>(Beräkningslogik!C199+(Beräkningslogik!C200-Beräkningslogik!C199)/1000000*C82)/(Indata!$C$6-0.01)</f>
        <v>273628769.41728705</v>
      </c>
      <c r="D84" s="125">
        <f>(Beräkningslogik!C199+(Beräkningslogik!C200-Beräkningslogik!C199)/1000000*D82)/Indata!$D$81</f>
        <v>235869728.29851523</v>
      </c>
      <c r="E84" s="124">
        <f>(Beräkningslogik!C199+(Beräkningslogik!C200-Beräkningslogik!C199)/1000000*E82)/(Indata!$C$6+0.01)</f>
        <v>207160518.26373082</v>
      </c>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row>
    <row r="85" spans="1:30" ht="21.95" customHeight="1">
      <c r="A85" s="19"/>
      <c r="B85" s="38" t="s">
        <v>305</v>
      </c>
      <c r="C85" s="124">
        <f>C84-Beräkningslogik!C204</f>
        <v>193628769.41728705</v>
      </c>
      <c r="D85" s="125">
        <f>D84-Beräkningslogik!C204</f>
        <v>155869728.29851523</v>
      </c>
      <c r="E85" s="124">
        <f>E84-Beräkningslogik!C204</f>
        <v>127160518.26373082</v>
      </c>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row>
    <row r="86" spans="1:30" ht="16.5" customHeight="1">
      <c r="A86" s="19"/>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row>
    <row r="87" spans="1:30" ht="42" customHeight="1">
      <c r="A87" s="19"/>
      <c r="B87" s="189" t="s">
        <v>368</v>
      </c>
      <c r="C87" s="150"/>
      <c r="D87" s="150"/>
      <c r="E87" s="150"/>
      <c r="F87" s="150"/>
      <c r="G87" s="150"/>
      <c r="H87" s="20"/>
      <c r="I87" s="20"/>
      <c r="J87" s="20"/>
      <c r="K87" s="20"/>
      <c r="L87" s="20"/>
      <c r="M87" s="20"/>
      <c r="N87" s="20"/>
      <c r="O87" s="20"/>
      <c r="P87" s="20"/>
      <c r="Q87" s="20"/>
      <c r="R87" s="20"/>
      <c r="S87" s="20"/>
      <c r="T87" s="20"/>
      <c r="U87" s="20"/>
      <c r="V87" s="20"/>
      <c r="W87" s="20"/>
      <c r="X87" s="20"/>
      <c r="Y87" s="20"/>
      <c r="Z87" s="20"/>
      <c r="AA87" s="20"/>
      <c r="AB87" s="20"/>
      <c r="AC87" s="20"/>
      <c r="AD87" s="20"/>
    </row>
    <row r="88" spans="1:30">
      <c r="A88" s="39"/>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row>
    <row r="89" spans="1:30">
      <c r="A89" s="39"/>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row>
    <row r="90" spans="1:30">
      <c r="A90" s="39"/>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row>
    <row r="91" spans="1:30">
      <c r="A91" s="39"/>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row>
    <row r="92" spans="1:30">
      <c r="A92" s="39"/>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row>
    <row r="93" spans="1:30">
      <c r="A93" s="1"/>
    </row>
    <row r="94" spans="1:30">
      <c r="A94" s="1"/>
    </row>
    <row r="95" spans="1:30">
      <c r="A95" s="1"/>
    </row>
    <row r="96" spans="1:30">
      <c r="A96" s="1"/>
    </row>
    <row r="97" spans="1:1">
      <c r="A97" s="1"/>
    </row>
  </sheetData>
  <mergeCells count="9">
    <mergeCell ref="B87:G87"/>
    <mergeCell ref="B42:G42"/>
    <mergeCell ref="B4:G4"/>
    <mergeCell ref="B50:G50"/>
    <mergeCell ref="B12:G12"/>
    <mergeCell ref="B74:G74"/>
    <mergeCell ref="B73:G73"/>
    <mergeCell ref="B21:G21"/>
    <mergeCell ref="B51:H51"/>
  </mergeCells>
  <hyperlinks>
    <hyperlink ref="A2" location="'Försättsblad'!A1" display="Försättsblad" xr:uid="{00000000-0004-0000-0700-000000000000}"/>
    <hyperlink ref="A3" location="'Översikt'!A1" display="Översikt" xr:uid="{00000000-0004-0000-0700-000001000000}"/>
    <hyperlink ref="A4" location="'Indata'!A1" display="Indata" xr:uid="{00000000-0004-0000-0700-000002000000}"/>
    <hyperlink ref="A5" location="'Kassaflöde'!A1" display="Kassaflöde" xr:uid="{00000000-0004-0000-0700-000003000000}"/>
    <hyperlink ref="A6" location="'Finansiering'!A1" display="Finansiering" xr:uid="{00000000-0004-0000-0700-000004000000}"/>
    <hyperlink ref="A7" location="'Resultat'!A1" display="Resultat" xr:uid="{00000000-0004-0000-0700-000005000000}"/>
    <hyperlink ref="A8" location="'Grafer'!A1" display="Grafer" xr:uid="{00000000-0004-0000-0700-000006000000}"/>
    <hyperlink ref="A10" location="'Beräkningslogik'!A1" display="Beräkningslogik" xr:uid="{00000000-0004-0000-0700-000007000000}"/>
    <hyperlink ref="A11" location="'Dokumentation'!A1" display="Dokumentation" xr:uid="{00000000-0004-0000-0700-000008000000}"/>
  </hyperlinks>
  <pageMargins left="0.4" right="0.4" top="0.5" bottom="0.5" header="0.511811023622047" footer="0.511811023622047"/>
  <pageSetup paperSize="9" fitToHeight="0"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0313E"/>
    <pageSetUpPr fitToPage="1"/>
  </sheetPr>
  <dimension ref="A1:AD238"/>
  <sheetViews>
    <sheetView showGridLines="0" workbookViewId="0">
      <pane xSplit="1" topLeftCell="B1" activePane="topRight" state="frozen"/>
      <selection pane="topRight"/>
    </sheetView>
  </sheetViews>
  <sheetFormatPr defaultRowHeight="15"/>
  <cols>
    <col min="1" max="1" width="24" customWidth="1"/>
    <col min="2" max="2" width="38" customWidth="1"/>
    <col min="3" max="3" width="22" customWidth="1"/>
    <col min="4" max="4" width="13" customWidth="1"/>
  </cols>
  <sheetData>
    <row r="1" spans="1:30" ht="14.1" customHeight="1">
      <c r="A1" s="19"/>
      <c r="B1" s="21" t="s">
        <v>369</v>
      </c>
      <c r="C1" s="40"/>
      <c r="D1" s="40"/>
      <c r="E1" s="40"/>
      <c r="F1" s="20"/>
      <c r="G1" s="20"/>
      <c r="H1" s="20"/>
      <c r="I1" s="20"/>
      <c r="J1" s="20"/>
      <c r="K1" s="20"/>
      <c r="L1" s="20"/>
      <c r="M1" s="20"/>
      <c r="N1" s="20"/>
      <c r="O1" s="20"/>
      <c r="P1" s="20"/>
      <c r="Q1" s="20"/>
      <c r="R1" s="20"/>
      <c r="S1" s="20"/>
      <c r="T1" s="20"/>
      <c r="U1" s="20"/>
      <c r="V1" s="20"/>
      <c r="W1" s="20"/>
      <c r="X1" s="20"/>
      <c r="Y1" s="20"/>
      <c r="Z1" s="20"/>
      <c r="AA1" s="20"/>
      <c r="AB1" s="20"/>
      <c r="AC1" s="20"/>
      <c r="AD1" s="20"/>
    </row>
    <row r="2" spans="1:30" ht="30" customHeight="1">
      <c r="A2" s="19" t="s">
        <v>0</v>
      </c>
      <c r="B2" s="41" t="s">
        <v>122</v>
      </c>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row>
    <row r="3" spans="1:30" ht="30" customHeight="1">
      <c r="A3" s="19" t="s">
        <v>37</v>
      </c>
      <c r="B3" s="42" t="s">
        <v>370</v>
      </c>
      <c r="C3" s="40"/>
      <c r="D3" s="40"/>
      <c r="E3" s="40"/>
      <c r="F3" s="20"/>
      <c r="G3" s="20"/>
      <c r="H3" s="20"/>
      <c r="I3" s="20"/>
      <c r="J3" s="20"/>
      <c r="K3" s="20"/>
      <c r="L3" s="20"/>
      <c r="M3" s="20"/>
      <c r="N3" s="20"/>
      <c r="O3" s="20"/>
      <c r="P3" s="20"/>
      <c r="Q3" s="20"/>
      <c r="R3" s="20"/>
      <c r="S3" s="20"/>
      <c r="T3" s="20"/>
      <c r="U3" s="20"/>
      <c r="V3" s="20"/>
      <c r="W3" s="20"/>
      <c r="X3" s="20"/>
      <c r="Y3" s="20"/>
      <c r="Z3" s="20"/>
      <c r="AA3" s="20"/>
      <c r="AB3" s="20"/>
      <c r="AC3" s="20"/>
      <c r="AD3" s="20"/>
    </row>
    <row r="4" spans="1:30" ht="30" customHeight="1">
      <c r="A4" s="19" t="s">
        <v>3</v>
      </c>
      <c r="B4" s="22"/>
      <c r="C4" s="22"/>
      <c r="D4" s="22"/>
      <c r="E4" s="22"/>
      <c r="F4" s="22"/>
      <c r="G4" s="22"/>
      <c r="H4" s="20"/>
      <c r="I4" s="20"/>
      <c r="J4" s="20"/>
      <c r="K4" s="20"/>
      <c r="L4" s="20"/>
      <c r="M4" s="20"/>
      <c r="N4" s="20"/>
      <c r="O4" s="20"/>
      <c r="P4" s="20"/>
      <c r="Q4" s="20"/>
      <c r="R4" s="20"/>
      <c r="S4" s="20"/>
      <c r="T4" s="20"/>
      <c r="U4" s="20"/>
      <c r="V4" s="20"/>
      <c r="W4" s="20"/>
      <c r="X4" s="20"/>
      <c r="Y4" s="20"/>
      <c r="Z4" s="20"/>
      <c r="AA4" s="20"/>
      <c r="AB4" s="20"/>
      <c r="AC4" s="20"/>
      <c r="AD4" s="20"/>
    </row>
    <row r="5" spans="1:30" ht="30" customHeight="1">
      <c r="A5" s="19" t="s">
        <v>4</v>
      </c>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row>
    <row r="6" spans="1:30" ht="30" customHeight="1">
      <c r="A6" s="19" t="s">
        <v>5</v>
      </c>
      <c r="B6" s="130" t="s">
        <v>371</v>
      </c>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row>
    <row r="7" spans="1:30" ht="30" customHeight="1">
      <c r="A7" s="19" t="s">
        <v>6</v>
      </c>
      <c r="B7" s="20" t="s">
        <v>372</v>
      </c>
      <c r="C7" s="50">
        <f>Beräkningslogik!C119</f>
        <v>-257050000</v>
      </c>
      <c r="D7" s="47" t="s">
        <v>373</v>
      </c>
      <c r="E7" s="20"/>
      <c r="F7" s="20"/>
      <c r="G7" s="20"/>
      <c r="H7" s="20"/>
      <c r="I7" s="20"/>
      <c r="J7" s="20"/>
      <c r="K7" s="20"/>
      <c r="L7" s="20"/>
      <c r="M7" s="20"/>
      <c r="N7" s="20"/>
      <c r="O7" s="20"/>
      <c r="P7" s="20"/>
      <c r="Q7" s="20"/>
      <c r="R7" s="20"/>
      <c r="S7" s="20"/>
      <c r="T7" s="20"/>
      <c r="U7" s="20"/>
      <c r="V7" s="20"/>
      <c r="W7" s="20"/>
      <c r="X7" s="20"/>
      <c r="Y7" s="20"/>
      <c r="Z7" s="20"/>
      <c r="AA7" s="20"/>
      <c r="AB7" s="20"/>
      <c r="AC7" s="20"/>
      <c r="AD7" s="20"/>
    </row>
    <row r="8" spans="1:30" ht="30" customHeight="1">
      <c r="A8" s="19" t="s">
        <v>10</v>
      </c>
      <c r="B8" s="20" t="s">
        <v>374</v>
      </c>
      <c r="C8" s="50">
        <f>Beräkningslogik!C139</f>
        <v>-234950000</v>
      </c>
      <c r="D8" s="47" t="s">
        <v>375</v>
      </c>
      <c r="E8" s="20"/>
      <c r="F8" s="20"/>
      <c r="G8" s="20"/>
      <c r="H8" s="20"/>
      <c r="I8" s="20"/>
      <c r="J8" s="20"/>
      <c r="K8" s="20"/>
      <c r="L8" s="20"/>
      <c r="M8" s="20"/>
      <c r="N8" s="20"/>
      <c r="O8" s="20"/>
      <c r="P8" s="20"/>
      <c r="Q8" s="20"/>
      <c r="R8" s="20"/>
      <c r="S8" s="20"/>
      <c r="T8" s="20"/>
      <c r="U8" s="20"/>
      <c r="V8" s="20"/>
      <c r="W8" s="20"/>
      <c r="X8" s="20"/>
      <c r="Y8" s="20"/>
      <c r="Z8" s="20"/>
      <c r="AA8" s="20"/>
      <c r="AB8" s="20"/>
      <c r="AC8" s="20"/>
      <c r="AD8" s="20"/>
    </row>
    <row r="9" spans="1:30" ht="30" customHeight="1">
      <c r="A9" s="19" t="s">
        <v>11</v>
      </c>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row>
    <row r="10" spans="1:30" ht="30" customHeight="1">
      <c r="A10" s="19"/>
      <c r="B10" s="130" t="s">
        <v>376</v>
      </c>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row>
    <row r="11" spans="1:30" ht="30" customHeight="1">
      <c r="A11" s="19" t="s">
        <v>15</v>
      </c>
      <c r="B11" s="20" t="s">
        <v>377</v>
      </c>
      <c r="C11" s="50">
        <f>C8-C7</f>
        <v>22100000</v>
      </c>
      <c r="D11" s="47" t="s">
        <v>378</v>
      </c>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row>
    <row r="12" spans="1:30" ht="15" customHeight="1">
      <c r="A12" s="19"/>
      <c r="B12" s="20" t="s">
        <v>379</v>
      </c>
      <c r="C12" s="131">
        <f>C11/1000000</f>
        <v>22.1</v>
      </c>
      <c r="D12" s="47" t="s">
        <v>380</v>
      </c>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row>
    <row r="13" spans="1:30" ht="16.5" customHeight="1">
      <c r="A13" s="19"/>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row>
    <row r="14" spans="1:30" ht="15" customHeight="1">
      <c r="A14" s="19"/>
      <c r="B14" s="130" t="s">
        <v>381</v>
      </c>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row>
    <row r="15" spans="1:30" ht="15" customHeight="1">
      <c r="A15" s="19"/>
      <c r="B15" s="47" t="s">
        <v>382</v>
      </c>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row>
    <row r="16" spans="1:30" ht="15" customHeight="1">
      <c r="A16" s="19"/>
      <c r="B16" s="47" t="s">
        <v>383</v>
      </c>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row>
    <row r="17" spans="1:30" ht="16.5" customHeight="1">
      <c r="A17" s="19"/>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row>
    <row r="18" spans="1:30" ht="15" customHeight="1">
      <c r="A18" s="19"/>
      <c r="B18" s="79" t="s">
        <v>320</v>
      </c>
      <c r="C18" s="132">
        <f>-C7/C12</f>
        <v>11631221.719457014</v>
      </c>
      <c r="D18" s="47" t="s">
        <v>384</v>
      </c>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row>
    <row r="19" spans="1:30" ht="16.5" customHeight="1">
      <c r="A19" s="19"/>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row>
    <row r="20" spans="1:30" ht="15" customHeight="1">
      <c r="A20" s="19"/>
      <c r="B20" s="20" t="s">
        <v>385</v>
      </c>
      <c r="C20" s="50">
        <f>Resultat!D10</f>
        <v>11631221.719457014</v>
      </c>
      <c r="D20" s="47" t="s">
        <v>386</v>
      </c>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row>
    <row r="21" spans="1:30" ht="16.5" customHeight="1">
      <c r="A21" s="19"/>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row>
    <row r="22" spans="1:30" ht="16.5" customHeight="1">
      <c r="A22" s="19"/>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row>
    <row r="23" spans="1:30" ht="21.95" customHeight="1">
      <c r="A23" s="19"/>
      <c r="B23" s="192" t="s">
        <v>387</v>
      </c>
      <c r="C23" s="162"/>
      <c r="D23" s="162"/>
      <c r="E23" s="162"/>
      <c r="F23" s="24"/>
      <c r="G23" s="24"/>
      <c r="H23" s="20"/>
      <c r="I23" s="20"/>
      <c r="J23" s="20"/>
      <c r="K23" s="20"/>
      <c r="L23" s="20"/>
      <c r="M23" s="20"/>
      <c r="N23" s="20"/>
      <c r="O23" s="20"/>
      <c r="P23" s="20"/>
      <c r="Q23" s="20"/>
      <c r="R23" s="20"/>
      <c r="S23" s="20"/>
      <c r="T23" s="20"/>
      <c r="U23" s="20"/>
      <c r="V23" s="20"/>
      <c r="W23" s="20"/>
      <c r="X23" s="20"/>
      <c r="Y23" s="20"/>
      <c r="Z23" s="20"/>
      <c r="AA23" s="20"/>
      <c r="AB23" s="20"/>
      <c r="AC23" s="20"/>
      <c r="AD23" s="20"/>
    </row>
    <row r="24" spans="1:30" ht="16.5" customHeight="1">
      <c r="A24" s="19"/>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row>
    <row r="25" spans="1:30" ht="20.100000000000001" customHeight="1">
      <c r="A25" s="19"/>
      <c r="B25" s="84" t="s">
        <v>95</v>
      </c>
      <c r="C25" s="84" t="s">
        <v>388</v>
      </c>
      <c r="D25" s="84" t="s">
        <v>389</v>
      </c>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row>
    <row r="26" spans="1:30" ht="15" customHeight="1">
      <c r="A26" s="19"/>
      <c r="B26" s="20" t="s">
        <v>390</v>
      </c>
      <c r="C26" s="50">
        <f>Resultat!D10</f>
        <v>11631221.719457014</v>
      </c>
      <c r="D26" s="47" t="s">
        <v>391</v>
      </c>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row>
    <row r="27" spans="1:30" ht="15" customHeight="1">
      <c r="A27" s="19"/>
      <c r="B27" s="20" t="s">
        <v>392</v>
      </c>
      <c r="C27" s="50">
        <f>Resultat!D11</f>
        <v>11129727.546430845</v>
      </c>
      <c r="D27" s="47" t="s">
        <v>393</v>
      </c>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row>
    <row r="28" spans="1:30" ht="15" customHeight="1">
      <c r="A28" s="19"/>
      <c r="B28" s="20" t="s">
        <v>394</v>
      </c>
      <c r="C28" s="50">
        <f>Resultat!D12</f>
        <v>5729582.1440866152</v>
      </c>
      <c r="D28" s="47" t="s">
        <v>395</v>
      </c>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row>
    <row r="29" spans="1:30" ht="16.5" customHeight="1">
      <c r="A29" s="19"/>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row>
    <row r="30" spans="1:30" ht="17.25" customHeight="1">
      <c r="A30" s="19"/>
      <c r="B30" s="133" t="s">
        <v>79</v>
      </c>
      <c r="C30" s="134">
        <f>MAX(C26,C27,C28)</f>
        <v>11631221.719457014</v>
      </c>
      <c r="D30" s="47" t="s">
        <v>396</v>
      </c>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row>
    <row r="31" spans="1:30" ht="16.5" customHeight="1">
      <c r="A31" s="19"/>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row>
    <row r="32" spans="1:30" ht="16.5" customHeight="1">
      <c r="A32" s="19"/>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row>
    <row r="33" spans="1:30" ht="21.95" customHeight="1">
      <c r="A33" s="19"/>
      <c r="B33" s="192" t="s">
        <v>397</v>
      </c>
      <c r="C33" s="162"/>
      <c r="D33" s="162"/>
      <c r="E33" s="162"/>
      <c r="F33" s="24"/>
      <c r="G33" s="24"/>
      <c r="H33" s="20"/>
      <c r="I33" s="20"/>
      <c r="J33" s="20"/>
      <c r="K33" s="20"/>
      <c r="L33" s="20"/>
      <c r="M33" s="20"/>
      <c r="N33" s="20"/>
      <c r="O33" s="20"/>
      <c r="P33" s="20"/>
      <c r="Q33" s="20"/>
      <c r="R33" s="20"/>
      <c r="S33" s="20"/>
      <c r="T33" s="20"/>
      <c r="U33" s="20"/>
      <c r="V33" s="20"/>
      <c r="W33" s="20"/>
      <c r="X33" s="20"/>
      <c r="Y33" s="20"/>
      <c r="Z33" s="20"/>
      <c r="AA33" s="20"/>
      <c r="AB33" s="20"/>
      <c r="AC33" s="20"/>
      <c r="AD33" s="20"/>
    </row>
    <row r="34" spans="1:30" ht="16.5" customHeight="1">
      <c r="A34" s="19"/>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row>
    <row r="35" spans="1:30" ht="60" customHeight="1">
      <c r="A35" s="19"/>
      <c r="B35" s="195" t="s">
        <v>398</v>
      </c>
      <c r="C35" s="150"/>
      <c r="D35" s="150"/>
      <c r="E35" s="15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row>
    <row r="36" spans="1:30" ht="16.5" customHeight="1">
      <c r="A36" s="19"/>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row>
    <row r="37" spans="1:30" ht="60" customHeight="1">
      <c r="A37" s="19"/>
      <c r="B37" s="195" t="s">
        <v>399</v>
      </c>
      <c r="C37" s="150"/>
      <c r="D37" s="150"/>
      <c r="E37" s="15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row>
    <row r="38" spans="1:30" ht="16.5" customHeight="1">
      <c r="A38" s="19"/>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row>
    <row r="39" spans="1:30" ht="16.5" customHeight="1">
      <c r="A39" s="19"/>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row>
    <row r="40" spans="1:30" ht="15" customHeight="1">
      <c r="A40" s="19"/>
      <c r="B40" s="79" t="s">
        <v>400</v>
      </c>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row>
    <row r="41" spans="1:30" ht="15" customHeight="1">
      <c r="A41" s="19"/>
      <c r="B41" s="20" t="s">
        <v>401</v>
      </c>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row>
    <row r="42" spans="1:30" ht="15" customHeight="1">
      <c r="A42" s="19"/>
      <c r="B42" s="20" t="s">
        <v>402</v>
      </c>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row>
    <row r="43" spans="1:30" ht="15" customHeight="1">
      <c r="A43" s="19"/>
      <c r="B43" s="20" t="s">
        <v>403</v>
      </c>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row>
    <row r="44" spans="1:30" ht="15" customHeight="1">
      <c r="A44" s="19"/>
      <c r="B44" s="20" t="s">
        <v>404</v>
      </c>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row>
    <row r="45" spans="1:30" ht="16.5" customHeight="1">
      <c r="A45" s="19"/>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row>
    <row r="46" spans="1:30" ht="21.95" customHeight="1">
      <c r="A46" s="19"/>
      <c r="B46" s="199" t="s">
        <v>405</v>
      </c>
      <c r="C46" s="162"/>
      <c r="D46" s="162"/>
      <c r="E46" s="162"/>
      <c r="F46" s="162"/>
      <c r="G46" s="162"/>
      <c r="H46" s="162"/>
      <c r="I46" s="162"/>
      <c r="J46" s="162"/>
      <c r="K46" s="162"/>
      <c r="L46" s="20"/>
      <c r="M46" s="20"/>
      <c r="N46" s="20"/>
      <c r="O46" s="20"/>
      <c r="P46" s="20"/>
      <c r="Q46" s="20"/>
      <c r="R46" s="20"/>
      <c r="S46" s="20"/>
      <c r="T46" s="20"/>
      <c r="U46" s="20"/>
      <c r="V46" s="20"/>
      <c r="W46" s="20"/>
      <c r="X46" s="20"/>
      <c r="Y46" s="20"/>
      <c r="Z46" s="20"/>
      <c r="AA46" s="20"/>
      <c r="AB46" s="20"/>
      <c r="AC46" s="20"/>
      <c r="AD46" s="20"/>
    </row>
    <row r="47" spans="1:30" ht="15" customHeight="1">
      <c r="A47" s="19"/>
      <c r="B47" s="193" t="s">
        <v>406</v>
      </c>
      <c r="C47" s="150"/>
      <c r="D47" s="150"/>
      <c r="E47" s="150"/>
      <c r="F47" s="150"/>
      <c r="G47" s="150"/>
      <c r="H47" s="150"/>
      <c r="I47" s="150"/>
      <c r="J47" s="150"/>
      <c r="K47" s="150"/>
      <c r="L47" s="20"/>
      <c r="M47" s="20"/>
      <c r="N47" s="20"/>
      <c r="O47" s="20"/>
      <c r="P47" s="20"/>
      <c r="Q47" s="20"/>
      <c r="R47" s="20"/>
      <c r="S47" s="20"/>
      <c r="T47" s="20"/>
      <c r="U47" s="20"/>
      <c r="V47" s="20"/>
      <c r="W47" s="20"/>
      <c r="X47" s="20"/>
      <c r="Y47" s="20"/>
      <c r="Z47" s="20"/>
      <c r="AA47" s="20"/>
      <c r="AB47" s="20"/>
      <c r="AC47" s="20"/>
      <c r="AD47" s="20"/>
    </row>
    <row r="48" spans="1:30" ht="16.5" customHeight="1">
      <c r="A48" s="19"/>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row>
    <row r="49" spans="1:30" ht="16.5" customHeight="1">
      <c r="A49" s="19"/>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row>
    <row r="50" spans="1:30" ht="16.5" customHeight="1">
      <c r="A50" s="19"/>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row>
    <row r="51" spans="1:30" ht="16.5" customHeight="1">
      <c r="A51" s="19"/>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row>
    <row r="52" spans="1:30" ht="20.100000000000001" customHeight="1">
      <c r="A52" s="19"/>
      <c r="B52" s="84" t="s">
        <v>311</v>
      </c>
      <c r="C52" s="20"/>
      <c r="D52" s="135">
        <f>Indata!$C$5+0</f>
        <v>2026</v>
      </c>
      <c r="E52" s="135">
        <f>Indata!$C$5+1</f>
        <v>2027</v>
      </c>
      <c r="F52" s="135">
        <f>Indata!$C$5+2</f>
        <v>2028</v>
      </c>
      <c r="G52" s="135">
        <f>Indata!$C$5+3</f>
        <v>2029</v>
      </c>
      <c r="H52" s="135">
        <f>Indata!$C$5+4</f>
        <v>2030</v>
      </c>
      <c r="I52" s="135">
        <f>Indata!$C$5+5</f>
        <v>2031</v>
      </c>
      <c r="J52" s="135">
        <f>Indata!$C$5+6</f>
        <v>2032</v>
      </c>
      <c r="K52" s="135">
        <f>Indata!$C$5+7</f>
        <v>2033</v>
      </c>
      <c r="L52" s="135">
        <f>Indata!$C$5+8</f>
        <v>2034</v>
      </c>
      <c r="M52" s="135">
        <f>Indata!$C$5+9</f>
        <v>2035</v>
      </c>
      <c r="N52" s="135">
        <f>Indata!$C$5+10</f>
        <v>2036</v>
      </c>
      <c r="O52" s="135">
        <f>Indata!$C$5+11</f>
        <v>2037</v>
      </c>
      <c r="P52" s="135">
        <f>Indata!$C$5+12</f>
        <v>2038</v>
      </c>
      <c r="Q52" s="135">
        <f>Indata!$C$5+13</f>
        <v>2039</v>
      </c>
      <c r="R52" s="135">
        <f>Indata!$C$5+14</f>
        <v>2040</v>
      </c>
      <c r="S52" s="135">
        <f>Indata!$C$5+15</f>
        <v>2041</v>
      </c>
      <c r="T52" s="135">
        <f>Indata!$C$5+16</f>
        <v>2042</v>
      </c>
      <c r="U52" s="135">
        <f>Indata!$C$5+17</f>
        <v>2043</v>
      </c>
      <c r="V52" s="135">
        <f>Indata!$C$5+18</f>
        <v>2044</v>
      </c>
      <c r="W52" s="135">
        <f>Indata!$C$5+19</f>
        <v>2045</v>
      </c>
      <c r="X52" s="135">
        <f>Indata!$C$5+20</f>
        <v>2046</v>
      </c>
      <c r="Y52" s="74">
        <f>Indata!$C$5+21</f>
        <v>2047</v>
      </c>
      <c r="Z52" s="74">
        <f>Indata!$C$5+22</f>
        <v>2048</v>
      </c>
      <c r="AA52" s="74">
        <f>Indata!$C$5+23</f>
        <v>2049</v>
      </c>
      <c r="AB52" s="74">
        <f>Indata!$C$5+24</f>
        <v>2050</v>
      </c>
      <c r="AC52" s="20"/>
      <c r="AD52" s="20"/>
    </row>
    <row r="53" spans="1:30" ht="15" customHeight="1">
      <c r="A53" s="19"/>
      <c r="B53" s="47" t="s">
        <v>247</v>
      </c>
      <c r="C53" s="20"/>
      <c r="D53" s="77">
        <v>1</v>
      </c>
      <c r="E53" s="77">
        <v>2</v>
      </c>
      <c r="F53" s="77">
        <v>3</v>
      </c>
      <c r="G53" s="77">
        <v>4</v>
      </c>
      <c r="H53" s="77">
        <v>5</v>
      </c>
      <c r="I53" s="77">
        <v>6</v>
      </c>
      <c r="J53" s="77">
        <v>7</v>
      </c>
      <c r="K53" s="77">
        <v>8</v>
      </c>
      <c r="L53" s="77">
        <v>9</v>
      </c>
      <c r="M53" s="77">
        <v>10</v>
      </c>
      <c r="N53" s="77">
        <v>11</v>
      </c>
      <c r="O53" s="77">
        <v>12</v>
      </c>
      <c r="P53" s="77">
        <v>13</v>
      </c>
      <c r="Q53" s="77">
        <v>14</v>
      </c>
      <c r="R53" s="77">
        <v>15</v>
      </c>
      <c r="S53" s="77">
        <v>16</v>
      </c>
      <c r="T53" s="77">
        <v>17</v>
      </c>
      <c r="U53" s="77">
        <v>18</v>
      </c>
      <c r="V53" s="77">
        <v>19</v>
      </c>
      <c r="W53" s="77">
        <v>20</v>
      </c>
      <c r="X53" s="77">
        <v>21</v>
      </c>
      <c r="Y53" s="77">
        <v>22</v>
      </c>
      <c r="Z53" s="77">
        <v>23</v>
      </c>
      <c r="AA53" s="77">
        <v>24</v>
      </c>
      <c r="AB53" s="77">
        <v>25</v>
      </c>
      <c r="AC53" s="20"/>
      <c r="AD53" s="20"/>
    </row>
    <row r="54" spans="1:30" ht="15" customHeight="1">
      <c r="A54" s="19"/>
      <c r="B54" s="47" t="s">
        <v>248</v>
      </c>
      <c r="C54" s="20"/>
      <c r="D54" s="77">
        <f>IF(D53&lt;=Indata!$C$16,1,0)</f>
        <v>1</v>
      </c>
      <c r="E54" s="77">
        <f>IF(E53&lt;=Indata!$C$16,1,0)</f>
        <v>1</v>
      </c>
      <c r="F54" s="77">
        <f>IF(F53&lt;=Indata!$C$16,1,0)</f>
        <v>1</v>
      </c>
      <c r="G54" s="77">
        <f>IF(G53&lt;=Indata!$C$16,1,0)</f>
        <v>1</v>
      </c>
      <c r="H54" s="77">
        <f>IF(H53&lt;=Indata!$C$16,1,0)</f>
        <v>1</v>
      </c>
      <c r="I54" s="77">
        <f>IF(I53&lt;=Indata!$C$16,1,0)</f>
        <v>1</v>
      </c>
      <c r="J54" s="77">
        <f>IF(J53&lt;=Indata!$C$16,1,0)</f>
        <v>1</v>
      </c>
      <c r="K54" s="77">
        <f>IF(K53&lt;=Indata!$C$16,1,0)</f>
        <v>1</v>
      </c>
      <c r="L54" s="77">
        <f>IF(L53&lt;=Indata!$C$16,1,0)</f>
        <v>1</v>
      </c>
      <c r="M54" s="77">
        <f>IF(M53&lt;=Indata!$C$16,1,0)</f>
        <v>1</v>
      </c>
      <c r="N54" s="77">
        <f>IF(N53&lt;=Indata!$C$16,1,0)</f>
        <v>1</v>
      </c>
      <c r="O54" s="77">
        <f>IF(O53&lt;=Indata!$C$16,1,0)</f>
        <v>1</v>
      </c>
      <c r="P54" s="77">
        <f>IF(P53&lt;=Indata!$C$16,1,0)</f>
        <v>1</v>
      </c>
      <c r="Q54" s="77">
        <f>IF(Q53&lt;=Indata!$C$16,1,0)</f>
        <v>1</v>
      </c>
      <c r="R54" s="77">
        <f>IF(R53&lt;=Indata!$C$16,1,0)</f>
        <v>1</v>
      </c>
      <c r="S54" s="77">
        <f>IF(S53&lt;=Indata!$C$16,1,0)</f>
        <v>1</v>
      </c>
      <c r="T54" s="77">
        <f>IF(T53&lt;=Indata!$C$16,1,0)</f>
        <v>1</v>
      </c>
      <c r="U54" s="77">
        <f>IF(U53&lt;=Indata!$C$16,1,0)</f>
        <v>1</v>
      </c>
      <c r="V54" s="77">
        <f>IF(V53&lt;=Indata!$C$16,1,0)</f>
        <v>1</v>
      </c>
      <c r="W54" s="77">
        <f>IF(W53&lt;=Indata!$C$16,1,0)</f>
        <v>1</v>
      </c>
      <c r="X54" s="77">
        <f>IF(X53&lt;=Indata!$C$16,1,0)</f>
        <v>0</v>
      </c>
      <c r="Y54" s="77">
        <f>IF(Y53&lt;=Indata!$C$16,1,0)</f>
        <v>0</v>
      </c>
      <c r="Z54" s="77">
        <f>IF(Z53&lt;=Indata!$C$16,1,0)</f>
        <v>0</v>
      </c>
      <c r="AA54" s="77">
        <f>IF(AA53&lt;=Indata!$C$16,1,0)</f>
        <v>0</v>
      </c>
      <c r="AB54" s="77">
        <f>IF(AB53&lt;=Indata!$C$16,1,0)</f>
        <v>0</v>
      </c>
      <c r="AC54" s="20"/>
      <c r="AD54" s="20"/>
    </row>
    <row r="55" spans="1:30" ht="15" customHeight="1">
      <c r="A55" s="19"/>
      <c r="B55" s="47" t="s">
        <v>249</v>
      </c>
      <c r="C55" s="20"/>
      <c r="D55" s="78">
        <f>SUMIFS(Indata!$E$26:$E$79,Indata!$C$26:$C$79,"Nyb",Indata!$P$26:$P$79,"&lt;="&amp;D52)+SUMIFS(Indata!$E$26:$E$79,Indata!$C$26:$C$79,"Omb",Indata!$P$26:$P$79,"&lt;="&amp;D52)+SUMIFS(Indata!$E$26:$E$79,Indata!$C$26:$C$79,"Ins",Indata!$P$26:$P$79,"&lt;="&amp;D52)</f>
        <v>5000</v>
      </c>
      <c r="E55" s="78">
        <f>SUMIFS(Indata!$E$26:$E$79,Indata!$C$26:$C$79,"Nyb",Indata!$P$26:$P$79,"&lt;="&amp;E52)+SUMIFS(Indata!$E$26:$E$79,Indata!$C$26:$C$79,"Omb",Indata!$P$26:$P$79,"&lt;="&amp;E52)+SUMIFS(Indata!$E$26:$E$79,Indata!$C$26:$C$79,"Ins",Indata!$P$26:$P$79,"&lt;="&amp;E52)</f>
        <v>5000</v>
      </c>
      <c r="F55" s="78">
        <f>SUMIFS(Indata!$E$26:$E$79,Indata!$C$26:$C$79,"Nyb",Indata!$P$26:$P$79,"&lt;="&amp;F52)+SUMIFS(Indata!$E$26:$E$79,Indata!$C$26:$C$79,"Omb",Indata!$P$26:$P$79,"&lt;="&amp;F52)+SUMIFS(Indata!$E$26:$E$79,Indata!$C$26:$C$79,"Ins",Indata!$P$26:$P$79,"&lt;="&amp;F52)</f>
        <v>5000</v>
      </c>
      <c r="G55" s="78">
        <f>SUMIFS(Indata!$E$26:$E$79,Indata!$C$26:$C$79,"Nyb",Indata!$P$26:$P$79,"&lt;="&amp;G52)+SUMIFS(Indata!$E$26:$E$79,Indata!$C$26:$C$79,"Omb",Indata!$P$26:$P$79,"&lt;="&amp;G52)+SUMIFS(Indata!$E$26:$E$79,Indata!$C$26:$C$79,"Ins",Indata!$P$26:$P$79,"&lt;="&amp;G52)</f>
        <v>5000</v>
      </c>
      <c r="H55" s="78">
        <f>SUMIFS(Indata!$E$26:$E$79,Indata!$C$26:$C$79,"Nyb",Indata!$P$26:$P$79,"&lt;="&amp;H52)+SUMIFS(Indata!$E$26:$E$79,Indata!$C$26:$C$79,"Omb",Indata!$P$26:$P$79,"&lt;="&amp;H52)+SUMIFS(Indata!$E$26:$E$79,Indata!$C$26:$C$79,"Ins",Indata!$P$26:$P$79,"&lt;="&amp;H52)</f>
        <v>5000</v>
      </c>
      <c r="I55" s="78">
        <f>SUMIFS(Indata!$E$26:$E$79,Indata!$C$26:$C$79,"Nyb",Indata!$P$26:$P$79,"&lt;="&amp;I52)+SUMIFS(Indata!$E$26:$E$79,Indata!$C$26:$C$79,"Omb",Indata!$P$26:$P$79,"&lt;="&amp;I52)+SUMIFS(Indata!$E$26:$E$79,Indata!$C$26:$C$79,"Ins",Indata!$P$26:$P$79,"&lt;="&amp;I52)</f>
        <v>5000</v>
      </c>
      <c r="J55" s="78">
        <f>SUMIFS(Indata!$E$26:$E$79,Indata!$C$26:$C$79,"Nyb",Indata!$P$26:$P$79,"&lt;="&amp;J52)+SUMIFS(Indata!$E$26:$E$79,Indata!$C$26:$C$79,"Omb",Indata!$P$26:$P$79,"&lt;="&amp;J52)+SUMIFS(Indata!$E$26:$E$79,Indata!$C$26:$C$79,"Ins",Indata!$P$26:$P$79,"&lt;="&amp;J52)</f>
        <v>5000</v>
      </c>
      <c r="K55" s="78">
        <f>SUMIFS(Indata!$E$26:$E$79,Indata!$C$26:$C$79,"Nyb",Indata!$P$26:$P$79,"&lt;="&amp;K52)+SUMIFS(Indata!$E$26:$E$79,Indata!$C$26:$C$79,"Omb",Indata!$P$26:$P$79,"&lt;="&amp;K52)+SUMIFS(Indata!$E$26:$E$79,Indata!$C$26:$C$79,"Ins",Indata!$P$26:$P$79,"&lt;="&amp;K52)</f>
        <v>5000</v>
      </c>
      <c r="L55" s="78">
        <f>SUMIFS(Indata!$E$26:$E$79,Indata!$C$26:$C$79,"Nyb",Indata!$P$26:$P$79,"&lt;="&amp;L52)+SUMIFS(Indata!$E$26:$E$79,Indata!$C$26:$C$79,"Omb",Indata!$P$26:$P$79,"&lt;="&amp;L52)+SUMIFS(Indata!$E$26:$E$79,Indata!$C$26:$C$79,"Ins",Indata!$P$26:$P$79,"&lt;="&amp;L52)</f>
        <v>5000</v>
      </c>
      <c r="M55" s="78">
        <f>SUMIFS(Indata!$E$26:$E$79,Indata!$C$26:$C$79,"Nyb",Indata!$P$26:$P$79,"&lt;="&amp;M52)+SUMIFS(Indata!$E$26:$E$79,Indata!$C$26:$C$79,"Omb",Indata!$P$26:$P$79,"&lt;="&amp;M52)+SUMIFS(Indata!$E$26:$E$79,Indata!$C$26:$C$79,"Ins",Indata!$P$26:$P$79,"&lt;="&amp;M52)</f>
        <v>5000</v>
      </c>
      <c r="N55" s="78">
        <f>SUMIFS(Indata!$E$26:$E$79,Indata!$C$26:$C$79,"Nyb",Indata!$P$26:$P$79,"&lt;="&amp;N52)+SUMIFS(Indata!$E$26:$E$79,Indata!$C$26:$C$79,"Omb",Indata!$P$26:$P$79,"&lt;="&amp;N52)+SUMIFS(Indata!$E$26:$E$79,Indata!$C$26:$C$79,"Ins",Indata!$P$26:$P$79,"&lt;="&amp;N52)</f>
        <v>5000</v>
      </c>
      <c r="O55" s="78">
        <f>SUMIFS(Indata!$E$26:$E$79,Indata!$C$26:$C$79,"Nyb",Indata!$P$26:$P$79,"&lt;="&amp;O52)+SUMIFS(Indata!$E$26:$E$79,Indata!$C$26:$C$79,"Omb",Indata!$P$26:$P$79,"&lt;="&amp;O52)+SUMIFS(Indata!$E$26:$E$79,Indata!$C$26:$C$79,"Ins",Indata!$P$26:$P$79,"&lt;="&amp;O52)</f>
        <v>5000</v>
      </c>
      <c r="P55" s="78">
        <f>SUMIFS(Indata!$E$26:$E$79,Indata!$C$26:$C$79,"Nyb",Indata!$P$26:$P$79,"&lt;="&amp;P52)+SUMIFS(Indata!$E$26:$E$79,Indata!$C$26:$C$79,"Omb",Indata!$P$26:$P$79,"&lt;="&amp;P52)+SUMIFS(Indata!$E$26:$E$79,Indata!$C$26:$C$79,"Ins",Indata!$P$26:$P$79,"&lt;="&amp;P52)</f>
        <v>5000</v>
      </c>
      <c r="Q55" s="78">
        <f>SUMIFS(Indata!$E$26:$E$79,Indata!$C$26:$C$79,"Nyb",Indata!$P$26:$P$79,"&lt;="&amp;Q52)+SUMIFS(Indata!$E$26:$E$79,Indata!$C$26:$C$79,"Omb",Indata!$P$26:$P$79,"&lt;="&amp;Q52)+SUMIFS(Indata!$E$26:$E$79,Indata!$C$26:$C$79,"Ins",Indata!$P$26:$P$79,"&lt;="&amp;Q52)</f>
        <v>5000</v>
      </c>
      <c r="R55" s="78">
        <f>SUMIFS(Indata!$E$26:$E$79,Indata!$C$26:$C$79,"Nyb",Indata!$P$26:$P$79,"&lt;="&amp;R52)+SUMIFS(Indata!$E$26:$E$79,Indata!$C$26:$C$79,"Omb",Indata!$P$26:$P$79,"&lt;="&amp;R52)+SUMIFS(Indata!$E$26:$E$79,Indata!$C$26:$C$79,"Ins",Indata!$P$26:$P$79,"&lt;="&amp;R52)</f>
        <v>5000</v>
      </c>
      <c r="S55" s="78">
        <f>SUMIFS(Indata!$E$26:$E$79,Indata!$C$26:$C$79,"Nyb",Indata!$P$26:$P$79,"&lt;="&amp;S52)+SUMIFS(Indata!$E$26:$E$79,Indata!$C$26:$C$79,"Omb",Indata!$P$26:$P$79,"&lt;="&amp;S52)+SUMIFS(Indata!$E$26:$E$79,Indata!$C$26:$C$79,"Ins",Indata!$P$26:$P$79,"&lt;="&amp;S52)</f>
        <v>5000</v>
      </c>
      <c r="T55" s="78">
        <f>SUMIFS(Indata!$E$26:$E$79,Indata!$C$26:$C$79,"Nyb",Indata!$P$26:$P$79,"&lt;="&amp;T52)+SUMIFS(Indata!$E$26:$E$79,Indata!$C$26:$C$79,"Omb",Indata!$P$26:$P$79,"&lt;="&amp;T52)+SUMIFS(Indata!$E$26:$E$79,Indata!$C$26:$C$79,"Ins",Indata!$P$26:$P$79,"&lt;="&amp;T52)</f>
        <v>5000</v>
      </c>
      <c r="U55" s="78">
        <f>SUMIFS(Indata!$E$26:$E$79,Indata!$C$26:$C$79,"Nyb",Indata!$P$26:$P$79,"&lt;="&amp;U52)+SUMIFS(Indata!$E$26:$E$79,Indata!$C$26:$C$79,"Omb",Indata!$P$26:$P$79,"&lt;="&amp;U52)+SUMIFS(Indata!$E$26:$E$79,Indata!$C$26:$C$79,"Ins",Indata!$P$26:$P$79,"&lt;="&amp;U52)</f>
        <v>5000</v>
      </c>
      <c r="V55" s="78">
        <f>SUMIFS(Indata!$E$26:$E$79,Indata!$C$26:$C$79,"Nyb",Indata!$P$26:$P$79,"&lt;="&amp;V52)+SUMIFS(Indata!$E$26:$E$79,Indata!$C$26:$C$79,"Omb",Indata!$P$26:$P$79,"&lt;="&amp;V52)+SUMIFS(Indata!$E$26:$E$79,Indata!$C$26:$C$79,"Ins",Indata!$P$26:$P$79,"&lt;="&amp;V52)</f>
        <v>5000</v>
      </c>
      <c r="W55" s="78">
        <f>SUMIFS(Indata!$E$26:$E$79,Indata!$C$26:$C$79,"Nyb",Indata!$P$26:$P$79,"&lt;="&amp;W52)+SUMIFS(Indata!$E$26:$E$79,Indata!$C$26:$C$79,"Omb",Indata!$P$26:$P$79,"&lt;="&amp;W52)+SUMIFS(Indata!$E$26:$E$79,Indata!$C$26:$C$79,"Ins",Indata!$P$26:$P$79,"&lt;="&amp;W52)</f>
        <v>5000</v>
      </c>
      <c r="X55" s="78">
        <f>SUMIFS(Indata!$E$26:$E$79,Indata!$C$26:$C$79,"Nyb",Indata!$P$26:$P$79,"&lt;="&amp;X52)+SUMIFS(Indata!$E$26:$E$79,Indata!$C$26:$C$79,"Omb",Indata!$P$26:$P$79,"&lt;="&amp;X52)+SUMIFS(Indata!$E$26:$E$79,Indata!$C$26:$C$79,"Ins",Indata!$P$26:$P$79,"&lt;="&amp;X52)</f>
        <v>5000</v>
      </c>
      <c r="Y55" s="78">
        <f>SUMIFS(Indata!$E$26:$E$79,Indata!$C$26:$C$79,"Nyb",Indata!$P$26:$P$79,"&lt;="&amp;Y52)+SUMIFS(Indata!$E$26:$E$79,Indata!$C$26:$C$79,"Omb",Indata!$P$26:$P$79,"&lt;="&amp;Y52)+SUMIFS(Indata!$E$26:$E$79,Indata!$C$26:$C$79,"Ins",Indata!$P$26:$P$79,"&lt;="&amp;Y52)</f>
        <v>5000</v>
      </c>
      <c r="Z55" s="78">
        <f>SUMIFS(Indata!$E$26:$E$79,Indata!$C$26:$C$79,"Nyb",Indata!$P$26:$P$79,"&lt;="&amp;Z52)+SUMIFS(Indata!$E$26:$E$79,Indata!$C$26:$C$79,"Omb",Indata!$P$26:$P$79,"&lt;="&amp;Z52)+SUMIFS(Indata!$E$26:$E$79,Indata!$C$26:$C$79,"Ins",Indata!$P$26:$P$79,"&lt;="&amp;Z52)</f>
        <v>5000</v>
      </c>
      <c r="AA55" s="78">
        <f>SUMIFS(Indata!$E$26:$E$79,Indata!$C$26:$C$79,"Nyb",Indata!$P$26:$P$79,"&lt;="&amp;AA52)+SUMIFS(Indata!$E$26:$E$79,Indata!$C$26:$C$79,"Omb",Indata!$P$26:$P$79,"&lt;="&amp;AA52)+SUMIFS(Indata!$E$26:$E$79,Indata!$C$26:$C$79,"Ins",Indata!$P$26:$P$79,"&lt;="&amp;AA52)</f>
        <v>5000</v>
      </c>
      <c r="AB55" s="78">
        <f>SUMIFS(Indata!$E$26:$E$79,Indata!$C$26:$C$79,"Nyb",Indata!$P$26:$P$79,"&lt;="&amp;AB52)+SUMIFS(Indata!$E$26:$E$79,Indata!$C$26:$C$79,"Omb",Indata!$P$26:$P$79,"&lt;="&amp;AB52)+SUMIFS(Indata!$E$26:$E$79,Indata!$C$26:$C$79,"Ins",Indata!$P$26:$P$79,"&lt;="&amp;AB52)</f>
        <v>5000</v>
      </c>
      <c r="AC55" s="20"/>
      <c r="AD55" s="20"/>
    </row>
    <row r="56" spans="1:30" ht="15" customHeight="1">
      <c r="A56" s="19"/>
      <c r="B56" s="47" t="s">
        <v>250</v>
      </c>
      <c r="C56" s="20"/>
      <c r="D56" s="136">
        <f>SUMIFS(Indata!$D$26:$D$79,Indata!$C$26:$C$79,"Bef",Indata!$P$26:$P$79,"&lt;="&amp;D52)+SUMIFS(Indata!$D$26:$D$79,Indata!$C$26:$C$79,"Omb",Indata!$P$26:$P$79,"&lt;="&amp;D52)+SUMIFS(Indata!$D$26:$D$79,Indata!$C$26:$C$79,"Nyb",Indata!$P$26:$P$79,"&lt;="&amp;D52)+SUMIFS(Indata!$D$26:$D$79,Indata!$C$26:$C$79,"Ins",Indata!$P$26:$P$79,"&lt;="&amp;D52)</f>
        <v>0</v>
      </c>
      <c r="E56" s="136">
        <f>SUMIFS(Indata!$D$26:$D$79,Indata!$C$26:$C$79,"Bef",Indata!$P$26:$P$79,"&lt;="&amp;E52)+SUMIFS(Indata!$D$26:$D$79,Indata!$C$26:$C$79,"Omb",Indata!$P$26:$P$79,"&lt;="&amp;E52)+SUMIFS(Indata!$D$26:$D$79,Indata!$C$26:$C$79,"Nyb",Indata!$P$26:$P$79,"&lt;="&amp;E52)+SUMIFS(Indata!$D$26:$D$79,Indata!$C$26:$C$79,"Ins",Indata!$P$26:$P$79,"&lt;="&amp;E52)</f>
        <v>0</v>
      </c>
      <c r="F56" s="136">
        <f>SUMIFS(Indata!$D$26:$D$79,Indata!$C$26:$C$79,"Bef",Indata!$P$26:$P$79,"&lt;="&amp;F52)+SUMIFS(Indata!$D$26:$D$79,Indata!$C$26:$C$79,"Omb",Indata!$P$26:$P$79,"&lt;="&amp;F52)+SUMIFS(Indata!$D$26:$D$79,Indata!$C$26:$C$79,"Nyb",Indata!$P$26:$P$79,"&lt;="&amp;F52)+SUMIFS(Indata!$D$26:$D$79,Indata!$C$26:$C$79,"Ins",Indata!$P$26:$P$79,"&lt;="&amp;F52)</f>
        <v>0</v>
      </c>
      <c r="G56" s="136">
        <f>SUMIFS(Indata!$D$26:$D$79,Indata!$C$26:$C$79,"Bef",Indata!$P$26:$P$79,"&lt;="&amp;G52)+SUMIFS(Indata!$D$26:$D$79,Indata!$C$26:$C$79,"Omb",Indata!$P$26:$P$79,"&lt;="&amp;G52)+SUMIFS(Indata!$D$26:$D$79,Indata!$C$26:$C$79,"Nyb",Indata!$P$26:$P$79,"&lt;="&amp;G52)+SUMIFS(Indata!$D$26:$D$79,Indata!$C$26:$C$79,"Ins",Indata!$P$26:$P$79,"&lt;="&amp;G52)</f>
        <v>0</v>
      </c>
      <c r="H56" s="136">
        <f>SUMIFS(Indata!$D$26:$D$79,Indata!$C$26:$C$79,"Bef",Indata!$P$26:$P$79,"&lt;="&amp;H52)+SUMIFS(Indata!$D$26:$D$79,Indata!$C$26:$C$79,"Omb",Indata!$P$26:$P$79,"&lt;="&amp;H52)+SUMIFS(Indata!$D$26:$D$79,Indata!$C$26:$C$79,"Nyb",Indata!$P$26:$P$79,"&lt;="&amp;H52)+SUMIFS(Indata!$D$26:$D$79,Indata!$C$26:$C$79,"Ins",Indata!$P$26:$P$79,"&lt;="&amp;H52)</f>
        <v>0</v>
      </c>
      <c r="I56" s="136">
        <f>SUMIFS(Indata!$D$26:$D$79,Indata!$C$26:$C$79,"Bef",Indata!$P$26:$P$79,"&lt;="&amp;I52)+SUMIFS(Indata!$D$26:$D$79,Indata!$C$26:$C$79,"Omb",Indata!$P$26:$P$79,"&lt;="&amp;I52)+SUMIFS(Indata!$D$26:$D$79,Indata!$C$26:$C$79,"Nyb",Indata!$P$26:$P$79,"&lt;="&amp;I52)+SUMIFS(Indata!$D$26:$D$79,Indata!$C$26:$C$79,"Ins",Indata!$P$26:$P$79,"&lt;="&amp;I52)</f>
        <v>0</v>
      </c>
      <c r="J56" s="136">
        <f>SUMIFS(Indata!$D$26:$D$79,Indata!$C$26:$C$79,"Bef",Indata!$P$26:$P$79,"&lt;="&amp;J52)+SUMIFS(Indata!$D$26:$D$79,Indata!$C$26:$C$79,"Omb",Indata!$P$26:$P$79,"&lt;="&amp;J52)+SUMIFS(Indata!$D$26:$D$79,Indata!$C$26:$C$79,"Nyb",Indata!$P$26:$P$79,"&lt;="&amp;J52)+SUMIFS(Indata!$D$26:$D$79,Indata!$C$26:$C$79,"Ins",Indata!$P$26:$P$79,"&lt;="&amp;J52)</f>
        <v>0</v>
      </c>
      <c r="K56" s="136">
        <f>SUMIFS(Indata!$D$26:$D$79,Indata!$C$26:$C$79,"Bef",Indata!$P$26:$P$79,"&lt;="&amp;K52)+SUMIFS(Indata!$D$26:$D$79,Indata!$C$26:$C$79,"Omb",Indata!$P$26:$P$79,"&lt;="&amp;K52)+SUMIFS(Indata!$D$26:$D$79,Indata!$C$26:$C$79,"Nyb",Indata!$P$26:$P$79,"&lt;="&amp;K52)+SUMIFS(Indata!$D$26:$D$79,Indata!$C$26:$C$79,"Ins",Indata!$P$26:$P$79,"&lt;="&amp;K52)</f>
        <v>0</v>
      </c>
      <c r="L56" s="136">
        <f>SUMIFS(Indata!$D$26:$D$79,Indata!$C$26:$C$79,"Bef",Indata!$P$26:$P$79,"&lt;="&amp;L52)+SUMIFS(Indata!$D$26:$D$79,Indata!$C$26:$C$79,"Omb",Indata!$P$26:$P$79,"&lt;="&amp;L52)+SUMIFS(Indata!$D$26:$D$79,Indata!$C$26:$C$79,"Nyb",Indata!$P$26:$P$79,"&lt;="&amp;L52)+SUMIFS(Indata!$D$26:$D$79,Indata!$C$26:$C$79,"Ins",Indata!$P$26:$P$79,"&lt;="&amp;L52)</f>
        <v>0</v>
      </c>
      <c r="M56" s="136">
        <f>SUMIFS(Indata!$D$26:$D$79,Indata!$C$26:$C$79,"Bef",Indata!$P$26:$P$79,"&lt;="&amp;M52)+SUMIFS(Indata!$D$26:$D$79,Indata!$C$26:$C$79,"Omb",Indata!$P$26:$P$79,"&lt;="&amp;M52)+SUMIFS(Indata!$D$26:$D$79,Indata!$C$26:$C$79,"Nyb",Indata!$P$26:$P$79,"&lt;="&amp;M52)+SUMIFS(Indata!$D$26:$D$79,Indata!$C$26:$C$79,"Ins",Indata!$P$26:$P$79,"&lt;="&amp;M52)</f>
        <v>0</v>
      </c>
      <c r="N56" s="136">
        <f>SUMIFS(Indata!$D$26:$D$79,Indata!$C$26:$C$79,"Bef",Indata!$P$26:$P$79,"&lt;="&amp;N52)+SUMIFS(Indata!$D$26:$D$79,Indata!$C$26:$C$79,"Omb",Indata!$P$26:$P$79,"&lt;="&amp;N52)+SUMIFS(Indata!$D$26:$D$79,Indata!$C$26:$C$79,"Nyb",Indata!$P$26:$P$79,"&lt;="&amp;N52)+SUMIFS(Indata!$D$26:$D$79,Indata!$C$26:$C$79,"Ins",Indata!$P$26:$P$79,"&lt;="&amp;N52)</f>
        <v>0</v>
      </c>
      <c r="O56" s="136">
        <f>SUMIFS(Indata!$D$26:$D$79,Indata!$C$26:$C$79,"Bef",Indata!$P$26:$P$79,"&lt;="&amp;O52)+SUMIFS(Indata!$D$26:$D$79,Indata!$C$26:$C$79,"Omb",Indata!$P$26:$P$79,"&lt;="&amp;O52)+SUMIFS(Indata!$D$26:$D$79,Indata!$C$26:$C$79,"Nyb",Indata!$P$26:$P$79,"&lt;="&amp;O52)+SUMIFS(Indata!$D$26:$D$79,Indata!$C$26:$C$79,"Ins",Indata!$P$26:$P$79,"&lt;="&amp;O52)</f>
        <v>0</v>
      </c>
      <c r="P56" s="136">
        <f>SUMIFS(Indata!$D$26:$D$79,Indata!$C$26:$C$79,"Bef",Indata!$P$26:$P$79,"&lt;="&amp;P52)+SUMIFS(Indata!$D$26:$D$79,Indata!$C$26:$C$79,"Omb",Indata!$P$26:$P$79,"&lt;="&amp;P52)+SUMIFS(Indata!$D$26:$D$79,Indata!$C$26:$C$79,"Nyb",Indata!$P$26:$P$79,"&lt;="&amp;P52)+SUMIFS(Indata!$D$26:$D$79,Indata!$C$26:$C$79,"Ins",Indata!$P$26:$P$79,"&lt;="&amp;P52)</f>
        <v>0</v>
      </c>
      <c r="Q56" s="136">
        <f>SUMIFS(Indata!$D$26:$D$79,Indata!$C$26:$C$79,"Bef",Indata!$P$26:$P$79,"&lt;="&amp;Q52)+SUMIFS(Indata!$D$26:$D$79,Indata!$C$26:$C$79,"Omb",Indata!$P$26:$P$79,"&lt;="&amp;Q52)+SUMIFS(Indata!$D$26:$D$79,Indata!$C$26:$C$79,"Nyb",Indata!$P$26:$P$79,"&lt;="&amp;Q52)+SUMIFS(Indata!$D$26:$D$79,Indata!$C$26:$C$79,"Ins",Indata!$P$26:$P$79,"&lt;="&amp;Q52)</f>
        <v>0</v>
      </c>
      <c r="R56" s="136">
        <f>SUMIFS(Indata!$D$26:$D$79,Indata!$C$26:$C$79,"Bef",Indata!$P$26:$P$79,"&lt;="&amp;R52)+SUMIFS(Indata!$D$26:$D$79,Indata!$C$26:$C$79,"Omb",Indata!$P$26:$P$79,"&lt;="&amp;R52)+SUMIFS(Indata!$D$26:$D$79,Indata!$C$26:$C$79,"Nyb",Indata!$P$26:$P$79,"&lt;="&amp;R52)+SUMIFS(Indata!$D$26:$D$79,Indata!$C$26:$C$79,"Ins",Indata!$P$26:$P$79,"&lt;="&amp;R52)</f>
        <v>0</v>
      </c>
      <c r="S56" s="136">
        <f>SUMIFS(Indata!$D$26:$D$79,Indata!$C$26:$C$79,"Bef",Indata!$P$26:$P$79,"&lt;="&amp;S52)+SUMIFS(Indata!$D$26:$D$79,Indata!$C$26:$C$79,"Omb",Indata!$P$26:$P$79,"&lt;="&amp;S52)+SUMIFS(Indata!$D$26:$D$79,Indata!$C$26:$C$79,"Nyb",Indata!$P$26:$P$79,"&lt;="&amp;S52)+SUMIFS(Indata!$D$26:$D$79,Indata!$C$26:$C$79,"Ins",Indata!$P$26:$P$79,"&lt;="&amp;S52)</f>
        <v>0</v>
      </c>
      <c r="T56" s="136">
        <f>SUMIFS(Indata!$D$26:$D$79,Indata!$C$26:$C$79,"Bef",Indata!$P$26:$P$79,"&lt;="&amp;T52)+SUMIFS(Indata!$D$26:$D$79,Indata!$C$26:$C$79,"Omb",Indata!$P$26:$P$79,"&lt;="&amp;T52)+SUMIFS(Indata!$D$26:$D$79,Indata!$C$26:$C$79,"Nyb",Indata!$P$26:$P$79,"&lt;="&amp;T52)+SUMIFS(Indata!$D$26:$D$79,Indata!$C$26:$C$79,"Ins",Indata!$P$26:$P$79,"&lt;="&amp;T52)</f>
        <v>0</v>
      </c>
      <c r="U56" s="136">
        <f>SUMIFS(Indata!$D$26:$D$79,Indata!$C$26:$C$79,"Bef",Indata!$P$26:$P$79,"&lt;="&amp;U52)+SUMIFS(Indata!$D$26:$D$79,Indata!$C$26:$C$79,"Omb",Indata!$P$26:$P$79,"&lt;="&amp;U52)+SUMIFS(Indata!$D$26:$D$79,Indata!$C$26:$C$79,"Nyb",Indata!$P$26:$P$79,"&lt;="&amp;U52)+SUMIFS(Indata!$D$26:$D$79,Indata!$C$26:$C$79,"Ins",Indata!$P$26:$P$79,"&lt;="&amp;U52)</f>
        <v>0</v>
      </c>
      <c r="V56" s="136">
        <f>SUMIFS(Indata!$D$26:$D$79,Indata!$C$26:$C$79,"Bef",Indata!$P$26:$P$79,"&lt;="&amp;V52)+SUMIFS(Indata!$D$26:$D$79,Indata!$C$26:$C$79,"Omb",Indata!$P$26:$P$79,"&lt;="&amp;V52)+SUMIFS(Indata!$D$26:$D$79,Indata!$C$26:$C$79,"Nyb",Indata!$P$26:$P$79,"&lt;="&amp;V52)+SUMIFS(Indata!$D$26:$D$79,Indata!$C$26:$C$79,"Ins",Indata!$P$26:$P$79,"&lt;="&amp;V52)</f>
        <v>0</v>
      </c>
      <c r="W56" s="136">
        <f>SUMIFS(Indata!$D$26:$D$79,Indata!$C$26:$C$79,"Bef",Indata!$P$26:$P$79,"&lt;="&amp;W52)+SUMIFS(Indata!$D$26:$D$79,Indata!$C$26:$C$79,"Omb",Indata!$P$26:$P$79,"&lt;="&amp;W52)+SUMIFS(Indata!$D$26:$D$79,Indata!$C$26:$C$79,"Nyb",Indata!$P$26:$P$79,"&lt;="&amp;W52)+SUMIFS(Indata!$D$26:$D$79,Indata!$C$26:$C$79,"Ins",Indata!$P$26:$P$79,"&lt;="&amp;W52)</f>
        <v>0</v>
      </c>
      <c r="X56" s="136">
        <f>SUMIFS(Indata!$D$26:$D$79,Indata!$C$26:$C$79,"Bef",Indata!$P$26:$P$79,"&lt;="&amp;X52)+SUMIFS(Indata!$D$26:$D$79,Indata!$C$26:$C$79,"Omb",Indata!$P$26:$P$79,"&lt;="&amp;X52)+SUMIFS(Indata!$D$26:$D$79,Indata!$C$26:$C$79,"Nyb",Indata!$P$26:$P$79,"&lt;="&amp;X52)+SUMIFS(Indata!$D$26:$D$79,Indata!$C$26:$C$79,"Ins",Indata!$P$26:$P$79,"&lt;="&amp;X52)</f>
        <v>0</v>
      </c>
      <c r="Y56" s="136">
        <f>SUMIFS(Indata!$D$26:$D$79,Indata!$C$26:$C$79,"Bef",Indata!$P$26:$P$79,"&lt;="&amp;Y52)+SUMIFS(Indata!$D$26:$D$79,Indata!$C$26:$C$79,"Omb",Indata!$P$26:$P$79,"&lt;="&amp;Y52)+SUMIFS(Indata!$D$26:$D$79,Indata!$C$26:$C$79,"Nyb",Indata!$P$26:$P$79,"&lt;="&amp;Y52)+SUMIFS(Indata!$D$26:$D$79,Indata!$C$26:$C$79,"Ins",Indata!$P$26:$P$79,"&lt;="&amp;Y52)</f>
        <v>0</v>
      </c>
      <c r="Z56" s="136">
        <f>SUMIFS(Indata!$D$26:$D$79,Indata!$C$26:$C$79,"Bef",Indata!$P$26:$P$79,"&lt;="&amp;Z52)+SUMIFS(Indata!$D$26:$D$79,Indata!$C$26:$C$79,"Omb",Indata!$P$26:$P$79,"&lt;="&amp;Z52)+SUMIFS(Indata!$D$26:$D$79,Indata!$C$26:$C$79,"Nyb",Indata!$P$26:$P$79,"&lt;="&amp;Z52)+SUMIFS(Indata!$D$26:$D$79,Indata!$C$26:$C$79,"Ins",Indata!$P$26:$P$79,"&lt;="&amp;Z52)</f>
        <v>0</v>
      </c>
      <c r="AA56" s="136">
        <f>SUMIFS(Indata!$D$26:$D$79,Indata!$C$26:$C$79,"Bef",Indata!$P$26:$P$79,"&lt;="&amp;AA52)+SUMIFS(Indata!$D$26:$D$79,Indata!$C$26:$C$79,"Omb",Indata!$P$26:$P$79,"&lt;="&amp;AA52)+SUMIFS(Indata!$D$26:$D$79,Indata!$C$26:$C$79,"Nyb",Indata!$P$26:$P$79,"&lt;="&amp;AA52)+SUMIFS(Indata!$D$26:$D$79,Indata!$C$26:$C$79,"Ins",Indata!$P$26:$P$79,"&lt;="&amp;AA52)</f>
        <v>0</v>
      </c>
      <c r="AB56" s="136">
        <f>SUMIFS(Indata!$D$26:$D$79,Indata!$C$26:$C$79,"Bef",Indata!$P$26:$P$79,"&lt;="&amp;AB52)+SUMIFS(Indata!$D$26:$D$79,Indata!$C$26:$C$79,"Omb",Indata!$P$26:$P$79,"&lt;="&amp;AB52)+SUMIFS(Indata!$D$26:$D$79,Indata!$C$26:$C$79,"Nyb",Indata!$P$26:$P$79,"&lt;="&amp;AB52)+SUMIFS(Indata!$D$26:$D$79,Indata!$C$26:$C$79,"Ins",Indata!$P$26:$P$79,"&lt;="&amp;AB52)</f>
        <v>0</v>
      </c>
      <c r="AC56" s="20"/>
      <c r="AD56" s="20"/>
    </row>
    <row r="57" spans="1:30" ht="15" customHeight="1">
      <c r="A57" s="19"/>
      <c r="B57" s="47" t="s">
        <v>251</v>
      </c>
      <c r="C57" s="20"/>
      <c r="D57" s="78">
        <f t="shared" ref="D57:AB57" si="0">D55+D56</f>
        <v>5000</v>
      </c>
      <c r="E57" s="78">
        <f t="shared" si="0"/>
        <v>5000</v>
      </c>
      <c r="F57" s="78">
        <f t="shared" si="0"/>
        <v>5000</v>
      </c>
      <c r="G57" s="78">
        <f t="shared" si="0"/>
        <v>5000</v>
      </c>
      <c r="H57" s="78">
        <f t="shared" si="0"/>
        <v>5000</v>
      </c>
      <c r="I57" s="78">
        <f t="shared" si="0"/>
        <v>5000</v>
      </c>
      <c r="J57" s="78">
        <f t="shared" si="0"/>
        <v>5000</v>
      </c>
      <c r="K57" s="78">
        <f t="shared" si="0"/>
        <v>5000</v>
      </c>
      <c r="L57" s="78">
        <f t="shared" si="0"/>
        <v>5000</v>
      </c>
      <c r="M57" s="78">
        <f t="shared" si="0"/>
        <v>5000</v>
      </c>
      <c r="N57" s="78">
        <f t="shared" si="0"/>
        <v>5000</v>
      </c>
      <c r="O57" s="78">
        <f t="shared" si="0"/>
        <v>5000</v>
      </c>
      <c r="P57" s="78">
        <f t="shared" si="0"/>
        <v>5000</v>
      </c>
      <c r="Q57" s="78">
        <f t="shared" si="0"/>
        <v>5000</v>
      </c>
      <c r="R57" s="78">
        <f t="shared" si="0"/>
        <v>5000</v>
      </c>
      <c r="S57" s="78">
        <f t="shared" si="0"/>
        <v>5000</v>
      </c>
      <c r="T57" s="78">
        <f t="shared" si="0"/>
        <v>5000</v>
      </c>
      <c r="U57" s="78">
        <f t="shared" si="0"/>
        <v>5000</v>
      </c>
      <c r="V57" s="78">
        <f t="shared" si="0"/>
        <v>5000</v>
      </c>
      <c r="W57" s="78">
        <f t="shared" si="0"/>
        <v>5000</v>
      </c>
      <c r="X57" s="78">
        <f t="shared" si="0"/>
        <v>5000</v>
      </c>
      <c r="Y57" s="78">
        <f t="shared" si="0"/>
        <v>5000</v>
      </c>
      <c r="Z57" s="78">
        <f t="shared" si="0"/>
        <v>5000</v>
      </c>
      <c r="AA57" s="78">
        <f t="shared" si="0"/>
        <v>5000</v>
      </c>
      <c r="AB57" s="78">
        <f t="shared" si="0"/>
        <v>5000</v>
      </c>
      <c r="AC57" s="20"/>
      <c r="AD57" s="20"/>
    </row>
    <row r="58" spans="1:30" ht="16.5" customHeight="1">
      <c r="A58" s="19"/>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row>
    <row r="59" spans="1:30" ht="15" customHeight="1">
      <c r="A59" s="19"/>
      <c r="B59" s="137" t="s">
        <v>407</v>
      </c>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row>
    <row r="60" spans="1:30" ht="15" customHeight="1">
      <c r="A60" s="19"/>
      <c r="B60" s="20" t="s">
        <v>408</v>
      </c>
      <c r="C60" s="20"/>
      <c r="D60" s="138">
        <f>IF(Indata!$K$26="",0,IF(D52&lt;=Indata!$L$26,0,IF(OR(Indata!$M$26="",Indata!$M$26=0),0,Indata!$M$26*Indata!$F$26*(1+Indata!$C$8*Indata!$H$26)^(D52-Indata!$K$26))))</f>
        <v>0</v>
      </c>
      <c r="E60" s="138">
        <f>IF(Indata!$K$26="",0,IF(E52&lt;=Indata!$L$26,0,IF(OR(Indata!$M$26="",Indata!$M$26=0),0,Indata!$M$26*Indata!$F$26*(1+Indata!$C$8*Indata!$H$26)^(E52-Indata!$K$26))))</f>
        <v>0</v>
      </c>
      <c r="F60" s="138">
        <f>IF(Indata!$K$26="",0,IF(F52&lt;=Indata!$L$26,0,IF(OR(Indata!$M$26="",Indata!$M$26=0),0,Indata!$M$26*Indata!$F$26*(1+Indata!$C$8*Indata!$H$26)^(F52-Indata!$K$26))))</f>
        <v>0</v>
      </c>
      <c r="G60" s="138">
        <f>IF(Indata!$K$26="",0,IF(G52&lt;=Indata!$L$26,0,IF(OR(Indata!$M$26="",Indata!$M$26=0),0,Indata!$M$26*Indata!$F$26*(1+Indata!$C$8*Indata!$H$26)^(G52-Indata!$K$26))))</f>
        <v>0</v>
      </c>
      <c r="H60" s="138">
        <f>IF(Indata!$K$26="",0,IF(H52&lt;=Indata!$L$26,0,IF(OR(Indata!$M$26="",Indata!$M$26=0),0,Indata!$M$26*Indata!$F$26*(1+Indata!$C$8*Indata!$H$26)^(H52-Indata!$K$26))))</f>
        <v>0</v>
      </c>
      <c r="I60" s="138">
        <f>IF(Indata!$K$26="",0,IF(I52&lt;=Indata!$L$26,0,IF(OR(Indata!$M$26="",Indata!$M$26=0),0,Indata!$M$26*Indata!$F$26*(1+Indata!$C$8*Indata!$H$26)^(I52-Indata!$K$26))))</f>
        <v>0</v>
      </c>
      <c r="J60" s="138">
        <f>IF(Indata!$K$26="",0,IF(J52&lt;=Indata!$L$26,0,IF(OR(Indata!$M$26="",Indata!$M$26=0),0,Indata!$M$26*Indata!$F$26*(1+Indata!$C$8*Indata!$H$26)^(J52-Indata!$K$26))))</f>
        <v>0</v>
      </c>
      <c r="K60" s="138">
        <f>IF(Indata!$K$26="",0,IF(K52&lt;=Indata!$L$26,0,IF(OR(Indata!$M$26="",Indata!$M$26=0),0,Indata!$M$26*Indata!$F$26*(1+Indata!$C$8*Indata!$H$26)^(K52-Indata!$K$26))))</f>
        <v>0</v>
      </c>
      <c r="L60" s="138">
        <f>IF(Indata!$K$26="",0,IF(L52&lt;=Indata!$L$26,0,IF(OR(Indata!$M$26="",Indata!$M$26=0),0,Indata!$M$26*Indata!$F$26*(1+Indata!$C$8*Indata!$H$26)^(L52-Indata!$K$26))))</f>
        <v>0</v>
      </c>
      <c r="M60" s="138">
        <f>IF(Indata!$K$26="",0,IF(M52&lt;=Indata!$L$26,0,IF(OR(Indata!$M$26="",Indata!$M$26=0),0,Indata!$M$26*Indata!$F$26*(1+Indata!$C$8*Indata!$H$26)^(M52-Indata!$K$26))))</f>
        <v>0</v>
      </c>
      <c r="N60" s="138">
        <f>IF(Indata!$K$26="",0,IF(N52&lt;=Indata!$L$26,0,IF(OR(Indata!$M$26="",Indata!$M$26=0),0,Indata!$M$26*Indata!$F$26*(1+Indata!$C$8*Indata!$H$26)^(N52-Indata!$K$26))))</f>
        <v>0</v>
      </c>
      <c r="O60" s="138">
        <f>IF(Indata!$K$26="",0,IF(O52&lt;=Indata!$L$26,0,IF(OR(Indata!$M$26="",Indata!$M$26=0),0,Indata!$M$26*Indata!$F$26*(1+Indata!$C$8*Indata!$H$26)^(O52-Indata!$K$26))))</f>
        <v>0</v>
      </c>
      <c r="P60" s="138">
        <f>IF(Indata!$K$26="",0,IF(P52&lt;=Indata!$L$26,0,IF(OR(Indata!$M$26="",Indata!$M$26=0),0,Indata!$M$26*Indata!$F$26*(1+Indata!$C$8*Indata!$H$26)^(P52-Indata!$K$26))))</f>
        <v>0</v>
      </c>
      <c r="Q60" s="138">
        <f>IF(Indata!$K$26="",0,IF(Q52&lt;=Indata!$L$26,0,IF(OR(Indata!$M$26="",Indata!$M$26=0),0,Indata!$M$26*Indata!$F$26*(1+Indata!$C$8*Indata!$H$26)^(Q52-Indata!$K$26))))</f>
        <v>0</v>
      </c>
      <c r="R60" s="138">
        <f>IF(Indata!$K$26="",0,IF(R52&lt;=Indata!$L$26,0,IF(OR(Indata!$M$26="",Indata!$M$26=0),0,Indata!$M$26*Indata!$F$26*(1+Indata!$C$8*Indata!$H$26)^(R52-Indata!$K$26))))</f>
        <v>0</v>
      </c>
      <c r="S60" s="138">
        <f>IF(Indata!$K$26="",0,IF(S52&lt;=Indata!$L$26,0,IF(OR(Indata!$M$26="",Indata!$M$26=0),0,Indata!$M$26*Indata!$F$26*(1+Indata!$C$8*Indata!$H$26)^(S52-Indata!$K$26))))</f>
        <v>0</v>
      </c>
      <c r="T60" s="138">
        <f>IF(Indata!$K$26="",0,IF(T52&lt;=Indata!$L$26,0,IF(OR(Indata!$M$26="",Indata!$M$26=0),0,Indata!$M$26*Indata!$F$26*(1+Indata!$C$8*Indata!$H$26)^(T52-Indata!$K$26))))</f>
        <v>0</v>
      </c>
      <c r="U60" s="138">
        <f>IF(Indata!$K$26="",0,IF(U52&lt;=Indata!$L$26,0,IF(OR(Indata!$M$26="",Indata!$M$26=0),0,Indata!$M$26*Indata!$F$26*(1+Indata!$C$8*Indata!$H$26)^(U52-Indata!$K$26))))</f>
        <v>0</v>
      </c>
      <c r="V60" s="138">
        <f>IF(Indata!$K$26="",0,IF(V52&lt;=Indata!$L$26,0,IF(OR(Indata!$M$26="",Indata!$M$26=0),0,Indata!$M$26*Indata!$F$26*(1+Indata!$C$8*Indata!$H$26)^(V52-Indata!$K$26))))</f>
        <v>0</v>
      </c>
      <c r="W60" s="138">
        <f>IF(Indata!$K$26="",0,IF(W52&lt;=Indata!$L$26,0,IF(OR(Indata!$M$26="",Indata!$M$26=0),0,Indata!$M$26*Indata!$F$26*(1+Indata!$C$8*Indata!$H$26)^(W52-Indata!$K$26))))</f>
        <v>0</v>
      </c>
      <c r="X60" s="138">
        <f>IF(Indata!$K$26="",0,IF(X52&lt;=Indata!$L$26,0,IF(OR(Indata!$M$26="",Indata!$M$26=0),0,Indata!$M$26*Indata!$F$26*(1+Indata!$C$8*Indata!$H$26)^(X52-Indata!$K$26))))</f>
        <v>0</v>
      </c>
      <c r="Y60" s="138">
        <f>IF(Indata!$K$26="",0,IF(Y52&lt;=Indata!$L$26,0,IF(OR(Indata!$M$26="",Indata!$M$26=0),0,Indata!$M$26*Indata!$F$26*(1+Indata!$C$8*Indata!$H$26)^(Y52-Indata!$K$26))))</f>
        <v>0</v>
      </c>
      <c r="Z60" s="138">
        <f>IF(Indata!$K$26="",0,IF(Z52&lt;=Indata!$L$26,0,IF(OR(Indata!$M$26="",Indata!$M$26=0),0,Indata!$M$26*Indata!$F$26*(1+Indata!$C$8*Indata!$H$26)^(Z52-Indata!$K$26))))</f>
        <v>0</v>
      </c>
      <c r="AA60" s="138">
        <f>IF(Indata!$K$26="",0,IF(AA52&lt;=Indata!$L$26,0,IF(OR(Indata!$M$26="",Indata!$M$26=0),0,Indata!$M$26*Indata!$F$26*(1+Indata!$C$8*Indata!$H$26)^(AA52-Indata!$K$26))))</f>
        <v>0</v>
      </c>
      <c r="AB60" s="138">
        <f>IF(Indata!$K$26="",0,IF(AB52&lt;=Indata!$L$26,0,IF(OR(Indata!$M$26="",Indata!$M$26=0),0,Indata!$M$26*Indata!$F$26*(1+Indata!$C$8*Indata!$H$26)^(AB52-Indata!$K$26))))</f>
        <v>0</v>
      </c>
      <c r="AC60" s="20"/>
      <c r="AD60" s="20"/>
    </row>
    <row r="61" spans="1:30" ht="15" customHeight="1">
      <c r="A61" s="19"/>
      <c r="B61" s="20" t="s">
        <v>409</v>
      </c>
      <c r="C61" s="20"/>
      <c r="D61" s="138">
        <f>IF(Indata!$K$27="",0,IF(D52&lt;=Indata!$L$27,0,IF(OR(Indata!$M$27="",Indata!$M$27=0),0,Indata!$M$27*Indata!$F$27*(1+Indata!$C$8*Indata!$H$27)^(D52-Indata!$K$27))))</f>
        <v>0</v>
      </c>
      <c r="E61" s="138">
        <f>IF(Indata!$K$27="",0,IF(E52&lt;=Indata!$L$27,0,IF(OR(Indata!$M$27="",Indata!$M$27=0),0,Indata!$M$27*Indata!$F$27*(1+Indata!$C$8*Indata!$H$27)^(E52-Indata!$K$27))))</f>
        <v>0</v>
      </c>
      <c r="F61" s="138">
        <f>IF(Indata!$K$27="",0,IF(F52&lt;=Indata!$L$27,0,IF(OR(Indata!$M$27="",Indata!$M$27=0),0,Indata!$M$27*Indata!$F$27*(1+Indata!$C$8*Indata!$H$27)^(F52-Indata!$K$27))))</f>
        <v>0</v>
      </c>
      <c r="G61" s="138">
        <f>IF(Indata!$K$27="",0,IF(G52&lt;=Indata!$L$27,0,IF(OR(Indata!$M$27="",Indata!$M$27=0),0,Indata!$M$27*Indata!$F$27*(1+Indata!$C$8*Indata!$H$27)^(G52-Indata!$K$27))))</f>
        <v>0</v>
      </c>
      <c r="H61" s="138">
        <f>IF(Indata!$K$27="",0,IF(H52&lt;=Indata!$L$27,0,IF(OR(Indata!$M$27="",Indata!$M$27=0),0,Indata!$M$27*Indata!$F$27*(1+Indata!$C$8*Indata!$H$27)^(H52-Indata!$K$27))))</f>
        <v>0</v>
      </c>
      <c r="I61" s="138">
        <f>IF(Indata!$K$27="",0,IF(I52&lt;=Indata!$L$27,0,IF(OR(Indata!$M$27="",Indata!$M$27=0),0,Indata!$M$27*Indata!$F$27*(1+Indata!$C$8*Indata!$H$27)^(I52-Indata!$K$27))))</f>
        <v>0</v>
      </c>
      <c r="J61" s="138">
        <f>IF(Indata!$K$27="",0,IF(J52&lt;=Indata!$L$27,0,IF(OR(Indata!$M$27="",Indata!$M$27=0),0,Indata!$M$27*Indata!$F$27*(1+Indata!$C$8*Indata!$H$27)^(J52-Indata!$K$27))))</f>
        <v>0</v>
      </c>
      <c r="K61" s="138">
        <f>IF(Indata!$K$27="",0,IF(K52&lt;=Indata!$L$27,0,IF(OR(Indata!$M$27="",Indata!$M$27=0),0,Indata!$M$27*Indata!$F$27*(1+Indata!$C$8*Indata!$H$27)^(K52-Indata!$K$27))))</f>
        <v>0</v>
      </c>
      <c r="L61" s="138">
        <f>IF(Indata!$K$27="",0,IF(L52&lt;=Indata!$L$27,0,IF(OR(Indata!$M$27="",Indata!$M$27=0),0,Indata!$M$27*Indata!$F$27*(1+Indata!$C$8*Indata!$H$27)^(L52-Indata!$K$27))))</f>
        <v>0</v>
      </c>
      <c r="M61" s="138">
        <f>IF(Indata!$K$27="",0,IF(M52&lt;=Indata!$L$27,0,IF(OR(Indata!$M$27="",Indata!$M$27=0),0,Indata!$M$27*Indata!$F$27*(1+Indata!$C$8*Indata!$H$27)^(M52-Indata!$K$27))))</f>
        <v>0</v>
      </c>
      <c r="N61" s="138">
        <f>IF(Indata!$K$27="",0,IF(N52&lt;=Indata!$L$27,0,IF(OR(Indata!$M$27="",Indata!$M$27=0),0,Indata!$M$27*Indata!$F$27*(1+Indata!$C$8*Indata!$H$27)^(N52-Indata!$K$27))))</f>
        <v>0</v>
      </c>
      <c r="O61" s="138">
        <f>IF(Indata!$K$27="",0,IF(O52&lt;=Indata!$L$27,0,IF(OR(Indata!$M$27="",Indata!$M$27=0),0,Indata!$M$27*Indata!$F$27*(1+Indata!$C$8*Indata!$H$27)^(O52-Indata!$K$27))))</f>
        <v>0</v>
      </c>
      <c r="P61" s="138">
        <f>IF(Indata!$K$27="",0,IF(P52&lt;=Indata!$L$27,0,IF(OR(Indata!$M$27="",Indata!$M$27=0),0,Indata!$M$27*Indata!$F$27*(1+Indata!$C$8*Indata!$H$27)^(P52-Indata!$K$27))))</f>
        <v>0</v>
      </c>
      <c r="Q61" s="138">
        <f>IF(Indata!$K$27="",0,IF(Q52&lt;=Indata!$L$27,0,IF(OR(Indata!$M$27="",Indata!$M$27=0),0,Indata!$M$27*Indata!$F$27*(1+Indata!$C$8*Indata!$H$27)^(Q52-Indata!$K$27))))</f>
        <v>0</v>
      </c>
      <c r="R61" s="138">
        <f>IF(Indata!$K$27="",0,IF(R52&lt;=Indata!$L$27,0,IF(OR(Indata!$M$27="",Indata!$M$27=0),0,Indata!$M$27*Indata!$F$27*(1+Indata!$C$8*Indata!$H$27)^(R52-Indata!$K$27))))</f>
        <v>0</v>
      </c>
      <c r="S61" s="138">
        <f>IF(Indata!$K$27="",0,IF(S52&lt;=Indata!$L$27,0,IF(OR(Indata!$M$27="",Indata!$M$27=0),0,Indata!$M$27*Indata!$F$27*(1+Indata!$C$8*Indata!$H$27)^(S52-Indata!$K$27))))</f>
        <v>0</v>
      </c>
      <c r="T61" s="138">
        <f>IF(Indata!$K$27="",0,IF(T52&lt;=Indata!$L$27,0,IF(OR(Indata!$M$27="",Indata!$M$27=0),0,Indata!$M$27*Indata!$F$27*(1+Indata!$C$8*Indata!$H$27)^(T52-Indata!$K$27))))</f>
        <v>0</v>
      </c>
      <c r="U61" s="138">
        <f>IF(Indata!$K$27="",0,IF(U52&lt;=Indata!$L$27,0,IF(OR(Indata!$M$27="",Indata!$M$27=0),0,Indata!$M$27*Indata!$F$27*(1+Indata!$C$8*Indata!$H$27)^(U52-Indata!$K$27))))</f>
        <v>0</v>
      </c>
      <c r="V61" s="138">
        <f>IF(Indata!$K$27="",0,IF(V52&lt;=Indata!$L$27,0,IF(OR(Indata!$M$27="",Indata!$M$27=0),0,Indata!$M$27*Indata!$F$27*(1+Indata!$C$8*Indata!$H$27)^(V52-Indata!$K$27))))</f>
        <v>0</v>
      </c>
      <c r="W61" s="138">
        <f>IF(Indata!$K$27="",0,IF(W52&lt;=Indata!$L$27,0,IF(OR(Indata!$M$27="",Indata!$M$27=0),0,Indata!$M$27*Indata!$F$27*(1+Indata!$C$8*Indata!$H$27)^(W52-Indata!$K$27))))</f>
        <v>0</v>
      </c>
      <c r="X61" s="138">
        <f>IF(Indata!$K$27="",0,IF(X52&lt;=Indata!$L$27,0,IF(OR(Indata!$M$27="",Indata!$M$27=0),0,Indata!$M$27*Indata!$F$27*(1+Indata!$C$8*Indata!$H$27)^(X52-Indata!$K$27))))</f>
        <v>0</v>
      </c>
      <c r="Y61" s="138">
        <f>IF(Indata!$K$27="",0,IF(Y52&lt;=Indata!$L$27,0,IF(OR(Indata!$M$27="",Indata!$M$27=0),0,Indata!$M$27*Indata!$F$27*(1+Indata!$C$8*Indata!$H$27)^(Y52-Indata!$K$27))))</f>
        <v>0</v>
      </c>
      <c r="Z61" s="138">
        <f>IF(Indata!$K$27="",0,IF(Z52&lt;=Indata!$L$27,0,IF(OR(Indata!$M$27="",Indata!$M$27=0),0,Indata!$M$27*Indata!$F$27*(1+Indata!$C$8*Indata!$H$27)^(Z52-Indata!$K$27))))</f>
        <v>0</v>
      </c>
      <c r="AA61" s="138">
        <f>IF(Indata!$K$27="",0,IF(AA52&lt;=Indata!$L$27,0,IF(OR(Indata!$M$27="",Indata!$M$27=0),0,Indata!$M$27*Indata!$F$27*(1+Indata!$C$8*Indata!$H$27)^(AA52-Indata!$K$27))))</f>
        <v>0</v>
      </c>
      <c r="AB61" s="138">
        <f>IF(Indata!$K$27="",0,IF(AB52&lt;=Indata!$L$27,0,IF(OR(Indata!$M$27="",Indata!$M$27=0),0,Indata!$M$27*Indata!$F$27*(1+Indata!$C$8*Indata!$H$27)^(AB52-Indata!$K$27))))</f>
        <v>0</v>
      </c>
      <c r="AC61" s="20"/>
      <c r="AD61" s="20"/>
    </row>
    <row r="62" spans="1:30" ht="15" customHeight="1">
      <c r="A62" s="19"/>
      <c r="B62" s="20" t="s">
        <v>410</v>
      </c>
      <c r="C62" s="20"/>
      <c r="D62" s="138">
        <f>IF(Indata!$K$28="",0,IF(D52&lt;=Indata!$L$28,0,IF(OR(Indata!$M$28="",Indata!$M$28=0),0,Indata!$M$28*Indata!$F$28*(1+Indata!$C$8*Indata!$H$28)^(D52-Indata!$K$28))))</f>
        <v>0</v>
      </c>
      <c r="E62" s="138">
        <f>IF(Indata!$K$28="",0,IF(E52&lt;=Indata!$L$28,0,IF(OR(Indata!$M$28="",Indata!$M$28=0),0,Indata!$M$28*Indata!$F$28*(1+Indata!$C$8*Indata!$H$28)^(E52-Indata!$K$28))))</f>
        <v>0</v>
      </c>
      <c r="F62" s="138">
        <f>IF(Indata!$K$28="",0,IF(F52&lt;=Indata!$L$28,0,IF(OR(Indata!$M$28="",Indata!$M$28=0),0,Indata!$M$28*Indata!$F$28*(1+Indata!$C$8*Indata!$H$28)^(F52-Indata!$K$28))))</f>
        <v>0</v>
      </c>
      <c r="G62" s="138">
        <f>IF(Indata!$K$28="",0,IF(G52&lt;=Indata!$L$28,0,IF(OR(Indata!$M$28="",Indata!$M$28=0),0,Indata!$M$28*Indata!$F$28*(1+Indata!$C$8*Indata!$H$28)^(G52-Indata!$K$28))))</f>
        <v>0</v>
      </c>
      <c r="H62" s="138">
        <f>IF(Indata!$K$28="",0,IF(H52&lt;=Indata!$L$28,0,IF(OR(Indata!$M$28="",Indata!$M$28=0),0,Indata!$M$28*Indata!$F$28*(1+Indata!$C$8*Indata!$H$28)^(H52-Indata!$K$28))))</f>
        <v>0</v>
      </c>
      <c r="I62" s="138">
        <f>IF(Indata!$K$28="",0,IF(I52&lt;=Indata!$L$28,0,IF(OR(Indata!$M$28="",Indata!$M$28=0),0,Indata!$M$28*Indata!$F$28*(1+Indata!$C$8*Indata!$H$28)^(I52-Indata!$K$28))))</f>
        <v>0</v>
      </c>
      <c r="J62" s="138">
        <f>IF(Indata!$K$28="",0,IF(J52&lt;=Indata!$L$28,0,IF(OR(Indata!$M$28="",Indata!$M$28=0),0,Indata!$M$28*Indata!$F$28*(1+Indata!$C$8*Indata!$H$28)^(J52-Indata!$K$28))))</f>
        <v>0</v>
      </c>
      <c r="K62" s="138">
        <f>IF(Indata!$K$28="",0,IF(K52&lt;=Indata!$L$28,0,IF(OR(Indata!$M$28="",Indata!$M$28=0),0,Indata!$M$28*Indata!$F$28*(1+Indata!$C$8*Indata!$H$28)^(K52-Indata!$K$28))))</f>
        <v>0</v>
      </c>
      <c r="L62" s="138">
        <f>IF(Indata!$K$28="",0,IF(L52&lt;=Indata!$L$28,0,IF(OR(Indata!$M$28="",Indata!$M$28=0),0,Indata!$M$28*Indata!$F$28*(1+Indata!$C$8*Indata!$H$28)^(L52-Indata!$K$28))))</f>
        <v>0</v>
      </c>
      <c r="M62" s="138">
        <f>IF(Indata!$K$28="",0,IF(M52&lt;=Indata!$L$28,0,IF(OR(Indata!$M$28="",Indata!$M$28=0),0,Indata!$M$28*Indata!$F$28*(1+Indata!$C$8*Indata!$H$28)^(M52-Indata!$K$28))))</f>
        <v>0</v>
      </c>
      <c r="N62" s="138">
        <f>IF(Indata!$K$28="",0,IF(N52&lt;=Indata!$L$28,0,IF(OR(Indata!$M$28="",Indata!$M$28=0),0,Indata!$M$28*Indata!$F$28*(1+Indata!$C$8*Indata!$H$28)^(N52-Indata!$K$28))))</f>
        <v>0</v>
      </c>
      <c r="O62" s="138">
        <f>IF(Indata!$K$28="",0,IF(O52&lt;=Indata!$L$28,0,IF(OR(Indata!$M$28="",Indata!$M$28=0),0,Indata!$M$28*Indata!$F$28*(1+Indata!$C$8*Indata!$H$28)^(O52-Indata!$K$28))))</f>
        <v>0</v>
      </c>
      <c r="P62" s="138">
        <f>IF(Indata!$K$28="",0,IF(P52&lt;=Indata!$L$28,0,IF(OR(Indata!$M$28="",Indata!$M$28=0),0,Indata!$M$28*Indata!$F$28*(1+Indata!$C$8*Indata!$H$28)^(P52-Indata!$K$28))))</f>
        <v>0</v>
      </c>
      <c r="Q62" s="138">
        <f>IF(Indata!$K$28="",0,IF(Q52&lt;=Indata!$L$28,0,IF(OR(Indata!$M$28="",Indata!$M$28=0),0,Indata!$M$28*Indata!$F$28*(1+Indata!$C$8*Indata!$H$28)^(Q52-Indata!$K$28))))</f>
        <v>0</v>
      </c>
      <c r="R62" s="138">
        <f>IF(Indata!$K$28="",0,IF(R52&lt;=Indata!$L$28,0,IF(OR(Indata!$M$28="",Indata!$M$28=0),0,Indata!$M$28*Indata!$F$28*(1+Indata!$C$8*Indata!$H$28)^(R52-Indata!$K$28))))</f>
        <v>0</v>
      </c>
      <c r="S62" s="138">
        <f>IF(Indata!$K$28="",0,IF(S52&lt;=Indata!$L$28,0,IF(OR(Indata!$M$28="",Indata!$M$28=0),0,Indata!$M$28*Indata!$F$28*(1+Indata!$C$8*Indata!$H$28)^(S52-Indata!$K$28))))</f>
        <v>0</v>
      </c>
      <c r="T62" s="138">
        <f>IF(Indata!$K$28="",0,IF(T52&lt;=Indata!$L$28,0,IF(OR(Indata!$M$28="",Indata!$M$28=0),0,Indata!$M$28*Indata!$F$28*(1+Indata!$C$8*Indata!$H$28)^(T52-Indata!$K$28))))</f>
        <v>0</v>
      </c>
      <c r="U62" s="138">
        <f>IF(Indata!$K$28="",0,IF(U52&lt;=Indata!$L$28,0,IF(OR(Indata!$M$28="",Indata!$M$28=0),0,Indata!$M$28*Indata!$F$28*(1+Indata!$C$8*Indata!$H$28)^(U52-Indata!$K$28))))</f>
        <v>0</v>
      </c>
      <c r="V62" s="138">
        <f>IF(Indata!$K$28="",0,IF(V52&lt;=Indata!$L$28,0,IF(OR(Indata!$M$28="",Indata!$M$28=0),0,Indata!$M$28*Indata!$F$28*(1+Indata!$C$8*Indata!$H$28)^(V52-Indata!$K$28))))</f>
        <v>0</v>
      </c>
      <c r="W62" s="138">
        <f>IF(Indata!$K$28="",0,IF(W52&lt;=Indata!$L$28,0,IF(OR(Indata!$M$28="",Indata!$M$28=0),0,Indata!$M$28*Indata!$F$28*(1+Indata!$C$8*Indata!$H$28)^(W52-Indata!$K$28))))</f>
        <v>0</v>
      </c>
      <c r="X62" s="138">
        <f>IF(Indata!$K$28="",0,IF(X52&lt;=Indata!$L$28,0,IF(OR(Indata!$M$28="",Indata!$M$28=0),0,Indata!$M$28*Indata!$F$28*(1+Indata!$C$8*Indata!$H$28)^(X52-Indata!$K$28))))</f>
        <v>0</v>
      </c>
      <c r="Y62" s="138">
        <f>IF(Indata!$K$28="",0,IF(Y52&lt;=Indata!$L$28,0,IF(OR(Indata!$M$28="",Indata!$M$28=0),0,Indata!$M$28*Indata!$F$28*(1+Indata!$C$8*Indata!$H$28)^(Y52-Indata!$K$28))))</f>
        <v>0</v>
      </c>
      <c r="Z62" s="138">
        <f>IF(Indata!$K$28="",0,IF(Z52&lt;=Indata!$L$28,0,IF(OR(Indata!$M$28="",Indata!$M$28=0),0,Indata!$M$28*Indata!$F$28*(1+Indata!$C$8*Indata!$H$28)^(Z52-Indata!$K$28))))</f>
        <v>0</v>
      </c>
      <c r="AA62" s="138">
        <f>IF(Indata!$K$28="",0,IF(AA52&lt;=Indata!$L$28,0,IF(OR(Indata!$M$28="",Indata!$M$28=0),0,Indata!$M$28*Indata!$F$28*(1+Indata!$C$8*Indata!$H$28)^(AA52-Indata!$K$28))))</f>
        <v>0</v>
      </c>
      <c r="AB62" s="138">
        <f>IF(Indata!$K$28="",0,IF(AB52&lt;=Indata!$L$28,0,IF(OR(Indata!$M$28="",Indata!$M$28=0),0,Indata!$M$28*Indata!$F$28*(1+Indata!$C$8*Indata!$H$28)^(AB52-Indata!$K$28))))</f>
        <v>0</v>
      </c>
      <c r="AC62" s="20"/>
      <c r="AD62" s="20"/>
    </row>
    <row r="63" spans="1:30" ht="15" customHeight="1">
      <c r="A63" s="19"/>
      <c r="B63" s="20" t="s">
        <v>411</v>
      </c>
      <c r="C63" s="20"/>
      <c r="D63" s="138">
        <f>IF(Indata!$K$29="",0,IF(D52&lt;=Indata!$L$29,0,IF(OR(Indata!$M$29="",Indata!$M$29=0),0,Indata!$M$29*Indata!$F$29*(1+Indata!$C$8*Indata!$H$29)^(D52-Indata!$K$29))))</f>
        <v>0</v>
      </c>
      <c r="E63" s="138">
        <f>IF(Indata!$K$29="",0,IF(E52&lt;=Indata!$L$29,0,IF(OR(Indata!$M$29="",Indata!$M$29=0),0,Indata!$M$29*Indata!$F$29*(1+Indata!$C$8*Indata!$H$29)^(E52-Indata!$K$29))))</f>
        <v>0</v>
      </c>
      <c r="F63" s="138">
        <f>IF(Indata!$K$29="",0,IF(F52&lt;=Indata!$L$29,0,IF(OR(Indata!$M$29="",Indata!$M$29=0),0,Indata!$M$29*Indata!$F$29*(1+Indata!$C$8*Indata!$H$29)^(F52-Indata!$K$29))))</f>
        <v>0</v>
      </c>
      <c r="G63" s="138">
        <f>IF(Indata!$K$29="",0,IF(G52&lt;=Indata!$L$29,0,IF(OR(Indata!$M$29="",Indata!$M$29=0),0,Indata!$M$29*Indata!$F$29*(1+Indata!$C$8*Indata!$H$29)^(G52-Indata!$K$29))))</f>
        <v>0</v>
      </c>
      <c r="H63" s="138">
        <f>IF(Indata!$K$29="",0,IF(H52&lt;=Indata!$L$29,0,IF(OR(Indata!$M$29="",Indata!$M$29=0),0,Indata!$M$29*Indata!$F$29*(1+Indata!$C$8*Indata!$H$29)^(H52-Indata!$K$29))))</f>
        <v>0</v>
      </c>
      <c r="I63" s="138">
        <f>IF(Indata!$K$29="",0,IF(I52&lt;=Indata!$L$29,0,IF(OR(Indata!$M$29="",Indata!$M$29=0),0,Indata!$M$29*Indata!$F$29*(1+Indata!$C$8*Indata!$H$29)^(I52-Indata!$K$29))))</f>
        <v>0</v>
      </c>
      <c r="J63" s="138">
        <f>IF(Indata!$K$29="",0,IF(J52&lt;=Indata!$L$29,0,IF(OR(Indata!$M$29="",Indata!$M$29=0),0,Indata!$M$29*Indata!$F$29*(1+Indata!$C$8*Indata!$H$29)^(J52-Indata!$K$29))))</f>
        <v>0</v>
      </c>
      <c r="K63" s="138">
        <f>IF(Indata!$K$29="",0,IF(K52&lt;=Indata!$L$29,0,IF(OR(Indata!$M$29="",Indata!$M$29=0),0,Indata!$M$29*Indata!$F$29*(1+Indata!$C$8*Indata!$H$29)^(K52-Indata!$K$29))))</f>
        <v>0</v>
      </c>
      <c r="L63" s="138">
        <f>IF(Indata!$K$29="",0,IF(L52&lt;=Indata!$L$29,0,IF(OR(Indata!$M$29="",Indata!$M$29=0),0,Indata!$M$29*Indata!$F$29*(1+Indata!$C$8*Indata!$H$29)^(L52-Indata!$K$29))))</f>
        <v>0</v>
      </c>
      <c r="M63" s="138">
        <f>IF(Indata!$K$29="",0,IF(M52&lt;=Indata!$L$29,0,IF(OR(Indata!$M$29="",Indata!$M$29=0),0,Indata!$M$29*Indata!$F$29*(1+Indata!$C$8*Indata!$H$29)^(M52-Indata!$K$29))))</f>
        <v>0</v>
      </c>
      <c r="N63" s="138">
        <f>IF(Indata!$K$29="",0,IF(N52&lt;=Indata!$L$29,0,IF(OR(Indata!$M$29="",Indata!$M$29=0),0,Indata!$M$29*Indata!$F$29*(1+Indata!$C$8*Indata!$H$29)^(N52-Indata!$K$29))))</f>
        <v>0</v>
      </c>
      <c r="O63" s="138">
        <f>IF(Indata!$K$29="",0,IF(O52&lt;=Indata!$L$29,0,IF(OR(Indata!$M$29="",Indata!$M$29=0),0,Indata!$M$29*Indata!$F$29*(1+Indata!$C$8*Indata!$H$29)^(O52-Indata!$K$29))))</f>
        <v>0</v>
      </c>
      <c r="P63" s="138">
        <f>IF(Indata!$K$29="",0,IF(P52&lt;=Indata!$L$29,0,IF(OR(Indata!$M$29="",Indata!$M$29=0),0,Indata!$M$29*Indata!$F$29*(1+Indata!$C$8*Indata!$H$29)^(P52-Indata!$K$29))))</f>
        <v>0</v>
      </c>
      <c r="Q63" s="138">
        <f>IF(Indata!$K$29="",0,IF(Q52&lt;=Indata!$L$29,0,IF(OR(Indata!$M$29="",Indata!$M$29=0),0,Indata!$M$29*Indata!$F$29*(1+Indata!$C$8*Indata!$H$29)^(Q52-Indata!$K$29))))</f>
        <v>0</v>
      </c>
      <c r="R63" s="138">
        <f>IF(Indata!$K$29="",0,IF(R52&lt;=Indata!$L$29,0,IF(OR(Indata!$M$29="",Indata!$M$29=0),0,Indata!$M$29*Indata!$F$29*(1+Indata!$C$8*Indata!$H$29)^(R52-Indata!$K$29))))</f>
        <v>0</v>
      </c>
      <c r="S63" s="138">
        <f>IF(Indata!$K$29="",0,IF(S52&lt;=Indata!$L$29,0,IF(OR(Indata!$M$29="",Indata!$M$29=0),0,Indata!$M$29*Indata!$F$29*(1+Indata!$C$8*Indata!$H$29)^(S52-Indata!$K$29))))</f>
        <v>0</v>
      </c>
      <c r="T63" s="138">
        <f>IF(Indata!$K$29="",0,IF(T52&lt;=Indata!$L$29,0,IF(OR(Indata!$M$29="",Indata!$M$29=0),0,Indata!$M$29*Indata!$F$29*(1+Indata!$C$8*Indata!$H$29)^(T52-Indata!$K$29))))</f>
        <v>0</v>
      </c>
      <c r="U63" s="138">
        <f>IF(Indata!$K$29="",0,IF(U52&lt;=Indata!$L$29,0,IF(OR(Indata!$M$29="",Indata!$M$29=0),0,Indata!$M$29*Indata!$F$29*(1+Indata!$C$8*Indata!$H$29)^(U52-Indata!$K$29))))</f>
        <v>0</v>
      </c>
      <c r="V63" s="138">
        <f>IF(Indata!$K$29="",0,IF(V52&lt;=Indata!$L$29,0,IF(OR(Indata!$M$29="",Indata!$M$29=0),0,Indata!$M$29*Indata!$F$29*(1+Indata!$C$8*Indata!$H$29)^(V52-Indata!$K$29))))</f>
        <v>0</v>
      </c>
      <c r="W63" s="138">
        <f>IF(Indata!$K$29="",0,IF(W52&lt;=Indata!$L$29,0,IF(OR(Indata!$M$29="",Indata!$M$29=0),0,Indata!$M$29*Indata!$F$29*(1+Indata!$C$8*Indata!$H$29)^(W52-Indata!$K$29))))</f>
        <v>0</v>
      </c>
      <c r="X63" s="138">
        <f>IF(Indata!$K$29="",0,IF(X52&lt;=Indata!$L$29,0,IF(OR(Indata!$M$29="",Indata!$M$29=0),0,Indata!$M$29*Indata!$F$29*(1+Indata!$C$8*Indata!$H$29)^(X52-Indata!$K$29))))</f>
        <v>0</v>
      </c>
      <c r="Y63" s="138">
        <f>IF(Indata!$K$29="",0,IF(Y52&lt;=Indata!$L$29,0,IF(OR(Indata!$M$29="",Indata!$M$29=0),0,Indata!$M$29*Indata!$F$29*(1+Indata!$C$8*Indata!$H$29)^(Y52-Indata!$K$29))))</f>
        <v>0</v>
      </c>
      <c r="Z63" s="138">
        <f>IF(Indata!$K$29="",0,IF(Z52&lt;=Indata!$L$29,0,IF(OR(Indata!$M$29="",Indata!$M$29=0),0,Indata!$M$29*Indata!$F$29*(1+Indata!$C$8*Indata!$H$29)^(Z52-Indata!$K$29))))</f>
        <v>0</v>
      </c>
      <c r="AA63" s="138">
        <f>IF(Indata!$K$29="",0,IF(AA52&lt;=Indata!$L$29,0,IF(OR(Indata!$M$29="",Indata!$M$29=0),0,Indata!$M$29*Indata!$F$29*(1+Indata!$C$8*Indata!$H$29)^(AA52-Indata!$K$29))))</f>
        <v>0</v>
      </c>
      <c r="AB63" s="138">
        <f>IF(Indata!$K$29="",0,IF(AB52&lt;=Indata!$L$29,0,IF(OR(Indata!$M$29="",Indata!$M$29=0),0,Indata!$M$29*Indata!$F$29*(1+Indata!$C$8*Indata!$H$29)^(AB52-Indata!$K$29))))</f>
        <v>0</v>
      </c>
      <c r="AC63" s="20"/>
      <c r="AD63" s="20"/>
    </row>
    <row r="64" spans="1:30" ht="15" customHeight="1">
      <c r="A64" s="19"/>
      <c r="B64" s="20" t="s">
        <v>412</v>
      </c>
      <c r="C64" s="20"/>
      <c r="D64" s="138">
        <f>IF(Indata!$K$30="",0,IF(D52&lt;=Indata!$L$30,0,IF(OR(Indata!$M$30="",Indata!$M$30=0),0,Indata!$M$30*Indata!$F$30*(1+Indata!$C$8*Indata!$H$30)^(D52-Indata!$K$30))))</f>
        <v>0</v>
      </c>
      <c r="E64" s="138">
        <f>IF(Indata!$K$30="",0,IF(E52&lt;=Indata!$L$30,0,IF(OR(Indata!$M$30="",Indata!$M$30=0),0,Indata!$M$30*Indata!$F$30*(1+Indata!$C$8*Indata!$H$30)^(E52-Indata!$K$30))))</f>
        <v>0</v>
      </c>
      <c r="F64" s="138">
        <f>IF(Indata!$K$30="",0,IF(F52&lt;=Indata!$L$30,0,IF(OR(Indata!$M$30="",Indata!$M$30=0),0,Indata!$M$30*Indata!$F$30*(1+Indata!$C$8*Indata!$H$30)^(F52-Indata!$K$30))))</f>
        <v>0</v>
      </c>
      <c r="G64" s="138">
        <f>IF(Indata!$K$30="",0,IF(G52&lt;=Indata!$L$30,0,IF(OR(Indata!$M$30="",Indata!$M$30=0),0,Indata!$M$30*Indata!$F$30*(1+Indata!$C$8*Indata!$H$30)^(G52-Indata!$K$30))))</f>
        <v>0</v>
      </c>
      <c r="H64" s="138">
        <f>IF(Indata!$K$30="",0,IF(H52&lt;=Indata!$L$30,0,IF(OR(Indata!$M$30="",Indata!$M$30=0),0,Indata!$M$30*Indata!$F$30*(1+Indata!$C$8*Indata!$H$30)^(H52-Indata!$K$30))))</f>
        <v>0</v>
      </c>
      <c r="I64" s="138">
        <f>IF(Indata!$K$30="",0,IF(I52&lt;=Indata!$L$30,0,IF(OR(Indata!$M$30="",Indata!$M$30=0),0,Indata!$M$30*Indata!$F$30*(1+Indata!$C$8*Indata!$H$30)^(I52-Indata!$K$30))))</f>
        <v>0</v>
      </c>
      <c r="J64" s="138">
        <f>IF(Indata!$K$30="",0,IF(J52&lt;=Indata!$L$30,0,IF(OR(Indata!$M$30="",Indata!$M$30=0),0,Indata!$M$30*Indata!$F$30*(1+Indata!$C$8*Indata!$H$30)^(J52-Indata!$K$30))))</f>
        <v>0</v>
      </c>
      <c r="K64" s="138">
        <f>IF(Indata!$K$30="",0,IF(K52&lt;=Indata!$L$30,0,IF(OR(Indata!$M$30="",Indata!$M$30=0),0,Indata!$M$30*Indata!$F$30*(1+Indata!$C$8*Indata!$H$30)^(K52-Indata!$K$30))))</f>
        <v>0</v>
      </c>
      <c r="L64" s="138">
        <f>IF(Indata!$K$30="",0,IF(L52&lt;=Indata!$L$30,0,IF(OR(Indata!$M$30="",Indata!$M$30=0),0,Indata!$M$30*Indata!$F$30*(1+Indata!$C$8*Indata!$H$30)^(L52-Indata!$K$30))))</f>
        <v>0</v>
      </c>
      <c r="M64" s="138">
        <f>IF(Indata!$K$30="",0,IF(M52&lt;=Indata!$L$30,0,IF(OR(Indata!$M$30="",Indata!$M$30=0),0,Indata!$M$30*Indata!$F$30*(1+Indata!$C$8*Indata!$H$30)^(M52-Indata!$K$30))))</f>
        <v>0</v>
      </c>
      <c r="N64" s="138">
        <f>IF(Indata!$K$30="",0,IF(N52&lt;=Indata!$L$30,0,IF(OR(Indata!$M$30="",Indata!$M$30=0),0,Indata!$M$30*Indata!$F$30*(1+Indata!$C$8*Indata!$H$30)^(N52-Indata!$K$30))))</f>
        <v>0</v>
      </c>
      <c r="O64" s="138">
        <f>IF(Indata!$K$30="",0,IF(O52&lt;=Indata!$L$30,0,IF(OR(Indata!$M$30="",Indata!$M$30=0),0,Indata!$M$30*Indata!$F$30*(1+Indata!$C$8*Indata!$H$30)^(O52-Indata!$K$30))))</f>
        <v>0</v>
      </c>
      <c r="P64" s="138">
        <f>IF(Indata!$K$30="",0,IF(P52&lt;=Indata!$L$30,0,IF(OR(Indata!$M$30="",Indata!$M$30=0),0,Indata!$M$30*Indata!$F$30*(1+Indata!$C$8*Indata!$H$30)^(P52-Indata!$K$30))))</f>
        <v>0</v>
      </c>
      <c r="Q64" s="138">
        <f>IF(Indata!$K$30="",0,IF(Q52&lt;=Indata!$L$30,0,IF(OR(Indata!$M$30="",Indata!$M$30=0),0,Indata!$M$30*Indata!$F$30*(1+Indata!$C$8*Indata!$H$30)^(Q52-Indata!$K$30))))</f>
        <v>0</v>
      </c>
      <c r="R64" s="138">
        <f>IF(Indata!$K$30="",0,IF(R52&lt;=Indata!$L$30,0,IF(OR(Indata!$M$30="",Indata!$M$30=0),0,Indata!$M$30*Indata!$F$30*(1+Indata!$C$8*Indata!$H$30)^(R52-Indata!$K$30))))</f>
        <v>0</v>
      </c>
      <c r="S64" s="138">
        <f>IF(Indata!$K$30="",0,IF(S52&lt;=Indata!$L$30,0,IF(OR(Indata!$M$30="",Indata!$M$30=0),0,Indata!$M$30*Indata!$F$30*(1+Indata!$C$8*Indata!$H$30)^(S52-Indata!$K$30))))</f>
        <v>0</v>
      </c>
      <c r="T64" s="138">
        <f>IF(Indata!$K$30="",0,IF(T52&lt;=Indata!$L$30,0,IF(OR(Indata!$M$30="",Indata!$M$30=0),0,Indata!$M$30*Indata!$F$30*(1+Indata!$C$8*Indata!$H$30)^(T52-Indata!$K$30))))</f>
        <v>0</v>
      </c>
      <c r="U64" s="138">
        <f>IF(Indata!$K$30="",0,IF(U52&lt;=Indata!$L$30,0,IF(OR(Indata!$M$30="",Indata!$M$30=0),0,Indata!$M$30*Indata!$F$30*(1+Indata!$C$8*Indata!$H$30)^(U52-Indata!$K$30))))</f>
        <v>0</v>
      </c>
      <c r="V64" s="138">
        <f>IF(Indata!$K$30="",0,IF(V52&lt;=Indata!$L$30,0,IF(OR(Indata!$M$30="",Indata!$M$30=0),0,Indata!$M$30*Indata!$F$30*(1+Indata!$C$8*Indata!$H$30)^(V52-Indata!$K$30))))</f>
        <v>0</v>
      </c>
      <c r="W64" s="138">
        <f>IF(Indata!$K$30="",0,IF(W52&lt;=Indata!$L$30,0,IF(OR(Indata!$M$30="",Indata!$M$30=0),0,Indata!$M$30*Indata!$F$30*(1+Indata!$C$8*Indata!$H$30)^(W52-Indata!$K$30))))</f>
        <v>0</v>
      </c>
      <c r="X64" s="138">
        <f>IF(Indata!$K$30="",0,IF(X52&lt;=Indata!$L$30,0,IF(OR(Indata!$M$30="",Indata!$M$30=0),0,Indata!$M$30*Indata!$F$30*(1+Indata!$C$8*Indata!$H$30)^(X52-Indata!$K$30))))</f>
        <v>0</v>
      </c>
      <c r="Y64" s="138">
        <f>IF(Indata!$K$30="",0,IF(Y52&lt;=Indata!$L$30,0,IF(OR(Indata!$M$30="",Indata!$M$30=0),0,Indata!$M$30*Indata!$F$30*(1+Indata!$C$8*Indata!$H$30)^(Y52-Indata!$K$30))))</f>
        <v>0</v>
      </c>
      <c r="Z64" s="138">
        <f>IF(Indata!$K$30="",0,IF(Z52&lt;=Indata!$L$30,0,IF(OR(Indata!$M$30="",Indata!$M$30=0),0,Indata!$M$30*Indata!$F$30*(1+Indata!$C$8*Indata!$H$30)^(Z52-Indata!$K$30))))</f>
        <v>0</v>
      </c>
      <c r="AA64" s="138">
        <f>IF(Indata!$K$30="",0,IF(AA52&lt;=Indata!$L$30,0,IF(OR(Indata!$M$30="",Indata!$M$30=0),0,Indata!$M$30*Indata!$F$30*(1+Indata!$C$8*Indata!$H$30)^(AA52-Indata!$K$30))))</f>
        <v>0</v>
      </c>
      <c r="AB64" s="138">
        <f>IF(Indata!$K$30="",0,IF(AB52&lt;=Indata!$L$30,0,IF(OR(Indata!$M$30="",Indata!$M$30=0),0,Indata!$M$30*Indata!$F$30*(1+Indata!$C$8*Indata!$H$30)^(AB52-Indata!$K$30))))</f>
        <v>0</v>
      </c>
      <c r="AC64" s="20"/>
      <c r="AD64" s="20"/>
    </row>
    <row r="65" spans="1:30" ht="16.5" customHeight="1">
      <c r="A65" s="19"/>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row>
    <row r="66" spans="1:30" ht="15" customHeight="1">
      <c r="A66" s="19"/>
      <c r="B66" s="79" t="s">
        <v>256</v>
      </c>
      <c r="C66" s="20"/>
      <c r="D66" s="139">
        <f t="shared" ref="D66:AB66" si="1">SUM(D60:D64)</f>
        <v>0</v>
      </c>
      <c r="E66" s="139">
        <f t="shared" si="1"/>
        <v>0</v>
      </c>
      <c r="F66" s="139">
        <f t="shared" si="1"/>
        <v>0</v>
      </c>
      <c r="G66" s="139">
        <f t="shared" si="1"/>
        <v>0</v>
      </c>
      <c r="H66" s="139">
        <f t="shared" si="1"/>
        <v>0</v>
      </c>
      <c r="I66" s="139">
        <f t="shared" si="1"/>
        <v>0</v>
      </c>
      <c r="J66" s="139">
        <f t="shared" si="1"/>
        <v>0</v>
      </c>
      <c r="K66" s="139">
        <f t="shared" si="1"/>
        <v>0</v>
      </c>
      <c r="L66" s="139">
        <f t="shared" si="1"/>
        <v>0</v>
      </c>
      <c r="M66" s="139">
        <f t="shared" si="1"/>
        <v>0</v>
      </c>
      <c r="N66" s="139">
        <f t="shared" si="1"/>
        <v>0</v>
      </c>
      <c r="O66" s="139">
        <f t="shared" si="1"/>
        <v>0</v>
      </c>
      <c r="P66" s="139">
        <f t="shared" si="1"/>
        <v>0</v>
      </c>
      <c r="Q66" s="139">
        <f t="shared" si="1"/>
        <v>0</v>
      </c>
      <c r="R66" s="139">
        <f t="shared" si="1"/>
        <v>0</v>
      </c>
      <c r="S66" s="139">
        <f t="shared" si="1"/>
        <v>0</v>
      </c>
      <c r="T66" s="139">
        <f t="shared" si="1"/>
        <v>0</v>
      </c>
      <c r="U66" s="139">
        <f t="shared" si="1"/>
        <v>0</v>
      </c>
      <c r="V66" s="139">
        <f t="shared" si="1"/>
        <v>0</v>
      </c>
      <c r="W66" s="139">
        <f t="shared" si="1"/>
        <v>0</v>
      </c>
      <c r="X66" s="139">
        <f t="shared" si="1"/>
        <v>0</v>
      </c>
      <c r="Y66" s="139">
        <f t="shared" si="1"/>
        <v>0</v>
      </c>
      <c r="Z66" s="139">
        <f t="shared" si="1"/>
        <v>0</v>
      </c>
      <c r="AA66" s="139">
        <f t="shared" si="1"/>
        <v>0</v>
      </c>
      <c r="AB66" s="139">
        <f t="shared" si="1"/>
        <v>0</v>
      </c>
      <c r="AC66" s="20"/>
      <c r="AD66" s="20"/>
    </row>
    <row r="67" spans="1:30" ht="15" customHeight="1">
      <c r="A67" s="19"/>
      <c r="B67" s="20" t="s">
        <v>413</v>
      </c>
      <c r="C67" s="20"/>
      <c r="D67" s="138">
        <f>IF(AND(Indata!$L$26&lt;&gt;"",D52&gt;Indata!$L$26),-D60*Indata!$N$26,0)+IF(AND(Indata!$L$27&lt;&gt;"",D52&gt;Indata!$L$27),-D61*Indata!$N$27,0)+IF(AND(Indata!$L$28&lt;&gt;"",D52&gt;Indata!$L$28),-D62*Indata!$N$28,0)+IF(AND(Indata!$L$29&lt;&gt;"",D52&gt;Indata!$L$29),-D63*Indata!$N$29,0)+IF(AND(Indata!$L$30&lt;&gt;"",D52&gt;Indata!$L$30),-D64*Indata!$N$30,0)</f>
        <v>0</v>
      </c>
      <c r="E67" s="138">
        <f>IF(AND(Indata!$L$26&lt;&gt;"",E52&gt;Indata!$L$26),-E60*Indata!$N$26,0)+IF(AND(Indata!$L$27&lt;&gt;"",E52&gt;Indata!$L$27),-E61*Indata!$N$27,0)+IF(AND(Indata!$L$28&lt;&gt;"",E52&gt;Indata!$L$28),-E62*Indata!$N$28,0)+IF(AND(Indata!$L$29&lt;&gt;"",E52&gt;Indata!$L$29),-E63*Indata!$N$29,0)+IF(AND(Indata!$L$30&lt;&gt;"",E52&gt;Indata!$L$30),-E64*Indata!$N$30,0)</f>
        <v>0</v>
      </c>
      <c r="F67" s="138">
        <f>IF(AND(Indata!$L$26&lt;&gt;"",F52&gt;Indata!$L$26),-F60*Indata!$N$26,0)+IF(AND(Indata!$L$27&lt;&gt;"",F52&gt;Indata!$L$27),-F61*Indata!$N$27,0)+IF(AND(Indata!$L$28&lt;&gt;"",F52&gt;Indata!$L$28),-F62*Indata!$N$28,0)+IF(AND(Indata!$L$29&lt;&gt;"",F52&gt;Indata!$L$29),-F63*Indata!$N$29,0)+IF(AND(Indata!$L$30&lt;&gt;"",F52&gt;Indata!$L$30),-F64*Indata!$N$30,0)</f>
        <v>0</v>
      </c>
      <c r="G67" s="138">
        <f>IF(AND(Indata!$L$26&lt;&gt;"",G52&gt;Indata!$L$26),-G60*Indata!$N$26,0)+IF(AND(Indata!$L$27&lt;&gt;"",G52&gt;Indata!$L$27),-G61*Indata!$N$27,0)+IF(AND(Indata!$L$28&lt;&gt;"",G52&gt;Indata!$L$28),-G62*Indata!$N$28,0)+IF(AND(Indata!$L$29&lt;&gt;"",G52&gt;Indata!$L$29),-G63*Indata!$N$29,0)+IF(AND(Indata!$L$30&lt;&gt;"",G52&gt;Indata!$L$30),-G64*Indata!$N$30,0)</f>
        <v>0</v>
      </c>
      <c r="H67" s="138">
        <f>IF(AND(Indata!$L$26&lt;&gt;"",H52&gt;Indata!$L$26),-H60*Indata!$N$26,0)+IF(AND(Indata!$L$27&lt;&gt;"",H52&gt;Indata!$L$27),-H61*Indata!$N$27,0)+IF(AND(Indata!$L$28&lt;&gt;"",H52&gt;Indata!$L$28),-H62*Indata!$N$28,0)+IF(AND(Indata!$L$29&lt;&gt;"",H52&gt;Indata!$L$29),-H63*Indata!$N$29,0)+IF(AND(Indata!$L$30&lt;&gt;"",H52&gt;Indata!$L$30),-H64*Indata!$N$30,0)</f>
        <v>0</v>
      </c>
      <c r="I67" s="138">
        <f>IF(AND(Indata!$L$26&lt;&gt;"",I52&gt;Indata!$L$26),-I60*Indata!$N$26,0)+IF(AND(Indata!$L$27&lt;&gt;"",I52&gt;Indata!$L$27),-I61*Indata!$N$27,0)+IF(AND(Indata!$L$28&lt;&gt;"",I52&gt;Indata!$L$28),-I62*Indata!$N$28,0)+IF(AND(Indata!$L$29&lt;&gt;"",I52&gt;Indata!$L$29),-I63*Indata!$N$29,0)+IF(AND(Indata!$L$30&lt;&gt;"",I52&gt;Indata!$L$30),-I64*Indata!$N$30,0)</f>
        <v>0</v>
      </c>
      <c r="J67" s="138">
        <f>IF(AND(Indata!$L$26&lt;&gt;"",J52&gt;Indata!$L$26),-J60*Indata!$N$26,0)+IF(AND(Indata!$L$27&lt;&gt;"",J52&gt;Indata!$L$27),-J61*Indata!$N$27,0)+IF(AND(Indata!$L$28&lt;&gt;"",J52&gt;Indata!$L$28),-J62*Indata!$N$28,0)+IF(AND(Indata!$L$29&lt;&gt;"",J52&gt;Indata!$L$29),-J63*Indata!$N$29,0)+IF(AND(Indata!$L$30&lt;&gt;"",J52&gt;Indata!$L$30),-J64*Indata!$N$30,0)</f>
        <v>0</v>
      </c>
      <c r="K67" s="138">
        <f>IF(AND(Indata!$L$26&lt;&gt;"",K52&gt;Indata!$L$26),-K60*Indata!$N$26,0)+IF(AND(Indata!$L$27&lt;&gt;"",K52&gt;Indata!$L$27),-K61*Indata!$N$27,0)+IF(AND(Indata!$L$28&lt;&gt;"",K52&gt;Indata!$L$28),-K62*Indata!$N$28,0)+IF(AND(Indata!$L$29&lt;&gt;"",K52&gt;Indata!$L$29),-K63*Indata!$N$29,0)+IF(AND(Indata!$L$30&lt;&gt;"",K52&gt;Indata!$L$30),-K64*Indata!$N$30,0)</f>
        <v>0</v>
      </c>
      <c r="L67" s="138">
        <f>IF(AND(Indata!$L$26&lt;&gt;"",L52&gt;Indata!$L$26),-L60*Indata!$N$26,0)+IF(AND(Indata!$L$27&lt;&gt;"",L52&gt;Indata!$L$27),-L61*Indata!$N$27,0)+IF(AND(Indata!$L$28&lt;&gt;"",L52&gt;Indata!$L$28),-L62*Indata!$N$28,0)+IF(AND(Indata!$L$29&lt;&gt;"",L52&gt;Indata!$L$29),-L63*Indata!$N$29,0)+IF(AND(Indata!$L$30&lt;&gt;"",L52&gt;Indata!$L$30),-L64*Indata!$N$30,0)</f>
        <v>0</v>
      </c>
      <c r="M67" s="138">
        <f>IF(AND(Indata!$L$26&lt;&gt;"",M52&gt;Indata!$L$26),-M60*Indata!$N$26,0)+IF(AND(Indata!$L$27&lt;&gt;"",M52&gt;Indata!$L$27),-M61*Indata!$N$27,0)+IF(AND(Indata!$L$28&lt;&gt;"",M52&gt;Indata!$L$28),-M62*Indata!$N$28,0)+IF(AND(Indata!$L$29&lt;&gt;"",M52&gt;Indata!$L$29),-M63*Indata!$N$29,0)+IF(AND(Indata!$L$30&lt;&gt;"",M52&gt;Indata!$L$30),-M64*Indata!$N$30,0)</f>
        <v>0</v>
      </c>
      <c r="N67" s="138">
        <f>IF(AND(Indata!$L$26&lt;&gt;"",N52&gt;Indata!$L$26),-N60*Indata!$N$26,0)+IF(AND(Indata!$L$27&lt;&gt;"",N52&gt;Indata!$L$27),-N61*Indata!$N$27,0)+IF(AND(Indata!$L$28&lt;&gt;"",N52&gt;Indata!$L$28),-N62*Indata!$N$28,0)+IF(AND(Indata!$L$29&lt;&gt;"",N52&gt;Indata!$L$29),-N63*Indata!$N$29,0)+IF(AND(Indata!$L$30&lt;&gt;"",N52&gt;Indata!$L$30),-N64*Indata!$N$30,0)</f>
        <v>0</v>
      </c>
      <c r="O67" s="138">
        <f>IF(AND(Indata!$L$26&lt;&gt;"",O52&gt;Indata!$L$26),-O60*Indata!$N$26,0)+IF(AND(Indata!$L$27&lt;&gt;"",O52&gt;Indata!$L$27),-O61*Indata!$N$27,0)+IF(AND(Indata!$L$28&lt;&gt;"",O52&gt;Indata!$L$28),-O62*Indata!$N$28,0)+IF(AND(Indata!$L$29&lt;&gt;"",O52&gt;Indata!$L$29),-O63*Indata!$N$29,0)+IF(AND(Indata!$L$30&lt;&gt;"",O52&gt;Indata!$L$30),-O64*Indata!$N$30,0)</f>
        <v>0</v>
      </c>
      <c r="P67" s="138">
        <f>IF(AND(Indata!$L$26&lt;&gt;"",P52&gt;Indata!$L$26),-P60*Indata!$N$26,0)+IF(AND(Indata!$L$27&lt;&gt;"",P52&gt;Indata!$L$27),-P61*Indata!$N$27,0)+IF(AND(Indata!$L$28&lt;&gt;"",P52&gt;Indata!$L$28),-P62*Indata!$N$28,0)+IF(AND(Indata!$L$29&lt;&gt;"",P52&gt;Indata!$L$29),-P63*Indata!$N$29,0)+IF(AND(Indata!$L$30&lt;&gt;"",P52&gt;Indata!$L$30),-P64*Indata!$N$30,0)</f>
        <v>0</v>
      </c>
      <c r="Q67" s="138">
        <f>IF(AND(Indata!$L$26&lt;&gt;"",Q52&gt;Indata!$L$26),-Q60*Indata!$N$26,0)+IF(AND(Indata!$L$27&lt;&gt;"",Q52&gt;Indata!$L$27),-Q61*Indata!$N$27,0)+IF(AND(Indata!$L$28&lt;&gt;"",Q52&gt;Indata!$L$28),-Q62*Indata!$N$28,0)+IF(AND(Indata!$L$29&lt;&gt;"",Q52&gt;Indata!$L$29),-Q63*Indata!$N$29,0)+IF(AND(Indata!$L$30&lt;&gt;"",Q52&gt;Indata!$L$30),-Q64*Indata!$N$30,0)</f>
        <v>0</v>
      </c>
      <c r="R67" s="138">
        <f>IF(AND(Indata!$L$26&lt;&gt;"",R52&gt;Indata!$L$26),-R60*Indata!$N$26,0)+IF(AND(Indata!$L$27&lt;&gt;"",R52&gt;Indata!$L$27),-R61*Indata!$N$27,0)+IF(AND(Indata!$L$28&lt;&gt;"",R52&gt;Indata!$L$28),-R62*Indata!$N$28,0)+IF(AND(Indata!$L$29&lt;&gt;"",R52&gt;Indata!$L$29),-R63*Indata!$N$29,0)+IF(AND(Indata!$L$30&lt;&gt;"",R52&gt;Indata!$L$30),-R64*Indata!$N$30,0)</f>
        <v>0</v>
      </c>
      <c r="S67" s="138">
        <f>IF(AND(Indata!$L$26&lt;&gt;"",S52&gt;Indata!$L$26),-S60*Indata!$N$26,0)+IF(AND(Indata!$L$27&lt;&gt;"",S52&gt;Indata!$L$27),-S61*Indata!$N$27,0)+IF(AND(Indata!$L$28&lt;&gt;"",S52&gt;Indata!$L$28),-S62*Indata!$N$28,0)+IF(AND(Indata!$L$29&lt;&gt;"",S52&gt;Indata!$L$29),-S63*Indata!$N$29,0)+IF(AND(Indata!$L$30&lt;&gt;"",S52&gt;Indata!$L$30),-S64*Indata!$N$30,0)</f>
        <v>0</v>
      </c>
      <c r="T67" s="138">
        <f>IF(AND(Indata!$L$26&lt;&gt;"",T52&gt;Indata!$L$26),-T60*Indata!$N$26,0)+IF(AND(Indata!$L$27&lt;&gt;"",T52&gt;Indata!$L$27),-T61*Indata!$N$27,0)+IF(AND(Indata!$L$28&lt;&gt;"",T52&gt;Indata!$L$28),-T62*Indata!$N$28,0)+IF(AND(Indata!$L$29&lt;&gt;"",T52&gt;Indata!$L$29),-T63*Indata!$N$29,0)+IF(AND(Indata!$L$30&lt;&gt;"",T52&gt;Indata!$L$30),-T64*Indata!$N$30,0)</f>
        <v>0</v>
      </c>
      <c r="U67" s="138">
        <f>IF(AND(Indata!$L$26&lt;&gt;"",U52&gt;Indata!$L$26),-U60*Indata!$N$26,0)+IF(AND(Indata!$L$27&lt;&gt;"",U52&gt;Indata!$L$27),-U61*Indata!$N$27,0)+IF(AND(Indata!$L$28&lt;&gt;"",U52&gt;Indata!$L$28),-U62*Indata!$N$28,0)+IF(AND(Indata!$L$29&lt;&gt;"",U52&gt;Indata!$L$29),-U63*Indata!$N$29,0)+IF(AND(Indata!$L$30&lt;&gt;"",U52&gt;Indata!$L$30),-U64*Indata!$N$30,0)</f>
        <v>0</v>
      </c>
      <c r="V67" s="138">
        <f>IF(AND(Indata!$L$26&lt;&gt;"",V52&gt;Indata!$L$26),-V60*Indata!$N$26,0)+IF(AND(Indata!$L$27&lt;&gt;"",V52&gt;Indata!$L$27),-V61*Indata!$N$27,0)+IF(AND(Indata!$L$28&lt;&gt;"",V52&gt;Indata!$L$28),-V62*Indata!$N$28,0)+IF(AND(Indata!$L$29&lt;&gt;"",V52&gt;Indata!$L$29),-V63*Indata!$N$29,0)+IF(AND(Indata!$L$30&lt;&gt;"",V52&gt;Indata!$L$30),-V64*Indata!$N$30,0)</f>
        <v>0</v>
      </c>
      <c r="W67" s="138">
        <f>IF(AND(Indata!$L$26&lt;&gt;"",W52&gt;Indata!$L$26),-W60*Indata!$N$26,0)+IF(AND(Indata!$L$27&lt;&gt;"",W52&gt;Indata!$L$27),-W61*Indata!$N$27,0)+IF(AND(Indata!$L$28&lt;&gt;"",W52&gt;Indata!$L$28),-W62*Indata!$N$28,0)+IF(AND(Indata!$L$29&lt;&gt;"",W52&gt;Indata!$L$29),-W63*Indata!$N$29,0)+IF(AND(Indata!$L$30&lt;&gt;"",W52&gt;Indata!$L$30),-W64*Indata!$N$30,0)</f>
        <v>0</v>
      </c>
      <c r="X67" s="138">
        <f>IF(AND(Indata!$L$26&lt;&gt;"",X52&gt;Indata!$L$26),-X60*Indata!$N$26,0)+IF(AND(Indata!$L$27&lt;&gt;"",X52&gt;Indata!$L$27),-X61*Indata!$N$27,0)+IF(AND(Indata!$L$28&lt;&gt;"",X52&gt;Indata!$L$28),-X62*Indata!$N$28,0)+IF(AND(Indata!$L$29&lt;&gt;"",X52&gt;Indata!$L$29),-X63*Indata!$N$29,0)+IF(AND(Indata!$L$30&lt;&gt;"",X52&gt;Indata!$L$30),-X64*Indata!$N$30,0)</f>
        <v>0</v>
      </c>
      <c r="Y67" s="138">
        <f>IF(AND(Indata!$L$26&lt;&gt;"",Y52&gt;Indata!$L$26),-Y60*Indata!$N$26,0)+IF(AND(Indata!$L$27&lt;&gt;"",Y52&gt;Indata!$L$27),-Y61*Indata!$N$27,0)+IF(AND(Indata!$L$28&lt;&gt;"",Y52&gt;Indata!$L$28),-Y62*Indata!$N$28,0)+IF(AND(Indata!$L$29&lt;&gt;"",Y52&gt;Indata!$L$29),-Y63*Indata!$N$29,0)+IF(AND(Indata!$L$30&lt;&gt;"",Y52&gt;Indata!$L$30),-Y64*Indata!$N$30,0)</f>
        <v>0</v>
      </c>
      <c r="Z67" s="138">
        <f>IF(AND(Indata!$L$26&lt;&gt;"",Z52&gt;Indata!$L$26),-Z60*Indata!$N$26,0)+IF(AND(Indata!$L$27&lt;&gt;"",Z52&gt;Indata!$L$27),-Z61*Indata!$N$27,0)+IF(AND(Indata!$L$28&lt;&gt;"",Z52&gt;Indata!$L$28),-Z62*Indata!$N$28,0)+IF(AND(Indata!$L$29&lt;&gt;"",Z52&gt;Indata!$L$29),-Z63*Indata!$N$29,0)+IF(AND(Indata!$L$30&lt;&gt;"",Z52&gt;Indata!$L$30),-Z64*Indata!$N$30,0)</f>
        <v>0</v>
      </c>
      <c r="AA67" s="138">
        <f>IF(AND(Indata!$L$26&lt;&gt;"",AA52&gt;Indata!$L$26),-AA60*Indata!$N$26,0)+IF(AND(Indata!$L$27&lt;&gt;"",AA52&gt;Indata!$L$27),-AA61*Indata!$N$27,0)+IF(AND(Indata!$L$28&lt;&gt;"",AA52&gt;Indata!$L$28),-AA62*Indata!$N$28,0)+IF(AND(Indata!$L$29&lt;&gt;"",AA52&gt;Indata!$L$29),-AA63*Indata!$N$29,0)+IF(AND(Indata!$L$30&lt;&gt;"",AA52&gt;Indata!$L$30),-AA64*Indata!$N$30,0)</f>
        <v>0</v>
      </c>
      <c r="AB67" s="138">
        <f>IF(AND(Indata!$L$26&lt;&gt;"",AB52&gt;Indata!$L$26),-AB60*Indata!$N$26,0)+IF(AND(Indata!$L$27&lt;&gt;"",AB52&gt;Indata!$L$27),-AB61*Indata!$N$27,0)+IF(AND(Indata!$L$28&lt;&gt;"",AB52&gt;Indata!$L$28),-AB62*Indata!$N$28,0)+IF(AND(Indata!$L$29&lt;&gt;"",AB52&gt;Indata!$L$29),-AB63*Indata!$N$29,0)+IF(AND(Indata!$L$30&lt;&gt;"",AB52&gt;Indata!$L$30),-AB64*Indata!$N$30,0)</f>
        <v>0</v>
      </c>
      <c r="AC67" s="20"/>
      <c r="AD67" s="20"/>
    </row>
    <row r="68" spans="1:30" ht="15" customHeight="1">
      <c r="A68" s="19"/>
      <c r="B68" s="79" t="s">
        <v>258</v>
      </c>
      <c r="C68" s="20"/>
      <c r="D68" s="139">
        <f t="shared" ref="D68:AB68" si="2">D66+D67</f>
        <v>0</v>
      </c>
      <c r="E68" s="139">
        <f t="shared" si="2"/>
        <v>0</v>
      </c>
      <c r="F68" s="139">
        <f t="shared" si="2"/>
        <v>0</v>
      </c>
      <c r="G68" s="139">
        <f t="shared" si="2"/>
        <v>0</v>
      </c>
      <c r="H68" s="139">
        <f t="shared" si="2"/>
        <v>0</v>
      </c>
      <c r="I68" s="139">
        <f t="shared" si="2"/>
        <v>0</v>
      </c>
      <c r="J68" s="139">
        <f t="shared" si="2"/>
        <v>0</v>
      </c>
      <c r="K68" s="139">
        <f t="shared" si="2"/>
        <v>0</v>
      </c>
      <c r="L68" s="139">
        <f t="shared" si="2"/>
        <v>0</v>
      </c>
      <c r="M68" s="139">
        <f t="shared" si="2"/>
        <v>0</v>
      </c>
      <c r="N68" s="139">
        <f t="shared" si="2"/>
        <v>0</v>
      </c>
      <c r="O68" s="139">
        <f t="shared" si="2"/>
        <v>0</v>
      </c>
      <c r="P68" s="139">
        <f t="shared" si="2"/>
        <v>0</v>
      </c>
      <c r="Q68" s="139">
        <f t="shared" si="2"/>
        <v>0</v>
      </c>
      <c r="R68" s="139">
        <f t="shared" si="2"/>
        <v>0</v>
      </c>
      <c r="S68" s="139">
        <f t="shared" si="2"/>
        <v>0</v>
      </c>
      <c r="T68" s="139">
        <f t="shared" si="2"/>
        <v>0</v>
      </c>
      <c r="U68" s="139">
        <f t="shared" si="2"/>
        <v>0</v>
      </c>
      <c r="V68" s="139">
        <f t="shared" si="2"/>
        <v>0</v>
      </c>
      <c r="W68" s="139">
        <f t="shared" si="2"/>
        <v>0</v>
      </c>
      <c r="X68" s="139">
        <f t="shared" si="2"/>
        <v>0</v>
      </c>
      <c r="Y68" s="139">
        <f t="shared" si="2"/>
        <v>0</v>
      </c>
      <c r="Z68" s="139">
        <f t="shared" si="2"/>
        <v>0</v>
      </c>
      <c r="AA68" s="139">
        <f t="shared" si="2"/>
        <v>0</v>
      </c>
      <c r="AB68" s="139">
        <f t="shared" si="2"/>
        <v>0</v>
      </c>
      <c r="AC68" s="20"/>
      <c r="AD68" s="20"/>
    </row>
    <row r="69" spans="1:30" ht="16.5" customHeight="1">
      <c r="A69" s="19"/>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row>
    <row r="70" spans="1:30" ht="21.95" customHeight="1">
      <c r="A70" s="19"/>
      <c r="B70" s="43" t="s">
        <v>414</v>
      </c>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0"/>
      <c r="AD70" s="20"/>
    </row>
    <row r="71" spans="1:30" ht="15" customHeight="1">
      <c r="A71" s="19"/>
      <c r="B71" s="20" t="s">
        <v>189</v>
      </c>
      <c r="C71" s="20"/>
      <c r="D71" s="138">
        <f>-((D56*Indata!$C36+D55*Indata!$D36)*(1+Indata!$C$8)^(D53-1))*(1+IF(D53-1&gt;=10,Indata!$E36,0)+IF(D53-1&gt;=15,Indata!$F36,0))</f>
        <v>-250000</v>
      </c>
      <c r="E71" s="138">
        <f>-((E56*Indata!$C36+E55*Indata!$D36)*(1+Indata!$C$8)^(E53-1))*(1+IF(E53-1&gt;=10,Indata!$E36,0)+IF(E53-1&gt;=15,Indata!$F36,0))</f>
        <v>-255000</v>
      </c>
      <c r="F71" s="138">
        <f>-((F56*Indata!$C36+F55*Indata!$D36)*(1+Indata!$C$8)^(F53-1))*(1+IF(F53-1&gt;=10,Indata!$E36,0)+IF(F53-1&gt;=15,Indata!$F36,0))</f>
        <v>-260100</v>
      </c>
      <c r="G71" s="138">
        <f>-((G56*Indata!$C36+G55*Indata!$D36)*(1+Indata!$C$8)^(G53-1))*(1+IF(G53-1&gt;=10,Indata!$E36,0)+IF(G53-1&gt;=15,Indata!$F36,0))</f>
        <v>-265302</v>
      </c>
      <c r="H71" s="138">
        <f>-((H56*Indata!$C36+H55*Indata!$D36)*(1+Indata!$C$8)^(H53-1))*(1+IF(H53-1&gt;=10,Indata!$E36,0)+IF(H53-1&gt;=15,Indata!$F36,0))</f>
        <v>-270608.03999999998</v>
      </c>
      <c r="I71" s="138">
        <f>-((I56*Indata!$C36+I55*Indata!$D36)*(1+Indata!$C$8)^(I53-1))*(1+IF(I53-1&gt;=10,Indata!$E36,0)+IF(I53-1&gt;=15,Indata!$F36,0))</f>
        <v>-276020.20079999999</v>
      </c>
      <c r="J71" s="138">
        <f>-((J56*Indata!$C36+J55*Indata!$D36)*(1+Indata!$C$8)^(J53-1))*(1+IF(J53-1&gt;=10,Indata!$E36,0)+IF(J53-1&gt;=15,Indata!$F36,0))</f>
        <v>-281540.60481600004</v>
      </c>
      <c r="K71" s="138">
        <f>-((K56*Indata!$C36+K55*Indata!$D36)*(1+Indata!$C$8)^(K53-1))*(1+IF(K53-1&gt;=10,Indata!$E36,0)+IF(K53-1&gt;=15,Indata!$F36,0))</f>
        <v>-287171.41691231995</v>
      </c>
      <c r="L71" s="138">
        <f>-((L56*Indata!$C36+L55*Indata!$D36)*(1+Indata!$C$8)^(L53-1))*(1+IF(L53-1&gt;=10,Indata!$E36,0)+IF(L53-1&gt;=15,Indata!$F36,0))</f>
        <v>-292914.84525056637</v>
      </c>
      <c r="M71" s="138">
        <f>-((M56*Indata!$C36+M55*Indata!$D36)*(1+Indata!$C$8)^(M53-1))*(1+IF(M53-1&gt;=10,Indata!$E36,0)+IF(M53-1&gt;=15,Indata!$F36,0))</f>
        <v>-298773.14215557772</v>
      </c>
      <c r="N71" s="138">
        <f>-((N56*Indata!$C36+N55*Indata!$D36)*(1+Indata!$C$8)^(N53-1))*(1+IF(N53-1&gt;=10,Indata!$E36,0)+IF(N53-1&gt;=15,Indata!$F36,0))</f>
        <v>-304748.60499868926</v>
      </c>
      <c r="O71" s="138">
        <f>-((O56*Indata!$C36+O55*Indata!$D36)*(1+Indata!$C$8)^(O53-1))*(1+IF(O53-1&gt;=10,Indata!$E36,0)+IF(O53-1&gt;=15,Indata!$F36,0))</f>
        <v>-310843.57709866302</v>
      </c>
      <c r="P71" s="138">
        <f>-((P56*Indata!$C36+P55*Indata!$D36)*(1+Indata!$C$8)^(P53-1))*(1+IF(P53-1&gt;=10,Indata!$E36,0)+IF(P53-1&gt;=15,Indata!$F36,0))</f>
        <v>-317060.44864063634</v>
      </c>
      <c r="Q71" s="138">
        <f>-((Q56*Indata!$C36+Q55*Indata!$D36)*(1+Indata!$C$8)^(Q53-1))*(1+IF(Q53-1&gt;=10,Indata!$E36,0)+IF(Q53-1&gt;=15,Indata!$F36,0))</f>
        <v>-323401.65761344903</v>
      </c>
      <c r="R71" s="138">
        <f>-((R56*Indata!$C36+R55*Indata!$D36)*(1+Indata!$C$8)^(R53-1))*(1+IF(R53-1&gt;=10,Indata!$E36,0)+IF(R53-1&gt;=15,Indata!$F36,0))</f>
        <v>-329869.69076571806</v>
      </c>
      <c r="S71" s="138">
        <f>-((S56*Indata!$C36+S55*Indata!$D36)*(1+Indata!$C$8)^(S53-1))*(1+IF(S53-1&gt;=10,Indata!$E36,0)+IF(S53-1&gt;=15,Indata!$F36,0))</f>
        <v>-336467.08458103228</v>
      </c>
      <c r="T71" s="138">
        <f>-((T56*Indata!$C36+T55*Indata!$D36)*(1+Indata!$C$8)^(T53-1))*(1+IF(T53-1&gt;=10,Indata!$E36,0)+IF(T53-1&gt;=15,Indata!$F36,0))</f>
        <v>-343196.42627265299</v>
      </c>
      <c r="U71" s="138">
        <f>-((U56*Indata!$C36+U55*Indata!$D36)*(1+Indata!$C$8)^(U53-1))*(1+IF(U53-1&gt;=10,Indata!$E36,0)+IF(U53-1&gt;=15,Indata!$F36,0))</f>
        <v>-350060.35479810613</v>
      </c>
      <c r="V71" s="138">
        <f>-((V56*Indata!$C36+V55*Indata!$D36)*(1+Indata!$C$8)^(V53-1))*(1+IF(V53-1&gt;=10,Indata!$E36,0)+IF(V53-1&gt;=15,Indata!$F36,0))</f>
        <v>-357061.5618940682</v>
      </c>
      <c r="W71" s="138">
        <f>-((W56*Indata!$C36+W55*Indata!$D36)*(1+Indata!$C$8)^(W53-1))*(1+IF(W53-1&gt;=10,Indata!$E36,0)+IF(W53-1&gt;=15,Indata!$F36,0))</f>
        <v>-364202.79313194955</v>
      </c>
      <c r="X71" s="138">
        <f>-((X56*Indata!$C36+X55*Indata!$D36)*(1+Indata!$C$8)^(X53-1))*(1+IF(X53-1&gt;=10,Indata!$E36,0)+IF(X53-1&gt;=15,Indata!$F36,0))</f>
        <v>-371486.84899458854</v>
      </c>
      <c r="Y71" s="138">
        <f>-((Y56*Indata!$C36+Y55*Indata!$D36)*(1+Indata!$C$8)^(Y53-1))*(1+IF(Y53-1&gt;=10,Indata!$E36,0)+IF(Y53-1&gt;=15,Indata!$F36,0))</f>
        <v>-378916.58597448032</v>
      </c>
      <c r="Z71" s="138">
        <f>-((Z56*Indata!$C36+Z55*Indata!$D36)*(1+Indata!$C$8)^(Z53-1))*(1+IF(Z53-1&gt;=10,Indata!$E36,0)+IF(Z53-1&gt;=15,Indata!$F36,0))</f>
        <v>-386494.91769396991</v>
      </c>
      <c r="AA71" s="138">
        <f>-((AA56*Indata!$C36+AA55*Indata!$D36)*(1+Indata!$C$8)^(AA53-1))*(1+IF(AA53-1&gt;=10,Indata!$E36,0)+IF(AA53-1&gt;=15,Indata!$F36,0))</f>
        <v>-394224.81604784925</v>
      </c>
      <c r="AB71" s="138">
        <f>-((AB56*Indata!$C36+AB55*Indata!$D36)*(1+Indata!$C$8)^(AB53-1))*(1+IF(AB53-1&gt;=10,Indata!$E36,0)+IF(AB53-1&gt;=15,Indata!$F36,0))</f>
        <v>-402109.31236880628</v>
      </c>
      <c r="AC71" s="20"/>
      <c r="AD71" s="20"/>
    </row>
    <row r="72" spans="1:30" ht="15" customHeight="1">
      <c r="A72" s="19"/>
      <c r="B72" s="20" t="s">
        <v>190</v>
      </c>
      <c r="C72" s="20"/>
      <c r="D72" s="138">
        <f>-((D56*Indata!$C37+D55*Indata!$D37)*(1+Indata!$C$8)^(D53-1))*(1+IF(D53-1&gt;=10,Indata!$E37,0)+IF(D53-1&gt;=15,Indata!$F37,0))</f>
        <v>-150000</v>
      </c>
      <c r="E72" s="138">
        <f>-((E56*Indata!$C37+E55*Indata!$D37)*(1+Indata!$C$8)^(E53-1))*(1+IF(E53-1&gt;=10,Indata!$E37,0)+IF(E53-1&gt;=15,Indata!$F37,0))</f>
        <v>-153000</v>
      </c>
      <c r="F72" s="138">
        <f>-((F56*Indata!$C37+F55*Indata!$D37)*(1+Indata!$C$8)^(F53-1))*(1+IF(F53-1&gt;=10,Indata!$E37,0)+IF(F53-1&gt;=15,Indata!$F37,0))</f>
        <v>-156060</v>
      </c>
      <c r="G72" s="138">
        <f>-((G56*Indata!$C37+G55*Indata!$D37)*(1+Indata!$C$8)^(G53-1))*(1+IF(G53-1&gt;=10,Indata!$E37,0)+IF(G53-1&gt;=15,Indata!$F37,0))</f>
        <v>-159181.19999999998</v>
      </c>
      <c r="H72" s="138">
        <f>-((H56*Indata!$C37+H55*Indata!$D37)*(1+Indata!$C$8)^(H53-1))*(1+IF(H53-1&gt;=10,Indata!$E37,0)+IF(H53-1&gt;=15,Indata!$F37,0))</f>
        <v>-162364.82399999999</v>
      </c>
      <c r="I72" s="138">
        <f>-((I56*Indata!$C37+I55*Indata!$D37)*(1+Indata!$C$8)^(I53-1))*(1+IF(I53-1&gt;=10,Indata!$E37,0)+IF(I53-1&gt;=15,Indata!$F37,0))</f>
        <v>-165612.12048000001</v>
      </c>
      <c r="J72" s="138">
        <f>-((J56*Indata!$C37+J55*Indata!$D37)*(1+Indata!$C$8)^(J53-1))*(1+IF(J53-1&gt;=10,Indata!$E37,0)+IF(J53-1&gt;=15,Indata!$F37,0))</f>
        <v>-168924.36288960002</v>
      </c>
      <c r="K72" s="138">
        <f>-((K56*Indata!$C37+K55*Indata!$D37)*(1+Indata!$C$8)^(K53-1))*(1+IF(K53-1&gt;=10,Indata!$E37,0)+IF(K53-1&gt;=15,Indata!$F37,0))</f>
        <v>-172302.85014739196</v>
      </c>
      <c r="L72" s="138">
        <f>-((L56*Indata!$C37+L55*Indata!$D37)*(1+Indata!$C$8)^(L53-1))*(1+IF(L53-1&gt;=10,Indata!$E37,0)+IF(L53-1&gt;=15,Indata!$F37,0))</f>
        <v>-175748.90715033983</v>
      </c>
      <c r="M72" s="138">
        <f>-((M56*Indata!$C37+M55*Indata!$D37)*(1+Indata!$C$8)^(M53-1))*(1+IF(M53-1&gt;=10,Indata!$E37,0)+IF(M53-1&gt;=15,Indata!$F37,0))</f>
        <v>-179263.88529334663</v>
      </c>
      <c r="N72" s="138">
        <f>-((N56*Indata!$C37+N55*Indata!$D37)*(1+Indata!$C$8)^(N53-1))*(1+IF(N53-1&gt;=10,Indata!$E37,0)+IF(N53-1&gt;=15,Indata!$F37,0))</f>
        <v>-182849.16299921356</v>
      </c>
      <c r="O72" s="138">
        <f>-((O56*Indata!$C37+O55*Indata!$D37)*(1+Indata!$C$8)^(O53-1))*(1+IF(O53-1&gt;=10,Indata!$E37,0)+IF(O53-1&gt;=15,Indata!$F37,0))</f>
        <v>-186506.14625919779</v>
      </c>
      <c r="P72" s="138">
        <f>-((P56*Indata!$C37+P55*Indata!$D37)*(1+Indata!$C$8)^(P53-1))*(1+IF(P53-1&gt;=10,Indata!$E37,0)+IF(P53-1&gt;=15,Indata!$F37,0))</f>
        <v>-190236.26918438179</v>
      </c>
      <c r="Q72" s="138">
        <f>-((Q56*Indata!$C37+Q55*Indata!$D37)*(1+Indata!$C$8)^(Q53-1))*(1+IF(Q53-1&gt;=10,Indata!$E37,0)+IF(Q53-1&gt;=15,Indata!$F37,0))</f>
        <v>-194040.99456806941</v>
      </c>
      <c r="R72" s="138">
        <f>-((R56*Indata!$C37+R55*Indata!$D37)*(1+Indata!$C$8)^(R53-1))*(1+IF(R53-1&gt;=10,Indata!$E37,0)+IF(R53-1&gt;=15,Indata!$F37,0))</f>
        <v>-197921.81445943081</v>
      </c>
      <c r="S72" s="138">
        <f>-((S56*Indata!$C37+S55*Indata!$D37)*(1+Indata!$C$8)^(S53-1))*(1+IF(S53-1&gt;=10,Indata!$E37,0)+IF(S53-1&gt;=15,Indata!$F37,0))</f>
        <v>-201880.25074861938</v>
      </c>
      <c r="T72" s="138">
        <f>-((T56*Indata!$C37+T55*Indata!$D37)*(1+Indata!$C$8)^(T53-1))*(1+IF(T53-1&gt;=10,Indata!$E37,0)+IF(T53-1&gt;=15,Indata!$F37,0))</f>
        <v>-205917.8557635918</v>
      </c>
      <c r="U72" s="138">
        <f>-((U56*Indata!$C37+U55*Indata!$D37)*(1+Indata!$C$8)^(U53-1))*(1+IF(U53-1&gt;=10,Indata!$E37,0)+IF(U53-1&gt;=15,Indata!$F37,0))</f>
        <v>-210036.21287886365</v>
      </c>
      <c r="V72" s="138">
        <f>-((V56*Indata!$C37+V55*Indata!$D37)*(1+Indata!$C$8)^(V53-1))*(1+IF(V53-1&gt;=10,Indata!$E37,0)+IF(V53-1&gt;=15,Indata!$F37,0))</f>
        <v>-214236.93713644092</v>
      </c>
      <c r="W72" s="138">
        <f>-((W56*Indata!$C37+W55*Indata!$D37)*(1+Indata!$C$8)^(W53-1))*(1+IF(W53-1&gt;=10,Indata!$E37,0)+IF(W53-1&gt;=15,Indata!$F37,0))</f>
        <v>-218521.67587916972</v>
      </c>
      <c r="X72" s="138">
        <f>-((X56*Indata!$C37+X55*Indata!$D37)*(1+Indata!$C$8)^(X53-1))*(1+IF(X53-1&gt;=10,Indata!$E37,0)+IF(X53-1&gt;=15,Indata!$F37,0))</f>
        <v>-222892.10939675313</v>
      </c>
      <c r="Y72" s="138">
        <f>-((Y56*Indata!$C37+Y55*Indata!$D37)*(1+Indata!$C$8)^(Y53-1))*(1+IF(Y53-1&gt;=10,Indata!$E37,0)+IF(Y53-1&gt;=15,Indata!$F37,0))</f>
        <v>-227349.95158468818</v>
      </c>
      <c r="Z72" s="138">
        <f>-((Z56*Indata!$C37+Z55*Indata!$D37)*(1+Indata!$C$8)^(Z53-1))*(1+IF(Z53-1&gt;=10,Indata!$E37,0)+IF(Z53-1&gt;=15,Indata!$F37,0))</f>
        <v>-231896.95061638195</v>
      </c>
      <c r="AA72" s="138">
        <f>-((AA56*Indata!$C37+AA55*Indata!$D37)*(1+Indata!$C$8)^(AA53-1))*(1+IF(AA53-1&gt;=10,Indata!$E37,0)+IF(AA53-1&gt;=15,Indata!$F37,0))</f>
        <v>-236534.88962870956</v>
      </c>
      <c r="AB72" s="138">
        <f>-((AB56*Indata!$C37+AB55*Indata!$D37)*(1+Indata!$C$8)^(AB53-1))*(1+IF(AB53-1&gt;=10,Indata!$E37,0)+IF(AB53-1&gt;=15,Indata!$F37,0))</f>
        <v>-241265.58742128377</v>
      </c>
      <c r="AC72" s="20"/>
      <c r="AD72" s="20"/>
    </row>
    <row r="73" spans="1:30" ht="15" customHeight="1">
      <c r="A73" s="19"/>
      <c r="B73" s="20" t="s">
        <v>191</v>
      </c>
      <c r="C73" s="20"/>
      <c r="D73" s="138">
        <f>-((D56*Indata!$C38+D55*Indata!$D38)*(1+Indata!$C$8)^(D53-1))*(1+IF(D53-1&gt;=10,Indata!$E38,0)+IF(D53-1&gt;=15,Indata!$F38,0))</f>
        <v>-200000</v>
      </c>
      <c r="E73" s="138">
        <f>-((E56*Indata!$C38+E55*Indata!$D38)*(1+Indata!$C$8)^(E53-1))*(1+IF(E53-1&gt;=10,Indata!$E38,0)+IF(E53-1&gt;=15,Indata!$F38,0))</f>
        <v>-204000</v>
      </c>
      <c r="F73" s="138">
        <f>-((F56*Indata!$C38+F55*Indata!$D38)*(1+Indata!$C$8)^(F53-1))*(1+IF(F53-1&gt;=10,Indata!$E38,0)+IF(F53-1&gt;=15,Indata!$F38,0))</f>
        <v>-208080</v>
      </c>
      <c r="G73" s="138">
        <f>-((G56*Indata!$C38+G55*Indata!$D38)*(1+Indata!$C$8)^(G53-1))*(1+IF(G53-1&gt;=10,Indata!$E38,0)+IF(G53-1&gt;=15,Indata!$F38,0))</f>
        <v>-212241.59999999998</v>
      </c>
      <c r="H73" s="138">
        <f>-((H56*Indata!$C38+H55*Indata!$D38)*(1+Indata!$C$8)^(H53-1))*(1+IF(H53-1&gt;=10,Indata!$E38,0)+IF(H53-1&gt;=15,Indata!$F38,0))</f>
        <v>-216486.432</v>
      </c>
      <c r="I73" s="138">
        <f>-((I56*Indata!$C38+I55*Indata!$D38)*(1+Indata!$C$8)^(I53-1))*(1+IF(I53-1&gt;=10,Indata!$E38,0)+IF(I53-1&gt;=15,Indata!$F38,0))</f>
        <v>-220816.16064000002</v>
      </c>
      <c r="J73" s="138">
        <f>-((J56*Indata!$C38+J55*Indata!$D38)*(1+Indata!$C$8)^(J53-1))*(1+IF(J53-1&gt;=10,Indata!$E38,0)+IF(J53-1&gt;=15,Indata!$F38,0))</f>
        <v>-225232.48385280001</v>
      </c>
      <c r="K73" s="138">
        <f>-((K56*Indata!$C38+K55*Indata!$D38)*(1+Indata!$C$8)^(K53-1))*(1+IF(K53-1&gt;=10,Indata!$E38,0)+IF(K53-1&gt;=15,Indata!$F38,0))</f>
        <v>-229737.13352985596</v>
      </c>
      <c r="L73" s="138">
        <f>-((L56*Indata!$C38+L55*Indata!$D38)*(1+Indata!$C$8)^(L53-1))*(1+IF(L53-1&gt;=10,Indata!$E38,0)+IF(L53-1&gt;=15,Indata!$F38,0))</f>
        <v>-234331.87620045312</v>
      </c>
      <c r="M73" s="138">
        <f>-((M56*Indata!$C38+M55*Indata!$D38)*(1+Indata!$C$8)^(M53-1))*(1+IF(M53-1&gt;=10,Indata!$E38,0)+IF(M53-1&gt;=15,Indata!$F38,0))</f>
        <v>-239018.51372446216</v>
      </c>
      <c r="N73" s="138">
        <f>-((N56*Indata!$C38+N55*Indata!$D38)*(1+Indata!$C$8)^(N53-1))*(1+IF(N53-1&gt;=10,Indata!$E38,0)+IF(N53-1&gt;=15,Indata!$F38,0))</f>
        <v>-243798.88399895141</v>
      </c>
      <c r="O73" s="138">
        <f>-((O56*Indata!$C38+O55*Indata!$D38)*(1+Indata!$C$8)^(O53-1))*(1+IF(O53-1&gt;=10,Indata!$E38,0)+IF(O53-1&gt;=15,Indata!$F38,0))</f>
        <v>-248674.86167893041</v>
      </c>
      <c r="P73" s="138">
        <f>-((P56*Indata!$C38+P55*Indata!$D38)*(1+Indata!$C$8)^(P53-1))*(1+IF(P53-1&gt;=10,Indata!$E38,0)+IF(P53-1&gt;=15,Indata!$F38,0))</f>
        <v>-253648.35891250905</v>
      </c>
      <c r="Q73" s="138">
        <f>-((Q56*Indata!$C38+Q55*Indata!$D38)*(1+Indata!$C$8)^(Q53-1))*(1+IF(Q53-1&gt;=10,Indata!$E38,0)+IF(Q53-1&gt;=15,Indata!$F38,0))</f>
        <v>-258721.32609075922</v>
      </c>
      <c r="R73" s="138">
        <f>-((R56*Indata!$C38+R55*Indata!$D38)*(1+Indata!$C$8)^(R53-1))*(1+IF(R53-1&gt;=10,Indata!$E38,0)+IF(R53-1&gt;=15,Indata!$F38,0))</f>
        <v>-263895.75261257443</v>
      </c>
      <c r="S73" s="138">
        <f>-((S56*Indata!$C38+S55*Indata!$D38)*(1+Indata!$C$8)^(S53-1))*(1+IF(S53-1&gt;=10,Indata!$E38,0)+IF(S53-1&gt;=15,Indata!$F38,0))</f>
        <v>-269173.66766482586</v>
      </c>
      <c r="T73" s="138">
        <f>-((T56*Indata!$C38+T55*Indata!$D38)*(1+Indata!$C$8)^(T53-1))*(1+IF(T53-1&gt;=10,Indata!$E38,0)+IF(T53-1&gt;=15,Indata!$F38,0))</f>
        <v>-274557.14101812243</v>
      </c>
      <c r="U73" s="138">
        <f>-((U56*Indata!$C38+U55*Indata!$D38)*(1+Indata!$C$8)^(U53-1))*(1+IF(U53-1&gt;=10,Indata!$E38,0)+IF(U53-1&gt;=15,Indata!$F38,0))</f>
        <v>-280048.2838384849</v>
      </c>
      <c r="V73" s="138">
        <f>-((V56*Indata!$C38+V55*Indata!$D38)*(1+Indata!$C$8)^(V53-1))*(1+IF(V53-1&gt;=10,Indata!$E38,0)+IF(V53-1&gt;=15,Indata!$F38,0))</f>
        <v>-285649.24951525452</v>
      </c>
      <c r="W73" s="138">
        <f>-((W56*Indata!$C38+W55*Indata!$D38)*(1+Indata!$C$8)^(W53-1))*(1+IF(W53-1&gt;=10,Indata!$E38,0)+IF(W53-1&gt;=15,Indata!$F38,0))</f>
        <v>-291362.23450555961</v>
      </c>
      <c r="X73" s="138">
        <f>-((X56*Indata!$C38+X55*Indata!$D38)*(1+Indata!$C$8)^(X53-1))*(1+IF(X53-1&gt;=10,Indata!$E38,0)+IF(X53-1&gt;=15,Indata!$F38,0))</f>
        <v>-297189.47919567087</v>
      </c>
      <c r="Y73" s="138">
        <f>-((Y56*Indata!$C38+Y55*Indata!$D38)*(1+Indata!$C$8)^(Y53-1))*(1+IF(Y53-1&gt;=10,Indata!$E38,0)+IF(Y53-1&gt;=15,Indata!$F38,0))</f>
        <v>-303133.26877958426</v>
      </c>
      <c r="Z73" s="138">
        <f>-((Z56*Indata!$C38+Z55*Indata!$D38)*(1+Indata!$C$8)^(Z53-1))*(1+IF(Z53-1&gt;=10,Indata!$E38,0)+IF(Z53-1&gt;=15,Indata!$F38,0))</f>
        <v>-309195.93415517593</v>
      </c>
      <c r="AA73" s="138">
        <f>-((AA56*Indata!$C38+AA55*Indata!$D38)*(1+Indata!$C$8)^(AA53-1))*(1+IF(AA53-1&gt;=10,Indata!$E38,0)+IF(AA53-1&gt;=15,Indata!$F38,0))</f>
        <v>-315379.85283827939</v>
      </c>
      <c r="AB73" s="138">
        <f>-((AB56*Indata!$C38+AB55*Indata!$D38)*(1+Indata!$C$8)^(AB53-1))*(1+IF(AB53-1&gt;=10,Indata!$E38,0)+IF(AB53-1&gt;=15,Indata!$F38,0))</f>
        <v>-321687.44989504502</v>
      </c>
      <c r="AC73" s="20"/>
      <c r="AD73" s="20"/>
    </row>
    <row r="74" spans="1:30" ht="15" customHeight="1">
      <c r="A74" s="19"/>
      <c r="B74" s="20" t="s">
        <v>192</v>
      </c>
      <c r="C74" s="20"/>
      <c r="D74" s="138">
        <f>-((D56*Indata!$C39+D55*Indata!$D39)*(1+Indata!$C$8)^(D53-1))*(1+IF(D53-1&gt;=10,Indata!$E39,0)+IF(D53-1&gt;=15,Indata!$F39,0))</f>
        <v>-750000</v>
      </c>
      <c r="E74" s="138">
        <f>-((E56*Indata!$C39+E55*Indata!$D39)*(1+Indata!$C$8)^(E53-1))*(1+IF(E53-1&gt;=10,Indata!$E39,0)+IF(E53-1&gt;=15,Indata!$F39,0))</f>
        <v>-765000</v>
      </c>
      <c r="F74" s="138">
        <f>-((F56*Indata!$C39+F55*Indata!$D39)*(1+Indata!$C$8)^(F53-1))*(1+IF(F53-1&gt;=10,Indata!$E39,0)+IF(F53-1&gt;=15,Indata!$F39,0))</f>
        <v>-780300</v>
      </c>
      <c r="G74" s="138">
        <f>-((G56*Indata!$C39+G55*Indata!$D39)*(1+Indata!$C$8)^(G53-1))*(1+IF(G53-1&gt;=10,Indata!$E39,0)+IF(G53-1&gt;=15,Indata!$F39,0))</f>
        <v>-795906</v>
      </c>
      <c r="H74" s="138">
        <f>-((H56*Indata!$C39+H55*Indata!$D39)*(1+Indata!$C$8)^(H53-1))*(1+IF(H53-1&gt;=10,Indata!$E39,0)+IF(H53-1&gt;=15,Indata!$F39,0))</f>
        <v>-811824.12</v>
      </c>
      <c r="I74" s="138">
        <f>-((I56*Indata!$C39+I55*Indata!$D39)*(1+Indata!$C$8)^(I53-1))*(1+IF(I53-1&gt;=10,Indata!$E39,0)+IF(I53-1&gt;=15,Indata!$F39,0))</f>
        <v>-828060.60239999997</v>
      </c>
      <c r="J74" s="138">
        <f>-((J56*Indata!$C39+J55*Indata!$D39)*(1+Indata!$C$8)^(J53-1))*(1+IF(J53-1&gt;=10,Indata!$E39,0)+IF(J53-1&gt;=15,Indata!$F39,0))</f>
        <v>-844621.81444800005</v>
      </c>
      <c r="K74" s="138">
        <f>-((K56*Indata!$C39+K55*Indata!$D39)*(1+Indata!$C$8)^(K53-1))*(1+IF(K53-1&gt;=10,Indata!$E39,0)+IF(K53-1&gt;=15,Indata!$F39,0))</f>
        <v>-861514.25073695986</v>
      </c>
      <c r="L74" s="138">
        <f>-((L56*Indata!$C39+L55*Indata!$D39)*(1+Indata!$C$8)^(L53-1))*(1+IF(L53-1&gt;=10,Indata!$E39,0)+IF(L53-1&gt;=15,Indata!$F39,0))</f>
        <v>-878744.53575169912</v>
      </c>
      <c r="M74" s="138">
        <f>-((M56*Indata!$C39+M55*Indata!$D39)*(1+Indata!$C$8)^(M53-1))*(1+IF(M53-1&gt;=10,Indata!$E39,0)+IF(M53-1&gt;=15,Indata!$F39,0))</f>
        <v>-896319.4264667331</v>
      </c>
      <c r="N74" s="138">
        <f>-((N56*Indata!$C39+N55*Indata!$D39)*(1+Indata!$C$8)^(N53-1))*(1+IF(N53-1&gt;=10,Indata!$E39,0)+IF(N53-1&gt;=15,Indata!$F39,0))</f>
        <v>-914245.81499606778</v>
      </c>
      <c r="O74" s="138">
        <f>-((O56*Indata!$C39+O55*Indata!$D39)*(1+Indata!$C$8)^(O53-1))*(1+IF(O53-1&gt;=10,Indata!$E39,0)+IF(O53-1&gt;=15,Indata!$F39,0))</f>
        <v>-932530.73129598901</v>
      </c>
      <c r="P74" s="138">
        <f>-((P56*Indata!$C39+P55*Indata!$D39)*(1+Indata!$C$8)^(P53-1))*(1+IF(P53-1&gt;=10,Indata!$E39,0)+IF(P53-1&gt;=15,Indata!$F39,0))</f>
        <v>-951181.34592190897</v>
      </c>
      <c r="Q74" s="138">
        <f>-((Q56*Indata!$C39+Q55*Indata!$D39)*(1+Indata!$C$8)^(Q53-1))*(1+IF(Q53-1&gt;=10,Indata!$E39,0)+IF(Q53-1&gt;=15,Indata!$F39,0))</f>
        <v>-970204.97284034709</v>
      </c>
      <c r="R74" s="138">
        <f>-((R56*Indata!$C39+R55*Indata!$D39)*(1+Indata!$C$8)^(R53-1))*(1+IF(R53-1&gt;=10,Indata!$E39,0)+IF(R53-1&gt;=15,Indata!$F39,0))</f>
        <v>-989609.07229715411</v>
      </c>
      <c r="S74" s="138">
        <f>-((S56*Indata!$C39+S55*Indata!$D39)*(1+Indata!$C$8)^(S53-1))*(1+IF(S53-1&gt;=10,Indata!$E39,0)+IF(S53-1&gt;=15,Indata!$F39,0))</f>
        <v>-1009401.253743097</v>
      </c>
      <c r="T74" s="138">
        <f>-((T56*Indata!$C39+T55*Indata!$D39)*(1+Indata!$C$8)^(T53-1))*(1+IF(T53-1&gt;=10,Indata!$E39,0)+IF(T53-1&gt;=15,Indata!$F39,0))</f>
        <v>-1029589.278817959</v>
      </c>
      <c r="U74" s="138">
        <f>-((U56*Indata!$C39+U55*Indata!$D39)*(1+Indata!$C$8)^(U53-1))*(1+IF(U53-1&gt;=10,Indata!$E39,0)+IF(U53-1&gt;=15,Indata!$F39,0))</f>
        <v>-1050181.0643943183</v>
      </c>
      <c r="V74" s="138">
        <f>-((V56*Indata!$C39+V55*Indata!$D39)*(1+Indata!$C$8)^(V53-1))*(1+IF(V53-1&gt;=10,Indata!$E39,0)+IF(V53-1&gt;=15,Indata!$F39,0))</f>
        <v>-1071184.6856822046</v>
      </c>
      <c r="W74" s="138">
        <f>-((W56*Indata!$C39+W55*Indata!$D39)*(1+Indata!$C$8)^(W53-1))*(1+IF(W53-1&gt;=10,Indata!$E39,0)+IF(W53-1&gt;=15,Indata!$F39,0))</f>
        <v>-1092608.3793958486</v>
      </c>
      <c r="X74" s="138">
        <f>-((X56*Indata!$C39+X55*Indata!$D39)*(1+Indata!$C$8)^(X53-1))*(1+IF(X53-1&gt;=10,Indata!$E39,0)+IF(X53-1&gt;=15,Indata!$F39,0))</f>
        <v>-1114460.5469837657</v>
      </c>
      <c r="Y74" s="138">
        <f>-((Y56*Indata!$C39+Y55*Indata!$D39)*(1+Indata!$C$8)^(Y53-1))*(1+IF(Y53-1&gt;=10,Indata!$E39,0)+IF(Y53-1&gt;=15,Indata!$F39,0))</f>
        <v>-1136749.757923441</v>
      </c>
      <c r="Z74" s="138">
        <f>-((Z56*Indata!$C39+Z55*Indata!$D39)*(1+Indata!$C$8)^(Z53-1))*(1+IF(Z53-1&gt;=10,Indata!$E39,0)+IF(Z53-1&gt;=15,Indata!$F39,0))</f>
        <v>-1159484.7530819098</v>
      </c>
      <c r="AA74" s="138">
        <f>-((AA56*Indata!$C39+AA55*Indata!$D39)*(1+Indata!$C$8)^(AA53-1))*(1+IF(AA53-1&gt;=10,Indata!$E39,0)+IF(AA53-1&gt;=15,Indata!$F39,0))</f>
        <v>-1182674.4481435479</v>
      </c>
      <c r="AB74" s="138">
        <f>-((AB56*Indata!$C39+AB55*Indata!$D39)*(1+Indata!$C$8)^(AB53-1))*(1+IF(AB53-1&gt;=10,Indata!$E39,0)+IF(AB53-1&gt;=15,Indata!$F39,0))</f>
        <v>-1206327.9371064189</v>
      </c>
      <c r="AC74" s="20"/>
      <c r="AD74" s="20"/>
    </row>
    <row r="75" spans="1:30" ht="15" customHeight="1">
      <c r="A75" s="19"/>
      <c r="B75" s="20" t="s">
        <v>415</v>
      </c>
      <c r="C75" s="20"/>
      <c r="D75" s="138">
        <f>-((D56*Indata!$C40+D55*Indata!$D40)*(1+Indata!$C$8)^(D53-1))*(1+IF(D53-1&gt;=10,Indata!$E40,0)+IF(D53-1&gt;=15,Indata!$F40,0))</f>
        <v>-650000</v>
      </c>
      <c r="E75" s="138">
        <f>-((E56*Indata!$C40+E55*Indata!$D40)*(1+Indata!$C$8)^(E53-1))*(1+IF(E53-1&gt;=10,Indata!$E40,0)+IF(E53-1&gt;=15,Indata!$F40,0))</f>
        <v>-663000</v>
      </c>
      <c r="F75" s="138">
        <f>-((F56*Indata!$C40+F55*Indata!$D40)*(1+Indata!$C$8)^(F53-1))*(1+IF(F53-1&gt;=10,Indata!$E40,0)+IF(F53-1&gt;=15,Indata!$F40,0))</f>
        <v>-676260</v>
      </c>
      <c r="G75" s="138">
        <f>-((G56*Indata!$C40+G55*Indata!$D40)*(1+Indata!$C$8)^(G53-1))*(1+IF(G53-1&gt;=10,Indata!$E40,0)+IF(G53-1&gt;=15,Indata!$F40,0))</f>
        <v>-689785.2</v>
      </c>
      <c r="H75" s="138">
        <f>-((H56*Indata!$C40+H55*Indata!$D40)*(1+Indata!$C$8)^(H53-1))*(1+IF(H53-1&gt;=10,Indata!$E40,0)+IF(H53-1&gt;=15,Indata!$F40,0))</f>
        <v>-703580.90399999998</v>
      </c>
      <c r="I75" s="138">
        <f>-((I56*Indata!$C40+I55*Indata!$D40)*(1+Indata!$C$8)^(I53-1))*(1+IF(I53-1&gt;=10,Indata!$E40,0)+IF(I53-1&gt;=15,Indata!$F40,0))</f>
        <v>-717652.52208000002</v>
      </c>
      <c r="J75" s="138">
        <f>-((J56*Indata!$C40+J55*Indata!$D40)*(1+Indata!$C$8)^(J53-1))*(1+IF(J53-1&gt;=10,Indata!$E40,0)+IF(J53-1&gt;=15,Indata!$F40,0))</f>
        <v>-732005.57252160006</v>
      </c>
      <c r="K75" s="138">
        <f>-((K56*Indata!$C40+K55*Indata!$D40)*(1+Indata!$C$8)^(K53-1))*(1+IF(K53-1&gt;=10,Indata!$E40,0)+IF(K53-1&gt;=15,Indata!$F40,0))</f>
        <v>-746645.68397203193</v>
      </c>
      <c r="L75" s="138">
        <f>-((L56*Indata!$C40+L55*Indata!$D40)*(1+Indata!$C$8)^(L53-1))*(1+IF(L53-1&gt;=10,Indata!$E40,0)+IF(L53-1&gt;=15,Indata!$F40,0))</f>
        <v>-761578.59765147255</v>
      </c>
      <c r="M75" s="138">
        <f>-((M56*Indata!$C40+M55*Indata!$D40)*(1+Indata!$C$8)^(M53-1))*(1+IF(M53-1&gt;=10,Indata!$E40,0)+IF(M53-1&gt;=15,Indata!$F40,0))</f>
        <v>-776810.16960450204</v>
      </c>
      <c r="N75" s="138">
        <f>-((N56*Indata!$C40+N55*Indata!$D40)*(1+Indata!$C$8)^(N53-1))*(1+IF(N53-1&gt;=10,Indata!$E40,0)+IF(N53-1&gt;=15,Indata!$F40,0))</f>
        <v>-792346.37299659208</v>
      </c>
      <c r="O75" s="138">
        <f>-((O56*Indata!$C40+O55*Indata!$D40)*(1+Indata!$C$8)^(O53-1))*(1+IF(O53-1&gt;=10,Indata!$E40,0)+IF(O53-1&gt;=15,Indata!$F40,0))</f>
        <v>-808193.30045652378</v>
      </c>
      <c r="P75" s="138">
        <f>-((P56*Indata!$C40+P55*Indata!$D40)*(1+Indata!$C$8)^(P53-1))*(1+IF(P53-1&gt;=10,Indata!$E40,0)+IF(P53-1&gt;=15,Indata!$F40,0))</f>
        <v>-824357.16646565439</v>
      </c>
      <c r="Q75" s="138">
        <f>-((Q56*Indata!$C40+Q55*Indata!$D40)*(1+Indata!$C$8)^(Q53-1))*(1+IF(Q53-1&gt;=10,Indata!$E40,0)+IF(Q53-1&gt;=15,Indata!$F40,0))</f>
        <v>-840844.30979496741</v>
      </c>
      <c r="R75" s="138">
        <f>-((R56*Indata!$C40+R55*Indata!$D40)*(1+Indata!$C$8)^(R53-1))*(1+IF(R53-1&gt;=10,Indata!$E40,0)+IF(R53-1&gt;=15,Indata!$F40,0))</f>
        <v>-857661.19599086687</v>
      </c>
      <c r="S75" s="138">
        <f>-((S56*Indata!$C40+S55*Indata!$D40)*(1+Indata!$C$8)^(S53-1))*(1+IF(S53-1&gt;=10,Indata!$E40,0)+IF(S53-1&gt;=15,Indata!$F40,0))</f>
        <v>-874814.419910684</v>
      </c>
      <c r="T75" s="138">
        <f>-((T56*Indata!$C40+T55*Indata!$D40)*(1+Indata!$C$8)^(T53-1))*(1+IF(T53-1&gt;=10,Indata!$E40,0)+IF(T53-1&gt;=15,Indata!$F40,0))</f>
        <v>-892310.7083088978</v>
      </c>
      <c r="U75" s="138">
        <f>-((U56*Indata!$C40+U55*Indata!$D40)*(1+Indata!$C$8)^(U53-1))*(1+IF(U53-1&gt;=10,Indata!$E40,0)+IF(U53-1&gt;=15,Indata!$F40,0))</f>
        <v>-910156.92247507581</v>
      </c>
      <c r="V75" s="138">
        <f>-((V56*Indata!$C40+V55*Indata!$D40)*(1+Indata!$C$8)^(V53-1))*(1+IF(V53-1&gt;=10,Indata!$E40,0)+IF(V53-1&gt;=15,Indata!$F40,0))</f>
        <v>-928360.06092457729</v>
      </c>
      <c r="W75" s="138">
        <f>-((W56*Indata!$C40+W55*Indata!$D40)*(1+Indata!$C$8)^(W53-1))*(1+IF(W53-1&gt;=10,Indata!$E40,0)+IF(W53-1&gt;=15,Indata!$F40,0))</f>
        <v>-946927.26214306883</v>
      </c>
      <c r="X75" s="138">
        <f>-((X56*Indata!$C40+X55*Indata!$D40)*(1+Indata!$C$8)^(X53-1))*(1+IF(X53-1&gt;=10,Indata!$E40,0)+IF(X53-1&gt;=15,Indata!$F40,0))</f>
        <v>-965865.80738593021</v>
      </c>
      <c r="Y75" s="138">
        <f>-((Y56*Indata!$C40+Y55*Indata!$D40)*(1+Indata!$C$8)^(Y53-1))*(1+IF(Y53-1&gt;=10,Indata!$E40,0)+IF(Y53-1&gt;=15,Indata!$F40,0))</f>
        <v>-985183.12353364879</v>
      </c>
      <c r="Z75" s="138">
        <f>-((Z56*Indata!$C40+Z55*Indata!$D40)*(1+Indata!$C$8)^(Z53-1))*(1+IF(Z53-1&gt;=10,Indata!$E40,0)+IF(Z53-1&gt;=15,Indata!$F40,0))</f>
        <v>-1004886.7860043218</v>
      </c>
      <c r="AA75" s="138">
        <f>-((AA56*Indata!$C40+AA55*Indata!$D40)*(1+Indata!$C$8)^(AA53-1))*(1+IF(AA53-1&gt;=10,Indata!$E40,0)+IF(AA53-1&gt;=15,Indata!$F40,0))</f>
        <v>-1024984.521724408</v>
      </c>
      <c r="AB75" s="138">
        <f>-((AB56*Indata!$C40+AB55*Indata!$D40)*(1+Indata!$C$8)^(AB53-1))*(1+IF(AB53-1&gt;=10,Indata!$E40,0)+IF(AB53-1&gt;=15,Indata!$F40,0))</f>
        <v>-1045484.2121588963</v>
      </c>
      <c r="AC75" s="20"/>
      <c r="AD75" s="20"/>
    </row>
    <row r="76" spans="1:30" ht="15" customHeight="1">
      <c r="A76" s="19"/>
      <c r="B76" s="20" t="s">
        <v>416</v>
      </c>
      <c r="C76" s="20"/>
      <c r="D76" s="138">
        <f>-IFERROR(SUMIF(Indata!$D$45:$D$99,D52,Indata!$F$45:$F$99),0)</f>
        <v>0</v>
      </c>
      <c r="E76" s="138">
        <f>-IFERROR(SUMIF(Indata!$D$45:$D$99,E52,Indata!$F$45:$F$99),0)</f>
        <v>0</v>
      </c>
      <c r="F76" s="138">
        <f>-IFERROR(SUMIF(Indata!$D$45:$D$99,F52,Indata!$F$45:$F$99),0)</f>
        <v>0</v>
      </c>
      <c r="G76" s="138">
        <f>-IFERROR(SUMIF(Indata!$D$45:$D$99,G52,Indata!$F$45:$F$99),0)</f>
        <v>0</v>
      </c>
      <c r="H76" s="138">
        <f>-IFERROR(SUMIF(Indata!$D$45:$D$99,H52,Indata!$F$45:$F$99),0)</f>
        <v>0</v>
      </c>
      <c r="I76" s="138">
        <f>-IFERROR(SUMIF(Indata!$D$45:$D$99,I52,Indata!$F$45:$F$99),0)</f>
        <v>0</v>
      </c>
      <c r="J76" s="138">
        <f>-IFERROR(SUMIF(Indata!$D$45:$D$99,J52,Indata!$F$45:$F$99),0)</f>
        <v>0</v>
      </c>
      <c r="K76" s="138">
        <f>-IFERROR(SUMIF(Indata!$D$45:$D$99,K52,Indata!$F$45:$F$99),0)</f>
        <v>0</v>
      </c>
      <c r="L76" s="138">
        <f>-IFERROR(SUMIF(Indata!$D$45:$D$99,L52,Indata!$F$45:$F$99),0)</f>
        <v>0</v>
      </c>
      <c r="M76" s="138">
        <f>-IFERROR(SUMIF(Indata!$D$45:$D$99,M52,Indata!$F$45:$F$99),0)</f>
        <v>0</v>
      </c>
      <c r="N76" s="138">
        <f>-IFERROR(SUMIF(Indata!$D$45:$D$99,N52,Indata!$F$45:$F$99),0)</f>
        <v>0</v>
      </c>
      <c r="O76" s="138">
        <f>-IFERROR(SUMIF(Indata!$D$45:$D$99,O52,Indata!$F$45:$F$99),0)</f>
        <v>0</v>
      </c>
      <c r="P76" s="138">
        <f>-IFERROR(SUMIF(Indata!$D$45:$D$99,P52,Indata!$F$45:$F$99),0)</f>
        <v>0</v>
      </c>
      <c r="Q76" s="138">
        <f>-IFERROR(SUMIF(Indata!$D$45:$D$99,Q52,Indata!$F$45:$F$99),0)</f>
        <v>0</v>
      </c>
      <c r="R76" s="138">
        <f>-IFERROR(SUMIF(Indata!$D$45:$D$99,R52,Indata!$F$45:$F$99),0)</f>
        <v>0</v>
      </c>
      <c r="S76" s="138">
        <f>-IFERROR(SUMIF(Indata!$D$45:$D$99,S52,Indata!$F$45:$F$99),0)</f>
        <v>0</v>
      </c>
      <c r="T76" s="138">
        <f>-IFERROR(SUMIF(Indata!$D$45:$D$99,T52,Indata!$F$45:$F$99),0)</f>
        <v>0</v>
      </c>
      <c r="U76" s="138">
        <f>-IFERROR(SUMIF(Indata!$D$45:$D$99,U52,Indata!$F$45:$F$99),0)</f>
        <v>0</v>
      </c>
      <c r="V76" s="138">
        <f>-IFERROR(SUMIF(Indata!$D$45:$D$99,V52,Indata!$F$45:$F$99),0)</f>
        <v>0</v>
      </c>
      <c r="W76" s="138">
        <f>-IFERROR(SUMIF(Indata!$D$45:$D$99,W52,Indata!$F$45:$F$99),0)</f>
        <v>0</v>
      </c>
      <c r="X76" s="138">
        <f>-IFERROR(SUMIF(Indata!$D$45:$D$99,X52,Indata!$F$45:$F$99),0)</f>
        <v>0</v>
      </c>
      <c r="Y76" s="138">
        <f>-IFERROR(SUMIF(Indata!$D$45:$D$99,Y52,Indata!$F$45:$F$99),0)</f>
        <v>0</v>
      </c>
      <c r="Z76" s="138">
        <f>-IFERROR(SUMIF(Indata!$D$45:$D$99,Z52,Indata!$F$45:$F$99),0)</f>
        <v>0</v>
      </c>
      <c r="AA76" s="138">
        <f>-IFERROR(SUMIF(Indata!$D$45:$D$99,AA52,Indata!$F$45:$F$99),0)</f>
        <v>0</v>
      </c>
      <c r="AB76" s="138">
        <f>-IFERROR(SUMIF(Indata!$D$45:$D$99,AB52,Indata!$F$45:$F$99),0)</f>
        <v>0</v>
      </c>
      <c r="AC76" s="20"/>
      <c r="AD76" s="20"/>
    </row>
    <row r="77" spans="1:30" ht="15" customHeight="1">
      <c r="A77" s="19"/>
      <c r="B77" s="79" t="s">
        <v>417</v>
      </c>
      <c r="C77" s="20"/>
      <c r="D77" s="139">
        <f t="shared" ref="D77:AB77" si="3">SUM(D71:D76)</f>
        <v>-2000000</v>
      </c>
      <c r="E77" s="139">
        <f t="shared" si="3"/>
        <v>-2040000</v>
      </c>
      <c r="F77" s="139">
        <f t="shared" si="3"/>
        <v>-2080800</v>
      </c>
      <c r="G77" s="139">
        <f t="shared" si="3"/>
        <v>-2122416</v>
      </c>
      <c r="H77" s="139">
        <f t="shared" si="3"/>
        <v>-2164864.3199999998</v>
      </c>
      <c r="I77" s="139">
        <f t="shared" si="3"/>
        <v>-2208161.6063999999</v>
      </c>
      <c r="J77" s="139">
        <f t="shared" si="3"/>
        <v>-2252324.8385280003</v>
      </c>
      <c r="K77" s="139">
        <f t="shared" si="3"/>
        <v>-2297371.3352985596</v>
      </c>
      <c r="L77" s="139">
        <f t="shared" si="3"/>
        <v>-2343318.762004531</v>
      </c>
      <c r="M77" s="139">
        <f t="shared" si="3"/>
        <v>-2390185.1372446218</v>
      </c>
      <c r="N77" s="139">
        <f t="shared" si="3"/>
        <v>-2437988.8399895141</v>
      </c>
      <c r="O77" s="139">
        <f t="shared" si="3"/>
        <v>-2486748.6167893042</v>
      </c>
      <c r="P77" s="139">
        <f t="shared" si="3"/>
        <v>-2536483.5891250907</v>
      </c>
      <c r="Q77" s="139">
        <f t="shared" si="3"/>
        <v>-2587213.2609075923</v>
      </c>
      <c r="R77" s="139">
        <f t="shared" si="3"/>
        <v>-2638957.5261257445</v>
      </c>
      <c r="S77" s="139">
        <f t="shared" si="3"/>
        <v>-2691736.6766482582</v>
      </c>
      <c r="T77" s="139">
        <f t="shared" si="3"/>
        <v>-2745571.4101812239</v>
      </c>
      <c r="U77" s="139">
        <f t="shared" si="3"/>
        <v>-2800482.838384849</v>
      </c>
      <c r="V77" s="139">
        <f t="shared" si="3"/>
        <v>-2856492.4951525452</v>
      </c>
      <c r="W77" s="139">
        <f t="shared" si="3"/>
        <v>-2913622.3450555964</v>
      </c>
      <c r="X77" s="139">
        <f t="shared" si="3"/>
        <v>-2971894.7919567083</v>
      </c>
      <c r="Y77" s="139">
        <f t="shared" si="3"/>
        <v>-3031332.6877958425</v>
      </c>
      <c r="Z77" s="139">
        <f t="shared" si="3"/>
        <v>-3091959.3415517593</v>
      </c>
      <c r="AA77" s="139">
        <f t="shared" si="3"/>
        <v>-3153798.528382794</v>
      </c>
      <c r="AB77" s="139">
        <f t="shared" si="3"/>
        <v>-3216874.4989504497</v>
      </c>
      <c r="AC77" s="20"/>
      <c r="AD77" s="20"/>
    </row>
    <row r="78" spans="1:30" ht="16.5" customHeight="1">
      <c r="A78" s="19"/>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row>
    <row r="79" spans="1:30" ht="15" customHeight="1">
      <c r="A79" s="19"/>
      <c r="B79" s="20" t="s">
        <v>418</v>
      </c>
      <c r="C79" s="20"/>
      <c r="D79" s="138">
        <f>-Indata!$C$55*Indata!$C$54*(1+Indata!$C$8)^(D53-1)</f>
        <v>0</v>
      </c>
      <c r="E79" s="138">
        <f>-Indata!$C$55*Indata!$C$54*(1+Indata!$C$8)^(E53-1)</f>
        <v>0</v>
      </c>
      <c r="F79" s="138">
        <f>-Indata!$C$55*Indata!$C$54*(1+Indata!$C$8)^(F53-1)</f>
        <v>0</v>
      </c>
      <c r="G79" s="138">
        <f>-Indata!$C$55*Indata!$C$54*(1+Indata!$C$8)^(G53-1)</f>
        <v>0</v>
      </c>
      <c r="H79" s="138">
        <f>-Indata!$C$55*Indata!$C$54*(1+Indata!$C$8)^(H53-1)</f>
        <v>0</v>
      </c>
      <c r="I79" s="138">
        <f>-Indata!$C$55*Indata!$C$54*(1+Indata!$C$8)^(I53-1)</f>
        <v>0</v>
      </c>
      <c r="J79" s="138">
        <f>-Indata!$C$55*Indata!$C$54*(1+Indata!$C$8)^(J53-1)</f>
        <v>0</v>
      </c>
      <c r="K79" s="138">
        <f>-Indata!$C$55*Indata!$C$54*(1+Indata!$C$8)^(K53-1)</f>
        <v>0</v>
      </c>
      <c r="L79" s="138">
        <f>-Indata!$C$55*Indata!$C$54*(1+Indata!$C$8)^(L53-1)</f>
        <v>0</v>
      </c>
      <c r="M79" s="138">
        <f>-Indata!$C$55*Indata!$C$54*(1+Indata!$C$8)^(M53-1)</f>
        <v>0</v>
      </c>
      <c r="N79" s="138">
        <f>-Indata!$C$55*Indata!$C$54*(1+Indata!$C$8)^(N53-1)</f>
        <v>0</v>
      </c>
      <c r="O79" s="138">
        <f>-Indata!$C$55*Indata!$C$54*(1+Indata!$C$8)^(O53-1)</f>
        <v>0</v>
      </c>
      <c r="P79" s="138">
        <f>-Indata!$C$55*Indata!$C$54*(1+Indata!$C$8)^(P53-1)</f>
        <v>0</v>
      </c>
      <c r="Q79" s="138">
        <f>-Indata!$C$55*Indata!$C$54*(1+Indata!$C$8)^(Q53-1)</f>
        <v>0</v>
      </c>
      <c r="R79" s="138">
        <f>-Indata!$C$55*Indata!$C$54*(1+Indata!$C$8)^(R53-1)</f>
        <v>0</v>
      </c>
      <c r="S79" s="138">
        <f>-Indata!$C$55*Indata!$C$54*(1+Indata!$C$8)^(S53-1)</f>
        <v>0</v>
      </c>
      <c r="T79" s="138">
        <f>-Indata!$C$55*Indata!$C$54*(1+Indata!$C$8)^(T53-1)</f>
        <v>0</v>
      </c>
      <c r="U79" s="138">
        <f>-Indata!$C$55*Indata!$C$54*(1+Indata!$C$8)^(U53-1)</f>
        <v>0</v>
      </c>
      <c r="V79" s="138">
        <f>-Indata!$C$55*Indata!$C$54*(1+Indata!$C$8)^(V53-1)</f>
        <v>0</v>
      </c>
      <c r="W79" s="138">
        <f>-Indata!$C$55*Indata!$C$54*(1+Indata!$C$8)^(W53-1)</f>
        <v>0</v>
      </c>
      <c r="X79" s="138">
        <f>-Indata!$C$55*Indata!$C$54*(1+Indata!$C$8)^(X53-1)</f>
        <v>0</v>
      </c>
      <c r="Y79" s="138">
        <f>-Indata!$C$55*Indata!$C$54*(1+Indata!$C$8)^(Y53-1)</f>
        <v>0</v>
      </c>
      <c r="Z79" s="138">
        <f>-Indata!$C$55*Indata!$C$54*(1+Indata!$C$8)^(Z53-1)</f>
        <v>0</v>
      </c>
      <c r="AA79" s="138">
        <f>-Indata!$C$55*Indata!$C$54*(1+Indata!$C$8)^(AA53-1)</f>
        <v>0</v>
      </c>
      <c r="AB79" s="138">
        <f>-Indata!$C$55*Indata!$C$54*(1+Indata!$C$8)^(AB53-1)</f>
        <v>0</v>
      </c>
      <c r="AC79" s="20"/>
      <c r="AD79" s="20"/>
    </row>
    <row r="80" spans="1:30" ht="15" customHeight="1">
      <c r="A80" s="19"/>
      <c r="B80" s="20" t="s">
        <v>206</v>
      </c>
      <c r="C80" s="20"/>
      <c r="D80" s="138">
        <f>-Indata!$C$56*(1+Indata!$C$8)^(D53-1)</f>
        <v>0</v>
      </c>
      <c r="E80" s="138">
        <f>-Indata!$C$56*(1+Indata!$C$8)^(E53-1)</f>
        <v>0</v>
      </c>
      <c r="F80" s="138">
        <f>-Indata!$C$56*(1+Indata!$C$8)^(F53-1)</f>
        <v>0</v>
      </c>
      <c r="G80" s="138">
        <f>-Indata!$C$56*(1+Indata!$C$8)^(G53-1)</f>
        <v>0</v>
      </c>
      <c r="H80" s="138">
        <f>-Indata!$C$56*(1+Indata!$C$8)^(H53-1)</f>
        <v>0</v>
      </c>
      <c r="I80" s="138">
        <f>-Indata!$C$56*(1+Indata!$C$8)^(I53-1)</f>
        <v>0</v>
      </c>
      <c r="J80" s="138">
        <f>-Indata!$C$56*(1+Indata!$C$8)^(J53-1)</f>
        <v>0</v>
      </c>
      <c r="K80" s="138">
        <f>-Indata!$C$56*(1+Indata!$C$8)^(K53-1)</f>
        <v>0</v>
      </c>
      <c r="L80" s="138">
        <f>-Indata!$C$56*(1+Indata!$C$8)^(L53-1)</f>
        <v>0</v>
      </c>
      <c r="M80" s="138">
        <f>-Indata!$C$56*(1+Indata!$C$8)^(M53-1)</f>
        <v>0</v>
      </c>
      <c r="N80" s="138">
        <f>-Indata!$C$56*(1+Indata!$C$8)^(N53-1)</f>
        <v>0</v>
      </c>
      <c r="O80" s="138">
        <f>-Indata!$C$56*(1+Indata!$C$8)^(O53-1)</f>
        <v>0</v>
      </c>
      <c r="P80" s="138">
        <f>-Indata!$C$56*(1+Indata!$C$8)^(P53-1)</f>
        <v>0</v>
      </c>
      <c r="Q80" s="138">
        <f>-Indata!$C$56*(1+Indata!$C$8)^(Q53-1)</f>
        <v>0</v>
      </c>
      <c r="R80" s="138">
        <f>-Indata!$C$56*(1+Indata!$C$8)^(R53-1)</f>
        <v>0</v>
      </c>
      <c r="S80" s="138">
        <f>-Indata!$C$56*(1+Indata!$C$8)^(S53-1)</f>
        <v>0</v>
      </c>
      <c r="T80" s="138">
        <f>-Indata!$C$56*(1+Indata!$C$8)^(T53-1)</f>
        <v>0</v>
      </c>
      <c r="U80" s="138">
        <f>-Indata!$C$56*(1+Indata!$C$8)^(U53-1)</f>
        <v>0</v>
      </c>
      <c r="V80" s="138">
        <f>-Indata!$C$56*(1+Indata!$C$8)^(V53-1)</f>
        <v>0</v>
      </c>
      <c r="W80" s="138">
        <f>-Indata!$C$56*(1+Indata!$C$8)^(W53-1)</f>
        <v>0</v>
      </c>
      <c r="X80" s="138">
        <f>-Indata!$C$56*(1+Indata!$C$8)^(X53-1)</f>
        <v>0</v>
      </c>
      <c r="Y80" s="138">
        <f>-Indata!$C$56*(1+Indata!$C$8)^(Y53-1)</f>
        <v>0</v>
      </c>
      <c r="Z80" s="138">
        <f>-Indata!$C$56*(1+Indata!$C$8)^(Z53-1)</f>
        <v>0</v>
      </c>
      <c r="AA80" s="138">
        <f>-Indata!$C$56*(1+Indata!$C$8)^(AA53-1)</f>
        <v>0</v>
      </c>
      <c r="AB80" s="138">
        <f>-Indata!$C$56*(1+Indata!$C$8)^(AB53-1)</f>
        <v>0</v>
      </c>
      <c r="AC80" s="20"/>
      <c r="AD80" s="20"/>
    </row>
    <row r="81" spans="1:30" ht="16.5" customHeight="1">
      <c r="A81" s="19"/>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row>
    <row r="82" spans="1:30" ht="15" customHeight="1">
      <c r="A82" s="19"/>
      <c r="B82" s="140" t="s">
        <v>419</v>
      </c>
      <c r="C82" s="20"/>
      <c r="D82" s="141">
        <f t="shared" ref="D82:AB82" si="4">D68+D77+D79+D80+D83</f>
        <v>-2400000</v>
      </c>
      <c r="E82" s="141">
        <f t="shared" si="4"/>
        <v>-2448000</v>
      </c>
      <c r="F82" s="141">
        <f t="shared" si="4"/>
        <v>-2496960</v>
      </c>
      <c r="G82" s="141">
        <f t="shared" si="4"/>
        <v>-2546899.2000000002</v>
      </c>
      <c r="H82" s="141">
        <f t="shared" si="4"/>
        <v>-2597837.1839999999</v>
      </c>
      <c r="I82" s="141">
        <f t="shared" si="4"/>
        <v>-2649793.9276799997</v>
      </c>
      <c r="J82" s="141">
        <f t="shared" si="4"/>
        <v>-2702789.8062336002</v>
      </c>
      <c r="K82" s="141">
        <f t="shared" si="4"/>
        <v>-2756845.6023582714</v>
      </c>
      <c r="L82" s="141">
        <f t="shared" si="4"/>
        <v>-2811982.5144054373</v>
      </c>
      <c r="M82" s="141">
        <f t="shared" si="4"/>
        <v>-2868222.164693546</v>
      </c>
      <c r="N82" s="141">
        <f t="shared" si="4"/>
        <v>-2925586.6079874169</v>
      </c>
      <c r="O82" s="141">
        <f t="shared" si="4"/>
        <v>-2984098.3401471651</v>
      </c>
      <c r="P82" s="141">
        <f t="shared" si="4"/>
        <v>-3043780.3069501091</v>
      </c>
      <c r="Q82" s="141">
        <f t="shared" si="4"/>
        <v>-3104655.9130891105</v>
      </c>
      <c r="R82" s="141">
        <f t="shared" si="4"/>
        <v>-3166749.0313508934</v>
      </c>
      <c r="S82" s="141">
        <f t="shared" si="4"/>
        <v>-3230084.0119779101</v>
      </c>
      <c r="T82" s="141">
        <f t="shared" si="4"/>
        <v>-3294685.6922174687</v>
      </c>
      <c r="U82" s="141">
        <f t="shared" si="4"/>
        <v>-3360579.4060618188</v>
      </c>
      <c r="V82" s="141">
        <f t="shared" si="4"/>
        <v>-3427790.9941830542</v>
      </c>
      <c r="W82" s="141">
        <f t="shared" si="4"/>
        <v>-3496346.8140667155</v>
      </c>
      <c r="X82" s="141">
        <f t="shared" si="4"/>
        <v>-3566273.7503480501</v>
      </c>
      <c r="Y82" s="141">
        <f t="shared" si="4"/>
        <v>-3637599.2253550109</v>
      </c>
      <c r="Z82" s="141">
        <f t="shared" si="4"/>
        <v>-3710351.2098621111</v>
      </c>
      <c r="AA82" s="141">
        <f t="shared" si="4"/>
        <v>-3784558.2340593529</v>
      </c>
      <c r="AB82" s="141">
        <f t="shared" si="4"/>
        <v>-3860249.3987405398</v>
      </c>
      <c r="AC82" s="20"/>
      <c r="AD82" s="20"/>
    </row>
    <row r="83" spans="1:30" ht="15" customHeight="1">
      <c r="A83" s="19"/>
      <c r="B83" s="142" t="s">
        <v>420</v>
      </c>
      <c r="C83" s="20"/>
      <c r="D83" s="138">
        <f>-Indata!$C$53*D57*(1+Indata!$C$8)^(D53-1)</f>
        <v>-400000</v>
      </c>
      <c r="E83" s="138">
        <f>-Indata!$C$53*E57*(1+Indata!$C$8)^(E53-1)</f>
        <v>-408000</v>
      </c>
      <c r="F83" s="138">
        <f>-Indata!$C$53*F57*(1+Indata!$C$8)^(F53-1)</f>
        <v>-416160</v>
      </c>
      <c r="G83" s="138">
        <f>-Indata!$C$53*G57*(1+Indata!$C$8)^(G53-1)</f>
        <v>-424483.19999999995</v>
      </c>
      <c r="H83" s="138">
        <f>-Indata!$C$53*H57*(1+Indata!$C$8)^(H53-1)</f>
        <v>-432972.864</v>
      </c>
      <c r="I83" s="138">
        <f>-Indata!$C$53*I57*(1+Indata!$C$8)^(I53-1)</f>
        <v>-441632.32128000003</v>
      </c>
      <c r="J83" s="138">
        <f>-Indata!$C$53*J57*(1+Indata!$C$8)^(J53-1)</f>
        <v>-450464.96770560002</v>
      </c>
      <c r="K83" s="138">
        <f>-Indata!$C$53*K57*(1+Indata!$C$8)^(K53-1)</f>
        <v>-459474.26705971191</v>
      </c>
      <c r="L83" s="138">
        <f>-Indata!$C$53*L57*(1+Indata!$C$8)^(L53-1)</f>
        <v>-468663.75240090623</v>
      </c>
      <c r="M83" s="138">
        <f>-Indata!$C$53*M57*(1+Indata!$C$8)^(M53-1)</f>
        <v>-478037.02744892432</v>
      </c>
      <c r="N83" s="138">
        <f>-Indata!$C$53*N57*(1+Indata!$C$8)^(N53-1)</f>
        <v>-487597.76799790282</v>
      </c>
      <c r="O83" s="138">
        <f>-Indata!$C$53*O57*(1+Indata!$C$8)^(O53-1)</f>
        <v>-497349.72335786081</v>
      </c>
      <c r="P83" s="138">
        <f>-Indata!$C$53*P57*(1+Indata!$C$8)^(P53-1)</f>
        <v>-507296.7178250181</v>
      </c>
      <c r="Q83" s="138">
        <f>-Indata!$C$53*Q57*(1+Indata!$C$8)^(Q53-1)</f>
        <v>-517442.65218151844</v>
      </c>
      <c r="R83" s="138">
        <f>-Indata!$C$53*R57*(1+Indata!$C$8)^(R53-1)</f>
        <v>-527791.50522514887</v>
      </c>
      <c r="S83" s="138">
        <f>-Indata!$C$53*S57*(1+Indata!$C$8)^(S53-1)</f>
        <v>-538347.33532965172</v>
      </c>
      <c r="T83" s="138">
        <f>-Indata!$C$53*T57*(1+Indata!$C$8)^(T53-1)</f>
        <v>-549114.28203624487</v>
      </c>
      <c r="U83" s="138">
        <f>-Indata!$C$53*U57*(1+Indata!$C$8)^(U53-1)</f>
        <v>-560096.5676769698</v>
      </c>
      <c r="V83" s="138">
        <f>-Indata!$C$53*V57*(1+Indata!$C$8)^(V53-1)</f>
        <v>-571298.49903050903</v>
      </c>
      <c r="W83" s="138">
        <f>-Indata!$C$53*W57*(1+Indata!$C$8)^(W53-1)</f>
        <v>-582724.46901111922</v>
      </c>
      <c r="X83" s="138">
        <f>-Indata!$C$53*X57*(1+Indata!$C$8)^(X53-1)</f>
        <v>-594378.95839134173</v>
      </c>
      <c r="Y83" s="138">
        <f>-Indata!$C$53*Y57*(1+Indata!$C$8)^(Y53-1)</f>
        <v>-606266.53755916853</v>
      </c>
      <c r="Z83" s="138">
        <f>-Indata!$C$53*Z57*(1+Indata!$C$8)^(Z53-1)</f>
        <v>-618391.86831035186</v>
      </c>
      <c r="AA83" s="138">
        <f>-Indata!$C$53*AA57*(1+Indata!$C$8)^(AA53-1)</f>
        <v>-630759.70567655878</v>
      </c>
      <c r="AB83" s="138">
        <f>-Indata!$C$53*AB57*(1+Indata!$C$8)^(AB53-1)</f>
        <v>-643374.89979009004</v>
      </c>
      <c r="AC83" s="20"/>
      <c r="AD83" s="20"/>
    </row>
    <row r="84" spans="1:30" ht="16.5" customHeight="1">
      <c r="A84" s="19"/>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row>
    <row r="85" spans="1:30" ht="15" customHeight="1">
      <c r="A85" s="19"/>
      <c r="B85" s="47" t="s">
        <v>421</v>
      </c>
      <c r="C85" s="20"/>
      <c r="D85" s="136">
        <f t="shared" ref="D85:AB85" si="5">D82-D76</f>
        <v>-2400000</v>
      </c>
      <c r="E85" s="136">
        <f t="shared" si="5"/>
        <v>-2448000</v>
      </c>
      <c r="F85" s="136">
        <f t="shared" si="5"/>
        <v>-2496960</v>
      </c>
      <c r="G85" s="136">
        <f t="shared" si="5"/>
        <v>-2546899.2000000002</v>
      </c>
      <c r="H85" s="136">
        <f t="shared" si="5"/>
        <v>-2597837.1839999999</v>
      </c>
      <c r="I85" s="136">
        <f t="shared" si="5"/>
        <v>-2649793.9276799997</v>
      </c>
      <c r="J85" s="136">
        <f t="shared" si="5"/>
        <v>-2702789.8062336002</v>
      </c>
      <c r="K85" s="136">
        <f t="shared" si="5"/>
        <v>-2756845.6023582714</v>
      </c>
      <c r="L85" s="136">
        <f t="shared" si="5"/>
        <v>-2811982.5144054373</v>
      </c>
      <c r="M85" s="136">
        <f t="shared" si="5"/>
        <v>-2868222.164693546</v>
      </c>
      <c r="N85" s="136">
        <f t="shared" si="5"/>
        <v>-2925586.6079874169</v>
      </c>
      <c r="O85" s="136">
        <f t="shared" si="5"/>
        <v>-2984098.3401471651</v>
      </c>
      <c r="P85" s="136">
        <f t="shared" si="5"/>
        <v>-3043780.3069501091</v>
      </c>
      <c r="Q85" s="136">
        <f t="shared" si="5"/>
        <v>-3104655.9130891105</v>
      </c>
      <c r="R85" s="136">
        <f t="shared" si="5"/>
        <v>-3166749.0313508934</v>
      </c>
      <c r="S85" s="136">
        <f t="shared" si="5"/>
        <v>-3230084.0119779101</v>
      </c>
      <c r="T85" s="136">
        <f t="shared" si="5"/>
        <v>-3294685.6922174687</v>
      </c>
      <c r="U85" s="136">
        <f t="shared" si="5"/>
        <v>-3360579.4060618188</v>
      </c>
      <c r="V85" s="136">
        <f t="shared" si="5"/>
        <v>-3427790.9941830542</v>
      </c>
      <c r="W85" s="136">
        <f t="shared" si="5"/>
        <v>-3496346.8140667155</v>
      </c>
      <c r="X85" s="136">
        <f t="shared" si="5"/>
        <v>-3566273.7503480501</v>
      </c>
      <c r="Y85" s="136">
        <f t="shared" si="5"/>
        <v>-3637599.2253550109</v>
      </c>
      <c r="Z85" s="136">
        <f t="shared" si="5"/>
        <v>-3710351.2098621111</v>
      </c>
      <c r="AA85" s="136">
        <f t="shared" si="5"/>
        <v>-3784558.2340593529</v>
      </c>
      <c r="AB85" s="136">
        <f t="shared" si="5"/>
        <v>-3860249.3987405398</v>
      </c>
      <c r="AC85" s="20"/>
      <c r="AD85" s="20"/>
    </row>
    <row r="86" spans="1:30" ht="16.5" customHeight="1">
      <c r="A86" s="19"/>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row>
    <row r="87" spans="1:30" ht="15" customHeight="1">
      <c r="A87" s="19"/>
      <c r="B87" s="20" t="s">
        <v>422</v>
      </c>
      <c r="C87" s="20"/>
      <c r="D87" s="138">
        <f>IF(D54=0,0,D82/(1+Indata!$C$7)^D53)</f>
        <v>-2307692.3076923075</v>
      </c>
      <c r="E87" s="138">
        <f>IF(E54=0,0,E82/(1+Indata!$C$7)^E53)</f>
        <v>-2263313.6094674552</v>
      </c>
      <c r="F87" s="138">
        <f>IF(F54=0,0,F82/(1+Indata!$C$7)^F53)</f>
        <v>-2219788.3477469273</v>
      </c>
      <c r="G87" s="138">
        <f>IF(G54=0,0,G82/(1+Indata!$C$7)^G53)</f>
        <v>-2177100.1102902559</v>
      </c>
      <c r="H87" s="138">
        <f>IF(H54=0,0,H82/(1+Indata!$C$7)^H53)</f>
        <v>-2135232.8004769809</v>
      </c>
      <c r="I87" s="138">
        <f>IF(I54=0,0,I82/(1+Indata!$C$7)^I53)</f>
        <v>-2094170.6312370391</v>
      </c>
      <c r="J87" s="138">
        <f>IF(J54=0,0,J82/(1+Indata!$C$7)^J53)</f>
        <v>-2053898.1190978659</v>
      </c>
      <c r="K87" s="138">
        <f>IF(K54=0,0,K82/(1+Indata!$C$7)^K53)</f>
        <v>-2014400.0783459828</v>
      </c>
      <c r="L87" s="138">
        <f>IF(L54=0,0,L82/(1+Indata!$C$7)^L53)</f>
        <v>-1975661.6153008679</v>
      </c>
      <c r="M87" s="138">
        <f>IF(M54=0,0,M82/(1+Indata!$C$7)^M53)</f>
        <v>-1937668.122698928</v>
      </c>
      <c r="N87" s="138">
        <f>IF(N54=0,0,N82/(1+Indata!$C$7)^N53)</f>
        <v>-1900405.2741854873</v>
      </c>
      <c r="O87" s="138">
        <f>IF(O54=0,0,O82/(1+Indata!$C$7)^O53)</f>
        <v>-1863859.0189126891</v>
      </c>
      <c r="P87" s="138">
        <f>IF(P54=0,0,P82/(1+Indata!$C$7)^P53)</f>
        <v>-1828015.5762412914</v>
      </c>
      <c r="Q87" s="138">
        <f>IF(Q54=0,0,Q82/(1+Indata!$C$7)^Q53)</f>
        <v>-1792861.4305443431</v>
      </c>
      <c r="R87" s="138">
        <f>IF(R54=0,0,R82/(1+Indata!$C$7)^R53)</f>
        <v>-1758383.3261107986</v>
      </c>
      <c r="S87" s="138">
        <f>IF(S54=0,0,S82/(1+Indata!$C$7)^S53)</f>
        <v>-1724568.2621471283</v>
      </c>
      <c r="T87" s="138">
        <f>IF(T54=0,0,T82/(1+Indata!$C$7)^T53)</f>
        <v>-1691403.4878750683</v>
      </c>
      <c r="U87" s="138">
        <f>IF(U54=0,0,U82/(1+Indata!$C$7)^U53)</f>
        <v>-1658876.497723625</v>
      </c>
      <c r="V87" s="138">
        <f>IF(V54=0,0,V82/(1+Indata!$C$7)^V53)</f>
        <v>-1626975.0266135547</v>
      </c>
      <c r="W87" s="138">
        <f>IF(W54=0,0,W82/(1+Indata!$C$7)^W53)</f>
        <v>-1595687.0453325249</v>
      </c>
      <c r="X87" s="138">
        <f>IF(X54=0,0,X82/(1+Indata!$C$7)^X53)</f>
        <v>0</v>
      </c>
      <c r="Y87" s="138">
        <f>IF(Y54=0,0,Y82/(1+Indata!$C$7)^Y53)</f>
        <v>0</v>
      </c>
      <c r="Z87" s="138">
        <f>IF(Z54=0,0,Z82/(1+Indata!$C$7)^Z53)</f>
        <v>0</v>
      </c>
      <c r="AA87" s="138">
        <f>IF(AA54=0,0,AA82/(1+Indata!$C$7)^AA53)</f>
        <v>0</v>
      </c>
      <c r="AB87" s="138">
        <f>IF(AB54=0,0,AB82/(1+Indata!$C$7)^AB53)</f>
        <v>0</v>
      </c>
      <c r="AC87" s="20"/>
      <c r="AD87" s="20"/>
    </row>
    <row r="88" spans="1:30" ht="16.5" customHeight="1">
      <c r="A88" s="19"/>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row>
    <row r="89" spans="1:30" ht="16.5" customHeight="1">
      <c r="A89" s="19"/>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row>
    <row r="90" spans="1:30" ht="16.5" customHeight="1">
      <c r="A90" s="19"/>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row>
    <row r="91" spans="1:30" ht="16.5" customHeight="1">
      <c r="A91" s="19"/>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row>
    <row r="92" spans="1:30" ht="16.5" customHeight="1">
      <c r="A92" s="19"/>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row>
    <row r="93" spans="1:30" ht="16.5" customHeight="1">
      <c r="A93" s="19"/>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row>
    <row r="94" spans="1:30" ht="16.5" customHeight="1">
      <c r="A94" s="19"/>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row>
    <row r="95" spans="1:30" ht="16.5" customHeight="1">
      <c r="A95" s="19"/>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row>
    <row r="96" spans="1:30" ht="16.5" customHeight="1">
      <c r="A96" s="19"/>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row>
    <row r="97" spans="1:30" ht="16.5" customHeight="1">
      <c r="A97" s="19"/>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row>
    <row r="98" spans="1:30" ht="16.5" customHeight="1">
      <c r="A98" s="19"/>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row>
    <row r="99" spans="1:30" ht="16.5" customHeight="1">
      <c r="A99" s="19"/>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row>
    <row r="100" spans="1:30" ht="16.5" customHeight="1">
      <c r="A100" s="19"/>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row>
    <row r="101" spans="1:30" ht="16.5" customHeight="1">
      <c r="A101" s="19"/>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row>
    <row r="102" spans="1:30" ht="16.5" customHeight="1">
      <c r="A102" s="19"/>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row>
    <row r="103" spans="1:30" ht="16.5" customHeight="1">
      <c r="A103" s="19"/>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row>
    <row r="104" spans="1:30" ht="16.5" customHeight="1">
      <c r="A104" s="19"/>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row>
    <row r="105" spans="1:30" ht="16.5" customHeight="1">
      <c r="A105" s="19"/>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row>
    <row r="106" spans="1:30" ht="16.5" customHeight="1">
      <c r="A106" s="19"/>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row>
    <row r="107" spans="1:30" ht="16.5" customHeight="1">
      <c r="A107" s="19"/>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row>
    <row r="108" spans="1:30" ht="16.5" customHeight="1">
      <c r="A108" s="19"/>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row>
    <row r="109" spans="1:30" ht="15" customHeight="1">
      <c r="A109" s="19"/>
      <c r="B109" s="137" t="s">
        <v>423</v>
      </c>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row>
    <row r="110" spans="1:30" ht="16.5" customHeight="1">
      <c r="A110" s="19"/>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row>
    <row r="111" spans="1:30" ht="15" customHeight="1">
      <c r="A111" s="19"/>
      <c r="B111" s="20" t="s">
        <v>26</v>
      </c>
      <c r="C111" s="56">
        <f>Indata!C16</f>
        <v>20</v>
      </c>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row>
    <row r="112" spans="1:30" ht="15" customHeight="1">
      <c r="A112" s="19"/>
      <c r="B112" s="20" t="s">
        <v>19</v>
      </c>
      <c r="C112" s="138">
        <f>Indata!R31</f>
        <v>200000000</v>
      </c>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row>
    <row r="113" spans="1:30" ht="15" customHeight="1">
      <c r="A113" s="19"/>
      <c r="B113" s="20" t="s">
        <v>424</v>
      </c>
      <c r="C113" s="56">
        <f>MAX(Indata!P26:P79)</f>
        <v>2026</v>
      </c>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row>
    <row r="114" spans="1:30" ht="16.5" customHeight="1">
      <c r="A114" s="19"/>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row>
    <row r="115" spans="1:30" ht="15" customHeight="1">
      <c r="A115" s="19"/>
      <c r="B115" s="79" t="s">
        <v>425</v>
      </c>
      <c r="C115" s="139">
        <f>ROUND(SUMIFS(D87:AB87,D54:AB54,1)/10000,0)*10000</f>
        <v>-38620000</v>
      </c>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row>
    <row r="116" spans="1:30" ht="15" customHeight="1">
      <c r="A116" s="19"/>
      <c r="B116" s="20" t="s">
        <v>426</v>
      </c>
      <c r="C116" s="138">
        <f>ROUND(INDEX(D85:AB85,MATCH(Indata!C16+1,D53:AB53,0))/Indata!$D$81/10000,0)*10000</f>
        <v>-71330000</v>
      </c>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row>
    <row r="117" spans="1:30" ht="15" customHeight="1">
      <c r="A117" s="19"/>
      <c r="B117" s="79" t="s">
        <v>427</v>
      </c>
      <c r="C117" s="139">
        <f>ROUND(C116/(1+Indata!C9)^Indata!C16/10000,0)*10000</f>
        <v>-18430000</v>
      </c>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row>
    <row r="118" spans="1:30" ht="15" customHeight="1">
      <c r="A118" s="19"/>
      <c r="B118" s="79" t="s">
        <v>428</v>
      </c>
      <c r="C118" s="139">
        <f>-C112/(1+Indata!C8)^MAX(0,C113-Indata!C5)</f>
        <v>-200000000</v>
      </c>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row>
    <row r="119" spans="1:30" ht="15" customHeight="1">
      <c r="A119" s="19"/>
      <c r="B119" s="140" t="s">
        <v>429</v>
      </c>
      <c r="C119" s="143">
        <f>C115+C117+C118</f>
        <v>-257050000</v>
      </c>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row>
    <row r="120" spans="1:30" ht="16.5" customHeight="1">
      <c r="A120" s="19"/>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row>
    <row r="121" spans="1:30" ht="15" customHeight="1">
      <c r="A121" s="19"/>
      <c r="B121" s="137" t="s">
        <v>430</v>
      </c>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row>
    <row r="122" spans="1:30" ht="16.5" customHeight="1">
      <c r="A122" s="19"/>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row>
    <row r="123" spans="1:30" ht="15" customHeight="1">
      <c r="A123" s="19"/>
      <c r="B123" s="20" t="s">
        <v>431</v>
      </c>
      <c r="C123" s="20"/>
      <c r="D123" s="136">
        <f>IF(Indata!$K$26="",0,IF(D52&lt;Indata!$K$26,0,IF(D52&lt;=Indata!$L$26,Indata!$J$26*1000000*(1+Indata!$C$8*Indata!$H$26)^(D52-Indata!$K$26),IF(OR(Indata!$M$26="",Indata!$M$26=0),Indata!$J$26*1000000*(1+Indata!$C$8*Indata!$H$26)^(D52-Indata!$K$26),D60))))</f>
        <v>1000000</v>
      </c>
      <c r="E123" s="136">
        <f>IF(Indata!$K$26="",0,IF(E52&lt;Indata!$K$26,0,IF(E52&lt;=Indata!$L$26,Indata!$J$26*1000000*(1+Indata!$C$8*Indata!$H$26)^(E52-Indata!$K$26),IF(OR(Indata!$M$26="",Indata!$M$26=0),Indata!$J$26*1000000*(1+Indata!$C$8*Indata!$H$26)^(E52-Indata!$K$26),E60))))</f>
        <v>1014000</v>
      </c>
      <c r="F123" s="136">
        <f>IF(Indata!$K$26="",0,IF(F52&lt;Indata!$K$26,0,IF(F52&lt;=Indata!$L$26,Indata!$J$26*1000000*(1+Indata!$C$8*Indata!$H$26)^(F52-Indata!$K$26),IF(OR(Indata!$M$26="",Indata!$M$26=0),Indata!$J$26*1000000*(1+Indata!$C$8*Indata!$H$26)^(F52-Indata!$K$26),F60))))</f>
        <v>1028196.0000000001</v>
      </c>
      <c r="G123" s="136">
        <f>IF(Indata!$K$26="",0,IF(G52&lt;Indata!$K$26,0,IF(G52&lt;=Indata!$L$26,Indata!$J$26*1000000*(1+Indata!$C$8*Indata!$H$26)^(G52-Indata!$K$26),IF(OR(Indata!$M$26="",Indata!$M$26=0),Indata!$J$26*1000000*(1+Indata!$C$8*Indata!$H$26)^(G52-Indata!$K$26),G60))))</f>
        <v>1042590.7440000002</v>
      </c>
      <c r="H123" s="136">
        <f>IF(Indata!$K$26="",0,IF(H52&lt;Indata!$K$26,0,IF(H52&lt;=Indata!$L$26,Indata!$J$26*1000000*(1+Indata!$C$8*Indata!$H$26)^(H52-Indata!$K$26),IF(OR(Indata!$M$26="",Indata!$M$26=0),Indata!$J$26*1000000*(1+Indata!$C$8*Indata!$H$26)^(H52-Indata!$K$26),H60))))</f>
        <v>1057187.0144160003</v>
      </c>
      <c r="I123" s="136">
        <f>IF(Indata!$K$26="",0,IF(I52&lt;Indata!$K$26,0,IF(I52&lt;=Indata!$L$26,Indata!$J$26*1000000*(1+Indata!$C$8*Indata!$H$26)^(I52-Indata!$K$26),IF(OR(Indata!$M$26="",Indata!$M$26=0),Indata!$J$26*1000000*(1+Indata!$C$8*Indata!$H$26)^(I52-Indata!$K$26),I60))))</f>
        <v>1071987.6326178245</v>
      </c>
      <c r="J123" s="136">
        <f>IF(Indata!$K$26="",0,IF(J52&lt;Indata!$K$26,0,IF(J52&lt;=Indata!$L$26,Indata!$J$26*1000000*(1+Indata!$C$8*Indata!$H$26)^(J52-Indata!$K$26),IF(OR(Indata!$M$26="",Indata!$M$26=0),Indata!$J$26*1000000*(1+Indata!$C$8*Indata!$H$26)^(J52-Indata!$K$26),J60))))</f>
        <v>1086995.459474474</v>
      </c>
      <c r="K123" s="136">
        <f>IF(Indata!$K$26="",0,IF(K52&lt;Indata!$K$26,0,IF(K52&lt;=Indata!$L$26,Indata!$J$26*1000000*(1+Indata!$C$8*Indata!$H$26)^(K52-Indata!$K$26),IF(OR(Indata!$M$26="",Indata!$M$26=0),Indata!$J$26*1000000*(1+Indata!$C$8*Indata!$H$26)^(K52-Indata!$K$26),K60))))</f>
        <v>1102213.3959071166</v>
      </c>
      <c r="L123" s="136">
        <f>IF(Indata!$K$26="",0,IF(L52&lt;Indata!$K$26,0,IF(L52&lt;=Indata!$L$26,Indata!$J$26*1000000*(1+Indata!$C$8*Indata!$H$26)^(L52-Indata!$K$26),IF(OR(Indata!$M$26="",Indata!$M$26=0),Indata!$J$26*1000000*(1+Indata!$C$8*Indata!$H$26)^(L52-Indata!$K$26),L60))))</f>
        <v>1117644.3834498164</v>
      </c>
      <c r="M123" s="136">
        <f>IF(Indata!$K$26="",0,IF(M52&lt;Indata!$K$26,0,IF(M52&lt;=Indata!$L$26,Indata!$J$26*1000000*(1+Indata!$C$8*Indata!$H$26)^(M52-Indata!$K$26),IF(OR(Indata!$M$26="",Indata!$M$26=0),Indata!$J$26*1000000*(1+Indata!$C$8*Indata!$H$26)^(M52-Indata!$K$26),M60))))</f>
        <v>1133291.4048181139</v>
      </c>
      <c r="N123" s="136">
        <f>IF(Indata!$K$26="",0,IF(N52&lt;Indata!$K$26,0,IF(N52&lt;=Indata!$L$26,Indata!$J$26*1000000*(1+Indata!$C$8*Indata!$H$26)^(N52-Indata!$K$26),IF(OR(Indata!$M$26="",Indata!$M$26=0),Indata!$J$26*1000000*(1+Indata!$C$8*Indata!$H$26)^(N52-Indata!$K$26),N60))))</f>
        <v>1149157.4844855675</v>
      </c>
      <c r="O123" s="136">
        <f>IF(Indata!$K$26="",0,IF(O52&lt;Indata!$K$26,0,IF(O52&lt;=Indata!$L$26,Indata!$J$26*1000000*(1+Indata!$C$8*Indata!$H$26)^(O52-Indata!$K$26),IF(OR(Indata!$M$26="",Indata!$M$26=0),Indata!$J$26*1000000*(1+Indata!$C$8*Indata!$H$26)^(O52-Indata!$K$26),O60))))</f>
        <v>1165245.6892683655</v>
      </c>
      <c r="P123" s="136">
        <f>IF(Indata!$K$26="",0,IF(P52&lt;Indata!$K$26,0,IF(P52&lt;=Indata!$L$26,Indata!$J$26*1000000*(1+Indata!$C$8*Indata!$H$26)^(P52-Indata!$K$26),IF(OR(Indata!$M$26="",Indata!$M$26=0),Indata!$J$26*1000000*(1+Indata!$C$8*Indata!$H$26)^(P52-Indata!$K$26),P60))))</f>
        <v>1181559.128918123</v>
      </c>
      <c r="Q123" s="136">
        <f>IF(Indata!$K$26="",0,IF(Q52&lt;Indata!$K$26,0,IF(Q52&lt;=Indata!$L$26,Indata!$J$26*1000000*(1+Indata!$C$8*Indata!$H$26)^(Q52-Indata!$K$26),IF(OR(Indata!$M$26="",Indata!$M$26=0),Indata!$J$26*1000000*(1+Indata!$C$8*Indata!$H$26)^(Q52-Indata!$K$26),Q60))))</f>
        <v>1198100.9567229766</v>
      </c>
      <c r="R123" s="136">
        <f>IF(Indata!$K$26="",0,IF(R52&lt;Indata!$K$26,0,IF(R52&lt;=Indata!$L$26,Indata!$J$26*1000000*(1+Indata!$C$8*Indata!$H$26)^(R52-Indata!$K$26),IF(OR(Indata!$M$26="",Indata!$M$26=0),Indata!$J$26*1000000*(1+Indata!$C$8*Indata!$H$26)^(R52-Indata!$K$26),R60))))</f>
        <v>1214874.3701170983</v>
      </c>
      <c r="S123" s="136">
        <f>IF(Indata!$K$26="",0,IF(S52&lt;Indata!$K$26,0,IF(S52&lt;=Indata!$L$26,Indata!$J$26*1000000*(1+Indata!$C$8*Indata!$H$26)^(S52-Indata!$K$26),IF(OR(Indata!$M$26="",Indata!$M$26=0),Indata!$J$26*1000000*(1+Indata!$C$8*Indata!$H$26)^(S52-Indata!$K$26),S60))))</f>
        <v>1231882.6112987378</v>
      </c>
      <c r="T123" s="136">
        <f>IF(Indata!$K$26="",0,IF(T52&lt;Indata!$K$26,0,IF(T52&lt;=Indata!$L$26,Indata!$J$26*1000000*(1+Indata!$C$8*Indata!$H$26)^(T52-Indata!$K$26),IF(OR(Indata!$M$26="",Indata!$M$26=0),Indata!$J$26*1000000*(1+Indata!$C$8*Indata!$H$26)^(T52-Indata!$K$26),T60))))</f>
        <v>1249128.9678569203</v>
      </c>
      <c r="U123" s="136">
        <f>IF(Indata!$K$26="",0,IF(U52&lt;Indata!$K$26,0,IF(U52&lt;=Indata!$L$26,Indata!$J$26*1000000*(1+Indata!$C$8*Indata!$H$26)^(U52-Indata!$K$26),IF(OR(Indata!$M$26="",Indata!$M$26=0),Indata!$J$26*1000000*(1+Indata!$C$8*Indata!$H$26)^(U52-Indata!$K$26),U60))))</f>
        <v>1266616.7734069175</v>
      </c>
      <c r="V123" s="136">
        <f>IF(Indata!$K$26="",0,IF(V52&lt;Indata!$K$26,0,IF(V52&lt;=Indata!$L$26,Indata!$J$26*1000000*(1+Indata!$C$8*Indata!$H$26)^(V52-Indata!$K$26),IF(OR(Indata!$M$26="",Indata!$M$26=0),Indata!$J$26*1000000*(1+Indata!$C$8*Indata!$H$26)^(V52-Indata!$K$26),V60))))</f>
        <v>1284349.4082346144</v>
      </c>
      <c r="W123" s="136">
        <f>IF(Indata!$K$26="",0,IF(W52&lt;Indata!$K$26,0,IF(W52&lt;=Indata!$L$26,Indata!$J$26*1000000*(1+Indata!$C$8*Indata!$H$26)^(W52-Indata!$K$26),IF(OR(Indata!$M$26="",Indata!$M$26=0),Indata!$J$26*1000000*(1+Indata!$C$8*Indata!$H$26)^(W52-Indata!$K$26),W60))))</f>
        <v>1302330.2999498989</v>
      </c>
      <c r="X123" s="136">
        <f>IF(Indata!$K$26="",0,IF(X52&lt;Indata!$K$26,0,IF(X52&lt;=Indata!$L$26,Indata!$J$26*1000000*(1+Indata!$C$8*Indata!$H$26)^(X52-Indata!$K$26),IF(OR(Indata!$M$26="",Indata!$M$26=0),Indata!$J$26*1000000*(1+Indata!$C$8*Indata!$H$26)^(X52-Indata!$K$26),X60))))</f>
        <v>1320562.9241491975</v>
      </c>
      <c r="Y123" s="136">
        <f>IF(Indata!$K$26="",0,IF(Y52&lt;Indata!$K$26,0,IF(Y52&lt;=Indata!$L$26,Indata!$J$26*1000000*(1+Indata!$C$8*Indata!$H$26)^(Y52-Indata!$K$26),IF(OR(Indata!$M$26="",Indata!$M$26=0),Indata!$J$26*1000000*(1+Indata!$C$8*Indata!$H$26)^(Y52-Indata!$K$26),Y60))))</f>
        <v>1339050.8050872865</v>
      </c>
      <c r="Z123" s="136">
        <f>IF(Indata!$K$26="",0,IF(Z52&lt;Indata!$K$26,0,IF(Z52&lt;=Indata!$L$26,Indata!$J$26*1000000*(1+Indata!$C$8*Indata!$H$26)^(Z52-Indata!$K$26),IF(OR(Indata!$M$26="",Indata!$M$26=0),Indata!$J$26*1000000*(1+Indata!$C$8*Indata!$H$26)^(Z52-Indata!$K$26),Z60))))</f>
        <v>1357797.5163585085</v>
      </c>
      <c r="AA123" s="136">
        <f>IF(Indata!$K$26="",0,IF(AA52&lt;Indata!$K$26,0,IF(AA52&lt;=Indata!$L$26,Indata!$J$26*1000000*(1+Indata!$C$8*Indata!$H$26)^(AA52-Indata!$K$26),IF(OR(Indata!$M$26="",Indata!$M$26=0),Indata!$J$26*1000000*(1+Indata!$C$8*Indata!$H$26)^(AA52-Indata!$K$26),AA60))))</f>
        <v>1376806.6815875277</v>
      </c>
      <c r="AB123" s="136">
        <f>IF(Indata!$K$26="",0,IF(AB52&lt;Indata!$K$26,0,IF(AB52&lt;=Indata!$L$26,Indata!$J$26*1000000*(1+Indata!$C$8*Indata!$H$26)^(AB52-Indata!$K$26),IF(OR(Indata!$M$26="",Indata!$M$26=0),Indata!$J$26*1000000*(1+Indata!$C$8*Indata!$H$26)^(AB52-Indata!$K$26),AB60))))</f>
        <v>1396081.9751297534</v>
      </c>
      <c r="AC123" s="20"/>
      <c r="AD123" s="20"/>
    </row>
    <row r="124" spans="1:30" ht="15" customHeight="1">
      <c r="A124" s="19"/>
      <c r="B124" s="20" t="s">
        <v>432</v>
      </c>
      <c r="C124" s="20"/>
      <c r="D124" s="136">
        <f>IF(Indata!$K$27="",0,IF(D52&lt;Indata!$K$27,0,IF(D52&lt;=Indata!$L$27,Indata!$J$27*1000000*(1+Indata!$C$8*Indata!$H$27)^(D52-Indata!$K$27),IF(OR(Indata!$M$27="",Indata!$M$27=0),Indata!$J$27*1000000*(1+Indata!$C$8*Indata!$H$27)^(D52-Indata!$K$27),D61))))</f>
        <v>0</v>
      </c>
      <c r="E124" s="136">
        <f>IF(Indata!$K$27="",0,IF(E52&lt;Indata!$K$27,0,IF(E52&lt;=Indata!$L$27,Indata!$J$27*1000000*(1+Indata!$C$8*Indata!$H$27)^(E52-Indata!$K$27),IF(OR(Indata!$M$27="",Indata!$M$27=0),Indata!$J$27*1000000*(1+Indata!$C$8*Indata!$H$27)^(E52-Indata!$K$27),E61))))</f>
        <v>0</v>
      </c>
      <c r="F124" s="136">
        <f>IF(Indata!$K$27="",0,IF(F52&lt;Indata!$K$27,0,IF(F52&lt;=Indata!$L$27,Indata!$J$27*1000000*(1+Indata!$C$8*Indata!$H$27)^(F52-Indata!$K$27),IF(OR(Indata!$M$27="",Indata!$M$27=0),Indata!$J$27*1000000*(1+Indata!$C$8*Indata!$H$27)^(F52-Indata!$K$27),F61))))</f>
        <v>0</v>
      </c>
      <c r="G124" s="136">
        <f>IF(Indata!$K$27="",0,IF(G52&lt;Indata!$K$27,0,IF(G52&lt;=Indata!$L$27,Indata!$J$27*1000000*(1+Indata!$C$8*Indata!$H$27)^(G52-Indata!$K$27),IF(OR(Indata!$M$27="",Indata!$M$27=0),Indata!$J$27*1000000*(1+Indata!$C$8*Indata!$H$27)^(G52-Indata!$K$27),G61))))</f>
        <v>0</v>
      </c>
      <c r="H124" s="136">
        <f>IF(Indata!$K$27="",0,IF(H52&lt;Indata!$K$27,0,IF(H52&lt;=Indata!$L$27,Indata!$J$27*1000000*(1+Indata!$C$8*Indata!$H$27)^(H52-Indata!$K$27),IF(OR(Indata!$M$27="",Indata!$M$27=0),Indata!$J$27*1000000*(1+Indata!$C$8*Indata!$H$27)^(H52-Indata!$K$27),H61))))</f>
        <v>0</v>
      </c>
      <c r="I124" s="136">
        <f>IF(Indata!$K$27="",0,IF(I52&lt;Indata!$K$27,0,IF(I52&lt;=Indata!$L$27,Indata!$J$27*1000000*(1+Indata!$C$8*Indata!$H$27)^(I52-Indata!$K$27),IF(OR(Indata!$M$27="",Indata!$M$27=0),Indata!$J$27*1000000*(1+Indata!$C$8*Indata!$H$27)^(I52-Indata!$K$27),I61))))</f>
        <v>0</v>
      </c>
      <c r="J124" s="136">
        <f>IF(Indata!$K$27="",0,IF(J52&lt;Indata!$K$27,0,IF(J52&lt;=Indata!$L$27,Indata!$J$27*1000000*(1+Indata!$C$8*Indata!$H$27)^(J52-Indata!$K$27),IF(OR(Indata!$M$27="",Indata!$M$27=0),Indata!$J$27*1000000*(1+Indata!$C$8*Indata!$H$27)^(J52-Indata!$K$27),J61))))</f>
        <v>0</v>
      </c>
      <c r="K124" s="136">
        <f>IF(Indata!$K$27="",0,IF(K52&lt;Indata!$K$27,0,IF(K52&lt;=Indata!$L$27,Indata!$J$27*1000000*(1+Indata!$C$8*Indata!$H$27)^(K52-Indata!$K$27),IF(OR(Indata!$M$27="",Indata!$M$27=0),Indata!$J$27*1000000*(1+Indata!$C$8*Indata!$H$27)^(K52-Indata!$K$27),K61))))</f>
        <v>0</v>
      </c>
      <c r="L124" s="136">
        <f>IF(Indata!$K$27="",0,IF(L52&lt;Indata!$K$27,0,IF(L52&lt;=Indata!$L$27,Indata!$J$27*1000000*(1+Indata!$C$8*Indata!$H$27)^(L52-Indata!$K$27),IF(OR(Indata!$M$27="",Indata!$M$27=0),Indata!$J$27*1000000*(1+Indata!$C$8*Indata!$H$27)^(L52-Indata!$K$27),L61))))</f>
        <v>0</v>
      </c>
      <c r="M124" s="136">
        <f>IF(Indata!$K$27="",0,IF(M52&lt;Indata!$K$27,0,IF(M52&lt;=Indata!$L$27,Indata!$J$27*1000000*(1+Indata!$C$8*Indata!$H$27)^(M52-Indata!$K$27),IF(OR(Indata!$M$27="",Indata!$M$27=0),Indata!$J$27*1000000*(1+Indata!$C$8*Indata!$H$27)^(M52-Indata!$K$27),M61))))</f>
        <v>0</v>
      </c>
      <c r="N124" s="136">
        <f>IF(Indata!$K$27="",0,IF(N52&lt;Indata!$K$27,0,IF(N52&lt;=Indata!$L$27,Indata!$J$27*1000000*(1+Indata!$C$8*Indata!$H$27)^(N52-Indata!$K$27),IF(OR(Indata!$M$27="",Indata!$M$27=0),Indata!$J$27*1000000*(1+Indata!$C$8*Indata!$H$27)^(N52-Indata!$K$27),N61))))</f>
        <v>0</v>
      </c>
      <c r="O124" s="136">
        <f>IF(Indata!$K$27="",0,IF(O52&lt;Indata!$K$27,0,IF(O52&lt;=Indata!$L$27,Indata!$J$27*1000000*(1+Indata!$C$8*Indata!$H$27)^(O52-Indata!$K$27),IF(OR(Indata!$M$27="",Indata!$M$27=0),Indata!$J$27*1000000*(1+Indata!$C$8*Indata!$H$27)^(O52-Indata!$K$27),O61))))</f>
        <v>0</v>
      </c>
      <c r="P124" s="136">
        <f>IF(Indata!$K$27="",0,IF(P52&lt;Indata!$K$27,0,IF(P52&lt;=Indata!$L$27,Indata!$J$27*1000000*(1+Indata!$C$8*Indata!$H$27)^(P52-Indata!$K$27),IF(OR(Indata!$M$27="",Indata!$M$27=0),Indata!$J$27*1000000*(1+Indata!$C$8*Indata!$H$27)^(P52-Indata!$K$27),P61))))</f>
        <v>0</v>
      </c>
      <c r="Q124" s="136">
        <f>IF(Indata!$K$27="",0,IF(Q52&lt;Indata!$K$27,0,IF(Q52&lt;=Indata!$L$27,Indata!$J$27*1000000*(1+Indata!$C$8*Indata!$H$27)^(Q52-Indata!$K$27),IF(OR(Indata!$M$27="",Indata!$M$27=0),Indata!$J$27*1000000*(1+Indata!$C$8*Indata!$H$27)^(Q52-Indata!$K$27),Q61))))</f>
        <v>0</v>
      </c>
      <c r="R124" s="136">
        <f>IF(Indata!$K$27="",0,IF(R52&lt;Indata!$K$27,0,IF(R52&lt;=Indata!$L$27,Indata!$J$27*1000000*(1+Indata!$C$8*Indata!$H$27)^(R52-Indata!$K$27),IF(OR(Indata!$M$27="",Indata!$M$27=0),Indata!$J$27*1000000*(1+Indata!$C$8*Indata!$H$27)^(R52-Indata!$K$27),R61))))</f>
        <v>0</v>
      </c>
      <c r="S124" s="136">
        <f>IF(Indata!$K$27="",0,IF(S52&lt;Indata!$K$27,0,IF(S52&lt;=Indata!$L$27,Indata!$J$27*1000000*(1+Indata!$C$8*Indata!$H$27)^(S52-Indata!$K$27),IF(OR(Indata!$M$27="",Indata!$M$27=0),Indata!$J$27*1000000*(1+Indata!$C$8*Indata!$H$27)^(S52-Indata!$K$27),S61))))</f>
        <v>0</v>
      </c>
      <c r="T124" s="136">
        <f>IF(Indata!$K$27="",0,IF(T52&lt;Indata!$K$27,0,IF(T52&lt;=Indata!$L$27,Indata!$J$27*1000000*(1+Indata!$C$8*Indata!$H$27)^(T52-Indata!$K$27),IF(OR(Indata!$M$27="",Indata!$M$27=0),Indata!$J$27*1000000*(1+Indata!$C$8*Indata!$H$27)^(T52-Indata!$K$27),T61))))</f>
        <v>0</v>
      </c>
      <c r="U124" s="136">
        <f>IF(Indata!$K$27="",0,IF(U52&lt;Indata!$K$27,0,IF(U52&lt;=Indata!$L$27,Indata!$J$27*1000000*(1+Indata!$C$8*Indata!$H$27)^(U52-Indata!$K$27),IF(OR(Indata!$M$27="",Indata!$M$27=0),Indata!$J$27*1000000*(1+Indata!$C$8*Indata!$H$27)^(U52-Indata!$K$27),U61))))</f>
        <v>0</v>
      </c>
      <c r="V124" s="136">
        <f>IF(Indata!$K$27="",0,IF(V52&lt;Indata!$K$27,0,IF(V52&lt;=Indata!$L$27,Indata!$J$27*1000000*(1+Indata!$C$8*Indata!$H$27)^(V52-Indata!$K$27),IF(OR(Indata!$M$27="",Indata!$M$27=0),Indata!$J$27*1000000*(1+Indata!$C$8*Indata!$H$27)^(V52-Indata!$K$27),V61))))</f>
        <v>0</v>
      </c>
      <c r="W124" s="136">
        <f>IF(Indata!$K$27="",0,IF(W52&lt;Indata!$K$27,0,IF(W52&lt;=Indata!$L$27,Indata!$J$27*1000000*(1+Indata!$C$8*Indata!$H$27)^(W52-Indata!$K$27),IF(OR(Indata!$M$27="",Indata!$M$27=0),Indata!$J$27*1000000*(1+Indata!$C$8*Indata!$H$27)^(W52-Indata!$K$27),W61))))</f>
        <v>0</v>
      </c>
      <c r="X124" s="136">
        <f>IF(Indata!$K$27="",0,IF(X52&lt;Indata!$K$27,0,IF(X52&lt;=Indata!$L$27,Indata!$J$27*1000000*(1+Indata!$C$8*Indata!$H$27)^(X52-Indata!$K$27),IF(OR(Indata!$M$27="",Indata!$M$27=0),Indata!$J$27*1000000*(1+Indata!$C$8*Indata!$H$27)^(X52-Indata!$K$27),X61))))</f>
        <v>0</v>
      </c>
      <c r="Y124" s="136">
        <f>IF(Indata!$K$27="",0,IF(Y52&lt;Indata!$K$27,0,IF(Y52&lt;=Indata!$L$27,Indata!$J$27*1000000*(1+Indata!$C$8*Indata!$H$27)^(Y52-Indata!$K$27),IF(OR(Indata!$M$27="",Indata!$M$27=0),Indata!$J$27*1000000*(1+Indata!$C$8*Indata!$H$27)^(Y52-Indata!$K$27),Y61))))</f>
        <v>0</v>
      </c>
      <c r="Z124" s="136">
        <f>IF(Indata!$K$27="",0,IF(Z52&lt;Indata!$K$27,0,IF(Z52&lt;=Indata!$L$27,Indata!$J$27*1000000*(1+Indata!$C$8*Indata!$H$27)^(Z52-Indata!$K$27),IF(OR(Indata!$M$27="",Indata!$M$27=0),Indata!$J$27*1000000*(1+Indata!$C$8*Indata!$H$27)^(Z52-Indata!$K$27),Z61))))</f>
        <v>0</v>
      </c>
      <c r="AA124" s="136">
        <f>IF(Indata!$K$27="",0,IF(AA52&lt;Indata!$K$27,0,IF(AA52&lt;=Indata!$L$27,Indata!$J$27*1000000*(1+Indata!$C$8*Indata!$H$27)^(AA52-Indata!$K$27),IF(OR(Indata!$M$27="",Indata!$M$27=0),Indata!$J$27*1000000*(1+Indata!$C$8*Indata!$H$27)^(AA52-Indata!$K$27),AA61))))</f>
        <v>0</v>
      </c>
      <c r="AB124" s="136">
        <f>IF(Indata!$K$27="",0,IF(AB52&lt;Indata!$K$27,0,IF(AB52&lt;=Indata!$L$27,Indata!$J$27*1000000*(1+Indata!$C$8*Indata!$H$27)^(AB52-Indata!$K$27),IF(OR(Indata!$M$27="",Indata!$M$27=0),Indata!$J$27*1000000*(1+Indata!$C$8*Indata!$H$27)^(AB52-Indata!$K$27),AB61))))</f>
        <v>0</v>
      </c>
      <c r="AC124" s="20"/>
      <c r="AD124" s="20"/>
    </row>
    <row r="125" spans="1:30" ht="15" customHeight="1">
      <c r="A125" s="19"/>
      <c r="B125" s="20" t="s">
        <v>433</v>
      </c>
      <c r="C125" s="20"/>
      <c r="D125" s="136">
        <f>IF(Indata!$K$28="",0,IF(D52&lt;Indata!$K$28,0,IF(D52&lt;=Indata!$L$28,Indata!$J$28*1000000*(1+Indata!$C$8*Indata!$H$28)^(D52-Indata!$K$28),IF(OR(Indata!$M$28="",Indata!$M$28=0),Indata!$J$28*1000000*(1+Indata!$C$8*Indata!$H$28)^(D52-Indata!$K$28),D62))))</f>
        <v>0</v>
      </c>
      <c r="E125" s="136">
        <f>IF(Indata!$K$28="",0,IF(E52&lt;Indata!$K$28,0,IF(E52&lt;=Indata!$L$28,Indata!$J$28*1000000*(1+Indata!$C$8*Indata!$H$28)^(E52-Indata!$K$28),IF(OR(Indata!$M$28="",Indata!$M$28=0),Indata!$J$28*1000000*(1+Indata!$C$8*Indata!$H$28)^(E52-Indata!$K$28),E62))))</f>
        <v>0</v>
      </c>
      <c r="F125" s="136">
        <f>IF(Indata!$K$28="",0,IF(F52&lt;Indata!$K$28,0,IF(F52&lt;=Indata!$L$28,Indata!$J$28*1000000*(1+Indata!$C$8*Indata!$H$28)^(F52-Indata!$K$28),IF(OR(Indata!$M$28="",Indata!$M$28=0),Indata!$J$28*1000000*(1+Indata!$C$8*Indata!$H$28)^(F52-Indata!$K$28),F62))))</f>
        <v>0</v>
      </c>
      <c r="G125" s="136">
        <f>IF(Indata!$K$28="",0,IF(G52&lt;Indata!$K$28,0,IF(G52&lt;=Indata!$L$28,Indata!$J$28*1000000*(1+Indata!$C$8*Indata!$H$28)^(G52-Indata!$K$28),IF(OR(Indata!$M$28="",Indata!$M$28=0),Indata!$J$28*1000000*(1+Indata!$C$8*Indata!$H$28)^(G52-Indata!$K$28),G62))))</f>
        <v>0</v>
      </c>
      <c r="H125" s="136">
        <f>IF(Indata!$K$28="",0,IF(H52&lt;Indata!$K$28,0,IF(H52&lt;=Indata!$L$28,Indata!$J$28*1000000*(1+Indata!$C$8*Indata!$H$28)^(H52-Indata!$K$28),IF(OR(Indata!$M$28="",Indata!$M$28=0),Indata!$J$28*1000000*(1+Indata!$C$8*Indata!$H$28)^(H52-Indata!$K$28),H62))))</f>
        <v>0</v>
      </c>
      <c r="I125" s="136">
        <f>IF(Indata!$K$28="",0,IF(I52&lt;Indata!$K$28,0,IF(I52&lt;=Indata!$L$28,Indata!$J$28*1000000*(1+Indata!$C$8*Indata!$H$28)^(I52-Indata!$K$28),IF(OR(Indata!$M$28="",Indata!$M$28=0),Indata!$J$28*1000000*(1+Indata!$C$8*Indata!$H$28)^(I52-Indata!$K$28),I62))))</f>
        <v>0</v>
      </c>
      <c r="J125" s="136">
        <f>IF(Indata!$K$28="",0,IF(J52&lt;Indata!$K$28,0,IF(J52&lt;=Indata!$L$28,Indata!$J$28*1000000*(1+Indata!$C$8*Indata!$H$28)^(J52-Indata!$K$28),IF(OR(Indata!$M$28="",Indata!$M$28=0),Indata!$J$28*1000000*(1+Indata!$C$8*Indata!$H$28)^(J52-Indata!$K$28),J62))))</f>
        <v>0</v>
      </c>
      <c r="K125" s="136">
        <f>IF(Indata!$K$28="",0,IF(K52&lt;Indata!$K$28,0,IF(K52&lt;=Indata!$L$28,Indata!$J$28*1000000*(1+Indata!$C$8*Indata!$H$28)^(K52-Indata!$K$28),IF(OR(Indata!$M$28="",Indata!$M$28=0),Indata!$J$28*1000000*(1+Indata!$C$8*Indata!$H$28)^(K52-Indata!$K$28),K62))))</f>
        <v>0</v>
      </c>
      <c r="L125" s="136">
        <f>IF(Indata!$K$28="",0,IF(L52&lt;Indata!$K$28,0,IF(L52&lt;=Indata!$L$28,Indata!$J$28*1000000*(1+Indata!$C$8*Indata!$H$28)^(L52-Indata!$K$28),IF(OR(Indata!$M$28="",Indata!$M$28=0),Indata!$J$28*1000000*(1+Indata!$C$8*Indata!$H$28)^(L52-Indata!$K$28),L62))))</f>
        <v>0</v>
      </c>
      <c r="M125" s="136">
        <f>IF(Indata!$K$28="",0,IF(M52&lt;Indata!$K$28,0,IF(M52&lt;=Indata!$L$28,Indata!$J$28*1000000*(1+Indata!$C$8*Indata!$H$28)^(M52-Indata!$K$28),IF(OR(Indata!$M$28="",Indata!$M$28=0),Indata!$J$28*1000000*(1+Indata!$C$8*Indata!$H$28)^(M52-Indata!$K$28),M62))))</f>
        <v>0</v>
      </c>
      <c r="N125" s="136">
        <f>IF(Indata!$K$28="",0,IF(N52&lt;Indata!$K$28,0,IF(N52&lt;=Indata!$L$28,Indata!$J$28*1000000*(1+Indata!$C$8*Indata!$H$28)^(N52-Indata!$K$28),IF(OR(Indata!$M$28="",Indata!$M$28=0),Indata!$J$28*1000000*(1+Indata!$C$8*Indata!$H$28)^(N52-Indata!$K$28),N62))))</f>
        <v>0</v>
      </c>
      <c r="O125" s="136">
        <f>IF(Indata!$K$28="",0,IF(O52&lt;Indata!$K$28,0,IF(O52&lt;=Indata!$L$28,Indata!$J$28*1000000*(1+Indata!$C$8*Indata!$H$28)^(O52-Indata!$K$28),IF(OR(Indata!$M$28="",Indata!$M$28=0),Indata!$J$28*1000000*(1+Indata!$C$8*Indata!$H$28)^(O52-Indata!$K$28),O62))))</f>
        <v>0</v>
      </c>
      <c r="P125" s="136">
        <f>IF(Indata!$K$28="",0,IF(P52&lt;Indata!$K$28,0,IF(P52&lt;=Indata!$L$28,Indata!$J$28*1000000*(1+Indata!$C$8*Indata!$H$28)^(P52-Indata!$K$28),IF(OR(Indata!$M$28="",Indata!$M$28=0),Indata!$J$28*1000000*(1+Indata!$C$8*Indata!$H$28)^(P52-Indata!$K$28),P62))))</f>
        <v>0</v>
      </c>
      <c r="Q125" s="136">
        <f>IF(Indata!$K$28="",0,IF(Q52&lt;Indata!$K$28,0,IF(Q52&lt;=Indata!$L$28,Indata!$J$28*1000000*(1+Indata!$C$8*Indata!$H$28)^(Q52-Indata!$K$28),IF(OR(Indata!$M$28="",Indata!$M$28=0),Indata!$J$28*1000000*(1+Indata!$C$8*Indata!$H$28)^(Q52-Indata!$K$28),Q62))))</f>
        <v>0</v>
      </c>
      <c r="R125" s="136">
        <f>IF(Indata!$K$28="",0,IF(R52&lt;Indata!$K$28,0,IF(R52&lt;=Indata!$L$28,Indata!$J$28*1000000*(1+Indata!$C$8*Indata!$H$28)^(R52-Indata!$K$28),IF(OR(Indata!$M$28="",Indata!$M$28=0),Indata!$J$28*1000000*(1+Indata!$C$8*Indata!$H$28)^(R52-Indata!$K$28),R62))))</f>
        <v>0</v>
      </c>
      <c r="S125" s="136">
        <f>IF(Indata!$K$28="",0,IF(S52&lt;Indata!$K$28,0,IF(S52&lt;=Indata!$L$28,Indata!$J$28*1000000*(1+Indata!$C$8*Indata!$H$28)^(S52-Indata!$K$28),IF(OR(Indata!$M$28="",Indata!$M$28=0),Indata!$J$28*1000000*(1+Indata!$C$8*Indata!$H$28)^(S52-Indata!$K$28),S62))))</f>
        <v>0</v>
      </c>
      <c r="T125" s="136">
        <f>IF(Indata!$K$28="",0,IF(T52&lt;Indata!$K$28,0,IF(T52&lt;=Indata!$L$28,Indata!$J$28*1000000*(1+Indata!$C$8*Indata!$H$28)^(T52-Indata!$K$28),IF(OR(Indata!$M$28="",Indata!$M$28=0),Indata!$J$28*1000000*(1+Indata!$C$8*Indata!$H$28)^(T52-Indata!$K$28),T62))))</f>
        <v>0</v>
      </c>
      <c r="U125" s="136">
        <f>IF(Indata!$K$28="",0,IF(U52&lt;Indata!$K$28,0,IF(U52&lt;=Indata!$L$28,Indata!$J$28*1000000*(1+Indata!$C$8*Indata!$H$28)^(U52-Indata!$K$28),IF(OR(Indata!$M$28="",Indata!$M$28=0),Indata!$J$28*1000000*(1+Indata!$C$8*Indata!$H$28)^(U52-Indata!$K$28),U62))))</f>
        <v>0</v>
      </c>
      <c r="V125" s="136">
        <f>IF(Indata!$K$28="",0,IF(V52&lt;Indata!$K$28,0,IF(V52&lt;=Indata!$L$28,Indata!$J$28*1000000*(1+Indata!$C$8*Indata!$H$28)^(V52-Indata!$K$28),IF(OR(Indata!$M$28="",Indata!$M$28=0),Indata!$J$28*1000000*(1+Indata!$C$8*Indata!$H$28)^(V52-Indata!$K$28),V62))))</f>
        <v>0</v>
      </c>
      <c r="W125" s="136">
        <f>IF(Indata!$K$28="",0,IF(W52&lt;Indata!$K$28,0,IF(W52&lt;=Indata!$L$28,Indata!$J$28*1000000*(1+Indata!$C$8*Indata!$H$28)^(W52-Indata!$K$28),IF(OR(Indata!$M$28="",Indata!$M$28=0),Indata!$J$28*1000000*(1+Indata!$C$8*Indata!$H$28)^(W52-Indata!$K$28),W62))))</f>
        <v>0</v>
      </c>
      <c r="X125" s="136">
        <f>IF(Indata!$K$28="",0,IF(X52&lt;Indata!$K$28,0,IF(X52&lt;=Indata!$L$28,Indata!$J$28*1000000*(1+Indata!$C$8*Indata!$H$28)^(X52-Indata!$K$28),IF(OR(Indata!$M$28="",Indata!$M$28=0),Indata!$J$28*1000000*(1+Indata!$C$8*Indata!$H$28)^(X52-Indata!$K$28),X62))))</f>
        <v>0</v>
      </c>
      <c r="Y125" s="136">
        <f>IF(Indata!$K$28="",0,IF(Y52&lt;Indata!$K$28,0,IF(Y52&lt;=Indata!$L$28,Indata!$J$28*1000000*(1+Indata!$C$8*Indata!$H$28)^(Y52-Indata!$K$28),IF(OR(Indata!$M$28="",Indata!$M$28=0),Indata!$J$28*1000000*(1+Indata!$C$8*Indata!$H$28)^(Y52-Indata!$K$28),Y62))))</f>
        <v>0</v>
      </c>
      <c r="Z125" s="136">
        <f>IF(Indata!$K$28="",0,IF(Z52&lt;Indata!$K$28,0,IF(Z52&lt;=Indata!$L$28,Indata!$J$28*1000000*(1+Indata!$C$8*Indata!$H$28)^(Z52-Indata!$K$28),IF(OR(Indata!$M$28="",Indata!$M$28=0),Indata!$J$28*1000000*(1+Indata!$C$8*Indata!$H$28)^(Z52-Indata!$K$28),Z62))))</f>
        <v>0</v>
      </c>
      <c r="AA125" s="136">
        <f>IF(Indata!$K$28="",0,IF(AA52&lt;Indata!$K$28,0,IF(AA52&lt;=Indata!$L$28,Indata!$J$28*1000000*(1+Indata!$C$8*Indata!$H$28)^(AA52-Indata!$K$28),IF(OR(Indata!$M$28="",Indata!$M$28=0),Indata!$J$28*1000000*(1+Indata!$C$8*Indata!$H$28)^(AA52-Indata!$K$28),AA62))))</f>
        <v>0</v>
      </c>
      <c r="AB125" s="136">
        <f>IF(Indata!$K$28="",0,IF(AB52&lt;Indata!$K$28,0,IF(AB52&lt;=Indata!$L$28,Indata!$J$28*1000000*(1+Indata!$C$8*Indata!$H$28)^(AB52-Indata!$K$28),IF(OR(Indata!$M$28="",Indata!$M$28=0),Indata!$J$28*1000000*(1+Indata!$C$8*Indata!$H$28)^(AB52-Indata!$K$28),AB62))))</f>
        <v>0</v>
      </c>
      <c r="AC125" s="20"/>
      <c r="AD125" s="20"/>
    </row>
    <row r="126" spans="1:30" ht="15" customHeight="1">
      <c r="A126" s="19"/>
      <c r="B126" s="20" t="s">
        <v>434</v>
      </c>
      <c r="C126" s="20"/>
      <c r="D126" s="136">
        <f>IF(Indata!$K$29="",0,IF(D52&lt;Indata!$K$29,0,IF(D52&lt;=Indata!$L$29,Indata!$J$29*1000000*(1+Indata!$C$8*Indata!$H$29)^(D52-Indata!$K$29),IF(OR(Indata!$M$29="",Indata!$M$29=0),Indata!$J$29*1000000*(1+Indata!$C$8*Indata!$H$29)^(D52-Indata!$K$29),D63))))</f>
        <v>0</v>
      </c>
      <c r="E126" s="136">
        <f>IF(Indata!$K$29="",0,IF(E52&lt;Indata!$K$29,0,IF(E52&lt;=Indata!$L$29,Indata!$J$29*1000000*(1+Indata!$C$8*Indata!$H$29)^(E52-Indata!$K$29),IF(OR(Indata!$M$29="",Indata!$M$29=0),Indata!$J$29*1000000*(1+Indata!$C$8*Indata!$H$29)^(E52-Indata!$K$29),E63))))</f>
        <v>0</v>
      </c>
      <c r="F126" s="136">
        <f>IF(Indata!$K$29="",0,IF(F52&lt;Indata!$K$29,0,IF(F52&lt;=Indata!$L$29,Indata!$J$29*1000000*(1+Indata!$C$8*Indata!$H$29)^(F52-Indata!$K$29),IF(OR(Indata!$M$29="",Indata!$M$29=0),Indata!$J$29*1000000*(1+Indata!$C$8*Indata!$H$29)^(F52-Indata!$K$29),F63))))</f>
        <v>0</v>
      </c>
      <c r="G126" s="136">
        <f>IF(Indata!$K$29="",0,IF(G52&lt;Indata!$K$29,0,IF(G52&lt;=Indata!$L$29,Indata!$J$29*1000000*(1+Indata!$C$8*Indata!$H$29)^(G52-Indata!$K$29),IF(OR(Indata!$M$29="",Indata!$M$29=0),Indata!$J$29*1000000*(1+Indata!$C$8*Indata!$H$29)^(G52-Indata!$K$29),G63))))</f>
        <v>0</v>
      </c>
      <c r="H126" s="136">
        <f>IF(Indata!$K$29="",0,IF(H52&lt;Indata!$K$29,0,IF(H52&lt;=Indata!$L$29,Indata!$J$29*1000000*(1+Indata!$C$8*Indata!$H$29)^(H52-Indata!$K$29),IF(OR(Indata!$M$29="",Indata!$M$29=0),Indata!$J$29*1000000*(1+Indata!$C$8*Indata!$H$29)^(H52-Indata!$K$29),H63))))</f>
        <v>0</v>
      </c>
      <c r="I126" s="136">
        <f>IF(Indata!$K$29="",0,IF(I52&lt;Indata!$K$29,0,IF(I52&lt;=Indata!$L$29,Indata!$J$29*1000000*(1+Indata!$C$8*Indata!$H$29)^(I52-Indata!$K$29),IF(OR(Indata!$M$29="",Indata!$M$29=0),Indata!$J$29*1000000*(1+Indata!$C$8*Indata!$H$29)^(I52-Indata!$K$29),I63))))</f>
        <v>0</v>
      </c>
      <c r="J126" s="136">
        <f>IF(Indata!$K$29="",0,IF(J52&lt;Indata!$K$29,0,IF(J52&lt;=Indata!$L$29,Indata!$J$29*1000000*(1+Indata!$C$8*Indata!$H$29)^(J52-Indata!$K$29),IF(OR(Indata!$M$29="",Indata!$M$29=0),Indata!$J$29*1000000*(1+Indata!$C$8*Indata!$H$29)^(J52-Indata!$K$29),J63))))</f>
        <v>0</v>
      </c>
      <c r="K126" s="136">
        <f>IF(Indata!$K$29="",0,IF(K52&lt;Indata!$K$29,0,IF(K52&lt;=Indata!$L$29,Indata!$J$29*1000000*(1+Indata!$C$8*Indata!$H$29)^(K52-Indata!$K$29),IF(OR(Indata!$M$29="",Indata!$M$29=0),Indata!$J$29*1000000*(1+Indata!$C$8*Indata!$H$29)^(K52-Indata!$K$29),K63))))</f>
        <v>0</v>
      </c>
      <c r="L126" s="136">
        <f>IF(Indata!$K$29="",0,IF(L52&lt;Indata!$K$29,0,IF(L52&lt;=Indata!$L$29,Indata!$J$29*1000000*(1+Indata!$C$8*Indata!$H$29)^(L52-Indata!$K$29),IF(OR(Indata!$M$29="",Indata!$M$29=0),Indata!$J$29*1000000*(1+Indata!$C$8*Indata!$H$29)^(L52-Indata!$K$29),L63))))</f>
        <v>0</v>
      </c>
      <c r="M126" s="136">
        <f>IF(Indata!$K$29="",0,IF(M52&lt;Indata!$K$29,0,IF(M52&lt;=Indata!$L$29,Indata!$J$29*1000000*(1+Indata!$C$8*Indata!$H$29)^(M52-Indata!$K$29),IF(OR(Indata!$M$29="",Indata!$M$29=0),Indata!$J$29*1000000*(1+Indata!$C$8*Indata!$H$29)^(M52-Indata!$K$29),M63))))</f>
        <v>0</v>
      </c>
      <c r="N126" s="136">
        <f>IF(Indata!$K$29="",0,IF(N52&lt;Indata!$K$29,0,IF(N52&lt;=Indata!$L$29,Indata!$J$29*1000000*(1+Indata!$C$8*Indata!$H$29)^(N52-Indata!$K$29),IF(OR(Indata!$M$29="",Indata!$M$29=0),Indata!$J$29*1000000*(1+Indata!$C$8*Indata!$H$29)^(N52-Indata!$K$29),N63))))</f>
        <v>0</v>
      </c>
      <c r="O126" s="136">
        <f>IF(Indata!$K$29="",0,IF(O52&lt;Indata!$K$29,0,IF(O52&lt;=Indata!$L$29,Indata!$J$29*1000000*(1+Indata!$C$8*Indata!$H$29)^(O52-Indata!$K$29),IF(OR(Indata!$M$29="",Indata!$M$29=0),Indata!$J$29*1000000*(1+Indata!$C$8*Indata!$H$29)^(O52-Indata!$K$29),O63))))</f>
        <v>0</v>
      </c>
      <c r="P126" s="136">
        <f>IF(Indata!$K$29="",0,IF(P52&lt;Indata!$K$29,0,IF(P52&lt;=Indata!$L$29,Indata!$J$29*1000000*(1+Indata!$C$8*Indata!$H$29)^(P52-Indata!$K$29),IF(OR(Indata!$M$29="",Indata!$M$29=0),Indata!$J$29*1000000*(1+Indata!$C$8*Indata!$H$29)^(P52-Indata!$K$29),P63))))</f>
        <v>0</v>
      </c>
      <c r="Q126" s="136">
        <f>IF(Indata!$K$29="",0,IF(Q52&lt;Indata!$K$29,0,IF(Q52&lt;=Indata!$L$29,Indata!$J$29*1000000*(1+Indata!$C$8*Indata!$H$29)^(Q52-Indata!$K$29),IF(OR(Indata!$M$29="",Indata!$M$29=0),Indata!$J$29*1000000*(1+Indata!$C$8*Indata!$H$29)^(Q52-Indata!$K$29),Q63))))</f>
        <v>0</v>
      </c>
      <c r="R126" s="136">
        <f>IF(Indata!$K$29="",0,IF(R52&lt;Indata!$K$29,0,IF(R52&lt;=Indata!$L$29,Indata!$J$29*1000000*(1+Indata!$C$8*Indata!$H$29)^(R52-Indata!$K$29),IF(OR(Indata!$M$29="",Indata!$M$29=0),Indata!$J$29*1000000*(1+Indata!$C$8*Indata!$H$29)^(R52-Indata!$K$29),R63))))</f>
        <v>0</v>
      </c>
      <c r="S126" s="136">
        <f>IF(Indata!$K$29="",0,IF(S52&lt;Indata!$K$29,0,IF(S52&lt;=Indata!$L$29,Indata!$J$29*1000000*(1+Indata!$C$8*Indata!$H$29)^(S52-Indata!$K$29),IF(OR(Indata!$M$29="",Indata!$M$29=0),Indata!$J$29*1000000*(1+Indata!$C$8*Indata!$H$29)^(S52-Indata!$K$29),S63))))</f>
        <v>0</v>
      </c>
      <c r="T126" s="136">
        <f>IF(Indata!$K$29="",0,IF(T52&lt;Indata!$K$29,0,IF(T52&lt;=Indata!$L$29,Indata!$J$29*1000000*(1+Indata!$C$8*Indata!$H$29)^(T52-Indata!$K$29),IF(OR(Indata!$M$29="",Indata!$M$29=0),Indata!$J$29*1000000*(1+Indata!$C$8*Indata!$H$29)^(T52-Indata!$K$29),T63))))</f>
        <v>0</v>
      </c>
      <c r="U126" s="136">
        <f>IF(Indata!$K$29="",0,IF(U52&lt;Indata!$K$29,0,IF(U52&lt;=Indata!$L$29,Indata!$J$29*1000000*(1+Indata!$C$8*Indata!$H$29)^(U52-Indata!$K$29),IF(OR(Indata!$M$29="",Indata!$M$29=0),Indata!$J$29*1000000*(1+Indata!$C$8*Indata!$H$29)^(U52-Indata!$K$29),U63))))</f>
        <v>0</v>
      </c>
      <c r="V126" s="136">
        <f>IF(Indata!$K$29="",0,IF(V52&lt;Indata!$K$29,0,IF(V52&lt;=Indata!$L$29,Indata!$J$29*1000000*(1+Indata!$C$8*Indata!$H$29)^(V52-Indata!$K$29),IF(OR(Indata!$M$29="",Indata!$M$29=0),Indata!$J$29*1000000*(1+Indata!$C$8*Indata!$H$29)^(V52-Indata!$K$29),V63))))</f>
        <v>0</v>
      </c>
      <c r="W126" s="136">
        <f>IF(Indata!$K$29="",0,IF(W52&lt;Indata!$K$29,0,IF(W52&lt;=Indata!$L$29,Indata!$J$29*1000000*(1+Indata!$C$8*Indata!$H$29)^(W52-Indata!$K$29),IF(OR(Indata!$M$29="",Indata!$M$29=0),Indata!$J$29*1000000*(1+Indata!$C$8*Indata!$H$29)^(W52-Indata!$K$29),W63))))</f>
        <v>0</v>
      </c>
      <c r="X126" s="136">
        <f>IF(Indata!$K$29="",0,IF(X52&lt;Indata!$K$29,0,IF(X52&lt;=Indata!$L$29,Indata!$J$29*1000000*(1+Indata!$C$8*Indata!$H$29)^(X52-Indata!$K$29),IF(OR(Indata!$M$29="",Indata!$M$29=0),Indata!$J$29*1000000*(1+Indata!$C$8*Indata!$H$29)^(X52-Indata!$K$29),X63))))</f>
        <v>0</v>
      </c>
      <c r="Y126" s="136">
        <f>IF(Indata!$K$29="",0,IF(Y52&lt;Indata!$K$29,0,IF(Y52&lt;=Indata!$L$29,Indata!$J$29*1000000*(1+Indata!$C$8*Indata!$H$29)^(Y52-Indata!$K$29),IF(OR(Indata!$M$29="",Indata!$M$29=0),Indata!$J$29*1000000*(1+Indata!$C$8*Indata!$H$29)^(Y52-Indata!$K$29),Y63))))</f>
        <v>0</v>
      </c>
      <c r="Z126" s="136">
        <f>IF(Indata!$K$29="",0,IF(Z52&lt;Indata!$K$29,0,IF(Z52&lt;=Indata!$L$29,Indata!$J$29*1000000*(1+Indata!$C$8*Indata!$H$29)^(Z52-Indata!$K$29),IF(OR(Indata!$M$29="",Indata!$M$29=0),Indata!$J$29*1000000*(1+Indata!$C$8*Indata!$H$29)^(Z52-Indata!$K$29),Z63))))</f>
        <v>0</v>
      </c>
      <c r="AA126" s="136">
        <f>IF(Indata!$K$29="",0,IF(AA52&lt;Indata!$K$29,0,IF(AA52&lt;=Indata!$L$29,Indata!$J$29*1000000*(1+Indata!$C$8*Indata!$H$29)^(AA52-Indata!$K$29),IF(OR(Indata!$M$29="",Indata!$M$29=0),Indata!$J$29*1000000*(1+Indata!$C$8*Indata!$H$29)^(AA52-Indata!$K$29),AA63))))</f>
        <v>0</v>
      </c>
      <c r="AB126" s="136">
        <f>IF(Indata!$K$29="",0,IF(AB52&lt;Indata!$K$29,0,IF(AB52&lt;=Indata!$L$29,Indata!$J$29*1000000*(1+Indata!$C$8*Indata!$H$29)^(AB52-Indata!$K$29),IF(OR(Indata!$M$29="",Indata!$M$29=0),Indata!$J$29*1000000*(1+Indata!$C$8*Indata!$H$29)^(AB52-Indata!$K$29),AB63))))</f>
        <v>0</v>
      </c>
      <c r="AC126" s="20"/>
      <c r="AD126" s="20"/>
    </row>
    <row r="127" spans="1:30" ht="15" customHeight="1">
      <c r="A127" s="19"/>
      <c r="B127" s="20" t="s">
        <v>435</v>
      </c>
      <c r="C127" s="20"/>
      <c r="D127" s="136">
        <f>IF(Indata!$K$30="",0,IF(D52&lt;Indata!$K$30,0,IF(D52&lt;=Indata!$L$30,Indata!$J$30*1000000*(1+Indata!$C$8*Indata!$H$30)^(D52-Indata!$K$30),IF(OR(Indata!$M$30="",Indata!$M$30=0),Indata!$J$30*1000000*(1+Indata!$C$8*Indata!$H$30)^(D52-Indata!$K$30),D64))))</f>
        <v>0</v>
      </c>
      <c r="E127" s="136">
        <f>IF(Indata!$K$30="",0,IF(E52&lt;Indata!$K$30,0,IF(E52&lt;=Indata!$L$30,Indata!$J$30*1000000*(1+Indata!$C$8*Indata!$H$30)^(E52-Indata!$K$30),IF(OR(Indata!$M$30="",Indata!$M$30=0),Indata!$J$30*1000000*(1+Indata!$C$8*Indata!$H$30)^(E52-Indata!$K$30),E64))))</f>
        <v>0</v>
      </c>
      <c r="F127" s="136">
        <f>IF(Indata!$K$30="",0,IF(F52&lt;Indata!$K$30,0,IF(F52&lt;=Indata!$L$30,Indata!$J$30*1000000*(1+Indata!$C$8*Indata!$H$30)^(F52-Indata!$K$30),IF(OR(Indata!$M$30="",Indata!$M$30=0),Indata!$J$30*1000000*(1+Indata!$C$8*Indata!$H$30)^(F52-Indata!$K$30),F64))))</f>
        <v>0</v>
      </c>
      <c r="G127" s="136">
        <f>IF(Indata!$K$30="",0,IF(G52&lt;Indata!$K$30,0,IF(G52&lt;=Indata!$L$30,Indata!$J$30*1000000*(1+Indata!$C$8*Indata!$H$30)^(G52-Indata!$K$30),IF(OR(Indata!$M$30="",Indata!$M$30=0),Indata!$J$30*1000000*(1+Indata!$C$8*Indata!$H$30)^(G52-Indata!$K$30),G64))))</f>
        <v>0</v>
      </c>
      <c r="H127" s="136">
        <f>IF(Indata!$K$30="",0,IF(H52&lt;Indata!$K$30,0,IF(H52&lt;=Indata!$L$30,Indata!$J$30*1000000*(1+Indata!$C$8*Indata!$H$30)^(H52-Indata!$K$30),IF(OR(Indata!$M$30="",Indata!$M$30=0),Indata!$J$30*1000000*(1+Indata!$C$8*Indata!$H$30)^(H52-Indata!$K$30),H64))))</f>
        <v>0</v>
      </c>
      <c r="I127" s="136">
        <f>IF(Indata!$K$30="",0,IF(I52&lt;Indata!$K$30,0,IF(I52&lt;=Indata!$L$30,Indata!$J$30*1000000*(1+Indata!$C$8*Indata!$H$30)^(I52-Indata!$K$30),IF(OR(Indata!$M$30="",Indata!$M$30=0),Indata!$J$30*1000000*(1+Indata!$C$8*Indata!$H$30)^(I52-Indata!$K$30),I64))))</f>
        <v>0</v>
      </c>
      <c r="J127" s="136">
        <f>IF(Indata!$K$30="",0,IF(J52&lt;Indata!$K$30,0,IF(J52&lt;=Indata!$L$30,Indata!$J$30*1000000*(1+Indata!$C$8*Indata!$H$30)^(J52-Indata!$K$30),IF(OR(Indata!$M$30="",Indata!$M$30=0),Indata!$J$30*1000000*(1+Indata!$C$8*Indata!$H$30)^(J52-Indata!$K$30),J64))))</f>
        <v>0</v>
      </c>
      <c r="K127" s="136">
        <f>IF(Indata!$K$30="",0,IF(K52&lt;Indata!$K$30,0,IF(K52&lt;=Indata!$L$30,Indata!$J$30*1000000*(1+Indata!$C$8*Indata!$H$30)^(K52-Indata!$K$30),IF(OR(Indata!$M$30="",Indata!$M$30=0),Indata!$J$30*1000000*(1+Indata!$C$8*Indata!$H$30)^(K52-Indata!$K$30),K64))))</f>
        <v>0</v>
      </c>
      <c r="L127" s="136">
        <f>IF(Indata!$K$30="",0,IF(L52&lt;Indata!$K$30,0,IF(L52&lt;=Indata!$L$30,Indata!$J$30*1000000*(1+Indata!$C$8*Indata!$H$30)^(L52-Indata!$K$30),IF(OR(Indata!$M$30="",Indata!$M$30=0),Indata!$J$30*1000000*(1+Indata!$C$8*Indata!$H$30)^(L52-Indata!$K$30),L64))))</f>
        <v>0</v>
      </c>
      <c r="M127" s="136">
        <f>IF(Indata!$K$30="",0,IF(M52&lt;Indata!$K$30,0,IF(M52&lt;=Indata!$L$30,Indata!$J$30*1000000*(1+Indata!$C$8*Indata!$H$30)^(M52-Indata!$K$30),IF(OR(Indata!$M$30="",Indata!$M$30=0),Indata!$J$30*1000000*(1+Indata!$C$8*Indata!$H$30)^(M52-Indata!$K$30),M64))))</f>
        <v>0</v>
      </c>
      <c r="N127" s="136">
        <f>IF(Indata!$K$30="",0,IF(N52&lt;Indata!$K$30,0,IF(N52&lt;=Indata!$L$30,Indata!$J$30*1000000*(1+Indata!$C$8*Indata!$H$30)^(N52-Indata!$K$30),IF(OR(Indata!$M$30="",Indata!$M$30=0),Indata!$J$30*1000000*(1+Indata!$C$8*Indata!$H$30)^(N52-Indata!$K$30),N64))))</f>
        <v>0</v>
      </c>
      <c r="O127" s="136">
        <f>IF(Indata!$K$30="",0,IF(O52&lt;Indata!$K$30,0,IF(O52&lt;=Indata!$L$30,Indata!$J$30*1000000*(1+Indata!$C$8*Indata!$H$30)^(O52-Indata!$K$30),IF(OR(Indata!$M$30="",Indata!$M$30=0),Indata!$J$30*1000000*(1+Indata!$C$8*Indata!$H$30)^(O52-Indata!$K$30),O64))))</f>
        <v>0</v>
      </c>
      <c r="P127" s="136">
        <f>IF(Indata!$K$30="",0,IF(P52&lt;Indata!$K$30,0,IF(P52&lt;=Indata!$L$30,Indata!$J$30*1000000*(1+Indata!$C$8*Indata!$H$30)^(P52-Indata!$K$30),IF(OR(Indata!$M$30="",Indata!$M$30=0),Indata!$J$30*1000000*(1+Indata!$C$8*Indata!$H$30)^(P52-Indata!$K$30),P64))))</f>
        <v>0</v>
      </c>
      <c r="Q127" s="136">
        <f>IF(Indata!$K$30="",0,IF(Q52&lt;Indata!$K$30,0,IF(Q52&lt;=Indata!$L$30,Indata!$J$30*1000000*(1+Indata!$C$8*Indata!$H$30)^(Q52-Indata!$K$30),IF(OR(Indata!$M$30="",Indata!$M$30=0),Indata!$J$30*1000000*(1+Indata!$C$8*Indata!$H$30)^(Q52-Indata!$K$30),Q64))))</f>
        <v>0</v>
      </c>
      <c r="R127" s="136">
        <f>IF(Indata!$K$30="",0,IF(R52&lt;Indata!$K$30,0,IF(R52&lt;=Indata!$L$30,Indata!$J$30*1000000*(1+Indata!$C$8*Indata!$H$30)^(R52-Indata!$K$30),IF(OR(Indata!$M$30="",Indata!$M$30=0),Indata!$J$30*1000000*(1+Indata!$C$8*Indata!$H$30)^(R52-Indata!$K$30),R64))))</f>
        <v>0</v>
      </c>
      <c r="S127" s="136">
        <f>IF(Indata!$K$30="",0,IF(S52&lt;Indata!$K$30,0,IF(S52&lt;=Indata!$L$30,Indata!$J$30*1000000*(1+Indata!$C$8*Indata!$H$30)^(S52-Indata!$K$30),IF(OR(Indata!$M$30="",Indata!$M$30=0),Indata!$J$30*1000000*(1+Indata!$C$8*Indata!$H$30)^(S52-Indata!$K$30),S64))))</f>
        <v>0</v>
      </c>
      <c r="T127" s="136">
        <f>IF(Indata!$K$30="",0,IF(T52&lt;Indata!$K$30,0,IF(T52&lt;=Indata!$L$30,Indata!$J$30*1000000*(1+Indata!$C$8*Indata!$H$30)^(T52-Indata!$K$30),IF(OR(Indata!$M$30="",Indata!$M$30=0),Indata!$J$30*1000000*(1+Indata!$C$8*Indata!$H$30)^(T52-Indata!$K$30),T64))))</f>
        <v>0</v>
      </c>
      <c r="U127" s="136">
        <f>IF(Indata!$K$30="",0,IF(U52&lt;Indata!$K$30,0,IF(U52&lt;=Indata!$L$30,Indata!$J$30*1000000*(1+Indata!$C$8*Indata!$H$30)^(U52-Indata!$K$30),IF(OR(Indata!$M$30="",Indata!$M$30=0),Indata!$J$30*1000000*(1+Indata!$C$8*Indata!$H$30)^(U52-Indata!$K$30),U64))))</f>
        <v>0</v>
      </c>
      <c r="V127" s="136">
        <f>IF(Indata!$K$30="",0,IF(V52&lt;Indata!$K$30,0,IF(V52&lt;=Indata!$L$30,Indata!$J$30*1000000*(1+Indata!$C$8*Indata!$H$30)^(V52-Indata!$K$30),IF(OR(Indata!$M$30="",Indata!$M$30=0),Indata!$J$30*1000000*(1+Indata!$C$8*Indata!$H$30)^(V52-Indata!$K$30),V64))))</f>
        <v>0</v>
      </c>
      <c r="W127" s="136">
        <f>IF(Indata!$K$30="",0,IF(W52&lt;Indata!$K$30,0,IF(W52&lt;=Indata!$L$30,Indata!$J$30*1000000*(1+Indata!$C$8*Indata!$H$30)^(W52-Indata!$K$30),IF(OR(Indata!$M$30="",Indata!$M$30=0),Indata!$J$30*1000000*(1+Indata!$C$8*Indata!$H$30)^(W52-Indata!$K$30),W64))))</f>
        <v>0</v>
      </c>
      <c r="X127" s="136">
        <f>IF(Indata!$K$30="",0,IF(X52&lt;Indata!$K$30,0,IF(X52&lt;=Indata!$L$30,Indata!$J$30*1000000*(1+Indata!$C$8*Indata!$H$30)^(X52-Indata!$K$30),IF(OR(Indata!$M$30="",Indata!$M$30=0),Indata!$J$30*1000000*(1+Indata!$C$8*Indata!$H$30)^(X52-Indata!$K$30),X64))))</f>
        <v>0</v>
      </c>
      <c r="Y127" s="136">
        <f>IF(Indata!$K$30="",0,IF(Y52&lt;Indata!$K$30,0,IF(Y52&lt;=Indata!$L$30,Indata!$J$30*1000000*(1+Indata!$C$8*Indata!$H$30)^(Y52-Indata!$K$30),IF(OR(Indata!$M$30="",Indata!$M$30=0),Indata!$J$30*1000000*(1+Indata!$C$8*Indata!$H$30)^(Y52-Indata!$K$30),Y64))))</f>
        <v>0</v>
      </c>
      <c r="Z127" s="136">
        <f>IF(Indata!$K$30="",0,IF(Z52&lt;Indata!$K$30,0,IF(Z52&lt;=Indata!$L$30,Indata!$J$30*1000000*(1+Indata!$C$8*Indata!$H$30)^(Z52-Indata!$K$30),IF(OR(Indata!$M$30="",Indata!$M$30=0),Indata!$J$30*1000000*(1+Indata!$C$8*Indata!$H$30)^(Z52-Indata!$K$30),Z64))))</f>
        <v>0</v>
      </c>
      <c r="AA127" s="136">
        <f>IF(Indata!$K$30="",0,IF(AA52&lt;Indata!$K$30,0,IF(AA52&lt;=Indata!$L$30,Indata!$J$30*1000000*(1+Indata!$C$8*Indata!$H$30)^(AA52-Indata!$K$30),IF(OR(Indata!$M$30="",Indata!$M$30=0),Indata!$J$30*1000000*(1+Indata!$C$8*Indata!$H$30)^(AA52-Indata!$K$30),AA64))))</f>
        <v>0</v>
      </c>
      <c r="AB127" s="136">
        <f>IF(Indata!$K$30="",0,IF(AB52&lt;Indata!$K$30,0,IF(AB52&lt;=Indata!$L$30,Indata!$J$30*1000000*(1+Indata!$C$8*Indata!$H$30)^(AB52-Indata!$K$30),IF(OR(Indata!$M$30="",Indata!$M$30=0),Indata!$J$30*1000000*(1+Indata!$C$8*Indata!$H$30)^(AB52-Indata!$K$30),AB64))))</f>
        <v>0</v>
      </c>
      <c r="AC127" s="20"/>
      <c r="AD127" s="20"/>
    </row>
    <row r="128" spans="1:30" ht="16.5" customHeight="1">
      <c r="A128" s="19"/>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row>
    <row r="129" spans="1:30" ht="15" customHeight="1">
      <c r="A129" s="19"/>
      <c r="B129" s="20" t="s">
        <v>436</v>
      </c>
      <c r="C129" s="20"/>
      <c r="D129" s="138">
        <f t="shared" ref="D129:AB129" si="6">SUM(D123:D127)</f>
        <v>1000000</v>
      </c>
      <c r="E129" s="138">
        <f t="shared" si="6"/>
        <v>1014000</v>
      </c>
      <c r="F129" s="138">
        <f t="shared" si="6"/>
        <v>1028196.0000000001</v>
      </c>
      <c r="G129" s="138">
        <f t="shared" si="6"/>
        <v>1042590.7440000002</v>
      </c>
      <c r="H129" s="138">
        <f t="shared" si="6"/>
        <v>1057187.0144160003</v>
      </c>
      <c r="I129" s="138">
        <f t="shared" si="6"/>
        <v>1071987.6326178245</v>
      </c>
      <c r="J129" s="138">
        <f t="shared" si="6"/>
        <v>1086995.459474474</v>
      </c>
      <c r="K129" s="138">
        <f t="shared" si="6"/>
        <v>1102213.3959071166</v>
      </c>
      <c r="L129" s="138">
        <f t="shared" si="6"/>
        <v>1117644.3834498164</v>
      </c>
      <c r="M129" s="138">
        <f t="shared" si="6"/>
        <v>1133291.4048181139</v>
      </c>
      <c r="N129" s="138">
        <f t="shared" si="6"/>
        <v>1149157.4844855675</v>
      </c>
      <c r="O129" s="138">
        <f t="shared" si="6"/>
        <v>1165245.6892683655</v>
      </c>
      <c r="P129" s="138">
        <f t="shared" si="6"/>
        <v>1181559.128918123</v>
      </c>
      <c r="Q129" s="138">
        <f t="shared" si="6"/>
        <v>1198100.9567229766</v>
      </c>
      <c r="R129" s="138">
        <f t="shared" si="6"/>
        <v>1214874.3701170983</v>
      </c>
      <c r="S129" s="138">
        <f t="shared" si="6"/>
        <v>1231882.6112987378</v>
      </c>
      <c r="T129" s="138">
        <f t="shared" si="6"/>
        <v>1249128.9678569203</v>
      </c>
      <c r="U129" s="138">
        <f t="shared" si="6"/>
        <v>1266616.7734069175</v>
      </c>
      <c r="V129" s="138">
        <f t="shared" si="6"/>
        <v>1284349.4082346144</v>
      </c>
      <c r="W129" s="138">
        <f t="shared" si="6"/>
        <v>1302330.2999498989</v>
      </c>
      <c r="X129" s="138">
        <f t="shared" si="6"/>
        <v>1320562.9241491975</v>
      </c>
      <c r="Y129" s="138">
        <f t="shared" si="6"/>
        <v>1339050.8050872865</v>
      </c>
      <c r="Z129" s="138">
        <f t="shared" si="6"/>
        <v>1357797.5163585085</v>
      </c>
      <c r="AA129" s="138">
        <f t="shared" si="6"/>
        <v>1376806.6815875277</v>
      </c>
      <c r="AB129" s="138">
        <f t="shared" si="6"/>
        <v>1396081.9751297534</v>
      </c>
      <c r="AC129" s="20"/>
      <c r="AD129" s="20"/>
    </row>
    <row r="130" spans="1:30" ht="15" customHeight="1">
      <c r="A130" s="19"/>
      <c r="B130" s="20" t="s">
        <v>437</v>
      </c>
      <c r="C130" s="20"/>
      <c r="D130" s="138">
        <f>IF(AND(Indata!$L$26&lt;&gt;"",D52&gt;Indata!$L$26),-D123*Indata!$N$26,0)+IF(AND(Indata!$L$27&lt;&gt;"",D52&gt;Indata!$L$27),-D124*Indata!$N$27,0)+IF(AND(Indata!$L$28&lt;&gt;"",D52&gt;Indata!$L$28),-D125*Indata!$N$28,0)+IF(AND(Indata!$L$29&lt;&gt;"",D52&gt;Indata!$L$29),-D126*Indata!$N$29,0)+IF(AND(Indata!$L$30&lt;&gt;"",D52&gt;Indata!$L$30),-D127*Indata!$N$30,0)</f>
        <v>0</v>
      </c>
      <c r="E130" s="138">
        <f>IF(AND(Indata!$L$26&lt;&gt;"",E52&gt;Indata!$L$26),-E123*Indata!$N$26,0)+IF(AND(Indata!$L$27&lt;&gt;"",E52&gt;Indata!$L$27),-E124*Indata!$N$27,0)+IF(AND(Indata!$L$28&lt;&gt;"",E52&gt;Indata!$L$28),-E125*Indata!$N$28,0)+IF(AND(Indata!$L$29&lt;&gt;"",E52&gt;Indata!$L$29),-E126*Indata!$N$29,0)+IF(AND(Indata!$L$30&lt;&gt;"",E52&gt;Indata!$L$30),-E127*Indata!$N$30,0)</f>
        <v>0</v>
      </c>
      <c r="F130" s="138">
        <f>IF(AND(Indata!$L$26&lt;&gt;"",F52&gt;Indata!$L$26),-F123*Indata!$N$26,0)+IF(AND(Indata!$L$27&lt;&gt;"",F52&gt;Indata!$L$27),-F124*Indata!$N$27,0)+IF(AND(Indata!$L$28&lt;&gt;"",F52&gt;Indata!$L$28),-F125*Indata!$N$28,0)+IF(AND(Indata!$L$29&lt;&gt;"",F52&gt;Indata!$L$29),-F126*Indata!$N$29,0)+IF(AND(Indata!$L$30&lt;&gt;"",F52&gt;Indata!$L$30),-F127*Indata!$N$30,0)</f>
        <v>0</v>
      </c>
      <c r="G130" s="138">
        <f>IF(AND(Indata!$L$26&lt;&gt;"",G52&gt;Indata!$L$26),-G123*Indata!$N$26,0)+IF(AND(Indata!$L$27&lt;&gt;"",G52&gt;Indata!$L$27),-G124*Indata!$N$27,0)+IF(AND(Indata!$L$28&lt;&gt;"",G52&gt;Indata!$L$28),-G125*Indata!$N$28,0)+IF(AND(Indata!$L$29&lt;&gt;"",G52&gt;Indata!$L$29),-G126*Indata!$N$29,0)+IF(AND(Indata!$L$30&lt;&gt;"",G52&gt;Indata!$L$30),-G127*Indata!$N$30,0)</f>
        <v>0</v>
      </c>
      <c r="H130" s="138">
        <f>IF(AND(Indata!$L$26&lt;&gt;"",H52&gt;Indata!$L$26),-H123*Indata!$N$26,0)+IF(AND(Indata!$L$27&lt;&gt;"",H52&gt;Indata!$L$27),-H124*Indata!$N$27,0)+IF(AND(Indata!$L$28&lt;&gt;"",H52&gt;Indata!$L$28),-H125*Indata!$N$28,0)+IF(AND(Indata!$L$29&lt;&gt;"",H52&gt;Indata!$L$29),-H126*Indata!$N$29,0)+IF(AND(Indata!$L$30&lt;&gt;"",H52&gt;Indata!$L$30),-H127*Indata!$N$30,0)</f>
        <v>0</v>
      </c>
      <c r="I130" s="138">
        <f>IF(AND(Indata!$L$26&lt;&gt;"",I52&gt;Indata!$L$26),-I123*Indata!$N$26,0)+IF(AND(Indata!$L$27&lt;&gt;"",I52&gt;Indata!$L$27),-I124*Indata!$N$27,0)+IF(AND(Indata!$L$28&lt;&gt;"",I52&gt;Indata!$L$28),-I125*Indata!$N$28,0)+IF(AND(Indata!$L$29&lt;&gt;"",I52&gt;Indata!$L$29),-I126*Indata!$N$29,0)+IF(AND(Indata!$L$30&lt;&gt;"",I52&gt;Indata!$L$30),-I127*Indata!$N$30,0)</f>
        <v>0</v>
      </c>
      <c r="J130" s="138">
        <f>IF(AND(Indata!$L$26&lt;&gt;"",J52&gt;Indata!$L$26),-J123*Indata!$N$26,0)+IF(AND(Indata!$L$27&lt;&gt;"",J52&gt;Indata!$L$27),-J124*Indata!$N$27,0)+IF(AND(Indata!$L$28&lt;&gt;"",J52&gt;Indata!$L$28),-J125*Indata!$N$28,0)+IF(AND(Indata!$L$29&lt;&gt;"",J52&gt;Indata!$L$29),-J126*Indata!$N$29,0)+IF(AND(Indata!$L$30&lt;&gt;"",J52&gt;Indata!$L$30),-J127*Indata!$N$30,0)</f>
        <v>0</v>
      </c>
      <c r="K130" s="138">
        <f>IF(AND(Indata!$L$26&lt;&gt;"",K52&gt;Indata!$L$26),-K123*Indata!$N$26,0)+IF(AND(Indata!$L$27&lt;&gt;"",K52&gt;Indata!$L$27),-K124*Indata!$N$27,0)+IF(AND(Indata!$L$28&lt;&gt;"",K52&gt;Indata!$L$28),-K125*Indata!$N$28,0)+IF(AND(Indata!$L$29&lt;&gt;"",K52&gt;Indata!$L$29),-K126*Indata!$N$29,0)+IF(AND(Indata!$L$30&lt;&gt;"",K52&gt;Indata!$L$30),-K127*Indata!$N$30,0)</f>
        <v>0</v>
      </c>
      <c r="L130" s="138">
        <f>IF(AND(Indata!$L$26&lt;&gt;"",L52&gt;Indata!$L$26),-L123*Indata!$N$26,0)+IF(AND(Indata!$L$27&lt;&gt;"",L52&gt;Indata!$L$27),-L124*Indata!$N$27,0)+IF(AND(Indata!$L$28&lt;&gt;"",L52&gt;Indata!$L$28),-L125*Indata!$N$28,0)+IF(AND(Indata!$L$29&lt;&gt;"",L52&gt;Indata!$L$29),-L126*Indata!$N$29,0)+IF(AND(Indata!$L$30&lt;&gt;"",L52&gt;Indata!$L$30),-L127*Indata!$N$30,0)</f>
        <v>0</v>
      </c>
      <c r="M130" s="138">
        <f>IF(AND(Indata!$L$26&lt;&gt;"",M52&gt;Indata!$L$26),-M123*Indata!$N$26,0)+IF(AND(Indata!$L$27&lt;&gt;"",M52&gt;Indata!$L$27),-M124*Indata!$N$27,0)+IF(AND(Indata!$L$28&lt;&gt;"",M52&gt;Indata!$L$28),-M125*Indata!$N$28,0)+IF(AND(Indata!$L$29&lt;&gt;"",M52&gt;Indata!$L$29),-M126*Indata!$N$29,0)+IF(AND(Indata!$L$30&lt;&gt;"",M52&gt;Indata!$L$30),-M127*Indata!$N$30,0)</f>
        <v>0</v>
      </c>
      <c r="N130" s="138">
        <f>IF(AND(Indata!$L$26&lt;&gt;"",N52&gt;Indata!$L$26),-N123*Indata!$N$26,0)+IF(AND(Indata!$L$27&lt;&gt;"",N52&gt;Indata!$L$27),-N124*Indata!$N$27,0)+IF(AND(Indata!$L$28&lt;&gt;"",N52&gt;Indata!$L$28),-N125*Indata!$N$28,0)+IF(AND(Indata!$L$29&lt;&gt;"",N52&gt;Indata!$L$29),-N126*Indata!$N$29,0)+IF(AND(Indata!$L$30&lt;&gt;"",N52&gt;Indata!$L$30),-N127*Indata!$N$30,0)</f>
        <v>0</v>
      </c>
      <c r="O130" s="138">
        <f>IF(AND(Indata!$L$26&lt;&gt;"",O52&gt;Indata!$L$26),-O123*Indata!$N$26,0)+IF(AND(Indata!$L$27&lt;&gt;"",O52&gt;Indata!$L$27),-O124*Indata!$N$27,0)+IF(AND(Indata!$L$28&lt;&gt;"",O52&gt;Indata!$L$28),-O125*Indata!$N$28,0)+IF(AND(Indata!$L$29&lt;&gt;"",O52&gt;Indata!$L$29),-O126*Indata!$N$29,0)+IF(AND(Indata!$L$30&lt;&gt;"",O52&gt;Indata!$L$30),-O127*Indata!$N$30,0)</f>
        <v>0</v>
      </c>
      <c r="P130" s="138">
        <f>IF(AND(Indata!$L$26&lt;&gt;"",P52&gt;Indata!$L$26),-P123*Indata!$N$26,0)+IF(AND(Indata!$L$27&lt;&gt;"",P52&gt;Indata!$L$27),-P124*Indata!$N$27,0)+IF(AND(Indata!$L$28&lt;&gt;"",P52&gt;Indata!$L$28),-P125*Indata!$N$28,0)+IF(AND(Indata!$L$29&lt;&gt;"",P52&gt;Indata!$L$29),-P126*Indata!$N$29,0)+IF(AND(Indata!$L$30&lt;&gt;"",P52&gt;Indata!$L$30),-P127*Indata!$N$30,0)</f>
        <v>0</v>
      </c>
      <c r="Q130" s="138">
        <f>IF(AND(Indata!$L$26&lt;&gt;"",Q52&gt;Indata!$L$26),-Q123*Indata!$N$26,0)+IF(AND(Indata!$L$27&lt;&gt;"",Q52&gt;Indata!$L$27),-Q124*Indata!$N$27,0)+IF(AND(Indata!$L$28&lt;&gt;"",Q52&gt;Indata!$L$28),-Q125*Indata!$N$28,0)+IF(AND(Indata!$L$29&lt;&gt;"",Q52&gt;Indata!$L$29),-Q126*Indata!$N$29,0)+IF(AND(Indata!$L$30&lt;&gt;"",Q52&gt;Indata!$L$30),-Q127*Indata!$N$30,0)</f>
        <v>0</v>
      </c>
      <c r="R130" s="138">
        <f>IF(AND(Indata!$L$26&lt;&gt;"",R52&gt;Indata!$L$26),-R123*Indata!$N$26,0)+IF(AND(Indata!$L$27&lt;&gt;"",R52&gt;Indata!$L$27),-R124*Indata!$N$27,0)+IF(AND(Indata!$L$28&lt;&gt;"",R52&gt;Indata!$L$28),-R125*Indata!$N$28,0)+IF(AND(Indata!$L$29&lt;&gt;"",R52&gt;Indata!$L$29),-R126*Indata!$N$29,0)+IF(AND(Indata!$L$30&lt;&gt;"",R52&gt;Indata!$L$30),-R127*Indata!$N$30,0)</f>
        <v>0</v>
      </c>
      <c r="S130" s="138">
        <f>IF(AND(Indata!$L$26&lt;&gt;"",S52&gt;Indata!$L$26),-S123*Indata!$N$26,0)+IF(AND(Indata!$L$27&lt;&gt;"",S52&gt;Indata!$L$27),-S124*Indata!$N$27,0)+IF(AND(Indata!$L$28&lt;&gt;"",S52&gt;Indata!$L$28),-S125*Indata!$N$28,0)+IF(AND(Indata!$L$29&lt;&gt;"",S52&gt;Indata!$L$29),-S126*Indata!$N$29,0)+IF(AND(Indata!$L$30&lt;&gt;"",S52&gt;Indata!$L$30),-S127*Indata!$N$30,0)</f>
        <v>0</v>
      </c>
      <c r="T130" s="138">
        <f>IF(AND(Indata!$L$26&lt;&gt;"",T52&gt;Indata!$L$26),-T123*Indata!$N$26,0)+IF(AND(Indata!$L$27&lt;&gt;"",T52&gt;Indata!$L$27),-T124*Indata!$N$27,0)+IF(AND(Indata!$L$28&lt;&gt;"",T52&gt;Indata!$L$28),-T125*Indata!$N$28,0)+IF(AND(Indata!$L$29&lt;&gt;"",T52&gt;Indata!$L$29),-T126*Indata!$N$29,0)+IF(AND(Indata!$L$30&lt;&gt;"",T52&gt;Indata!$L$30),-T127*Indata!$N$30,0)</f>
        <v>0</v>
      </c>
      <c r="U130" s="138">
        <f>IF(AND(Indata!$L$26&lt;&gt;"",U52&gt;Indata!$L$26),-U123*Indata!$N$26,0)+IF(AND(Indata!$L$27&lt;&gt;"",U52&gt;Indata!$L$27),-U124*Indata!$N$27,0)+IF(AND(Indata!$L$28&lt;&gt;"",U52&gt;Indata!$L$28),-U125*Indata!$N$28,0)+IF(AND(Indata!$L$29&lt;&gt;"",U52&gt;Indata!$L$29),-U126*Indata!$N$29,0)+IF(AND(Indata!$L$30&lt;&gt;"",U52&gt;Indata!$L$30),-U127*Indata!$N$30,0)</f>
        <v>0</v>
      </c>
      <c r="V130" s="138">
        <f>IF(AND(Indata!$L$26&lt;&gt;"",V52&gt;Indata!$L$26),-V123*Indata!$N$26,0)+IF(AND(Indata!$L$27&lt;&gt;"",V52&gt;Indata!$L$27),-V124*Indata!$N$27,0)+IF(AND(Indata!$L$28&lt;&gt;"",V52&gt;Indata!$L$28),-V125*Indata!$N$28,0)+IF(AND(Indata!$L$29&lt;&gt;"",V52&gt;Indata!$L$29),-V126*Indata!$N$29,0)+IF(AND(Indata!$L$30&lt;&gt;"",V52&gt;Indata!$L$30),-V127*Indata!$N$30,0)</f>
        <v>0</v>
      </c>
      <c r="W130" s="138">
        <f>IF(AND(Indata!$L$26&lt;&gt;"",W52&gt;Indata!$L$26),-W123*Indata!$N$26,0)+IF(AND(Indata!$L$27&lt;&gt;"",W52&gt;Indata!$L$27),-W124*Indata!$N$27,0)+IF(AND(Indata!$L$28&lt;&gt;"",W52&gt;Indata!$L$28),-W125*Indata!$N$28,0)+IF(AND(Indata!$L$29&lt;&gt;"",W52&gt;Indata!$L$29),-W126*Indata!$N$29,0)+IF(AND(Indata!$L$30&lt;&gt;"",W52&gt;Indata!$L$30),-W127*Indata!$N$30,0)</f>
        <v>0</v>
      </c>
      <c r="X130" s="138">
        <f>IF(AND(Indata!$L$26&lt;&gt;"",X52&gt;Indata!$L$26),-X123*Indata!$N$26,0)+IF(AND(Indata!$L$27&lt;&gt;"",X52&gt;Indata!$L$27),-X124*Indata!$N$27,0)+IF(AND(Indata!$L$28&lt;&gt;"",X52&gt;Indata!$L$28),-X125*Indata!$N$28,0)+IF(AND(Indata!$L$29&lt;&gt;"",X52&gt;Indata!$L$29),-X126*Indata!$N$29,0)+IF(AND(Indata!$L$30&lt;&gt;"",X52&gt;Indata!$L$30),-X127*Indata!$N$30,0)</f>
        <v>0</v>
      </c>
      <c r="Y130" s="138">
        <f>IF(AND(Indata!$L$26&lt;&gt;"",Y52&gt;Indata!$L$26),-Y123*Indata!$N$26,0)+IF(AND(Indata!$L$27&lt;&gt;"",Y52&gt;Indata!$L$27),-Y124*Indata!$N$27,0)+IF(AND(Indata!$L$28&lt;&gt;"",Y52&gt;Indata!$L$28),-Y125*Indata!$N$28,0)+IF(AND(Indata!$L$29&lt;&gt;"",Y52&gt;Indata!$L$29),-Y126*Indata!$N$29,0)+IF(AND(Indata!$L$30&lt;&gt;"",Y52&gt;Indata!$L$30),-Y127*Indata!$N$30,0)</f>
        <v>0</v>
      </c>
      <c r="Z130" s="138">
        <f>IF(AND(Indata!$L$26&lt;&gt;"",Z52&gt;Indata!$L$26),-Z123*Indata!$N$26,0)+IF(AND(Indata!$L$27&lt;&gt;"",Z52&gt;Indata!$L$27),-Z124*Indata!$N$27,0)+IF(AND(Indata!$L$28&lt;&gt;"",Z52&gt;Indata!$L$28),-Z125*Indata!$N$28,0)+IF(AND(Indata!$L$29&lt;&gt;"",Z52&gt;Indata!$L$29),-Z126*Indata!$N$29,0)+IF(AND(Indata!$L$30&lt;&gt;"",Z52&gt;Indata!$L$30),-Z127*Indata!$N$30,0)</f>
        <v>0</v>
      </c>
      <c r="AA130" s="138">
        <f>IF(AND(Indata!$L$26&lt;&gt;"",AA52&gt;Indata!$L$26),-AA123*Indata!$N$26,0)+IF(AND(Indata!$L$27&lt;&gt;"",AA52&gt;Indata!$L$27),-AA124*Indata!$N$27,0)+IF(AND(Indata!$L$28&lt;&gt;"",AA52&gt;Indata!$L$28),-AA125*Indata!$N$28,0)+IF(AND(Indata!$L$29&lt;&gt;"",AA52&gt;Indata!$L$29),-AA126*Indata!$N$29,0)+IF(AND(Indata!$L$30&lt;&gt;"",AA52&gt;Indata!$L$30),-AA127*Indata!$N$30,0)</f>
        <v>0</v>
      </c>
      <c r="AB130" s="138">
        <f>IF(AND(Indata!$L$26&lt;&gt;"",AB52&gt;Indata!$L$26),-AB123*Indata!$N$26,0)+IF(AND(Indata!$L$27&lt;&gt;"",AB52&gt;Indata!$L$27),-AB124*Indata!$N$27,0)+IF(AND(Indata!$L$28&lt;&gt;"",AB52&gt;Indata!$L$28),-AB125*Indata!$N$28,0)+IF(AND(Indata!$L$29&lt;&gt;"",AB52&gt;Indata!$L$29),-AB126*Indata!$N$29,0)+IF(AND(Indata!$L$30&lt;&gt;"",AB52&gt;Indata!$L$30),-AB127*Indata!$N$30,0)</f>
        <v>0</v>
      </c>
      <c r="AC130" s="20"/>
      <c r="AD130" s="20"/>
    </row>
    <row r="131" spans="1:30" ht="15" customHeight="1">
      <c r="A131" s="19"/>
      <c r="B131" s="20" t="s">
        <v>438</v>
      </c>
      <c r="C131" s="20"/>
      <c r="D131" s="138">
        <f t="shared" ref="D131:AB131" si="7">D129+D130</f>
        <v>1000000</v>
      </c>
      <c r="E131" s="138">
        <f t="shared" si="7"/>
        <v>1014000</v>
      </c>
      <c r="F131" s="138">
        <f t="shared" si="7"/>
        <v>1028196.0000000001</v>
      </c>
      <c r="G131" s="138">
        <f t="shared" si="7"/>
        <v>1042590.7440000002</v>
      </c>
      <c r="H131" s="138">
        <f t="shared" si="7"/>
        <v>1057187.0144160003</v>
      </c>
      <c r="I131" s="138">
        <f t="shared" si="7"/>
        <v>1071987.6326178245</v>
      </c>
      <c r="J131" s="138">
        <f t="shared" si="7"/>
        <v>1086995.459474474</v>
      </c>
      <c r="K131" s="138">
        <f t="shared" si="7"/>
        <v>1102213.3959071166</v>
      </c>
      <c r="L131" s="138">
        <f t="shared" si="7"/>
        <v>1117644.3834498164</v>
      </c>
      <c r="M131" s="138">
        <f t="shared" si="7"/>
        <v>1133291.4048181139</v>
      </c>
      <c r="N131" s="138">
        <f t="shared" si="7"/>
        <v>1149157.4844855675</v>
      </c>
      <c r="O131" s="138">
        <f t="shared" si="7"/>
        <v>1165245.6892683655</v>
      </c>
      <c r="P131" s="138">
        <f t="shared" si="7"/>
        <v>1181559.128918123</v>
      </c>
      <c r="Q131" s="138">
        <f t="shared" si="7"/>
        <v>1198100.9567229766</v>
      </c>
      <c r="R131" s="138">
        <f t="shared" si="7"/>
        <v>1214874.3701170983</v>
      </c>
      <c r="S131" s="138">
        <f t="shared" si="7"/>
        <v>1231882.6112987378</v>
      </c>
      <c r="T131" s="138">
        <f t="shared" si="7"/>
        <v>1249128.9678569203</v>
      </c>
      <c r="U131" s="138">
        <f t="shared" si="7"/>
        <v>1266616.7734069175</v>
      </c>
      <c r="V131" s="138">
        <f t="shared" si="7"/>
        <v>1284349.4082346144</v>
      </c>
      <c r="W131" s="138">
        <f t="shared" si="7"/>
        <v>1302330.2999498989</v>
      </c>
      <c r="X131" s="138">
        <f t="shared" si="7"/>
        <v>1320562.9241491975</v>
      </c>
      <c r="Y131" s="138">
        <f t="shared" si="7"/>
        <v>1339050.8050872865</v>
      </c>
      <c r="Z131" s="138">
        <f t="shared" si="7"/>
        <v>1357797.5163585085</v>
      </c>
      <c r="AA131" s="138">
        <f t="shared" si="7"/>
        <v>1376806.6815875277</v>
      </c>
      <c r="AB131" s="138">
        <f t="shared" si="7"/>
        <v>1396081.9751297534</v>
      </c>
      <c r="AC131" s="20"/>
      <c r="AD131" s="20"/>
    </row>
    <row r="132" spans="1:30" ht="15" customHeight="1">
      <c r="A132" s="19"/>
      <c r="B132" s="20" t="s">
        <v>439</v>
      </c>
      <c r="C132" s="20"/>
      <c r="D132" s="138">
        <f t="shared" ref="D132:AB132" si="8">D131+D77+D79+D80+D83</f>
        <v>-1400000</v>
      </c>
      <c r="E132" s="138">
        <f t="shared" si="8"/>
        <v>-1434000</v>
      </c>
      <c r="F132" s="138">
        <f t="shared" si="8"/>
        <v>-1468764</v>
      </c>
      <c r="G132" s="138">
        <f t="shared" si="8"/>
        <v>-1504308.4559999998</v>
      </c>
      <c r="H132" s="138">
        <f t="shared" si="8"/>
        <v>-1540650.1695839996</v>
      </c>
      <c r="I132" s="138">
        <f t="shared" si="8"/>
        <v>-1577806.2950621755</v>
      </c>
      <c r="J132" s="138">
        <f t="shared" si="8"/>
        <v>-1615794.3467591263</v>
      </c>
      <c r="K132" s="138">
        <f t="shared" si="8"/>
        <v>-1654632.206451155</v>
      </c>
      <c r="L132" s="138">
        <f t="shared" si="8"/>
        <v>-1694338.1309556209</v>
      </c>
      <c r="M132" s="138">
        <f t="shared" si="8"/>
        <v>-1734930.7598754321</v>
      </c>
      <c r="N132" s="138">
        <f t="shared" si="8"/>
        <v>-1776429.1235018494</v>
      </c>
      <c r="O132" s="138">
        <f t="shared" si="8"/>
        <v>-1818852.6508787996</v>
      </c>
      <c r="P132" s="138">
        <f t="shared" si="8"/>
        <v>-1862221.1780319859</v>
      </c>
      <c r="Q132" s="138">
        <f t="shared" si="8"/>
        <v>-1906554.9563661341</v>
      </c>
      <c r="R132" s="138">
        <f t="shared" si="8"/>
        <v>-1951874.6612337949</v>
      </c>
      <c r="S132" s="138">
        <f t="shared" si="8"/>
        <v>-1998201.400679172</v>
      </c>
      <c r="T132" s="138">
        <f t="shared" si="8"/>
        <v>-2045556.7243605484</v>
      </c>
      <c r="U132" s="138">
        <f t="shared" si="8"/>
        <v>-2093962.6326549014</v>
      </c>
      <c r="V132" s="138">
        <f t="shared" si="8"/>
        <v>-2143441.5859484398</v>
      </c>
      <c r="W132" s="138">
        <f t="shared" si="8"/>
        <v>-2194016.5141168167</v>
      </c>
      <c r="X132" s="138">
        <f t="shared" si="8"/>
        <v>-2245710.8261988526</v>
      </c>
      <c r="Y132" s="138">
        <f t="shared" si="8"/>
        <v>-2298548.4202677244</v>
      </c>
      <c r="Z132" s="138">
        <f t="shared" si="8"/>
        <v>-2352553.6935036024</v>
      </c>
      <c r="AA132" s="138">
        <f t="shared" si="8"/>
        <v>-2407751.5524718249</v>
      </c>
      <c r="AB132" s="138">
        <f t="shared" si="8"/>
        <v>-2464167.4236107864</v>
      </c>
      <c r="AC132" s="20"/>
      <c r="AD132" s="20"/>
    </row>
    <row r="133" spans="1:30" ht="15" customHeight="1">
      <c r="A133" s="19"/>
      <c r="B133" s="20" t="s">
        <v>440</v>
      </c>
      <c r="C133" s="20"/>
      <c r="D133" s="138">
        <f t="shared" ref="D133:AB133" si="9">D132-D76</f>
        <v>-1400000</v>
      </c>
      <c r="E133" s="138">
        <f t="shared" si="9"/>
        <v>-1434000</v>
      </c>
      <c r="F133" s="138">
        <f t="shared" si="9"/>
        <v>-1468764</v>
      </c>
      <c r="G133" s="138">
        <f t="shared" si="9"/>
        <v>-1504308.4559999998</v>
      </c>
      <c r="H133" s="138">
        <f t="shared" si="9"/>
        <v>-1540650.1695839996</v>
      </c>
      <c r="I133" s="138">
        <f t="shared" si="9"/>
        <v>-1577806.2950621755</v>
      </c>
      <c r="J133" s="138">
        <f t="shared" si="9"/>
        <v>-1615794.3467591263</v>
      </c>
      <c r="K133" s="138">
        <f t="shared" si="9"/>
        <v>-1654632.206451155</v>
      </c>
      <c r="L133" s="138">
        <f t="shared" si="9"/>
        <v>-1694338.1309556209</v>
      </c>
      <c r="M133" s="138">
        <f t="shared" si="9"/>
        <v>-1734930.7598754321</v>
      </c>
      <c r="N133" s="138">
        <f t="shared" si="9"/>
        <v>-1776429.1235018494</v>
      </c>
      <c r="O133" s="138">
        <f t="shared" si="9"/>
        <v>-1818852.6508787996</v>
      </c>
      <c r="P133" s="138">
        <f t="shared" si="9"/>
        <v>-1862221.1780319859</v>
      </c>
      <c r="Q133" s="138">
        <f t="shared" si="9"/>
        <v>-1906554.9563661341</v>
      </c>
      <c r="R133" s="138">
        <f t="shared" si="9"/>
        <v>-1951874.6612337949</v>
      </c>
      <c r="S133" s="138">
        <f t="shared" si="9"/>
        <v>-1998201.400679172</v>
      </c>
      <c r="T133" s="138">
        <f t="shared" si="9"/>
        <v>-2045556.7243605484</v>
      </c>
      <c r="U133" s="138">
        <f t="shared" si="9"/>
        <v>-2093962.6326549014</v>
      </c>
      <c r="V133" s="138">
        <f t="shared" si="9"/>
        <v>-2143441.5859484398</v>
      </c>
      <c r="W133" s="138">
        <f t="shared" si="9"/>
        <v>-2194016.5141168167</v>
      </c>
      <c r="X133" s="138">
        <f t="shared" si="9"/>
        <v>-2245710.8261988526</v>
      </c>
      <c r="Y133" s="138">
        <f t="shared" si="9"/>
        <v>-2298548.4202677244</v>
      </c>
      <c r="Z133" s="138">
        <f t="shared" si="9"/>
        <v>-2352553.6935036024</v>
      </c>
      <c r="AA133" s="138">
        <f t="shared" si="9"/>
        <v>-2407751.5524718249</v>
      </c>
      <c r="AB133" s="138">
        <f t="shared" si="9"/>
        <v>-2464167.4236107864</v>
      </c>
      <c r="AC133" s="20"/>
      <c r="AD133" s="20"/>
    </row>
    <row r="134" spans="1:30" ht="15" customHeight="1">
      <c r="A134" s="19"/>
      <c r="B134" s="20" t="s">
        <v>441</v>
      </c>
      <c r="C134" s="20"/>
      <c r="D134" s="138">
        <f>IF(D54=0,0,D132/(1+Indata!$C$7)^D53)</f>
        <v>-1346153.846153846</v>
      </c>
      <c r="E134" s="138">
        <f>IF(E54=0,0,E132/(1+Indata!$C$7)^E53)</f>
        <v>-1325813.6094674554</v>
      </c>
      <c r="F134" s="138">
        <f>IF(F54=0,0,F132/(1+Indata!$C$7)^F53)</f>
        <v>-1305725.8477469275</v>
      </c>
      <c r="G134" s="138">
        <f>IF(G54=0,0,G132/(1+Indata!$C$7)^G53)</f>
        <v>-1285889.1727902556</v>
      </c>
      <c r="H134" s="138">
        <f>IF(H54=0,0,H132/(1+Indata!$C$7)^H53)</f>
        <v>-1266302.1364144811</v>
      </c>
      <c r="I134" s="138">
        <f>IF(I54=0,0,I132/(1+Indata!$C$7)^I53)</f>
        <v>-1246963.2337761016</v>
      </c>
      <c r="J134" s="138">
        <f>IF(J54=0,0,J132/(1+Indata!$C$7)^J53)</f>
        <v>-1227870.9065734516</v>
      </c>
      <c r="K134" s="138">
        <f>IF(K54=0,0,K132/(1+Indata!$C$7)^K53)</f>
        <v>-1209023.5461346791</v>
      </c>
      <c r="L134" s="138">
        <f>IF(L54=0,0,L132/(1+Indata!$C$7)^L53)</f>
        <v>-1190419.4963948466</v>
      </c>
      <c r="M134" s="138">
        <f>IF(M54=0,0,M132/(1+Indata!$C$7)^M53)</f>
        <v>-1172057.0567655575</v>
      </c>
      <c r="N134" s="138">
        <f>IF(N54=0,0,N132/(1+Indata!$C$7)^N53)</f>
        <v>-1153934.4849004508</v>
      </c>
      <c r="O134" s="138">
        <f>IF(O54=0,0,O132/(1+Indata!$C$7)^O53)</f>
        <v>-1136049.9993597786</v>
      </c>
      <c r="P134" s="138">
        <f>IF(P54=0,0,P132/(1+Indata!$C$7)^P53)</f>
        <v>-1118401.7821772033</v>
      </c>
      <c r="Q134" s="138">
        <f>IF(Q54=0,0,Q132/(1+Indata!$C$7)^Q53)</f>
        <v>-1100987.9813318576</v>
      </c>
      <c r="R134" s="138">
        <f>IF(R54=0,0,R132/(1+Indata!$C$7)^R53)</f>
        <v>-1083806.7131286247</v>
      </c>
      <c r="S134" s="138">
        <f>IF(S54=0,0,S132/(1+Indata!$C$7)^S53)</f>
        <v>-1066856.064489509</v>
      </c>
      <c r="T134" s="138">
        <f>IF(T54=0,0,T132/(1+Indata!$C$7)^T53)</f>
        <v>-1050134.0951588897</v>
      </c>
      <c r="U134" s="138">
        <f>IF(U54=0,0,U132/(1+Indata!$C$7)^U53)</f>
        <v>-1033638.8398253506</v>
      </c>
      <c r="V134" s="138">
        <f>IF(V54=0,0,V132/(1+Indata!$C$7)^V53)</f>
        <v>-1017368.3101627373</v>
      </c>
      <c r="W134" s="138">
        <f>IF(W54=0,0,W132/(1+Indata!$C$7)^W53)</f>
        <v>-1001320.4967929779</v>
      </c>
      <c r="X134" s="138">
        <f>IF(X54=0,0,X132/(1+Indata!$C$7)^X53)</f>
        <v>0</v>
      </c>
      <c r="Y134" s="138">
        <f>IF(Y54=0,0,Y132/(1+Indata!$C$7)^Y53)</f>
        <v>0</v>
      </c>
      <c r="Z134" s="138">
        <f>IF(Z54=0,0,Z132/(1+Indata!$C$7)^Z53)</f>
        <v>0</v>
      </c>
      <c r="AA134" s="138">
        <f>IF(AA54=0,0,AA132/(1+Indata!$C$7)^AA53)</f>
        <v>0</v>
      </c>
      <c r="AB134" s="138">
        <f>IF(AB54=0,0,AB132/(1+Indata!$C$7)^AB53)</f>
        <v>0</v>
      </c>
      <c r="AC134" s="20"/>
      <c r="AD134" s="20"/>
    </row>
    <row r="135" spans="1:30" ht="16.5" customHeight="1">
      <c r="A135" s="19"/>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row>
    <row r="136" spans="1:30" ht="15" customHeight="1">
      <c r="A136" s="19"/>
      <c r="B136" s="20" t="s">
        <v>442</v>
      </c>
      <c r="C136" s="138">
        <f>ROUND(SUMIFS(D134:AB134,D54:AB54,1)/10000,0)*10000</f>
        <v>-23340000</v>
      </c>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row>
    <row r="137" spans="1:30" ht="15" customHeight="1">
      <c r="A137" s="19"/>
      <c r="B137" s="20" t="s">
        <v>443</v>
      </c>
      <c r="C137" s="138">
        <f>ROUND(INDEX(D133:AB133,MATCH(Indata!C16+1,D53:AB53,0))/Indata!$D$81/10000,0)*10000</f>
        <v>-44910000</v>
      </c>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row>
    <row r="138" spans="1:30" ht="15" customHeight="1">
      <c r="A138" s="19"/>
      <c r="B138" s="20" t="s">
        <v>444</v>
      </c>
      <c r="C138" s="138">
        <f>ROUND(C137/(1+Indata!C9)^Indata!C16/10000,0)*10000</f>
        <v>-11610000</v>
      </c>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row>
    <row r="139" spans="1:30" ht="15" customHeight="1">
      <c r="A139" s="19"/>
      <c r="B139" s="79" t="s">
        <v>445</v>
      </c>
      <c r="C139" s="139">
        <f>C136+C138+C118</f>
        <v>-234950000</v>
      </c>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row>
    <row r="140" spans="1:30" ht="15" customHeight="1">
      <c r="A140" s="19"/>
      <c r="B140" s="79" t="s">
        <v>446</v>
      </c>
      <c r="C140" s="144">
        <f>(C139-C119)/1000000</f>
        <v>22.1</v>
      </c>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row>
    <row r="141" spans="1:30" ht="16.5" customHeight="1">
      <c r="A141" s="19"/>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row>
    <row r="142" spans="1:30" ht="16.5" customHeight="1">
      <c r="A142" s="19"/>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row>
    <row r="143" spans="1:30" ht="16.5" customHeight="1">
      <c r="A143" s="19"/>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row>
    <row r="144" spans="1:30" ht="16.5" customHeight="1">
      <c r="A144" s="19"/>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row>
    <row r="145" spans="1:30" ht="16.5" customHeight="1">
      <c r="A145" s="19"/>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row>
    <row r="146" spans="1:30" ht="16.5" customHeight="1">
      <c r="A146" s="19"/>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row>
    <row r="147" spans="1:30" ht="16.5" customHeight="1">
      <c r="A147" s="19"/>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row>
    <row r="148" spans="1:30" ht="16.5" customHeight="1">
      <c r="A148" s="19"/>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row>
    <row r="149" spans="1:30" ht="16.5" customHeight="1">
      <c r="A149" s="19"/>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row>
    <row r="150" spans="1:30" ht="16.5" customHeight="1">
      <c r="A150" s="19"/>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row>
    <row r="151" spans="1:30" ht="16.5" customHeight="1">
      <c r="A151" s="19"/>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row>
    <row r="152" spans="1:30" ht="16.5" customHeight="1">
      <c r="A152" s="19"/>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row>
    <row r="153" spans="1:30" ht="16.5" customHeight="1">
      <c r="A153" s="19"/>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row>
    <row r="154" spans="1:30" ht="16.5" customHeight="1">
      <c r="A154" s="19"/>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row>
    <row r="155" spans="1:30" ht="16.5" customHeight="1">
      <c r="A155" s="19"/>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row>
    <row r="156" spans="1:30" ht="16.5" customHeight="1">
      <c r="A156" s="19"/>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row>
    <row r="157" spans="1:30" ht="16.5" customHeight="1">
      <c r="A157" s="19"/>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row>
    <row r="158" spans="1:30" ht="16.5" customHeight="1">
      <c r="A158" s="19"/>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row>
    <row r="159" spans="1:30" ht="16.5" customHeight="1">
      <c r="A159" s="19"/>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row>
    <row r="160" spans="1:30" ht="16.5" customHeight="1">
      <c r="A160" s="19"/>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row>
    <row r="161" spans="1:30" ht="16.5" customHeight="1">
      <c r="A161" s="19"/>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row>
    <row r="162" spans="1:30" ht="16.5" customHeight="1">
      <c r="A162" s="19"/>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row>
    <row r="163" spans="1:30" ht="16.5" customHeight="1">
      <c r="A163" s="19"/>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row>
    <row r="164" spans="1:30" ht="15" customHeight="1">
      <c r="A164" s="19"/>
      <c r="B164" s="137" t="s">
        <v>447</v>
      </c>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row>
    <row r="165" spans="1:30" ht="16.5" customHeight="1">
      <c r="A165" s="19"/>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row>
    <row r="166" spans="1:30" ht="15" customHeight="1">
      <c r="A166" s="19"/>
      <c r="B166" s="20" t="s">
        <v>448</v>
      </c>
      <c r="C166" s="20"/>
      <c r="D166" s="138">
        <f t="shared" ref="D166:AB166" si="10">D82</f>
        <v>-2400000</v>
      </c>
      <c r="E166" s="138">
        <f t="shared" si="10"/>
        <v>-2448000</v>
      </c>
      <c r="F166" s="138">
        <f t="shared" si="10"/>
        <v>-2496960</v>
      </c>
      <c r="G166" s="138">
        <f t="shared" si="10"/>
        <v>-2546899.2000000002</v>
      </c>
      <c r="H166" s="138">
        <f t="shared" si="10"/>
        <v>-2597837.1839999999</v>
      </c>
      <c r="I166" s="138">
        <f t="shared" si="10"/>
        <v>-2649793.9276799997</v>
      </c>
      <c r="J166" s="138">
        <f t="shared" si="10"/>
        <v>-2702789.8062336002</v>
      </c>
      <c r="K166" s="138">
        <f t="shared" si="10"/>
        <v>-2756845.6023582714</v>
      </c>
      <c r="L166" s="138">
        <f t="shared" si="10"/>
        <v>-2811982.5144054373</v>
      </c>
      <c r="M166" s="138">
        <f t="shared" si="10"/>
        <v>-2868222.164693546</v>
      </c>
      <c r="N166" s="138">
        <f t="shared" si="10"/>
        <v>-2925586.6079874169</v>
      </c>
      <c r="O166" s="138">
        <f t="shared" si="10"/>
        <v>-2984098.3401471651</v>
      </c>
      <c r="P166" s="138">
        <f t="shared" si="10"/>
        <v>-3043780.3069501091</v>
      </c>
      <c r="Q166" s="138">
        <f t="shared" si="10"/>
        <v>-3104655.9130891105</v>
      </c>
      <c r="R166" s="138">
        <f t="shared" si="10"/>
        <v>-3166749.0313508934</v>
      </c>
      <c r="S166" s="138">
        <f t="shared" si="10"/>
        <v>-3230084.0119779101</v>
      </c>
      <c r="T166" s="138">
        <f t="shared" si="10"/>
        <v>-3294685.6922174687</v>
      </c>
      <c r="U166" s="138">
        <f t="shared" si="10"/>
        <v>-3360579.4060618188</v>
      </c>
      <c r="V166" s="138">
        <f t="shared" si="10"/>
        <v>-3427790.9941830542</v>
      </c>
      <c r="W166" s="138">
        <f t="shared" si="10"/>
        <v>-3496346.8140667155</v>
      </c>
      <c r="X166" s="138">
        <f t="shared" si="10"/>
        <v>-3566273.7503480501</v>
      </c>
      <c r="Y166" s="138">
        <f t="shared" si="10"/>
        <v>-3637599.2253550109</v>
      </c>
      <c r="Z166" s="138">
        <f t="shared" si="10"/>
        <v>-3710351.2098621111</v>
      </c>
      <c r="AA166" s="138">
        <f t="shared" si="10"/>
        <v>-3784558.2340593529</v>
      </c>
      <c r="AB166" s="138">
        <f t="shared" si="10"/>
        <v>-3860249.3987405398</v>
      </c>
      <c r="AC166" s="20"/>
      <c r="AD166" s="20"/>
    </row>
    <row r="167" spans="1:30" ht="15" customHeight="1">
      <c r="A167" s="19"/>
      <c r="B167" s="20" t="s">
        <v>449</v>
      </c>
      <c r="C167" s="20"/>
      <c r="D167" s="138">
        <f>D166+Finansiering!D18+Finansiering!D15</f>
        <v>-10708726.060606061</v>
      </c>
      <c r="E167" s="138">
        <f>E166+Finansiering!E18+Finansiering!E15</f>
        <v>-10782833.260606062</v>
      </c>
      <c r="F167" s="138">
        <f>F166+Finansiering!F18+Finansiering!F15</f>
        <v>-10855956.924606061</v>
      </c>
      <c r="G167" s="138">
        <f>G166+Finansiering!G18+Finansiering!G15</f>
        <v>-10928183.551166061</v>
      </c>
      <c r="H167" s="138">
        <f>H166+Finansiering!H18+Finansiering!H15</f>
        <v>-10999598.108318061</v>
      </c>
      <c r="I167" s="138">
        <f>I166+Finansiering!I18+Finansiering!I15</f>
        <v>-11070284.090907756</v>
      </c>
      <c r="J167" s="138">
        <f>J166+Finansiering!J18+Finansiering!J15</f>
        <v>-11140323.576869179</v>
      </c>
      <c r="K167" s="138">
        <f>K166+Finansiering!K18+Finansiering!K15</f>
        <v>-11209797.282464314</v>
      </c>
      <c r="L167" s="138">
        <f>L166+Finansiering!L18+Finansiering!L15</f>
        <v>-11278784.61651911</v>
      </c>
      <c r="M167" s="138">
        <f>M166+Finansiering!M18+Finansiering!M15</f>
        <v>-11347363.733686745</v>
      </c>
      <c r="N167" s="138">
        <f>N166+Finansiering!N18+Finansiering!N15</f>
        <v>-11356357.466812873</v>
      </c>
      <c r="O167" s="138">
        <f>O166+Finansiering!O18+Finansiering!O15</f>
        <v>-11367465.903008234</v>
      </c>
      <c r="P167" s="138">
        <f>P166+Finansiering!P18+Finansiering!P15</f>
        <v>-11380692.639766078</v>
      </c>
      <c r="Q167" s="138">
        <f>Q166+Finansiering!Q18+Finansiering!Q15</f>
        <v>-11396042.120460879</v>
      </c>
      <c r="R167" s="138">
        <f>R166+Finansiering!R18+Finansiering!R15</f>
        <v>-11413519.635787349</v>
      </c>
      <c r="S167" s="138">
        <f>S166+Finansiering!S18+Finansiering!S15</f>
        <v>-11433131.325537756</v>
      </c>
      <c r="T167" s="138">
        <f>T166+Finansiering!T18+Finansiering!T15</f>
        <v>-11454884.180718241</v>
      </c>
      <c r="U167" s="138">
        <f>U166+Finansiering!U18+Finansiering!U15</f>
        <v>-11478786.046004698</v>
      </c>
      <c r="V167" s="138">
        <f>V166+Finansiering!V18+Finansiering!V15</f>
        <v>-11504845.622539196</v>
      </c>
      <c r="W167" s="138">
        <f>W166+Finansiering!W18+Finansiering!W15</f>
        <v>-11533072.471067855</v>
      </c>
      <c r="X167" s="138">
        <f>X166+Finansiering!X18+Finansiering!X15</f>
        <v>-5502870.9548152285</v>
      </c>
      <c r="Y167" s="138">
        <f>Y166+Finansiering!Y18+Finansiering!Y15</f>
        <v>-5535464.485732846</v>
      </c>
      <c r="Z167" s="138">
        <f>Z166+Finansiering!Z18+Finansiering!Z15</f>
        <v>-5570259.1650323886</v>
      </c>
      <c r="AA167" s="138">
        <f>AA166+Finansiering!AA18+Finansiering!AA15</f>
        <v>-5607268.0301262252</v>
      </c>
      <c r="AB167" s="138">
        <f>AB166+Finansiering!AB18+Finansiering!AB15</f>
        <v>-5646504.9988860749</v>
      </c>
      <c r="AC167" s="20"/>
      <c r="AD167" s="20"/>
    </row>
    <row r="168" spans="1:30" ht="15" customHeight="1">
      <c r="A168" s="19"/>
      <c r="B168" s="20" t="s">
        <v>450</v>
      </c>
      <c r="C168" s="20"/>
      <c r="D168" s="138">
        <f>IF(D167&lt;=0,0,-D167*Indata!$C$10)</f>
        <v>0</v>
      </c>
      <c r="E168" s="138">
        <f>IF(E167&lt;=0,0,-E167*Indata!$C$10)</f>
        <v>0</v>
      </c>
      <c r="F168" s="138">
        <f>IF(F167&lt;=0,0,-F167*Indata!$C$10)</f>
        <v>0</v>
      </c>
      <c r="G168" s="138">
        <f>IF(G167&lt;=0,0,-G167*Indata!$C$10)</f>
        <v>0</v>
      </c>
      <c r="H168" s="138">
        <f>IF(H167&lt;=0,0,-H167*Indata!$C$10)</f>
        <v>0</v>
      </c>
      <c r="I168" s="138">
        <f>IF(I167&lt;=0,0,-I167*Indata!$C$10)</f>
        <v>0</v>
      </c>
      <c r="J168" s="138">
        <f>IF(J167&lt;=0,0,-J167*Indata!$C$10)</f>
        <v>0</v>
      </c>
      <c r="K168" s="138">
        <f>IF(K167&lt;=0,0,-K167*Indata!$C$10)</f>
        <v>0</v>
      </c>
      <c r="L168" s="138">
        <f>IF(L167&lt;=0,0,-L167*Indata!$C$10)</f>
        <v>0</v>
      </c>
      <c r="M168" s="138">
        <f>IF(M167&lt;=0,0,-M167*Indata!$C$10)</f>
        <v>0</v>
      </c>
      <c r="N168" s="138">
        <f>IF(N167&lt;=0,0,-N167*Indata!$C$10)</f>
        <v>0</v>
      </c>
      <c r="O168" s="138">
        <f>IF(O167&lt;=0,0,-O167*Indata!$C$10)</f>
        <v>0</v>
      </c>
      <c r="P168" s="138">
        <f>IF(P167&lt;=0,0,-P167*Indata!$C$10)</f>
        <v>0</v>
      </c>
      <c r="Q168" s="138">
        <f>IF(Q167&lt;=0,0,-Q167*Indata!$C$10)</f>
        <v>0</v>
      </c>
      <c r="R168" s="138">
        <f>IF(R167&lt;=0,0,-R167*Indata!$C$10)</f>
        <v>0</v>
      </c>
      <c r="S168" s="138">
        <f>IF(S167&lt;=0,0,-S167*Indata!$C$10)</f>
        <v>0</v>
      </c>
      <c r="T168" s="138">
        <f>IF(T167&lt;=0,0,-T167*Indata!$C$10)</f>
        <v>0</v>
      </c>
      <c r="U168" s="138">
        <f>IF(U167&lt;=0,0,-U167*Indata!$C$10)</f>
        <v>0</v>
      </c>
      <c r="V168" s="138">
        <f>IF(V167&lt;=0,0,-V167*Indata!$C$10)</f>
        <v>0</v>
      </c>
      <c r="W168" s="138">
        <f>IF(W167&lt;=0,0,-W167*Indata!$C$10)</f>
        <v>0</v>
      </c>
      <c r="X168" s="138">
        <f>IF(X167&lt;=0,0,-X167*Indata!$C$10)</f>
        <v>0</v>
      </c>
      <c r="Y168" s="138">
        <f>IF(Y167&lt;=0,0,-Y167*Indata!$C$10)</f>
        <v>0</v>
      </c>
      <c r="Z168" s="138">
        <f>IF(Z167&lt;=0,0,-Z167*Indata!$C$10)</f>
        <v>0</v>
      </c>
      <c r="AA168" s="138">
        <f>IF(AA167&lt;=0,0,-AA167*Indata!$C$10)</f>
        <v>0</v>
      </c>
      <c r="AB168" s="138">
        <f>IF(AB167&lt;=0,0,-AB167*Indata!$C$10)</f>
        <v>0</v>
      </c>
      <c r="AC168" s="20"/>
      <c r="AD168" s="20"/>
    </row>
    <row r="169" spans="1:30" ht="15" customHeight="1">
      <c r="A169" s="19"/>
      <c r="B169" s="20" t="s">
        <v>451</v>
      </c>
      <c r="C169" s="20"/>
      <c r="D169" s="138">
        <f t="shared" ref="D169:AB169" si="11">D167+D168</f>
        <v>-10708726.060606061</v>
      </c>
      <c r="E169" s="138">
        <f t="shared" si="11"/>
        <v>-10782833.260606062</v>
      </c>
      <c r="F169" s="138">
        <f t="shared" si="11"/>
        <v>-10855956.924606061</v>
      </c>
      <c r="G169" s="138">
        <f t="shared" si="11"/>
        <v>-10928183.551166061</v>
      </c>
      <c r="H169" s="138">
        <f t="shared" si="11"/>
        <v>-10999598.108318061</v>
      </c>
      <c r="I169" s="138">
        <f t="shared" si="11"/>
        <v>-11070284.090907756</v>
      </c>
      <c r="J169" s="138">
        <f t="shared" si="11"/>
        <v>-11140323.576869179</v>
      </c>
      <c r="K169" s="138">
        <f t="shared" si="11"/>
        <v>-11209797.282464314</v>
      </c>
      <c r="L169" s="138">
        <f t="shared" si="11"/>
        <v>-11278784.61651911</v>
      </c>
      <c r="M169" s="138">
        <f t="shared" si="11"/>
        <v>-11347363.733686745</v>
      </c>
      <c r="N169" s="138">
        <f t="shared" si="11"/>
        <v>-11356357.466812873</v>
      </c>
      <c r="O169" s="138">
        <f t="shared" si="11"/>
        <v>-11367465.903008234</v>
      </c>
      <c r="P169" s="138">
        <f t="shared" si="11"/>
        <v>-11380692.639766078</v>
      </c>
      <c r="Q169" s="138">
        <f t="shared" si="11"/>
        <v>-11396042.120460879</v>
      </c>
      <c r="R169" s="138">
        <f t="shared" si="11"/>
        <v>-11413519.635787349</v>
      </c>
      <c r="S169" s="138">
        <f t="shared" si="11"/>
        <v>-11433131.325537756</v>
      </c>
      <c r="T169" s="138">
        <f t="shared" si="11"/>
        <v>-11454884.180718241</v>
      </c>
      <c r="U169" s="138">
        <f t="shared" si="11"/>
        <v>-11478786.046004698</v>
      </c>
      <c r="V169" s="138">
        <f t="shared" si="11"/>
        <v>-11504845.622539196</v>
      </c>
      <c r="W169" s="138">
        <f t="shared" si="11"/>
        <v>-11533072.471067855</v>
      </c>
      <c r="X169" s="138">
        <f t="shared" si="11"/>
        <v>-5502870.9548152285</v>
      </c>
      <c r="Y169" s="138">
        <f t="shared" si="11"/>
        <v>-5535464.485732846</v>
      </c>
      <c r="Z169" s="138">
        <f t="shared" si="11"/>
        <v>-5570259.1650323886</v>
      </c>
      <c r="AA169" s="138">
        <f t="shared" si="11"/>
        <v>-5607268.0301262252</v>
      </c>
      <c r="AB169" s="138">
        <f t="shared" si="11"/>
        <v>-5646504.9988860749</v>
      </c>
      <c r="AC169" s="20"/>
      <c r="AD169" s="20"/>
    </row>
    <row r="170" spans="1:30" ht="16.5" customHeight="1">
      <c r="A170" s="19"/>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row>
    <row r="171" spans="1:30" ht="15" customHeight="1">
      <c r="A171" s="19"/>
      <c r="B171" s="20" t="s">
        <v>452</v>
      </c>
      <c r="C171" s="20"/>
      <c r="D171" s="138">
        <f>D169-Finansiering!D18+Finansiering!D17+Finansiering!D12</f>
        <v>-132128120</v>
      </c>
      <c r="E171" s="138">
        <f>E169-Finansiering!E18+Finansiering!E17+Finansiering!E12</f>
        <v>-6172627.2000000011</v>
      </c>
      <c r="F171" s="138">
        <f>F169-Finansiering!F18+Finansiering!F17+Finansiering!F12</f>
        <v>-6216742.8640000001</v>
      </c>
      <c r="G171" s="138">
        <f>G169-Finansiering!G18+Finansiering!G17+Finansiering!G12</f>
        <v>-6260541.6505600009</v>
      </c>
      <c r="H171" s="138">
        <f>H169-Finansiering!H18+Finansiering!H17+Finansiering!H12</f>
        <v>-6304096.9245120008</v>
      </c>
      <c r="I171" s="138">
        <f>I169-Finansiering!I18+Finansiering!I17+Finansiering!I12</f>
        <v>-6347480.8095656959</v>
      </c>
      <c r="J171" s="138">
        <f>J169-Finansiering!J18+Finansiering!J17+Finansiering!J12</f>
        <v>-6390764.2399418382</v>
      </c>
      <c r="K171" s="138">
        <f>K169-Finansiering!K18+Finansiering!K17+Finansiering!K12</f>
        <v>-6434017.0110633988</v>
      </c>
      <c r="L171" s="138">
        <f>L169-Finansiering!L18+Finansiering!L17+Finansiering!L12</f>
        <v>-6477307.8293340923</v>
      </c>
      <c r="M171" s="138">
        <f>M169-Finansiering!M18+Finansiering!M17+Finansiering!M12</f>
        <v>-6520704.3610333065</v>
      </c>
      <c r="N171" s="138">
        <f>N169-Finansiering!N18+Finansiering!N17+Finansiering!N12</f>
        <v>-6505019.1604003822</v>
      </c>
      <c r="O171" s="138">
        <f>O169-Finansiering!O18+Finansiering!O17+Finansiering!O12</f>
        <v>-6491942.2415118711</v>
      </c>
      <c r="P171" s="138">
        <f>P169-Finansiering!P18+Finansiering!P17+Finansiering!P12</f>
        <v>-6481467.3302875217</v>
      </c>
      <c r="Q171" s="138">
        <f>Q169-Finansiering!Q18+Finansiering!Q17+Finansiering!Q12</f>
        <v>-6473589.1959597729</v>
      </c>
      <c r="R171" s="138">
        <f>R169-Finansiering!R18+Finansiering!R17+Finansiering!R12</f>
        <v>-6468303.6485641431</v>
      </c>
      <c r="S171" s="138">
        <f>S169-Finansiering!S18+Finansiering!S17+Finansiering!S12</f>
        <v>-6465607.5368468929</v>
      </c>
      <c r="T171" s="138">
        <f>T169-Finansiering!T18+Finansiering!T17+Finansiering!T12</f>
        <v>-6465498.7465890739</v>
      </c>
      <c r="U171" s="138">
        <f>U169-Finansiering!U18+Finansiering!U17+Finansiering!U12</f>
        <v>-6467976.1993459929</v>
      </c>
      <c r="V171" s="138">
        <f>V169-Finansiering!V18+Finansiering!V17+Finansiering!V12</f>
        <v>-6473039.8516015448</v>
      </c>
      <c r="W171" s="138">
        <f>W169-Finansiering!W18+Finansiering!W17+Finansiering!W12</f>
        <v>-6480690.6943368353</v>
      </c>
      <c r="X171" s="138">
        <f>X169-Finansiering!X18+Finansiering!X17+Finansiering!X12</f>
        <v>-6490930.753012768</v>
      </c>
      <c r="Y171" s="138">
        <f>Y169-Finansiering!Y18+Finansiering!Y17+Finansiering!Y12</f>
        <v>-6503763.0879664347</v>
      </c>
      <c r="Z171" s="138">
        <f>Z169-Finansiering!Z18+Finansiering!Z17+Finansiering!Z12</f>
        <v>-6519191.7952213064</v>
      </c>
      <c r="AA171" s="138">
        <f>AA169-Finansiering!AA18+Finansiering!AA17+Finansiering!AA12</f>
        <v>-6537222.007711364</v>
      </c>
      <c r="AB171" s="138">
        <f>AB169-Finansiering!AB18+Finansiering!AB17+Finansiering!AB12</f>
        <v>-6557859.8969195113</v>
      </c>
      <c r="AC171" s="20"/>
      <c r="AD171" s="20"/>
    </row>
    <row r="172" spans="1:30" ht="15" customHeight="1">
      <c r="A172" s="19"/>
      <c r="B172" s="20" t="s">
        <v>453</v>
      </c>
      <c r="C172" s="20"/>
      <c r="D172" s="138">
        <f>IF(D53&lt;&gt;Indata!$C$16,0,IFERROR(INDEX(D82:AB82,MATCH(D52+1,D52:AB52,0))/Indata!$D$81,0)-Finansiering!D13)</f>
        <v>0</v>
      </c>
      <c r="E172" s="138">
        <f>IF(E53&lt;&gt;Indata!$C$16,0,IFERROR(INDEX(D82:AB82,MATCH(E52+1,D52:AB52,0))/Indata!$D$81,0)-Finansiering!E13)</f>
        <v>0</v>
      </c>
      <c r="F172" s="138">
        <f>IF(F53&lt;&gt;Indata!$C$16,0,IFERROR(INDEX(D82:AB82,MATCH(F52+1,D52:AB52,0))/Indata!$D$81,0)-Finansiering!F13)</f>
        <v>0</v>
      </c>
      <c r="G172" s="138">
        <f>IF(G53&lt;&gt;Indata!$C$16,0,IFERROR(INDEX(D82:AB82,MATCH(G52+1,D52:AB52,0))/Indata!$D$81,0)-Finansiering!G13)</f>
        <v>0</v>
      </c>
      <c r="H172" s="138">
        <f>IF(H53&lt;&gt;Indata!$C$16,0,IFERROR(INDEX(D82:AB82,MATCH(H52+1,D52:AB52,0))/Indata!$D$81,0)-Finansiering!H13)</f>
        <v>0</v>
      </c>
      <c r="I172" s="138">
        <f>IF(I53&lt;&gt;Indata!$C$16,0,IFERROR(INDEX(D82:AB82,MATCH(I52+1,D52:AB52,0))/Indata!$D$81,0)-Finansiering!I13)</f>
        <v>0</v>
      </c>
      <c r="J172" s="138">
        <f>IF(J53&lt;&gt;Indata!$C$16,0,IFERROR(INDEX(D82:AB82,MATCH(J52+1,D52:AB52,0))/Indata!$D$81,0)-Finansiering!J13)</f>
        <v>0</v>
      </c>
      <c r="K172" s="138">
        <f>IF(K53&lt;&gt;Indata!$C$16,0,IFERROR(INDEX(D82:AB82,MATCH(K52+1,D52:AB52,0))/Indata!$D$81,0)-Finansiering!K13)</f>
        <v>0</v>
      </c>
      <c r="L172" s="138">
        <f>IF(L53&lt;&gt;Indata!$C$16,0,IFERROR(INDEX(D82:AB82,MATCH(L52+1,D52:AB52,0))/Indata!$D$81,0)-Finansiering!L13)</f>
        <v>0</v>
      </c>
      <c r="M172" s="138">
        <f>IF(M53&lt;&gt;Indata!$C$16,0,IFERROR(INDEX(D82:AB82,MATCH(M52+1,D52:AB52,0))/Indata!$D$81,0)-Finansiering!M13)</f>
        <v>0</v>
      </c>
      <c r="N172" s="138">
        <f>IF(N53&lt;&gt;Indata!$C$16,0,IFERROR(INDEX(D82:AB82,MATCH(N52+1,D52:AB52,0))/Indata!$D$81,0)-Finansiering!N13)</f>
        <v>0</v>
      </c>
      <c r="O172" s="138">
        <f>IF(O53&lt;&gt;Indata!$C$16,0,IFERROR(INDEX(D82:AB82,MATCH(O52+1,D52:AB52,0))/Indata!$D$81,0)-Finansiering!O13)</f>
        <v>0</v>
      </c>
      <c r="P172" s="138">
        <f>IF(P53&lt;&gt;Indata!$C$16,0,IFERROR(INDEX(D82:AB82,MATCH(P52+1,D52:AB52,0))/Indata!$D$81,0)-Finansiering!P13)</f>
        <v>0</v>
      </c>
      <c r="Q172" s="138">
        <f>IF(Q53&lt;&gt;Indata!$C$16,0,IFERROR(INDEX(D82:AB82,MATCH(Q52+1,D52:AB52,0))/Indata!$D$81,0)-Finansiering!Q13)</f>
        <v>0</v>
      </c>
      <c r="R172" s="138">
        <f>IF(R53&lt;&gt;Indata!$C$16,0,IFERROR(INDEX(D82:AB82,MATCH(R52+1,D52:AB52,0))/Indata!$D$81,0)-Finansiering!R13)</f>
        <v>0</v>
      </c>
      <c r="S172" s="138">
        <f>IF(S53&lt;&gt;Indata!$C$16,0,IFERROR(INDEX(D82:AB82,MATCH(S52+1,D52:AB52,0))/Indata!$D$81,0)-Finansiering!S13)</f>
        <v>0</v>
      </c>
      <c r="T172" s="138">
        <f>IF(T53&lt;&gt;Indata!$C$16,0,IFERROR(INDEX(D82:AB82,MATCH(T52+1,D52:AB52,0))/Indata!$D$81,0)-Finansiering!T13)</f>
        <v>0</v>
      </c>
      <c r="U172" s="138">
        <f>IF(U53&lt;&gt;Indata!$C$16,0,IFERROR(INDEX(D82:AB82,MATCH(U52+1,D52:AB52,0))/Indata!$D$81,0)-Finansiering!U13)</f>
        <v>0</v>
      </c>
      <c r="V172" s="138">
        <f>IF(V53&lt;&gt;Indata!$C$16,0,IFERROR(INDEX(D82:AB82,MATCH(V52+1,D52:AB52,0))/Indata!$D$81,0)-Finansiering!V13)</f>
        <v>0</v>
      </c>
      <c r="W172" s="138">
        <f>IF(W53&lt;&gt;Indata!$C$16,0,IFERROR(INDEX(D82:AB82,MATCH(W52+1,D52:AB52,0))/Indata!$D$81,0)-Finansiering!W13)</f>
        <v>-120728464.91683799</v>
      </c>
      <c r="X172" s="138">
        <f>IF(X53&lt;&gt;Indata!$C$16,0,IFERROR(INDEX(D82:AB82,MATCH(X52+1,D52:AB52,0))/Indata!$D$81,0)-Finansiering!X13)</f>
        <v>0</v>
      </c>
      <c r="Y172" s="138">
        <f>IF(Y53&lt;&gt;Indata!$C$16,0,IFERROR(INDEX(D82:AB82,MATCH(Y52+1,D52:AB52,0))/Indata!$D$81,0)-Finansiering!Y13)</f>
        <v>0</v>
      </c>
      <c r="Z172" s="138">
        <f>IF(Z53&lt;&gt;Indata!$C$16,0,IFERROR(INDEX(D82:AB82,MATCH(Z52+1,D52:AB52,0))/Indata!$D$81,0)-Finansiering!Z13)</f>
        <v>0</v>
      </c>
      <c r="AA172" s="138">
        <f>IF(AA53&lt;&gt;Indata!$C$16,0,IFERROR(INDEX(D82:AB82,MATCH(AA52+1,D52:AB52,0))/Indata!$D$81,0)-Finansiering!AA13)</f>
        <v>0</v>
      </c>
      <c r="AB172" s="138">
        <f>IF(AB53&lt;&gt;Indata!$C$16,0,IFERROR(INDEX(D82:AB82,MATCH(AB52+1,D52:AB52,0))/Indata!$D$81,0)-Finansiering!AB13)</f>
        <v>0</v>
      </c>
      <c r="AC172" s="20"/>
      <c r="AD172" s="20"/>
    </row>
    <row r="173" spans="1:30" ht="15" customHeight="1">
      <c r="A173" s="19"/>
      <c r="B173" s="79" t="s">
        <v>454</v>
      </c>
      <c r="C173" s="20"/>
      <c r="D173" s="139">
        <f t="shared" ref="D173:AB173" si="12">D171+D172</f>
        <v>-132128120</v>
      </c>
      <c r="E173" s="139">
        <f t="shared" si="12"/>
        <v>-6172627.2000000011</v>
      </c>
      <c r="F173" s="139">
        <f t="shared" si="12"/>
        <v>-6216742.8640000001</v>
      </c>
      <c r="G173" s="139">
        <f t="shared" si="12"/>
        <v>-6260541.6505600009</v>
      </c>
      <c r="H173" s="139">
        <f t="shared" si="12"/>
        <v>-6304096.9245120008</v>
      </c>
      <c r="I173" s="139">
        <f t="shared" si="12"/>
        <v>-6347480.8095656959</v>
      </c>
      <c r="J173" s="139">
        <f t="shared" si="12"/>
        <v>-6390764.2399418382</v>
      </c>
      <c r="K173" s="139">
        <f t="shared" si="12"/>
        <v>-6434017.0110633988</v>
      </c>
      <c r="L173" s="139">
        <f t="shared" si="12"/>
        <v>-6477307.8293340923</v>
      </c>
      <c r="M173" s="139">
        <f t="shared" si="12"/>
        <v>-6520704.3610333065</v>
      </c>
      <c r="N173" s="139">
        <f t="shared" si="12"/>
        <v>-6505019.1604003822</v>
      </c>
      <c r="O173" s="139">
        <f t="shared" si="12"/>
        <v>-6491942.2415118711</v>
      </c>
      <c r="P173" s="139">
        <f t="shared" si="12"/>
        <v>-6481467.3302875217</v>
      </c>
      <c r="Q173" s="139">
        <f t="shared" si="12"/>
        <v>-6473589.1959597729</v>
      </c>
      <c r="R173" s="139">
        <f t="shared" si="12"/>
        <v>-6468303.6485641431</v>
      </c>
      <c r="S173" s="139">
        <f t="shared" si="12"/>
        <v>-6465607.5368468929</v>
      </c>
      <c r="T173" s="139">
        <f t="shared" si="12"/>
        <v>-6465498.7465890739</v>
      </c>
      <c r="U173" s="139">
        <f t="shared" si="12"/>
        <v>-6467976.1993459929</v>
      </c>
      <c r="V173" s="139">
        <f t="shared" si="12"/>
        <v>-6473039.8516015448</v>
      </c>
      <c r="W173" s="139">
        <f t="shared" si="12"/>
        <v>-127209155.61117482</v>
      </c>
      <c r="X173" s="139">
        <f t="shared" si="12"/>
        <v>-6490930.753012768</v>
      </c>
      <c r="Y173" s="139">
        <f t="shared" si="12"/>
        <v>-6503763.0879664347</v>
      </c>
      <c r="Z173" s="139">
        <f t="shared" si="12"/>
        <v>-6519191.7952213064</v>
      </c>
      <c r="AA173" s="139">
        <f t="shared" si="12"/>
        <v>-6537222.007711364</v>
      </c>
      <c r="AB173" s="139">
        <f t="shared" si="12"/>
        <v>-6557859.8969195113</v>
      </c>
      <c r="AC173" s="20"/>
      <c r="AD173" s="20"/>
    </row>
    <row r="174" spans="1:30" ht="16.5" customHeight="1">
      <c r="A174" s="19"/>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row>
    <row r="175" spans="1:30" ht="15" customHeight="1">
      <c r="A175" s="19"/>
      <c r="B175" s="20" t="s">
        <v>455</v>
      </c>
      <c r="C175" s="20"/>
      <c r="D175" s="138">
        <f>IF(D54=0,0,D173/(1+Indata!$C$65)^D53)</f>
        <v>-124297384.7601129</v>
      </c>
      <c r="E175" s="138">
        <f>IF(E54=0,0,E173/(1+Indata!$C$65)^E53)</f>
        <v>-5462651.8072619708</v>
      </c>
      <c r="F175" s="138">
        <f>IF(F54=0,0,F173/(1+Indata!$C$65)^F53)</f>
        <v>-5175628.6819670144</v>
      </c>
      <c r="G175" s="138">
        <f>IF(G54=0,0,G173/(1+Indata!$C$65)^G53)</f>
        <v>-4903191.4507330833</v>
      </c>
      <c r="H175" s="138">
        <f>IF(H54=0,0,H173/(1+Indata!$C$65)^H53)</f>
        <v>-4644688.1379872123</v>
      </c>
      <c r="I175" s="138">
        <f>IF(I54=0,0,I173/(1+Indata!$C$65)^I53)</f>
        <v>-4399484.6766731879</v>
      </c>
      <c r="J175" s="138">
        <f>IF(J54=0,0,J173/(1+Indata!$C$65)^J53)</f>
        <v>-4166965.8834269503</v>
      </c>
      <c r="K175" s="138">
        <f>IF(K54=0,0,K173/(1+Indata!$C$65)^K53)</f>
        <v>-3946536.1804990112</v>
      </c>
      <c r="L175" s="138">
        <f>IF(L54=0,0,L173/(1+Indata!$C$65)^L53)</f>
        <v>-3737620.0976947555</v>
      </c>
      <c r="M175" s="138">
        <f>IF(M54=0,0,M173/(1+Indata!$C$65)^M53)</f>
        <v>-3539662.583965362</v>
      </c>
      <c r="N175" s="138">
        <f>IF(N54=0,0,N173/(1+Indata!$C$65)^N53)</f>
        <v>-3321870.289392523</v>
      </c>
      <c r="O175" s="138">
        <f>IF(O54=0,0,O173/(1+Indata!$C$65)^O53)</f>
        <v>-3118713.4481713455</v>
      </c>
      <c r="P175" s="138">
        <f>IF(P54=0,0,P173/(1+Indata!$C$65)^P53)</f>
        <v>-2929145.1796779521</v>
      </c>
      <c r="Q175" s="138">
        <f>IF(Q54=0,0,Q173/(1+Indata!$C$65)^Q53)</f>
        <v>-2752196.4666316044</v>
      </c>
      <c r="R175" s="138">
        <f>IF(R54=0,0,R173/(1+Indata!$C$65)^R53)</f>
        <v>-2586970.2323273574</v>
      </c>
      <c r="S175" s="138">
        <f>IF(S54=0,0,S173/(1+Indata!$C$65)^S53)</f>
        <v>-2432635.8739779657</v>
      </c>
      <c r="T175" s="138">
        <f>IF(T54=0,0,T173/(1+Indata!$C$65)^T53)</f>
        <v>-2288424.2168083643</v>
      </c>
      <c r="U175" s="138">
        <f>IF(U54=0,0,U173/(1+Indata!$C$65)^U53)</f>
        <v>-2153622.8562962422</v>
      </c>
      <c r="V175" s="138">
        <f>IF(V54=0,0,V173/(1+Indata!$C$65)^V53)</f>
        <v>-2027571.8584883024</v>
      </c>
      <c r="W175" s="138">
        <f>IF(W54=0,0,W173/(1+Indata!$C$65)^W53)</f>
        <v>-37484617.139152512</v>
      </c>
      <c r="X175" s="138">
        <f>IF(X54=0,0,X173/(1+Indata!$C$65)^X53)</f>
        <v>0</v>
      </c>
      <c r="Y175" s="138">
        <f>IF(Y54=0,0,Y173/(1+Indata!$C$65)^Y53)</f>
        <v>0</v>
      </c>
      <c r="Z175" s="138">
        <f>IF(Z54=0,0,Z173/(1+Indata!$C$65)^Z53)</f>
        <v>0</v>
      </c>
      <c r="AA175" s="138">
        <f>IF(AA54=0,0,AA173/(1+Indata!$C$65)^AA53)</f>
        <v>0</v>
      </c>
      <c r="AB175" s="138">
        <f>IF(AB54=0,0,AB173/(1+Indata!$C$65)^AB53)</f>
        <v>0</v>
      </c>
      <c r="AC175" s="20"/>
      <c r="AD175" s="20"/>
    </row>
    <row r="176" spans="1:30" ht="16.5" customHeight="1">
      <c r="A176" s="19"/>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row>
    <row r="177" spans="1:30" ht="15" customHeight="1">
      <c r="A177" s="19"/>
      <c r="B177" s="79" t="s">
        <v>456</v>
      </c>
      <c r="C177" s="139">
        <f>SUMIFS(D175:AB175,D54:AB54,1)</f>
        <v>-225369581.82124567</v>
      </c>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row>
    <row r="178" spans="1:30" ht="16.5" customHeight="1">
      <c r="A178" s="19"/>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row>
    <row r="179" spans="1:30" ht="15" customHeight="1">
      <c r="A179" s="19"/>
      <c r="B179" s="137" t="s">
        <v>457</v>
      </c>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row>
    <row r="180" spans="1:30" ht="16.5" customHeight="1">
      <c r="A180" s="19"/>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row>
    <row r="181" spans="1:30" ht="15" customHeight="1">
      <c r="A181" s="19"/>
      <c r="B181" s="20" t="s">
        <v>458</v>
      </c>
      <c r="C181" s="20"/>
      <c r="D181" s="138">
        <f t="shared" ref="D181:AB181" si="13">D132</f>
        <v>-1400000</v>
      </c>
      <c r="E181" s="138">
        <f t="shared" si="13"/>
        <v>-1434000</v>
      </c>
      <c r="F181" s="138">
        <f t="shared" si="13"/>
        <v>-1468764</v>
      </c>
      <c r="G181" s="138">
        <f t="shared" si="13"/>
        <v>-1504308.4559999998</v>
      </c>
      <c r="H181" s="138">
        <f t="shared" si="13"/>
        <v>-1540650.1695839996</v>
      </c>
      <c r="I181" s="138">
        <f t="shared" si="13"/>
        <v>-1577806.2950621755</v>
      </c>
      <c r="J181" s="138">
        <f t="shared" si="13"/>
        <v>-1615794.3467591263</v>
      </c>
      <c r="K181" s="138">
        <f t="shared" si="13"/>
        <v>-1654632.206451155</v>
      </c>
      <c r="L181" s="138">
        <f t="shared" si="13"/>
        <v>-1694338.1309556209</v>
      </c>
      <c r="M181" s="138">
        <f t="shared" si="13"/>
        <v>-1734930.7598754321</v>
      </c>
      <c r="N181" s="138">
        <f t="shared" si="13"/>
        <v>-1776429.1235018494</v>
      </c>
      <c r="O181" s="138">
        <f t="shared" si="13"/>
        <v>-1818852.6508787996</v>
      </c>
      <c r="P181" s="138">
        <f t="shared" si="13"/>
        <v>-1862221.1780319859</v>
      </c>
      <c r="Q181" s="138">
        <f t="shared" si="13"/>
        <v>-1906554.9563661341</v>
      </c>
      <c r="R181" s="138">
        <f t="shared" si="13"/>
        <v>-1951874.6612337949</v>
      </c>
      <c r="S181" s="138">
        <f t="shared" si="13"/>
        <v>-1998201.400679172</v>
      </c>
      <c r="T181" s="138">
        <f t="shared" si="13"/>
        <v>-2045556.7243605484</v>
      </c>
      <c r="U181" s="138">
        <f t="shared" si="13"/>
        <v>-2093962.6326549014</v>
      </c>
      <c r="V181" s="138">
        <f t="shared" si="13"/>
        <v>-2143441.5859484398</v>
      </c>
      <c r="W181" s="138">
        <f t="shared" si="13"/>
        <v>-2194016.5141168167</v>
      </c>
      <c r="X181" s="138">
        <f t="shared" si="13"/>
        <v>-2245710.8261988526</v>
      </c>
      <c r="Y181" s="138">
        <f t="shared" si="13"/>
        <v>-2298548.4202677244</v>
      </c>
      <c r="Z181" s="138">
        <f t="shared" si="13"/>
        <v>-2352553.6935036024</v>
      </c>
      <c r="AA181" s="138">
        <f t="shared" si="13"/>
        <v>-2407751.5524718249</v>
      </c>
      <c r="AB181" s="138">
        <f t="shared" si="13"/>
        <v>-2464167.4236107864</v>
      </c>
      <c r="AC181" s="20"/>
      <c r="AD181" s="20"/>
    </row>
    <row r="182" spans="1:30" ht="15" customHeight="1">
      <c r="A182" s="19"/>
      <c r="B182" s="20" t="s">
        <v>459</v>
      </c>
      <c r="C182" s="20"/>
      <c r="D182" s="138">
        <f>D181+Finansiering!D18+Finansiering!D15</f>
        <v>-9708726.0606060605</v>
      </c>
      <c r="E182" s="138">
        <f>E181+Finansiering!E18+Finansiering!E15</f>
        <v>-9768833.2606060617</v>
      </c>
      <c r="F182" s="138">
        <f>F181+Finansiering!F18+Finansiering!F15</f>
        <v>-9827760.9246060606</v>
      </c>
      <c r="G182" s="138">
        <f>G181+Finansiering!G18+Finansiering!G15</f>
        <v>-9885592.8071660604</v>
      </c>
      <c r="H182" s="138">
        <f>H181+Finansiering!H18+Finansiering!H15</f>
        <v>-9942411.0939020608</v>
      </c>
      <c r="I182" s="138">
        <f>I181+Finansiering!I18+Finansiering!I15</f>
        <v>-9998296.4582899325</v>
      </c>
      <c r="J182" s="138">
        <f>J181+Finansiering!J18+Finansiering!J15</f>
        <v>-10053328.117394706</v>
      </c>
      <c r="K182" s="138">
        <f>K181+Finansiering!K18+Finansiering!K15</f>
        <v>-10107583.886557197</v>
      </c>
      <c r="L182" s="138">
        <f>L181+Finansiering!L18+Finansiering!L15</f>
        <v>-10161140.233069293</v>
      </c>
      <c r="M182" s="138">
        <f>M181+Finansiering!M18+Finansiering!M15</f>
        <v>-10214072.328868631</v>
      </c>
      <c r="N182" s="138">
        <f>N181+Finansiering!N18+Finansiering!N15</f>
        <v>-10207199.982327305</v>
      </c>
      <c r="O182" s="138">
        <f>O181+Finansiering!O18+Finansiering!O15</f>
        <v>-10202220.213739868</v>
      </c>
      <c r="P182" s="138">
        <f>P181+Finansiering!P18+Finansiering!P15</f>
        <v>-10199133.510847954</v>
      </c>
      <c r="Q182" s="138">
        <f>Q181+Finansiering!Q18+Finansiering!Q15</f>
        <v>-10197941.163737904</v>
      </c>
      <c r="R182" s="138">
        <f>R181+Finansiering!R18+Finansiering!R15</f>
        <v>-10198645.265670251</v>
      </c>
      <c r="S182" s="138">
        <f>S181+Finansiering!S18+Finansiering!S15</f>
        <v>-10201248.71423902</v>
      </c>
      <c r="T182" s="138">
        <f>T181+Finansiering!T18+Finansiering!T15</f>
        <v>-10205755.21286132</v>
      </c>
      <c r="U182" s="138">
        <f>U181+Finansiering!U18+Finansiering!U15</f>
        <v>-10212169.27259778</v>
      </c>
      <c r="V182" s="138">
        <f>V181+Finansiering!V18+Finansiering!V15</f>
        <v>-10220496.214304581</v>
      </c>
      <c r="W182" s="138">
        <f>W181+Finansiering!W18+Finansiering!W15</f>
        <v>-10230742.171117956</v>
      </c>
      <c r="X182" s="138">
        <f>X181+Finansiering!X18+Finansiering!X15</f>
        <v>-4182308.0306660309</v>
      </c>
      <c r="Y182" s="138">
        <f>Y181+Finansiering!Y18+Finansiering!Y15</f>
        <v>-4196413.680645559</v>
      </c>
      <c r="Z182" s="138">
        <f>Z181+Finansiering!Z18+Finansiering!Z15</f>
        <v>-4212461.6486738799</v>
      </c>
      <c r="AA182" s="138">
        <f>AA181+Finansiering!AA18+Finansiering!AA15</f>
        <v>-4230461.3485386968</v>
      </c>
      <c r="AB182" s="138">
        <f>AB181+Finansiering!AB18+Finansiering!AB15</f>
        <v>-4250423.0237563215</v>
      </c>
      <c r="AC182" s="20"/>
      <c r="AD182" s="20"/>
    </row>
    <row r="183" spans="1:30" ht="15" customHeight="1">
      <c r="A183" s="19"/>
      <c r="B183" s="20" t="s">
        <v>460</v>
      </c>
      <c r="C183" s="20"/>
      <c r="D183" s="138">
        <f>IF(D182&lt;=0,0,-D182*Indata!$C$10)</f>
        <v>0</v>
      </c>
      <c r="E183" s="138">
        <f>IF(E182&lt;=0,0,-E182*Indata!$C$10)</f>
        <v>0</v>
      </c>
      <c r="F183" s="138">
        <f>IF(F182&lt;=0,0,-F182*Indata!$C$10)</f>
        <v>0</v>
      </c>
      <c r="G183" s="138">
        <f>IF(G182&lt;=0,0,-G182*Indata!$C$10)</f>
        <v>0</v>
      </c>
      <c r="H183" s="138">
        <f>IF(H182&lt;=0,0,-H182*Indata!$C$10)</f>
        <v>0</v>
      </c>
      <c r="I183" s="138">
        <f>IF(I182&lt;=0,0,-I182*Indata!$C$10)</f>
        <v>0</v>
      </c>
      <c r="J183" s="138">
        <f>IF(J182&lt;=0,0,-J182*Indata!$C$10)</f>
        <v>0</v>
      </c>
      <c r="K183" s="138">
        <f>IF(K182&lt;=0,0,-K182*Indata!$C$10)</f>
        <v>0</v>
      </c>
      <c r="L183" s="138">
        <f>IF(L182&lt;=0,0,-L182*Indata!$C$10)</f>
        <v>0</v>
      </c>
      <c r="M183" s="138">
        <f>IF(M182&lt;=0,0,-M182*Indata!$C$10)</f>
        <v>0</v>
      </c>
      <c r="N183" s="138">
        <f>IF(N182&lt;=0,0,-N182*Indata!$C$10)</f>
        <v>0</v>
      </c>
      <c r="O183" s="138">
        <f>IF(O182&lt;=0,0,-O182*Indata!$C$10)</f>
        <v>0</v>
      </c>
      <c r="P183" s="138">
        <f>IF(P182&lt;=0,0,-P182*Indata!$C$10)</f>
        <v>0</v>
      </c>
      <c r="Q183" s="138">
        <f>IF(Q182&lt;=0,0,-Q182*Indata!$C$10)</f>
        <v>0</v>
      </c>
      <c r="R183" s="138">
        <f>IF(R182&lt;=0,0,-R182*Indata!$C$10)</f>
        <v>0</v>
      </c>
      <c r="S183" s="138">
        <f>IF(S182&lt;=0,0,-S182*Indata!$C$10)</f>
        <v>0</v>
      </c>
      <c r="T183" s="138">
        <f>IF(T182&lt;=0,0,-T182*Indata!$C$10)</f>
        <v>0</v>
      </c>
      <c r="U183" s="138">
        <f>IF(U182&lt;=0,0,-U182*Indata!$C$10)</f>
        <v>0</v>
      </c>
      <c r="V183" s="138">
        <f>IF(V182&lt;=0,0,-V182*Indata!$C$10)</f>
        <v>0</v>
      </c>
      <c r="W183" s="138">
        <f>IF(W182&lt;=0,0,-W182*Indata!$C$10)</f>
        <v>0</v>
      </c>
      <c r="X183" s="138">
        <f>IF(X182&lt;=0,0,-X182*Indata!$C$10)</f>
        <v>0</v>
      </c>
      <c r="Y183" s="138">
        <f>IF(Y182&lt;=0,0,-Y182*Indata!$C$10)</f>
        <v>0</v>
      </c>
      <c r="Z183" s="138">
        <f>IF(Z182&lt;=0,0,-Z182*Indata!$C$10)</f>
        <v>0</v>
      </c>
      <c r="AA183" s="138">
        <f>IF(AA182&lt;=0,0,-AA182*Indata!$C$10)</f>
        <v>0</v>
      </c>
      <c r="AB183" s="138">
        <f>IF(AB182&lt;=0,0,-AB182*Indata!$C$10)</f>
        <v>0</v>
      </c>
      <c r="AC183" s="20"/>
      <c r="AD183" s="20"/>
    </row>
    <row r="184" spans="1:30" ht="15" customHeight="1">
      <c r="A184" s="19"/>
      <c r="B184" s="20" t="s">
        <v>461</v>
      </c>
      <c r="C184" s="20"/>
      <c r="D184" s="138">
        <f t="shared" ref="D184:AB184" si="14">D182+D183</f>
        <v>-9708726.0606060605</v>
      </c>
      <c r="E184" s="138">
        <f t="shared" si="14"/>
        <v>-9768833.2606060617</v>
      </c>
      <c r="F184" s="138">
        <f t="shared" si="14"/>
        <v>-9827760.9246060606</v>
      </c>
      <c r="G184" s="138">
        <f t="shared" si="14"/>
        <v>-9885592.8071660604</v>
      </c>
      <c r="H184" s="138">
        <f t="shared" si="14"/>
        <v>-9942411.0939020608</v>
      </c>
      <c r="I184" s="138">
        <f t="shared" si="14"/>
        <v>-9998296.4582899325</v>
      </c>
      <c r="J184" s="138">
        <f t="shared" si="14"/>
        <v>-10053328.117394706</v>
      </c>
      <c r="K184" s="138">
        <f t="shared" si="14"/>
        <v>-10107583.886557197</v>
      </c>
      <c r="L184" s="138">
        <f t="shared" si="14"/>
        <v>-10161140.233069293</v>
      </c>
      <c r="M184" s="138">
        <f t="shared" si="14"/>
        <v>-10214072.328868631</v>
      </c>
      <c r="N184" s="138">
        <f t="shared" si="14"/>
        <v>-10207199.982327305</v>
      </c>
      <c r="O184" s="138">
        <f t="shared" si="14"/>
        <v>-10202220.213739868</v>
      </c>
      <c r="P184" s="138">
        <f t="shared" si="14"/>
        <v>-10199133.510847954</v>
      </c>
      <c r="Q184" s="138">
        <f t="shared" si="14"/>
        <v>-10197941.163737904</v>
      </c>
      <c r="R184" s="138">
        <f t="shared" si="14"/>
        <v>-10198645.265670251</v>
      </c>
      <c r="S184" s="138">
        <f t="shared" si="14"/>
        <v>-10201248.71423902</v>
      </c>
      <c r="T184" s="138">
        <f t="shared" si="14"/>
        <v>-10205755.21286132</v>
      </c>
      <c r="U184" s="138">
        <f t="shared" si="14"/>
        <v>-10212169.27259778</v>
      </c>
      <c r="V184" s="138">
        <f t="shared" si="14"/>
        <v>-10220496.214304581</v>
      </c>
      <c r="W184" s="138">
        <f t="shared" si="14"/>
        <v>-10230742.171117956</v>
      </c>
      <c r="X184" s="138">
        <f t="shared" si="14"/>
        <v>-4182308.0306660309</v>
      </c>
      <c r="Y184" s="138">
        <f t="shared" si="14"/>
        <v>-4196413.680645559</v>
      </c>
      <c r="Z184" s="138">
        <f t="shared" si="14"/>
        <v>-4212461.6486738799</v>
      </c>
      <c r="AA184" s="138">
        <f t="shared" si="14"/>
        <v>-4230461.3485386968</v>
      </c>
      <c r="AB184" s="138">
        <f t="shared" si="14"/>
        <v>-4250423.0237563215</v>
      </c>
      <c r="AC184" s="20"/>
      <c r="AD184" s="20"/>
    </row>
    <row r="185" spans="1:30" ht="16.5" customHeight="1">
      <c r="A185" s="19"/>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row>
    <row r="186" spans="1:30" ht="15" customHeight="1">
      <c r="A186" s="19"/>
      <c r="B186" s="20" t="s">
        <v>462</v>
      </c>
      <c r="C186" s="20"/>
      <c r="D186" s="138">
        <f>D184-Finansiering!D18+Finansiering!D17+Finansiering!D12</f>
        <v>-131128120</v>
      </c>
      <c r="E186" s="138">
        <f>E184-Finansiering!E18+Finansiering!E17+Finansiering!E12</f>
        <v>-5158627.2000000011</v>
      </c>
      <c r="F186" s="138">
        <f>F184-Finansiering!F18+Finansiering!F17+Finansiering!F12</f>
        <v>-5188546.8640000001</v>
      </c>
      <c r="G186" s="138">
        <f>G184-Finansiering!G18+Finansiering!G17+Finansiering!G12</f>
        <v>-5217950.90656</v>
      </c>
      <c r="H186" s="138">
        <f>H184-Finansiering!H18+Finansiering!H17+Finansiering!H12</f>
        <v>-5246909.9100960009</v>
      </c>
      <c r="I186" s="138">
        <f>I184-Finansiering!I18+Finansiering!I17+Finansiering!I12</f>
        <v>-5275493.1769478722</v>
      </c>
      <c r="J186" s="138">
        <f>J184-Finansiering!J18+Finansiering!J17+Finansiering!J12</f>
        <v>-5303768.7804673659</v>
      </c>
      <c r="K186" s="138">
        <f>K184-Finansiering!K18+Finansiering!K17+Finansiering!K12</f>
        <v>-5331803.6151562817</v>
      </c>
      <c r="L186" s="138">
        <f>L184-Finansiering!L18+Finansiering!L17+Finansiering!L12</f>
        <v>-5359663.4458842753</v>
      </c>
      <c r="M186" s="138">
        <f>M184-Finansiering!M18+Finansiering!M17+Finansiering!M12</f>
        <v>-5387412.9562151926</v>
      </c>
      <c r="N186" s="138">
        <f>N184-Finansiering!N18+Finansiering!N17+Finansiering!N12</f>
        <v>-5355861.6759148138</v>
      </c>
      <c r="O186" s="138">
        <f>O184-Finansiering!O18+Finansiering!O17+Finansiering!O12</f>
        <v>-5326696.5522435056</v>
      </c>
      <c r="P186" s="138">
        <f>P184-Finansiering!P18+Finansiering!P17+Finansiering!P12</f>
        <v>-5299908.2013693973</v>
      </c>
      <c r="Q186" s="138">
        <f>Q184-Finansiering!Q18+Finansiering!Q17+Finansiering!Q12</f>
        <v>-5275488.2392367981</v>
      </c>
      <c r="R186" s="138">
        <f>R184-Finansiering!R18+Finansiering!R17+Finansiering!R12</f>
        <v>-5253429.278447045</v>
      </c>
      <c r="S186" s="138">
        <f>S184-Finansiering!S18+Finansiering!S17+Finansiering!S12</f>
        <v>-5233724.9255481567</v>
      </c>
      <c r="T186" s="138">
        <f>T184-Finansiering!T18+Finansiering!T17+Finansiering!T12</f>
        <v>-5216369.7787321527</v>
      </c>
      <c r="U186" s="138">
        <f>U184-Finansiering!U18+Finansiering!U17+Finansiering!U12</f>
        <v>-5201359.4259390756</v>
      </c>
      <c r="V186" s="138">
        <f>V184-Finansiering!V18+Finansiering!V17+Finansiering!V12</f>
        <v>-5188690.4433669299</v>
      </c>
      <c r="W186" s="138">
        <f>W184-Finansiering!W18+Finansiering!W17+Finansiering!W12</f>
        <v>-5178360.394386936</v>
      </c>
      <c r="X186" s="138">
        <f>X184-Finansiering!X18+Finansiering!X17+Finansiering!X12</f>
        <v>-5170367.8288635705</v>
      </c>
      <c r="Y186" s="138">
        <f>Y184-Finansiering!Y18+Finansiering!Y17+Finansiering!Y12</f>
        <v>-5164712.2828791477</v>
      </c>
      <c r="Z186" s="138">
        <f>Z184-Finansiering!Z18+Finansiering!Z17+Finansiering!Z12</f>
        <v>-5161394.2788627967</v>
      </c>
      <c r="AA186" s="138">
        <f>AA184-Finansiering!AA18+Finansiering!AA17+Finansiering!AA12</f>
        <v>-5160415.3261238355</v>
      </c>
      <c r="AB186" s="138">
        <f>AB184-Finansiering!AB18+Finansiering!AB17+Finansiering!AB12</f>
        <v>-5161777.9217897579</v>
      </c>
      <c r="AC186" s="20"/>
      <c r="AD186" s="20"/>
    </row>
    <row r="187" spans="1:30" ht="15" customHeight="1">
      <c r="A187" s="19"/>
      <c r="B187" s="20" t="s">
        <v>463</v>
      </c>
      <c r="C187" s="20"/>
      <c r="D187" s="138">
        <f>IF(D53&lt;&gt;Indata!$C$16,0,IFERROR(INDEX(D132:AB132,MATCH(D52+1,D52:AB52,0))/Indata!$D$81,0)-Finansiering!D13)</f>
        <v>0</v>
      </c>
      <c r="E187" s="138">
        <f>IF(E53&lt;&gt;Indata!$C$16,0,IFERROR(INDEX(D132:AB132,MATCH(E52+1,D52:AB52,0))/Indata!$D$81,0)-Finansiering!E13)</f>
        <v>0</v>
      </c>
      <c r="F187" s="138">
        <f>IF(F53&lt;&gt;Indata!$C$16,0,IFERROR(INDEX(D132:AB132,MATCH(F52+1,D52:AB52,0))/Indata!$D$81,0)-Finansiering!F13)</f>
        <v>0</v>
      </c>
      <c r="G187" s="138">
        <f>IF(G53&lt;&gt;Indata!$C$16,0,IFERROR(INDEX(D132:AB132,MATCH(G52+1,D52:AB52,0))/Indata!$D$81,0)-Finansiering!G13)</f>
        <v>0</v>
      </c>
      <c r="H187" s="138">
        <f>IF(H53&lt;&gt;Indata!$C$16,0,IFERROR(INDEX(D132:AB132,MATCH(H52+1,D52:AB52,0))/Indata!$D$81,0)-Finansiering!H13)</f>
        <v>0</v>
      </c>
      <c r="I187" s="138">
        <f>IF(I53&lt;&gt;Indata!$C$16,0,IFERROR(INDEX(D132:AB132,MATCH(I52+1,D52:AB52,0))/Indata!$D$81,0)-Finansiering!I13)</f>
        <v>0</v>
      </c>
      <c r="J187" s="138">
        <f>IF(J53&lt;&gt;Indata!$C$16,0,IFERROR(INDEX(D132:AB132,MATCH(J52+1,D52:AB52,0))/Indata!$D$81,0)-Finansiering!J13)</f>
        <v>0</v>
      </c>
      <c r="K187" s="138">
        <f>IF(K53&lt;&gt;Indata!$C$16,0,IFERROR(INDEX(D132:AB132,MATCH(K52+1,D52:AB52,0))/Indata!$D$81,0)-Finansiering!K13)</f>
        <v>0</v>
      </c>
      <c r="L187" s="138">
        <f>IF(L53&lt;&gt;Indata!$C$16,0,IFERROR(INDEX(D132:AB132,MATCH(L52+1,D52:AB52,0))/Indata!$D$81,0)-Finansiering!L13)</f>
        <v>0</v>
      </c>
      <c r="M187" s="138">
        <f>IF(M53&lt;&gt;Indata!$C$16,0,IFERROR(INDEX(D132:AB132,MATCH(M52+1,D52:AB52,0))/Indata!$D$81,0)-Finansiering!M13)</f>
        <v>0</v>
      </c>
      <c r="N187" s="138">
        <f>IF(N53&lt;&gt;Indata!$C$16,0,IFERROR(INDEX(D132:AB132,MATCH(N52+1,D52:AB52,0))/Indata!$D$81,0)-Finansiering!N13)</f>
        <v>0</v>
      </c>
      <c r="O187" s="138">
        <f>IF(O53&lt;&gt;Indata!$C$16,0,IFERROR(INDEX(D132:AB132,MATCH(O52+1,D52:AB52,0))/Indata!$D$81,0)-Finansiering!O13)</f>
        <v>0</v>
      </c>
      <c r="P187" s="138">
        <f>IF(P53&lt;&gt;Indata!$C$16,0,IFERROR(INDEX(D132:AB132,MATCH(P52+1,D52:AB52,0))/Indata!$D$81,0)-Finansiering!P13)</f>
        <v>0</v>
      </c>
      <c r="Q187" s="138">
        <f>IF(Q53&lt;&gt;Indata!$C$16,0,IFERROR(INDEX(D132:AB132,MATCH(Q52+1,D52:AB52,0))/Indata!$D$81,0)-Finansiering!Q13)</f>
        <v>0</v>
      </c>
      <c r="R187" s="138">
        <f>IF(R53&lt;&gt;Indata!$C$16,0,IFERROR(INDEX(D132:AB132,MATCH(R52+1,D52:AB52,0))/Indata!$D$81,0)-Finansiering!R13)</f>
        <v>0</v>
      </c>
      <c r="S187" s="138">
        <f>IF(S53&lt;&gt;Indata!$C$16,0,IFERROR(INDEX(D132:AB132,MATCH(S52+1,D52:AB52,0))/Indata!$D$81,0)-Finansiering!S13)</f>
        <v>0</v>
      </c>
      <c r="T187" s="138">
        <f>IF(T53&lt;&gt;Indata!$C$16,0,IFERROR(INDEX(D132:AB132,MATCH(T52+1,D52:AB52,0))/Indata!$D$81,0)-Finansiering!T13)</f>
        <v>0</v>
      </c>
      <c r="U187" s="138">
        <f>IF(U53&lt;&gt;Indata!$C$16,0,IFERROR(INDEX(D132:AB132,MATCH(U52+1,D52:AB52,0))/Indata!$D$81,0)-Finansiering!U13)</f>
        <v>0</v>
      </c>
      <c r="V187" s="138">
        <f>IF(V53&lt;&gt;Indata!$C$16,0,IFERROR(INDEX(D132:AB132,MATCH(V52+1,D52:AB52,0))/Indata!$D$81,0)-Finansiering!V13)</f>
        <v>0</v>
      </c>
      <c r="W187" s="138">
        <f>IF(W53&lt;&gt;Indata!$C$16,0,IFERROR(INDEX(D132:AB132,MATCH(W52+1,D52:AB52,0))/Indata!$D$81,0)-Finansiering!W13)</f>
        <v>-94317206.433854043</v>
      </c>
      <c r="X187" s="138">
        <f>IF(X53&lt;&gt;Indata!$C$16,0,IFERROR(INDEX(D132:AB132,MATCH(X52+1,D52:AB52,0))/Indata!$D$81,0)-Finansiering!X13)</f>
        <v>0</v>
      </c>
      <c r="Y187" s="138">
        <f>IF(Y53&lt;&gt;Indata!$C$16,0,IFERROR(INDEX(D132:AB132,MATCH(Y52+1,D52:AB52,0))/Indata!$D$81,0)-Finansiering!Y13)</f>
        <v>0</v>
      </c>
      <c r="Z187" s="138">
        <f>IF(Z53&lt;&gt;Indata!$C$16,0,IFERROR(INDEX(D132:AB132,MATCH(Z52+1,D52:AB52,0))/Indata!$D$81,0)-Finansiering!Z13)</f>
        <v>0</v>
      </c>
      <c r="AA187" s="138">
        <f>IF(AA53&lt;&gt;Indata!$C$16,0,IFERROR(INDEX(D132:AB132,MATCH(AA52+1,D52:AB52,0))/Indata!$D$81,0)-Finansiering!AA13)</f>
        <v>0</v>
      </c>
      <c r="AB187" s="138">
        <f>IF(AB53&lt;&gt;Indata!$C$16,0,IFERROR(INDEX(D132:AB132,MATCH(AB52+1,D52:AB52,0))/Indata!$D$81,0)-Finansiering!AB13)</f>
        <v>0</v>
      </c>
      <c r="AC187" s="20"/>
      <c r="AD187" s="20"/>
    </row>
    <row r="188" spans="1:30" ht="15" customHeight="1">
      <c r="A188" s="19"/>
      <c r="B188" s="79" t="s">
        <v>464</v>
      </c>
      <c r="C188" s="20"/>
      <c r="D188" s="139">
        <f t="shared" ref="D188:AB188" si="15">D186+D187</f>
        <v>-131128120</v>
      </c>
      <c r="E188" s="139">
        <f t="shared" si="15"/>
        <v>-5158627.2000000011</v>
      </c>
      <c r="F188" s="139">
        <f t="shared" si="15"/>
        <v>-5188546.8640000001</v>
      </c>
      <c r="G188" s="139">
        <f t="shared" si="15"/>
        <v>-5217950.90656</v>
      </c>
      <c r="H188" s="139">
        <f t="shared" si="15"/>
        <v>-5246909.9100960009</v>
      </c>
      <c r="I188" s="139">
        <f t="shared" si="15"/>
        <v>-5275493.1769478722</v>
      </c>
      <c r="J188" s="139">
        <f t="shared" si="15"/>
        <v>-5303768.7804673659</v>
      </c>
      <c r="K188" s="139">
        <f t="shared" si="15"/>
        <v>-5331803.6151562817</v>
      </c>
      <c r="L188" s="139">
        <f t="shared" si="15"/>
        <v>-5359663.4458842753</v>
      </c>
      <c r="M188" s="139">
        <f t="shared" si="15"/>
        <v>-5387412.9562151926</v>
      </c>
      <c r="N188" s="139">
        <f t="shared" si="15"/>
        <v>-5355861.6759148138</v>
      </c>
      <c r="O188" s="139">
        <f t="shared" si="15"/>
        <v>-5326696.5522435056</v>
      </c>
      <c r="P188" s="139">
        <f t="shared" si="15"/>
        <v>-5299908.2013693973</v>
      </c>
      <c r="Q188" s="139">
        <f t="shared" si="15"/>
        <v>-5275488.2392367981</v>
      </c>
      <c r="R188" s="139">
        <f t="shared" si="15"/>
        <v>-5253429.278447045</v>
      </c>
      <c r="S188" s="139">
        <f t="shared" si="15"/>
        <v>-5233724.9255481567</v>
      </c>
      <c r="T188" s="139">
        <f t="shared" si="15"/>
        <v>-5216369.7787321527</v>
      </c>
      <c r="U188" s="139">
        <f t="shared" si="15"/>
        <v>-5201359.4259390756</v>
      </c>
      <c r="V188" s="139">
        <f t="shared" si="15"/>
        <v>-5188690.4433669299</v>
      </c>
      <c r="W188" s="139">
        <f t="shared" si="15"/>
        <v>-99495566.828240976</v>
      </c>
      <c r="X188" s="139">
        <f t="shared" si="15"/>
        <v>-5170367.8288635705</v>
      </c>
      <c r="Y188" s="139">
        <f t="shared" si="15"/>
        <v>-5164712.2828791477</v>
      </c>
      <c r="Z188" s="139">
        <f t="shared" si="15"/>
        <v>-5161394.2788627967</v>
      </c>
      <c r="AA188" s="139">
        <f t="shared" si="15"/>
        <v>-5160415.3261238355</v>
      </c>
      <c r="AB188" s="139">
        <f t="shared" si="15"/>
        <v>-5161777.9217897579</v>
      </c>
      <c r="AC188" s="20"/>
      <c r="AD188" s="20"/>
    </row>
    <row r="189" spans="1:30" ht="16.5" customHeight="1">
      <c r="A189" s="19"/>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row>
    <row r="190" spans="1:30" ht="15" customHeight="1">
      <c r="A190" s="19"/>
      <c r="B190" s="20" t="s">
        <v>465</v>
      </c>
      <c r="C190" s="20"/>
      <c r="D190" s="138">
        <f>IF(D54=0,0,D188/(1+Indata!$C$65)^D53)</f>
        <v>-123356650.98777047</v>
      </c>
      <c r="E190" s="138">
        <f>IF(E54=0,0,E188/(1+Indata!$C$65)^E53)</f>
        <v>-4565282.0564103993</v>
      </c>
      <c r="F190" s="138">
        <f>IF(F54=0,0,F188/(1+Indata!$C$65)^F53)</f>
        <v>-4319624.0466297669</v>
      </c>
      <c r="G190" s="138">
        <f>IF(G54=0,0,G188/(1+Indata!$C$65)^G53)</f>
        <v>-4086645.1664132625</v>
      </c>
      <c r="H190" s="138">
        <f>IF(H54=0,0,H188/(1+Indata!$C$65)^H53)</f>
        <v>-3865781.3343180707</v>
      </c>
      <c r="I190" s="138">
        <f>IF(I54=0,0,I188/(1+Indata!$C$65)^I53)</f>
        <v>-3656482.3258542693</v>
      </c>
      <c r="J190" s="138">
        <f>IF(J54=0,0,J188/(1+Indata!$C$65)^J53)</f>
        <v>-3458212.9354209462</v>
      </c>
      <c r="K190" s="138">
        <f>IF(K54=0,0,K188/(1+Indata!$C$65)^K53)</f>
        <v>-3270453.8763803947</v>
      </c>
      <c r="L190" s="138">
        <f>IF(L54=0,0,L188/(1+Indata!$C$65)^L53)</f>
        <v>-3092702.4529381446</v>
      </c>
      <c r="M190" s="138">
        <f>IF(M54=0,0,M188/(1+Indata!$C$65)^M53)</f>
        <v>-2924473.0338400528</v>
      </c>
      <c r="N190" s="138">
        <f>IF(N54=0,0,N188/(1+Indata!$C$65)^N53)</f>
        <v>-2735038.4889907693</v>
      </c>
      <c r="O190" s="138">
        <f>IF(O54=0,0,O188/(1+Indata!$C$65)^O53)</f>
        <v>-2558932.2199423923</v>
      </c>
      <c r="P190" s="138">
        <f>IF(P54=0,0,P188/(1+Indata!$C$65)^P53)</f>
        <v>-2395167.6016683946</v>
      </c>
      <c r="Q190" s="138">
        <f>IF(Q54=0,0,Q188/(1+Indata!$C$65)^Q53)</f>
        <v>-2242833.0949461013</v>
      </c>
      <c r="R190" s="138">
        <f>IF(R54=0,0,R188/(1+Indata!$C$65)^R53)</f>
        <v>-2101086.4516226528</v>
      </c>
      <c r="S190" s="138">
        <f>IF(S54=0,0,S188/(1+Indata!$C$65)^S53)</f>
        <v>-1969149.3700884359</v>
      </c>
      <c r="T190" s="138">
        <f>IF(T54=0,0,T188/(1+Indata!$C$65)^T53)</f>
        <v>-1846302.5658732899</v>
      </c>
      <c r="U190" s="138">
        <f>IF(U54=0,0,U188/(1+Indata!$C$65)^U53)</f>
        <v>-1731881.2250185702</v>
      </c>
      <c r="V190" s="138">
        <f>IF(V54=0,0,V188/(1+Indata!$C$65)^V53)</f>
        <v>-1625270.8104021691</v>
      </c>
      <c r="W190" s="138">
        <f>IF(W54=0,0,W188/(1+Indata!$C$65)^W53)</f>
        <v>-29318276.752022944</v>
      </c>
      <c r="X190" s="138">
        <f>IF(X54=0,0,X188/(1+Indata!$C$65)^X53)</f>
        <v>0</v>
      </c>
      <c r="Y190" s="138">
        <f>IF(Y54=0,0,Y188/(1+Indata!$C$65)^Y53)</f>
        <v>0</v>
      </c>
      <c r="Z190" s="138">
        <f>IF(Z54=0,0,Z188/(1+Indata!$C$65)^Z53)</f>
        <v>0</v>
      </c>
      <c r="AA190" s="138">
        <f>IF(AA54=0,0,AA188/(1+Indata!$C$65)^AA53)</f>
        <v>0</v>
      </c>
      <c r="AB190" s="138">
        <f>IF(AB54=0,0,AB188/(1+Indata!$C$65)^AB53)</f>
        <v>0</v>
      </c>
      <c r="AC190" s="20"/>
      <c r="AD190" s="20"/>
    </row>
    <row r="191" spans="1:30" ht="16.5" customHeight="1">
      <c r="A191" s="19"/>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row>
    <row r="192" spans="1:30" ht="15" customHeight="1">
      <c r="A192" s="19"/>
      <c r="B192" s="79" t="s">
        <v>466</v>
      </c>
      <c r="C192" s="139">
        <f>SUMIFS(D190:AB190,D54:AB54,1)</f>
        <v>-205120246.7965515</v>
      </c>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row>
    <row r="193" spans="1:30" ht="15" customHeight="1">
      <c r="A193" s="19"/>
      <c r="B193" s="79" t="s">
        <v>467</v>
      </c>
      <c r="C193" s="144">
        <f>(C192-C177)/1000000</f>
        <v>20.249335024694176</v>
      </c>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row>
    <row r="194" spans="1:30" ht="16.5" customHeight="1">
      <c r="A194" s="19"/>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row>
    <row r="195" spans="1:30" ht="16.5" customHeight="1">
      <c r="A195" s="19"/>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row>
    <row r="196" spans="1:30" ht="16.5" customHeight="1">
      <c r="A196" s="19"/>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row>
    <row r="197" spans="1:30" ht="15" customHeight="1">
      <c r="A197" s="19"/>
      <c r="B197" s="137" t="s">
        <v>468</v>
      </c>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row>
    <row r="198" spans="1:30" ht="16.5" customHeight="1">
      <c r="A198" s="19"/>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row>
    <row r="199" spans="1:30" ht="15" customHeight="1">
      <c r="A199" s="19"/>
      <c r="B199" s="20" t="s">
        <v>469</v>
      </c>
      <c r="C199" s="138">
        <f>INDEX(D85:AB85,MATCH(Indata!C5+Indata!C16,D52:AB52,0))</f>
        <v>-3566273.7503480501</v>
      </c>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row>
    <row r="200" spans="1:30" ht="15" customHeight="1">
      <c r="A200" s="19"/>
      <c r="B200" s="20" t="s">
        <v>470</v>
      </c>
      <c r="C200" s="138">
        <f>INDEX(D133:AB133,MATCH(Indata!C5+Indata!C16,D52:AB52,0))</f>
        <v>-2245710.8261988526</v>
      </c>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row>
    <row r="201" spans="1:30" ht="15" customHeight="1">
      <c r="A201" s="19"/>
      <c r="B201" s="20" t="s">
        <v>471</v>
      </c>
      <c r="C201" s="131">
        <f>(C200-C199)/1000000</f>
        <v>1.3205629241491976</v>
      </c>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row>
    <row r="202" spans="1:30" ht="15" customHeight="1">
      <c r="A202" s="19"/>
      <c r="B202" s="20" t="s">
        <v>472</v>
      </c>
      <c r="C202" s="138">
        <f>C199/Indata!$D$81</f>
        <v>-71325475.006961003</v>
      </c>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row>
    <row r="203" spans="1:30" ht="15" customHeight="1">
      <c r="A203" s="19"/>
      <c r="B203" s="20" t="s">
        <v>473</v>
      </c>
      <c r="C203" s="131">
        <f>C201/Indata!$D$81</f>
        <v>26.41125848298395</v>
      </c>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row>
    <row r="204" spans="1:30" ht="15" customHeight="1">
      <c r="A204" s="19"/>
      <c r="B204" s="20" t="s">
        <v>474</v>
      </c>
      <c r="C204" s="138">
        <f>MAX((Indata!C17+Indata!C57+Indata!C58)*(1-Indata!C18*Indata!C16),Indata!C22)</f>
        <v>80000000</v>
      </c>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row>
    <row r="205" spans="1:30" ht="15" customHeight="1">
      <c r="A205" s="19"/>
      <c r="B205" s="79" t="s">
        <v>475</v>
      </c>
      <c r="C205" s="139">
        <f>IFERROR((C204-C202)/C203,0)</f>
        <v>5729582.1440866152</v>
      </c>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row>
    <row r="206" spans="1:30" ht="16.5" customHeight="1">
      <c r="A206" s="19"/>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row>
    <row r="207" spans="1:30" ht="16.5" customHeight="1">
      <c r="A207" s="19"/>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row>
    <row r="208" spans="1:30" ht="21.95" customHeight="1">
      <c r="A208" s="19"/>
      <c r="B208" s="43" t="s">
        <v>476</v>
      </c>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row>
    <row r="209" spans="1:30" ht="16.5" customHeight="1">
      <c r="A209" s="19"/>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row>
    <row r="210" spans="1:30" ht="60" customHeight="1">
      <c r="A210" s="19"/>
      <c r="B210" s="198" t="s">
        <v>477</v>
      </c>
      <c r="C210" s="150"/>
      <c r="D210" s="150"/>
      <c r="E210" s="150"/>
      <c r="F210" s="150"/>
      <c r="G210" s="150"/>
      <c r="H210" s="150"/>
      <c r="I210" s="150"/>
      <c r="J210" s="150"/>
      <c r="K210" s="150"/>
      <c r="L210" s="150"/>
      <c r="M210" s="150"/>
      <c r="N210" s="150"/>
      <c r="O210" s="150"/>
      <c r="P210" s="150"/>
      <c r="Q210" s="150"/>
      <c r="R210" s="150"/>
      <c r="S210" s="20"/>
      <c r="T210" s="20"/>
      <c r="U210" s="20"/>
      <c r="V210" s="20"/>
      <c r="W210" s="20"/>
      <c r="X210" s="20"/>
      <c r="Y210" s="20"/>
      <c r="Z210" s="20"/>
      <c r="AA210" s="20"/>
      <c r="AB210" s="20"/>
      <c r="AC210" s="20"/>
      <c r="AD210" s="20"/>
    </row>
    <row r="211" spans="1:30" ht="16.5" customHeight="1">
      <c r="A211" s="19"/>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row>
    <row r="212" spans="1:30" ht="21.95" customHeight="1">
      <c r="A212" s="19"/>
      <c r="B212" s="192" t="s">
        <v>478</v>
      </c>
      <c r="C212" s="162"/>
      <c r="D212" s="162"/>
      <c r="E212" s="162"/>
      <c r="F212" s="162"/>
      <c r="G212" s="162"/>
      <c r="H212" s="162"/>
      <c r="I212" s="162"/>
      <c r="J212" s="162"/>
      <c r="K212" s="162"/>
      <c r="L212" s="162"/>
      <c r="M212" s="162"/>
      <c r="N212" s="162"/>
      <c r="O212" s="162"/>
      <c r="P212" s="162"/>
      <c r="Q212" s="162"/>
      <c r="R212" s="162"/>
      <c r="S212" s="20"/>
      <c r="T212" s="20"/>
      <c r="U212" s="20"/>
      <c r="V212" s="20"/>
      <c r="W212" s="20"/>
      <c r="X212" s="20"/>
      <c r="Y212" s="20"/>
      <c r="Z212" s="20"/>
      <c r="AA212" s="20"/>
      <c r="AB212" s="20"/>
      <c r="AC212" s="20"/>
      <c r="AD212" s="20"/>
    </row>
    <row r="213" spans="1:30" ht="56.1" customHeight="1">
      <c r="A213" s="19"/>
      <c r="B213" s="198" t="s">
        <v>479</v>
      </c>
      <c r="C213" s="150"/>
      <c r="D213" s="150"/>
      <c r="E213" s="150"/>
      <c r="F213" s="150"/>
      <c r="G213" s="150"/>
      <c r="H213" s="150"/>
      <c r="I213" s="150"/>
      <c r="J213" s="150"/>
      <c r="K213" s="150"/>
      <c r="L213" s="150"/>
      <c r="M213" s="150"/>
      <c r="N213" s="150"/>
      <c r="O213" s="150"/>
      <c r="P213" s="150"/>
      <c r="Q213" s="150"/>
      <c r="R213" s="150"/>
      <c r="S213" s="20"/>
      <c r="T213" s="20"/>
      <c r="U213" s="20"/>
      <c r="V213" s="20"/>
      <c r="W213" s="20"/>
      <c r="X213" s="20"/>
      <c r="Y213" s="20"/>
      <c r="Z213" s="20"/>
      <c r="AA213" s="20"/>
      <c r="AB213" s="20"/>
      <c r="AC213" s="20"/>
      <c r="AD213" s="20"/>
    </row>
    <row r="214" spans="1:30" ht="16.5" customHeight="1">
      <c r="A214" s="19"/>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row>
    <row r="215" spans="1:30" ht="21.95" customHeight="1">
      <c r="A215" s="19"/>
      <c r="B215" s="192" t="s">
        <v>480</v>
      </c>
      <c r="C215" s="162"/>
      <c r="D215" s="162"/>
      <c r="E215" s="162"/>
      <c r="F215" s="162"/>
      <c r="G215" s="162"/>
      <c r="H215" s="162"/>
      <c r="I215" s="162"/>
      <c r="J215" s="162"/>
      <c r="K215" s="162"/>
      <c r="L215" s="162"/>
      <c r="M215" s="162"/>
      <c r="N215" s="162"/>
      <c r="O215" s="162"/>
      <c r="P215" s="162"/>
      <c r="Q215" s="162"/>
      <c r="R215" s="162"/>
      <c r="S215" s="20"/>
      <c r="T215" s="20"/>
      <c r="U215" s="20"/>
      <c r="V215" s="20"/>
      <c r="W215" s="20"/>
      <c r="X215" s="20"/>
      <c r="Y215" s="20"/>
      <c r="Z215" s="20"/>
      <c r="AA215" s="20"/>
      <c r="AB215" s="20"/>
      <c r="AC215" s="20"/>
      <c r="AD215" s="20"/>
    </row>
    <row r="216" spans="1:30" ht="56.1" customHeight="1">
      <c r="A216" s="19"/>
      <c r="B216" s="198" t="s">
        <v>481</v>
      </c>
      <c r="C216" s="150"/>
      <c r="D216" s="150"/>
      <c r="E216" s="150"/>
      <c r="F216" s="150"/>
      <c r="G216" s="150"/>
      <c r="H216" s="150"/>
      <c r="I216" s="150"/>
      <c r="J216" s="150"/>
      <c r="K216" s="150"/>
      <c r="L216" s="150"/>
      <c r="M216" s="150"/>
      <c r="N216" s="150"/>
      <c r="O216" s="150"/>
      <c r="P216" s="150"/>
      <c r="Q216" s="150"/>
      <c r="R216" s="150"/>
      <c r="S216" s="20"/>
      <c r="T216" s="20"/>
      <c r="U216" s="20"/>
      <c r="V216" s="20"/>
      <c r="W216" s="20"/>
      <c r="X216" s="20"/>
      <c r="Y216" s="20"/>
      <c r="Z216" s="20"/>
      <c r="AA216" s="20"/>
      <c r="AB216" s="20"/>
      <c r="AC216" s="20"/>
      <c r="AD216" s="20"/>
    </row>
    <row r="217" spans="1:30" ht="16.5" customHeight="1">
      <c r="A217" s="19"/>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row>
    <row r="218" spans="1:30" ht="21.95" customHeight="1">
      <c r="A218" s="19"/>
      <c r="B218" s="192" t="s">
        <v>482</v>
      </c>
      <c r="C218" s="162"/>
      <c r="D218" s="162"/>
      <c r="E218" s="162"/>
      <c r="F218" s="162"/>
      <c r="G218" s="162"/>
      <c r="H218" s="162"/>
      <c r="I218" s="162"/>
      <c r="J218" s="162"/>
      <c r="K218" s="162"/>
      <c r="L218" s="162"/>
      <c r="M218" s="162"/>
      <c r="N218" s="162"/>
      <c r="O218" s="162"/>
      <c r="P218" s="162"/>
      <c r="Q218" s="162"/>
      <c r="R218" s="162"/>
      <c r="S218" s="20"/>
      <c r="T218" s="20"/>
      <c r="U218" s="20"/>
      <c r="V218" s="20"/>
      <c r="W218" s="20"/>
      <c r="X218" s="20"/>
      <c r="Y218" s="20"/>
      <c r="Z218" s="20"/>
      <c r="AA218" s="20"/>
      <c r="AB218" s="20"/>
      <c r="AC218" s="20"/>
      <c r="AD218" s="20"/>
    </row>
    <row r="219" spans="1:30" ht="56.1" customHeight="1">
      <c r="A219" s="19"/>
      <c r="B219" s="198" t="s">
        <v>483</v>
      </c>
      <c r="C219" s="150"/>
      <c r="D219" s="150"/>
      <c r="E219" s="150"/>
      <c r="F219" s="150"/>
      <c r="G219" s="150"/>
      <c r="H219" s="150"/>
      <c r="I219" s="150"/>
      <c r="J219" s="150"/>
      <c r="K219" s="150"/>
      <c r="L219" s="150"/>
      <c r="M219" s="150"/>
      <c r="N219" s="150"/>
      <c r="O219" s="150"/>
      <c r="P219" s="150"/>
      <c r="Q219" s="150"/>
      <c r="R219" s="150"/>
      <c r="S219" s="20"/>
      <c r="T219" s="20"/>
      <c r="U219" s="20"/>
      <c r="V219" s="20"/>
      <c r="W219" s="20"/>
      <c r="X219" s="20"/>
      <c r="Y219" s="20"/>
      <c r="Z219" s="20"/>
      <c r="AA219" s="20"/>
      <c r="AB219" s="20"/>
      <c r="AC219" s="20"/>
      <c r="AD219" s="20"/>
    </row>
    <row r="220" spans="1:30" ht="16.5" customHeight="1">
      <c r="A220" s="19"/>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row>
    <row r="221" spans="1:30" ht="21.95" customHeight="1">
      <c r="A221" s="19"/>
      <c r="B221" s="192" t="s">
        <v>484</v>
      </c>
      <c r="C221" s="162"/>
      <c r="D221" s="162"/>
      <c r="E221" s="162"/>
      <c r="F221" s="162"/>
      <c r="G221" s="162"/>
      <c r="H221" s="162"/>
      <c r="I221" s="162"/>
      <c r="J221" s="162"/>
      <c r="K221" s="162"/>
      <c r="L221" s="162"/>
      <c r="M221" s="162"/>
      <c r="N221" s="162"/>
      <c r="O221" s="162"/>
      <c r="P221" s="162"/>
      <c r="Q221" s="162"/>
      <c r="R221" s="162"/>
      <c r="S221" s="20"/>
      <c r="T221" s="20"/>
      <c r="U221" s="20"/>
      <c r="V221" s="20"/>
      <c r="W221" s="20"/>
      <c r="X221" s="20"/>
      <c r="Y221" s="20"/>
      <c r="Z221" s="20"/>
      <c r="AA221" s="20"/>
      <c r="AB221" s="20"/>
      <c r="AC221" s="20"/>
      <c r="AD221" s="20"/>
    </row>
    <row r="222" spans="1:30" ht="56.1" customHeight="1">
      <c r="A222" s="19"/>
      <c r="B222" s="198" t="s">
        <v>485</v>
      </c>
      <c r="C222" s="150"/>
      <c r="D222" s="150"/>
      <c r="E222" s="150"/>
      <c r="F222" s="150"/>
      <c r="G222" s="150"/>
      <c r="H222" s="150"/>
      <c r="I222" s="150"/>
      <c r="J222" s="150"/>
      <c r="K222" s="150"/>
      <c r="L222" s="150"/>
      <c r="M222" s="150"/>
      <c r="N222" s="150"/>
      <c r="O222" s="150"/>
      <c r="P222" s="150"/>
      <c r="Q222" s="150"/>
      <c r="R222" s="150"/>
      <c r="S222" s="20"/>
      <c r="T222" s="20"/>
      <c r="U222" s="20"/>
      <c r="V222" s="20"/>
      <c r="W222" s="20"/>
      <c r="X222" s="20"/>
      <c r="Y222" s="20"/>
      <c r="Z222" s="20"/>
      <c r="AA222" s="20"/>
      <c r="AB222" s="20"/>
      <c r="AC222" s="20"/>
      <c r="AD222" s="20"/>
    </row>
    <row r="223" spans="1:30" ht="16.5" customHeight="1">
      <c r="A223" s="19"/>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row>
    <row r="224" spans="1:30" ht="21.95" customHeight="1">
      <c r="A224" s="19"/>
      <c r="B224" s="192" t="s">
        <v>486</v>
      </c>
      <c r="C224" s="162"/>
      <c r="D224" s="162"/>
      <c r="E224" s="162"/>
      <c r="F224" s="162"/>
      <c r="G224" s="162"/>
      <c r="H224" s="162"/>
      <c r="I224" s="162"/>
      <c r="J224" s="162"/>
      <c r="K224" s="162"/>
      <c r="L224" s="162"/>
      <c r="M224" s="162"/>
      <c r="N224" s="162"/>
      <c r="O224" s="162"/>
      <c r="P224" s="162"/>
      <c r="Q224" s="162"/>
      <c r="R224" s="162"/>
      <c r="S224" s="20"/>
      <c r="T224" s="20"/>
      <c r="U224" s="20"/>
      <c r="V224" s="20"/>
      <c r="W224" s="20"/>
      <c r="X224" s="20"/>
      <c r="Y224" s="20"/>
      <c r="Z224" s="20"/>
      <c r="AA224" s="20"/>
      <c r="AB224" s="20"/>
      <c r="AC224" s="20"/>
      <c r="AD224" s="20"/>
    </row>
    <row r="225" spans="1:30" ht="56.1" customHeight="1">
      <c r="A225" s="19"/>
      <c r="B225" s="198" t="s">
        <v>487</v>
      </c>
      <c r="C225" s="150"/>
      <c r="D225" s="150"/>
      <c r="E225" s="150"/>
      <c r="F225" s="150"/>
      <c r="G225" s="150"/>
      <c r="H225" s="150"/>
      <c r="I225" s="150"/>
      <c r="J225" s="150"/>
      <c r="K225" s="150"/>
      <c r="L225" s="150"/>
      <c r="M225" s="150"/>
      <c r="N225" s="150"/>
      <c r="O225" s="150"/>
      <c r="P225" s="150"/>
      <c r="Q225" s="150"/>
      <c r="R225" s="150"/>
      <c r="S225" s="20"/>
      <c r="T225" s="20"/>
      <c r="U225" s="20"/>
      <c r="V225" s="20"/>
      <c r="W225" s="20"/>
      <c r="X225" s="20"/>
      <c r="Y225" s="20"/>
      <c r="Z225" s="20"/>
      <c r="AA225" s="20"/>
      <c r="AB225" s="20"/>
      <c r="AC225" s="20"/>
      <c r="AD225" s="20"/>
    </row>
    <row r="226" spans="1:30" ht="16.5" customHeight="1">
      <c r="A226" s="19"/>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row>
    <row r="227" spans="1:30" ht="21.95" customHeight="1">
      <c r="A227" s="19"/>
      <c r="B227" s="192" t="s">
        <v>488</v>
      </c>
      <c r="C227" s="162"/>
      <c r="D227" s="162"/>
      <c r="E227" s="162"/>
      <c r="F227" s="162"/>
      <c r="G227" s="162"/>
      <c r="H227" s="162"/>
      <c r="I227" s="162"/>
      <c r="J227" s="162"/>
      <c r="K227" s="162"/>
      <c r="L227" s="162"/>
      <c r="M227" s="162"/>
      <c r="N227" s="162"/>
      <c r="O227" s="162"/>
      <c r="P227" s="162"/>
      <c r="Q227" s="162"/>
      <c r="R227" s="162"/>
      <c r="S227" s="20"/>
      <c r="T227" s="20"/>
      <c r="U227" s="20"/>
      <c r="V227" s="20"/>
      <c r="W227" s="20"/>
      <c r="X227" s="20"/>
      <c r="Y227" s="20"/>
      <c r="Z227" s="20"/>
      <c r="AA227" s="20"/>
      <c r="AB227" s="20"/>
      <c r="AC227" s="20"/>
      <c r="AD227" s="20"/>
    </row>
    <row r="228" spans="1:30" ht="56.1" customHeight="1">
      <c r="A228" s="19"/>
      <c r="B228" s="198" t="s">
        <v>489</v>
      </c>
      <c r="C228" s="150"/>
      <c r="D228" s="150"/>
      <c r="E228" s="150"/>
      <c r="F228" s="150"/>
      <c r="G228" s="150"/>
      <c r="H228" s="150"/>
      <c r="I228" s="150"/>
      <c r="J228" s="150"/>
      <c r="K228" s="150"/>
      <c r="L228" s="150"/>
      <c r="M228" s="150"/>
      <c r="N228" s="150"/>
      <c r="O228" s="150"/>
      <c r="P228" s="150"/>
      <c r="Q228" s="150"/>
      <c r="R228" s="150"/>
      <c r="S228" s="20"/>
      <c r="T228" s="20"/>
      <c r="U228" s="20"/>
      <c r="V228" s="20"/>
      <c r="W228" s="20"/>
      <c r="X228" s="20"/>
      <c r="Y228" s="20"/>
      <c r="Z228" s="20"/>
      <c r="AA228" s="20"/>
      <c r="AB228" s="20"/>
      <c r="AC228" s="20"/>
      <c r="AD228" s="20"/>
    </row>
    <row r="229" spans="1:30">
      <c r="A229" s="39"/>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row>
    <row r="230" spans="1:30">
      <c r="A230" s="39"/>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row>
    <row r="231" spans="1:30">
      <c r="A231" s="39"/>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row>
    <row r="232" spans="1:30">
      <c r="A232" s="39"/>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row>
    <row r="233" spans="1:30">
      <c r="A233" s="39"/>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row>
    <row r="234" spans="1:30">
      <c r="A234" s="1"/>
    </row>
    <row r="235" spans="1:30">
      <c r="A235" s="1"/>
    </row>
    <row r="236" spans="1:30">
      <c r="A236" s="1"/>
    </row>
    <row r="237" spans="1:30">
      <c r="A237" s="1"/>
    </row>
    <row r="238" spans="1:30">
      <c r="A238" s="1"/>
    </row>
  </sheetData>
  <mergeCells count="19">
    <mergeCell ref="B23:E23"/>
    <mergeCell ref="B222:R222"/>
    <mergeCell ref="B37:E37"/>
    <mergeCell ref="B213:R213"/>
    <mergeCell ref="B216:R216"/>
    <mergeCell ref="B212:R212"/>
    <mergeCell ref="B228:R228"/>
    <mergeCell ref="B210:R210"/>
    <mergeCell ref="B47:K47"/>
    <mergeCell ref="B225:R225"/>
    <mergeCell ref="B46:K46"/>
    <mergeCell ref="B221:R221"/>
    <mergeCell ref="B227:R227"/>
    <mergeCell ref="B218:R218"/>
    <mergeCell ref="B224:R224"/>
    <mergeCell ref="B33:E33"/>
    <mergeCell ref="B215:R215"/>
    <mergeCell ref="B35:E35"/>
    <mergeCell ref="B219:R219"/>
  </mergeCells>
  <hyperlinks>
    <hyperlink ref="A2" location="'Försättsblad'!A1" display="Försättsblad" xr:uid="{00000000-0004-0000-0800-000000000000}"/>
    <hyperlink ref="A3" location="'Översikt'!A1" display="Översikt" xr:uid="{00000000-0004-0000-0800-000001000000}"/>
    <hyperlink ref="A4" location="'Indata'!A1" display="Indata" xr:uid="{00000000-0004-0000-0800-000002000000}"/>
    <hyperlink ref="A5" location="'Kassaflöde'!A1" display="Kassaflöde" xr:uid="{00000000-0004-0000-0800-000003000000}"/>
    <hyperlink ref="A6" location="'Finansiering'!A1" display="Finansiering" xr:uid="{00000000-0004-0000-0800-000004000000}"/>
    <hyperlink ref="A7" location="'Resultat'!A1" display="Resultat" xr:uid="{00000000-0004-0000-0800-000005000000}"/>
    <hyperlink ref="A8" location="'Grafer'!A1" display="Grafer" xr:uid="{00000000-0004-0000-0800-000006000000}"/>
    <hyperlink ref="A9" location="'Lönsamhetskontroll'!A1" display="Lönsamhetskontroll" xr:uid="{00000000-0004-0000-0800-000007000000}"/>
    <hyperlink ref="A11" location="'Dokumentation'!A1" display="Dokumentation" xr:uid="{00000000-0004-0000-0800-000008000000}"/>
  </hyperlinks>
  <pageMargins left="0.4" right="0.4" top="0.5" bottom="0.5" header="0.511811023622047" footer="0.511811023622047"/>
  <pageSetup paperSize="9" fitToWidth="2" fitToHeight="0" orientation="landscape"/>
  <rowBreaks count="2" manualBreakCount="2">
    <brk id="45" max="16383" man="1"/>
    <brk id="207" max="16383" man="1"/>
  </rowBreak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0313E"/>
    <pageSetUpPr fitToPage="1"/>
  </sheetPr>
  <dimension ref="A1:G179"/>
  <sheetViews>
    <sheetView showGridLines="0" workbookViewId="0">
      <pane xSplit="1" topLeftCell="B1" activePane="topRight" state="frozen"/>
      <selection pane="topRight"/>
    </sheetView>
  </sheetViews>
  <sheetFormatPr defaultRowHeight="15"/>
  <cols>
    <col min="1" max="1" width="24" customWidth="1"/>
    <col min="2" max="2" width="100" customWidth="1"/>
  </cols>
  <sheetData>
    <row r="1" spans="1:7" ht="14.1" customHeight="1">
      <c r="A1" s="19"/>
      <c r="B1" s="21" t="s">
        <v>490</v>
      </c>
      <c r="C1" s="20"/>
      <c r="D1" s="20"/>
      <c r="E1" s="20"/>
      <c r="F1" s="40"/>
      <c r="G1" s="40"/>
    </row>
    <row r="2" spans="1:7" ht="30" customHeight="1">
      <c r="A2" s="19" t="s">
        <v>0</v>
      </c>
      <c r="B2" s="41" t="s">
        <v>124</v>
      </c>
      <c r="C2" s="20"/>
      <c r="D2" s="20"/>
      <c r="E2" s="20"/>
      <c r="F2" s="40"/>
      <c r="G2" s="40"/>
    </row>
    <row r="3" spans="1:7" ht="30" customHeight="1">
      <c r="A3" s="19" t="s">
        <v>37</v>
      </c>
      <c r="B3" s="42" t="s">
        <v>491</v>
      </c>
      <c r="C3" s="20"/>
      <c r="D3" s="20"/>
      <c r="E3" s="20"/>
      <c r="F3" s="40"/>
      <c r="G3" s="40"/>
    </row>
    <row r="4" spans="1:7" ht="30" customHeight="1">
      <c r="A4" s="19" t="s">
        <v>3</v>
      </c>
      <c r="B4" s="192" t="s">
        <v>492</v>
      </c>
      <c r="C4" s="162"/>
      <c r="D4" s="162"/>
      <c r="E4" s="162"/>
      <c r="F4" s="145"/>
      <c r="G4" s="145"/>
    </row>
    <row r="5" spans="1:7" ht="30" customHeight="1">
      <c r="A5" s="19" t="s">
        <v>4</v>
      </c>
      <c r="B5" s="146" t="s">
        <v>493</v>
      </c>
      <c r="C5" s="20"/>
      <c r="D5" s="20"/>
      <c r="E5" s="20"/>
      <c r="F5" s="40"/>
      <c r="G5" s="40"/>
    </row>
    <row r="6" spans="1:7" ht="30" customHeight="1">
      <c r="A6" s="19" t="s">
        <v>5</v>
      </c>
      <c r="B6" s="20"/>
      <c r="C6" s="20"/>
      <c r="D6" s="20"/>
      <c r="E6" s="20"/>
      <c r="F6" s="40"/>
      <c r="G6" s="40"/>
    </row>
    <row r="7" spans="1:7" ht="30" customHeight="1">
      <c r="A7" s="19" t="s">
        <v>6</v>
      </c>
      <c r="B7" s="192" t="s">
        <v>494</v>
      </c>
      <c r="C7" s="162"/>
      <c r="D7" s="162"/>
      <c r="E7" s="162"/>
      <c r="F7" s="145"/>
      <c r="G7" s="145"/>
    </row>
    <row r="8" spans="1:7" ht="30" customHeight="1">
      <c r="A8" s="19" t="s">
        <v>10</v>
      </c>
      <c r="B8" s="146" t="s">
        <v>495</v>
      </c>
      <c r="C8" s="20"/>
      <c r="D8" s="20"/>
      <c r="E8" s="20"/>
      <c r="F8" s="40"/>
      <c r="G8" s="40"/>
    </row>
    <row r="9" spans="1:7" ht="30" customHeight="1">
      <c r="A9" s="19" t="s">
        <v>11</v>
      </c>
      <c r="B9" s="20"/>
      <c r="C9" s="20"/>
      <c r="D9" s="20"/>
      <c r="E9" s="20"/>
      <c r="F9" s="40"/>
      <c r="G9" s="40"/>
    </row>
    <row r="10" spans="1:7" ht="30" customHeight="1">
      <c r="A10" s="19" t="s">
        <v>14</v>
      </c>
      <c r="B10" s="192" t="s">
        <v>496</v>
      </c>
      <c r="C10" s="162"/>
      <c r="D10" s="162"/>
      <c r="E10" s="162"/>
      <c r="F10" s="145"/>
      <c r="G10" s="145"/>
    </row>
    <row r="11" spans="1:7" ht="30" customHeight="1">
      <c r="A11" s="19"/>
      <c r="B11" s="20"/>
      <c r="C11" s="20"/>
      <c r="D11" s="20"/>
      <c r="E11" s="20"/>
      <c r="F11" s="40"/>
      <c r="G11" s="40"/>
    </row>
    <row r="12" spans="1:7" ht="15" customHeight="1">
      <c r="A12" s="19"/>
      <c r="B12" s="146" t="s">
        <v>497</v>
      </c>
      <c r="C12" s="20"/>
      <c r="D12" s="20"/>
      <c r="E12" s="20"/>
      <c r="F12" s="40"/>
      <c r="G12" s="40"/>
    </row>
    <row r="13" spans="1:7" ht="16.5" customHeight="1">
      <c r="A13" s="19"/>
      <c r="B13" s="20"/>
      <c r="C13" s="20"/>
      <c r="D13" s="20"/>
      <c r="E13" s="20"/>
      <c r="F13" s="40"/>
      <c r="G13" s="40"/>
    </row>
    <row r="14" spans="1:7" ht="21.95" customHeight="1">
      <c r="A14" s="19"/>
      <c r="B14" s="43" t="s">
        <v>498</v>
      </c>
      <c r="C14" s="24"/>
      <c r="D14" s="24"/>
      <c r="E14" s="24"/>
      <c r="F14" s="145"/>
      <c r="G14" s="145"/>
    </row>
    <row r="15" spans="1:7" ht="15" customHeight="1">
      <c r="A15" s="19"/>
      <c r="B15" s="146" t="s">
        <v>499</v>
      </c>
      <c r="C15" s="20"/>
      <c r="D15" s="20"/>
      <c r="E15" s="20"/>
      <c r="F15" s="40"/>
      <c r="G15" s="40"/>
    </row>
    <row r="16" spans="1:7" ht="15" customHeight="1">
      <c r="A16" s="19"/>
      <c r="B16" s="146" t="s">
        <v>500</v>
      </c>
      <c r="C16" s="20"/>
      <c r="D16" s="20"/>
      <c r="E16" s="20"/>
      <c r="F16" s="40"/>
      <c r="G16" s="40"/>
    </row>
    <row r="17" spans="1:7" ht="15" customHeight="1">
      <c r="A17" s="19"/>
      <c r="B17" s="146" t="s">
        <v>501</v>
      </c>
      <c r="C17" s="20"/>
      <c r="D17" s="20"/>
      <c r="E17" s="20"/>
      <c r="F17" s="40"/>
      <c r="G17" s="40"/>
    </row>
    <row r="18" spans="1:7" ht="16.5" customHeight="1">
      <c r="A18" s="19"/>
      <c r="B18" s="20"/>
      <c r="C18" s="20"/>
      <c r="D18" s="20"/>
      <c r="E18" s="20"/>
      <c r="F18" s="40"/>
      <c r="G18" s="40"/>
    </row>
    <row r="19" spans="1:7" ht="15" customHeight="1">
      <c r="A19" s="19"/>
      <c r="B19" s="147" t="s">
        <v>502</v>
      </c>
      <c r="C19" s="20"/>
      <c r="D19" s="20"/>
      <c r="E19" s="20"/>
      <c r="F19" s="40"/>
      <c r="G19" s="40"/>
    </row>
    <row r="20" spans="1:7" ht="23.25" customHeight="1">
      <c r="A20" s="19"/>
      <c r="B20" s="146" t="s">
        <v>503</v>
      </c>
      <c r="C20" s="20"/>
      <c r="D20" s="20"/>
      <c r="E20" s="20"/>
      <c r="F20" s="40"/>
      <c r="G20" s="40"/>
    </row>
    <row r="21" spans="1:7" ht="16.5" customHeight="1">
      <c r="A21" s="19"/>
      <c r="B21" s="20"/>
      <c r="C21" s="20"/>
      <c r="D21" s="20"/>
      <c r="E21" s="20"/>
      <c r="F21" s="40"/>
      <c r="G21" s="40"/>
    </row>
    <row r="22" spans="1:7" ht="15" customHeight="1">
      <c r="A22" s="19"/>
      <c r="B22" s="146" t="s">
        <v>504</v>
      </c>
      <c r="C22" s="20"/>
      <c r="D22" s="20"/>
      <c r="E22" s="20"/>
      <c r="F22" s="40"/>
      <c r="G22" s="40"/>
    </row>
    <row r="23" spans="1:7" ht="15" customHeight="1">
      <c r="A23" s="19"/>
      <c r="B23" s="146" t="s">
        <v>505</v>
      </c>
      <c r="C23" s="20"/>
      <c r="D23" s="20"/>
      <c r="E23" s="20"/>
      <c r="F23" s="40"/>
      <c r="G23" s="40"/>
    </row>
    <row r="24" spans="1:7" ht="16.5" customHeight="1">
      <c r="A24" s="19"/>
      <c r="B24" s="20"/>
      <c r="C24" s="20"/>
      <c r="D24" s="20"/>
      <c r="E24" s="20"/>
      <c r="F24" s="40"/>
      <c r="G24" s="40"/>
    </row>
    <row r="25" spans="1:7" ht="15" customHeight="1">
      <c r="A25" s="19"/>
      <c r="B25" s="146" t="s">
        <v>506</v>
      </c>
      <c r="C25" s="20"/>
      <c r="D25" s="20"/>
      <c r="E25" s="20"/>
      <c r="F25" s="40"/>
      <c r="G25" s="40"/>
    </row>
    <row r="26" spans="1:7" ht="15" customHeight="1">
      <c r="A26" s="19"/>
      <c r="B26" s="146" t="s">
        <v>507</v>
      </c>
      <c r="C26" s="20"/>
      <c r="D26" s="20"/>
      <c r="E26" s="20"/>
      <c r="F26" s="40"/>
      <c r="G26" s="40"/>
    </row>
    <row r="27" spans="1:7" ht="16.5" customHeight="1">
      <c r="A27" s="19"/>
      <c r="B27" s="20"/>
      <c r="C27" s="20"/>
      <c r="D27" s="20"/>
      <c r="E27" s="20"/>
      <c r="F27" s="40"/>
      <c r="G27" s="40"/>
    </row>
    <row r="28" spans="1:7" ht="15" customHeight="1">
      <c r="A28" s="19"/>
      <c r="B28" s="147" t="s">
        <v>508</v>
      </c>
      <c r="C28" s="20"/>
      <c r="D28" s="20"/>
      <c r="E28" s="20"/>
      <c r="F28" s="40"/>
      <c r="G28" s="40"/>
    </row>
    <row r="29" spans="1:7" ht="23.25" customHeight="1">
      <c r="A29" s="19"/>
      <c r="B29" s="146" t="s">
        <v>509</v>
      </c>
      <c r="C29" s="20"/>
      <c r="D29" s="20"/>
      <c r="E29" s="20"/>
      <c r="F29" s="40"/>
      <c r="G29" s="40"/>
    </row>
    <row r="30" spans="1:7" ht="16.5" customHeight="1">
      <c r="A30" s="19"/>
      <c r="B30" s="20"/>
      <c r="C30" s="20"/>
      <c r="D30" s="20"/>
      <c r="E30" s="20"/>
      <c r="F30" s="40"/>
      <c r="G30" s="40"/>
    </row>
    <row r="31" spans="1:7" ht="15" customHeight="1">
      <c r="A31" s="19"/>
      <c r="B31" s="146" t="s">
        <v>510</v>
      </c>
      <c r="C31" s="20"/>
      <c r="D31" s="20"/>
      <c r="E31" s="20"/>
      <c r="F31" s="40"/>
      <c r="G31" s="40"/>
    </row>
    <row r="32" spans="1:7" ht="16.5" customHeight="1">
      <c r="A32" s="19"/>
      <c r="B32" s="20"/>
      <c r="C32" s="20"/>
      <c r="D32" s="20"/>
      <c r="E32" s="20"/>
      <c r="F32" s="40"/>
      <c r="G32" s="40"/>
    </row>
    <row r="33" spans="1:7" ht="34.5" customHeight="1">
      <c r="A33" s="19"/>
      <c r="B33" s="146" t="s">
        <v>511</v>
      </c>
      <c r="C33" s="20"/>
      <c r="D33" s="20"/>
      <c r="E33" s="20"/>
      <c r="F33" s="40"/>
      <c r="G33" s="40"/>
    </row>
    <row r="34" spans="1:7" ht="16.5" customHeight="1">
      <c r="A34" s="19"/>
      <c r="B34" s="20"/>
      <c r="C34" s="20"/>
      <c r="D34" s="20"/>
      <c r="E34" s="20"/>
      <c r="F34" s="40"/>
      <c r="G34" s="40"/>
    </row>
    <row r="35" spans="1:7" ht="15" customHeight="1">
      <c r="A35" s="19"/>
      <c r="B35" s="146" t="s">
        <v>512</v>
      </c>
      <c r="C35" s="20"/>
      <c r="D35" s="20"/>
      <c r="E35" s="20"/>
      <c r="F35" s="40"/>
      <c r="G35" s="40"/>
    </row>
    <row r="36" spans="1:7" ht="15" customHeight="1">
      <c r="A36" s="19"/>
      <c r="B36" s="146" t="s">
        <v>513</v>
      </c>
      <c r="C36" s="20"/>
      <c r="D36" s="20"/>
      <c r="E36" s="20"/>
      <c r="F36" s="40"/>
      <c r="G36" s="40"/>
    </row>
    <row r="37" spans="1:7" ht="16.5" customHeight="1">
      <c r="A37" s="19"/>
      <c r="B37" s="20"/>
      <c r="C37" s="20"/>
      <c r="D37" s="20"/>
      <c r="E37" s="20"/>
      <c r="F37" s="40"/>
      <c r="G37" s="40"/>
    </row>
    <row r="38" spans="1:7" ht="23.25" customHeight="1">
      <c r="A38" s="19"/>
      <c r="B38" s="148" t="s">
        <v>514</v>
      </c>
      <c r="C38" s="20"/>
      <c r="D38" s="20"/>
      <c r="E38" s="20"/>
      <c r="F38" s="40"/>
      <c r="G38" s="40"/>
    </row>
    <row r="39" spans="1:7" ht="16.5" customHeight="1">
      <c r="A39" s="19"/>
      <c r="B39" s="20"/>
      <c r="C39" s="20"/>
      <c r="D39" s="20"/>
      <c r="E39" s="20"/>
      <c r="F39" s="40"/>
      <c r="G39" s="40"/>
    </row>
    <row r="40" spans="1:7" ht="21.95" customHeight="1">
      <c r="A40" s="19"/>
      <c r="B40" s="192" t="s">
        <v>515</v>
      </c>
      <c r="C40" s="162"/>
      <c r="D40" s="162"/>
      <c r="E40" s="162"/>
      <c r="F40" s="145"/>
      <c r="G40" s="145"/>
    </row>
    <row r="41" spans="1:7" ht="23.25" customHeight="1">
      <c r="A41" s="19"/>
      <c r="B41" s="146" t="s">
        <v>516</v>
      </c>
      <c r="C41" s="20"/>
      <c r="D41" s="20"/>
      <c r="E41" s="20"/>
      <c r="F41" s="40"/>
      <c r="G41" s="40"/>
    </row>
    <row r="42" spans="1:7" ht="15" customHeight="1">
      <c r="A42" s="19"/>
      <c r="B42" s="146" t="s">
        <v>517</v>
      </c>
      <c r="C42" s="20"/>
      <c r="D42" s="20"/>
      <c r="E42" s="20"/>
      <c r="F42" s="40"/>
      <c r="G42" s="40"/>
    </row>
    <row r="43" spans="1:7" ht="15" customHeight="1">
      <c r="A43" s="19"/>
      <c r="B43" s="146" t="s">
        <v>518</v>
      </c>
      <c r="C43" s="20"/>
      <c r="D43" s="20"/>
      <c r="E43" s="20"/>
      <c r="F43" s="40"/>
      <c r="G43" s="40"/>
    </row>
    <row r="44" spans="1:7" ht="15" customHeight="1">
      <c r="A44" s="19"/>
      <c r="B44" s="146" t="s">
        <v>519</v>
      </c>
      <c r="C44" s="20"/>
      <c r="D44" s="20"/>
      <c r="E44" s="20"/>
      <c r="F44" s="40"/>
      <c r="G44" s="40"/>
    </row>
    <row r="45" spans="1:7" ht="16.5" customHeight="1">
      <c r="A45" s="19"/>
      <c r="B45" s="20"/>
      <c r="C45" s="20"/>
      <c r="D45" s="20"/>
      <c r="E45" s="20"/>
      <c r="F45" s="40"/>
      <c r="G45" s="40"/>
    </row>
    <row r="46" spans="1:7" ht="23.25" customHeight="1">
      <c r="A46" s="19"/>
      <c r="B46" s="146" t="s">
        <v>520</v>
      </c>
      <c r="C46" s="20"/>
      <c r="D46" s="20"/>
      <c r="E46" s="20"/>
      <c r="F46" s="40"/>
      <c r="G46" s="40"/>
    </row>
    <row r="47" spans="1:7" ht="16.5" customHeight="1">
      <c r="A47" s="19"/>
      <c r="B47" s="20"/>
      <c r="C47" s="20"/>
      <c r="D47" s="20"/>
      <c r="E47" s="20"/>
      <c r="F47" s="40"/>
      <c r="G47" s="40"/>
    </row>
    <row r="48" spans="1:7" ht="23.25" customHeight="1">
      <c r="A48" s="19"/>
      <c r="B48" s="146" t="s">
        <v>521</v>
      </c>
      <c r="C48" s="20"/>
      <c r="D48" s="20"/>
      <c r="E48" s="20"/>
      <c r="F48" s="40"/>
      <c r="G48" s="40"/>
    </row>
    <row r="49" spans="1:7" ht="16.5" customHeight="1">
      <c r="A49" s="19"/>
      <c r="B49" s="20"/>
      <c r="C49" s="20"/>
      <c r="D49" s="20"/>
      <c r="E49" s="20"/>
      <c r="F49" s="40"/>
      <c r="G49" s="40"/>
    </row>
    <row r="50" spans="1:7" ht="21.95" customHeight="1">
      <c r="A50" s="19"/>
      <c r="B50" s="192" t="s">
        <v>522</v>
      </c>
      <c r="C50" s="162"/>
      <c r="D50" s="162"/>
      <c r="E50" s="162"/>
      <c r="F50" s="145"/>
      <c r="G50" s="145"/>
    </row>
    <row r="51" spans="1:7" ht="23.25" customHeight="1">
      <c r="A51" s="19"/>
      <c r="B51" s="146" t="s">
        <v>523</v>
      </c>
      <c r="C51" s="20"/>
      <c r="D51" s="20"/>
      <c r="E51" s="20"/>
      <c r="F51" s="40"/>
      <c r="G51" s="40"/>
    </row>
    <row r="52" spans="1:7" ht="16.5" customHeight="1">
      <c r="A52" s="19"/>
      <c r="B52" s="20"/>
      <c r="C52" s="20"/>
      <c r="D52" s="20"/>
      <c r="E52" s="20"/>
      <c r="F52" s="40"/>
      <c r="G52" s="40"/>
    </row>
    <row r="53" spans="1:7" ht="23.25" customHeight="1">
      <c r="A53" s="19"/>
      <c r="B53" s="146" t="s">
        <v>524</v>
      </c>
      <c r="C53" s="20"/>
      <c r="D53" s="20"/>
      <c r="E53" s="20"/>
      <c r="F53" s="40"/>
      <c r="G53" s="40"/>
    </row>
    <row r="54" spans="1:7" ht="16.5" customHeight="1">
      <c r="A54" s="19"/>
      <c r="B54" s="20"/>
      <c r="C54" s="20"/>
      <c r="D54" s="20"/>
      <c r="E54" s="20"/>
      <c r="F54" s="40"/>
      <c r="G54" s="40"/>
    </row>
    <row r="55" spans="1:7" ht="23.25" customHeight="1">
      <c r="A55" s="19"/>
      <c r="B55" s="146" t="s">
        <v>525</v>
      </c>
      <c r="C55" s="20"/>
      <c r="D55" s="20"/>
      <c r="E55" s="20"/>
      <c r="F55" s="40"/>
      <c r="G55" s="40"/>
    </row>
    <row r="56" spans="1:7" ht="16.5" customHeight="1">
      <c r="A56" s="19"/>
      <c r="B56" s="20"/>
      <c r="C56" s="20"/>
      <c r="D56" s="20"/>
      <c r="E56" s="20"/>
      <c r="F56" s="40"/>
      <c r="G56" s="40"/>
    </row>
    <row r="57" spans="1:7" ht="21.95" customHeight="1">
      <c r="A57" s="19"/>
      <c r="B57" s="192" t="s">
        <v>526</v>
      </c>
      <c r="C57" s="162"/>
      <c r="D57" s="162"/>
      <c r="E57" s="162"/>
      <c r="F57" s="145"/>
      <c r="G57" s="145"/>
    </row>
    <row r="58" spans="1:7" ht="15" customHeight="1">
      <c r="A58" s="19"/>
      <c r="B58" s="146" t="s">
        <v>527</v>
      </c>
      <c r="C58" s="20"/>
      <c r="D58" s="20"/>
      <c r="E58" s="20"/>
      <c r="F58" s="40"/>
      <c r="G58" s="40"/>
    </row>
    <row r="59" spans="1:7" ht="15" customHeight="1">
      <c r="A59" s="19"/>
      <c r="B59" s="146" t="s">
        <v>528</v>
      </c>
      <c r="C59" s="20"/>
      <c r="D59" s="20"/>
      <c r="E59" s="20"/>
      <c r="F59" s="40"/>
      <c r="G59" s="40"/>
    </row>
    <row r="60" spans="1:7" ht="15" customHeight="1">
      <c r="A60" s="19"/>
      <c r="B60" s="146" t="s">
        <v>529</v>
      </c>
      <c r="C60" s="20"/>
      <c r="D60" s="20"/>
      <c r="E60" s="20"/>
      <c r="F60" s="40"/>
      <c r="G60" s="40"/>
    </row>
    <row r="61" spans="1:7" ht="16.5" customHeight="1">
      <c r="A61" s="19"/>
      <c r="B61" s="20"/>
      <c r="C61" s="20"/>
      <c r="D61" s="20"/>
      <c r="E61" s="20"/>
      <c r="F61" s="40"/>
      <c r="G61" s="40"/>
    </row>
    <row r="62" spans="1:7" ht="23.25" customHeight="1">
      <c r="A62" s="19"/>
      <c r="B62" s="146" t="s">
        <v>530</v>
      </c>
      <c r="C62" s="20"/>
      <c r="D62" s="20"/>
      <c r="E62" s="20"/>
      <c r="F62" s="40"/>
      <c r="G62" s="40"/>
    </row>
    <row r="63" spans="1:7" ht="16.5" customHeight="1">
      <c r="A63" s="19"/>
      <c r="B63" s="20"/>
      <c r="C63" s="20"/>
      <c r="D63" s="20"/>
      <c r="E63" s="20"/>
      <c r="F63" s="40"/>
      <c r="G63" s="40"/>
    </row>
    <row r="64" spans="1:7" ht="21.95" customHeight="1">
      <c r="A64" s="19"/>
      <c r="B64" s="192" t="s">
        <v>531</v>
      </c>
      <c r="C64" s="162"/>
      <c r="D64" s="162"/>
      <c r="E64" s="162"/>
      <c r="F64" s="145"/>
      <c r="G64" s="145"/>
    </row>
    <row r="65" spans="1:7" ht="23.25" customHeight="1">
      <c r="A65" s="19"/>
      <c r="B65" s="146" t="s">
        <v>532</v>
      </c>
      <c r="C65" s="20"/>
      <c r="D65" s="20"/>
      <c r="E65" s="20"/>
      <c r="F65" s="40"/>
      <c r="G65" s="40"/>
    </row>
    <row r="66" spans="1:7" ht="16.5" customHeight="1">
      <c r="A66" s="19"/>
      <c r="B66" s="20"/>
      <c r="C66" s="20"/>
      <c r="D66" s="20"/>
      <c r="E66" s="20"/>
      <c r="F66" s="40"/>
      <c r="G66" s="40"/>
    </row>
    <row r="67" spans="1:7" ht="23.25" customHeight="1">
      <c r="A67" s="19"/>
      <c r="B67" s="146" t="s">
        <v>533</v>
      </c>
      <c r="C67" s="20"/>
      <c r="D67" s="20"/>
      <c r="E67" s="20"/>
      <c r="F67" s="40"/>
      <c r="G67" s="40"/>
    </row>
    <row r="68" spans="1:7" ht="16.5" customHeight="1">
      <c r="A68" s="19"/>
      <c r="B68" s="20"/>
      <c r="C68" s="20"/>
      <c r="D68" s="20"/>
      <c r="E68" s="20"/>
      <c r="F68" s="40"/>
      <c r="G68" s="40"/>
    </row>
    <row r="69" spans="1:7" ht="15" customHeight="1">
      <c r="A69" s="19"/>
      <c r="B69" s="146" t="s">
        <v>534</v>
      </c>
      <c r="C69" s="20"/>
      <c r="D69" s="20"/>
      <c r="E69" s="20"/>
      <c r="F69" s="40"/>
      <c r="G69" s="40"/>
    </row>
    <row r="70" spans="1:7" ht="16.5" customHeight="1">
      <c r="A70" s="19"/>
      <c r="B70" s="20"/>
      <c r="C70" s="20"/>
      <c r="D70" s="20"/>
      <c r="E70" s="20"/>
      <c r="F70" s="40"/>
      <c r="G70" s="40"/>
    </row>
    <row r="71" spans="1:7" ht="21.95" customHeight="1">
      <c r="A71" s="19"/>
      <c r="B71" s="192" t="s">
        <v>535</v>
      </c>
      <c r="C71" s="162"/>
      <c r="D71" s="162"/>
      <c r="E71" s="162"/>
      <c r="F71" s="145"/>
      <c r="G71" s="145"/>
    </row>
    <row r="72" spans="1:7" ht="23.25" customHeight="1">
      <c r="A72" s="19"/>
      <c r="B72" s="146" t="s">
        <v>536</v>
      </c>
      <c r="C72" s="20"/>
      <c r="D72" s="20"/>
      <c r="E72" s="20"/>
      <c r="F72" s="40"/>
      <c r="G72" s="40"/>
    </row>
    <row r="73" spans="1:7" ht="16.5" customHeight="1">
      <c r="A73" s="19"/>
      <c r="B73" s="20"/>
      <c r="C73" s="20"/>
      <c r="D73" s="20"/>
      <c r="E73" s="20"/>
      <c r="F73" s="40"/>
      <c r="G73" s="40"/>
    </row>
    <row r="74" spans="1:7" ht="27.75" customHeight="1">
      <c r="A74" s="19"/>
      <c r="B74" s="147" t="s">
        <v>537</v>
      </c>
      <c r="C74" s="20"/>
      <c r="D74" s="20"/>
      <c r="E74" s="20"/>
      <c r="F74" s="40"/>
      <c r="G74" s="40"/>
    </row>
    <row r="75" spans="1:7" ht="15" customHeight="1">
      <c r="A75" s="19"/>
      <c r="B75" s="146" t="s">
        <v>538</v>
      </c>
      <c r="C75" s="20"/>
      <c r="D75" s="20"/>
      <c r="E75" s="20"/>
      <c r="F75" s="40"/>
      <c r="G75" s="40"/>
    </row>
    <row r="76" spans="1:7" ht="15" customHeight="1">
      <c r="A76" s="19"/>
      <c r="B76" s="146" t="s">
        <v>539</v>
      </c>
      <c r="C76" s="20"/>
      <c r="D76" s="20"/>
      <c r="E76" s="20"/>
      <c r="F76" s="40"/>
      <c r="G76" s="40"/>
    </row>
    <row r="77" spans="1:7" ht="15" customHeight="1">
      <c r="A77" s="19"/>
      <c r="B77" s="146" t="s">
        <v>540</v>
      </c>
      <c r="C77" s="20"/>
      <c r="D77" s="20"/>
      <c r="E77" s="20"/>
      <c r="F77" s="40"/>
      <c r="G77" s="40"/>
    </row>
    <row r="78" spans="1:7" ht="16.5" customHeight="1">
      <c r="A78" s="19"/>
      <c r="B78" s="20"/>
      <c r="C78" s="20"/>
      <c r="D78" s="20"/>
      <c r="E78" s="20"/>
      <c r="F78" s="40"/>
      <c r="G78" s="40"/>
    </row>
    <row r="79" spans="1:7" ht="21.95" customHeight="1">
      <c r="A79" s="19"/>
      <c r="B79" s="192" t="s">
        <v>541</v>
      </c>
      <c r="C79" s="162"/>
      <c r="D79" s="162"/>
      <c r="E79" s="162"/>
      <c r="F79" s="145"/>
      <c r="G79" s="145"/>
    </row>
    <row r="80" spans="1:7" ht="15" customHeight="1">
      <c r="A80" s="19"/>
      <c r="B80" s="146" t="s">
        <v>542</v>
      </c>
      <c r="C80" s="20"/>
      <c r="D80" s="20"/>
      <c r="E80" s="20"/>
      <c r="F80" s="40"/>
      <c r="G80" s="40"/>
    </row>
    <row r="81" spans="1:7" ht="16.5" customHeight="1">
      <c r="A81" s="19"/>
      <c r="B81" s="20"/>
      <c r="C81" s="20"/>
      <c r="D81" s="20"/>
      <c r="E81" s="20"/>
      <c r="F81" s="40"/>
      <c r="G81" s="40"/>
    </row>
    <row r="82" spans="1:7" ht="15" customHeight="1">
      <c r="A82" s="19"/>
      <c r="B82" s="147" t="s">
        <v>543</v>
      </c>
      <c r="C82" s="20"/>
      <c r="D82" s="20"/>
      <c r="E82" s="20"/>
      <c r="F82" s="40"/>
      <c r="G82" s="40"/>
    </row>
    <row r="83" spans="1:7" ht="23.25" customHeight="1">
      <c r="A83" s="19"/>
      <c r="B83" s="146" t="s">
        <v>544</v>
      </c>
      <c r="C83" s="20"/>
      <c r="D83" s="20"/>
      <c r="E83" s="20"/>
      <c r="F83" s="40"/>
      <c r="G83" s="40"/>
    </row>
    <row r="84" spans="1:7" ht="15" customHeight="1">
      <c r="A84" s="19"/>
      <c r="B84" s="146" t="s">
        <v>545</v>
      </c>
      <c r="C84" s="20"/>
      <c r="D84" s="20"/>
      <c r="E84" s="20"/>
      <c r="F84" s="40"/>
      <c r="G84" s="40"/>
    </row>
    <row r="85" spans="1:7" ht="16.5" customHeight="1">
      <c r="A85" s="19"/>
      <c r="B85" s="20"/>
      <c r="C85" s="20"/>
      <c r="D85" s="20"/>
      <c r="E85" s="20"/>
      <c r="F85" s="40"/>
      <c r="G85" s="40"/>
    </row>
    <row r="86" spans="1:7" ht="15" customHeight="1">
      <c r="A86" s="19"/>
      <c r="B86" s="147" t="s">
        <v>546</v>
      </c>
      <c r="C86" s="20"/>
      <c r="D86" s="20"/>
      <c r="E86" s="20"/>
      <c r="F86" s="40"/>
      <c r="G86" s="40"/>
    </row>
    <row r="87" spans="1:7" ht="15" customHeight="1">
      <c r="A87" s="19"/>
      <c r="B87" s="146" t="s">
        <v>547</v>
      </c>
      <c r="C87" s="20"/>
      <c r="D87" s="20"/>
      <c r="E87" s="20"/>
      <c r="F87" s="40"/>
      <c r="G87" s="40"/>
    </row>
    <row r="88" spans="1:7" ht="15" customHeight="1">
      <c r="A88" s="19"/>
      <c r="B88" s="146" t="s">
        <v>548</v>
      </c>
      <c r="C88" s="20"/>
      <c r="D88" s="20"/>
      <c r="E88" s="20"/>
      <c r="F88" s="40"/>
      <c r="G88" s="40"/>
    </row>
    <row r="89" spans="1:7" ht="15" customHeight="1">
      <c r="A89" s="19"/>
      <c r="B89" s="146" t="s">
        <v>549</v>
      </c>
      <c r="C89" s="20"/>
      <c r="D89" s="20"/>
      <c r="E89" s="20"/>
      <c r="F89" s="40"/>
      <c r="G89" s="40"/>
    </row>
    <row r="90" spans="1:7" ht="15" customHeight="1">
      <c r="A90" s="19"/>
      <c r="B90" s="146" t="s">
        <v>550</v>
      </c>
      <c r="C90" s="20"/>
      <c r="D90" s="20"/>
      <c r="E90" s="20"/>
      <c r="F90" s="40"/>
      <c r="G90" s="40"/>
    </row>
    <row r="91" spans="1:7" ht="15" customHeight="1">
      <c r="A91" s="19"/>
      <c r="B91" s="146" t="s">
        <v>551</v>
      </c>
      <c r="C91" s="20"/>
      <c r="D91" s="20"/>
      <c r="E91" s="20"/>
      <c r="F91" s="40"/>
      <c r="G91" s="40"/>
    </row>
    <row r="92" spans="1:7" ht="16.5" customHeight="1">
      <c r="A92" s="19"/>
      <c r="B92" s="20"/>
      <c r="C92" s="20"/>
      <c r="D92" s="20"/>
      <c r="E92" s="20"/>
      <c r="F92" s="40"/>
      <c r="G92" s="40"/>
    </row>
    <row r="93" spans="1:7" ht="15" customHeight="1">
      <c r="A93" s="19"/>
      <c r="B93" s="147" t="s">
        <v>552</v>
      </c>
      <c r="C93" s="20"/>
      <c r="D93" s="20"/>
      <c r="E93" s="20"/>
      <c r="F93" s="40"/>
      <c r="G93" s="40"/>
    </row>
    <row r="94" spans="1:7" ht="15" customHeight="1">
      <c r="A94" s="19"/>
      <c r="B94" s="146" t="s">
        <v>553</v>
      </c>
      <c r="C94" s="20"/>
      <c r="D94" s="20"/>
      <c r="E94" s="20"/>
      <c r="F94" s="40"/>
      <c r="G94" s="40"/>
    </row>
    <row r="95" spans="1:7" ht="15" customHeight="1">
      <c r="A95" s="19"/>
      <c r="B95" s="146" t="s">
        <v>554</v>
      </c>
      <c r="C95" s="20"/>
      <c r="D95" s="20"/>
      <c r="E95" s="20"/>
      <c r="F95" s="40"/>
      <c r="G95" s="40"/>
    </row>
    <row r="96" spans="1:7" ht="15" customHeight="1">
      <c r="A96" s="19"/>
      <c r="B96" s="146" t="s">
        <v>555</v>
      </c>
      <c r="C96" s="20"/>
      <c r="D96" s="20"/>
      <c r="E96" s="20"/>
      <c r="F96" s="40"/>
      <c r="G96" s="40"/>
    </row>
    <row r="97" spans="1:7" ht="16.5" customHeight="1">
      <c r="A97" s="19"/>
      <c r="B97" s="20"/>
      <c r="C97" s="20"/>
      <c r="D97" s="20"/>
      <c r="E97" s="20"/>
      <c r="F97" s="40"/>
      <c r="G97" s="40"/>
    </row>
    <row r="98" spans="1:7" ht="21.95" customHeight="1">
      <c r="A98" s="19"/>
      <c r="B98" s="192" t="s">
        <v>556</v>
      </c>
      <c r="C98" s="162"/>
      <c r="D98" s="162"/>
      <c r="E98" s="162"/>
      <c r="F98" s="145"/>
      <c r="G98" s="145"/>
    </row>
    <row r="99" spans="1:7" ht="15" customHeight="1">
      <c r="A99" s="19"/>
      <c r="B99" s="146" t="s">
        <v>557</v>
      </c>
      <c r="C99" s="20"/>
      <c r="D99" s="20"/>
      <c r="E99" s="20"/>
      <c r="F99" s="40"/>
      <c r="G99" s="40"/>
    </row>
    <row r="100" spans="1:7" ht="16.5" customHeight="1">
      <c r="A100" s="19"/>
      <c r="B100" s="20"/>
      <c r="C100" s="20"/>
      <c r="D100" s="20"/>
      <c r="E100" s="20"/>
      <c r="F100" s="40"/>
      <c r="G100" s="40"/>
    </row>
    <row r="101" spans="1:7" ht="23.25" customHeight="1">
      <c r="A101" s="19"/>
      <c r="B101" s="146" t="s">
        <v>558</v>
      </c>
      <c r="C101" s="20"/>
      <c r="D101" s="20"/>
      <c r="E101" s="20"/>
      <c r="F101" s="40"/>
      <c r="G101" s="40"/>
    </row>
    <row r="102" spans="1:7" ht="16.5" customHeight="1">
      <c r="A102" s="19"/>
      <c r="B102" s="20"/>
      <c r="C102" s="20"/>
      <c r="D102" s="20"/>
      <c r="E102" s="20"/>
      <c r="F102" s="40"/>
      <c r="G102" s="40"/>
    </row>
    <row r="103" spans="1:7" ht="23.25" customHeight="1">
      <c r="A103" s="19"/>
      <c r="B103" s="146" t="s">
        <v>559</v>
      </c>
      <c r="C103" s="20"/>
      <c r="D103" s="20"/>
      <c r="E103" s="20"/>
      <c r="F103" s="40"/>
      <c r="G103" s="40"/>
    </row>
    <row r="104" spans="1:7" ht="16.5" customHeight="1">
      <c r="A104" s="19"/>
      <c r="B104" s="20"/>
      <c r="C104" s="20"/>
      <c r="D104" s="20"/>
      <c r="E104" s="20"/>
      <c r="F104" s="40"/>
      <c r="G104" s="40"/>
    </row>
    <row r="105" spans="1:7" ht="23.25" customHeight="1">
      <c r="A105" s="19"/>
      <c r="B105" s="146" t="s">
        <v>560</v>
      </c>
      <c r="C105" s="20"/>
      <c r="D105" s="20"/>
      <c r="E105" s="20"/>
      <c r="F105" s="40"/>
      <c r="G105" s="40"/>
    </row>
    <row r="106" spans="1:7" ht="16.5" customHeight="1">
      <c r="A106" s="19"/>
      <c r="B106" s="20"/>
      <c r="C106" s="20"/>
      <c r="D106" s="20"/>
      <c r="E106" s="20"/>
      <c r="F106" s="40"/>
      <c r="G106" s="40"/>
    </row>
    <row r="107" spans="1:7" ht="15" customHeight="1">
      <c r="A107" s="19"/>
      <c r="B107" s="146" t="s">
        <v>561</v>
      </c>
      <c r="C107" s="20"/>
      <c r="D107" s="20"/>
      <c r="E107" s="20"/>
      <c r="F107" s="40"/>
      <c r="G107" s="40"/>
    </row>
    <row r="108" spans="1:7" ht="16.5" customHeight="1">
      <c r="A108" s="19"/>
      <c r="B108" s="20"/>
      <c r="C108" s="20"/>
      <c r="D108" s="20"/>
      <c r="E108" s="20"/>
      <c r="F108" s="40"/>
      <c r="G108" s="40"/>
    </row>
    <row r="109" spans="1:7" ht="23.25" customHeight="1">
      <c r="A109" s="19"/>
      <c r="B109" s="146" t="s">
        <v>562</v>
      </c>
      <c r="C109" s="20"/>
      <c r="D109" s="20"/>
      <c r="E109" s="20"/>
      <c r="F109" s="40"/>
      <c r="G109" s="40"/>
    </row>
    <row r="110" spans="1:7" ht="16.5" customHeight="1">
      <c r="A110" s="19"/>
      <c r="B110" s="20"/>
      <c r="C110" s="20"/>
      <c r="D110" s="20"/>
      <c r="E110" s="20"/>
      <c r="F110" s="40"/>
      <c r="G110" s="40"/>
    </row>
    <row r="111" spans="1:7" ht="21.95" customHeight="1">
      <c r="A111" s="19"/>
      <c r="B111" s="192" t="s">
        <v>563</v>
      </c>
      <c r="C111" s="162"/>
      <c r="D111" s="162"/>
      <c r="E111" s="162"/>
      <c r="F111" s="145"/>
      <c r="G111" s="145"/>
    </row>
    <row r="112" spans="1:7" ht="23.25" customHeight="1">
      <c r="A112" s="19"/>
      <c r="B112" s="146" t="s">
        <v>564</v>
      </c>
      <c r="C112" s="20"/>
      <c r="D112" s="20"/>
      <c r="E112" s="20"/>
      <c r="F112" s="40"/>
      <c r="G112" s="40"/>
    </row>
    <row r="113" spans="1:7" ht="16.5" customHeight="1">
      <c r="A113" s="19"/>
      <c r="B113" s="20"/>
      <c r="C113" s="20"/>
      <c r="D113" s="20"/>
      <c r="E113" s="20"/>
      <c r="F113" s="40"/>
      <c r="G113" s="40"/>
    </row>
    <row r="114" spans="1:7" ht="21.95" customHeight="1">
      <c r="A114" s="19"/>
      <c r="B114" s="192" t="s">
        <v>565</v>
      </c>
      <c r="C114" s="162"/>
      <c r="D114" s="162"/>
      <c r="E114" s="162"/>
      <c r="F114" s="145"/>
      <c r="G114" s="145"/>
    </row>
    <row r="115" spans="1:7" ht="34.5" customHeight="1">
      <c r="A115" s="19"/>
      <c r="B115" s="146" t="s">
        <v>566</v>
      </c>
      <c r="C115" s="20"/>
      <c r="D115" s="20"/>
      <c r="E115" s="20"/>
      <c r="F115" s="40"/>
      <c r="G115" s="40"/>
    </row>
    <row r="116" spans="1:7" ht="16.5" customHeight="1">
      <c r="A116" s="19"/>
      <c r="B116" s="20"/>
      <c r="C116" s="20"/>
      <c r="D116" s="20"/>
      <c r="E116" s="20"/>
      <c r="F116" s="40"/>
      <c r="G116" s="40"/>
    </row>
    <row r="117" spans="1:7" ht="23.25" customHeight="1">
      <c r="A117" s="19"/>
      <c r="B117" s="146" t="s">
        <v>567</v>
      </c>
      <c r="C117" s="20"/>
      <c r="D117" s="20"/>
      <c r="E117" s="20"/>
      <c r="F117" s="40"/>
      <c r="G117" s="40"/>
    </row>
    <row r="118" spans="1:7" ht="16.5" customHeight="1">
      <c r="A118" s="19"/>
      <c r="B118" s="20"/>
      <c r="C118" s="20"/>
      <c r="D118" s="20"/>
      <c r="E118" s="20"/>
      <c r="F118" s="40"/>
      <c r="G118" s="40"/>
    </row>
    <row r="119" spans="1:7" ht="21.95" customHeight="1">
      <c r="A119" s="19"/>
      <c r="B119" s="192" t="s">
        <v>568</v>
      </c>
      <c r="C119" s="162"/>
      <c r="D119" s="162"/>
      <c r="E119" s="162"/>
      <c r="F119" s="145"/>
      <c r="G119" s="145"/>
    </row>
    <row r="120" spans="1:7" ht="23.25" customHeight="1">
      <c r="A120" s="19"/>
      <c r="B120" s="146" t="s">
        <v>569</v>
      </c>
      <c r="C120" s="20"/>
      <c r="D120" s="20"/>
      <c r="E120" s="20"/>
      <c r="F120" s="40"/>
      <c r="G120" s="40"/>
    </row>
    <row r="121" spans="1:7" ht="16.5" customHeight="1">
      <c r="A121" s="19"/>
      <c r="B121" s="20"/>
      <c r="C121" s="20"/>
      <c r="D121" s="20"/>
      <c r="E121" s="20"/>
      <c r="F121" s="40"/>
      <c r="G121" s="40"/>
    </row>
    <row r="122" spans="1:7" ht="23.25" customHeight="1">
      <c r="A122" s="19"/>
      <c r="B122" s="146" t="s">
        <v>570</v>
      </c>
      <c r="C122" s="20"/>
      <c r="D122" s="20"/>
      <c r="E122" s="20"/>
      <c r="F122" s="40"/>
      <c r="G122" s="40"/>
    </row>
    <row r="123" spans="1:7" ht="16.5" customHeight="1">
      <c r="A123" s="19"/>
      <c r="B123" s="20"/>
      <c r="C123" s="20"/>
      <c r="D123" s="20"/>
      <c r="E123" s="20"/>
      <c r="F123" s="40"/>
      <c r="G123" s="40"/>
    </row>
    <row r="124" spans="1:7" ht="23.25" customHeight="1">
      <c r="A124" s="19"/>
      <c r="B124" s="146" t="s">
        <v>571</v>
      </c>
      <c r="C124" s="20"/>
      <c r="D124" s="20"/>
      <c r="E124" s="20"/>
      <c r="F124" s="40"/>
      <c r="G124" s="40"/>
    </row>
    <row r="125" spans="1:7" ht="16.5" customHeight="1">
      <c r="A125" s="19"/>
      <c r="B125" s="20"/>
      <c r="C125" s="20"/>
      <c r="D125" s="20"/>
      <c r="E125" s="20"/>
      <c r="F125" s="40"/>
      <c r="G125" s="40"/>
    </row>
    <row r="126" spans="1:7" ht="21.95" customHeight="1">
      <c r="A126" s="19"/>
      <c r="B126" s="192" t="s">
        <v>572</v>
      </c>
      <c r="C126" s="162"/>
      <c r="D126" s="162"/>
      <c r="E126" s="162"/>
      <c r="F126" s="145"/>
      <c r="G126" s="145"/>
    </row>
    <row r="127" spans="1:7" ht="16.5" customHeight="1">
      <c r="A127" s="19"/>
      <c r="B127" s="20"/>
      <c r="C127" s="20"/>
      <c r="D127" s="20"/>
      <c r="E127" s="20"/>
      <c r="F127" s="40"/>
      <c r="G127" s="40"/>
    </row>
    <row r="128" spans="1:7" ht="15" customHeight="1">
      <c r="A128" s="19"/>
      <c r="B128" s="146" t="s">
        <v>573</v>
      </c>
      <c r="C128" s="20"/>
      <c r="D128" s="20"/>
      <c r="E128" s="20"/>
      <c r="F128" s="40"/>
      <c r="G128" s="40"/>
    </row>
    <row r="129" spans="1:7" ht="15" customHeight="1">
      <c r="A129" s="19"/>
      <c r="B129" s="146" t="s">
        <v>574</v>
      </c>
      <c r="C129" s="20"/>
      <c r="D129" s="20"/>
      <c r="E129" s="20"/>
      <c r="F129" s="40"/>
      <c r="G129" s="40"/>
    </row>
    <row r="130" spans="1:7" ht="16.5" customHeight="1">
      <c r="A130" s="19"/>
      <c r="B130" s="20"/>
      <c r="C130" s="20"/>
      <c r="D130" s="20"/>
      <c r="E130" s="20"/>
      <c r="F130" s="40"/>
      <c r="G130" s="40"/>
    </row>
    <row r="131" spans="1:7" ht="23.25" customHeight="1">
      <c r="A131" s="19"/>
      <c r="B131" s="146" t="s">
        <v>575</v>
      </c>
      <c r="C131" s="20"/>
      <c r="D131" s="20"/>
      <c r="E131" s="20"/>
      <c r="F131" s="40"/>
      <c r="G131" s="40"/>
    </row>
    <row r="132" spans="1:7" ht="16.5" customHeight="1">
      <c r="A132" s="19"/>
      <c r="B132" s="20"/>
      <c r="C132" s="20"/>
      <c r="D132" s="20"/>
      <c r="E132" s="20"/>
      <c r="F132" s="40"/>
      <c r="G132" s="40"/>
    </row>
    <row r="133" spans="1:7" ht="15" customHeight="1">
      <c r="A133" s="19"/>
      <c r="B133" s="147" t="s">
        <v>576</v>
      </c>
      <c r="C133" s="20"/>
      <c r="D133" s="20"/>
      <c r="E133" s="20"/>
      <c r="F133" s="40"/>
      <c r="G133" s="40"/>
    </row>
    <row r="134" spans="1:7" ht="34.5" customHeight="1">
      <c r="A134" s="19"/>
      <c r="B134" s="146" t="s">
        <v>577</v>
      </c>
      <c r="C134" s="20"/>
      <c r="D134" s="20"/>
      <c r="E134" s="20"/>
      <c r="F134" s="40"/>
      <c r="G134" s="40"/>
    </row>
    <row r="135" spans="1:7" ht="16.5" customHeight="1">
      <c r="A135" s="19"/>
      <c r="B135" s="20"/>
      <c r="C135" s="20"/>
      <c r="D135" s="20"/>
      <c r="E135" s="20"/>
      <c r="F135" s="40"/>
      <c r="G135" s="40"/>
    </row>
    <row r="136" spans="1:7" ht="15" customHeight="1">
      <c r="A136" s="19"/>
      <c r="B136" s="147" t="s">
        <v>578</v>
      </c>
      <c r="C136" s="20"/>
      <c r="D136" s="20"/>
      <c r="E136" s="20"/>
      <c r="F136" s="40"/>
      <c r="G136" s="40"/>
    </row>
    <row r="137" spans="1:7" ht="34.5" customHeight="1">
      <c r="A137" s="19"/>
      <c r="B137" s="146" t="s">
        <v>579</v>
      </c>
      <c r="C137" s="20"/>
      <c r="D137" s="20"/>
      <c r="E137" s="20"/>
      <c r="F137" s="40"/>
      <c r="G137" s="40"/>
    </row>
    <row r="138" spans="1:7" ht="16.5" customHeight="1">
      <c r="A138" s="19"/>
      <c r="B138" s="20"/>
      <c r="C138" s="20"/>
      <c r="D138" s="20"/>
      <c r="E138" s="20"/>
      <c r="F138" s="40"/>
      <c r="G138" s="40"/>
    </row>
    <row r="139" spans="1:7" ht="15" customHeight="1">
      <c r="A139" s="19"/>
      <c r="B139" s="147" t="s">
        <v>580</v>
      </c>
      <c r="C139" s="20"/>
      <c r="D139" s="20"/>
      <c r="E139" s="20"/>
      <c r="F139" s="40"/>
      <c r="G139" s="40"/>
    </row>
    <row r="140" spans="1:7" ht="23.25" customHeight="1">
      <c r="A140" s="19"/>
      <c r="B140" s="146" t="s">
        <v>581</v>
      </c>
      <c r="C140" s="20"/>
      <c r="D140" s="20"/>
      <c r="E140" s="20"/>
      <c r="F140" s="40"/>
      <c r="G140" s="40"/>
    </row>
    <row r="141" spans="1:7" ht="16.5" customHeight="1">
      <c r="A141" s="19"/>
      <c r="B141" s="20"/>
      <c r="C141" s="20"/>
      <c r="D141" s="20"/>
      <c r="E141" s="20"/>
      <c r="F141" s="40"/>
      <c r="G141" s="40"/>
    </row>
    <row r="142" spans="1:7" ht="15" customHeight="1">
      <c r="A142" s="19"/>
      <c r="B142" s="146" t="s">
        <v>582</v>
      </c>
      <c r="C142" s="20"/>
      <c r="D142" s="20"/>
      <c r="E142" s="20"/>
      <c r="F142" s="40"/>
      <c r="G142" s="40"/>
    </row>
    <row r="143" spans="1:7" ht="15" customHeight="1">
      <c r="A143" s="19"/>
      <c r="B143" s="146" t="s">
        <v>583</v>
      </c>
      <c r="C143" s="20"/>
      <c r="D143" s="20"/>
      <c r="E143" s="20"/>
      <c r="F143" s="40"/>
      <c r="G143" s="40"/>
    </row>
    <row r="144" spans="1:7" ht="15" customHeight="1">
      <c r="A144" s="19"/>
      <c r="B144" s="146" t="s">
        <v>584</v>
      </c>
      <c r="C144" s="20"/>
      <c r="D144" s="20"/>
      <c r="E144" s="20"/>
      <c r="F144" s="40"/>
      <c r="G144" s="40"/>
    </row>
    <row r="145" spans="1:7" ht="15" customHeight="1">
      <c r="A145" s="19"/>
      <c r="B145" s="146" t="s">
        <v>585</v>
      </c>
      <c r="C145" s="20"/>
      <c r="D145" s="20"/>
      <c r="E145" s="20"/>
      <c r="F145" s="40"/>
      <c r="G145" s="40"/>
    </row>
    <row r="146" spans="1:7" ht="15" customHeight="1">
      <c r="A146" s="19"/>
      <c r="B146" s="146" t="s">
        <v>586</v>
      </c>
      <c r="C146" s="20"/>
      <c r="D146" s="20"/>
      <c r="E146" s="20"/>
      <c r="F146" s="40"/>
      <c r="G146" s="40"/>
    </row>
    <row r="147" spans="1:7" ht="15" customHeight="1">
      <c r="A147" s="19"/>
      <c r="B147" s="146" t="s">
        <v>587</v>
      </c>
      <c r="C147" s="20"/>
      <c r="D147" s="20"/>
      <c r="E147" s="20"/>
      <c r="F147" s="40"/>
      <c r="G147" s="40"/>
    </row>
    <row r="148" spans="1:7" ht="16.5" customHeight="1">
      <c r="A148" s="19"/>
      <c r="B148" s="20"/>
      <c r="C148" s="20"/>
      <c r="D148" s="20"/>
      <c r="E148" s="20"/>
      <c r="F148" s="40"/>
      <c r="G148" s="40"/>
    </row>
    <row r="149" spans="1:7" ht="34.5" customHeight="1">
      <c r="A149" s="19"/>
      <c r="B149" s="146" t="s">
        <v>588</v>
      </c>
      <c r="C149" s="20"/>
      <c r="D149" s="20"/>
      <c r="E149" s="20"/>
      <c r="F149" s="40"/>
      <c r="G149" s="40"/>
    </row>
    <row r="150" spans="1:7" ht="16.5" customHeight="1">
      <c r="A150" s="19"/>
      <c r="B150" s="20"/>
      <c r="C150" s="20"/>
      <c r="D150" s="20"/>
      <c r="E150" s="20"/>
      <c r="F150" s="40"/>
      <c r="G150" s="40"/>
    </row>
    <row r="151" spans="1:7" ht="23.25" customHeight="1">
      <c r="A151" s="19"/>
      <c r="B151" s="146" t="s">
        <v>589</v>
      </c>
      <c r="C151" s="20"/>
      <c r="D151" s="20"/>
      <c r="E151" s="20"/>
      <c r="F151" s="40"/>
      <c r="G151" s="40"/>
    </row>
    <row r="152" spans="1:7" ht="16.5" customHeight="1">
      <c r="A152" s="19"/>
      <c r="B152" s="20"/>
      <c r="C152" s="20"/>
      <c r="D152" s="20"/>
      <c r="E152" s="20"/>
      <c r="F152" s="40"/>
      <c r="G152" s="40"/>
    </row>
    <row r="153" spans="1:7" ht="15" customHeight="1">
      <c r="A153" s="19"/>
      <c r="B153" s="147" t="s">
        <v>590</v>
      </c>
      <c r="C153" s="20"/>
      <c r="D153" s="20"/>
      <c r="E153" s="20"/>
      <c r="F153" s="40"/>
      <c r="G153" s="40"/>
    </row>
    <row r="154" spans="1:7" ht="15" customHeight="1">
      <c r="A154" s="19"/>
      <c r="B154" s="146" t="s">
        <v>591</v>
      </c>
      <c r="C154" s="20"/>
      <c r="D154" s="20"/>
      <c r="E154" s="20"/>
      <c r="F154" s="40"/>
      <c r="G154" s="40"/>
    </row>
    <row r="155" spans="1:7" ht="15" customHeight="1">
      <c r="A155" s="19"/>
      <c r="B155" s="146" t="s">
        <v>592</v>
      </c>
      <c r="C155" s="20"/>
      <c r="D155" s="20"/>
      <c r="E155" s="20"/>
      <c r="F155" s="40"/>
      <c r="G155" s="40"/>
    </row>
    <row r="156" spans="1:7" ht="15" customHeight="1">
      <c r="A156" s="19"/>
      <c r="B156" s="146" t="s">
        <v>593</v>
      </c>
      <c r="C156" s="20"/>
      <c r="D156" s="20"/>
      <c r="E156" s="20"/>
      <c r="F156" s="40"/>
      <c r="G156" s="40"/>
    </row>
    <row r="157" spans="1:7" ht="15" customHeight="1">
      <c r="A157" s="19"/>
      <c r="B157" s="146" t="s">
        <v>594</v>
      </c>
      <c r="C157" s="20"/>
      <c r="D157" s="20"/>
      <c r="E157" s="20"/>
      <c r="F157" s="40"/>
      <c r="G157" s="40"/>
    </row>
    <row r="158" spans="1:7" ht="15" customHeight="1">
      <c r="A158" s="19"/>
      <c r="B158" s="146" t="s">
        <v>595</v>
      </c>
      <c r="C158" s="20"/>
      <c r="D158" s="20"/>
      <c r="E158" s="20"/>
      <c r="F158" s="40"/>
      <c r="G158" s="40"/>
    </row>
    <row r="159" spans="1:7" ht="15" customHeight="1">
      <c r="A159" s="19"/>
      <c r="B159" s="146" t="s">
        <v>596</v>
      </c>
      <c r="C159" s="20"/>
      <c r="D159" s="20"/>
      <c r="E159" s="20"/>
      <c r="F159" s="40"/>
      <c r="G159" s="40"/>
    </row>
    <row r="160" spans="1:7" ht="15" customHeight="1">
      <c r="A160" s="19"/>
      <c r="B160" s="146" t="s">
        <v>597</v>
      </c>
      <c r="C160" s="20"/>
      <c r="D160" s="20"/>
      <c r="E160" s="20"/>
      <c r="F160" s="40"/>
      <c r="G160" s="40"/>
    </row>
    <row r="161" spans="1:7" ht="16.5" customHeight="1">
      <c r="A161" s="19"/>
      <c r="B161" s="20"/>
      <c r="C161" s="20"/>
      <c r="D161" s="20"/>
      <c r="E161" s="20"/>
      <c r="F161" s="40"/>
      <c r="G161" s="40"/>
    </row>
    <row r="162" spans="1:7" ht="23.25" customHeight="1">
      <c r="A162" s="19"/>
      <c r="B162" s="146" t="s">
        <v>598</v>
      </c>
      <c r="C162" s="20"/>
      <c r="D162" s="20"/>
      <c r="E162" s="20"/>
      <c r="F162" s="40"/>
      <c r="G162" s="40"/>
    </row>
    <row r="163" spans="1:7" ht="16.5" customHeight="1">
      <c r="A163" s="19"/>
      <c r="B163" s="20"/>
      <c r="C163" s="20"/>
      <c r="D163" s="20"/>
      <c r="E163" s="20"/>
      <c r="F163" s="40"/>
      <c r="G163" s="40"/>
    </row>
    <row r="164" spans="1:7" ht="15" customHeight="1">
      <c r="A164" s="19"/>
      <c r="B164" s="147" t="s">
        <v>599</v>
      </c>
      <c r="C164" s="20"/>
      <c r="D164" s="20"/>
      <c r="E164" s="20"/>
      <c r="F164" s="40"/>
      <c r="G164" s="40"/>
    </row>
    <row r="165" spans="1:7" ht="15" customHeight="1">
      <c r="A165" s="19"/>
      <c r="B165" s="146" t="s">
        <v>600</v>
      </c>
      <c r="C165" s="20"/>
      <c r="D165" s="20"/>
      <c r="E165" s="20"/>
      <c r="F165" s="40"/>
      <c r="G165" s="40"/>
    </row>
    <row r="166" spans="1:7" ht="24" customHeight="1">
      <c r="A166" s="19"/>
      <c r="B166" s="200" t="s">
        <v>601</v>
      </c>
      <c r="C166" s="150"/>
      <c r="D166" s="150"/>
      <c r="E166" s="150"/>
      <c r="F166" s="40"/>
      <c r="G166" s="40"/>
    </row>
    <row r="167" spans="1:7" ht="24" customHeight="1">
      <c r="A167" s="19"/>
      <c r="B167" s="200" t="s">
        <v>602</v>
      </c>
      <c r="C167" s="150"/>
      <c r="D167" s="150"/>
      <c r="E167" s="150"/>
      <c r="F167" s="40"/>
      <c r="G167" s="40"/>
    </row>
    <row r="168" spans="1:7" ht="16.5" customHeight="1">
      <c r="A168" s="19"/>
      <c r="B168" s="20"/>
      <c r="C168" s="20"/>
      <c r="D168" s="20"/>
      <c r="E168" s="20"/>
      <c r="F168" s="40"/>
      <c r="G168" s="40"/>
    </row>
    <row r="169" spans="1:7" ht="23.25" customHeight="1">
      <c r="A169" s="19"/>
      <c r="B169" s="146" t="s">
        <v>603</v>
      </c>
      <c r="C169" s="20"/>
      <c r="D169" s="20"/>
      <c r="E169" s="20"/>
      <c r="F169" s="40"/>
      <c r="G169" s="40"/>
    </row>
    <row r="170" spans="1:7">
      <c r="A170" s="39"/>
      <c r="B170" s="40"/>
      <c r="C170" s="40"/>
      <c r="D170" s="40"/>
      <c r="E170" s="40"/>
      <c r="F170" s="40"/>
      <c r="G170" s="40"/>
    </row>
    <row r="171" spans="1:7">
      <c r="A171" s="39"/>
      <c r="B171" s="40"/>
      <c r="C171" s="40"/>
      <c r="D171" s="40"/>
      <c r="E171" s="40"/>
      <c r="F171" s="40"/>
      <c r="G171" s="40"/>
    </row>
    <row r="172" spans="1:7">
      <c r="A172" s="39"/>
      <c r="B172" s="40"/>
      <c r="C172" s="40"/>
      <c r="D172" s="40"/>
      <c r="E172" s="40"/>
      <c r="F172" s="40"/>
      <c r="G172" s="40"/>
    </row>
    <row r="173" spans="1:7">
      <c r="A173" s="39"/>
      <c r="B173" s="40"/>
      <c r="C173" s="40"/>
      <c r="D173" s="40"/>
      <c r="E173" s="40"/>
      <c r="F173" s="40"/>
      <c r="G173" s="40"/>
    </row>
    <row r="174" spans="1:7">
      <c r="A174" s="39"/>
      <c r="B174" s="40"/>
      <c r="C174" s="40"/>
      <c r="D174" s="40"/>
      <c r="E174" s="40"/>
      <c r="F174" s="40"/>
      <c r="G174" s="40"/>
    </row>
    <row r="175" spans="1:7">
      <c r="A175" s="1"/>
    </row>
    <row r="176" spans="1:7">
      <c r="A176" s="1"/>
    </row>
    <row r="177" spans="1:1">
      <c r="A177" s="1"/>
    </row>
    <row r="178" spans="1:1">
      <c r="A178" s="1"/>
    </row>
    <row r="179" spans="1:1">
      <c r="A179" s="1"/>
    </row>
  </sheetData>
  <mergeCells count="16">
    <mergeCell ref="B166:E166"/>
    <mergeCell ref="B4:E4"/>
    <mergeCell ref="B119:E119"/>
    <mergeCell ref="B50:E50"/>
    <mergeCell ref="B167:E167"/>
    <mergeCell ref="B64:E64"/>
    <mergeCell ref="B7:E7"/>
    <mergeCell ref="B111:E111"/>
    <mergeCell ref="B10:E10"/>
    <mergeCell ref="B98:E98"/>
    <mergeCell ref="B114:E114"/>
    <mergeCell ref="B40:E40"/>
    <mergeCell ref="B79:E79"/>
    <mergeCell ref="B57:E57"/>
    <mergeCell ref="B71:E71"/>
    <mergeCell ref="B126:E126"/>
  </mergeCells>
  <hyperlinks>
    <hyperlink ref="A2" location="'Försättsblad'!A1" display="Försättsblad" xr:uid="{00000000-0004-0000-0900-000000000000}"/>
    <hyperlink ref="A3" location="'Översikt'!A1" display="Översikt" xr:uid="{00000000-0004-0000-0900-000001000000}"/>
    <hyperlink ref="A4" location="'Indata'!A1" display="Indata" xr:uid="{00000000-0004-0000-0900-000002000000}"/>
    <hyperlink ref="A5" location="'Kassaflöde'!A1" display="Kassaflöde" xr:uid="{00000000-0004-0000-0900-000003000000}"/>
    <hyperlink ref="A6" location="'Finansiering'!A1" display="Finansiering" xr:uid="{00000000-0004-0000-0900-000004000000}"/>
    <hyperlink ref="A7" location="'Resultat'!A1" display="Resultat" xr:uid="{00000000-0004-0000-0900-000005000000}"/>
    <hyperlink ref="A8" location="'Grafer'!A1" display="Grafer" xr:uid="{00000000-0004-0000-0900-000006000000}"/>
    <hyperlink ref="A9" location="'Lönsamhetskontroll'!A1" display="Lönsamhetskontroll" xr:uid="{00000000-0004-0000-0900-000007000000}"/>
    <hyperlink ref="A10" location="'Beräkningslogik'!A1" display="Beräkningslogik" xr:uid="{00000000-0004-0000-0900-000008000000}"/>
  </hyperlinks>
  <pageMargins left="0.4" right="0.4" top="0.5" bottom="0.5" header="0.511811023622047" footer="0.511811023622047"/>
  <pageSetup paperSize="9" fitToHeight="0"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Kalkylblad</vt:lpstr>
      </vt:variant>
      <vt:variant>
        <vt:i4>10</vt:i4>
      </vt:variant>
      <vt:variant>
        <vt:lpstr>Namngivna områden</vt:lpstr>
      </vt:variant>
      <vt:variant>
        <vt:i4>9</vt:i4>
      </vt:variant>
    </vt:vector>
  </HeadingPairs>
  <TitlesOfParts>
    <vt:vector size="19" baseType="lpstr">
      <vt:lpstr>Översikt</vt:lpstr>
      <vt:lpstr>Försättsblad</vt:lpstr>
      <vt:lpstr>Indata</vt:lpstr>
      <vt:lpstr>Kassaflöde</vt:lpstr>
      <vt:lpstr>Finansiering</vt:lpstr>
      <vt:lpstr>Resultat</vt:lpstr>
      <vt:lpstr>Grafer</vt:lpstr>
      <vt:lpstr>Lönsamhetskontroll</vt:lpstr>
      <vt:lpstr>Beräkningslogik</vt:lpstr>
      <vt:lpstr>Dokumentation</vt:lpstr>
      <vt:lpstr>Beräkningslogik!Utskriftsområde</vt:lpstr>
      <vt:lpstr>Dokumentation!Utskriftsområde</vt:lpstr>
      <vt:lpstr>Finansiering!Utskriftsområde</vt:lpstr>
      <vt:lpstr>Grafer!Utskriftsområde</vt:lpstr>
      <vt:lpstr>Indata!Utskriftsområde</vt:lpstr>
      <vt:lpstr>Kassaflöde!Utskriftsområde</vt:lpstr>
      <vt:lpstr>Lönsamhetskontroll!Utskriftsområde</vt:lpstr>
      <vt:lpstr>Resultat!Utskriftsområde</vt:lpstr>
      <vt:lpstr>Översikt!Utskriftsområde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Joakim Weimar</cp:lastModifiedBy>
  <dcterms:created xsi:type="dcterms:W3CDTF">2026-06-12T22:36:02Z</dcterms:created>
  <dcterms:modified xsi:type="dcterms:W3CDTF">2026-06-12T22:36:04Z</dcterms:modified>
</cp:coreProperties>
</file>