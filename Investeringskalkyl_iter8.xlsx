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Översikt" sheetId="1" state="visible" r:id="rId3"/>
    <sheet name="Indata" sheetId="2" state="visible" r:id="rId4"/>
    <sheet name="Kassaflöde" sheetId="3" state="visible" r:id="rId5"/>
    <sheet name="Finansiering" sheetId="4" state="visible" r:id="rId6"/>
    <sheet name="Resultat" sheetId="5" state="visible" r:id="rId7"/>
    <sheet name="Lönsamhetskontroll" sheetId="6" state="visible" r:id="rId8"/>
    <sheet name="Beräkningslogik" sheetId="7" state="visible" r:id="rId9"/>
    <sheet name="Dokumentation"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35" authorId="0">
      <text>
        <r>
          <rPr>
            <sz val="10"/>
            <rFont val="Arial"/>
            <family val="2"/>
          </rPr>
          <t xml:space="preserve">Används i undantagsfall för projekt där driftkostnaderna förväntas ligga över standard efter en viss tidpunkt. Lämna 0 % för standardprojekt.</t>
        </r>
      </text>
    </comment>
    <comment ref="F35" authorId="0">
      <text>
        <r>
          <rPr>
            <sz val="10"/>
            <rFont val="Arial"/>
            <family val="2"/>
          </rPr>
          <t xml:space="preserve">Används i undantagsfall för projekt där driftkostnaderna förväntas ligga över standard efter en viss tidpunkt. Lämna 0 % för standardprojekt.</t>
        </r>
      </text>
    </comment>
    <comment ref="H25" authorId="0">
      <text>
        <r>
          <rPr>
            <sz val="10"/>
            <rFont val="Arial"/>
            <family val="2"/>
          </rPr>
          <t xml:space="preserve">Hyrans indexandel av KPI. Default 70% enligt Lejonfastigheters hyresmodell. Avvikelser ska dokumenteras i avtalet.</t>
        </r>
      </text>
    </comment>
    <comment ref="M25" authorId="0">
      <text>
        <r>
          <rPr>
            <sz val="10"/>
            <rFont val="Arial"/>
            <family val="2"/>
          </rPr>
          <t xml:space="preserve">Hyra som används från avtalsslut till kalkylperiodens slut.
Tom eller 0: monopolmodell — samma kr/m² som under avtalet fortsätter.
Ifyllt: marknadshyra efter avtalsslut, för korta kommersiella avtal.</t>
        </r>
      </text>
    </comment>
  </commentList>
</comments>
</file>

<file path=xl/sharedStrings.xml><?xml version="1.0" encoding="utf-8"?>
<sst xmlns="http://schemas.openxmlformats.org/spreadsheetml/2006/main" count="511" uniqueCount="446">
  <si>
    <t xml:space="preserve">INVESTERINGSKALKYL — LEJONFASTIGHETER AB</t>
  </si>
  <si>
    <t xml:space="preserve">BINDANDE KRAVHYRA</t>
  </si>
  <si>
    <t xml:space="preserve">Årshyra (mål-utfall)</t>
  </si>
  <si>
    <t xml:space="preserve">Bindande krav</t>
  </si>
  <si>
    <t xml:space="preserve">Per kvm/år</t>
  </si>
  <si>
    <t xml:space="preserve">Total area</t>
  </si>
  <si>
    <t xml:space="preserve">Total investering</t>
  </si>
  <si>
    <t xml:space="preserve">Investering per kvm</t>
  </si>
  <si>
    <t xml:space="preserve">HYRESSPANN VID INVESTERINGSUTFALL</t>
  </si>
  <si>
    <t xml:space="preserve">Lägsta utfall (-X%)</t>
  </si>
  <si>
    <t xml:space="preserve">Mål-utfall (bindande)</t>
  </si>
  <si>
    <t xml:space="preserve">Högsta utfall (+X%)</t>
  </si>
  <si>
    <t xml:space="preserve">LÖNSAMHETSKRAV — STATUS VID BINDANDE KRAVHYRA</t>
  </si>
  <si>
    <t xml:space="preserve">1. NPV ≥ 0</t>
  </si>
  <si>
    <t xml:space="preserve">2. IRR EK ≥ avkastningskrav</t>
  </si>
  <si>
    <t xml:space="preserve">3. MV år N ≥ Bokfört värde år N</t>
  </si>
  <si>
    <t xml:space="preserve">Faktisk IRR EK</t>
  </si>
  <si>
    <t xml:space="preserve">Marginal mot krav</t>
  </si>
  <si>
    <t xml:space="preserve">INNEHÅLLSFÖRTECKNING</t>
  </si>
  <si>
    <t xml:space="preserve">Indata</t>
  </si>
  <si>
    <t xml:space="preserve">Inmatning</t>
  </si>
  <si>
    <t xml:space="preserve">Marknadsförutsättningar, investering, hyresobjekt, drift, finansiering. Allt som ska fyllas i innan kalkylen körs.</t>
  </si>
  <si>
    <t xml:space="preserve">Resultat</t>
  </si>
  <si>
    <t xml:space="preserve">Vad blir hyran?</t>
  </si>
  <si>
    <t xml:space="preserve">Kravhyra för de tre lönsamhetskraven, bindande hyra och fördelning per hus. Tre scenarier (lägsta/mål/högsta investeringsutfall).</t>
  </si>
  <si>
    <t xml:space="preserve">Kassaflöde</t>
  </si>
  <si>
    <t xml:space="preserve">Driftnetto år för år</t>
  </si>
  <si>
    <t xml:space="preserve">Driftnetto-projektion vid bindande hyra (bruttohyra → nettohyra → driftnetto) plus infasning under uppstartsår.</t>
  </si>
  <si>
    <t xml:space="preserve">Finansiering</t>
  </si>
  <si>
    <t xml:space="preserve">Lån och avskrivning</t>
  </si>
  <si>
    <t xml:space="preserve">Lånebild över kalkylperioden: upptaget lån, amortering, räntekostnad, eget kapital och avskrivning år för år.</t>
  </si>
  <si>
    <t xml:space="preserve">Lönsamhetskontroll</t>
  </si>
  <si>
    <t xml:space="preserve">Är kraven uppfyllda?</t>
  </si>
  <si>
    <t xml:space="preserve">Verifiering av de tre lönsamhetskraven, faktisk IRR EK och känslighetsanalys för exit-värdet.</t>
  </si>
  <si>
    <t xml:space="preserve">Beräkningslogik</t>
  </si>
  <si>
    <t xml:space="preserve">Hur räknar mallen?</t>
  </si>
  <si>
    <t xml:space="preserve">Pedagogisk förklaring av delta-metoden + de tekniska beräkningsblocken (A-F) som ligger bakom kravhyran.</t>
  </si>
  <si>
    <t xml:space="preserve">Dokumentation</t>
  </si>
  <si>
    <t xml:space="preserve">Varför så här?</t>
  </si>
  <si>
    <t xml:space="preserve">Designprinciper, val, paritetstest mot LM 371 och backlog för framtida utveckling.</t>
  </si>
  <si>
    <t xml:space="preserve">INDATA</t>
  </si>
  <si>
    <t xml:space="preserve">Fält med ljusblå bakgrund ska fyllas i.</t>
  </si>
  <si>
    <t xml:space="preserve">1. MARKNADS- OCH FASTIGHETSFÖRUTSÄTTNINGAR</t>
  </si>
  <si>
    <t xml:space="preserve">Kalkylstart (år)</t>
  </si>
  <si>
    <t xml:space="preserve">år</t>
  </si>
  <si>
    <t xml:space="preserve">Första året i kassaflödet</t>
  </si>
  <si>
    <t xml:space="preserve">Direktavkastning marknad</t>
  </si>
  <si>
    <t xml:space="preserve">%</t>
  </si>
  <si>
    <t xml:space="preserve">Avkastningskrav, från senaste värdering</t>
  </si>
  <si>
    <t xml:space="preserve">Kalkylränta driftnetto</t>
  </si>
  <si>
    <t xml:space="preserve">Företagets diskonteringsränta (NPV-kravet)</t>
  </si>
  <si>
    <t xml:space="preserve">Inflation</t>
  </si>
  <si>
    <t xml:space="preserve">Årlig KPI-uppräkning</t>
  </si>
  <si>
    <t xml:space="preserve">Kalkylränta restvärde</t>
  </si>
  <si>
    <t xml:space="preserve">Auto = direktavkastning + inflation</t>
  </si>
  <si>
    <t xml:space="preserve">Bolagsskatt</t>
  </si>
  <si>
    <t xml:space="preserve">För IRR-beräkning</t>
  </si>
  <si>
    <t xml:space="preserve">Långsiktig vakansnivå</t>
  </si>
  <si>
    <t xml:space="preserve">Default efter avtalsslut</t>
  </si>
  <si>
    <t xml:space="preserve">Momsregistreringsgrad före</t>
  </si>
  <si>
    <t xml:space="preserve">Momsregistreringsgrad efter</t>
  </si>
  <si>
    <t xml:space="preserve">2. INVESTERING OCH AVSKRIVNING</t>
  </si>
  <si>
    <t xml:space="preserve">Kalkylperiod</t>
  </si>
  <si>
    <t xml:space="preserve">Standard 20</t>
  </si>
  <si>
    <t xml:space="preserve">Byggnadsvärde (avskrivningsbas)</t>
  </si>
  <si>
    <t xml:space="preserve">kr</t>
  </si>
  <si>
    <t xml:space="preserve">Investering exkl. mark (påverkar avskrivning och IRR)</t>
  </si>
  <si>
    <t xml:space="preserve">Avskrivnings-% per år</t>
  </si>
  <si>
    <t xml:space="preserve">3% = 33 års livslängd</t>
  </si>
  <si>
    <t xml:space="preserve">Avskrivningstid</t>
  </si>
  <si>
    <t xml:space="preserve">Auto</t>
  </si>
  <si>
    <t xml:space="preserve">Fastighetsarea (mark)</t>
  </si>
  <si>
    <t xml:space="preserve">kvm</t>
  </si>
  <si>
    <t xml:space="preserve">Total markarea</t>
  </si>
  <si>
    <t xml:space="preserve">Markvärde</t>
  </si>
  <si>
    <t xml:space="preserve">kr/kvm</t>
  </si>
  <si>
    <t xml:space="preserve">För minsta markvärde</t>
  </si>
  <si>
    <t xml:space="preserve">Minsta markvärde (totalt)</t>
  </si>
  <si>
    <t xml:space="preserve">HYRESLÄGE</t>
  </si>
  <si>
    <t xml:space="preserve">Beräkna</t>
  </si>
  <si>
    <t xml:space="preserve">Beräkna = mallen räknar kravhyran. Ange = manuell (ej aktiv än)</t>
  </si>
  <si>
    <t xml:space="preserve">3. HYRESOBJEKT (upp till 5)</t>
  </si>
  <si>
    <t xml:space="preserve">Objektnamn</t>
  </si>
  <si>
    <t xml:space="preserve">Typ</t>
  </si>
  <si>
    <t xml:space="preserve">Bef area</t>
  </si>
  <si>
    <t xml:space="preserve">Nyb area</t>
  </si>
  <si>
    <t xml:space="preserve">Total</t>
  </si>
  <si>
    <t xml:space="preserve">(ej använd)</t>
  </si>
  <si>
    <t xml:space="preserve">Index</t>
  </si>
  <si>
    <t xml:space="preserve">Andel</t>
  </si>
  <si>
    <t xml:space="preserve">Avtalsstart</t>
  </si>
  <si>
    <t xml:space="preserve">Avtalsslut</t>
  </si>
  <si>
    <t xml:space="preserve">Hyra efter avtal</t>
  </si>
  <si>
    <t xml:space="preserve">Vakans%</t>
  </si>
  <si>
    <t xml:space="preserve">Prod start</t>
  </si>
  <si>
    <t xml:space="preserve">Prod slut</t>
  </si>
  <si>
    <t xml:space="preserve">Budget kr/kvm</t>
  </si>
  <si>
    <t xml:space="preserve">Investering</t>
  </si>
  <si>
    <t xml:space="preserve">Skola</t>
  </si>
  <si>
    <t xml:space="preserve">Nyb</t>
  </si>
  <si>
    <t xml:space="preserve">Summa</t>
  </si>
  <si>
    <t xml:space="preserve">ⓘ "Hyra efter avtal" (M) används endast efter avtalsslut. Lämna tomt för monopolmodell (samma kr/m² fortsätter). Fyll i för korta avtal. Se Dokumentation sektion 13.</t>
  </si>
  <si>
    <t xml:space="preserve">4. DRIFT OCH UNDERHÅLL (kr/kvm/år)</t>
  </si>
  <si>
    <t xml:space="preserve">Kostnadspost</t>
  </si>
  <si>
    <t xml:space="preserve">Befintligt</t>
  </si>
  <si>
    <t xml:space="preserve">Nybyggnad</t>
  </si>
  <si>
    <t xml:space="preserve">DoU-höjning från år 11</t>
  </si>
  <si>
    <t xml:space="preserve">Ytterligare höjning från år 16</t>
  </si>
  <si>
    <t xml:space="preserve">Fastighetsskötsel</t>
  </si>
  <si>
    <t xml:space="preserve">Reparationer</t>
  </si>
  <si>
    <t xml:space="preserve">Planerat underhåll</t>
  </si>
  <si>
    <t xml:space="preserve">Media</t>
  </si>
  <si>
    <t xml:space="preserve">Övriga förvaltningskostnader</t>
  </si>
  <si>
    <t xml:space="preserve">Summa drift</t>
  </si>
  <si>
    <t xml:space="preserve">5. RE-INVESTERING / HYRESATT UH</t>
  </si>
  <si>
    <t xml:space="preserve">Åtgärd</t>
  </si>
  <si>
    <t xml:space="preserve">Objekt</t>
  </si>
  <si>
    <t xml:space="preserve">År</t>
  </si>
  <si>
    <t xml:space="preserve">6. ÖVRIGA POSTER</t>
  </si>
  <si>
    <t xml:space="preserve">Central administration</t>
  </si>
  <si>
    <t xml:space="preserve">Schablon för bolagsoverhead. Default: Lejonfastigheters snitt 80 kr/m²</t>
  </si>
  <si>
    <t xml:space="preserve">Fastighetsskatt (% av taxv)</t>
  </si>
  <si>
    <t xml:space="preserve">Taxeringsvärde</t>
  </si>
  <si>
    <t xml:space="preserve">Tomträttsavgäld</t>
  </si>
  <si>
    <t xml:space="preserve">kr/år</t>
  </si>
  <si>
    <t xml:space="preserve">Bokfört värde (befintligt)</t>
  </si>
  <si>
    <t xml:space="preserve">Vid stora ombyggnader. Påverkar krav 3 (MV ≥ BV år N). 0 vid nybyggnation.</t>
  </si>
  <si>
    <t xml:space="preserve">Bokfört värde projektbelastning</t>
  </si>
  <si>
    <t xml:space="preserve">Eventuell extra belastning, t.ex. balanserade kostnader. 0 vid nybyggnation.</t>
  </si>
  <si>
    <t xml:space="preserve">7. FINANSIERING</t>
  </si>
  <si>
    <t xml:space="preserve">Byggnadskreditivränta</t>
  </si>
  <si>
    <t xml:space="preserve">Långsiktig ränta</t>
  </si>
  <si>
    <t xml:space="preserve">Amortering</t>
  </si>
  <si>
    <t xml:space="preserve">Belåningsgrad</t>
  </si>
  <si>
    <t xml:space="preserve">Lejonfastigheters snittbelåning</t>
  </si>
  <si>
    <t xml:space="preserve">Avkastningskrav eget kapital</t>
  </si>
  <si>
    <t xml:space="preserve">För IRR-kravet</t>
  </si>
  <si>
    <t xml:space="preserve">8. HYRESSPANN</t>
  </si>
  <si>
    <t xml:space="preserve">Intervall på investeringen (±)</t>
  </si>
  <si>
    <t xml:space="preserve">Hyresspannet beräknas för lägsta, mål och högsta utfall</t>
  </si>
  <si>
    <t xml:space="preserve">KASSAFLÖDE</t>
  </si>
  <si>
    <t xml:space="preserve">Kalenderår</t>
  </si>
  <si>
    <t xml:space="preserve">År i kalkyl</t>
  </si>
  <si>
    <t xml:space="preserve">Inom kalkylperiod</t>
  </si>
  <si>
    <t xml:space="preserve">Area Nyb (aktiv)</t>
  </si>
  <si>
    <t xml:space="preserve">Area Bef (aktiv)</t>
  </si>
  <si>
    <t xml:space="preserve">DRIFTNETTO-PROJEKTION vid bindande kravhyra</t>
  </si>
  <si>
    <t xml:space="preserve">Projektets driftnetto år för år vid den hyra mallen räknat fram. Detta är kassaflödet före finansiering — för bokföringsmässig vy med ränta och avskrivning, se Finansiering-fliken.</t>
  </si>
  <si>
    <t xml:space="preserve">Bindande kravhyra (kr/år)</t>
  </si>
  <si>
    <t xml:space="preserve">Bruttohyra</t>
  </si>
  <si>
    <t xml:space="preserve">  Vakans</t>
  </si>
  <si>
    <t xml:space="preserve">Nettohyra</t>
  </si>
  <si>
    <t xml:space="preserve">  Drift och underhåll</t>
  </si>
  <si>
    <t xml:space="preserve">  Fastighetsskatt</t>
  </si>
  <si>
    <t xml:space="preserve">  Tomträttsavgäld</t>
  </si>
  <si>
    <t xml:space="preserve">  Central administration</t>
  </si>
  <si>
    <t xml:space="preserve">DRIFTNETTO</t>
  </si>
  <si>
    <t xml:space="preserve">INFASNING — hyresintäkt under uppstart</t>
  </si>
  <si>
    <t xml:space="preserve">Vid mål-utfall och bindande kravhyra. Visar etappvis tillträde under uppstartsår.</t>
  </si>
  <si>
    <t xml:space="preserve">Andel av fullt flöde</t>
  </si>
  <si>
    <t xml:space="preserve">FINANSIERING</t>
  </si>
  <si>
    <t xml:space="preserve">LÅN, RÄNTA, AMORTERING, AVSKRIVNING</t>
  </si>
  <si>
    <t xml:space="preserve">Lånebild över kalkylperioden enligt finansieringsantagandena på Indata-fliken. Bokföringsmässig vy: avskrivning enligt linjär K3-metod över avskrivningstiden.</t>
  </si>
  <si>
    <t xml:space="preserve">Upptaget lån (år)</t>
  </si>
  <si>
    <t xml:space="preserve">Ack. upptaget lån</t>
  </si>
  <si>
    <t xml:space="preserve">Återstående skuld</t>
  </si>
  <si>
    <t xml:space="preserve">Räntenivå</t>
  </si>
  <si>
    <t xml:space="preserve">Räntekostnad</t>
  </si>
  <si>
    <t xml:space="preserve">Eget kapital-insats</t>
  </si>
  <si>
    <t xml:space="preserve">Avskrivning (per år)</t>
  </si>
  <si>
    <t xml:space="preserve">RESULTAT</t>
  </si>
  <si>
    <t xml:space="preserve">KRAVHYRA — PROJEKTETS ÅRSHYRA</t>
  </si>
  <si>
    <t xml:space="preserve">Investeringsutfall</t>
  </si>
  <si>
    <t xml:space="preserve">Lägsta (−X%)</t>
  </si>
  <si>
    <t xml:space="preserve">Mål</t>
  </si>
  <si>
    <t xml:space="preserve">Högsta (+X%)</t>
  </si>
  <si>
    <t xml:space="preserve">1. Kravhyra för NPV ≥ 0</t>
  </si>
  <si>
    <t xml:space="preserve">2. Kravhyra för IRR ≥ avkastningskrav</t>
  </si>
  <si>
    <t xml:space="preserve">3. Kravhyra för MV ≥ BV år N</t>
  </si>
  <si>
    <t xml:space="preserve">Bindande kravhyra</t>
  </si>
  <si>
    <t xml:space="preserve">Genomsnitt kr/m²/år (totalarea)</t>
  </si>
  <si>
    <t xml:space="preserve">Förklaring</t>
  </si>
  <si>
    <t xml:space="preserve">Bindande kravhyra = den lägsta årshyra som uppfyller alla tre lönsamhetskrav samtidigt. NPV, IRR och framtida marknadsvärde kontrolleras var för sig på fliken Lönsamhetskontroll.</t>
  </si>
  <si>
    <t xml:space="preserve">Tolkning</t>
  </si>
  <si>
    <t xml:space="preserve">FÖRDELNING PER HUS (VID MÅL-UTFALL)</t>
  </si>
  <si>
    <t xml:space="preserve">Årshyra (kr/år)</t>
  </si>
  <si>
    <t xml:space="preserve">Hyra kr/m²/år</t>
  </si>
  <si>
    <t xml:space="preserve">Tillträde</t>
  </si>
  <si>
    <t xml:space="preserve">Totalt</t>
  </si>
  <si>
    <t xml:space="preserve">LÖNSAMHETSKONTROLL</t>
  </si>
  <si>
    <t xml:space="preserve">Tre lönsamhetskrav vid mål-utfall och bindande kravhyra. Alla formler härleds direkt från Kassaflöde-fliken.</t>
  </si>
  <si>
    <t xml:space="preserve">1. NPV ≥ 0 (vid kalkylränta driftnetto)</t>
  </si>
  <si>
    <t xml:space="preserve">Kravhyra NPV (mål)</t>
  </si>
  <si>
    <t xml:space="preserve">NPV vid kravhyra NPV</t>
  </si>
  <si>
    <t xml:space="preserve">(ska vara ≈ 0)</t>
  </si>
  <si>
    <t xml:space="preserve">NPV vid bindande kravhyra</t>
  </si>
  <si>
    <t xml:space="preserve">2. IRR eget kapital ≥ avkastningskrav</t>
  </si>
  <si>
    <t xml:space="preserve">Kravhyra IRR (mål)</t>
  </si>
  <si>
    <t xml:space="preserve">NPV EK vid avk.krav, vid kravhyra IRR</t>
  </si>
  <si>
    <t xml:space="preserve">NPV EK vid bindande kravhyra</t>
  </si>
  <si>
    <t xml:space="preserve">3. Marknadsvärde år N ≥ bokfört värde år N</t>
  </si>
  <si>
    <t xml:space="preserve">Kalkylperiod (år N)</t>
  </si>
  <si>
    <t xml:space="preserve">Direktavkastning</t>
  </si>
  <si>
    <t xml:space="preserve">Byggnadsvärde (dag 1)</t>
  </si>
  <si>
    <t xml:space="preserve">Avskrivnings-%</t>
  </si>
  <si>
    <t xml:space="preserve">Bokfört värde år N</t>
  </si>
  <si>
    <t xml:space="preserve">Formel: (byggnadsv + bef BV + projbel) × (1 - N × avskr%)</t>
  </si>
  <si>
    <t xml:space="preserve">Driftnetto år N+1 vid bindande kravhyra</t>
  </si>
  <si>
    <t xml:space="preserve">Marknadsvärde år N (Gordon)</t>
  </si>
  <si>
    <t xml:space="preserve">Formel: driftnetto år N+1 / direktavkastning</t>
  </si>
  <si>
    <t xml:space="preserve">Differens (MV - BV)</t>
  </si>
  <si>
    <t xml:space="preserve">FAKTISK IRR (vid bindande kravhyra)</t>
  </si>
  <si>
    <t xml:space="preserve">EK-cashflow vid bindande kravhyra</t>
  </si>
  <si>
    <t xml:space="preserve">Avkastningskrav</t>
  </si>
  <si>
    <t xml:space="preserve">KÄNSLIGHETSANALYS — MARKNADSVÄRDE VID EXIT</t>
  </si>
  <si>
    <t xml:space="preserve">Hur sårbart är projektet om marknadsvärdet vid år N visar sig avvika från bedömningen? Bas-bedömningen är driftnetto år N+1 / direktavkastning.</t>
  </si>
  <si>
    <t xml:space="preserve">Scenario</t>
  </si>
  <si>
    <t xml:space="preserve">Marknadsvärde</t>
  </si>
  <si>
    <t xml:space="preserve">Diff mot BV</t>
  </si>
  <si>
    <t xml:space="preserve">IRR EK</t>
  </si>
  <si>
    <t xml:space="preserve">Status</t>
  </si>
  <si>
    <t xml:space="preserve">−40 %</t>
  </si>
  <si>
    <t xml:space="preserve">−30 %</t>
  </si>
  <si>
    <t xml:space="preserve">−20 %</t>
  </si>
  <si>
    <t xml:space="preserve">−10 %</t>
  </si>
  <si>
    <t xml:space="preserve">Bas</t>
  </si>
  <si>
    <t xml:space="preserve">+10 %</t>
  </si>
  <si>
    <t xml:space="preserve">+20 %</t>
  </si>
  <si>
    <t xml:space="preserve">BERÄKNINGSLOGIK — så fungerar mallens kärnberäkning</t>
  </si>
  <si>
    <t xml:space="preserve">Mallen löser kravhyran analytiskt utan iteration. Det är möjligt eftersom NPV är linjär i hyran — om hyran ökar med X kronor ändras NPV med X gånger en konstant. Genom att räkna NPV vid två hyresnivåer (0 och 1 Mkr/år) kan konstanten härledas och sedan används den för att lösa NPV = 0.</t>
  </si>
  <si>
    <t xml:space="preserve">STEG 1 — Två referenspunkter</t>
  </si>
  <si>
    <t xml:space="preserve">NPV vid årshyra = 0 kr</t>
  </si>
  <si>
    <t xml:space="preserve">(Kassaflöde C70)</t>
  </si>
  <si>
    <t xml:space="preserve">NPV vid årshyra = 1 000 000 kr</t>
  </si>
  <si>
    <t xml:space="preserve">(Kassaflöde C90)</t>
  </si>
  <si>
    <t xml:space="preserve">STEG 2 — Beräkna känsligheten</t>
  </si>
  <si>
    <t xml:space="preserve">Skillnad i NPV</t>
  </si>
  <si>
    <t xml:space="preserve">(per 1 Mkr hyra)</t>
  </si>
  <si>
    <t xml:space="preserve">Känslighet b (per kr hyra)</t>
  </si>
  <si>
    <t xml:space="preserve">(Kassaflöde C91)</t>
  </si>
  <si>
    <t xml:space="preserve">STEG 3 — Lös ekvationen NPV(hyra) = 0</t>
  </si>
  <si>
    <t xml:space="preserve">Modell: NPV = NPV_0 + b × hyra</t>
  </si>
  <si>
    <t xml:space="preserve">Sätter NPV = 0 → hyra = −NPV_0 / b</t>
  </si>
  <si>
    <t xml:space="preserve">Kontroll mot Resultat</t>
  </si>
  <si>
    <t xml:space="preserve">(ska vara samma som C18)</t>
  </si>
  <si>
    <t xml:space="preserve">SAMMA PRINCIP FÖR ALLA TRE LÖNSAMHETSKRAVEN</t>
  </si>
  <si>
    <t xml:space="preserve">Krav</t>
  </si>
  <si>
    <t xml:space="preserve">Beräknad kravhyra</t>
  </si>
  <si>
    <t xml:space="preserve">Block i Kassaflöde</t>
  </si>
  <si>
    <t xml:space="preserve">Block A (rad 10–70) + Block B (rad 72–91)</t>
  </si>
  <si>
    <t xml:space="preserve">Block C (rad 100–110) + D (rad 115–128) + E (rad 130–144)</t>
  </si>
  <si>
    <t xml:space="preserve">3. MV ≥ BV år N</t>
  </si>
  <si>
    <t xml:space="preserve">Block F (rad 148–156)</t>
  </si>
  <si>
    <t xml:space="preserve">VARFÖR METODEN ÄR EKVIVALENT MED ITERATIV MÅLSÖKNING</t>
  </si>
  <si>
    <t xml:space="preserve">Iterativ målsökning (Excel Goal Seek) startar med en gissning, räknar NPV, justerar gissningen, räknar igen, och fortsätter tills NPV är tillräckligt nära noll. Det är långsamt och fungerar inte automatiskt vid scenarier.</t>
  </si>
  <si>
    <t xml:space="preserve">Den linjära metoden använder samma underliggande matematik men löser ekvationen i ett enda steg. Eftersom NPV(hyra) = NPV_0 + b × hyra är en rät linje räcker det med två punkter för att hitta var den korsar noll. Resultatet är exakt — inte en approximation.</t>
  </si>
  <si>
    <t xml:space="preserve">Fördelar:</t>
  </si>
  <si>
    <t xml:space="preserve">  • En enda omberäkning räcker — ingen iteration</t>
  </si>
  <si>
    <t xml:space="preserve">  • Tre scenarier (låg/mål/hög) räknas automatiskt</t>
  </si>
  <si>
    <t xml:space="preserve">  • Tre lönsamhetskrav räknas parallellt med samma metod</t>
  </si>
  <si>
    <t xml:space="preserve">  • Resultaten är exakta, inte avrundade approximationer</t>
  </si>
  <si>
    <t xml:space="preserve">TEKNISKA BERÄKNINGSBLOCK — räknemekanik bakom kravhyran</t>
  </si>
  <si>
    <t xml:space="preserve">Här ligger de delberäkningar mallen använder för att lösa kravhyran. De är inte projektets riktiga kassaflöde — det visas på Kassaflöde-fliken.</t>
  </si>
  <si>
    <t xml:space="preserve">BLOCK A — Bas-kassaflöde vid årshyra = 0</t>
  </si>
  <si>
    <t xml:space="preserve">Intäkt objekt 1 (vid 0 hyra)</t>
  </si>
  <si>
    <t xml:space="preserve">Intäkt objekt 2 (vid 0 hyra)</t>
  </si>
  <si>
    <t xml:space="preserve">Intäkt objekt 3 (vid 0 hyra)</t>
  </si>
  <si>
    <t xml:space="preserve">Intäkt objekt 4 (vid 0 hyra)</t>
  </si>
  <si>
    <t xml:space="preserve">Intäkt objekt 5 (vid 0 hyra)</t>
  </si>
  <si>
    <t xml:space="preserve">Vakans</t>
  </si>
  <si>
    <t xml:space="preserve">KOSTNADER</t>
  </si>
  <si>
    <t xml:space="preserve">Övriga förv.kost.</t>
  </si>
  <si>
    <t xml:space="preserve">Re-investering / hyresatt UH</t>
  </si>
  <si>
    <t xml:space="preserve">Summa drift och underhåll</t>
  </si>
  <si>
    <t xml:space="preserve">Fastighetsskatt</t>
  </si>
  <si>
    <t xml:space="preserve">DRIFTNETTO (efter drift, skatt, CA)</t>
  </si>
  <si>
    <t xml:space="preserve">  varav central administration</t>
  </si>
  <si>
    <t xml:space="preserve">Driftnetto exkl. re-inv (för Gordon)</t>
  </si>
  <si>
    <t xml:space="preserve">PV driftnetto (kalkylränta C7)</t>
  </si>
  <si>
    <t xml:space="preserve">NPV vid 0 hyra (kalkylränta C7)</t>
  </si>
  <si>
    <t xml:space="preserve">Produktionsavslut (senaste)</t>
  </si>
  <si>
    <t xml:space="preserve">PV Driftnetto vid 0 hyra</t>
  </si>
  <si>
    <t xml:space="preserve">Restvärde (Gordon) vid 0 hyra</t>
  </si>
  <si>
    <t xml:space="preserve">PV Restvärde vid 0 hyra</t>
  </si>
  <si>
    <t xml:space="preserve">PV Investering</t>
  </si>
  <si>
    <t xml:space="preserve">NPV vid 0 hyra</t>
  </si>
  <si>
    <t xml:space="preserve">BLOCK B — Delta-intäkter vid årshyra = 1 Mkr (för b_NPV)</t>
  </si>
  <si>
    <t xml:space="preserve">Intäkt obj 1 (med 1 Mkr testhyra)</t>
  </si>
  <si>
    <t xml:space="preserve">Intäkt obj 2 (med 1 Mkr testhyra)</t>
  </si>
  <si>
    <t xml:space="preserve">Intäkt obj 3 (med 1 Mkr testhyra)</t>
  </si>
  <si>
    <t xml:space="preserve">Intäkt obj 4 (med 1 Mkr testhyra)</t>
  </si>
  <si>
    <t xml:space="preserve">Intäkt obj 5 (med 1 Mkr testhyra)</t>
  </si>
  <si>
    <t xml:space="preserve">Bruttohyra (delta)</t>
  </si>
  <si>
    <t xml:space="preserve">Vakans (delta)</t>
  </si>
  <si>
    <t xml:space="preserve">Nettohyra (delta)</t>
  </si>
  <si>
    <t xml:space="preserve">Driftnetto delta (efter drift, skatt, CA)</t>
  </si>
  <si>
    <t xml:space="preserve">Driftnetto exkl. re-inv (delta)</t>
  </si>
  <si>
    <t xml:space="preserve">PV per år (delta, C7)</t>
  </si>
  <si>
    <t xml:space="preserve">PV Driftnetto (delta)</t>
  </si>
  <si>
    <t xml:space="preserve">Restvärde (delta)</t>
  </si>
  <si>
    <t xml:space="preserve">PV Restvärde (delta)</t>
  </si>
  <si>
    <t xml:space="preserve">NPV vid 1 Mkr hyra</t>
  </si>
  <si>
    <t xml:space="preserve">b_NPV (ΔNPV per kr hyra)</t>
  </si>
  <si>
    <t xml:space="preserve">BLOCK D — EK-kassaflöde vid årshyra = 0 (IRR-kravet, bas)</t>
  </si>
  <si>
    <t xml:space="preserve">EBITA (vid 0 hyra)</t>
  </si>
  <si>
    <t xml:space="preserve">Resultat efter finans (vid 0 hyra)</t>
  </si>
  <si>
    <t xml:space="preserve">Bolagsskatt (vid 0 hyra)</t>
  </si>
  <si>
    <t xml:space="preserve">Resultat efter skatt (vid 0 hyra)</t>
  </si>
  <si>
    <t xml:space="preserve">Cashflow EK (vid 0 hyra)</t>
  </si>
  <si>
    <t xml:space="preserve">Exit-värde (marknadsvärde − skuld)</t>
  </si>
  <si>
    <t xml:space="preserve">Total cashflow EK (vid 0 hyra)</t>
  </si>
  <si>
    <t xml:space="preserve">PV EK-cashflow vid avkastningskrav (vid 0)</t>
  </si>
  <si>
    <t xml:space="preserve">NPV EK vid 0 hyra (för IRR-kravet)</t>
  </si>
  <si>
    <t xml:space="preserve">BLOCK E — EK-kassaflöde vid årshyra = 1 Mkr (IRR-kravet, delta)</t>
  </si>
  <si>
    <t xml:space="preserve">EBITA (vid 1 Mkr hyra)</t>
  </si>
  <si>
    <t xml:space="preserve">Resultat efter finans (vid 1 Mkr hyra)</t>
  </si>
  <si>
    <t xml:space="preserve">Bolagsskatt (vid 1 Mkr hyra)</t>
  </si>
  <si>
    <t xml:space="preserve">Resultat efter skatt (vid 1 Mkr hyra)</t>
  </si>
  <si>
    <t xml:space="preserve">Cashflow EK (vid 1 Mkr hyra)</t>
  </si>
  <si>
    <t xml:space="preserve">Exit-värde (vid 1 Mkr hyra)</t>
  </si>
  <si>
    <t xml:space="preserve">Total cashflow EK (vid 1 Mkr hyra)</t>
  </si>
  <si>
    <t xml:space="preserve">PV EK-cashflow vid avk.krav (vid 1 Mkr)</t>
  </si>
  <si>
    <t xml:space="preserve">NPV EK vid 1 Mkr hyra</t>
  </si>
  <si>
    <t xml:space="preserve">b_IRR (ΔNPV_EK per kr hyra)</t>
  </si>
  <si>
    <t xml:space="preserve">BLOCK F — Marknadsvärde-kravet</t>
  </si>
  <si>
    <t xml:space="preserve">Driftnetto år N+1 (vid 0 hyra)</t>
  </si>
  <si>
    <t xml:space="preserve">Driftnetto år N+1 (vid 1 Mkr hyra)</t>
  </si>
  <si>
    <t xml:space="preserve">b_MV (Δ driftnetto år N+1 per kr hyra)</t>
  </si>
  <si>
    <t xml:space="preserve">Marknadsvärde år N (vid 0 hyra)</t>
  </si>
  <si>
    <t xml:space="preserve">b_MV_värde (Δ marknadsvärde per kr hyra)</t>
  </si>
  <si>
    <t xml:space="preserve">Bokfört värde år N (inkl befintligt + projektbelastning)</t>
  </si>
  <si>
    <t xml:space="preserve">Kravhyra MV (hyra så MV = BV)</t>
  </si>
  <si>
    <t xml:space="preserve">DOKUMENTATION — Investeringskalkyl version 7</t>
  </si>
  <si>
    <t xml:space="preserve">April 2026. Ersätter LM 371.</t>
  </si>
  <si>
    <t xml:space="preserve">1. Syfte</t>
  </si>
  <si>
    <t xml:space="preserve">Mallen beräknar lönsamhetsgränsen (kravhyran) för investeringar i Lejonfastigheters fastigheter. Kravhyran är den lägsta årshyra som uppfyller alla tre lönsamhetskrav samtidigt. Hyresspannet (±10% på investeringen) blir ett intervall som skrivs in i avtalet.</t>
  </si>
  <si>
    <t xml:space="preserve">2. Grundprincip: en kalkyl = en hyresgäst = en verksamhet</t>
  </si>
  <si>
    <t xml:space="preserve">Mallen är byggd för EN hyresgäst och EN verksamhetstyp per fil. Vid projekt med flera hyresgäster (t.ex. vårdboende + förskola i samma hus) ska en separat kalkyl göras per hyresgäst. Gemensamma investeringar fördelas manuellt enligt BRA eller BTA innan beloppen matas in i respektive kalkyl.</t>
  </si>
  <si>
    <t xml:space="preserve">3. Tre lönsamhetskrav</t>
  </si>
  <si>
    <t xml:space="preserve">Kravhyran beräknas så att alla tre följande krav uppfylls simultant:</t>
  </si>
  <si>
    <t xml:space="preserve">KRAV 1 — NPV ≥ 0</t>
  </si>
  <si>
    <t xml:space="preserve">Projektets nuvärde över kalkylperioden, diskonterat till kalkylräntan för driftnetto (Indata C7), ska vara minst 0.</t>
  </si>
  <si>
    <t xml:space="preserve">Formel: NPV = Σ(driftnetto/(1+kalkylränta)^år) + PV restvärde + PV investering</t>
  </si>
  <si>
    <t xml:space="preserve">Rad på Kassaflöde: C70 (NPV vid 0 hyra), C91 (känslighet), Resultat D10 (kravhyra NPV)</t>
  </si>
  <si>
    <t xml:space="preserve">KRAV 2 — IRR eget kapital ≥ avkastningskrav</t>
  </si>
  <si>
    <t xml:space="preserve">Internräntan på eget kapital-kassaflödet ska vara minst avkastningskravet (Indata C65, default 6,3%). Eget kapital-kassaflödet beräknas med 37% belåning (default) och inkluderar räntekostnad, amortering, skatt, EK-insats och exit-värde.</t>
  </si>
  <si>
    <t xml:space="preserve">Exit-värde = marknadsvärde − återstående skuld</t>
  </si>
  <si>
    <t xml:space="preserve">Marknadsvärde = driftnetto år N+1 / direktavkastning (Gordon-modellen)</t>
  </si>
  <si>
    <t xml:space="preserve">Den tidigare 0,4/0,6-viktningen från LM 371 är borttagen. Se sektion 14 för det fullständiga resonemanget.</t>
  </si>
  <si>
    <t xml:space="preserve">Rad på Kassaflöde: C128 (NPV EK vid 0 hyra), C144 (b_IRR), Resultat D11 (kravhyra IRR)</t>
  </si>
  <si>
    <t xml:space="preserve">KRAV 3 — Marknadsvärde år N ≥ bokfört värde år N</t>
  </si>
  <si>
    <t xml:space="preserve">Vid kalkylperiodens slut ska marknadsvärdet (Gordon-modellen: driftnetto år N+1 / direktavkastning) vara minst lika med bokfört värde. Detta är nedskrivningskontrollen.</t>
  </si>
  <si>
    <t xml:space="preserve">Bokfört värde år N = (byggnadsvärde + befintligt BV + projektbelastning) × (1 − N × avskrivnings-%), golv = minsta markvärde.</t>
  </si>
  <si>
    <t xml:space="preserve">VID OMBYGGNADER: Indata C57 (befintligt bokfört värde) och C58 (projektbelastning) ackumuleras med ny investering. Detta är kritiskt vid stora investeringar i befintliga lokaler — om hyran inte stiger proportionellt med investeringen blir nedskrivningsrisken reell.</t>
  </si>
  <si>
    <t xml:space="preserve">VID NYBYGGNATION: Lämna C57 och C58 = 0. Bokfört värde är då bara den nya investeringen.</t>
  </si>
  <si>
    <t xml:space="preserve">Rad på Kassaflöde: C150-C156, Resultat D12 (kravhyra MV)</t>
  </si>
  <si>
    <t xml:space="preserve">Den BINDANDE kravhyran är MAX av de tre kraven. Fliken 'Lönsamhetskontroll' visar vilket krav som binder och verifierar att alla tre är uppfyllda vid den bindande hyran.</t>
  </si>
  <si>
    <t xml:space="preserve">4. H_total-modellen — proportionell fördelning per hus</t>
  </si>
  <si>
    <t xml:space="preserve">Istället för att mata in en bashyra per objekt räknar mallen med en gemensam 'projektets årshyra' som fördelas proportionellt mot investeringsandel:</t>
  </si>
  <si>
    <t xml:space="preserve">  andel_i = investering_i / total_investering</t>
  </si>
  <si>
    <t xml:space="preserve">  hyra_hus_i (kr/år) = andel_i × projektets årshyra</t>
  </si>
  <si>
    <t xml:space="preserve">  hyra_hus_i (kr/m²) = andel_i × projektets årshyra / area_i</t>
  </si>
  <si>
    <t xml:space="preserve">Detta ger olika kr/m² per hus när investering per kvm skiljer sig åt — rationalen är att varje krona investerad bär samma andel av totalkostnaden.</t>
  </si>
  <si>
    <t xml:space="preserve">Modellen är matematiskt ekvivalent med fallet 'en gemensam kr/kvm-nivå' när alla hus har samma kr/kvm investering. Den visar sin styrka vid etappvist tillträde och hus med olika investering per kvm.</t>
  </si>
  <si>
    <t xml:space="preserve">5. Infasning vid etappvist tillträde</t>
  </si>
  <si>
    <t xml:space="preserve">Varje hus genererar hyresintäkt från sitt tillträdesår (avtalsstart K-kolumnen). Före tillträde = 0. Efter tillträde = andel × projektets årshyra × indexuppräkning.</t>
  </si>
  <si>
    <t xml:space="preserve">Under infasningen 'betalar' varje hus sin tilldelade andel från dagen det tillträds. Totala intäktsflödet växer i steg vartefter hus läggs till.</t>
  </si>
  <si>
    <t xml:space="preserve">Vid projektslutreglering (sista huset klart) justeras årshyran till rätt nivå inom spannet baserat på faktiskt utfall. Alla hus-hyror räknas om proportionellt.</t>
  </si>
  <si>
    <t xml:space="preserve">6. Matematiken: analytisk lösning via delta-metoden</t>
  </si>
  <si>
    <t xml:space="preserve">NPV är linjär i årshyran. Därför räcker det att räkna NPV vid två hyresnivåer (0 och 1 Mkr) för att härleda hela känsligheten:</t>
  </si>
  <si>
    <t xml:space="preserve">  b = (NPV vid 1 Mkr − NPV vid 0) / 1 000 000</t>
  </si>
  <si>
    <t xml:space="preserve">  kravhyra = −NPV vid 0 / b</t>
  </si>
  <si>
    <t xml:space="preserve">Samma princip gäller för IRR-kravet (NPV EK diskonterad till avkastningskravet) och marknadsvärde-kravet (driftnetto år N+1 vs bokfört värde år N). Alla tre löses analytiskt utan iteration.</t>
  </si>
  <si>
    <t xml:space="preserve">7. Hyra efter avtal (M-kolumnen) — monopolmodell som default</t>
  </si>
  <si>
    <t xml:space="preserve">Om M är tomt eller 0 antar mallen att samma kr/m²-nivå som under avtalet fortsätter efter avtalsslut. Detta är monopolmodellen och defaultantagandet för kommunala samhällsfastigheter.</t>
  </si>
  <si>
    <t xml:space="preserve">Sätt M till en faktisk kr/m²-siffra när det finns en reell marknadshyra efter avtalsslut — typiskt vid korta kommersiella avtal (6 år) eller externa hyresgäster i samhällsfastigheter.</t>
  </si>
  <si>
    <t xml:space="preserve">När M är ifyllt visar Resultat-fliken en informationsruta. När M är tomt visar den 'monopolmodell aktiv'.</t>
  </si>
  <si>
    <t xml:space="preserve">8. Risk- och reservhantering (nuvarande princip)</t>
  </si>
  <si>
    <t xml:space="preserve">Dagens modell hanterar risk genom att hela risktillägget ingår i mål-investeringen. Hyresspannet ±10% speglar det totala utfallsrisken.</t>
  </si>
  <si>
    <t xml:space="preserve">VID FRAMTIDA ÄNDRING AV RISKPRINCIP — t.ex. att risktillägget ska fördelas proportionellt mot återstående etapper:</t>
  </si>
  <si>
    <t xml:space="preserve">• Ny sektion 9 på Indata: Riskhantering (totalt risktillägg, fördelningsprincip)</t>
  </si>
  <si>
    <t xml:space="preserve">• Ny rad på Kassaflöde: kvarvarande risk per år</t>
  </si>
  <si>
    <t xml:space="preserve">• Uppdatera hyresspannsberäkningen</t>
  </si>
  <si>
    <t xml:space="preserve">9. Backlogg / framtida utveckling</t>
  </si>
  <si>
    <t xml:space="preserve">Följande är identifierat men inte implementerat:</t>
  </si>
  <si>
    <t xml:space="preserve">Hög prioritet:</t>
  </si>
  <si>
    <t xml:space="preserve">• Exit-värdets viktning (0,4 MV + 0,6 BV) är hårdkodad praxis från LM 371. Bör ses över — alternativ: rent marknadsvärde, per-projekt-viktning baserat på byggnadstyp</t>
  </si>
  <si>
    <t xml:space="preserve">• Dokumentera varför just 0,4/0,6 valdes i LM 371 (ingen vet idag)</t>
  </si>
  <si>
    <t xml:space="preserve">Medium prioritet:</t>
  </si>
  <si>
    <t xml:space="preserve">• Totalentreprenads-läge med fördelningsnyckel (per BRA/BTA/manuell procentuell)</t>
  </si>
  <si>
    <t xml:space="preserve">• Riskhantering enligt 'proportionell mot återstående etapper'</t>
  </si>
  <si>
    <t xml:space="preserve">• Hyresläge 'Ange' implementeras på riktigt (idag bara dropdown utan effekt)</t>
  </si>
  <si>
    <t xml:space="preserve">• Dashboard med ifyllnadsindikator och valideringsstatus</t>
  </si>
  <si>
    <t xml:space="preserve">• LCC-läge med negativa driftkostnader för besparingsinvesteringar</t>
  </si>
  <si>
    <t xml:space="preserve">Låg prioritet:</t>
  </si>
  <si>
    <t xml:space="preserve">• Kontoplan-koppling (konton 4112–4799)</t>
  </si>
  <si>
    <t xml:space="preserve">• Hantering av ersättningslokaler under byggtiden</t>
  </si>
  <si>
    <t xml:space="preserve">• Central administration som policy-default</t>
  </si>
  <si>
    <t xml:space="preserve">10. Rättade buggar jämfört med LM 371</t>
  </si>
  <si>
    <t xml:space="preserve">Följande är identifierat och rättat:</t>
  </si>
  <si>
    <t xml:space="preserve">Bug #1 — Indexering år 1 felaktig vid parallellt avtal (NPV D12): använd ^0 i stället för ^(år − avtalsstart). Rättat med konsekvent ^(år − avtalsstart).</t>
  </si>
  <si>
    <t xml:space="preserve">Bug #1b — PV för historisk investering räknas upp i stället för ned (NPV X23): negativ exponent när produktionsavslut &lt; kalkylstart. Rättat med MAX(0, ...).</t>
  </si>
  <si>
    <t xml:space="preserve">Bug #2 — Tomträttsavgäld-formel med felaktig LOOKUP (NPV D28): vektorer av olika storlek. Rättat med samma mönster som fastighetsskatt.</t>
  </si>
  <si>
    <t xml:space="preserve">Bug CA — Inflation börjar år 2 (IRR D26). Rättat till ^(år − 1) som drift.</t>
  </si>
  <si>
    <t xml:space="preserve">MROUND-bug — MROUND returnerar #N/A när tal och multipel har olika tecken. LM 371 slipper undan eftersom driftnetton där är positiva. I H_total-modellen vid 0 hyra är driftnetton negativa. Rättat med ROUND(x/10000,0)*10000.</t>
  </si>
  <si>
    <t xml:space="preserve">11. Paritetstest mot LM 371</t>
  </si>
  <si>
    <t xml:space="preserve">För fallet med 1 objekt och tillträde = kalkylstart matchar nya mallens NPV LM 371 exakt i Case 1 (olönsam) och Case 2 (lönsam). För Case 3 (parallellt avtal) ger nya mallen ett bättre (mindre negativt) NPV eftersom Bug #1 och #1b är rättade.</t>
  </si>
  <si>
    <t xml:space="preserve">12. Hantering av flerhyresgästsprojekt</t>
  </si>
  <si>
    <t xml:space="preserve">Vid projekt med flera hyresgäster (t.ex. vårdboende + förskola i samma byggnad med olika förvaltningar) ska en separat kalkyl göras per hyresgäst. Gemensamma investeringar (stomme, tak, tekniska installationer) fördelas manuellt enligt överenskommen nyckel innan beloppen matas in i respektive kalkyl.</t>
  </si>
  <si>
    <t xml:space="preserve">Skäl: olika hyresgäster har olika drift, olika avtal, olika uppföljning. En gemensam kalkyl döljer viktiga skillnader och försvårar granskning.</t>
  </si>
  <si>
    <t xml:space="preserve">13. Central administration (CA) ingår i alla tre lönsamhetskrav</t>
  </si>
  <si>
    <t xml:space="preserve">Lejonfastigheter är ett kommunalt bolag med självkostnadsprincip. Det betyder att hyrorna ska täcka alla kostnader, inklusive bolagsoverhead. Om CA inte ingår i kravhyran finansieras den av andra projekt — vilket strider mot självkostnadsprincipen.</t>
  </si>
  <si>
    <t xml:space="preserve">Därför inkluderar mallen CA i driftnetto-raden (Kassaflöde rad 33), vilket gör att alla tre lönsamhetskraven (NPV, IRR, MV) räknar med kostnaden. Default 80 kr/m²/år, motsvarande Lejonfastigheters snitt över alla objekt.</t>
  </si>
  <si>
    <t xml:space="preserve">Tekniskt: i tidigare version (LM 371 och iter 6) påverkade CA endast IRR-kravet (via EBITA), inte NPV eller marknadsvärde. Det var en inkonsekvens som nu är rättad.</t>
  </si>
  <si>
    <t xml:space="preserve">14. Varför den gamla viktningen 0,4 marknadsvärde + 0,6 bokfört värde är borttagen</t>
  </si>
  <si>
    <t xml:space="preserve">Tidigare exit-värde i LM 371 (och i iter 6) använde formeln:</t>
  </si>
  <si>
    <t xml:space="preserve">    Exit-värde = 0,4 × marknadsvärde + 0,6 × bokfört värde − återstående skuld</t>
  </si>
  <si>
    <t xml:space="preserve">Den ursprungliga motivationen var att försöka beräkna ett implicit reinvesteringsbehov för att upprätthålla driftnettot — bokfört värde användes som proxy för byggnadens skick. Resonemanget är bra, men implementationen är ologisk av tre skäl:</t>
  </si>
  <si>
    <t xml:space="preserve">Skäl 1 — Bokfört värde är en dålig proxy för skick</t>
  </si>
  <si>
    <t xml:space="preserve">Bokfört värde följer en linjär avskrivning som är frikopplad från faktiskt slitage. En välunderhållen byggnad från 1995 är i bättre skick än en eftersatt från 2010, men bokfört värde säger ingenting om det. Att använda bokfört värde som indikator på reinvesteringsbehov är att blanda ihop redovisningsregler med fysisk verklighet.</t>
  </si>
  <si>
    <t xml:space="preserve">Skäl 2 — Reinvesteringsbehov dubbelbokförs</t>
  </si>
  <si>
    <t xml:space="preserve">Mallen har redan en egen post för re-investering och hyresatt UH (Indata sektion 5). Att också justera exit-värdet via bokfört värde är att räkna samma sak två gånger. Det rätta sättet är att mata in faktiskt förväntat reinvesteringsbehov i sektion 5, där det syns och kan diskuteras.</t>
  </si>
  <si>
    <t xml:space="preserve">Skäl 3 — Viktningen straffar lönsamma projekt och belönar olönsamma</t>
  </si>
  <si>
    <t xml:space="preserve">Justeringseffekten av viktningen är inte konstant — den beror på förhållandet mellan bokfört värde (BV) och marknadsvärde (MV) vid exit-tidpunkten:</t>
  </si>
  <si>
    <t xml:space="preserve">BV/MV = 0,2  → viktat exit är 52 % av rent MV  → −48 % nedjustering</t>
  </si>
  <si>
    <t xml:space="preserve">BV/MV = 0,4  → viktat exit är 64 % av rent MV  → −36 % nedjustering</t>
  </si>
  <si>
    <t xml:space="preserve">BV/MV = 0,6  → viktat exit är 76 % av rent MV  → −24 % nedjustering</t>
  </si>
  <si>
    <t xml:space="preserve">BV/MV = 0,8  → viktat exit är 88 % av rent MV  → −12 % nedjustering</t>
  </si>
  <si>
    <t xml:space="preserve">BV/MV = 1,0  → viktat exit är 100 % av rent MV → 0 % justering</t>
  </si>
  <si>
    <t xml:space="preserve">BV/MV = 1,5  → viktat exit är 130 % av rent MV → +30 % UPPjustering</t>
  </si>
  <si>
    <t xml:space="preserve">Effekten är att lönsamma projekt (där BV är mycket lägre än MV) får en stor nedjustering — typiskt −30 till −40 % i ett standardprojekt med 20 års kalkylperiod och 3 % avskrivning. Olönsamma projekt (där BV är högre än MV) får däremot en uppjustering, vilket är ekonomiskt orimligt: ett projekt som går sämre ska inte få högre exit-värde.</t>
  </si>
  <si>
    <t xml:space="preserve">Detta är ofrivilligt. Viktningen har sannolikt inte tänkts igenom matematiskt utan valts som en grov försiktighetsmarginal. Men den är dåligt riktad — försiktighetsprincipen hör hemma i avkastningskravet (6,3 %), inte i en ad hoc-justering av exit-värdet.</t>
  </si>
  <si>
    <t xml:space="preserve">Konkret exempel — ett 200 Mkr-projekt</t>
  </si>
  <si>
    <t xml:space="preserve">Investering 200 Mkr, kalkylperiod 20 år, avskrivning 3 % per år, direktavkastning 6,5 %.</t>
  </si>
  <si>
    <t xml:space="preserve">• Bokfört värde år 20 = 200 × (1 − 20 × 0,03) = 80 Mkr</t>
  </si>
  <si>
    <t xml:space="preserve">• Marknadsvärde år 20 (vid bindande kravhyra) ≈ 205 Mkr</t>
  </si>
  <si>
    <t xml:space="preserve">• BV/MV ≈ 0,39</t>
  </si>
  <si>
    <t xml:space="preserve">• Viktat exit (0,4 × 205 + 0,6 × 80) ≈ 130 Mkr</t>
  </si>
  <si>
    <t xml:space="preserve">• Rent marknadsvärde exit ≈ 205 Mkr</t>
  </si>
  <si>
    <t xml:space="preserve">• Förändring vid övergång till rent MV: +75 Mkr (+58 %)</t>
  </si>
  <si>
    <t xml:space="preserve">Effekten på IRR EK för det här projektet är betydande — kravhyran för IRR-kravet sänks rejält när exit-värdet ökar med 58 %. För många projekt blir då NPV-kravet bindande i stället för IRR-kravet.</t>
  </si>
  <si>
    <t xml:space="preserve">Vad som ersätter viktningen</t>
  </si>
  <si>
    <t xml:space="preserve">Två förändringar tillsammans:</t>
  </si>
  <si>
    <t xml:space="preserve">1. Exit-värde är nu rent marknadsvärde minus skuld (Kassaflöde C123). Marknadsvärdet beräknas fortfarande med Gordon-modellen och påverkas av direktavkastningen som matas in på Indata C6.</t>
  </si>
  <si>
    <t xml:space="preserve">2. En känslighetstabell på Lönsamhetskontroll-fliken visar hur projektets IRR påverkas om marknadsvärdet vid exit blir 40 % lägre eller 20 % högre än bas-bedömningen. Detta tvingar en aktiv diskussion om hur säker man är på exit-värdet, i stället för att gömma försiktigheten i en hårdkodad multiplikator.</t>
  </si>
  <si>
    <t xml:space="preserve">Reinvesteringsbehov hanteras explicit via Indata sektion 5 (re-investering / hyresatt UH), där användaren matar in faktiskt förväntat behov. Detta är den ekonomiskt korrekta platsen att hantera skick-relaterade kostnader.</t>
  </si>
</sst>
</file>

<file path=xl/styles.xml><?xml version="1.0" encoding="utf-8"?>
<styleSheet xmlns="http://schemas.openxmlformats.org/spreadsheetml/2006/main">
  <numFmts count="14">
    <numFmt numFmtId="164" formatCode="General"/>
    <numFmt numFmtId="165" formatCode="#,##0&quot; kr/år&quot;"/>
    <numFmt numFmtId="166" formatCode="#,##0&quot; kr/m²&quot;"/>
    <numFmt numFmtId="167" formatCode="#,##0&quot; kr&quot;"/>
    <numFmt numFmtId="168" formatCode="#,##0&quot; kr inv.&quot;"/>
    <numFmt numFmtId="169" formatCode="#,##0;\(#,##0\);\-"/>
    <numFmt numFmtId="170" formatCode="0.00%"/>
    <numFmt numFmtId="171" formatCode="\+0.00%;\-0.00%;\-"/>
    <numFmt numFmtId="172" formatCode="#,##0"/>
    <numFmt numFmtId="173" formatCode="0%"/>
    <numFmt numFmtId="174" formatCode="0.0%"/>
    <numFmt numFmtId="175" formatCode="0"/>
    <numFmt numFmtId="176" formatCode="\+0.00%;\-0.00%;0.00%"/>
    <numFmt numFmtId="177" formatCode="#,##0.0000"/>
  </numFmts>
  <fonts count="33">
    <font>
      <sz val="11"/>
      <color theme="1"/>
      <name val="Calibri"/>
      <family val="2"/>
      <charset val="1"/>
    </font>
    <font>
      <sz val="10"/>
      <name val="Arial"/>
      <family val="0"/>
    </font>
    <font>
      <sz val="10"/>
      <name val="Arial"/>
      <family val="0"/>
    </font>
    <font>
      <sz val="10"/>
      <name val="Arial"/>
      <family val="0"/>
    </font>
    <font>
      <sz val="11"/>
      <name val="Cambria"/>
      <family val="0"/>
      <charset val="1"/>
    </font>
    <font>
      <b val="true"/>
      <sz val="16"/>
      <color rgb="FFFFFFFF"/>
      <name val="Cambria"/>
      <family val="0"/>
      <charset val="1"/>
    </font>
    <font>
      <i val="true"/>
      <sz val="11"/>
      <color rgb="FF1B4F72"/>
      <name val="Cambria"/>
      <family val="0"/>
      <charset val="1"/>
    </font>
    <font>
      <b val="true"/>
      <sz val="11"/>
      <color rgb="FFFFFFFF"/>
      <name val="Cambria"/>
      <family val="0"/>
      <charset val="1"/>
    </font>
    <font>
      <b val="true"/>
      <sz val="14"/>
      <color rgb="FF1B4F72"/>
      <name val="Cambria"/>
      <family val="0"/>
      <charset val="1"/>
    </font>
    <font>
      <b val="true"/>
      <sz val="12"/>
      <color rgb="FF1B4F72"/>
      <name val="Cambria"/>
      <family val="0"/>
      <charset val="1"/>
    </font>
    <font>
      <b val="true"/>
      <sz val="12"/>
      <name val="Cambria"/>
      <family val="0"/>
      <charset val="1"/>
    </font>
    <font>
      <sz val="11"/>
      <color rgb="FF666666"/>
      <name val="Cambria"/>
      <family val="0"/>
      <charset val="1"/>
    </font>
    <font>
      <b val="true"/>
      <sz val="11"/>
      <name val="Cambria"/>
      <family val="0"/>
      <charset val="1"/>
    </font>
    <font>
      <b val="true"/>
      <u val="single"/>
      <sz val="11"/>
      <color rgb="FF2C5282"/>
      <name val="Cambria"/>
      <family val="0"/>
      <charset val="1"/>
    </font>
    <font>
      <i val="true"/>
      <sz val="11"/>
      <color rgb="FF666666"/>
      <name val="Cambria"/>
      <family val="0"/>
      <charset val="1"/>
    </font>
    <font>
      <sz val="10"/>
      <color rgb="FF333333"/>
      <name val="Cambria"/>
      <family val="0"/>
      <charset val="1"/>
    </font>
    <font>
      <i val="true"/>
      <sz val="9"/>
      <color rgb="FF666666"/>
      <name val="Cambria"/>
      <family val="0"/>
      <charset val="1"/>
    </font>
    <font>
      <b val="true"/>
      <sz val="11"/>
      <color rgb="FF1B4F72"/>
      <name val="Cambria"/>
      <family val="0"/>
      <charset val="1"/>
    </font>
    <font>
      <sz val="9"/>
      <color rgb="FF666666"/>
      <name val="Cambria"/>
      <family val="0"/>
      <charset val="1"/>
    </font>
    <font>
      <sz val="11"/>
      <color rgb="FF999999"/>
      <name val="Cambria"/>
      <family val="0"/>
      <charset val="1"/>
    </font>
    <font>
      <sz val="10"/>
      <name val="Arial"/>
      <family val="2"/>
    </font>
    <font>
      <b val="true"/>
      <sz val="12"/>
      <color rgb="FFFFFFFF"/>
      <name val="Cambria"/>
      <family val="0"/>
      <charset val="1"/>
    </font>
    <font>
      <i val="true"/>
      <sz val="10"/>
      <color rgb="FF666666"/>
      <name val="Cambria"/>
      <family val="0"/>
      <charset val="1"/>
    </font>
    <font>
      <b val="true"/>
      <sz val="11"/>
      <color rgb="FF1F77B4"/>
      <name val="Cambria"/>
      <family val="0"/>
      <charset val="1"/>
    </font>
    <font>
      <b val="true"/>
      <sz val="14"/>
      <color rgb="FFFFFFFF"/>
      <name val="Cambria"/>
      <family val="0"/>
      <charset val="1"/>
    </font>
    <font>
      <b val="true"/>
      <sz val="16"/>
      <color rgb="FF1B4F72"/>
      <name val="Cambria"/>
      <family val="0"/>
      <charset val="1"/>
    </font>
    <font>
      <i val="true"/>
      <sz val="10"/>
      <color rgb="FFB45F06"/>
      <name val="Cambria"/>
      <family val="0"/>
      <charset val="1"/>
    </font>
    <font>
      <b val="true"/>
      <sz val="13"/>
      <color rgb="FFFFFFFF"/>
      <name val="Cambria"/>
      <family val="0"/>
      <charset val="1"/>
    </font>
    <font>
      <sz val="8"/>
      <color rgb="FF666666"/>
      <name val="Cambria"/>
      <family val="0"/>
      <charset val="1"/>
    </font>
    <font>
      <sz val="7"/>
      <color rgb="FF999999"/>
      <name val="Cambria"/>
      <family val="0"/>
      <charset val="1"/>
    </font>
    <font>
      <b val="true"/>
      <sz val="13"/>
      <color rgb="FF1B4F72"/>
      <name val="Cambria"/>
      <family val="0"/>
      <charset val="1"/>
    </font>
    <font>
      <sz val="10"/>
      <name val="Cambria"/>
      <family val="0"/>
      <charset val="1"/>
    </font>
    <font>
      <b val="true"/>
      <sz val="10"/>
      <name val="Cambria"/>
      <family val="0"/>
      <charset val="1"/>
    </font>
  </fonts>
  <fills count="9">
    <fill>
      <patternFill patternType="none"/>
    </fill>
    <fill>
      <patternFill patternType="gray125"/>
    </fill>
    <fill>
      <patternFill patternType="solid">
        <fgColor rgb="FF1B4F72"/>
        <bgColor rgb="FF2C5282"/>
      </patternFill>
    </fill>
    <fill>
      <patternFill patternType="solid">
        <fgColor rgb="FF2C5282"/>
        <bgColor rgb="FF1B4F72"/>
      </patternFill>
    </fill>
    <fill>
      <patternFill patternType="solid">
        <fgColor rgb="FFFEF9E7"/>
        <bgColor rgb="FFFDF2E9"/>
      </patternFill>
    </fill>
    <fill>
      <patternFill patternType="solid">
        <fgColor rgb="FFD6EAF8"/>
        <bgColor rgb="FFF2F3F4"/>
      </patternFill>
    </fill>
    <fill>
      <patternFill patternType="solid">
        <fgColor rgb="FFFDF2E9"/>
        <bgColor rgb="FFFEF9E7"/>
      </patternFill>
    </fill>
    <fill>
      <patternFill patternType="solid">
        <fgColor rgb="FFF2F3F4"/>
        <bgColor rgb="FFFDF2E9"/>
      </patternFill>
    </fill>
    <fill>
      <patternFill patternType="solid">
        <fgColor rgb="FFFCF3CF"/>
        <bgColor rgb="FFFDF2E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bottom" textRotation="0" wrapText="false" indent="1"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5" fontId="8" fillId="4"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5" fontId="12" fillId="0" borderId="0"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70" fontId="9" fillId="0" borderId="0" xfId="0" applyFont="true" applyBorder="true" applyAlignment="false" applyProtection="false">
      <alignment horizontal="general" vertical="bottom" textRotation="0" wrapText="false" indent="0" shrinkToFit="false"/>
      <protection locked="true" hidden="false"/>
    </xf>
    <xf numFmtId="171"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left" vertical="top" textRotation="0" wrapText="false" indent="0" shrinkToFit="false"/>
      <protection locked="true" hidden="false"/>
    </xf>
    <xf numFmtId="164" fontId="14" fillId="0" borderId="0" xfId="0" applyFont="true" applyBorder="true" applyAlignment="true" applyProtection="false">
      <alignment horizontal="left" vertical="top"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2" fontId="0" fillId="5"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0" fontId="0" fillId="5"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center" vertical="bottom" textRotation="0" wrapText="true" indent="0" shrinkToFit="false"/>
      <protection locked="true" hidden="false"/>
    </xf>
    <xf numFmtId="172" fontId="19" fillId="5" borderId="0" xfId="0" applyFont="true" applyBorder="false" applyAlignment="true" applyProtection="false">
      <alignment horizontal="general" vertical="bottom" textRotation="0" wrapText="false" indent="0" shrinkToFit="false"/>
      <protection locked="true" hidden="false"/>
    </xf>
    <xf numFmtId="173" fontId="0" fillId="5" borderId="0" xfId="0" applyFont="fals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74" fontId="0" fillId="5" borderId="0" xfId="0" applyFont="false" applyBorder="false" applyAlignment="true" applyProtection="false">
      <alignment horizontal="general" vertical="bottom" textRotation="0" wrapText="false" indent="0" shrinkToFit="false"/>
      <protection locked="true" hidden="false"/>
    </xf>
    <xf numFmtId="175" fontId="0" fillId="5" borderId="0" xfId="0" applyFont="false" applyBorder="false" applyAlignment="tru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72" fontId="12" fillId="7"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2" fontId="12" fillId="0" borderId="0" xfId="0" applyFont="true" applyBorder="false" applyAlignment="true" applyProtection="false">
      <alignment horizontal="general" vertical="bottom" textRotation="0" wrapText="false" indent="0" shrinkToFit="false"/>
      <protection locked="true" hidden="false"/>
    </xf>
    <xf numFmtId="175" fontId="12" fillId="0" borderId="0" xfId="0" applyFont="true" applyBorder="false" applyAlignment="true" applyProtection="false">
      <alignment horizontal="general" vertical="bottom" textRotation="0" wrapText="false" indent="0" shrinkToFit="false"/>
      <protection locked="true" hidden="false"/>
    </xf>
    <xf numFmtId="175" fontId="16" fillId="0" borderId="0" xfId="0" applyFont="true" applyBorder="false" applyAlignment="true" applyProtection="false">
      <alignment horizontal="general" vertical="bottom" textRotation="0" wrapText="false" indent="0" shrinkToFit="false"/>
      <protection locked="true" hidden="false"/>
    </xf>
    <xf numFmtId="172" fontId="16" fillId="0"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left" vertical="center" textRotation="0" wrapText="false" indent="1"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9" fontId="23" fillId="0" borderId="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xf numFmtId="169" fontId="12" fillId="0" borderId="0" xfId="0" applyFont="true" applyBorder="true" applyAlignment="false" applyProtection="false">
      <alignment horizontal="general" vertical="bottom" textRotation="0" wrapText="false" indent="0" shrinkToFit="false"/>
      <protection locked="true" hidden="false"/>
    </xf>
    <xf numFmtId="175" fontId="12" fillId="7" borderId="0" xfId="0" applyFont="true" applyBorder="false" applyAlignment="true" applyProtection="false">
      <alignment horizontal="center" vertical="bottom" textRotation="0" wrapText="false" indent="0" shrinkToFit="false"/>
      <protection locked="true" hidden="false"/>
    </xf>
    <xf numFmtId="172" fontId="12" fillId="4" borderId="0" xfId="0" applyFont="true" applyBorder="false" applyAlignment="true" applyProtection="false">
      <alignment horizontal="general" vertical="bottom" textRotation="0" wrapText="false" indent="0" shrinkToFit="false"/>
      <protection locked="true" hidden="false"/>
    </xf>
    <xf numFmtId="173" fontId="16" fillId="0" borderId="0" xfId="0" applyFont="true" applyBorder="false" applyAlignment="true" applyProtection="false">
      <alignment horizontal="general" vertical="bottom" textRotation="0" wrapText="false" indent="0" shrinkToFit="false"/>
      <protection locked="true" hidden="false"/>
    </xf>
    <xf numFmtId="164" fontId="24" fillId="2" borderId="0" xfId="0" applyFont="true" applyBorder="true" applyAlignment="true" applyProtection="false">
      <alignment horizontal="left" vertical="center" textRotation="0" wrapText="false" indent="1"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26" fillId="4" borderId="0" xfId="0" applyFont="true" applyBorder="true" applyAlignment="true" applyProtection="false">
      <alignment horizontal="general" vertical="center" textRotation="0" wrapText="true" indent="0" shrinkToFit="false"/>
      <protection locked="true" hidden="false"/>
    </xf>
    <xf numFmtId="164" fontId="27" fillId="2" borderId="0"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false" applyAlignment="true" applyProtection="false">
      <alignment horizontal="center" vertical="bottom" textRotation="0" wrapText="false" indent="0" shrinkToFit="false"/>
      <protection locked="true" hidden="false"/>
    </xf>
    <xf numFmtId="172" fontId="11"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72" fontId="8" fillId="8"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72" fontId="11"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center"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72" fontId="28"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2" fillId="8" borderId="0" xfId="0" applyFont="true" applyBorder="false" applyAlignment="true" applyProtection="false">
      <alignment horizontal="center" vertical="bottom" textRotation="0" wrapText="false" indent="0" shrinkToFit="false"/>
      <protection locked="true" hidden="false"/>
    </xf>
    <xf numFmtId="172" fontId="12" fillId="8" borderId="0" xfId="0" applyFont="true" applyBorder="false" applyAlignment="true" applyProtection="false">
      <alignment horizontal="general" vertical="bottom" textRotation="0" wrapText="false" indent="0" shrinkToFit="false"/>
      <protection locked="true" hidden="false"/>
    </xf>
    <xf numFmtId="170" fontId="12" fillId="8"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64" fontId="17" fillId="7" borderId="0" xfId="0" applyFont="true" applyBorder="true" applyAlignment="true" applyProtection="false">
      <alignment horizontal="general" vertical="bottom" textRotation="0" wrapText="false" indent="0" shrinkToFit="false"/>
      <protection locked="true" hidden="false"/>
    </xf>
    <xf numFmtId="172" fontId="8" fillId="8" borderId="0" xfId="0" applyFont="true" applyBorder="false" applyAlignment="true" applyProtection="false">
      <alignment horizontal="general" vertical="bottom" textRotation="0" wrapText="false" indent="0" shrinkToFit="false"/>
      <protection locked="true" hidden="false"/>
    </xf>
    <xf numFmtId="164" fontId="17" fillId="7"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2" fontId="9" fillId="4" borderId="0" xfId="0" applyFont="true" applyBorder="false" applyAlignment="true" applyProtection="false">
      <alignment horizontal="general" vertical="bottom" textRotation="0" wrapText="false" indent="0" shrinkToFit="false"/>
      <protection locked="true" hidden="false"/>
    </xf>
    <xf numFmtId="177" fontId="12"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32"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F3CF"/>
      <rgbColor rgb="FFD6EAF8"/>
      <rgbColor rgb="FF660066"/>
      <rgbColor rgb="FFFF8080"/>
      <rgbColor rgb="FF1F77B4"/>
      <rgbColor rgb="FFCCCCFF"/>
      <rgbColor rgb="FF000080"/>
      <rgbColor rgb="FFFF00FF"/>
      <rgbColor rgb="FFFFFF00"/>
      <rgbColor rgb="FF00FFFF"/>
      <rgbColor rgb="FF800080"/>
      <rgbColor rgb="FF800000"/>
      <rgbColor rgb="FF008080"/>
      <rgbColor rgb="FF0000FF"/>
      <rgbColor rgb="FF00CCFF"/>
      <rgbColor rgb="FFF2F3F4"/>
      <rgbColor rgb="FFFDF2E9"/>
      <rgbColor rgb="FFFEF9E7"/>
      <rgbColor rgb="FF99CCFF"/>
      <rgbColor rgb="FFFF99CC"/>
      <rgbColor rgb="FFCC99FF"/>
      <rgbColor rgb="FFFFCC99"/>
      <rgbColor rgb="FF3366FF"/>
      <rgbColor rgb="FF33CCCC"/>
      <rgbColor rgb="FF99CC00"/>
      <rgbColor rgb="FFFFCC00"/>
      <rgbColor rgb="FFFF9900"/>
      <rgbColor rgb="FFFF6600"/>
      <rgbColor rgb="FF666666"/>
      <rgbColor rgb="FF999999"/>
      <rgbColor rgb="FF1B4F72"/>
      <rgbColor rgb="FF339966"/>
      <rgbColor rgb="FF003300"/>
      <rgbColor rgb="FF333300"/>
      <rgbColor rgb="FFB45F06"/>
      <rgbColor rgb="FF993366"/>
      <rgbColor rgb="FF2C528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0" width="22"/>
    <col collapsed="false" customWidth="true" hidden="false" outlineLevel="0" max="4" min="4" style="0" width="4"/>
    <col collapsed="false" customWidth="true" hidden="false" outlineLevel="0" max="5" min="5" style="0" width="22"/>
    <col collapsed="false" customWidth="true" hidden="false" outlineLevel="0" max="6" min="6" style="0" width="50"/>
  </cols>
  <sheetData>
    <row r="1" customFormat="false" ht="19.5" hidden="false" customHeight="true" outlineLevel="0" collapsed="false">
      <c r="A1" s="2"/>
      <c r="B1" s="2"/>
      <c r="C1" s="2"/>
      <c r="D1" s="2"/>
      <c r="E1" s="2"/>
      <c r="F1" s="2"/>
      <c r="G1" s="2"/>
      <c r="H1" s="2"/>
      <c r="I1" s="2"/>
      <c r="J1" s="2"/>
    </row>
    <row r="2" customFormat="false" ht="31.5" hidden="false" customHeight="true" outlineLevel="0" collapsed="false">
      <c r="A2" s="2"/>
      <c r="B2" s="3" t="s">
        <v>0</v>
      </c>
      <c r="C2" s="3"/>
      <c r="D2" s="3"/>
      <c r="E2" s="3"/>
      <c r="F2" s="3"/>
      <c r="G2" s="2"/>
      <c r="H2" s="2"/>
      <c r="I2" s="2"/>
      <c r="J2" s="2"/>
    </row>
    <row r="3" customFormat="false" ht="15" hidden="false" customHeight="true" outlineLevel="0" collapsed="false">
      <c r="A3" s="2"/>
      <c r="B3" s="4" t="str">
        <f aca="false">IF(Indata!B26="","(projekt ej namngivet)","Projekt: " &amp; Indata!B26)</f>
        <v>Projekt: Skola</v>
      </c>
      <c r="C3" s="4"/>
      <c r="D3" s="4"/>
      <c r="E3" s="4"/>
      <c r="F3" s="4"/>
      <c r="G3" s="2"/>
      <c r="H3" s="2"/>
      <c r="I3" s="2"/>
      <c r="J3" s="2"/>
    </row>
    <row r="4" customFormat="false" ht="15" hidden="false" customHeight="false" outlineLevel="0" collapsed="false">
      <c r="A4" s="2"/>
      <c r="B4" s="2"/>
      <c r="C4" s="2"/>
      <c r="D4" s="2"/>
      <c r="E4" s="2"/>
      <c r="F4" s="2"/>
      <c r="G4" s="2"/>
      <c r="H4" s="2"/>
      <c r="I4" s="2"/>
      <c r="J4" s="2"/>
    </row>
    <row r="5" customFormat="false" ht="19.5" hidden="false" customHeight="true" outlineLevel="0" collapsed="false">
      <c r="A5" s="2"/>
      <c r="B5" s="5" t="s">
        <v>1</v>
      </c>
      <c r="C5" s="5"/>
      <c r="D5" s="5"/>
      <c r="E5" s="5"/>
      <c r="F5" s="5"/>
      <c r="G5" s="2"/>
      <c r="H5" s="2"/>
      <c r="I5" s="2"/>
      <c r="J5" s="2"/>
    </row>
    <row r="6" customFormat="false" ht="15" hidden="false" customHeight="true" outlineLevel="0" collapsed="false">
      <c r="A6" s="2"/>
      <c r="B6" s="2" t="s">
        <v>2</v>
      </c>
      <c r="C6" s="6" t="n">
        <f aca="false">Resultat!D14</f>
        <v>11631221.719457</v>
      </c>
      <c r="D6" s="2"/>
      <c r="E6" s="2" t="s">
        <v>3</v>
      </c>
      <c r="F6" s="7" t="str">
        <f aca="false">Resultat!D15</f>
        <v>NPV</v>
      </c>
      <c r="G6" s="2"/>
      <c r="H6" s="2"/>
      <c r="I6" s="2"/>
      <c r="J6" s="2"/>
    </row>
    <row r="7" customFormat="false" ht="15" hidden="false" customHeight="true" outlineLevel="0" collapsed="false">
      <c r="A7" s="2"/>
      <c r="B7" s="2" t="s">
        <v>4</v>
      </c>
      <c r="C7" s="8" t="n">
        <f aca="false">Resultat!D16</f>
        <v>2326.2443438914</v>
      </c>
      <c r="D7" s="2"/>
      <c r="E7" s="2" t="s">
        <v>5</v>
      </c>
      <c r="F7" s="9" t="str">
        <f aca="false">Indata!F31 &amp; " m²"</f>
        <v>5000 m²</v>
      </c>
      <c r="G7" s="2"/>
      <c r="H7" s="2"/>
      <c r="I7" s="2"/>
      <c r="J7" s="2"/>
    </row>
    <row r="8" customFormat="false" ht="15" hidden="false" customHeight="false" outlineLevel="0" collapsed="false">
      <c r="A8" s="2"/>
      <c r="B8" s="2" t="s">
        <v>6</v>
      </c>
      <c r="C8" s="10" t="n">
        <f aca="false">Indata!R31</f>
        <v>200000000</v>
      </c>
      <c r="D8" s="2"/>
      <c r="E8" s="2" t="s">
        <v>7</v>
      </c>
      <c r="F8" s="8" t="n">
        <f aca="false">IFERROR(Indata!R31/Indata!F31,0)</f>
        <v>40000</v>
      </c>
      <c r="G8" s="2"/>
      <c r="H8" s="2"/>
      <c r="I8" s="2"/>
      <c r="J8" s="2"/>
    </row>
    <row r="9" customFormat="false" ht="15" hidden="false" customHeight="false" outlineLevel="0" collapsed="false">
      <c r="A9" s="2"/>
      <c r="B9" s="2"/>
      <c r="C9" s="2"/>
      <c r="D9" s="2"/>
      <c r="E9" s="2"/>
      <c r="F9" s="2"/>
      <c r="G9" s="2"/>
      <c r="H9" s="2"/>
      <c r="I9" s="2"/>
      <c r="J9" s="2"/>
    </row>
    <row r="10" customFormat="false" ht="19.5" hidden="false" customHeight="true" outlineLevel="0" collapsed="false">
      <c r="A10" s="2"/>
      <c r="B10" s="5" t="s">
        <v>8</v>
      </c>
      <c r="C10" s="5"/>
      <c r="D10" s="5"/>
      <c r="E10" s="5"/>
      <c r="F10" s="5"/>
      <c r="G10" s="2"/>
      <c r="H10" s="2"/>
      <c r="I10" s="2"/>
      <c r="J10" s="2"/>
    </row>
    <row r="11" customFormat="false" ht="15" hidden="false" customHeight="false" outlineLevel="0" collapsed="false">
      <c r="A11" s="2"/>
      <c r="B11" s="2" t="s">
        <v>9</v>
      </c>
      <c r="C11" s="11" t="n">
        <f aca="false">Resultat!C14</f>
        <v>10726244.3438914</v>
      </c>
      <c r="D11" s="2"/>
      <c r="E11" s="12" t="n">
        <f aca="false">Resultat!C7</f>
        <v>180000000</v>
      </c>
      <c r="F11" s="2"/>
      <c r="G11" s="2"/>
      <c r="H11" s="2"/>
      <c r="I11" s="2"/>
      <c r="J11" s="2"/>
    </row>
    <row r="12" customFormat="false" ht="15" hidden="false" customHeight="false" outlineLevel="0" collapsed="false">
      <c r="A12" s="2"/>
      <c r="B12" s="13" t="s">
        <v>10</v>
      </c>
      <c r="C12" s="14" t="n">
        <f aca="false">Resultat!D14</f>
        <v>11631221.719457</v>
      </c>
      <c r="D12" s="2"/>
      <c r="E12" s="12" t="n">
        <f aca="false">Resultat!D7</f>
        <v>200000000</v>
      </c>
      <c r="F12" s="2"/>
      <c r="G12" s="2"/>
      <c r="H12" s="2"/>
      <c r="I12" s="2"/>
      <c r="J12" s="2"/>
    </row>
    <row r="13" customFormat="false" ht="15" hidden="false" customHeight="false" outlineLevel="0" collapsed="false">
      <c r="A13" s="2"/>
      <c r="B13" s="2" t="s">
        <v>11</v>
      </c>
      <c r="C13" s="11" t="n">
        <f aca="false">Resultat!E14</f>
        <v>12536199.0950226</v>
      </c>
      <c r="D13" s="2"/>
      <c r="E13" s="12" t="n">
        <f aca="false">Resultat!E7</f>
        <v>220000000</v>
      </c>
      <c r="F13" s="2"/>
      <c r="G13" s="2"/>
      <c r="H13" s="2"/>
      <c r="I13" s="2"/>
      <c r="J13" s="2"/>
    </row>
    <row r="14" customFormat="false" ht="15" hidden="false" customHeight="false" outlineLevel="0" collapsed="false">
      <c r="A14" s="2"/>
      <c r="B14" s="2"/>
      <c r="C14" s="2"/>
      <c r="D14" s="2"/>
      <c r="E14" s="2"/>
      <c r="F14" s="2"/>
      <c r="G14" s="2"/>
      <c r="H14" s="2"/>
      <c r="I14" s="2"/>
      <c r="J14" s="2"/>
    </row>
    <row r="15" customFormat="false" ht="19.5" hidden="false" customHeight="true" outlineLevel="0" collapsed="false">
      <c r="A15" s="2"/>
      <c r="B15" s="5" t="s">
        <v>12</v>
      </c>
      <c r="C15" s="5"/>
      <c r="D15" s="5"/>
      <c r="E15" s="5"/>
      <c r="F15" s="5"/>
      <c r="G15" s="2"/>
      <c r="H15" s="2"/>
      <c r="I15" s="2"/>
      <c r="J15" s="2"/>
    </row>
    <row r="16" customFormat="false" ht="15" hidden="false" customHeight="false" outlineLevel="0" collapsed="false">
      <c r="A16" s="2"/>
      <c r="B16" s="2" t="s">
        <v>13</v>
      </c>
      <c r="C16" s="15" t="n">
        <f aca="false">Lönsamhetskontroll!C9</f>
        <v>0</v>
      </c>
      <c r="D16" s="2"/>
      <c r="E16" s="13" t="str">
        <f aca="false">Lönsamhetskontroll!D9</f>
        <v>✓ Uppfyllt</v>
      </c>
      <c r="F16" s="2"/>
      <c r="G16" s="2"/>
      <c r="H16" s="2"/>
      <c r="I16" s="2"/>
      <c r="J16" s="2"/>
    </row>
    <row r="17" customFormat="false" ht="15" hidden="false" customHeight="false" outlineLevel="0" collapsed="false">
      <c r="A17" s="2"/>
      <c r="B17" s="2" t="s">
        <v>14</v>
      </c>
      <c r="C17" s="15" t="n">
        <f aca="false">Lönsamhetskontroll!C18</f>
        <v>10154923.5225379</v>
      </c>
      <c r="D17" s="2"/>
      <c r="E17" s="13" t="str">
        <f aca="false">Lönsamhetskontroll!D18</f>
        <v>✓ Uppfyllt</v>
      </c>
      <c r="F17" s="2"/>
      <c r="G17" s="2"/>
      <c r="H17" s="2"/>
      <c r="I17" s="2"/>
      <c r="J17" s="2"/>
    </row>
    <row r="18" customFormat="false" ht="15" hidden="false" customHeight="false" outlineLevel="0" collapsed="false">
      <c r="A18" s="2"/>
      <c r="B18" s="2" t="s">
        <v>15</v>
      </c>
      <c r="C18" s="15" t="n">
        <f aca="false">Lönsamhetskontroll!C30</f>
        <v>155869728.298515</v>
      </c>
      <c r="D18" s="2"/>
      <c r="E18" s="13" t="str">
        <f aca="false">Lönsamhetskontroll!D30</f>
        <v>✓ Uppfyllt</v>
      </c>
      <c r="F18" s="2"/>
      <c r="G18" s="2"/>
      <c r="H18" s="2"/>
      <c r="I18" s="2"/>
      <c r="J18" s="2"/>
    </row>
    <row r="19" customFormat="false" ht="15" hidden="false" customHeight="false" outlineLevel="0" collapsed="false">
      <c r="A19" s="2"/>
      <c r="B19" s="2"/>
      <c r="C19" s="2"/>
      <c r="D19" s="2"/>
      <c r="E19" s="2"/>
      <c r="F19" s="2"/>
      <c r="G19" s="2"/>
      <c r="H19" s="2"/>
      <c r="I19" s="2"/>
      <c r="J19" s="2"/>
    </row>
    <row r="20" customFormat="false" ht="15" hidden="false" customHeight="false" outlineLevel="0" collapsed="false">
      <c r="A20" s="2"/>
      <c r="B20" s="13" t="s">
        <v>16</v>
      </c>
      <c r="C20" s="16" t="n">
        <f aca="false">Lönsamhetskontroll!C45</f>
        <v>0.0764517154264563</v>
      </c>
      <c r="D20" s="2"/>
      <c r="E20" s="2" t="s">
        <v>17</v>
      </c>
      <c r="F20" s="17" t="n">
        <f aca="false">Lönsamhetskontroll!C47</f>
        <v>0.0134517154264563</v>
      </c>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9.5" hidden="false" customHeight="true" outlineLevel="0" collapsed="false">
      <c r="A23" s="2"/>
      <c r="B23" s="5" t="s">
        <v>18</v>
      </c>
      <c r="C23" s="5"/>
      <c r="D23" s="5"/>
      <c r="E23" s="5"/>
      <c r="F23" s="5"/>
      <c r="G23" s="2"/>
      <c r="H23" s="2"/>
      <c r="I23" s="2"/>
      <c r="J23" s="2"/>
    </row>
    <row r="24" customFormat="false" ht="15" hidden="false" customHeight="false" outlineLevel="0" collapsed="false">
      <c r="A24" s="2"/>
      <c r="B24" s="2"/>
      <c r="C24" s="2"/>
      <c r="D24" s="2"/>
      <c r="E24" s="2"/>
      <c r="F24" s="2"/>
      <c r="G24" s="2"/>
      <c r="H24" s="2"/>
      <c r="I24" s="2"/>
      <c r="J24" s="2"/>
    </row>
    <row r="25" customFormat="false" ht="31.5" hidden="false" customHeight="true" outlineLevel="0" collapsed="false">
      <c r="A25" s="2"/>
      <c r="B25" s="18" t="s">
        <v>19</v>
      </c>
      <c r="C25" s="19" t="s">
        <v>20</v>
      </c>
      <c r="D25" s="2"/>
      <c r="E25" s="20" t="s">
        <v>21</v>
      </c>
      <c r="F25" s="20"/>
      <c r="G25" s="2"/>
      <c r="H25" s="2"/>
      <c r="I25" s="2"/>
      <c r="J25" s="2"/>
    </row>
    <row r="26" customFormat="false" ht="15" hidden="false" customHeight="false" outlineLevel="0" collapsed="false">
      <c r="A26" s="2"/>
      <c r="B26" s="2"/>
      <c r="C26" s="2"/>
      <c r="D26" s="2"/>
      <c r="E26" s="2"/>
      <c r="F26" s="2"/>
      <c r="G26" s="2"/>
      <c r="H26" s="2"/>
      <c r="I26" s="2"/>
      <c r="J26" s="2"/>
    </row>
    <row r="27" customFormat="false" ht="31.5" hidden="false" customHeight="true" outlineLevel="0" collapsed="false">
      <c r="A27" s="2"/>
      <c r="B27" s="18" t="s">
        <v>22</v>
      </c>
      <c r="C27" s="19" t="s">
        <v>23</v>
      </c>
      <c r="D27" s="2"/>
      <c r="E27" s="20" t="s">
        <v>24</v>
      </c>
      <c r="F27" s="20"/>
      <c r="G27" s="2"/>
      <c r="H27" s="2"/>
      <c r="I27" s="2"/>
      <c r="J27" s="2"/>
    </row>
    <row r="28" customFormat="false" ht="15" hidden="false" customHeight="false" outlineLevel="0" collapsed="false">
      <c r="A28" s="2"/>
      <c r="B28" s="2"/>
      <c r="C28" s="2"/>
      <c r="D28" s="2"/>
      <c r="E28" s="2"/>
      <c r="F28" s="2"/>
      <c r="G28" s="2"/>
      <c r="H28" s="2"/>
      <c r="I28" s="2"/>
      <c r="J28" s="2"/>
    </row>
    <row r="29" customFormat="false" ht="31.5" hidden="false" customHeight="true" outlineLevel="0" collapsed="false">
      <c r="A29" s="2"/>
      <c r="B29" s="18" t="s">
        <v>25</v>
      </c>
      <c r="C29" s="19" t="s">
        <v>26</v>
      </c>
      <c r="D29" s="2"/>
      <c r="E29" s="20" t="s">
        <v>27</v>
      </c>
      <c r="F29" s="20"/>
      <c r="G29" s="2"/>
      <c r="H29" s="2"/>
      <c r="I29" s="2"/>
      <c r="J29" s="2"/>
    </row>
    <row r="30" customFormat="false" ht="15" hidden="false" customHeight="false" outlineLevel="0" collapsed="false">
      <c r="A30" s="2"/>
      <c r="B30" s="2"/>
      <c r="C30" s="2"/>
      <c r="D30" s="2"/>
      <c r="E30" s="2"/>
      <c r="F30" s="2"/>
      <c r="G30" s="2"/>
      <c r="H30" s="2"/>
      <c r="I30" s="2"/>
      <c r="J30" s="2"/>
    </row>
    <row r="31" customFormat="false" ht="31.5" hidden="false" customHeight="true" outlineLevel="0" collapsed="false">
      <c r="A31" s="2"/>
      <c r="B31" s="18" t="s">
        <v>28</v>
      </c>
      <c r="C31" s="19" t="s">
        <v>29</v>
      </c>
      <c r="D31" s="2"/>
      <c r="E31" s="20" t="s">
        <v>30</v>
      </c>
      <c r="F31" s="20"/>
      <c r="G31" s="2"/>
      <c r="H31" s="2"/>
      <c r="I31" s="2"/>
      <c r="J31" s="2"/>
    </row>
    <row r="32" customFormat="false" ht="15" hidden="false" customHeight="false" outlineLevel="0" collapsed="false">
      <c r="A32" s="2"/>
      <c r="B32" s="2"/>
      <c r="C32" s="2"/>
      <c r="D32" s="2"/>
      <c r="E32" s="2"/>
      <c r="F32" s="2"/>
      <c r="G32" s="2"/>
      <c r="H32" s="2"/>
      <c r="I32" s="2"/>
      <c r="J32" s="2"/>
    </row>
    <row r="33" customFormat="false" ht="31.5" hidden="false" customHeight="true" outlineLevel="0" collapsed="false">
      <c r="A33" s="2"/>
      <c r="B33" s="18" t="s">
        <v>31</v>
      </c>
      <c r="C33" s="19" t="s">
        <v>32</v>
      </c>
      <c r="D33" s="2"/>
      <c r="E33" s="20" t="s">
        <v>33</v>
      </c>
      <c r="F33" s="20"/>
      <c r="G33" s="2"/>
      <c r="H33" s="2"/>
      <c r="I33" s="2"/>
      <c r="J33" s="2"/>
    </row>
    <row r="34" customFormat="false" ht="15" hidden="false" customHeight="false" outlineLevel="0" collapsed="false">
      <c r="A34" s="2"/>
      <c r="B34" s="2"/>
      <c r="C34" s="2"/>
      <c r="D34" s="2"/>
      <c r="E34" s="2"/>
      <c r="F34" s="2"/>
      <c r="G34" s="2"/>
      <c r="H34" s="2"/>
      <c r="I34" s="2"/>
      <c r="J34" s="2"/>
    </row>
    <row r="35" customFormat="false" ht="31.5" hidden="false" customHeight="true" outlineLevel="0" collapsed="false">
      <c r="A35" s="2"/>
      <c r="B35" s="18" t="s">
        <v>34</v>
      </c>
      <c r="C35" s="19" t="s">
        <v>35</v>
      </c>
      <c r="D35" s="2"/>
      <c r="E35" s="20" t="s">
        <v>36</v>
      </c>
      <c r="F35" s="20"/>
      <c r="G35" s="2"/>
      <c r="H35" s="2"/>
      <c r="I35" s="2"/>
      <c r="J35" s="2"/>
    </row>
    <row r="36" customFormat="false" ht="15" hidden="false" customHeight="false" outlineLevel="0" collapsed="false">
      <c r="A36" s="2"/>
      <c r="B36" s="2"/>
      <c r="C36" s="2"/>
      <c r="D36" s="2"/>
      <c r="E36" s="2"/>
      <c r="F36" s="2"/>
      <c r="G36" s="2"/>
      <c r="H36" s="2"/>
      <c r="I36" s="2"/>
      <c r="J36" s="2"/>
    </row>
    <row r="37" customFormat="false" ht="31.5" hidden="false" customHeight="true" outlineLevel="0" collapsed="false">
      <c r="A37" s="2"/>
      <c r="B37" s="18" t="s">
        <v>37</v>
      </c>
      <c r="C37" s="19" t="s">
        <v>38</v>
      </c>
      <c r="D37" s="2"/>
      <c r="E37" s="20" t="s">
        <v>39</v>
      </c>
      <c r="F37" s="20"/>
      <c r="G37" s="2"/>
      <c r="H37" s="2"/>
      <c r="I37" s="2"/>
      <c r="J37" s="2"/>
    </row>
    <row r="38" customFormat="false" ht="15" hidden="false" customHeight="false" outlineLevel="0" collapsed="false">
      <c r="A38" s="2"/>
      <c r="B38" s="2"/>
      <c r="C38" s="2"/>
      <c r="D38" s="2"/>
      <c r="E38" s="2"/>
      <c r="F38" s="2"/>
      <c r="G38" s="2"/>
      <c r="H38" s="2"/>
      <c r="I38" s="2"/>
      <c r="J38" s="2"/>
    </row>
    <row r="39" customFormat="false" ht="15" hidden="false" customHeight="false" outlineLevel="0" collapsed="false">
      <c r="A39" s="2"/>
      <c r="B39" s="2"/>
      <c r="C39" s="2"/>
      <c r="D39" s="2"/>
      <c r="E39" s="2"/>
      <c r="F39" s="2"/>
      <c r="G39" s="2"/>
      <c r="H39" s="2"/>
      <c r="I39" s="2"/>
      <c r="J39" s="2"/>
    </row>
    <row r="40" customFormat="false" ht="15" hidden="false" customHeight="false" outlineLevel="0" collapsed="false">
      <c r="A40" s="2"/>
      <c r="B40" s="2"/>
      <c r="C40" s="2"/>
      <c r="D40" s="2"/>
      <c r="E40" s="2"/>
      <c r="F40" s="2"/>
      <c r="G40" s="2"/>
      <c r="H40" s="2"/>
      <c r="I40" s="2"/>
      <c r="J40" s="2"/>
    </row>
    <row r="41" customFormat="false" ht="15" hidden="false" customHeight="false" outlineLevel="0" collapsed="false">
      <c r="A41" s="2"/>
      <c r="B41" s="2"/>
      <c r="C41" s="2"/>
      <c r="D41" s="2"/>
      <c r="E41" s="2"/>
      <c r="F41" s="2"/>
      <c r="G41" s="2"/>
      <c r="H41" s="2"/>
      <c r="I41" s="2"/>
      <c r="J41" s="2"/>
    </row>
    <row r="42" customFormat="false" ht="15" hidden="false" customHeight="false" outlineLevel="0" collapsed="false">
      <c r="A42" s="2"/>
      <c r="B42" s="2"/>
      <c r="C42" s="2"/>
      <c r="D42" s="2"/>
      <c r="E42" s="2"/>
      <c r="F42" s="2"/>
      <c r="G42" s="2"/>
      <c r="H42" s="2"/>
      <c r="I42" s="2"/>
      <c r="J42" s="2"/>
    </row>
    <row r="43" customFormat="false" ht="15" hidden="false" customHeight="false" outlineLevel="0" collapsed="false">
      <c r="A43" s="2"/>
      <c r="B43" s="2"/>
      <c r="C43" s="2"/>
      <c r="D43" s="2"/>
      <c r="E43" s="2"/>
      <c r="F43" s="2"/>
      <c r="G43" s="2"/>
      <c r="H43" s="2"/>
      <c r="I43" s="2"/>
      <c r="J43" s="2"/>
    </row>
    <row r="44" customFormat="false" ht="15" hidden="false" customHeight="false" outlineLevel="0" collapsed="false">
      <c r="A44" s="2"/>
      <c r="B44" s="2"/>
      <c r="C44" s="2"/>
      <c r="D44" s="2"/>
      <c r="E44" s="2"/>
      <c r="F44" s="2"/>
      <c r="G44" s="2"/>
      <c r="H44" s="2"/>
      <c r="I44" s="2"/>
      <c r="J44" s="2"/>
    </row>
    <row r="45" customFormat="false" ht="15" hidden="false" customHeight="false" outlineLevel="0" collapsed="false">
      <c r="A45" s="2"/>
      <c r="B45" s="2"/>
      <c r="C45" s="2"/>
      <c r="D45" s="2"/>
      <c r="E45" s="2"/>
      <c r="F45" s="2"/>
      <c r="G45" s="2"/>
      <c r="H45" s="2"/>
      <c r="I45" s="2"/>
      <c r="J45" s="2"/>
    </row>
    <row r="46" customFormat="false" ht="15" hidden="false" customHeight="false" outlineLevel="0" collapsed="false">
      <c r="A46" s="2"/>
      <c r="B46" s="2"/>
      <c r="C46" s="2"/>
      <c r="D46" s="2"/>
      <c r="E46" s="2"/>
      <c r="F46" s="2"/>
      <c r="G46" s="2"/>
      <c r="H46" s="2"/>
      <c r="I46" s="2"/>
      <c r="J46" s="2"/>
    </row>
    <row r="47" customFormat="false" ht="15" hidden="false" customHeight="false" outlineLevel="0" collapsed="false">
      <c r="A47" s="2"/>
      <c r="B47" s="2"/>
      <c r="C47" s="2"/>
      <c r="D47" s="2"/>
      <c r="E47" s="2"/>
      <c r="F47" s="2"/>
      <c r="G47" s="2"/>
      <c r="H47" s="2"/>
      <c r="I47" s="2"/>
      <c r="J47" s="2"/>
    </row>
    <row r="48" customFormat="false" ht="15" hidden="false" customHeight="false" outlineLevel="0" collapsed="false">
      <c r="A48" s="2"/>
      <c r="B48" s="2"/>
      <c r="C48" s="2"/>
      <c r="D48" s="2"/>
      <c r="E48" s="2"/>
      <c r="F48" s="2"/>
      <c r="G48" s="2"/>
      <c r="H48" s="2"/>
      <c r="I48" s="2"/>
      <c r="J48" s="2"/>
    </row>
    <row r="49" customFormat="false" ht="15" hidden="false" customHeight="false" outlineLevel="0" collapsed="false">
      <c r="A49" s="2"/>
      <c r="B49" s="2"/>
      <c r="C49" s="2"/>
      <c r="D49" s="2"/>
      <c r="E49" s="2"/>
      <c r="F49" s="2"/>
      <c r="G49" s="2"/>
      <c r="H49" s="2"/>
      <c r="I49" s="2"/>
      <c r="J49" s="2"/>
    </row>
    <row r="50" customFormat="false" ht="15" hidden="false" customHeight="false" outlineLevel="0" collapsed="false">
      <c r="A50" s="2"/>
      <c r="B50" s="2"/>
      <c r="C50" s="2"/>
      <c r="D50" s="2"/>
      <c r="E50" s="2"/>
      <c r="F50" s="2"/>
      <c r="G50" s="2"/>
      <c r="H50" s="2"/>
      <c r="I50" s="2"/>
      <c r="J50" s="2"/>
    </row>
  </sheetData>
  <mergeCells count="13">
    <mergeCell ref="B2:F2"/>
    <mergeCell ref="B3:F3"/>
    <mergeCell ref="B5:F5"/>
    <mergeCell ref="B10:F10"/>
    <mergeCell ref="B15:F15"/>
    <mergeCell ref="B23:F23"/>
    <mergeCell ref="E25:F25"/>
    <mergeCell ref="E27:F27"/>
    <mergeCell ref="E29:F29"/>
    <mergeCell ref="E31:F31"/>
    <mergeCell ref="E33:F33"/>
    <mergeCell ref="E35:F35"/>
    <mergeCell ref="E37:F37"/>
  </mergeCells>
  <hyperlinks>
    <hyperlink ref="B25" location="'Indata'!A1" display="Indata"/>
    <hyperlink ref="B27" location="'Resultat'!A1" display="Resultat"/>
    <hyperlink ref="B29" location="'Kassaflöde'!A1" display="Kassaflöde"/>
    <hyperlink ref="B31" location="'Finansiering'!A1" display="Finansiering"/>
    <hyperlink ref="B33" location="'Lönsamhetskontroll'!A1" display="Lönsamhetskontroll"/>
    <hyperlink ref="B35" location="'Beräkningslogik'!A1" display="Beräkningslogik"/>
    <hyperlink ref="B37" location="'Dokumentation'!A1" display="Dokument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18" min="3" style="1" width="14"/>
  </cols>
  <sheetData>
    <row r="1" customFormat="false" ht="17.25" hidden="false" customHeight="true" outlineLevel="0" collapsed="false">
      <c r="B1" s="21" t="s">
        <v>40</v>
      </c>
    </row>
    <row r="2" customFormat="false" ht="15" hidden="false" customHeight="true" outlineLevel="0" collapsed="false">
      <c r="B2" s="22" t="s">
        <v>41</v>
      </c>
    </row>
    <row r="4" customFormat="false" ht="15" hidden="false" customHeight="true" outlineLevel="0" collapsed="false">
      <c r="B4" s="23" t="s">
        <v>42</v>
      </c>
    </row>
    <row r="5" customFormat="false" ht="15" hidden="false" customHeight="true" outlineLevel="0" collapsed="false">
      <c r="B5" s="1" t="s">
        <v>43</v>
      </c>
      <c r="C5" s="24" t="n">
        <v>2026</v>
      </c>
      <c r="D5" s="25" t="s">
        <v>44</v>
      </c>
      <c r="E5" s="22" t="s">
        <v>45</v>
      </c>
    </row>
    <row r="6" customFormat="false" ht="15" hidden="false" customHeight="true" outlineLevel="0" collapsed="false">
      <c r="B6" s="1" t="s">
        <v>46</v>
      </c>
      <c r="C6" s="26" t="n">
        <v>0.05</v>
      </c>
      <c r="D6" s="25" t="s">
        <v>47</v>
      </c>
      <c r="E6" s="22" t="s">
        <v>48</v>
      </c>
    </row>
    <row r="7" customFormat="false" ht="15" hidden="false" customHeight="true" outlineLevel="0" collapsed="false">
      <c r="B7" s="1" t="s">
        <v>49</v>
      </c>
      <c r="C7" s="26" t="n">
        <v>0.04</v>
      </c>
      <c r="D7" s="25" t="s">
        <v>47</v>
      </c>
      <c r="E7" s="22" t="s">
        <v>50</v>
      </c>
    </row>
    <row r="8" customFormat="false" ht="15" hidden="false" customHeight="true" outlineLevel="0" collapsed="false">
      <c r="B8" s="1" t="s">
        <v>51</v>
      </c>
      <c r="C8" s="26" t="n">
        <v>0.02</v>
      </c>
      <c r="D8" s="25" t="s">
        <v>47</v>
      </c>
      <c r="E8" s="22" t="s">
        <v>52</v>
      </c>
    </row>
    <row r="9" customFormat="false" ht="15" hidden="false" customHeight="true" outlineLevel="0" collapsed="false">
      <c r="B9" s="1" t="s">
        <v>53</v>
      </c>
      <c r="C9" s="27" t="n">
        <f aca="false">C6+C8</f>
        <v>0.07</v>
      </c>
      <c r="D9" s="25" t="s">
        <v>47</v>
      </c>
      <c r="E9" s="22" t="s">
        <v>54</v>
      </c>
    </row>
    <row r="10" customFormat="false" ht="15" hidden="false" customHeight="true" outlineLevel="0" collapsed="false">
      <c r="B10" s="1" t="s">
        <v>55</v>
      </c>
      <c r="C10" s="26" t="n">
        <v>0.206</v>
      </c>
      <c r="D10" s="25" t="s">
        <v>47</v>
      </c>
      <c r="E10" s="22" t="s">
        <v>56</v>
      </c>
    </row>
    <row r="11" customFormat="false" ht="15" hidden="false" customHeight="true" outlineLevel="0" collapsed="false">
      <c r="B11" s="1" t="s">
        <v>57</v>
      </c>
      <c r="C11" s="26" t="n">
        <v>0</v>
      </c>
      <c r="D11" s="25" t="s">
        <v>47</v>
      </c>
      <c r="E11" s="22" t="s">
        <v>58</v>
      </c>
    </row>
    <row r="12" customFormat="false" ht="15" hidden="false" customHeight="true" outlineLevel="0" collapsed="false">
      <c r="B12" s="1" t="s">
        <v>59</v>
      </c>
      <c r="C12" s="26" t="n">
        <v>1</v>
      </c>
      <c r="D12" s="25" t="s">
        <v>47</v>
      </c>
      <c r="E12" s="22"/>
    </row>
    <row r="13" customFormat="false" ht="15" hidden="false" customHeight="true" outlineLevel="0" collapsed="false">
      <c r="B13" s="1" t="s">
        <v>60</v>
      </c>
      <c r="C13" s="26" t="n">
        <v>1</v>
      </c>
      <c r="D13" s="25" t="s">
        <v>47</v>
      </c>
      <c r="E13" s="22"/>
    </row>
    <row r="15" customFormat="false" ht="15" hidden="false" customHeight="true" outlineLevel="0" collapsed="false">
      <c r="B15" s="23" t="s">
        <v>61</v>
      </c>
    </row>
    <row r="16" customFormat="false" ht="15" hidden="false" customHeight="true" outlineLevel="0" collapsed="false">
      <c r="B16" s="1" t="s">
        <v>62</v>
      </c>
      <c r="C16" s="24" t="n">
        <v>20</v>
      </c>
      <c r="D16" s="25" t="s">
        <v>44</v>
      </c>
      <c r="E16" s="22" t="s">
        <v>63</v>
      </c>
    </row>
    <row r="17" customFormat="false" ht="15" hidden="false" customHeight="true" outlineLevel="0" collapsed="false">
      <c r="B17" s="1" t="s">
        <v>64</v>
      </c>
      <c r="C17" s="24" t="n">
        <v>200000000</v>
      </c>
      <c r="D17" s="25" t="s">
        <v>65</v>
      </c>
      <c r="E17" s="22" t="s">
        <v>66</v>
      </c>
    </row>
    <row r="18" customFormat="false" ht="15" hidden="false" customHeight="true" outlineLevel="0" collapsed="false">
      <c r="B18" s="1" t="s">
        <v>67</v>
      </c>
      <c r="C18" s="26" t="n">
        <v>0.03</v>
      </c>
      <c r="D18" s="25" t="s">
        <v>47</v>
      </c>
      <c r="E18" s="22" t="s">
        <v>68</v>
      </c>
    </row>
    <row r="19" customFormat="false" ht="15" hidden="false" customHeight="true" outlineLevel="0" collapsed="false">
      <c r="B19" s="1" t="s">
        <v>69</v>
      </c>
      <c r="C19" s="28" t="n">
        <f aca="false">ROUND(1/C18,0)</f>
        <v>33</v>
      </c>
      <c r="D19" s="25" t="s">
        <v>44</v>
      </c>
      <c r="E19" s="22" t="s">
        <v>70</v>
      </c>
    </row>
    <row r="20" customFormat="false" ht="15" hidden="false" customHeight="true" outlineLevel="0" collapsed="false">
      <c r="B20" s="1" t="s">
        <v>71</v>
      </c>
      <c r="C20" s="24" t="n">
        <v>10000</v>
      </c>
      <c r="D20" s="25" t="s">
        <v>72</v>
      </c>
      <c r="E20" s="22" t="s">
        <v>73</v>
      </c>
    </row>
    <row r="21" customFormat="false" ht="15" hidden="false" customHeight="true" outlineLevel="0" collapsed="false">
      <c r="B21" s="1" t="s">
        <v>74</v>
      </c>
      <c r="C21" s="24" t="n">
        <v>500</v>
      </c>
      <c r="D21" s="25" t="s">
        <v>75</v>
      </c>
      <c r="E21" s="22" t="s">
        <v>76</v>
      </c>
    </row>
    <row r="22" customFormat="false" ht="15" hidden="false" customHeight="true" outlineLevel="0" collapsed="false">
      <c r="B22" s="1" t="s">
        <v>77</v>
      </c>
      <c r="C22" s="28" t="n">
        <f aca="false">C20*C21</f>
        <v>5000000</v>
      </c>
      <c r="D22" s="25" t="s">
        <v>65</v>
      </c>
      <c r="E22" s="22" t="s">
        <v>70</v>
      </c>
    </row>
    <row r="23" customFormat="false" ht="15" hidden="false" customHeight="true" outlineLevel="0" collapsed="false">
      <c r="B23" s="29" t="s">
        <v>78</v>
      </c>
      <c r="C23" s="30" t="s">
        <v>79</v>
      </c>
      <c r="E23" s="22" t="s">
        <v>80</v>
      </c>
    </row>
    <row r="24" customFormat="false" ht="15" hidden="false" customHeight="true" outlineLevel="0" collapsed="false">
      <c r="B24" s="23" t="s">
        <v>81</v>
      </c>
    </row>
    <row r="25" customFormat="false" ht="27.75" hidden="false" customHeight="true" outlineLevel="0" collapsed="false">
      <c r="B25" s="31" t="s">
        <v>82</v>
      </c>
      <c r="C25" s="31" t="s">
        <v>83</v>
      </c>
      <c r="D25" s="31" t="s">
        <v>84</v>
      </c>
      <c r="E25" s="31" t="s">
        <v>85</v>
      </c>
      <c r="F25" s="31" t="s">
        <v>86</v>
      </c>
      <c r="G25" s="31" t="s">
        <v>87</v>
      </c>
      <c r="H25" s="31" t="s">
        <v>88</v>
      </c>
      <c r="I25" s="31" t="s">
        <v>87</v>
      </c>
      <c r="J25" s="31" t="s">
        <v>89</v>
      </c>
      <c r="K25" s="31" t="s">
        <v>90</v>
      </c>
      <c r="L25" s="31" t="s">
        <v>91</v>
      </c>
      <c r="M25" s="31" t="s">
        <v>92</v>
      </c>
      <c r="N25" s="31" t="s">
        <v>93</v>
      </c>
      <c r="O25" s="31" t="s">
        <v>94</v>
      </c>
      <c r="P25" s="31" t="s">
        <v>95</v>
      </c>
      <c r="Q25" s="31" t="s">
        <v>96</v>
      </c>
      <c r="R25" s="31" t="s">
        <v>97</v>
      </c>
    </row>
    <row r="26" customFormat="false" ht="15" hidden="false" customHeight="true" outlineLevel="0" collapsed="false">
      <c r="B26" s="30" t="s">
        <v>98</v>
      </c>
      <c r="C26" s="30" t="s">
        <v>99</v>
      </c>
      <c r="D26" s="24" t="n">
        <v>0</v>
      </c>
      <c r="E26" s="24" t="n">
        <v>5000</v>
      </c>
      <c r="F26" s="24" t="n">
        <f aca="false">D26+E26</f>
        <v>5000</v>
      </c>
      <c r="G26" s="32" t="n">
        <v>0</v>
      </c>
      <c r="H26" s="33" t="n">
        <v>0.7</v>
      </c>
      <c r="I26" s="34" t="n">
        <v>0</v>
      </c>
      <c r="J26" s="35" t="n">
        <f aca="false">IFERROR(R26/$R$31,0)</f>
        <v>1</v>
      </c>
      <c r="K26" s="36" t="n">
        <v>2026</v>
      </c>
      <c r="L26" s="36" t="n">
        <v>2045</v>
      </c>
      <c r="M26" s="24"/>
      <c r="N26" s="33" t="n">
        <v>0</v>
      </c>
      <c r="O26" s="36" t="n">
        <v>2025</v>
      </c>
      <c r="P26" s="36" t="n">
        <v>2026</v>
      </c>
      <c r="Q26" s="24" t="n">
        <v>40000</v>
      </c>
      <c r="R26" s="24" t="n">
        <f aca="false">IFERROR(Q26*F26,0)</f>
        <v>200000000</v>
      </c>
    </row>
    <row r="27" customFormat="false" ht="15" hidden="false" customHeight="true" outlineLevel="0" collapsed="false">
      <c r="B27" s="30"/>
      <c r="C27" s="30"/>
      <c r="D27" s="24"/>
      <c r="E27" s="24"/>
      <c r="F27" s="24" t="n">
        <f aca="false">D27+E27</f>
        <v>0</v>
      </c>
      <c r="G27" s="32" t="n">
        <v>0</v>
      </c>
      <c r="H27" s="33"/>
      <c r="I27" s="34" t="n">
        <v>0</v>
      </c>
      <c r="J27" s="35" t="n">
        <f aca="false">IFERROR(R27/$R$31,0)</f>
        <v>0</v>
      </c>
      <c r="K27" s="36"/>
      <c r="L27" s="36"/>
      <c r="M27" s="24"/>
      <c r="N27" s="33"/>
      <c r="O27" s="36"/>
      <c r="P27" s="36"/>
      <c r="Q27" s="24"/>
      <c r="R27" s="24" t="n">
        <f aca="false">IFERROR(Q27*F27,0)</f>
        <v>0</v>
      </c>
    </row>
    <row r="28" customFormat="false" ht="15" hidden="false" customHeight="true" outlineLevel="0" collapsed="false">
      <c r="B28" s="30"/>
      <c r="C28" s="30"/>
      <c r="D28" s="24"/>
      <c r="E28" s="24"/>
      <c r="F28" s="24" t="n">
        <f aca="false">D28+E28</f>
        <v>0</v>
      </c>
      <c r="G28" s="32" t="n">
        <v>0</v>
      </c>
      <c r="H28" s="33"/>
      <c r="I28" s="34" t="n">
        <v>0</v>
      </c>
      <c r="J28" s="35" t="n">
        <f aca="false">IFERROR(R28/$R$31,0)</f>
        <v>0</v>
      </c>
      <c r="K28" s="36"/>
      <c r="L28" s="36"/>
      <c r="M28" s="24"/>
      <c r="N28" s="33"/>
      <c r="O28" s="36"/>
      <c r="P28" s="36"/>
      <c r="Q28" s="24"/>
      <c r="R28" s="24" t="n">
        <f aca="false">IFERROR(Q28*F28,0)</f>
        <v>0</v>
      </c>
    </row>
    <row r="29" customFormat="false" ht="15" hidden="false" customHeight="true" outlineLevel="0" collapsed="false">
      <c r="B29" s="30"/>
      <c r="C29" s="30"/>
      <c r="D29" s="24"/>
      <c r="E29" s="24"/>
      <c r="F29" s="24" t="n">
        <f aca="false">D29+E29</f>
        <v>0</v>
      </c>
      <c r="G29" s="32" t="n">
        <v>0</v>
      </c>
      <c r="H29" s="33"/>
      <c r="I29" s="34" t="n">
        <v>0</v>
      </c>
      <c r="J29" s="35" t="n">
        <f aca="false">IFERROR(R29/$R$31,0)</f>
        <v>0</v>
      </c>
      <c r="K29" s="36"/>
      <c r="L29" s="36"/>
      <c r="M29" s="24"/>
      <c r="N29" s="33"/>
      <c r="O29" s="36"/>
      <c r="P29" s="36"/>
      <c r="Q29" s="24"/>
      <c r="R29" s="24" t="n">
        <f aca="false">IFERROR(Q29*F29,0)</f>
        <v>0</v>
      </c>
    </row>
    <row r="30" customFormat="false" ht="15" hidden="false" customHeight="true" outlineLevel="0" collapsed="false">
      <c r="B30" s="30"/>
      <c r="C30" s="30"/>
      <c r="D30" s="24"/>
      <c r="E30" s="24"/>
      <c r="F30" s="24" t="n">
        <f aca="false">D30+E30</f>
        <v>0</v>
      </c>
      <c r="G30" s="32" t="n">
        <v>0</v>
      </c>
      <c r="H30" s="33"/>
      <c r="I30" s="34" t="n">
        <v>0</v>
      </c>
      <c r="J30" s="35" t="n">
        <f aca="false">IFERROR(R30/$R$31,0)</f>
        <v>0</v>
      </c>
      <c r="K30" s="36"/>
      <c r="L30" s="36"/>
      <c r="M30" s="24"/>
      <c r="N30" s="33"/>
      <c r="O30" s="36"/>
      <c r="P30" s="36"/>
      <c r="Q30" s="24"/>
      <c r="R30" s="24" t="n">
        <f aca="false">IFERROR(Q30*F30,0)</f>
        <v>0</v>
      </c>
    </row>
    <row r="31" customFormat="false" ht="15" hidden="false" customHeight="true" outlineLevel="0" collapsed="false">
      <c r="B31" s="37" t="s">
        <v>100</v>
      </c>
      <c r="C31" s="38"/>
      <c r="D31" s="39" t="n">
        <f aca="false">SUM(D26:D30)</f>
        <v>0</v>
      </c>
      <c r="E31" s="39" t="n">
        <f aca="false">SUM(E26:E30)</f>
        <v>5000</v>
      </c>
      <c r="F31" s="39" t="n">
        <f aca="false">SUM(F26:F30)</f>
        <v>5000</v>
      </c>
      <c r="G31" s="38"/>
      <c r="H31" s="38"/>
      <c r="I31" s="38"/>
      <c r="J31" s="38"/>
      <c r="K31" s="38"/>
      <c r="L31" s="38"/>
      <c r="M31" s="38"/>
      <c r="N31" s="38"/>
      <c r="O31" s="38"/>
      <c r="P31" s="38"/>
      <c r="Q31" s="38"/>
      <c r="R31" s="39" t="n">
        <f aca="false">SUM(R26:R30)</f>
        <v>200000000</v>
      </c>
    </row>
    <row r="32" customFormat="false" ht="15" hidden="false" customHeight="true" outlineLevel="0" collapsed="false">
      <c r="B32" s="40" t="s">
        <v>101</v>
      </c>
      <c r="C32" s="40"/>
      <c r="D32" s="40"/>
      <c r="E32" s="40"/>
      <c r="F32" s="40"/>
      <c r="G32" s="40"/>
      <c r="H32" s="40"/>
      <c r="I32" s="40"/>
      <c r="J32" s="40"/>
      <c r="K32" s="40"/>
      <c r="L32" s="40"/>
      <c r="M32" s="40"/>
      <c r="N32" s="40"/>
      <c r="O32" s="40"/>
      <c r="P32" s="40"/>
      <c r="Q32" s="40"/>
      <c r="R32" s="40"/>
    </row>
    <row r="34" customFormat="false" ht="15" hidden="false" customHeight="true" outlineLevel="0" collapsed="false">
      <c r="B34" s="23" t="s">
        <v>102</v>
      </c>
    </row>
    <row r="35" customFormat="false" ht="15" hidden="false" customHeight="true" outlineLevel="0" collapsed="false">
      <c r="B35" s="37" t="s">
        <v>103</v>
      </c>
      <c r="C35" s="37" t="s">
        <v>104</v>
      </c>
      <c r="D35" s="37" t="s">
        <v>105</v>
      </c>
      <c r="E35" s="37" t="s">
        <v>106</v>
      </c>
      <c r="F35" s="37" t="s">
        <v>107</v>
      </c>
    </row>
    <row r="36" customFormat="false" ht="15" hidden="false" customHeight="true" outlineLevel="0" collapsed="false">
      <c r="B36" s="1" t="s">
        <v>108</v>
      </c>
      <c r="C36" s="24" t="n">
        <v>0</v>
      </c>
      <c r="D36" s="24" t="n">
        <v>50</v>
      </c>
      <c r="E36" s="33" t="n">
        <v>0</v>
      </c>
      <c r="F36" s="33" t="n">
        <v>0</v>
      </c>
    </row>
    <row r="37" customFormat="false" ht="15" hidden="false" customHeight="true" outlineLevel="0" collapsed="false">
      <c r="B37" s="1" t="s">
        <v>109</v>
      </c>
      <c r="C37" s="24" t="n">
        <v>0</v>
      </c>
      <c r="D37" s="24" t="n">
        <v>30</v>
      </c>
      <c r="E37" s="33" t="n">
        <v>0</v>
      </c>
      <c r="F37" s="33" t="n">
        <v>0</v>
      </c>
    </row>
    <row r="38" customFormat="false" ht="15" hidden="false" customHeight="true" outlineLevel="0" collapsed="false">
      <c r="B38" s="1" t="s">
        <v>110</v>
      </c>
      <c r="C38" s="24" t="n">
        <v>0</v>
      </c>
      <c r="D38" s="24" t="n">
        <v>40</v>
      </c>
      <c r="E38" s="33" t="n">
        <v>0</v>
      </c>
      <c r="F38" s="33" t="n">
        <v>0</v>
      </c>
    </row>
    <row r="39" customFormat="false" ht="15" hidden="false" customHeight="true" outlineLevel="0" collapsed="false">
      <c r="B39" s="1" t="s">
        <v>111</v>
      </c>
      <c r="C39" s="24" t="n">
        <v>0</v>
      </c>
      <c r="D39" s="24" t="n">
        <v>150</v>
      </c>
      <c r="E39" s="33" t="n">
        <v>0</v>
      </c>
      <c r="F39" s="33" t="n">
        <v>0</v>
      </c>
    </row>
    <row r="40" customFormat="false" ht="15" hidden="false" customHeight="true" outlineLevel="0" collapsed="false">
      <c r="B40" s="1" t="s">
        <v>112</v>
      </c>
      <c r="C40" s="24" t="n">
        <v>0</v>
      </c>
      <c r="D40" s="24" t="n">
        <v>130</v>
      </c>
      <c r="E40" s="33" t="n">
        <v>0</v>
      </c>
      <c r="F40" s="33" t="n">
        <v>0</v>
      </c>
    </row>
    <row r="41" customFormat="false" ht="15" hidden="false" customHeight="true" outlineLevel="0" collapsed="false">
      <c r="B41" s="41" t="s">
        <v>113</v>
      </c>
      <c r="C41" s="42" t="n">
        <f aca="false">SUM(C36:C40)</f>
        <v>0</v>
      </c>
      <c r="D41" s="42" t="n">
        <f aca="false">SUM(D36:D40)</f>
        <v>400</v>
      </c>
    </row>
    <row r="43" customFormat="false" ht="15" hidden="false" customHeight="true" outlineLevel="0" collapsed="false">
      <c r="B43" s="23" t="s">
        <v>114</v>
      </c>
    </row>
    <row r="44" customFormat="false" ht="15" hidden="false" customHeight="true" outlineLevel="0" collapsed="false">
      <c r="B44" s="37" t="s">
        <v>115</v>
      </c>
      <c r="C44" s="37" t="s">
        <v>116</v>
      </c>
      <c r="D44" s="37" t="s">
        <v>117</v>
      </c>
      <c r="E44" s="37" t="s">
        <v>75</v>
      </c>
      <c r="F44" s="37" t="s">
        <v>86</v>
      </c>
    </row>
    <row r="45" customFormat="false" ht="15" hidden="false" customHeight="true" outlineLevel="0" collapsed="false">
      <c r="B45" s="30"/>
      <c r="C45" s="30"/>
      <c r="D45" s="36"/>
      <c r="E45" s="24"/>
      <c r="F45" s="28" t="n">
        <f aca="false">IFERROR(E45*VLOOKUP(C45,B26:F30,5,FALSE()),0)</f>
        <v>0</v>
      </c>
    </row>
    <row r="46" customFormat="false" ht="15" hidden="false" customHeight="true" outlineLevel="0" collapsed="false">
      <c r="B46" s="30"/>
      <c r="C46" s="30"/>
      <c r="D46" s="36"/>
      <c r="E46" s="24"/>
      <c r="F46" s="28" t="n">
        <f aca="false">IFERROR(E46*VLOOKUP(C46,B26:F30,5,FALSE()),0)</f>
        <v>0</v>
      </c>
    </row>
    <row r="47" customFormat="false" ht="15" hidden="false" customHeight="true" outlineLevel="0" collapsed="false">
      <c r="B47" s="30"/>
      <c r="C47" s="30"/>
      <c r="D47" s="36"/>
      <c r="E47" s="24"/>
      <c r="F47" s="28" t="n">
        <f aca="false">IFERROR(E47*VLOOKUP(C47,B26:F30,5,FALSE()),0)</f>
        <v>0</v>
      </c>
    </row>
    <row r="48" customFormat="false" ht="15" hidden="false" customHeight="true" outlineLevel="0" collapsed="false">
      <c r="B48" s="30"/>
      <c r="C48" s="30"/>
      <c r="D48" s="36"/>
      <c r="E48" s="24"/>
      <c r="F48" s="28" t="n">
        <f aca="false">IFERROR(E48*VLOOKUP(C48,B26:F30,5,FALSE()),0)</f>
        <v>0</v>
      </c>
    </row>
    <row r="49" customFormat="false" ht="15" hidden="false" customHeight="true" outlineLevel="0" collapsed="false">
      <c r="B49" s="30"/>
      <c r="C49" s="30"/>
      <c r="D49" s="36"/>
      <c r="E49" s="24"/>
      <c r="F49" s="28" t="n">
        <f aca="false">IFERROR(E49*VLOOKUP(C49,B26:F30,5,FALSE()),0)</f>
        <v>0</v>
      </c>
    </row>
    <row r="50" customFormat="false" ht="15" hidden="false" customHeight="true" outlineLevel="0" collapsed="false">
      <c r="B50" s="30"/>
      <c r="C50" s="30"/>
      <c r="D50" s="36"/>
      <c r="E50" s="24"/>
      <c r="F50" s="28" t="n">
        <f aca="false">IFERROR(E50*VLOOKUP(C50,B26:F30,5,FALSE()),0)</f>
        <v>0</v>
      </c>
    </row>
    <row r="52" customFormat="false" ht="15" hidden="false" customHeight="true" outlineLevel="0" collapsed="false">
      <c r="B52" s="23" t="s">
        <v>118</v>
      </c>
    </row>
    <row r="53" customFormat="false" ht="15" hidden="false" customHeight="true" outlineLevel="0" collapsed="false">
      <c r="B53" s="1" t="s">
        <v>119</v>
      </c>
      <c r="C53" s="24" t="n">
        <v>80</v>
      </c>
      <c r="D53" s="25" t="s">
        <v>75</v>
      </c>
      <c r="E53" s="22" t="s">
        <v>120</v>
      </c>
    </row>
    <row r="54" customFormat="false" ht="15" hidden="false" customHeight="true" outlineLevel="0" collapsed="false">
      <c r="B54" s="1" t="s">
        <v>121</v>
      </c>
      <c r="C54" s="26" t="n">
        <v>0</v>
      </c>
      <c r="D54" s="25" t="s">
        <v>47</v>
      </c>
    </row>
    <row r="55" customFormat="false" ht="15" hidden="false" customHeight="true" outlineLevel="0" collapsed="false">
      <c r="B55" s="1" t="s">
        <v>122</v>
      </c>
      <c r="C55" s="24" t="n">
        <v>0</v>
      </c>
      <c r="D55" s="25" t="s">
        <v>65</v>
      </c>
    </row>
    <row r="56" customFormat="false" ht="15" hidden="false" customHeight="true" outlineLevel="0" collapsed="false">
      <c r="B56" s="1" t="s">
        <v>123</v>
      </c>
      <c r="C56" s="24" t="n">
        <v>0</v>
      </c>
      <c r="D56" s="25" t="s">
        <v>124</v>
      </c>
    </row>
    <row r="57" customFormat="false" ht="15" hidden="false" customHeight="true" outlineLevel="0" collapsed="false">
      <c r="B57" s="1" t="s">
        <v>125</v>
      </c>
      <c r="C57" s="24" t="n">
        <v>0</v>
      </c>
      <c r="D57" s="25" t="s">
        <v>65</v>
      </c>
      <c r="E57" s="22" t="s">
        <v>126</v>
      </c>
    </row>
    <row r="58" customFormat="false" ht="15" hidden="false" customHeight="true" outlineLevel="0" collapsed="false">
      <c r="B58" s="1" t="s">
        <v>127</v>
      </c>
      <c r="C58" s="24" t="n">
        <v>0</v>
      </c>
      <c r="D58" s="25" t="s">
        <v>65</v>
      </c>
      <c r="E58" s="22" t="s">
        <v>128</v>
      </c>
    </row>
    <row r="60" customFormat="false" ht="15" hidden="false" customHeight="true" outlineLevel="0" collapsed="false">
      <c r="B60" s="23" t="s">
        <v>129</v>
      </c>
    </row>
    <row r="61" customFormat="false" ht="15" hidden="false" customHeight="true" outlineLevel="0" collapsed="false">
      <c r="B61" s="1" t="s">
        <v>130</v>
      </c>
      <c r="C61" s="26" t="n">
        <v>0.03</v>
      </c>
      <c r="D61" s="25" t="s">
        <v>47</v>
      </c>
      <c r="E61" s="22"/>
    </row>
    <row r="62" customFormat="false" ht="15" hidden="false" customHeight="true" outlineLevel="0" collapsed="false">
      <c r="B62" s="1" t="s">
        <v>131</v>
      </c>
      <c r="C62" s="26" t="n">
        <v>0.04</v>
      </c>
      <c r="D62" s="25" t="s">
        <v>47</v>
      </c>
      <c r="E62" s="22"/>
    </row>
    <row r="63" customFormat="false" ht="15" hidden="false" customHeight="true" outlineLevel="0" collapsed="false">
      <c r="B63" s="1" t="s">
        <v>132</v>
      </c>
      <c r="C63" s="26" t="n">
        <v>0.02</v>
      </c>
      <c r="D63" s="25" t="s">
        <v>47</v>
      </c>
      <c r="E63" s="22"/>
    </row>
    <row r="64" customFormat="false" ht="15" hidden="false" customHeight="true" outlineLevel="0" collapsed="false">
      <c r="B64" s="1" t="s">
        <v>133</v>
      </c>
      <c r="C64" s="26" t="n">
        <v>0.37</v>
      </c>
      <c r="D64" s="25" t="s">
        <v>47</v>
      </c>
      <c r="E64" s="22" t="s">
        <v>134</v>
      </c>
    </row>
    <row r="65" customFormat="false" ht="15" hidden="false" customHeight="true" outlineLevel="0" collapsed="false">
      <c r="B65" s="1" t="s">
        <v>135</v>
      </c>
      <c r="C65" s="26" t="n">
        <v>0.063</v>
      </c>
      <c r="D65" s="25" t="s">
        <v>47</v>
      </c>
      <c r="E65" s="22" t="s">
        <v>136</v>
      </c>
    </row>
    <row r="67" customFormat="false" ht="15" hidden="false" customHeight="true" outlineLevel="0" collapsed="false">
      <c r="B67" s="23" t="s">
        <v>137</v>
      </c>
    </row>
    <row r="68" customFormat="false" ht="15" hidden="false" customHeight="true" outlineLevel="0" collapsed="false">
      <c r="B68" s="1" t="s">
        <v>138</v>
      </c>
      <c r="C68" s="33" t="n">
        <v>0.1</v>
      </c>
      <c r="D68" s="25" t="s">
        <v>47</v>
      </c>
      <c r="E68" s="22" t="s">
        <v>139</v>
      </c>
    </row>
  </sheetData>
  <mergeCells count="1">
    <mergeCell ref="B32:R32"/>
  </mergeCells>
  <dataValidations count="2">
    <dataValidation allowBlank="false" errorStyle="stop" operator="between" showDropDown="false" showErrorMessage="false" showInputMessage="false" sqref="C23" type="list">
      <formula1>"Beräkna,Ange"</formula1>
      <formula2>0</formula2>
    </dataValidation>
    <dataValidation allowBlank="true" errorStyle="stop" operator="between" showDropDown="false" showErrorMessage="false" showInputMessage="false" sqref="C26:C30" type="list">
      <formula1>"Bef,Omb,Nyb,Ins,Mar"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18"/>
    <col collapsed="false" customWidth="true" hidden="false" outlineLevel="0" max="28" min="4" style="1" width="13"/>
  </cols>
  <sheetData>
    <row r="1" customFormat="false" ht="17.25" hidden="false" customHeight="true" outlineLevel="0" collapsed="false">
      <c r="B1" s="21" t="s">
        <v>140</v>
      </c>
    </row>
    <row r="3" customFormat="false" ht="15" hidden="false" customHeight="true" outlineLevel="0" collapsed="false">
      <c r="B3" s="41" t="s">
        <v>141</v>
      </c>
      <c r="D3" s="43" t="n">
        <f aca="false">Indata!$C$5+0</f>
        <v>2026</v>
      </c>
      <c r="E3" s="43" t="n">
        <f aca="false">Indata!$C$5+1</f>
        <v>2027</v>
      </c>
      <c r="F3" s="43" t="n">
        <f aca="false">Indata!$C$5+2</f>
        <v>2028</v>
      </c>
      <c r="G3" s="43" t="n">
        <f aca="false">Indata!$C$5+3</f>
        <v>2029</v>
      </c>
      <c r="H3" s="43" t="n">
        <f aca="false">Indata!$C$5+4</f>
        <v>2030</v>
      </c>
      <c r="I3" s="43" t="n">
        <f aca="false">Indata!$C$5+5</f>
        <v>2031</v>
      </c>
      <c r="J3" s="43" t="n">
        <f aca="false">Indata!$C$5+6</f>
        <v>2032</v>
      </c>
      <c r="K3" s="43" t="n">
        <f aca="false">Indata!$C$5+7</f>
        <v>2033</v>
      </c>
      <c r="L3" s="43" t="n">
        <f aca="false">Indata!$C$5+8</f>
        <v>2034</v>
      </c>
      <c r="M3" s="43" t="n">
        <f aca="false">Indata!$C$5+9</f>
        <v>2035</v>
      </c>
      <c r="N3" s="43" t="n">
        <f aca="false">Indata!$C$5+10</f>
        <v>2036</v>
      </c>
      <c r="O3" s="43" t="n">
        <f aca="false">Indata!$C$5+11</f>
        <v>2037</v>
      </c>
      <c r="P3" s="43" t="n">
        <f aca="false">Indata!$C$5+12</f>
        <v>2038</v>
      </c>
      <c r="Q3" s="43" t="n">
        <f aca="false">Indata!$C$5+13</f>
        <v>2039</v>
      </c>
      <c r="R3" s="43" t="n">
        <f aca="false">Indata!$C$5+14</f>
        <v>2040</v>
      </c>
      <c r="S3" s="43" t="n">
        <f aca="false">Indata!$C$5+15</f>
        <v>2041</v>
      </c>
      <c r="T3" s="43" t="n">
        <f aca="false">Indata!$C$5+16</f>
        <v>2042</v>
      </c>
      <c r="U3" s="43" t="n">
        <f aca="false">Indata!$C$5+17</f>
        <v>2043</v>
      </c>
      <c r="V3" s="43" t="n">
        <f aca="false">Indata!$C$5+18</f>
        <v>2044</v>
      </c>
      <c r="W3" s="43" t="n">
        <f aca="false">Indata!$C$5+19</f>
        <v>2045</v>
      </c>
      <c r="X3" s="43" t="n">
        <f aca="false">Indata!$C$5+20</f>
        <v>2046</v>
      </c>
      <c r="Y3" s="43" t="n">
        <f aca="false">Indata!$C$5+21</f>
        <v>2047</v>
      </c>
      <c r="Z3" s="43" t="n">
        <f aca="false">Indata!$C$5+22</f>
        <v>2048</v>
      </c>
      <c r="AA3" s="43" t="n">
        <f aca="false">Indata!$C$5+23</f>
        <v>2049</v>
      </c>
      <c r="AB3" s="43" t="n">
        <f aca="false">Indata!$C$5+24</f>
        <v>2050</v>
      </c>
    </row>
    <row r="4" customFormat="false" ht="15" hidden="false" customHeight="true" outlineLevel="0" collapsed="false">
      <c r="B4" s="22" t="s">
        <v>142</v>
      </c>
      <c r="D4" s="44" t="n">
        <v>1</v>
      </c>
      <c r="E4" s="44" t="n">
        <v>2</v>
      </c>
      <c r="F4" s="44" t="n">
        <v>3</v>
      </c>
      <c r="G4" s="44" t="n">
        <v>4</v>
      </c>
      <c r="H4" s="44" t="n">
        <v>5</v>
      </c>
      <c r="I4" s="44" t="n">
        <v>6</v>
      </c>
      <c r="J4" s="44" t="n">
        <v>7</v>
      </c>
      <c r="K4" s="44" t="n">
        <v>8</v>
      </c>
      <c r="L4" s="44" t="n">
        <v>9</v>
      </c>
      <c r="M4" s="44" t="n">
        <v>10</v>
      </c>
      <c r="N4" s="44" t="n">
        <v>11</v>
      </c>
      <c r="O4" s="44" t="n">
        <v>12</v>
      </c>
      <c r="P4" s="44" t="n">
        <v>13</v>
      </c>
      <c r="Q4" s="44" t="n">
        <v>14</v>
      </c>
      <c r="R4" s="44" t="n">
        <v>15</v>
      </c>
      <c r="S4" s="44" t="n">
        <v>16</v>
      </c>
      <c r="T4" s="44" t="n">
        <v>17</v>
      </c>
      <c r="U4" s="44" t="n">
        <v>18</v>
      </c>
      <c r="V4" s="44" t="n">
        <v>19</v>
      </c>
      <c r="W4" s="44" t="n">
        <v>20</v>
      </c>
      <c r="X4" s="44" t="n">
        <v>21</v>
      </c>
      <c r="Y4" s="44" t="n">
        <v>22</v>
      </c>
      <c r="Z4" s="44" t="n">
        <v>23</v>
      </c>
      <c r="AA4" s="44" t="n">
        <v>24</v>
      </c>
      <c r="AB4" s="44" t="n">
        <v>25</v>
      </c>
    </row>
    <row r="5" customFormat="false" ht="15" hidden="false" customHeight="true" outlineLevel="0" collapsed="false">
      <c r="B5" s="22" t="s">
        <v>143</v>
      </c>
      <c r="D5" s="44" t="n">
        <f aca="false">IF(D4&lt;=Indata!$C$16,1,0)</f>
        <v>1</v>
      </c>
      <c r="E5" s="44" t="n">
        <f aca="false">IF(E4&lt;=Indata!$C$16,1,0)</f>
        <v>1</v>
      </c>
      <c r="F5" s="44" t="n">
        <f aca="false">IF(F4&lt;=Indata!$C$16,1,0)</f>
        <v>1</v>
      </c>
      <c r="G5" s="44" t="n">
        <f aca="false">IF(G4&lt;=Indata!$C$16,1,0)</f>
        <v>1</v>
      </c>
      <c r="H5" s="44" t="n">
        <f aca="false">IF(H4&lt;=Indata!$C$16,1,0)</f>
        <v>1</v>
      </c>
      <c r="I5" s="44" t="n">
        <f aca="false">IF(I4&lt;=Indata!$C$16,1,0)</f>
        <v>1</v>
      </c>
      <c r="J5" s="44" t="n">
        <f aca="false">IF(J4&lt;=Indata!$C$16,1,0)</f>
        <v>1</v>
      </c>
      <c r="K5" s="44" t="n">
        <f aca="false">IF(K4&lt;=Indata!$C$16,1,0)</f>
        <v>1</v>
      </c>
      <c r="L5" s="44" t="n">
        <f aca="false">IF(L4&lt;=Indata!$C$16,1,0)</f>
        <v>1</v>
      </c>
      <c r="M5" s="44" t="n">
        <f aca="false">IF(M4&lt;=Indata!$C$16,1,0)</f>
        <v>1</v>
      </c>
      <c r="N5" s="44" t="n">
        <f aca="false">IF(N4&lt;=Indata!$C$16,1,0)</f>
        <v>1</v>
      </c>
      <c r="O5" s="44" t="n">
        <f aca="false">IF(O4&lt;=Indata!$C$16,1,0)</f>
        <v>1</v>
      </c>
      <c r="P5" s="44" t="n">
        <f aca="false">IF(P4&lt;=Indata!$C$16,1,0)</f>
        <v>1</v>
      </c>
      <c r="Q5" s="44" t="n">
        <f aca="false">IF(Q4&lt;=Indata!$C$16,1,0)</f>
        <v>1</v>
      </c>
      <c r="R5" s="44" t="n">
        <f aca="false">IF(R4&lt;=Indata!$C$16,1,0)</f>
        <v>1</v>
      </c>
      <c r="S5" s="44" t="n">
        <f aca="false">IF(S4&lt;=Indata!$C$16,1,0)</f>
        <v>1</v>
      </c>
      <c r="T5" s="44" t="n">
        <f aca="false">IF(T4&lt;=Indata!$C$16,1,0)</f>
        <v>1</v>
      </c>
      <c r="U5" s="44" t="n">
        <f aca="false">IF(U4&lt;=Indata!$C$16,1,0)</f>
        <v>1</v>
      </c>
      <c r="V5" s="44" t="n">
        <f aca="false">IF(V4&lt;=Indata!$C$16,1,0)</f>
        <v>1</v>
      </c>
      <c r="W5" s="44" t="n">
        <f aca="false">IF(W4&lt;=Indata!$C$16,1,0)</f>
        <v>1</v>
      </c>
      <c r="X5" s="44" t="n">
        <f aca="false">IF(X4&lt;=Indata!$C$16,1,0)</f>
        <v>0</v>
      </c>
      <c r="Y5" s="44" t="n">
        <f aca="false">IF(Y4&lt;=Indata!$C$16,1,0)</f>
        <v>0</v>
      </c>
      <c r="Z5" s="44" t="n">
        <f aca="false">IF(Z4&lt;=Indata!$C$16,1,0)</f>
        <v>0</v>
      </c>
      <c r="AA5" s="44" t="n">
        <f aca="false">IF(AA4&lt;=Indata!$C$16,1,0)</f>
        <v>0</v>
      </c>
      <c r="AB5" s="44" t="n">
        <f aca="false">IF(AB4&lt;=Indata!$C$16,1,0)</f>
        <v>0</v>
      </c>
    </row>
    <row r="6" customFormat="false" ht="15" hidden="false" customHeight="true" outlineLevel="0" collapsed="false">
      <c r="B6" s="22" t="s">
        <v>144</v>
      </c>
      <c r="D6" s="45" t="n">
        <f aca="false">SUMIFS(Indata!$E$26:$E$30,Indata!$C$26:$C$30,"Nyb",Indata!$P$26:$P$30,"&lt;="&amp;D3)+SUMIFS(Indata!$E$26:$E$30,Indata!$C$26:$C$30,"Omb",Indata!$P$26:$P$30,"&lt;="&amp;D3)+SUMIFS(Indata!$E$26:$E$30,Indata!$C$26:$C$30,"Ins",Indata!$P$26:$P$30,"&lt;="&amp;D3)</f>
        <v>5000</v>
      </c>
      <c r="E6" s="45" t="n">
        <f aca="false">SUMIFS(Indata!$E$26:$E$30,Indata!$C$26:$C$30,"Nyb",Indata!$P$26:$P$30,"&lt;="&amp;E3)+SUMIFS(Indata!$E$26:$E$30,Indata!$C$26:$C$30,"Omb",Indata!$P$26:$P$30,"&lt;="&amp;E3)+SUMIFS(Indata!$E$26:$E$30,Indata!$C$26:$C$30,"Ins",Indata!$P$26:$P$30,"&lt;="&amp;E3)</f>
        <v>5000</v>
      </c>
      <c r="F6" s="45" t="n">
        <f aca="false">SUMIFS(Indata!$E$26:$E$30,Indata!$C$26:$C$30,"Nyb",Indata!$P$26:$P$30,"&lt;="&amp;F3)+SUMIFS(Indata!$E$26:$E$30,Indata!$C$26:$C$30,"Omb",Indata!$P$26:$P$30,"&lt;="&amp;F3)+SUMIFS(Indata!$E$26:$E$30,Indata!$C$26:$C$30,"Ins",Indata!$P$26:$P$30,"&lt;="&amp;F3)</f>
        <v>5000</v>
      </c>
      <c r="G6" s="45" t="n">
        <f aca="false">SUMIFS(Indata!$E$26:$E$30,Indata!$C$26:$C$30,"Nyb",Indata!$P$26:$P$30,"&lt;="&amp;G3)+SUMIFS(Indata!$E$26:$E$30,Indata!$C$26:$C$30,"Omb",Indata!$P$26:$P$30,"&lt;="&amp;G3)+SUMIFS(Indata!$E$26:$E$30,Indata!$C$26:$C$30,"Ins",Indata!$P$26:$P$30,"&lt;="&amp;G3)</f>
        <v>5000</v>
      </c>
      <c r="H6" s="45" t="n">
        <f aca="false">SUMIFS(Indata!$E$26:$E$30,Indata!$C$26:$C$30,"Nyb",Indata!$P$26:$P$30,"&lt;="&amp;H3)+SUMIFS(Indata!$E$26:$E$30,Indata!$C$26:$C$30,"Omb",Indata!$P$26:$P$30,"&lt;="&amp;H3)+SUMIFS(Indata!$E$26:$E$30,Indata!$C$26:$C$30,"Ins",Indata!$P$26:$P$30,"&lt;="&amp;H3)</f>
        <v>5000</v>
      </c>
      <c r="I6" s="45" t="n">
        <f aca="false">SUMIFS(Indata!$E$26:$E$30,Indata!$C$26:$C$30,"Nyb",Indata!$P$26:$P$30,"&lt;="&amp;I3)+SUMIFS(Indata!$E$26:$E$30,Indata!$C$26:$C$30,"Omb",Indata!$P$26:$P$30,"&lt;="&amp;I3)+SUMIFS(Indata!$E$26:$E$30,Indata!$C$26:$C$30,"Ins",Indata!$P$26:$P$30,"&lt;="&amp;I3)</f>
        <v>5000</v>
      </c>
      <c r="J6" s="45" t="n">
        <f aca="false">SUMIFS(Indata!$E$26:$E$30,Indata!$C$26:$C$30,"Nyb",Indata!$P$26:$P$30,"&lt;="&amp;J3)+SUMIFS(Indata!$E$26:$E$30,Indata!$C$26:$C$30,"Omb",Indata!$P$26:$P$30,"&lt;="&amp;J3)+SUMIFS(Indata!$E$26:$E$30,Indata!$C$26:$C$30,"Ins",Indata!$P$26:$P$30,"&lt;="&amp;J3)</f>
        <v>5000</v>
      </c>
      <c r="K6" s="45" t="n">
        <f aca="false">SUMIFS(Indata!$E$26:$E$30,Indata!$C$26:$C$30,"Nyb",Indata!$P$26:$P$30,"&lt;="&amp;K3)+SUMIFS(Indata!$E$26:$E$30,Indata!$C$26:$C$30,"Omb",Indata!$P$26:$P$30,"&lt;="&amp;K3)+SUMIFS(Indata!$E$26:$E$30,Indata!$C$26:$C$30,"Ins",Indata!$P$26:$P$30,"&lt;="&amp;K3)</f>
        <v>5000</v>
      </c>
      <c r="L6" s="45" t="n">
        <f aca="false">SUMIFS(Indata!$E$26:$E$30,Indata!$C$26:$C$30,"Nyb",Indata!$P$26:$P$30,"&lt;="&amp;L3)+SUMIFS(Indata!$E$26:$E$30,Indata!$C$26:$C$30,"Omb",Indata!$P$26:$P$30,"&lt;="&amp;L3)+SUMIFS(Indata!$E$26:$E$30,Indata!$C$26:$C$30,"Ins",Indata!$P$26:$P$30,"&lt;="&amp;L3)</f>
        <v>5000</v>
      </c>
      <c r="M6" s="45" t="n">
        <f aca="false">SUMIFS(Indata!$E$26:$E$30,Indata!$C$26:$C$30,"Nyb",Indata!$P$26:$P$30,"&lt;="&amp;M3)+SUMIFS(Indata!$E$26:$E$30,Indata!$C$26:$C$30,"Omb",Indata!$P$26:$P$30,"&lt;="&amp;M3)+SUMIFS(Indata!$E$26:$E$30,Indata!$C$26:$C$30,"Ins",Indata!$P$26:$P$30,"&lt;="&amp;M3)</f>
        <v>5000</v>
      </c>
      <c r="N6" s="45" t="n">
        <f aca="false">SUMIFS(Indata!$E$26:$E$30,Indata!$C$26:$C$30,"Nyb",Indata!$P$26:$P$30,"&lt;="&amp;N3)+SUMIFS(Indata!$E$26:$E$30,Indata!$C$26:$C$30,"Omb",Indata!$P$26:$P$30,"&lt;="&amp;N3)+SUMIFS(Indata!$E$26:$E$30,Indata!$C$26:$C$30,"Ins",Indata!$P$26:$P$30,"&lt;="&amp;N3)</f>
        <v>5000</v>
      </c>
      <c r="O6" s="45" t="n">
        <f aca="false">SUMIFS(Indata!$E$26:$E$30,Indata!$C$26:$C$30,"Nyb",Indata!$P$26:$P$30,"&lt;="&amp;O3)+SUMIFS(Indata!$E$26:$E$30,Indata!$C$26:$C$30,"Omb",Indata!$P$26:$P$30,"&lt;="&amp;O3)+SUMIFS(Indata!$E$26:$E$30,Indata!$C$26:$C$30,"Ins",Indata!$P$26:$P$30,"&lt;="&amp;O3)</f>
        <v>5000</v>
      </c>
      <c r="P6" s="45" t="n">
        <f aca="false">SUMIFS(Indata!$E$26:$E$30,Indata!$C$26:$C$30,"Nyb",Indata!$P$26:$P$30,"&lt;="&amp;P3)+SUMIFS(Indata!$E$26:$E$30,Indata!$C$26:$C$30,"Omb",Indata!$P$26:$P$30,"&lt;="&amp;P3)+SUMIFS(Indata!$E$26:$E$30,Indata!$C$26:$C$30,"Ins",Indata!$P$26:$P$30,"&lt;="&amp;P3)</f>
        <v>5000</v>
      </c>
      <c r="Q6" s="45" t="n">
        <f aca="false">SUMIFS(Indata!$E$26:$E$30,Indata!$C$26:$C$30,"Nyb",Indata!$P$26:$P$30,"&lt;="&amp;Q3)+SUMIFS(Indata!$E$26:$E$30,Indata!$C$26:$C$30,"Omb",Indata!$P$26:$P$30,"&lt;="&amp;Q3)+SUMIFS(Indata!$E$26:$E$30,Indata!$C$26:$C$30,"Ins",Indata!$P$26:$P$30,"&lt;="&amp;Q3)</f>
        <v>5000</v>
      </c>
      <c r="R6" s="45" t="n">
        <f aca="false">SUMIFS(Indata!$E$26:$E$30,Indata!$C$26:$C$30,"Nyb",Indata!$P$26:$P$30,"&lt;="&amp;R3)+SUMIFS(Indata!$E$26:$E$30,Indata!$C$26:$C$30,"Omb",Indata!$P$26:$P$30,"&lt;="&amp;R3)+SUMIFS(Indata!$E$26:$E$30,Indata!$C$26:$C$30,"Ins",Indata!$P$26:$P$30,"&lt;="&amp;R3)</f>
        <v>5000</v>
      </c>
      <c r="S6" s="45" t="n">
        <f aca="false">SUMIFS(Indata!$E$26:$E$30,Indata!$C$26:$C$30,"Nyb",Indata!$P$26:$P$30,"&lt;="&amp;S3)+SUMIFS(Indata!$E$26:$E$30,Indata!$C$26:$C$30,"Omb",Indata!$P$26:$P$30,"&lt;="&amp;S3)+SUMIFS(Indata!$E$26:$E$30,Indata!$C$26:$C$30,"Ins",Indata!$P$26:$P$30,"&lt;="&amp;S3)</f>
        <v>5000</v>
      </c>
      <c r="T6" s="45" t="n">
        <f aca="false">SUMIFS(Indata!$E$26:$E$30,Indata!$C$26:$C$30,"Nyb",Indata!$P$26:$P$30,"&lt;="&amp;T3)+SUMIFS(Indata!$E$26:$E$30,Indata!$C$26:$C$30,"Omb",Indata!$P$26:$P$30,"&lt;="&amp;T3)+SUMIFS(Indata!$E$26:$E$30,Indata!$C$26:$C$30,"Ins",Indata!$P$26:$P$30,"&lt;="&amp;T3)</f>
        <v>5000</v>
      </c>
      <c r="U6" s="45" t="n">
        <f aca="false">SUMIFS(Indata!$E$26:$E$30,Indata!$C$26:$C$30,"Nyb",Indata!$P$26:$P$30,"&lt;="&amp;U3)+SUMIFS(Indata!$E$26:$E$30,Indata!$C$26:$C$30,"Omb",Indata!$P$26:$P$30,"&lt;="&amp;U3)+SUMIFS(Indata!$E$26:$E$30,Indata!$C$26:$C$30,"Ins",Indata!$P$26:$P$30,"&lt;="&amp;U3)</f>
        <v>5000</v>
      </c>
      <c r="V6" s="45" t="n">
        <f aca="false">SUMIFS(Indata!$E$26:$E$30,Indata!$C$26:$C$30,"Nyb",Indata!$P$26:$P$30,"&lt;="&amp;V3)+SUMIFS(Indata!$E$26:$E$30,Indata!$C$26:$C$30,"Omb",Indata!$P$26:$P$30,"&lt;="&amp;V3)+SUMIFS(Indata!$E$26:$E$30,Indata!$C$26:$C$30,"Ins",Indata!$P$26:$P$30,"&lt;="&amp;V3)</f>
        <v>5000</v>
      </c>
      <c r="W6" s="45" t="n">
        <f aca="false">SUMIFS(Indata!$E$26:$E$30,Indata!$C$26:$C$30,"Nyb",Indata!$P$26:$P$30,"&lt;="&amp;W3)+SUMIFS(Indata!$E$26:$E$30,Indata!$C$26:$C$30,"Omb",Indata!$P$26:$P$30,"&lt;="&amp;W3)+SUMIFS(Indata!$E$26:$E$30,Indata!$C$26:$C$30,"Ins",Indata!$P$26:$P$30,"&lt;="&amp;W3)</f>
        <v>5000</v>
      </c>
      <c r="X6" s="45" t="n">
        <f aca="false">SUMIFS(Indata!$E$26:$E$30,Indata!$C$26:$C$30,"Nyb",Indata!$P$26:$P$30,"&lt;="&amp;X3)+SUMIFS(Indata!$E$26:$E$30,Indata!$C$26:$C$30,"Omb",Indata!$P$26:$P$30,"&lt;="&amp;X3)+SUMIFS(Indata!$E$26:$E$30,Indata!$C$26:$C$30,"Ins",Indata!$P$26:$P$30,"&lt;="&amp;X3)</f>
        <v>5000</v>
      </c>
      <c r="Y6" s="45" t="n">
        <f aca="false">SUMIFS(Indata!$E$26:$E$30,Indata!$C$26:$C$30,"Nyb",Indata!$P$26:$P$30,"&lt;="&amp;Y3)+SUMIFS(Indata!$E$26:$E$30,Indata!$C$26:$C$30,"Omb",Indata!$P$26:$P$30,"&lt;="&amp;Y3)+SUMIFS(Indata!$E$26:$E$30,Indata!$C$26:$C$30,"Ins",Indata!$P$26:$P$30,"&lt;="&amp;Y3)</f>
        <v>5000</v>
      </c>
      <c r="Z6" s="45" t="n">
        <f aca="false">SUMIFS(Indata!$E$26:$E$30,Indata!$C$26:$C$30,"Nyb",Indata!$P$26:$P$30,"&lt;="&amp;Z3)+SUMIFS(Indata!$E$26:$E$30,Indata!$C$26:$C$30,"Omb",Indata!$P$26:$P$30,"&lt;="&amp;Z3)+SUMIFS(Indata!$E$26:$E$30,Indata!$C$26:$C$30,"Ins",Indata!$P$26:$P$30,"&lt;="&amp;Z3)</f>
        <v>5000</v>
      </c>
      <c r="AA6" s="45" t="n">
        <f aca="false">SUMIFS(Indata!$E$26:$E$30,Indata!$C$26:$C$30,"Nyb",Indata!$P$26:$P$30,"&lt;="&amp;AA3)+SUMIFS(Indata!$E$26:$E$30,Indata!$C$26:$C$30,"Omb",Indata!$P$26:$P$30,"&lt;="&amp;AA3)+SUMIFS(Indata!$E$26:$E$30,Indata!$C$26:$C$30,"Ins",Indata!$P$26:$P$30,"&lt;="&amp;AA3)</f>
        <v>5000</v>
      </c>
      <c r="AB6" s="45" t="n">
        <f aca="false">SUMIFS(Indata!$E$26:$E$30,Indata!$C$26:$C$30,"Nyb",Indata!$P$26:$P$30,"&lt;="&amp;AB3)+SUMIFS(Indata!$E$26:$E$30,Indata!$C$26:$C$30,"Omb",Indata!$P$26:$P$30,"&lt;="&amp;AB3)+SUMIFS(Indata!$E$26:$E$30,Indata!$C$26:$C$30,"Ins",Indata!$P$26:$P$30,"&lt;="&amp;AB3)</f>
        <v>5000</v>
      </c>
    </row>
    <row r="7" customFormat="false" ht="15" hidden="false" customHeight="true" outlineLevel="0" collapsed="false">
      <c r="B7" s="22" t="s">
        <v>145</v>
      </c>
      <c r="D7" s="45" t="n">
        <f aca="false">SUMIFS(Indata!$D$26:$D$30,Indata!$C$26:$C$30,"Bef",Indata!$P$26:$P$30,"&lt;="&amp;D3)+SUMIFS(Indata!$D$26:$D$30,Indata!$C$26:$C$30,"Omb",Indata!$P$26:$P$30,"&lt;="&amp;D3)+SUMIFS(Indata!$D$26:$D$30,Indata!$C$26:$C$30,"Nyb",Indata!$P$26:$P$30,"&lt;="&amp;D3)+SUMIFS(Indata!$D$26:$D$30,Indata!$C$26:$C$30,"Ins",Indata!$P$26:$P$30,"&lt;="&amp;D3)</f>
        <v>0</v>
      </c>
      <c r="E7" s="45" t="n">
        <f aca="false">SUMIFS(Indata!$D$26:$D$30,Indata!$C$26:$C$30,"Bef",Indata!$P$26:$P$30,"&lt;="&amp;E3)+SUMIFS(Indata!$D$26:$D$30,Indata!$C$26:$C$30,"Omb",Indata!$P$26:$P$30,"&lt;="&amp;E3)+SUMIFS(Indata!$D$26:$D$30,Indata!$C$26:$C$30,"Nyb",Indata!$P$26:$P$30,"&lt;="&amp;E3)+SUMIFS(Indata!$D$26:$D$30,Indata!$C$26:$C$30,"Ins",Indata!$P$26:$P$30,"&lt;="&amp;E3)</f>
        <v>0</v>
      </c>
      <c r="F7" s="45" t="n">
        <f aca="false">SUMIFS(Indata!$D$26:$D$30,Indata!$C$26:$C$30,"Bef",Indata!$P$26:$P$30,"&lt;="&amp;F3)+SUMIFS(Indata!$D$26:$D$30,Indata!$C$26:$C$30,"Omb",Indata!$P$26:$P$30,"&lt;="&amp;F3)+SUMIFS(Indata!$D$26:$D$30,Indata!$C$26:$C$30,"Nyb",Indata!$P$26:$P$30,"&lt;="&amp;F3)+SUMIFS(Indata!$D$26:$D$30,Indata!$C$26:$C$30,"Ins",Indata!$P$26:$P$30,"&lt;="&amp;F3)</f>
        <v>0</v>
      </c>
      <c r="G7" s="45" t="n">
        <f aca="false">SUMIFS(Indata!$D$26:$D$30,Indata!$C$26:$C$30,"Bef",Indata!$P$26:$P$30,"&lt;="&amp;G3)+SUMIFS(Indata!$D$26:$D$30,Indata!$C$26:$C$30,"Omb",Indata!$P$26:$P$30,"&lt;="&amp;G3)+SUMIFS(Indata!$D$26:$D$30,Indata!$C$26:$C$30,"Nyb",Indata!$P$26:$P$30,"&lt;="&amp;G3)+SUMIFS(Indata!$D$26:$D$30,Indata!$C$26:$C$30,"Ins",Indata!$P$26:$P$30,"&lt;="&amp;G3)</f>
        <v>0</v>
      </c>
      <c r="H7" s="45" t="n">
        <f aca="false">SUMIFS(Indata!$D$26:$D$30,Indata!$C$26:$C$30,"Bef",Indata!$P$26:$P$30,"&lt;="&amp;H3)+SUMIFS(Indata!$D$26:$D$30,Indata!$C$26:$C$30,"Omb",Indata!$P$26:$P$30,"&lt;="&amp;H3)+SUMIFS(Indata!$D$26:$D$30,Indata!$C$26:$C$30,"Nyb",Indata!$P$26:$P$30,"&lt;="&amp;H3)+SUMIFS(Indata!$D$26:$D$30,Indata!$C$26:$C$30,"Ins",Indata!$P$26:$P$30,"&lt;="&amp;H3)</f>
        <v>0</v>
      </c>
      <c r="I7" s="45" t="n">
        <f aca="false">SUMIFS(Indata!$D$26:$D$30,Indata!$C$26:$C$30,"Bef",Indata!$P$26:$P$30,"&lt;="&amp;I3)+SUMIFS(Indata!$D$26:$D$30,Indata!$C$26:$C$30,"Omb",Indata!$P$26:$P$30,"&lt;="&amp;I3)+SUMIFS(Indata!$D$26:$D$30,Indata!$C$26:$C$30,"Nyb",Indata!$P$26:$P$30,"&lt;="&amp;I3)+SUMIFS(Indata!$D$26:$D$30,Indata!$C$26:$C$30,"Ins",Indata!$P$26:$P$30,"&lt;="&amp;I3)</f>
        <v>0</v>
      </c>
      <c r="J7" s="45" t="n">
        <f aca="false">SUMIFS(Indata!$D$26:$D$30,Indata!$C$26:$C$30,"Bef",Indata!$P$26:$P$30,"&lt;="&amp;J3)+SUMIFS(Indata!$D$26:$D$30,Indata!$C$26:$C$30,"Omb",Indata!$P$26:$P$30,"&lt;="&amp;J3)+SUMIFS(Indata!$D$26:$D$30,Indata!$C$26:$C$30,"Nyb",Indata!$P$26:$P$30,"&lt;="&amp;J3)+SUMIFS(Indata!$D$26:$D$30,Indata!$C$26:$C$30,"Ins",Indata!$P$26:$P$30,"&lt;="&amp;J3)</f>
        <v>0</v>
      </c>
      <c r="K7" s="45" t="n">
        <f aca="false">SUMIFS(Indata!$D$26:$D$30,Indata!$C$26:$C$30,"Bef",Indata!$P$26:$P$30,"&lt;="&amp;K3)+SUMIFS(Indata!$D$26:$D$30,Indata!$C$26:$C$30,"Omb",Indata!$P$26:$P$30,"&lt;="&amp;K3)+SUMIFS(Indata!$D$26:$D$30,Indata!$C$26:$C$30,"Nyb",Indata!$P$26:$P$30,"&lt;="&amp;K3)+SUMIFS(Indata!$D$26:$D$30,Indata!$C$26:$C$30,"Ins",Indata!$P$26:$P$30,"&lt;="&amp;K3)</f>
        <v>0</v>
      </c>
      <c r="L7" s="45" t="n">
        <f aca="false">SUMIFS(Indata!$D$26:$D$30,Indata!$C$26:$C$30,"Bef",Indata!$P$26:$P$30,"&lt;="&amp;L3)+SUMIFS(Indata!$D$26:$D$30,Indata!$C$26:$C$30,"Omb",Indata!$P$26:$P$30,"&lt;="&amp;L3)+SUMIFS(Indata!$D$26:$D$30,Indata!$C$26:$C$30,"Nyb",Indata!$P$26:$P$30,"&lt;="&amp;L3)+SUMIFS(Indata!$D$26:$D$30,Indata!$C$26:$C$30,"Ins",Indata!$P$26:$P$30,"&lt;="&amp;L3)</f>
        <v>0</v>
      </c>
      <c r="M7" s="45" t="n">
        <f aca="false">SUMIFS(Indata!$D$26:$D$30,Indata!$C$26:$C$30,"Bef",Indata!$P$26:$P$30,"&lt;="&amp;M3)+SUMIFS(Indata!$D$26:$D$30,Indata!$C$26:$C$30,"Omb",Indata!$P$26:$P$30,"&lt;="&amp;M3)+SUMIFS(Indata!$D$26:$D$30,Indata!$C$26:$C$30,"Nyb",Indata!$P$26:$P$30,"&lt;="&amp;M3)+SUMIFS(Indata!$D$26:$D$30,Indata!$C$26:$C$30,"Ins",Indata!$P$26:$P$30,"&lt;="&amp;M3)</f>
        <v>0</v>
      </c>
      <c r="N7" s="45" t="n">
        <f aca="false">SUMIFS(Indata!$D$26:$D$30,Indata!$C$26:$C$30,"Bef",Indata!$P$26:$P$30,"&lt;="&amp;N3)+SUMIFS(Indata!$D$26:$D$30,Indata!$C$26:$C$30,"Omb",Indata!$P$26:$P$30,"&lt;="&amp;N3)+SUMIFS(Indata!$D$26:$D$30,Indata!$C$26:$C$30,"Nyb",Indata!$P$26:$P$30,"&lt;="&amp;N3)+SUMIFS(Indata!$D$26:$D$30,Indata!$C$26:$C$30,"Ins",Indata!$P$26:$P$30,"&lt;="&amp;N3)</f>
        <v>0</v>
      </c>
      <c r="O7" s="45" t="n">
        <f aca="false">SUMIFS(Indata!$D$26:$D$30,Indata!$C$26:$C$30,"Bef",Indata!$P$26:$P$30,"&lt;="&amp;O3)+SUMIFS(Indata!$D$26:$D$30,Indata!$C$26:$C$30,"Omb",Indata!$P$26:$P$30,"&lt;="&amp;O3)+SUMIFS(Indata!$D$26:$D$30,Indata!$C$26:$C$30,"Nyb",Indata!$P$26:$P$30,"&lt;="&amp;O3)+SUMIFS(Indata!$D$26:$D$30,Indata!$C$26:$C$30,"Ins",Indata!$P$26:$P$30,"&lt;="&amp;O3)</f>
        <v>0</v>
      </c>
      <c r="P7" s="45" t="n">
        <f aca="false">SUMIFS(Indata!$D$26:$D$30,Indata!$C$26:$C$30,"Bef",Indata!$P$26:$P$30,"&lt;="&amp;P3)+SUMIFS(Indata!$D$26:$D$30,Indata!$C$26:$C$30,"Omb",Indata!$P$26:$P$30,"&lt;="&amp;P3)+SUMIFS(Indata!$D$26:$D$30,Indata!$C$26:$C$30,"Nyb",Indata!$P$26:$P$30,"&lt;="&amp;P3)+SUMIFS(Indata!$D$26:$D$30,Indata!$C$26:$C$30,"Ins",Indata!$P$26:$P$30,"&lt;="&amp;P3)</f>
        <v>0</v>
      </c>
      <c r="Q7" s="45" t="n">
        <f aca="false">SUMIFS(Indata!$D$26:$D$30,Indata!$C$26:$C$30,"Bef",Indata!$P$26:$P$30,"&lt;="&amp;Q3)+SUMIFS(Indata!$D$26:$D$30,Indata!$C$26:$C$30,"Omb",Indata!$P$26:$P$30,"&lt;="&amp;Q3)+SUMIFS(Indata!$D$26:$D$30,Indata!$C$26:$C$30,"Nyb",Indata!$P$26:$P$30,"&lt;="&amp;Q3)+SUMIFS(Indata!$D$26:$D$30,Indata!$C$26:$C$30,"Ins",Indata!$P$26:$P$30,"&lt;="&amp;Q3)</f>
        <v>0</v>
      </c>
      <c r="R7" s="45" t="n">
        <f aca="false">SUMIFS(Indata!$D$26:$D$30,Indata!$C$26:$C$30,"Bef",Indata!$P$26:$P$30,"&lt;="&amp;R3)+SUMIFS(Indata!$D$26:$D$30,Indata!$C$26:$C$30,"Omb",Indata!$P$26:$P$30,"&lt;="&amp;R3)+SUMIFS(Indata!$D$26:$D$30,Indata!$C$26:$C$30,"Nyb",Indata!$P$26:$P$30,"&lt;="&amp;R3)+SUMIFS(Indata!$D$26:$D$30,Indata!$C$26:$C$30,"Ins",Indata!$P$26:$P$30,"&lt;="&amp;R3)</f>
        <v>0</v>
      </c>
      <c r="S7" s="45" t="n">
        <f aca="false">SUMIFS(Indata!$D$26:$D$30,Indata!$C$26:$C$30,"Bef",Indata!$P$26:$P$30,"&lt;="&amp;S3)+SUMIFS(Indata!$D$26:$D$30,Indata!$C$26:$C$30,"Omb",Indata!$P$26:$P$30,"&lt;="&amp;S3)+SUMIFS(Indata!$D$26:$D$30,Indata!$C$26:$C$30,"Nyb",Indata!$P$26:$P$30,"&lt;="&amp;S3)+SUMIFS(Indata!$D$26:$D$30,Indata!$C$26:$C$30,"Ins",Indata!$P$26:$P$30,"&lt;="&amp;S3)</f>
        <v>0</v>
      </c>
      <c r="T7" s="45" t="n">
        <f aca="false">SUMIFS(Indata!$D$26:$D$30,Indata!$C$26:$C$30,"Bef",Indata!$P$26:$P$30,"&lt;="&amp;T3)+SUMIFS(Indata!$D$26:$D$30,Indata!$C$26:$C$30,"Omb",Indata!$P$26:$P$30,"&lt;="&amp;T3)+SUMIFS(Indata!$D$26:$D$30,Indata!$C$26:$C$30,"Nyb",Indata!$P$26:$P$30,"&lt;="&amp;T3)+SUMIFS(Indata!$D$26:$D$30,Indata!$C$26:$C$30,"Ins",Indata!$P$26:$P$30,"&lt;="&amp;T3)</f>
        <v>0</v>
      </c>
      <c r="U7" s="45" t="n">
        <f aca="false">SUMIFS(Indata!$D$26:$D$30,Indata!$C$26:$C$30,"Bef",Indata!$P$26:$P$30,"&lt;="&amp;U3)+SUMIFS(Indata!$D$26:$D$30,Indata!$C$26:$C$30,"Omb",Indata!$P$26:$P$30,"&lt;="&amp;U3)+SUMIFS(Indata!$D$26:$D$30,Indata!$C$26:$C$30,"Nyb",Indata!$P$26:$P$30,"&lt;="&amp;U3)+SUMIFS(Indata!$D$26:$D$30,Indata!$C$26:$C$30,"Ins",Indata!$P$26:$P$30,"&lt;="&amp;U3)</f>
        <v>0</v>
      </c>
      <c r="V7" s="45" t="n">
        <f aca="false">SUMIFS(Indata!$D$26:$D$30,Indata!$C$26:$C$30,"Bef",Indata!$P$26:$P$30,"&lt;="&amp;V3)+SUMIFS(Indata!$D$26:$D$30,Indata!$C$26:$C$30,"Omb",Indata!$P$26:$P$30,"&lt;="&amp;V3)+SUMIFS(Indata!$D$26:$D$30,Indata!$C$26:$C$30,"Nyb",Indata!$P$26:$P$30,"&lt;="&amp;V3)+SUMIFS(Indata!$D$26:$D$30,Indata!$C$26:$C$30,"Ins",Indata!$P$26:$P$30,"&lt;="&amp;V3)</f>
        <v>0</v>
      </c>
      <c r="W7" s="45" t="n">
        <f aca="false">SUMIFS(Indata!$D$26:$D$30,Indata!$C$26:$C$30,"Bef",Indata!$P$26:$P$30,"&lt;="&amp;W3)+SUMIFS(Indata!$D$26:$D$30,Indata!$C$26:$C$30,"Omb",Indata!$P$26:$P$30,"&lt;="&amp;W3)+SUMIFS(Indata!$D$26:$D$30,Indata!$C$26:$C$30,"Nyb",Indata!$P$26:$P$30,"&lt;="&amp;W3)+SUMIFS(Indata!$D$26:$D$30,Indata!$C$26:$C$30,"Ins",Indata!$P$26:$P$30,"&lt;="&amp;W3)</f>
        <v>0</v>
      </c>
      <c r="X7" s="45" t="n">
        <f aca="false">SUMIFS(Indata!$D$26:$D$30,Indata!$C$26:$C$30,"Bef",Indata!$P$26:$P$30,"&lt;="&amp;X3)+SUMIFS(Indata!$D$26:$D$30,Indata!$C$26:$C$30,"Omb",Indata!$P$26:$P$30,"&lt;="&amp;X3)+SUMIFS(Indata!$D$26:$D$30,Indata!$C$26:$C$30,"Nyb",Indata!$P$26:$P$30,"&lt;="&amp;X3)+SUMIFS(Indata!$D$26:$D$30,Indata!$C$26:$C$30,"Ins",Indata!$P$26:$P$30,"&lt;="&amp;X3)</f>
        <v>0</v>
      </c>
      <c r="Y7" s="45" t="n">
        <f aca="false">SUMIFS(Indata!$D$26:$D$30,Indata!$C$26:$C$30,"Bef",Indata!$P$26:$P$30,"&lt;="&amp;Y3)+SUMIFS(Indata!$D$26:$D$30,Indata!$C$26:$C$30,"Omb",Indata!$P$26:$P$30,"&lt;="&amp;Y3)+SUMIFS(Indata!$D$26:$D$30,Indata!$C$26:$C$30,"Nyb",Indata!$P$26:$P$30,"&lt;="&amp;Y3)+SUMIFS(Indata!$D$26:$D$30,Indata!$C$26:$C$30,"Ins",Indata!$P$26:$P$30,"&lt;="&amp;Y3)</f>
        <v>0</v>
      </c>
      <c r="Z7" s="45" t="n">
        <f aca="false">SUMIFS(Indata!$D$26:$D$30,Indata!$C$26:$C$30,"Bef",Indata!$P$26:$P$30,"&lt;="&amp;Z3)+SUMIFS(Indata!$D$26:$D$30,Indata!$C$26:$C$30,"Omb",Indata!$P$26:$P$30,"&lt;="&amp;Z3)+SUMIFS(Indata!$D$26:$D$30,Indata!$C$26:$C$30,"Nyb",Indata!$P$26:$P$30,"&lt;="&amp;Z3)+SUMIFS(Indata!$D$26:$D$30,Indata!$C$26:$C$30,"Ins",Indata!$P$26:$P$30,"&lt;="&amp;Z3)</f>
        <v>0</v>
      </c>
      <c r="AA7" s="45" t="n">
        <f aca="false">SUMIFS(Indata!$D$26:$D$30,Indata!$C$26:$C$30,"Bef",Indata!$P$26:$P$30,"&lt;="&amp;AA3)+SUMIFS(Indata!$D$26:$D$30,Indata!$C$26:$C$30,"Omb",Indata!$P$26:$P$30,"&lt;="&amp;AA3)+SUMIFS(Indata!$D$26:$D$30,Indata!$C$26:$C$30,"Nyb",Indata!$P$26:$P$30,"&lt;="&amp;AA3)+SUMIFS(Indata!$D$26:$D$30,Indata!$C$26:$C$30,"Ins",Indata!$P$26:$P$30,"&lt;="&amp;AA3)</f>
        <v>0</v>
      </c>
      <c r="AB7" s="45" t="n">
        <f aca="false">SUMIFS(Indata!$D$26:$D$30,Indata!$C$26:$C$30,"Bef",Indata!$P$26:$P$30,"&lt;="&amp;AB3)+SUMIFS(Indata!$D$26:$D$30,Indata!$C$26:$C$30,"Omb",Indata!$P$26:$P$30,"&lt;="&amp;AB3)+SUMIFS(Indata!$D$26:$D$30,Indata!$C$26:$C$30,"Nyb",Indata!$P$26:$P$30,"&lt;="&amp;AB3)+SUMIFS(Indata!$D$26:$D$30,Indata!$C$26:$C$30,"Ins",Indata!$P$26:$P$30,"&lt;="&amp;AB3)</f>
        <v>0</v>
      </c>
    </row>
    <row r="8" customFormat="false" ht="15" hidden="false" customHeight="true" outlineLevel="0" collapsed="false">
      <c r="B8" s="22" t="s">
        <v>5</v>
      </c>
      <c r="D8" s="45" t="n">
        <f aca="false">D6+D7</f>
        <v>5000</v>
      </c>
      <c r="E8" s="45" t="n">
        <f aca="false">E6+E7</f>
        <v>5000</v>
      </c>
      <c r="F8" s="45" t="n">
        <f aca="false">F6+F7</f>
        <v>5000</v>
      </c>
      <c r="G8" s="45" t="n">
        <f aca="false">G6+G7</f>
        <v>5000</v>
      </c>
      <c r="H8" s="45" t="n">
        <f aca="false">H6+H7</f>
        <v>5000</v>
      </c>
      <c r="I8" s="45" t="n">
        <f aca="false">I6+I7</f>
        <v>5000</v>
      </c>
      <c r="J8" s="45" t="n">
        <f aca="false">J6+J7</f>
        <v>5000</v>
      </c>
      <c r="K8" s="45" t="n">
        <f aca="false">K6+K7</f>
        <v>5000</v>
      </c>
      <c r="L8" s="45" t="n">
        <f aca="false">L6+L7</f>
        <v>5000</v>
      </c>
      <c r="M8" s="45" t="n">
        <f aca="false">M6+M7</f>
        <v>5000</v>
      </c>
      <c r="N8" s="45" t="n">
        <f aca="false">N6+N7</f>
        <v>5000</v>
      </c>
      <c r="O8" s="45" t="n">
        <f aca="false">O6+O7</f>
        <v>5000</v>
      </c>
      <c r="P8" s="45" t="n">
        <f aca="false">P6+P7</f>
        <v>5000</v>
      </c>
      <c r="Q8" s="45" t="n">
        <f aca="false">Q6+Q7</f>
        <v>5000</v>
      </c>
      <c r="R8" s="45" t="n">
        <f aca="false">R6+R7</f>
        <v>5000</v>
      </c>
      <c r="S8" s="45" t="n">
        <f aca="false">S6+S7</f>
        <v>5000</v>
      </c>
      <c r="T8" s="45" t="n">
        <f aca="false">T6+T7</f>
        <v>5000</v>
      </c>
      <c r="U8" s="45" t="n">
        <f aca="false">U6+U7</f>
        <v>5000</v>
      </c>
      <c r="V8" s="45" t="n">
        <f aca="false">V6+V7</f>
        <v>5000</v>
      </c>
      <c r="W8" s="45" t="n">
        <f aca="false">W6+W7</f>
        <v>5000</v>
      </c>
      <c r="X8" s="45" t="n">
        <f aca="false">X6+X7</f>
        <v>5000</v>
      </c>
      <c r="Y8" s="45" t="n">
        <f aca="false">Y6+Y7</f>
        <v>5000</v>
      </c>
      <c r="Z8" s="45" t="n">
        <f aca="false">Z6+Z7</f>
        <v>5000</v>
      </c>
      <c r="AA8" s="45" t="n">
        <f aca="false">AA6+AA7</f>
        <v>5000</v>
      </c>
      <c r="AB8" s="45" t="n">
        <f aca="false">AB6+AB7</f>
        <v>5000</v>
      </c>
    </row>
    <row r="10" customFormat="false" ht="21.75" hidden="false" customHeight="true" outlineLevel="0" collapsed="false">
      <c r="A10" s="2"/>
      <c r="B10" s="46" t="s">
        <v>146</v>
      </c>
      <c r="C10" s="46"/>
      <c r="D10" s="46"/>
      <c r="E10" s="46"/>
      <c r="F10" s="2"/>
      <c r="G10" s="2"/>
      <c r="H10" s="2"/>
      <c r="I10" s="2"/>
      <c r="J10" s="2"/>
      <c r="K10" s="2"/>
      <c r="L10" s="2"/>
      <c r="M10" s="2"/>
      <c r="N10" s="2"/>
      <c r="O10" s="2"/>
      <c r="P10" s="2"/>
      <c r="Q10" s="2"/>
      <c r="R10" s="2"/>
      <c r="S10" s="2"/>
      <c r="T10" s="2"/>
      <c r="U10" s="2"/>
      <c r="V10" s="2"/>
      <c r="W10" s="2"/>
      <c r="X10" s="2"/>
      <c r="Y10" s="2"/>
      <c r="Z10" s="2"/>
      <c r="AA10" s="2"/>
      <c r="AB10" s="2"/>
    </row>
    <row r="11" customFormat="false" ht="15" hidden="false" customHeight="true" outlineLevel="0" collapsed="false">
      <c r="A11" s="2"/>
      <c r="B11" s="47" t="s">
        <v>147</v>
      </c>
      <c r="C11" s="47"/>
      <c r="D11" s="47"/>
      <c r="E11" s="47"/>
      <c r="F11" s="47"/>
      <c r="G11" s="47"/>
      <c r="H11" s="47"/>
      <c r="I11" s="47"/>
      <c r="J11" s="47"/>
      <c r="K11" s="47"/>
      <c r="L11" s="47"/>
      <c r="M11" s="47"/>
      <c r="N11" s="2"/>
      <c r="O11" s="2"/>
      <c r="P11" s="2"/>
      <c r="Q11" s="2"/>
      <c r="R11" s="2"/>
      <c r="S11" s="2"/>
      <c r="T11" s="2"/>
      <c r="U11" s="2"/>
      <c r="V11" s="2"/>
      <c r="W11" s="2"/>
      <c r="X11" s="2"/>
      <c r="Y11" s="2"/>
      <c r="Z11" s="2"/>
      <c r="AA11" s="2"/>
      <c r="AB11" s="2"/>
    </row>
    <row r="12" customFormat="false" ht="1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ustomFormat="false" ht="15" hidden="false" customHeight="true" outlineLevel="0" collapsed="false">
      <c r="A13" s="2"/>
      <c r="B13" s="13" t="s">
        <v>148</v>
      </c>
      <c r="C13" s="48" t="n">
        <f aca="false">Resultat!D14</f>
        <v>11631221.719457</v>
      </c>
      <c r="D13" s="2"/>
      <c r="E13" s="2"/>
      <c r="F13" s="2"/>
      <c r="G13" s="2"/>
      <c r="H13" s="2"/>
      <c r="I13" s="2"/>
      <c r="J13" s="2"/>
      <c r="K13" s="2"/>
      <c r="L13" s="2"/>
      <c r="M13" s="2"/>
      <c r="N13" s="2"/>
      <c r="O13" s="2"/>
      <c r="P13" s="2"/>
      <c r="Q13" s="2"/>
      <c r="R13" s="2"/>
      <c r="S13" s="2"/>
      <c r="T13" s="2"/>
      <c r="U13" s="2"/>
      <c r="V13" s="2"/>
      <c r="W13" s="2"/>
      <c r="X13" s="2"/>
      <c r="Y13" s="2"/>
      <c r="Z13" s="2"/>
      <c r="AA13" s="2"/>
      <c r="AB13" s="2"/>
    </row>
    <row r="14" customFormat="false" ht="15" hidden="false" customHeight="true" outlineLevel="0" collapsed="false">
      <c r="A14" s="2"/>
      <c r="B14" s="13" t="s">
        <v>3</v>
      </c>
      <c r="C14" s="49" t="str">
        <f aca="false">Resultat!D15</f>
        <v>NPV</v>
      </c>
      <c r="D14" s="2"/>
      <c r="E14" s="2"/>
      <c r="F14" s="2"/>
      <c r="G14" s="2"/>
      <c r="H14" s="2"/>
      <c r="I14" s="2"/>
      <c r="J14" s="2"/>
      <c r="K14" s="2"/>
      <c r="L14" s="2"/>
      <c r="M14" s="2"/>
      <c r="N14" s="2"/>
      <c r="O14" s="2"/>
      <c r="P14" s="2"/>
      <c r="Q14" s="2"/>
      <c r="R14" s="2"/>
      <c r="S14" s="2"/>
      <c r="T14" s="2"/>
      <c r="U14" s="2"/>
      <c r="V14" s="2"/>
      <c r="W14" s="2"/>
      <c r="X14" s="2"/>
      <c r="Y14" s="2"/>
      <c r="Z14" s="2"/>
      <c r="AA14" s="2"/>
      <c r="AB14" s="2"/>
    </row>
    <row r="15" customFormat="false" ht="1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ustomFormat="false" ht="15" hidden="false" customHeight="false" outlineLevel="0" collapsed="false">
      <c r="A16" s="2"/>
      <c r="B16" s="2" t="s">
        <v>149</v>
      </c>
      <c r="C16" s="2"/>
      <c r="D16" s="15" t="n">
        <f aca="false">Beräkningslogik!D66+($C$13/1000000)*(Beräkningslogik!D129-Beräkningslogik!D66)</f>
        <v>11631221.719457</v>
      </c>
      <c r="E16" s="15" t="n">
        <f aca="false">Beräkningslogik!E66+($C$13/1000000)*(Beräkningslogik!E129-Beräkningslogik!E66)</f>
        <v>11794058.8235294</v>
      </c>
      <c r="F16" s="15" t="n">
        <f aca="false">Beräkningslogik!F66+($C$13/1000000)*(Beräkningslogik!F129-Beräkningslogik!F66)</f>
        <v>11959175.6470588</v>
      </c>
      <c r="G16" s="15" t="n">
        <f aca="false">Beräkningslogik!G66+($C$13/1000000)*(Beräkningslogik!G129-Beräkningslogik!G66)</f>
        <v>12126604.1061176</v>
      </c>
      <c r="H16" s="15" t="n">
        <f aca="false">Beräkningslogik!H66+($C$13/1000000)*(Beräkningslogik!H129-Beräkningslogik!H66)</f>
        <v>12296376.5636033</v>
      </c>
      <c r="I16" s="15" t="n">
        <f aca="false">Beräkningslogik!I66+($C$13/1000000)*(Beräkningslogik!I129-Beräkningslogik!I66)</f>
        <v>12468525.8354937</v>
      </c>
      <c r="J16" s="15" t="n">
        <f aca="false">Beräkningslogik!J66+($C$13/1000000)*(Beräkningslogik!J129-Beräkningslogik!J66)</f>
        <v>12643085.1971907</v>
      </c>
      <c r="K16" s="15" t="n">
        <f aca="false">Beräkningslogik!K66+($C$13/1000000)*(Beräkningslogik!K129-Beräkningslogik!K66)</f>
        <v>12820088.3899513</v>
      </c>
      <c r="L16" s="15" t="n">
        <f aca="false">Beräkningslogik!L66+($C$13/1000000)*(Beräkningslogik!L129-Beräkningslogik!L66)</f>
        <v>12999569.6274106</v>
      </c>
      <c r="M16" s="15" t="n">
        <f aca="false">Beräkningslogik!M66+($C$13/1000000)*(Beräkningslogik!M129-Beräkningslogik!M66)</f>
        <v>13181563.6021944</v>
      </c>
      <c r="N16" s="15" t="n">
        <f aca="false">Beräkningslogik!N66+($C$13/1000000)*(Beräkningslogik!N129-Beräkningslogik!N66)</f>
        <v>13366105.4926251</v>
      </c>
      <c r="O16" s="15" t="n">
        <f aca="false">Beräkningslogik!O66+($C$13/1000000)*(Beräkningslogik!O129-Beräkningslogik!O66)</f>
        <v>13553230.9695219</v>
      </c>
      <c r="P16" s="15" t="n">
        <f aca="false">Beräkningslogik!P66+($C$13/1000000)*(Beräkningslogik!P129-Beräkningslogik!P66)</f>
        <v>13742976.2030952</v>
      </c>
      <c r="Q16" s="15" t="n">
        <f aca="false">Beräkningslogik!Q66+($C$13/1000000)*(Beräkningslogik!Q129-Beräkningslogik!Q66)</f>
        <v>13935377.8699385</v>
      </c>
      <c r="R16" s="15" t="n">
        <f aca="false">Beräkningslogik!R66+($C$13/1000000)*(Beräkningslogik!R129-Beräkningslogik!R66)</f>
        <v>14130473.1601176</v>
      </c>
      <c r="S16" s="15" t="n">
        <f aca="false">Beräkningslogik!S66+($C$13/1000000)*(Beräkningslogik!S129-Beräkningslogik!S66)</f>
        <v>14328299.7843593</v>
      </c>
      <c r="T16" s="15" t="n">
        <f aca="false">Beräkningslogik!T66+($C$13/1000000)*(Beräkningslogik!T129-Beräkningslogik!T66)</f>
        <v>14528895.9813403</v>
      </c>
      <c r="U16" s="15" t="n">
        <f aca="false">Beräkningslogik!U66+($C$13/1000000)*(Beräkningslogik!U129-Beräkningslogik!U66)</f>
        <v>14732300.5250791</v>
      </c>
      <c r="V16" s="15" t="n">
        <f aca="false">Beräkningslogik!V66+($C$13/1000000)*(Beräkningslogik!V129-Beräkningslogik!V66)</f>
        <v>14938552.7324302</v>
      </c>
      <c r="W16" s="15" t="n">
        <f aca="false">Beräkningslogik!W66+($C$13/1000000)*(Beräkningslogik!W129-Beräkningslogik!W66)</f>
        <v>15147692.4706842</v>
      </c>
      <c r="X16" s="15" t="n">
        <f aca="false">Beräkningslogik!X66+($C$13/1000000)*(Beräkningslogik!X129-Beräkningslogik!X66)</f>
        <v>15359760.1652738</v>
      </c>
      <c r="Y16" s="15" t="n">
        <f aca="false">Beräkningslogik!Y66+($C$13/1000000)*(Beräkningslogik!Y129-Beräkningslogik!Y66)</f>
        <v>15574796.8075876</v>
      </c>
      <c r="Z16" s="15" t="n">
        <f aca="false">Beräkningslogik!Z66+($C$13/1000000)*(Beräkningslogik!Z129-Beräkningslogik!Z66)</f>
        <v>15792843.9628939</v>
      </c>
      <c r="AA16" s="15" t="n">
        <f aca="false">Beräkningslogik!AA66+($C$13/1000000)*(Beräkningslogik!AA129-Beräkningslogik!AA66)</f>
        <v>16013943.7783744</v>
      </c>
      <c r="AB16" s="15" t="n">
        <f aca="false">Beräkningslogik!AB66+($C$13/1000000)*(Beräkningslogik!AB129-Beräkningslogik!AB66)</f>
        <v>16238138.9912716</v>
      </c>
    </row>
    <row r="17" customFormat="false" ht="15" hidden="false" customHeight="true" outlineLevel="0" collapsed="false">
      <c r="A17" s="2"/>
      <c r="B17" s="2" t="s">
        <v>150</v>
      </c>
      <c r="C17" s="2"/>
      <c r="D17" s="15" t="n">
        <f aca="false">Beräkningslogik!D67+($C$13/1000000)*(Beräkningslogik!D130-Beräkningslogik!D67)</f>
        <v>0</v>
      </c>
      <c r="E17" s="15" t="n">
        <f aca="false">Beräkningslogik!E67+($C$13/1000000)*(Beräkningslogik!E130-Beräkningslogik!E67)</f>
        <v>0</v>
      </c>
      <c r="F17" s="15" t="n">
        <f aca="false">Beräkningslogik!F67+($C$13/1000000)*(Beräkningslogik!F130-Beräkningslogik!F67)</f>
        <v>0</v>
      </c>
      <c r="G17" s="15" t="n">
        <f aca="false">Beräkningslogik!G67+($C$13/1000000)*(Beräkningslogik!G130-Beräkningslogik!G67)</f>
        <v>0</v>
      </c>
      <c r="H17" s="15" t="n">
        <f aca="false">Beräkningslogik!H67+($C$13/1000000)*(Beräkningslogik!H130-Beräkningslogik!H67)</f>
        <v>0</v>
      </c>
      <c r="I17" s="15" t="n">
        <f aca="false">Beräkningslogik!I67+($C$13/1000000)*(Beräkningslogik!I130-Beräkningslogik!I67)</f>
        <v>0</v>
      </c>
      <c r="J17" s="15" t="n">
        <f aca="false">Beräkningslogik!J67+($C$13/1000000)*(Beräkningslogik!J130-Beräkningslogik!J67)</f>
        <v>0</v>
      </c>
      <c r="K17" s="15" t="n">
        <f aca="false">Beräkningslogik!K67+($C$13/1000000)*(Beräkningslogik!K130-Beräkningslogik!K67)</f>
        <v>0</v>
      </c>
      <c r="L17" s="15" t="n">
        <f aca="false">Beräkningslogik!L67+($C$13/1000000)*(Beräkningslogik!L130-Beräkningslogik!L67)</f>
        <v>0</v>
      </c>
      <c r="M17" s="15" t="n">
        <f aca="false">Beräkningslogik!M67+($C$13/1000000)*(Beräkningslogik!M130-Beräkningslogik!M67)</f>
        <v>0</v>
      </c>
      <c r="N17" s="15" t="n">
        <f aca="false">Beräkningslogik!N67+($C$13/1000000)*(Beräkningslogik!N130-Beräkningslogik!N67)</f>
        <v>0</v>
      </c>
      <c r="O17" s="15" t="n">
        <f aca="false">Beräkningslogik!O67+($C$13/1000000)*(Beräkningslogik!O130-Beräkningslogik!O67)</f>
        <v>0</v>
      </c>
      <c r="P17" s="15" t="n">
        <f aca="false">Beräkningslogik!P67+($C$13/1000000)*(Beräkningslogik!P130-Beräkningslogik!P67)</f>
        <v>0</v>
      </c>
      <c r="Q17" s="15" t="n">
        <f aca="false">Beräkningslogik!Q67+($C$13/1000000)*(Beräkningslogik!Q130-Beräkningslogik!Q67)</f>
        <v>0</v>
      </c>
      <c r="R17" s="15" t="n">
        <f aca="false">Beräkningslogik!R67+($C$13/1000000)*(Beräkningslogik!R130-Beräkningslogik!R67)</f>
        <v>0</v>
      </c>
      <c r="S17" s="15" t="n">
        <f aca="false">Beräkningslogik!S67+($C$13/1000000)*(Beräkningslogik!S130-Beräkningslogik!S67)</f>
        <v>0</v>
      </c>
      <c r="T17" s="15" t="n">
        <f aca="false">Beräkningslogik!T67+($C$13/1000000)*(Beräkningslogik!T130-Beräkningslogik!T67)</f>
        <v>0</v>
      </c>
      <c r="U17" s="15" t="n">
        <f aca="false">Beräkningslogik!U67+($C$13/1000000)*(Beräkningslogik!U130-Beräkningslogik!U67)</f>
        <v>0</v>
      </c>
      <c r="V17" s="15" t="n">
        <f aca="false">Beräkningslogik!V67+($C$13/1000000)*(Beräkningslogik!V130-Beräkningslogik!V67)</f>
        <v>0</v>
      </c>
      <c r="W17" s="15" t="n">
        <f aca="false">Beräkningslogik!W67+($C$13/1000000)*(Beräkningslogik!W130-Beräkningslogik!W67)</f>
        <v>0</v>
      </c>
      <c r="X17" s="15" t="n">
        <f aca="false">Beräkningslogik!X67+($C$13/1000000)*(Beräkningslogik!X130-Beräkningslogik!X67)</f>
        <v>0</v>
      </c>
      <c r="Y17" s="15" t="n">
        <f aca="false">Beräkningslogik!Y67+($C$13/1000000)*(Beräkningslogik!Y130-Beräkningslogik!Y67)</f>
        <v>0</v>
      </c>
      <c r="Z17" s="15" t="n">
        <f aca="false">Beräkningslogik!Z67+($C$13/1000000)*(Beräkningslogik!Z130-Beräkningslogik!Z67)</f>
        <v>0</v>
      </c>
      <c r="AA17" s="15" t="n">
        <f aca="false">Beräkningslogik!AA67+($C$13/1000000)*(Beräkningslogik!AA130-Beräkningslogik!AA67)</f>
        <v>0</v>
      </c>
      <c r="AB17" s="15" t="n">
        <f aca="false">Beräkningslogik!AB67+($C$13/1000000)*(Beräkningslogik!AB130-Beräkningslogik!AB67)</f>
        <v>0</v>
      </c>
    </row>
    <row r="18" customFormat="false" ht="15" hidden="false" customHeight="true" outlineLevel="0" collapsed="false">
      <c r="A18" s="2"/>
      <c r="B18" s="13" t="s">
        <v>151</v>
      </c>
      <c r="C18" s="2"/>
      <c r="D18" s="15" t="n">
        <f aca="false">Beräkningslogik!D68+($C$13/1000000)*(Beräkningslogik!D131-Beräkningslogik!D68)</f>
        <v>11631221.719457</v>
      </c>
      <c r="E18" s="15" t="n">
        <f aca="false">Beräkningslogik!E68+($C$13/1000000)*(Beräkningslogik!E131-Beräkningslogik!E68)</f>
        <v>11794058.8235294</v>
      </c>
      <c r="F18" s="15" t="n">
        <f aca="false">Beräkningslogik!F68+($C$13/1000000)*(Beräkningslogik!F131-Beräkningslogik!F68)</f>
        <v>11959175.6470588</v>
      </c>
      <c r="G18" s="15" t="n">
        <f aca="false">Beräkningslogik!G68+($C$13/1000000)*(Beräkningslogik!G131-Beräkningslogik!G68)</f>
        <v>12126604.1061176</v>
      </c>
      <c r="H18" s="15" t="n">
        <f aca="false">Beräkningslogik!H68+($C$13/1000000)*(Beräkningslogik!H131-Beräkningslogik!H68)</f>
        <v>12296376.5636033</v>
      </c>
      <c r="I18" s="15" t="n">
        <f aca="false">Beräkningslogik!I68+($C$13/1000000)*(Beräkningslogik!I131-Beräkningslogik!I68)</f>
        <v>12468525.8354937</v>
      </c>
      <c r="J18" s="15" t="n">
        <f aca="false">Beräkningslogik!J68+($C$13/1000000)*(Beräkningslogik!J131-Beräkningslogik!J68)</f>
        <v>12643085.1971907</v>
      </c>
      <c r="K18" s="15" t="n">
        <f aca="false">Beräkningslogik!K68+($C$13/1000000)*(Beräkningslogik!K131-Beräkningslogik!K68)</f>
        <v>12820088.3899513</v>
      </c>
      <c r="L18" s="15" t="n">
        <f aca="false">Beräkningslogik!L68+($C$13/1000000)*(Beräkningslogik!L131-Beräkningslogik!L68)</f>
        <v>12999569.6274106</v>
      </c>
      <c r="M18" s="15" t="n">
        <f aca="false">Beräkningslogik!M68+($C$13/1000000)*(Beräkningslogik!M131-Beräkningslogik!M68)</f>
        <v>13181563.6021944</v>
      </c>
      <c r="N18" s="15" t="n">
        <f aca="false">Beräkningslogik!N68+($C$13/1000000)*(Beräkningslogik!N131-Beräkningslogik!N68)</f>
        <v>13366105.4926251</v>
      </c>
      <c r="O18" s="15" t="n">
        <f aca="false">Beräkningslogik!O68+($C$13/1000000)*(Beräkningslogik!O131-Beräkningslogik!O68)</f>
        <v>13553230.9695219</v>
      </c>
      <c r="P18" s="15" t="n">
        <f aca="false">Beräkningslogik!P68+($C$13/1000000)*(Beräkningslogik!P131-Beräkningslogik!P68)</f>
        <v>13742976.2030952</v>
      </c>
      <c r="Q18" s="15" t="n">
        <f aca="false">Beräkningslogik!Q68+($C$13/1000000)*(Beräkningslogik!Q131-Beräkningslogik!Q68)</f>
        <v>13935377.8699385</v>
      </c>
      <c r="R18" s="15" t="n">
        <f aca="false">Beräkningslogik!R68+($C$13/1000000)*(Beräkningslogik!R131-Beräkningslogik!R68)</f>
        <v>14130473.1601176</v>
      </c>
      <c r="S18" s="15" t="n">
        <f aca="false">Beräkningslogik!S68+($C$13/1000000)*(Beräkningslogik!S131-Beräkningslogik!S68)</f>
        <v>14328299.7843593</v>
      </c>
      <c r="T18" s="15" t="n">
        <f aca="false">Beräkningslogik!T68+($C$13/1000000)*(Beräkningslogik!T131-Beräkningslogik!T68)</f>
        <v>14528895.9813403</v>
      </c>
      <c r="U18" s="15" t="n">
        <f aca="false">Beräkningslogik!U68+($C$13/1000000)*(Beräkningslogik!U131-Beräkningslogik!U68)</f>
        <v>14732300.5250791</v>
      </c>
      <c r="V18" s="15" t="n">
        <f aca="false">Beräkningslogik!V68+($C$13/1000000)*(Beräkningslogik!V131-Beräkningslogik!V68)</f>
        <v>14938552.7324302</v>
      </c>
      <c r="W18" s="15" t="n">
        <f aca="false">Beräkningslogik!W68+($C$13/1000000)*(Beräkningslogik!W131-Beräkningslogik!W68)</f>
        <v>15147692.4706842</v>
      </c>
      <c r="X18" s="15" t="n">
        <f aca="false">Beräkningslogik!X68+($C$13/1000000)*(Beräkningslogik!X131-Beräkningslogik!X68)</f>
        <v>15359760.1652738</v>
      </c>
      <c r="Y18" s="15" t="n">
        <f aca="false">Beräkningslogik!Y68+($C$13/1000000)*(Beräkningslogik!Y131-Beräkningslogik!Y68)</f>
        <v>15574796.8075876</v>
      </c>
      <c r="Z18" s="15" t="n">
        <f aca="false">Beräkningslogik!Z68+($C$13/1000000)*(Beräkningslogik!Z131-Beräkningslogik!Z68)</f>
        <v>15792843.9628939</v>
      </c>
      <c r="AA18" s="15" t="n">
        <f aca="false">Beräkningslogik!AA68+($C$13/1000000)*(Beräkningslogik!AA131-Beräkningslogik!AA68)</f>
        <v>16013943.7783744</v>
      </c>
      <c r="AB18" s="15" t="n">
        <f aca="false">Beräkningslogik!AB68+($C$13/1000000)*(Beräkningslogik!AB131-Beräkningslogik!AB68)</f>
        <v>16238138.9912716</v>
      </c>
    </row>
    <row r="19" customFormat="false" ht="15" hidden="false" customHeight="true" outlineLevel="0" collapsed="false">
      <c r="A19" s="2"/>
      <c r="B19" s="2" t="s">
        <v>152</v>
      </c>
      <c r="C19" s="2"/>
      <c r="D19" s="15" t="n">
        <f aca="false">Beräkningslogik!D77</f>
        <v>-2000000</v>
      </c>
      <c r="E19" s="15" t="n">
        <f aca="false">Beräkningslogik!E77</f>
        <v>-2040000</v>
      </c>
      <c r="F19" s="15" t="n">
        <f aca="false">Beräkningslogik!F77</f>
        <v>-2080800</v>
      </c>
      <c r="G19" s="15" t="n">
        <f aca="false">Beräkningslogik!G77</f>
        <v>-2122416</v>
      </c>
      <c r="H19" s="15" t="n">
        <f aca="false">Beräkningslogik!H77</f>
        <v>-2164864.32</v>
      </c>
      <c r="I19" s="15" t="n">
        <f aca="false">Beräkningslogik!I77</f>
        <v>-2208161.6064</v>
      </c>
      <c r="J19" s="15" t="n">
        <f aca="false">Beräkningslogik!J77</f>
        <v>-2252324.838528</v>
      </c>
      <c r="K19" s="15" t="n">
        <f aca="false">Beräkningslogik!K77</f>
        <v>-2297371.33529856</v>
      </c>
      <c r="L19" s="15" t="n">
        <f aca="false">Beräkningslogik!L77</f>
        <v>-2343318.76200453</v>
      </c>
      <c r="M19" s="15" t="n">
        <f aca="false">Beräkningslogik!M77</f>
        <v>-2390185.13724462</v>
      </c>
      <c r="N19" s="15" t="n">
        <f aca="false">Beräkningslogik!N77</f>
        <v>-2437988.83998951</v>
      </c>
      <c r="O19" s="15" t="n">
        <f aca="false">Beräkningslogik!O77</f>
        <v>-2486748.6167893</v>
      </c>
      <c r="P19" s="15" t="n">
        <f aca="false">Beräkningslogik!P77</f>
        <v>-2536483.58912509</v>
      </c>
      <c r="Q19" s="15" t="n">
        <f aca="false">Beräkningslogik!Q77</f>
        <v>-2587213.26090759</v>
      </c>
      <c r="R19" s="15" t="n">
        <f aca="false">Beräkningslogik!R77</f>
        <v>-2638957.52612575</v>
      </c>
      <c r="S19" s="15" t="n">
        <f aca="false">Beräkningslogik!S77</f>
        <v>-2691736.67664826</v>
      </c>
      <c r="T19" s="15" t="n">
        <f aca="false">Beräkningslogik!T77</f>
        <v>-2745571.41018123</v>
      </c>
      <c r="U19" s="15" t="n">
        <f aca="false">Beräkningslogik!U77</f>
        <v>-2800482.83838485</v>
      </c>
      <c r="V19" s="15" t="n">
        <f aca="false">Beräkningslogik!V77</f>
        <v>-2856492.49515255</v>
      </c>
      <c r="W19" s="15" t="n">
        <f aca="false">Beräkningslogik!W77</f>
        <v>-2913622.3450556</v>
      </c>
      <c r="X19" s="15" t="n">
        <f aca="false">Beräkningslogik!X77</f>
        <v>-2971894.79195671</v>
      </c>
      <c r="Y19" s="15" t="n">
        <f aca="false">Beräkningslogik!Y77</f>
        <v>-3031332.68779584</v>
      </c>
      <c r="Z19" s="15" t="n">
        <f aca="false">Beräkningslogik!Z77</f>
        <v>-3091959.34155176</v>
      </c>
      <c r="AA19" s="15" t="n">
        <f aca="false">Beräkningslogik!AA77</f>
        <v>-3153798.5283828</v>
      </c>
      <c r="AB19" s="15" t="n">
        <f aca="false">Beräkningslogik!AB77</f>
        <v>-3216874.49895045</v>
      </c>
    </row>
    <row r="20" customFormat="false" ht="15" hidden="false" customHeight="false" outlineLevel="0" collapsed="false">
      <c r="A20" s="2"/>
      <c r="B20" s="2" t="s">
        <v>153</v>
      </c>
      <c r="C20" s="2"/>
      <c r="D20" s="15" t="n">
        <f aca="false">Beräkningslogik!D79</f>
        <v>-0</v>
      </c>
      <c r="E20" s="15" t="n">
        <f aca="false">Beräkningslogik!E79</f>
        <v>-0</v>
      </c>
      <c r="F20" s="15" t="n">
        <f aca="false">Beräkningslogik!F79</f>
        <v>-0</v>
      </c>
      <c r="G20" s="15" t="n">
        <f aca="false">Beräkningslogik!G79</f>
        <v>-0</v>
      </c>
      <c r="H20" s="15" t="n">
        <f aca="false">Beräkningslogik!H79</f>
        <v>-0</v>
      </c>
      <c r="I20" s="15" t="n">
        <f aca="false">Beräkningslogik!I79</f>
        <v>-0</v>
      </c>
      <c r="J20" s="15" t="n">
        <f aca="false">Beräkningslogik!J79</f>
        <v>-0</v>
      </c>
      <c r="K20" s="15" t="n">
        <f aca="false">Beräkningslogik!K79</f>
        <v>-0</v>
      </c>
      <c r="L20" s="15" t="n">
        <f aca="false">Beräkningslogik!L79</f>
        <v>-0</v>
      </c>
      <c r="M20" s="15" t="n">
        <f aca="false">Beräkningslogik!M79</f>
        <v>-0</v>
      </c>
      <c r="N20" s="15" t="n">
        <f aca="false">Beräkningslogik!N79</f>
        <v>-0</v>
      </c>
      <c r="O20" s="15" t="n">
        <f aca="false">Beräkningslogik!O79</f>
        <v>-0</v>
      </c>
      <c r="P20" s="15" t="n">
        <f aca="false">Beräkningslogik!P79</f>
        <v>-0</v>
      </c>
      <c r="Q20" s="15" t="n">
        <f aca="false">Beräkningslogik!Q79</f>
        <v>-0</v>
      </c>
      <c r="R20" s="15" t="n">
        <f aca="false">Beräkningslogik!R79</f>
        <v>-0</v>
      </c>
      <c r="S20" s="15" t="n">
        <f aca="false">Beräkningslogik!S79</f>
        <v>-0</v>
      </c>
      <c r="T20" s="15" t="n">
        <f aca="false">Beräkningslogik!T79</f>
        <v>-0</v>
      </c>
      <c r="U20" s="15" t="n">
        <f aca="false">Beräkningslogik!U79</f>
        <v>-0</v>
      </c>
      <c r="V20" s="15" t="n">
        <f aca="false">Beräkningslogik!V79</f>
        <v>-0</v>
      </c>
      <c r="W20" s="15" t="n">
        <f aca="false">Beräkningslogik!W79</f>
        <v>-0</v>
      </c>
      <c r="X20" s="15" t="n">
        <f aca="false">Beräkningslogik!X79</f>
        <v>-0</v>
      </c>
      <c r="Y20" s="15" t="n">
        <f aca="false">Beräkningslogik!Y79</f>
        <v>-0</v>
      </c>
      <c r="Z20" s="15" t="n">
        <f aca="false">Beräkningslogik!Z79</f>
        <v>-0</v>
      </c>
      <c r="AA20" s="15" t="n">
        <f aca="false">Beräkningslogik!AA79</f>
        <v>-0</v>
      </c>
      <c r="AB20" s="15" t="n">
        <f aca="false">Beräkningslogik!AB79</f>
        <v>-0</v>
      </c>
    </row>
    <row r="21" customFormat="false" ht="15" hidden="false" customHeight="true" outlineLevel="0" collapsed="false">
      <c r="A21" s="2"/>
      <c r="B21" s="2" t="s">
        <v>154</v>
      </c>
      <c r="C21" s="2"/>
      <c r="D21" s="15" t="n">
        <f aca="false">Beräkningslogik!D80</f>
        <v>-0</v>
      </c>
      <c r="E21" s="15" t="n">
        <f aca="false">Beräkningslogik!E80</f>
        <v>-0</v>
      </c>
      <c r="F21" s="15" t="n">
        <f aca="false">Beräkningslogik!F80</f>
        <v>-0</v>
      </c>
      <c r="G21" s="15" t="n">
        <f aca="false">Beräkningslogik!G80</f>
        <v>-0</v>
      </c>
      <c r="H21" s="15" t="n">
        <f aca="false">Beräkningslogik!H80</f>
        <v>-0</v>
      </c>
      <c r="I21" s="15" t="n">
        <f aca="false">Beräkningslogik!I80</f>
        <v>-0</v>
      </c>
      <c r="J21" s="15" t="n">
        <f aca="false">Beräkningslogik!J80</f>
        <v>-0</v>
      </c>
      <c r="K21" s="15" t="n">
        <f aca="false">Beräkningslogik!K80</f>
        <v>-0</v>
      </c>
      <c r="L21" s="15" t="n">
        <f aca="false">Beräkningslogik!L80</f>
        <v>-0</v>
      </c>
      <c r="M21" s="15" t="n">
        <f aca="false">Beräkningslogik!M80</f>
        <v>-0</v>
      </c>
      <c r="N21" s="15" t="n">
        <f aca="false">Beräkningslogik!N80</f>
        <v>-0</v>
      </c>
      <c r="O21" s="15" t="n">
        <f aca="false">Beräkningslogik!O80</f>
        <v>-0</v>
      </c>
      <c r="P21" s="15" t="n">
        <f aca="false">Beräkningslogik!P80</f>
        <v>-0</v>
      </c>
      <c r="Q21" s="15" t="n">
        <f aca="false">Beräkningslogik!Q80</f>
        <v>-0</v>
      </c>
      <c r="R21" s="15" t="n">
        <f aca="false">Beräkningslogik!R80</f>
        <v>-0</v>
      </c>
      <c r="S21" s="15" t="n">
        <f aca="false">Beräkningslogik!S80</f>
        <v>-0</v>
      </c>
      <c r="T21" s="15" t="n">
        <f aca="false">Beräkningslogik!T80</f>
        <v>-0</v>
      </c>
      <c r="U21" s="15" t="n">
        <f aca="false">Beräkningslogik!U80</f>
        <v>-0</v>
      </c>
      <c r="V21" s="15" t="n">
        <f aca="false">Beräkningslogik!V80</f>
        <v>-0</v>
      </c>
      <c r="W21" s="15" t="n">
        <f aca="false">Beräkningslogik!W80</f>
        <v>-0</v>
      </c>
      <c r="X21" s="15" t="n">
        <f aca="false">Beräkningslogik!X80</f>
        <v>-0</v>
      </c>
      <c r="Y21" s="15" t="n">
        <f aca="false">Beräkningslogik!Y80</f>
        <v>-0</v>
      </c>
      <c r="Z21" s="15" t="n">
        <f aca="false">Beräkningslogik!Z80</f>
        <v>-0</v>
      </c>
      <c r="AA21" s="15" t="n">
        <f aca="false">Beräkningslogik!AA80</f>
        <v>-0</v>
      </c>
      <c r="AB21" s="15" t="n">
        <f aca="false">Beräkningslogik!AB80</f>
        <v>-0</v>
      </c>
    </row>
    <row r="22" customFormat="false" ht="15" hidden="false" customHeight="true" outlineLevel="0" collapsed="false">
      <c r="A22" s="2"/>
      <c r="B22" s="2" t="s">
        <v>155</v>
      </c>
      <c r="C22" s="2"/>
      <c r="D22" s="15" t="n">
        <f aca="false">Beräkningslogik!D83</f>
        <v>-400000</v>
      </c>
      <c r="E22" s="15" t="n">
        <f aca="false">Beräkningslogik!E83</f>
        <v>-408000</v>
      </c>
      <c r="F22" s="15" t="n">
        <f aca="false">Beräkningslogik!F83</f>
        <v>-416160</v>
      </c>
      <c r="G22" s="15" t="n">
        <f aca="false">Beräkningslogik!G83</f>
        <v>-424483.2</v>
      </c>
      <c r="H22" s="15" t="n">
        <f aca="false">Beräkningslogik!H83</f>
        <v>-432972.864</v>
      </c>
      <c r="I22" s="15" t="n">
        <f aca="false">Beräkningslogik!I83</f>
        <v>-441632.32128</v>
      </c>
      <c r="J22" s="15" t="n">
        <f aca="false">Beräkningslogik!J83</f>
        <v>-450464.9677056</v>
      </c>
      <c r="K22" s="15" t="n">
        <f aca="false">Beräkningslogik!K83</f>
        <v>-459474.267059712</v>
      </c>
      <c r="L22" s="15" t="n">
        <f aca="false">Beräkningslogik!L83</f>
        <v>-468663.752400906</v>
      </c>
      <c r="M22" s="15" t="n">
        <f aca="false">Beräkningslogik!M83</f>
        <v>-478037.027448924</v>
      </c>
      <c r="N22" s="15" t="n">
        <f aca="false">Beräkningslogik!N83</f>
        <v>-487597.767997903</v>
      </c>
      <c r="O22" s="15" t="n">
        <f aca="false">Beräkningslogik!O83</f>
        <v>-497349.723357861</v>
      </c>
      <c r="P22" s="15" t="n">
        <f aca="false">Beräkningslogik!P83</f>
        <v>-507296.717825018</v>
      </c>
      <c r="Q22" s="15" t="n">
        <f aca="false">Beräkningslogik!Q83</f>
        <v>-517442.652181519</v>
      </c>
      <c r="R22" s="15" t="n">
        <f aca="false">Beräkningslogik!R83</f>
        <v>-527791.505225149</v>
      </c>
      <c r="S22" s="15" t="n">
        <f aca="false">Beräkningslogik!S83</f>
        <v>-538347.335329652</v>
      </c>
      <c r="T22" s="15" t="n">
        <f aca="false">Beräkningslogik!T83</f>
        <v>-549114.282036245</v>
      </c>
      <c r="U22" s="15" t="n">
        <f aca="false">Beräkningslogik!U83</f>
        <v>-560096.56767697</v>
      </c>
      <c r="V22" s="15" t="n">
        <f aca="false">Beräkningslogik!V83</f>
        <v>-571298.499030509</v>
      </c>
      <c r="W22" s="15" t="n">
        <f aca="false">Beräkningslogik!W83</f>
        <v>-582724.46901112</v>
      </c>
      <c r="X22" s="15" t="n">
        <f aca="false">Beräkningslogik!X83</f>
        <v>-594378.958391342</v>
      </c>
      <c r="Y22" s="15" t="n">
        <f aca="false">Beräkningslogik!Y83</f>
        <v>-606266.537559169</v>
      </c>
      <c r="Z22" s="15" t="n">
        <f aca="false">Beräkningslogik!Z83</f>
        <v>-618391.868310352</v>
      </c>
      <c r="AA22" s="15" t="n">
        <f aca="false">Beräkningslogik!AA83</f>
        <v>-630759.705676559</v>
      </c>
      <c r="AB22" s="15" t="n">
        <f aca="false">Beräkningslogik!AB83</f>
        <v>-643374.899790091</v>
      </c>
    </row>
    <row r="23" customFormat="false" ht="15" hidden="false" customHeight="true" outlineLevel="0" collapsed="false">
      <c r="A23" s="2"/>
      <c r="B23" s="50" t="s">
        <v>156</v>
      </c>
      <c r="C23" s="2"/>
      <c r="D23" s="51" t="n">
        <f aca="false">Beräkningslogik!D82+($C$13/1000000)*(Beräkningslogik!D132-Beräkningslogik!D82)</f>
        <v>9231221.71945701</v>
      </c>
      <c r="E23" s="51" t="n">
        <f aca="false">Beräkningslogik!E82+($C$13/1000000)*(Beräkningslogik!E132-Beräkningslogik!E82)</f>
        <v>9346058.82352941</v>
      </c>
      <c r="F23" s="51" t="n">
        <f aca="false">Beräkningslogik!F82+($C$13/1000000)*(Beräkningslogik!F132-Beräkningslogik!F82)</f>
        <v>9462215.64705882</v>
      </c>
      <c r="G23" s="51" t="n">
        <f aca="false">Beräkningslogik!G82+($C$13/1000000)*(Beräkningslogik!G132-Beräkningslogik!G82)</f>
        <v>9579704.90611764</v>
      </c>
      <c r="H23" s="51" t="n">
        <f aca="false">Beräkningslogik!H82+($C$13/1000000)*(Beräkningslogik!H132-Beräkningslogik!H82)</f>
        <v>9698539.3796033</v>
      </c>
      <c r="I23" s="51" t="n">
        <f aca="false">Beräkningslogik!I82+($C$13/1000000)*(Beräkningslogik!I132-Beräkningslogik!I82)</f>
        <v>9818731.90781374</v>
      </c>
      <c r="J23" s="51" t="n">
        <f aca="false">Beräkningslogik!J82+($C$13/1000000)*(Beräkningslogik!J132-Beräkningslogik!J82)</f>
        <v>9940295.39095705</v>
      </c>
      <c r="K23" s="51" t="n">
        <f aca="false">Beräkningslogik!K82+($C$13/1000000)*(Beräkningslogik!K132-Beräkningslogik!K82)</f>
        <v>10063242.7875931</v>
      </c>
      <c r="L23" s="51" t="n">
        <f aca="false">Beräkningslogik!L82+($C$13/1000000)*(Beräkningslogik!L132-Beräkningslogik!L82)</f>
        <v>10187587.1130052</v>
      </c>
      <c r="M23" s="51" t="n">
        <f aca="false">Beräkningslogik!M82+($C$13/1000000)*(Beräkningslogik!M132-Beräkningslogik!M82)</f>
        <v>10313341.4375008</v>
      </c>
      <c r="N23" s="51" t="n">
        <f aca="false">Beräkningslogik!N82+($C$13/1000000)*(Beräkningslogik!N132-Beräkningslogik!N82)</f>
        <v>10440518.8846377</v>
      </c>
      <c r="O23" s="51" t="n">
        <f aca="false">Beräkningslogik!O82+($C$13/1000000)*(Beräkningslogik!O132-Beräkningslogik!O82)</f>
        <v>10569132.6293747</v>
      </c>
      <c r="P23" s="51" t="n">
        <f aca="false">Beräkningslogik!P82+($C$13/1000000)*(Beräkningslogik!P132-Beräkningslogik!P82)</f>
        <v>10699195.8961451</v>
      </c>
      <c r="Q23" s="51" t="n">
        <f aca="false">Beräkningslogik!Q82+($C$13/1000000)*(Beräkningslogik!Q132-Beräkningslogik!Q82)</f>
        <v>10830721.9568494</v>
      </c>
      <c r="R23" s="51" t="n">
        <f aca="false">Beräkningslogik!R82+($C$13/1000000)*(Beräkningslogik!R132-Beräkningslogik!R82)</f>
        <v>10963724.1287667</v>
      </c>
      <c r="S23" s="51" t="n">
        <f aca="false">Beräkningslogik!S82+($C$13/1000000)*(Beräkningslogik!S132-Beräkningslogik!S82)</f>
        <v>11098215.7723814</v>
      </c>
      <c r="T23" s="51" t="n">
        <f aca="false">Beräkningslogik!T82+($C$13/1000000)*(Beräkningslogik!T132-Beräkningslogik!T82)</f>
        <v>11234210.2891228</v>
      </c>
      <c r="U23" s="51" t="n">
        <f aca="false">Beräkningslogik!U82+($C$13/1000000)*(Beräkningslogik!U132-Beräkningslogik!U82)</f>
        <v>11371721.1190173</v>
      </c>
      <c r="V23" s="51" t="n">
        <f aca="false">Beräkningslogik!V82+($C$13/1000000)*(Beräkningslogik!V132-Beräkningslogik!V82)</f>
        <v>11510761.7382471</v>
      </c>
      <c r="W23" s="51" t="n">
        <f aca="false">Beräkningslogik!W82+($C$13/1000000)*(Beräkningslogik!W132-Beräkningslogik!W82)</f>
        <v>11651345.6566175</v>
      </c>
      <c r="X23" s="51" t="n">
        <f aca="false">Beräkningslogik!X82+($C$13/1000000)*(Beräkningslogik!X132-Beräkningslogik!X82)</f>
        <v>11793486.4149257</v>
      </c>
      <c r="Y23" s="51" t="n">
        <f aca="false">Beräkningslogik!Y82+($C$13/1000000)*(Beräkningslogik!Y132-Beräkningslogik!Y82)</f>
        <v>11937197.5822326</v>
      </c>
      <c r="Z23" s="51" t="n">
        <f aca="false">Beräkningslogik!Z82+($C$13/1000000)*(Beräkningslogik!Z132-Beräkningslogik!Z82)</f>
        <v>12082492.7530317</v>
      </c>
      <c r="AA23" s="51" t="n">
        <f aca="false">Beräkningslogik!AA82+($C$13/1000000)*(Beräkningslogik!AA132-Beräkningslogik!AA82)</f>
        <v>12229385.544315</v>
      </c>
      <c r="AB23" s="51" t="n">
        <f aca="false">Beräkningslogik!AB82+($C$13/1000000)*(Beräkningslogik!AB132-Beräkningslogik!AB82)</f>
        <v>12377889.5925311</v>
      </c>
    </row>
    <row r="24" customFormat="false" ht="1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ustomFormat="false" ht="1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ustomFormat="false" ht="21.75" hidden="false" customHeight="true" outlineLevel="0" collapsed="false">
      <c r="A26" s="2"/>
      <c r="B26" s="46" t="s">
        <v>157</v>
      </c>
      <c r="C26" s="46"/>
      <c r="D26" s="46"/>
      <c r="E26" s="46"/>
      <c r="F26" s="2"/>
      <c r="G26" s="2"/>
      <c r="H26" s="2"/>
      <c r="I26" s="2"/>
      <c r="J26" s="2"/>
      <c r="K26" s="2"/>
      <c r="L26" s="2"/>
      <c r="M26" s="2"/>
      <c r="N26" s="2"/>
      <c r="O26" s="2"/>
      <c r="P26" s="2"/>
      <c r="Q26" s="2"/>
      <c r="R26" s="2"/>
      <c r="S26" s="2"/>
      <c r="T26" s="2"/>
      <c r="U26" s="2"/>
      <c r="V26" s="2"/>
      <c r="W26" s="2"/>
      <c r="X26" s="2"/>
      <c r="Y26" s="2"/>
      <c r="Z26" s="2"/>
      <c r="AA26" s="2"/>
      <c r="AB26" s="2"/>
    </row>
    <row r="27" customFormat="false" ht="15" hidden="false" customHeight="true" outlineLevel="0" collapsed="false">
      <c r="A27" s="2"/>
      <c r="B27" s="47" t="s">
        <v>158</v>
      </c>
      <c r="C27" s="47"/>
      <c r="D27" s="47"/>
      <c r="E27" s="47"/>
      <c r="F27" s="47"/>
      <c r="G27" s="47"/>
      <c r="H27" s="47"/>
      <c r="I27" s="47"/>
      <c r="J27" s="47"/>
      <c r="K27" s="47"/>
      <c r="L27" s="47"/>
      <c r="M27" s="47"/>
      <c r="N27" s="2"/>
      <c r="O27" s="2"/>
      <c r="P27" s="2"/>
      <c r="Q27" s="2"/>
      <c r="R27" s="2"/>
      <c r="S27" s="2"/>
      <c r="T27" s="2"/>
      <c r="U27" s="2"/>
      <c r="V27" s="2"/>
      <c r="W27" s="2"/>
      <c r="X27" s="2"/>
      <c r="Y27" s="2"/>
      <c r="Z27" s="2"/>
      <c r="AA27" s="2"/>
      <c r="AB27" s="2"/>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ustomFormat="false" ht="15" hidden="false" customHeight="false" outlineLevel="0" collapsed="false">
      <c r="A29" s="2"/>
      <c r="B29" s="37" t="s">
        <v>116</v>
      </c>
      <c r="C29" s="2"/>
      <c r="D29" s="52" t="n">
        <f aca="false">Indata!$C$5+0</f>
        <v>2026</v>
      </c>
      <c r="E29" s="52" t="n">
        <f aca="false">Indata!$C$5+1</f>
        <v>2027</v>
      </c>
      <c r="F29" s="52" t="n">
        <f aca="false">Indata!$C$5+2</f>
        <v>2028</v>
      </c>
      <c r="G29" s="52" t="n">
        <f aca="false">Indata!$C$5+3</f>
        <v>2029</v>
      </c>
      <c r="H29" s="52" t="n">
        <f aca="false">Indata!$C$5+4</f>
        <v>2030</v>
      </c>
      <c r="I29" s="52" t="n">
        <f aca="false">Indata!$C$5+5</f>
        <v>2031</v>
      </c>
      <c r="J29" s="52" t="n">
        <f aca="false">Indata!$C$5+6</f>
        <v>2032</v>
      </c>
      <c r="K29" s="52" t="n">
        <f aca="false">Indata!$C$5+7</f>
        <v>2033</v>
      </c>
      <c r="L29" s="52" t="n">
        <f aca="false">Indata!$C$5+8</f>
        <v>2034</v>
      </c>
      <c r="M29" s="52" t="n">
        <f aca="false">Indata!$C$5+9</f>
        <v>2035</v>
      </c>
      <c r="N29" s="2"/>
      <c r="O29" s="2"/>
      <c r="P29" s="2"/>
      <c r="Q29" s="2"/>
      <c r="R29" s="2"/>
      <c r="S29" s="2"/>
      <c r="T29" s="2"/>
      <c r="U29" s="2"/>
      <c r="V29" s="2"/>
      <c r="W29" s="2"/>
      <c r="X29" s="2"/>
      <c r="Y29" s="2"/>
      <c r="Z29" s="2"/>
      <c r="AA29" s="2"/>
      <c r="AB29" s="2"/>
    </row>
    <row r="30" customFormat="false" ht="15" hidden="false" customHeight="true" outlineLevel="0" collapsed="false">
      <c r="A30" s="2"/>
      <c r="B30" s="1" t="str">
        <f aca="false">IF(Indata!B26="","",Indata!B26)</f>
        <v>Skola</v>
      </c>
      <c r="C30" s="2"/>
      <c r="D30" s="28" t="n">
        <f aca="false">IF(OR(Indata!$K$26="",D$29&lt;Indata!$K$26),0,(Indata!$R$26/Indata!$R$31)*$E$7*(1+Indata!$C$8)^(D$29-Indata!$K$26))</f>
        <v>0</v>
      </c>
      <c r="E30" s="28" t="n">
        <f aca="false">IF(OR(Indata!$K$26="",E$29&lt;Indata!$K$26),0,(Indata!$R$26/Indata!$R$31)*$E$7*(1+Indata!$C$8)^(E$29-Indata!$K$26))</f>
        <v>0</v>
      </c>
      <c r="F30" s="28" t="n">
        <f aca="false">IF(OR(Indata!$K$26="",F$29&lt;Indata!$K$26),0,(Indata!$R$26/Indata!$R$31)*$E$7*(1+Indata!$C$8)^(F$29-Indata!$K$26))</f>
        <v>0</v>
      </c>
      <c r="G30" s="28" t="n">
        <f aca="false">IF(OR(Indata!$K$26="",G$29&lt;Indata!$K$26),0,(Indata!$R$26/Indata!$R$31)*$E$7*(1+Indata!$C$8)^(G$29-Indata!$K$26))</f>
        <v>0</v>
      </c>
      <c r="H30" s="28" t="n">
        <f aca="false">IF(OR(Indata!$K$26="",H$29&lt;Indata!$K$26),0,(Indata!$R$26/Indata!$R$31)*$E$7*(1+Indata!$C$8)^(H$29-Indata!$K$26))</f>
        <v>0</v>
      </c>
      <c r="I30" s="28" t="n">
        <f aca="false">IF(OR(Indata!$K$26="",I$29&lt;Indata!$K$26),0,(Indata!$R$26/Indata!$R$31)*$E$7*(1+Indata!$C$8)^(I$29-Indata!$K$26))</f>
        <v>0</v>
      </c>
      <c r="J30" s="28" t="n">
        <f aca="false">IF(OR(Indata!$K$26="",J$29&lt;Indata!$K$26),0,(Indata!$R$26/Indata!$R$31)*$E$7*(1+Indata!$C$8)^(J$29-Indata!$K$26))</f>
        <v>0</v>
      </c>
      <c r="K30" s="28" t="n">
        <f aca="false">IF(OR(Indata!$K$26="",K$29&lt;Indata!$K$26),0,(Indata!$R$26/Indata!$R$31)*$E$7*(1+Indata!$C$8)^(K$29-Indata!$K$26))</f>
        <v>0</v>
      </c>
      <c r="L30" s="28" t="n">
        <f aca="false">IF(OR(Indata!$K$26="",L$29&lt;Indata!$K$26),0,(Indata!$R$26/Indata!$R$31)*$E$7*(1+Indata!$C$8)^(L$29-Indata!$K$26))</f>
        <v>0</v>
      </c>
      <c r="M30" s="28" t="n">
        <f aca="false">IF(OR(Indata!$K$26="",M$29&lt;Indata!$K$26),0,(Indata!$R$26/Indata!$R$31)*$E$7*(1+Indata!$C$8)^(M$29-Indata!$K$26))</f>
        <v>0</v>
      </c>
      <c r="N30" s="2"/>
      <c r="O30" s="2"/>
      <c r="P30" s="2"/>
      <c r="Q30" s="2"/>
      <c r="R30" s="2"/>
      <c r="S30" s="2"/>
      <c r="T30" s="2"/>
      <c r="U30" s="2"/>
      <c r="V30" s="2"/>
      <c r="W30" s="2"/>
      <c r="X30" s="2"/>
      <c r="Y30" s="2"/>
      <c r="Z30" s="2"/>
      <c r="AA30" s="2"/>
      <c r="AB30" s="2"/>
    </row>
    <row r="31" customFormat="false" ht="15" hidden="false" customHeight="true" outlineLevel="0" collapsed="false">
      <c r="A31" s="2"/>
      <c r="B31" s="1" t="str">
        <f aca="false">IF(Indata!B27="","",Indata!B27)</f>
        <v/>
      </c>
      <c r="C31" s="2"/>
      <c r="D31" s="28" t="n">
        <f aca="false">IF(OR(Indata!$K$27="",D$29&lt;Indata!$K$27),0,(Indata!$R$27/Indata!$R$31)*$E$7*(1+Indata!$C$8)^(D$29-Indata!$K$27))</f>
        <v>0</v>
      </c>
      <c r="E31" s="28" t="n">
        <f aca="false">IF(OR(Indata!$K$27="",E$29&lt;Indata!$K$27),0,(Indata!$R$27/Indata!$R$31)*$E$7*(1+Indata!$C$8)^(E$29-Indata!$K$27))</f>
        <v>0</v>
      </c>
      <c r="F31" s="28" t="n">
        <f aca="false">IF(OR(Indata!$K$27="",F$29&lt;Indata!$K$27),0,(Indata!$R$27/Indata!$R$31)*$E$7*(1+Indata!$C$8)^(F$29-Indata!$K$27))</f>
        <v>0</v>
      </c>
      <c r="G31" s="28" t="n">
        <f aca="false">IF(OR(Indata!$K$27="",G$29&lt;Indata!$K$27),0,(Indata!$R$27/Indata!$R$31)*$E$7*(1+Indata!$C$8)^(G$29-Indata!$K$27))</f>
        <v>0</v>
      </c>
      <c r="H31" s="28" t="n">
        <f aca="false">IF(OR(Indata!$K$27="",H$29&lt;Indata!$K$27),0,(Indata!$R$27/Indata!$R$31)*$E$7*(1+Indata!$C$8)^(H$29-Indata!$K$27))</f>
        <v>0</v>
      </c>
      <c r="I31" s="28" t="n">
        <f aca="false">IF(OR(Indata!$K$27="",I$29&lt;Indata!$K$27),0,(Indata!$R$27/Indata!$R$31)*$E$7*(1+Indata!$C$8)^(I$29-Indata!$K$27))</f>
        <v>0</v>
      </c>
      <c r="J31" s="28" t="n">
        <f aca="false">IF(OR(Indata!$K$27="",J$29&lt;Indata!$K$27),0,(Indata!$R$27/Indata!$R$31)*$E$7*(1+Indata!$C$8)^(J$29-Indata!$K$27))</f>
        <v>0</v>
      </c>
      <c r="K31" s="28" t="n">
        <f aca="false">IF(OR(Indata!$K$27="",K$29&lt;Indata!$K$27),0,(Indata!$R$27/Indata!$R$31)*$E$7*(1+Indata!$C$8)^(K$29-Indata!$K$27))</f>
        <v>0</v>
      </c>
      <c r="L31" s="28" t="n">
        <f aca="false">IF(OR(Indata!$K$27="",L$29&lt;Indata!$K$27),0,(Indata!$R$27/Indata!$R$31)*$E$7*(1+Indata!$C$8)^(L$29-Indata!$K$27))</f>
        <v>0</v>
      </c>
      <c r="M31" s="28" t="n">
        <f aca="false">IF(OR(Indata!$K$27="",M$29&lt;Indata!$K$27),0,(Indata!$R$27/Indata!$R$31)*$E$7*(1+Indata!$C$8)^(M$29-Indata!$K$27))</f>
        <v>0</v>
      </c>
      <c r="N31" s="2"/>
      <c r="O31" s="2"/>
      <c r="P31" s="2"/>
      <c r="Q31" s="2"/>
      <c r="R31" s="2"/>
      <c r="S31" s="2"/>
      <c r="T31" s="2"/>
      <c r="U31" s="2"/>
      <c r="V31" s="2"/>
      <c r="W31" s="2"/>
      <c r="X31" s="2"/>
      <c r="Y31" s="2"/>
      <c r="Z31" s="2"/>
      <c r="AA31" s="2"/>
      <c r="AB31" s="2"/>
    </row>
    <row r="32" customFormat="false" ht="21.75" hidden="false" customHeight="true" outlineLevel="0" collapsed="false">
      <c r="A32" s="2"/>
      <c r="B32" s="1" t="str">
        <f aca="false">IF(Indata!B28="","",Indata!B28)</f>
        <v/>
      </c>
      <c r="C32" s="2"/>
      <c r="D32" s="28" t="n">
        <f aca="false">IF(OR(Indata!$K$28="",D$29&lt;Indata!$K$28),0,(Indata!$R$28/Indata!$R$31)*$E$7*(1+Indata!$C$8)^(D$29-Indata!$K$28))</f>
        <v>0</v>
      </c>
      <c r="E32" s="28" t="n">
        <f aca="false">IF(OR(Indata!$K$28="",E$29&lt;Indata!$K$28),0,(Indata!$R$28/Indata!$R$31)*$E$7*(1+Indata!$C$8)^(E$29-Indata!$K$28))</f>
        <v>0</v>
      </c>
      <c r="F32" s="28" t="n">
        <f aca="false">IF(OR(Indata!$K$28="",F$29&lt;Indata!$K$28),0,(Indata!$R$28/Indata!$R$31)*$E$7*(1+Indata!$C$8)^(F$29-Indata!$K$28))</f>
        <v>0</v>
      </c>
      <c r="G32" s="28" t="n">
        <f aca="false">IF(OR(Indata!$K$28="",G$29&lt;Indata!$K$28),0,(Indata!$R$28/Indata!$R$31)*$E$7*(1+Indata!$C$8)^(G$29-Indata!$K$28))</f>
        <v>0</v>
      </c>
      <c r="H32" s="28" t="n">
        <f aca="false">IF(OR(Indata!$K$28="",H$29&lt;Indata!$K$28),0,(Indata!$R$28/Indata!$R$31)*$E$7*(1+Indata!$C$8)^(H$29-Indata!$K$28))</f>
        <v>0</v>
      </c>
      <c r="I32" s="28" t="n">
        <f aca="false">IF(OR(Indata!$K$28="",I$29&lt;Indata!$K$28),0,(Indata!$R$28/Indata!$R$31)*$E$7*(1+Indata!$C$8)^(I$29-Indata!$K$28))</f>
        <v>0</v>
      </c>
      <c r="J32" s="28" t="n">
        <f aca="false">IF(OR(Indata!$K$28="",J$29&lt;Indata!$K$28),0,(Indata!$R$28/Indata!$R$31)*$E$7*(1+Indata!$C$8)^(J$29-Indata!$K$28))</f>
        <v>0</v>
      </c>
      <c r="K32" s="28" t="n">
        <f aca="false">IF(OR(Indata!$K$28="",K$29&lt;Indata!$K$28),0,(Indata!$R$28/Indata!$R$31)*$E$7*(1+Indata!$C$8)^(K$29-Indata!$K$28))</f>
        <v>0</v>
      </c>
      <c r="L32" s="28" t="n">
        <f aca="false">IF(OR(Indata!$K$28="",L$29&lt;Indata!$K$28),0,(Indata!$R$28/Indata!$R$31)*$E$7*(1+Indata!$C$8)^(L$29-Indata!$K$28))</f>
        <v>0</v>
      </c>
      <c r="M32" s="28" t="n">
        <f aca="false">IF(OR(Indata!$K$28="",M$29&lt;Indata!$K$28),0,(Indata!$R$28/Indata!$R$31)*$E$7*(1+Indata!$C$8)^(M$29-Indata!$K$28))</f>
        <v>0</v>
      </c>
      <c r="N32" s="2"/>
      <c r="O32" s="2"/>
      <c r="P32" s="2"/>
      <c r="Q32" s="2"/>
      <c r="R32" s="2"/>
      <c r="S32" s="2"/>
      <c r="T32" s="2"/>
      <c r="U32" s="2"/>
      <c r="V32" s="2"/>
      <c r="W32" s="2"/>
      <c r="X32" s="2"/>
      <c r="Y32" s="2"/>
      <c r="Z32" s="2"/>
      <c r="AA32" s="2"/>
      <c r="AB32" s="2"/>
    </row>
    <row r="33" customFormat="false" ht="15" hidden="false" customHeight="true" outlineLevel="0" collapsed="false">
      <c r="A33" s="2"/>
      <c r="B33" s="1" t="str">
        <f aca="false">IF(Indata!B29="","",Indata!B29)</f>
        <v/>
      </c>
      <c r="C33" s="2"/>
      <c r="D33" s="28" t="n">
        <f aca="false">IF(OR(Indata!$K$29="",D$29&lt;Indata!$K$29),0,(Indata!$R$29/Indata!$R$31)*$E$7*(1+Indata!$C$8)^(D$29-Indata!$K$29))</f>
        <v>0</v>
      </c>
      <c r="E33" s="28" t="n">
        <f aca="false">IF(OR(Indata!$K$29="",E$29&lt;Indata!$K$29),0,(Indata!$R$29/Indata!$R$31)*$E$7*(1+Indata!$C$8)^(E$29-Indata!$K$29))</f>
        <v>0</v>
      </c>
      <c r="F33" s="28" t="n">
        <f aca="false">IF(OR(Indata!$K$29="",F$29&lt;Indata!$K$29),0,(Indata!$R$29/Indata!$R$31)*$E$7*(1+Indata!$C$8)^(F$29-Indata!$K$29))</f>
        <v>0</v>
      </c>
      <c r="G33" s="28" t="n">
        <f aca="false">IF(OR(Indata!$K$29="",G$29&lt;Indata!$K$29),0,(Indata!$R$29/Indata!$R$31)*$E$7*(1+Indata!$C$8)^(G$29-Indata!$K$29))</f>
        <v>0</v>
      </c>
      <c r="H33" s="28" t="n">
        <f aca="false">IF(OR(Indata!$K$29="",H$29&lt;Indata!$K$29),0,(Indata!$R$29/Indata!$R$31)*$E$7*(1+Indata!$C$8)^(H$29-Indata!$K$29))</f>
        <v>0</v>
      </c>
      <c r="I33" s="28" t="n">
        <f aca="false">IF(OR(Indata!$K$29="",I$29&lt;Indata!$K$29),0,(Indata!$R$29/Indata!$R$31)*$E$7*(1+Indata!$C$8)^(I$29-Indata!$K$29))</f>
        <v>0</v>
      </c>
      <c r="J33" s="28" t="n">
        <f aca="false">IF(OR(Indata!$K$29="",J$29&lt;Indata!$K$29),0,(Indata!$R$29/Indata!$R$31)*$E$7*(1+Indata!$C$8)^(J$29-Indata!$K$29))</f>
        <v>0</v>
      </c>
      <c r="K33" s="28" t="n">
        <f aca="false">IF(OR(Indata!$K$29="",K$29&lt;Indata!$K$29),0,(Indata!$R$29/Indata!$R$31)*$E$7*(1+Indata!$C$8)^(K$29-Indata!$K$29))</f>
        <v>0</v>
      </c>
      <c r="L33" s="28" t="n">
        <f aca="false">IF(OR(Indata!$K$29="",L$29&lt;Indata!$K$29),0,(Indata!$R$29/Indata!$R$31)*$E$7*(1+Indata!$C$8)^(L$29-Indata!$K$29))</f>
        <v>0</v>
      </c>
      <c r="M33" s="28" t="n">
        <f aca="false">IF(OR(Indata!$K$29="",M$29&lt;Indata!$K$29),0,(Indata!$R$29/Indata!$R$31)*$E$7*(1+Indata!$C$8)^(M$29-Indata!$K$29))</f>
        <v>0</v>
      </c>
      <c r="N33" s="2"/>
      <c r="O33" s="2"/>
      <c r="P33" s="2"/>
      <c r="Q33" s="2"/>
      <c r="R33" s="2"/>
      <c r="S33" s="2"/>
      <c r="T33" s="2"/>
      <c r="U33" s="2"/>
      <c r="V33" s="2"/>
      <c r="W33" s="2"/>
      <c r="X33" s="2"/>
      <c r="Y33" s="2"/>
      <c r="Z33" s="2"/>
      <c r="AA33" s="2"/>
      <c r="AB33" s="2"/>
    </row>
    <row r="34" customFormat="false" ht="15" hidden="false" customHeight="true" outlineLevel="0" collapsed="false">
      <c r="A34" s="2"/>
      <c r="B34" s="1" t="str">
        <f aca="false">IF(Indata!B30="","",Indata!B30)</f>
        <v/>
      </c>
      <c r="C34" s="2"/>
      <c r="D34" s="28" t="n">
        <f aca="false">IF(OR(Indata!$K$30="",D$29&lt;Indata!$K$30),0,(Indata!$R$30/Indata!$R$31)*$E$7*(1+Indata!$C$8)^(D$29-Indata!$K$30))</f>
        <v>0</v>
      </c>
      <c r="E34" s="28" t="n">
        <f aca="false">IF(OR(Indata!$K$30="",E$29&lt;Indata!$K$30),0,(Indata!$R$30/Indata!$R$31)*$E$7*(1+Indata!$C$8)^(E$29-Indata!$K$30))</f>
        <v>0</v>
      </c>
      <c r="F34" s="28" t="n">
        <f aca="false">IF(OR(Indata!$K$30="",F$29&lt;Indata!$K$30),0,(Indata!$R$30/Indata!$R$31)*$E$7*(1+Indata!$C$8)^(F$29-Indata!$K$30))</f>
        <v>0</v>
      </c>
      <c r="G34" s="28" t="n">
        <f aca="false">IF(OR(Indata!$K$30="",G$29&lt;Indata!$K$30),0,(Indata!$R$30/Indata!$R$31)*$E$7*(1+Indata!$C$8)^(G$29-Indata!$K$30))</f>
        <v>0</v>
      </c>
      <c r="H34" s="28" t="n">
        <f aca="false">IF(OR(Indata!$K$30="",H$29&lt;Indata!$K$30),0,(Indata!$R$30/Indata!$R$31)*$E$7*(1+Indata!$C$8)^(H$29-Indata!$K$30))</f>
        <v>0</v>
      </c>
      <c r="I34" s="28" t="n">
        <f aca="false">IF(OR(Indata!$K$30="",I$29&lt;Indata!$K$30),0,(Indata!$R$30/Indata!$R$31)*$E$7*(1+Indata!$C$8)^(I$29-Indata!$K$30))</f>
        <v>0</v>
      </c>
      <c r="J34" s="28" t="n">
        <f aca="false">IF(OR(Indata!$K$30="",J$29&lt;Indata!$K$30),0,(Indata!$R$30/Indata!$R$31)*$E$7*(1+Indata!$C$8)^(J$29-Indata!$K$30))</f>
        <v>0</v>
      </c>
      <c r="K34" s="28" t="n">
        <f aca="false">IF(OR(Indata!$K$30="",K$29&lt;Indata!$K$30),0,(Indata!$R$30/Indata!$R$31)*$E$7*(1+Indata!$C$8)^(K$29-Indata!$K$30))</f>
        <v>0</v>
      </c>
      <c r="L34" s="28" t="n">
        <f aca="false">IF(OR(Indata!$K$30="",L$29&lt;Indata!$K$30),0,(Indata!$R$30/Indata!$R$31)*$E$7*(1+Indata!$C$8)^(L$29-Indata!$K$30))</f>
        <v>0</v>
      </c>
      <c r="M34" s="28" t="n">
        <f aca="false">IF(OR(Indata!$K$30="",M$29&lt;Indata!$K$30),0,(Indata!$R$30/Indata!$R$31)*$E$7*(1+Indata!$C$8)^(M$29-Indata!$K$30))</f>
        <v>0</v>
      </c>
      <c r="N34" s="2"/>
      <c r="O34" s="2"/>
      <c r="P34" s="2"/>
      <c r="Q34" s="2"/>
      <c r="R34" s="2"/>
      <c r="S34" s="2"/>
      <c r="T34" s="2"/>
      <c r="U34" s="2"/>
      <c r="V34" s="2"/>
      <c r="W34" s="2"/>
      <c r="X34" s="2"/>
      <c r="Y34" s="2"/>
      <c r="Z34" s="2"/>
      <c r="AA34" s="2"/>
      <c r="AB34" s="2"/>
    </row>
    <row r="35" customFormat="false" ht="15" hidden="false" customHeight="false" outlineLevel="0" collapsed="false">
      <c r="A35" s="2"/>
      <c r="B35" s="41" t="s">
        <v>100</v>
      </c>
      <c r="C35" s="2"/>
      <c r="D35" s="53" t="n">
        <f aca="false">SUM(D30:D34)</f>
        <v>0</v>
      </c>
      <c r="E35" s="53" t="n">
        <f aca="false">SUM(E30:E34)</f>
        <v>0</v>
      </c>
      <c r="F35" s="53" t="n">
        <f aca="false">SUM(F30:F34)</f>
        <v>0</v>
      </c>
      <c r="G35" s="53" t="n">
        <f aca="false">SUM(G30:G34)</f>
        <v>0</v>
      </c>
      <c r="H35" s="53" t="n">
        <f aca="false">SUM(H30:H34)</f>
        <v>0</v>
      </c>
      <c r="I35" s="53" t="n">
        <f aca="false">SUM(I30:I34)</f>
        <v>0</v>
      </c>
      <c r="J35" s="53" t="n">
        <f aca="false">SUM(J30:J34)</f>
        <v>0</v>
      </c>
      <c r="K35" s="53" t="n">
        <f aca="false">SUM(K30:K34)</f>
        <v>0</v>
      </c>
      <c r="L35" s="53" t="n">
        <f aca="false">SUM(L30:L34)</f>
        <v>0</v>
      </c>
      <c r="M35" s="53" t="n">
        <f aca="false">SUM(M30:M34)</f>
        <v>0</v>
      </c>
      <c r="N35" s="2"/>
      <c r="O35" s="2"/>
      <c r="P35" s="2"/>
      <c r="Q35" s="2"/>
      <c r="R35" s="2"/>
      <c r="S35" s="2"/>
      <c r="T35" s="2"/>
      <c r="U35" s="2"/>
      <c r="V35" s="2"/>
      <c r="W35" s="2"/>
      <c r="X35" s="2"/>
      <c r="Y35" s="2"/>
      <c r="Z35" s="2"/>
      <c r="AA35" s="2"/>
      <c r="AB35" s="2"/>
    </row>
    <row r="36" customFormat="false" ht="15" hidden="false" customHeight="true" outlineLevel="0" collapsed="false">
      <c r="A36" s="2"/>
      <c r="B36" s="22" t="s">
        <v>159</v>
      </c>
      <c r="C36" s="2"/>
      <c r="D36" s="54" t="n">
        <f aca="false">IFERROR(D35/MAX($D$35:$M$35),0)</f>
        <v>0</v>
      </c>
      <c r="E36" s="54" t="n">
        <f aca="false">IFERROR(E35/MAX($D$35:$M$35),0)</f>
        <v>0</v>
      </c>
      <c r="F36" s="54" t="n">
        <f aca="false">IFERROR(F35/MAX($D$35:$M$35),0)</f>
        <v>0</v>
      </c>
      <c r="G36" s="54" t="n">
        <f aca="false">IFERROR(G35/MAX($D$35:$M$35),0)</f>
        <v>0</v>
      </c>
      <c r="H36" s="54" t="n">
        <f aca="false">IFERROR(H35/MAX($D$35:$M$35),0)</f>
        <v>0</v>
      </c>
      <c r="I36" s="54" t="n">
        <f aca="false">IFERROR(I35/MAX($D$35:$M$35),0)</f>
        <v>0</v>
      </c>
      <c r="J36" s="54" t="n">
        <f aca="false">IFERROR(J35/MAX($D$35:$M$35),0)</f>
        <v>0</v>
      </c>
      <c r="K36" s="54" t="n">
        <f aca="false">IFERROR(K35/MAX($D$35:$M$35),0)</f>
        <v>0</v>
      </c>
      <c r="L36" s="54" t="n">
        <f aca="false">IFERROR(L35/MAX($D$35:$M$35),0)</f>
        <v>0</v>
      </c>
      <c r="M36" s="54" t="n">
        <f aca="false">IFERROR(M35/MAX($D$35:$M$35),0)</f>
        <v>0</v>
      </c>
      <c r="N36" s="2"/>
      <c r="O36" s="2"/>
      <c r="P36" s="2"/>
      <c r="Q36" s="2"/>
      <c r="R36" s="2"/>
      <c r="S36" s="2"/>
      <c r="T36" s="2"/>
      <c r="U36" s="2"/>
      <c r="V36" s="2"/>
      <c r="W36" s="2"/>
      <c r="X36" s="2"/>
      <c r="Y36" s="2"/>
      <c r="Z36" s="2"/>
      <c r="AA36" s="2"/>
      <c r="AB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ustomFormat="false" ht="1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ustomFormat="false" ht="21.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ustomFormat="false" ht="1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ustomFormat="false" ht="1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ustomFormat="false" ht="1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ustomFormat="false" ht="1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ustomFormat="false" ht="1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ustomFormat="false" ht="1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ustomFormat="false" ht="1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ustomFormat="false" ht="1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ustomFormat="false" ht="1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ustomFormat="false" ht="1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ustomFormat="false" ht="1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ustomFormat="false" ht="1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ustomFormat="false" ht="1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ustomFormat="false" ht="1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ustomFormat="false" ht="1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ustomFormat="false" ht="1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ustomFormat="false" ht="1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ustomFormat="false" ht="1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ustomFormat="false" ht="1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ustomFormat="false" ht="1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ustomFormat="false" ht="1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ustomFormat="false" ht="1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ustomFormat="false" ht="1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ustomFormat="false" ht="1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ustomFormat="false" ht="1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ustomFormat="false" ht="1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ustomFormat="false" ht="1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ustomFormat="false" ht="1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ustomFormat="false" ht="1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ustomFormat="false" ht="1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ustomFormat="false" ht="1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ustomFormat="false" ht="1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ustomFormat="false" ht="1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ustomFormat="false" ht="1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ustomFormat="false" ht="1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ustomFormat="false" ht="1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ustomFormat="false" ht="1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ustomFormat="false" ht="1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ustomFormat="false" ht="1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ustomFormat="false" ht="1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ustomFormat="false" ht="1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ustomFormat="false" ht="1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ustomFormat="false" ht="1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ustomFormat="false" ht="1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ustomFormat="false" ht="1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ustomFormat="false" ht="1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ustomFormat="false" ht="1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ustomFormat="false" ht="1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ustomFormat="false" ht="1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ustomFormat="false" ht="1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ustomFormat="false" ht="1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ustomFormat="false" ht="1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ustomFormat="false" ht="1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ustomFormat="false" ht="1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ustomFormat="false" ht="1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ustomFormat="false" ht="1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ustomFormat="false" ht="1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ustomFormat="false" ht="1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ustomFormat="false" ht="1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ustomFormat="false" ht="1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ustomFormat="false" ht="1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ustomFormat="false" ht="1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ustomFormat="false" ht="1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ustomFormat="false" ht="1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ustomFormat="false" ht="1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ustomFormat="false" ht="1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ustomFormat="false" ht="1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ustomFormat="false" ht="1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ustomFormat="false" ht="1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ustomFormat="false" ht="1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ustomFormat="false" ht="1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ustomFormat="false" ht="1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ustomFormat="false" ht="1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ustomFormat="false" ht="1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ustomFormat="false" ht="1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ustomFormat="false" ht="1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ustomFormat="false" ht="1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ustomFormat="false" ht="1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ustomFormat="false" ht="1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ustomFormat="false" ht="1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ustomFormat="false" ht="1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ustomFormat="false" ht="1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ustomFormat="false" ht="1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sheetData>
  <mergeCells count="4">
    <mergeCell ref="B10:E10"/>
    <mergeCell ref="B11:M11"/>
    <mergeCell ref="B26:E26"/>
    <mergeCell ref="B27:M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8"/>
    <col collapsed="false" customWidth="true" hidden="false" outlineLevel="0" max="28" min="4" style="0" width="13"/>
  </cols>
  <sheetData>
    <row r="1" customFormat="false" ht="25.5" hidden="false" customHeight="true" outlineLevel="0" collapsed="false">
      <c r="B1" s="55" t="s">
        <v>160</v>
      </c>
      <c r="C1" s="55"/>
      <c r="D1" s="55"/>
      <c r="E1" s="55"/>
    </row>
    <row r="3" customFormat="false" ht="15" hidden="false" customHeight="false" outlineLevel="0" collapsed="false">
      <c r="B3" s="41" t="s">
        <v>141</v>
      </c>
      <c r="D3" s="43" t="n">
        <f aca="false">Indata!$C$5+0</f>
        <v>2026</v>
      </c>
      <c r="E3" s="43" t="n">
        <f aca="false">Indata!$C$5+1</f>
        <v>2027</v>
      </c>
      <c r="F3" s="43" t="n">
        <f aca="false">Indata!$C$5+2</f>
        <v>2028</v>
      </c>
      <c r="G3" s="43" t="n">
        <f aca="false">Indata!$C$5+3</f>
        <v>2029</v>
      </c>
      <c r="H3" s="43" t="n">
        <f aca="false">Indata!$C$5+4</f>
        <v>2030</v>
      </c>
      <c r="I3" s="43" t="n">
        <f aca="false">Indata!$C$5+5</f>
        <v>2031</v>
      </c>
      <c r="J3" s="43" t="n">
        <f aca="false">Indata!$C$5+6</f>
        <v>2032</v>
      </c>
      <c r="K3" s="43" t="n">
        <f aca="false">Indata!$C$5+7</f>
        <v>2033</v>
      </c>
      <c r="L3" s="43" t="n">
        <f aca="false">Indata!$C$5+8</f>
        <v>2034</v>
      </c>
      <c r="M3" s="43" t="n">
        <f aca="false">Indata!$C$5+9</f>
        <v>2035</v>
      </c>
      <c r="N3" s="43" t="n">
        <f aca="false">Indata!$C$5+10</f>
        <v>2036</v>
      </c>
      <c r="O3" s="43" t="n">
        <f aca="false">Indata!$C$5+11</f>
        <v>2037</v>
      </c>
      <c r="P3" s="43" t="n">
        <f aca="false">Indata!$C$5+12</f>
        <v>2038</v>
      </c>
      <c r="Q3" s="43" t="n">
        <f aca="false">Indata!$C$5+13</f>
        <v>2039</v>
      </c>
      <c r="R3" s="43" t="n">
        <f aca="false">Indata!$C$5+14</f>
        <v>2040</v>
      </c>
      <c r="S3" s="43" t="n">
        <f aca="false">Indata!$C$5+15</f>
        <v>2041</v>
      </c>
      <c r="T3" s="43" t="n">
        <f aca="false">Indata!$C$5+16</f>
        <v>2042</v>
      </c>
      <c r="U3" s="43" t="n">
        <f aca="false">Indata!$C$5+17</f>
        <v>2043</v>
      </c>
      <c r="V3" s="43" t="n">
        <f aca="false">Indata!$C$5+18</f>
        <v>2044</v>
      </c>
      <c r="W3" s="43" t="n">
        <f aca="false">Indata!$C$5+19</f>
        <v>2045</v>
      </c>
      <c r="X3" s="43" t="n">
        <f aca="false">Indata!$C$5+20</f>
        <v>2046</v>
      </c>
      <c r="Y3" s="43" t="n">
        <f aca="false">Indata!$C$5+21</f>
        <v>2047</v>
      </c>
      <c r="Z3" s="43" t="n">
        <f aca="false">Indata!$C$5+22</f>
        <v>2048</v>
      </c>
      <c r="AA3" s="43" t="n">
        <f aca="false">Indata!$C$5+23</f>
        <v>2049</v>
      </c>
      <c r="AB3" s="43" t="n">
        <f aca="false">Indata!$C$5+24</f>
        <v>2050</v>
      </c>
    </row>
    <row r="4" customFormat="false" ht="15" hidden="false" customHeight="false" outlineLevel="0" collapsed="false">
      <c r="B4" s="22" t="s">
        <v>142</v>
      </c>
      <c r="D4" s="44" t="n">
        <v>1</v>
      </c>
      <c r="E4" s="44" t="n">
        <v>2</v>
      </c>
      <c r="F4" s="44" t="n">
        <v>3</v>
      </c>
      <c r="G4" s="44" t="n">
        <v>4</v>
      </c>
      <c r="H4" s="44" t="n">
        <v>5</v>
      </c>
      <c r="I4" s="44" t="n">
        <v>6</v>
      </c>
      <c r="J4" s="44" t="n">
        <v>7</v>
      </c>
      <c r="K4" s="44" t="n">
        <v>8</v>
      </c>
      <c r="L4" s="44" t="n">
        <v>9</v>
      </c>
      <c r="M4" s="44" t="n">
        <v>10</v>
      </c>
      <c r="N4" s="44" t="n">
        <v>11</v>
      </c>
      <c r="O4" s="44" t="n">
        <v>12</v>
      </c>
      <c r="P4" s="44" t="n">
        <v>13</v>
      </c>
      <c r="Q4" s="44" t="n">
        <v>14</v>
      </c>
      <c r="R4" s="44" t="n">
        <v>15</v>
      </c>
      <c r="S4" s="44" t="n">
        <v>16</v>
      </c>
      <c r="T4" s="44" t="n">
        <v>17</v>
      </c>
      <c r="U4" s="44" t="n">
        <v>18</v>
      </c>
      <c r="V4" s="44" t="n">
        <v>19</v>
      </c>
      <c r="W4" s="44" t="n">
        <v>20</v>
      </c>
      <c r="X4" s="44" t="n">
        <v>21</v>
      </c>
      <c r="Y4" s="44" t="n">
        <v>22</v>
      </c>
      <c r="Z4" s="44" t="n">
        <v>23</v>
      </c>
      <c r="AA4" s="44" t="n">
        <v>24</v>
      </c>
      <c r="AB4" s="44" t="n">
        <v>25</v>
      </c>
    </row>
    <row r="5" customFormat="false" ht="15" hidden="false" customHeight="false" outlineLevel="0" collapsed="false">
      <c r="B5" s="22" t="s">
        <v>143</v>
      </c>
      <c r="D5" s="44" t="n">
        <f aca="false">IF(D4&lt;=Indata!$C$16,1,0)</f>
        <v>1</v>
      </c>
      <c r="E5" s="44" t="n">
        <f aca="false">IF(E4&lt;=Indata!$C$16,1,0)</f>
        <v>1</v>
      </c>
      <c r="F5" s="44" t="n">
        <f aca="false">IF(F4&lt;=Indata!$C$16,1,0)</f>
        <v>1</v>
      </c>
      <c r="G5" s="44" t="n">
        <f aca="false">IF(G4&lt;=Indata!$C$16,1,0)</f>
        <v>1</v>
      </c>
      <c r="H5" s="44" t="n">
        <f aca="false">IF(H4&lt;=Indata!$C$16,1,0)</f>
        <v>1</v>
      </c>
      <c r="I5" s="44" t="n">
        <f aca="false">IF(I4&lt;=Indata!$C$16,1,0)</f>
        <v>1</v>
      </c>
      <c r="J5" s="44" t="n">
        <f aca="false">IF(J4&lt;=Indata!$C$16,1,0)</f>
        <v>1</v>
      </c>
      <c r="K5" s="44" t="n">
        <f aca="false">IF(K4&lt;=Indata!$C$16,1,0)</f>
        <v>1</v>
      </c>
      <c r="L5" s="44" t="n">
        <f aca="false">IF(L4&lt;=Indata!$C$16,1,0)</f>
        <v>1</v>
      </c>
      <c r="M5" s="44" t="n">
        <f aca="false">IF(M4&lt;=Indata!$C$16,1,0)</f>
        <v>1</v>
      </c>
      <c r="N5" s="44" t="n">
        <f aca="false">IF(N4&lt;=Indata!$C$16,1,0)</f>
        <v>1</v>
      </c>
      <c r="O5" s="44" t="n">
        <f aca="false">IF(O4&lt;=Indata!$C$16,1,0)</f>
        <v>1</v>
      </c>
      <c r="P5" s="44" t="n">
        <f aca="false">IF(P4&lt;=Indata!$C$16,1,0)</f>
        <v>1</v>
      </c>
      <c r="Q5" s="44" t="n">
        <f aca="false">IF(Q4&lt;=Indata!$C$16,1,0)</f>
        <v>1</v>
      </c>
      <c r="R5" s="44" t="n">
        <f aca="false">IF(R4&lt;=Indata!$C$16,1,0)</f>
        <v>1</v>
      </c>
      <c r="S5" s="44" t="n">
        <f aca="false">IF(S4&lt;=Indata!$C$16,1,0)</f>
        <v>1</v>
      </c>
      <c r="T5" s="44" t="n">
        <f aca="false">IF(T4&lt;=Indata!$C$16,1,0)</f>
        <v>1</v>
      </c>
      <c r="U5" s="44" t="n">
        <f aca="false">IF(U4&lt;=Indata!$C$16,1,0)</f>
        <v>1</v>
      </c>
      <c r="V5" s="44" t="n">
        <f aca="false">IF(V4&lt;=Indata!$C$16,1,0)</f>
        <v>1</v>
      </c>
      <c r="W5" s="44" t="n">
        <f aca="false">IF(W4&lt;=Indata!$C$16,1,0)</f>
        <v>1</v>
      </c>
      <c r="X5" s="44" t="n">
        <f aca="false">IF(X4&lt;=Indata!$C$16,1,0)</f>
        <v>0</v>
      </c>
      <c r="Y5" s="44" t="n">
        <f aca="false">IF(Y4&lt;=Indata!$C$16,1,0)</f>
        <v>0</v>
      </c>
      <c r="Z5" s="44" t="n">
        <f aca="false">IF(Z4&lt;=Indata!$C$16,1,0)</f>
        <v>0</v>
      </c>
      <c r="AA5" s="44" t="n">
        <f aca="false">IF(AA4&lt;=Indata!$C$16,1,0)</f>
        <v>0</v>
      </c>
      <c r="AB5" s="44" t="n">
        <f aca="false">IF(AB4&lt;=Indata!$C$16,1,0)</f>
        <v>0</v>
      </c>
    </row>
    <row r="7" customFormat="false" ht="21.75" hidden="false" customHeight="true" outlineLevel="0" collapsed="false">
      <c r="B7" s="46" t="s">
        <v>161</v>
      </c>
      <c r="C7" s="46"/>
      <c r="D7" s="46"/>
      <c r="E7" s="46"/>
    </row>
    <row r="8" customFormat="false" ht="15" hidden="false" customHeight="false" outlineLevel="0" collapsed="false">
      <c r="B8" s="47" t="s">
        <v>162</v>
      </c>
      <c r="C8" s="47"/>
      <c r="D8" s="47"/>
      <c r="E8" s="47"/>
      <c r="F8" s="47"/>
      <c r="G8" s="47"/>
      <c r="H8" s="47"/>
      <c r="I8" s="47"/>
      <c r="J8" s="47"/>
      <c r="K8" s="47"/>
      <c r="L8" s="47"/>
      <c r="M8" s="47"/>
    </row>
    <row r="10" customFormat="false" ht="15" hidden="false" customHeight="false" outlineLevel="0" collapsed="false">
      <c r="A10" s="2"/>
      <c r="B10" s="1" t="s">
        <v>163</v>
      </c>
      <c r="C10" s="2"/>
      <c r="D10" s="28" t="n">
        <f aca="false">SUMIFS(Indata!$R$26:$R$30,Indata!$P$26:$P$30,D3)*Indata!$C$64</f>
        <v>74000000</v>
      </c>
      <c r="E10" s="28" t="n">
        <f aca="false">SUMIFS(Indata!$R$26:$R$30,Indata!$P$26:$P$30,E3)*Indata!$C$64</f>
        <v>0</v>
      </c>
      <c r="F10" s="28" t="n">
        <f aca="false">SUMIFS(Indata!$R$26:$R$30,Indata!$P$26:$P$30,F3)*Indata!$C$64</f>
        <v>0</v>
      </c>
      <c r="G10" s="28" t="n">
        <f aca="false">SUMIFS(Indata!$R$26:$R$30,Indata!$P$26:$P$30,G3)*Indata!$C$64</f>
        <v>0</v>
      </c>
      <c r="H10" s="28" t="n">
        <f aca="false">SUMIFS(Indata!$R$26:$R$30,Indata!$P$26:$P$30,H3)*Indata!$C$64</f>
        <v>0</v>
      </c>
      <c r="I10" s="28" t="n">
        <f aca="false">SUMIFS(Indata!$R$26:$R$30,Indata!$P$26:$P$30,I3)*Indata!$C$64</f>
        <v>0</v>
      </c>
      <c r="J10" s="28" t="n">
        <f aca="false">SUMIFS(Indata!$R$26:$R$30,Indata!$P$26:$P$30,J3)*Indata!$C$64</f>
        <v>0</v>
      </c>
      <c r="K10" s="28" t="n">
        <f aca="false">SUMIFS(Indata!$R$26:$R$30,Indata!$P$26:$P$30,K3)*Indata!$C$64</f>
        <v>0</v>
      </c>
      <c r="L10" s="28" t="n">
        <f aca="false">SUMIFS(Indata!$R$26:$R$30,Indata!$P$26:$P$30,L3)*Indata!$C$64</f>
        <v>0</v>
      </c>
      <c r="M10" s="28" t="n">
        <f aca="false">SUMIFS(Indata!$R$26:$R$30,Indata!$P$26:$P$30,M3)*Indata!$C$64</f>
        <v>0</v>
      </c>
      <c r="N10" s="28" t="n">
        <f aca="false">SUMIFS(Indata!$R$26:$R$30,Indata!$P$26:$P$30,N3)*Indata!$C$64</f>
        <v>0</v>
      </c>
      <c r="O10" s="28" t="n">
        <f aca="false">SUMIFS(Indata!$R$26:$R$30,Indata!$P$26:$P$30,O3)*Indata!$C$64</f>
        <v>0</v>
      </c>
      <c r="P10" s="28" t="n">
        <f aca="false">SUMIFS(Indata!$R$26:$R$30,Indata!$P$26:$P$30,P3)*Indata!$C$64</f>
        <v>0</v>
      </c>
      <c r="Q10" s="28" t="n">
        <f aca="false">SUMIFS(Indata!$R$26:$R$30,Indata!$P$26:$P$30,Q3)*Indata!$C$64</f>
        <v>0</v>
      </c>
      <c r="R10" s="28" t="n">
        <f aca="false">SUMIFS(Indata!$R$26:$R$30,Indata!$P$26:$P$30,R3)*Indata!$C$64</f>
        <v>0</v>
      </c>
      <c r="S10" s="28" t="n">
        <f aca="false">SUMIFS(Indata!$R$26:$R$30,Indata!$P$26:$P$30,S3)*Indata!$C$64</f>
        <v>0</v>
      </c>
      <c r="T10" s="28" t="n">
        <f aca="false">SUMIFS(Indata!$R$26:$R$30,Indata!$P$26:$P$30,T3)*Indata!$C$64</f>
        <v>0</v>
      </c>
      <c r="U10" s="28" t="n">
        <f aca="false">SUMIFS(Indata!$R$26:$R$30,Indata!$P$26:$P$30,U3)*Indata!$C$64</f>
        <v>0</v>
      </c>
      <c r="V10" s="28" t="n">
        <f aca="false">SUMIFS(Indata!$R$26:$R$30,Indata!$P$26:$P$30,V3)*Indata!$C$64</f>
        <v>0</v>
      </c>
      <c r="W10" s="28" t="n">
        <f aca="false">SUMIFS(Indata!$R$26:$R$30,Indata!$P$26:$P$30,W3)*Indata!$C$64</f>
        <v>0</v>
      </c>
      <c r="X10" s="28" t="n">
        <f aca="false">SUMIFS(Indata!$R$26:$R$30,Indata!$P$26:$P$30,X3)*Indata!$C$64</f>
        <v>0</v>
      </c>
      <c r="Y10" s="28" t="n">
        <f aca="false">SUMIFS(Indata!$R$26:$R$30,Indata!$P$26:$P$30,Y3)*Indata!$C$64</f>
        <v>0</v>
      </c>
      <c r="Z10" s="28" t="n">
        <f aca="false">SUMIFS(Indata!$R$26:$R$30,Indata!$P$26:$P$30,Z3)*Indata!$C$64</f>
        <v>0</v>
      </c>
      <c r="AA10" s="28" t="n">
        <f aca="false">SUMIFS(Indata!$R$26:$R$30,Indata!$P$26:$P$30,AA3)*Indata!$C$64</f>
        <v>0</v>
      </c>
      <c r="AB10" s="28" t="n">
        <f aca="false">SUMIFS(Indata!$R$26:$R$30,Indata!$P$26:$P$30,AB3)*Indata!$C$64</f>
        <v>0</v>
      </c>
    </row>
    <row r="11" customFormat="false" ht="15" hidden="false" customHeight="false" outlineLevel="0" collapsed="false">
      <c r="A11" s="2"/>
      <c r="B11" s="1" t="s">
        <v>164</v>
      </c>
      <c r="C11" s="2"/>
      <c r="D11" s="28" t="n">
        <f aca="false">D10</f>
        <v>74000000</v>
      </c>
      <c r="E11" s="28" t="n">
        <f aca="false">D11+E10</f>
        <v>74000000</v>
      </c>
      <c r="F11" s="28" t="n">
        <f aca="false">E11+F10</f>
        <v>74000000</v>
      </c>
      <c r="G11" s="28" t="n">
        <f aca="false">F11+G10</f>
        <v>74000000</v>
      </c>
      <c r="H11" s="28" t="n">
        <f aca="false">G11+H10</f>
        <v>74000000</v>
      </c>
      <c r="I11" s="28" t="n">
        <f aca="false">H11+I10</f>
        <v>74000000</v>
      </c>
      <c r="J11" s="28" t="n">
        <f aca="false">I11+J10</f>
        <v>74000000</v>
      </c>
      <c r="K11" s="28" t="n">
        <f aca="false">J11+K10</f>
        <v>74000000</v>
      </c>
      <c r="L11" s="28" t="n">
        <f aca="false">K11+L10</f>
        <v>74000000</v>
      </c>
      <c r="M11" s="28" t="n">
        <f aca="false">L11+M10</f>
        <v>74000000</v>
      </c>
      <c r="N11" s="28" t="n">
        <f aca="false">M11+N10</f>
        <v>74000000</v>
      </c>
      <c r="O11" s="28" t="n">
        <f aca="false">N11+O10</f>
        <v>74000000</v>
      </c>
      <c r="P11" s="28" t="n">
        <f aca="false">O11+P10</f>
        <v>74000000</v>
      </c>
      <c r="Q11" s="28" t="n">
        <f aca="false">P11+Q10</f>
        <v>74000000</v>
      </c>
      <c r="R11" s="28" t="n">
        <f aca="false">Q11+R10</f>
        <v>74000000</v>
      </c>
      <c r="S11" s="28" t="n">
        <f aca="false">R11+S10</f>
        <v>74000000</v>
      </c>
      <c r="T11" s="28" t="n">
        <f aca="false">S11+T10</f>
        <v>74000000</v>
      </c>
      <c r="U11" s="28" t="n">
        <f aca="false">T11+U10</f>
        <v>74000000</v>
      </c>
      <c r="V11" s="28" t="n">
        <f aca="false">U11+V10</f>
        <v>74000000</v>
      </c>
      <c r="W11" s="28" t="n">
        <f aca="false">V11+W10</f>
        <v>74000000</v>
      </c>
      <c r="X11" s="28" t="n">
        <f aca="false">W11+X10</f>
        <v>74000000</v>
      </c>
      <c r="Y11" s="28" t="n">
        <f aca="false">X11+Y10</f>
        <v>74000000</v>
      </c>
      <c r="Z11" s="28" t="n">
        <f aca="false">Y11+Z10</f>
        <v>74000000</v>
      </c>
      <c r="AA11" s="28" t="n">
        <f aca="false">Z11+AA10</f>
        <v>74000000</v>
      </c>
      <c r="AB11" s="28" t="n">
        <f aca="false">AA11+AB10</f>
        <v>74000000</v>
      </c>
    </row>
    <row r="12" customFormat="false" ht="15" hidden="false" customHeight="false" outlineLevel="0" collapsed="false">
      <c r="A12" s="2"/>
      <c r="B12" s="1" t="s">
        <v>132</v>
      </c>
      <c r="C12" s="2"/>
      <c r="D12" s="28" t="n">
        <f aca="false">-D11*Indata!$C$63</f>
        <v>-1480000</v>
      </c>
      <c r="E12" s="28" t="n">
        <f aca="false">-D13*Indata!$C$63</f>
        <v>-1450400</v>
      </c>
      <c r="F12" s="28" t="n">
        <f aca="false">-E13*Indata!$C$63</f>
        <v>-1421392</v>
      </c>
      <c r="G12" s="28" t="n">
        <f aca="false">-F13*Indata!$C$63</f>
        <v>-1392964.16</v>
      </c>
      <c r="H12" s="28" t="n">
        <f aca="false">-G13*Indata!$C$63</f>
        <v>-1365104.8768</v>
      </c>
      <c r="I12" s="28" t="n">
        <f aca="false">-H13*Indata!$C$63</f>
        <v>-1337802.779264</v>
      </c>
      <c r="J12" s="28" t="n">
        <f aca="false">-I13*Indata!$C$63</f>
        <v>-1311046.72367872</v>
      </c>
      <c r="K12" s="28" t="n">
        <f aca="false">-J13*Indata!$C$63</f>
        <v>-1284825.78920515</v>
      </c>
      <c r="L12" s="28" t="n">
        <f aca="false">-K13*Indata!$C$63</f>
        <v>-1259129.27342104</v>
      </c>
      <c r="M12" s="28" t="n">
        <f aca="false">-L13*Indata!$C$63</f>
        <v>-1233946.68795262</v>
      </c>
      <c r="N12" s="28" t="n">
        <f aca="false">-M13*Indata!$C$63</f>
        <v>-1209267.75419357</v>
      </c>
      <c r="O12" s="28" t="n">
        <f aca="false">-N13*Indata!$C$63</f>
        <v>-1185082.3991097</v>
      </c>
      <c r="P12" s="28" t="n">
        <f aca="false">-O13*Indata!$C$63</f>
        <v>-1161380.7511275</v>
      </c>
      <c r="Q12" s="28" t="n">
        <f aca="false">-P13*Indata!$C$63</f>
        <v>-1138153.13610495</v>
      </c>
      <c r="R12" s="28" t="n">
        <f aca="false">-Q13*Indata!$C$63</f>
        <v>-1115390.07338285</v>
      </c>
      <c r="S12" s="28" t="n">
        <f aca="false">-R13*Indata!$C$63</f>
        <v>-1093082.2719152</v>
      </c>
      <c r="T12" s="28" t="n">
        <f aca="false">-S13*Indata!$C$63</f>
        <v>-1071220.62647689</v>
      </c>
      <c r="U12" s="28" t="n">
        <f aca="false">-T13*Indata!$C$63</f>
        <v>-1049796.21394736</v>
      </c>
      <c r="V12" s="28" t="n">
        <f aca="false">-U13*Indata!$C$63</f>
        <v>-1028800.28966841</v>
      </c>
      <c r="W12" s="28" t="n">
        <f aca="false">-V13*Indata!$C$63</f>
        <v>-1008224.28387504</v>
      </c>
      <c r="X12" s="28" t="n">
        <f aca="false">-W13*Indata!$C$63</f>
        <v>-988059.79819754</v>
      </c>
      <c r="Y12" s="28" t="n">
        <f aca="false">-X13*Indata!$C$63</f>
        <v>-968298.602233589</v>
      </c>
      <c r="Z12" s="28" t="n">
        <f aca="false">-Y13*Indata!$C$63</f>
        <v>-948932.630188917</v>
      </c>
      <c r="AA12" s="28" t="n">
        <f aca="false">-Z13*Indata!$C$63</f>
        <v>-929953.977585139</v>
      </c>
      <c r="AB12" s="28" t="n">
        <f aca="false">-AA13*Indata!$C$63</f>
        <v>-911354.898033436</v>
      </c>
    </row>
    <row r="13" customFormat="false" ht="15" hidden="false" customHeight="false" outlineLevel="0" collapsed="false">
      <c r="A13" s="2"/>
      <c r="B13" s="1" t="s">
        <v>165</v>
      </c>
      <c r="C13" s="2"/>
      <c r="D13" s="28" t="n">
        <f aca="false">D11+D12</f>
        <v>72520000</v>
      </c>
      <c r="E13" s="28" t="n">
        <f aca="false">D13+E10+E12</f>
        <v>71069600</v>
      </c>
      <c r="F13" s="28" t="n">
        <f aca="false">E13+F10+F12</f>
        <v>69648208</v>
      </c>
      <c r="G13" s="28" t="n">
        <f aca="false">F13+G10+G12</f>
        <v>68255243.84</v>
      </c>
      <c r="H13" s="28" t="n">
        <f aca="false">G13+H10+H12</f>
        <v>66890138.9632</v>
      </c>
      <c r="I13" s="28" t="n">
        <f aca="false">H13+I10+I12</f>
        <v>65552336.183936</v>
      </c>
      <c r="J13" s="28" t="n">
        <f aca="false">I13+J10+J12</f>
        <v>64241289.4602573</v>
      </c>
      <c r="K13" s="28" t="n">
        <f aca="false">J13+K10+K12</f>
        <v>62956463.6710521</v>
      </c>
      <c r="L13" s="28" t="n">
        <f aca="false">K13+L10+L12</f>
        <v>61697334.3976311</v>
      </c>
      <c r="M13" s="28" t="n">
        <f aca="false">L13+M10+M12</f>
        <v>60463387.7096785</v>
      </c>
      <c r="N13" s="28" t="n">
        <f aca="false">M13+N10+N12</f>
        <v>59254119.9554849</v>
      </c>
      <c r="O13" s="28" t="n">
        <f aca="false">N13+O10+O12</f>
        <v>58069037.5563752</v>
      </c>
      <c r="P13" s="28" t="n">
        <f aca="false">O13+P10+P12</f>
        <v>56907656.8052477</v>
      </c>
      <c r="Q13" s="28" t="n">
        <f aca="false">P13+Q10+Q12</f>
        <v>55769503.6691427</v>
      </c>
      <c r="R13" s="28" t="n">
        <f aca="false">Q13+R10+R12</f>
        <v>54654113.5957599</v>
      </c>
      <c r="S13" s="28" t="n">
        <f aca="false">R13+S10+S12</f>
        <v>53561031.3238447</v>
      </c>
      <c r="T13" s="28" t="n">
        <f aca="false">S13+T10+T12</f>
        <v>52489810.6973678</v>
      </c>
      <c r="U13" s="28" t="n">
        <f aca="false">T13+U10+U12</f>
        <v>51440014.4834204</v>
      </c>
      <c r="V13" s="28" t="n">
        <f aca="false">U13+V10+V12</f>
        <v>50411214.193752</v>
      </c>
      <c r="W13" s="28" t="n">
        <f aca="false">V13+W10+W12</f>
        <v>49402989.909877</v>
      </c>
      <c r="X13" s="28" t="n">
        <f aca="false">W13+X10+X12</f>
        <v>48414930.1116795</v>
      </c>
      <c r="Y13" s="28" t="n">
        <f aca="false">X13+Y10+Y12</f>
        <v>47446631.5094459</v>
      </c>
      <c r="Z13" s="28" t="n">
        <f aca="false">Y13+Z10+Z12</f>
        <v>46497698.8792569</v>
      </c>
      <c r="AA13" s="28" t="n">
        <f aca="false">Z13+AA10+AA12</f>
        <v>45567744.9016718</v>
      </c>
      <c r="AB13" s="28" t="n">
        <f aca="false">AA13+AB10+AB12</f>
        <v>44656390.0036384</v>
      </c>
    </row>
    <row r="14" customFormat="false" ht="15" hidden="false" customHeight="false" outlineLevel="0" collapsed="false">
      <c r="A14" s="2"/>
      <c r="B14" s="1" t="s">
        <v>166</v>
      </c>
      <c r="C14" s="2"/>
      <c r="D14" s="27" t="n">
        <f aca="false">MIN(Indata!$C$62,Indata!$C$61+(Indata!$C$62-Indata!$C$61)*(D4/10))</f>
        <v>0.031</v>
      </c>
      <c r="E14" s="27" t="n">
        <f aca="false">MIN(Indata!$C$62,Indata!$C$61+(Indata!$C$62-Indata!$C$61)*(E4/10))</f>
        <v>0.032</v>
      </c>
      <c r="F14" s="27" t="n">
        <f aca="false">MIN(Indata!$C$62,Indata!$C$61+(Indata!$C$62-Indata!$C$61)*(F4/10))</f>
        <v>0.033</v>
      </c>
      <c r="G14" s="27" t="n">
        <f aca="false">MIN(Indata!$C$62,Indata!$C$61+(Indata!$C$62-Indata!$C$61)*(G4/10))</f>
        <v>0.034</v>
      </c>
      <c r="H14" s="27" t="n">
        <f aca="false">MIN(Indata!$C$62,Indata!$C$61+(Indata!$C$62-Indata!$C$61)*(H4/10))</f>
        <v>0.035</v>
      </c>
      <c r="I14" s="27" t="n">
        <f aca="false">MIN(Indata!$C$62,Indata!$C$61+(Indata!$C$62-Indata!$C$61)*(I4/10))</f>
        <v>0.036</v>
      </c>
      <c r="J14" s="27" t="n">
        <f aca="false">MIN(Indata!$C$62,Indata!$C$61+(Indata!$C$62-Indata!$C$61)*(J4/10))</f>
        <v>0.037</v>
      </c>
      <c r="K14" s="27" t="n">
        <f aca="false">MIN(Indata!$C$62,Indata!$C$61+(Indata!$C$62-Indata!$C$61)*(K4/10))</f>
        <v>0.038</v>
      </c>
      <c r="L14" s="27" t="n">
        <f aca="false">MIN(Indata!$C$62,Indata!$C$61+(Indata!$C$62-Indata!$C$61)*(L4/10))</f>
        <v>0.039</v>
      </c>
      <c r="M14" s="27" t="n">
        <f aca="false">MIN(Indata!$C$62,Indata!$C$61+(Indata!$C$62-Indata!$C$61)*(M4/10))</f>
        <v>0.04</v>
      </c>
      <c r="N14" s="27" t="n">
        <f aca="false">MIN(Indata!$C$62,Indata!$C$61+(Indata!$C$62-Indata!$C$61)*(N4/10))</f>
        <v>0.04</v>
      </c>
      <c r="O14" s="27" t="n">
        <f aca="false">MIN(Indata!$C$62,Indata!$C$61+(Indata!$C$62-Indata!$C$61)*(O4/10))</f>
        <v>0.04</v>
      </c>
      <c r="P14" s="27" t="n">
        <f aca="false">MIN(Indata!$C$62,Indata!$C$61+(Indata!$C$62-Indata!$C$61)*(P4/10))</f>
        <v>0.04</v>
      </c>
      <c r="Q14" s="27" t="n">
        <f aca="false">MIN(Indata!$C$62,Indata!$C$61+(Indata!$C$62-Indata!$C$61)*(Q4/10))</f>
        <v>0.04</v>
      </c>
      <c r="R14" s="27" t="n">
        <f aca="false">MIN(Indata!$C$62,Indata!$C$61+(Indata!$C$62-Indata!$C$61)*(R4/10))</f>
        <v>0.04</v>
      </c>
      <c r="S14" s="27" t="n">
        <f aca="false">MIN(Indata!$C$62,Indata!$C$61+(Indata!$C$62-Indata!$C$61)*(S4/10))</f>
        <v>0.04</v>
      </c>
      <c r="T14" s="27" t="n">
        <f aca="false">MIN(Indata!$C$62,Indata!$C$61+(Indata!$C$62-Indata!$C$61)*(T4/10))</f>
        <v>0.04</v>
      </c>
      <c r="U14" s="27" t="n">
        <f aca="false">MIN(Indata!$C$62,Indata!$C$61+(Indata!$C$62-Indata!$C$61)*(U4/10))</f>
        <v>0.04</v>
      </c>
      <c r="V14" s="27" t="n">
        <f aca="false">MIN(Indata!$C$62,Indata!$C$61+(Indata!$C$62-Indata!$C$61)*(V4/10))</f>
        <v>0.04</v>
      </c>
      <c r="W14" s="27" t="n">
        <f aca="false">MIN(Indata!$C$62,Indata!$C$61+(Indata!$C$62-Indata!$C$61)*(W4/10))</f>
        <v>0.04</v>
      </c>
      <c r="X14" s="27" t="n">
        <f aca="false">MIN(Indata!$C$62,Indata!$C$61+(Indata!$C$62-Indata!$C$61)*(X4/10))</f>
        <v>0.04</v>
      </c>
      <c r="Y14" s="27" t="n">
        <f aca="false">MIN(Indata!$C$62,Indata!$C$61+(Indata!$C$62-Indata!$C$61)*(Y4/10))</f>
        <v>0.04</v>
      </c>
      <c r="Z14" s="27" t="n">
        <f aca="false">MIN(Indata!$C$62,Indata!$C$61+(Indata!$C$62-Indata!$C$61)*(Z4/10))</f>
        <v>0.04</v>
      </c>
      <c r="AA14" s="27" t="n">
        <f aca="false">MIN(Indata!$C$62,Indata!$C$61+(Indata!$C$62-Indata!$C$61)*(AA4/10))</f>
        <v>0.04</v>
      </c>
      <c r="AB14" s="27" t="n">
        <f aca="false">MIN(Indata!$C$62,Indata!$C$61+(Indata!$C$62-Indata!$C$61)*(AB4/10))</f>
        <v>0.04</v>
      </c>
    </row>
    <row r="15" customFormat="false" ht="15" hidden="false" customHeight="false" outlineLevel="0" collapsed="false">
      <c r="A15" s="2"/>
      <c r="B15" s="1" t="s">
        <v>167</v>
      </c>
      <c r="C15" s="2"/>
      <c r="D15" s="28" t="n">
        <f aca="false">-D13*D14</f>
        <v>-2248120</v>
      </c>
      <c r="E15" s="28" t="n">
        <f aca="false">-E13*E14</f>
        <v>-2274227.2</v>
      </c>
      <c r="F15" s="28" t="n">
        <f aca="false">-F13*F14</f>
        <v>-2298390.864</v>
      </c>
      <c r="G15" s="28" t="n">
        <f aca="false">-G13*G14</f>
        <v>-2320678.29056</v>
      </c>
      <c r="H15" s="28" t="n">
        <f aca="false">-H13*H14</f>
        <v>-2341154.863712</v>
      </c>
      <c r="I15" s="28" t="n">
        <f aca="false">-I13*I14</f>
        <v>-2359884.1026217</v>
      </c>
      <c r="J15" s="28" t="n">
        <f aca="false">-J13*J14</f>
        <v>-2376927.71002952</v>
      </c>
      <c r="K15" s="28" t="n">
        <f aca="false">-K13*K14</f>
        <v>-2392345.61949998</v>
      </c>
      <c r="L15" s="28" t="n">
        <f aca="false">-L13*L14</f>
        <v>-2406196.04150761</v>
      </c>
      <c r="M15" s="28" t="n">
        <f aca="false">-M13*M14</f>
        <v>-2418535.50838714</v>
      </c>
      <c r="N15" s="28" t="n">
        <f aca="false">-N13*N14</f>
        <v>-2370164.7982194</v>
      </c>
      <c r="O15" s="28" t="n">
        <f aca="false">-O13*O14</f>
        <v>-2322761.50225501</v>
      </c>
      <c r="P15" s="28" t="n">
        <f aca="false">-P13*P14</f>
        <v>-2276306.27220991</v>
      </c>
      <c r="Q15" s="28" t="n">
        <f aca="false">-Q13*Q14</f>
        <v>-2230780.14676571</v>
      </c>
      <c r="R15" s="28" t="n">
        <f aca="false">-R13*R14</f>
        <v>-2186164.5438304</v>
      </c>
      <c r="S15" s="28" t="n">
        <f aca="false">-S13*S14</f>
        <v>-2142441.25295379</v>
      </c>
      <c r="T15" s="28" t="n">
        <f aca="false">-T13*T14</f>
        <v>-2099592.42789471</v>
      </c>
      <c r="U15" s="28" t="n">
        <f aca="false">-U13*U14</f>
        <v>-2057600.57933682</v>
      </c>
      <c r="V15" s="28" t="n">
        <f aca="false">-V13*V14</f>
        <v>-2016448.56775008</v>
      </c>
      <c r="W15" s="28" t="n">
        <f aca="false">-W13*W14</f>
        <v>-1976119.59639508</v>
      </c>
      <c r="X15" s="28" t="n">
        <f aca="false">-X13*X14</f>
        <v>-1936597.20446718</v>
      </c>
      <c r="Y15" s="28" t="n">
        <f aca="false">-Y13*Y14</f>
        <v>-1897865.26037783</v>
      </c>
      <c r="Z15" s="28" t="n">
        <f aca="false">-Z13*Z14</f>
        <v>-1859907.95517028</v>
      </c>
      <c r="AA15" s="28" t="n">
        <f aca="false">-AA13*AA14</f>
        <v>-1822709.79606687</v>
      </c>
      <c r="AB15" s="28" t="n">
        <f aca="false">-AB13*AB14</f>
        <v>-1786255.60014553</v>
      </c>
    </row>
    <row r="17" customFormat="false" ht="15" hidden="false" customHeight="false" outlineLevel="0" collapsed="false">
      <c r="A17" s="2"/>
      <c r="B17" s="1" t="s">
        <v>168</v>
      </c>
      <c r="C17" s="2"/>
      <c r="D17" s="28" t="n">
        <f aca="false">-SUMIFS(Indata!$R$26:$R$30,Indata!$P$26:$P$30,D3)*(1-Indata!$C$64)</f>
        <v>-126000000</v>
      </c>
      <c r="E17" s="28" t="n">
        <f aca="false">-SUMIFS(Indata!$R$26:$R$30,Indata!$P$26:$P$30,E3)*(1-Indata!$C$64)</f>
        <v>-0</v>
      </c>
      <c r="F17" s="28" t="n">
        <f aca="false">-SUMIFS(Indata!$R$26:$R$30,Indata!$P$26:$P$30,F3)*(1-Indata!$C$64)</f>
        <v>-0</v>
      </c>
      <c r="G17" s="28" t="n">
        <f aca="false">-SUMIFS(Indata!$R$26:$R$30,Indata!$P$26:$P$30,G3)*(1-Indata!$C$64)</f>
        <v>-0</v>
      </c>
      <c r="H17" s="28" t="n">
        <f aca="false">-SUMIFS(Indata!$R$26:$R$30,Indata!$P$26:$P$30,H3)*(1-Indata!$C$64)</f>
        <v>-0</v>
      </c>
      <c r="I17" s="28" t="n">
        <f aca="false">-SUMIFS(Indata!$R$26:$R$30,Indata!$P$26:$P$30,I3)*(1-Indata!$C$64)</f>
        <v>-0</v>
      </c>
      <c r="J17" s="28" t="n">
        <f aca="false">-SUMIFS(Indata!$R$26:$R$30,Indata!$P$26:$P$30,J3)*(1-Indata!$C$64)</f>
        <v>-0</v>
      </c>
      <c r="K17" s="28" t="n">
        <f aca="false">-SUMIFS(Indata!$R$26:$R$30,Indata!$P$26:$P$30,K3)*(1-Indata!$C$64)</f>
        <v>-0</v>
      </c>
      <c r="L17" s="28" t="n">
        <f aca="false">-SUMIFS(Indata!$R$26:$R$30,Indata!$P$26:$P$30,L3)*(1-Indata!$C$64)</f>
        <v>-0</v>
      </c>
      <c r="M17" s="28" t="n">
        <f aca="false">-SUMIFS(Indata!$R$26:$R$30,Indata!$P$26:$P$30,M3)*(1-Indata!$C$64)</f>
        <v>-0</v>
      </c>
      <c r="N17" s="28" t="n">
        <f aca="false">-SUMIFS(Indata!$R$26:$R$30,Indata!$P$26:$P$30,N3)*(1-Indata!$C$64)</f>
        <v>-0</v>
      </c>
      <c r="O17" s="28" t="n">
        <f aca="false">-SUMIFS(Indata!$R$26:$R$30,Indata!$P$26:$P$30,O3)*(1-Indata!$C$64)</f>
        <v>-0</v>
      </c>
      <c r="P17" s="28" t="n">
        <f aca="false">-SUMIFS(Indata!$R$26:$R$30,Indata!$P$26:$P$30,P3)*(1-Indata!$C$64)</f>
        <v>-0</v>
      </c>
      <c r="Q17" s="28" t="n">
        <f aca="false">-SUMIFS(Indata!$R$26:$R$30,Indata!$P$26:$P$30,Q3)*(1-Indata!$C$64)</f>
        <v>-0</v>
      </c>
      <c r="R17" s="28" t="n">
        <f aca="false">-SUMIFS(Indata!$R$26:$R$30,Indata!$P$26:$P$30,R3)*(1-Indata!$C$64)</f>
        <v>-0</v>
      </c>
      <c r="S17" s="28" t="n">
        <f aca="false">-SUMIFS(Indata!$R$26:$R$30,Indata!$P$26:$P$30,S3)*(1-Indata!$C$64)</f>
        <v>-0</v>
      </c>
      <c r="T17" s="28" t="n">
        <f aca="false">-SUMIFS(Indata!$R$26:$R$30,Indata!$P$26:$P$30,T3)*(1-Indata!$C$64)</f>
        <v>-0</v>
      </c>
      <c r="U17" s="28" t="n">
        <f aca="false">-SUMIFS(Indata!$R$26:$R$30,Indata!$P$26:$P$30,U3)*(1-Indata!$C$64)</f>
        <v>-0</v>
      </c>
      <c r="V17" s="28" t="n">
        <f aca="false">-SUMIFS(Indata!$R$26:$R$30,Indata!$P$26:$P$30,V3)*(1-Indata!$C$64)</f>
        <v>-0</v>
      </c>
      <c r="W17" s="28" t="n">
        <f aca="false">-SUMIFS(Indata!$R$26:$R$30,Indata!$P$26:$P$30,W3)*(1-Indata!$C$64)</f>
        <v>-0</v>
      </c>
      <c r="X17" s="28" t="n">
        <f aca="false">-SUMIFS(Indata!$R$26:$R$30,Indata!$P$26:$P$30,X3)*(1-Indata!$C$64)</f>
        <v>-0</v>
      </c>
      <c r="Y17" s="28" t="n">
        <f aca="false">-SUMIFS(Indata!$R$26:$R$30,Indata!$P$26:$P$30,Y3)*(1-Indata!$C$64)</f>
        <v>-0</v>
      </c>
      <c r="Z17" s="28" t="n">
        <f aca="false">-SUMIFS(Indata!$R$26:$R$30,Indata!$P$26:$P$30,Z3)*(1-Indata!$C$64)</f>
        <v>-0</v>
      </c>
      <c r="AA17" s="28" t="n">
        <f aca="false">-SUMIFS(Indata!$R$26:$R$30,Indata!$P$26:$P$30,AA3)*(1-Indata!$C$64)</f>
        <v>-0</v>
      </c>
      <c r="AB17" s="28" t="n">
        <f aca="false">-SUMIFS(Indata!$R$26:$R$30,Indata!$P$26:$P$30,AB3)*(1-Indata!$C$64)</f>
        <v>-0</v>
      </c>
    </row>
    <row r="18" customFormat="false" ht="15" hidden="false" customHeight="false" outlineLevel="0" collapsed="false">
      <c r="A18" s="2"/>
      <c r="B18" s="1" t="s">
        <v>169</v>
      </c>
      <c r="C18" s="2"/>
      <c r="D18" s="28" t="n">
        <f aca="false">IF(D5=0,0,-Indata!$C$17/Indata!$C$19)</f>
        <v>-6060606.06060606</v>
      </c>
      <c r="E18" s="28" t="n">
        <f aca="false">IF(E5=0,0,-Indata!$C$17/Indata!$C$19)</f>
        <v>-6060606.06060606</v>
      </c>
      <c r="F18" s="28" t="n">
        <f aca="false">IF(F5=0,0,-Indata!$C$17/Indata!$C$19)</f>
        <v>-6060606.06060606</v>
      </c>
      <c r="G18" s="28" t="n">
        <f aca="false">IF(G5=0,0,-Indata!$C$17/Indata!$C$19)</f>
        <v>-6060606.06060606</v>
      </c>
      <c r="H18" s="28" t="n">
        <f aca="false">IF(H5=0,0,-Indata!$C$17/Indata!$C$19)</f>
        <v>-6060606.06060606</v>
      </c>
      <c r="I18" s="28" t="n">
        <f aca="false">IF(I5=0,0,-Indata!$C$17/Indata!$C$19)</f>
        <v>-6060606.06060606</v>
      </c>
      <c r="J18" s="28" t="n">
        <f aca="false">IF(J5=0,0,-Indata!$C$17/Indata!$C$19)</f>
        <v>-6060606.06060606</v>
      </c>
      <c r="K18" s="28" t="n">
        <f aca="false">IF(K5=0,0,-Indata!$C$17/Indata!$C$19)</f>
        <v>-6060606.06060606</v>
      </c>
      <c r="L18" s="28" t="n">
        <f aca="false">IF(L5=0,0,-Indata!$C$17/Indata!$C$19)</f>
        <v>-6060606.06060606</v>
      </c>
      <c r="M18" s="28" t="n">
        <f aca="false">IF(M5=0,0,-Indata!$C$17/Indata!$C$19)</f>
        <v>-6060606.06060606</v>
      </c>
      <c r="N18" s="28" t="n">
        <f aca="false">IF(N5=0,0,-Indata!$C$17/Indata!$C$19)</f>
        <v>-6060606.06060606</v>
      </c>
      <c r="O18" s="28" t="n">
        <f aca="false">IF(O5=0,0,-Indata!$C$17/Indata!$C$19)</f>
        <v>-6060606.06060606</v>
      </c>
      <c r="P18" s="28" t="n">
        <f aca="false">IF(P5=0,0,-Indata!$C$17/Indata!$C$19)</f>
        <v>-6060606.06060606</v>
      </c>
      <c r="Q18" s="28" t="n">
        <f aca="false">IF(Q5=0,0,-Indata!$C$17/Indata!$C$19)</f>
        <v>-6060606.06060606</v>
      </c>
      <c r="R18" s="28" t="n">
        <f aca="false">IF(R5=0,0,-Indata!$C$17/Indata!$C$19)</f>
        <v>-6060606.06060606</v>
      </c>
      <c r="S18" s="28" t="n">
        <f aca="false">IF(S5=0,0,-Indata!$C$17/Indata!$C$19)</f>
        <v>-6060606.06060606</v>
      </c>
      <c r="T18" s="28" t="n">
        <f aca="false">IF(T5=0,0,-Indata!$C$17/Indata!$C$19)</f>
        <v>-6060606.06060606</v>
      </c>
      <c r="U18" s="28" t="n">
        <f aca="false">IF(U5=0,0,-Indata!$C$17/Indata!$C$19)</f>
        <v>-6060606.06060606</v>
      </c>
      <c r="V18" s="28" t="n">
        <f aca="false">IF(V5=0,0,-Indata!$C$17/Indata!$C$19)</f>
        <v>-6060606.06060606</v>
      </c>
      <c r="W18" s="28" t="n">
        <f aca="false">IF(W5=0,0,-Indata!$C$17/Indata!$C$19)</f>
        <v>-6060606.06060606</v>
      </c>
      <c r="X18" s="28" t="n">
        <f aca="false">IF(X5=0,0,-Indata!$C$17/Indata!$C$19)</f>
        <v>0</v>
      </c>
      <c r="Y18" s="28" t="n">
        <f aca="false">IF(Y5=0,0,-Indata!$C$17/Indata!$C$19)</f>
        <v>0</v>
      </c>
      <c r="Z18" s="28" t="n">
        <f aca="false">IF(Z5=0,0,-Indata!$C$17/Indata!$C$19)</f>
        <v>0</v>
      </c>
      <c r="AA18" s="28" t="n">
        <f aca="false">IF(AA5=0,0,-Indata!$C$17/Indata!$C$19)</f>
        <v>0</v>
      </c>
      <c r="AB18" s="28" t="n">
        <f aca="false">IF(AB5=0,0,-Indata!$C$17/Indata!$C$19)</f>
        <v>0</v>
      </c>
    </row>
  </sheetData>
  <mergeCells count="3">
    <mergeCell ref="B1:E1"/>
    <mergeCell ref="B7:E7"/>
    <mergeCell ref="B8:M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5" min="3" style="1" width="18"/>
    <col collapsed="false" customWidth="true" hidden="false" outlineLevel="0" max="6" min="6" style="1" width="15"/>
  </cols>
  <sheetData>
    <row r="1" customFormat="false" ht="19.5" hidden="false" customHeight="true" outlineLevel="0" collapsed="false">
      <c r="B1" s="56" t="s">
        <v>170</v>
      </c>
    </row>
    <row r="2" customFormat="false" ht="15" hidden="false" customHeight="true" outlineLevel="0" collapsed="false">
      <c r="B2" s="57" t="str">
        <f aca="false">"Projekt: " &amp; IF(Indata!B26="","(ej angivet)",Indata!B26) &amp; " — " &amp; TEXT(Indata!F31,"#,##0") &amp; " m², investering " &amp; TEXT(Indata!R31,"#,##0") &amp; " kr (" &amp; TEXT(IFERROR(Indata!R31/Indata!F31,0),"#,##0") &amp; " kr/m²)"</f>
        <v>Projekt: Skola — 5,000 m², investering 200,000,000 kr (40,000 kr/m²)</v>
      </c>
      <c r="C2" s="57"/>
      <c r="D2" s="57"/>
      <c r="E2" s="57"/>
      <c r="F2" s="57"/>
    </row>
    <row r="3" customFormat="false" ht="31.5" hidden="false" customHeight="true" outlineLevel="0" collapsed="false">
      <c r="B3" s="58" t="str">
        <f aca="false">IF(SUMPRODUCT((Indata!M26:M30&lt;&gt;"")*(Indata!M26:M30&lt;&gt;0))=0,"⚠ Hyra efter avtal ej angiven på något objekt — kalkylen antar att samma kr/m² fortsätter efter avtalsslut (monopolmodell).","ⓘ Hyra efter avtal angiven — påverkar restvärde och kravhyra. Verifiera värdet och vakansprocent.")</f>
        <v>⚠ Hyra efter avtal ej angiven på något objekt — kalkylen antar att samma kr/m² fortsätter efter avtalsslut (monopolmodell).</v>
      </c>
      <c r="C3" s="58"/>
      <c r="D3" s="58"/>
      <c r="E3" s="58"/>
      <c r="F3" s="58"/>
    </row>
    <row r="4" customFormat="false" ht="24" hidden="false" customHeight="true" outlineLevel="0" collapsed="false">
      <c r="B4" s="59" t="s">
        <v>171</v>
      </c>
      <c r="C4" s="59"/>
      <c r="D4" s="59"/>
      <c r="E4" s="59"/>
      <c r="F4" s="59"/>
    </row>
    <row r="6" customFormat="false" ht="15" hidden="false" customHeight="true" outlineLevel="0" collapsed="false">
      <c r="B6" s="60" t="s">
        <v>172</v>
      </c>
      <c r="C6" s="60" t="s">
        <v>173</v>
      </c>
      <c r="D6" s="60" t="s">
        <v>174</v>
      </c>
      <c r="E6" s="60" t="s">
        <v>175</v>
      </c>
    </row>
    <row r="7" customFormat="false" ht="15" hidden="false" customHeight="true" outlineLevel="0" collapsed="false">
      <c r="B7" s="1" t="s">
        <v>97</v>
      </c>
      <c r="C7" s="28" t="n">
        <f aca="false">Indata!R31*(1-Indata!C68)</f>
        <v>180000000</v>
      </c>
      <c r="D7" s="28" t="n">
        <f aca="false">Indata!R31</f>
        <v>200000000</v>
      </c>
      <c r="E7" s="28" t="n">
        <f aca="false">Indata!R31*(1+Indata!C68)</f>
        <v>220000000</v>
      </c>
    </row>
    <row r="8" customFormat="false" ht="15" hidden="false" customHeight="true" outlineLevel="0" collapsed="false">
      <c r="B8" s="1" t="s">
        <v>7</v>
      </c>
      <c r="C8" s="61" t="n">
        <f aca="false">IFERROR(C7/Indata!F31,0)</f>
        <v>36000</v>
      </c>
      <c r="D8" s="61" t="n">
        <f aca="false">IFERROR(D7/Indata!F31,0)</f>
        <v>40000</v>
      </c>
      <c r="E8" s="61" t="n">
        <f aca="false">IFERROR(E7/Indata!F31,0)</f>
        <v>44000</v>
      </c>
    </row>
    <row r="10" customFormat="false" ht="15" hidden="false" customHeight="true" outlineLevel="0" collapsed="false">
      <c r="B10" s="1" t="s">
        <v>176</v>
      </c>
      <c r="C10" s="62" t="n">
        <f aca="false">-(Beräkningslogik!C119-Indata!C68*Beräkningslogik!C118)/Beräkningslogik!C140</f>
        <v>10726244.3438914</v>
      </c>
      <c r="D10" s="62" t="n">
        <f aca="false">-Beräkningslogik!C119/Beräkningslogik!C140</f>
        <v>11631221.719457</v>
      </c>
      <c r="E10" s="62" t="n">
        <f aca="false">-(Beräkningslogik!C119+Indata!C68*Beräkningslogik!C118)/Beräkningslogik!C140</f>
        <v>12536199.0950226</v>
      </c>
    </row>
    <row r="11" customFormat="false" ht="15" hidden="false" customHeight="true" outlineLevel="0" collapsed="false">
      <c r="B11" s="1" t="s">
        <v>177</v>
      </c>
      <c r="C11" s="62" t="n">
        <f aca="false">-(Beräkningslogik!C177+Indata!C68*Indata!R31*(1-Indata!C64))/Beräkningslogik!C193</f>
        <v>10507484.8908259</v>
      </c>
      <c r="D11" s="62" t="n">
        <f aca="false">-Beräkningslogik!C177/Beräkningslogik!C193</f>
        <v>11129727.5464309</v>
      </c>
      <c r="E11" s="62" t="n">
        <f aca="false">-(Beräkningslogik!C177-Indata!C68*Indata!R31*(1-Indata!C64))/Beräkningslogik!C193</f>
        <v>11751970.2020358</v>
      </c>
    </row>
    <row r="12" customFormat="false" ht="15" hidden="false" customHeight="true" outlineLevel="0" collapsed="false">
      <c r="B12" s="1" t="s">
        <v>178</v>
      </c>
      <c r="C12" s="62" t="n">
        <f aca="false">(Beräkningslogik!C204*(1-Indata!C68)-Beräkningslogik!C202)/Beräkningslogik!C203</f>
        <v>5426681.01557152</v>
      </c>
      <c r="D12" s="62" t="n">
        <f aca="false">(Beräkningslogik!C204-Beräkningslogik!C202)/Beräkningslogik!C203</f>
        <v>5729582.14408662</v>
      </c>
      <c r="E12" s="62" t="n">
        <f aca="false">(Beräkningslogik!C204*(1+Indata!C68)-Beräkningslogik!C202)/Beräkningslogik!C203</f>
        <v>6032483.27260173</v>
      </c>
    </row>
    <row r="14" customFormat="false" ht="27.75" hidden="false" customHeight="true" outlineLevel="0" collapsed="false">
      <c r="B14" s="63" t="s">
        <v>179</v>
      </c>
      <c r="C14" s="64" t="n">
        <f aca="false">MAX(C10,C11,C12)</f>
        <v>10726244.3438914</v>
      </c>
      <c r="D14" s="64" t="n">
        <f aca="false">MAX(D10,D11,D12)</f>
        <v>11631221.719457</v>
      </c>
      <c r="E14" s="64" t="n">
        <f aca="false">MAX(E10,E11,E12)</f>
        <v>12536199.0950226</v>
      </c>
      <c r="F14" s="25" t="s">
        <v>124</v>
      </c>
    </row>
    <row r="15" customFormat="false" ht="15" hidden="false" customHeight="true" outlineLevel="0" collapsed="false">
      <c r="B15" s="1" t="s">
        <v>3</v>
      </c>
      <c r="C15" s="65" t="str">
        <f aca="false">IF(C14=C10,"NPV",IF(C14=C11,"IRR","MV"))</f>
        <v>NPV</v>
      </c>
      <c r="D15" s="65" t="str">
        <f aca="false">IF(D14=D10,"NPV",IF(D14=D11,"IRR","MV"))</f>
        <v>NPV</v>
      </c>
      <c r="E15" s="65" t="str">
        <f aca="false">IF(E14=E10,"NPV",IF(E14=E11,"IRR","MV"))</f>
        <v>NPV</v>
      </c>
    </row>
    <row r="16" customFormat="false" ht="15" hidden="false" customHeight="true" outlineLevel="0" collapsed="false">
      <c r="B16" s="1" t="s">
        <v>180</v>
      </c>
      <c r="C16" s="66" t="n">
        <f aca="false">IFERROR(C14/Indata!F31,0)</f>
        <v>2145.24886877828</v>
      </c>
      <c r="D16" s="66" t="n">
        <f aca="false">IFERROR(D14/Indata!F31,0)</f>
        <v>2326.2443438914</v>
      </c>
      <c r="E16" s="66" t="n">
        <f aca="false">IFERROR(E14/Indata!F31,0)</f>
        <v>2507.23981900453</v>
      </c>
    </row>
    <row r="18" customFormat="false" ht="31.5" hidden="false" customHeight="true" outlineLevel="0" collapsed="false">
      <c r="B18" s="22" t="s">
        <v>181</v>
      </c>
      <c r="C18" s="67" t="s">
        <v>182</v>
      </c>
      <c r="D18" s="67"/>
      <c r="E18" s="67"/>
      <c r="F18" s="67"/>
    </row>
    <row r="19" customFormat="false" ht="27.75" hidden="false" customHeight="true" outlineLevel="0" collapsed="false">
      <c r="B19" s="41" t="s">
        <v>183</v>
      </c>
      <c r="C19" s="68" t="str">
        <f aca="false">"Avtalet bör skriva hyresspann " &amp; TEXT(C14,"#,##0") &amp; "–" &amp; TEXT(E14,"#,##0") &amp; " kr/år. Slutlig hyra fastställs vid projektavslut."</f>
        <v>Avtalet bör skriva hyresspann 10,726,244–12,536,199 kr/år. Slutlig hyra fastställs vid projektavslut.</v>
      </c>
      <c r="D19" s="68"/>
      <c r="E19" s="68"/>
      <c r="F19" s="68"/>
    </row>
    <row r="22" customFormat="false" ht="21.75" hidden="false" customHeight="true" outlineLevel="0" collapsed="false">
      <c r="B22" s="59" t="s">
        <v>184</v>
      </c>
      <c r="C22" s="59"/>
      <c r="D22" s="59"/>
      <c r="E22" s="59"/>
      <c r="F22" s="59"/>
    </row>
    <row r="24" customFormat="false" ht="15" hidden="false" customHeight="true" outlineLevel="0" collapsed="false">
      <c r="B24" s="60" t="s">
        <v>116</v>
      </c>
      <c r="C24" s="60" t="s">
        <v>89</v>
      </c>
      <c r="D24" s="60" t="s">
        <v>185</v>
      </c>
      <c r="E24" s="60" t="s">
        <v>186</v>
      </c>
      <c r="F24" s="60" t="s">
        <v>187</v>
      </c>
    </row>
    <row r="25" customFormat="false" ht="15" hidden="false" customHeight="true" outlineLevel="0" collapsed="false">
      <c r="B25" s="1" t="str">
        <f aca="false">IF(Indata!B26="","(ej ifyllt)",Indata!B26)</f>
        <v>Skola</v>
      </c>
      <c r="C25" s="69" t="n">
        <f aca="false">IFERROR(Indata!R26/Indata!R31,0)</f>
        <v>1</v>
      </c>
      <c r="D25" s="28" t="n">
        <f aca="false">C25*D$14</f>
        <v>11631221.719457</v>
      </c>
      <c r="E25" s="28" t="n">
        <f aca="false">IFERROR(D25/Indata!F26,0)</f>
        <v>2326.2443438914</v>
      </c>
      <c r="F25" s="70" t="n">
        <f aca="false">IF(Indata!K26="","",Indata!K26)</f>
        <v>2026</v>
      </c>
    </row>
    <row r="26" customFormat="false" ht="15" hidden="false" customHeight="true" outlineLevel="0" collapsed="false">
      <c r="B26" s="1" t="str">
        <f aca="false">IF(Indata!B27="","(ej ifyllt)",Indata!B27)</f>
        <v>(ej ifyllt)</v>
      </c>
      <c r="C26" s="69" t="n">
        <f aca="false">IFERROR(Indata!R27/Indata!R31,0)</f>
        <v>0</v>
      </c>
      <c r="D26" s="28" t="n">
        <f aca="false">C26*D$14</f>
        <v>0</v>
      </c>
      <c r="E26" s="28" t="n">
        <f aca="false">IFERROR(D26/Indata!F27,0)</f>
        <v>0</v>
      </c>
      <c r="F26" s="70" t="str">
        <f aca="false">IF(Indata!K27="","",Indata!K27)</f>
        <v/>
      </c>
    </row>
    <row r="27" customFormat="false" ht="15" hidden="false" customHeight="true" outlineLevel="0" collapsed="false">
      <c r="B27" s="1" t="str">
        <f aca="false">IF(Indata!B28="","(ej ifyllt)",Indata!B28)</f>
        <v>(ej ifyllt)</v>
      </c>
      <c r="C27" s="69" t="n">
        <f aca="false">IFERROR(Indata!R28/Indata!R31,0)</f>
        <v>0</v>
      </c>
      <c r="D27" s="28" t="n">
        <f aca="false">C27*D$14</f>
        <v>0</v>
      </c>
      <c r="E27" s="28" t="n">
        <f aca="false">IFERROR(D27/Indata!F28,0)</f>
        <v>0</v>
      </c>
      <c r="F27" s="70" t="str">
        <f aca="false">IF(Indata!K28="","",Indata!K28)</f>
        <v/>
      </c>
    </row>
    <row r="28" customFormat="false" ht="15" hidden="false" customHeight="true" outlineLevel="0" collapsed="false">
      <c r="B28" s="1" t="str">
        <f aca="false">IF(Indata!B29="","(ej ifyllt)",Indata!B29)</f>
        <v>(ej ifyllt)</v>
      </c>
      <c r="C28" s="69" t="n">
        <f aca="false">IFERROR(Indata!R29/Indata!R31,0)</f>
        <v>0</v>
      </c>
      <c r="D28" s="28" t="n">
        <f aca="false">C28*D$14</f>
        <v>0</v>
      </c>
      <c r="E28" s="28" t="n">
        <f aca="false">IFERROR(D28/Indata!F29,0)</f>
        <v>0</v>
      </c>
      <c r="F28" s="70" t="str">
        <f aca="false">IF(Indata!K29="","",Indata!K29)</f>
        <v/>
      </c>
    </row>
    <row r="29" customFormat="false" ht="15" hidden="false" customHeight="true" outlineLevel="0" collapsed="false">
      <c r="B29" s="1" t="str">
        <f aca="false">IF(Indata!B30="","(ej ifyllt)",Indata!B30)</f>
        <v>(ej ifyllt)</v>
      </c>
      <c r="C29" s="69" t="n">
        <f aca="false">IFERROR(Indata!R30/Indata!R31,0)</f>
        <v>0</v>
      </c>
      <c r="D29" s="28" t="n">
        <f aca="false">C29*D$14</f>
        <v>0</v>
      </c>
      <c r="E29" s="28" t="n">
        <f aca="false">IFERROR(D29/Indata!F30,0)</f>
        <v>0</v>
      </c>
      <c r="F29" s="70" t="str">
        <f aca="false">IF(Indata!K30="","",Indata!K30)</f>
        <v/>
      </c>
    </row>
    <row r="30" customFormat="false" ht="15" hidden="false" customHeight="true" outlineLevel="0" collapsed="false">
      <c r="B30" s="41" t="s">
        <v>188</v>
      </c>
      <c r="C30" s="69" t="n">
        <f aca="false">SUM(C25:C29)</f>
        <v>1</v>
      </c>
      <c r="D30" s="53" t="n">
        <f aca="false">SUM(D25:D29)</f>
        <v>11631221.719457</v>
      </c>
    </row>
    <row r="33" customFormat="false" ht="21.75" hidden="false" customHeight="true" outlineLevel="0" collapsed="false">
      <c r="A33" s="2"/>
      <c r="B33" s="2"/>
      <c r="C33" s="2"/>
      <c r="D33" s="2"/>
      <c r="E33" s="2"/>
      <c r="F33" s="2"/>
      <c r="G33" s="2"/>
      <c r="H33" s="2"/>
      <c r="I33" s="2"/>
      <c r="J33" s="2"/>
      <c r="K33" s="2"/>
      <c r="L33" s="2"/>
      <c r="M33" s="2"/>
      <c r="N33" s="2"/>
    </row>
    <row r="34" customFormat="false" ht="15" hidden="false" customHeight="true" outlineLevel="0" collapsed="false">
      <c r="A34" s="2"/>
      <c r="B34" s="2"/>
      <c r="C34" s="2"/>
      <c r="D34" s="2"/>
      <c r="E34" s="2"/>
      <c r="F34" s="2"/>
      <c r="G34" s="2"/>
      <c r="H34" s="2"/>
      <c r="I34" s="2"/>
      <c r="J34" s="2"/>
      <c r="K34" s="2"/>
      <c r="L34" s="2"/>
      <c r="M34" s="2"/>
      <c r="N34" s="2"/>
    </row>
    <row r="35" customFormat="false" ht="15" hidden="false" customHeight="false" outlineLevel="0" collapsed="false">
      <c r="A35" s="2"/>
      <c r="B35" s="2"/>
      <c r="C35" s="2"/>
      <c r="D35" s="2"/>
      <c r="E35" s="2"/>
      <c r="F35" s="2"/>
      <c r="G35" s="2"/>
      <c r="H35" s="2"/>
      <c r="I35" s="2"/>
      <c r="J35" s="2"/>
      <c r="K35" s="2"/>
      <c r="L35" s="2"/>
      <c r="M35" s="2"/>
      <c r="N35" s="2"/>
    </row>
    <row r="36" customFormat="false" ht="15" hidden="false" customHeight="true" outlineLevel="0" collapsed="false">
      <c r="A36" s="2"/>
      <c r="B36" s="2"/>
      <c r="C36" s="2"/>
      <c r="D36" s="2"/>
      <c r="E36" s="2"/>
      <c r="F36" s="2"/>
      <c r="G36" s="2"/>
      <c r="H36" s="2"/>
      <c r="I36" s="2"/>
      <c r="J36" s="2"/>
      <c r="K36" s="2"/>
      <c r="L36" s="2"/>
      <c r="M36" s="2"/>
      <c r="N36" s="2"/>
    </row>
    <row r="37" customFormat="false" ht="15" hidden="false" customHeight="true" outlineLevel="0" collapsed="false">
      <c r="A37" s="2"/>
      <c r="B37" s="2"/>
      <c r="C37" s="2"/>
      <c r="D37" s="2"/>
      <c r="E37" s="2"/>
      <c r="F37" s="2"/>
      <c r="G37" s="2"/>
      <c r="H37" s="2"/>
      <c r="I37" s="2"/>
      <c r="J37" s="2"/>
      <c r="K37" s="2"/>
      <c r="L37" s="2"/>
      <c r="M37" s="2"/>
      <c r="N37" s="2"/>
    </row>
    <row r="38" customFormat="false" ht="15" hidden="false" customHeight="true" outlineLevel="0" collapsed="false">
      <c r="A38" s="2"/>
      <c r="B38" s="2"/>
      <c r="C38" s="2"/>
      <c r="D38" s="2"/>
      <c r="E38" s="2"/>
      <c r="F38" s="2"/>
      <c r="G38" s="2"/>
      <c r="H38" s="2"/>
      <c r="I38" s="2"/>
      <c r="J38" s="2"/>
      <c r="K38" s="2"/>
      <c r="L38" s="2"/>
      <c r="M38" s="2"/>
      <c r="N38" s="2"/>
    </row>
    <row r="39" customFormat="false" ht="15" hidden="false" customHeight="true" outlineLevel="0" collapsed="false">
      <c r="A39" s="2"/>
      <c r="B39" s="2"/>
      <c r="C39" s="2"/>
      <c r="D39" s="2"/>
      <c r="E39" s="2"/>
      <c r="F39" s="2"/>
      <c r="G39" s="2"/>
      <c r="H39" s="2"/>
      <c r="I39" s="2"/>
      <c r="J39" s="2"/>
      <c r="K39" s="2"/>
      <c r="L39" s="2"/>
      <c r="M39" s="2"/>
      <c r="N39" s="2"/>
    </row>
    <row r="40" customFormat="false" ht="15" hidden="false" customHeight="true" outlineLevel="0" collapsed="false">
      <c r="A40" s="2"/>
      <c r="B40" s="2"/>
      <c r="C40" s="2"/>
      <c r="D40" s="2"/>
      <c r="E40" s="2"/>
      <c r="F40" s="2"/>
      <c r="G40" s="2"/>
      <c r="H40" s="2"/>
      <c r="I40" s="2"/>
      <c r="J40" s="2"/>
      <c r="K40" s="2"/>
      <c r="L40" s="2"/>
      <c r="M40" s="2"/>
      <c r="N40" s="2"/>
    </row>
    <row r="41" customFormat="false" ht="15" hidden="false" customHeight="true" outlineLevel="0" collapsed="false">
      <c r="A41" s="2"/>
      <c r="B41" s="2"/>
      <c r="C41" s="2"/>
      <c r="D41" s="2"/>
      <c r="E41" s="2"/>
      <c r="F41" s="2"/>
      <c r="G41" s="2"/>
      <c r="H41" s="2"/>
      <c r="I41" s="2"/>
      <c r="J41" s="2"/>
      <c r="K41" s="2"/>
      <c r="L41" s="2"/>
      <c r="M41" s="2"/>
      <c r="N41" s="2"/>
    </row>
    <row r="42" customFormat="false" ht="15" hidden="false" customHeight="true" outlineLevel="0" collapsed="false">
      <c r="A42" s="2"/>
      <c r="B42" s="2"/>
      <c r="C42" s="2"/>
      <c r="D42" s="2"/>
      <c r="E42" s="2"/>
      <c r="F42" s="2"/>
      <c r="G42" s="2"/>
      <c r="H42" s="2"/>
      <c r="I42" s="2"/>
      <c r="J42" s="2"/>
      <c r="K42" s="2"/>
      <c r="L42" s="2"/>
      <c r="M42" s="2"/>
      <c r="N42" s="2"/>
    </row>
    <row r="43" customFormat="false" ht="15" hidden="false" customHeight="true" outlineLevel="0" collapsed="false">
      <c r="A43" s="2"/>
      <c r="B43" s="2"/>
      <c r="C43" s="2"/>
      <c r="D43" s="2"/>
      <c r="E43" s="2"/>
      <c r="F43" s="2"/>
      <c r="G43" s="2"/>
      <c r="H43" s="2"/>
      <c r="I43" s="2"/>
      <c r="J43" s="2"/>
      <c r="K43" s="2"/>
      <c r="L43" s="2"/>
      <c r="M43" s="2"/>
      <c r="N43" s="2"/>
    </row>
    <row r="44" customFormat="false" ht="15" hidden="false" customHeight="false" outlineLevel="0" collapsed="false">
      <c r="A44" s="2"/>
      <c r="B44" s="2"/>
      <c r="C44" s="2"/>
      <c r="D44" s="2"/>
      <c r="E44" s="2"/>
      <c r="F44" s="2"/>
      <c r="G44" s="2"/>
      <c r="H44" s="2"/>
      <c r="I44" s="2"/>
      <c r="J44" s="2"/>
      <c r="K44" s="2"/>
      <c r="L44" s="2"/>
      <c r="M44" s="2"/>
      <c r="N44" s="2"/>
    </row>
    <row r="45" customFormat="false" ht="15" hidden="false" customHeight="true" outlineLevel="0" collapsed="false">
      <c r="A45" s="2"/>
      <c r="B45" s="2"/>
      <c r="C45" s="2"/>
      <c r="D45" s="2"/>
      <c r="E45" s="2"/>
      <c r="F45" s="2"/>
      <c r="G45" s="2"/>
      <c r="H45" s="2"/>
      <c r="I45" s="2"/>
      <c r="J45" s="2"/>
      <c r="K45" s="2"/>
      <c r="L45" s="2"/>
      <c r="M45" s="2"/>
      <c r="N45" s="2"/>
    </row>
  </sheetData>
  <mergeCells count="6">
    <mergeCell ref="B2:F2"/>
    <mergeCell ref="B3:F3"/>
    <mergeCell ref="B4:F4"/>
    <mergeCell ref="C18:F18"/>
    <mergeCell ref="C19:F19"/>
    <mergeCell ref="B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10" min="3" style="1" width="16"/>
  </cols>
  <sheetData>
    <row r="1" customFormat="false" ht="19.5" hidden="false" customHeight="true" outlineLevel="0" collapsed="false">
      <c r="B1" s="56" t="s">
        <v>189</v>
      </c>
    </row>
    <row r="2" customFormat="false" ht="15" hidden="false" customHeight="true" outlineLevel="0" collapsed="false">
      <c r="B2" s="57" t="s">
        <v>190</v>
      </c>
      <c r="C2" s="57"/>
      <c r="D2" s="57"/>
      <c r="E2" s="57"/>
      <c r="F2" s="57"/>
      <c r="G2" s="57"/>
      <c r="H2" s="57"/>
    </row>
    <row r="4" customFormat="false" ht="21.75" hidden="false" customHeight="true" outlineLevel="0" collapsed="false">
      <c r="B4" s="59" t="s">
        <v>191</v>
      </c>
      <c r="C4" s="59"/>
      <c r="D4" s="59"/>
      <c r="E4" s="59"/>
      <c r="F4" s="59"/>
      <c r="G4" s="59"/>
      <c r="H4" s="59"/>
    </row>
    <row r="6" customFormat="false" ht="15" hidden="false" customHeight="true" outlineLevel="0" collapsed="false">
      <c r="B6" s="1" t="s">
        <v>49</v>
      </c>
      <c r="C6" s="27" t="n">
        <f aca="false">Indata!C7</f>
        <v>0.04</v>
      </c>
    </row>
    <row r="7" customFormat="false" ht="15" hidden="false" customHeight="true" outlineLevel="0" collapsed="false">
      <c r="B7" s="1" t="s">
        <v>192</v>
      </c>
      <c r="C7" s="28" t="n">
        <f aca="false">Resultat!D10</f>
        <v>11631221.719457</v>
      </c>
    </row>
    <row r="8" customFormat="false" ht="15" hidden="false" customHeight="true" outlineLevel="0" collapsed="false">
      <c r="B8" s="1" t="s">
        <v>193</v>
      </c>
      <c r="C8" s="28" t="n">
        <f aca="false">Beräkningslogik!C119+Beräkningslogik!C140*Resultat!D10</f>
        <v>0</v>
      </c>
      <c r="E8" s="22" t="s">
        <v>194</v>
      </c>
    </row>
    <row r="9" customFormat="false" ht="15" hidden="false" customHeight="true" outlineLevel="0" collapsed="false">
      <c r="B9" s="1" t="s">
        <v>195</v>
      </c>
      <c r="C9" s="28" t="n">
        <f aca="false">Beräkningslogik!C119+Beräkningslogik!C140*Resultat!D14</f>
        <v>0</v>
      </c>
      <c r="D9" s="1" t="str">
        <f aca="false">IF(C9&gt;=0,"✓ Uppfyllt","✗ Ej uppfyllt")</f>
        <v>✓ Uppfyllt</v>
      </c>
    </row>
    <row r="12" customFormat="false" ht="21.75" hidden="false" customHeight="true" outlineLevel="0" collapsed="false">
      <c r="B12" s="59" t="s">
        <v>196</v>
      </c>
      <c r="C12" s="59"/>
      <c r="D12" s="59"/>
      <c r="E12" s="59"/>
      <c r="F12" s="59"/>
      <c r="G12" s="59"/>
      <c r="H12" s="59"/>
    </row>
    <row r="14" customFormat="false" ht="15" hidden="false" customHeight="true" outlineLevel="0" collapsed="false">
      <c r="B14" s="1" t="s">
        <v>135</v>
      </c>
      <c r="C14" s="27" t="n">
        <f aca="false">Indata!C65</f>
        <v>0.063</v>
      </c>
    </row>
    <row r="15" customFormat="false" ht="15" hidden="false" customHeight="true" outlineLevel="0" collapsed="false">
      <c r="B15" s="1" t="s">
        <v>133</v>
      </c>
      <c r="C15" s="27" t="n">
        <f aca="false">Indata!C64</f>
        <v>0.37</v>
      </c>
    </row>
    <row r="16" customFormat="false" ht="15" hidden="false" customHeight="true" outlineLevel="0" collapsed="false">
      <c r="B16" s="1" t="s">
        <v>197</v>
      </c>
      <c r="C16" s="28" t="n">
        <f aca="false">Resultat!D11</f>
        <v>11129727.5464309</v>
      </c>
    </row>
    <row r="17" customFormat="false" ht="15" hidden="false" customHeight="true" outlineLevel="0" collapsed="false">
      <c r="B17" s="1" t="s">
        <v>198</v>
      </c>
      <c r="C17" s="28" t="n">
        <f aca="false">Beräkningslogik!C177+Beräkningslogik!C193*Resultat!D11</f>
        <v>0</v>
      </c>
      <c r="E17" s="22" t="s">
        <v>194</v>
      </c>
    </row>
    <row r="18" customFormat="false" ht="15" hidden="false" customHeight="true" outlineLevel="0" collapsed="false">
      <c r="B18" s="1" t="s">
        <v>199</v>
      </c>
      <c r="C18" s="28" t="n">
        <f aca="false">Beräkningslogik!C177+Beräkningslogik!C193*Resultat!D14</f>
        <v>10154923.5225379</v>
      </c>
      <c r="D18" s="1" t="str">
        <f aca="false">IF(C18&gt;=0,"✓ Uppfyllt","✗ Ej uppfyllt")</f>
        <v>✓ Uppfyllt</v>
      </c>
    </row>
    <row r="21" customFormat="false" ht="21.75" hidden="false" customHeight="true" outlineLevel="0" collapsed="false">
      <c r="B21" s="59" t="s">
        <v>200</v>
      </c>
      <c r="C21" s="59"/>
      <c r="D21" s="59"/>
      <c r="E21" s="59"/>
      <c r="F21" s="59"/>
      <c r="G21" s="59"/>
      <c r="H21" s="59"/>
    </row>
    <row r="23" customFormat="false" ht="15" hidden="false" customHeight="true" outlineLevel="0" collapsed="false">
      <c r="B23" s="1" t="s">
        <v>201</v>
      </c>
      <c r="C23" s="71" t="n">
        <f aca="false">Indata!C16</f>
        <v>20</v>
      </c>
    </row>
    <row r="24" customFormat="false" ht="15" hidden="false" customHeight="true" outlineLevel="0" collapsed="false">
      <c r="B24" s="1" t="s">
        <v>202</v>
      </c>
      <c r="C24" s="27" t="n">
        <f aca="false">Indata!C6</f>
        <v>0.05</v>
      </c>
    </row>
    <row r="25" customFormat="false" ht="15" hidden="false" customHeight="true" outlineLevel="0" collapsed="false">
      <c r="B25" s="1" t="s">
        <v>203</v>
      </c>
      <c r="C25" s="28" t="n">
        <f aca="false">Indata!C17</f>
        <v>200000000</v>
      </c>
    </row>
    <row r="26" customFormat="false" ht="15" hidden="false" customHeight="true" outlineLevel="0" collapsed="false">
      <c r="B26" s="1" t="s">
        <v>204</v>
      </c>
      <c r="C26" s="27" t="n">
        <f aca="false">Indata!C18</f>
        <v>0.03</v>
      </c>
    </row>
    <row r="27" customFormat="false" ht="15" hidden="false" customHeight="true" outlineLevel="0" collapsed="false">
      <c r="B27" s="1" t="s">
        <v>205</v>
      </c>
      <c r="C27" s="28" t="n">
        <f aca="false">Beräkningslogik!C204</f>
        <v>80000000</v>
      </c>
      <c r="E27" s="22" t="s">
        <v>206</v>
      </c>
    </row>
    <row r="28" customFormat="false" ht="15" hidden="false" customHeight="true" outlineLevel="0" collapsed="false">
      <c r="B28" s="1" t="s">
        <v>207</v>
      </c>
      <c r="C28" s="28" t="n">
        <f aca="false">Beräkningslogik!C199+Beräkningslogik!C201*Resultat!D14</f>
        <v>11793486.4149257</v>
      </c>
    </row>
    <row r="29" customFormat="false" ht="15" hidden="false" customHeight="true" outlineLevel="0" collapsed="false">
      <c r="B29" s="1" t="s">
        <v>208</v>
      </c>
      <c r="C29" s="28" t="n">
        <f aca="false">C28/C24</f>
        <v>235869728.298515</v>
      </c>
      <c r="E29" s="22" t="s">
        <v>209</v>
      </c>
    </row>
    <row r="30" customFormat="false" ht="15" hidden="false" customHeight="true" outlineLevel="0" collapsed="false">
      <c r="B30" s="1" t="s">
        <v>210</v>
      </c>
      <c r="C30" s="28" t="n">
        <f aca="false">C29-C27</f>
        <v>155869728.298515</v>
      </c>
      <c r="D30" s="1" t="str">
        <f aca="false">IF(C30&gt;=0,"✓ Uppfyllt","✗ Nedskrivningsrisk")</f>
        <v>✓ Uppfyllt</v>
      </c>
    </row>
    <row r="33" customFormat="false" ht="21.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customFormat="false" ht="1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customFormat="false" ht="1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customFormat="false" ht="1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customFormat="false" ht="1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customFormat="false" ht="17.2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2" customFormat="false" ht="21.75" hidden="false" customHeight="true" outlineLevel="0" collapsed="false">
      <c r="B42" s="59" t="s">
        <v>211</v>
      </c>
      <c r="C42" s="59"/>
      <c r="D42" s="59"/>
      <c r="E42" s="59"/>
      <c r="F42" s="59"/>
      <c r="G42" s="59"/>
      <c r="H42" s="59"/>
    </row>
    <row r="43" customFormat="false" ht="15" hidden="false" customHeight="true" outlineLevel="0" collapsed="false">
      <c r="B43" s="22" t="s">
        <v>212</v>
      </c>
      <c r="F43" s="72" t="n">
        <f aca="false">Beräkningslogik!D173+(Beräkningslogik!D188-Beräkningslogik!D173)*Resultat!$D$14/1000000</f>
        <v>-120496898.280543</v>
      </c>
      <c r="G43" s="72" t="n">
        <f aca="false">Beräkningslogik!E173+(Beräkningslogik!E188-Beräkningslogik!E173)*Resultat!$D$14/1000000</f>
        <v>5621431.62352941</v>
      </c>
      <c r="H43" s="72" t="n">
        <f aca="false">Beräkningslogik!F173+(Beräkningslogik!F188-Beräkningslogik!F173)*Resultat!$D$14/1000000</f>
        <v>5742432.78305882</v>
      </c>
      <c r="I43" s="72" t="n">
        <f aca="false">Beräkningslogik!G173+(Beräkningslogik!G188-Beräkningslogik!G173)*Resultat!$D$14/1000000</f>
        <v>5866062.45555766</v>
      </c>
      <c r="J43" s="72" t="n">
        <f aca="false">Beräkningslogik!H173+(Beräkningslogik!H188-Beräkningslogik!H173)*Resultat!$D$14/1000000</f>
        <v>5992279.63909129</v>
      </c>
      <c r="K43" s="72" t="n">
        <f aca="false">Beräkningslogik!I173+(Beräkningslogik!I188-Beräkningslogik!I173)*Resultat!$D$14/1000000</f>
        <v>6121045.02592804</v>
      </c>
      <c r="L43" s="72" t="n">
        <f aca="false">Beräkningslogik!J173+(Beräkningslogik!J188-Beräkningslogik!J173)*Resultat!$D$14/1000000</f>
        <v>6252320.9572488</v>
      </c>
      <c r="M43" s="72" t="n">
        <f aca="false">Beräkningslogik!K173+(Beräkningslogik!K188-Beräkningslogik!K173)*Resultat!$D$14/1000000</f>
        <v>6386071.37888793</v>
      </c>
      <c r="N43" s="72" t="n">
        <f aca="false">Beräkningslogik!L173+(Beräkningslogik!L188-Beräkningslogik!L173)*Resultat!$D$14/1000000</f>
        <v>6522261.79807656</v>
      </c>
      <c r="O43" s="72" t="n">
        <f aca="false">Beräkningslogik!M173+(Beräkningslogik!M188-Beräkningslogik!M173)*Resultat!$D$14/1000000</f>
        <v>6660859.24116109</v>
      </c>
      <c r="P43" s="72" t="n">
        <f aca="false">Beräkningslogik!N173+(Beräkningslogik!N188-Beräkningslogik!N173)*Resultat!$D$14/1000000</f>
        <v>6861086.33222473</v>
      </c>
      <c r="Q43" s="72" t="n">
        <f aca="false">Beräkningslogik!O173+(Beräkningslogik!O188-Beräkningslogik!O173)*Resultat!$D$14/1000000</f>
        <v>7061288.72800998</v>
      </c>
      <c r="R43" s="72" t="n">
        <f aca="false">Beräkningslogik!P173+(Beräkningslogik!P188-Beräkningslogik!P173)*Resultat!$D$14/1000000</f>
        <v>7261508.87280765</v>
      </c>
      <c r="S43" s="72" t="n">
        <f aca="false">Beräkningslogik!Q173+(Beräkningslogik!Q188-Beräkningslogik!Q173)*Resultat!$D$14/1000000</f>
        <v>7461788.67397872</v>
      </c>
      <c r="T43" s="72" t="n">
        <f aca="false">Beräkningslogik!R173+(Beräkningslogik!R188-Beräkningslogik!R173)*Resultat!$D$14/1000000</f>
        <v>7662169.51155349</v>
      </c>
      <c r="U43" s="72" t="n">
        <f aca="false">Beräkningslogik!S173+(Beräkningslogik!S188-Beräkningslogik!S173)*Resultat!$D$14/1000000</f>
        <v>7862692.24751239</v>
      </c>
      <c r="V43" s="72" t="n">
        <f aca="false">Beräkningslogik!T173+(Beräkningslogik!T188-Beräkningslogik!T173)*Resultat!$D$14/1000000</f>
        <v>8063397.23475125</v>
      </c>
      <c r="W43" s="72" t="n">
        <f aca="false">Beräkningslogik!U173+(Beräkningslogik!U188-Beräkningslogik!U173)*Resultat!$D$14/1000000</f>
        <v>8264324.32573308</v>
      </c>
      <c r="X43" s="72" t="n">
        <f aca="false">Beräkningslogik!V173+(Beräkningslogik!V188-Beräkningslogik!V173)*Resultat!$D$14/1000000</f>
        <v>8465512.88082865</v>
      </c>
      <c r="Y43" s="72" t="n">
        <f aca="false">Beräkningslogik!W173+(Beräkningslogik!W188-Beräkningslogik!W173)*Resultat!$D$14/1000000</f>
        <v>195133740.164985</v>
      </c>
      <c r="Z43" s="72" t="n">
        <f aca="false">Beräkningslogik!X173+(Beräkningslogik!X188-Beräkningslogik!X173)*Resultat!$D$14/1000000</f>
        <v>8868829.41226102</v>
      </c>
      <c r="AA43" s="72" t="n">
        <f aca="false">Beräkningslogik!Y173+(Beräkningslogik!Y188-Beräkningslogik!Y173)*Resultat!$D$14/1000000</f>
        <v>9071033.7196212</v>
      </c>
      <c r="AB43" s="72" t="n">
        <f aca="false">Beräkningslogik!Z173+(Beräkningslogik!Z188-Beräkningslogik!Z173)*Resultat!$D$14/1000000</f>
        <v>9273652.16767256</v>
      </c>
      <c r="AC43" s="72" t="n">
        <f aca="false">Beräkningslogik!AA173+(Beräkningslogik!AA188-Beräkningslogik!AA173)*Resultat!$D$14/1000000</f>
        <v>9476721.770663</v>
      </c>
      <c r="AD43" s="72" t="n">
        <f aca="false">Beräkningslogik!AB173+(Beräkningslogik!AB188-Beräkningslogik!AB173)*Resultat!$D$14/1000000</f>
        <v>9680279.0943521</v>
      </c>
    </row>
    <row r="45" customFormat="false" ht="15" hidden="false" customHeight="true" outlineLevel="0" collapsed="false">
      <c r="B45" s="41" t="s">
        <v>16</v>
      </c>
      <c r="C45" s="73" t="n">
        <f aca="false">IFERROR(IRR(F43:AD43),"Ej beräkningsbar")</f>
        <v>0.0764517154264563</v>
      </c>
      <c r="D45" s="1" t="str">
        <f aca="false">IF(ISNUMBER(C45),IF(C45&gt;=C46,"✓ Uppfyllt","✗ Ej uppfyllt"),"")</f>
        <v>✓ Uppfyllt</v>
      </c>
    </row>
    <row r="46" customFormat="false" ht="15" hidden="false" customHeight="true" outlineLevel="0" collapsed="false">
      <c r="B46" s="1" t="s">
        <v>213</v>
      </c>
      <c r="C46" s="27" t="n">
        <f aca="false">Indata!C65</f>
        <v>0.063</v>
      </c>
    </row>
    <row r="47" customFormat="false" ht="15" hidden="false" customHeight="true" outlineLevel="0" collapsed="false">
      <c r="B47" s="1" t="s">
        <v>17</v>
      </c>
      <c r="C47" s="74" t="n">
        <f aca="false">IFERROR(C45-C46,"")</f>
        <v>0.0134517154264563</v>
      </c>
    </row>
    <row r="50" customFormat="false" ht="21.75" hidden="false" customHeight="true" outlineLevel="0" collapsed="false">
      <c r="B50" s="59" t="s">
        <v>214</v>
      </c>
      <c r="C50" s="59"/>
      <c r="D50" s="59"/>
      <c r="E50" s="59"/>
      <c r="F50" s="59"/>
      <c r="G50" s="59"/>
      <c r="H50" s="59"/>
    </row>
    <row r="51" customFormat="false" ht="27.75" hidden="false" customHeight="true" outlineLevel="0" collapsed="false">
      <c r="B51" s="40" t="s">
        <v>215</v>
      </c>
      <c r="C51" s="40"/>
      <c r="D51" s="40"/>
      <c r="E51" s="40"/>
      <c r="F51" s="40"/>
      <c r="G51" s="40"/>
      <c r="H51" s="40"/>
    </row>
    <row r="53" customFormat="false" ht="15" hidden="false" customHeight="true" outlineLevel="0" collapsed="false">
      <c r="B53" s="60" t="s">
        <v>216</v>
      </c>
      <c r="C53" s="60" t="s">
        <v>217</v>
      </c>
      <c r="D53" s="60" t="s">
        <v>218</v>
      </c>
      <c r="E53" s="60" t="s">
        <v>219</v>
      </c>
      <c r="F53" s="60" t="s">
        <v>220</v>
      </c>
    </row>
    <row r="54" customFormat="false" ht="15" hidden="false" customHeight="true" outlineLevel="0" collapsed="false">
      <c r="B54" s="75" t="s">
        <v>221</v>
      </c>
      <c r="C54" s="28" t="n">
        <f aca="false">$C$29*(1+-0.4)</f>
        <v>141521836.979109</v>
      </c>
      <c r="D54" s="28" t="n">
        <f aca="false">C54-$C$27</f>
        <v>61521836.9791089</v>
      </c>
      <c r="E54" s="27" t="n">
        <f aca="false">IFERROR(IRR(F64:AD64),"")</f>
        <v>0.0638018658725825</v>
      </c>
      <c r="F54" s="75" t="str">
        <f aca="false">IF(ISNUMBER(E54),IF(E54&gt;=Indata!$C$65,"✓","⚠ IRR&lt;krav"),"")</f>
        <v>✓</v>
      </c>
    </row>
    <row r="55" customFormat="false" ht="15" hidden="false" customHeight="true" outlineLevel="0" collapsed="false">
      <c r="B55" s="75" t="s">
        <v>222</v>
      </c>
      <c r="C55" s="28" t="n">
        <f aca="false">$C$29*(1+-0.3)</f>
        <v>165108809.80896</v>
      </c>
      <c r="D55" s="28" t="n">
        <f aca="false">C55-$C$27</f>
        <v>85108809.8089604</v>
      </c>
      <c r="E55" s="27" t="n">
        <f aca="false">IFERROR(IRR(F65:AD65),"")</f>
        <v>0.0674273223002295</v>
      </c>
      <c r="F55" s="75" t="str">
        <f aca="false">IF(ISNUMBER(E55),IF(E55&gt;=Indata!$C$65,"✓","⚠ IRR&lt;krav"),"")</f>
        <v>✓</v>
      </c>
    </row>
    <row r="56" customFormat="false" ht="15" hidden="false" customHeight="true" outlineLevel="0" collapsed="false">
      <c r="B56" s="75" t="s">
        <v>223</v>
      </c>
      <c r="C56" s="28" t="n">
        <f aca="false">$C$29*(1+-0.2)</f>
        <v>188695782.638812</v>
      </c>
      <c r="D56" s="28" t="n">
        <f aca="false">C56-$C$27</f>
        <v>108695782.638812</v>
      </c>
      <c r="E56" s="27" t="n">
        <f aca="false">IFERROR(IRR(F66:AD66),"")</f>
        <v>0.0707022720931921</v>
      </c>
      <c r="F56" s="75" t="str">
        <f aca="false">IF(ISNUMBER(E56),IF(E56&gt;=Indata!$C$65,"✓","⚠ IRR&lt;krav"),"")</f>
        <v>✓</v>
      </c>
    </row>
    <row r="57" customFormat="false" ht="15" hidden="false" customHeight="true" outlineLevel="0" collapsed="false">
      <c r="B57" s="75" t="s">
        <v>224</v>
      </c>
      <c r="C57" s="28" t="n">
        <f aca="false">$C$29*(1+-0.1)</f>
        <v>212282755.468663</v>
      </c>
      <c r="D57" s="28" t="n">
        <f aca="false">C57-$C$27</f>
        <v>132282755.468663</v>
      </c>
      <c r="E57" s="27" t="n">
        <f aca="false">IFERROR(IRR(F67:AD67),"")</f>
        <v>0.0736940671493024</v>
      </c>
      <c r="F57" s="75" t="str">
        <f aca="false">IF(ISNUMBER(E57),IF(E57&gt;=Indata!$C$65,"✓","⚠ IRR&lt;krav"),"")</f>
        <v>✓</v>
      </c>
    </row>
    <row r="58" customFormat="false" ht="15" hidden="false" customHeight="true" outlineLevel="0" collapsed="false">
      <c r="B58" s="76" t="s">
        <v>225</v>
      </c>
      <c r="C58" s="77" t="n">
        <f aca="false">$C$29*(1+0)</f>
        <v>235869728.298515</v>
      </c>
      <c r="D58" s="77" t="n">
        <f aca="false">C58-$C$27</f>
        <v>155869728.298515</v>
      </c>
      <c r="E58" s="78" t="n">
        <f aca="false">IFERROR(IRR(F68:AD68),"")</f>
        <v>0.0764517154264563</v>
      </c>
      <c r="F58" s="76" t="str">
        <f aca="false">IF(ISNUMBER(E58),IF(E58&gt;=Indata!$C$65,"✓","⚠ IRR&lt;krav"),"")</f>
        <v>✓</v>
      </c>
    </row>
    <row r="59" customFormat="false" ht="15" hidden="false" customHeight="true" outlineLevel="0" collapsed="false">
      <c r="B59" s="75" t="s">
        <v>226</v>
      </c>
      <c r="C59" s="28" t="n">
        <f aca="false">$C$29*(1+0.1)</f>
        <v>259456701.128366</v>
      </c>
      <c r="D59" s="28" t="n">
        <f aca="false">C59-$C$27</f>
        <v>179456701.128366</v>
      </c>
      <c r="E59" s="27" t="n">
        <f aca="false">IFERROR(IRR(F69:AD69),"")</f>
        <v>0.0790121024375399</v>
      </c>
      <c r="F59" s="75" t="str">
        <f aca="false">IF(ISNUMBER(E59),IF(E59&gt;=Indata!$C$65,"✓","⚠ IRR&lt;krav"),"")</f>
        <v>✓</v>
      </c>
    </row>
    <row r="60" customFormat="false" ht="15" hidden="false" customHeight="true" outlineLevel="0" collapsed="false">
      <c r="B60" s="75" t="s">
        <v>227</v>
      </c>
      <c r="C60" s="28" t="n">
        <f aca="false">$C$29*(1+0.2)</f>
        <v>283043673.958218</v>
      </c>
      <c r="D60" s="28" t="n">
        <f aca="false">C60-$C$27</f>
        <v>203043673.958218</v>
      </c>
      <c r="E60" s="27" t="n">
        <f aca="false">IFERROR(IRR(F70:AD70),"")</f>
        <v>0.0814037538274654</v>
      </c>
      <c r="F60" s="75" t="str">
        <f aca="false">IF(ISNUMBER(E60),IF(E60&gt;=Indata!$C$65,"✓","⚠ IRR&lt;krav"),"")</f>
        <v>✓</v>
      </c>
    </row>
    <row r="64" customFormat="false" ht="15" hidden="false" customHeight="true" outlineLevel="0" collapsed="false">
      <c r="F64" s="79" t="n">
        <f aca="false">F43</f>
        <v>-120496898.280543</v>
      </c>
      <c r="G64" s="79" t="n">
        <f aca="false">G43</f>
        <v>5621431.62352941</v>
      </c>
      <c r="H64" s="79" t="n">
        <f aca="false">H43</f>
        <v>5742432.78305882</v>
      </c>
      <c r="I64" s="79" t="n">
        <f aca="false">I43</f>
        <v>5866062.45555766</v>
      </c>
      <c r="J64" s="79" t="n">
        <f aca="false">J43</f>
        <v>5992279.63909129</v>
      </c>
      <c r="K64" s="79" t="n">
        <f aca="false">K43</f>
        <v>6121045.02592804</v>
      </c>
      <c r="L64" s="79" t="n">
        <f aca="false">L43</f>
        <v>6252320.9572488</v>
      </c>
      <c r="M64" s="79" t="n">
        <f aca="false">M43</f>
        <v>6386071.37888793</v>
      </c>
      <c r="N64" s="79" t="n">
        <f aca="false">N43</f>
        <v>6522261.79807656</v>
      </c>
      <c r="O64" s="79" t="n">
        <f aca="false">O43</f>
        <v>6660859.24116109</v>
      </c>
      <c r="P64" s="79" t="n">
        <f aca="false">P43</f>
        <v>6861086.33222473</v>
      </c>
      <c r="Q64" s="79" t="n">
        <f aca="false">Q43</f>
        <v>7061288.72800998</v>
      </c>
      <c r="R64" s="79" t="n">
        <f aca="false">R43</f>
        <v>7261508.87280765</v>
      </c>
      <c r="S64" s="79" t="n">
        <f aca="false">S43</f>
        <v>7461788.67397872</v>
      </c>
      <c r="T64" s="79" t="n">
        <f aca="false">T43</f>
        <v>7662169.51155349</v>
      </c>
      <c r="U64" s="79" t="n">
        <f aca="false">U43</f>
        <v>7862692.24751239</v>
      </c>
      <c r="V64" s="79" t="n">
        <f aca="false">V43</f>
        <v>8063397.23475125</v>
      </c>
      <c r="W64" s="79" t="n">
        <f aca="false">W43</f>
        <v>8264324.32573308</v>
      </c>
      <c r="X64" s="79" t="n">
        <f aca="false">X43</f>
        <v>8465512.88082865</v>
      </c>
      <c r="Y64" s="79" t="n">
        <f aca="false">Y43</f>
        <v>195133740.164985</v>
      </c>
      <c r="Z64" s="79" t="n">
        <f aca="false">Z43</f>
        <v>8868829.41226102</v>
      </c>
      <c r="AA64" s="79" t="n">
        <f aca="false">AA43</f>
        <v>9071033.7196212</v>
      </c>
      <c r="AB64" s="79" t="n">
        <f aca="false">AB43</f>
        <v>9273652.16767256</v>
      </c>
      <c r="AC64" s="79" t="n">
        <f aca="false">AC43</f>
        <v>9476721.770663</v>
      </c>
      <c r="AD64" s="79" t="n">
        <f aca="false">AD43+$C54-$C$58</f>
        <v>-84667612.2250539</v>
      </c>
    </row>
    <row r="65" customFormat="false" ht="15" hidden="false" customHeight="true" outlineLevel="0" collapsed="false">
      <c r="F65" s="79" t="n">
        <f aca="false">F43</f>
        <v>-120496898.280543</v>
      </c>
      <c r="G65" s="79" t="n">
        <f aca="false">G43</f>
        <v>5621431.62352941</v>
      </c>
      <c r="H65" s="79" t="n">
        <f aca="false">H43</f>
        <v>5742432.78305882</v>
      </c>
      <c r="I65" s="79" t="n">
        <f aca="false">I43</f>
        <v>5866062.45555766</v>
      </c>
      <c r="J65" s="79" t="n">
        <f aca="false">J43</f>
        <v>5992279.63909129</v>
      </c>
      <c r="K65" s="79" t="n">
        <f aca="false">K43</f>
        <v>6121045.02592804</v>
      </c>
      <c r="L65" s="79" t="n">
        <f aca="false">L43</f>
        <v>6252320.9572488</v>
      </c>
      <c r="M65" s="79" t="n">
        <f aca="false">M43</f>
        <v>6386071.37888793</v>
      </c>
      <c r="N65" s="79" t="n">
        <f aca="false">N43</f>
        <v>6522261.79807656</v>
      </c>
      <c r="O65" s="79" t="n">
        <f aca="false">O43</f>
        <v>6660859.24116109</v>
      </c>
      <c r="P65" s="79" t="n">
        <f aca="false">P43</f>
        <v>6861086.33222473</v>
      </c>
      <c r="Q65" s="79" t="n">
        <f aca="false">Q43</f>
        <v>7061288.72800998</v>
      </c>
      <c r="R65" s="79" t="n">
        <f aca="false">R43</f>
        <v>7261508.87280765</v>
      </c>
      <c r="S65" s="79" t="n">
        <f aca="false">S43</f>
        <v>7461788.67397872</v>
      </c>
      <c r="T65" s="79" t="n">
        <f aca="false">T43</f>
        <v>7662169.51155349</v>
      </c>
      <c r="U65" s="79" t="n">
        <f aca="false">U43</f>
        <v>7862692.24751239</v>
      </c>
      <c r="V65" s="79" t="n">
        <f aca="false">V43</f>
        <v>8063397.23475125</v>
      </c>
      <c r="W65" s="79" t="n">
        <f aca="false">W43</f>
        <v>8264324.32573308</v>
      </c>
      <c r="X65" s="79" t="n">
        <f aca="false">X43</f>
        <v>8465512.88082865</v>
      </c>
      <c r="Y65" s="79" t="n">
        <f aca="false">Y43</f>
        <v>195133740.164985</v>
      </c>
      <c r="Z65" s="79" t="n">
        <f aca="false">Z43</f>
        <v>8868829.41226102</v>
      </c>
      <c r="AA65" s="79" t="n">
        <f aca="false">AA43</f>
        <v>9071033.7196212</v>
      </c>
      <c r="AB65" s="79" t="n">
        <f aca="false">AB43</f>
        <v>9273652.16767256</v>
      </c>
      <c r="AC65" s="79" t="n">
        <f aca="false">AC43</f>
        <v>9476721.770663</v>
      </c>
      <c r="AD65" s="79" t="n">
        <f aca="false">AD43+$C55-$C$58</f>
        <v>-61080639.3952024</v>
      </c>
    </row>
    <row r="66" customFormat="false" ht="15" hidden="false" customHeight="true" outlineLevel="0" collapsed="false">
      <c r="F66" s="79" t="n">
        <f aca="false">F43</f>
        <v>-120496898.280543</v>
      </c>
      <c r="G66" s="79" t="n">
        <f aca="false">G43</f>
        <v>5621431.62352941</v>
      </c>
      <c r="H66" s="79" t="n">
        <f aca="false">H43</f>
        <v>5742432.78305882</v>
      </c>
      <c r="I66" s="79" t="n">
        <f aca="false">I43</f>
        <v>5866062.45555766</v>
      </c>
      <c r="J66" s="79" t="n">
        <f aca="false">J43</f>
        <v>5992279.63909129</v>
      </c>
      <c r="K66" s="79" t="n">
        <f aca="false">K43</f>
        <v>6121045.02592804</v>
      </c>
      <c r="L66" s="79" t="n">
        <f aca="false">L43</f>
        <v>6252320.9572488</v>
      </c>
      <c r="M66" s="79" t="n">
        <f aca="false">M43</f>
        <v>6386071.37888793</v>
      </c>
      <c r="N66" s="79" t="n">
        <f aca="false">N43</f>
        <v>6522261.79807656</v>
      </c>
      <c r="O66" s="79" t="n">
        <f aca="false">O43</f>
        <v>6660859.24116109</v>
      </c>
      <c r="P66" s="79" t="n">
        <f aca="false">P43</f>
        <v>6861086.33222473</v>
      </c>
      <c r="Q66" s="79" t="n">
        <f aca="false">Q43</f>
        <v>7061288.72800998</v>
      </c>
      <c r="R66" s="79" t="n">
        <f aca="false">R43</f>
        <v>7261508.87280765</v>
      </c>
      <c r="S66" s="79" t="n">
        <f aca="false">S43</f>
        <v>7461788.67397872</v>
      </c>
      <c r="T66" s="79" t="n">
        <f aca="false">T43</f>
        <v>7662169.51155349</v>
      </c>
      <c r="U66" s="79" t="n">
        <f aca="false">U43</f>
        <v>7862692.24751239</v>
      </c>
      <c r="V66" s="79" t="n">
        <f aca="false">V43</f>
        <v>8063397.23475125</v>
      </c>
      <c r="W66" s="79" t="n">
        <f aca="false">W43</f>
        <v>8264324.32573308</v>
      </c>
      <c r="X66" s="79" t="n">
        <f aca="false">X43</f>
        <v>8465512.88082865</v>
      </c>
      <c r="Y66" s="79" t="n">
        <f aca="false">Y43</f>
        <v>195133740.164985</v>
      </c>
      <c r="Z66" s="79" t="n">
        <f aca="false">Z43</f>
        <v>8868829.41226102</v>
      </c>
      <c r="AA66" s="79" t="n">
        <f aca="false">AA43</f>
        <v>9071033.7196212</v>
      </c>
      <c r="AB66" s="79" t="n">
        <f aca="false">AB43</f>
        <v>9273652.16767256</v>
      </c>
      <c r="AC66" s="79" t="n">
        <f aca="false">AC43</f>
        <v>9476721.770663</v>
      </c>
      <c r="AD66" s="79" t="n">
        <f aca="false">AD43+$C56-$C$58</f>
        <v>-37493666.5653509</v>
      </c>
    </row>
    <row r="67" customFormat="false" ht="15" hidden="false" customHeight="true" outlineLevel="0" collapsed="false">
      <c r="F67" s="79" t="n">
        <f aca="false">F43</f>
        <v>-120496898.280543</v>
      </c>
      <c r="G67" s="79" t="n">
        <f aca="false">G43</f>
        <v>5621431.62352941</v>
      </c>
      <c r="H67" s="79" t="n">
        <f aca="false">H43</f>
        <v>5742432.78305882</v>
      </c>
      <c r="I67" s="79" t="n">
        <f aca="false">I43</f>
        <v>5866062.45555766</v>
      </c>
      <c r="J67" s="79" t="n">
        <f aca="false">J43</f>
        <v>5992279.63909129</v>
      </c>
      <c r="K67" s="79" t="n">
        <f aca="false">K43</f>
        <v>6121045.02592804</v>
      </c>
      <c r="L67" s="79" t="n">
        <f aca="false">L43</f>
        <v>6252320.9572488</v>
      </c>
      <c r="M67" s="79" t="n">
        <f aca="false">M43</f>
        <v>6386071.37888793</v>
      </c>
      <c r="N67" s="79" t="n">
        <f aca="false">N43</f>
        <v>6522261.79807656</v>
      </c>
      <c r="O67" s="79" t="n">
        <f aca="false">O43</f>
        <v>6660859.24116109</v>
      </c>
      <c r="P67" s="79" t="n">
        <f aca="false">P43</f>
        <v>6861086.33222473</v>
      </c>
      <c r="Q67" s="79" t="n">
        <f aca="false">Q43</f>
        <v>7061288.72800998</v>
      </c>
      <c r="R67" s="79" t="n">
        <f aca="false">R43</f>
        <v>7261508.87280765</v>
      </c>
      <c r="S67" s="79" t="n">
        <f aca="false">S43</f>
        <v>7461788.67397872</v>
      </c>
      <c r="T67" s="79" t="n">
        <f aca="false">T43</f>
        <v>7662169.51155349</v>
      </c>
      <c r="U67" s="79" t="n">
        <f aca="false">U43</f>
        <v>7862692.24751239</v>
      </c>
      <c r="V67" s="79" t="n">
        <f aca="false">V43</f>
        <v>8063397.23475125</v>
      </c>
      <c r="W67" s="79" t="n">
        <f aca="false">W43</f>
        <v>8264324.32573308</v>
      </c>
      <c r="X67" s="79" t="n">
        <f aca="false">X43</f>
        <v>8465512.88082865</v>
      </c>
      <c r="Y67" s="79" t="n">
        <f aca="false">Y43</f>
        <v>195133740.164985</v>
      </c>
      <c r="Z67" s="79" t="n">
        <f aca="false">Z43</f>
        <v>8868829.41226102</v>
      </c>
      <c r="AA67" s="79" t="n">
        <f aca="false">AA43</f>
        <v>9071033.7196212</v>
      </c>
      <c r="AB67" s="79" t="n">
        <f aca="false">AB43</f>
        <v>9273652.16767256</v>
      </c>
      <c r="AC67" s="79" t="n">
        <f aca="false">AC43</f>
        <v>9476721.770663</v>
      </c>
      <c r="AD67" s="79" t="n">
        <f aca="false">AD43+$C57-$C$58</f>
        <v>-13906693.7354994</v>
      </c>
    </row>
    <row r="68" customFormat="false" ht="15" hidden="false" customHeight="true" outlineLevel="0" collapsed="false">
      <c r="F68" s="79" t="n">
        <f aca="false">F43</f>
        <v>-120496898.280543</v>
      </c>
      <c r="G68" s="79" t="n">
        <f aca="false">G43</f>
        <v>5621431.62352941</v>
      </c>
      <c r="H68" s="79" t="n">
        <f aca="false">H43</f>
        <v>5742432.78305882</v>
      </c>
      <c r="I68" s="79" t="n">
        <f aca="false">I43</f>
        <v>5866062.45555766</v>
      </c>
      <c r="J68" s="79" t="n">
        <f aca="false">J43</f>
        <v>5992279.63909129</v>
      </c>
      <c r="K68" s="79" t="n">
        <f aca="false">K43</f>
        <v>6121045.02592804</v>
      </c>
      <c r="L68" s="79" t="n">
        <f aca="false">L43</f>
        <v>6252320.9572488</v>
      </c>
      <c r="M68" s="79" t="n">
        <f aca="false">M43</f>
        <v>6386071.37888793</v>
      </c>
      <c r="N68" s="79" t="n">
        <f aca="false">N43</f>
        <v>6522261.79807656</v>
      </c>
      <c r="O68" s="79" t="n">
        <f aca="false">O43</f>
        <v>6660859.24116109</v>
      </c>
      <c r="P68" s="79" t="n">
        <f aca="false">P43</f>
        <v>6861086.33222473</v>
      </c>
      <c r="Q68" s="79" t="n">
        <f aca="false">Q43</f>
        <v>7061288.72800998</v>
      </c>
      <c r="R68" s="79" t="n">
        <f aca="false">R43</f>
        <v>7261508.87280765</v>
      </c>
      <c r="S68" s="79" t="n">
        <f aca="false">S43</f>
        <v>7461788.67397872</v>
      </c>
      <c r="T68" s="79" t="n">
        <f aca="false">T43</f>
        <v>7662169.51155349</v>
      </c>
      <c r="U68" s="79" t="n">
        <f aca="false">U43</f>
        <v>7862692.24751239</v>
      </c>
      <c r="V68" s="79" t="n">
        <f aca="false">V43</f>
        <v>8063397.23475125</v>
      </c>
      <c r="W68" s="79" t="n">
        <f aca="false">W43</f>
        <v>8264324.32573308</v>
      </c>
      <c r="X68" s="79" t="n">
        <f aca="false">X43</f>
        <v>8465512.88082865</v>
      </c>
      <c r="Y68" s="79" t="n">
        <f aca="false">Y43</f>
        <v>195133740.164985</v>
      </c>
      <c r="Z68" s="79" t="n">
        <f aca="false">Z43</f>
        <v>8868829.41226102</v>
      </c>
      <c r="AA68" s="79" t="n">
        <f aca="false">AA43</f>
        <v>9071033.7196212</v>
      </c>
      <c r="AB68" s="79" t="n">
        <f aca="false">AB43</f>
        <v>9273652.16767256</v>
      </c>
      <c r="AC68" s="79" t="n">
        <f aca="false">AC43</f>
        <v>9476721.770663</v>
      </c>
      <c r="AD68" s="79" t="n">
        <f aca="false">AD43+$C58-$C$58</f>
        <v>9680279.0943521</v>
      </c>
    </row>
    <row r="69" customFormat="false" ht="15" hidden="false" customHeight="true" outlineLevel="0" collapsed="false">
      <c r="F69" s="79" t="n">
        <f aca="false">F43</f>
        <v>-120496898.280543</v>
      </c>
      <c r="G69" s="79" t="n">
        <f aca="false">G43</f>
        <v>5621431.62352941</v>
      </c>
      <c r="H69" s="79" t="n">
        <f aca="false">H43</f>
        <v>5742432.78305882</v>
      </c>
      <c r="I69" s="79" t="n">
        <f aca="false">I43</f>
        <v>5866062.45555766</v>
      </c>
      <c r="J69" s="79" t="n">
        <f aca="false">J43</f>
        <v>5992279.63909129</v>
      </c>
      <c r="K69" s="79" t="n">
        <f aca="false">K43</f>
        <v>6121045.02592804</v>
      </c>
      <c r="L69" s="79" t="n">
        <f aca="false">L43</f>
        <v>6252320.9572488</v>
      </c>
      <c r="M69" s="79" t="n">
        <f aca="false">M43</f>
        <v>6386071.37888793</v>
      </c>
      <c r="N69" s="79" t="n">
        <f aca="false">N43</f>
        <v>6522261.79807656</v>
      </c>
      <c r="O69" s="79" t="n">
        <f aca="false">O43</f>
        <v>6660859.24116109</v>
      </c>
      <c r="P69" s="79" t="n">
        <f aca="false">P43</f>
        <v>6861086.33222473</v>
      </c>
      <c r="Q69" s="79" t="n">
        <f aca="false">Q43</f>
        <v>7061288.72800998</v>
      </c>
      <c r="R69" s="79" t="n">
        <f aca="false">R43</f>
        <v>7261508.87280765</v>
      </c>
      <c r="S69" s="79" t="n">
        <f aca="false">S43</f>
        <v>7461788.67397872</v>
      </c>
      <c r="T69" s="79" t="n">
        <f aca="false">T43</f>
        <v>7662169.51155349</v>
      </c>
      <c r="U69" s="79" t="n">
        <f aca="false">U43</f>
        <v>7862692.24751239</v>
      </c>
      <c r="V69" s="79" t="n">
        <f aca="false">V43</f>
        <v>8063397.23475125</v>
      </c>
      <c r="W69" s="79" t="n">
        <f aca="false">W43</f>
        <v>8264324.32573308</v>
      </c>
      <c r="X69" s="79" t="n">
        <f aca="false">X43</f>
        <v>8465512.88082865</v>
      </c>
      <c r="Y69" s="79" t="n">
        <f aca="false">Y43</f>
        <v>195133740.164985</v>
      </c>
      <c r="Z69" s="79" t="n">
        <f aca="false">Z43</f>
        <v>8868829.41226102</v>
      </c>
      <c r="AA69" s="79" t="n">
        <f aca="false">AA43</f>
        <v>9071033.7196212</v>
      </c>
      <c r="AB69" s="79" t="n">
        <f aca="false">AB43</f>
        <v>9273652.16767256</v>
      </c>
      <c r="AC69" s="79" t="n">
        <f aca="false">AC43</f>
        <v>9476721.770663</v>
      </c>
      <c r="AD69" s="79" t="n">
        <f aca="false">AD43+$C59-$C$58</f>
        <v>33267251.9242036</v>
      </c>
    </row>
    <row r="70" customFormat="false" ht="15" hidden="false" customHeight="true" outlineLevel="0" collapsed="false">
      <c r="F70" s="79" t="n">
        <f aca="false">F43</f>
        <v>-120496898.280543</v>
      </c>
      <c r="G70" s="79" t="n">
        <f aca="false">G43</f>
        <v>5621431.62352941</v>
      </c>
      <c r="H70" s="79" t="n">
        <f aca="false">H43</f>
        <v>5742432.78305882</v>
      </c>
      <c r="I70" s="79" t="n">
        <f aca="false">I43</f>
        <v>5866062.45555766</v>
      </c>
      <c r="J70" s="79" t="n">
        <f aca="false">J43</f>
        <v>5992279.63909129</v>
      </c>
      <c r="K70" s="79" t="n">
        <f aca="false">K43</f>
        <v>6121045.02592804</v>
      </c>
      <c r="L70" s="79" t="n">
        <f aca="false">L43</f>
        <v>6252320.9572488</v>
      </c>
      <c r="M70" s="79" t="n">
        <f aca="false">M43</f>
        <v>6386071.37888793</v>
      </c>
      <c r="N70" s="79" t="n">
        <f aca="false">N43</f>
        <v>6522261.79807656</v>
      </c>
      <c r="O70" s="79" t="n">
        <f aca="false">O43</f>
        <v>6660859.24116109</v>
      </c>
      <c r="P70" s="79" t="n">
        <f aca="false">P43</f>
        <v>6861086.33222473</v>
      </c>
      <c r="Q70" s="79" t="n">
        <f aca="false">Q43</f>
        <v>7061288.72800998</v>
      </c>
      <c r="R70" s="79" t="n">
        <f aca="false">R43</f>
        <v>7261508.87280765</v>
      </c>
      <c r="S70" s="79" t="n">
        <f aca="false">S43</f>
        <v>7461788.67397872</v>
      </c>
      <c r="T70" s="79" t="n">
        <f aca="false">T43</f>
        <v>7662169.51155349</v>
      </c>
      <c r="U70" s="79" t="n">
        <f aca="false">U43</f>
        <v>7862692.24751239</v>
      </c>
      <c r="V70" s="79" t="n">
        <f aca="false">V43</f>
        <v>8063397.23475125</v>
      </c>
      <c r="W70" s="79" t="n">
        <f aca="false">W43</f>
        <v>8264324.32573308</v>
      </c>
      <c r="X70" s="79" t="n">
        <f aca="false">X43</f>
        <v>8465512.88082865</v>
      </c>
      <c r="Y70" s="79" t="n">
        <f aca="false">Y43</f>
        <v>195133740.164985</v>
      </c>
      <c r="Z70" s="79" t="n">
        <f aca="false">Z43</f>
        <v>8868829.41226102</v>
      </c>
      <c r="AA70" s="79" t="n">
        <f aca="false">AA43</f>
        <v>9071033.7196212</v>
      </c>
      <c r="AB70" s="79" t="n">
        <f aca="false">AB43</f>
        <v>9273652.16767256</v>
      </c>
      <c r="AC70" s="79" t="n">
        <f aca="false">AC43</f>
        <v>9476721.770663</v>
      </c>
      <c r="AD70" s="79" t="n">
        <f aca="false">AD43+$C60-$C$58</f>
        <v>56854224.754055</v>
      </c>
    </row>
  </sheetData>
  <mergeCells count="7">
    <mergeCell ref="B2:H2"/>
    <mergeCell ref="B4:H4"/>
    <mergeCell ref="B12:H12"/>
    <mergeCell ref="B21:H21"/>
    <mergeCell ref="B42:H42"/>
    <mergeCell ref="B50:H50"/>
    <mergeCell ref="B51:H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B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22"/>
    <col collapsed="false" customWidth="true" hidden="false" outlineLevel="0" max="4" min="4" style="0" width="13"/>
  </cols>
  <sheetData>
    <row r="1" customFormat="false" ht="17.25" hidden="false" customHeight="true" outlineLevel="0" collapsed="false">
      <c r="B1" s="80" t="s">
        <v>228</v>
      </c>
      <c r="C1" s="80"/>
      <c r="D1" s="80"/>
      <c r="E1" s="80"/>
    </row>
    <row r="3" customFormat="false" ht="60" hidden="false" customHeight="true" outlineLevel="0" collapsed="false">
      <c r="B3" s="68" t="s">
        <v>229</v>
      </c>
      <c r="C3" s="68"/>
      <c r="D3" s="68"/>
      <c r="E3" s="68"/>
    </row>
    <row r="6" customFormat="false" ht="15" hidden="false" customHeight="true" outlineLevel="0" collapsed="false">
      <c r="B6" s="23" t="s">
        <v>230</v>
      </c>
    </row>
    <row r="7" customFormat="false" ht="15" hidden="false" customHeight="true" outlineLevel="0" collapsed="false">
      <c r="B7" s="1" t="s">
        <v>231</v>
      </c>
      <c r="C7" s="28" t="n">
        <f aca="false">Beräkningslogik!C119</f>
        <v>-257050000</v>
      </c>
      <c r="D7" s="22" t="s">
        <v>232</v>
      </c>
    </row>
    <row r="8" customFormat="false" ht="15" hidden="false" customHeight="true" outlineLevel="0" collapsed="false">
      <c r="B8" s="1" t="s">
        <v>233</v>
      </c>
      <c r="C8" s="28" t="n">
        <f aca="false">Beräkningslogik!C139</f>
        <v>-234950000</v>
      </c>
      <c r="D8" s="22" t="s">
        <v>234</v>
      </c>
    </row>
    <row r="10" customFormat="false" ht="15" hidden="false" customHeight="true" outlineLevel="0" collapsed="false">
      <c r="B10" s="23" t="s">
        <v>235</v>
      </c>
    </row>
    <row r="11" customFormat="false" ht="15" hidden="false" customHeight="true" outlineLevel="0" collapsed="false">
      <c r="B11" s="1" t="s">
        <v>236</v>
      </c>
      <c r="C11" s="28" t="n">
        <f aca="false">C8-C7</f>
        <v>22100000</v>
      </c>
      <c r="D11" s="22" t="s">
        <v>237</v>
      </c>
    </row>
    <row r="12" customFormat="false" ht="15" hidden="false" customHeight="true" outlineLevel="0" collapsed="false">
      <c r="B12" s="1" t="s">
        <v>238</v>
      </c>
      <c r="C12" s="81" t="n">
        <f aca="false">C11/1000000</f>
        <v>22.1</v>
      </c>
      <c r="D12" s="22" t="s">
        <v>239</v>
      </c>
    </row>
    <row r="14" customFormat="false" ht="15" hidden="false" customHeight="true" outlineLevel="0" collapsed="false">
      <c r="B14" s="23" t="s">
        <v>240</v>
      </c>
    </row>
    <row r="15" customFormat="false" ht="15" hidden="false" customHeight="true" outlineLevel="0" collapsed="false">
      <c r="B15" s="22" t="s">
        <v>241</v>
      </c>
    </row>
    <row r="16" customFormat="false" ht="15" hidden="false" customHeight="true" outlineLevel="0" collapsed="false">
      <c r="B16" s="22" t="s">
        <v>242</v>
      </c>
    </row>
    <row r="18" customFormat="false" ht="15" hidden="false" customHeight="true" outlineLevel="0" collapsed="false">
      <c r="B18" s="41" t="s">
        <v>192</v>
      </c>
      <c r="C18" s="82" t="n">
        <f aca="false">-C7/C12</f>
        <v>11631221.719457</v>
      </c>
      <c r="D18" s="22" t="e">
        <f aca="false">-npv_0 / b</f>
        <v>#NAME?</v>
      </c>
    </row>
    <row r="20" customFormat="false" ht="15" hidden="false" customHeight="true" outlineLevel="0" collapsed="false">
      <c r="B20" s="1" t="s">
        <v>243</v>
      </c>
      <c r="C20" s="28" t="n">
        <f aca="false">Resultat!D10</f>
        <v>11631221.719457</v>
      </c>
      <c r="D20" s="22" t="s">
        <v>244</v>
      </c>
    </row>
    <row r="23" customFormat="false" ht="15" hidden="false" customHeight="true" outlineLevel="0" collapsed="false">
      <c r="B23" s="83" t="s">
        <v>245</v>
      </c>
      <c r="C23" s="83"/>
      <c r="D23" s="83"/>
      <c r="E23" s="83"/>
    </row>
    <row r="25" customFormat="false" ht="15" hidden="false" customHeight="true" outlineLevel="0" collapsed="false">
      <c r="B25" s="37" t="s">
        <v>246</v>
      </c>
      <c r="C25" s="37" t="s">
        <v>247</v>
      </c>
      <c r="D25" s="37" t="s">
        <v>248</v>
      </c>
    </row>
    <row r="26" customFormat="false" ht="15" hidden="false" customHeight="true" outlineLevel="0" collapsed="false">
      <c r="B26" s="1" t="s">
        <v>13</v>
      </c>
      <c r="C26" s="28" t="n">
        <f aca="false">Resultat!D10</f>
        <v>11631221.719457</v>
      </c>
      <c r="D26" s="22" t="s">
        <v>249</v>
      </c>
    </row>
    <row r="27" customFormat="false" ht="15" hidden="false" customHeight="true" outlineLevel="0" collapsed="false">
      <c r="B27" s="1" t="s">
        <v>14</v>
      </c>
      <c r="C27" s="28" t="n">
        <f aca="false">Resultat!D11</f>
        <v>11129727.5464309</v>
      </c>
      <c r="D27" s="22" t="s">
        <v>250</v>
      </c>
    </row>
    <row r="28" customFormat="false" ht="15" hidden="false" customHeight="true" outlineLevel="0" collapsed="false">
      <c r="B28" s="1" t="s">
        <v>251</v>
      </c>
      <c r="C28" s="28" t="n">
        <f aca="false">Resultat!D12</f>
        <v>5729582.14408662</v>
      </c>
      <c r="D28" s="22" t="s">
        <v>252</v>
      </c>
    </row>
    <row r="30" customFormat="false" ht="17.25" hidden="false" customHeight="true" outlineLevel="0" collapsed="false">
      <c r="B30" s="63" t="s">
        <v>179</v>
      </c>
      <c r="C30" s="84" t="n">
        <f aca="false">MAX(C26,C27,C28)</f>
        <v>11631221.719457</v>
      </c>
      <c r="D30" s="22" t="e">
        <f aca="false">max av de tre</f>
        <v>#VALUE!</v>
      </c>
    </row>
    <row r="33" customFormat="false" ht="15" hidden="false" customHeight="true" outlineLevel="0" collapsed="false">
      <c r="B33" s="83" t="s">
        <v>253</v>
      </c>
      <c r="C33" s="83"/>
      <c r="D33" s="83"/>
      <c r="E33" s="83"/>
    </row>
    <row r="35" customFormat="false" ht="43.5" hidden="false" customHeight="true" outlineLevel="0" collapsed="false">
      <c r="B35" s="68" t="s">
        <v>254</v>
      </c>
      <c r="C35" s="68"/>
      <c r="D35" s="68"/>
      <c r="E35" s="68"/>
    </row>
    <row r="37" customFormat="false" ht="60" hidden="false" customHeight="true" outlineLevel="0" collapsed="false">
      <c r="B37" s="68" t="s">
        <v>255</v>
      </c>
      <c r="C37" s="68"/>
      <c r="D37" s="68"/>
      <c r="E37" s="68"/>
    </row>
    <row r="40" customFormat="false" ht="15" hidden="false" customHeight="true" outlineLevel="0" collapsed="false">
      <c r="B40" s="41" t="s">
        <v>256</v>
      </c>
    </row>
    <row r="41" customFormat="false" ht="15" hidden="false" customHeight="true" outlineLevel="0" collapsed="false">
      <c r="B41" s="1" t="s">
        <v>257</v>
      </c>
    </row>
    <row r="42" customFormat="false" ht="15" hidden="false" customHeight="true" outlineLevel="0" collapsed="false">
      <c r="B42" s="1" t="s">
        <v>258</v>
      </c>
    </row>
    <row r="43" customFormat="false" ht="15" hidden="false" customHeight="true" outlineLevel="0" collapsed="false">
      <c r="B43" s="1" t="s">
        <v>259</v>
      </c>
    </row>
    <row r="44" customFormat="false" ht="15" hidden="false" customHeight="true" outlineLevel="0" collapsed="false">
      <c r="B44" s="1" t="s">
        <v>260</v>
      </c>
    </row>
    <row r="46" customFormat="false" ht="21.75" hidden="false" customHeight="true" outlineLevel="0" collapsed="false">
      <c r="B46" s="46" t="s">
        <v>261</v>
      </c>
      <c r="C46" s="46"/>
      <c r="D46" s="46"/>
      <c r="E46" s="46"/>
    </row>
    <row r="47" customFormat="false" ht="15" hidden="false" customHeight="false" outlineLevel="0" collapsed="false">
      <c r="B47" s="47" t="s">
        <v>262</v>
      </c>
      <c r="C47" s="47"/>
      <c r="D47" s="47"/>
      <c r="E47" s="47"/>
      <c r="F47" s="47"/>
      <c r="G47" s="47"/>
      <c r="H47" s="47"/>
      <c r="I47" s="47"/>
      <c r="J47" s="47"/>
      <c r="K47" s="47"/>
    </row>
    <row r="52" customFormat="false" ht="15" hidden="false" customHeight="false" outlineLevel="0" collapsed="false">
      <c r="B52" s="41" t="s">
        <v>141</v>
      </c>
      <c r="D52" s="43" t="n">
        <f aca="false">Indata!$C$5+0</f>
        <v>2026</v>
      </c>
      <c r="E52" s="43" t="n">
        <f aca="false">Indata!$C$5+1</f>
        <v>2027</v>
      </c>
      <c r="F52" s="43" t="n">
        <f aca="false">Indata!$C$5+2</f>
        <v>2028</v>
      </c>
      <c r="G52" s="43" t="n">
        <f aca="false">Indata!$C$5+3</f>
        <v>2029</v>
      </c>
      <c r="H52" s="43" t="n">
        <f aca="false">Indata!$C$5+4</f>
        <v>2030</v>
      </c>
      <c r="I52" s="43" t="n">
        <f aca="false">Indata!$C$5+5</f>
        <v>2031</v>
      </c>
      <c r="J52" s="43" t="n">
        <f aca="false">Indata!$C$5+6</f>
        <v>2032</v>
      </c>
      <c r="K52" s="43" t="n">
        <f aca="false">Indata!$C$5+7</f>
        <v>2033</v>
      </c>
      <c r="L52" s="43" t="n">
        <f aca="false">Indata!$C$5+8</f>
        <v>2034</v>
      </c>
      <c r="M52" s="43" t="n">
        <f aca="false">Indata!$C$5+9</f>
        <v>2035</v>
      </c>
      <c r="N52" s="43" t="n">
        <f aca="false">Indata!$C$5+10</f>
        <v>2036</v>
      </c>
      <c r="O52" s="43" t="n">
        <f aca="false">Indata!$C$5+11</f>
        <v>2037</v>
      </c>
      <c r="P52" s="43" t="n">
        <f aca="false">Indata!$C$5+12</f>
        <v>2038</v>
      </c>
      <c r="Q52" s="43" t="n">
        <f aca="false">Indata!$C$5+13</f>
        <v>2039</v>
      </c>
      <c r="R52" s="43" t="n">
        <f aca="false">Indata!$C$5+14</f>
        <v>2040</v>
      </c>
      <c r="S52" s="43" t="n">
        <f aca="false">Indata!$C$5+15</f>
        <v>2041</v>
      </c>
      <c r="T52" s="43" t="n">
        <f aca="false">Indata!$C$5+16</f>
        <v>2042</v>
      </c>
      <c r="U52" s="43" t="n">
        <f aca="false">Indata!$C$5+17</f>
        <v>2043</v>
      </c>
      <c r="V52" s="43" t="n">
        <f aca="false">Indata!$C$5+18</f>
        <v>2044</v>
      </c>
      <c r="W52" s="43" t="n">
        <f aca="false">Indata!$C$5+19</f>
        <v>2045</v>
      </c>
      <c r="X52" s="43" t="n">
        <f aca="false">Indata!$C$5+20</f>
        <v>2046</v>
      </c>
      <c r="Y52" s="43" t="n">
        <f aca="false">Indata!$C$5+21</f>
        <v>2047</v>
      </c>
      <c r="Z52" s="43" t="n">
        <f aca="false">Indata!$C$5+22</f>
        <v>2048</v>
      </c>
      <c r="AA52" s="43" t="n">
        <f aca="false">Indata!$C$5+23</f>
        <v>2049</v>
      </c>
      <c r="AB52" s="43" t="n">
        <f aca="false">Indata!$C$5+24</f>
        <v>2050</v>
      </c>
    </row>
    <row r="53" customFormat="false" ht="15" hidden="false" customHeight="false" outlineLevel="0" collapsed="false">
      <c r="B53" s="22" t="s">
        <v>142</v>
      </c>
      <c r="D53" s="44" t="n">
        <v>1</v>
      </c>
      <c r="E53" s="44" t="n">
        <v>2</v>
      </c>
      <c r="F53" s="44" t="n">
        <v>3</v>
      </c>
      <c r="G53" s="44" t="n">
        <v>4</v>
      </c>
      <c r="H53" s="44" t="n">
        <v>5</v>
      </c>
      <c r="I53" s="44" t="n">
        <v>6</v>
      </c>
      <c r="J53" s="44" t="n">
        <v>7</v>
      </c>
      <c r="K53" s="44" t="n">
        <v>8</v>
      </c>
      <c r="L53" s="44" t="n">
        <v>9</v>
      </c>
      <c r="M53" s="44" t="n">
        <v>10</v>
      </c>
      <c r="N53" s="44" t="n">
        <v>11</v>
      </c>
      <c r="O53" s="44" t="n">
        <v>12</v>
      </c>
      <c r="P53" s="44" t="n">
        <v>13</v>
      </c>
      <c r="Q53" s="44" t="n">
        <v>14</v>
      </c>
      <c r="R53" s="44" t="n">
        <v>15</v>
      </c>
      <c r="S53" s="44" t="n">
        <v>16</v>
      </c>
      <c r="T53" s="44" t="n">
        <v>17</v>
      </c>
      <c r="U53" s="44" t="n">
        <v>18</v>
      </c>
      <c r="V53" s="44" t="n">
        <v>19</v>
      </c>
      <c r="W53" s="44" t="n">
        <v>20</v>
      </c>
      <c r="X53" s="44" t="n">
        <v>21</v>
      </c>
      <c r="Y53" s="44" t="n">
        <v>22</v>
      </c>
      <c r="Z53" s="44" t="n">
        <v>23</v>
      </c>
      <c r="AA53" s="44" t="n">
        <v>24</v>
      </c>
      <c r="AB53" s="44" t="n">
        <v>25</v>
      </c>
    </row>
    <row r="54" customFormat="false" ht="15" hidden="false" customHeight="false" outlineLevel="0" collapsed="false">
      <c r="B54" s="22" t="s">
        <v>143</v>
      </c>
      <c r="D54" s="44" t="n">
        <f aca="false">IF(D53&lt;=Indata!$C$16,1,0)</f>
        <v>1</v>
      </c>
      <c r="E54" s="44" t="n">
        <f aca="false">IF(E53&lt;=Indata!$C$16,1,0)</f>
        <v>1</v>
      </c>
      <c r="F54" s="44" t="n">
        <f aca="false">IF(F53&lt;=Indata!$C$16,1,0)</f>
        <v>1</v>
      </c>
      <c r="G54" s="44" t="n">
        <f aca="false">IF(G53&lt;=Indata!$C$16,1,0)</f>
        <v>1</v>
      </c>
      <c r="H54" s="44" t="n">
        <f aca="false">IF(H53&lt;=Indata!$C$16,1,0)</f>
        <v>1</v>
      </c>
      <c r="I54" s="44" t="n">
        <f aca="false">IF(I53&lt;=Indata!$C$16,1,0)</f>
        <v>1</v>
      </c>
      <c r="J54" s="44" t="n">
        <f aca="false">IF(J53&lt;=Indata!$C$16,1,0)</f>
        <v>1</v>
      </c>
      <c r="K54" s="44" t="n">
        <f aca="false">IF(K53&lt;=Indata!$C$16,1,0)</f>
        <v>1</v>
      </c>
      <c r="L54" s="44" t="n">
        <f aca="false">IF(L53&lt;=Indata!$C$16,1,0)</f>
        <v>1</v>
      </c>
      <c r="M54" s="44" t="n">
        <f aca="false">IF(M53&lt;=Indata!$C$16,1,0)</f>
        <v>1</v>
      </c>
      <c r="N54" s="44" t="n">
        <f aca="false">IF(N53&lt;=Indata!$C$16,1,0)</f>
        <v>1</v>
      </c>
      <c r="O54" s="44" t="n">
        <f aca="false">IF(O53&lt;=Indata!$C$16,1,0)</f>
        <v>1</v>
      </c>
      <c r="P54" s="44" t="n">
        <f aca="false">IF(P53&lt;=Indata!$C$16,1,0)</f>
        <v>1</v>
      </c>
      <c r="Q54" s="44" t="n">
        <f aca="false">IF(Q53&lt;=Indata!$C$16,1,0)</f>
        <v>1</v>
      </c>
      <c r="R54" s="44" t="n">
        <f aca="false">IF(R53&lt;=Indata!$C$16,1,0)</f>
        <v>1</v>
      </c>
      <c r="S54" s="44" t="n">
        <f aca="false">IF(S53&lt;=Indata!$C$16,1,0)</f>
        <v>1</v>
      </c>
      <c r="T54" s="44" t="n">
        <f aca="false">IF(T53&lt;=Indata!$C$16,1,0)</f>
        <v>1</v>
      </c>
      <c r="U54" s="44" t="n">
        <f aca="false">IF(U53&lt;=Indata!$C$16,1,0)</f>
        <v>1</v>
      </c>
      <c r="V54" s="44" t="n">
        <f aca="false">IF(V53&lt;=Indata!$C$16,1,0)</f>
        <v>1</v>
      </c>
      <c r="W54" s="44" t="n">
        <f aca="false">IF(W53&lt;=Indata!$C$16,1,0)</f>
        <v>1</v>
      </c>
      <c r="X54" s="44" t="n">
        <f aca="false">IF(X53&lt;=Indata!$C$16,1,0)</f>
        <v>0</v>
      </c>
      <c r="Y54" s="44" t="n">
        <f aca="false">IF(Y53&lt;=Indata!$C$16,1,0)</f>
        <v>0</v>
      </c>
      <c r="Z54" s="44" t="n">
        <f aca="false">IF(Z53&lt;=Indata!$C$16,1,0)</f>
        <v>0</v>
      </c>
      <c r="AA54" s="44" t="n">
        <f aca="false">IF(AA53&lt;=Indata!$C$16,1,0)</f>
        <v>0</v>
      </c>
      <c r="AB54" s="44" t="n">
        <f aca="false">IF(AB53&lt;=Indata!$C$16,1,0)</f>
        <v>0</v>
      </c>
    </row>
    <row r="55" customFormat="false" ht="15" hidden="false" customHeight="false" outlineLevel="0" collapsed="false">
      <c r="B55" s="22" t="s">
        <v>144</v>
      </c>
      <c r="D55" s="45" t="n">
        <f aca="false">SUMIFS(Indata!$E$26:$E$79,Indata!$C$26:$C$79,"Nyb",Indata!$P$26:$P$79,"&lt;="&amp;D52)+SUMIFS(Indata!$E$26:$E$79,Indata!$C$26:$C$79,"Omb",Indata!$P$26:$P$79,"&lt;="&amp;D52)+SUMIFS(Indata!$E$26:$E$79,Indata!$C$26:$C$79,"Ins",Indata!$P$26:$P$79,"&lt;="&amp;D52)</f>
        <v>5000</v>
      </c>
      <c r="E55" s="45" t="n">
        <f aca="false">SUMIFS(Indata!$E$26:$E$79,Indata!$C$26:$C$79,"Nyb",Indata!$P$26:$P$79,"&lt;="&amp;E52)+SUMIFS(Indata!$E$26:$E$79,Indata!$C$26:$C$79,"Omb",Indata!$P$26:$P$79,"&lt;="&amp;E52)+SUMIFS(Indata!$E$26:$E$79,Indata!$C$26:$C$79,"Ins",Indata!$P$26:$P$79,"&lt;="&amp;E52)</f>
        <v>5000</v>
      </c>
      <c r="F55" s="45" t="n">
        <f aca="false">SUMIFS(Indata!$E$26:$E$79,Indata!$C$26:$C$79,"Nyb",Indata!$P$26:$P$79,"&lt;="&amp;F52)+SUMIFS(Indata!$E$26:$E$79,Indata!$C$26:$C$79,"Omb",Indata!$P$26:$P$79,"&lt;="&amp;F52)+SUMIFS(Indata!$E$26:$E$79,Indata!$C$26:$C$79,"Ins",Indata!$P$26:$P$79,"&lt;="&amp;F52)</f>
        <v>5000</v>
      </c>
      <c r="G55" s="45" t="n">
        <f aca="false">SUMIFS(Indata!$E$26:$E$79,Indata!$C$26:$C$79,"Nyb",Indata!$P$26:$P$79,"&lt;="&amp;G52)+SUMIFS(Indata!$E$26:$E$79,Indata!$C$26:$C$79,"Omb",Indata!$P$26:$P$79,"&lt;="&amp;G52)+SUMIFS(Indata!$E$26:$E$79,Indata!$C$26:$C$79,"Ins",Indata!$P$26:$P$79,"&lt;="&amp;G52)</f>
        <v>5000</v>
      </c>
      <c r="H55" s="45" t="n">
        <f aca="false">SUMIFS(Indata!$E$26:$E$79,Indata!$C$26:$C$79,"Nyb",Indata!$P$26:$P$79,"&lt;="&amp;H52)+SUMIFS(Indata!$E$26:$E$79,Indata!$C$26:$C$79,"Omb",Indata!$P$26:$P$79,"&lt;="&amp;H52)+SUMIFS(Indata!$E$26:$E$79,Indata!$C$26:$C$79,"Ins",Indata!$P$26:$P$79,"&lt;="&amp;H52)</f>
        <v>5000</v>
      </c>
      <c r="I55" s="45" t="n">
        <f aca="false">SUMIFS(Indata!$E$26:$E$79,Indata!$C$26:$C$79,"Nyb",Indata!$P$26:$P$79,"&lt;="&amp;I52)+SUMIFS(Indata!$E$26:$E$79,Indata!$C$26:$C$79,"Omb",Indata!$P$26:$P$79,"&lt;="&amp;I52)+SUMIFS(Indata!$E$26:$E$79,Indata!$C$26:$C$79,"Ins",Indata!$P$26:$P$79,"&lt;="&amp;I52)</f>
        <v>5000</v>
      </c>
      <c r="J55" s="45" t="n">
        <f aca="false">SUMIFS(Indata!$E$26:$E$79,Indata!$C$26:$C$79,"Nyb",Indata!$P$26:$P$79,"&lt;="&amp;J52)+SUMIFS(Indata!$E$26:$E$79,Indata!$C$26:$C$79,"Omb",Indata!$P$26:$P$79,"&lt;="&amp;J52)+SUMIFS(Indata!$E$26:$E$79,Indata!$C$26:$C$79,"Ins",Indata!$P$26:$P$79,"&lt;="&amp;J52)</f>
        <v>5000</v>
      </c>
      <c r="K55" s="45" t="n">
        <f aca="false">SUMIFS(Indata!$E$26:$E$79,Indata!$C$26:$C$79,"Nyb",Indata!$P$26:$P$79,"&lt;="&amp;K52)+SUMIFS(Indata!$E$26:$E$79,Indata!$C$26:$C$79,"Omb",Indata!$P$26:$P$79,"&lt;="&amp;K52)+SUMIFS(Indata!$E$26:$E$79,Indata!$C$26:$C$79,"Ins",Indata!$P$26:$P$79,"&lt;="&amp;K52)</f>
        <v>5000</v>
      </c>
      <c r="L55" s="45" t="n">
        <f aca="false">SUMIFS(Indata!$E$26:$E$79,Indata!$C$26:$C$79,"Nyb",Indata!$P$26:$P$79,"&lt;="&amp;L52)+SUMIFS(Indata!$E$26:$E$79,Indata!$C$26:$C$79,"Omb",Indata!$P$26:$P$79,"&lt;="&amp;L52)+SUMIFS(Indata!$E$26:$E$79,Indata!$C$26:$C$79,"Ins",Indata!$P$26:$P$79,"&lt;="&amp;L52)</f>
        <v>5000</v>
      </c>
      <c r="M55" s="45" t="n">
        <f aca="false">SUMIFS(Indata!$E$26:$E$79,Indata!$C$26:$C$79,"Nyb",Indata!$P$26:$P$79,"&lt;="&amp;M52)+SUMIFS(Indata!$E$26:$E$79,Indata!$C$26:$C$79,"Omb",Indata!$P$26:$P$79,"&lt;="&amp;M52)+SUMIFS(Indata!$E$26:$E$79,Indata!$C$26:$C$79,"Ins",Indata!$P$26:$P$79,"&lt;="&amp;M52)</f>
        <v>5000</v>
      </c>
      <c r="N55" s="45" t="n">
        <f aca="false">SUMIFS(Indata!$E$26:$E$79,Indata!$C$26:$C$79,"Nyb",Indata!$P$26:$P$79,"&lt;="&amp;N52)+SUMIFS(Indata!$E$26:$E$79,Indata!$C$26:$C$79,"Omb",Indata!$P$26:$P$79,"&lt;="&amp;N52)+SUMIFS(Indata!$E$26:$E$79,Indata!$C$26:$C$79,"Ins",Indata!$P$26:$P$79,"&lt;="&amp;N52)</f>
        <v>5000</v>
      </c>
      <c r="O55" s="45" t="n">
        <f aca="false">SUMIFS(Indata!$E$26:$E$79,Indata!$C$26:$C$79,"Nyb",Indata!$P$26:$P$79,"&lt;="&amp;O52)+SUMIFS(Indata!$E$26:$E$79,Indata!$C$26:$C$79,"Omb",Indata!$P$26:$P$79,"&lt;="&amp;O52)+SUMIFS(Indata!$E$26:$E$79,Indata!$C$26:$C$79,"Ins",Indata!$P$26:$P$79,"&lt;="&amp;O52)</f>
        <v>5000</v>
      </c>
      <c r="P55" s="45" t="n">
        <f aca="false">SUMIFS(Indata!$E$26:$E$79,Indata!$C$26:$C$79,"Nyb",Indata!$P$26:$P$79,"&lt;="&amp;P52)+SUMIFS(Indata!$E$26:$E$79,Indata!$C$26:$C$79,"Omb",Indata!$P$26:$P$79,"&lt;="&amp;P52)+SUMIFS(Indata!$E$26:$E$79,Indata!$C$26:$C$79,"Ins",Indata!$P$26:$P$79,"&lt;="&amp;P52)</f>
        <v>5000</v>
      </c>
      <c r="Q55" s="45" t="n">
        <f aca="false">SUMIFS(Indata!$E$26:$E$79,Indata!$C$26:$C$79,"Nyb",Indata!$P$26:$P$79,"&lt;="&amp;Q52)+SUMIFS(Indata!$E$26:$E$79,Indata!$C$26:$C$79,"Omb",Indata!$P$26:$P$79,"&lt;="&amp;Q52)+SUMIFS(Indata!$E$26:$E$79,Indata!$C$26:$C$79,"Ins",Indata!$P$26:$P$79,"&lt;="&amp;Q52)</f>
        <v>5000</v>
      </c>
      <c r="R55" s="45" t="n">
        <f aca="false">SUMIFS(Indata!$E$26:$E$79,Indata!$C$26:$C$79,"Nyb",Indata!$P$26:$P$79,"&lt;="&amp;R52)+SUMIFS(Indata!$E$26:$E$79,Indata!$C$26:$C$79,"Omb",Indata!$P$26:$P$79,"&lt;="&amp;R52)+SUMIFS(Indata!$E$26:$E$79,Indata!$C$26:$C$79,"Ins",Indata!$P$26:$P$79,"&lt;="&amp;R52)</f>
        <v>5000</v>
      </c>
      <c r="S55" s="45" t="n">
        <f aca="false">SUMIFS(Indata!$E$26:$E$79,Indata!$C$26:$C$79,"Nyb",Indata!$P$26:$P$79,"&lt;="&amp;S52)+SUMIFS(Indata!$E$26:$E$79,Indata!$C$26:$C$79,"Omb",Indata!$P$26:$P$79,"&lt;="&amp;S52)+SUMIFS(Indata!$E$26:$E$79,Indata!$C$26:$C$79,"Ins",Indata!$P$26:$P$79,"&lt;="&amp;S52)</f>
        <v>5000</v>
      </c>
      <c r="T55" s="45" t="n">
        <f aca="false">SUMIFS(Indata!$E$26:$E$79,Indata!$C$26:$C$79,"Nyb",Indata!$P$26:$P$79,"&lt;="&amp;T52)+SUMIFS(Indata!$E$26:$E$79,Indata!$C$26:$C$79,"Omb",Indata!$P$26:$P$79,"&lt;="&amp;T52)+SUMIFS(Indata!$E$26:$E$79,Indata!$C$26:$C$79,"Ins",Indata!$P$26:$P$79,"&lt;="&amp;T52)</f>
        <v>5000</v>
      </c>
      <c r="U55" s="45" t="n">
        <f aca="false">SUMIFS(Indata!$E$26:$E$79,Indata!$C$26:$C$79,"Nyb",Indata!$P$26:$P$79,"&lt;="&amp;U52)+SUMIFS(Indata!$E$26:$E$79,Indata!$C$26:$C$79,"Omb",Indata!$P$26:$P$79,"&lt;="&amp;U52)+SUMIFS(Indata!$E$26:$E$79,Indata!$C$26:$C$79,"Ins",Indata!$P$26:$P$79,"&lt;="&amp;U52)</f>
        <v>5000</v>
      </c>
      <c r="V55" s="45" t="n">
        <f aca="false">SUMIFS(Indata!$E$26:$E$79,Indata!$C$26:$C$79,"Nyb",Indata!$P$26:$P$79,"&lt;="&amp;V52)+SUMIFS(Indata!$E$26:$E$79,Indata!$C$26:$C$79,"Omb",Indata!$P$26:$P$79,"&lt;="&amp;V52)+SUMIFS(Indata!$E$26:$E$79,Indata!$C$26:$C$79,"Ins",Indata!$P$26:$P$79,"&lt;="&amp;V52)</f>
        <v>5000</v>
      </c>
      <c r="W55" s="45" t="n">
        <f aca="false">SUMIFS(Indata!$E$26:$E$79,Indata!$C$26:$C$79,"Nyb",Indata!$P$26:$P$79,"&lt;="&amp;W52)+SUMIFS(Indata!$E$26:$E$79,Indata!$C$26:$C$79,"Omb",Indata!$P$26:$P$79,"&lt;="&amp;W52)+SUMIFS(Indata!$E$26:$E$79,Indata!$C$26:$C$79,"Ins",Indata!$P$26:$P$79,"&lt;="&amp;W52)</f>
        <v>5000</v>
      </c>
      <c r="X55" s="45" t="n">
        <f aca="false">SUMIFS(Indata!$E$26:$E$79,Indata!$C$26:$C$79,"Nyb",Indata!$P$26:$P$79,"&lt;="&amp;X52)+SUMIFS(Indata!$E$26:$E$79,Indata!$C$26:$C$79,"Omb",Indata!$P$26:$P$79,"&lt;="&amp;X52)+SUMIFS(Indata!$E$26:$E$79,Indata!$C$26:$C$79,"Ins",Indata!$P$26:$P$79,"&lt;="&amp;X52)</f>
        <v>5000</v>
      </c>
      <c r="Y55" s="45" t="n">
        <f aca="false">SUMIFS(Indata!$E$26:$E$79,Indata!$C$26:$C$79,"Nyb",Indata!$P$26:$P$79,"&lt;="&amp;Y52)+SUMIFS(Indata!$E$26:$E$79,Indata!$C$26:$C$79,"Omb",Indata!$P$26:$P$79,"&lt;="&amp;Y52)+SUMIFS(Indata!$E$26:$E$79,Indata!$C$26:$C$79,"Ins",Indata!$P$26:$P$79,"&lt;="&amp;Y52)</f>
        <v>5000</v>
      </c>
      <c r="Z55" s="45" t="n">
        <f aca="false">SUMIFS(Indata!$E$26:$E$79,Indata!$C$26:$C$79,"Nyb",Indata!$P$26:$P$79,"&lt;="&amp;Z52)+SUMIFS(Indata!$E$26:$E$79,Indata!$C$26:$C$79,"Omb",Indata!$P$26:$P$79,"&lt;="&amp;Z52)+SUMIFS(Indata!$E$26:$E$79,Indata!$C$26:$C$79,"Ins",Indata!$P$26:$P$79,"&lt;="&amp;Z52)</f>
        <v>5000</v>
      </c>
      <c r="AA55" s="45" t="n">
        <f aca="false">SUMIFS(Indata!$E$26:$E$79,Indata!$C$26:$C$79,"Nyb",Indata!$P$26:$P$79,"&lt;="&amp;AA52)+SUMIFS(Indata!$E$26:$E$79,Indata!$C$26:$C$79,"Omb",Indata!$P$26:$P$79,"&lt;="&amp;AA52)+SUMIFS(Indata!$E$26:$E$79,Indata!$C$26:$C$79,"Ins",Indata!$P$26:$P$79,"&lt;="&amp;AA52)</f>
        <v>5000</v>
      </c>
      <c r="AB55" s="45" t="n">
        <f aca="false">SUMIFS(Indata!$E$26:$E$79,Indata!$C$26:$C$79,"Nyb",Indata!$P$26:$P$79,"&lt;="&amp;AB52)+SUMIFS(Indata!$E$26:$E$79,Indata!$C$26:$C$79,"Omb",Indata!$P$26:$P$79,"&lt;="&amp;AB52)+SUMIFS(Indata!$E$26:$E$79,Indata!$C$26:$C$79,"Ins",Indata!$P$26:$P$79,"&lt;="&amp;AB52)</f>
        <v>5000</v>
      </c>
    </row>
    <row r="56" customFormat="false" ht="15" hidden="false" customHeight="false" outlineLevel="0" collapsed="false">
      <c r="B56" s="22" t="s">
        <v>145</v>
      </c>
      <c r="D56" s="45" t="n">
        <f aca="false">SUMIFS(Indata!$D$26:$D$79,Indata!$C$26:$C$79,"Bef",Indata!$P$26:$P$79,"&lt;="&amp;D52)+SUMIFS(Indata!$D$26:$D$79,Indata!$C$26:$C$79,"Omb",Indata!$P$26:$P$79,"&lt;="&amp;D52)+SUMIFS(Indata!$D$26:$D$79,Indata!$C$26:$C$79,"Nyb",Indata!$P$26:$P$79,"&lt;="&amp;D52)+SUMIFS(Indata!$D$26:$D$79,Indata!$C$26:$C$79,"Ins",Indata!$P$26:$P$79,"&lt;="&amp;D52)</f>
        <v>0</v>
      </c>
      <c r="E56" s="45" t="n">
        <f aca="false">SUMIFS(Indata!$D$26:$D$79,Indata!$C$26:$C$79,"Bef",Indata!$P$26:$P$79,"&lt;="&amp;E52)+SUMIFS(Indata!$D$26:$D$79,Indata!$C$26:$C$79,"Omb",Indata!$P$26:$P$79,"&lt;="&amp;E52)+SUMIFS(Indata!$D$26:$D$79,Indata!$C$26:$C$79,"Nyb",Indata!$P$26:$P$79,"&lt;="&amp;E52)+SUMIFS(Indata!$D$26:$D$79,Indata!$C$26:$C$79,"Ins",Indata!$P$26:$P$79,"&lt;="&amp;E52)</f>
        <v>0</v>
      </c>
      <c r="F56" s="45" t="n">
        <f aca="false">SUMIFS(Indata!$D$26:$D$79,Indata!$C$26:$C$79,"Bef",Indata!$P$26:$P$79,"&lt;="&amp;F52)+SUMIFS(Indata!$D$26:$D$79,Indata!$C$26:$C$79,"Omb",Indata!$P$26:$P$79,"&lt;="&amp;F52)+SUMIFS(Indata!$D$26:$D$79,Indata!$C$26:$C$79,"Nyb",Indata!$P$26:$P$79,"&lt;="&amp;F52)+SUMIFS(Indata!$D$26:$D$79,Indata!$C$26:$C$79,"Ins",Indata!$P$26:$P$79,"&lt;="&amp;F52)</f>
        <v>0</v>
      </c>
      <c r="G56" s="45" t="n">
        <f aca="false">SUMIFS(Indata!$D$26:$D$79,Indata!$C$26:$C$79,"Bef",Indata!$P$26:$P$79,"&lt;="&amp;G52)+SUMIFS(Indata!$D$26:$D$79,Indata!$C$26:$C$79,"Omb",Indata!$P$26:$P$79,"&lt;="&amp;G52)+SUMIFS(Indata!$D$26:$D$79,Indata!$C$26:$C$79,"Nyb",Indata!$P$26:$P$79,"&lt;="&amp;G52)+SUMIFS(Indata!$D$26:$D$79,Indata!$C$26:$C$79,"Ins",Indata!$P$26:$P$79,"&lt;="&amp;G52)</f>
        <v>0</v>
      </c>
      <c r="H56" s="45" t="n">
        <f aca="false">SUMIFS(Indata!$D$26:$D$79,Indata!$C$26:$C$79,"Bef",Indata!$P$26:$P$79,"&lt;="&amp;H52)+SUMIFS(Indata!$D$26:$D$79,Indata!$C$26:$C$79,"Omb",Indata!$P$26:$P$79,"&lt;="&amp;H52)+SUMIFS(Indata!$D$26:$D$79,Indata!$C$26:$C$79,"Nyb",Indata!$P$26:$P$79,"&lt;="&amp;H52)+SUMIFS(Indata!$D$26:$D$79,Indata!$C$26:$C$79,"Ins",Indata!$P$26:$P$79,"&lt;="&amp;H52)</f>
        <v>0</v>
      </c>
      <c r="I56" s="45" t="n">
        <f aca="false">SUMIFS(Indata!$D$26:$D$79,Indata!$C$26:$C$79,"Bef",Indata!$P$26:$P$79,"&lt;="&amp;I52)+SUMIFS(Indata!$D$26:$D$79,Indata!$C$26:$C$79,"Omb",Indata!$P$26:$P$79,"&lt;="&amp;I52)+SUMIFS(Indata!$D$26:$D$79,Indata!$C$26:$C$79,"Nyb",Indata!$P$26:$P$79,"&lt;="&amp;I52)+SUMIFS(Indata!$D$26:$D$79,Indata!$C$26:$C$79,"Ins",Indata!$P$26:$P$79,"&lt;="&amp;I52)</f>
        <v>0</v>
      </c>
      <c r="J56" s="45" t="n">
        <f aca="false">SUMIFS(Indata!$D$26:$D$79,Indata!$C$26:$C$79,"Bef",Indata!$P$26:$P$79,"&lt;="&amp;J52)+SUMIFS(Indata!$D$26:$D$79,Indata!$C$26:$C$79,"Omb",Indata!$P$26:$P$79,"&lt;="&amp;J52)+SUMIFS(Indata!$D$26:$D$79,Indata!$C$26:$C$79,"Nyb",Indata!$P$26:$P$79,"&lt;="&amp;J52)+SUMIFS(Indata!$D$26:$D$79,Indata!$C$26:$C$79,"Ins",Indata!$P$26:$P$79,"&lt;="&amp;J52)</f>
        <v>0</v>
      </c>
      <c r="K56" s="45" t="n">
        <f aca="false">SUMIFS(Indata!$D$26:$D$79,Indata!$C$26:$C$79,"Bef",Indata!$P$26:$P$79,"&lt;="&amp;K52)+SUMIFS(Indata!$D$26:$D$79,Indata!$C$26:$C$79,"Omb",Indata!$P$26:$P$79,"&lt;="&amp;K52)+SUMIFS(Indata!$D$26:$D$79,Indata!$C$26:$C$79,"Nyb",Indata!$P$26:$P$79,"&lt;="&amp;K52)+SUMIFS(Indata!$D$26:$D$79,Indata!$C$26:$C$79,"Ins",Indata!$P$26:$P$79,"&lt;="&amp;K52)</f>
        <v>0</v>
      </c>
      <c r="L56" s="45" t="n">
        <f aca="false">SUMIFS(Indata!$D$26:$D$79,Indata!$C$26:$C$79,"Bef",Indata!$P$26:$P$79,"&lt;="&amp;L52)+SUMIFS(Indata!$D$26:$D$79,Indata!$C$26:$C$79,"Omb",Indata!$P$26:$P$79,"&lt;="&amp;L52)+SUMIFS(Indata!$D$26:$D$79,Indata!$C$26:$C$79,"Nyb",Indata!$P$26:$P$79,"&lt;="&amp;L52)+SUMIFS(Indata!$D$26:$D$79,Indata!$C$26:$C$79,"Ins",Indata!$P$26:$P$79,"&lt;="&amp;L52)</f>
        <v>0</v>
      </c>
      <c r="M56" s="45" t="n">
        <f aca="false">SUMIFS(Indata!$D$26:$D$79,Indata!$C$26:$C$79,"Bef",Indata!$P$26:$P$79,"&lt;="&amp;M52)+SUMIFS(Indata!$D$26:$D$79,Indata!$C$26:$C$79,"Omb",Indata!$P$26:$P$79,"&lt;="&amp;M52)+SUMIFS(Indata!$D$26:$D$79,Indata!$C$26:$C$79,"Nyb",Indata!$P$26:$P$79,"&lt;="&amp;M52)+SUMIFS(Indata!$D$26:$D$79,Indata!$C$26:$C$79,"Ins",Indata!$P$26:$P$79,"&lt;="&amp;M52)</f>
        <v>0</v>
      </c>
      <c r="N56" s="45" t="n">
        <f aca="false">SUMIFS(Indata!$D$26:$D$79,Indata!$C$26:$C$79,"Bef",Indata!$P$26:$P$79,"&lt;="&amp;N52)+SUMIFS(Indata!$D$26:$D$79,Indata!$C$26:$C$79,"Omb",Indata!$P$26:$P$79,"&lt;="&amp;N52)+SUMIFS(Indata!$D$26:$D$79,Indata!$C$26:$C$79,"Nyb",Indata!$P$26:$P$79,"&lt;="&amp;N52)+SUMIFS(Indata!$D$26:$D$79,Indata!$C$26:$C$79,"Ins",Indata!$P$26:$P$79,"&lt;="&amp;N52)</f>
        <v>0</v>
      </c>
      <c r="O56" s="45" t="n">
        <f aca="false">SUMIFS(Indata!$D$26:$D$79,Indata!$C$26:$C$79,"Bef",Indata!$P$26:$P$79,"&lt;="&amp;O52)+SUMIFS(Indata!$D$26:$D$79,Indata!$C$26:$C$79,"Omb",Indata!$P$26:$P$79,"&lt;="&amp;O52)+SUMIFS(Indata!$D$26:$D$79,Indata!$C$26:$C$79,"Nyb",Indata!$P$26:$P$79,"&lt;="&amp;O52)+SUMIFS(Indata!$D$26:$D$79,Indata!$C$26:$C$79,"Ins",Indata!$P$26:$P$79,"&lt;="&amp;O52)</f>
        <v>0</v>
      </c>
      <c r="P56" s="45" t="n">
        <f aca="false">SUMIFS(Indata!$D$26:$D$79,Indata!$C$26:$C$79,"Bef",Indata!$P$26:$P$79,"&lt;="&amp;P52)+SUMIFS(Indata!$D$26:$D$79,Indata!$C$26:$C$79,"Omb",Indata!$P$26:$P$79,"&lt;="&amp;P52)+SUMIFS(Indata!$D$26:$D$79,Indata!$C$26:$C$79,"Nyb",Indata!$P$26:$P$79,"&lt;="&amp;P52)+SUMIFS(Indata!$D$26:$D$79,Indata!$C$26:$C$79,"Ins",Indata!$P$26:$P$79,"&lt;="&amp;P52)</f>
        <v>0</v>
      </c>
      <c r="Q56" s="45" t="n">
        <f aca="false">SUMIFS(Indata!$D$26:$D$79,Indata!$C$26:$C$79,"Bef",Indata!$P$26:$P$79,"&lt;="&amp;Q52)+SUMIFS(Indata!$D$26:$D$79,Indata!$C$26:$C$79,"Omb",Indata!$P$26:$P$79,"&lt;="&amp;Q52)+SUMIFS(Indata!$D$26:$D$79,Indata!$C$26:$C$79,"Nyb",Indata!$P$26:$P$79,"&lt;="&amp;Q52)+SUMIFS(Indata!$D$26:$D$79,Indata!$C$26:$C$79,"Ins",Indata!$P$26:$P$79,"&lt;="&amp;Q52)</f>
        <v>0</v>
      </c>
      <c r="R56" s="45" t="n">
        <f aca="false">SUMIFS(Indata!$D$26:$D$79,Indata!$C$26:$C$79,"Bef",Indata!$P$26:$P$79,"&lt;="&amp;R52)+SUMIFS(Indata!$D$26:$D$79,Indata!$C$26:$C$79,"Omb",Indata!$P$26:$P$79,"&lt;="&amp;R52)+SUMIFS(Indata!$D$26:$D$79,Indata!$C$26:$C$79,"Nyb",Indata!$P$26:$P$79,"&lt;="&amp;R52)+SUMIFS(Indata!$D$26:$D$79,Indata!$C$26:$C$79,"Ins",Indata!$P$26:$P$79,"&lt;="&amp;R52)</f>
        <v>0</v>
      </c>
      <c r="S56" s="45" t="n">
        <f aca="false">SUMIFS(Indata!$D$26:$D$79,Indata!$C$26:$C$79,"Bef",Indata!$P$26:$P$79,"&lt;="&amp;S52)+SUMIFS(Indata!$D$26:$D$79,Indata!$C$26:$C$79,"Omb",Indata!$P$26:$P$79,"&lt;="&amp;S52)+SUMIFS(Indata!$D$26:$D$79,Indata!$C$26:$C$79,"Nyb",Indata!$P$26:$P$79,"&lt;="&amp;S52)+SUMIFS(Indata!$D$26:$D$79,Indata!$C$26:$C$79,"Ins",Indata!$P$26:$P$79,"&lt;="&amp;S52)</f>
        <v>0</v>
      </c>
      <c r="T56" s="45" t="n">
        <f aca="false">SUMIFS(Indata!$D$26:$D$79,Indata!$C$26:$C$79,"Bef",Indata!$P$26:$P$79,"&lt;="&amp;T52)+SUMIFS(Indata!$D$26:$D$79,Indata!$C$26:$C$79,"Omb",Indata!$P$26:$P$79,"&lt;="&amp;T52)+SUMIFS(Indata!$D$26:$D$79,Indata!$C$26:$C$79,"Nyb",Indata!$P$26:$P$79,"&lt;="&amp;T52)+SUMIFS(Indata!$D$26:$D$79,Indata!$C$26:$C$79,"Ins",Indata!$P$26:$P$79,"&lt;="&amp;T52)</f>
        <v>0</v>
      </c>
      <c r="U56" s="45" t="n">
        <f aca="false">SUMIFS(Indata!$D$26:$D$79,Indata!$C$26:$C$79,"Bef",Indata!$P$26:$P$79,"&lt;="&amp;U52)+SUMIFS(Indata!$D$26:$D$79,Indata!$C$26:$C$79,"Omb",Indata!$P$26:$P$79,"&lt;="&amp;U52)+SUMIFS(Indata!$D$26:$D$79,Indata!$C$26:$C$79,"Nyb",Indata!$P$26:$P$79,"&lt;="&amp;U52)+SUMIFS(Indata!$D$26:$D$79,Indata!$C$26:$C$79,"Ins",Indata!$P$26:$P$79,"&lt;="&amp;U52)</f>
        <v>0</v>
      </c>
      <c r="V56" s="45" t="n">
        <f aca="false">SUMIFS(Indata!$D$26:$D$79,Indata!$C$26:$C$79,"Bef",Indata!$P$26:$P$79,"&lt;="&amp;V52)+SUMIFS(Indata!$D$26:$D$79,Indata!$C$26:$C$79,"Omb",Indata!$P$26:$P$79,"&lt;="&amp;V52)+SUMIFS(Indata!$D$26:$D$79,Indata!$C$26:$C$79,"Nyb",Indata!$P$26:$P$79,"&lt;="&amp;V52)+SUMIFS(Indata!$D$26:$D$79,Indata!$C$26:$C$79,"Ins",Indata!$P$26:$P$79,"&lt;="&amp;V52)</f>
        <v>0</v>
      </c>
      <c r="W56" s="45" t="n">
        <f aca="false">SUMIFS(Indata!$D$26:$D$79,Indata!$C$26:$C$79,"Bef",Indata!$P$26:$P$79,"&lt;="&amp;W52)+SUMIFS(Indata!$D$26:$D$79,Indata!$C$26:$C$79,"Omb",Indata!$P$26:$P$79,"&lt;="&amp;W52)+SUMIFS(Indata!$D$26:$D$79,Indata!$C$26:$C$79,"Nyb",Indata!$P$26:$P$79,"&lt;="&amp;W52)+SUMIFS(Indata!$D$26:$D$79,Indata!$C$26:$C$79,"Ins",Indata!$P$26:$P$79,"&lt;="&amp;W52)</f>
        <v>0</v>
      </c>
      <c r="X56" s="45" t="n">
        <f aca="false">SUMIFS(Indata!$D$26:$D$79,Indata!$C$26:$C$79,"Bef",Indata!$P$26:$P$79,"&lt;="&amp;X52)+SUMIFS(Indata!$D$26:$D$79,Indata!$C$26:$C$79,"Omb",Indata!$P$26:$P$79,"&lt;="&amp;X52)+SUMIFS(Indata!$D$26:$D$79,Indata!$C$26:$C$79,"Nyb",Indata!$P$26:$P$79,"&lt;="&amp;X52)+SUMIFS(Indata!$D$26:$D$79,Indata!$C$26:$C$79,"Ins",Indata!$P$26:$P$79,"&lt;="&amp;X52)</f>
        <v>0</v>
      </c>
      <c r="Y56" s="45" t="n">
        <f aca="false">SUMIFS(Indata!$D$26:$D$79,Indata!$C$26:$C$79,"Bef",Indata!$P$26:$P$79,"&lt;="&amp;Y52)+SUMIFS(Indata!$D$26:$D$79,Indata!$C$26:$C$79,"Omb",Indata!$P$26:$P$79,"&lt;="&amp;Y52)+SUMIFS(Indata!$D$26:$D$79,Indata!$C$26:$C$79,"Nyb",Indata!$P$26:$P$79,"&lt;="&amp;Y52)+SUMIFS(Indata!$D$26:$D$79,Indata!$C$26:$C$79,"Ins",Indata!$P$26:$P$79,"&lt;="&amp;Y52)</f>
        <v>0</v>
      </c>
      <c r="Z56" s="45" t="n">
        <f aca="false">SUMIFS(Indata!$D$26:$D$79,Indata!$C$26:$C$79,"Bef",Indata!$P$26:$P$79,"&lt;="&amp;Z52)+SUMIFS(Indata!$D$26:$D$79,Indata!$C$26:$C$79,"Omb",Indata!$P$26:$P$79,"&lt;="&amp;Z52)+SUMIFS(Indata!$D$26:$D$79,Indata!$C$26:$C$79,"Nyb",Indata!$P$26:$P$79,"&lt;="&amp;Z52)+SUMIFS(Indata!$D$26:$D$79,Indata!$C$26:$C$79,"Ins",Indata!$P$26:$P$79,"&lt;="&amp;Z52)</f>
        <v>0</v>
      </c>
      <c r="AA56" s="45" t="n">
        <f aca="false">SUMIFS(Indata!$D$26:$D$79,Indata!$C$26:$C$79,"Bef",Indata!$P$26:$P$79,"&lt;="&amp;AA52)+SUMIFS(Indata!$D$26:$D$79,Indata!$C$26:$C$79,"Omb",Indata!$P$26:$P$79,"&lt;="&amp;AA52)+SUMIFS(Indata!$D$26:$D$79,Indata!$C$26:$C$79,"Nyb",Indata!$P$26:$P$79,"&lt;="&amp;AA52)+SUMIFS(Indata!$D$26:$D$79,Indata!$C$26:$C$79,"Ins",Indata!$P$26:$P$79,"&lt;="&amp;AA52)</f>
        <v>0</v>
      </c>
      <c r="AB56" s="45" t="n">
        <f aca="false">SUMIFS(Indata!$D$26:$D$79,Indata!$C$26:$C$79,"Bef",Indata!$P$26:$P$79,"&lt;="&amp;AB52)+SUMIFS(Indata!$D$26:$D$79,Indata!$C$26:$C$79,"Omb",Indata!$P$26:$P$79,"&lt;="&amp;AB52)+SUMIFS(Indata!$D$26:$D$79,Indata!$C$26:$C$79,"Nyb",Indata!$P$26:$P$79,"&lt;="&amp;AB52)+SUMIFS(Indata!$D$26:$D$79,Indata!$C$26:$C$79,"Ins",Indata!$P$26:$P$79,"&lt;="&amp;AB52)</f>
        <v>0</v>
      </c>
    </row>
    <row r="57" customFormat="false" ht="15" hidden="false" customHeight="false" outlineLevel="0" collapsed="false">
      <c r="B57" s="22" t="s">
        <v>5</v>
      </c>
      <c r="D57" s="45" t="n">
        <f aca="false">D55+D56</f>
        <v>5000</v>
      </c>
      <c r="E57" s="45" t="n">
        <f aca="false">E55+E56</f>
        <v>5000</v>
      </c>
      <c r="F57" s="45" t="n">
        <f aca="false">F55+F56</f>
        <v>5000</v>
      </c>
      <c r="G57" s="45" t="n">
        <f aca="false">G55+G56</f>
        <v>5000</v>
      </c>
      <c r="H57" s="45" t="n">
        <f aca="false">H55+H56</f>
        <v>5000</v>
      </c>
      <c r="I57" s="45" t="n">
        <f aca="false">I55+I56</f>
        <v>5000</v>
      </c>
      <c r="J57" s="45" t="n">
        <f aca="false">J55+J56</f>
        <v>5000</v>
      </c>
      <c r="K57" s="45" t="n">
        <f aca="false">K55+K56</f>
        <v>5000</v>
      </c>
      <c r="L57" s="45" t="n">
        <f aca="false">L55+L56</f>
        <v>5000</v>
      </c>
      <c r="M57" s="45" t="n">
        <f aca="false">M55+M56</f>
        <v>5000</v>
      </c>
      <c r="N57" s="45" t="n">
        <f aca="false">N55+N56</f>
        <v>5000</v>
      </c>
      <c r="O57" s="45" t="n">
        <f aca="false">O55+O56</f>
        <v>5000</v>
      </c>
      <c r="P57" s="45" t="n">
        <f aca="false">P55+P56</f>
        <v>5000</v>
      </c>
      <c r="Q57" s="45" t="n">
        <f aca="false">Q55+Q56</f>
        <v>5000</v>
      </c>
      <c r="R57" s="45" t="n">
        <f aca="false">R55+R56</f>
        <v>5000</v>
      </c>
      <c r="S57" s="45" t="n">
        <f aca="false">S55+S56</f>
        <v>5000</v>
      </c>
      <c r="T57" s="45" t="n">
        <f aca="false">T55+T56</f>
        <v>5000</v>
      </c>
      <c r="U57" s="45" t="n">
        <f aca="false">U55+U56</f>
        <v>5000</v>
      </c>
      <c r="V57" s="45" t="n">
        <f aca="false">V55+V56</f>
        <v>5000</v>
      </c>
      <c r="W57" s="45" t="n">
        <f aca="false">W55+W56</f>
        <v>5000</v>
      </c>
      <c r="X57" s="45" t="n">
        <f aca="false">X55+X56</f>
        <v>5000</v>
      </c>
      <c r="Y57" s="45" t="n">
        <f aca="false">Y55+Y56</f>
        <v>5000</v>
      </c>
      <c r="Z57" s="45" t="n">
        <f aca="false">Z55+Z56</f>
        <v>5000</v>
      </c>
      <c r="AA57" s="45" t="n">
        <f aca="false">AA55+AA56</f>
        <v>5000</v>
      </c>
      <c r="AB57" s="45" t="n">
        <f aca="false">AB55+AB56</f>
        <v>5000</v>
      </c>
    </row>
    <row r="59" customFormat="false" ht="15" hidden="false" customHeight="false" outlineLevel="0" collapsed="false">
      <c r="B59" s="85" t="s">
        <v>263</v>
      </c>
    </row>
    <row r="60" customFormat="false" ht="15" hidden="false" customHeight="false" outlineLevel="0" collapsed="false">
      <c r="B60" s="1" t="s">
        <v>264</v>
      </c>
      <c r="D60" s="28" t="n">
        <f aca="false">IF(Indata!$K$26="",0,IF(D52&lt;=Indata!$L$26,0,IF(OR(Indata!$M$26="",Indata!$M$26=0),0,Indata!$M$26*Indata!$F$26*(1+Indata!$C$8*Indata!$H$26)^(D52-Indata!$K$26))))</f>
        <v>0</v>
      </c>
      <c r="E60" s="28" t="n">
        <f aca="false">IF(Indata!$K$26="",0,IF(E52&lt;=Indata!$L$26,0,IF(OR(Indata!$M$26="",Indata!$M$26=0),0,Indata!$M$26*Indata!$F$26*(1+Indata!$C$8*Indata!$H$26)^(E52-Indata!$K$26))))</f>
        <v>0</v>
      </c>
      <c r="F60" s="28" t="n">
        <f aca="false">IF(Indata!$K$26="",0,IF(F52&lt;=Indata!$L$26,0,IF(OR(Indata!$M$26="",Indata!$M$26=0),0,Indata!$M$26*Indata!$F$26*(1+Indata!$C$8*Indata!$H$26)^(F52-Indata!$K$26))))</f>
        <v>0</v>
      </c>
      <c r="G60" s="28" t="n">
        <f aca="false">IF(Indata!$K$26="",0,IF(G52&lt;=Indata!$L$26,0,IF(OR(Indata!$M$26="",Indata!$M$26=0),0,Indata!$M$26*Indata!$F$26*(1+Indata!$C$8*Indata!$H$26)^(G52-Indata!$K$26))))</f>
        <v>0</v>
      </c>
      <c r="H60" s="28" t="n">
        <f aca="false">IF(Indata!$K$26="",0,IF(H52&lt;=Indata!$L$26,0,IF(OR(Indata!$M$26="",Indata!$M$26=0),0,Indata!$M$26*Indata!$F$26*(1+Indata!$C$8*Indata!$H$26)^(H52-Indata!$K$26))))</f>
        <v>0</v>
      </c>
      <c r="I60" s="28" t="n">
        <f aca="false">IF(Indata!$K$26="",0,IF(I52&lt;=Indata!$L$26,0,IF(OR(Indata!$M$26="",Indata!$M$26=0),0,Indata!$M$26*Indata!$F$26*(1+Indata!$C$8*Indata!$H$26)^(I52-Indata!$K$26))))</f>
        <v>0</v>
      </c>
      <c r="J60" s="28" t="n">
        <f aca="false">IF(Indata!$K$26="",0,IF(J52&lt;=Indata!$L$26,0,IF(OR(Indata!$M$26="",Indata!$M$26=0),0,Indata!$M$26*Indata!$F$26*(1+Indata!$C$8*Indata!$H$26)^(J52-Indata!$K$26))))</f>
        <v>0</v>
      </c>
      <c r="K60" s="28" t="n">
        <f aca="false">IF(Indata!$K$26="",0,IF(K52&lt;=Indata!$L$26,0,IF(OR(Indata!$M$26="",Indata!$M$26=0),0,Indata!$M$26*Indata!$F$26*(1+Indata!$C$8*Indata!$H$26)^(K52-Indata!$K$26))))</f>
        <v>0</v>
      </c>
      <c r="L60" s="28" t="n">
        <f aca="false">IF(Indata!$K$26="",0,IF(L52&lt;=Indata!$L$26,0,IF(OR(Indata!$M$26="",Indata!$M$26=0),0,Indata!$M$26*Indata!$F$26*(1+Indata!$C$8*Indata!$H$26)^(L52-Indata!$K$26))))</f>
        <v>0</v>
      </c>
      <c r="M60" s="28" t="n">
        <f aca="false">IF(Indata!$K$26="",0,IF(M52&lt;=Indata!$L$26,0,IF(OR(Indata!$M$26="",Indata!$M$26=0),0,Indata!$M$26*Indata!$F$26*(1+Indata!$C$8*Indata!$H$26)^(M52-Indata!$K$26))))</f>
        <v>0</v>
      </c>
      <c r="N60" s="28" t="n">
        <f aca="false">IF(Indata!$K$26="",0,IF(N52&lt;=Indata!$L$26,0,IF(OR(Indata!$M$26="",Indata!$M$26=0),0,Indata!$M$26*Indata!$F$26*(1+Indata!$C$8*Indata!$H$26)^(N52-Indata!$K$26))))</f>
        <v>0</v>
      </c>
      <c r="O60" s="28" t="n">
        <f aca="false">IF(Indata!$K$26="",0,IF(O52&lt;=Indata!$L$26,0,IF(OR(Indata!$M$26="",Indata!$M$26=0),0,Indata!$M$26*Indata!$F$26*(1+Indata!$C$8*Indata!$H$26)^(O52-Indata!$K$26))))</f>
        <v>0</v>
      </c>
      <c r="P60" s="28" t="n">
        <f aca="false">IF(Indata!$K$26="",0,IF(P52&lt;=Indata!$L$26,0,IF(OR(Indata!$M$26="",Indata!$M$26=0),0,Indata!$M$26*Indata!$F$26*(1+Indata!$C$8*Indata!$H$26)^(P52-Indata!$K$26))))</f>
        <v>0</v>
      </c>
      <c r="Q60" s="28" t="n">
        <f aca="false">IF(Indata!$K$26="",0,IF(Q52&lt;=Indata!$L$26,0,IF(OR(Indata!$M$26="",Indata!$M$26=0),0,Indata!$M$26*Indata!$F$26*(1+Indata!$C$8*Indata!$H$26)^(Q52-Indata!$K$26))))</f>
        <v>0</v>
      </c>
      <c r="R60" s="28" t="n">
        <f aca="false">IF(Indata!$K$26="",0,IF(R52&lt;=Indata!$L$26,0,IF(OR(Indata!$M$26="",Indata!$M$26=0),0,Indata!$M$26*Indata!$F$26*(1+Indata!$C$8*Indata!$H$26)^(R52-Indata!$K$26))))</f>
        <v>0</v>
      </c>
      <c r="S60" s="28" t="n">
        <f aca="false">IF(Indata!$K$26="",0,IF(S52&lt;=Indata!$L$26,0,IF(OR(Indata!$M$26="",Indata!$M$26=0),0,Indata!$M$26*Indata!$F$26*(1+Indata!$C$8*Indata!$H$26)^(S52-Indata!$K$26))))</f>
        <v>0</v>
      </c>
      <c r="T60" s="28" t="n">
        <f aca="false">IF(Indata!$K$26="",0,IF(T52&lt;=Indata!$L$26,0,IF(OR(Indata!$M$26="",Indata!$M$26=0),0,Indata!$M$26*Indata!$F$26*(1+Indata!$C$8*Indata!$H$26)^(T52-Indata!$K$26))))</f>
        <v>0</v>
      </c>
      <c r="U60" s="28" t="n">
        <f aca="false">IF(Indata!$K$26="",0,IF(U52&lt;=Indata!$L$26,0,IF(OR(Indata!$M$26="",Indata!$M$26=0),0,Indata!$M$26*Indata!$F$26*(1+Indata!$C$8*Indata!$H$26)^(U52-Indata!$K$26))))</f>
        <v>0</v>
      </c>
      <c r="V60" s="28" t="n">
        <f aca="false">IF(Indata!$K$26="",0,IF(V52&lt;=Indata!$L$26,0,IF(OR(Indata!$M$26="",Indata!$M$26=0),0,Indata!$M$26*Indata!$F$26*(1+Indata!$C$8*Indata!$H$26)^(V52-Indata!$K$26))))</f>
        <v>0</v>
      </c>
      <c r="W60" s="28" t="n">
        <f aca="false">IF(Indata!$K$26="",0,IF(W52&lt;=Indata!$L$26,0,IF(OR(Indata!$M$26="",Indata!$M$26=0),0,Indata!$M$26*Indata!$F$26*(1+Indata!$C$8*Indata!$H$26)^(W52-Indata!$K$26))))</f>
        <v>0</v>
      </c>
      <c r="X60" s="28" t="n">
        <f aca="false">IF(Indata!$K$26="",0,IF(X52&lt;=Indata!$L$26,0,IF(OR(Indata!$M$26="",Indata!$M$26=0),0,Indata!$M$26*Indata!$F$26*(1+Indata!$C$8*Indata!$H$26)^(X52-Indata!$K$26))))</f>
        <v>0</v>
      </c>
      <c r="Y60" s="28" t="n">
        <f aca="false">IF(Indata!$K$26="",0,IF(Y52&lt;=Indata!$L$26,0,IF(OR(Indata!$M$26="",Indata!$M$26=0),0,Indata!$M$26*Indata!$F$26*(1+Indata!$C$8*Indata!$H$26)^(Y52-Indata!$K$26))))</f>
        <v>0</v>
      </c>
      <c r="Z60" s="28" t="n">
        <f aca="false">IF(Indata!$K$26="",0,IF(Z52&lt;=Indata!$L$26,0,IF(OR(Indata!$M$26="",Indata!$M$26=0),0,Indata!$M$26*Indata!$F$26*(1+Indata!$C$8*Indata!$H$26)^(Z52-Indata!$K$26))))</f>
        <v>0</v>
      </c>
      <c r="AA60" s="28" t="n">
        <f aca="false">IF(Indata!$K$26="",0,IF(AA52&lt;=Indata!$L$26,0,IF(OR(Indata!$M$26="",Indata!$M$26=0),0,Indata!$M$26*Indata!$F$26*(1+Indata!$C$8*Indata!$H$26)^(AA52-Indata!$K$26))))</f>
        <v>0</v>
      </c>
      <c r="AB60" s="28" t="n">
        <f aca="false">IF(Indata!$K$26="",0,IF(AB52&lt;=Indata!$L$26,0,IF(OR(Indata!$M$26="",Indata!$M$26=0),0,Indata!$M$26*Indata!$F$26*(1+Indata!$C$8*Indata!$H$26)^(AB52-Indata!$K$26))))</f>
        <v>0</v>
      </c>
    </row>
    <row r="61" customFormat="false" ht="15" hidden="false" customHeight="false" outlineLevel="0" collapsed="false">
      <c r="B61" s="1" t="s">
        <v>265</v>
      </c>
      <c r="D61" s="28" t="n">
        <f aca="false">IF(Indata!$K$27="",0,IF(D52&lt;=Indata!$L$27,0,IF(OR(Indata!$M$27="",Indata!$M$27=0),0,Indata!$M$27*Indata!$F$27*(1+Indata!$C$8*Indata!$H$27)^(D52-Indata!$K$27))))</f>
        <v>0</v>
      </c>
      <c r="E61" s="28" t="n">
        <f aca="false">IF(Indata!$K$27="",0,IF(E52&lt;=Indata!$L$27,0,IF(OR(Indata!$M$27="",Indata!$M$27=0),0,Indata!$M$27*Indata!$F$27*(1+Indata!$C$8*Indata!$H$27)^(E52-Indata!$K$27))))</f>
        <v>0</v>
      </c>
      <c r="F61" s="28" t="n">
        <f aca="false">IF(Indata!$K$27="",0,IF(F52&lt;=Indata!$L$27,0,IF(OR(Indata!$M$27="",Indata!$M$27=0),0,Indata!$M$27*Indata!$F$27*(1+Indata!$C$8*Indata!$H$27)^(F52-Indata!$K$27))))</f>
        <v>0</v>
      </c>
      <c r="G61" s="28" t="n">
        <f aca="false">IF(Indata!$K$27="",0,IF(G52&lt;=Indata!$L$27,0,IF(OR(Indata!$M$27="",Indata!$M$27=0),0,Indata!$M$27*Indata!$F$27*(1+Indata!$C$8*Indata!$H$27)^(G52-Indata!$K$27))))</f>
        <v>0</v>
      </c>
      <c r="H61" s="28" t="n">
        <f aca="false">IF(Indata!$K$27="",0,IF(H52&lt;=Indata!$L$27,0,IF(OR(Indata!$M$27="",Indata!$M$27=0),0,Indata!$M$27*Indata!$F$27*(1+Indata!$C$8*Indata!$H$27)^(H52-Indata!$K$27))))</f>
        <v>0</v>
      </c>
      <c r="I61" s="28" t="n">
        <f aca="false">IF(Indata!$K$27="",0,IF(I52&lt;=Indata!$L$27,0,IF(OR(Indata!$M$27="",Indata!$M$27=0),0,Indata!$M$27*Indata!$F$27*(1+Indata!$C$8*Indata!$H$27)^(I52-Indata!$K$27))))</f>
        <v>0</v>
      </c>
      <c r="J61" s="28" t="n">
        <f aca="false">IF(Indata!$K$27="",0,IF(J52&lt;=Indata!$L$27,0,IF(OR(Indata!$M$27="",Indata!$M$27=0),0,Indata!$M$27*Indata!$F$27*(1+Indata!$C$8*Indata!$H$27)^(J52-Indata!$K$27))))</f>
        <v>0</v>
      </c>
      <c r="K61" s="28" t="n">
        <f aca="false">IF(Indata!$K$27="",0,IF(K52&lt;=Indata!$L$27,0,IF(OR(Indata!$M$27="",Indata!$M$27=0),0,Indata!$M$27*Indata!$F$27*(1+Indata!$C$8*Indata!$H$27)^(K52-Indata!$K$27))))</f>
        <v>0</v>
      </c>
      <c r="L61" s="28" t="n">
        <f aca="false">IF(Indata!$K$27="",0,IF(L52&lt;=Indata!$L$27,0,IF(OR(Indata!$M$27="",Indata!$M$27=0),0,Indata!$M$27*Indata!$F$27*(1+Indata!$C$8*Indata!$H$27)^(L52-Indata!$K$27))))</f>
        <v>0</v>
      </c>
      <c r="M61" s="28" t="n">
        <f aca="false">IF(Indata!$K$27="",0,IF(M52&lt;=Indata!$L$27,0,IF(OR(Indata!$M$27="",Indata!$M$27=0),0,Indata!$M$27*Indata!$F$27*(1+Indata!$C$8*Indata!$H$27)^(M52-Indata!$K$27))))</f>
        <v>0</v>
      </c>
      <c r="N61" s="28" t="n">
        <f aca="false">IF(Indata!$K$27="",0,IF(N52&lt;=Indata!$L$27,0,IF(OR(Indata!$M$27="",Indata!$M$27=0),0,Indata!$M$27*Indata!$F$27*(1+Indata!$C$8*Indata!$H$27)^(N52-Indata!$K$27))))</f>
        <v>0</v>
      </c>
      <c r="O61" s="28" t="n">
        <f aca="false">IF(Indata!$K$27="",0,IF(O52&lt;=Indata!$L$27,0,IF(OR(Indata!$M$27="",Indata!$M$27=0),0,Indata!$M$27*Indata!$F$27*(1+Indata!$C$8*Indata!$H$27)^(O52-Indata!$K$27))))</f>
        <v>0</v>
      </c>
      <c r="P61" s="28" t="n">
        <f aca="false">IF(Indata!$K$27="",0,IF(P52&lt;=Indata!$L$27,0,IF(OR(Indata!$M$27="",Indata!$M$27=0),0,Indata!$M$27*Indata!$F$27*(1+Indata!$C$8*Indata!$H$27)^(P52-Indata!$K$27))))</f>
        <v>0</v>
      </c>
      <c r="Q61" s="28" t="n">
        <f aca="false">IF(Indata!$K$27="",0,IF(Q52&lt;=Indata!$L$27,0,IF(OR(Indata!$M$27="",Indata!$M$27=0),0,Indata!$M$27*Indata!$F$27*(1+Indata!$C$8*Indata!$H$27)^(Q52-Indata!$K$27))))</f>
        <v>0</v>
      </c>
      <c r="R61" s="28" t="n">
        <f aca="false">IF(Indata!$K$27="",0,IF(R52&lt;=Indata!$L$27,0,IF(OR(Indata!$M$27="",Indata!$M$27=0),0,Indata!$M$27*Indata!$F$27*(1+Indata!$C$8*Indata!$H$27)^(R52-Indata!$K$27))))</f>
        <v>0</v>
      </c>
      <c r="S61" s="28" t="n">
        <f aca="false">IF(Indata!$K$27="",0,IF(S52&lt;=Indata!$L$27,0,IF(OR(Indata!$M$27="",Indata!$M$27=0),0,Indata!$M$27*Indata!$F$27*(1+Indata!$C$8*Indata!$H$27)^(S52-Indata!$K$27))))</f>
        <v>0</v>
      </c>
      <c r="T61" s="28" t="n">
        <f aca="false">IF(Indata!$K$27="",0,IF(T52&lt;=Indata!$L$27,0,IF(OR(Indata!$M$27="",Indata!$M$27=0),0,Indata!$M$27*Indata!$F$27*(1+Indata!$C$8*Indata!$H$27)^(T52-Indata!$K$27))))</f>
        <v>0</v>
      </c>
      <c r="U61" s="28" t="n">
        <f aca="false">IF(Indata!$K$27="",0,IF(U52&lt;=Indata!$L$27,0,IF(OR(Indata!$M$27="",Indata!$M$27=0),0,Indata!$M$27*Indata!$F$27*(1+Indata!$C$8*Indata!$H$27)^(U52-Indata!$K$27))))</f>
        <v>0</v>
      </c>
      <c r="V61" s="28" t="n">
        <f aca="false">IF(Indata!$K$27="",0,IF(V52&lt;=Indata!$L$27,0,IF(OR(Indata!$M$27="",Indata!$M$27=0),0,Indata!$M$27*Indata!$F$27*(1+Indata!$C$8*Indata!$H$27)^(V52-Indata!$K$27))))</f>
        <v>0</v>
      </c>
      <c r="W61" s="28" t="n">
        <f aca="false">IF(Indata!$K$27="",0,IF(W52&lt;=Indata!$L$27,0,IF(OR(Indata!$M$27="",Indata!$M$27=0),0,Indata!$M$27*Indata!$F$27*(1+Indata!$C$8*Indata!$H$27)^(W52-Indata!$K$27))))</f>
        <v>0</v>
      </c>
      <c r="X61" s="28" t="n">
        <f aca="false">IF(Indata!$K$27="",0,IF(X52&lt;=Indata!$L$27,0,IF(OR(Indata!$M$27="",Indata!$M$27=0),0,Indata!$M$27*Indata!$F$27*(1+Indata!$C$8*Indata!$H$27)^(X52-Indata!$K$27))))</f>
        <v>0</v>
      </c>
      <c r="Y61" s="28" t="n">
        <f aca="false">IF(Indata!$K$27="",0,IF(Y52&lt;=Indata!$L$27,0,IF(OR(Indata!$M$27="",Indata!$M$27=0),0,Indata!$M$27*Indata!$F$27*(1+Indata!$C$8*Indata!$H$27)^(Y52-Indata!$K$27))))</f>
        <v>0</v>
      </c>
      <c r="Z61" s="28" t="n">
        <f aca="false">IF(Indata!$K$27="",0,IF(Z52&lt;=Indata!$L$27,0,IF(OR(Indata!$M$27="",Indata!$M$27=0),0,Indata!$M$27*Indata!$F$27*(1+Indata!$C$8*Indata!$H$27)^(Z52-Indata!$K$27))))</f>
        <v>0</v>
      </c>
      <c r="AA61" s="28" t="n">
        <f aca="false">IF(Indata!$K$27="",0,IF(AA52&lt;=Indata!$L$27,0,IF(OR(Indata!$M$27="",Indata!$M$27=0),0,Indata!$M$27*Indata!$F$27*(1+Indata!$C$8*Indata!$H$27)^(AA52-Indata!$K$27))))</f>
        <v>0</v>
      </c>
      <c r="AB61" s="28" t="n">
        <f aca="false">IF(Indata!$K$27="",0,IF(AB52&lt;=Indata!$L$27,0,IF(OR(Indata!$M$27="",Indata!$M$27=0),0,Indata!$M$27*Indata!$F$27*(1+Indata!$C$8*Indata!$H$27)^(AB52-Indata!$K$27))))</f>
        <v>0</v>
      </c>
    </row>
    <row r="62" customFormat="false" ht="15" hidden="false" customHeight="false" outlineLevel="0" collapsed="false">
      <c r="B62" s="1" t="s">
        <v>266</v>
      </c>
      <c r="D62" s="28" t="n">
        <f aca="false">IF(Indata!$K$28="",0,IF(D52&lt;=Indata!$L$28,0,IF(OR(Indata!$M$28="",Indata!$M$28=0),0,Indata!$M$28*Indata!$F$28*(1+Indata!$C$8*Indata!$H$28)^(D52-Indata!$K$28))))</f>
        <v>0</v>
      </c>
      <c r="E62" s="28" t="n">
        <f aca="false">IF(Indata!$K$28="",0,IF(E52&lt;=Indata!$L$28,0,IF(OR(Indata!$M$28="",Indata!$M$28=0),0,Indata!$M$28*Indata!$F$28*(1+Indata!$C$8*Indata!$H$28)^(E52-Indata!$K$28))))</f>
        <v>0</v>
      </c>
      <c r="F62" s="28" t="n">
        <f aca="false">IF(Indata!$K$28="",0,IF(F52&lt;=Indata!$L$28,0,IF(OR(Indata!$M$28="",Indata!$M$28=0),0,Indata!$M$28*Indata!$F$28*(1+Indata!$C$8*Indata!$H$28)^(F52-Indata!$K$28))))</f>
        <v>0</v>
      </c>
      <c r="G62" s="28" t="n">
        <f aca="false">IF(Indata!$K$28="",0,IF(G52&lt;=Indata!$L$28,0,IF(OR(Indata!$M$28="",Indata!$M$28=0),0,Indata!$M$28*Indata!$F$28*(1+Indata!$C$8*Indata!$H$28)^(G52-Indata!$K$28))))</f>
        <v>0</v>
      </c>
      <c r="H62" s="28" t="n">
        <f aca="false">IF(Indata!$K$28="",0,IF(H52&lt;=Indata!$L$28,0,IF(OR(Indata!$M$28="",Indata!$M$28=0),0,Indata!$M$28*Indata!$F$28*(1+Indata!$C$8*Indata!$H$28)^(H52-Indata!$K$28))))</f>
        <v>0</v>
      </c>
      <c r="I62" s="28" t="n">
        <f aca="false">IF(Indata!$K$28="",0,IF(I52&lt;=Indata!$L$28,0,IF(OR(Indata!$M$28="",Indata!$M$28=0),0,Indata!$M$28*Indata!$F$28*(1+Indata!$C$8*Indata!$H$28)^(I52-Indata!$K$28))))</f>
        <v>0</v>
      </c>
      <c r="J62" s="28" t="n">
        <f aca="false">IF(Indata!$K$28="",0,IF(J52&lt;=Indata!$L$28,0,IF(OR(Indata!$M$28="",Indata!$M$28=0),0,Indata!$M$28*Indata!$F$28*(1+Indata!$C$8*Indata!$H$28)^(J52-Indata!$K$28))))</f>
        <v>0</v>
      </c>
      <c r="K62" s="28" t="n">
        <f aca="false">IF(Indata!$K$28="",0,IF(K52&lt;=Indata!$L$28,0,IF(OR(Indata!$M$28="",Indata!$M$28=0),0,Indata!$M$28*Indata!$F$28*(1+Indata!$C$8*Indata!$H$28)^(K52-Indata!$K$28))))</f>
        <v>0</v>
      </c>
      <c r="L62" s="28" t="n">
        <f aca="false">IF(Indata!$K$28="",0,IF(L52&lt;=Indata!$L$28,0,IF(OR(Indata!$M$28="",Indata!$M$28=0),0,Indata!$M$28*Indata!$F$28*(1+Indata!$C$8*Indata!$H$28)^(L52-Indata!$K$28))))</f>
        <v>0</v>
      </c>
      <c r="M62" s="28" t="n">
        <f aca="false">IF(Indata!$K$28="",0,IF(M52&lt;=Indata!$L$28,0,IF(OR(Indata!$M$28="",Indata!$M$28=0),0,Indata!$M$28*Indata!$F$28*(1+Indata!$C$8*Indata!$H$28)^(M52-Indata!$K$28))))</f>
        <v>0</v>
      </c>
      <c r="N62" s="28" t="n">
        <f aca="false">IF(Indata!$K$28="",0,IF(N52&lt;=Indata!$L$28,0,IF(OR(Indata!$M$28="",Indata!$M$28=0),0,Indata!$M$28*Indata!$F$28*(1+Indata!$C$8*Indata!$H$28)^(N52-Indata!$K$28))))</f>
        <v>0</v>
      </c>
      <c r="O62" s="28" t="n">
        <f aca="false">IF(Indata!$K$28="",0,IF(O52&lt;=Indata!$L$28,0,IF(OR(Indata!$M$28="",Indata!$M$28=0),0,Indata!$M$28*Indata!$F$28*(1+Indata!$C$8*Indata!$H$28)^(O52-Indata!$K$28))))</f>
        <v>0</v>
      </c>
      <c r="P62" s="28" t="n">
        <f aca="false">IF(Indata!$K$28="",0,IF(P52&lt;=Indata!$L$28,0,IF(OR(Indata!$M$28="",Indata!$M$28=0),0,Indata!$M$28*Indata!$F$28*(1+Indata!$C$8*Indata!$H$28)^(P52-Indata!$K$28))))</f>
        <v>0</v>
      </c>
      <c r="Q62" s="28" t="n">
        <f aca="false">IF(Indata!$K$28="",0,IF(Q52&lt;=Indata!$L$28,0,IF(OR(Indata!$M$28="",Indata!$M$28=0),0,Indata!$M$28*Indata!$F$28*(1+Indata!$C$8*Indata!$H$28)^(Q52-Indata!$K$28))))</f>
        <v>0</v>
      </c>
      <c r="R62" s="28" t="n">
        <f aca="false">IF(Indata!$K$28="",0,IF(R52&lt;=Indata!$L$28,0,IF(OR(Indata!$M$28="",Indata!$M$28=0),0,Indata!$M$28*Indata!$F$28*(1+Indata!$C$8*Indata!$H$28)^(R52-Indata!$K$28))))</f>
        <v>0</v>
      </c>
      <c r="S62" s="28" t="n">
        <f aca="false">IF(Indata!$K$28="",0,IF(S52&lt;=Indata!$L$28,0,IF(OR(Indata!$M$28="",Indata!$M$28=0),0,Indata!$M$28*Indata!$F$28*(1+Indata!$C$8*Indata!$H$28)^(S52-Indata!$K$28))))</f>
        <v>0</v>
      </c>
      <c r="T62" s="28" t="n">
        <f aca="false">IF(Indata!$K$28="",0,IF(T52&lt;=Indata!$L$28,0,IF(OR(Indata!$M$28="",Indata!$M$28=0),0,Indata!$M$28*Indata!$F$28*(1+Indata!$C$8*Indata!$H$28)^(T52-Indata!$K$28))))</f>
        <v>0</v>
      </c>
      <c r="U62" s="28" t="n">
        <f aca="false">IF(Indata!$K$28="",0,IF(U52&lt;=Indata!$L$28,0,IF(OR(Indata!$M$28="",Indata!$M$28=0),0,Indata!$M$28*Indata!$F$28*(1+Indata!$C$8*Indata!$H$28)^(U52-Indata!$K$28))))</f>
        <v>0</v>
      </c>
      <c r="V62" s="28" t="n">
        <f aca="false">IF(Indata!$K$28="",0,IF(V52&lt;=Indata!$L$28,0,IF(OR(Indata!$M$28="",Indata!$M$28=0),0,Indata!$M$28*Indata!$F$28*(1+Indata!$C$8*Indata!$H$28)^(V52-Indata!$K$28))))</f>
        <v>0</v>
      </c>
      <c r="W62" s="28" t="n">
        <f aca="false">IF(Indata!$K$28="",0,IF(W52&lt;=Indata!$L$28,0,IF(OR(Indata!$M$28="",Indata!$M$28=0),0,Indata!$M$28*Indata!$F$28*(1+Indata!$C$8*Indata!$H$28)^(W52-Indata!$K$28))))</f>
        <v>0</v>
      </c>
      <c r="X62" s="28" t="n">
        <f aca="false">IF(Indata!$K$28="",0,IF(X52&lt;=Indata!$L$28,0,IF(OR(Indata!$M$28="",Indata!$M$28=0),0,Indata!$M$28*Indata!$F$28*(1+Indata!$C$8*Indata!$H$28)^(X52-Indata!$K$28))))</f>
        <v>0</v>
      </c>
      <c r="Y62" s="28" t="n">
        <f aca="false">IF(Indata!$K$28="",0,IF(Y52&lt;=Indata!$L$28,0,IF(OR(Indata!$M$28="",Indata!$M$28=0),0,Indata!$M$28*Indata!$F$28*(1+Indata!$C$8*Indata!$H$28)^(Y52-Indata!$K$28))))</f>
        <v>0</v>
      </c>
      <c r="Z62" s="28" t="n">
        <f aca="false">IF(Indata!$K$28="",0,IF(Z52&lt;=Indata!$L$28,0,IF(OR(Indata!$M$28="",Indata!$M$28=0),0,Indata!$M$28*Indata!$F$28*(1+Indata!$C$8*Indata!$H$28)^(Z52-Indata!$K$28))))</f>
        <v>0</v>
      </c>
      <c r="AA62" s="28" t="n">
        <f aca="false">IF(Indata!$K$28="",0,IF(AA52&lt;=Indata!$L$28,0,IF(OR(Indata!$M$28="",Indata!$M$28=0),0,Indata!$M$28*Indata!$F$28*(1+Indata!$C$8*Indata!$H$28)^(AA52-Indata!$K$28))))</f>
        <v>0</v>
      </c>
      <c r="AB62" s="28" t="n">
        <f aca="false">IF(Indata!$K$28="",0,IF(AB52&lt;=Indata!$L$28,0,IF(OR(Indata!$M$28="",Indata!$M$28=0),0,Indata!$M$28*Indata!$F$28*(1+Indata!$C$8*Indata!$H$28)^(AB52-Indata!$K$28))))</f>
        <v>0</v>
      </c>
    </row>
    <row r="63" customFormat="false" ht="15" hidden="false" customHeight="false" outlineLevel="0" collapsed="false">
      <c r="B63" s="1" t="s">
        <v>267</v>
      </c>
      <c r="D63" s="28" t="n">
        <f aca="false">IF(Indata!$K$29="",0,IF(D52&lt;=Indata!$L$29,0,IF(OR(Indata!$M$29="",Indata!$M$29=0),0,Indata!$M$29*Indata!$F$29*(1+Indata!$C$8*Indata!$H$29)^(D52-Indata!$K$29))))</f>
        <v>0</v>
      </c>
      <c r="E63" s="28" t="n">
        <f aca="false">IF(Indata!$K$29="",0,IF(E52&lt;=Indata!$L$29,0,IF(OR(Indata!$M$29="",Indata!$M$29=0),0,Indata!$M$29*Indata!$F$29*(1+Indata!$C$8*Indata!$H$29)^(E52-Indata!$K$29))))</f>
        <v>0</v>
      </c>
      <c r="F63" s="28" t="n">
        <f aca="false">IF(Indata!$K$29="",0,IF(F52&lt;=Indata!$L$29,0,IF(OR(Indata!$M$29="",Indata!$M$29=0),0,Indata!$M$29*Indata!$F$29*(1+Indata!$C$8*Indata!$H$29)^(F52-Indata!$K$29))))</f>
        <v>0</v>
      </c>
      <c r="G63" s="28" t="n">
        <f aca="false">IF(Indata!$K$29="",0,IF(G52&lt;=Indata!$L$29,0,IF(OR(Indata!$M$29="",Indata!$M$29=0),0,Indata!$M$29*Indata!$F$29*(1+Indata!$C$8*Indata!$H$29)^(G52-Indata!$K$29))))</f>
        <v>0</v>
      </c>
      <c r="H63" s="28" t="n">
        <f aca="false">IF(Indata!$K$29="",0,IF(H52&lt;=Indata!$L$29,0,IF(OR(Indata!$M$29="",Indata!$M$29=0),0,Indata!$M$29*Indata!$F$29*(1+Indata!$C$8*Indata!$H$29)^(H52-Indata!$K$29))))</f>
        <v>0</v>
      </c>
      <c r="I63" s="28" t="n">
        <f aca="false">IF(Indata!$K$29="",0,IF(I52&lt;=Indata!$L$29,0,IF(OR(Indata!$M$29="",Indata!$M$29=0),0,Indata!$M$29*Indata!$F$29*(1+Indata!$C$8*Indata!$H$29)^(I52-Indata!$K$29))))</f>
        <v>0</v>
      </c>
      <c r="J63" s="28" t="n">
        <f aca="false">IF(Indata!$K$29="",0,IF(J52&lt;=Indata!$L$29,0,IF(OR(Indata!$M$29="",Indata!$M$29=0),0,Indata!$M$29*Indata!$F$29*(1+Indata!$C$8*Indata!$H$29)^(J52-Indata!$K$29))))</f>
        <v>0</v>
      </c>
      <c r="K63" s="28" t="n">
        <f aca="false">IF(Indata!$K$29="",0,IF(K52&lt;=Indata!$L$29,0,IF(OR(Indata!$M$29="",Indata!$M$29=0),0,Indata!$M$29*Indata!$F$29*(1+Indata!$C$8*Indata!$H$29)^(K52-Indata!$K$29))))</f>
        <v>0</v>
      </c>
      <c r="L63" s="28" t="n">
        <f aca="false">IF(Indata!$K$29="",0,IF(L52&lt;=Indata!$L$29,0,IF(OR(Indata!$M$29="",Indata!$M$29=0),0,Indata!$M$29*Indata!$F$29*(1+Indata!$C$8*Indata!$H$29)^(L52-Indata!$K$29))))</f>
        <v>0</v>
      </c>
      <c r="M63" s="28" t="n">
        <f aca="false">IF(Indata!$K$29="",0,IF(M52&lt;=Indata!$L$29,0,IF(OR(Indata!$M$29="",Indata!$M$29=0),0,Indata!$M$29*Indata!$F$29*(1+Indata!$C$8*Indata!$H$29)^(M52-Indata!$K$29))))</f>
        <v>0</v>
      </c>
      <c r="N63" s="28" t="n">
        <f aca="false">IF(Indata!$K$29="",0,IF(N52&lt;=Indata!$L$29,0,IF(OR(Indata!$M$29="",Indata!$M$29=0),0,Indata!$M$29*Indata!$F$29*(1+Indata!$C$8*Indata!$H$29)^(N52-Indata!$K$29))))</f>
        <v>0</v>
      </c>
      <c r="O63" s="28" t="n">
        <f aca="false">IF(Indata!$K$29="",0,IF(O52&lt;=Indata!$L$29,0,IF(OR(Indata!$M$29="",Indata!$M$29=0),0,Indata!$M$29*Indata!$F$29*(1+Indata!$C$8*Indata!$H$29)^(O52-Indata!$K$29))))</f>
        <v>0</v>
      </c>
      <c r="P63" s="28" t="n">
        <f aca="false">IF(Indata!$K$29="",0,IF(P52&lt;=Indata!$L$29,0,IF(OR(Indata!$M$29="",Indata!$M$29=0),0,Indata!$M$29*Indata!$F$29*(1+Indata!$C$8*Indata!$H$29)^(P52-Indata!$K$29))))</f>
        <v>0</v>
      </c>
      <c r="Q63" s="28" t="n">
        <f aca="false">IF(Indata!$K$29="",0,IF(Q52&lt;=Indata!$L$29,0,IF(OR(Indata!$M$29="",Indata!$M$29=0),0,Indata!$M$29*Indata!$F$29*(1+Indata!$C$8*Indata!$H$29)^(Q52-Indata!$K$29))))</f>
        <v>0</v>
      </c>
      <c r="R63" s="28" t="n">
        <f aca="false">IF(Indata!$K$29="",0,IF(R52&lt;=Indata!$L$29,0,IF(OR(Indata!$M$29="",Indata!$M$29=0),0,Indata!$M$29*Indata!$F$29*(1+Indata!$C$8*Indata!$H$29)^(R52-Indata!$K$29))))</f>
        <v>0</v>
      </c>
      <c r="S63" s="28" t="n">
        <f aca="false">IF(Indata!$K$29="",0,IF(S52&lt;=Indata!$L$29,0,IF(OR(Indata!$M$29="",Indata!$M$29=0),0,Indata!$M$29*Indata!$F$29*(1+Indata!$C$8*Indata!$H$29)^(S52-Indata!$K$29))))</f>
        <v>0</v>
      </c>
      <c r="T63" s="28" t="n">
        <f aca="false">IF(Indata!$K$29="",0,IF(T52&lt;=Indata!$L$29,0,IF(OR(Indata!$M$29="",Indata!$M$29=0),0,Indata!$M$29*Indata!$F$29*(1+Indata!$C$8*Indata!$H$29)^(T52-Indata!$K$29))))</f>
        <v>0</v>
      </c>
      <c r="U63" s="28" t="n">
        <f aca="false">IF(Indata!$K$29="",0,IF(U52&lt;=Indata!$L$29,0,IF(OR(Indata!$M$29="",Indata!$M$29=0),0,Indata!$M$29*Indata!$F$29*(1+Indata!$C$8*Indata!$H$29)^(U52-Indata!$K$29))))</f>
        <v>0</v>
      </c>
      <c r="V63" s="28" t="n">
        <f aca="false">IF(Indata!$K$29="",0,IF(V52&lt;=Indata!$L$29,0,IF(OR(Indata!$M$29="",Indata!$M$29=0),0,Indata!$M$29*Indata!$F$29*(1+Indata!$C$8*Indata!$H$29)^(V52-Indata!$K$29))))</f>
        <v>0</v>
      </c>
      <c r="W63" s="28" t="n">
        <f aca="false">IF(Indata!$K$29="",0,IF(W52&lt;=Indata!$L$29,0,IF(OR(Indata!$M$29="",Indata!$M$29=0),0,Indata!$M$29*Indata!$F$29*(1+Indata!$C$8*Indata!$H$29)^(W52-Indata!$K$29))))</f>
        <v>0</v>
      </c>
      <c r="X63" s="28" t="n">
        <f aca="false">IF(Indata!$K$29="",0,IF(X52&lt;=Indata!$L$29,0,IF(OR(Indata!$M$29="",Indata!$M$29=0),0,Indata!$M$29*Indata!$F$29*(1+Indata!$C$8*Indata!$H$29)^(X52-Indata!$K$29))))</f>
        <v>0</v>
      </c>
      <c r="Y63" s="28" t="n">
        <f aca="false">IF(Indata!$K$29="",0,IF(Y52&lt;=Indata!$L$29,0,IF(OR(Indata!$M$29="",Indata!$M$29=0),0,Indata!$M$29*Indata!$F$29*(1+Indata!$C$8*Indata!$H$29)^(Y52-Indata!$K$29))))</f>
        <v>0</v>
      </c>
      <c r="Z63" s="28" t="n">
        <f aca="false">IF(Indata!$K$29="",0,IF(Z52&lt;=Indata!$L$29,0,IF(OR(Indata!$M$29="",Indata!$M$29=0),0,Indata!$M$29*Indata!$F$29*(1+Indata!$C$8*Indata!$H$29)^(Z52-Indata!$K$29))))</f>
        <v>0</v>
      </c>
      <c r="AA63" s="28" t="n">
        <f aca="false">IF(Indata!$K$29="",0,IF(AA52&lt;=Indata!$L$29,0,IF(OR(Indata!$M$29="",Indata!$M$29=0),0,Indata!$M$29*Indata!$F$29*(1+Indata!$C$8*Indata!$H$29)^(AA52-Indata!$K$29))))</f>
        <v>0</v>
      </c>
      <c r="AB63" s="28" t="n">
        <f aca="false">IF(Indata!$K$29="",0,IF(AB52&lt;=Indata!$L$29,0,IF(OR(Indata!$M$29="",Indata!$M$29=0),0,Indata!$M$29*Indata!$F$29*(1+Indata!$C$8*Indata!$H$29)^(AB52-Indata!$K$29))))</f>
        <v>0</v>
      </c>
    </row>
    <row r="64" customFormat="false" ht="15" hidden="false" customHeight="false" outlineLevel="0" collapsed="false">
      <c r="B64" s="1" t="s">
        <v>268</v>
      </c>
      <c r="D64" s="28" t="n">
        <f aca="false">IF(Indata!$K$30="",0,IF(D52&lt;=Indata!$L$30,0,IF(OR(Indata!$M$30="",Indata!$M$30=0),0,Indata!$M$30*Indata!$F$30*(1+Indata!$C$8*Indata!$H$30)^(D52-Indata!$K$30))))</f>
        <v>0</v>
      </c>
      <c r="E64" s="28" t="n">
        <f aca="false">IF(Indata!$K$30="",0,IF(E52&lt;=Indata!$L$30,0,IF(OR(Indata!$M$30="",Indata!$M$30=0),0,Indata!$M$30*Indata!$F$30*(1+Indata!$C$8*Indata!$H$30)^(E52-Indata!$K$30))))</f>
        <v>0</v>
      </c>
      <c r="F64" s="28" t="n">
        <f aca="false">IF(Indata!$K$30="",0,IF(F52&lt;=Indata!$L$30,0,IF(OR(Indata!$M$30="",Indata!$M$30=0),0,Indata!$M$30*Indata!$F$30*(1+Indata!$C$8*Indata!$H$30)^(F52-Indata!$K$30))))</f>
        <v>0</v>
      </c>
      <c r="G64" s="28" t="n">
        <f aca="false">IF(Indata!$K$30="",0,IF(G52&lt;=Indata!$L$30,0,IF(OR(Indata!$M$30="",Indata!$M$30=0),0,Indata!$M$30*Indata!$F$30*(1+Indata!$C$8*Indata!$H$30)^(G52-Indata!$K$30))))</f>
        <v>0</v>
      </c>
      <c r="H64" s="28" t="n">
        <f aca="false">IF(Indata!$K$30="",0,IF(H52&lt;=Indata!$L$30,0,IF(OR(Indata!$M$30="",Indata!$M$30=0),0,Indata!$M$30*Indata!$F$30*(1+Indata!$C$8*Indata!$H$30)^(H52-Indata!$K$30))))</f>
        <v>0</v>
      </c>
      <c r="I64" s="28" t="n">
        <f aca="false">IF(Indata!$K$30="",0,IF(I52&lt;=Indata!$L$30,0,IF(OR(Indata!$M$30="",Indata!$M$30=0),0,Indata!$M$30*Indata!$F$30*(1+Indata!$C$8*Indata!$H$30)^(I52-Indata!$K$30))))</f>
        <v>0</v>
      </c>
      <c r="J64" s="28" t="n">
        <f aca="false">IF(Indata!$K$30="",0,IF(J52&lt;=Indata!$L$30,0,IF(OR(Indata!$M$30="",Indata!$M$30=0),0,Indata!$M$30*Indata!$F$30*(1+Indata!$C$8*Indata!$H$30)^(J52-Indata!$K$30))))</f>
        <v>0</v>
      </c>
      <c r="K64" s="28" t="n">
        <f aca="false">IF(Indata!$K$30="",0,IF(K52&lt;=Indata!$L$30,0,IF(OR(Indata!$M$30="",Indata!$M$30=0),0,Indata!$M$30*Indata!$F$30*(1+Indata!$C$8*Indata!$H$30)^(K52-Indata!$K$30))))</f>
        <v>0</v>
      </c>
      <c r="L64" s="28" t="n">
        <f aca="false">IF(Indata!$K$30="",0,IF(L52&lt;=Indata!$L$30,0,IF(OR(Indata!$M$30="",Indata!$M$30=0),0,Indata!$M$30*Indata!$F$30*(1+Indata!$C$8*Indata!$H$30)^(L52-Indata!$K$30))))</f>
        <v>0</v>
      </c>
      <c r="M64" s="28" t="n">
        <f aca="false">IF(Indata!$K$30="",0,IF(M52&lt;=Indata!$L$30,0,IF(OR(Indata!$M$30="",Indata!$M$30=0),0,Indata!$M$30*Indata!$F$30*(1+Indata!$C$8*Indata!$H$30)^(M52-Indata!$K$30))))</f>
        <v>0</v>
      </c>
      <c r="N64" s="28" t="n">
        <f aca="false">IF(Indata!$K$30="",0,IF(N52&lt;=Indata!$L$30,0,IF(OR(Indata!$M$30="",Indata!$M$30=0),0,Indata!$M$30*Indata!$F$30*(1+Indata!$C$8*Indata!$H$30)^(N52-Indata!$K$30))))</f>
        <v>0</v>
      </c>
      <c r="O64" s="28" t="n">
        <f aca="false">IF(Indata!$K$30="",0,IF(O52&lt;=Indata!$L$30,0,IF(OR(Indata!$M$30="",Indata!$M$30=0),0,Indata!$M$30*Indata!$F$30*(1+Indata!$C$8*Indata!$H$30)^(O52-Indata!$K$30))))</f>
        <v>0</v>
      </c>
      <c r="P64" s="28" t="n">
        <f aca="false">IF(Indata!$K$30="",0,IF(P52&lt;=Indata!$L$30,0,IF(OR(Indata!$M$30="",Indata!$M$30=0),0,Indata!$M$30*Indata!$F$30*(1+Indata!$C$8*Indata!$H$30)^(P52-Indata!$K$30))))</f>
        <v>0</v>
      </c>
      <c r="Q64" s="28" t="n">
        <f aca="false">IF(Indata!$K$30="",0,IF(Q52&lt;=Indata!$L$30,0,IF(OR(Indata!$M$30="",Indata!$M$30=0),0,Indata!$M$30*Indata!$F$30*(1+Indata!$C$8*Indata!$H$30)^(Q52-Indata!$K$30))))</f>
        <v>0</v>
      </c>
      <c r="R64" s="28" t="n">
        <f aca="false">IF(Indata!$K$30="",0,IF(R52&lt;=Indata!$L$30,0,IF(OR(Indata!$M$30="",Indata!$M$30=0),0,Indata!$M$30*Indata!$F$30*(1+Indata!$C$8*Indata!$H$30)^(R52-Indata!$K$30))))</f>
        <v>0</v>
      </c>
      <c r="S64" s="28" t="n">
        <f aca="false">IF(Indata!$K$30="",0,IF(S52&lt;=Indata!$L$30,0,IF(OR(Indata!$M$30="",Indata!$M$30=0),0,Indata!$M$30*Indata!$F$30*(1+Indata!$C$8*Indata!$H$30)^(S52-Indata!$K$30))))</f>
        <v>0</v>
      </c>
      <c r="T64" s="28" t="n">
        <f aca="false">IF(Indata!$K$30="",0,IF(T52&lt;=Indata!$L$30,0,IF(OR(Indata!$M$30="",Indata!$M$30=0),0,Indata!$M$30*Indata!$F$30*(1+Indata!$C$8*Indata!$H$30)^(T52-Indata!$K$30))))</f>
        <v>0</v>
      </c>
      <c r="U64" s="28" t="n">
        <f aca="false">IF(Indata!$K$30="",0,IF(U52&lt;=Indata!$L$30,0,IF(OR(Indata!$M$30="",Indata!$M$30=0),0,Indata!$M$30*Indata!$F$30*(1+Indata!$C$8*Indata!$H$30)^(U52-Indata!$K$30))))</f>
        <v>0</v>
      </c>
      <c r="V64" s="28" t="n">
        <f aca="false">IF(Indata!$K$30="",0,IF(V52&lt;=Indata!$L$30,0,IF(OR(Indata!$M$30="",Indata!$M$30=0),0,Indata!$M$30*Indata!$F$30*(1+Indata!$C$8*Indata!$H$30)^(V52-Indata!$K$30))))</f>
        <v>0</v>
      </c>
      <c r="W64" s="28" t="n">
        <f aca="false">IF(Indata!$K$30="",0,IF(W52&lt;=Indata!$L$30,0,IF(OR(Indata!$M$30="",Indata!$M$30=0),0,Indata!$M$30*Indata!$F$30*(1+Indata!$C$8*Indata!$H$30)^(W52-Indata!$K$30))))</f>
        <v>0</v>
      </c>
      <c r="X64" s="28" t="n">
        <f aca="false">IF(Indata!$K$30="",0,IF(X52&lt;=Indata!$L$30,0,IF(OR(Indata!$M$30="",Indata!$M$30=0),0,Indata!$M$30*Indata!$F$30*(1+Indata!$C$8*Indata!$H$30)^(X52-Indata!$K$30))))</f>
        <v>0</v>
      </c>
      <c r="Y64" s="28" t="n">
        <f aca="false">IF(Indata!$K$30="",0,IF(Y52&lt;=Indata!$L$30,0,IF(OR(Indata!$M$30="",Indata!$M$30=0),0,Indata!$M$30*Indata!$F$30*(1+Indata!$C$8*Indata!$H$30)^(Y52-Indata!$K$30))))</f>
        <v>0</v>
      </c>
      <c r="Z64" s="28" t="n">
        <f aca="false">IF(Indata!$K$30="",0,IF(Z52&lt;=Indata!$L$30,0,IF(OR(Indata!$M$30="",Indata!$M$30=0),0,Indata!$M$30*Indata!$F$30*(1+Indata!$C$8*Indata!$H$30)^(Z52-Indata!$K$30))))</f>
        <v>0</v>
      </c>
      <c r="AA64" s="28" t="n">
        <f aca="false">IF(Indata!$K$30="",0,IF(AA52&lt;=Indata!$L$30,0,IF(OR(Indata!$M$30="",Indata!$M$30=0),0,Indata!$M$30*Indata!$F$30*(1+Indata!$C$8*Indata!$H$30)^(AA52-Indata!$K$30))))</f>
        <v>0</v>
      </c>
      <c r="AB64" s="28" t="n">
        <f aca="false">IF(Indata!$K$30="",0,IF(AB52&lt;=Indata!$L$30,0,IF(OR(Indata!$M$30="",Indata!$M$30=0),0,Indata!$M$30*Indata!$F$30*(1+Indata!$C$8*Indata!$H$30)^(AB52-Indata!$K$30))))</f>
        <v>0</v>
      </c>
    </row>
    <row r="66" customFormat="false" ht="15" hidden="false" customHeight="false" outlineLevel="0" collapsed="false">
      <c r="B66" s="41" t="s">
        <v>149</v>
      </c>
      <c r="D66" s="42" t="n">
        <f aca="false">SUM(D60:D64)</f>
        <v>0</v>
      </c>
      <c r="E66" s="42" t="n">
        <f aca="false">SUM(E60:E64)</f>
        <v>0</v>
      </c>
      <c r="F66" s="42" t="n">
        <f aca="false">SUM(F60:F64)</f>
        <v>0</v>
      </c>
      <c r="G66" s="42" t="n">
        <f aca="false">SUM(G60:G64)</f>
        <v>0</v>
      </c>
      <c r="H66" s="42" t="n">
        <f aca="false">SUM(H60:H64)</f>
        <v>0</v>
      </c>
      <c r="I66" s="42" t="n">
        <f aca="false">SUM(I60:I64)</f>
        <v>0</v>
      </c>
      <c r="J66" s="42" t="n">
        <f aca="false">SUM(J60:J64)</f>
        <v>0</v>
      </c>
      <c r="K66" s="42" t="n">
        <f aca="false">SUM(K60:K64)</f>
        <v>0</v>
      </c>
      <c r="L66" s="42" t="n">
        <f aca="false">SUM(L60:L64)</f>
        <v>0</v>
      </c>
      <c r="M66" s="42" t="n">
        <f aca="false">SUM(M60:M64)</f>
        <v>0</v>
      </c>
      <c r="N66" s="42" t="n">
        <f aca="false">SUM(N60:N64)</f>
        <v>0</v>
      </c>
      <c r="O66" s="42" t="n">
        <f aca="false">SUM(O60:O64)</f>
        <v>0</v>
      </c>
      <c r="P66" s="42" t="n">
        <f aca="false">SUM(P60:P64)</f>
        <v>0</v>
      </c>
      <c r="Q66" s="42" t="n">
        <f aca="false">SUM(Q60:Q64)</f>
        <v>0</v>
      </c>
      <c r="R66" s="42" t="n">
        <f aca="false">SUM(R60:R64)</f>
        <v>0</v>
      </c>
      <c r="S66" s="42" t="n">
        <f aca="false">SUM(S60:S64)</f>
        <v>0</v>
      </c>
      <c r="T66" s="42" t="n">
        <f aca="false">SUM(T60:T64)</f>
        <v>0</v>
      </c>
      <c r="U66" s="42" t="n">
        <f aca="false">SUM(U60:U64)</f>
        <v>0</v>
      </c>
      <c r="V66" s="42" t="n">
        <f aca="false">SUM(V60:V64)</f>
        <v>0</v>
      </c>
      <c r="W66" s="42" t="n">
        <f aca="false">SUM(W60:W64)</f>
        <v>0</v>
      </c>
      <c r="X66" s="42" t="n">
        <f aca="false">SUM(X60:X64)</f>
        <v>0</v>
      </c>
      <c r="Y66" s="42" t="n">
        <f aca="false">SUM(Y60:Y64)</f>
        <v>0</v>
      </c>
      <c r="Z66" s="42" t="n">
        <f aca="false">SUM(Z60:Z64)</f>
        <v>0</v>
      </c>
      <c r="AA66" s="42" t="n">
        <f aca="false">SUM(AA60:AA64)</f>
        <v>0</v>
      </c>
      <c r="AB66" s="42" t="n">
        <f aca="false">SUM(AB60:AB64)</f>
        <v>0</v>
      </c>
    </row>
    <row r="67" customFormat="false" ht="15" hidden="false" customHeight="false" outlineLevel="0" collapsed="false">
      <c r="B67" s="1" t="s">
        <v>269</v>
      </c>
      <c r="D67" s="28" t="n">
        <f aca="false">IF(AND(Indata!$L$26&lt;&gt;"",D52&gt;Indata!$L$26),-D60*Indata!$N$26,0)+IF(AND(Indata!$L$27&lt;&gt;"",D52&gt;Indata!$L$27),-D61*Indata!$N$27,0)+IF(AND(Indata!$L$28&lt;&gt;"",D52&gt;Indata!$L$28),-D62*Indata!$N$28,0)+IF(AND(Indata!$L$29&lt;&gt;"",D52&gt;Indata!$L$29),-D63*Indata!$N$29,0)+IF(AND(Indata!$L$30&lt;&gt;"",D52&gt;Indata!$L$30),-D64*Indata!$N$30,0)</f>
        <v>0</v>
      </c>
      <c r="E67" s="28" t="n">
        <f aca="false">IF(AND(Indata!$L$26&lt;&gt;"",E52&gt;Indata!$L$26),-E60*Indata!$N$26,0)+IF(AND(Indata!$L$27&lt;&gt;"",E52&gt;Indata!$L$27),-E61*Indata!$N$27,0)+IF(AND(Indata!$L$28&lt;&gt;"",E52&gt;Indata!$L$28),-E62*Indata!$N$28,0)+IF(AND(Indata!$L$29&lt;&gt;"",E52&gt;Indata!$L$29),-E63*Indata!$N$29,0)+IF(AND(Indata!$L$30&lt;&gt;"",E52&gt;Indata!$L$30),-E64*Indata!$N$30,0)</f>
        <v>0</v>
      </c>
      <c r="F67" s="28" t="n">
        <f aca="false">IF(AND(Indata!$L$26&lt;&gt;"",F52&gt;Indata!$L$26),-F60*Indata!$N$26,0)+IF(AND(Indata!$L$27&lt;&gt;"",F52&gt;Indata!$L$27),-F61*Indata!$N$27,0)+IF(AND(Indata!$L$28&lt;&gt;"",F52&gt;Indata!$L$28),-F62*Indata!$N$28,0)+IF(AND(Indata!$L$29&lt;&gt;"",F52&gt;Indata!$L$29),-F63*Indata!$N$29,0)+IF(AND(Indata!$L$30&lt;&gt;"",F52&gt;Indata!$L$30),-F64*Indata!$N$30,0)</f>
        <v>0</v>
      </c>
      <c r="G67" s="28" t="n">
        <f aca="false">IF(AND(Indata!$L$26&lt;&gt;"",G52&gt;Indata!$L$26),-G60*Indata!$N$26,0)+IF(AND(Indata!$L$27&lt;&gt;"",G52&gt;Indata!$L$27),-G61*Indata!$N$27,0)+IF(AND(Indata!$L$28&lt;&gt;"",G52&gt;Indata!$L$28),-G62*Indata!$N$28,0)+IF(AND(Indata!$L$29&lt;&gt;"",G52&gt;Indata!$L$29),-G63*Indata!$N$29,0)+IF(AND(Indata!$L$30&lt;&gt;"",G52&gt;Indata!$L$30),-G64*Indata!$N$30,0)</f>
        <v>0</v>
      </c>
      <c r="H67" s="28" t="n">
        <f aca="false">IF(AND(Indata!$L$26&lt;&gt;"",H52&gt;Indata!$L$26),-H60*Indata!$N$26,0)+IF(AND(Indata!$L$27&lt;&gt;"",H52&gt;Indata!$L$27),-H61*Indata!$N$27,0)+IF(AND(Indata!$L$28&lt;&gt;"",H52&gt;Indata!$L$28),-H62*Indata!$N$28,0)+IF(AND(Indata!$L$29&lt;&gt;"",H52&gt;Indata!$L$29),-H63*Indata!$N$29,0)+IF(AND(Indata!$L$30&lt;&gt;"",H52&gt;Indata!$L$30),-H64*Indata!$N$30,0)</f>
        <v>0</v>
      </c>
      <c r="I67" s="28" t="n">
        <f aca="false">IF(AND(Indata!$L$26&lt;&gt;"",I52&gt;Indata!$L$26),-I60*Indata!$N$26,0)+IF(AND(Indata!$L$27&lt;&gt;"",I52&gt;Indata!$L$27),-I61*Indata!$N$27,0)+IF(AND(Indata!$L$28&lt;&gt;"",I52&gt;Indata!$L$28),-I62*Indata!$N$28,0)+IF(AND(Indata!$L$29&lt;&gt;"",I52&gt;Indata!$L$29),-I63*Indata!$N$29,0)+IF(AND(Indata!$L$30&lt;&gt;"",I52&gt;Indata!$L$30),-I64*Indata!$N$30,0)</f>
        <v>0</v>
      </c>
      <c r="J67" s="28" t="n">
        <f aca="false">IF(AND(Indata!$L$26&lt;&gt;"",J52&gt;Indata!$L$26),-J60*Indata!$N$26,0)+IF(AND(Indata!$L$27&lt;&gt;"",J52&gt;Indata!$L$27),-J61*Indata!$N$27,0)+IF(AND(Indata!$L$28&lt;&gt;"",J52&gt;Indata!$L$28),-J62*Indata!$N$28,0)+IF(AND(Indata!$L$29&lt;&gt;"",J52&gt;Indata!$L$29),-J63*Indata!$N$29,0)+IF(AND(Indata!$L$30&lt;&gt;"",J52&gt;Indata!$L$30),-J64*Indata!$N$30,0)</f>
        <v>0</v>
      </c>
      <c r="K67" s="28" t="n">
        <f aca="false">IF(AND(Indata!$L$26&lt;&gt;"",K52&gt;Indata!$L$26),-K60*Indata!$N$26,0)+IF(AND(Indata!$L$27&lt;&gt;"",K52&gt;Indata!$L$27),-K61*Indata!$N$27,0)+IF(AND(Indata!$L$28&lt;&gt;"",K52&gt;Indata!$L$28),-K62*Indata!$N$28,0)+IF(AND(Indata!$L$29&lt;&gt;"",K52&gt;Indata!$L$29),-K63*Indata!$N$29,0)+IF(AND(Indata!$L$30&lt;&gt;"",K52&gt;Indata!$L$30),-K64*Indata!$N$30,0)</f>
        <v>0</v>
      </c>
      <c r="L67" s="28" t="n">
        <f aca="false">IF(AND(Indata!$L$26&lt;&gt;"",L52&gt;Indata!$L$26),-L60*Indata!$N$26,0)+IF(AND(Indata!$L$27&lt;&gt;"",L52&gt;Indata!$L$27),-L61*Indata!$N$27,0)+IF(AND(Indata!$L$28&lt;&gt;"",L52&gt;Indata!$L$28),-L62*Indata!$N$28,0)+IF(AND(Indata!$L$29&lt;&gt;"",L52&gt;Indata!$L$29),-L63*Indata!$N$29,0)+IF(AND(Indata!$L$30&lt;&gt;"",L52&gt;Indata!$L$30),-L64*Indata!$N$30,0)</f>
        <v>0</v>
      </c>
      <c r="M67" s="28" t="n">
        <f aca="false">IF(AND(Indata!$L$26&lt;&gt;"",M52&gt;Indata!$L$26),-M60*Indata!$N$26,0)+IF(AND(Indata!$L$27&lt;&gt;"",M52&gt;Indata!$L$27),-M61*Indata!$N$27,0)+IF(AND(Indata!$L$28&lt;&gt;"",M52&gt;Indata!$L$28),-M62*Indata!$N$28,0)+IF(AND(Indata!$L$29&lt;&gt;"",M52&gt;Indata!$L$29),-M63*Indata!$N$29,0)+IF(AND(Indata!$L$30&lt;&gt;"",M52&gt;Indata!$L$30),-M64*Indata!$N$30,0)</f>
        <v>0</v>
      </c>
      <c r="N67" s="28" t="n">
        <f aca="false">IF(AND(Indata!$L$26&lt;&gt;"",N52&gt;Indata!$L$26),-N60*Indata!$N$26,0)+IF(AND(Indata!$L$27&lt;&gt;"",N52&gt;Indata!$L$27),-N61*Indata!$N$27,0)+IF(AND(Indata!$L$28&lt;&gt;"",N52&gt;Indata!$L$28),-N62*Indata!$N$28,0)+IF(AND(Indata!$L$29&lt;&gt;"",N52&gt;Indata!$L$29),-N63*Indata!$N$29,0)+IF(AND(Indata!$L$30&lt;&gt;"",N52&gt;Indata!$L$30),-N64*Indata!$N$30,0)</f>
        <v>0</v>
      </c>
      <c r="O67" s="28" t="n">
        <f aca="false">IF(AND(Indata!$L$26&lt;&gt;"",O52&gt;Indata!$L$26),-O60*Indata!$N$26,0)+IF(AND(Indata!$L$27&lt;&gt;"",O52&gt;Indata!$L$27),-O61*Indata!$N$27,0)+IF(AND(Indata!$L$28&lt;&gt;"",O52&gt;Indata!$L$28),-O62*Indata!$N$28,0)+IF(AND(Indata!$L$29&lt;&gt;"",O52&gt;Indata!$L$29),-O63*Indata!$N$29,0)+IF(AND(Indata!$L$30&lt;&gt;"",O52&gt;Indata!$L$30),-O64*Indata!$N$30,0)</f>
        <v>0</v>
      </c>
      <c r="P67" s="28" t="n">
        <f aca="false">IF(AND(Indata!$L$26&lt;&gt;"",P52&gt;Indata!$L$26),-P60*Indata!$N$26,0)+IF(AND(Indata!$L$27&lt;&gt;"",P52&gt;Indata!$L$27),-P61*Indata!$N$27,0)+IF(AND(Indata!$L$28&lt;&gt;"",P52&gt;Indata!$L$28),-P62*Indata!$N$28,0)+IF(AND(Indata!$L$29&lt;&gt;"",P52&gt;Indata!$L$29),-P63*Indata!$N$29,0)+IF(AND(Indata!$L$30&lt;&gt;"",P52&gt;Indata!$L$30),-P64*Indata!$N$30,0)</f>
        <v>0</v>
      </c>
      <c r="Q67" s="28" t="n">
        <f aca="false">IF(AND(Indata!$L$26&lt;&gt;"",Q52&gt;Indata!$L$26),-Q60*Indata!$N$26,0)+IF(AND(Indata!$L$27&lt;&gt;"",Q52&gt;Indata!$L$27),-Q61*Indata!$N$27,0)+IF(AND(Indata!$L$28&lt;&gt;"",Q52&gt;Indata!$L$28),-Q62*Indata!$N$28,0)+IF(AND(Indata!$L$29&lt;&gt;"",Q52&gt;Indata!$L$29),-Q63*Indata!$N$29,0)+IF(AND(Indata!$L$30&lt;&gt;"",Q52&gt;Indata!$L$30),-Q64*Indata!$N$30,0)</f>
        <v>0</v>
      </c>
      <c r="R67" s="28" t="n">
        <f aca="false">IF(AND(Indata!$L$26&lt;&gt;"",R52&gt;Indata!$L$26),-R60*Indata!$N$26,0)+IF(AND(Indata!$L$27&lt;&gt;"",R52&gt;Indata!$L$27),-R61*Indata!$N$27,0)+IF(AND(Indata!$L$28&lt;&gt;"",R52&gt;Indata!$L$28),-R62*Indata!$N$28,0)+IF(AND(Indata!$L$29&lt;&gt;"",R52&gt;Indata!$L$29),-R63*Indata!$N$29,0)+IF(AND(Indata!$L$30&lt;&gt;"",R52&gt;Indata!$L$30),-R64*Indata!$N$30,0)</f>
        <v>0</v>
      </c>
      <c r="S67" s="28" t="n">
        <f aca="false">IF(AND(Indata!$L$26&lt;&gt;"",S52&gt;Indata!$L$26),-S60*Indata!$N$26,0)+IF(AND(Indata!$L$27&lt;&gt;"",S52&gt;Indata!$L$27),-S61*Indata!$N$27,0)+IF(AND(Indata!$L$28&lt;&gt;"",S52&gt;Indata!$L$28),-S62*Indata!$N$28,0)+IF(AND(Indata!$L$29&lt;&gt;"",S52&gt;Indata!$L$29),-S63*Indata!$N$29,0)+IF(AND(Indata!$L$30&lt;&gt;"",S52&gt;Indata!$L$30),-S64*Indata!$N$30,0)</f>
        <v>0</v>
      </c>
      <c r="T67" s="28" t="n">
        <f aca="false">IF(AND(Indata!$L$26&lt;&gt;"",T52&gt;Indata!$L$26),-T60*Indata!$N$26,0)+IF(AND(Indata!$L$27&lt;&gt;"",T52&gt;Indata!$L$27),-T61*Indata!$N$27,0)+IF(AND(Indata!$L$28&lt;&gt;"",T52&gt;Indata!$L$28),-T62*Indata!$N$28,0)+IF(AND(Indata!$L$29&lt;&gt;"",T52&gt;Indata!$L$29),-T63*Indata!$N$29,0)+IF(AND(Indata!$L$30&lt;&gt;"",T52&gt;Indata!$L$30),-T64*Indata!$N$30,0)</f>
        <v>0</v>
      </c>
      <c r="U67" s="28" t="n">
        <f aca="false">IF(AND(Indata!$L$26&lt;&gt;"",U52&gt;Indata!$L$26),-U60*Indata!$N$26,0)+IF(AND(Indata!$L$27&lt;&gt;"",U52&gt;Indata!$L$27),-U61*Indata!$N$27,0)+IF(AND(Indata!$L$28&lt;&gt;"",U52&gt;Indata!$L$28),-U62*Indata!$N$28,0)+IF(AND(Indata!$L$29&lt;&gt;"",U52&gt;Indata!$L$29),-U63*Indata!$N$29,0)+IF(AND(Indata!$L$30&lt;&gt;"",U52&gt;Indata!$L$30),-U64*Indata!$N$30,0)</f>
        <v>0</v>
      </c>
      <c r="V67" s="28" t="n">
        <f aca="false">IF(AND(Indata!$L$26&lt;&gt;"",V52&gt;Indata!$L$26),-V60*Indata!$N$26,0)+IF(AND(Indata!$L$27&lt;&gt;"",V52&gt;Indata!$L$27),-V61*Indata!$N$27,0)+IF(AND(Indata!$L$28&lt;&gt;"",V52&gt;Indata!$L$28),-V62*Indata!$N$28,0)+IF(AND(Indata!$L$29&lt;&gt;"",V52&gt;Indata!$L$29),-V63*Indata!$N$29,0)+IF(AND(Indata!$L$30&lt;&gt;"",V52&gt;Indata!$L$30),-V64*Indata!$N$30,0)</f>
        <v>0</v>
      </c>
      <c r="W67" s="28" t="n">
        <f aca="false">IF(AND(Indata!$L$26&lt;&gt;"",W52&gt;Indata!$L$26),-W60*Indata!$N$26,0)+IF(AND(Indata!$L$27&lt;&gt;"",W52&gt;Indata!$L$27),-W61*Indata!$N$27,0)+IF(AND(Indata!$L$28&lt;&gt;"",W52&gt;Indata!$L$28),-W62*Indata!$N$28,0)+IF(AND(Indata!$L$29&lt;&gt;"",W52&gt;Indata!$L$29),-W63*Indata!$N$29,0)+IF(AND(Indata!$L$30&lt;&gt;"",W52&gt;Indata!$L$30),-W64*Indata!$N$30,0)</f>
        <v>0</v>
      </c>
      <c r="X67" s="28" t="n">
        <f aca="false">IF(AND(Indata!$L$26&lt;&gt;"",X52&gt;Indata!$L$26),-X60*Indata!$N$26,0)+IF(AND(Indata!$L$27&lt;&gt;"",X52&gt;Indata!$L$27),-X61*Indata!$N$27,0)+IF(AND(Indata!$L$28&lt;&gt;"",X52&gt;Indata!$L$28),-X62*Indata!$N$28,0)+IF(AND(Indata!$L$29&lt;&gt;"",X52&gt;Indata!$L$29),-X63*Indata!$N$29,0)+IF(AND(Indata!$L$30&lt;&gt;"",X52&gt;Indata!$L$30),-X64*Indata!$N$30,0)</f>
        <v>0</v>
      </c>
      <c r="Y67" s="28" t="n">
        <f aca="false">IF(AND(Indata!$L$26&lt;&gt;"",Y52&gt;Indata!$L$26),-Y60*Indata!$N$26,0)+IF(AND(Indata!$L$27&lt;&gt;"",Y52&gt;Indata!$L$27),-Y61*Indata!$N$27,0)+IF(AND(Indata!$L$28&lt;&gt;"",Y52&gt;Indata!$L$28),-Y62*Indata!$N$28,0)+IF(AND(Indata!$L$29&lt;&gt;"",Y52&gt;Indata!$L$29),-Y63*Indata!$N$29,0)+IF(AND(Indata!$L$30&lt;&gt;"",Y52&gt;Indata!$L$30),-Y64*Indata!$N$30,0)</f>
        <v>0</v>
      </c>
      <c r="Z67" s="28" t="n">
        <f aca="false">IF(AND(Indata!$L$26&lt;&gt;"",Z52&gt;Indata!$L$26),-Z60*Indata!$N$26,0)+IF(AND(Indata!$L$27&lt;&gt;"",Z52&gt;Indata!$L$27),-Z61*Indata!$N$27,0)+IF(AND(Indata!$L$28&lt;&gt;"",Z52&gt;Indata!$L$28),-Z62*Indata!$N$28,0)+IF(AND(Indata!$L$29&lt;&gt;"",Z52&gt;Indata!$L$29),-Z63*Indata!$N$29,0)+IF(AND(Indata!$L$30&lt;&gt;"",Z52&gt;Indata!$L$30),-Z64*Indata!$N$30,0)</f>
        <v>0</v>
      </c>
      <c r="AA67" s="28" t="n">
        <f aca="false">IF(AND(Indata!$L$26&lt;&gt;"",AA52&gt;Indata!$L$26),-AA60*Indata!$N$26,0)+IF(AND(Indata!$L$27&lt;&gt;"",AA52&gt;Indata!$L$27),-AA61*Indata!$N$27,0)+IF(AND(Indata!$L$28&lt;&gt;"",AA52&gt;Indata!$L$28),-AA62*Indata!$N$28,0)+IF(AND(Indata!$L$29&lt;&gt;"",AA52&gt;Indata!$L$29),-AA63*Indata!$N$29,0)+IF(AND(Indata!$L$30&lt;&gt;"",AA52&gt;Indata!$L$30),-AA64*Indata!$N$30,0)</f>
        <v>0</v>
      </c>
      <c r="AB67" s="28" t="n">
        <f aca="false">IF(AND(Indata!$L$26&lt;&gt;"",AB52&gt;Indata!$L$26),-AB60*Indata!$N$26,0)+IF(AND(Indata!$L$27&lt;&gt;"",AB52&gt;Indata!$L$27),-AB61*Indata!$N$27,0)+IF(AND(Indata!$L$28&lt;&gt;"",AB52&gt;Indata!$L$28),-AB62*Indata!$N$28,0)+IF(AND(Indata!$L$29&lt;&gt;"",AB52&gt;Indata!$L$29),-AB63*Indata!$N$29,0)+IF(AND(Indata!$L$30&lt;&gt;"",AB52&gt;Indata!$L$30),-AB64*Indata!$N$30,0)</f>
        <v>0</v>
      </c>
    </row>
    <row r="68" customFormat="false" ht="15" hidden="false" customHeight="false" outlineLevel="0" collapsed="false">
      <c r="B68" s="41" t="s">
        <v>151</v>
      </c>
      <c r="D68" s="42" t="n">
        <f aca="false">D66+D67</f>
        <v>0</v>
      </c>
      <c r="E68" s="42" t="n">
        <f aca="false">E66+E67</f>
        <v>0</v>
      </c>
      <c r="F68" s="42" t="n">
        <f aca="false">F66+F67</f>
        <v>0</v>
      </c>
      <c r="G68" s="42" t="n">
        <f aca="false">G66+G67</f>
        <v>0</v>
      </c>
      <c r="H68" s="42" t="n">
        <f aca="false">H66+H67</f>
        <v>0</v>
      </c>
      <c r="I68" s="42" t="n">
        <f aca="false">I66+I67</f>
        <v>0</v>
      </c>
      <c r="J68" s="42" t="n">
        <f aca="false">J66+J67</f>
        <v>0</v>
      </c>
      <c r="K68" s="42" t="n">
        <f aca="false">K66+K67</f>
        <v>0</v>
      </c>
      <c r="L68" s="42" t="n">
        <f aca="false">L66+L67</f>
        <v>0</v>
      </c>
      <c r="M68" s="42" t="n">
        <f aca="false">M66+M67</f>
        <v>0</v>
      </c>
      <c r="N68" s="42" t="n">
        <f aca="false">N66+N67</f>
        <v>0</v>
      </c>
      <c r="O68" s="42" t="n">
        <f aca="false">O66+O67</f>
        <v>0</v>
      </c>
      <c r="P68" s="42" t="n">
        <f aca="false">P66+P67</f>
        <v>0</v>
      </c>
      <c r="Q68" s="42" t="n">
        <f aca="false">Q66+Q67</f>
        <v>0</v>
      </c>
      <c r="R68" s="42" t="n">
        <f aca="false">R66+R67</f>
        <v>0</v>
      </c>
      <c r="S68" s="42" t="n">
        <f aca="false">S66+S67</f>
        <v>0</v>
      </c>
      <c r="T68" s="42" t="n">
        <f aca="false">T66+T67</f>
        <v>0</v>
      </c>
      <c r="U68" s="42" t="n">
        <f aca="false">U66+U67</f>
        <v>0</v>
      </c>
      <c r="V68" s="42" t="n">
        <f aca="false">V66+V67</f>
        <v>0</v>
      </c>
      <c r="W68" s="42" t="n">
        <f aca="false">W66+W67</f>
        <v>0</v>
      </c>
      <c r="X68" s="42" t="n">
        <f aca="false">X66+X67</f>
        <v>0</v>
      </c>
      <c r="Y68" s="42" t="n">
        <f aca="false">Y66+Y67</f>
        <v>0</v>
      </c>
      <c r="Z68" s="42" t="n">
        <f aca="false">Z66+Z67</f>
        <v>0</v>
      </c>
      <c r="AA68" s="42" t="n">
        <f aca="false">AA66+AA67</f>
        <v>0</v>
      </c>
      <c r="AB68" s="42" t="n">
        <f aca="false">AB66+AB67</f>
        <v>0</v>
      </c>
    </row>
    <row r="70" customFormat="false" ht="15" hidden="false" customHeight="false" outlineLevel="0" collapsed="false">
      <c r="B70" s="85" t="s">
        <v>270</v>
      </c>
    </row>
    <row r="71" customFormat="false" ht="15" hidden="false" customHeight="false" outlineLevel="0" collapsed="false">
      <c r="B71" s="1" t="s">
        <v>108</v>
      </c>
      <c r="D71" s="28" t="n">
        <f aca="false">-((D56*Indata!$C36+D55*Indata!$D36)*(1+Indata!$C$8)^(D53-1))*(1+IF(D53-1&gt;=10,Indata!$E36,0)+IF(D53-1&gt;=15,Indata!$F36,0))</f>
        <v>-250000</v>
      </c>
      <c r="E71" s="28" t="n">
        <f aca="false">-((E56*Indata!$C36+E55*Indata!$D36)*(1+Indata!$C$8)^(E53-1))*(1+IF(E53-1&gt;=10,Indata!$E36,0)+IF(E53-1&gt;=15,Indata!$F36,0))</f>
        <v>-255000</v>
      </c>
      <c r="F71" s="28" t="n">
        <f aca="false">-((F56*Indata!$C36+F55*Indata!$D36)*(1+Indata!$C$8)^(F53-1))*(1+IF(F53-1&gt;=10,Indata!$E36,0)+IF(F53-1&gt;=15,Indata!$F36,0))</f>
        <v>-260100</v>
      </c>
      <c r="G71" s="28" t="n">
        <f aca="false">-((G56*Indata!$C36+G55*Indata!$D36)*(1+Indata!$C$8)^(G53-1))*(1+IF(G53-1&gt;=10,Indata!$E36,0)+IF(G53-1&gt;=15,Indata!$F36,0))</f>
        <v>-265302</v>
      </c>
      <c r="H71" s="28" t="n">
        <f aca="false">-((H56*Indata!$C36+H55*Indata!$D36)*(1+Indata!$C$8)^(H53-1))*(1+IF(H53-1&gt;=10,Indata!$E36,0)+IF(H53-1&gt;=15,Indata!$F36,0))</f>
        <v>-270608.04</v>
      </c>
      <c r="I71" s="28" t="n">
        <f aca="false">-((I56*Indata!$C36+I55*Indata!$D36)*(1+Indata!$C$8)^(I53-1))*(1+IF(I53-1&gt;=10,Indata!$E36,0)+IF(I53-1&gt;=15,Indata!$F36,0))</f>
        <v>-276020.2008</v>
      </c>
      <c r="J71" s="28" t="n">
        <f aca="false">-((J56*Indata!$C36+J55*Indata!$D36)*(1+Indata!$C$8)^(J53-1))*(1+IF(J53-1&gt;=10,Indata!$E36,0)+IF(J53-1&gt;=15,Indata!$F36,0))</f>
        <v>-281540.604816</v>
      </c>
      <c r="K71" s="28" t="n">
        <f aca="false">-((K56*Indata!$C36+K55*Indata!$D36)*(1+Indata!$C$8)^(K53-1))*(1+IF(K53-1&gt;=10,Indata!$E36,0)+IF(K53-1&gt;=15,Indata!$F36,0))</f>
        <v>-287171.41691232</v>
      </c>
      <c r="L71" s="28" t="n">
        <f aca="false">-((L56*Indata!$C36+L55*Indata!$D36)*(1+Indata!$C$8)^(L53-1))*(1+IF(L53-1&gt;=10,Indata!$E36,0)+IF(L53-1&gt;=15,Indata!$F36,0))</f>
        <v>-292914.845250566</v>
      </c>
      <c r="M71" s="28" t="n">
        <f aca="false">-((M56*Indata!$C36+M55*Indata!$D36)*(1+Indata!$C$8)^(M53-1))*(1+IF(M53-1&gt;=10,Indata!$E36,0)+IF(M53-1&gt;=15,Indata!$F36,0))</f>
        <v>-298773.142155578</v>
      </c>
      <c r="N71" s="28" t="n">
        <f aca="false">-((N56*Indata!$C36+N55*Indata!$D36)*(1+Indata!$C$8)^(N53-1))*(1+IF(N53-1&gt;=10,Indata!$E36,0)+IF(N53-1&gt;=15,Indata!$F36,0))</f>
        <v>-304748.604998689</v>
      </c>
      <c r="O71" s="28" t="n">
        <f aca="false">-((O56*Indata!$C36+O55*Indata!$D36)*(1+Indata!$C$8)^(O53-1))*(1+IF(O53-1&gt;=10,Indata!$E36,0)+IF(O53-1&gt;=15,Indata!$F36,0))</f>
        <v>-310843.577098663</v>
      </c>
      <c r="P71" s="28" t="n">
        <f aca="false">-((P56*Indata!$C36+P55*Indata!$D36)*(1+Indata!$C$8)^(P53-1))*(1+IF(P53-1&gt;=10,Indata!$E36,0)+IF(P53-1&gt;=15,Indata!$F36,0))</f>
        <v>-317060.448640636</v>
      </c>
      <c r="Q71" s="28" t="n">
        <f aca="false">-((Q56*Indata!$C36+Q55*Indata!$D36)*(1+Indata!$C$8)^(Q53-1))*(1+IF(Q53-1&gt;=10,Indata!$E36,0)+IF(Q53-1&gt;=15,Indata!$F36,0))</f>
        <v>-323401.657613449</v>
      </c>
      <c r="R71" s="28" t="n">
        <f aca="false">-((R56*Indata!$C36+R55*Indata!$D36)*(1+Indata!$C$8)^(R53-1))*(1+IF(R53-1&gt;=10,Indata!$E36,0)+IF(R53-1&gt;=15,Indata!$F36,0))</f>
        <v>-329869.690765718</v>
      </c>
      <c r="S71" s="28" t="n">
        <f aca="false">-((S56*Indata!$C36+S55*Indata!$D36)*(1+Indata!$C$8)^(S53-1))*(1+IF(S53-1&gt;=10,Indata!$E36,0)+IF(S53-1&gt;=15,Indata!$F36,0))</f>
        <v>-336467.084581032</v>
      </c>
      <c r="T71" s="28" t="n">
        <f aca="false">-((T56*Indata!$C36+T55*Indata!$D36)*(1+Indata!$C$8)^(T53-1))*(1+IF(T53-1&gt;=10,Indata!$E36,0)+IF(T53-1&gt;=15,Indata!$F36,0))</f>
        <v>-343196.426272653</v>
      </c>
      <c r="U71" s="28" t="n">
        <f aca="false">-((U56*Indata!$C36+U55*Indata!$D36)*(1+Indata!$C$8)^(U53-1))*(1+IF(U53-1&gt;=10,Indata!$E36,0)+IF(U53-1&gt;=15,Indata!$F36,0))</f>
        <v>-350060.354798106</v>
      </c>
      <c r="V71" s="28" t="n">
        <f aca="false">-((V56*Indata!$C36+V55*Indata!$D36)*(1+Indata!$C$8)^(V53-1))*(1+IF(V53-1&gt;=10,Indata!$E36,0)+IF(V53-1&gt;=15,Indata!$F36,0))</f>
        <v>-357061.561894068</v>
      </c>
      <c r="W71" s="28" t="n">
        <f aca="false">-((W56*Indata!$C36+W55*Indata!$D36)*(1+Indata!$C$8)^(W53-1))*(1+IF(W53-1&gt;=10,Indata!$E36,0)+IF(W53-1&gt;=15,Indata!$F36,0))</f>
        <v>-364202.79313195</v>
      </c>
      <c r="X71" s="28" t="n">
        <f aca="false">-((X56*Indata!$C36+X55*Indata!$D36)*(1+Indata!$C$8)^(X53-1))*(1+IF(X53-1&gt;=10,Indata!$E36,0)+IF(X53-1&gt;=15,Indata!$F36,0))</f>
        <v>-371486.848994589</v>
      </c>
      <c r="Y71" s="28" t="n">
        <f aca="false">-((Y56*Indata!$C36+Y55*Indata!$D36)*(1+Indata!$C$8)^(Y53-1))*(1+IF(Y53-1&gt;=10,Indata!$E36,0)+IF(Y53-1&gt;=15,Indata!$F36,0))</f>
        <v>-378916.585974481</v>
      </c>
      <c r="Z71" s="28" t="n">
        <f aca="false">-((Z56*Indata!$C36+Z55*Indata!$D36)*(1+Indata!$C$8)^(Z53-1))*(1+IF(Z53-1&gt;=10,Indata!$E36,0)+IF(Z53-1&gt;=15,Indata!$F36,0))</f>
        <v>-386494.91769397</v>
      </c>
      <c r="AA71" s="28" t="n">
        <f aca="false">-((AA56*Indata!$C36+AA55*Indata!$D36)*(1+Indata!$C$8)^(AA53-1))*(1+IF(AA53-1&gt;=10,Indata!$E36,0)+IF(AA53-1&gt;=15,Indata!$F36,0))</f>
        <v>-394224.81604785</v>
      </c>
      <c r="AB71" s="28" t="n">
        <f aca="false">-((AB56*Indata!$C36+AB55*Indata!$D36)*(1+Indata!$C$8)^(AB53-1))*(1+IF(AB53-1&gt;=10,Indata!$E36,0)+IF(AB53-1&gt;=15,Indata!$F36,0))</f>
        <v>-402109.312368807</v>
      </c>
    </row>
    <row r="72" customFormat="false" ht="15" hidden="false" customHeight="false" outlineLevel="0" collapsed="false">
      <c r="B72" s="1" t="s">
        <v>109</v>
      </c>
      <c r="D72" s="28" t="n">
        <f aca="false">-((D56*Indata!$C37+D55*Indata!$D37)*(1+Indata!$C$8)^(D53-1))*(1+IF(D53-1&gt;=10,Indata!$E37,0)+IF(D53-1&gt;=15,Indata!$F37,0))</f>
        <v>-150000</v>
      </c>
      <c r="E72" s="28" t="n">
        <f aca="false">-((E56*Indata!$C37+E55*Indata!$D37)*(1+Indata!$C$8)^(E53-1))*(1+IF(E53-1&gt;=10,Indata!$E37,0)+IF(E53-1&gt;=15,Indata!$F37,0))</f>
        <v>-153000</v>
      </c>
      <c r="F72" s="28" t="n">
        <f aca="false">-((F56*Indata!$C37+F55*Indata!$D37)*(1+Indata!$C$8)^(F53-1))*(1+IF(F53-1&gt;=10,Indata!$E37,0)+IF(F53-1&gt;=15,Indata!$F37,0))</f>
        <v>-156060</v>
      </c>
      <c r="G72" s="28" t="n">
        <f aca="false">-((G56*Indata!$C37+G55*Indata!$D37)*(1+Indata!$C$8)^(G53-1))*(1+IF(G53-1&gt;=10,Indata!$E37,0)+IF(G53-1&gt;=15,Indata!$F37,0))</f>
        <v>-159181.2</v>
      </c>
      <c r="H72" s="28" t="n">
        <f aca="false">-((H56*Indata!$C37+H55*Indata!$D37)*(1+Indata!$C$8)^(H53-1))*(1+IF(H53-1&gt;=10,Indata!$E37,0)+IF(H53-1&gt;=15,Indata!$F37,0))</f>
        <v>-162364.824</v>
      </c>
      <c r="I72" s="28" t="n">
        <f aca="false">-((I56*Indata!$C37+I55*Indata!$D37)*(1+Indata!$C$8)^(I53-1))*(1+IF(I53-1&gt;=10,Indata!$E37,0)+IF(I53-1&gt;=15,Indata!$F37,0))</f>
        <v>-165612.12048</v>
      </c>
      <c r="J72" s="28" t="n">
        <f aca="false">-((J56*Indata!$C37+J55*Indata!$D37)*(1+Indata!$C$8)^(J53-1))*(1+IF(J53-1&gt;=10,Indata!$E37,0)+IF(J53-1&gt;=15,Indata!$F37,0))</f>
        <v>-168924.3628896</v>
      </c>
      <c r="K72" s="28" t="n">
        <f aca="false">-((K56*Indata!$C37+K55*Indata!$D37)*(1+Indata!$C$8)^(K53-1))*(1+IF(K53-1&gt;=10,Indata!$E37,0)+IF(K53-1&gt;=15,Indata!$F37,0))</f>
        <v>-172302.850147392</v>
      </c>
      <c r="L72" s="28" t="n">
        <f aca="false">-((L56*Indata!$C37+L55*Indata!$D37)*(1+Indata!$C$8)^(L53-1))*(1+IF(L53-1&gt;=10,Indata!$E37,0)+IF(L53-1&gt;=15,Indata!$F37,0))</f>
        <v>-175748.90715034</v>
      </c>
      <c r="M72" s="28" t="n">
        <f aca="false">-((M56*Indata!$C37+M55*Indata!$D37)*(1+Indata!$C$8)^(M53-1))*(1+IF(M53-1&gt;=10,Indata!$E37,0)+IF(M53-1&gt;=15,Indata!$F37,0))</f>
        <v>-179263.885293347</v>
      </c>
      <c r="N72" s="28" t="n">
        <f aca="false">-((N56*Indata!$C37+N55*Indata!$D37)*(1+Indata!$C$8)^(N53-1))*(1+IF(N53-1&gt;=10,Indata!$E37,0)+IF(N53-1&gt;=15,Indata!$F37,0))</f>
        <v>-182849.162999214</v>
      </c>
      <c r="O72" s="28" t="n">
        <f aca="false">-((O56*Indata!$C37+O55*Indata!$D37)*(1+Indata!$C$8)^(O53-1))*(1+IF(O53-1&gt;=10,Indata!$E37,0)+IF(O53-1&gt;=15,Indata!$F37,0))</f>
        <v>-186506.146259198</v>
      </c>
      <c r="P72" s="28" t="n">
        <f aca="false">-((P56*Indata!$C37+P55*Indata!$D37)*(1+Indata!$C$8)^(P53-1))*(1+IF(P53-1&gt;=10,Indata!$E37,0)+IF(P53-1&gt;=15,Indata!$F37,0))</f>
        <v>-190236.269184382</v>
      </c>
      <c r="Q72" s="28" t="n">
        <f aca="false">-((Q56*Indata!$C37+Q55*Indata!$D37)*(1+Indata!$C$8)^(Q53-1))*(1+IF(Q53-1&gt;=10,Indata!$E37,0)+IF(Q53-1&gt;=15,Indata!$F37,0))</f>
        <v>-194040.99456807</v>
      </c>
      <c r="R72" s="28" t="n">
        <f aca="false">-((R56*Indata!$C37+R55*Indata!$D37)*(1+Indata!$C$8)^(R53-1))*(1+IF(R53-1&gt;=10,Indata!$E37,0)+IF(R53-1&gt;=15,Indata!$F37,0))</f>
        <v>-197921.814459431</v>
      </c>
      <c r="S72" s="28" t="n">
        <f aca="false">-((S56*Indata!$C37+S55*Indata!$D37)*(1+Indata!$C$8)^(S53-1))*(1+IF(S53-1&gt;=10,Indata!$E37,0)+IF(S53-1&gt;=15,Indata!$F37,0))</f>
        <v>-201880.25074862</v>
      </c>
      <c r="T72" s="28" t="n">
        <f aca="false">-((T56*Indata!$C37+T55*Indata!$D37)*(1+Indata!$C$8)^(T53-1))*(1+IF(T53-1&gt;=10,Indata!$E37,0)+IF(T53-1&gt;=15,Indata!$F37,0))</f>
        <v>-205917.855763592</v>
      </c>
      <c r="U72" s="28" t="n">
        <f aca="false">-((U56*Indata!$C37+U55*Indata!$D37)*(1+Indata!$C$8)^(U53-1))*(1+IF(U53-1&gt;=10,Indata!$E37,0)+IF(U53-1&gt;=15,Indata!$F37,0))</f>
        <v>-210036.212878864</v>
      </c>
      <c r="V72" s="28" t="n">
        <f aca="false">-((V56*Indata!$C37+V55*Indata!$D37)*(1+Indata!$C$8)^(V53-1))*(1+IF(V53-1&gt;=10,Indata!$E37,0)+IF(V53-1&gt;=15,Indata!$F37,0))</f>
        <v>-214236.937136441</v>
      </c>
      <c r="W72" s="28" t="n">
        <f aca="false">-((W56*Indata!$C37+W55*Indata!$D37)*(1+Indata!$C$8)^(W53-1))*(1+IF(W53-1&gt;=10,Indata!$E37,0)+IF(W53-1&gt;=15,Indata!$F37,0))</f>
        <v>-218521.67587917</v>
      </c>
      <c r="X72" s="28" t="n">
        <f aca="false">-((X56*Indata!$C37+X55*Indata!$D37)*(1+Indata!$C$8)^(X53-1))*(1+IF(X53-1&gt;=10,Indata!$E37,0)+IF(X53-1&gt;=15,Indata!$F37,0))</f>
        <v>-222892.109396753</v>
      </c>
      <c r="Y72" s="28" t="n">
        <f aca="false">-((Y56*Indata!$C37+Y55*Indata!$D37)*(1+Indata!$C$8)^(Y53-1))*(1+IF(Y53-1&gt;=10,Indata!$E37,0)+IF(Y53-1&gt;=15,Indata!$F37,0))</f>
        <v>-227349.951584688</v>
      </c>
      <c r="Z72" s="28" t="n">
        <f aca="false">-((Z56*Indata!$C37+Z55*Indata!$D37)*(1+Indata!$C$8)^(Z53-1))*(1+IF(Z53-1&gt;=10,Indata!$E37,0)+IF(Z53-1&gt;=15,Indata!$F37,0))</f>
        <v>-231896.950616382</v>
      </c>
      <c r="AA72" s="28" t="n">
        <f aca="false">-((AA56*Indata!$C37+AA55*Indata!$D37)*(1+Indata!$C$8)^(AA53-1))*(1+IF(AA53-1&gt;=10,Indata!$E37,0)+IF(AA53-1&gt;=15,Indata!$F37,0))</f>
        <v>-236534.88962871</v>
      </c>
      <c r="AB72" s="28" t="n">
        <f aca="false">-((AB56*Indata!$C37+AB55*Indata!$D37)*(1+Indata!$C$8)^(AB53-1))*(1+IF(AB53-1&gt;=10,Indata!$E37,0)+IF(AB53-1&gt;=15,Indata!$F37,0))</f>
        <v>-241265.587421284</v>
      </c>
    </row>
    <row r="73" customFormat="false" ht="15" hidden="false" customHeight="false" outlineLevel="0" collapsed="false">
      <c r="B73" s="1" t="s">
        <v>110</v>
      </c>
      <c r="D73" s="28" t="n">
        <f aca="false">-((D56*Indata!$C38+D55*Indata!$D38)*(1+Indata!$C$8)^(D53-1))*(1+IF(D53-1&gt;=10,Indata!$E38,0)+IF(D53-1&gt;=15,Indata!$F38,0))</f>
        <v>-200000</v>
      </c>
      <c r="E73" s="28" t="n">
        <f aca="false">-((E56*Indata!$C38+E55*Indata!$D38)*(1+Indata!$C$8)^(E53-1))*(1+IF(E53-1&gt;=10,Indata!$E38,0)+IF(E53-1&gt;=15,Indata!$F38,0))</f>
        <v>-204000</v>
      </c>
      <c r="F73" s="28" t="n">
        <f aca="false">-((F56*Indata!$C38+F55*Indata!$D38)*(1+Indata!$C$8)^(F53-1))*(1+IF(F53-1&gt;=10,Indata!$E38,0)+IF(F53-1&gt;=15,Indata!$F38,0))</f>
        <v>-208080</v>
      </c>
      <c r="G73" s="28" t="n">
        <f aca="false">-((G56*Indata!$C38+G55*Indata!$D38)*(1+Indata!$C$8)^(G53-1))*(1+IF(G53-1&gt;=10,Indata!$E38,0)+IF(G53-1&gt;=15,Indata!$F38,0))</f>
        <v>-212241.6</v>
      </c>
      <c r="H73" s="28" t="n">
        <f aca="false">-((H56*Indata!$C38+H55*Indata!$D38)*(1+Indata!$C$8)^(H53-1))*(1+IF(H53-1&gt;=10,Indata!$E38,0)+IF(H53-1&gt;=15,Indata!$F38,0))</f>
        <v>-216486.432</v>
      </c>
      <c r="I73" s="28" t="n">
        <f aca="false">-((I56*Indata!$C38+I55*Indata!$D38)*(1+Indata!$C$8)^(I53-1))*(1+IF(I53-1&gt;=10,Indata!$E38,0)+IF(I53-1&gt;=15,Indata!$F38,0))</f>
        <v>-220816.16064</v>
      </c>
      <c r="J73" s="28" t="n">
        <f aca="false">-((J56*Indata!$C38+J55*Indata!$D38)*(1+Indata!$C$8)^(J53-1))*(1+IF(J53-1&gt;=10,Indata!$E38,0)+IF(J53-1&gt;=15,Indata!$F38,0))</f>
        <v>-225232.4838528</v>
      </c>
      <c r="K73" s="28" t="n">
        <f aca="false">-((K56*Indata!$C38+K55*Indata!$D38)*(1+Indata!$C$8)^(K53-1))*(1+IF(K53-1&gt;=10,Indata!$E38,0)+IF(K53-1&gt;=15,Indata!$F38,0))</f>
        <v>-229737.133529856</v>
      </c>
      <c r="L73" s="28" t="n">
        <f aca="false">-((L56*Indata!$C38+L55*Indata!$D38)*(1+Indata!$C$8)^(L53-1))*(1+IF(L53-1&gt;=10,Indata!$E38,0)+IF(L53-1&gt;=15,Indata!$F38,0))</f>
        <v>-234331.876200453</v>
      </c>
      <c r="M73" s="28" t="n">
        <f aca="false">-((M56*Indata!$C38+M55*Indata!$D38)*(1+Indata!$C$8)^(M53-1))*(1+IF(M53-1&gt;=10,Indata!$E38,0)+IF(M53-1&gt;=15,Indata!$F38,0))</f>
        <v>-239018.513724462</v>
      </c>
      <c r="N73" s="28" t="n">
        <f aca="false">-((N56*Indata!$C38+N55*Indata!$D38)*(1+Indata!$C$8)^(N53-1))*(1+IF(N53-1&gt;=10,Indata!$E38,0)+IF(N53-1&gt;=15,Indata!$F38,0))</f>
        <v>-243798.883998951</v>
      </c>
      <c r="O73" s="28" t="n">
        <f aca="false">-((O56*Indata!$C38+O55*Indata!$D38)*(1+Indata!$C$8)^(O53-1))*(1+IF(O53-1&gt;=10,Indata!$E38,0)+IF(O53-1&gt;=15,Indata!$F38,0))</f>
        <v>-248674.861678931</v>
      </c>
      <c r="P73" s="28" t="n">
        <f aca="false">-((P56*Indata!$C38+P55*Indata!$D38)*(1+Indata!$C$8)^(P53-1))*(1+IF(P53-1&gt;=10,Indata!$E38,0)+IF(P53-1&gt;=15,Indata!$F38,0))</f>
        <v>-253648.358912509</v>
      </c>
      <c r="Q73" s="28" t="n">
        <f aca="false">-((Q56*Indata!$C38+Q55*Indata!$D38)*(1+Indata!$C$8)^(Q53-1))*(1+IF(Q53-1&gt;=10,Indata!$E38,0)+IF(Q53-1&gt;=15,Indata!$F38,0))</f>
        <v>-258721.326090759</v>
      </c>
      <c r="R73" s="28" t="n">
        <f aca="false">-((R56*Indata!$C38+R55*Indata!$D38)*(1+Indata!$C$8)^(R53-1))*(1+IF(R53-1&gt;=10,Indata!$E38,0)+IF(R53-1&gt;=15,Indata!$F38,0))</f>
        <v>-263895.752612575</v>
      </c>
      <c r="S73" s="28" t="n">
        <f aca="false">-((S56*Indata!$C38+S55*Indata!$D38)*(1+Indata!$C$8)^(S53-1))*(1+IF(S53-1&gt;=10,Indata!$E38,0)+IF(S53-1&gt;=15,Indata!$F38,0))</f>
        <v>-269173.667664826</v>
      </c>
      <c r="T73" s="28" t="n">
        <f aca="false">-((T56*Indata!$C38+T55*Indata!$D38)*(1+Indata!$C$8)^(T53-1))*(1+IF(T53-1&gt;=10,Indata!$E38,0)+IF(T53-1&gt;=15,Indata!$F38,0))</f>
        <v>-274557.141018123</v>
      </c>
      <c r="U73" s="28" t="n">
        <f aca="false">-((U56*Indata!$C38+U55*Indata!$D38)*(1+Indata!$C$8)^(U53-1))*(1+IF(U53-1&gt;=10,Indata!$E38,0)+IF(U53-1&gt;=15,Indata!$F38,0))</f>
        <v>-280048.283838485</v>
      </c>
      <c r="V73" s="28" t="n">
        <f aca="false">-((V56*Indata!$C38+V55*Indata!$D38)*(1+Indata!$C$8)^(V53-1))*(1+IF(V53-1&gt;=10,Indata!$E38,0)+IF(V53-1&gt;=15,Indata!$F38,0))</f>
        <v>-285649.249515255</v>
      </c>
      <c r="W73" s="28" t="n">
        <f aca="false">-((W56*Indata!$C38+W55*Indata!$D38)*(1+Indata!$C$8)^(W53-1))*(1+IF(W53-1&gt;=10,Indata!$E38,0)+IF(W53-1&gt;=15,Indata!$F38,0))</f>
        <v>-291362.23450556</v>
      </c>
      <c r="X73" s="28" t="n">
        <f aca="false">-((X56*Indata!$C38+X55*Indata!$D38)*(1+Indata!$C$8)^(X53-1))*(1+IF(X53-1&gt;=10,Indata!$E38,0)+IF(X53-1&gt;=15,Indata!$F38,0))</f>
        <v>-297189.479195671</v>
      </c>
      <c r="Y73" s="28" t="n">
        <f aca="false">-((Y56*Indata!$C38+Y55*Indata!$D38)*(1+Indata!$C$8)^(Y53-1))*(1+IF(Y53-1&gt;=10,Indata!$E38,0)+IF(Y53-1&gt;=15,Indata!$F38,0))</f>
        <v>-303133.268779584</v>
      </c>
      <c r="Z73" s="28" t="n">
        <f aca="false">-((Z56*Indata!$C38+Z55*Indata!$D38)*(1+Indata!$C$8)^(Z53-1))*(1+IF(Z53-1&gt;=10,Indata!$E38,0)+IF(Z53-1&gt;=15,Indata!$F38,0))</f>
        <v>-309195.934155176</v>
      </c>
      <c r="AA73" s="28" t="n">
        <f aca="false">-((AA56*Indata!$C38+AA55*Indata!$D38)*(1+Indata!$C$8)^(AA53-1))*(1+IF(AA53-1&gt;=10,Indata!$E38,0)+IF(AA53-1&gt;=15,Indata!$F38,0))</f>
        <v>-315379.85283828</v>
      </c>
      <c r="AB73" s="28" t="n">
        <f aca="false">-((AB56*Indata!$C38+AB55*Indata!$D38)*(1+Indata!$C$8)^(AB53-1))*(1+IF(AB53-1&gt;=10,Indata!$E38,0)+IF(AB53-1&gt;=15,Indata!$F38,0))</f>
        <v>-321687.449895045</v>
      </c>
    </row>
    <row r="74" customFormat="false" ht="15" hidden="false" customHeight="false" outlineLevel="0" collapsed="false">
      <c r="B74" s="1" t="s">
        <v>111</v>
      </c>
      <c r="D74" s="28" t="n">
        <f aca="false">-((D56*Indata!$C39+D55*Indata!$D39)*(1+Indata!$C$8)^(D53-1))*(1+IF(D53-1&gt;=10,Indata!$E39,0)+IF(D53-1&gt;=15,Indata!$F39,0))</f>
        <v>-750000</v>
      </c>
      <c r="E74" s="28" t="n">
        <f aca="false">-((E56*Indata!$C39+E55*Indata!$D39)*(1+Indata!$C$8)^(E53-1))*(1+IF(E53-1&gt;=10,Indata!$E39,0)+IF(E53-1&gt;=15,Indata!$F39,0))</f>
        <v>-765000</v>
      </c>
      <c r="F74" s="28" t="n">
        <f aca="false">-((F56*Indata!$C39+F55*Indata!$D39)*(1+Indata!$C$8)^(F53-1))*(1+IF(F53-1&gt;=10,Indata!$E39,0)+IF(F53-1&gt;=15,Indata!$F39,0))</f>
        <v>-780300</v>
      </c>
      <c r="G74" s="28" t="n">
        <f aca="false">-((G56*Indata!$C39+G55*Indata!$D39)*(1+Indata!$C$8)^(G53-1))*(1+IF(G53-1&gt;=10,Indata!$E39,0)+IF(G53-1&gt;=15,Indata!$F39,0))</f>
        <v>-795906</v>
      </c>
      <c r="H74" s="28" t="n">
        <f aca="false">-((H56*Indata!$C39+H55*Indata!$D39)*(1+Indata!$C$8)^(H53-1))*(1+IF(H53-1&gt;=10,Indata!$E39,0)+IF(H53-1&gt;=15,Indata!$F39,0))</f>
        <v>-811824.12</v>
      </c>
      <c r="I74" s="28" t="n">
        <f aca="false">-((I56*Indata!$C39+I55*Indata!$D39)*(1+Indata!$C$8)^(I53-1))*(1+IF(I53-1&gt;=10,Indata!$E39,0)+IF(I53-1&gt;=15,Indata!$F39,0))</f>
        <v>-828060.6024</v>
      </c>
      <c r="J74" s="28" t="n">
        <f aca="false">-((J56*Indata!$C39+J55*Indata!$D39)*(1+Indata!$C$8)^(J53-1))*(1+IF(J53-1&gt;=10,Indata!$E39,0)+IF(J53-1&gt;=15,Indata!$F39,0))</f>
        <v>-844621.814448</v>
      </c>
      <c r="K74" s="28" t="n">
        <f aca="false">-((K56*Indata!$C39+K55*Indata!$D39)*(1+Indata!$C$8)^(K53-1))*(1+IF(K53-1&gt;=10,Indata!$E39,0)+IF(K53-1&gt;=15,Indata!$F39,0))</f>
        <v>-861514.25073696</v>
      </c>
      <c r="L74" s="28" t="n">
        <f aca="false">-((L56*Indata!$C39+L55*Indata!$D39)*(1+Indata!$C$8)^(L53-1))*(1+IF(L53-1&gt;=10,Indata!$E39,0)+IF(L53-1&gt;=15,Indata!$F39,0))</f>
        <v>-878744.535751699</v>
      </c>
      <c r="M74" s="28" t="n">
        <f aca="false">-((M56*Indata!$C39+M55*Indata!$D39)*(1+Indata!$C$8)^(M53-1))*(1+IF(M53-1&gt;=10,Indata!$E39,0)+IF(M53-1&gt;=15,Indata!$F39,0))</f>
        <v>-896319.426466733</v>
      </c>
      <c r="N74" s="28" t="n">
        <f aca="false">-((N56*Indata!$C39+N55*Indata!$D39)*(1+Indata!$C$8)^(N53-1))*(1+IF(N53-1&gt;=10,Indata!$E39,0)+IF(N53-1&gt;=15,Indata!$F39,0))</f>
        <v>-914245.814996068</v>
      </c>
      <c r="O74" s="28" t="n">
        <f aca="false">-((O56*Indata!$C39+O55*Indata!$D39)*(1+Indata!$C$8)^(O53-1))*(1+IF(O53-1&gt;=10,Indata!$E39,0)+IF(O53-1&gt;=15,Indata!$F39,0))</f>
        <v>-932530.731295989</v>
      </c>
      <c r="P74" s="28" t="n">
        <f aca="false">-((P56*Indata!$C39+P55*Indata!$D39)*(1+Indata!$C$8)^(P53-1))*(1+IF(P53-1&gt;=10,Indata!$E39,0)+IF(P53-1&gt;=15,Indata!$F39,0))</f>
        <v>-951181.345921909</v>
      </c>
      <c r="Q74" s="28" t="n">
        <f aca="false">-((Q56*Indata!$C39+Q55*Indata!$D39)*(1+Indata!$C$8)^(Q53-1))*(1+IF(Q53-1&gt;=10,Indata!$E39,0)+IF(Q53-1&gt;=15,Indata!$F39,0))</f>
        <v>-970204.972840347</v>
      </c>
      <c r="R74" s="28" t="n">
        <f aca="false">-((R56*Indata!$C39+R55*Indata!$D39)*(1+Indata!$C$8)^(R53-1))*(1+IF(R53-1&gt;=10,Indata!$E39,0)+IF(R53-1&gt;=15,Indata!$F39,0))</f>
        <v>-989609.072297154</v>
      </c>
      <c r="S74" s="28" t="n">
        <f aca="false">-((S56*Indata!$C39+S55*Indata!$D39)*(1+Indata!$C$8)^(S53-1))*(1+IF(S53-1&gt;=10,Indata!$E39,0)+IF(S53-1&gt;=15,Indata!$F39,0))</f>
        <v>-1009401.2537431</v>
      </c>
      <c r="T74" s="28" t="n">
        <f aca="false">-((T56*Indata!$C39+T55*Indata!$D39)*(1+Indata!$C$8)^(T53-1))*(1+IF(T53-1&gt;=10,Indata!$E39,0)+IF(T53-1&gt;=15,Indata!$F39,0))</f>
        <v>-1029589.27881796</v>
      </c>
      <c r="U74" s="28" t="n">
        <f aca="false">-((U56*Indata!$C39+U55*Indata!$D39)*(1+Indata!$C$8)^(U53-1))*(1+IF(U53-1&gt;=10,Indata!$E39,0)+IF(U53-1&gt;=15,Indata!$F39,0))</f>
        <v>-1050181.06439432</v>
      </c>
      <c r="V74" s="28" t="n">
        <f aca="false">-((V56*Indata!$C39+V55*Indata!$D39)*(1+Indata!$C$8)^(V53-1))*(1+IF(V53-1&gt;=10,Indata!$E39,0)+IF(V53-1&gt;=15,Indata!$F39,0))</f>
        <v>-1071184.68568221</v>
      </c>
      <c r="W74" s="28" t="n">
        <f aca="false">-((W56*Indata!$C39+W55*Indata!$D39)*(1+Indata!$C$8)^(W53-1))*(1+IF(W53-1&gt;=10,Indata!$E39,0)+IF(W53-1&gt;=15,Indata!$F39,0))</f>
        <v>-1092608.37939585</v>
      </c>
      <c r="X74" s="28" t="n">
        <f aca="false">-((X56*Indata!$C39+X55*Indata!$D39)*(1+Indata!$C$8)^(X53-1))*(1+IF(X53-1&gt;=10,Indata!$E39,0)+IF(X53-1&gt;=15,Indata!$F39,0))</f>
        <v>-1114460.54698377</v>
      </c>
      <c r="Y74" s="28" t="n">
        <f aca="false">-((Y56*Indata!$C39+Y55*Indata!$D39)*(1+Indata!$C$8)^(Y53-1))*(1+IF(Y53-1&gt;=10,Indata!$E39,0)+IF(Y53-1&gt;=15,Indata!$F39,0))</f>
        <v>-1136749.75792344</v>
      </c>
      <c r="Z74" s="28" t="n">
        <f aca="false">-((Z56*Indata!$C39+Z55*Indata!$D39)*(1+Indata!$C$8)^(Z53-1))*(1+IF(Z53-1&gt;=10,Indata!$E39,0)+IF(Z53-1&gt;=15,Indata!$F39,0))</f>
        <v>-1159484.75308191</v>
      </c>
      <c r="AA74" s="28" t="n">
        <f aca="false">-((AA56*Indata!$C39+AA55*Indata!$D39)*(1+Indata!$C$8)^(AA53-1))*(1+IF(AA53-1&gt;=10,Indata!$E39,0)+IF(AA53-1&gt;=15,Indata!$F39,0))</f>
        <v>-1182674.44814355</v>
      </c>
      <c r="AB74" s="28" t="n">
        <f aca="false">-((AB56*Indata!$C39+AB55*Indata!$D39)*(1+Indata!$C$8)^(AB53-1))*(1+IF(AB53-1&gt;=10,Indata!$E39,0)+IF(AB53-1&gt;=15,Indata!$F39,0))</f>
        <v>-1206327.93710642</v>
      </c>
    </row>
    <row r="75" customFormat="false" ht="15" hidden="false" customHeight="false" outlineLevel="0" collapsed="false">
      <c r="B75" s="1" t="s">
        <v>271</v>
      </c>
      <c r="D75" s="28" t="n">
        <f aca="false">-((D56*Indata!$C40+D55*Indata!$D40)*(1+Indata!$C$8)^(D53-1))*(1+IF(D53-1&gt;=10,Indata!$E40,0)+IF(D53-1&gt;=15,Indata!$F40,0))</f>
        <v>-650000</v>
      </c>
      <c r="E75" s="28" t="n">
        <f aca="false">-((E56*Indata!$C40+E55*Indata!$D40)*(1+Indata!$C$8)^(E53-1))*(1+IF(E53-1&gt;=10,Indata!$E40,0)+IF(E53-1&gt;=15,Indata!$F40,0))</f>
        <v>-663000</v>
      </c>
      <c r="F75" s="28" t="n">
        <f aca="false">-((F56*Indata!$C40+F55*Indata!$D40)*(1+Indata!$C$8)^(F53-1))*(1+IF(F53-1&gt;=10,Indata!$E40,0)+IF(F53-1&gt;=15,Indata!$F40,0))</f>
        <v>-676260</v>
      </c>
      <c r="G75" s="28" t="n">
        <f aca="false">-((G56*Indata!$C40+G55*Indata!$D40)*(1+Indata!$C$8)^(G53-1))*(1+IF(G53-1&gt;=10,Indata!$E40,0)+IF(G53-1&gt;=15,Indata!$F40,0))</f>
        <v>-689785.2</v>
      </c>
      <c r="H75" s="28" t="n">
        <f aca="false">-((H56*Indata!$C40+H55*Indata!$D40)*(1+Indata!$C$8)^(H53-1))*(1+IF(H53-1&gt;=10,Indata!$E40,0)+IF(H53-1&gt;=15,Indata!$F40,0))</f>
        <v>-703580.904</v>
      </c>
      <c r="I75" s="28" t="n">
        <f aca="false">-((I56*Indata!$C40+I55*Indata!$D40)*(1+Indata!$C$8)^(I53-1))*(1+IF(I53-1&gt;=10,Indata!$E40,0)+IF(I53-1&gt;=15,Indata!$F40,0))</f>
        <v>-717652.52208</v>
      </c>
      <c r="J75" s="28" t="n">
        <f aca="false">-((J56*Indata!$C40+J55*Indata!$D40)*(1+Indata!$C$8)^(J53-1))*(1+IF(J53-1&gt;=10,Indata!$E40,0)+IF(J53-1&gt;=15,Indata!$F40,0))</f>
        <v>-732005.5725216</v>
      </c>
      <c r="K75" s="28" t="n">
        <f aca="false">-((K56*Indata!$C40+K55*Indata!$D40)*(1+Indata!$C$8)^(K53-1))*(1+IF(K53-1&gt;=10,Indata!$E40,0)+IF(K53-1&gt;=15,Indata!$F40,0))</f>
        <v>-746645.683972032</v>
      </c>
      <c r="L75" s="28" t="n">
        <f aca="false">-((L56*Indata!$C40+L55*Indata!$D40)*(1+Indata!$C$8)^(L53-1))*(1+IF(L53-1&gt;=10,Indata!$E40,0)+IF(L53-1&gt;=15,Indata!$F40,0))</f>
        <v>-761578.597651473</v>
      </c>
      <c r="M75" s="28" t="n">
        <f aca="false">-((M56*Indata!$C40+M55*Indata!$D40)*(1+Indata!$C$8)^(M53-1))*(1+IF(M53-1&gt;=10,Indata!$E40,0)+IF(M53-1&gt;=15,Indata!$F40,0))</f>
        <v>-776810.169604502</v>
      </c>
      <c r="N75" s="28" t="n">
        <f aca="false">-((N56*Indata!$C40+N55*Indata!$D40)*(1+Indata!$C$8)^(N53-1))*(1+IF(N53-1&gt;=10,Indata!$E40,0)+IF(N53-1&gt;=15,Indata!$F40,0))</f>
        <v>-792346.372996592</v>
      </c>
      <c r="O75" s="28" t="n">
        <f aca="false">-((O56*Indata!$C40+O55*Indata!$D40)*(1+Indata!$C$8)^(O53-1))*(1+IF(O53-1&gt;=10,Indata!$E40,0)+IF(O53-1&gt;=15,Indata!$F40,0))</f>
        <v>-808193.300456524</v>
      </c>
      <c r="P75" s="28" t="n">
        <f aca="false">-((P56*Indata!$C40+P55*Indata!$D40)*(1+Indata!$C$8)^(P53-1))*(1+IF(P53-1&gt;=10,Indata!$E40,0)+IF(P53-1&gt;=15,Indata!$F40,0))</f>
        <v>-824357.166465655</v>
      </c>
      <c r="Q75" s="28" t="n">
        <f aca="false">-((Q56*Indata!$C40+Q55*Indata!$D40)*(1+Indata!$C$8)^(Q53-1))*(1+IF(Q53-1&gt;=10,Indata!$E40,0)+IF(Q53-1&gt;=15,Indata!$F40,0))</f>
        <v>-840844.309794968</v>
      </c>
      <c r="R75" s="28" t="n">
        <f aca="false">-((R56*Indata!$C40+R55*Indata!$D40)*(1+Indata!$C$8)^(R53-1))*(1+IF(R53-1&gt;=10,Indata!$E40,0)+IF(R53-1&gt;=15,Indata!$F40,0))</f>
        <v>-857661.195990867</v>
      </c>
      <c r="S75" s="28" t="n">
        <f aca="false">-((S56*Indata!$C40+S55*Indata!$D40)*(1+Indata!$C$8)^(S53-1))*(1+IF(S53-1&gt;=10,Indata!$E40,0)+IF(S53-1&gt;=15,Indata!$F40,0))</f>
        <v>-874814.419910685</v>
      </c>
      <c r="T75" s="28" t="n">
        <f aca="false">-((T56*Indata!$C40+T55*Indata!$D40)*(1+Indata!$C$8)^(T53-1))*(1+IF(T53-1&gt;=10,Indata!$E40,0)+IF(T53-1&gt;=15,Indata!$F40,0))</f>
        <v>-892310.708308898</v>
      </c>
      <c r="U75" s="28" t="n">
        <f aca="false">-((U56*Indata!$C40+U55*Indata!$D40)*(1+Indata!$C$8)^(U53-1))*(1+IF(U53-1&gt;=10,Indata!$E40,0)+IF(U53-1&gt;=15,Indata!$F40,0))</f>
        <v>-910156.922475076</v>
      </c>
      <c r="V75" s="28" t="n">
        <f aca="false">-((V56*Indata!$C40+V55*Indata!$D40)*(1+Indata!$C$8)^(V53-1))*(1+IF(V53-1&gt;=10,Indata!$E40,0)+IF(V53-1&gt;=15,Indata!$F40,0))</f>
        <v>-928360.060924578</v>
      </c>
      <c r="W75" s="28" t="n">
        <f aca="false">-((W56*Indata!$C40+W55*Indata!$D40)*(1+Indata!$C$8)^(W53-1))*(1+IF(W53-1&gt;=10,Indata!$E40,0)+IF(W53-1&gt;=15,Indata!$F40,0))</f>
        <v>-946927.262143069</v>
      </c>
      <c r="X75" s="28" t="n">
        <f aca="false">-((X56*Indata!$C40+X55*Indata!$D40)*(1+Indata!$C$8)^(X53-1))*(1+IF(X53-1&gt;=10,Indata!$E40,0)+IF(X53-1&gt;=15,Indata!$F40,0))</f>
        <v>-965865.807385931</v>
      </c>
      <c r="Y75" s="28" t="n">
        <f aca="false">-((Y56*Indata!$C40+Y55*Indata!$D40)*(1+Indata!$C$8)^(Y53-1))*(1+IF(Y53-1&gt;=10,Indata!$E40,0)+IF(Y53-1&gt;=15,Indata!$F40,0))</f>
        <v>-985183.123533649</v>
      </c>
      <c r="Z75" s="28" t="n">
        <f aca="false">-((Z56*Indata!$C40+Z55*Indata!$D40)*(1+Indata!$C$8)^(Z53-1))*(1+IF(Z53-1&gt;=10,Indata!$E40,0)+IF(Z53-1&gt;=15,Indata!$F40,0))</f>
        <v>-1004886.78600432</v>
      </c>
      <c r="AA75" s="28" t="n">
        <f aca="false">-((AA56*Indata!$C40+AA55*Indata!$D40)*(1+Indata!$C$8)^(AA53-1))*(1+IF(AA53-1&gt;=10,Indata!$E40,0)+IF(AA53-1&gt;=15,Indata!$F40,0))</f>
        <v>-1024984.52172441</v>
      </c>
      <c r="AB75" s="28" t="n">
        <f aca="false">-((AB56*Indata!$C40+AB55*Indata!$D40)*(1+Indata!$C$8)^(AB53-1))*(1+IF(AB53-1&gt;=10,Indata!$E40,0)+IF(AB53-1&gt;=15,Indata!$F40,0))</f>
        <v>-1045484.2121589</v>
      </c>
    </row>
    <row r="76" customFormat="false" ht="15" hidden="false" customHeight="false" outlineLevel="0" collapsed="false">
      <c r="B76" s="1" t="s">
        <v>272</v>
      </c>
      <c r="D76" s="28" t="n">
        <f aca="false">-IFERROR(SUMIF(Indata!$D$45:$D$99,D52,Indata!$F$45:$F$99),0)</f>
        <v>-0</v>
      </c>
      <c r="E76" s="28" t="n">
        <f aca="false">-IFERROR(SUMIF(Indata!$D$45:$D$99,E52,Indata!$F$45:$F$99),0)</f>
        <v>-0</v>
      </c>
      <c r="F76" s="28" t="n">
        <f aca="false">-IFERROR(SUMIF(Indata!$D$45:$D$99,F52,Indata!$F$45:$F$99),0)</f>
        <v>-0</v>
      </c>
      <c r="G76" s="28" t="n">
        <f aca="false">-IFERROR(SUMIF(Indata!$D$45:$D$99,G52,Indata!$F$45:$F$99),0)</f>
        <v>-0</v>
      </c>
      <c r="H76" s="28" t="n">
        <f aca="false">-IFERROR(SUMIF(Indata!$D$45:$D$99,H52,Indata!$F$45:$F$99),0)</f>
        <v>-0</v>
      </c>
      <c r="I76" s="28" t="n">
        <f aca="false">-IFERROR(SUMIF(Indata!$D$45:$D$99,I52,Indata!$F$45:$F$99),0)</f>
        <v>-0</v>
      </c>
      <c r="J76" s="28" t="n">
        <f aca="false">-IFERROR(SUMIF(Indata!$D$45:$D$99,J52,Indata!$F$45:$F$99),0)</f>
        <v>-0</v>
      </c>
      <c r="K76" s="28" t="n">
        <f aca="false">-IFERROR(SUMIF(Indata!$D$45:$D$99,K52,Indata!$F$45:$F$99),0)</f>
        <v>-0</v>
      </c>
      <c r="L76" s="28" t="n">
        <f aca="false">-IFERROR(SUMIF(Indata!$D$45:$D$99,L52,Indata!$F$45:$F$99),0)</f>
        <v>-0</v>
      </c>
      <c r="M76" s="28" t="n">
        <f aca="false">-IFERROR(SUMIF(Indata!$D$45:$D$99,M52,Indata!$F$45:$F$99),0)</f>
        <v>-0</v>
      </c>
      <c r="N76" s="28" t="n">
        <f aca="false">-IFERROR(SUMIF(Indata!$D$45:$D$99,N52,Indata!$F$45:$F$99),0)</f>
        <v>-0</v>
      </c>
      <c r="O76" s="28" t="n">
        <f aca="false">-IFERROR(SUMIF(Indata!$D$45:$D$99,O52,Indata!$F$45:$F$99),0)</f>
        <v>-0</v>
      </c>
      <c r="P76" s="28" t="n">
        <f aca="false">-IFERROR(SUMIF(Indata!$D$45:$D$99,P52,Indata!$F$45:$F$99),0)</f>
        <v>-0</v>
      </c>
      <c r="Q76" s="28" t="n">
        <f aca="false">-IFERROR(SUMIF(Indata!$D$45:$D$99,Q52,Indata!$F$45:$F$99),0)</f>
        <v>-0</v>
      </c>
      <c r="R76" s="28" t="n">
        <f aca="false">-IFERROR(SUMIF(Indata!$D$45:$D$99,R52,Indata!$F$45:$F$99),0)</f>
        <v>-0</v>
      </c>
      <c r="S76" s="28" t="n">
        <f aca="false">-IFERROR(SUMIF(Indata!$D$45:$D$99,S52,Indata!$F$45:$F$99),0)</f>
        <v>-0</v>
      </c>
      <c r="T76" s="28" t="n">
        <f aca="false">-IFERROR(SUMIF(Indata!$D$45:$D$99,T52,Indata!$F$45:$F$99),0)</f>
        <v>-0</v>
      </c>
      <c r="U76" s="28" t="n">
        <f aca="false">-IFERROR(SUMIF(Indata!$D$45:$D$99,U52,Indata!$F$45:$F$99),0)</f>
        <v>-0</v>
      </c>
      <c r="V76" s="28" t="n">
        <f aca="false">-IFERROR(SUMIF(Indata!$D$45:$D$99,V52,Indata!$F$45:$F$99),0)</f>
        <v>-0</v>
      </c>
      <c r="W76" s="28" t="n">
        <f aca="false">-IFERROR(SUMIF(Indata!$D$45:$D$99,W52,Indata!$F$45:$F$99),0)</f>
        <v>-0</v>
      </c>
      <c r="X76" s="28" t="n">
        <f aca="false">-IFERROR(SUMIF(Indata!$D$45:$D$99,X52,Indata!$F$45:$F$99),0)</f>
        <v>-0</v>
      </c>
      <c r="Y76" s="28" t="n">
        <f aca="false">-IFERROR(SUMIF(Indata!$D$45:$D$99,Y52,Indata!$F$45:$F$99),0)</f>
        <v>-0</v>
      </c>
      <c r="Z76" s="28" t="n">
        <f aca="false">-IFERROR(SUMIF(Indata!$D$45:$D$99,Z52,Indata!$F$45:$F$99),0)</f>
        <v>-0</v>
      </c>
      <c r="AA76" s="28" t="n">
        <f aca="false">-IFERROR(SUMIF(Indata!$D$45:$D$99,AA52,Indata!$F$45:$F$99),0)</f>
        <v>-0</v>
      </c>
      <c r="AB76" s="28" t="n">
        <f aca="false">-IFERROR(SUMIF(Indata!$D$45:$D$99,AB52,Indata!$F$45:$F$99),0)</f>
        <v>-0</v>
      </c>
    </row>
    <row r="77" customFormat="false" ht="15" hidden="false" customHeight="false" outlineLevel="0" collapsed="false">
      <c r="B77" s="41" t="s">
        <v>273</v>
      </c>
      <c r="D77" s="42" t="n">
        <f aca="false">SUM(D71:D76)</f>
        <v>-2000000</v>
      </c>
      <c r="E77" s="42" t="n">
        <f aca="false">SUM(E71:E76)</f>
        <v>-2040000</v>
      </c>
      <c r="F77" s="42" t="n">
        <f aca="false">SUM(F71:F76)</f>
        <v>-2080800</v>
      </c>
      <c r="G77" s="42" t="n">
        <f aca="false">SUM(G71:G76)</f>
        <v>-2122416</v>
      </c>
      <c r="H77" s="42" t="n">
        <f aca="false">SUM(H71:H76)</f>
        <v>-2164864.32</v>
      </c>
      <c r="I77" s="42" t="n">
        <f aca="false">SUM(I71:I76)</f>
        <v>-2208161.6064</v>
      </c>
      <c r="J77" s="42" t="n">
        <f aca="false">SUM(J71:J76)</f>
        <v>-2252324.838528</v>
      </c>
      <c r="K77" s="42" t="n">
        <f aca="false">SUM(K71:K76)</f>
        <v>-2297371.33529856</v>
      </c>
      <c r="L77" s="42" t="n">
        <f aca="false">SUM(L71:L76)</f>
        <v>-2343318.76200453</v>
      </c>
      <c r="M77" s="42" t="n">
        <f aca="false">SUM(M71:M76)</f>
        <v>-2390185.13724462</v>
      </c>
      <c r="N77" s="42" t="n">
        <f aca="false">SUM(N71:N76)</f>
        <v>-2437988.83998951</v>
      </c>
      <c r="O77" s="42" t="n">
        <f aca="false">SUM(O71:O76)</f>
        <v>-2486748.6167893</v>
      </c>
      <c r="P77" s="42" t="n">
        <f aca="false">SUM(P71:P76)</f>
        <v>-2536483.58912509</v>
      </c>
      <c r="Q77" s="42" t="n">
        <f aca="false">SUM(Q71:Q76)</f>
        <v>-2587213.26090759</v>
      </c>
      <c r="R77" s="42" t="n">
        <f aca="false">SUM(R71:R76)</f>
        <v>-2638957.52612575</v>
      </c>
      <c r="S77" s="42" t="n">
        <f aca="false">SUM(S71:S76)</f>
        <v>-2691736.67664826</v>
      </c>
      <c r="T77" s="42" t="n">
        <f aca="false">SUM(T71:T76)</f>
        <v>-2745571.41018123</v>
      </c>
      <c r="U77" s="42" t="n">
        <f aca="false">SUM(U71:U76)</f>
        <v>-2800482.83838485</v>
      </c>
      <c r="V77" s="42" t="n">
        <f aca="false">SUM(V71:V76)</f>
        <v>-2856492.49515255</v>
      </c>
      <c r="W77" s="42" t="n">
        <f aca="false">SUM(W71:W76)</f>
        <v>-2913622.3450556</v>
      </c>
      <c r="X77" s="42" t="n">
        <f aca="false">SUM(X71:X76)</f>
        <v>-2971894.79195671</v>
      </c>
      <c r="Y77" s="42" t="n">
        <f aca="false">SUM(Y71:Y76)</f>
        <v>-3031332.68779584</v>
      </c>
      <c r="Z77" s="42" t="n">
        <f aca="false">SUM(Z71:Z76)</f>
        <v>-3091959.34155176</v>
      </c>
      <c r="AA77" s="42" t="n">
        <f aca="false">SUM(AA71:AA76)</f>
        <v>-3153798.5283828</v>
      </c>
      <c r="AB77" s="42" t="n">
        <f aca="false">SUM(AB71:AB76)</f>
        <v>-3216874.49895045</v>
      </c>
    </row>
    <row r="79" customFormat="false" ht="15" hidden="false" customHeight="false" outlineLevel="0" collapsed="false">
      <c r="B79" s="1" t="s">
        <v>274</v>
      </c>
      <c r="D79" s="28" t="n">
        <f aca="false">-Indata!$C$55*Indata!$C$54*(1+Indata!$C$8)^(D53-1)</f>
        <v>-0</v>
      </c>
      <c r="E79" s="28" t="n">
        <f aca="false">-Indata!$C$55*Indata!$C$54*(1+Indata!$C$8)^(E53-1)</f>
        <v>-0</v>
      </c>
      <c r="F79" s="28" t="n">
        <f aca="false">-Indata!$C$55*Indata!$C$54*(1+Indata!$C$8)^(F53-1)</f>
        <v>-0</v>
      </c>
      <c r="G79" s="28" t="n">
        <f aca="false">-Indata!$C$55*Indata!$C$54*(1+Indata!$C$8)^(G53-1)</f>
        <v>-0</v>
      </c>
      <c r="H79" s="28" t="n">
        <f aca="false">-Indata!$C$55*Indata!$C$54*(1+Indata!$C$8)^(H53-1)</f>
        <v>-0</v>
      </c>
      <c r="I79" s="28" t="n">
        <f aca="false">-Indata!$C$55*Indata!$C$54*(1+Indata!$C$8)^(I53-1)</f>
        <v>-0</v>
      </c>
      <c r="J79" s="28" t="n">
        <f aca="false">-Indata!$C$55*Indata!$C$54*(1+Indata!$C$8)^(J53-1)</f>
        <v>-0</v>
      </c>
      <c r="K79" s="28" t="n">
        <f aca="false">-Indata!$C$55*Indata!$C$54*(1+Indata!$C$8)^(K53-1)</f>
        <v>-0</v>
      </c>
      <c r="L79" s="28" t="n">
        <f aca="false">-Indata!$C$55*Indata!$C$54*(1+Indata!$C$8)^(L53-1)</f>
        <v>-0</v>
      </c>
      <c r="M79" s="28" t="n">
        <f aca="false">-Indata!$C$55*Indata!$C$54*(1+Indata!$C$8)^(M53-1)</f>
        <v>-0</v>
      </c>
      <c r="N79" s="28" t="n">
        <f aca="false">-Indata!$C$55*Indata!$C$54*(1+Indata!$C$8)^(N53-1)</f>
        <v>-0</v>
      </c>
      <c r="O79" s="28" t="n">
        <f aca="false">-Indata!$C$55*Indata!$C$54*(1+Indata!$C$8)^(O53-1)</f>
        <v>-0</v>
      </c>
      <c r="P79" s="28" t="n">
        <f aca="false">-Indata!$C$55*Indata!$C$54*(1+Indata!$C$8)^(P53-1)</f>
        <v>-0</v>
      </c>
      <c r="Q79" s="28" t="n">
        <f aca="false">-Indata!$C$55*Indata!$C$54*(1+Indata!$C$8)^(Q53-1)</f>
        <v>-0</v>
      </c>
      <c r="R79" s="28" t="n">
        <f aca="false">-Indata!$C$55*Indata!$C$54*(1+Indata!$C$8)^(R53-1)</f>
        <v>-0</v>
      </c>
      <c r="S79" s="28" t="n">
        <f aca="false">-Indata!$C$55*Indata!$C$54*(1+Indata!$C$8)^(S53-1)</f>
        <v>-0</v>
      </c>
      <c r="T79" s="28" t="n">
        <f aca="false">-Indata!$C$55*Indata!$C$54*(1+Indata!$C$8)^(T53-1)</f>
        <v>-0</v>
      </c>
      <c r="U79" s="28" t="n">
        <f aca="false">-Indata!$C$55*Indata!$C$54*(1+Indata!$C$8)^(U53-1)</f>
        <v>-0</v>
      </c>
      <c r="V79" s="28" t="n">
        <f aca="false">-Indata!$C$55*Indata!$C$54*(1+Indata!$C$8)^(V53-1)</f>
        <v>-0</v>
      </c>
      <c r="W79" s="28" t="n">
        <f aca="false">-Indata!$C$55*Indata!$C$54*(1+Indata!$C$8)^(W53-1)</f>
        <v>-0</v>
      </c>
      <c r="X79" s="28" t="n">
        <f aca="false">-Indata!$C$55*Indata!$C$54*(1+Indata!$C$8)^(X53-1)</f>
        <v>-0</v>
      </c>
      <c r="Y79" s="28" t="n">
        <f aca="false">-Indata!$C$55*Indata!$C$54*(1+Indata!$C$8)^(Y53-1)</f>
        <v>-0</v>
      </c>
      <c r="Z79" s="28" t="n">
        <f aca="false">-Indata!$C$55*Indata!$C$54*(1+Indata!$C$8)^(Z53-1)</f>
        <v>-0</v>
      </c>
      <c r="AA79" s="28" t="n">
        <f aca="false">-Indata!$C$55*Indata!$C$54*(1+Indata!$C$8)^(AA53-1)</f>
        <v>-0</v>
      </c>
      <c r="AB79" s="28" t="n">
        <f aca="false">-Indata!$C$55*Indata!$C$54*(1+Indata!$C$8)^(AB53-1)</f>
        <v>-0</v>
      </c>
    </row>
    <row r="80" customFormat="false" ht="15" hidden="false" customHeight="false" outlineLevel="0" collapsed="false">
      <c r="B80" s="1" t="s">
        <v>123</v>
      </c>
      <c r="D80" s="28" t="n">
        <f aca="false">-Indata!$C$56*(1+Indata!$C$8)^(D53-1)</f>
        <v>-0</v>
      </c>
      <c r="E80" s="28" t="n">
        <f aca="false">-Indata!$C$56*(1+Indata!$C$8)^(E53-1)</f>
        <v>-0</v>
      </c>
      <c r="F80" s="28" t="n">
        <f aca="false">-Indata!$C$56*(1+Indata!$C$8)^(F53-1)</f>
        <v>-0</v>
      </c>
      <c r="G80" s="28" t="n">
        <f aca="false">-Indata!$C$56*(1+Indata!$C$8)^(G53-1)</f>
        <v>-0</v>
      </c>
      <c r="H80" s="28" t="n">
        <f aca="false">-Indata!$C$56*(1+Indata!$C$8)^(H53-1)</f>
        <v>-0</v>
      </c>
      <c r="I80" s="28" t="n">
        <f aca="false">-Indata!$C$56*(1+Indata!$C$8)^(I53-1)</f>
        <v>-0</v>
      </c>
      <c r="J80" s="28" t="n">
        <f aca="false">-Indata!$C$56*(1+Indata!$C$8)^(J53-1)</f>
        <v>-0</v>
      </c>
      <c r="K80" s="28" t="n">
        <f aca="false">-Indata!$C$56*(1+Indata!$C$8)^(K53-1)</f>
        <v>-0</v>
      </c>
      <c r="L80" s="28" t="n">
        <f aca="false">-Indata!$C$56*(1+Indata!$C$8)^(L53-1)</f>
        <v>-0</v>
      </c>
      <c r="M80" s="28" t="n">
        <f aca="false">-Indata!$C$56*(1+Indata!$C$8)^(M53-1)</f>
        <v>-0</v>
      </c>
      <c r="N80" s="28" t="n">
        <f aca="false">-Indata!$C$56*(1+Indata!$C$8)^(N53-1)</f>
        <v>-0</v>
      </c>
      <c r="O80" s="28" t="n">
        <f aca="false">-Indata!$C$56*(1+Indata!$C$8)^(O53-1)</f>
        <v>-0</v>
      </c>
      <c r="P80" s="28" t="n">
        <f aca="false">-Indata!$C$56*(1+Indata!$C$8)^(P53-1)</f>
        <v>-0</v>
      </c>
      <c r="Q80" s="28" t="n">
        <f aca="false">-Indata!$C$56*(1+Indata!$C$8)^(Q53-1)</f>
        <v>-0</v>
      </c>
      <c r="R80" s="28" t="n">
        <f aca="false">-Indata!$C$56*(1+Indata!$C$8)^(R53-1)</f>
        <v>-0</v>
      </c>
      <c r="S80" s="28" t="n">
        <f aca="false">-Indata!$C$56*(1+Indata!$C$8)^(S53-1)</f>
        <v>-0</v>
      </c>
      <c r="T80" s="28" t="n">
        <f aca="false">-Indata!$C$56*(1+Indata!$C$8)^(T53-1)</f>
        <v>-0</v>
      </c>
      <c r="U80" s="28" t="n">
        <f aca="false">-Indata!$C$56*(1+Indata!$C$8)^(U53-1)</f>
        <v>-0</v>
      </c>
      <c r="V80" s="28" t="n">
        <f aca="false">-Indata!$C$56*(1+Indata!$C$8)^(V53-1)</f>
        <v>-0</v>
      </c>
      <c r="W80" s="28" t="n">
        <f aca="false">-Indata!$C$56*(1+Indata!$C$8)^(W53-1)</f>
        <v>-0</v>
      </c>
      <c r="X80" s="28" t="n">
        <f aca="false">-Indata!$C$56*(1+Indata!$C$8)^(X53-1)</f>
        <v>-0</v>
      </c>
      <c r="Y80" s="28" t="n">
        <f aca="false">-Indata!$C$56*(1+Indata!$C$8)^(Y53-1)</f>
        <v>-0</v>
      </c>
      <c r="Z80" s="28" t="n">
        <f aca="false">-Indata!$C$56*(1+Indata!$C$8)^(Z53-1)</f>
        <v>-0</v>
      </c>
      <c r="AA80" s="28" t="n">
        <f aca="false">-Indata!$C$56*(1+Indata!$C$8)^(AA53-1)</f>
        <v>-0</v>
      </c>
      <c r="AB80" s="28" t="n">
        <f aca="false">-Indata!$C$56*(1+Indata!$C$8)^(AB53-1)</f>
        <v>-0</v>
      </c>
    </row>
    <row r="82" customFormat="false" ht="15" hidden="false" customHeight="false" outlineLevel="0" collapsed="false">
      <c r="B82" s="86" t="s">
        <v>275</v>
      </c>
      <c r="D82" s="53" t="n">
        <f aca="false">D68+D77+D79+D80+D83</f>
        <v>-2400000</v>
      </c>
      <c r="E82" s="53" t="n">
        <f aca="false">E68+E77+E79+E80+E83</f>
        <v>-2448000</v>
      </c>
      <c r="F82" s="53" t="n">
        <f aca="false">F68+F77+F79+F80+F83</f>
        <v>-2496960</v>
      </c>
      <c r="G82" s="53" t="n">
        <f aca="false">G68+G77+G79+G80+G83</f>
        <v>-2546899.2</v>
      </c>
      <c r="H82" s="53" t="n">
        <f aca="false">H68+H77+H79+H80+H83</f>
        <v>-2597837.184</v>
      </c>
      <c r="I82" s="53" t="n">
        <f aca="false">I68+I77+I79+I80+I83</f>
        <v>-2649793.92768</v>
      </c>
      <c r="J82" s="53" t="n">
        <f aca="false">J68+J77+J79+J80+J83</f>
        <v>-2702789.8062336</v>
      </c>
      <c r="K82" s="53" t="n">
        <f aca="false">K68+K77+K79+K80+K83</f>
        <v>-2756845.60235827</v>
      </c>
      <c r="L82" s="53" t="n">
        <f aca="false">L68+L77+L79+L80+L83</f>
        <v>-2811982.51440544</v>
      </c>
      <c r="M82" s="53" t="n">
        <f aca="false">M68+M77+M79+M80+M83</f>
        <v>-2868222.16469355</v>
      </c>
      <c r="N82" s="53" t="n">
        <f aca="false">N68+N77+N79+N80+N83</f>
        <v>-2925586.60798742</v>
      </c>
      <c r="O82" s="53" t="n">
        <f aca="false">O68+O77+O79+O80+O83</f>
        <v>-2984098.34014717</v>
      </c>
      <c r="P82" s="53" t="n">
        <f aca="false">P68+P77+P79+P80+P83</f>
        <v>-3043780.30695011</v>
      </c>
      <c r="Q82" s="53" t="n">
        <f aca="false">Q68+Q77+Q79+Q80+Q83</f>
        <v>-3104655.91308911</v>
      </c>
      <c r="R82" s="53" t="n">
        <f aca="false">R68+R77+R79+R80+R83</f>
        <v>-3166749.03135089</v>
      </c>
      <c r="S82" s="53" t="n">
        <f aca="false">S68+S77+S79+S80+S83</f>
        <v>-3230084.01197791</v>
      </c>
      <c r="T82" s="53" t="n">
        <f aca="false">T68+T77+T79+T80+T83</f>
        <v>-3294685.69221747</v>
      </c>
      <c r="U82" s="53" t="n">
        <f aca="false">U68+U77+U79+U80+U83</f>
        <v>-3360579.40606182</v>
      </c>
      <c r="V82" s="53" t="n">
        <f aca="false">V68+V77+V79+V80+V83</f>
        <v>-3427790.99418306</v>
      </c>
      <c r="W82" s="53" t="n">
        <f aca="false">W68+W77+W79+W80+W83</f>
        <v>-3496346.81406672</v>
      </c>
      <c r="X82" s="53" t="n">
        <f aca="false">X68+X77+X79+X80+X83</f>
        <v>-3566273.75034805</v>
      </c>
      <c r="Y82" s="53" t="n">
        <f aca="false">Y68+Y77+Y79+Y80+Y83</f>
        <v>-3637599.22535501</v>
      </c>
      <c r="Z82" s="53" t="n">
        <f aca="false">Z68+Z77+Z79+Z80+Z83</f>
        <v>-3710351.20986211</v>
      </c>
      <c r="AA82" s="53" t="n">
        <f aca="false">AA68+AA77+AA79+AA80+AA83</f>
        <v>-3784558.23405936</v>
      </c>
      <c r="AB82" s="53" t="n">
        <f aca="false">AB68+AB77+AB79+AB80+AB83</f>
        <v>-3860249.39874054</v>
      </c>
    </row>
    <row r="83" customFormat="false" ht="15" hidden="false" customHeight="false" outlineLevel="0" collapsed="false">
      <c r="B83" s="87" t="s">
        <v>276</v>
      </c>
      <c r="D83" s="28" t="n">
        <f aca="false">-Indata!$C$53*D57*(1+Indata!$C$8)^(D53-1)</f>
        <v>-400000</v>
      </c>
      <c r="E83" s="28" t="n">
        <f aca="false">-Indata!$C$53*E57*(1+Indata!$C$8)^(E53-1)</f>
        <v>-408000</v>
      </c>
      <c r="F83" s="28" t="n">
        <f aca="false">-Indata!$C$53*F57*(1+Indata!$C$8)^(F53-1)</f>
        <v>-416160</v>
      </c>
      <c r="G83" s="28" t="n">
        <f aca="false">-Indata!$C$53*G57*(1+Indata!$C$8)^(G53-1)</f>
        <v>-424483.2</v>
      </c>
      <c r="H83" s="28" t="n">
        <f aca="false">-Indata!$C$53*H57*(1+Indata!$C$8)^(H53-1)</f>
        <v>-432972.864</v>
      </c>
      <c r="I83" s="28" t="n">
        <f aca="false">-Indata!$C$53*I57*(1+Indata!$C$8)^(I53-1)</f>
        <v>-441632.32128</v>
      </c>
      <c r="J83" s="28" t="n">
        <f aca="false">-Indata!$C$53*J57*(1+Indata!$C$8)^(J53-1)</f>
        <v>-450464.9677056</v>
      </c>
      <c r="K83" s="28" t="n">
        <f aca="false">-Indata!$C$53*K57*(1+Indata!$C$8)^(K53-1)</f>
        <v>-459474.267059712</v>
      </c>
      <c r="L83" s="28" t="n">
        <f aca="false">-Indata!$C$53*L57*(1+Indata!$C$8)^(L53-1)</f>
        <v>-468663.752400906</v>
      </c>
      <c r="M83" s="28" t="n">
        <f aca="false">-Indata!$C$53*M57*(1+Indata!$C$8)^(M53-1)</f>
        <v>-478037.027448924</v>
      </c>
      <c r="N83" s="28" t="n">
        <f aca="false">-Indata!$C$53*N57*(1+Indata!$C$8)^(N53-1)</f>
        <v>-487597.767997903</v>
      </c>
      <c r="O83" s="28" t="n">
        <f aca="false">-Indata!$C$53*O57*(1+Indata!$C$8)^(O53-1)</f>
        <v>-497349.723357861</v>
      </c>
      <c r="P83" s="28" t="n">
        <f aca="false">-Indata!$C$53*P57*(1+Indata!$C$8)^(P53-1)</f>
        <v>-507296.717825018</v>
      </c>
      <c r="Q83" s="28" t="n">
        <f aca="false">-Indata!$C$53*Q57*(1+Indata!$C$8)^(Q53-1)</f>
        <v>-517442.652181519</v>
      </c>
      <c r="R83" s="28" t="n">
        <f aca="false">-Indata!$C$53*R57*(1+Indata!$C$8)^(R53-1)</f>
        <v>-527791.505225149</v>
      </c>
      <c r="S83" s="28" t="n">
        <f aca="false">-Indata!$C$53*S57*(1+Indata!$C$8)^(S53-1)</f>
        <v>-538347.335329652</v>
      </c>
      <c r="T83" s="28" t="n">
        <f aca="false">-Indata!$C$53*T57*(1+Indata!$C$8)^(T53-1)</f>
        <v>-549114.282036245</v>
      </c>
      <c r="U83" s="28" t="n">
        <f aca="false">-Indata!$C$53*U57*(1+Indata!$C$8)^(U53-1)</f>
        <v>-560096.56767697</v>
      </c>
      <c r="V83" s="28" t="n">
        <f aca="false">-Indata!$C$53*V57*(1+Indata!$C$8)^(V53-1)</f>
        <v>-571298.499030509</v>
      </c>
      <c r="W83" s="28" t="n">
        <f aca="false">-Indata!$C$53*W57*(1+Indata!$C$8)^(W53-1)</f>
        <v>-582724.46901112</v>
      </c>
      <c r="X83" s="28" t="n">
        <f aca="false">-Indata!$C$53*X57*(1+Indata!$C$8)^(X53-1)</f>
        <v>-594378.958391342</v>
      </c>
      <c r="Y83" s="28" t="n">
        <f aca="false">-Indata!$C$53*Y57*(1+Indata!$C$8)^(Y53-1)</f>
        <v>-606266.537559169</v>
      </c>
      <c r="Z83" s="28" t="n">
        <f aca="false">-Indata!$C$53*Z57*(1+Indata!$C$8)^(Z53-1)</f>
        <v>-618391.868310352</v>
      </c>
      <c r="AA83" s="28" t="n">
        <f aca="false">-Indata!$C$53*AA57*(1+Indata!$C$8)^(AA53-1)</f>
        <v>-630759.705676559</v>
      </c>
      <c r="AB83" s="28" t="n">
        <f aca="false">-Indata!$C$53*AB57*(1+Indata!$C$8)^(AB53-1)</f>
        <v>-643374.899790091</v>
      </c>
    </row>
    <row r="85" customFormat="false" ht="15" hidden="false" customHeight="false" outlineLevel="0" collapsed="false">
      <c r="B85" s="22" t="s">
        <v>277</v>
      </c>
      <c r="D85" s="45" t="n">
        <f aca="false">D82-D76</f>
        <v>-2400000</v>
      </c>
      <c r="E85" s="45" t="n">
        <f aca="false">E82-E76</f>
        <v>-2448000</v>
      </c>
      <c r="F85" s="45" t="n">
        <f aca="false">F82-F76</f>
        <v>-2496960</v>
      </c>
      <c r="G85" s="45" t="n">
        <f aca="false">G82-G76</f>
        <v>-2546899.2</v>
      </c>
      <c r="H85" s="45" t="n">
        <f aca="false">H82-H76</f>
        <v>-2597837.184</v>
      </c>
      <c r="I85" s="45" t="n">
        <f aca="false">I82-I76</f>
        <v>-2649793.92768</v>
      </c>
      <c r="J85" s="45" t="n">
        <f aca="false">J82-J76</f>
        <v>-2702789.8062336</v>
      </c>
      <c r="K85" s="45" t="n">
        <f aca="false">K82-K76</f>
        <v>-2756845.60235827</v>
      </c>
      <c r="L85" s="45" t="n">
        <f aca="false">L82-L76</f>
        <v>-2811982.51440544</v>
      </c>
      <c r="M85" s="45" t="n">
        <f aca="false">M82-M76</f>
        <v>-2868222.16469355</v>
      </c>
      <c r="N85" s="45" t="n">
        <f aca="false">N82-N76</f>
        <v>-2925586.60798742</v>
      </c>
      <c r="O85" s="45" t="n">
        <f aca="false">O82-O76</f>
        <v>-2984098.34014717</v>
      </c>
      <c r="P85" s="45" t="n">
        <f aca="false">P82-P76</f>
        <v>-3043780.30695011</v>
      </c>
      <c r="Q85" s="45" t="n">
        <f aca="false">Q82-Q76</f>
        <v>-3104655.91308911</v>
      </c>
      <c r="R85" s="45" t="n">
        <f aca="false">R82-R76</f>
        <v>-3166749.03135089</v>
      </c>
      <c r="S85" s="45" t="n">
        <f aca="false">S82-S76</f>
        <v>-3230084.01197791</v>
      </c>
      <c r="T85" s="45" t="n">
        <f aca="false">T82-T76</f>
        <v>-3294685.69221747</v>
      </c>
      <c r="U85" s="45" t="n">
        <f aca="false">U82-U76</f>
        <v>-3360579.40606182</v>
      </c>
      <c r="V85" s="45" t="n">
        <f aca="false">V82-V76</f>
        <v>-3427790.99418306</v>
      </c>
      <c r="W85" s="45" t="n">
        <f aca="false">W82-W76</f>
        <v>-3496346.81406672</v>
      </c>
      <c r="X85" s="45" t="n">
        <f aca="false">X82-X76</f>
        <v>-3566273.75034805</v>
      </c>
      <c r="Y85" s="45" t="n">
        <f aca="false">Y82-Y76</f>
        <v>-3637599.22535501</v>
      </c>
      <c r="Z85" s="45" t="n">
        <f aca="false">Z82-Z76</f>
        <v>-3710351.20986211</v>
      </c>
      <c r="AA85" s="45" t="n">
        <f aca="false">AA82-AA76</f>
        <v>-3784558.23405936</v>
      </c>
      <c r="AB85" s="45" t="n">
        <f aca="false">AB82-AB76</f>
        <v>-3860249.39874054</v>
      </c>
    </row>
    <row r="87" customFormat="false" ht="15" hidden="false" customHeight="false" outlineLevel="0" collapsed="false">
      <c r="B87" s="1" t="s">
        <v>278</v>
      </c>
      <c r="D87" s="28" t="n">
        <f aca="false">IF(D54=0,0,D82/(1+Indata!$C$7)^D53)</f>
        <v>-2307692.30769231</v>
      </c>
      <c r="E87" s="28" t="n">
        <f aca="false">IF(E54=0,0,E82/(1+Indata!$C$7)^E53)</f>
        <v>-2263313.60946746</v>
      </c>
      <c r="F87" s="28" t="n">
        <f aca="false">IF(F54=0,0,F82/(1+Indata!$C$7)^F53)</f>
        <v>-2219788.34774693</v>
      </c>
      <c r="G87" s="28" t="n">
        <f aca="false">IF(G54=0,0,G82/(1+Indata!$C$7)^G53)</f>
        <v>-2177100.11029026</v>
      </c>
      <c r="H87" s="28" t="n">
        <f aca="false">IF(H54=0,0,H82/(1+Indata!$C$7)^H53)</f>
        <v>-2135232.80047698</v>
      </c>
      <c r="I87" s="28" t="n">
        <f aca="false">IF(I54=0,0,I82/(1+Indata!$C$7)^I53)</f>
        <v>-2094170.63123704</v>
      </c>
      <c r="J87" s="28" t="n">
        <f aca="false">IF(J54=0,0,J82/(1+Indata!$C$7)^J53)</f>
        <v>-2053898.11909787</v>
      </c>
      <c r="K87" s="28" t="n">
        <f aca="false">IF(K54=0,0,K82/(1+Indata!$C$7)^K53)</f>
        <v>-2014400.07834598</v>
      </c>
      <c r="L87" s="28" t="n">
        <f aca="false">IF(L54=0,0,L82/(1+Indata!$C$7)^L53)</f>
        <v>-1975661.61530087</v>
      </c>
      <c r="M87" s="28" t="n">
        <f aca="false">IF(M54=0,0,M82/(1+Indata!$C$7)^M53)</f>
        <v>-1937668.12269893</v>
      </c>
      <c r="N87" s="28" t="n">
        <f aca="false">IF(N54=0,0,N82/(1+Indata!$C$7)^N53)</f>
        <v>-1900405.27418549</v>
      </c>
      <c r="O87" s="28" t="n">
        <f aca="false">IF(O54=0,0,O82/(1+Indata!$C$7)^O53)</f>
        <v>-1863859.01891269</v>
      </c>
      <c r="P87" s="28" t="n">
        <f aca="false">IF(P54=0,0,P82/(1+Indata!$C$7)^P53)</f>
        <v>-1828015.57624129</v>
      </c>
      <c r="Q87" s="28" t="n">
        <f aca="false">IF(Q54=0,0,Q82/(1+Indata!$C$7)^Q53)</f>
        <v>-1792861.43054434</v>
      </c>
      <c r="R87" s="28" t="n">
        <f aca="false">IF(R54=0,0,R82/(1+Indata!$C$7)^R53)</f>
        <v>-1758383.3261108</v>
      </c>
      <c r="S87" s="28" t="n">
        <f aca="false">IF(S54=0,0,S82/(1+Indata!$C$7)^S53)</f>
        <v>-1724568.26214713</v>
      </c>
      <c r="T87" s="28" t="n">
        <f aca="false">IF(T54=0,0,T82/(1+Indata!$C$7)^T53)</f>
        <v>-1691403.48787507</v>
      </c>
      <c r="U87" s="28" t="n">
        <f aca="false">IF(U54=0,0,U82/(1+Indata!$C$7)^U53)</f>
        <v>-1658876.49772363</v>
      </c>
      <c r="V87" s="28" t="n">
        <f aca="false">IF(V54=0,0,V82/(1+Indata!$C$7)^V53)</f>
        <v>-1626975.02661356</v>
      </c>
      <c r="W87" s="28" t="n">
        <f aca="false">IF(W54=0,0,W82/(1+Indata!$C$7)^W53)</f>
        <v>-1595687.04533253</v>
      </c>
      <c r="X87" s="28" t="n">
        <f aca="false">IF(X54=0,0,X82/(1+Indata!$C$7)^X53)</f>
        <v>0</v>
      </c>
      <c r="Y87" s="28" t="n">
        <f aca="false">IF(Y54=0,0,Y82/(1+Indata!$C$7)^Y53)</f>
        <v>0</v>
      </c>
      <c r="Z87" s="28" t="n">
        <f aca="false">IF(Z54=0,0,Z82/(1+Indata!$C$7)^Z53)</f>
        <v>0</v>
      </c>
      <c r="AA87" s="28" t="n">
        <f aca="false">IF(AA54=0,0,AA82/(1+Indata!$C$7)^AA53)</f>
        <v>0</v>
      </c>
      <c r="AB87" s="28" t="n">
        <f aca="false">IF(AB54=0,0,AB82/(1+Indata!$C$7)^AB53)</f>
        <v>0</v>
      </c>
    </row>
    <row r="109" customFormat="false" ht="15" hidden="false" customHeight="false" outlineLevel="0" collapsed="false">
      <c r="B109" s="85" t="s">
        <v>279</v>
      </c>
    </row>
    <row r="111" customFormat="false" ht="15" hidden="false" customHeight="false" outlineLevel="0" collapsed="false">
      <c r="B111" s="1" t="s">
        <v>62</v>
      </c>
      <c r="C111" s="71" t="n">
        <f aca="false">Indata!C16</f>
        <v>20</v>
      </c>
    </row>
    <row r="112" customFormat="false" ht="15" hidden="false" customHeight="false" outlineLevel="0" collapsed="false">
      <c r="B112" s="1" t="s">
        <v>6</v>
      </c>
      <c r="C112" s="28" t="n">
        <f aca="false">Indata!R31</f>
        <v>200000000</v>
      </c>
    </row>
    <row r="113" customFormat="false" ht="15" hidden="false" customHeight="false" outlineLevel="0" collapsed="false">
      <c r="B113" s="1" t="s">
        <v>280</v>
      </c>
      <c r="C113" s="71" t="n">
        <f aca="false">MAX(Indata!P26:P79)</f>
        <v>2026</v>
      </c>
    </row>
    <row r="115" customFormat="false" ht="15" hidden="false" customHeight="false" outlineLevel="0" collapsed="false">
      <c r="B115" s="41" t="s">
        <v>281</v>
      </c>
      <c r="C115" s="42" t="n">
        <f aca="false">ROUND(SUMIFS(D87:AB87,D54:AB54,1)/10000,0)*10000</f>
        <v>-38620000</v>
      </c>
    </row>
    <row r="116" customFormat="false" ht="15" hidden="false" customHeight="false" outlineLevel="0" collapsed="false">
      <c r="B116" s="1" t="s">
        <v>282</v>
      </c>
      <c r="C116" s="28" t="n">
        <f aca="false">ROUND(INDEX(D85:AB85,MATCH(Indata!C16+1,D53:AB53,0))/Indata!C6/10000,0)*10000</f>
        <v>-71330000</v>
      </c>
    </row>
    <row r="117" customFormat="false" ht="15" hidden="false" customHeight="false" outlineLevel="0" collapsed="false">
      <c r="B117" s="41" t="s">
        <v>283</v>
      </c>
      <c r="C117" s="42" t="n">
        <f aca="false">ROUND(C116/(1+Indata!C9)^Indata!C16/10000,0)*10000</f>
        <v>-18430000</v>
      </c>
    </row>
    <row r="118" customFormat="false" ht="15" hidden="false" customHeight="false" outlineLevel="0" collapsed="false">
      <c r="B118" s="41" t="s">
        <v>284</v>
      </c>
      <c r="C118" s="42" t="n">
        <f aca="false">-C112/(1+Indata!C8)^MAX(0,C113-Indata!C5)</f>
        <v>-200000000</v>
      </c>
    </row>
    <row r="119" customFormat="false" ht="15" hidden="false" customHeight="false" outlineLevel="0" collapsed="false">
      <c r="B119" s="86" t="s">
        <v>285</v>
      </c>
      <c r="C119" s="88" t="n">
        <f aca="false">C115+C117+C118</f>
        <v>-257050000</v>
      </c>
    </row>
    <row r="121" customFormat="false" ht="15" hidden="false" customHeight="false" outlineLevel="0" collapsed="false">
      <c r="B121" s="85" t="s">
        <v>286</v>
      </c>
    </row>
    <row r="123" customFormat="false" ht="15" hidden="false" customHeight="false" outlineLevel="0" collapsed="false">
      <c r="B123" s="1" t="s">
        <v>287</v>
      </c>
      <c r="D123" s="45" t="n">
        <f aca="false">IF(Indata!$K$26="",0,IF(D52&lt;Indata!$K$26,0,IF(D52&lt;=Indata!$L$26,Indata!$J$26*1000000*(1+Indata!$C$8*Indata!$H$26)^(D52-Indata!$K$26),IF(OR(Indata!$M$26="",Indata!$M$26=0),Indata!$J$26*1000000*(1+Indata!$C$8*Indata!$H$26)^(D52-Indata!$K$26),D60))))</f>
        <v>1000000</v>
      </c>
      <c r="E123" s="45" t="n">
        <f aca="false">IF(Indata!$K$26="",0,IF(E52&lt;Indata!$K$26,0,IF(E52&lt;=Indata!$L$26,Indata!$J$26*1000000*(1+Indata!$C$8*Indata!$H$26)^(E52-Indata!$K$26),IF(OR(Indata!$M$26="",Indata!$M$26=0),Indata!$J$26*1000000*(1+Indata!$C$8*Indata!$H$26)^(E52-Indata!$K$26),E60))))</f>
        <v>1014000</v>
      </c>
      <c r="F123" s="45" t="n">
        <f aca="false">IF(Indata!$K$26="",0,IF(F52&lt;Indata!$K$26,0,IF(F52&lt;=Indata!$L$26,Indata!$J$26*1000000*(1+Indata!$C$8*Indata!$H$26)^(F52-Indata!$K$26),IF(OR(Indata!$M$26="",Indata!$M$26=0),Indata!$J$26*1000000*(1+Indata!$C$8*Indata!$H$26)^(F52-Indata!$K$26),F60))))</f>
        <v>1028196</v>
      </c>
      <c r="G123" s="45" t="n">
        <f aca="false">IF(Indata!$K$26="",0,IF(G52&lt;Indata!$K$26,0,IF(G52&lt;=Indata!$L$26,Indata!$J$26*1000000*(1+Indata!$C$8*Indata!$H$26)^(G52-Indata!$K$26),IF(OR(Indata!$M$26="",Indata!$M$26=0),Indata!$J$26*1000000*(1+Indata!$C$8*Indata!$H$26)^(G52-Indata!$K$26),G60))))</f>
        <v>1042590.744</v>
      </c>
      <c r="H123" s="45" t="n">
        <f aca="false">IF(Indata!$K$26="",0,IF(H52&lt;Indata!$K$26,0,IF(H52&lt;=Indata!$L$26,Indata!$J$26*1000000*(1+Indata!$C$8*Indata!$H$26)^(H52-Indata!$K$26),IF(OR(Indata!$M$26="",Indata!$M$26=0),Indata!$J$26*1000000*(1+Indata!$C$8*Indata!$H$26)^(H52-Indata!$K$26),H60))))</f>
        <v>1057187.014416</v>
      </c>
      <c r="I123" s="45" t="n">
        <f aca="false">IF(Indata!$K$26="",0,IF(I52&lt;Indata!$K$26,0,IF(I52&lt;=Indata!$L$26,Indata!$J$26*1000000*(1+Indata!$C$8*Indata!$H$26)^(I52-Indata!$K$26),IF(OR(Indata!$M$26="",Indata!$M$26=0),Indata!$J$26*1000000*(1+Indata!$C$8*Indata!$H$26)^(I52-Indata!$K$26),I60))))</f>
        <v>1071987.63261782</v>
      </c>
      <c r="J123" s="45" t="n">
        <f aca="false">IF(Indata!$K$26="",0,IF(J52&lt;Indata!$K$26,0,IF(J52&lt;=Indata!$L$26,Indata!$J$26*1000000*(1+Indata!$C$8*Indata!$H$26)^(J52-Indata!$K$26),IF(OR(Indata!$M$26="",Indata!$M$26=0),Indata!$J$26*1000000*(1+Indata!$C$8*Indata!$H$26)^(J52-Indata!$K$26),J60))))</f>
        <v>1086995.45947447</v>
      </c>
      <c r="K123" s="45" t="n">
        <f aca="false">IF(Indata!$K$26="",0,IF(K52&lt;Indata!$K$26,0,IF(K52&lt;=Indata!$L$26,Indata!$J$26*1000000*(1+Indata!$C$8*Indata!$H$26)^(K52-Indata!$K$26),IF(OR(Indata!$M$26="",Indata!$M$26=0),Indata!$J$26*1000000*(1+Indata!$C$8*Indata!$H$26)^(K52-Indata!$K$26),K60))))</f>
        <v>1102213.39590712</v>
      </c>
      <c r="L123" s="45" t="n">
        <f aca="false">IF(Indata!$K$26="",0,IF(L52&lt;Indata!$K$26,0,IF(L52&lt;=Indata!$L$26,Indata!$J$26*1000000*(1+Indata!$C$8*Indata!$H$26)^(L52-Indata!$K$26),IF(OR(Indata!$M$26="",Indata!$M$26=0),Indata!$J$26*1000000*(1+Indata!$C$8*Indata!$H$26)^(L52-Indata!$K$26),L60))))</f>
        <v>1117644.38344982</v>
      </c>
      <c r="M123" s="45" t="n">
        <f aca="false">IF(Indata!$K$26="",0,IF(M52&lt;Indata!$K$26,0,IF(M52&lt;=Indata!$L$26,Indata!$J$26*1000000*(1+Indata!$C$8*Indata!$H$26)^(M52-Indata!$K$26),IF(OR(Indata!$M$26="",Indata!$M$26=0),Indata!$J$26*1000000*(1+Indata!$C$8*Indata!$H$26)^(M52-Indata!$K$26),M60))))</f>
        <v>1133291.40481811</v>
      </c>
      <c r="N123" s="45" t="n">
        <f aca="false">IF(Indata!$K$26="",0,IF(N52&lt;Indata!$K$26,0,IF(N52&lt;=Indata!$L$26,Indata!$J$26*1000000*(1+Indata!$C$8*Indata!$H$26)^(N52-Indata!$K$26),IF(OR(Indata!$M$26="",Indata!$M$26=0),Indata!$J$26*1000000*(1+Indata!$C$8*Indata!$H$26)^(N52-Indata!$K$26),N60))))</f>
        <v>1149157.48448557</v>
      </c>
      <c r="O123" s="45" t="n">
        <f aca="false">IF(Indata!$K$26="",0,IF(O52&lt;Indata!$K$26,0,IF(O52&lt;=Indata!$L$26,Indata!$J$26*1000000*(1+Indata!$C$8*Indata!$H$26)^(O52-Indata!$K$26),IF(OR(Indata!$M$26="",Indata!$M$26=0),Indata!$J$26*1000000*(1+Indata!$C$8*Indata!$H$26)^(O52-Indata!$K$26),O60))))</f>
        <v>1165245.68926836</v>
      </c>
      <c r="P123" s="45" t="n">
        <f aca="false">IF(Indata!$K$26="",0,IF(P52&lt;Indata!$K$26,0,IF(P52&lt;=Indata!$L$26,Indata!$J$26*1000000*(1+Indata!$C$8*Indata!$H$26)^(P52-Indata!$K$26),IF(OR(Indata!$M$26="",Indata!$M$26=0),Indata!$J$26*1000000*(1+Indata!$C$8*Indata!$H$26)^(P52-Indata!$K$26),P60))))</f>
        <v>1181559.12891812</v>
      </c>
      <c r="Q123" s="45" t="n">
        <f aca="false">IF(Indata!$K$26="",0,IF(Q52&lt;Indata!$K$26,0,IF(Q52&lt;=Indata!$L$26,Indata!$J$26*1000000*(1+Indata!$C$8*Indata!$H$26)^(Q52-Indata!$K$26),IF(OR(Indata!$M$26="",Indata!$M$26=0),Indata!$J$26*1000000*(1+Indata!$C$8*Indata!$H$26)^(Q52-Indata!$K$26),Q60))))</f>
        <v>1198100.95672298</v>
      </c>
      <c r="R123" s="45" t="n">
        <f aca="false">IF(Indata!$K$26="",0,IF(R52&lt;Indata!$K$26,0,IF(R52&lt;=Indata!$L$26,Indata!$J$26*1000000*(1+Indata!$C$8*Indata!$H$26)^(R52-Indata!$K$26),IF(OR(Indata!$M$26="",Indata!$M$26=0),Indata!$J$26*1000000*(1+Indata!$C$8*Indata!$H$26)^(R52-Indata!$K$26),R60))))</f>
        <v>1214874.3701171</v>
      </c>
      <c r="S123" s="45" t="n">
        <f aca="false">IF(Indata!$K$26="",0,IF(S52&lt;Indata!$K$26,0,IF(S52&lt;=Indata!$L$26,Indata!$J$26*1000000*(1+Indata!$C$8*Indata!$H$26)^(S52-Indata!$K$26),IF(OR(Indata!$M$26="",Indata!$M$26=0),Indata!$J$26*1000000*(1+Indata!$C$8*Indata!$H$26)^(S52-Indata!$K$26),S60))))</f>
        <v>1231882.61129874</v>
      </c>
      <c r="T123" s="45" t="n">
        <f aca="false">IF(Indata!$K$26="",0,IF(T52&lt;Indata!$K$26,0,IF(T52&lt;=Indata!$L$26,Indata!$J$26*1000000*(1+Indata!$C$8*Indata!$H$26)^(T52-Indata!$K$26),IF(OR(Indata!$M$26="",Indata!$M$26=0),Indata!$J$26*1000000*(1+Indata!$C$8*Indata!$H$26)^(T52-Indata!$K$26),T60))))</f>
        <v>1249128.96785692</v>
      </c>
      <c r="U123" s="45" t="n">
        <f aca="false">IF(Indata!$K$26="",0,IF(U52&lt;Indata!$K$26,0,IF(U52&lt;=Indata!$L$26,Indata!$J$26*1000000*(1+Indata!$C$8*Indata!$H$26)^(U52-Indata!$K$26),IF(OR(Indata!$M$26="",Indata!$M$26=0),Indata!$J$26*1000000*(1+Indata!$C$8*Indata!$H$26)^(U52-Indata!$K$26),U60))))</f>
        <v>1266616.77340692</v>
      </c>
      <c r="V123" s="45" t="n">
        <f aca="false">IF(Indata!$K$26="",0,IF(V52&lt;Indata!$K$26,0,IF(V52&lt;=Indata!$L$26,Indata!$J$26*1000000*(1+Indata!$C$8*Indata!$H$26)^(V52-Indata!$K$26),IF(OR(Indata!$M$26="",Indata!$M$26=0),Indata!$J$26*1000000*(1+Indata!$C$8*Indata!$H$26)^(V52-Indata!$K$26),V60))))</f>
        <v>1284349.40823461</v>
      </c>
      <c r="W123" s="45" t="n">
        <f aca="false">IF(Indata!$K$26="",0,IF(W52&lt;Indata!$K$26,0,IF(W52&lt;=Indata!$L$26,Indata!$J$26*1000000*(1+Indata!$C$8*Indata!$H$26)^(W52-Indata!$K$26),IF(OR(Indata!$M$26="",Indata!$M$26=0),Indata!$J$26*1000000*(1+Indata!$C$8*Indata!$H$26)^(W52-Indata!$K$26),W60))))</f>
        <v>1302330.2999499</v>
      </c>
      <c r="X123" s="45" t="n">
        <f aca="false">IF(Indata!$K$26="",0,IF(X52&lt;Indata!$K$26,0,IF(X52&lt;=Indata!$L$26,Indata!$J$26*1000000*(1+Indata!$C$8*Indata!$H$26)^(X52-Indata!$K$26),IF(OR(Indata!$M$26="",Indata!$M$26=0),Indata!$J$26*1000000*(1+Indata!$C$8*Indata!$H$26)^(X52-Indata!$K$26),X60))))</f>
        <v>1320562.9241492</v>
      </c>
      <c r="Y123" s="45" t="n">
        <f aca="false">IF(Indata!$K$26="",0,IF(Y52&lt;Indata!$K$26,0,IF(Y52&lt;=Indata!$L$26,Indata!$J$26*1000000*(1+Indata!$C$8*Indata!$H$26)^(Y52-Indata!$K$26),IF(OR(Indata!$M$26="",Indata!$M$26=0),Indata!$J$26*1000000*(1+Indata!$C$8*Indata!$H$26)^(Y52-Indata!$K$26),Y60))))</f>
        <v>1339050.80508728</v>
      </c>
      <c r="Z123" s="45" t="n">
        <f aca="false">IF(Indata!$K$26="",0,IF(Z52&lt;Indata!$K$26,0,IF(Z52&lt;=Indata!$L$26,Indata!$J$26*1000000*(1+Indata!$C$8*Indata!$H$26)^(Z52-Indata!$K$26),IF(OR(Indata!$M$26="",Indata!$M$26=0),Indata!$J$26*1000000*(1+Indata!$C$8*Indata!$H$26)^(Z52-Indata!$K$26),Z60))))</f>
        <v>1357797.51635851</v>
      </c>
      <c r="AA123" s="45" t="n">
        <f aca="false">IF(Indata!$K$26="",0,IF(AA52&lt;Indata!$K$26,0,IF(AA52&lt;=Indata!$L$26,Indata!$J$26*1000000*(1+Indata!$C$8*Indata!$H$26)^(AA52-Indata!$K$26),IF(OR(Indata!$M$26="",Indata!$M$26=0),Indata!$J$26*1000000*(1+Indata!$C$8*Indata!$H$26)^(AA52-Indata!$K$26),AA60))))</f>
        <v>1376806.68158753</v>
      </c>
      <c r="AB123" s="45" t="n">
        <f aca="false">IF(Indata!$K$26="",0,IF(AB52&lt;Indata!$K$26,0,IF(AB52&lt;=Indata!$L$26,Indata!$J$26*1000000*(1+Indata!$C$8*Indata!$H$26)^(AB52-Indata!$K$26),IF(OR(Indata!$M$26="",Indata!$M$26=0),Indata!$J$26*1000000*(1+Indata!$C$8*Indata!$H$26)^(AB52-Indata!$K$26),AB60))))</f>
        <v>1396081.97512975</v>
      </c>
    </row>
    <row r="124" customFormat="false" ht="15" hidden="false" customHeight="false" outlineLevel="0" collapsed="false">
      <c r="B124" s="1" t="s">
        <v>288</v>
      </c>
      <c r="D124" s="45" t="n">
        <f aca="false">IF(Indata!$K$27="",0,IF(D52&lt;Indata!$K$27,0,IF(D52&lt;=Indata!$L$27,Indata!$J$27*1000000*(1+Indata!$C$8*Indata!$H$27)^(D52-Indata!$K$27),IF(OR(Indata!$M$27="",Indata!$M$27=0),Indata!$J$27*1000000*(1+Indata!$C$8*Indata!$H$27)^(D52-Indata!$K$27),D61))))</f>
        <v>0</v>
      </c>
      <c r="E124" s="45" t="n">
        <f aca="false">IF(Indata!$K$27="",0,IF(E52&lt;Indata!$K$27,0,IF(E52&lt;=Indata!$L$27,Indata!$J$27*1000000*(1+Indata!$C$8*Indata!$H$27)^(E52-Indata!$K$27),IF(OR(Indata!$M$27="",Indata!$M$27=0),Indata!$J$27*1000000*(1+Indata!$C$8*Indata!$H$27)^(E52-Indata!$K$27),E61))))</f>
        <v>0</v>
      </c>
      <c r="F124" s="45" t="n">
        <f aca="false">IF(Indata!$K$27="",0,IF(F52&lt;Indata!$K$27,0,IF(F52&lt;=Indata!$L$27,Indata!$J$27*1000000*(1+Indata!$C$8*Indata!$H$27)^(F52-Indata!$K$27),IF(OR(Indata!$M$27="",Indata!$M$27=0),Indata!$J$27*1000000*(1+Indata!$C$8*Indata!$H$27)^(F52-Indata!$K$27),F61))))</f>
        <v>0</v>
      </c>
      <c r="G124" s="45" t="n">
        <f aca="false">IF(Indata!$K$27="",0,IF(G52&lt;Indata!$K$27,0,IF(G52&lt;=Indata!$L$27,Indata!$J$27*1000000*(1+Indata!$C$8*Indata!$H$27)^(G52-Indata!$K$27),IF(OR(Indata!$M$27="",Indata!$M$27=0),Indata!$J$27*1000000*(1+Indata!$C$8*Indata!$H$27)^(G52-Indata!$K$27),G61))))</f>
        <v>0</v>
      </c>
      <c r="H124" s="45" t="n">
        <f aca="false">IF(Indata!$K$27="",0,IF(H52&lt;Indata!$K$27,0,IF(H52&lt;=Indata!$L$27,Indata!$J$27*1000000*(1+Indata!$C$8*Indata!$H$27)^(H52-Indata!$K$27),IF(OR(Indata!$M$27="",Indata!$M$27=0),Indata!$J$27*1000000*(1+Indata!$C$8*Indata!$H$27)^(H52-Indata!$K$27),H61))))</f>
        <v>0</v>
      </c>
      <c r="I124" s="45" t="n">
        <f aca="false">IF(Indata!$K$27="",0,IF(I52&lt;Indata!$K$27,0,IF(I52&lt;=Indata!$L$27,Indata!$J$27*1000000*(1+Indata!$C$8*Indata!$H$27)^(I52-Indata!$K$27),IF(OR(Indata!$M$27="",Indata!$M$27=0),Indata!$J$27*1000000*(1+Indata!$C$8*Indata!$H$27)^(I52-Indata!$K$27),I61))))</f>
        <v>0</v>
      </c>
      <c r="J124" s="45" t="n">
        <f aca="false">IF(Indata!$K$27="",0,IF(J52&lt;Indata!$K$27,0,IF(J52&lt;=Indata!$L$27,Indata!$J$27*1000000*(1+Indata!$C$8*Indata!$H$27)^(J52-Indata!$K$27),IF(OR(Indata!$M$27="",Indata!$M$27=0),Indata!$J$27*1000000*(1+Indata!$C$8*Indata!$H$27)^(J52-Indata!$K$27),J61))))</f>
        <v>0</v>
      </c>
      <c r="K124" s="45" t="n">
        <f aca="false">IF(Indata!$K$27="",0,IF(K52&lt;Indata!$K$27,0,IF(K52&lt;=Indata!$L$27,Indata!$J$27*1000000*(1+Indata!$C$8*Indata!$H$27)^(K52-Indata!$K$27),IF(OR(Indata!$M$27="",Indata!$M$27=0),Indata!$J$27*1000000*(1+Indata!$C$8*Indata!$H$27)^(K52-Indata!$K$27),K61))))</f>
        <v>0</v>
      </c>
      <c r="L124" s="45" t="n">
        <f aca="false">IF(Indata!$K$27="",0,IF(L52&lt;Indata!$K$27,0,IF(L52&lt;=Indata!$L$27,Indata!$J$27*1000000*(1+Indata!$C$8*Indata!$H$27)^(L52-Indata!$K$27),IF(OR(Indata!$M$27="",Indata!$M$27=0),Indata!$J$27*1000000*(1+Indata!$C$8*Indata!$H$27)^(L52-Indata!$K$27),L61))))</f>
        <v>0</v>
      </c>
      <c r="M124" s="45" t="n">
        <f aca="false">IF(Indata!$K$27="",0,IF(M52&lt;Indata!$K$27,0,IF(M52&lt;=Indata!$L$27,Indata!$J$27*1000000*(1+Indata!$C$8*Indata!$H$27)^(M52-Indata!$K$27),IF(OR(Indata!$M$27="",Indata!$M$27=0),Indata!$J$27*1000000*(1+Indata!$C$8*Indata!$H$27)^(M52-Indata!$K$27),M61))))</f>
        <v>0</v>
      </c>
      <c r="N124" s="45" t="n">
        <f aca="false">IF(Indata!$K$27="",0,IF(N52&lt;Indata!$K$27,0,IF(N52&lt;=Indata!$L$27,Indata!$J$27*1000000*(1+Indata!$C$8*Indata!$H$27)^(N52-Indata!$K$27),IF(OR(Indata!$M$27="",Indata!$M$27=0),Indata!$J$27*1000000*(1+Indata!$C$8*Indata!$H$27)^(N52-Indata!$K$27),N61))))</f>
        <v>0</v>
      </c>
      <c r="O124" s="45" t="n">
        <f aca="false">IF(Indata!$K$27="",0,IF(O52&lt;Indata!$K$27,0,IF(O52&lt;=Indata!$L$27,Indata!$J$27*1000000*(1+Indata!$C$8*Indata!$H$27)^(O52-Indata!$K$27),IF(OR(Indata!$M$27="",Indata!$M$27=0),Indata!$J$27*1000000*(1+Indata!$C$8*Indata!$H$27)^(O52-Indata!$K$27),O61))))</f>
        <v>0</v>
      </c>
      <c r="P124" s="45" t="n">
        <f aca="false">IF(Indata!$K$27="",0,IF(P52&lt;Indata!$K$27,0,IF(P52&lt;=Indata!$L$27,Indata!$J$27*1000000*(1+Indata!$C$8*Indata!$H$27)^(P52-Indata!$K$27),IF(OR(Indata!$M$27="",Indata!$M$27=0),Indata!$J$27*1000000*(1+Indata!$C$8*Indata!$H$27)^(P52-Indata!$K$27),P61))))</f>
        <v>0</v>
      </c>
      <c r="Q124" s="45" t="n">
        <f aca="false">IF(Indata!$K$27="",0,IF(Q52&lt;Indata!$K$27,0,IF(Q52&lt;=Indata!$L$27,Indata!$J$27*1000000*(1+Indata!$C$8*Indata!$H$27)^(Q52-Indata!$K$27),IF(OR(Indata!$M$27="",Indata!$M$27=0),Indata!$J$27*1000000*(1+Indata!$C$8*Indata!$H$27)^(Q52-Indata!$K$27),Q61))))</f>
        <v>0</v>
      </c>
      <c r="R124" s="45" t="n">
        <f aca="false">IF(Indata!$K$27="",0,IF(R52&lt;Indata!$K$27,0,IF(R52&lt;=Indata!$L$27,Indata!$J$27*1000000*(1+Indata!$C$8*Indata!$H$27)^(R52-Indata!$K$27),IF(OR(Indata!$M$27="",Indata!$M$27=0),Indata!$J$27*1000000*(1+Indata!$C$8*Indata!$H$27)^(R52-Indata!$K$27),R61))))</f>
        <v>0</v>
      </c>
      <c r="S124" s="45" t="n">
        <f aca="false">IF(Indata!$K$27="",0,IF(S52&lt;Indata!$K$27,0,IF(S52&lt;=Indata!$L$27,Indata!$J$27*1000000*(1+Indata!$C$8*Indata!$H$27)^(S52-Indata!$K$27),IF(OR(Indata!$M$27="",Indata!$M$27=0),Indata!$J$27*1000000*(1+Indata!$C$8*Indata!$H$27)^(S52-Indata!$K$27),S61))))</f>
        <v>0</v>
      </c>
      <c r="T124" s="45" t="n">
        <f aca="false">IF(Indata!$K$27="",0,IF(T52&lt;Indata!$K$27,0,IF(T52&lt;=Indata!$L$27,Indata!$J$27*1000000*(1+Indata!$C$8*Indata!$H$27)^(T52-Indata!$K$27),IF(OR(Indata!$M$27="",Indata!$M$27=0),Indata!$J$27*1000000*(1+Indata!$C$8*Indata!$H$27)^(T52-Indata!$K$27),T61))))</f>
        <v>0</v>
      </c>
      <c r="U124" s="45" t="n">
        <f aca="false">IF(Indata!$K$27="",0,IF(U52&lt;Indata!$K$27,0,IF(U52&lt;=Indata!$L$27,Indata!$J$27*1000000*(1+Indata!$C$8*Indata!$H$27)^(U52-Indata!$K$27),IF(OR(Indata!$M$27="",Indata!$M$27=0),Indata!$J$27*1000000*(1+Indata!$C$8*Indata!$H$27)^(U52-Indata!$K$27),U61))))</f>
        <v>0</v>
      </c>
      <c r="V124" s="45" t="n">
        <f aca="false">IF(Indata!$K$27="",0,IF(V52&lt;Indata!$K$27,0,IF(V52&lt;=Indata!$L$27,Indata!$J$27*1000000*(1+Indata!$C$8*Indata!$H$27)^(V52-Indata!$K$27),IF(OR(Indata!$M$27="",Indata!$M$27=0),Indata!$J$27*1000000*(1+Indata!$C$8*Indata!$H$27)^(V52-Indata!$K$27),V61))))</f>
        <v>0</v>
      </c>
      <c r="W124" s="45" t="n">
        <f aca="false">IF(Indata!$K$27="",0,IF(W52&lt;Indata!$K$27,0,IF(W52&lt;=Indata!$L$27,Indata!$J$27*1000000*(1+Indata!$C$8*Indata!$H$27)^(W52-Indata!$K$27),IF(OR(Indata!$M$27="",Indata!$M$27=0),Indata!$J$27*1000000*(1+Indata!$C$8*Indata!$H$27)^(W52-Indata!$K$27),W61))))</f>
        <v>0</v>
      </c>
      <c r="X124" s="45" t="n">
        <f aca="false">IF(Indata!$K$27="",0,IF(X52&lt;Indata!$K$27,0,IF(X52&lt;=Indata!$L$27,Indata!$J$27*1000000*(1+Indata!$C$8*Indata!$H$27)^(X52-Indata!$K$27),IF(OR(Indata!$M$27="",Indata!$M$27=0),Indata!$J$27*1000000*(1+Indata!$C$8*Indata!$H$27)^(X52-Indata!$K$27),X61))))</f>
        <v>0</v>
      </c>
      <c r="Y124" s="45" t="n">
        <f aca="false">IF(Indata!$K$27="",0,IF(Y52&lt;Indata!$K$27,0,IF(Y52&lt;=Indata!$L$27,Indata!$J$27*1000000*(1+Indata!$C$8*Indata!$H$27)^(Y52-Indata!$K$27),IF(OR(Indata!$M$27="",Indata!$M$27=0),Indata!$J$27*1000000*(1+Indata!$C$8*Indata!$H$27)^(Y52-Indata!$K$27),Y61))))</f>
        <v>0</v>
      </c>
      <c r="Z124" s="45" t="n">
        <f aca="false">IF(Indata!$K$27="",0,IF(Z52&lt;Indata!$K$27,0,IF(Z52&lt;=Indata!$L$27,Indata!$J$27*1000000*(1+Indata!$C$8*Indata!$H$27)^(Z52-Indata!$K$27),IF(OR(Indata!$M$27="",Indata!$M$27=0),Indata!$J$27*1000000*(1+Indata!$C$8*Indata!$H$27)^(Z52-Indata!$K$27),Z61))))</f>
        <v>0</v>
      </c>
      <c r="AA124" s="45" t="n">
        <f aca="false">IF(Indata!$K$27="",0,IF(AA52&lt;Indata!$K$27,0,IF(AA52&lt;=Indata!$L$27,Indata!$J$27*1000000*(1+Indata!$C$8*Indata!$H$27)^(AA52-Indata!$K$27),IF(OR(Indata!$M$27="",Indata!$M$27=0),Indata!$J$27*1000000*(1+Indata!$C$8*Indata!$H$27)^(AA52-Indata!$K$27),AA61))))</f>
        <v>0</v>
      </c>
      <c r="AB124" s="45" t="n">
        <f aca="false">IF(Indata!$K$27="",0,IF(AB52&lt;Indata!$K$27,0,IF(AB52&lt;=Indata!$L$27,Indata!$J$27*1000000*(1+Indata!$C$8*Indata!$H$27)^(AB52-Indata!$K$27),IF(OR(Indata!$M$27="",Indata!$M$27=0),Indata!$J$27*1000000*(1+Indata!$C$8*Indata!$H$27)^(AB52-Indata!$K$27),AB61))))</f>
        <v>0</v>
      </c>
    </row>
    <row r="125" customFormat="false" ht="15" hidden="false" customHeight="false" outlineLevel="0" collapsed="false">
      <c r="B125" s="1" t="s">
        <v>289</v>
      </c>
      <c r="D125" s="45" t="n">
        <f aca="false">IF(Indata!$K$28="",0,IF(D52&lt;Indata!$K$28,0,IF(D52&lt;=Indata!$L$28,Indata!$J$28*1000000*(1+Indata!$C$8*Indata!$H$28)^(D52-Indata!$K$28),IF(OR(Indata!$M$28="",Indata!$M$28=0),Indata!$J$28*1000000*(1+Indata!$C$8*Indata!$H$28)^(D52-Indata!$K$28),D62))))</f>
        <v>0</v>
      </c>
      <c r="E125" s="45" t="n">
        <f aca="false">IF(Indata!$K$28="",0,IF(E52&lt;Indata!$K$28,0,IF(E52&lt;=Indata!$L$28,Indata!$J$28*1000000*(1+Indata!$C$8*Indata!$H$28)^(E52-Indata!$K$28),IF(OR(Indata!$M$28="",Indata!$M$28=0),Indata!$J$28*1000000*(1+Indata!$C$8*Indata!$H$28)^(E52-Indata!$K$28),E62))))</f>
        <v>0</v>
      </c>
      <c r="F125" s="45" t="n">
        <f aca="false">IF(Indata!$K$28="",0,IF(F52&lt;Indata!$K$28,0,IF(F52&lt;=Indata!$L$28,Indata!$J$28*1000000*(1+Indata!$C$8*Indata!$H$28)^(F52-Indata!$K$28),IF(OR(Indata!$M$28="",Indata!$M$28=0),Indata!$J$28*1000000*(1+Indata!$C$8*Indata!$H$28)^(F52-Indata!$K$28),F62))))</f>
        <v>0</v>
      </c>
      <c r="G125" s="45" t="n">
        <f aca="false">IF(Indata!$K$28="",0,IF(G52&lt;Indata!$K$28,0,IF(G52&lt;=Indata!$L$28,Indata!$J$28*1000000*(1+Indata!$C$8*Indata!$H$28)^(G52-Indata!$K$28),IF(OR(Indata!$M$28="",Indata!$M$28=0),Indata!$J$28*1000000*(1+Indata!$C$8*Indata!$H$28)^(G52-Indata!$K$28),G62))))</f>
        <v>0</v>
      </c>
      <c r="H125" s="45" t="n">
        <f aca="false">IF(Indata!$K$28="",0,IF(H52&lt;Indata!$K$28,0,IF(H52&lt;=Indata!$L$28,Indata!$J$28*1000000*(1+Indata!$C$8*Indata!$H$28)^(H52-Indata!$K$28),IF(OR(Indata!$M$28="",Indata!$M$28=0),Indata!$J$28*1000000*(1+Indata!$C$8*Indata!$H$28)^(H52-Indata!$K$28),H62))))</f>
        <v>0</v>
      </c>
      <c r="I125" s="45" t="n">
        <f aca="false">IF(Indata!$K$28="",0,IF(I52&lt;Indata!$K$28,0,IF(I52&lt;=Indata!$L$28,Indata!$J$28*1000000*(1+Indata!$C$8*Indata!$H$28)^(I52-Indata!$K$28),IF(OR(Indata!$M$28="",Indata!$M$28=0),Indata!$J$28*1000000*(1+Indata!$C$8*Indata!$H$28)^(I52-Indata!$K$28),I62))))</f>
        <v>0</v>
      </c>
      <c r="J125" s="45" t="n">
        <f aca="false">IF(Indata!$K$28="",0,IF(J52&lt;Indata!$K$28,0,IF(J52&lt;=Indata!$L$28,Indata!$J$28*1000000*(1+Indata!$C$8*Indata!$H$28)^(J52-Indata!$K$28),IF(OR(Indata!$M$28="",Indata!$M$28=0),Indata!$J$28*1000000*(1+Indata!$C$8*Indata!$H$28)^(J52-Indata!$K$28),J62))))</f>
        <v>0</v>
      </c>
      <c r="K125" s="45" t="n">
        <f aca="false">IF(Indata!$K$28="",0,IF(K52&lt;Indata!$K$28,0,IF(K52&lt;=Indata!$L$28,Indata!$J$28*1000000*(1+Indata!$C$8*Indata!$H$28)^(K52-Indata!$K$28),IF(OR(Indata!$M$28="",Indata!$M$28=0),Indata!$J$28*1000000*(1+Indata!$C$8*Indata!$H$28)^(K52-Indata!$K$28),K62))))</f>
        <v>0</v>
      </c>
      <c r="L125" s="45" t="n">
        <f aca="false">IF(Indata!$K$28="",0,IF(L52&lt;Indata!$K$28,0,IF(L52&lt;=Indata!$L$28,Indata!$J$28*1000000*(1+Indata!$C$8*Indata!$H$28)^(L52-Indata!$K$28),IF(OR(Indata!$M$28="",Indata!$M$28=0),Indata!$J$28*1000000*(1+Indata!$C$8*Indata!$H$28)^(L52-Indata!$K$28),L62))))</f>
        <v>0</v>
      </c>
      <c r="M125" s="45" t="n">
        <f aca="false">IF(Indata!$K$28="",0,IF(M52&lt;Indata!$K$28,0,IF(M52&lt;=Indata!$L$28,Indata!$J$28*1000000*(1+Indata!$C$8*Indata!$H$28)^(M52-Indata!$K$28),IF(OR(Indata!$M$28="",Indata!$M$28=0),Indata!$J$28*1000000*(1+Indata!$C$8*Indata!$H$28)^(M52-Indata!$K$28),M62))))</f>
        <v>0</v>
      </c>
      <c r="N125" s="45" t="n">
        <f aca="false">IF(Indata!$K$28="",0,IF(N52&lt;Indata!$K$28,0,IF(N52&lt;=Indata!$L$28,Indata!$J$28*1000000*(1+Indata!$C$8*Indata!$H$28)^(N52-Indata!$K$28),IF(OR(Indata!$M$28="",Indata!$M$28=0),Indata!$J$28*1000000*(1+Indata!$C$8*Indata!$H$28)^(N52-Indata!$K$28),N62))))</f>
        <v>0</v>
      </c>
      <c r="O125" s="45" t="n">
        <f aca="false">IF(Indata!$K$28="",0,IF(O52&lt;Indata!$K$28,0,IF(O52&lt;=Indata!$L$28,Indata!$J$28*1000000*(1+Indata!$C$8*Indata!$H$28)^(O52-Indata!$K$28),IF(OR(Indata!$M$28="",Indata!$M$28=0),Indata!$J$28*1000000*(1+Indata!$C$8*Indata!$H$28)^(O52-Indata!$K$28),O62))))</f>
        <v>0</v>
      </c>
      <c r="P125" s="45" t="n">
        <f aca="false">IF(Indata!$K$28="",0,IF(P52&lt;Indata!$K$28,0,IF(P52&lt;=Indata!$L$28,Indata!$J$28*1000000*(1+Indata!$C$8*Indata!$H$28)^(P52-Indata!$K$28),IF(OR(Indata!$M$28="",Indata!$M$28=0),Indata!$J$28*1000000*(1+Indata!$C$8*Indata!$H$28)^(P52-Indata!$K$28),P62))))</f>
        <v>0</v>
      </c>
      <c r="Q125" s="45" t="n">
        <f aca="false">IF(Indata!$K$28="",0,IF(Q52&lt;Indata!$K$28,0,IF(Q52&lt;=Indata!$L$28,Indata!$J$28*1000000*(1+Indata!$C$8*Indata!$H$28)^(Q52-Indata!$K$28),IF(OR(Indata!$M$28="",Indata!$M$28=0),Indata!$J$28*1000000*(1+Indata!$C$8*Indata!$H$28)^(Q52-Indata!$K$28),Q62))))</f>
        <v>0</v>
      </c>
      <c r="R125" s="45" t="n">
        <f aca="false">IF(Indata!$K$28="",0,IF(R52&lt;Indata!$K$28,0,IF(R52&lt;=Indata!$L$28,Indata!$J$28*1000000*(1+Indata!$C$8*Indata!$H$28)^(R52-Indata!$K$28),IF(OR(Indata!$M$28="",Indata!$M$28=0),Indata!$J$28*1000000*(1+Indata!$C$8*Indata!$H$28)^(R52-Indata!$K$28),R62))))</f>
        <v>0</v>
      </c>
      <c r="S125" s="45" t="n">
        <f aca="false">IF(Indata!$K$28="",0,IF(S52&lt;Indata!$K$28,0,IF(S52&lt;=Indata!$L$28,Indata!$J$28*1000000*(1+Indata!$C$8*Indata!$H$28)^(S52-Indata!$K$28),IF(OR(Indata!$M$28="",Indata!$M$28=0),Indata!$J$28*1000000*(1+Indata!$C$8*Indata!$H$28)^(S52-Indata!$K$28),S62))))</f>
        <v>0</v>
      </c>
      <c r="T125" s="45" t="n">
        <f aca="false">IF(Indata!$K$28="",0,IF(T52&lt;Indata!$K$28,0,IF(T52&lt;=Indata!$L$28,Indata!$J$28*1000000*(1+Indata!$C$8*Indata!$H$28)^(T52-Indata!$K$28),IF(OR(Indata!$M$28="",Indata!$M$28=0),Indata!$J$28*1000000*(1+Indata!$C$8*Indata!$H$28)^(T52-Indata!$K$28),T62))))</f>
        <v>0</v>
      </c>
      <c r="U125" s="45" t="n">
        <f aca="false">IF(Indata!$K$28="",0,IF(U52&lt;Indata!$K$28,0,IF(U52&lt;=Indata!$L$28,Indata!$J$28*1000000*(1+Indata!$C$8*Indata!$H$28)^(U52-Indata!$K$28),IF(OR(Indata!$M$28="",Indata!$M$28=0),Indata!$J$28*1000000*(1+Indata!$C$8*Indata!$H$28)^(U52-Indata!$K$28),U62))))</f>
        <v>0</v>
      </c>
      <c r="V125" s="45" t="n">
        <f aca="false">IF(Indata!$K$28="",0,IF(V52&lt;Indata!$K$28,0,IF(V52&lt;=Indata!$L$28,Indata!$J$28*1000000*(1+Indata!$C$8*Indata!$H$28)^(V52-Indata!$K$28),IF(OR(Indata!$M$28="",Indata!$M$28=0),Indata!$J$28*1000000*(1+Indata!$C$8*Indata!$H$28)^(V52-Indata!$K$28),V62))))</f>
        <v>0</v>
      </c>
      <c r="W125" s="45" t="n">
        <f aca="false">IF(Indata!$K$28="",0,IF(W52&lt;Indata!$K$28,0,IF(W52&lt;=Indata!$L$28,Indata!$J$28*1000000*(1+Indata!$C$8*Indata!$H$28)^(W52-Indata!$K$28),IF(OR(Indata!$M$28="",Indata!$M$28=0),Indata!$J$28*1000000*(1+Indata!$C$8*Indata!$H$28)^(W52-Indata!$K$28),W62))))</f>
        <v>0</v>
      </c>
      <c r="X125" s="45" t="n">
        <f aca="false">IF(Indata!$K$28="",0,IF(X52&lt;Indata!$K$28,0,IF(X52&lt;=Indata!$L$28,Indata!$J$28*1000000*(1+Indata!$C$8*Indata!$H$28)^(X52-Indata!$K$28),IF(OR(Indata!$M$28="",Indata!$M$28=0),Indata!$J$28*1000000*(1+Indata!$C$8*Indata!$H$28)^(X52-Indata!$K$28),X62))))</f>
        <v>0</v>
      </c>
      <c r="Y125" s="45" t="n">
        <f aca="false">IF(Indata!$K$28="",0,IF(Y52&lt;Indata!$K$28,0,IF(Y52&lt;=Indata!$L$28,Indata!$J$28*1000000*(1+Indata!$C$8*Indata!$H$28)^(Y52-Indata!$K$28),IF(OR(Indata!$M$28="",Indata!$M$28=0),Indata!$J$28*1000000*(1+Indata!$C$8*Indata!$H$28)^(Y52-Indata!$K$28),Y62))))</f>
        <v>0</v>
      </c>
      <c r="Z125" s="45" t="n">
        <f aca="false">IF(Indata!$K$28="",0,IF(Z52&lt;Indata!$K$28,0,IF(Z52&lt;=Indata!$L$28,Indata!$J$28*1000000*(1+Indata!$C$8*Indata!$H$28)^(Z52-Indata!$K$28),IF(OR(Indata!$M$28="",Indata!$M$28=0),Indata!$J$28*1000000*(1+Indata!$C$8*Indata!$H$28)^(Z52-Indata!$K$28),Z62))))</f>
        <v>0</v>
      </c>
      <c r="AA125" s="45" t="n">
        <f aca="false">IF(Indata!$K$28="",0,IF(AA52&lt;Indata!$K$28,0,IF(AA52&lt;=Indata!$L$28,Indata!$J$28*1000000*(1+Indata!$C$8*Indata!$H$28)^(AA52-Indata!$K$28),IF(OR(Indata!$M$28="",Indata!$M$28=0),Indata!$J$28*1000000*(1+Indata!$C$8*Indata!$H$28)^(AA52-Indata!$K$28),AA62))))</f>
        <v>0</v>
      </c>
      <c r="AB125" s="45" t="n">
        <f aca="false">IF(Indata!$K$28="",0,IF(AB52&lt;Indata!$K$28,0,IF(AB52&lt;=Indata!$L$28,Indata!$J$28*1000000*(1+Indata!$C$8*Indata!$H$28)^(AB52-Indata!$K$28),IF(OR(Indata!$M$28="",Indata!$M$28=0),Indata!$J$28*1000000*(1+Indata!$C$8*Indata!$H$28)^(AB52-Indata!$K$28),AB62))))</f>
        <v>0</v>
      </c>
    </row>
    <row r="126" customFormat="false" ht="15" hidden="false" customHeight="false" outlineLevel="0" collapsed="false">
      <c r="B126" s="1" t="s">
        <v>290</v>
      </c>
      <c r="D126" s="45" t="n">
        <f aca="false">IF(Indata!$K$29="",0,IF(D52&lt;Indata!$K$29,0,IF(D52&lt;=Indata!$L$29,Indata!$J$29*1000000*(1+Indata!$C$8*Indata!$H$29)^(D52-Indata!$K$29),IF(OR(Indata!$M$29="",Indata!$M$29=0),Indata!$J$29*1000000*(1+Indata!$C$8*Indata!$H$29)^(D52-Indata!$K$29),D63))))</f>
        <v>0</v>
      </c>
      <c r="E126" s="45" t="n">
        <f aca="false">IF(Indata!$K$29="",0,IF(E52&lt;Indata!$K$29,0,IF(E52&lt;=Indata!$L$29,Indata!$J$29*1000000*(1+Indata!$C$8*Indata!$H$29)^(E52-Indata!$K$29),IF(OR(Indata!$M$29="",Indata!$M$29=0),Indata!$J$29*1000000*(1+Indata!$C$8*Indata!$H$29)^(E52-Indata!$K$29),E63))))</f>
        <v>0</v>
      </c>
      <c r="F126" s="45" t="n">
        <f aca="false">IF(Indata!$K$29="",0,IF(F52&lt;Indata!$K$29,0,IF(F52&lt;=Indata!$L$29,Indata!$J$29*1000000*(1+Indata!$C$8*Indata!$H$29)^(F52-Indata!$K$29),IF(OR(Indata!$M$29="",Indata!$M$29=0),Indata!$J$29*1000000*(1+Indata!$C$8*Indata!$H$29)^(F52-Indata!$K$29),F63))))</f>
        <v>0</v>
      </c>
      <c r="G126" s="45" t="n">
        <f aca="false">IF(Indata!$K$29="",0,IF(G52&lt;Indata!$K$29,0,IF(G52&lt;=Indata!$L$29,Indata!$J$29*1000000*(1+Indata!$C$8*Indata!$H$29)^(G52-Indata!$K$29),IF(OR(Indata!$M$29="",Indata!$M$29=0),Indata!$J$29*1000000*(1+Indata!$C$8*Indata!$H$29)^(G52-Indata!$K$29),G63))))</f>
        <v>0</v>
      </c>
      <c r="H126" s="45" t="n">
        <f aca="false">IF(Indata!$K$29="",0,IF(H52&lt;Indata!$K$29,0,IF(H52&lt;=Indata!$L$29,Indata!$J$29*1000000*(1+Indata!$C$8*Indata!$H$29)^(H52-Indata!$K$29),IF(OR(Indata!$M$29="",Indata!$M$29=0),Indata!$J$29*1000000*(1+Indata!$C$8*Indata!$H$29)^(H52-Indata!$K$29),H63))))</f>
        <v>0</v>
      </c>
      <c r="I126" s="45" t="n">
        <f aca="false">IF(Indata!$K$29="",0,IF(I52&lt;Indata!$K$29,0,IF(I52&lt;=Indata!$L$29,Indata!$J$29*1000000*(1+Indata!$C$8*Indata!$H$29)^(I52-Indata!$K$29),IF(OR(Indata!$M$29="",Indata!$M$29=0),Indata!$J$29*1000000*(1+Indata!$C$8*Indata!$H$29)^(I52-Indata!$K$29),I63))))</f>
        <v>0</v>
      </c>
      <c r="J126" s="45" t="n">
        <f aca="false">IF(Indata!$K$29="",0,IF(J52&lt;Indata!$K$29,0,IF(J52&lt;=Indata!$L$29,Indata!$J$29*1000000*(1+Indata!$C$8*Indata!$H$29)^(J52-Indata!$K$29),IF(OR(Indata!$M$29="",Indata!$M$29=0),Indata!$J$29*1000000*(1+Indata!$C$8*Indata!$H$29)^(J52-Indata!$K$29),J63))))</f>
        <v>0</v>
      </c>
      <c r="K126" s="45" t="n">
        <f aca="false">IF(Indata!$K$29="",0,IF(K52&lt;Indata!$K$29,0,IF(K52&lt;=Indata!$L$29,Indata!$J$29*1000000*(1+Indata!$C$8*Indata!$H$29)^(K52-Indata!$K$29),IF(OR(Indata!$M$29="",Indata!$M$29=0),Indata!$J$29*1000000*(1+Indata!$C$8*Indata!$H$29)^(K52-Indata!$K$29),K63))))</f>
        <v>0</v>
      </c>
      <c r="L126" s="45" t="n">
        <f aca="false">IF(Indata!$K$29="",0,IF(L52&lt;Indata!$K$29,0,IF(L52&lt;=Indata!$L$29,Indata!$J$29*1000000*(1+Indata!$C$8*Indata!$H$29)^(L52-Indata!$K$29),IF(OR(Indata!$M$29="",Indata!$M$29=0),Indata!$J$29*1000000*(1+Indata!$C$8*Indata!$H$29)^(L52-Indata!$K$29),L63))))</f>
        <v>0</v>
      </c>
      <c r="M126" s="45" t="n">
        <f aca="false">IF(Indata!$K$29="",0,IF(M52&lt;Indata!$K$29,0,IF(M52&lt;=Indata!$L$29,Indata!$J$29*1000000*(1+Indata!$C$8*Indata!$H$29)^(M52-Indata!$K$29),IF(OR(Indata!$M$29="",Indata!$M$29=0),Indata!$J$29*1000000*(1+Indata!$C$8*Indata!$H$29)^(M52-Indata!$K$29),M63))))</f>
        <v>0</v>
      </c>
      <c r="N126" s="45" t="n">
        <f aca="false">IF(Indata!$K$29="",0,IF(N52&lt;Indata!$K$29,0,IF(N52&lt;=Indata!$L$29,Indata!$J$29*1000000*(1+Indata!$C$8*Indata!$H$29)^(N52-Indata!$K$29),IF(OR(Indata!$M$29="",Indata!$M$29=0),Indata!$J$29*1000000*(1+Indata!$C$8*Indata!$H$29)^(N52-Indata!$K$29),N63))))</f>
        <v>0</v>
      </c>
      <c r="O126" s="45" t="n">
        <f aca="false">IF(Indata!$K$29="",0,IF(O52&lt;Indata!$K$29,0,IF(O52&lt;=Indata!$L$29,Indata!$J$29*1000000*(1+Indata!$C$8*Indata!$H$29)^(O52-Indata!$K$29),IF(OR(Indata!$M$29="",Indata!$M$29=0),Indata!$J$29*1000000*(1+Indata!$C$8*Indata!$H$29)^(O52-Indata!$K$29),O63))))</f>
        <v>0</v>
      </c>
      <c r="P126" s="45" t="n">
        <f aca="false">IF(Indata!$K$29="",0,IF(P52&lt;Indata!$K$29,0,IF(P52&lt;=Indata!$L$29,Indata!$J$29*1000000*(1+Indata!$C$8*Indata!$H$29)^(P52-Indata!$K$29),IF(OR(Indata!$M$29="",Indata!$M$29=0),Indata!$J$29*1000000*(1+Indata!$C$8*Indata!$H$29)^(P52-Indata!$K$29),P63))))</f>
        <v>0</v>
      </c>
      <c r="Q126" s="45" t="n">
        <f aca="false">IF(Indata!$K$29="",0,IF(Q52&lt;Indata!$K$29,0,IF(Q52&lt;=Indata!$L$29,Indata!$J$29*1000000*(1+Indata!$C$8*Indata!$H$29)^(Q52-Indata!$K$29),IF(OR(Indata!$M$29="",Indata!$M$29=0),Indata!$J$29*1000000*(1+Indata!$C$8*Indata!$H$29)^(Q52-Indata!$K$29),Q63))))</f>
        <v>0</v>
      </c>
      <c r="R126" s="45" t="n">
        <f aca="false">IF(Indata!$K$29="",0,IF(R52&lt;Indata!$K$29,0,IF(R52&lt;=Indata!$L$29,Indata!$J$29*1000000*(1+Indata!$C$8*Indata!$H$29)^(R52-Indata!$K$29),IF(OR(Indata!$M$29="",Indata!$M$29=0),Indata!$J$29*1000000*(1+Indata!$C$8*Indata!$H$29)^(R52-Indata!$K$29),R63))))</f>
        <v>0</v>
      </c>
      <c r="S126" s="45" t="n">
        <f aca="false">IF(Indata!$K$29="",0,IF(S52&lt;Indata!$K$29,0,IF(S52&lt;=Indata!$L$29,Indata!$J$29*1000000*(1+Indata!$C$8*Indata!$H$29)^(S52-Indata!$K$29),IF(OR(Indata!$M$29="",Indata!$M$29=0),Indata!$J$29*1000000*(1+Indata!$C$8*Indata!$H$29)^(S52-Indata!$K$29),S63))))</f>
        <v>0</v>
      </c>
      <c r="T126" s="45" t="n">
        <f aca="false">IF(Indata!$K$29="",0,IF(T52&lt;Indata!$K$29,0,IF(T52&lt;=Indata!$L$29,Indata!$J$29*1000000*(1+Indata!$C$8*Indata!$H$29)^(T52-Indata!$K$29),IF(OR(Indata!$M$29="",Indata!$M$29=0),Indata!$J$29*1000000*(1+Indata!$C$8*Indata!$H$29)^(T52-Indata!$K$29),T63))))</f>
        <v>0</v>
      </c>
      <c r="U126" s="45" t="n">
        <f aca="false">IF(Indata!$K$29="",0,IF(U52&lt;Indata!$K$29,0,IF(U52&lt;=Indata!$L$29,Indata!$J$29*1000000*(1+Indata!$C$8*Indata!$H$29)^(U52-Indata!$K$29),IF(OR(Indata!$M$29="",Indata!$M$29=0),Indata!$J$29*1000000*(1+Indata!$C$8*Indata!$H$29)^(U52-Indata!$K$29),U63))))</f>
        <v>0</v>
      </c>
      <c r="V126" s="45" t="n">
        <f aca="false">IF(Indata!$K$29="",0,IF(V52&lt;Indata!$K$29,0,IF(V52&lt;=Indata!$L$29,Indata!$J$29*1000000*(1+Indata!$C$8*Indata!$H$29)^(V52-Indata!$K$29),IF(OR(Indata!$M$29="",Indata!$M$29=0),Indata!$J$29*1000000*(1+Indata!$C$8*Indata!$H$29)^(V52-Indata!$K$29),V63))))</f>
        <v>0</v>
      </c>
      <c r="W126" s="45" t="n">
        <f aca="false">IF(Indata!$K$29="",0,IF(W52&lt;Indata!$K$29,0,IF(W52&lt;=Indata!$L$29,Indata!$J$29*1000000*(1+Indata!$C$8*Indata!$H$29)^(W52-Indata!$K$29),IF(OR(Indata!$M$29="",Indata!$M$29=0),Indata!$J$29*1000000*(1+Indata!$C$8*Indata!$H$29)^(W52-Indata!$K$29),W63))))</f>
        <v>0</v>
      </c>
      <c r="X126" s="45" t="n">
        <f aca="false">IF(Indata!$K$29="",0,IF(X52&lt;Indata!$K$29,0,IF(X52&lt;=Indata!$L$29,Indata!$J$29*1000000*(1+Indata!$C$8*Indata!$H$29)^(X52-Indata!$K$29),IF(OR(Indata!$M$29="",Indata!$M$29=0),Indata!$J$29*1000000*(1+Indata!$C$8*Indata!$H$29)^(X52-Indata!$K$29),X63))))</f>
        <v>0</v>
      </c>
      <c r="Y126" s="45" t="n">
        <f aca="false">IF(Indata!$K$29="",0,IF(Y52&lt;Indata!$K$29,0,IF(Y52&lt;=Indata!$L$29,Indata!$J$29*1000000*(1+Indata!$C$8*Indata!$H$29)^(Y52-Indata!$K$29),IF(OR(Indata!$M$29="",Indata!$M$29=0),Indata!$J$29*1000000*(1+Indata!$C$8*Indata!$H$29)^(Y52-Indata!$K$29),Y63))))</f>
        <v>0</v>
      </c>
      <c r="Z126" s="45" t="n">
        <f aca="false">IF(Indata!$K$29="",0,IF(Z52&lt;Indata!$K$29,0,IF(Z52&lt;=Indata!$L$29,Indata!$J$29*1000000*(1+Indata!$C$8*Indata!$H$29)^(Z52-Indata!$K$29),IF(OR(Indata!$M$29="",Indata!$M$29=0),Indata!$J$29*1000000*(1+Indata!$C$8*Indata!$H$29)^(Z52-Indata!$K$29),Z63))))</f>
        <v>0</v>
      </c>
      <c r="AA126" s="45" t="n">
        <f aca="false">IF(Indata!$K$29="",0,IF(AA52&lt;Indata!$K$29,0,IF(AA52&lt;=Indata!$L$29,Indata!$J$29*1000000*(1+Indata!$C$8*Indata!$H$29)^(AA52-Indata!$K$29),IF(OR(Indata!$M$29="",Indata!$M$29=0),Indata!$J$29*1000000*(1+Indata!$C$8*Indata!$H$29)^(AA52-Indata!$K$29),AA63))))</f>
        <v>0</v>
      </c>
      <c r="AB126" s="45" t="n">
        <f aca="false">IF(Indata!$K$29="",0,IF(AB52&lt;Indata!$K$29,0,IF(AB52&lt;=Indata!$L$29,Indata!$J$29*1000000*(1+Indata!$C$8*Indata!$H$29)^(AB52-Indata!$K$29),IF(OR(Indata!$M$29="",Indata!$M$29=0),Indata!$J$29*1000000*(1+Indata!$C$8*Indata!$H$29)^(AB52-Indata!$K$29),AB63))))</f>
        <v>0</v>
      </c>
    </row>
    <row r="127" customFormat="false" ht="15" hidden="false" customHeight="false" outlineLevel="0" collapsed="false">
      <c r="B127" s="1" t="s">
        <v>291</v>
      </c>
      <c r="D127" s="45" t="n">
        <f aca="false">IF(Indata!$K$30="",0,IF(D52&lt;Indata!$K$30,0,IF(D52&lt;=Indata!$L$30,Indata!$J$30*1000000*(1+Indata!$C$8*Indata!$H$30)^(D52-Indata!$K$30),IF(OR(Indata!$M$30="",Indata!$M$30=0),Indata!$J$30*1000000*(1+Indata!$C$8*Indata!$H$30)^(D52-Indata!$K$30),D64))))</f>
        <v>0</v>
      </c>
      <c r="E127" s="45" t="n">
        <f aca="false">IF(Indata!$K$30="",0,IF(E52&lt;Indata!$K$30,0,IF(E52&lt;=Indata!$L$30,Indata!$J$30*1000000*(1+Indata!$C$8*Indata!$H$30)^(E52-Indata!$K$30),IF(OR(Indata!$M$30="",Indata!$M$30=0),Indata!$J$30*1000000*(1+Indata!$C$8*Indata!$H$30)^(E52-Indata!$K$30),E64))))</f>
        <v>0</v>
      </c>
      <c r="F127" s="45" t="n">
        <f aca="false">IF(Indata!$K$30="",0,IF(F52&lt;Indata!$K$30,0,IF(F52&lt;=Indata!$L$30,Indata!$J$30*1000000*(1+Indata!$C$8*Indata!$H$30)^(F52-Indata!$K$30),IF(OR(Indata!$M$30="",Indata!$M$30=0),Indata!$J$30*1000000*(1+Indata!$C$8*Indata!$H$30)^(F52-Indata!$K$30),F64))))</f>
        <v>0</v>
      </c>
      <c r="G127" s="45" t="n">
        <f aca="false">IF(Indata!$K$30="",0,IF(G52&lt;Indata!$K$30,0,IF(G52&lt;=Indata!$L$30,Indata!$J$30*1000000*(1+Indata!$C$8*Indata!$H$30)^(G52-Indata!$K$30),IF(OR(Indata!$M$30="",Indata!$M$30=0),Indata!$J$30*1000000*(1+Indata!$C$8*Indata!$H$30)^(G52-Indata!$K$30),G64))))</f>
        <v>0</v>
      </c>
      <c r="H127" s="45" t="n">
        <f aca="false">IF(Indata!$K$30="",0,IF(H52&lt;Indata!$K$30,0,IF(H52&lt;=Indata!$L$30,Indata!$J$30*1000000*(1+Indata!$C$8*Indata!$H$30)^(H52-Indata!$K$30),IF(OR(Indata!$M$30="",Indata!$M$30=0),Indata!$J$30*1000000*(1+Indata!$C$8*Indata!$H$30)^(H52-Indata!$K$30),H64))))</f>
        <v>0</v>
      </c>
      <c r="I127" s="45" t="n">
        <f aca="false">IF(Indata!$K$30="",0,IF(I52&lt;Indata!$K$30,0,IF(I52&lt;=Indata!$L$30,Indata!$J$30*1000000*(1+Indata!$C$8*Indata!$H$30)^(I52-Indata!$K$30),IF(OR(Indata!$M$30="",Indata!$M$30=0),Indata!$J$30*1000000*(1+Indata!$C$8*Indata!$H$30)^(I52-Indata!$K$30),I64))))</f>
        <v>0</v>
      </c>
      <c r="J127" s="45" t="n">
        <f aca="false">IF(Indata!$K$30="",0,IF(J52&lt;Indata!$K$30,0,IF(J52&lt;=Indata!$L$30,Indata!$J$30*1000000*(1+Indata!$C$8*Indata!$H$30)^(J52-Indata!$K$30),IF(OR(Indata!$M$30="",Indata!$M$30=0),Indata!$J$30*1000000*(1+Indata!$C$8*Indata!$H$30)^(J52-Indata!$K$30),J64))))</f>
        <v>0</v>
      </c>
      <c r="K127" s="45" t="n">
        <f aca="false">IF(Indata!$K$30="",0,IF(K52&lt;Indata!$K$30,0,IF(K52&lt;=Indata!$L$30,Indata!$J$30*1000000*(1+Indata!$C$8*Indata!$H$30)^(K52-Indata!$K$30),IF(OR(Indata!$M$30="",Indata!$M$30=0),Indata!$J$30*1000000*(1+Indata!$C$8*Indata!$H$30)^(K52-Indata!$K$30),K64))))</f>
        <v>0</v>
      </c>
      <c r="L127" s="45" t="n">
        <f aca="false">IF(Indata!$K$30="",0,IF(L52&lt;Indata!$K$30,0,IF(L52&lt;=Indata!$L$30,Indata!$J$30*1000000*(1+Indata!$C$8*Indata!$H$30)^(L52-Indata!$K$30),IF(OR(Indata!$M$30="",Indata!$M$30=0),Indata!$J$30*1000000*(1+Indata!$C$8*Indata!$H$30)^(L52-Indata!$K$30),L64))))</f>
        <v>0</v>
      </c>
      <c r="M127" s="45" t="n">
        <f aca="false">IF(Indata!$K$30="",0,IF(M52&lt;Indata!$K$30,0,IF(M52&lt;=Indata!$L$30,Indata!$J$30*1000000*(1+Indata!$C$8*Indata!$H$30)^(M52-Indata!$K$30),IF(OR(Indata!$M$30="",Indata!$M$30=0),Indata!$J$30*1000000*(1+Indata!$C$8*Indata!$H$30)^(M52-Indata!$K$30),M64))))</f>
        <v>0</v>
      </c>
      <c r="N127" s="45" t="n">
        <f aca="false">IF(Indata!$K$30="",0,IF(N52&lt;Indata!$K$30,0,IF(N52&lt;=Indata!$L$30,Indata!$J$30*1000000*(1+Indata!$C$8*Indata!$H$30)^(N52-Indata!$K$30),IF(OR(Indata!$M$30="",Indata!$M$30=0),Indata!$J$30*1000000*(1+Indata!$C$8*Indata!$H$30)^(N52-Indata!$K$30),N64))))</f>
        <v>0</v>
      </c>
      <c r="O127" s="45" t="n">
        <f aca="false">IF(Indata!$K$30="",0,IF(O52&lt;Indata!$K$30,0,IF(O52&lt;=Indata!$L$30,Indata!$J$30*1000000*(1+Indata!$C$8*Indata!$H$30)^(O52-Indata!$K$30),IF(OR(Indata!$M$30="",Indata!$M$30=0),Indata!$J$30*1000000*(1+Indata!$C$8*Indata!$H$30)^(O52-Indata!$K$30),O64))))</f>
        <v>0</v>
      </c>
      <c r="P127" s="45" t="n">
        <f aca="false">IF(Indata!$K$30="",0,IF(P52&lt;Indata!$K$30,0,IF(P52&lt;=Indata!$L$30,Indata!$J$30*1000000*(1+Indata!$C$8*Indata!$H$30)^(P52-Indata!$K$30),IF(OR(Indata!$M$30="",Indata!$M$30=0),Indata!$J$30*1000000*(1+Indata!$C$8*Indata!$H$30)^(P52-Indata!$K$30),P64))))</f>
        <v>0</v>
      </c>
      <c r="Q127" s="45" t="n">
        <f aca="false">IF(Indata!$K$30="",0,IF(Q52&lt;Indata!$K$30,0,IF(Q52&lt;=Indata!$L$30,Indata!$J$30*1000000*(1+Indata!$C$8*Indata!$H$30)^(Q52-Indata!$K$30),IF(OR(Indata!$M$30="",Indata!$M$30=0),Indata!$J$30*1000000*(1+Indata!$C$8*Indata!$H$30)^(Q52-Indata!$K$30),Q64))))</f>
        <v>0</v>
      </c>
      <c r="R127" s="45" t="n">
        <f aca="false">IF(Indata!$K$30="",0,IF(R52&lt;Indata!$K$30,0,IF(R52&lt;=Indata!$L$30,Indata!$J$30*1000000*(1+Indata!$C$8*Indata!$H$30)^(R52-Indata!$K$30),IF(OR(Indata!$M$30="",Indata!$M$30=0),Indata!$J$30*1000000*(1+Indata!$C$8*Indata!$H$30)^(R52-Indata!$K$30),R64))))</f>
        <v>0</v>
      </c>
      <c r="S127" s="45" t="n">
        <f aca="false">IF(Indata!$K$30="",0,IF(S52&lt;Indata!$K$30,0,IF(S52&lt;=Indata!$L$30,Indata!$J$30*1000000*(1+Indata!$C$8*Indata!$H$30)^(S52-Indata!$K$30),IF(OR(Indata!$M$30="",Indata!$M$30=0),Indata!$J$30*1000000*(1+Indata!$C$8*Indata!$H$30)^(S52-Indata!$K$30),S64))))</f>
        <v>0</v>
      </c>
      <c r="T127" s="45" t="n">
        <f aca="false">IF(Indata!$K$30="",0,IF(T52&lt;Indata!$K$30,0,IF(T52&lt;=Indata!$L$30,Indata!$J$30*1000000*(1+Indata!$C$8*Indata!$H$30)^(T52-Indata!$K$30),IF(OR(Indata!$M$30="",Indata!$M$30=0),Indata!$J$30*1000000*(1+Indata!$C$8*Indata!$H$30)^(T52-Indata!$K$30),T64))))</f>
        <v>0</v>
      </c>
      <c r="U127" s="45" t="n">
        <f aca="false">IF(Indata!$K$30="",0,IF(U52&lt;Indata!$K$30,0,IF(U52&lt;=Indata!$L$30,Indata!$J$30*1000000*(1+Indata!$C$8*Indata!$H$30)^(U52-Indata!$K$30),IF(OR(Indata!$M$30="",Indata!$M$30=0),Indata!$J$30*1000000*(1+Indata!$C$8*Indata!$H$30)^(U52-Indata!$K$30),U64))))</f>
        <v>0</v>
      </c>
      <c r="V127" s="45" t="n">
        <f aca="false">IF(Indata!$K$30="",0,IF(V52&lt;Indata!$K$30,0,IF(V52&lt;=Indata!$L$30,Indata!$J$30*1000000*(1+Indata!$C$8*Indata!$H$30)^(V52-Indata!$K$30),IF(OR(Indata!$M$30="",Indata!$M$30=0),Indata!$J$30*1000000*(1+Indata!$C$8*Indata!$H$30)^(V52-Indata!$K$30),V64))))</f>
        <v>0</v>
      </c>
      <c r="W127" s="45" t="n">
        <f aca="false">IF(Indata!$K$30="",0,IF(W52&lt;Indata!$K$30,0,IF(W52&lt;=Indata!$L$30,Indata!$J$30*1000000*(1+Indata!$C$8*Indata!$H$30)^(W52-Indata!$K$30),IF(OR(Indata!$M$30="",Indata!$M$30=0),Indata!$J$30*1000000*(1+Indata!$C$8*Indata!$H$30)^(W52-Indata!$K$30),W64))))</f>
        <v>0</v>
      </c>
      <c r="X127" s="45" t="n">
        <f aca="false">IF(Indata!$K$30="",0,IF(X52&lt;Indata!$K$30,0,IF(X52&lt;=Indata!$L$30,Indata!$J$30*1000000*(1+Indata!$C$8*Indata!$H$30)^(X52-Indata!$K$30),IF(OR(Indata!$M$30="",Indata!$M$30=0),Indata!$J$30*1000000*(1+Indata!$C$8*Indata!$H$30)^(X52-Indata!$K$30),X64))))</f>
        <v>0</v>
      </c>
      <c r="Y127" s="45" t="n">
        <f aca="false">IF(Indata!$K$30="",0,IF(Y52&lt;Indata!$K$30,0,IF(Y52&lt;=Indata!$L$30,Indata!$J$30*1000000*(1+Indata!$C$8*Indata!$H$30)^(Y52-Indata!$K$30),IF(OR(Indata!$M$30="",Indata!$M$30=0),Indata!$J$30*1000000*(1+Indata!$C$8*Indata!$H$30)^(Y52-Indata!$K$30),Y64))))</f>
        <v>0</v>
      </c>
      <c r="Z127" s="45" t="n">
        <f aca="false">IF(Indata!$K$30="",0,IF(Z52&lt;Indata!$K$30,0,IF(Z52&lt;=Indata!$L$30,Indata!$J$30*1000000*(1+Indata!$C$8*Indata!$H$30)^(Z52-Indata!$K$30),IF(OR(Indata!$M$30="",Indata!$M$30=0),Indata!$J$30*1000000*(1+Indata!$C$8*Indata!$H$30)^(Z52-Indata!$K$30),Z64))))</f>
        <v>0</v>
      </c>
      <c r="AA127" s="45" t="n">
        <f aca="false">IF(Indata!$K$30="",0,IF(AA52&lt;Indata!$K$30,0,IF(AA52&lt;=Indata!$L$30,Indata!$J$30*1000000*(1+Indata!$C$8*Indata!$H$30)^(AA52-Indata!$K$30),IF(OR(Indata!$M$30="",Indata!$M$30=0),Indata!$J$30*1000000*(1+Indata!$C$8*Indata!$H$30)^(AA52-Indata!$K$30),AA64))))</f>
        <v>0</v>
      </c>
      <c r="AB127" s="45" t="n">
        <f aca="false">IF(Indata!$K$30="",0,IF(AB52&lt;Indata!$K$30,0,IF(AB52&lt;=Indata!$L$30,Indata!$J$30*1000000*(1+Indata!$C$8*Indata!$H$30)^(AB52-Indata!$K$30),IF(OR(Indata!$M$30="",Indata!$M$30=0),Indata!$J$30*1000000*(1+Indata!$C$8*Indata!$H$30)^(AB52-Indata!$K$30),AB64))))</f>
        <v>0</v>
      </c>
    </row>
    <row r="129" customFormat="false" ht="15" hidden="false" customHeight="false" outlineLevel="0" collapsed="false">
      <c r="B129" s="1" t="s">
        <v>292</v>
      </c>
      <c r="D129" s="28" t="n">
        <f aca="false">SUM(D123:D127)</f>
        <v>1000000</v>
      </c>
      <c r="E129" s="28" t="n">
        <f aca="false">SUM(E123:E127)</f>
        <v>1014000</v>
      </c>
      <c r="F129" s="28" t="n">
        <f aca="false">SUM(F123:F127)</f>
        <v>1028196</v>
      </c>
      <c r="G129" s="28" t="n">
        <f aca="false">SUM(G123:G127)</f>
        <v>1042590.744</v>
      </c>
      <c r="H129" s="28" t="n">
        <f aca="false">SUM(H123:H127)</f>
        <v>1057187.014416</v>
      </c>
      <c r="I129" s="28" t="n">
        <f aca="false">SUM(I123:I127)</f>
        <v>1071987.63261782</v>
      </c>
      <c r="J129" s="28" t="n">
        <f aca="false">SUM(J123:J127)</f>
        <v>1086995.45947447</v>
      </c>
      <c r="K129" s="28" t="n">
        <f aca="false">SUM(K123:K127)</f>
        <v>1102213.39590712</v>
      </c>
      <c r="L129" s="28" t="n">
        <f aca="false">SUM(L123:L127)</f>
        <v>1117644.38344982</v>
      </c>
      <c r="M129" s="28" t="n">
        <f aca="false">SUM(M123:M127)</f>
        <v>1133291.40481811</v>
      </c>
      <c r="N129" s="28" t="n">
        <f aca="false">SUM(N123:N127)</f>
        <v>1149157.48448557</v>
      </c>
      <c r="O129" s="28" t="n">
        <f aca="false">SUM(O123:O127)</f>
        <v>1165245.68926836</v>
      </c>
      <c r="P129" s="28" t="n">
        <f aca="false">SUM(P123:P127)</f>
        <v>1181559.12891812</v>
      </c>
      <c r="Q129" s="28" t="n">
        <f aca="false">SUM(Q123:Q127)</f>
        <v>1198100.95672298</v>
      </c>
      <c r="R129" s="28" t="n">
        <f aca="false">SUM(R123:R127)</f>
        <v>1214874.3701171</v>
      </c>
      <c r="S129" s="28" t="n">
        <f aca="false">SUM(S123:S127)</f>
        <v>1231882.61129874</v>
      </c>
      <c r="T129" s="28" t="n">
        <f aca="false">SUM(T123:T127)</f>
        <v>1249128.96785692</v>
      </c>
      <c r="U129" s="28" t="n">
        <f aca="false">SUM(U123:U127)</f>
        <v>1266616.77340692</v>
      </c>
      <c r="V129" s="28" t="n">
        <f aca="false">SUM(V123:V127)</f>
        <v>1284349.40823461</v>
      </c>
      <c r="W129" s="28" t="n">
        <f aca="false">SUM(W123:W127)</f>
        <v>1302330.2999499</v>
      </c>
      <c r="X129" s="28" t="n">
        <f aca="false">SUM(X123:X127)</f>
        <v>1320562.9241492</v>
      </c>
      <c r="Y129" s="28" t="n">
        <f aca="false">SUM(Y123:Y127)</f>
        <v>1339050.80508728</v>
      </c>
      <c r="Z129" s="28" t="n">
        <f aca="false">SUM(Z123:Z127)</f>
        <v>1357797.51635851</v>
      </c>
      <c r="AA129" s="28" t="n">
        <f aca="false">SUM(AA123:AA127)</f>
        <v>1376806.68158753</v>
      </c>
      <c r="AB129" s="28" t="n">
        <f aca="false">SUM(AB123:AB127)</f>
        <v>1396081.97512975</v>
      </c>
    </row>
    <row r="130" customFormat="false" ht="15" hidden="false" customHeight="false" outlineLevel="0" collapsed="false">
      <c r="B130" s="1" t="s">
        <v>293</v>
      </c>
      <c r="D130" s="28" t="n">
        <f aca="false">IF(AND(Indata!$L$26&lt;&gt;"",D52&gt;Indata!$L$26),-D123*Indata!$N$26,0)+IF(AND(Indata!$L$27&lt;&gt;"",D52&gt;Indata!$L$27),-D124*Indata!$N$27,0)+IF(AND(Indata!$L$28&lt;&gt;"",D52&gt;Indata!$L$28),-D125*Indata!$N$28,0)+IF(AND(Indata!$L$29&lt;&gt;"",D52&gt;Indata!$L$29),-D126*Indata!$N$29,0)+IF(AND(Indata!$L$30&lt;&gt;"",D52&gt;Indata!$L$30),-D127*Indata!$N$30,0)</f>
        <v>0</v>
      </c>
      <c r="E130" s="28" t="n">
        <f aca="false">IF(AND(Indata!$L$26&lt;&gt;"",E52&gt;Indata!$L$26),-E123*Indata!$N$26,0)+IF(AND(Indata!$L$27&lt;&gt;"",E52&gt;Indata!$L$27),-E124*Indata!$N$27,0)+IF(AND(Indata!$L$28&lt;&gt;"",E52&gt;Indata!$L$28),-E125*Indata!$N$28,0)+IF(AND(Indata!$L$29&lt;&gt;"",E52&gt;Indata!$L$29),-E126*Indata!$N$29,0)+IF(AND(Indata!$L$30&lt;&gt;"",E52&gt;Indata!$L$30),-E127*Indata!$N$30,0)</f>
        <v>0</v>
      </c>
      <c r="F130" s="28" t="n">
        <f aca="false">IF(AND(Indata!$L$26&lt;&gt;"",F52&gt;Indata!$L$26),-F123*Indata!$N$26,0)+IF(AND(Indata!$L$27&lt;&gt;"",F52&gt;Indata!$L$27),-F124*Indata!$N$27,0)+IF(AND(Indata!$L$28&lt;&gt;"",F52&gt;Indata!$L$28),-F125*Indata!$N$28,0)+IF(AND(Indata!$L$29&lt;&gt;"",F52&gt;Indata!$L$29),-F126*Indata!$N$29,0)+IF(AND(Indata!$L$30&lt;&gt;"",F52&gt;Indata!$L$30),-F127*Indata!$N$30,0)</f>
        <v>0</v>
      </c>
      <c r="G130" s="28" t="n">
        <f aca="false">IF(AND(Indata!$L$26&lt;&gt;"",G52&gt;Indata!$L$26),-G123*Indata!$N$26,0)+IF(AND(Indata!$L$27&lt;&gt;"",G52&gt;Indata!$L$27),-G124*Indata!$N$27,0)+IF(AND(Indata!$L$28&lt;&gt;"",G52&gt;Indata!$L$28),-G125*Indata!$N$28,0)+IF(AND(Indata!$L$29&lt;&gt;"",G52&gt;Indata!$L$29),-G126*Indata!$N$29,0)+IF(AND(Indata!$L$30&lt;&gt;"",G52&gt;Indata!$L$30),-G127*Indata!$N$30,0)</f>
        <v>0</v>
      </c>
      <c r="H130" s="28" t="n">
        <f aca="false">IF(AND(Indata!$L$26&lt;&gt;"",H52&gt;Indata!$L$26),-H123*Indata!$N$26,0)+IF(AND(Indata!$L$27&lt;&gt;"",H52&gt;Indata!$L$27),-H124*Indata!$N$27,0)+IF(AND(Indata!$L$28&lt;&gt;"",H52&gt;Indata!$L$28),-H125*Indata!$N$28,0)+IF(AND(Indata!$L$29&lt;&gt;"",H52&gt;Indata!$L$29),-H126*Indata!$N$29,0)+IF(AND(Indata!$L$30&lt;&gt;"",H52&gt;Indata!$L$30),-H127*Indata!$N$30,0)</f>
        <v>0</v>
      </c>
      <c r="I130" s="28" t="n">
        <f aca="false">IF(AND(Indata!$L$26&lt;&gt;"",I52&gt;Indata!$L$26),-I123*Indata!$N$26,0)+IF(AND(Indata!$L$27&lt;&gt;"",I52&gt;Indata!$L$27),-I124*Indata!$N$27,0)+IF(AND(Indata!$L$28&lt;&gt;"",I52&gt;Indata!$L$28),-I125*Indata!$N$28,0)+IF(AND(Indata!$L$29&lt;&gt;"",I52&gt;Indata!$L$29),-I126*Indata!$N$29,0)+IF(AND(Indata!$L$30&lt;&gt;"",I52&gt;Indata!$L$30),-I127*Indata!$N$30,0)</f>
        <v>0</v>
      </c>
      <c r="J130" s="28" t="n">
        <f aca="false">IF(AND(Indata!$L$26&lt;&gt;"",J52&gt;Indata!$L$26),-J123*Indata!$N$26,0)+IF(AND(Indata!$L$27&lt;&gt;"",J52&gt;Indata!$L$27),-J124*Indata!$N$27,0)+IF(AND(Indata!$L$28&lt;&gt;"",J52&gt;Indata!$L$28),-J125*Indata!$N$28,0)+IF(AND(Indata!$L$29&lt;&gt;"",J52&gt;Indata!$L$29),-J126*Indata!$N$29,0)+IF(AND(Indata!$L$30&lt;&gt;"",J52&gt;Indata!$L$30),-J127*Indata!$N$30,0)</f>
        <v>0</v>
      </c>
      <c r="K130" s="28" t="n">
        <f aca="false">IF(AND(Indata!$L$26&lt;&gt;"",K52&gt;Indata!$L$26),-K123*Indata!$N$26,0)+IF(AND(Indata!$L$27&lt;&gt;"",K52&gt;Indata!$L$27),-K124*Indata!$N$27,0)+IF(AND(Indata!$L$28&lt;&gt;"",K52&gt;Indata!$L$28),-K125*Indata!$N$28,0)+IF(AND(Indata!$L$29&lt;&gt;"",K52&gt;Indata!$L$29),-K126*Indata!$N$29,0)+IF(AND(Indata!$L$30&lt;&gt;"",K52&gt;Indata!$L$30),-K127*Indata!$N$30,0)</f>
        <v>0</v>
      </c>
      <c r="L130" s="28" t="n">
        <f aca="false">IF(AND(Indata!$L$26&lt;&gt;"",L52&gt;Indata!$L$26),-L123*Indata!$N$26,0)+IF(AND(Indata!$L$27&lt;&gt;"",L52&gt;Indata!$L$27),-L124*Indata!$N$27,0)+IF(AND(Indata!$L$28&lt;&gt;"",L52&gt;Indata!$L$28),-L125*Indata!$N$28,0)+IF(AND(Indata!$L$29&lt;&gt;"",L52&gt;Indata!$L$29),-L126*Indata!$N$29,0)+IF(AND(Indata!$L$30&lt;&gt;"",L52&gt;Indata!$L$30),-L127*Indata!$N$30,0)</f>
        <v>0</v>
      </c>
      <c r="M130" s="28" t="n">
        <f aca="false">IF(AND(Indata!$L$26&lt;&gt;"",M52&gt;Indata!$L$26),-M123*Indata!$N$26,0)+IF(AND(Indata!$L$27&lt;&gt;"",M52&gt;Indata!$L$27),-M124*Indata!$N$27,0)+IF(AND(Indata!$L$28&lt;&gt;"",M52&gt;Indata!$L$28),-M125*Indata!$N$28,0)+IF(AND(Indata!$L$29&lt;&gt;"",M52&gt;Indata!$L$29),-M126*Indata!$N$29,0)+IF(AND(Indata!$L$30&lt;&gt;"",M52&gt;Indata!$L$30),-M127*Indata!$N$30,0)</f>
        <v>0</v>
      </c>
      <c r="N130" s="28" t="n">
        <f aca="false">IF(AND(Indata!$L$26&lt;&gt;"",N52&gt;Indata!$L$26),-N123*Indata!$N$26,0)+IF(AND(Indata!$L$27&lt;&gt;"",N52&gt;Indata!$L$27),-N124*Indata!$N$27,0)+IF(AND(Indata!$L$28&lt;&gt;"",N52&gt;Indata!$L$28),-N125*Indata!$N$28,0)+IF(AND(Indata!$L$29&lt;&gt;"",N52&gt;Indata!$L$29),-N126*Indata!$N$29,0)+IF(AND(Indata!$L$30&lt;&gt;"",N52&gt;Indata!$L$30),-N127*Indata!$N$30,0)</f>
        <v>0</v>
      </c>
      <c r="O130" s="28" t="n">
        <f aca="false">IF(AND(Indata!$L$26&lt;&gt;"",O52&gt;Indata!$L$26),-O123*Indata!$N$26,0)+IF(AND(Indata!$L$27&lt;&gt;"",O52&gt;Indata!$L$27),-O124*Indata!$N$27,0)+IF(AND(Indata!$L$28&lt;&gt;"",O52&gt;Indata!$L$28),-O125*Indata!$N$28,0)+IF(AND(Indata!$L$29&lt;&gt;"",O52&gt;Indata!$L$29),-O126*Indata!$N$29,0)+IF(AND(Indata!$L$30&lt;&gt;"",O52&gt;Indata!$L$30),-O127*Indata!$N$30,0)</f>
        <v>0</v>
      </c>
      <c r="P130" s="28" t="n">
        <f aca="false">IF(AND(Indata!$L$26&lt;&gt;"",P52&gt;Indata!$L$26),-P123*Indata!$N$26,0)+IF(AND(Indata!$L$27&lt;&gt;"",P52&gt;Indata!$L$27),-P124*Indata!$N$27,0)+IF(AND(Indata!$L$28&lt;&gt;"",P52&gt;Indata!$L$28),-P125*Indata!$N$28,0)+IF(AND(Indata!$L$29&lt;&gt;"",P52&gt;Indata!$L$29),-P126*Indata!$N$29,0)+IF(AND(Indata!$L$30&lt;&gt;"",P52&gt;Indata!$L$30),-P127*Indata!$N$30,0)</f>
        <v>0</v>
      </c>
      <c r="Q130" s="28" t="n">
        <f aca="false">IF(AND(Indata!$L$26&lt;&gt;"",Q52&gt;Indata!$L$26),-Q123*Indata!$N$26,0)+IF(AND(Indata!$L$27&lt;&gt;"",Q52&gt;Indata!$L$27),-Q124*Indata!$N$27,0)+IF(AND(Indata!$L$28&lt;&gt;"",Q52&gt;Indata!$L$28),-Q125*Indata!$N$28,0)+IF(AND(Indata!$L$29&lt;&gt;"",Q52&gt;Indata!$L$29),-Q126*Indata!$N$29,0)+IF(AND(Indata!$L$30&lt;&gt;"",Q52&gt;Indata!$L$30),-Q127*Indata!$N$30,0)</f>
        <v>0</v>
      </c>
      <c r="R130" s="28" t="n">
        <f aca="false">IF(AND(Indata!$L$26&lt;&gt;"",R52&gt;Indata!$L$26),-R123*Indata!$N$26,0)+IF(AND(Indata!$L$27&lt;&gt;"",R52&gt;Indata!$L$27),-R124*Indata!$N$27,0)+IF(AND(Indata!$L$28&lt;&gt;"",R52&gt;Indata!$L$28),-R125*Indata!$N$28,0)+IF(AND(Indata!$L$29&lt;&gt;"",R52&gt;Indata!$L$29),-R126*Indata!$N$29,0)+IF(AND(Indata!$L$30&lt;&gt;"",R52&gt;Indata!$L$30),-R127*Indata!$N$30,0)</f>
        <v>0</v>
      </c>
      <c r="S130" s="28" t="n">
        <f aca="false">IF(AND(Indata!$L$26&lt;&gt;"",S52&gt;Indata!$L$26),-S123*Indata!$N$26,0)+IF(AND(Indata!$L$27&lt;&gt;"",S52&gt;Indata!$L$27),-S124*Indata!$N$27,0)+IF(AND(Indata!$L$28&lt;&gt;"",S52&gt;Indata!$L$28),-S125*Indata!$N$28,0)+IF(AND(Indata!$L$29&lt;&gt;"",S52&gt;Indata!$L$29),-S126*Indata!$N$29,0)+IF(AND(Indata!$L$30&lt;&gt;"",S52&gt;Indata!$L$30),-S127*Indata!$N$30,0)</f>
        <v>0</v>
      </c>
      <c r="T130" s="28" t="n">
        <f aca="false">IF(AND(Indata!$L$26&lt;&gt;"",T52&gt;Indata!$L$26),-T123*Indata!$N$26,0)+IF(AND(Indata!$L$27&lt;&gt;"",T52&gt;Indata!$L$27),-T124*Indata!$N$27,0)+IF(AND(Indata!$L$28&lt;&gt;"",T52&gt;Indata!$L$28),-T125*Indata!$N$28,0)+IF(AND(Indata!$L$29&lt;&gt;"",T52&gt;Indata!$L$29),-T126*Indata!$N$29,0)+IF(AND(Indata!$L$30&lt;&gt;"",T52&gt;Indata!$L$30),-T127*Indata!$N$30,0)</f>
        <v>0</v>
      </c>
      <c r="U130" s="28" t="n">
        <f aca="false">IF(AND(Indata!$L$26&lt;&gt;"",U52&gt;Indata!$L$26),-U123*Indata!$N$26,0)+IF(AND(Indata!$L$27&lt;&gt;"",U52&gt;Indata!$L$27),-U124*Indata!$N$27,0)+IF(AND(Indata!$L$28&lt;&gt;"",U52&gt;Indata!$L$28),-U125*Indata!$N$28,0)+IF(AND(Indata!$L$29&lt;&gt;"",U52&gt;Indata!$L$29),-U126*Indata!$N$29,0)+IF(AND(Indata!$L$30&lt;&gt;"",U52&gt;Indata!$L$30),-U127*Indata!$N$30,0)</f>
        <v>0</v>
      </c>
      <c r="V130" s="28" t="n">
        <f aca="false">IF(AND(Indata!$L$26&lt;&gt;"",V52&gt;Indata!$L$26),-V123*Indata!$N$26,0)+IF(AND(Indata!$L$27&lt;&gt;"",V52&gt;Indata!$L$27),-V124*Indata!$N$27,0)+IF(AND(Indata!$L$28&lt;&gt;"",V52&gt;Indata!$L$28),-V125*Indata!$N$28,0)+IF(AND(Indata!$L$29&lt;&gt;"",V52&gt;Indata!$L$29),-V126*Indata!$N$29,0)+IF(AND(Indata!$L$30&lt;&gt;"",V52&gt;Indata!$L$30),-V127*Indata!$N$30,0)</f>
        <v>0</v>
      </c>
      <c r="W130" s="28" t="n">
        <f aca="false">IF(AND(Indata!$L$26&lt;&gt;"",W52&gt;Indata!$L$26),-W123*Indata!$N$26,0)+IF(AND(Indata!$L$27&lt;&gt;"",W52&gt;Indata!$L$27),-W124*Indata!$N$27,0)+IF(AND(Indata!$L$28&lt;&gt;"",W52&gt;Indata!$L$28),-W125*Indata!$N$28,0)+IF(AND(Indata!$L$29&lt;&gt;"",W52&gt;Indata!$L$29),-W126*Indata!$N$29,0)+IF(AND(Indata!$L$30&lt;&gt;"",W52&gt;Indata!$L$30),-W127*Indata!$N$30,0)</f>
        <v>0</v>
      </c>
      <c r="X130" s="28" t="n">
        <f aca="false">IF(AND(Indata!$L$26&lt;&gt;"",X52&gt;Indata!$L$26),-X123*Indata!$N$26,0)+IF(AND(Indata!$L$27&lt;&gt;"",X52&gt;Indata!$L$27),-X124*Indata!$N$27,0)+IF(AND(Indata!$L$28&lt;&gt;"",X52&gt;Indata!$L$28),-X125*Indata!$N$28,0)+IF(AND(Indata!$L$29&lt;&gt;"",X52&gt;Indata!$L$29),-X126*Indata!$N$29,0)+IF(AND(Indata!$L$30&lt;&gt;"",X52&gt;Indata!$L$30),-X127*Indata!$N$30,0)</f>
        <v>0</v>
      </c>
      <c r="Y130" s="28" t="n">
        <f aca="false">IF(AND(Indata!$L$26&lt;&gt;"",Y52&gt;Indata!$L$26),-Y123*Indata!$N$26,0)+IF(AND(Indata!$L$27&lt;&gt;"",Y52&gt;Indata!$L$27),-Y124*Indata!$N$27,0)+IF(AND(Indata!$L$28&lt;&gt;"",Y52&gt;Indata!$L$28),-Y125*Indata!$N$28,0)+IF(AND(Indata!$L$29&lt;&gt;"",Y52&gt;Indata!$L$29),-Y126*Indata!$N$29,0)+IF(AND(Indata!$L$30&lt;&gt;"",Y52&gt;Indata!$L$30),-Y127*Indata!$N$30,0)</f>
        <v>0</v>
      </c>
      <c r="Z130" s="28" t="n">
        <f aca="false">IF(AND(Indata!$L$26&lt;&gt;"",Z52&gt;Indata!$L$26),-Z123*Indata!$N$26,0)+IF(AND(Indata!$L$27&lt;&gt;"",Z52&gt;Indata!$L$27),-Z124*Indata!$N$27,0)+IF(AND(Indata!$L$28&lt;&gt;"",Z52&gt;Indata!$L$28),-Z125*Indata!$N$28,0)+IF(AND(Indata!$L$29&lt;&gt;"",Z52&gt;Indata!$L$29),-Z126*Indata!$N$29,0)+IF(AND(Indata!$L$30&lt;&gt;"",Z52&gt;Indata!$L$30),-Z127*Indata!$N$30,0)</f>
        <v>0</v>
      </c>
      <c r="AA130" s="28" t="n">
        <f aca="false">IF(AND(Indata!$L$26&lt;&gt;"",AA52&gt;Indata!$L$26),-AA123*Indata!$N$26,0)+IF(AND(Indata!$L$27&lt;&gt;"",AA52&gt;Indata!$L$27),-AA124*Indata!$N$27,0)+IF(AND(Indata!$L$28&lt;&gt;"",AA52&gt;Indata!$L$28),-AA125*Indata!$N$28,0)+IF(AND(Indata!$L$29&lt;&gt;"",AA52&gt;Indata!$L$29),-AA126*Indata!$N$29,0)+IF(AND(Indata!$L$30&lt;&gt;"",AA52&gt;Indata!$L$30),-AA127*Indata!$N$30,0)</f>
        <v>0</v>
      </c>
      <c r="AB130" s="28" t="n">
        <f aca="false">IF(AND(Indata!$L$26&lt;&gt;"",AB52&gt;Indata!$L$26),-AB123*Indata!$N$26,0)+IF(AND(Indata!$L$27&lt;&gt;"",AB52&gt;Indata!$L$27),-AB124*Indata!$N$27,0)+IF(AND(Indata!$L$28&lt;&gt;"",AB52&gt;Indata!$L$28),-AB125*Indata!$N$28,0)+IF(AND(Indata!$L$29&lt;&gt;"",AB52&gt;Indata!$L$29),-AB126*Indata!$N$29,0)+IF(AND(Indata!$L$30&lt;&gt;"",AB52&gt;Indata!$L$30),-AB127*Indata!$N$30,0)</f>
        <v>0</v>
      </c>
    </row>
    <row r="131" customFormat="false" ht="15" hidden="false" customHeight="false" outlineLevel="0" collapsed="false">
      <c r="B131" s="1" t="s">
        <v>294</v>
      </c>
      <c r="D131" s="28" t="n">
        <f aca="false">D129+D130</f>
        <v>1000000</v>
      </c>
      <c r="E131" s="28" t="n">
        <f aca="false">E129+E130</f>
        <v>1014000</v>
      </c>
      <c r="F131" s="28" t="n">
        <f aca="false">F129+F130</f>
        <v>1028196</v>
      </c>
      <c r="G131" s="28" t="n">
        <f aca="false">G129+G130</f>
        <v>1042590.744</v>
      </c>
      <c r="H131" s="28" t="n">
        <f aca="false">H129+H130</f>
        <v>1057187.014416</v>
      </c>
      <c r="I131" s="28" t="n">
        <f aca="false">I129+I130</f>
        <v>1071987.63261782</v>
      </c>
      <c r="J131" s="28" t="n">
        <f aca="false">J129+J130</f>
        <v>1086995.45947447</v>
      </c>
      <c r="K131" s="28" t="n">
        <f aca="false">K129+K130</f>
        <v>1102213.39590712</v>
      </c>
      <c r="L131" s="28" t="n">
        <f aca="false">L129+L130</f>
        <v>1117644.38344982</v>
      </c>
      <c r="M131" s="28" t="n">
        <f aca="false">M129+M130</f>
        <v>1133291.40481811</v>
      </c>
      <c r="N131" s="28" t="n">
        <f aca="false">N129+N130</f>
        <v>1149157.48448557</v>
      </c>
      <c r="O131" s="28" t="n">
        <f aca="false">O129+O130</f>
        <v>1165245.68926836</v>
      </c>
      <c r="P131" s="28" t="n">
        <f aca="false">P129+P130</f>
        <v>1181559.12891812</v>
      </c>
      <c r="Q131" s="28" t="n">
        <f aca="false">Q129+Q130</f>
        <v>1198100.95672298</v>
      </c>
      <c r="R131" s="28" t="n">
        <f aca="false">R129+R130</f>
        <v>1214874.3701171</v>
      </c>
      <c r="S131" s="28" t="n">
        <f aca="false">S129+S130</f>
        <v>1231882.61129874</v>
      </c>
      <c r="T131" s="28" t="n">
        <f aca="false">T129+T130</f>
        <v>1249128.96785692</v>
      </c>
      <c r="U131" s="28" t="n">
        <f aca="false">U129+U130</f>
        <v>1266616.77340692</v>
      </c>
      <c r="V131" s="28" t="n">
        <f aca="false">V129+V130</f>
        <v>1284349.40823461</v>
      </c>
      <c r="W131" s="28" t="n">
        <f aca="false">W129+W130</f>
        <v>1302330.2999499</v>
      </c>
      <c r="X131" s="28" t="n">
        <f aca="false">X129+X130</f>
        <v>1320562.9241492</v>
      </c>
      <c r="Y131" s="28" t="n">
        <f aca="false">Y129+Y130</f>
        <v>1339050.80508728</v>
      </c>
      <c r="Z131" s="28" t="n">
        <f aca="false">Z129+Z130</f>
        <v>1357797.51635851</v>
      </c>
      <c r="AA131" s="28" t="n">
        <f aca="false">AA129+AA130</f>
        <v>1376806.68158753</v>
      </c>
      <c r="AB131" s="28" t="n">
        <f aca="false">AB129+AB130</f>
        <v>1396081.97512975</v>
      </c>
    </row>
    <row r="132" customFormat="false" ht="15" hidden="false" customHeight="false" outlineLevel="0" collapsed="false">
      <c r="B132" s="1" t="s">
        <v>295</v>
      </c>
      <c r="D132" s="28" t="n">
        <f aca="false">D131+D77+D79+D80+D83</f>
        <v>-1400000</v>
      </c>
      <c r="E132" s="28" t="n">
        <f aca="false">E131+E77+E79+E80+E83</f>
        <v>-1434000</v>
      </c>
      <c r="F132" s="28" t="n">
        <f aca="false">F131+F77+F79+F80+F83</f>
        <v>-1468764</v>
      </c>
      <c r="G132" s="28" t="n">
        <f aca="false">G131+G77+G79+G80+G83</f>
        <v>-1504308.456</v>
      </c>
      <c r="H132" s="28" t="n">
        <f aca="false">H131+H77+H79+H80+H83</f>
        <v>-1540650.169584</v>
      </c>
      <c r="I132" s="28" t="n">
        <f aca="false">I131+I77+I79+I80+I83</f>
        <v>-1577806.29506218</v>
      </c>
      <c r="J132" s="28" t="n">
        <f aca="false">J131+J77+J79+J80+J83</f>
        <v>-1615794.34675913</v>
      </c>
      <c r="K132" s="28" t="n">
        <f aca="false">K131+K77+K79+K80+K83</f>
        <v>-1654632.20645116</v>
      </c>
      <c r="L132" s="28" t="n">
        <f aca="false">L131+L77+L79+L80+L83</f>
        <v>-1694338.13095562</v>
      </c>
      <c r="M132" s="28" t="n">
        <f aca="false">M131+M77+M79+M80+M83</f>
        <v>-1734930.75987543</v>
      </c>
      <c r="N132" s="28" t="n">
        <f aca="false">N131+N77+N79+N80+N83</f>
        <v>-1776429.12350185</v>
      </c>
      <c r="O132" s="28" t="n">
        <f aca="false">O131+O77+O79+O80+O83</f>
        <v>-1818852.6508788</v>
      </c>
      <c r="P132" s="28" t="n">
        <f aca="false">P131+P77+P79+P80+P83</f>
        <v>-1862221.17803199</v>
      </c>
      <c r="Q132" s="28" t="n">
        <f aca="false">Q131+Q77+Q79+Q80+Q83</f>
        <v>-1906554.95636614</v>
      </c>
      <c r="R132" s="28" t="n">
        <f aca="false">R131+R77+R79+R80+R83</f>
        <v>-1951874.6612338</v>
      </c>
      <c r="S132" s="28" t="n">
        <f aca="false">S131+S77+S79+S80+S83</f>
        <v>-1998201.40067918</v>
      </c>
      <c r="T132" s="28" t="n">
        <f aca="false">T131+T77+T79+T80+T83</f>
        <v>-2045556.72436055</v>
      </c>
      <c r="U132" s="28" t="n">
        <f aca="false">U131+U77+U79+U80+U83</f>
        <v>-2093962.6326549</v>
      </c>
      <c r="V132" s="28" t="n">
        <f aca="false">V131+V77+V79+V80+V83</f>
        <v>-2143441.58594844</v>
      </c>
      <c r="W132" s="28" t="n">
        <f aca="false">W131+W77+W79+W80+W83</f>
        <v>-2194016.51411682</v>
      </c>
      <c r="X132" s="28" t="n">
        <f aca="false">X131+X77+X79+X80+X83</f>
        <v>-2245710.82619886</v>
      </c>
      <c r="Y132" s="28" t="n">
        <f aca="false">Y131+Y77+Y79+Y80+Y83</f>
        <v>-2298548.42026773</v>
      </c>
      <c r="Z132" s="28" t="n">
        <f aca="false">Z131+Z77+Z79+Z80+Z83</f>
        <v>-2352553.69350361</v>
      </c>
      <c r="AA132" s="28" t="n">
        <f aca="false">AA131+AA77+AA79+AA80+AA83</f>
        <v>-2407751.55247183</v>
      </c>
      <c r="AB132" s="28" t="n">
        <f aca="false">AB131+AB77+AB79+AB80+AB83</f>
        <v>-2464167.42361079</v>
      </c>
    </row>
    <row r="133" customFormat="false" ht="15" hidden="false" customHeight="false" outlineLevel="0" collapsed="false">
      <c r="B133" s="1" t="s">
        <v>296</v>
      </c>
      <c r="D133" s="28" t="n">
        <f aca="false">D132-D76</f>
        <v>-1400000</v>
      </c>
      <c r="E133" s="28" t="n">
        <f aca="false">E132-E76</f>
        <v>-1434000</v>
      </c>
      <c r="F133" s="28" t="n">
        <f aca="false">F132-F76</f>
        <v>-1468764</v>
      </c>
      <c r="G133" s="28" t="n">
        <f aca="false">G132-G76</f>
        <v>-1504308.456</v>
      </c>
      <c r="H133" s="28" t="n">
        <f aca="false">H132-H76</f>
        <v>-1540650.169584</v>
      </c>
      <c r="I133" s="28" t="n">
        <f aca="false">I132-I76</f>
        <v>-1577806.29506218</v>
      </c>
      <c r="J133" s="28" t="n">
        <f aca="false">J132-J76</f>
        <v>-1615794.34675913</v>
      </c>
      <c r="K133" s="28" t="n">
        <f aca="false">K132-K76</f>
        <v>-1654632.20645116</v>
      </c>
      <c r="L133" s="28" t="n">
        <f aca="false">L132-L76</f>
        <v>-1694338.13095562</v>
      </c>
      <c r="M133" s="28" t="n">
        <f aca="false">M132-M76</f>
        <v>-1734930.75987543</v>
      </c>
      <c r="N133" s="28" t="n">
        <f aca="false">N132-N76</f>
        <v>-1776429.12350185</v>
      </c>
      <c r="O133" s="28" t="n">
        <f aca="false">O132-O76</f>
        <v>-1818852.6508788</v>
      </c>
      <c r="P133" s="28" t="n">
        <f aca="false">P132-P76</f>
        <v>-1862221.17803199</v>
      </c>
      <c r="Q133" s="28" t="n">
        <f aca="false">Q132-Q76</f>
        <v>-1906554.95636614</v>
      </c>
      <c r="R133" s="28" t="n">
        <f aca="false">R132-R76</f>
        <v>-1951874.6612338</v>
      </c>
      <c r="S133" s="28" t="n">
        <f aca="false">S132-S76</f>
        <v>-1998201.40067918</v>
      </c>
      <c r="T133" s="28" t="n">
        <f aca="false">T132-T76</f>
        <v>-2045556.72436055</v>
      </c>
      <c r="U133" s="28" t="n">
        <f aca="false">U132-U76</f>
        <v>-2093962.6326549</v>
      </c>
      <c r="V133" s="28" t="n">
        <f aca="false">V132-V76</f>
        <v>-2143441.58594844</v>
      </c>
      <c r="W133" s="28" t="n">
        <f aca="false">W132-W76</f>
        <v>-2194016.51411682</v>
      </c>
      <c r="X133" s="28" t="n">
        <f aca="false">X132-X76</f>
        <v>-2245710.82619886</v>
      </c>
      <c r="Y133" s="28" t="n">
        <f aca="false">Y132-Y76</f>
        <v>-2298548.42026773</v>
      </c>
      <c r="Z133" s="28" t="n">
        <f aca="false">Z132-Z76</f>
        <v>-2352553.69350361</v>
      </c>
      <c r="AA133" s="28" t="n">
        <f aca="false">AA132-AA76</f>
        <v>-2407751.55247183</v>
      </c>
      <c r="AB133" s="28" t="n">
        <f aca="false">AB132-AB76</f>
        <v>-2464167.42361079</v>
      </c>
    </row>
    <row r="134" customFormat="false" ht="15" hidden="false" customHeight="false" outlineLevel="0" collapsed="false">
      <c r="B134" s="1" t="s">
        <v>297</v>
      </c>
      <c r="D134" s="28" t="n">
        <f aca="false">IF(D54=0,0,D132/(1+Indata!$C$7)^D53)</f>
        <v>-1346153.84615385</v>
      </c>
      <c r="E134" s="28" t="n">
        <f aca="false">IF(E54=0,0,E132/(1+Indata!$C$7)^E53)</f>
        <v>-1325813.60946746</v>
      </c>
      <c r="F134" s="28" t="n">
        <f aca="false">IF(F54=0,0,F132/(1+Indata!$C$7)^F53)</f>
        <v>-1305725.84774693</v>
      </c>
      <c r="G134" s="28" t="n">
        <f aca="false">IF(G54=0,0,G132/(1+Indata!$C$7)^G53)</f>
        <v>-1285889.17279026</v>
      </c>
      <c r="H134" s="28" t="n">
        <f aca="false">IF(H54=0,0,H132/(1+Indata!$C$7)^H53)</f>
        <v>-1266302.13641448</v>
      </c>
      <c r="I134" s="28" t="n">
        <f aca="false">IF(I54=0,0,I132/(1+Indata!$C$7)^I53)</f>
        <v>-1246963.2337761</v>
      </c>
      <c r="J134" s="28" t="n">
        <f aca="false">IF(J54=0,0,J132/(1+Indata!$C$7)^J53)</f>
        <v>-1227870.90657345</v>
      </c>
      <c r="K134" s="28" t="n">
        <f aca="false">IF(K54=0,0,K132/(1+Indata!$C$7)^K53)</f>
        <v>-1209023.54613468</v>
      </c>
      <c r="L134" s="28" t="n">
        <f aca="false">IF(L54=0,0,L132/(1+Indata!$C$7)^L53)</f>
        <v>-1190419.49639485</v>
      </c>
      <c r="M134" s="28" t="n">
        <f aca="false">IF(M54=0,0,M132/(1+Indata!$C$7)^M53)</f>
        <v>-1172057.05676556</v>
      </c>
      <c r="N134" s="28" t="n">
        <f aca="false">IF(N54=0,0,N132/(1+Indata!$C$7)^N53)</f>
        <v>-1153934.48490045</v>
      </c>
      <c r="O134" s="28" t="n">
        <f aca="false">IF(O54=0,0,O132/(1+Indata!$C$7)^O53)</f>
        <v>-1136049.99935978</v>
      </c>
      <c r="P134" s="28" t="n">
        <f aca="false">IF(P54=0,0,P132/(1+Indata!$C$7)^P53)</f>
        <v>-1118401.7821772</v>
      </c>
      <c r="Q134" s="28" t="n">
        <f aca="false">IF(Q54=0,0,Q132/(1+Indata!$C$7)^Q53)</f>
        <v>-1100987.98133186</v>
      </c>
      <c r="R134" s="28" t="n">
        <f aca="false">IF(R54=0,0,R132/(1+Indata!$C$7)^R53)</f>
        <v>-1083806.71312863</v>
      </c>
      <c r="S134" s="28" t="n">
        <f aca="false">IF(S54=0,0,S132/(1+Indata!$C$7)^S53)</f>
        <v>-1066856.06448951</v>
      </c>
      <c r="T134" s="28" t="n">
        <f aca="false">IF(T54=0,0,T132/(1+Indata!$C$7)^T53)</f>
        <v>-1050134.09515889</v>
      </c>
      <c r="U134" s="28" t="n">
        <f aca="false">IF(U54=0,0,U132/(1+Indata!$C$7)^U53)</f>
        <v>-1033638.83982535</v>
      </c>
      <c r="V134" s="28" t="n">
        <f aca="false">IF(V54=0,0,V132/(1+Indata!$C$7)^V53)</f>
        <v>-1017368.31016274</v>
      </c>
      <c r="W134" s="28" t="n">
        <f aca="false">IF(W54=0,0,W132/(1+Indata!$C$7)^W53)</f>
        <v>-1001320.49679298</v>
      </c>
      <c r="X134" s="28" t="n">
        <f aca="false">IF(X54=0,0,X132/(1+Indata!$C$7)^X53)</f>
        <v>0</v>
      </c>
      <c r="Y134" s="28" t="n">
        <f aca="false">IF(Y54=0,0,Y132/(1+Indata!$C$7)^Y53)</f>
        <v>0</v>
      </c>
      <c r="Z134" s="28" t="n">
        <f aca="false">IF(Z54=0,0,Z132/(1+Indata!$C$7)^Z53)</f>
        <v>0</v>
      </c>
      <c r="AA134" s="28" t="n">
        <f aca="false">IF(AA54=0,0,AA132/(1+Indata!$C$7)^AA53)</f>
        <v>0</v>
      </c>
      <c r="AB134" s="28" t="n">
        <f aca="false">IF(AB54=0,0,AB132/(1+Indata!$C$7)^AB53)</f>
        <v>0</v>
      </c>
    </row>
    <row r="136" customFormat="false" ht="15" hidden="false" customHeight="false" outlineLevel="0" collapsed="false">
      <c r="B136" s="1" t="s">
        <v>298</v>
      </c>
      <c r="C136" s="28" t="n">
        <f aca="false">ROUND(SUMIFS(D134:AB134,D54:AB54,1)/10000,0)*10000</f>
        <v>-23340000</v>
      </c>
    </row>
    <row r="137" customFormat="false" ht="15" hidden="false" customHeight="false" outlineLevel="0" collapsed="false">
      <c r="B137" s="1" t="s">
        <v>299</v>
      </c>
      <c r="C137" s="28" t="n">
        <f aca="false">ROUND(INDEX(D133:AB133,MATCH(Indata!C16+1,D53:AB53,0))/Indata!C6/10000,0)*10000</f>
        <v>-44910000</v>
      </c>
    </row>
    <row r="138" customFormat="false" ht="15" hidden="false" customHeight="false" outlineLevel="0" collapsed="false">
      <c r="B138" s="1" t="s">
        <v>300</v>
      </c>
      <c r="C138" s="28" t="n">
        <f aca="false">ROUND(C137/(1+Indata!C9)^Indata!C16/10000,0)*10000</f>
        <v>-11610000</v>
      </c>
    </row>
    <row r="139" customFormat="false" ht="15" hidden="false" customHeight="false" outlineLevel="0" collapsed="false">
      <c r="B139" s="41" t="s">
        <v>301</v>
      </c>
      <c r="C139" s="42" t="n">
        <f aca="false">C136+C138+C118</f>
        <v>-234950000</v>
      </c>
    </row>
    <row r="140" customFormat="false" ht="15" hidden="false" customHeight="false" outlineLevel="0" collapsed="false">
      <c r="B140" s="41" t="s">
        <v>302</v>
      </c>
      <c r="C140" s="89" t="n">
        <f aca="false">(C139-C119)/1000000</f>
        <v>22.1</v>
      </c>
    </row>
    <row r="164" customFormat="false" ht="15" hidden="false" customHeight="false" outlineLevel="0" collapsed="false">
      <c r="B164" s="85" t="s">
        <v>303</v>
      </c>
    </row>
    <row r="166" customFormat="false" ht="15" hidden="false" customHeight="false" outlineLevel="0" collapsed="false">
      <c r="B166" s="1" t="s">
        <v>304</v>
      </c>
      <c r="D166" s="28" t="n">
        <f aca="false">D82</f>
        <v>-2400000</v>
      </c>
      <c r="E166" s="28" t="n">
        <f aca="false">E82</f>
        <v>-2448000</v>
      </c>
      <c r="F166" s="28" t="n">
        <f aca="false">F82</f>
        <v>-2496960</v>
      </c>
      <c r="G166" s="28" t="n">
        <f aca="false">G82</f>
        <v>-2546899.2</v>
      </c>
      <c r="H166" s="28" t="n">
        <f aca="false">H82</f>
        <v>-2597837.184</v>
      </c>
      <c r="I166" s="28" t="n">
        <f aca="false">I82</f>
        <v>-2649793.92768</v>
      </c>
      <c r="J166" s="28" t="n">
        <f aca="false">J82</f>
        <v>-2702789.8062336</v>
      </c>
      <c r="K166" s="28" t="n">
        <f aca="false">K82</f>
        <v>-2756845.60235827</v>
      </c>
      <c r="L166" s="28" t="n">
        <f aca="false">L82</f>
        <v>-2811982.51440544</v>
      </c>
      <c r="M166" s="28" t="n">
        <f aca="false">M82</f>
        <v>-2868222.16469355</v>
      </c>
      <c r="N166" s="28" t="n">
        <f aca="false">N82</f>
        <v>-2925586.60798742</v>
      </c>
      <c r="O166" s="28" t="n">
        <f aca="false">O82</f>
        <v>-2984098.34014717</v>
      </c>
      <c r="P166" s="28" t="n">
        <f aca="false">P82</f>
        <v>-3043780.30695011</v>
      </c>
      <c r="Q166" s="28" t="n">
        <f aca="false">Q82</f>
        <v>-3104655.91308911</v>
      </c>
      <c r="R166" s="28" t="n">
        <f aca="false">R82</f>
        <v>-3166749.03135089</v>
      </c>
      <c r="S166" s="28" t="n">
        <f aca="false">S82</f>
        <v>-3230084.01197791</v>
      </c>
      <c r="T166" s="28" t="n">
        <f aca="false">T82</f>
        <v>-3294685.69221747</v>
      </c>
      <c r="U166" s="28" t="n">
        <f aca="false">U82</f>
        <v>-3360579.40606182</v>
      </c>
      <c r="V166" s="28" t="n">
        <f aca="false">V82</f>
        <v>-3427790.99418306</v>
      </c>
      <c r="W166" s="28" t="n">
        <f aca="false">W82</f>
        <v>-3496346.81406672</v>
      </c>
      <c r="X166" s="28" t="n">
        <f aca="false">X82</f>
        <v>-3566273.75034805</v>
      </c>
      <c r="Y166" s="28" t="n">
        <f aca="false">Y82</f>
        <v>-3637599.22535501</v>
      </c>
      <c r="Z166" s="28" t="n">
        <f aca="false">Z82</f>
        <v>-3710351.20986211</v>
      </c>
      <c r="AA166" s="28" t="n">
        <f aca="false">AA82</f>
        <v>-3784558.23405936</v>
      </c>
      <c r="AB166" s="28" t="n">
        <f aca="false">AB82</f>
        <v>-3860249.39874054</v>
      </c>
    </row>
    <row r="167" customFormat="false" ht="15" hidden="false" customHeight="false" outlineLevel="0" collapsed="false">
      <c r="B167" s="1" t="s">
        <v>305</v>
      </c>
      <c r="D167" s="28" t="n">
        <f aca="false">D166+Finansiering!D18+Finansiering!D15</f>
        <v>-10708726.0606061</v>
      </c>
      <c r="E167" s="28" t="n">
        <f aca="false">E166+Finansiering!E18+Finansiering!E15</f>
        <v>-10782833.2606061</v>
      </c>
      <c r="F167" s="28" t="n">
        <f aca="false">F166+Finansiering!F18+Finansiering!F15</f>
        <v>-10855956.9246061</v>
      </c>
      <c r="G167" s="28" t="n">
        <f aca="false">G166+Finansiering!G18+Finansiering!G15</f>
        <v>-10928183.5511661</v>
      </c>
      <c r="H167" s="28" t="n">
        <f aca="false">H166+Finansiering!H18+Finansiering!H15</f>
        <v>-10999598.1083181</v>
      </c>
      <c r="I167" s="28" t="n">
        <f aca="false">I166+Finansiering!I18+Finansiering!I15</f>
        <v>-11070284.0909078</v>
      </c>
      <c r="J167" s="28" t="n">
        <f aca="false">J166+Finansiering!J18+Finansiering!J15</f>
        <v>-11140323.5768692</v>
      </c>
      <c r="K167" s="28" t="n">
        <f aca="false">K166+Finansiering!K18+Finansiering!K15</f>
        <v>-11209797.2824643</v>
      </c>
      <c r="L167" s="28" t="n">
        <f aca="false">L166+Finansiering!L18+Finansiering!L15</f>
        <v>-11278784.6165191</v>
      </c>
      <c r="M167" s="28" t="n">
        <f aca="false">M166+Finansiering!M18+Finansiering!M15</f>
        <v>-11347363.7336867</v>
      </c>
      <c r="N167" s="28" t="n">
        <f aca="false">N166+Finansiering!N18+Finansiering!N15</f>
        <v>-11356357.4668129</v>
      </c>
      <c r="O167" s="28" t="n">
        <f aca="false">O166+Finansiering!O18+Finansiering!O15</f>
        <v>-11367465.9030082</v>
      </c>
      <c r="P167" s="28" t="n">
        <f aca="false">P166+Finansiering!P18+Finansiering!P15</f>
        <v>-11380692.6397661</v>
      </c>
      <c r="Q167" s="28" t="n">
        <f aca="false">Q166+Finansiering!Q18+Finansiering!Q15</f>
        <v>-11396042.1204609</v>
      </c>
      <c r="R167" s="28" t="n">
        <f aca="false">R166+Finansiering!R18+Finansiering!R15</f>
        <v>-11413519.6357874</v>
      </c>
      <c r="S167" s="28" t="n">
        <f aca="false">S166+Finansiering!S18+Finansiering!S15</f>
        <v>-11433131.3255378</v>
      </c>
      <c r="T167" s="28" t="n">
        <f aca="false">T166+Finansiering!T18+Finansiering!T15</f>
        <v>-11454884.1807182</v>
      </c>
      <c r="U167" s="28" t="n">
        <f aca="false">U166+Finansiering!U18+Finansiering!U15</f>
        <v>-11478786.0460047</v>
      </c>
      <c r="V167" s="28" t="n">
        <f aca="false">V166+Finansiering!V18+Finansiering!V15</f>
        <v>-11504845.6225392</v>
      </c>
      <c r="W167" s="28" t="n">
        <f aca="false">W166+Finansiering!W18+Finansiering!W15</f>
        <v>-11533072.4710679</v>
      </c>
      <c r="X167" s="28" t="n">
        <f aca="false">X166+Finansiering!X18+Finansiering!X15</f>
        <v>-5502870.95481523</v>
      </c>
      <c r="Y167" s="28" t="n">
        <f aca="false">Y166+Finansiering!Y18+Finansiering!Y15</f>
        <v>-5535464.48573285</v>
      </c>
      <c r="Z167" s="28" t="n">
        <f aca="false">Z166+Finansiering!Z18+Finansiering!Z15</f>
        <v>-5570259.16503239</v>
      </c>
      <c r="AA167" s="28" t="n">
        <f aca="false">AA166+Finansiering!AA18+Finansiering!AA15</f>
        <v>-5607268.03012623</v>
      </c>
      <c r="AB167" s="28" t="n">
        <f aca="false">AB166+Finansiering!AB18+Finansiering!AB15</f>
        <v>-5646504.99888608</v>
      </c>
    </row>
    <row r="168" customFormat="false" ht="15" hidden="false" customHeight="false" outlineLevel="0" collapsed="false">
      <c r="B168" s="1" t="s">
        <v>306</v>
      </c>
      <c r="D168" s="28" t="n">
        <f aca="false">IF(D167&lt;=0,0,-D167*Indata!$C$10)</f>
        <v>0</v>
      </c>
      <c r="E168" s="28" t="n">
        <f aca="false">IF(E167&lt;=0,0,-E167*Indata!$C$10)</f>
        <v>0</v>
      </c>
      <c r="F168" s="28" t="n">
        <f aca="false">IF(F167&lt;=0,0,-F167*Indata!$C$10)</f>
        <v>0</v>
      </c>
      <c r="G168" s="28" t="n">
        <f aca="false">IF(G167&lt;=0,0,-G167*Indata!$C$10)</f>
        <v>0</v>
      </c>
      <c r="H168" s="28" t="n">
        <f aca="false">IF(H167&lt;=0,0,-H167*Indata!$C$10)</f>
        <v>0</v>
      </c>
      <c r="I168" s="28" t="n">
        <f aca="false">IF(I167&lt;=0,0,-I167*Indata!$C$10)</f>
        <v>0</v>
      </c>
      <c r="J168" s="28" t="n">
        <f aca="false">IF(J167&lt;=0,0,-J167*Indata!$C$10)</f>
        <v>0</v>
      </c>
      <c r="K168" s="28" t="n">
        <f aca="false">IF(K167&lt;=0,0,-K167*Indata!$C$10)</f>
        <v>0</v>
      </c>
      <c r="L168" s="28" t="n">
        <f aca="false">IF(L167&lt;=0,0,-L167*Indata!$C$10)</f>
        <v>0</v>
      </c>
      <c r="M168" s="28" t="n">
        <f aca="false">IF(M167&lt;=0,0,-M167*Indata!$C$10)</f>
        <v>0</v>
      </c>
      <c r="N168" s="28" t="n">
        <f aca="false">IF(N167&lt;=0,0,-N167*Indata!$C$10)</f>
        <v>0</v>
      </c>
      <c r="O168" s="28" t="n">
        <f aca="false">IF(O167&lt;=0,0,-O167*Indata!$C$10)</f>
        <v>0</v>
      </c>
      <c r="P168" s="28" t="n">
        <f aca="false">IF(P167&lt;=0,0,-P167*Indata!$C$10)</f>
        <v>0</v>
      </c>
      <c r="Q168" s="28" t="n">
        <f aca="false">IF(Q167&lt;=0,0,-Q167*Indata!$C$10)</f>
        <v>0</v>
      </c>
      <c r="R168" s="28" t="n">
        <f aca="false">IF(R167&lt;=0,0,-R167*Indata!$C$10)</f>
        <v>0</v>
      </c>
      <c r="S168" s="28" t="n">
        <f aca="false">IF(S167&lt;=0,0,-S167*Indata!$C$10)</f>
        <v>0</v>
      </c>
      <c r="T168" s="28" t="n">
        <f aca="false">IF(T167&lt;=0,0,-T167*Indata!$C$10)</f>
        <v>0</v>
      </c>
      <c r="U168" s="28" t="n">
        <f aca="false">IF(U167&lt;=0,0,-U167*Indata!$C$10)</f>
        <v>0</v>
      </c>
      <c r="V168" s="28" t="n">
        <f aca="false">IF(V167&lt;=0,0,-V167*Indata!$C$10)</f>
        <v>0</v>
      </c>
      <c r="W168" s="28" t="n">
        <f aca="false">IF(W167&lt;=0,0,-W167*Indata!$C$10)</f>
        <v>0</v>
      </c>
      <c r="X168" s="28" t="n">
        <f aca="false">IF(X167&lt;=0,0,-X167*Indata!$C$10)</f>
        <v>0</v>
      </c>
      <c r="Y168" s="28" t="n">
        <f aca="false">IF(Y167&lt;=0,0,-Y167*Indata!$C$10)</f>
        <v>0</v>
      </c>
      <c r="Z168" s="28" t="n">
        <f aca="false">IF(Z167&lt;=0,0,-Z167*Indata!$C$10)</f>
        <v>0</v>
      </c>
      <c r="AA168" s="28" t="n">
        <f aca="false">IF(AA167&lt;=0,0,-AA167*Indata!$C$10)</f>
        <v>0</v>
      </c>
      <c r="AB168" s="28" t="n">
        <f aca="false">IF(AB167&lt;=0,0,-AB167*Indata!$C$10)</f>
        <v>0</v>
      </c>
    </row>
    <row r="169" customFormat="false" ht="15" hidden="false" customHeight="false" outlineLevel="0" collapsed="false">
      <c r="B169" s="1" t="s">
        <v>307</v>
      </c>
      <c r="D169" s="28" t="n">
        <f aca="false">D167+D168</f>
        <v>-10708726.0606061</v>
      </c>
      <c r="E169" s="28" t="n">
        <f aca="false">E167+E168</f>
        <v>-10782833.2606061</v>
      </c>
      <c r="F169" s="28" t="n">
        <f aca="false">F167+F168</f>
        <v>-10855956.9246061</v>
      </c>
      <c r="G169" s="28" t="n">
        <f aca="false">G167+G168</f>
        <v>-10928183.5511661</v>
      </c>
      <c r="H169" s="28" t="n">
        <f aca="false">H167+H168</f>
        <v>-10999598.1083181</v>
      </c>
      <c r="I169" s="28" t="n">
        <f aca="false">I167+I168</f>
        <v>-11070284.0909078</v>
      </c>
      <c r="J169" s="28" t="n">
        <f aca="false">J167+J168</f>
        <v>-11140323.5768692</v>
      </c>
      <c r="K169" s="28" t="n">
        <f aca="false">K167+K168</f>
        <v>-11209797.2824643</v>
      </c>
      <c r="L169" s="28" t="n">
        <f aca="false">L167+L168</f>
        <v>-11278784.6165191</v>
      </c>
      <c r="M169" s="28" t="n">
        <f aca="false">M167+M168</f>
        <v>-11347363.7336867</v>
      </c>
      <c r="N169" s="28" t="n">
        <f aca="false">N167+N168</f>
        <v>-11356357.4668129</v>
      </c>
      <c r="O169" s="28" t="n">
        <f aca="false">O167+O168</f>
        <v>-11367465.9030082</v>
      </c>
      <c r="P169" s="28" t="n">
        <f aca="false">P167+P168</f>
        <v>-11380692.6397661</v>
      </c>
      <c r="Q169" s="28" t="n">
        <f aca="false">Q167+Q168</f>
        <v>-11396042.1204609</v>
      </c>
      <c r="R169" s="28" t="n">
        <f aca="false">R167+R168</f>
        <v>-11413519.6357874</v>
      </c>
      <c r="S169" s="28" t="n">
        <f aca="false">S167+S168</f>
        <v>-11433131.3255378</v>
      </c>
      <c r="T169" s="28" t="n">
        <f aca="false">T167+T168</f>
        <v>-11454884.1807182</v>
      </c>
      <c r="U169" s="28" t="n">
        <f aca="false">U167+U168</f>
        <v>-11478786.0460047</v>
      </c>
      <c r="V169" s="28" t="n">
        <f aca="false">V167+V168</f>
        <v>-11504845.6225392</v>
      </c>
      <c r="W169" s="28" t="n">
        <f aca="false">W167+W168</f>
        <v>-11533072.4710679</v>
      </c>
      <c r="X169" s="28" t="n">
        <f aca="false">X167+X168</f>
        <v>-5502870.95481523</v>
      </c>
      <c r="Y169" s="28" t="n">
        <f aca="false">Y167+Y168</f>
        <v>-5535464.48573285</v>
      </c>
      <c r="Z169" s="28" t="n">
        <f aca="false">Z167+Z168</f>
        <v>-5570259.16503239</v>
      </c>
      <c r="AA169" s="28" t="n">
        <f aca="false">AA167+AA168</f>
        <v>-5607268.03012623</v>
      </c>
      <c r="AB169" s="28" t="n">
        <f aca="false">AB167+AB168</f>
        <v>-5646504.99888608</v>
      </c>
    </row>
    <row r="171" customFormat="false" ht="15" hidden="false" customHeight="false" outlineLevel="0" collapsed="false">
      <c r="B171" s="1" t="s">
        <v>308</v>
      </c>
      <c r="D171" s="28" t="n">
        <f aca="false">D169-Finansiering!D18+Finansiering!D17+Finansiering!D12</f>
        <v>-132128120</v>
      </c>
      <c r="E171" s="28" t="n">
        <f aca="false">E169-Finansiering!E18+Finansiering!E17+Finansiering!E12</f>
        <v>-6172627.2</v>
      </c>
      <c r="F171" s="28" t="n">
        <f aca="false">F169-Finansiering!F18+Finansiering!F17+Finansiering!F12</f>
        <v>-6216742.864</v>
      </c>
      <c r="G171" s="28" t="n">
        <f aca="false">G169-Finansiering!G18+Finansiering!G17+Finansiering!G12</f>
        <v>-6260541.65056</v>
      </c>
      <c r="H171" s="28" t="n">
        <f aca="false">H169-Finansiering!H18+Finansiering!H17+Finansiering!H12</f>
        <v>-6304096.924512</v>
      </c>
      <c r="I171" s="28" t="n">
        <f aca="false">I169-Finansiering!I18+Finansiering!I17+Finansiering!I12</f>
        <v>-6347480.8095657</v>
      </c>
      <c r="J171" s="28" t="n">
        <f aca="false">J169-Finansiering!J18+Finansiering!J17+Finansiering!J12</f>
        <v>-6390764.23994184</v>
      </c>
      <c r="K171" s="28" t="n">
        <f aca="false">K169-Finansiering!K18+Finansiering!K17+Finansiering!K12</f>
        <v>-6434017.0110634</v>
      </c>
      <c r="L171" s="28" t="n">
        <f aca="false">L169-Finansiering!L18+Finansiering!L17+Finansiering!L12</f>
        <v>-6477307.82933409</v>
      </c>
      <c r="M171" s="28" t="n">
        <f aca="false">M169-Finansiering!M18+Finansiering!M17+Finansiering!M12</f>
        <v>-6520704.36103331</v>
      </c>
      <c r="N171" s="28" t="n">
        <f aca="false">N169-Finansiering!N18+Finansiering!N17+Finansiering!N12</f>
        <v>-6505019.16040038</v>
      </c>
      <c r="O171" s="28" t="n">
        <f aca="false">O169-Finansiering!O18+Finansiering!O17+Finansiering!O12</f>
        <v>-6491942.24151187</v>
      </c>
      <c r="P171" s="28" t="n">
        <f aca="false">P169-Finansiering!P18+Finansiering!P17+Finansiering!P12</f>
        <v>-6481467.33028752</v>
      </c>
      <c r="Q171" s="28" t="n">
        <f aca="false">Q169-Finansiering!Q18+Finansiering!Q17+Finansiering!Q12</f>
        <v>-6473589.19595978</v>
      </c>
      <c r="R171" s="28" t="n">
        <f aca="false">R169-Finansiering!R18+Finansiering!R17+Finansiering!R12</f>
        <v>-6468303.64856414</v>
      </c>
      <c r="S171" s="28" t="n">
        <f aca="false">S169-Finansiering!S18+Finansiering!S17+Finansiering!S12</f>
        <v>-6465607.5368469</v>
      </c>
      <c r="T171" s="28" t="n">
        <f aca="false">T169-Finansiering!T18+Finansiering!T17+Finansiering!T12</f>
        <v>-6465498.74658908</v>
      </c>
      <c r="U171" s="28" t="n">
        <f aca="false">U169-Finansiering!U18+Finansiering!U17+Finansiering!U12</f>
        <v>-6467976.19934599</v>
      </c>
      <c r="V171" s="28" t="n">
        <f aca="false">V169-Finansiering!V18+Finansiering!V17+Finansiering!V12</f>
        <v>-6473039.85160155</v>
      </c>
      <c r="W171" s="28" t="n">
        <f aca="false">W169-Finansiering!W18+Finansiering!W17+Finansiering!W12</f>
        <v>-6480690.69433684</v>
      </c>
      <c r="X171" s="28" t="n">
        <f aca="false">X169-Finansiering!X18+Finansiering!X17+Finansiering!X12</f>
        <v>-6490930.75301277</v>
      </c>
      <c r="Y171" s="28" t="n">
        <f aca="false">Y169-Finansiering!Y18+Finansiering!Y17+Finansiering!Y12</f>
        <v>-6503763.08796644</v>
      </c>
      <c r="Z171" s="28" t="n">
        <f aca="false">Z169-Finansiering!Z18+Finansiering!Z17+Finansiering!Z12</f>
        <v>-6519191.79522131</v>
      </c>
      <c r="AA171" s="28" t="n">
        <f aca="false">AA169-Finansiering!AA18+Finansiering!AA17+Finansiering!AA12</f>
        <v>-6537222.00771137</v>
      </c>
      <c r="AB171" s="28" t="n">
        <f aca="false">AB169-Finansiering!AB18+Finansiering!AB17+Finansiering!AB12</f>
        <v>-6557859.89691951</v>
      </c>
    </row>
    <row r="172" customFormat="false" ht="15" hidden="false" customHeight="false" outlineLevel="0" collapsed="false">
      <c r="B172" s="1" t="s">
        <v>309</v>
      </c>
      <c r="D172" s="28" t="n">
        <f aca="false">IF(D53&lt;&gt;Indata!$C$16,0,IFERROR(INDEX(D82:AB82,MATCH(D52+1,D52:AB52,0))/Indata!$C$6,0)-Finansiering!D13)</f>
        <v>0</v>
      </c>
      <c r="E172" s="28" t="n">
        <f aca="false">IF(E53&lt;&gt;Indata!$C$16,0,IFERROR(INDEX(D82:AB82,MATCH(E52+1,D52:AB52,0))/Indata!$C$6,0)-Finansiering!E13)</f>
        <v>0</v>
      </c>
      <c r="F172" s="28" t="n">
        <f aca="false">IF(F53&lt;&gt;Indata!$C$16,0,IFERROR(INDEX(D82:AB82,MATCH(F52+1,D52:AB52,0))/Indata!$C$6,0)-Finansiering!F13)</f>
        <v>0</v>
      </c>
      <c r="G172" s="28" t="n">
        <f aca="false">IF(G53&lt;&gt;Indata!$C$16,0,IFERROR(INDEX(D82:AB82,MATCH(G52+1,D52:AB52,0))/Indata!$C$6,0)-Finansiering!G13)</f>
        <v>0</v>
      </c>
      <c r="H172" s="28" t="n">
        <f aca="false">IF(H53&lt;&gt;Indata!$C$16,0,IFERROR(INDEX(D82:AB82,MATCH(H52+1,D52:AB52,0))/Indata!$C$6,0)-Finansiering!H13)</f>
        <v>0</v>
      </c>
      <c r="I172" s="28" t="n">
        <f aca="false">IF(I53&lt;&gt;Indata!$C$16,0,IFERROR(INDEX(D82:AB82,MATCH(I52+1,D52:AB52,0))/Indata!$C$6,0)-Finansiering!I13)</f>
        <v>0</v>
      </c>
      <c r="J172" s="28" t="n">
        <f aca="false">IF(J53&lt;&gt;Indata!$C$16,0,IFERROR(INDEX(D82:AB82,MATCH(J52+1,D52:AB52,0))/Indata!$C$6,0)-Finansiering!J13)</f>
        <v>0</v>
      </c>
      <c r="K172" s="28" t="n">
        <f aca="false">IF(K53&lt;&gt;Indata!$C$16,0,IFERROR(INDEX(D82:AB82,MATCH(K52+1,D52:AB52,0))/Indata!$C$6,0)-Finansiering!K13)</f>
        <v>0</v>
      </c>
      <c r="L172" s="28" t="n">
        <f aca="false">IF(L53&lt;&gt;Indata!$C$16,0,IFERROR(INDEX(D82:AB82,MATCH(L52+1,D52:AB52,0))/Indata!$C$6,0)-Finansiering!L13)</f>
        <v>0</v>
      </c>
      <c r="M172" s="28" t="n">
        <f aca="false">IF(M53&lt;&gt;Indata!$C$16,0,IFERROR(INDEX(D82:AB82,MATCH(M52+1,D52:AB52,0))/Indata!$C$6,0)-Finansiering!M13)</f>
        <v>0</v>
      </c>
      <c r="N172" s="28" t="n">
        <f aca="false">IF(N53&lt;&gt;Indata!$C$16,0,IFERROR(INDEX(D82:AB82,MATCH(N52+1,D52:AB52,0))/Indata!$C$6,0)-Finansiering!N13)</f>
        <v>0</v>
      </c>
      <c r="O172" s="28" t="n">
        <f aca="false">IF(O53&lt;&gt;Indata!$C$16,0,IFERROR(INDEX(D82:AB82,MATCH(O52+1,D52:AB52,0))/Indata!$C$6,0)-Finansiering!O13)</f>
        <v>0</v>
      </c>
      <c r="P172" s="28" t="n">
        <f aca="false">IF(P53&lt;&gt;Indata!$C$16,0,IFERROR(INDEX(D82:AB82,MATCH(P52+1,D52:AB52,0))/Indata!$C$6,0)-Finansiering!P13)</f>
        <v>0</v>
      </c>
      <c r="Q172" s="28" t="n">
        <f aca="false">IF(Q53&lt;&gt;Indata!$C$16,0,IFERROR(INDEX(D82:AB82,MATCH(Q52+1,D52:AB52,0))/Indata!$C$6,0)-Finansiering!Q13)</f>
        <v>0</v>
      </c>
      <c r="R172" s="28" t="n">
        <f aca="false">IF(R53&lt;&gt;Indata!$C$16,0,IFERROR(INDEX(D82:AB82,MATCH(R52+1,D52:AB52,0))/Indata!$C$6,0)-Finansiering!R13)</f>
        <v>0</v>
      </c>
      <c r="S172" s="28" t="n">
        <f aca="false">IF(S53&lt;&gt;Indata!$C$16,0,IFERROR(INDEX(D82:AB82,MATCH(S52+1,D52:AB52,0))/Indata!$C$6,0)-Finansiering!S13)</f>
        <v>0</v>
      </c>
      <c r="T172" s="28" t="n">
        <f aca="false">IF(T53&lt;&gt;Indata!$C$16,0,IFERROR(INDEX(D82:AB82,MATCH(T52+1,D52:AB52,0))/Indata!$C$6,0)-Finansiering!T13)</f>
        <v>0</v>
      </c>
      <c r="U172" s="28" t="n">
        <f aca="false">IF(U53&lt;&gt;Indata!$C$16,0,IFERROR(INDEX(D82:AB82,MATCH(U52+1,D52:AB52,0))/Indata!$C$6,0)-Finansiering!U13)</f>
        <v>0</v>
      </c>
      <c r="V172" s="28" t="n">
        <f aca="false">IF(V53&lt;&gt;Indata!$C$16,0,IFERROR(INDEX(D82:AB82,MATCH(V52+1,D52:AB52,0))/Indata!$C$6,0)-Finansiering!V13)</f>
        <v>0</v>
      </c>
      <c r="W172" s="28" t="n">
        <f aca="false">IF(W53&lt;&gt;Indata!$C$16,0,IFERROR(INDEX(D82:AB82,MATCH(W52+1,D52:AB52,0))/Indata!$C$6,0)-Finansiering!W13)</f>
        <v>-120728464.916838</v>
      </c>
      <c r="X172" s="28" t="n">
        <f aca="false">IF(X53&lt;&gt;Indata!$C$16,0,IFERROR(INDEX(D82:AB82,MATCH(X52+1,D52:AB52,0))/Indata!$C$6,0)-Finansiering!X13)</f>
        <v>0</v>
      </c>
      <c r="Y172" s="28" t="n">
        <f aca="false">IF(Y53&lt;&gt;Indata!$C$16,0,IFERROR(INDEX(D82:AB82,MATCH(Y52+1,D52:AB52,0))/Indata!$C$6,0)-Finansiering!Y13)</f>
        <v>0</v>
      </c>
      <c r="Z172" s="28" t="n">
        <f aca="false">IF(Z53&lt;&gt;Indata!$C$16,0,IFERROR(INDEX(D82:AB82,MATCH(Z52+1,D52:AB52,0))/Indata!$C$6,0)-Finansiering!Z13)</f>
        <v>0</v>
      </c>
      <c r="AA172" s="28" t="n">
        <f aca="false">IF(AA53&lt;&gt;Indata!$C$16,0,IFERROR(INDEX(D82:AB82,MATCH(AA52+1,D52:AB52,0))/Indata!$C$6,0)-Finansiering!AA13)</f>
        <v>0</v>
      </c>
      <c r="AB172" s="28" t="n">
        <f aca="false">IF(AB53&lt;&gt;Indata!$C$16,0,IFERROR(INDEX(D82:AB82,MATCH(AB52+1,D52:AB52,0))/Indata!$C$6,0)-Finansiering!AB13)</f>
        <v>0</v>
      </c>
    </row>
    <row r="173" customFormat="false" ht="15" hidden="false" customHeight="false" outlineLevel="0" collapsed="false">
      <c r="B173" s="41" t="s">
        <v>310</v>
      </c>
      <c r="D173" s="42" t="n">
        <f aca="false">D171+D172</f>
        <v>-132128120</v>
      </c>
      <c r="E173" s="42" t="n">
        <f aca="false">E171+E172</f>
        <v>-6172627.2</v>
      </c>
      <c r="F173" s="42" t="n">
        <f aca="false">F171+F172</f>
        <v>-6216742.864</v>
      </c>
      <c r="G173" s="42" t="n">
        <f aca="false">G171+G172</f>
        <v>-6260541.65056</v>
      </c>
      <c r="H173" s="42" t="n">
        <f aca="false">H171+H172</f>
        <v>-6304096.924512</v>
      </c>
      <c r="I173" s="42" t="n">
        <f aca="false">I171+I172</f>
        <v>-6347480.8095657</v>
      </c>
      <c r="J173" s="42" t="n">
        <f aca="false">J171+J172</f>
        <v>-6390764.23994184</v>
      </c>
      <c r="K173" s="42" t="n">
        <f aca="false">K171+K172</f>
        <v>-6434017.0110634</v>
      </c>
      <c r="L173" s="42" t="n">
        <f aca="false">L171+L172</f>
        <v>-6477307.82933409</v>
      </c>
      <c r="M173" s="42" t="n">
        <f aca="false">M171+M172</f>
        <v>-6520704.36103331</v>
      </c>
      <c r="N173" s="42" t="n">
        <f aca="false">N171+N172</f>
        <v>-6505019.16040038</v>
      </c>
      <c r="O173" s="42" t="n">
        <f aca="false">O171+O172</f>
        <v>-6491942.24151187</v>
      </c>
      <c r="P173" s="42" t="n">
        <f aca="false">P171+P172</f>
        <v>-6481467.33028752</v>
      </c>
      <c r="Q173" s="42" t="n">
        <f aca="false">Q171+Q172</f>
        <v>-6473589.19595978</v>
      </c>
      <c r="R173" s="42" t="n">
        <f aca="false">R171+R172</f>
        <v>-6468303.64856414</v>
      </c>
      <c r="S173" s="42" t="n">
        <f aca="false">S171+S172</f>
        <v>-6465607.5368469</v>
      </c>
      <c r="T173" s="42" t="n">
        <f aca="false">T171+T172</f>
        <v>-6465498.74658908</v>
      </c>
      <c r="U173" s="42" t="n">
        <f aca="false">U171+U172</f>
        <v>-6467976.19934599</v>
      </c>
      <c r="V173" s="42" t="n">
        <f aca="false">V171+V172</f>
        <v>-6473039.85160155</v>
      </c>
      <c r="W173" s="42" t="n">
        <f aca="false">W171+W172</f>
        <v>-127209155.611175</v>
      </c>
      <c r="X173" s="42" t="n">
        <f aca="false">X171+X172</f>
        <v>-6490930.75301277</v>
      </c>
      <c r="Y173" s="42" t="n">
        <f aca="false">Y171+Y172</f>
        <v>-6503763.08796644</v>
      </c>
      <c r="Z173" s="42" t="n">
        <f aca="false">Z171+Z172</f>
        <v>-6519191.79522131</v>
      </c>
      <c r="AA173" s="42" t="n">
        <f aca="false">AA171+AA172</f>
        <v>-6537222.00771137</v>
      </c>
      <c r="AB173" s="42" t="n">
        <f aca="false">AB171+AB172</f>
        <v>-6557859.89691951</v>
      </c>
    </row>
    <row r="175" customFormat="false" ht="15" hidden="false" customHeight="false" outlineLevel="0" collapsed="false">
      <c r="B175" s="1" t="s">
        <v>311</v>
      </c>
      <c r="D175" s="28" t="n">
        <f aca="false">IF(D54=0,0,D173/(1+Indata!$C$65)^D53)</f>
        <v>-124297384.760113</v>
      </c>
      <c r="E175" s="28" t="n">
        <f aca="false">IF(E54=0,0,E173/(1+Indata!$C$65)^E53)</f>
        <v>-5462651.80726197</v>
      </c>
      <c r="F175" s="28" t="n">
        <f aca="false">IF(F54=0,0,F173/(1+Indata!$C$65)^F53)</f>
        <v>-5175628.68196701</v>
      </c>
      <c r="G175" s="28" t="n">
        <f aca="false">IF(G54=0,0,G173/(1+Indata!$C$65)^G53)</f>
        <v>-4903191.45073308</v>
      </c>
      <c r="H175" s="28" t="n">
        <f aca="false">IF(H54=0,0,H173/(1+Indata!$C$65)^H53)</f>
        <v>-4644688.13798721</v>
      </c>
      <c r="I175" s="28" t="n">
        <f aca="false">IF(I54=0,0,I173/(1+Indata!$C$65)^I53)</f>
        <v>-4399484.67667319</v>
      </c>
      <c r="J175" s="28" t="n">
        <f aca="false">IF(J54=0,0,J173/(1+Indata!$C$65)^J53)</f>
        <v>-4166965.88342695</v>
      </c>
      <c r="K175" s="28" t="n">
        <f aca="false">IF(K54=0,0,K173/(1+Indata!$C$65)^K53)</f>
        <v>-3946536.18049901</v>
      </c>
      <c r="L175" s="28" t="n">
        <f aca="false">IF(L54=0,0,L173/(1+Indata!$C$65)^L53)</f>
        <v>-3737620.09769476</v>
      </c>
      <c r="M175" s="28" t="n">
        <f aca="false">IF(M54=0,0,M173/(1+Indata!$C$65)^M53)</f>
        <v>-3539662.58396536</v>
      </c>
      <c r="N175" s="28" t="n">
        <f aca="false">IF(N54=0,0,N173/(1+Indata!$C$65)^N53)</f>
        <v>-3321870.28939252</v>
      </c>
      <c r="O175" s="28" t="n">
        <f aca="false">IF(O54=0,0,O173/(1+Indata!$C$65)^O53)</f>
        <v>-3118713.44817134</v>
      </c>
      <c r="P175" s="28" t="n">
        <f aca="false">IF(P54=0,0,P173/(1+Indata!$C$65)^P53)</f>
        <v>-2929145.17967795</v>
      </c>
      <c r="Q175" s="28" t="n">
        <f aca="false">IF(Q54=0,0,Q173/(1+Indata!$C$65)^Q53)</f>
        <v>-2752196.4666316</v>
      </c>
      <c r="R175" s="28" t="n">
        <f aca="false">IF(R54=0,0,R173/(1+Indata!$C$65)^R53)</f>
        <v>-2586970.23232736</v>
      </c>
      <c r="S175" s="28" t="n">
        <f aca="false">IF(S54=0,0,S173/(1+Indata!$C$65)^S53)</f>
        <v>-2432635.87397797</v>
      </c>
      <c r="T175" s="28" t="n">
        <f aca="false">IF(T54=0,0,T173/(1+Indata!$C$65)^T53)</f>
        <v>-2288424.21680836</v>
      </c>
      <c r="U175" s="28" t="n">
        <f aca="false">IF(U54=0,0,U173/(1+Indata!$C$65)^U53)</f>
        <v>-2153622.85629624</v>
      </c>
      <c r="V175" s="28" t="n">
        <f aca="false">IF(V54=0,0,V173/(1+Indata!$C$65)^V53)</f>
        <v>-2027571.8584883</v>
      </c>
      <c r="W175" s="28" t="n">
        <f aca="false">IF(W54=0,0,W173/(1+Indata!$C$65)^W53)</f>
        <v>-37484617.1391525</v>
      </c>
      <c r="X175" s="28" t="n">
        <f aca="false">IF(X54=0,0,X173/(1+Indata!$C$65)^X53)</f>
        <v>0</v>
      </c>
      <c r="Y175" s="28" t="n">
        <f aca="false">IF(Y54=0,0,Y173/(1+Indata!$C$65)^Y53)</f>
        <v>0</v>
      </c>
      <c r="Z175" s="28" t="n">
        <f aca="false">IF(Z54=0,0,Z173/(1+Indata!$C$65)^Z53)</f>
        <v>0</v>
      </c>
      <c r="AA175" s="28" t="n">
        <f aca="false">IF(AA54=0,0,AA173/(1+Indata!$C$65)^AA53)</f>
        <v>0</v>
      </c>
      <c r="AB175" s="28" t="n">
        <f aca="false">IF(AB54=0,0,AB173/(1+Indata!$C$65)^AB53)</f>
        <v>0</v>
      </c>
    </row>
    <row r="177" customFormat="false" ht="15" hidden="false" customHeight="false" outlineLevel="0" collapsed="false">
      <c r="B177" s="41" t="s">
        <v>312</v>
      </c>
      <c r="C177" s="42" t="n">
        <f aca="false">SUMIFS(D175:AB175,D54:AB54,1)</f>
        <v>-225369581.821246</v>
      </c>
    </row>
    <row r="179" customFormat="false" ht="15" hidden="false" customHeight="false" outlineLevel="0" collapsed="false">
      <c r="B179" s="85" t="s">
        <v>313</v>
      </c>
    </row>
    <row r="181" customFormat="false" ht="15" hidden="false" customHeight="false" outlineLevel="0" collapsed="false">
      <c r="B181" s="1" t="s">
        <v>314</v>
      </c>
      <c r="D181" s="28" t="n">
        <f aca="false">D132</f>
        <v>-1400000</v>
      </c>
      <c r="E181" s="28" t="n">
        <f aca="false">E132</f>
        <v>-1434000</v>
      </c>
      <c r="F181" s="28" t="n">
        <f aca="false">F132</f>
        <v>-1468764</v>
      </c>
      <c r="G181" s="28" t="n">
        <f aca="false">G132</f>
        <v>-1504308.456</v>
      </c>
      <c r="H181" s="28" t="n">
        <f aca="false">H132</f>
        <v>-1540650.169584</v>
      </c>
      <c r="I181" s="28" t="n">
        <f aca="false">I132</f>
        <v>-1577806.29506218</v>
      </c>
      <c r="J181" s="28" t="n">
        <f aca="false">J132</f>
        <v>-1615794.34675913</v>
      </c>
      <c r="K181" s="28" t="n">
        <f aca="false">K132</f>
        <v>-1654632.20645116</v>
      </c>
      <c r="L181" s="28" t="n">
        <f aca="false">L132</f>
        <v>-1694338.13095562</v>
      </c>
      <c r="M181" s="28" t="n">
        <f aca="false">M132</f>
        <v>-1734930.75987543</v>
      </c>
      <c r="N181" s="28" t="n">
        <f aca="false">N132</f>
        <v>-1776429.12350185</v>
      </c>
      <c r="O181" s="28" t="n">
        <f aca="false">O132</f>
        <v>-1818852.6508788</v>
      </c>
      <c r="P181" s="28" t="n">
        <f aca="false">P132</f>
        <v>-1862221.17803199</v>
      </c>
      <c r="Q181" s="28" t="n">
        <f aca="false">Q132</f>
        <v>-1906554.95636614</v>
      </c>
      <c r="R181" s="28" t="n">
        <f aca="false">R132</f>
        <v>-1951874.6612338</v>
      </c>
      <c r="S181" s="28" t="n">
        <f aca="false">S132</f>
        <v>-1998201.40067918</v>
      </c>
      <c r="T181" s="28" t="n">
        <f aca="false">T132</f>
        <v>-2045556.72436055</v>
      </c>
      <c r="U181" s="28" t="n">
        <f aca="false">U132</f>
        <v>-2093962.6326549</v>
      </c>
      <c r="V181" s="28" t="n">
        <f aca="false">V132</f>
        <v>-2143441.58594844</v>
      </c>
      <c r="W181" s="28" t="n">
        <f aca="false">W132</f>
        <v>-2194016.51411682</v>
      </c>
      <c r="X181" s="28" t="n">
        <f aca="false">X132</f>
        <v>-2245710.82619886</v>
      </c>
      <c r="Y181" s="28" t="n">
        <f aca="false">Y132</f>
        <v>-2298548.42026773</v>
      </c>
      <c r="Z181" s="28" t="n">
        <f aca="false">Z132</f>
        <v>-2352553.69350361</v>
      </c>
      <c r="AA181" s="28" t="n">
        <f aca="false">AA132</f>
        <v>-2407751.55247183</v>
      </c>
      <c r="AB181" s="28" t="n">
        <f aca="false">AB132</f>
        <v>-2464167.42361079</v>
      </c>
    </row>
    <row r="182" customFormat="false" ht="15" hidden="false" customHeight="false" outlineLevel="0" collapsed="false">
      <c r="B182" s="1" t="s">
        <v>315</v>
      </c>
      <c r="D182" s="28" t="n">
        <f aca="false">D181+Finansiering!D18+Finansiering!D15</f>
        <v>-9708726.06060606</v>
      </c>
      <c r="E182" s="28" t="n">
        <f aca="false">E181+Finansiering!E18+Finansiering!E15</f>
        <v>-9768833.26060606</v>
      </c>
      <c r="F182" s="28" t="n">
        <f aca="false">F181+Finansiering!F18+Finansiering!F15</f>
        <v>-9827760.92460606</v>
      </c>
      <c r="G182" s="28" t="n">
        <f aca="false">G181+Finansiering!G18+Finansiering!G15</f>
        <v>-9885592.80716606</v>
      </c>
      <c r="H182" s="28" t="n">
        <f aca="false">H181+Finansiering!H18+Finansiering!H15</f>
        <v>-9942411.09390206</v>
      </c>
      <c r="I182" s="28" t="n">
        <f aca="false">I181+Finansiering!I18+Finansiering!I15</f>
        <v>-9998296.45828993</v>
      </c>
      <c r="J182" s="28" t="n">
        <f aca="false">J181+Finansiering!J18+Finansiering!J15</f>
        <v>-10053328.1173947</v>
      </c>
      <c r="K182" s="28" t="n">
        <f aca="false">K181+Finansiering!K18+Finansiering!K15</f>
        <v>-10107583.8865572</v>
      </c>
      <c r="L182" s="28" t="n">
        <f aca="false">L181+Finansiering!L18+Finansiering!L15</f>
        <v>-10161140.2330693</v>
      </c>
      <c r="M182" s="28" t="n">
        <f aca="false">M181+Finansiering!M18+Finansiering!M15</f>
        <v>-10214072.3288686</v>
      </c>
      <c r="N182" s="28" t="n">
        <f aca="false">N181+Finansiering!N18+Finansiering!N15</f>
        <v>-10207199.9823273</v>
      </c>
      <c r="O182" s="28" t="n">
        <f aca="false">O181+Finansiering!O18+Finansiering!O15</f>
        <v>-10202220.2137399</v>
      </c>
      <c r="P182" s="28" t="n">
        <f aca="false">P181+Finansiering!P18+Finansiering!P15</f>
        <v>-10199133.510848</v>
      </c>
      <c r="Q182" s="28" t="n">
        <f aca="false">Q181+Finansiering!Q18+Finansiering!Q15</f>
        <v>-10197941.1637379</v>
      </c>
      <c r="R182" s="28" t="n">
        <f aca="false">R181+Finansiering!R18+Finansiering!R15</f>
        <v>-10198645.2656703</v>
      </c>
      <c r="S182" s="28" t="n">
        <f aca="false">S181+Finansiering!S18+Finansiering!S15</f>
        <v>-10201248.714239</v>
      </c>
      <c r="T182" s="28" t="n">
        <f aca="false">T181+Finansiering!T18+Finansiering!T15</f>
        <v>-10205755.2128613</v>
      </c>
      <c r="U182" s="28" t="n">
        <f aca="false">U181+Finansiering!U18+Finansiering!U15</f>
        <v>-10212169.2725978</v>
      </c>
      <c r="V182" s="28" t="n">
        <f aca="false">V181+Finansiering!V18+Finansiering!V15</f>
        <v>-10220496.2143046</v>
      </c>
      <c r="W182" s="28" t="n">
        <f aca="false">W181+Finansiering!W18+Finansiering!W15</f>
        <v>-10230742.171118</v>
      </c>
      <c r="X182" s="28" t="n">
        <f aca="false">X181+Finansiering!X18+Finansiering!X15</f>
        <v>-4182308.03066603</v>
      </c>
      <c r="Y182" s="28" t="n">
        <f aca="false">Y181+Finansiering!Y18+Finansiering!Y15</f>
        <v>-4196413.68064556</v>
      </c>
      <c r="Z182" s="28" t="n">
        <f aca="false">Z181+Finansiering!Z18+Finansiering!Z15</f>
        <v>-4212461.64867388</v>
      </c>
      <c r="AA182" s="28" t="n">
        <f aca="false">AA181+Finansiering!AA18+Finansiering!AA15</f>
        <v>-4230461.3485387</v>
      </c>
      <c r="AB182" s="28" t="n">
        <f aca="false">AB181+Finansiering!AB18+Finansiering!AB15</f>
        <v>-4250423.02375633</v>
      </c>
    </row>
    <row r="183" customFormat="false" ht="15" hidden="false" customHeight="false" outlineLevel="0" collapsed="false">
      <c r="B183" s="1" t="s">
        <v>316</v>
      </c>
      <c r="D183" s="28" t="n">
        <f aca="false">IF(D182&lt;=0,0,-D182*Indata!$C$10)</f>
        <v>0</v>
      </c>
      <c r="E183" s="28" t="n">
        <f aca="false">IF(E182&lt;=0,0,-E182*Indata!$C$10)</f>
        <v>0</v>
      </c>
      <c r="F183" s="28" t="n">
        <f aca="false">IF(F182&lt;=0,0,-F182*Indata!$C$10)</f>
        <v>0</v>
      </c>
      <c r="G183" s="28" t="n">
        <f aca="false">IF(G182&lt;=0,0,-G182*Indata!$C$10)</f>
        <v>0</v>
      </c>
      <c r="H183" s="28" t="n">
        <f aca="false">IF(H182&lt;=0,0,-H182*Indata!$C$10)</f>
        <v>0</v>
      </c>
      <c r="I183" s="28" t="n">
        <f aca="false">IF(I182&lt;=0,0,-I182*Indata!$C$10)</f>
        <v>0</v>
      </c>
      <c r="J183" s="28" t="n">
        <f aca="false">IF(J182&lt;=0,0,-J182*Indata!$C$10)</f>
        <v>0</v>
      </c>
      <c r="K183" s="28" t="n">
        <f aca="false">IF(K182&lt;=0,0,-K182*Indata!$C$10)</f>
        <v>0</v>
      </c>
      <c r="L183" s="28" t="n">
        <f aca="false">IF(L182&lt;=0,0,-L182*Indata!$C$10)</f>
        <v>0</v>
      </c>
      <c r="M183" s="28" t="n">
        <f aca="false">IF(M182&lt;=0,0,-M182*Indata!$C$10)</f>
        <v>0</v>
      </c>
      <c r="N183" s="28" t="n">
        <f aca="false">IF(N182&lt;=0,0,-N182*Indata!$C$10)</f>
        <v>0</v>
      </c>
      <c r="O183" s="28" t="n">
        <f aca="false">IF(O182&lt;=0,0,-O182*Indata!$C$10)</f>
        <v>0</v>
      </c>
      <c r="P183" s="28" t="n">
        <f aca="false">IF(P182&lt;=0,0,-P182*Indata!$C$10)</f>
        <v>0</v>
      </c>
      <c r="Q183" s="28" t="n">
        <f aca="false">IF(Q182&lt;=0,0,-Q182*Indata!$C$10)</f>
        <v>0</v>
      </c>
      <c r="R183" s="28" t="n">
        <f aca="false">IF(R182&lt;=0,0,-R182*Indata!$C$10)</f>
        <v>0</v>
      </c>
      <c r="S183" s="28" t="n">
        <f aca="false">IF(S182&lt;=0,0,-S182*Indata!$C$10)</f>
        <v>0</v>
      </c>
      <c r="T183" s="28" t="n">
        <f aca="false">IF(T182&lt;=0,0,-T182*Indata!$C$10)</f>
        <v>0</v>
      </c>
      <c r="U183" s="28" t="n">
        <f aca="false">IF(U182&lt;=0,0,-U182*Indata!$C$10)</f>
        <v>0</v>
      </c>
      <c r="V183" s="28" t="n">
        <f aca="false">IF(V182&lt;=0,0,-V182*Indata!$C$10)</f>
        <v>0</v>
      </c>
      <c r="W183" s="28" t="n">
        <f aca="false">IF(W182&lt;=0,0,-W182*Indata!$C$10)</f>
        <v>0</v>
      </c>
      <c r="X183" s="28" t="n">
        <f aca="false">IF(X182&lt;=0,0,-X182*Indata!$C$10)</f>
        <v>0</v>
      </c>
      <c r="Y183" s="28" t="n">
        <f aca="false">IF(Y182&lt;=0,0,-Y182*Indata!$C$10)</f>
        <v>0</v>
      </c>
      <c r="Z183" s="28" t="n">
        <f aca="false">IF(Z182&lt;=0,0,-Z182*Indata!$C$10)</f>
        <v>0</v>
      </c>
      <c r="AA183" s="28" t="n">
        <f aca="false">IF(AA182&lt;=0,0,-AA182*Indata!$C$10)</f>
        <v>0</v>
      </c>
      <c r="AB183" s="28" t="n">
        <f aca="false">IF(AB182&lt;=0,0,-AB182*Indata!$C$10)</f>
        <v>0</v>
      </c>
    </row>
    <row r="184" customFormat="false" ht="15" hidden="false" customHeight="false" outlineLevel="0" collapsed="false">
      <c r="B184" s="1" t="s">
        <v>317</v>
      </c>
      <c r="D184" s="28" t="n">
        <f aca="false">D182+D183</f>
        <v>-9708726.06060606</v>
      </c>
      <c r="E184" s="28" t="n">
        <f aca="false">E182+E183</f>
        <v>-9768833.26060606</v>
      </c>
      <c r="F184" s="28" t="n">
        <f aca="false">F182+F183</f>
        <v>-9827760.92460606</v>
      </c>
      <c r="G184" s="28" t="n">
        <f aca="false">G182+G183</f>
        <v>-9885592.80716606</v>
      </c>
      <c r="H184" s="28" t="n">
        <f aca="false">H182+H183</f>
        <v>-9942411.09390206</v>
      </c>
      <c r="I184" s="28" t="n">
        <f aca="false">I182+I183</f>
        <v>-9998296.45828993</v>
      </c>
      <c r="J184" s="28" t="n">
        <f aca="false">J182+J183</f>
        <v>-10053328.1173947</v>
      </c>
      <c r="K184" s="28" t="n">
        <f aca="false">K182+K183</f>
        <v>-10107583.8865572</v>
      </c>
      <c r="L184" s="28" t="n">
        <f aca="false">L182+L183</f>
        <v>-10161140.2330693</v>
      </c>
      <c r="M184" s="28" t="n">
        <f aca="false">M182+M183</f>
        <v>-10214072.3288686</v>
      </c>
      <c r="N184" s="28" t="n">
        <f aca="false">N182+N183</f>
        <v>-10207199.9823273</v>
      </c>
      <c r="O184" s="28" t="n">
        <f aca="false">O182+O183</f>
        <v>-10202220.2137399</v>
      </c>
      <c r="P184" s="28" t="n">
        <f aca="false">P182+P183</f>
        <v>-10199133.510848</v>
      </c>
      <c r="Q184" s="28" t="n">
        <f aca="false">Q182+Q183</f>
        <v>-10197941.1637379</v>
      </c>
      <c r="R184" s="28" t="n">
        <f aca="false">R182+R183</f>
        <v>-10198645.2656703</v>
      </c>
      <c r="S184" s="28" t="n">
        <f aca="false">S182+S183</f>
        <v>-10201248.714239</v>
      </c>
      <c r="T184" s="28" t="n">
        <f aca="false">T182+T183</f>
        <v>-10205755.2128613</v>
      </c>
      <c r="U184" s="28" t="n">
        <f aca="false">U182+U183</f>
        <v>-10212169.2725978</v>
      </c>
      <c r="V184" s="28" t="n">
        <f aca="false">V182+V183</f>
        <v>-10220496.2143046</v>
      </c>
      <c r="W184" s="28" t="n">
        <f aca="false">W182+W183</f>
        <v>-10230742.171118</v>
      </c>
      <c r="X184" s="28" t="n">
        <f aca="false">X182+X183</f>
        <v>-4182308.03066603</v>
      </c>
      <c r="Y184" s="28" t="n">
        <f aca="false">Y182+Y183</f>
        <v>-4196413.68064556</v>
      </c>
      <c r="Z184" s="28" t="n">
        <f aca="false">Z182+Z183</f>
        <v>-4212461.64867388</v>
      </c>
      <c r="AA184" s="28" t="n">
        <f aca="false">AA182+AA183</f>
        <v>-4230461.3485387</v>
      </c>
      <c r="AB184" s="28" t="n">
        <f aca="false">AB182+AB183</f>
        <v>-4250423.02375633</v>
      </c>
    </row>
    <row r="186" customFormat="false" ht="15" hidden="false" customHeight="false" outlineLevel="0" collapsed="false">
      <c r="B186" s="1" t="s">
        <v>318</v>
      </c>
      <c r="D186" s="28" t="n">
        <f aca="false">D184-Finansiering!D18+Finansiering!D17+Finansiering!D12</f>
        <v>-131128120</v>
      </c>
      <c r="E186" s="28" t="n">
        <f aca="false">E184-Finansiering!E18+Finansiering!E17+Finansiering!E12</f>
        <v>-5158627.2</v>
      </c>
      <c r="F186" s="28" t="n">
        <f aca="false">F184-Finansiering!F18+Finansiering!F17+Finansiering!F12</f>
        <v>-5188546.864</v>
      </c>
      <c r="G186" s="28" t="n">
        <f aca="false">G184-Finansiering!G18+Finansiering!G17+Finansiering!G12</f>
        <v>-5217950.90656</v>
      </c>
      <c r="H186" s="28" t="n">
        <f aca="false">H184-Finansiering!H18+Finansiering!H17+Finansiering!H12</f>
        <v>-5246909.910096</v>
      </c>
      <c r="I186" s="28" t="n">
        <f aca="false">I184-Finansiering!I18+Finansiering!I17+Finansiering!I12</f>
        <v>-5275493.17694787</v>
      </c>
      <c r="J186" s="28" t="n">
        <f aca="false">J184-Finansiering!J18+Finansiering!J17+Finansiering!J12</f>
        <v>-5303768.78046737</v>
      </c>
      <c r="K186" s="28" t="n">
        <f aca="false">K184-Finansiering!K18+Finansiering!K17+Finansiering!K12</f>
        <v>-5331803.61515628</v>
      </c>
      <c r="L186" s="28" t="n">
        <f aca="false">L184-Finansiering!L18+Finansiering!L17+Finansiering!L12</f>
        <v>-5359663.44588428</v>
      </c>
      <c r="M186" s="28" t="n">
        <f aca="false">M184-Finansiering!M18+Finansiering!M17+Finansiering!M12</f>
        <v>-5387412.95621519</v>
      </c>
      <c r="N186" s="28" t="n">
        <f aca="false">N184-Finansiering!N18+Finansiering!N17+Finansiering!N12</f>
        <v>-5355861.67591482</v>
      </c>
      <c r="O186" s="28" t="n">
        <f aca="false">O184-Finansiering!O18+Finansiering!O17+Finansiering!O12</f>
        <v>-5326696.55224351</v>
      </c>
      <c r="P186" s="28" t="n">
        <f aca="false">P184-Finansiering!P18+Finansiering!P17+Finansiering!P12</f>
        <v>-5299908.2013694</v>
      </c>
      <c r="Q186" s="28" t="n">
        <f aca="false">Q184-Finansiering!Q18+Finansiering!Q17+Finansiering!Q12</f>
        <v>-5275488.2392368</v>
      </c>
      <c r="R186" s="28" t="n">
        <f aca="false">R184-Finansiering!R18+Finansiering!R17+Finansiering!R12</f>
        <v>-5253429.27844705</v>
      </c>
      <c r="S186" s="28" t="n">
        <f aca="false">S184-Finansiering!S18+Finansiering!S17+Finansiering!S12</f>
        <v>-5233724.92554816</v>
      </c>
      <c r="T186" s="28" t="n">
        <f aca="false">T184-Finansiering!T18+Finansiering!T17+Finansiering!T12</f>
        <v>-5216369.77873216</v>
      </c>
      <c r="U186" s="28" t="n">
        <f aca="false">U184-Finansiering!U18+Finansiering!U17+Finansiering!U12</f>
        <v>-5201359.42593908</v>
      </c>
      <c r="V186" s="28" t="n">
        <f aca="false">V184-Finansiering!V18+Finansiering!V17+Finansiering!V12</f>
        <v>-5188690.44336693</v>
      </c>
      <c r="W186" s="28" t="n">
        <f aca="false">W184-Finansiering!W18+Finansiering!W17+Finansiering!W12</f>
        <v>-5178360.39438694</v>
      </c>
      <c r="X186" s="28" t="n">
        <f aca="false">X184-Finansiering!X18+Finansiering!X17+Finansiering!X12</f>
        <v>-5170367.82886357</v>
      </c>
      <c r="Y186" s="28" t="n">
        <f aca="false">Y184-Finansiering!Y18+Finansiering!Y17+Finansiering!Y12</f>
        <v>-5164712.28287915</v>
      </c>
      <c r="Z186" s="28" t="n">
        <f aca="false">Z184-Finansiering!Z18+Finansiering!Z17+Finansiering!Z12</f>
        <v>-5161394.2788628</v>
      </c>
      <c r="AA186" s="28" t="n">
        <f aca="false">AA184-Finansiering!AA18+Finansiering!AA17+Finansiering!AA12</f>
        <v>-5160415.32612384</v>
      </c>
      <c r="AB186" s="28" t="n">
        <f aca="false">AB184-Finansiering!AB18+Finansiering!AB17+Finansiering!AB12</f>
        <v>-5161777.92178976</v>
      </c>
    </row>
    <row r="187" customFormat="false" ht="15" hidden="false" customHeight="false" outlineLevel="0" collapsed="false">
      <c r="B187" s="1" t="s">
        <v>319</v>
      </c>
      <c r="D187" s="28" t="n">
        <f aca="false">IF(D53&lt;&gt;Indata!$C$16,0,IFERROR(INDEX(D132:AB132,MATCH(D52+1,D52:AB52,0))/Indata!$C$6,0)-Finansiering!D13)</f>
        <v>0</v>
      </c>
      <c r="E187" s="28" t="n">
        <f aca="false">IF(E53&lt;&gt;Indata!$C$16,0,IFERROR(INDEX(D132:AB132,MATCH(E52+1,D52:AB52,0))/Indata!$C$6,0)-Finansiering!E13)</f>
        <v>0</v>
      </c>
      <c r="F187" s="28" t="n">
        <f aca="false">IF(F53&lt;&gt;Indata!$C$16,0,IFERROR(INDEX(D132:AB132,MATCH(F52+1,D52:AB52,0))/Indata!$C$6,0)-Finansiering!F13)</f>
        <v>0</v>
      </c>
      <c r="G187" s="28" t="n">
        <f aca="false">IF(G53&lt;&gt;Indata!$C$16,0,IFERROR(INDEX(D132:AB132,MATCH(G52+1,D52:AB52,0))/Indata!$C$6,0)-Finansiering!G13)</f>
        <v>0</v>
      </c>
      <c r="H187" s="28" t="n">
        <f aca="false">IF(H53&lt;&gt;Indata!$C$16,0,IFERROR(INDEX(D132:AB132,MATCH(H52+1,D52:AB52,0))/Indata!$C$6,0)-Finansiering!H13)</f>
        <v>0</v>
      </c>
      <c r="I187" s="28" t="n">
        <f aca="false">IF(I53&lt;&gt;Indata!$C$16,0,IFERROR(INDEX(D132:AB132,MATCH(I52+1,D52:AB52,0))/Indata!$C$6,0)-Finansiering!I13)</f>
        <v>0</v>
      </c>
      <c r="J187" s="28" t="n">
        <f aca="false">IF(J53&lt;&gt;Indata!$C$16,0,IFERROR(INDEX(D132:AB132,MATCH(J52+1,D52:AB52,0))/Indata!$C$6,0)-Finansiering!J13)</f>
        <v>0</v>
      </c>
      <c r="K187" s="28" t="n">
        <f aca="false">IF(K53&lt;&gt;Indata!$C$16,0,IFERROR(INDEX(D132:AB132,MATCH(K52+1,D52:AB52,0))/Indata!$C$6,0)-Finansiering!K13)</f>
        <v>0</v>
      </c>
      <c r="L187" s="28" t="n">
        <f aca="false">IF(L53&lt;&gt;Indata!$C$16,0,IFERROR(INDEX(D132:AB132,MATCH(L52+1,D52:AB52,0))/Indata!$C$6,0)-Finansiering!L13)</f>
        <v>0</v>
      </c>
      <c r="M187" s="28" t="n">
        <f aca="false">IF(M53&lt;&gt;Indata!$C$16,0,IFERROR(INDEX(D132:AB132,MATCH(M52+1,D52:AB52,0))/Indata!$C$6,0)-Finansiering!M13)</f>
        <v>0</v>
      </c>
      <c r="N187" s="28" t="n">
        <f aca="false">IF(N53&lt;&gt;Indata!$C$16,0,IFERROR(INDEX(D132:AB132,MATCH(N52+1,D52:AB52,0))/Indata!$C$6,0)-Finansiering!N13)</f>
        <v>0</v>
      </c>
      <c r="O187" s="28" t="n">
        <f aca="false">IF(O53&lt;&gt;Indata!$C$16,0,IFERROR(INDEX(D132:AB132,MATCH(O52+1,D52:AB52,0))/Indata!$C$6,0)-Finansiering!O13)</f>
        <v>0</v>
      </c>
      <c r="P187" s="28" t="n">
        <f aca="false">IF(P53&lt;&gt;Indata!$C$16,0,IFERROR(INDEX(D132:AB132,MATCH(P52+1,D52:AB52,0))/Indata!$C$6,0)-Finansiering!P13)</f>
        <v>0</v>
      </c>
      <c r="Q187" s="28" t="n">
        <f aca="false">IF(Q53&lt;&gt;Indata!$C$16,0,IFERROR(INDEX(D132:AB132,MATCH(Q52+1,D52:AB52,0))/Indata!$C$6,0)-Finansiering!Q13)</f>
        <v>0</v>
      </c>
      <c r="R187" s="28" t="n">
        <f aca="false">IF(R53&lt;&gt;Indata!$C$16,0,IFERROR(INDEX(D132:AB132,MATCH(R52+1,D52:AB52,0))/Indata!$C$6,0)-Finansiering!R13)</f>
        <v>0</v>
      </c>
      <c r="S187" s="28" t="n">
        <f aca="false">IF(S53&lt;&gt;Indata!$C$16,0,IFERROR(INDEX(D132:AB132,MATCH(S52+1,D52:AB52,0))/Indata!$C$6,0)-Finansiering!S13)</f>
        <v>0</v>
      </c>
      <c r="T187" s="28" t="n">
        <f aca="false">IF(T53&lt;&gt;Indata!$C$16,0,IFERROR(INDEX(D132:AB132,MATCH(T52+1,D52:AB52,0))/Indata!$C$6,0)-Finansiering!T13)</f>
        <v>0</v>
      </c>
      <c r="U187" s="28" t="n">
        <f aca="false">IF(U53&lt;&gt;Indata!$C$16,0,IFERROR(INDEX(D132:AB132,MATCH(U52+1,D52:AB52,0))/Indata!$C$6,0)-Finansiering!U13)</f>
        <v>0</v>
      </c>
      <c r="V187" s="28" t="n">
        <f aca="false">IF(V53&lt;&gt;Indata!$C$16,0,IFERROR(INDEX(D132:AB132,MATCH(V52+1,D52:AB52,0))/Indata!$C$6,0)-Finansiering!V13)</f>
        <v>0</v>
      </c>
      <c r="W187" s="28" t="n">
        <f aca="false">IF(W53&lt;&gt;Indata!$C$16,0,IFERROR(INDEX(D132:AB132,MATCH(W52+1,D52:AB52,0))/Indata!$C$6,0)-Finansiering!W13)</f>
        <v>-94317206.4338541</v>
      </c>
      <c r="X187" s="28" t="n">
        <f aca="false">IF(X53&lt;&gt;Indata!$C$16,0,IFERROR(INDEX(D132:AB132,MATCH(X52+1,D52:AB52,0))/Indata!$C$6,0)-Finansiering!X13)</f>
        <v>0</v>
      </c>
      <c r="Y187" s="28" t="n">
        <f aca="false">IF(Y53&lt;&gt;Indata!$C$16,0,IFERROR(INDEX(D132:AB132,MATCH(Y52+1,D52:AB52,0))/Indata!$C$6,0)-Finansiering!Y13)</f>
        <v>0</v>
      </c>
      <c r="Z187" s="28" t="n">
        <f aca="false">IF(Z53&lt;&gt;Indata!$C$16,0,IFERROR(INDEX(D132:AB132,MATCH(Z52+1,D52:AB52,0))/Indata!$C$6,0)-Finansiering!Z13)</f>
        <v>0</v>
      </c>
      <c r="AA187" s="28" t="n">
        <f aca="false">IF(AA53&lt;&gt;Indata!$C$16,0,IFERROR(INDEX(D132:AB132,MATCH(AA52+1,D52:AB52,0))/Indata!$C$6,0)-Finansiering!AA13)</f>
        <v>0</v>
      </c>
      <c r="AB187" s="28" t="n">
        <f aca="false">IF(AB53&lt;&gt;Indata!$C$16,0,IFERROR(INDEX(D132:AB132,MATCH(AB52+1,D52:AB52,0))/Indata!$C$6,0)-Finansiering!AB13)</f>
        <v>0</v>
      </c>
    </row>
    <row r="188" customFormat="false" ht="15" hidden="false" customHeight="false" outlineLevel="0" collapsed="false">
      <c r="B188" s="41" t="s">
        <v>320</v>
      </c>
      <c r="D188" s="42" t="n">
        <f aca="false">D186+D187</f>
        <v>-131128120</v>
      </c>
      <c r="E188" s="42" t="n">
        <f aca="false">E186+E187</f>
        <v>-5158627.2</v>
      </c>
      <c r="F188" s="42" t="n">
        <f aca="false">F186+F187</f>
        <v>-5188546.864</v>
      </c>
      <c r="G188" s="42" t="n">
        <f aca="false">G186+G187</f>
        <v>-5217950.90656</v>
      </c>
      <c r="H188" s="42" t="n">
        <f aca="false">H186+H187</f>
        <v>-5246909.910096</v>
      </c>
      <c r="I188" s="42" t="n">
        <f aca="false">I186+I187</f>
        <v>-5275493.17694787</v>
      </c>
      <c r="J188" s="42" t="n">
        <f aca="false">J186+J187</f>
        <v>-5303768.78046737</v>
      </c>
      <c r="K188" s="42" t="n">
        <f aca="false">K186+K187</f>
        <v>-5331803.61515628</v>
      </c>
      <c r="L188" s="42" t="n">
        <f aca="false">L186+L187</f>
        <v>-5359663.44588428</v>
      </c>
      <c r="M188" s="42" t="n">
        <f aca="false">M186+M187</f>
        <v>-5387412.95621519</v>
      </c>
      <c r="N188" s="42" t="n">
        <f aca="false">N186+N187</f>
        <v>-5355861.67591482</v>
      </c>
      <c r="O188" s="42" t="n">
        <f aca="false">O186+O187</f>
        <v>-5326696.55224351</v>
      </c>
      <c r="P188" s="42" t="n">
        <f aca="false">P186+P187</f>
        <v>-5299908.2013694</v>
      </c>
      <c r="Q188" s="42" t="n">
        <f aca="false">Q186+Q187</f>
        <v>-5275488.2392368</v>
      </c>
      <c r="R188" s="42" t="n">
        <f aca="false">R186+R187</f>
        <v>-5253429.27844705</v>
      </c>
      <c r="S188" s="42" t="n">
        <f aca="false">S186+S187</f>
        <v>-5233724.92554816</v>
      </c>
      <c r="T188" s="42" t="n">
        <f aca="false">T186+T187</f>
        <v>-5216369.77873216</v>
      </c>
      <c r="U188" s="42" t="n">
        <f aca="false">U186+U187</f>
        <v>-5201359.42593908</v>
      </c>
      <c r="V188" s="42" t="n">
        <f aca="false">V186+V187</f>
        <v>-5188690.44336693</v>
      </c>
      <c r="W188" s="42" t="n">
        <f aca="false">W186+W187</f>
        <v>-99495566.8282411</v>
      </c>
      <c r="X188" s="42" t="n">
        <f aca="false">X186+X187</f>
        <v>-5170367.82886357</v>
      </c>
      <c r="Y188" s="42" t="n">
        <f aca="false">Y186+Y187</f>
        <v>-5164712.28287915</v>
      </c>
      <c r="Z188" s="42" t="n">
        <f aca="false">Z186+Z187</f>
        <v>-5161394.2788628</v>
      </c>
      <c r="AA188" s="42" t="n">
        <f aca="false">AA186+AA187</f>
        <v>-5160415.32612384</v>
      </c>
      <c r="AB188" s="42" t="n">
        <f aca="false">AB186+AB187</f>
        <v>-5161777.92178976</v>
      </c>
    </row>
    <row r="190" customFormat="false" ht="15" hidden="false" customHeight="false" outlineLevel="0" collapsed="false">
      <c r="B190" s="1" t="s">
        <v>321</v>
      </c>
      <c r="D190" s="28" t="n">
        <f aca="false">IF(D54=0,0,D188/(1+Indata!$C$65)^D53)</f>
        <v>-123356650.98777</v>
      </c>
      <c r="E190" s="28" t="n">
        <f aca="false">IF(E54=0,0,E188/(1+Indata!$C$65)^E53)</f>
        <v>-4565282.0564104</v>
      </c>
      <c r="F190" s="28" t="n">
        <f aca="false">IF(F54=0,0,F188/(1+Indata!$C$65)^F53)</f>
        <v>-4319624.04662977</v>
      </c>
      <c r="G190" s="28" t="n">
        <f aca="false">IF(G54=0,0,G188/(1+Indata!$C$65)^G53)</f>
        <v>-4086645.16641326</v>
      </c>
      <c r="H190" s="28" t="n">
        <f aca="false">IF(H54=0,0,H188/(1+Indata!$C$65)^H53)</f>
        <v>-3865781.33431807</v>
      </c>
      <c r="I190" s="28" t="n">
        <f aca="false">IF(I54=0,0,I188/(1+Indata!$C$65)^I53)</f>
        <v>-3656482.32585427</v>
      </c>
      <c r="J190" s="28" t="n">
        <f aca="false">IF(J54=0,0,J188/(1+Indata!$C$65)^J53)</f>
        <v>-3458212.93542095</v>
      </c>
      <c r="K190" s="28" t="n">
        <f aca="false">IF(K54=0,0,K188/(1+Indata!$C$65)^K53)</f>
        <v>-3270453.87638039</v>
      </c>
      <c r="L190" s="28" t="n">
        <f aca="false">IF(L54=0,0,L188/(1+Indata!$C$65)^L53)</f>
        <v>-3092702.45293815</v>
      </c>
      <c r="M190" s="28" t="n">
        <f aca="false">IF(M54=0,0,M188/(1+Indata!$C$65)^M53)</f>
        <v>-2924473.03384005</v>
      </c>
      <c r="N190" s="28" t="n">
        <f aca="false">IF(N54=0,0,N188/(1+Indata!$C$65)^N53)</f>
        <v>-2735038.48899077</v>
      </c>
      <c r="O190" s="28" t="n">
        <f aca="false">IF(O54=0,0,O188/(1+Indata!$C$65)^O53)</f>
        <v>-2558932.21994239</v>
      </c>
      <c r="P190" s="28" t="n">
        <f aca="false">IF(P54=0,0,P188/(1+Indata!$C$65)^P53)</f>
        <v>-2395167.60166839</v>
      </c>
      <c r="Q190" s="28" t="n">
        <f aca="false">IF(Q54=0,0,Q188/(1+Indata!$C$65)^Q53)</f>
        <v>-2242833.0949461</v>
      </c>
      <c r="R190" s="28" t="n">
        <f aca="false">IF(R54=0,0,R188/(1+Indata!$C$65)^R53)</f>
        <v>-2101086.45162265</v>
      </c>
      <c r="S190" s="28" t="n">
        <f aca="false">IF(S54=0,0,S188/(1+Indata!$C$65)^S53)</f>
        <v>-1969149.37008844</v>
      </c>
      <c r="T190" s="28" t="n">
        <f aca="false">IF(T54=0,0,T188/(1+Indata!$C$65)^T53)</f>
        <v>-1846302.56587329</v>
      </c>
      <c r="U190" s="28" t="n">
        <f aca="false">IF(U54=0,0,U188/(1+Indata!$C$65)^U53)</f>
        <v>-1731881.22501857</v>
      </c>
      <c r="V190" s="28" t="n">
        <f aca="false">IF(V54=0,0,V188/(1+Indata!$C$65)^V53)</f>
        <v>-1625270.81040217</v>
      </c>
      <c r="W190" s="28" t="n">
        <f aca="false">IF(W54=0,0,W188/(1+Indata!$C$65)^W53)</f>
        <v>-29318276.7520229</v>
      </c>
      <c r="X190" s="28" t="n">
        <f aca="false">IF(X54=0,0,X188/(1+Indata!$C$65)^X53)</f>
        <v>0</v>
      </c>
      <c r="Y190" s="28" t="n">
        <f aca="false">IF(Y54=0,0,Y188/(1+Indata!$C$65)^Y53)</f>
        <v>0</v>
      </c>
      <c r="Z190" s="28" t="n">
        <f aca="false">IF(Z54=0,0,Z188/(1+Indata!$C$65)^Z53)</f>
        <v>0</v>
      </c>
      <c r="AA190" s="28" t="n">
        <f aca="false">IF(AA54=0,0,AA188/(1+Indata!$C$65)^AA53)</f>
        <v>0</v>
      </c>
      <c r="AB190" s="28" t="n">
        <f aca="false">IF(AB54=0,0,AB188/(1+Indata!$C$65)^AB53)</f>
        <v>0</v>
      </c>
    </row>
    <row r="192" customFormat="false" ht="15" hidden="false" customHeight="false" outlineLevel="0" collapsed="false">
      <c r="B192" s="41" t="s">
        <v>322</v>
      </c>
      <c r="C192" s="42" t="n">
        <f aca="false">SUMIFS(D190:AB190,D54:AB54,1)</f>
        <v>-205120246.796552</v>
      </c>
    </row>
    <row r="193" customFormat="false" ht="15" hidden="false" customHeight="false" outlineLevel="0" collapsed="false">
      <c r="B193" s="41" t="s">
        <v>323</v>
      </c>
      <c r="C193" s="89" t="n">
        <f aca="false">(C192-C177)/1000000</f>
        <v>20.2493350246941</v>
      </c>
    </row>
    <row r="197" customFormat="false" ht="15" hidden="false" customHeight="false" outlineLevel="0" collapsed="false">
      <c r="B197" s="85" t="s">
        <v>324</v>
      </c>
    </row>
    <row r="199" customFormat="false" ht="15" hidden="false" customHeight="false" outlineLevel="0" collapsed="false">
      <c r="B199" s="1" t="s">
        <v>325</v>
      </c>
      <c r="C199" s="28" t="n">
        <f aca="false">INDEX(D85:AB85,MATCH(Indata!C5+Indata!C16,D52:AB52,0))</f>
        <v>-3566273.75034805</v>
      </c>
    </row>
    <row r="200" customFormat="false" ht="15" hidden="false" customHeight="false" outlineLevel="0" collapsed="false">
      <c r="B200" s="1" t="s">
        <v>326</v>
      </c>
      <c r="C200" s="28" t="n">
        <f aca="false">INDEX(D133:AB133,MATCH(Indata!C5+Indata!C16,D52:AB52,0))</f>
        <v>-2245710.82619886</v>
      </c>
    </row>
    <row r="201" customFormat="false" ht="15" hidden="false" customHeight="false" outlineLevel="0" collapsed="false">
      <c r="B201" s="1" t="s">
        <v>327</v>
      </c>
      <c r="C201" s="81" t="n">
        <f aca="false">(C200-C199)/1000000</f>
        <v>1.3205629241492</v>
      </c>
    </row>
    <row r="202" customFormat="false" ht="15" hidden="false" customHeight="false" outlineLevel="0" collapsed="false">
      <c r="B202" s="1" t="s">
        <v>328</v>
      </c>
      <c r="C202" s="28" t="n">
        <f aca="false">C199/Indata!C6</f>
        <v>-71325475.006961</v>
      </c>
    </row>
    <row r="203" customFormat="false" ht="15" hidden="false" customHeight="false" outlineLevel="0" collapsed="false">
      <c r="B203" s="1" t="s">
        <v>329</v>
      </c>
      <c r="C203" s="81" t="n">
        <f aca="false">C201/Indata!C6</f>
        <v>26.4112584829839</v>
      </c>
    </row>
    <row r="204" customFormat="false" ht="15" hidden="false" customHeight="false" outlineLevel="0" collapsed="false">
      <c r="B204" s="1" t="s">
        <v>330</v>
      </c>
      <c r="C204" s="28" t="n">
        <f aca="false">MAX((Indata!C17+Indata!C57+Indata!C58)*(1-Indata!C18*Indata!C16),Indata!C22)</f>
        <v>80000000</v>
      </c>
    </row>
    <row r="205" customFormat="false" ht="15" hidden="false" customHeight="false" outlineLevel="0" collapsed="false">
      <c r="B205" s="41" t="s">
        <v>331</v>
      </c>
      <c r="C205" s="42" t="n">
        <f aca="false">IFERROR((C204-C202)/C203,0)</f>
        <v>5729582.14408662</v>
      </c>
    </row>
  </sheetData>
  <mergeCells count="8">
    <mergeCell ref="B1:E1"/>
    <mergeCell ref="B3:E3"/>
    <mergeCell ref="B23:E23"/>
    <mergeCell ref="B33:E33"/>
    <mergeCell ref="B35:E35"/>
    <mergeCell ref="B37:E37"/>
    <mergeCell ref="B46:E46"/>
    <mergeCell ref="B47:K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s>
  <sheetData>
    <row r="1" customFormat="false" ht="24" hidden="false" customHeight="true" outlineLevel="0" collapsed="false">
      <c r="B1" s="90" t="s">
        <v>332</v>
      </c>
    </row>
    <row r="2" customFormat="false" ht="15" hidden="false" customHeight="true" outlineLevel="0" collapsed="false">
      <c r="B2" s="91" t="s">
        <v>333</v>
      </c>
    </row>
    <row r="4" customFormat="false" ht="19.5" hidden="false" customHeight="true" outlineLevel="0" collapsed="false">
      <c r="B4" s="92" t="s">
        <v>334</v>
      </c>
    </row>
    <row r="5" customFormat="false" ht="23.25" hidden="false" customHeight="true" outlineLevel="0" collapsed="false">
      <c r="B5" s="93" t="s">
        <v>335</v>
      </c>
    </row>
    <row r="7" customFormat="false" ht="19.5" hidden="false" customHeight="true" outlineLevel="0" collapsed="false">
      <c r="B7" s="92" t="s">
        <v>336</v>
      </c>
    </row>
    <row r="8" customFormat="false" ht="34.5" hidden="false" customHeight="true" outlineLevel="0" collapsed="false">
      <c r="B8" s="93" t="s">
        <v>337</v>
      </c>
    </row>
    <row r="10" customFormat="false" ht="19.5" hidden="false" customHeight="true" outlineLevel="0" collapsed="false">
      <c r="B10" s="92" t="s">
        <v>338</v>
      </c>
    </row>
    <row r="12" customFormat="false" ht="15" hidden="false" customHeight="true" outlineLevel="0" collapsed="false">
      <c r="B12" s="93" t="s">
        <v>339</v>
      </c>
    </row>
    <row r="14" customFormat="false" ht="15" hidden="false" customHeight="true" outlineLevel="0" collapsed="false">
      <c r="B14" s="94" t="s">
        <v>340</v>
      </c>
    </row>
    <row r="15" customFormat="false" ht="15" hidden="false" customHeight="true" outlineLevel="0" collapsed="false">
      <c r="B15" s="93" t="s">
        <v>341</v>
      </c>
    </row>
    <row r="16" customFormat="false" ht="15" hidden="false" customHeight="true" outlineLevel="0" collapsed="false">
      <c r="B16" s="93" t="s">
        <v>342</v>
      </c>
    </row>
    <row r="17" customFormat="false" ht="15" hidden="false" customHeight="true" outlineLevel="0" collapsed="false">
      <c r="B17" s="93" t="s">
        <v>343</v>
      </c>
    </row>
    <row r="19" customFormat="false" ht="15" hidden="false" customHeight="true" outlineLevel="0" collapsed="false">
      <c r="B19" s="94" t="s">
        <v>344</v>
      </c>
    </row>
    <row r="20" customFormat="false" ht="23.25" hidden="false" customHeight="true" outlineLevel="0" collapsed="false">
      <c r="B20" s="93" t="s">
        <v>345</v>
      </c>
    </row>
    <row r="22" customFormat="false" ht="15" hidden="false" customHeight="true" outlineLevel="0" collapsed="false">
      <c r="B22" s="93" t="s">
        <v>346</v>
      </c>
    </row>
    <row r="23" customFormat="false" ht="15" hidden="false" customHeight="true" outlineLevel="0" collapsed="false">
      <c r="B23" s="93" t="s">
        <v>347</v>
      </c>
    </row>
    <row r="25" customFormat="false" ht="15" hidden="false" customHeight="true" outlineLevel="0" collapsed="false">
      <c r="B25" s="93" t="s">
        <v>348</v>
      </c>
    </row>
    <row r="26" customFormat="false" ht="15" hidden="false" customHeight="true" outlineLevel="0" collapsed="false">
      <c r="B26" s="93" t="s">
        <v>349</v>
      </c>
    </row>
    <row r="28" customFormat="false" ht="15" hidden="false" customHeight="true" outlineLevel="0" collapsed="false">
      <c r="B28" s="94" t="s">
        <v>350</v>
      </c>
    </row>
    <row r="29" customFormat="false" ht="23.25" hidden="false" customHeight="true" outlineLevel="0" collapsed="false">
      <c r="B29" s="93" t="s">
        <v>351</v>
      </c>
    </row>
    <row r="31" customFormat="false" ht="15" hidden="false" customHeight="true" outlineLevel="0" collapsed="false">
      <c r="B31" s="93" t="s">
        <v>352</v>
      </c>
    </row>
    <row r="33" customFormat="false" ht="34.5" hidden="false" customHeight="true" outlineLevel="0" collapsed="false">
      <c r="B33" s="93" t="s">
        <v>353</v>
      </c>
    </row>
    <row r="35" customFormat="false" ht="15" hidden="false" customHeight="true" outlineLevel="0" collapsed="false">
      <c r="B35" s="93" t="s">
        <v>354</v>
      </c>
    </row>
    <row r="36" customFormat="false" ht="15" hidden="false" customHeight="true" outlineLevel="0" collapsed="false">
      <c r="B36" s="93" t="s">
        <v>355</v>
      </c>
    </row>
    <row r="38" customFormat="false" ht="23.25" hidden="false" customHeight="true" outlineLevel="0" collapsed="false">
      <c r="B38" s="95" t="s">
        <v>356</v>
      </c>
    </row>
    <row r="40" customFormat="false" ht="19.5" hidden="false" customHeight="true" outlineLevel="0" collapsed="false">
      <c r="B40" s="92" t="s">
        <v>357</v>
      </c>
    </row>
    <row r="41" customFormat="false" ht="23.25" hidden="false" customHeight="true" outlineLevel="0" collapsed="false">
      <c r="B41" s="93" t="s">
        <v>358</v>
      </c>
    </row>
    <row r="42" customFormat="false" ht="15" hidden="false" customHeight="true" outlineLevel="0" collapsed="false">
      <c r="B42" s="93" t="s">
        <v>359</v>
      </c>
    </row>
    <row r="43" customFormat="false" ht="15" hidden="false" customHeight="true" outlineLevel="0" collapsed="false">
      <c r="B43" s="93" t="s">
        <v>360</v>
      </c>
    </row>
    <row r="44" customFormat="false" ht="15" hidden="false" customHeight="true" outlineLevel="0" collapsed="false">
      <c r="B44" s="93" t="s">
        <v>361</v>
      </c>
    </row>
    <row r="46" customFormat="false" ht="23.25" hidden="false" customHeight="true" outlineLevel="0" collapsed="false">
      <c r="B46" s="93" t="s">
        <v>362</v>
      </c>
    </row>
    <row r="48" customFormat="false" ht="23.25" hidden="false" customHeight="true" outlineLevel="0" collapsed="false">
      <c r="B48" s="93" t="s">
        <v>363</v>
      </c>
    </row>
    <row r="50" customFormat="false" ht="19.5" hidden="false" customHeight="true" outlineLevel="0" collapsed="false">
      <c r="B50" s="92" t="s">
        <v>364</v>
      </c>
    </row>
    <row r="51" customFormat="false" ht="23.25" hidden="false" customHeight="true" outlineLevel="0" collapsed="false">
      <c r="B51" s="93" t="s">
        <v>365</v>
      </c>
    </row>
    <row r="53" customFormat="false" ht="23.25" hidden="false" customHeight="true" outlineLevel="0" collapsed="false">
      <c r="B53" s="93" t="s">
        <v>366</v>
      </c>
    </row>
    <row r="55" customFormat="false" ht="23.25" hidden="false" customHeight="true" outlineLevel="0" collapsed="false">
      <c r="B55" s="93" t="s">
        <v>367</v>
      </c>
    </row>
    <row r="57" customFormat="false" ht="19.5" hidden="false" customHeight="true" outlineLevel="0" collapsed="false">
      <c r="B57" s="92" t="s">
        <v>368</v>
      </c>
    </row>
    <row r="58" customFormat="false" ht="15" hidden="false" customHeight="true" outlineLevel="0" collapsed="false">
      <c r="B58" s="93" t="s">
        <v>369</v>
      </c>
    </row>
    <row r="59" customFormat="false" ht="15" hidden="false" customHeight="true" outlineLevel="0" collapsed="false">
      <c r="B59" s="93" t="s">
        <v>370</v>
      </c>
    </row>
    <row r="60" customFormat="false" ht="15" hidden="false" customHeight="true" outlineLevel="0" collapsed="false">
      <c r="B60" s="93" t="s">
        <v>371</v>
      </c>
    </row>
    <row r="62" customFormat="false" ht="23.25" hidden="false" customHeight="true" outlineLevel="0" collapsed="false">
      <c r="B62" s="93" t="s">
        <v>372</v>
      </c>
    </row>
    <row r="64" customFormat="false" ht="19.5" hidden="false" customHeight="true" outlineLevel="0" collapsed="false">
      <c r="B64" s="92" t="s">
        <v>373</v>
      </c>
    </row>
    <row r="65" customFormat="false" ht="23.25" hidden="false" customHeight="true" outlineLevel="0" collapsed="false">
      <c r="B65" s="93" t="s">
        <v>374</v>
      </c>
    </row>
    <row r="67" customFormat="false" ht="23.25" hidden="false" customHeight="true" outlineLevel="0" collapsed="false">
      <c r="B67" s="93" t="s">
        <v>375</v>
      </c>
    </row>
    <row r="69" customFormat="false" ht="15" hidden="false" customHeight="true" outlineLevel="0" collapsed="false">
      <c r="B69" s="93" t="s">
        <v>376</v>
      </c>
    </row>
    <row r="71" customFormat="false" ht="19.5" hidden="false" customHeight="true" outlineLevel="0" collapsed="false">
      <c r="B71" s="92" t="s">
        <v>377</v>
      </c>
    </row>
    <row r="72" customFormat="false" ht="23.25" hidden="false" customHeight="true" outlineLevel="0" collapsed="false">
      <c r="B72" s="93" t="s">
        <v>378</v>
      </c>
    </row>
    <row r="74" customFormat="false" ht="27.75" hidden="false" customHeight="true" outlineLevel="0" collapsed="false">
      <c r="B74" s="94" t="s">
        <v>379</v>
      </c>
    </row>
    <row r="75" customFormat="false" ht="15" hidden="false" customHeight="true" outlineLevel="0" collapsed="false">
      <c r="B75" s="93" t="s">
        <v>380</v>
      </c>
    </row>
    <row r="76" customFormat="false" ht="15" hidden="false" customHeight="true" outlineLevel="0" collapsed="false">
      <c r="B76" s="93" t="s">
        <v>381</v>
      </c>
    </row>
    <row r="77" customFormat="false" ht="15" hidden="false" customHeight="true" outlineLevel="0" collapsed="false">
      <c r="B77" s="93" t="s">
        <v>382</v>
      </c>
    </row>
    <row r="79" customFormat="false" ht="19.5" hidden="false" customHeight="true" outlineLevel="0" collapsed="false">
      <c r="B79" s="92" t="s">
        <v>383</v>
      </c>
    </row>
    <row r="80" customFormat="false" ht="15" hidden="false" customHeight="true" outlineLevel="0" collapsed="false">
      <c r="B80" s="93" t="s">
        <v>384</v>
      </c>
    </row>
    <row r="82" customFormat="false" ht="15" hidden="false" customHeight="true" outlineLevel="0" collapsed="false">
      <c r="B82" s="94" t="s">
        <v>385</v>
      </c>
    </row>
    <row r="83" customFormat="false" ht="23.25" hidden="false" customHeight="true" outlineLevel="0" collapsed="false">
      <c r="B83" s="93" t="s">
        <v>386</v>
      </c>
    </row>
    <row r="84" customFormat="false" ht="15" hidden="false" customHeight="true" outlineLevel="0" collapsed="false">
      <c r="B84" s="93" t="s">
        <v>387</v>
      </c>
    </row>
    <row r="86" customFormat="false" ht="15" hidden="false" customHeight="true" outlineLevel="0" collapsed="false">
      <c r="B86" s="94" t="s">
        <v>388</v>
      </c>
    </row>
    <row r="87" customFormat="false" ht="15" hidden="false" customHeight="true" outlineLevel="0" collapsed="false">
      <c r="B87" s="93" t="s">
        <v>389</v>
      </c>
    </row>
    <row r="88" customFormat="false" ht="15" hidden="false" customHeight="true" outlineLevel="0" collapsed="false">
      <c r="B88" s="93" t="s">
        <v>390</v>
      </c>
    </row>
    <row r="89" customFormat="false" ht="15" hidden="false" customHeight="true" outlineLevel="0" collapsed="false">
      <c r="B89" s="93" t="s">
        <v>391</v>
      </c>
    </row>
    <row r="90" customFormat="false" ht="15" hidden="false" customHeight="true" outlineLevel="0" collapsed="false">
      <c r="B90" s="93" t="s">
        <v>392</v>
      </c>
    </row>
    <row r="91" customFormat="false" ht="15" hidden="false" customHeight="true" outlineLevel="0" collapsed="false">
      <c r="B91" s="93" t="s">
        <v>393</v>
      </c>
    </row>
    <row r="93" customFormat="false" ht="15" hidden="false" customHeight="true" outlineLevel="0" collapsed="false">
      <c r="B93" s="94" t="s">
        <v>394</v>
      </c>
    </row>
    <row r="94" customFormat="false" ht="15" hidden="false" customHeight="true" outlineLevel="0" collapsed="false">
      <c r="B94" s="93" t="s">
        <v>395</v>
      </c>
    </row>
    <row r="95" customFormat="false" ht="15" hidden="false" customHeight="true" outlineLevel="0" collapsed="false">
      <c r="B95" s="93" t="s">
        <v>396</v>
      </c>
    </row>
    <row r="96" customFormat="false" ht="15" hidden="false" customHeight="true" outlineLevel="0" collapsed="false">
      <c r="B96" s="93" t="s">
        <v>397</v>
      </c>
    </row>
    <row r="98" customFormat="false" ht="19.5" hidden="false" customHeight="true" outlineLevel="0" collapsed="false">
      <c r="B98" s="92" t="s">
        <v>398</v>
      </c>
    </row>
    <row r="99" customFormat="false" ht="15" hidden="false" customHeight="true" outlineLevel="0" collapsed="false">
      <c r="B99" s="93" t="s">
        <v>399</v>
      </c>
    </row>
    <row r="101" customFormat="false" ht="23.25" hidden="false" customHeight="true" outlineLevel="0" collapsed="false">
      <c r="B101" s="93" t="s">
        <v>400</v>
      </c>
    </row>
    <row r="103" customFormat="false" ht="23.25" hidden="false" customHeight="true" outlineLevel="0" collapsed="false">
      <c r="B103" s="93" t="s">
        <v>401</v>
      </c>
    </row>
    <row r="105" customFormat="false" ht="23.25" hidden="false" customHeight="true" outlineLevel="0" collapsed="false">
      <c r="B105" s="93" t="s">
        <v>402</v>
      </c>
    </row>
    <row r="107" customFormat="false" ht="15" hidden="false" customHeight="true" outlineLevel="0" collapsed="false">
      <c r="B107" s="93" t="s">
        <v>403</v>
      </c>
    </row>
    <row r="109" customFormat="false" ht="23.25" hidden="false" customHeight="true" outlineLevel="0" collapsed="false">
      <c r="B109" s="93" t="s">
        <v>404</v>
      </c>
    </row>
    <row r="111" customFormat="false" ht="19.5" hidden="false" customHeight="true" outlineLevel="0" collapsed="false">
      <c r="B111" s="92" t="s">
        <v>405</v>
      </c>
    </row>
    <row r="112" customFormat="false" ht="23.25" hidden="false" customHeight="true" outlineLevel="0" collapsed="false">
      <c r="B112" s="93" t="s">
        <v>406</v>
      </c>
    </row>
    <row r="114" customFormat="false" ht="19.5" hidden="false" customHeight="true" outlineLevel="0" collapsed="false">
      <c r="B114" s="92" t="s">
        <v>407</v>
      </c>
    </row>
    <row r="115" customFormat="false" ht="34.5" hidden="false" customHeight="true" outlineLevel="0" collapsed="false">
      <c r="B115" s="93" t="s">
        <v>408</v>
      </c>
    </row>
    <row r="117" customFormat="false" ht="23.25" hidden="false" customHeight="true" outlineLevel="0" collapsed="false">
      <c r="B117" s="93" t="s">
        <v>409</v>
      </c>
    </row>
    <row r="119" customFormat="false" ht="19.5" hidden="false" customHeight="true" outlineLevel="0" collapsed="false">
      <c r="B119" s="92" t="s">
        <v>410</v>
      </c>
    </row>
    <row r="120" customFormat="false" ht="23.25" hidden="false" customHeight="true" outlineLevel="0" collapsed="false">
      <c r="B120" s="93" t="s">
        <v>411</v>
      </c>
    </row>
    <row r="122" customFormat="false" ht="23.25" hidden="false" customHeight="true" outlineLevel="0" collapsed="false">
      <c r="B122" s="93" t="s">
        <v>412</v>
      </c>
    </row>
    <row r="124" customFormat="false" ht="23.25" hidden="false" customHeight="true" outlineLevel="0" collapsed="false">
      <c r="B124" s="93" t="s">
        <v>413</v>
      </c>
    </row>
    <row r="126" customFormat="false" ht="19.5" hidden="false" customHeight="true" outlineLevel="0" collapsed="false">
      <c r="B126" s="92" t="s">
        <v>414</v>
      </c>
    </row>
    <row r="128" customFormat="false" ht="15" hidden="false" customHeight="true" outlineLevel="0" collapsed="false">
      <c r="B128" s="93" t="s">
        <v>415</v>
      </c>
    </row>
    <row r="129" customFormat="false" ht="15" hidden="false" customHeight="true" outlineLevel="0" collapsed="false">
      <c r="B129" s="93" t="s">
        <v>416</v>
      </c>
    </row>
    <row r="131" customFormat="false" ht="23.25" hidden="false" customHeight="true" outlineLevel="0" collapsed="false">
      <c r="B131" s="93" t="s">
        <v>417</v>
      </c>
    </row>
    <row r="133" customFormat="false" ht="15" hidden="false" customHeight="true" outlineLevel="0" collapsed="false">
      <c r="B133" s="94" t="s">
        <v>418</v>
      </c>
    </row>
    <row r="134" customFormat="false" ht="34.5" hidden="false" customHeight="true" outlineLevel="0" collapsed="false">
      <c r="B134" s="93" t="s">
        <v>419</v>
      </c>
    </row>
    <row r="136" customFormat="false" ht="15" hidden="false" customHeight="true" outlineLevel="0" collapsed="false">
      <c r="B136" s="94" t="s">
        <v>420</v>
      </c>
    </row>
    <row r="137" customFormat="false" ht="34.5" hidden="false" customHeight="true" outlineLevel="0" collapsed="false">
      <c r="B137" s="93" t="s">
        <v>421</v>
      </c>
    </row>
    <row r="139" customFormat="false" ht="15" hidden="false" customHeight="true" outlineLevel="0" collapsed="false">
      <c r="B139" s="94" t="s">
        <v>422</v>
      </c>
    </row>
    <row r="140" customFormat="false" ht="23.25" hidden="false" customHeight="true" outlineLevel="0" collapsed="false">
      <c r="B140" s="93" t="s">
        <v>423</v>
      </c>
    </row>
    <row r="142" customFormat="false" ht="15" hidden="false" customHeight="true" outlineLevel="0" collapsed="false">
      <c r="B142" s="93" t="s">
        <v>424</v>
      </c>
    </row>
    <row r="143" customFormat="false" ht="15" hidden="false" customHeight="true" outlineLevel="0" collapsed="false">
      <c r="B143" s="93" t="s">
        <v>425</v>
      </c>
    </row>
    <row r="144" customFormat="false" ht="15" hidden="false" customHeight="true" outlineLevel="0" collapsed="false">
      <c r="B144" s="93" t="s">
        <v>426</v>
      </c>
    </row>
    <row r="145" customFormat="false" ht="15" hidden="false" customHeight="true" outlineLevel="0" collapsed="false">
      <c r="B145" s="93" t="s">
        <v>427</v>
      </c>
    </row>
    <row r="146" customFormat="false" ht="15" hidden="false" customHeight="true" outlineLevel="0" collapsed="false">
      <c r="B146" s="93" t="s">
        <v>428</v>
      </c>
    </row>
    <row r="147" customFormat="false" ht="15" hidden="false" customHeight="true" outlineLevel="0" collapsed="false">
      <c r="B147" s="93" t="s">
        <v>429</v>
      </c>
    </row>
    <row r="149" customFormat="false" ht="34.5" hidden="false" customHeight="true" outlineLevel="0" collapsed="false">
      <c r="B149" s="93" t="s">
        <v>430</v>
      </c>
    </row>
    <row r="151" customFormat="false" ht="23.25" hidden="false" customHeight="true" outlineLevel="0" collapsed="false">
      <c r="B151" s="93" t="s">
        <v>431</v>
      </c>
    </row>
    <row r="153" customFormat="false" ht="15" hidden="false" customHeight="true" outlineLevel="0" collapsed="false">
      <c r="B153" s="94" t="s">
        <v>432</v>
      </c>
    </row>
    <row r="154" customFormat="false" ht="15" hidden="false" customHeight="true" outlineLevel="0" collapsed="false">
      <c r="B154" s="93" t="s">
        <v>433</v>
      </c>
    </row>
    <row r="155" customFormat="false" ht="15" hidden="false" customHeight="true" outlineLevel="0" collapsed="false">
      <c r="B155" s="93" t="s">
        <v>434</v>
      </c>
    </row>
    <row r="156" customFormat="false" ht="15" hidden="false" customHeight="true" outlineLevel="0" collapsed="false">
      <c r="B156" s="93" t="s">
        <v>435</v>
      </c>
    </row>
    <row r="157" customFormat="false" ht="15" hidden="false" customHeight="true" outlineLevel="0" collapsed="false">
      <c r="B157" s="93" t="s">
        <v>436</v>
      </c>
    </row>
    <row r="158" customFormat="false" ht="15" hidden="false" customHeight="true" outlineLevel="0" collapsed="false">
      <c r="B158" s="93" t="s">
        <v>437</v>
      </c>
    </row>
    <row r="159" customFormat="false" ht="15" hidden="false" customHeight="true" outlineLevel="0" collapsed="false">
      <c r="B159" s="93" t="s">
        <v>438</v>
      </c>
    </row>
    <row r="160" customFormat="false" ht="15" hidden="false" customHeight="true" outlineLevel="0" collapsed="false">
      <c r="B160" s="93" t="s">
        <v>439</v>
      </c>
    </row>
    <row r="162" customFormat="false" ht="23.25" hidden="false" customHeight="true" outlineLevel="0" collapsed="false">
      <c r="B162" s="93" t="s">
        <v>440</v>
      </c>
    </row>
    <row r="164" customFormat="false" ht="15" hidden="false" customHeight="true" outlineLevel="0" collapsed="false">
      <c r="B164" s="94" t="s">
        <v>441</v>
      </c>
    </row>
    <row r="165" customFormat="false" ht="15" hidden="false" customHeight="true" outlineLevel="0" collapsed="false">
      <c r="B165" s="93" t="s">
        <v>442</v>
      </c>
    </row>
    <row r="166" customFormat="false" ht="23.25" hidden="false" customHeight="true" outlineLevel="0" collapsed="false">
      <c r="B166" s="93" t="s">
        <v>443</v>
      </c>
    </row>
    <row r="167" customFormat="false" ht="34.5" hidden="false" customHeight="true" outlineLevel="0" collapsed="false">
      <c r="B167" s="93" t="s">
        <v>444</v>
      </c>
    </row>
    <row r="169" customFormat="false" ht="23.25" hidden="false" customHeight="true" outlineLevel="0" collapsed="false">
      <c r="B169" s="93" t="s">
        <v>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2026-04-11T18:55:53Z</dcterms:created>
  <dc:creator>openpyxl</dc:creator>
  <dc:description/>
  <dc:language>en-US</dc:language>
  <cp:lastModifiedBy/>
  <dcterms:modified xsi:type="dcterms:W3CDTF">2026-04-12T13:15:04Z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